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ntabilidad\Desktop\DOCUMENTACION PORTAL DE TRANSPARENCIA\LIBROS DE BANCOS\AÑO 2025\JULIO 2025\"/>
    </mc:Choice>
  </mc:AlternateContent>
  <bookViews>
    <workbookView xWindow="-120" yWindow="-120" windowWidth="21840" windowHeight="13140" tabRatio="878" firstSheet="7" activeTab="10"/>
  </bookViews>
  <sheets>
    <sheet name="RELACION DE PAGOS EMITIDOS" sheetId="14" r:id="rId1"/>
    <sheet name="RELACION ORDENES DE COMPRAS" sheetId="15" r:id="rId2"/>
    <sheet name="CUENTA T VS" sheetId="1" r:id="rId3"/>
    <sheet name="CUENTA T FONDO 100" sheetId="13" r:id="rId4"/>
    <sheet name="CONS. FUENTES FINAN" sheetId="4" r:id="rId5"/>
    <sheet name="GASTOS X ATENCION" sheetId="6" r:id="rId6"/>
    <sheet name="PLANTILLA PRESUPUESTO" sheetId="18" r:id="rId7"/>
    <sheet name="TRANSFERENCIA CORRIENTE" sheetId="16" r:id="rId8"/>
    <sheet name="VS" sheetId="17" r:id="rId9"/>
    <sheet name="OBLIGACIONES PENDIENTES" sheetId="19" r:id="rId10"/>
    <sheet name="INGR SEGUN ORIGEN" sheetId="24" r:id="rId11"/>
    <sheet name="DEUDA" sheetId="23" r:id="rId12"/>
    <sheet name="Hoja1" sheetId="25" state="hidden" r:id="rId13"/>
    <sheet name="INGRESOS POR A.R.S" sheetId="21" r:id="rId14"/>
    <sheet name="GLOSA" sheetId="22" r:id="rId15"/>
  </sheets>
  <externalReferences>
    <externalReference r:id="rId16"/>
  </externalReferences>
  <definedNames>
    <definedName name="_xlnm._FilterDatabase" localSheetId="4" hidden="1">'CONS. FUENTES FINAN'!$A$27:$J$501</definedName>
    <definedName name="_xlnm._FilterDatabase" localSheetId="11" hidden="1">DEUDA!$A$6:$Q$52</definedName>
    <definedName name="_xlnm._FilterDatabase" localSheetId="0" hidden="1">'RELACION DE PAGOS EMITIDOS'!$A$10:$H$36</definedName>
    <definedName name="_xlnm._FilterDatabase" localSheetId="1" hidden="1">'RELACION ORDENES DE COMPRAS'!#REF!</definedName>
    <definedName name="_xlnm.Print_Area" localSheetId="4">'CONS. FUENTES FINAN'!$A$1:$J$501</definedName>
    <definedName name="_xlnm.Print_Area" localSheetId="11">DEUDA!$A$1:$Q$54</definedName>
    <definedName name="_xlnm.Print_Area" localSheetId="10">'INGR SEGUN ORIGEN'!$A$1:$E$60</definedName>
    <definedName name="_xlnm.Print_Area" localSheetId="0">'RELACION DE PAGOS EMITIDOS'!$A$1:$H$215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5" i="14" l="1"/>
  <c r="B17" i="22"/>
  <c r="E11" i="22"/>
  <c r="P32" i="21"/>
  <c r="P10" i="21"/>
  <c r="P31" i="21"/>
  <c r="P29" i="21"/>
  <c r="P28" i="21"/>
  <c r="P15" i="21"/>
  <c r="P33" i="21"/>
  <c r="O38" i="21"/>
  <c r="O39" i="21"/>
  <c r="O15" i="21" l="1"/>
  <c r="I14" i="4"/>
  <c r="G16" i="4"/>
  <c r="I85" i="17"/>
  <c r="E13" i="19"/>
  <c r="E12" i="19"/>
  <c r="E41" i="24" l="1"/>
  <c r="H501" i="4"/>
  <c r="G501" i="4"/>
  <c r="H500" i="4"/>
  <c r="G500" i="4"/>
  <c r="H499" i="4"/>
  <c r="G499" i="4"/>
  <c r="H498" i="4"/>
  <c r="G498" i="4"/>
  <c r="H497" i="4"/>
  <c r="G497" i="4"/>
  <c r="H496" i="4"/>
  <c r="G496" i="4"/>
  <c r="H495" i="4"/>
  <c r="G495" i="4"/>
  <c r="H494" i="4"/>
  <c r="G494" i="4"/>
  <c r="H493" i="4"/>
  <c r="G493" i="4"/>
  <c r="H492" i="4"/>
  <c r="G492" i="4"/>
  <c r="H491" i="4"/>
  <c r="H490" i="4" s="1"/>
  <c r="G491" i="4"/>
  <c r="G490" i="4"/>
  <c r="I490" i="4" s="1"/>
  <c r="H489" i="4"/>
  <c r="G489" i="4"/>
  <c r="I489" i="4" s="1"/>
  <c r="H488" i="4"/>
  <c r="H487" i="4"/>
  <c r="H486" i="4" s="1"/>
  <c r="G487" i="4"/>
  <c r="G486" i="4"/>
  <c r="I486" i="4" s="1"/>
  <c r="H485" i="4"/>
  <c r="G485" i="4"/>
  <c r="I485" i="4" s="1"/>
  <c r="H484" i="4"/>
  <c r="G484" i="4"/>
  <c r="H483" i="4"/>
  <c r="G483" i="4"/>
  <c r="I483" i="4" s="1"/>
  <c r="H482" i="4"/>
  <c r="G482" i="4"/>
  <c r="H481" i="4"/>
  <c r="H480" i="4" s="1"/>
  <c r="G481" i="4"/>
  <c r="H479" i="4"/>
  <c r="G479" i="4"/>
  <c r="G478" i="4" s="1"/>
  <c r="H478" i="4"/>
  <c r="H477" i="4"/>
  <c r="G477" i="4"/>
  <c r="H476" i="4"/>
  <c r="G476" i="4"/>
  <c r="H475" i="4"/>
  <c r="G475" i="4"/>
  <c r="H474" i="4"/>
  <c r="G474" i="4"/>
  <c r="H472" i="4"/>
  <c r="G472" i="4"/>
  <c r="H471" i="4"/>
  <c r="G471" i="4"/>
  <c r="H470" i="4"/>
  <c r="G470" i="4"/>
  <c r="H469" i="4"/>
  <c r="G469" i="4"/>
  <c r="H468" i="4"/>
  <c r="G468" i="4"/>
  <c r="H467" i="4"/>
  <c r="G467" i="4"/>
  <c r="H466" i="4"/>
  <c r="G466" i="4"/>
  <c r="H465" i="4"/>
  <c r="G465" i="4"/>
  <c r="H464" i="4"/>
  <c r="G464" i="4"/>
  <c r="H462" i="4"/>
  <c r="G462" i="4"/>
  <c r="I462" i="4" s="1"/>
  <c r="H461" i="4"/>
  <c r="G461" i="4"/>
  <c r="H460" i="4"/>
  <c r="G460" i="4"/>
  <c r="I460" i="4" s="1"/>
  <c r="H459" i="4"/>
  <c r="G459" i="4"/>
  <c r="I459" i="4" s="1"/>
  <c r="H458" i="4"/>
  <c r="G458" i="4"/>
  <c r="I458" i="4" s="1"/>
  <c r="H457" i="4"/>
  <c r="G457" i="4"/>
  <c r="H456" i="4"/>
  <c r="G456" i="4"/>
  <c r="I456" i="4" s="1"/>
  <c r="H455" i="4"/>
  <c r="G455" i="4"/>
  <c r="H454" i="4"/>
  <c r="H453" i="4" s="1"/>
  <c r="G454" i="4"/>
  <c r="H452" i="4"/>
  <c r="G452" i="4"/>
  <c r="H451" i="4"/>
  <c r="G451" i="4"/>
  <c r="H450" i="4"/>
  <c r="G450" i="4"/>
  <c r="H449" i="4"/>
  <c r="G449" i="4"/>
  <c r="H448" i="4"/>
  <c r="H447" i="4" s="1"/>
  <c r="G448" i="4"/>
  <c r="G447" i="4"/>
  <c r="I447" i="4" s="1"/>
  <c r="H445" i="4"/>
  <c r="H444" i="4" s="1"/>
  <c r="G445" i="4"/>
  <c r="H443" i="4"/>
  <c r="G443" i="4"/>
  <c r="H442" i="4"/>
  <c r="G442" i="4"/>
  <c r="H441" i="4"/>
  <c r="G441" i="4"/>
  <c r="H440" i="4"/>
  <c r="G440" i="4"/>
  <c r="H439" i="4"/>
  <c r="G439" i="4"/>
  <c r="H438" i="4"/>
  <c r="G438" i="4"/>
  <c r="H437" i="4"/>
  <c r="H436" i="4" s="1"/>
  <c r="G437" i="4"/>
  <c r="G436" i="4"/>
  <c r="I436" i="4" s="1"/>
  <c r="H435" i="4"/>
  <c r="G435" i="4"/>
  <c r="I435" i="4" s="1"/>
  <c r="H434" i="4"/>
  <c r="G434" i="4"/>
  <c r="H433" i="4"/>
  <c r="G433" i="4"/>
  <c r="I433" i="4" s="1"/>
  <c r="H432" i="4"/>
  <c r="G432" i="4"/>
  <c r="H431" i="4"/>
  <c r="G431" i="4"/>
  <c r="I431" i="4" s="1"/>
  <c r="H430" i="4"/>
  <c r="G430" i="4"/>
  <c r="I430" i="4" s="1"/>
  <c r="H429" i="4"/>
  <c r="G429" i="4"/>
  <c r="H428" i="4"/>
  <c r="G428" i="4"/>
  <c r="I428" i="4" s="1"/>
  <c r="H427" i="4"/>
  <c r="G427" i="4"/>
  <c r="H426" i="4"/>
  <c r="G426" i="4"/>
  <c r="I426" i="4" s="1"/>
  <c r="H425" i="4"/>
  <c r="G425"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H399" i="4"/>
  <c r="H398" i="4" s="1"/>
  <c r="G399" i="4"/>
  <c r="H397" i="4"/>
  <c r="G397" i="4"/>
  <c r="G396" i="4" s="1"/>
  <c r="H396" i="4"/>
  <c r="H395" i="4"/>
  <c r="H394" i="4" s="1"/>
  <c r="G395" i="4"/>
  <c r="H393" i="4"/>
  <c r="G393" i="4"/>
  <c r="G392" i="4" s="1"/>
  <c r="H392" i="4"/>
  <c r="H391" i="4"/>
  <c r="H390" i="4" s="1"/>
  <c r="G391" i="4"/>
  <c r="H389" i="4"/>
  <c r="G389" i="4"/>
  <c r="G388" i="4" s="1"/>
  <c r="H388" i="4"/>
  <c r="H387" i="4"/>
  <c r="H386" i="4" s="1"/>
  <c r="G387" i="4"/>
  <c r="H385" i="4"/>
  <c r="H384" i="4" s="1"/>
  <c r="G385" i="4"/>
  <c r="G384" i="4"/>
  <c r="H382" i="4"/>
  <c r="H381" i="4" s="1"/>
  <c r="G382" i="4"/>
  <c r="H380" i="4"/>
  <c r="G380" i="4"/>
  <c r="G379" i="4" s="1"/>
  <c r="H379" i="4"/>
  <c r="H378" i="4"/>
  <c r="H377" i="4" s="1"/>
  <c r="G378" i="4"/>
  <c r="G377" i="4"/>
  <c r="I377" i="4" s="1"/>
  <c r="H376" i="4"/>
  <c r="G376" i="4"/>
  <c r="G375" i="4" s="1"/>
  <c r="H375" i="4"/>
  <c r="H374" i="4"/>
  <c r="H373" i="4" s="1"/>
  <c r="G374" i="4"/>
  <c r="G373" i="4"/>
  <c r="I373" i="4" s="1"/>
  <c r="H372" i="4"/>
  <c r="G372" i="4"/>
  <c r="G371" i="4" s="1"/>
  <c r="H371" i="4"/>
  <c r="H370" i="4"/>
  <c r="H369" i="4" s="1"/>
  <c r="G370" i="4"/>
  <c r="G369" i="4"/>
  <c r="I369" i="4" s="1"/>
  <c r="H368" i="4"/>
  <c r="G368" i="4"/>
  <c r="G367" i="4" s="1"/>
  <c r="H367" i="4"/>
  <c r="H365" i="4"/>
  <c r="G365" i="4"/>
  <c r="G364" i="4" s="1"/>
  <c r="H364" i="4"/>
  <c r="H363" i="4"/>
  <c r="H362" i="4" s="1"/>
  <c r="G363" i="4"/>
  <c r="H361" i="4"/>
  <c r="G361" i="4"/>
  <c r="G360" i="4" s="1"/>
  <c r="H360" i="4"/>
  <c r="H359" i="4"/>
  <c r="H358" i="4" s="1"/>
  <c r="G359" i="4"/>
  <c r="G358" i="4" s="1"/>
  <c r="H356" i="4"/>
  <c r="H355" i="4" s="1"/>
  <c r="G356" i="4"/>
  <c r="I355" i="4"/>
  <c r="G355" i="4"/>
  <c r="H354" i="4"/>
  <c r="G354" i="4"/>
  <c r="G353" i="4" s="1"/>
  <c r="H353" i="4"/>
  <c r="H352" i="4"/>
  <c r="H351" i="4" s="1"/>
  <c r="G352" i="4"/>
  <c r="H350" i="4"/>
  <c r="G350" i="4"/>
  <c r="G349" i="4" s="1"/>
  <c r="H349" i="4"/>
  <c r="H347" i="4"/>
  <c r="G347" i="4"/>
  <c r="G346" i="4" s="1"/>
  <c r="H346" i="4"/>
  <c r="H345" i="4"/>
  <c r="H344" i="4" s="1"/>
  <c r="G345" i="4"/>
  <c r="G344" i="4" s="1"/>
  <c r="I344" i="4" s="1"/>
  <c r="H343" i="4"/>
  <c r="G343" i="4"/>
  <c r="G342" i="4" s="1"/>
  <c r="H342" i="4"/>
  <c r="H341" i="4"/>
  <c r="H340" i="4" s="1"/>
  <c r="G341" i="4"/>
  <c r="H339" i="4"/>
  <c r="G339" i="4"/>
  <c r="G338" i="4" s="1"/>
  <c r="H338" i="4"/>
  <c r="H335" i="4"/>
  <c r="G335" i="4"/>
  <c r="I335" i="4" s="1"/>
  <c r="H334" i="4"/>
  <c r="G334" i="4"/>
  <c r="I334" i="4" s="1"/>
  <c r="H333" i="4"/>
  <c r="G333" i="4"/>
  <c r="I333" i="4" s="1"/>
  <c r="H332" i="4"/>
  <c r="G332" i="4"/>
  <c r="H331" i="4"/>
  <c r="G331" i="4"/>
  <c r="I331" i="4" s="1"/>
  <c r="H330" i="4"/>
  <c r="N18" i="4" s="1"/>
  <c r="H329" i="4"/>
  <c r="G329" i="4"/>
  <c r="H328" i="4"/>
  <c r="G328" i="4"/>
  <c r="G327" i="4" s="1"/>
  <c r="H327" i="4"/>
  <c r="H326" i="4"/>
  <c r="G326" i="4"/>
  <c r="I326" i="4" s="1"/>
  <c r="H325" i="4"/>
  <c r="H324" i="4" s="1"/>
  <c r="G325" i="4"/>
  <c r="G324" i="4" s="1"/>
  <c r="I324" i="4" s="1"/>
  <c r="H323" i="4"/>
  <c r="G323" i="4"/>
  <c r="G322" i="4" s="1"/>
  <c r="H322" i="4"/>
  <c r="H321" i="4"/>
  <c r="H320" i="4" s="1"/>
  <c r="G321" i="4"/>
  <c r="G320" i="4"/>
  <c r="I320" i="4" s="1"/>
  <c r="H319" i="4"/>
  <c r="G319" i="4"/>
  <c r="G318" i="4" s="1"/>
  <c r="H318" i="4"/>
  <c r="H317" i="4"/>
  <c r="H316" i="4" s="1"/>
  <c r="G317" i="4"/>
  <c r="G316" i="4"/>
  <c r="I316" i="4" s="1"/>
  <c r="H315" i="4"/>
  <c r="G315" i="4"/>
  <c r="G314" i="4" s="1"/>
  <c r="I314" i="4" s="1"/>
  <c r="H314" i="4"/>
  <c r="H313" i="4"/>
  <c r="H312" i="4" s="1"/>
  <c r="G313" i="4"/>
  <c r="G312" i="4"/>
  <c r="I312" i="4" s="1"/>
  <c r="H311" i="4"/>
  <c r="G311" i="4"/>
  <c r="I311" i="4" s="1"/>
  <c r="H310" i="4"/>
  <c r="G310" i="4"/>
  <c r="G309" i="4" s="1"/>
  <c r="H309" i="4"/>
  <c r="H307" i="4"/>
  <c r="G307" i="4"/>
  <c r="G306" i="4" s="1"/>
  <c r="H306" i="4"/>
  <c r="H303" i="4" s="1"/>
  <c r="H305" i="4"/>
  <c r="H304" i="4" s="1"/>
  <c r="G305" i="4"/>
  <c r="H302" i="4"/>
  <c r="G302" i="4"/>
  <c r="H301" i="4"/>
  <c r="G301" i="4"/>
  <c r="H300" i="4"/>
  <c r="G300" i="4"/>
  <c r="I300" i="4" s="1"/>
  <c r="H299" i="4"/>
  <c r="G299" i="4"/>
  <c r="H298" i="4"/>
  <c r="G298" i="4"/>
  <c r="I298" i="4" s="1"/>
  <c r="H297" i="4"/>
  <c r="G297" i="4"/>
  <c r="H296" i="4"/>
  <c r="G296" i="4"/>
  <c r="H294" i="4"/>
  <c r="G294" i="4"/>
  <c r="H293" i="4"/>
  <c r="G293" i="4"/>
  <c r="H292" i="4"/>
  <c r="G292" i="4"/>
  <c r="H291" i="4"/>
  <c r="G291" i="4"/>
  <c r="H290" i="4"/>
  <c r="G290" i="4"/>
  <c r="H289" i="4"/>
  <c r="G289" i="4"/>
  <c r="H288" i="4"/>
  <c r="G288" i="4"/>
  <c r="H287" i="4"/>
  <c r="H285" i="4"/>
  <c r="G285" i="4"/>
  <c r="G284" i="4" s="1"/>
  <c r="H284" i="4"/>
  <c r="H283" i="4"/>
  <c r="G283" i="4"/>
  <c r="H282" i="4"/>
  <c r="G282" i="4"/>
  <c r="H281" i="4"/>
  <c r="G281" i="4"/>
  <c r="H280" i="4"/>
  <c r="G280" i="4"/>
  <c r="H279" i="4"/>
  <c r="G279" i="4"/>
  <c r="H278" i="4"/>
  <c r="G278" i="4"/>
  <c r="I278" i="4" s="1"/>
  <c r="H277" i="4"/>
  <c r="H276" i="4" s="1"/>
  <c r="G277" i="4"/>
  <c r="G276" i="4" s="1"/>
  <c r="I276" i="4" s="1"/>
  <c r="H275" i="4"/>
  <c r="G275" i="4"/>
  <c r="I275" i="4" s="1"/>
  <c r="H274" i="4"/>
  <c r="G274" i="4"/>
  <c r="I274" i="4" s="1"/>
  <c r="H273" i="4"/>
  <c r="G273" i="4"/>
  <c r="G272" i="4" s="1"/>
  <c r="H272" i="4"/>
  <c r="H271" i="4"/>
  <c r="G271" i="4"/>
  <c r="H270" i="4"/>
  <c r="G270" i="4"/>
  <c r="H269" i="4"/>
  <c r="H268" i="4" s="1"/>
  <c r="G269" i="4"/>
  <c r="G268" i="4"/>
  <c r="I268" i="4" s="1"/>
  <c r="H267" i="4"/>
  <c r="G267" i="4"/>
  <c r="I267" i="4" s="1"/>
  <c r="H266" i="4"/>
  <c r="G266" i="4"/>
  <c r="I266" i="4" s="1"/>
  <c r="H265" i="4"/>
  <c r="G265" i="4"/>
  <c r="I265" i="4" s="1"/>
  <c r="H264" i="4"/>
  <c r="G264" i="4"/>
  <c r="I264" i="4" s="1"/>
  <c r="H263" i="4"/>
  <c r="G263" i="4"/>
  <c r="G262" i="4" s="1"/>
  <c r="H262" i="4"/>
  <c r="H260" i="4"/>
  <c r="G260" i="4"/>
  <c r="G259" i="4" s="1"/>
  <c r="H259" i="4"/>
  <c r="H258" i="4"/>
  <c r="H257" i="4" s="1"/>
  <c r="G258" i="4"/>
  <c r="I258" i="4" s="1"/>
  <c r="H256" i="4"/>
  <c r="G256" i="4"/>
  <c r="G255" i="4" s="1"/>
  <c r="H255" i="4"/>
  <c r="H254" i="4"/>
  <c r="H253" i="4" s="1"/>
  <c r="G254" i="4"/>
  <c r="H252" i="4"/>
  <c r="G252" i="4"/>
  <c r="G251" i="4" s="1"/>
  <c r="H251" i="4"/>
  <c r="H249" i="4"/>
  <c r="G249" i="4"/>
  <c r="G248" i="4" s="1"/>
  <c r="H248" i="4"/>
  <c r="H247" i="4"/>
  <c r="H246" i="4" s="1"/>
  <c r="G247" i="4"/>
  <c r="G246" i="4"/>
  <c r="G245" i="4" s="1"/>
  <c r="H244" i="4"/>
  <c r="H243" i="4" s="1"/>
  <c r="G244" i="4"/>
  <c r="I244" i="4" s="1"/>
  <c r="H242" i="4"/>
  <c r="G242" i="4"/>
  <c r="G241" i="4" s="1"/>
  <c r="H241" i="4"/>
  <c r="H240" i="4"/>
  <c r="H239" i="4" s="1"/>
  <c r="G240" i="4"/>
  <c r="I240" i="4" s="1"/>
  <c r="H238" i="4"/>
  <c r="G238" i="4"/>
  <c r="G237" i="4" s="1"/>
  <c r="H237" i="4"/>
  <c r="H236" i="4"/>
  <c r="H235" i="4" s="1"/>
  <c r="G236" i="4"/>
  <c r="I236" i="4" s="1"/>
  <c r="H234" i="4"/>
  <c r="G234" i="4"/>
  <c r="G233" i="4" s="1"/>
  <c r="H233" i="4"/>
  <c r="H231" i="4"/>
  <c r="G231" i="4"/>
  <c r="G230" i="4" s="1"/>
  <c r="H230" i="4"/>
  <c r="H229" i="4"/>
  <c r="H228" i="4" s="1"/>
  <c r="G229" i="4"/>
  <c r="G228" i="4"/>
  <c r="I228" i="4" s="1"/>
  <c r="H227" i="4"/>
  <c r="G227" i="4"/>
  <c r="G226" i="4" s="1"/>
  <c r="H226" i="4"/>
  <c r="H224" i="4"/>
  <c r="G224" i="4"/>
  <c r="G223" i="4" s="1"/>
  <c r="H223" i="4"/>
  <c r="H222" i="4"/>
  <c r="G222" i="4"/>
  <c r="I222" i="4" s="1"/>
  <c r="H221" i="4"/>
  <c r="G221" i="4"/>
  <c r="I221" i="4" s="1"/>
  <c r="H220" i="4"/>
  <c r="H219" i="4" s="1"/>
  <c r="G220" i="4"/>
  <c r="I220" i="4" s="1"/>
  <c r="H218" i="4"/>
  <c r="G218" i="4"/>
  <c r="G217" i="4" s="1"/>
  <c r="H217" i="4"/>
  <c r="H216" i="4"/>
  <c r="G216" i="4"/>
  <c r="I216" i="4" s="1"/>
  <c r="H215" i="4"/>
  <c r="H214" i="4" s="1"/>
  <c r="G215" i="4"/>
  <c r="I215" i="4" s="1"/>
  <c r="H211" i="4"/>
  <c r="G211" i="4"/>
  <c r="H210" i="4"/>
  <c r="H209" i="4" s="1"/>
  <c r="H208" i="4" s="1"/>
  <c r="G210" i="4"/>
  <c r="G209" i="4"/>
  <c r="G208" i="4" s="1"/>
  <c r="I208" i="4" s="1"/>
  <c r="H207" i="4"/>
  <c r="G207" i="4"/>
  <c r="I207" i="4" s="1"/>
  <c r="H206" i="4"/>
  <c r="G206" i="4"/>
  <c r="I206" i="4" s="1"/>
  <c r="H205" i="4"/>
  <c r="H204" i="4" s="1"/>
  <c r="G205" i="4"/>
  <c r="I205" i="4" s="1"/>
  <c r="H203" i="4"/>
  <c r="G203" i="4"/>
  <c r="H202" i="4"/>
  <c r="G202" i="4"/>
  <c r="H201" i="4"/>
  <c r="G201" i="4"/>
  <c r="H200" i="4"/>
  <c r="G200" i="4"/>
  <c r="H199" i="4"/>
  <c r="G199" i="4"/>
  <c r="H198" i="4"/>
  <c r="G198" i="4"/>
  <c r="G197" i="4" s="1"/>
  <c r="H197" i="4"/>
  <c r="H196" i="4"/>
  <c r="G196" i="4"/>
  <c r="H195" i="4"/>
  <c r="G195" i="4"/>
  <c r="H194" i="4"/>
  <c r="G194" i="4"/>
  <c r="H193" i="4"/>
  <c r="H192" i="4" s="1"/>
  <c r="G193" i="4"/>
  <c r="H191" i="4"/>
  <c r="G191" i="4"/>
  <c r="H190" i="4"/>
  <c r="G190" i="4"/>
  <c r="H189" i="4"/>
  <c r="G189" i="4"/>
  <c r="G188" i="4" s="1"/>
  <c r="H188" i="4"/>
  <c r="H187" i="4"/>
  <c r="H186" i="4" s="1"/>
  <c r="G187" i="4"/>
  <c r="I187" i="4" s="1"/>
  <c r="H185" i="4"/>
  <c r="G185" i="4"/>
  <c r="G184" i="4" s="1"/>
  <c r="H184" i="4"/>
  <c r="H183" i="4"/>
  <c r="H182" i="4" s="1"/>
  <c r="G183" i="4"/>
  <c r="I183" i="4" s="1"/>
  <c r="H181" i="4"/>
  <c r="G181" i="4"/>
  <c r="G180" i="4" s="1"/>
  <c r="H180" i="4"/>
  <c r="H178" i="4"/>
  <c r="G178" i="4"/>
  <c r="G177" i="4" s="1"/>
  <c r="H177" i="4"/>
  <c r="H176" i="4"/>
  <c r="G176" i="4"/>
  <c r="H175" i="4"/>
  <c r="G175" i="4"/>
  <c r="H174" i="4"/>
  <c r="G174" i="4"/>
  <c r="H173" i="4"/>
  <c r="G173" i="4"/>
  <c r="H172" i="4"/>
  <c r="G172" i="4"/>
  <c r="H171" i="4"/>
  <c r="G171" i="4"/>
  <c r="H170" i="4"/>
  <c r="G170" i="4"/>
  <c r="H169" i="4"/>
  <c r="G169" i="4"/>
  <c r="H168" i="4"/>
  <c r="H167" i="4" s="1"/>
  <c r="G168" i="4"/>
  <c r="G167" i="4"/>
  <c r="I167" i="4" s="1"/>
  <c r="H166" i="4"/>
  <c r="G166" i="4"/>
  <c r="I166" i="4" s="1"/>
  <c r="H165" i="4"/>
  <c r="G165" i="4"/>
  <c r="I165" i="4" s="1"/>
  <c r="H164" i="4"/>
  <c r="G164" i="4"/>
  <c r="I164" i="4" s="1"/>
  <c r="H163" i="4"/>
  <c r="G163" i="4"/>
  <c r="I163" i="4" s="1"/>
  <c r="H162" i="4"/>
  <c r="G162" i="4"/>
  <c r="I162" i="4" s="1"/>
  <c r="H161" i="4"/>
  <c r="G161" i="4"/>
  <c r="I161" i="4" s="1"/>
  <c r="H160" i="4"/>
  <c r="G160" i="4"/>
  <c r="I160" i="4" s="1"/>
  <c r="H159" i="4"/>
  <c r="H158" i="4" s="1"/>
  <c r="G159" i="4"/>
  <c r="I159" i="4" s="1"/>
  <c r="H156" i="4"/>
  <c r="H155" i="4" s="1"/>
  <c r="G156" i="4"/>
  <c r="G155" i="4" s="1"/>
  <c r="I155" i="4" s="1"/>
  <c r="H154" i="4"/>
  <c r="G154" i="4"/>
  <c r="H153" i="4"/>
  <c r="H152" i="4"/>
  <c r="H151" i="4" s="1"/>
  <c r="G152" i="4"/>
  <c r="G151" i="4" s="1"/>
  <c r="I151" i="4" s="1"/>
  <c r="H150" i="4"/>
  <c r="G150" i="4"/>
  <c r="H149" i="4"/>
  <c r="H147" i="4"/>
  <c r="G147" i="4"/>
  <c r="G146" i="4" s="1"/>
  <c r="H146" i="4"/>
  <c r="H145" i="4"/>
  <c r="H144" i="4" s="1"/>
  <c r="G145" i="4"/>
  <c r="G144" i="4"/>
  <c r="I144" i="4" s="1"/>
  <c r="H143" i="4"/>
  <c r="G143" i="4"/>
  <c r="G142" i="4" s="1"/>
  <c r="H142" i="4"/>
  <c r="H141" i="4"/>
  <c r="H140" i="4" s="1"/>
  <c r="G141" i="4"/>
  <c r="G140" i="4"/>
  <c r="I140" i="4" s="1"/>
  <c r="H139" i="4"/>
  <c r="G139" i="4"/>
  <c r="G138" i="4" s="1"/>
  <c r="H138" i="4"/>
  <c r="H137" i="4"/>
  <c r="H136" i="4" s="1"/>
  <c r="G137" i="4"/>
  <c r="G136" i="4"/>
  <c r="I136" i="4" s="1"/>
  <c r="H135" i="4"/>
  <c r="G135" i="4"/>
  <c r="I135" i="4" s="1"/>
  <c r="H134" i="4"/>
  <c r="G134" i="4"/>
  <c r="I134" i="4" s="1"/>
  <c r="H133" i="4"/>
  <c r="G133" i="4"/>
  <c r="I133" i="4" s="1"/>
  <c r="H132" i="4"/>
  <c r="G132" i="4"/>
  <c r="I132" i="4" s="1"/>
  <c r="H131" i="4"/>
  <c r="G131" i="4"/>
  <c r="G130" i="4" s="1"/>
  <c r="I130" i="4" s="1"/>
  <c r="H130" i="4"/>
  <c r="H129" i="4"/>
  <c r="H128" i="4" s="1"/>
  <c r="G129" i="4"/>
  <c r="G128" i="4"/>
  <c r="I128" i="4" s="1"/>
  <c r="H127" i="4"/>
  <c r="G127" i="4"/>
  <c r="G126" i="4" s="1"/>
  <c r="H126" i="4"/>
  <c r="G125" i="4"/>
  <c r="H124" i="4"/>
  <c r="G124" i="4"/>
  <c r="G123" i="4" s="1"/>
  <c r="H123" i="4"/>
  <c r="H122" i="4"/>
  <c r="H121" i="4" s="1"/>
  <c r="G122" i="4"/>
  <c r="I121" i="4"/>
  <c r="G121" i="4"/>
  <c r="H120" i="4"/>
  <c r="G120" i="4"/>
  <c r="G119" i="4" s="1"/>
  <c r="H119" i="4"/>
  <c r="H118" i="4"/>
  <c r="H117" i="4" s="1"/>
  <c r="G118" i="4"/>
  <c r="I118" i="4" s="1"/>
  <c r="H115" i="4"/>
  <c r="H114" i="4" s="1"/>
  <c r="G115" i="4"/>
  <c r="G114" i="4" s="1"/>
  <c r="H113" i="4"/>
  <c r="G113" i="4"/>
  <c r="G112" i="4" s="1"/>
  <c r="H112" i="4"/>
  <c r="H110" i="4"/>
  <c r="G110" i="4"/>
  <c r="G109" i="4" s="1"/>
  <c r="H109" i="4"/>
  <c r="H106" i="4" s="1"/>
  <c r="H108" i="4"/>
  <c r="H107" i="4" s="1"/>
  <c r="G108" i="4"/>
  <c r="G107" i="4"/>
  <c r="I107" i="4" s="1"/>
  <c r="H105" i="4"/>
  <c r="H104" i="4" s="1"/>
  <c r="G105" i="4"/>
  <c r="G104" i="4" s="1"/>
  <c r="H103" i="4"/>
  <c r="G103" i="4"/>
  <c r="G102" i="4" s="1"/>
  <c r="H102" i="4"/>
  <c r="H101" i="4"/>
  <c r="G101" i="4"/>
  <c r="I101" i="4" s="1"/>
  <c r="H100" i="4"/>
  <c r="H99" i="4" s="1"/>
  <c r="G100" i="4"/>
  <c r="G99" i="4" s="1"/>
  <c r="I99" i="4" s="1"/>
  <c r="H98" i="4"/>
  <c r="G98" i="4"/>
  <c r="G97" i="4" s="1"/>
  <c r="H97" i="4"/>
  <c r="H96" i="4"/>
  <c r="H95" i="4" s="1"/>
  <c r="G96" i="4"/>
  <c r="G95" i="4" s="1"/>
  <c r="I95" i="4" s="1"/>
  <c r="H94" i="4"/>
  <c r="G94" i="4"/>
  <c r="G93" i="4" s="1"/>
  <c r="H93" i="4"/>
  <c r="H92" i="4"/>
  <c r="H91" i="4" s="1"/>
  <c r="G92" i="4"/>
  <c r="G91" i="4"/>
  <c r="I91" i="4" s="1"/>
  <c r="H90" i="4"/>
  <c r="G90" i="4"/>
  <c r="G89" i="4" s="1"/>
  <c r="I89" i="4" s="1"/>
  <c r="H89" i="4"/>
  <c r="H86" i="4"/>
  <c r="G86" i="4"/>
  <c r="G85" i="4" s="1"/>
  <c r="H85" i="4"/>
  <c r="H84" i="4"/>
  <c r="H83" i="4" s="1"/>
  <c r="G84" i="4"/>
  <c r="I84" i="4" s="1"/>
  <c r="H82" i="4"/>
  <c r="G82" i="4"/>
  <c r="G81" i="4" s="1"/>
  <c r="H81" i="4"/>
  <c r="H80" i="4"/>
  <c r="H79" i="4" s="1"/>
  <c r="G80" i="4"/>
  <c r="G79" i="4" s="1"/>
  <c r="I79" i="4" s="1"/>
  <c r="H77" i="4"/>
  <c r="G77" i="4"/>
  <c r="H76" i="4"/>
  <c r="G76" i="4"/>
  <c r="H75" i="4"/>
  <c r="H74" i="4" s="1"/>
  <c r="G75" i="4"/>
  <c r="G74" i="4"/>
  <c r="I74" i="4" s="1"/>
  <c r="H73" i="4"/>
  <c r="G73" i="4"/>
  <c r="G72" i="4" s="1"/>
  <c r="H72" i="4"/>
  <c r="H70" i="4"/>
  <c r="G70" i="4"/>
  <c r="I70" i="4" s="1"/>
  <c r="H69" i="4"/>
  <c r="G69" i="4"/>
  <c r="H68" i="4"/>
  <c r="H67" i="4"/>
  <c r="G67" i="4"/>
  <c r="H66" i="4"/>
  <c r="G66" i="4"/>
  <c r="G65" i="4"/>
  <c r="H63" i="4"/>
  <c r="G63" i="4"/>
  <c r="I63" i="4" s="1"/>
  <c r="H62" i="4"/>
  <c r="G62" i="4"/>
  <c r="H61" i="4"/>
  <c r="G61" i="4"/>
  <c r="I61" i="4" s="1"/>
  <c r="H60" i="4"/>
  <c r="G60" i="4"/>
  <c r="H59" i="4"/>
  <c r="G59" i="4"/>
  <c r="I59" i="4" s="1"/>
  <c r="H58" i="4"/>
  <c r="G58" i="4"/>
  <c r="H57" i="4"/>
  <c r="G57" i="4"/>
  <c r="I57" i="4" s="1"/>
  <c r="H56" i="4"/>
  <c r="G56" i="4"/>
  <c r="H55" i="4"/>
  <c r="G55" i="4"/>
  <c r="I55" i="4" s="1"/>
  <c r="H53" i="4"/>
  <c r="G53" i="4"/>
  <c r="G52" i="4" s="1"/>
  <c r="H52" i="4"/>
  <c r="H50" i="4"/>
  <c r="G50" i="4"/>
  <c r="H49" i="4"/>
  <c r="G49" i="4"/>
  <c r="H48" i="4"/>
  <c r="G48" i="4"/>
  <c r="H47" i="4"/>
  <c r="G47" i="4"/>
  <c r="G46" i="4" s="1"/>
  <c r="H46" i="4"/>
  <c r="H45" i="4"/>
  <c r="H44" i="4" s="1"/>
  <c r="G45" i="4"/>
  <c r="I45" i="4" s="1"/>
  <c r="H43" i="4"/>
  <c r="G43" i="4"/>
  <c r="G42" i="4" s="1"/>
  <c r="H42" i="4"/>
  <c r="H41" i="4"/>
  <c r="G41" i="4"/>
  <c r="H40" i="4"/>
  <c r="G40" i="4"/>
  <c r="I40" i="4" s="1"/>
  <c r="H39" i="4"/>
  <c r="G39" i="4"/>
  <c r="H38" i="4"/>
  <c r="G38" i="4"/>
  <c r="I38" i="4" s="1"/>
  <c r="H37" i="4"/>
  <c r="G37" i="4"/>
  <c r="H36" i="4"/>
  <c r="G36" i="4"/>
  <c r="I36" i="4" s="1"/>
  <c r="H34" i="4"/>
  <c r="G34" i="4"/>
  <c r="H33" i="4"/>
  <c r="G33" i="4"/>
  <c r="H32" i="4"/>
  <c r="G32" i="4"/>
  <c r="H31" i="4"/>
  <c r="G31" i="4"/>
  <c r="H30" i="4"/>
  <c r="G30" i="4"/>
  <c r="H29" i="4"/>
  <c r="G29" i="4"/>
  <c r="G28" i="4" s="1"/>
  <c r="H28" i="4"/>
  <c r="N20" i="4"/>
  <c r="M20" i="4"/>
  <c r="N17" i="4"/>
  <c r="M17" i="4"/>
  <c r="G15" i="4"/>
  <c r="I17" i="4" s="1"/>
  <c r="I114" i="4" l="1"/>
  <c r="G111" i="4"/>
  <c r="I104" i="4"/>
  <c r="I150" i="4"/>
  <c r="I154" i="4"/>
  <c r="I193" i="4"/>
  <c r="I194" i="4"/>
  <c r="I195" i="4"/>
  <c r="I196" i="4"/>
  <c r="H78" i="4"/>
  <c r="I254" i="4"/>
  <c r="I302" i="4"/>
  <c r="I358" i="4"/>
  <c r="I465" i="4"/>
  <c r="I466" i="4"/>
  <c r="I468" i="4"/>
  <c r="I470" i="4"/>
  <c r="I472" i="4"/>
  <c r="I475" i="4"/>
  <c r="I477" i="4"/>
  <c r="I296" i="4"/>
  <c r="G295" i="4"/>
  <c r="G330" i="4"/>
  <c r="M18" i="4" s="1"/>
  <c r="I352" i="4"/>
  <c r="G351" i="4"/>
  <c r="I363" i="4"/>
  <c r="G362" i="4"/>
  <c r="I362" i="4" s="1"/>
  <c r="I382" i="4"/>
  <c r="G381" i="4"/>
  <c r="I381" i="4" s="1"/>
  <c r="I391" i="4"/>
  <c r="G390" i="4"/>
  <c r="I390" i="4" s="1"/>
  <c r="I399" i="4"/>
  <c r="G398" i="4"/>
  <c r="I398" i="4" s="1"/>
  <c r="I445" i="4"/>
  <c r="G444" i="4"/>
  <c r="I444" i="4" s="1"/>
  <c r="I481" i="4"/>
  <c r="G480" i="4"/>
  <c r="I480" i="4" s="1"/>
  <c r="I30" i="4"/>
  <c r="I31" i="4"/>
  <c r="I32" i="4"/>
  <c r="I33" i="4"/>
  <c r="I34" i="4"/>
  <c r="G35" i="4"/>
  <c r="G44" i="4"/>
  <c r="I44" i="4" s="1"/>
  <c r="I48" i="4"/>
  <c r="I49" i="4"/>
  <c r="I50" i="4"/>
  <c r="G54" i="4"/>
  <c r="G51" i="4" s="1"/>
  <c r="I66" i="4"/>
  <c r="I76" i="4"/>
  <c r="G83" i="4"/>
  <c r="I83" i="4" s="1"/>
  <c r="I96" i="4"/>
  <c r="I102" i="4"/>
  <c r="I115" i="4"/>
  <c r="G117" i="4"/>
  <c r="I129" i="4"/>
  <c r="I141" i="4"/>
  <c r="H148" i="4"/>
  <c r="I152" i="4"/>
  <c r="I156" i="4"/>
  <c r="G158" i="4"/>
  <c r="I158" i="4" s="1"/>
  <c r="H157" i="4"/>
  <c r="I168" i="4"/>
  <c r="I169" i="4"/>
  <c r="I170" i="4"/>
  <c r="I171" i="4"/>
  <c r="I172" i="4"/>
  <c r="I173" i="4"/>
  <c r="I174" i="4"/>
  <c r="I175" i="4"/>
  <c r="I176" i="4"/>
  <c r="G182" i="4"/>
  <c r="I182" i="4" s="1"/>
  <c r="I184" i="4"/>
  <c r="G186" i="4"/>
  <c r="I186" i="4" s="1"/>
  <c r="I188" i="4"/>
  <c r="I190" i="4"/>
  <c r="I191" i="4"/>
  <c r="G192" i="4"/>
  <c r="I192" i="4" s="1"/>
  <c r="I197" i="4"/>
  <c r="I199" i="4"/>
  <c r="I200" i="4"/>
  <c r="I201" i="4"/>
  <c r="I202" i="4"/>
  <c r="I203" i="4"/>
  <c r="G204" i="4"/>
  <c r="I204" i="4" s="1"/>
  <c r="I210" i="4"/>
  <c r="I211" i="4"/>
  <c r="G214" i="4"/>
  <c r="H213" i="4"/>
  <c r="I217" i="4"/>
  <c r="G219" i="4"/>
  <c r="I219" i="4" s="1"/>
  <c r="I223" i="4"/>
  <c r="H225" i="4"/>
  <c r="I229" i="4"/>
  <c r="G235" i="4"/>
  <c r="I235" i="4" s="1"/>
  <c r="I237" i="4"/>
  <c r="G239" i="4"/>
  <c r="I239" i="4" s="1"/>
  <c r="I241" i="4"/>
  <c r="G243" i="4"/>
  <c r="I243" i="4" s="1"/>
  <c r="I247" i="4"/>
  <c r="G253" i="4"/>
  <c r="I253" i="4" s="1"/>
  <c r="I255" i="4"/>
  <c r="G257" i="4"/>
  <c r="I257" i="4" s="1"/>
  <c r="I259" i="4"/>
  <c r="H261" i="4"/>
  <c r="I269" i="4"/>
  <c r="I270" i="4"/>
  <c r="I271" i="4"/>
  <c r="I305" i="4"/>
  <c r="G304" i="4"/>
  <c r="I304" i="4" s="1"/>
  <c r="I341" i="4"/>
  <c r="G340" i="4"/>
  <c r="I340" i="4" s="1"/>
  <c r="H348" i="4"/>
  <c r="H357" i="4"/>
  <c r="I387" i="4"/>
  <c r="G386" i="4"/>
  <c r="I386" i="4" s="1"/>
  <c r="I395" i="4"/>
  <c r="G394" i="4"/>
  <c r="I394" i="4" s="1"/>
  <c r="G424" i="4"/>
  <c r="I454" i="4"/>
  <c r="G453" i="4"/>
  <c r="I453" i="4" s="1"/>
  <c r="I280" i="4"/>
  <c r="I282" i="4"/>
  <c r="I289" i="4"/>
  <c r="I290" i="4"/>
  <c r="I291" i="4"/>
  <c r="I292" i="4"/>
  <c r="I293" i="4"/>
  <c r="I294" i="4"/>
  <c r="I313" i="4"/>
  <c r="I321" i="4"/>
  <c r="I327" i="4"/>
  <c r="I329" i="4"/>
  <c r="I342" i="4"/>
  <c r="I374" i="4"/>
  <c r="I385" i="4"/>
  <c r="H383" i="4"/>
  <c r="I388" i="4"/>
  <c r="I392" i="4"/>
  <c r="I396" i="4"/>
  <c r="I401" i="4"/>
  <c r="I402" i="4"/>
  <c r="I403" i="4"/>
  <c r="I404" i="4"/>
  <c r="I405" i="4"/>
  <c r="I406" i="4"/>
  <c r="I407" i="4"/>
  <c r="I408" i="4"/>
  <c r="I409" i="4"/>
  <c r="I410" i="4"/>
  <c r="I411" i="4"/>
  <c r="I412" i="4"/>
  <c r="I413" i="4"/>
  <c r="I414" i="4"/>
  <c r="I415" i="4"/>
  <c r="I416" i="4"/>
  <c r="I417" i="4"/>
  <c r="I418" i="4"/>
  <c r="I419" i="4"/>
  <c r="I420" i="4"/>
  <c r="I421" i="4"/>
  <c r="I422" i="4"/>
  <c r="I423" i="4"/>
  <c r="I437" i="4"/>
  <c r="I438" i="4"/>
  <c r="I439" i="4"/>
  <c r="I440" i="4"/>
  <c r="I441" i="4"/>
  <c r="I442" i="4"/>
  <c r="I443" i="4"/>
  <c r="I448" i="4"/>
  <c r="I449" i="4"/>
  <c r="I450" i="4"/>
  <c r="I451" i="4"/>
  <c r="I452" i="4"/>
  <c r="I487" i="4"/>
  <c r="I491" i="4"/>
  <c r="I492" i="4"/>
  <c r="I493" i="4"/>
  <c r="I494" i="4"/>
  <c r="I495" i="4"/>
  <c r="I496" i="4"/>
  <c r="I497" i="4"/>
  <c r="I498" i="4"/>
  <c r="I499" i="4"/>
  <c r="I500" i="4"/>
  <c r="I501" i="4"/>
  <c r="H116" i="4"/>
  <c r="H473" i="4"/>
  <c r="H463" i="4" s="1"/>
  <c r="I46" i="4"/>
  <c r="I72" i="4"/>
  <c r="I85" i="4"/>
  <c r="I97" i="4"/>
  <c r="G106" i="4"/>
  <c r="I106" i="4" s="1"/>
  <c r="H111" i="4"/>
  <c r="I111" i="4" s="1"/>
  <c r="G116" i="4"/>
  <c r="I116" i="4" s="1"/>
  <c r="I119" i="4"/>
  <c r="H125" i="4"/>
  <c r="I125" i="4" s="1"/>
  <c r="I142" i="4"/>
  <c r="I177" i="4"/>
  <c r="I230" i="4"/>
  <c r="H245" i="4"/>
  <c r="I245" i="4" s="1"/>
  <c r="I248" i="4"/>
  <c r="I272" i="4"/>
  <c r="I306" i="4"/>
  <c r="I322" i="4"/>
  <c r="I330" i="4"/>
  <c r="H337" i="4"/>
  <c r="I353" i="4"/>
  <c r="I364" i="4"/>
  <c r="I375" i="4"/>
  <c r="I425" i="4"/>
  <c r="I427" i="4"/>
  <c r="I429" i="4"/>
  <c r="I432" i="4"/>
  <c r="I434" i="4"/>
  <c r="I455" i="4"/>
  <c r="I457" i="4"/>
  <c r="I461" i="4"/>
  <c r="I464" i="4"/>
  <c r="I467" i="4"/>
  <c r="I469" i="4"/>
  <c r="I471" i="4"/>
  <c r="I474" i="4"/>
  <c r="I476" i="4"/>
  <c r="I482" i="4"/>
  <c r="I484" i="4"/>
  <c r="I28" i="4"/>
  <c r="G27" i="4"/>
  <c r="I29" i="4"/>
  <c r="I47" i="4"/>
  <c r="I73" i="4"/>
  <c r="I86" i="4"/>
  <c r="I90" i="4"/>
  <c r="I98" i="4"/>
  <c r="I103" i="4"/>
  <c r="I120" i="4"/>
  <c r="I131" i="4"/>
  <c r="I143" i="4"/>
  <c r="I180" i="4"/>
  <c r="G179" i="4"/>
  <c r="I233" i="4"/>
  <c r="G232" i="4"/>
  <c r="I251" i="4"/>
  <c r="G250" i="4"/>
  <c r="H35" i="4"/>
  <c r="H27" i="4" s="1"/>
  <c r="I37" i="4"/>
  <c r="I39" i="4"/>
  <c r="I41" i="4"/>
  <c r="I42" i="4"/>
  <c r="I43" i="4"/>
  <c r="I52" i="4"/>
  <c r="I53" i="4"/>
  <c r="H54" i="4"/>
  <c r="I54" i="4" s="1"/>
  <c r="I56" i="4"/>
  <c r="I58" i="4"/>
  <c r="I60" i="4"/>
  <c r="I62" i="4"/>
  <c r="H65" i="4"/>
  <c r="H64" i="4" s="1"/>
  <c r="I67" i="4"/>
  <c r="G68" i="4"/>
  <c r="I68" i="4" s="1"/>
  <c r="I69" i="4"/>
  <c r="G71" i="4"/>
  <c r="H71" i="4"/>
  <c r="I75" i="4"/>
  <c r="I77" i="4"/>
  <c r="G78" i="4"/>
  <c r="I78" i="4" s="1"/>
  <c r="I80" i="4"/>
  <c r="I81" i="4"/>
  <c r="I82" i="4"/>
  <c r="G88" i="4"/>
  <c r="H88" i="4"/>
  <c r="I92" i="4"/>
  <c r="I93" i="4"/>
  <c r="I94" i="4"/>
  <c r="I100" i="4"/>
  <c r="I105" i="4"/>
  <c r="I108" i="4"/>
  <c r="I109" i="4"/>
  <c r="I110" i="4"/>
  <c r="I112" i="4"/>
  <c r="I113" i="4"/>
  <c r="I117" i="4"/>
  <c r="I122" i="4"/>
  <c r="I123" i="4"/>
  <c r="I124" i="4"/>
  <c r="I126" i="4"/>
  <c r="I127" i="4"/>
  <c r="I137" i="4"/>
  <c r="I138" i="4"/>
  <c r="I139" i="4"/>
  <c r="I145" i="4"/>
  <c r="I146" i="4"/>
  <c r="I147" i="4"/>
  <c r="H179" i="4"/>
  <c r="I226" i="4"/>
  <c r="G225" i="4"/>
  <c r="I225" i="4" s="1"/>
  <c r="H232" i="4"/>
  <c r="H250" i="4"/>
  <c r="I262" i="4"/>
  <c r="G261" i="4"/>
  <c r="I261" i="4" s="1"/>
  <c r="G149" i="4"/>
  <c r="G153" i="4"/>
  <c r="I153" i="4" s="1"/>
  <c r="G157" i="4"/>
  <c r="I157" i="4" s="1"/>
  <c r="I178" i="4"/>
  <c r="I181" i="4"/>
  <c r="I185" i="4"/>
  <c r="I189" i="4"/>
  <c r="I198" i="4"/>
  <c r="I209" i="4"/>
  <c r="I218" i="4"/>
  <c r="I224" i="4"/>
  <c r="I227" i="4"/>
  <c r="I231" i="4"/>
  <c r="I234" i="4"/>
  <c r="I238" i="4"/>
  <c r="I242" i="4"/>
  <c r="I246" i="4"/>
  <c r="I249" i="4"/>
  <c r="I252" i="4"/>
  <c r="I256" i="4"/>
  <c r="I260" i="4"/>
  <c r="I263" i="4"/>
  <c r="I273" i="4"/>
  <c r="G303" i="4"/>
  <c r="I303" i="4" s="1"/>
  <c r="I309" i="4"/>
  <c r="G308" i="4"/>
  <c r="I310" i="4"/>
  <c r="I315" i="4"/>
  <c r="I328" i="4"/>
  <c r="I332" i="4"/>
  <c r="I343" i="4"/>
  <c r="I367" i="4"/>
  <c r="G366" i="4"/>
  <c r="I368" i="4"/>
  <c r="I307" i="4"/>
  <c r="I323" i="4"/>
  <c r="G337" i="4"/>
  <c r="I354" i="4"/>
  <c r="I365" i="4"/>
  <c r="I376" i="4"/>
  <c r="G383" i="4"/>
  <c r="I383" i="4" s="1"/>
  <c r="I384" i="4"/>
  <c r="I277" i="4"/>
  <c r="I279" i="4"/>
  <c r="I281" i="4"/>
  <c r="I283" i="4"/>
  <c r="I284" i="4"/>
  <c r="I285" i="4"/>
  <c r="G287" i="4"/>
  <c r="I288" i="4"/>
  <c r="H295" i="4"/>
  <c r="I295" i="4" s="1"/>
  <c r="I297" i="4"/>
  <c r="I299" i="4"/>
  <c r="I301" i="4"/>
  <c r="H308" i="4"/>
  <c r="I317" i="4"/>
  <c r="I318" i="4"/>
  <c r="I319" i="4"/>
  <c r="I325" i="4"/>
  <c r="I338" i="4"/>
  <c r="I339" i="4"/>
  <c r="I345" i="4"/>
  <c r="I346" i="4"/>
  <c r="I347" i="4"/>
  <c r="I349" i="4"/>
  <c r="I350" i="4"/>
  <c r="I356" i="4"/>
  <c r="G357" i="4"/>
  <c r="I359" i="4"/>
  <c r="I360" i="4"/>
  <c r="I361" i="4"/>
  <c r="H366" i="4"/>
  <c r="I370" i="4"/>
  <c r="I371" i="4"/>
  <c r="I372" i="4"/>
  <c r="I378" i="4"/>
  <c r="I379" i="4"/>
  <c r="I380" i="4"/>
  <c r="I389" i="4"/>
  <c r="I393" i="4"/>
  <c r="I397" i="4"/>
  <c r="I478" i="4"/>
  <c r="G400" i="4"/>
  <c r="I400" i="4" s="1"/>
  <c r="H424" i="4"/>
  <c r="I424" i="4" s="1"/>
  <c r="H446" i="4"/>
  <c r="G446" i="4"/>
  <c r="I479" i="4"/>
  <c r="G488" i="4"/>
  <c r="I488" i="4" s="1"/>
  <c r="G213" i="4" l="1"/>
  <c r="I213" i="4" s="1"/>
  <c r="H336" i="4"/>
  <c r="N19" i="4" s="1"/>
  <c r="I446" i="4"/>
  <c r="I357" i="4"/>
  <c r="I214" i="4"/>
  <c r="I65" i="4"/>
  <c r="G64" i="4"/>
  <c r="I64" i="4" s="1"/>
  <c r="I351" i="4"/>
  <c r="G348" i="4"/>
  <c r="I348" i="4" s="1"/>
  <c r="I250" i="4"/>
  <c r="I35" i="4"/>
  <c r="I287" i="4"/>
  <c r="G286" i="4"/>
  <c r="G212" i="4" s="1"/>
  <c r="I337" i="4"/>
  <c r="G336" i="4"/>
  <c r="I179" i="4"/>
  <c r="G26" i="4"/>
  <c r="I27" i="4"/>
  <c r="H286" i="4"/>
  <c r="H212" i="4" s="1"/>
  <c r="G148" i="4"/>
  <c r="I148" i="4" s="1"/>
  <c r="I149" i="4"/>
  <c r="H87" i="4"/>
  <c r="N16" i="4" s="1"/>
  <c r="G473" i="4"/>
  <c r="I366" i="4"/>
  <c r="I308" i="4"/>
  <c r="G87" i="4"/>
  <c r="I88" i="4"/>
  <c r="I71" i="4"/>
  <c r="I232" i="4"/>
  <c r="H51" i="4"/>
  <c r="I51" i="4" s="1"/>
  <c r="I212" i="4" l="1"/>
  <c r="H26" i="4"/>
  <c r="I26" i="4" s="1"/>
  <c r="G463" i="4"/>
  <c r="I463" i="4" s="1"/>
  <c r="I473" i="4"/>
  <c r="I336" i="4"/>
  <c r="M19" i="4"/>
  <c r="I87" i="4"/>
  <c r="M16" i="4"/>
  <c r="G25" i="4"/>
  <c r="M15" i="4"/>
  <c r="I286" i="4"/>
  <c r="H25" i="4" l="1"/>
  <c r="I25" i="4" s="1"/>
  <c r="J336" i="4" s="1"/>
  <c r="N15" i="4"/>
  <c r="J133" i="4" l="1"/>
  <c r="J135" i="4"/>
  <c r="J36" i="4"/>
  <c r="J40" i="4"/>
  <c r="J55" i="4"/>
  <c r="J59" i="4"/>
  <c r="J63" i="4"/>
  <c r="J84" i="4"/>
  <c r="J118" i="4"/>
  <c r="J30" i="4"/>
  <c r="J32" i="4"/>
  <c r="J34" i="4"/>
  <c r="J48" i="4"/>
  <c r="J50" i="4"/>
  <c r="J76" i="4"/>
  <c r="J115" i="4"/>
  <c r="J156" i="4"/>
  <c r="J169" i="4"/>
  <c r="J171" i="4"/>
  <c r="J173" i="4"/>
  <c r="J175" i="4"/>
  <c r="J190" i="4"/>
  <c r="J199" i="4"/>
  <c r="J201" i="4"/>
  <c r="J203" i="4"/>
  <c r="J211" i="4"/>
  <c r="J229" i="4"/>
  <c r="J269" i="4"/>
  <c r="J271" i="4"/>
  <c r="J298" i="4"/>
  <c r="J302" i="4"/>
  <c r="J321" i="4"/>
  <c r="J363" i="4"/>
  <c r="J154" i="4"/>
  <c r="J160" i="4"/>
  <c r="J162" i="4"/>
  <c r="J164" i="4"/>
  <c r="J166" i="4"/>
  <c r="J183" i="4"/>
  <c r="J193" i="4"/>
  <c r="J195" i="4"/>
  <c r="J205" i="4"/>
  <c r="J207" i="4"/>
  <c r="J216" i="4"/>
  <c r="J221" i="4"/>
  <c r="J240" i="4"/>
  <c r="J258" i="4"/>
  <c r="J265" i="4"/>
  <c r="J267" i="4"/>
  <c r="J275" i="4"/>
  <c r="J280" i="4"/>
  <c r="J289" i="4"/>
  <c r="J293" i="4"/>
  <c r="J326" i="4"/>
  <c r="J334" i="4"/>
  <c r="J382" i="4"/>
  <c r="J290" i="4"/>
  <c r="J331" i="4"/>
  <c r="J335" i="4"/>
  <c r="J385" i="4"/>
  <c r="J333" i="4"/>
  <c r="J391" i="4"/>
  <c r="J399" i="4"/>
  <c r="J402" i="4"/>
  <c r="J407" i="4"/>
  <c r="J411" i="4"/>
  <c r="J415" i="4"/>
  <c r="J419" i="4"/>
  <c r="J423" i="4"/>
  <c r="J437" i="4"/>
  <c r="J441" i="4"/>
  <c r="J443" i="4"/>
  <c r="J449" i="4"/>
  <c r="J452" i="4"/>
  <c r="J491" i="4"/>
  <c r="J496" i="4"/>
  <c r="J501" i="4"/>
  <c r="J426" i="4"/>
  <c r="J430" i="4"/>
  <c r="J433" i="4"/>
  <c r="J456" i="4"/>
  <c r="J459" i="4"/>
  <c r="J462" i="4"/>
  <c r="J468" i="4"/>
  <c r="J472" i="4"/>
  <c r="J477" i="4"/>
  <c r="J483" i="4"/>
  <c r="J489" i="4"/>
  <c r="J134" i="4"/>
  <c r="J31" i="4"/>
  <c r="J33" i="4"/>
  <c r="J129" i="4"/>
  <c r="J152" i="4"/>
  <c r="J168" i="4"/>
  <c r="J172" i="4"/>
  <c r="J176" i="4"/>
  <c r="J191" i="4"/>
  <c r="J200" i="4"/>
  <c r="J202" i="4"/>
  <c r="J210" i="4"/>
  <c r="J247" i="4"/>
  <c r="J305" i="4"/>
  <c r="J374" i="4"/>
  <c r="J150" i="4"/>
  <c r="J159" i="4"/>
  <c r="J161" i="4"/>
  <c r="J163" i="4"/>
  <c r="J165" i="4"/>
  <c r="J187" i="4"/>
  <c r="J194" i="4"/>
  <c r="J196" i="4"/>
  <c r="J206" i="4"/>
  <c r="J215" i="4"/>
  <c r="J220" i="4"/>
  <c r="J222" i="4"/>
  <c r="J236" i="4"/>
  <c r="J244" i="4"/>
  <c r="J254" i="4"/>
  <c r="J264" i="4"/>
  <c r="J266" i="4"/>
  <c r="J274" i="4"/>
  <c r="J278" i="4"/>
  <c r="J282" i="4"/>
  <c r="J291" i="4"/>
  <c r="J313" i="4"/>
  <c r="J330" i="4"/>
  <c r="J341" i="4"/>
  <c r="J294" i="4"/>
  <c r="J292" i="4"/>
  <c r="J311" i="4"/>
  <c r="J141" i="4"/>
  <c r="J38" i="4"/>
  <c r="J45" i="4"/>
  <c r="J57" i="4"/>
  <c r="J61" i="4"/>
  <c r="J70" i="4"/>
  <c r="J96" i="4"/>
  <c r="J132" i="4"/>
  <c r="J49" i="4"/>
  <c r="J66" i="4"/>
  <c r="J101" i="4"/>
  <c r="J170" i="4"/>
  <c r="J174" i="4"/>
  <c r="J270" i="4"/>
  <c r="J296" i="4"/>
  <c r="J300" i="4"/>
  <c r="J352" i="4"/>
  <c r="J329" i="4"/>
  <c r="J387" i="4"/>
  <c r="J395" i="4"/>
  <c r="J404" i="4"/>
  <c r="J409" i="4"/>
  <c r="J413" i="4"/>
  <c r="J417" i="4"/>
  <c r="J421" i="4"/>
  <c r="J439" i="4"/>
  <c r="J442" i="4"/>
  <c r="J448" i="4"/>
  <c r="J451" i="4"/>
  <c r="J487" i="4"/>
  <c r="J494" i="4"/>
  <c r="J499" i="4"/>
  <c r="J428" i="4"/>
  <c r="J431" i="4"/>
  <c r="J435" i="4"/>
  <c r="J445" i="4"/>
  <c r="J454" i="4"/>
  <c r="J458" i="4"/>
  <c r="J460" i="4"/>
  <c r="J466" i="4"/>
  <c r="J470" i="4"/>
  <c r="J475" i="4"/>
  <c r="J481" i="4"/>
  <c r="J485" i="4"/>
  <c r="J400" i="4"/>
  <c r="J389" i="4"/>
  <c r="J370" i="4"/>
  <c r="J359" i="4"/>
  <c r="J339" i="4"/>
  <c r="J299" i="4"/>
  <c r="J277" i="4"/>
  <c r="J137" i="4"/>
  <c r="J82" i="4"/>
  <c r="J69" i="4"/>
  <c r="J43" i="4"/>
  <c r="J86" i="4"/>
  <c r="J368" i="4"/>
  <c r="J328" i="4"/>
  <c r="J256" i="4"/>
  <c r="J242" i="4"/>
  <c r="J227" i="4"/>
  <c r="J189" i="4"/>
  <c r="J139" i="4"/>
  <c r="J80" i="4"/>
  <c r="J60" i="4"/>
  <c r="J41" i="4"/>
  <c r="J479" i="4"/>
  <c r="J393" i="4"/>
  <c r="J378" i="4"/>
  <c r="J347" i="4"/>
  <c r="J319" i="4"/>
  <c r="J301" i="4"/>
  <c r="J288" i="4"/>
  <c r="J283" i="4"/>
  <c r="J376" i="4"/>
  <c r="J323" i="4"/>
  <c r="J315" i="4"/>
  <c r="J273" i="4"/>
  <c r="J252" i="4"/>
  <c r="J231" i="4"/>
  <c r="J198" i="4"/>
  <c r="J178" i="4"/>
  <c r="J145" i="4"/>
  <c r="J124" i="4"/>
  <c r="J113" i="4"/>
  <c r="J108" i="4"/>
  <c r="J94" i="4"/>
  <c r="J75" i="4"/>
  <c r="J62" i="4"/>
  <c r="J39" i="4"/>
  <c r="J143" i="4"/>
  <c r="J103" i="4"/>
  <c r="J73" i="4"/>
  <c r="J29" i="4"/>
  <c r="J397" i="4"/>
  <c r="J372" i="4"/>
  <c r="J361" i="4"/>
  <c r="J356" i="4"/>
  <c r="J325" i="4"/>
  <c r="J281" i="4"/>
  <c r="J365" i="4"/>
  <c r="J100" i="4"/>
  <c r="J77" i="4"/>
  <c r="J56" i="4"/>
  <c r="J37" i="4"/>
  <c r="J131" i="4"/>
  <c r="J47" i="4"/>
  <c r="J332" i="4"/>
  <c r="J310" i="4"/>
  <c r="J263" i="4"/>
  <c r="J249" i="4"/>
  <c r="J234" i="4"/>
  <c r="J218" i="4"/>
  <c r="J181" i="4"/>
  <c r="J67" i="4"/>
  <c r="J53" i="4"/>
  <c r="J98" i="4"/>
  <c r="J380" i="4"/>
  <c r="J350" i="4"/>
  <c r="J345" i="4"/>
  <c r="J317" i="4"/>
  <c r="J297" i="4"/>
  <c r="J285" i="4"/>
  <c r="J279" i="4"/>
  <c r="J354" i="4"/>
  <c r="J307" i="4"/>
  <c r="J343" i="4"/>
  <c r="J260" i="4"/>
  <c r="J238" i="4"/>
  <c r="J224" i="4"/>
  <c r="J185" i="4"/>
  <c r="J147" i="4"/>
  <c r="J127" i="4"/>
  <c r="J122" i="4"/>
  <c r="J110" i="4"/>
  <c r="J105" i="4"/>
  <c r="J92" i="4"/>
  <c r="J58" i="4"/>
  <c r="J120" i="4"/>
  <c r="J90" i="4"/>
  <c r="J28" i="4"/>
  <c r="J212" i="4"/>
  <c r="J27" i="4"/>
  <c r="J463" i="4"/>
  <c r="J87" i="4"/>
  <c r="J26" i="4"/>
  <c r="J25" i="4" l="1"/>
  <c r="JL62" i="1"/>
  <c r="JL61" i="1"/>
  <c r="JL60" i="1"/>
  <c r="JL59" i="1"/>
  <c r="JL58" i="1"/>
  <c r="JL57" i="1"/>
  <c r="JL56" i="1"/>
  <c r="JL55" i="1"/>
  <c r="JL54" i="1"/>
  <c r="JL53" i="1"/>
  <c r="JL52" i="1"/>
  <c r="JL51" i="1"/>
  <c r="JL50" i="1"/>
  <c r="JL49" i="1"/>
  <c r="JL48" i="1"/>
  <c r="JL47" i="1"/>
  <c r="JL46" i="1"/>
  <c r="JL45" i="1"/>
  <c r="JL44" i="1"/>
  <c r="JL43" i="1"/>
  <c r="JL42" i="1"/>
  <c r="JL41" i="1"/>
  <c r="JL40" i="1"/>
  <c r="JL39" i="1"/>
  <c r="JL38" i="1"/>
  <c r="JL37" i="1"/>
  <c r="JL36" i="1"/>
  <c r="JL35" i="1"/>
  <c r="JL34" i="1"/>
  <c r="JL33" i="1"/>
  <c r="JL32" i="1"/>
  <c r="JL31" i="1"/>
  <c r="JL30" i="1"/>
  <c r="JL29" i="1"/>
  <c r="JL28" i="1"/>
  <c r="JL27" i="1"/>
  <c r="JL26" i="1"/>
  <c r="JL25" i="1"/>
  <c r="JL24" i="1"/>
  <c r="JL23" i="1"/>
  <c r="JL22" i="1"/>
  <c r="JL21" i="1"/>
  <c r="JL20" i="1"/>
  <c r="JL19" i="1"/>
  <c r="JL18" i="1"/>
  <c r="JL17" i="1"/>
  <c r="JL16" i="1"/>
  <c r="JL15" i="1"/>
  <c r="JL14" i="1"/>
  <c r="JL13" i="1"/>
  <c r="JL12" i="1"/>
  <c r="JL11" i="1"/>
  <c r="JL10" i="1"/>
  <c r="JL9" i="1"/>
  <c r="JL8" i="1"/>
  <c r="JL7" i="1"/>
  <c r="JL6" i="1"/>
  <c r="JL5" i="1"/>
  <c r="JL4" i="1"/>
  <c r="JL3" i="1" l="1"/>
  <c r="JI64" i="1"/>
  <c r="JI63" i="1"/>
  <c r="B64" i="1"/>
  <c r="C64" i="1"/>
  <c r="D64" i="1"/>
  <c r="E64" i="1"/>
  <c r="F64" i="1"/>
  <c r="G64" i="1"/>
  <c r="H64" i="1"/>
  <c r="I64" i="1"/>
  <c r="J64"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BN64" i="1"/>
  <c r="BO64" i="1"/>
  <c r="BP64" i="1"/>
  <c r="BQ64" i="1"/>
  <c r="BR64" i="1"/>
  <c r="BS64" i="1"/>
  <c r="BT64" i="1"/>
  <c r="BU64" i="1"/>
  <c r="BV64" i="1"/>
  <c r="BW64" i="1"/>
  <c r="BX64" i="1"/>
  <c r="BY64" i="1"/>
  <c r="BZ64" i="1"/>
  <c r="CA64" i="1"/>
  <c r="CB64" i="1"/>
  <c r="CC64" i="1"/>
  <c r="CD64" i="1"/>
  <c r="CE64" i="1"/>
  <c r="CF64" i="1"/>
  <c r="CG64" i="1"/>
  <c r="CH64" i="1"/>
  <c r="CI64" i="1"/>
  <c r="CJ64" i="1"/>
  <c r="CK64" i="1"/>
  <c r="CL64" i="1"/>
  <c r="CM64" i="1"/>
  <c r="CN64" i="1"/>
  <c r="CO64" i="1"/>
  <c r="CP64" i="1"/>
  <c r="CQ64" i="1"/>
  <c r="CR64" i="1"/>
  <c r="CS64" i="1"/>
  <c r="CT64" i="1"/>
  <c r="CU64" i="1"/>
  <c r="CV64" i="1"/>
  <c r="CW64" i="1"/>
  <c r="CX64" i="1"/>
  <c r="CY64" i="1"/>
  <c r="CZ64" i="1"/>
  <c r="DA64" i="1"/>
  <c r="DB64" i="1"/>
  <c r="DC64" i="1"/>
  <c r="DD64" i="1"/>
  <c r="DE64" i="1"/>
  <c r="DF64" i="1"/>
  <c r="DG64" i="1"/>
  <c r="DH64" i="1"/>
  <c r="DI64" i="1"/>
  <c r="DJ64" i="1"/>
  <c r="DK64" i="1"/>
  <c r="DL64" i="1"/>
  <c r="DM64" i="1"/>
  <c r="DN64" i="1"/>
  <c r="DO64" i="1"/>
  <c r="DP64" i="1"/>
  <c r="DQ64" i="1"/>
  <c r="DR64" i="1"/>
  <c r="DS64" i="1"/>
  <c r="DT64" i="1"/>
  <c r="DU64" i="1"/>
  <c r="DV64" i="1"/>
  <c r="DW64" i="1"/>
  <c r="DX64" i="1"/>
  <c r="DY64" i="1"/>
  <c r="DZ64" i="1"/>
  <c r="EA64" i="1"/>
  <c r="EB64" i="1"/>
  <c r="EC64" i="1"/>
  <c r="ED64" i="1"/>
  <c r="EE64" i="1"/>
  <c r="EF64" i="1"/>
  <c r="EG64" i="1"/>
  <c r="EH64" i="1"/>
  <c r="EI64" i="1"/>
  <c r="EJ64" i="1"/>
  <c r="EK64" i="1"/>
  <c r="EL64" i="1"/>
  <c r="EM64" i="1"/>
  <c r="EN64" i="1"/>
  <c r="EO64" i="1"/>
  <c r="EP64" i="1"/>
  <c r="EQ64" i="1"/>
  <c r="ER64" i="1"/>
  <c r="ES64" i="1"/>
  <c r="ET64" i="1"/>
  <c r="EU64" i="1"/>
  <c r="EV64" i="1"/>
  <c r="EW64" i="1"/>
  <c r="EX64" i="1"/>
  <c r="EY64" i="1"/>
  <c r="EZ64" i="1"/>
  <c r="FA64" i="1"/>
  <c r="FB64" i="1"/>
  <c r="FC64" i="1"/>
  <c r="FD64" i="1"/>
  <c r="FE64" i="1"/>
  <c r="FF64" i="1"/>
  <c r="FG64" i="1"/>
  <c r="FH64" i="1"/>
  <c r="FI64" i="1"/>
  <c r="FJ64" i="1"/>
  <c r="FK64" i="1"/>
  <c r="FL64" i="1"/>
  <c r="FM64" i="1"/>
  <c r="FN64" i="1"/>
  <c r="FO64" i="1"/>
  <c r="FP64" i="1"/>
  <c r="FQ64" i="1"/>
  <c r="FR64" i="1"/>
  <c r="FS64" i="1"/>
  <c r="FT64" i="1"/>
  <c r="FU64" i="1"/>
  <c r="FV64" i="1"/>
  <c r="FW64" i="1"/>
  <c r="FX64" i="1"/>
  <c r="FY64" i="1"/>
  <c r="FZ64" i="1"/>
  <c r="GA64" i="1"/>
  <c r="GB64" i="1"/>
  <c r="GC64" i="1"/>
  <c r="GD64" i="1"/>
  <c r="GE64" i="1"/>
  <c r="GF64" i="1"/>
  <c r="GG64" i="1"/>
  <c r="GH64" i="1"/>
  <c r="GI64" i="1"/>
  <c r="GJ64" i="1"/>
  <c r="GK64" i="1"/>
  <c r="GL64" i="1"/>
  <c r="GM64" i="1"/>
  <c r="GN64" i="1"/>
  <c r="GO64" i="1"/>
  <c r="GP64" i="1"/>
  <c r="GQ64" i="1"/>
  <c r="GR64" i="1"/>
  <c r="GS64" i="1"/>
  <c r="GT64" i="1"/>
  <c r="GU64" i="1"/>
  <c r="GV64" i="1"/>
  <c r="GW64" i="1"/>
  <c r="GX64" i="1"/>
  <c r="GY64" i="1"/>
  <c r="GZ64" i="1"/>
  <c r="HA64" i="1"/>
  <c r="HB64" i="1"/>
  <c r="HC64" i="1"/>
  <c r="HD64" i="1"/>
  <c r="HE64" i="1"/>
  <c r="HF64" i="1"/>
  <c r="HG64" i="1"/>
  <c r="HH64" i="1"/>
  <c r="HI64" i="1"/>
  <c r="HJ64" i="1"/>
  <c r="HK64" i="1"/>
  <c r="HL64" i="1"/>
  <c r="HM64" i="1"/>
  <c r="HN64" i="1"/>
  <c r="HO64" i="1"/>
  <c r="HP64" i="1"/>
  <c r="HQ64" i="1"/>
  <c r="HR64" i="1"/>
  <c r="HS64" i="1"/>
  <c r="HT64" i="1"/>
  <c r="HU64" i="1"/>
  <c r="HV64" i="1"/>
  <c r="HW64" i="1"/>
  <c r="HX64" i="1"/>
  <c r="HY64" i="1"/>
  <c r="HZ64" i="1"/>
  <c r="IA64" i="1"/>
  <c r="IB64" i="1"/>
  <c r="IC64" i="1"/>
  <c r="ID64" i="1"/>
  <c r="IE64" i="1"/>
  <c r="IF64" i="1"/>
  <c r="IG64" i="1"/>
  <c r="IH64" i="1"/>
  <c r="II64" i="1"/>
  <c r="IJ64" i="1"/>
  <c r="IK64" i="1"/>
  <c r="IL64" i="1"/>
  <c r="IM64" i="1"/>
  <c r="IN64" i="1"/>
  <c r="IO64" i="1"/>
  <c r="IP64" i="1"/>
  <c r="IQ64" i="1"/>
  <c r="IR64" i="1"/>
  <c r="IS64" i="1"/>
  <c r="IT64" i="1"/>
  <c r="IU64" i="1"/>
  <c r="IV64" i="1"/>
  <c r="IW64" i="1"/>
  <c r="IX64" i="1"/>
  <c r="IY64" i="1"/>
  <c r="IZ64" i="1"/>
  <c r="JA64" i="1"/>
  <c r="JB64" i="1"/>
  <c r="JC64" i="1"/>
  <c r="JD64" i="1"/>
  <c r="JE64" i="1"/>
  <c r="JF64" i="1"/>
  <c r="JG64" i="1"/>
  <c r="JH64" i="1"/>
  <c r="A64" i="1"/>
  <c r="A63" i="1"/>
  <c r="B63" i="1"/>
  <c r="C63" i="1"/>
  <c r="D63" i="1"/>
  <c r="E63" i="1"/>
  <c r="F63" i="1"/>
  <c r="G63"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BR63" i="1"/>
  <c r="BS63" i="1"/>
  <c r="BT63" i="1"/>
  <c r="BU63" i="1"/>
  <c r="BV63" i="1"/>
  <c r="BW63" i="1"/>
  <c r="BX63" i="1"/>
  <c r="BY63" i="1"/>
  <c r="BZ63" i="1"/>
  <c r="CA63" i="1"/>
  <c r="CB63" i="1"/>
  <c r="CC63" i="1"/>
  <c r="CD63" i="1"/>
  <c r="CE63" i="1"/>
  <c r="CF63" i="1"/>
  <c r="CG63" i="1"/>
  <c r="CH63" i="1"/>
  <c r="CI63" i="1"/>
  <c r="CJ63" i="1"/>
  <c r="CK63" i="1"/>
  <c r="CL63" i="1"/>
  <c r="CM63" i="1"/>
  <c r="CN63" i="1"/>
  <c r="CO63" i="1"/>
  <c r="CP63" i="1"/>
  <c r="CQ63" i="1"/>
  <c r="CR63" i="1"/>
  <c r="CS63" i="1"/>
  <c r="CT63" i="1"/>
  <c r="CU63" i="1"/>
  <c r="CV63" i="1"/>
  <c r="CW63" i="1"/>
  <c r="CX63" i="1"/>
  <c r="CY63" i="1"/>
  <c r="CZ63" i="1"/>
  <c r="DA63" i="1"/>
  <c r="DB63" i="1"/>
  <c r="DC63" i="1"/>
  <c r="DD63" i="1"/>
  <c r="DE63" i="1"/>
  <c r="DF63" i="1"/>
  <c r="DG63" i="1"/>
  <c r="DH63" i="1"/>
  <c r="DI63" i="1"/>
  <c r="DJ63" i="1"/>
  <c r="DK63" i="1"/>
  <c r="DL63" i="1"/>
  <c r="DM63" i="1"/>
  <c r="DN63" i="1"/>
  <c r="DO63" i="1"/>
  <c r="DP63" i="1"/>
  <c r="DQ63" i="1"/>
  <c r="DR63" i="1"/>
  <c r="DS63" i="1"/>
  <c r="DT63" i="1"/>
  <c r="DU63" i="1"/>
  <c r="DV63" i="1"/>
  <c r="DW63" i="1"/>
  <c r="DX63" i="1"/>
  <c r="DY63" i="1"/>
  <c r="DZ63" i="1"/>
  <c r="EA63" i="1"/>
  <c r="EB63" i="1"/>
  <c r="EC63" i="1"/>
  <c r="ED63" i="1"/>
  <c r="EE63" i="1"/>
  <c r="EF63" i="1"/>
  <c r="EG63" i="1"/>
  <c r="EH63" i="1"/>
  <c r="EI63" i="1"/>
  <c r="EJ63" i="1"/>
  <c r="EK63" i="1"/>
  <c r="EL63" i="1"/>
  <c r="EM63" i="1"/>
  <c r="EN63" i="1"/>
  <c r="EO63" i="1"/>
  <c r="EP63" i="1"/>
  <c r="EQ63" i="1"/>
  <c r="ER63" i="1"/>
  <c r="ES63" i="1"/>
  <c r="ET63" i="1"/>
  <c r="EU63" i="1"/>
  <c r="EV63" i="1"/>
  <c r="EW63" i="1"/>
  <c r="EX63" i="1"/>
  <c r="EY63" i="1"/>
  <c r="EZ63" i="1"/>
  <c r="FA63" i="1"/>
  <c r="FB63" i="1"/>
  <c r="FC63" i="1"/>
  <c r="FD63" i="1"/>
  <c r="FE63" i="1"/>
  <c r="FF63" i="1"/>
  <c r="FG63" i="1"/>
  <c r="FH63" i="1"/>
  <c r="FI63" i="1"/>
  <c r="FJ63" i="1"/>
  <c r="FK63" i="1"/>
  <c r="FL63" i="1"/>
  <c r="FM63" i="1"/>
  <c r="FN63" i="1"/>
  <c r="FO63" i="1"/>
  <c r="FP63" i="1"/>
  <c r="FQ63" i="1"/>
  <c r="FR63" i="1"/>
  <c r="FS63" i="1"/>
  <c r="FT63" i="1"/>
  <c r="FU63" i="1"/>
  <c r="FV63" i="1"/>
  <c r="FW63" i="1"/>
  <c r="FX63" i="1"/>
  <c r="FY63" i="1"/>
  <c r="FZ63" i="1"/>
  <c r="GA63" i="1"/>
  <c r="GB63" i="1"/>
  <c r="GC63" i="1"/>
  <c r="GD63" i="1"/>
  <c r="GE63" i="1"/>
  <c r="GF63" i="1"/>
  <c r="GG63" i="1"/>
  <c r="GH63" i="1"/>
  <c r="GI63" i="1"/>
  <c r="GJ63" i="1"/>
  <c r="GK63" i="1"/>
  <c r="GL63" i="1"/>
  <c r="GM63" i="1"/>
  <c r="GN63" i="1"/>
  <c r="GO63" i="1"/>
  <c r="GP63" i="1"/>
  <c r="GQ63" i="1"/>
  <c r="GR63" i="1"/>
  <c r="GS63" i="1"/>
  <c r="GT63" i="1"/>
  <c r="GU63" i="1"/>
  <c r="GV63" i="1"/>
  <c r="GW63" i="1"/>
  <c r="GX63" i="1"/>
  <c r="GY63" i="1"/>
  <c r="GZ63" i="1"/>
  <c r="HA63" i="1"/>
  <c r="HB63" i="1"/>
  <c r="HC63" i="1"/>
  <c r="HD63" i="1"/>
  <c r="HE63" i="1"/>
  <c r="HF63" i="1"/>
  <c r="HG63" i="1"/>
  <c r="HH63" i="1"/>
  <c r="HI63" i="1"/>
  <c r="HJ63" i="1"/>
  <c r="HK63" i="1"/>
  <c r="HL63" i="1"/>
  <c r="HM63" i="1"/>
  <c r="HN63" i="1"/>
  <c r="HO63" i="1"/>
  <c r="HP63" i="1"/>
  <c r="HQ63" i="1"/>
  <c r="HR63" i="1"/>
  <c r="HS63" i="1"/>
  <c r="HT63" i="1"/>
  <c r="HU63" i="1"/>
  <c r="HV63" i="1"/>
  <c r="HW63" i="1"/>
  <c r="HX63" i="1"/>
  <c r="HY63" i="1"/>
  <c r="HZ63" i="1"/>
  <c r="IA63" i="1"/>
  <c r="IB63" i="1"/>
  <c r="IC63" i="1"/>
  <c r="ID63" i="1"/>
  <c r="IE63" i="1"/>
  <c r="IF63" i="1"/>
  <c r="IG63" i="1"/>
  <c r="IH63" i="1"/>
  <c r="II63" i="1"/>
  <c r="IJ63" i="1"/>
  <c r="IK63" i="1"/>
  <c r="IL63" i="1"/>
  <c r="IM63" i="1"/>
  <c r="IN63" i="1"/>
  <c r="IO63" i="1"/>
  <c r="IP63" i="1"/>
  <c r="IQ63" i="1"/>
  <c r="IR63" i="1"/>
  <c r="IS63" i="1"/>
  <c r="IT63" i="1"/>
  <c r="IU63" i="1"/>
  <c r="IV63" i="1"/>
  <c r="IW63" i="1"/>
  <c r="IX63" i="1"/>
  <c r="IY63" i="1"/>
  <c r="IZ63" i="1"/>
  <c r="JA63" i="1"/>
  <c r="JB63" i="1"/>
  <c r="JC63" i="1"/>
  <c r="JD63" i="1"/>
  <c r="JE63" i="1"/>
  <c r="JF63" i="1"/>
  <c r="JG63" i="1"/>
  <c r="JH63" i="1"/>
  <c r="JI39" i="1"/>
  <c r="JI40" i="1"/>
  <c r="JI41" i="1"/>
  <c r="JI21" i="1"/>
  <c r="B138" i="13"/>
  <c r="C138" i="13"/>
  <c r="D138" i="13"/>
  <c r="E138" i="13"/>
  <c r="F138" i="13"/>
  <c r="G138" i="13"/>
  <c r="H138" i="13"/>
  <c r="I138" i="13"/>
  <c r="J138" i="13"/>
  <c r="K138" i="13"/>
  <c r="L138" i="13"/>
  <c r="M138" i="13"/>
  <c r="N138" i="13"/>
  <c r="O138" i="13"/>
  <c r="P138" i="13"/>
  <c r="Q138" i="13"/>
  <c r="R138" i="13"/>
  <c r="S138" i="13"/>
  <c r="T138" i="13"/>
  <c r="U138" i="13"/>
  <c r="V138" i="13"/>
  <c r="W138" i="13"/>
  <c r="X138" i="13"/>
  <c r="Y138" i="13"/>
  <c r="Z138" i="13"/>
  <c r="AA138" i="13"/>
  <c r="AB138" i="13"/>
  <c r="AC138" i="13"/>
  <c r="AD138" i="13"/>
  <c r="AE138" i="13"/>
  <c r="AF138" i="13"/>
  <c r="AG138" i="13"/>
  <c r="AH138" i="13"/>
  <c r="AI138" i="13"/>
  <c r="AJ138" i="13"/>
  <c r="AK138" i="13"/>
  <c r="AL138" i="13"/>
  <c r="AM138" i="13"/>
  <c r="AN138" i="13"/>
  <c r="AO138" i="13"/>
  <c r="AP138" i="13"/>
  <c r="AQ138" i="13"/>
  <c r="AR138" i="13"/>
  <c r="AS138" i="13"/>
  <c r="AT138" i="13"/>
  <c r="AU138" i="13"/>
  <c r="AV138" i="13"/>
  <c r="AW138" i="13"/>
  <c r="AX138" i="13"/>
  <c r="AY138" i="13"/>
  <c r="AZ138" i="13"/>
  <c r="BA138" i="13"/>
  <c r="BB138" i="13"/>
  <c r="BC138" i="13"/>
  <c r="BD138" i="13"/>
  <c r="BE138" i="13"/>
  <c r="BF138" i="13"/>
  <c r="BG138" i="13"/>
  <c r="BH138" i="13"/>
  <c r="BI138" i="13"/>
  <c r="BJ138" i="13"/>
  <c r="BK138" i="13"/>
  <c r="BL138" i="13"/>
  <c r="BM138" i="13"/>
  <c r="BN138" i="13"/>
  <c r="BO138" i="13"/>
  <c r="BP138" i="13"/>
  <c r="BQ138" i="13"/>
  <c r="BR138" i="13"/>
  <c r="BS138" i="13"/>
  <c r="BT138" i="13"/>
  <c r="BU138" i="13"/>
  <c r="BV138" i="13"/>
  <c r="BW138" i="13"/>
  <c r="BX138" i="13"/>
  <c r="BY138" i="13"/>
  <c r="BZ138" i="13"/>
  <c r="CA138" i="13"/>
  <c r="CB138" i="13"/>
  <c r="CC138" i="13"/>
  <c r="CD138" i="13"/>
  <c r="CE138" i="13"/>
  <c r="CF138" i="13"/>
  <c r="CG138" i="13"/>
  <c r="CH138" i="13"/>
  <c r="CI138" i="13"/>
  <c r="CJ138" i="13"/>
  <c r="CK138" i="13"/>
  <c r="CL138" i="13"/>
  <c r="CM138" i="13"/>
  <c r="CN138" i="13"/>
  <c r="CO138" i="13"/>
  <c r="CP138" i="13"/>
  <c r="CQ138" i="13"/>
  <c r="CR138" i="13"/>
  <c r="CS138" i="13"/>
  <c r="CT138" i="13"/>
  <c r="CU138" i="13"/>
  <c r="CV138" i="13"/>
  <c r="CW138" i="13"/>
  <c r="CX138" i="13"/>
  <c r="CY138" i="13"/>
  <c r="CZ138" i="13"/>
  <c r="DA138" i="13"/>
  <c r="DB138" i="13"/>
  <c r="DC138" i="13"/>
  <c r="DD138" i="13"/>
  <c r="DE138" i="13"/>
  <c r="DF138" i="13"/>
  <c r="DG138" i="13"/>
  <c r="DH138" i="13"/>
  <c r="DI138" i="13"/>
  <c r="DJ138" i="13"/>
  <c r="DK138" i="13"/>
  <c r="DL138" i="13"/>
  <c r="DM138" i="13"/>
  <c r="DN138" i="13"/>
  <c r="DO138" i="13"/>
  <c r="DP138" i="13"/>
  <c r="DQ138" i="13"/>
  <c r="DR138" i="13"/>
  <c r="DS138" i="13"/>
  <c r="DT138" i="13"/>
  <c r="DU138" i="13"/>
  <c r="DV138" i="13"/>
  <c r="DW138" i="13"/>
  <c r="DX138" i="13"/>
  <c r="DY138" i="13"/>
  <c r="DZ138" i="13"/>
  <c r="EA138" i="13"/>
  <c r="EB138" i="13"/>
  <c r="EC138" i="13"/>
  <c r="ED138" i="13"/>
  <c r="EE138" i="13"/>
  <c r="EF138" i="13"/>
  <c r="EG138" i="13"/>
  <c r="EH138" i="13"/>
  <c r="EI138" i="13"/>
  <c r="EJ138" i="13"/>
  <c r="EK138" i="13"/>
  <c r="EL138" i="13"/>
  <c r="EM138" i="13"/>
  <c r="EN138" i="13"/>
  <c r="EO138" i="13"/>
  <c r="EP138" i="13"/>
  <c r="EQ138" i="13"/>
  <c r="ER138" i="13"/>
  <c r="ES138" i="13"/>
  <c r="ET138" i="13"/>
  <c r="EU138" i="13"/>
  <c r="EV138" i="13"/>
  <c r="EW138" i="13"/>
  <c r="EX138" i="13"/>
  <c r="EY138" i="13"/>
  <c r="EZ138" i="13"/>
  <c r="FA138" i="13"/>
  <c r="FB138" i="13"/>
  <c r="FC138" i="13"/>
  <c r="FD138" i="13"/>
  <c r="FE138" i="13"/>
  <c r="FF138" i="13"/>
  <c r="FG138" i="13"/>
  <c r="FH138" i="13"/>
  <c r="FI138" i="13"/>
  <c r="FJ138" i="13"/>
  <c r="FK138" i="13"/>
  <c r="FL138" i="13"/>
  <c r="FM138" i="13"/>
  <c r="FN138" i="13"/>
  <c r="FO138" i="13"/>
  <c r="FP138" i="13"/>
  <c r="FQ138" i="13"/>
  <c r="FR138" i="13"/>
  <c r="FS138" i="13"/>
  <c r="FT138" i="13"/>
  <c r="FU138" i="13"/>
  <c r="FV138" i="13"/>
  <c r="FW138" i="13"/>
  <c r="FX138" i="13"/>
  <c r="FY138" i="13"/>
  <c r="FZ138" i="13"/>
  <c r="GA138" i="13"/>
  <c r="GB138" i="13"/>
  <c r="GC138" i="13"/>
  <c r="GD138" i="13"/>
  <c r="GE138" i="13"/>
  <c r="GF138" i="13"/>
  <c r="GG138" i="13"/>
  <c r="GH138" i="13"/>
  <c r="GI138" i="13"/>
  <c r="GJ138" i="13"/>
  <c r="GK138" i="13"/>
  <c r="GL138" i="13"/>
  <c r="GM138" i="13"/>
  <c r="GN138" i="13"/>
  <c r="GO138" i="13"/>
  <c r="GP138" i="13"/>
  <c r="GQ138" i="13"/>
  <c r="GR138" i="13"/>
  <c r="GS138" i="13"/>
  <c r="GT138" i="13"/>
  <c r="GU138" i="13"/>
  <c r="GV138" i="13"/>
  <c r="GW138" i="13"/>
  <c r="GX138" i="13"/>
  <c r="GY138" i="13"/>
  <c r="GZ138" i="13"/>
  <c r="HA138" i="13"/>
  <c r="HB138" i="13"/>
  <c r="HC138" i="13"/>
  <c r="HD138" i="13"/>
  <c r="HE138" i="13"/>
  <c r="HF138" i="13"/>
  <c r="HG138" i="13"/>
  <c r="HH138" i="13"/>
  <c r="HI138" i="13"/>
  <c r="HJ138" i="13"/>
  <c r="HK138" i="13"/>
  <c r="HL138" i="13"/>
  <c r="HM138" i="13"/>
  <c r="HN138" i="13"/>
  <c r="HO138" i="13"/>
  <c r="HP138" i="13"/>
  <c r="HQ138" i="13"/>
  <c r="HR138" i="13"/>
  <c r="HS138" i="13"/>
  <c r="HT138" i="13"/>
  <c r="HU138" i="13"/>
  <c r="HV138" i="13"/>
  <c r="HW138" i="13"/>
  <c r="HX138" i="13"/>
  <c r="HY138" i="13"/>
  <c r="HZ138" i="13"/>
  <c r="IA138" i="13"/>
  <c r="IB138" i="13"/>
  <c r="IC138" i="13"/>
  <c r="ID138" i="13"/>
  <c r="IE138" i="13"/>
  <c r="IF138" i="13"/>
  <c r="IG138" i="13"/>
  <c r="IH138" i="13"/>
  <c r="II138" i="13"/>
  <c r="IJ138" i="13"/>
  <c r="IK138" i="13"/>
  <c r="IL138" i="13"/>
  <c r="IM138" i="13"/>
  <c r="IN138" i="13"/>
  <c r="IO138" i="13"/>
  <c r="IP138" i="13"/>
  <c r="IQ138" i="13"/>
  <c r="IR138" i="13"/>
  <c r="IS138" i="13"/>
  <c r="IT138" i="13"/>
  <c r="IU138" i="13"/>
  <c r="IV138" i="13"/>
  <c r="IW138" i="13"/>
  <c r="IX138" i="13"/>
  <c r="IY138" i="13"/>
  <c r="IZ138" i="13"/>
  <c r="JA138" i="13"/>
  <c r="JB138" i="13"/>
  <c r="JC138" i="13"/>
  <c r="JD138" i="13"/>
  <c r="JE138" i="13"/>
  <c r="JF138" i="13"/>
  <c r="JG138" i="13"/>
  <c r="JH138" i="13"/>
  <c r="I144" i="15"/>
  <c r="C191" i="15"/>
  <c r="H153" i="15"/>
  <c r="G153" i="15"/>
  <c r="A138" i="13" l="1"/>
  <c r="JI122" i="13"/>
  <c r="JI123" i="13"/>
  <c r="JI124" i="13"/>
  <c r="JI125" i="13"/>
  <c r="JI126" i="13"/>
  <c r="JI127" i="13"/>
  <c r="JI128" i="13"/>
  <c r="JI129" i="13"/>
  <c r="JI130" i="13"/>
  <c r="JI131" i="13"/>
  <c r="JI132" i="13"/>
  <c r="JI133" i="13"/>
  <c r="JI134" i="13"/>
  <c r="JI135" i="13"/>
  <c r="JI136" i="13"/>
  <c r="JI137" i="13"/>
  <c r="JI100" i="13"/>
  <c r="JI101" i="13"/>
  <c r="JI102" i="13"/>
  <c r="JI103" i="13"/>
  <c r="JI104" i="13"/>
  <c r="JI105" i="13"/>
  <c r="JI106" i="13"/>
  <c r="JI107" i="13"/>
  <c r="JI108" i="13"/>
  <c r="JI109" i="13"/>
  <c r="JI110" i="13"/>
  <c r="JI111" i="13"/>
  <c r="JI112" i="13"/>
  <c r="JI113" i="13"/>
  <c r="JI114" i="13"/>
  <c r="JI115" i="13"/>
  <c r="JI116" i="13"/>
  <c r="JI117" i="13"/>
  <c r="JI118" i="13"/>
  <c r="JI119" i="13"/>
  <c r="JI120" i="13"/>
  <c r="JI121" i="13"/>
  <c r="JP122" i="13"/>
  <c r="JN122" i="13"/>
  <c r="JM122" i="13"/>
  <c r="JI97" i="13"/>
  <c r="JI98" i="13"/>
  <c r="JI99" i="13"/>
  <c r="AB52" i="13"/>
  <c r="JI40" i="13"/>
  <c r="JI41" i="13"/>
  <c r="JI42" i="13"/>
  <c r="JI43" i="13"/>
  <c r="JI44" i="13"/>
  <c r="JI45" i="13"/>
  <c r="JI46" i="13"/>
  <c r="JI47" i="13"/>
  <c r="JI48" i="13"/>
  <c r="JI49" i="13"/>
  <c r="JI50" i="13"/>
  <c r="JI51" i="13"/>
  <c r="JI52" i="13"/>
  <c r="JI53" i="13"/>
  <c r="JI54" i="13"/>
  <c r="JI55" i="13"/>
  <c r="JI56" i="13"/>
  <c r="JI57" i="13"/>
  <c r="JI58" i="13"/>
  <c r="JI59" i="13"/>
  <c r="JI60" i="13"/>
  <c r="JI61" i="13"/>
  <c r="JI62" i="13"/>
  <c r="JI63" i="13"/>
  <c r="JI64" i="13"/>
  <c r="JI65" i="13"/>
  <c r="JI66" i="13"/>
  <c r="Q8" i="23"/>
  <c r="Q9" i="23"/>
  <c r="Q10" i="23"/>
  <c r="Q11" i="23"/>
  <c r="Q12" i="23"/>
  <c r="Q13" i="23"/>
  <c r="Q14"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7" i="23"/>
  <c r="P52" i="23"/>
  <c r="E39" i="24" l="1"/>
  <c r="JI29" i="1" l="1"/>
  <c r="JI30" i="1"/>
  <c r="JI31" i="1"/>
  <c r="JI32" i="1"/>
  <c r="JI33" i="1"/>
  <c r="JI34" i="1"/>
  <c r="JI35" i="1"/>
  <c r="JI36" i="1"/>
  <c r="JI37" i="1"/>
  <c r="JI38" i="1"/>
  <c r="H205" i="14"/>
  <c r="D51" i="14" l="1"/>
  <c r="D52" i="14" s="1"/>
  <c r="D53" i="14" s="1"/>
  <c r="D54" i="14" s="1"/>
  <c r="D55" i="14" s="1"/>
  <c r="D56" i="14" s="1"/>
  <c r="D57" i="14" s="1"/>
  <c r="D58" i="14" s="1"/>
  <c r="D59" i="14" s="1"/>
  <c r="D60" i="14" s="1"/>
  <c r="D61" i="14" s="1"/>
  <c r="D62" i="14" s="1"/>
  <c r="D63" i="14" s="1"/>
  <c r="D64" i="14" s="1"/>
  <c r="D65" i="14" s="1"/>
  <c r="D66" i="14" s="1"/>
  <c r="JI50" i="1" l="1"/>
  <c r="JI51" i="1"/>
  <c r="JI52" i="1"/>
  <c r="JI53" i="1"/>
  <c r="JI54" i="1"/>
  <c r="JI55" i="1"/>
  <c r="JI56" i="1"/>
  <c r="JI57" i="1"/>
  <c r="JI58" i="1"/>
  <c r="JI59" i="1"/>
  <c r="JI60" i="1"/>
  <c r="JI61" i="1"/>
  <c r="JI62" i="1"/>
  <c r="JJ4" i="1"/>
  <c r="JJ5" i="1" s="1"/>
  <c r="JJ6" i="1" s="1"/>
  <c r="JJ7" i="1" s="1"/>
  <c r="JJ8" i="1" s="1"/>
  <c r="JJ9" i="1" s="1"/>
  <c r="JJ10" i="1" s="1"/>
  <c r="JJ11" i="1" s="1"/>
  <c r="JJ12" i="1" s="1"/>
  <c r="JJ13" i="1" s="1"/>
  <c r="JJ14" i="1" s="1"/>
  <c r="JJ15" i="1" s="1"/>
  <c r="JJ16" i="1" s="1"/>
  <c r="JJ17" i="1" s="1"/>
  <c r="JJ18" i="1" s="1"/>
  <c r="JJ19" i="1" s="1"/>
  <c r="JJ20" i="1" s="1"/>
  <c r="JJ21" i="1" s="1"/>
  <c r="JJ22" i="1" s="1"/>
  <c r="JJ23" i="1" s="1"/>
  <c r="JJ24" i="1" s="1"/>
  <c r="JJ25" i="1" s="1"/>
  <c r="JJ26" i="1" s="1"/>
  <c r="JJ27" i="1" s="1"/>
  <c r="JJ28" i="1" s="1"/>
  <c r="JJ29" i="1" s="1"/>
  <c r="JJ30" i="1" s="1"/>
  <c r="JJ31" i="1" s="1"/>
  <c r="JJ32" i="1" s="1"/>
  <c r="JJ33" i="1" s="1"/>
  <c r="JJ34" i="1" s="1"/>
  <c r="JJ35" i="1" s="1"/>
  <c r="JJ36" i="1" s="1"/>
  <c r="JJ37" i="1" s="1"/>
  <c r="JJ38" i="1" s="1"/>
  <c r="JJ39" i="1" s="1"/>
  <c r="E47" i="24" l="1"/>
  <c r="F52" i="23" l="1"/>
  <c r="G52" i="23"/>
  <c r="J52" i="23"/>
  <c r="L52" i="23"/>
  <c r="M52" i="23"/>
  <c r="N52" i="23"/>
  <c r="O52" i="23"/>
  <c r="K52" i="23"/>
  <c r="E10" i="22" l="1"/>
  <c r="M38" i="21"/>
  <c r="N38" i="21"/>
  <c r="A17" i="21"/>
  <c r="A18" i="21"/>
  <c r="A19" i="21" s="1"/>
  <c r="A20" i="21" s="1"/>
  <c r="A21" i="21" s="1"/>
  <c r="A22" i="21" s="1"/>
  <c r="A23" i="21" s="1"/>
  <c r="A24" i="21" s="1"/>
  <c r="A25" i="21" s="1"/>
  <c r="A26" i="21" s="1"/>
  <c r="A27" i="21" s="1"/>
  <c r="A28" i="21" s="1"/>
  <c r="A29" i="21" s="1"/>
  <c r="A30" i="21" s="1"/>
  <c r="A31" i="21" s="1"/>
  <c r="A32" i="21" s="1"/>
  <c r="A33" i="21" s="1"/>
  <c r="A34" i="21" s="1"/>
  <c r="A35" i="21" s="1"/>
  <c r="A36" i="21" s="1"/>
  <c r="A16" i="21"/>
  <c r="A13" i="21"/>
  <c r="A12" i="21"/>
  <c r="M14" i="21"/>
  <c r="M15" i="21"/>
  <c r="N18" i="21" l="1"/>
  <c r="H85" i="17" l="1"/>
  <c r="H52" i="23" l="1"/>
  <c r="I52" i="23"/>
  <c r="D20" i="25" l="1"/>
  <c r="Q52" i="23" l="1"/>
  <c r="E9" i="22" l="1"/>
  <c r="D9" i="22"/>
  <c r="K38" i="21"/>
  <c r="L10" i="21"/>
  <c r="K15" i="21"/>
  <c r="L15" i="21"/>
  <c r="E9" i="24"/>
  <c r="D80" i="25" l="1"/>
  <c r="A17" i="25" l="1"/>
  <c r="G85" i="17" l="1"/>
  <c r="G4" i="25"/>
  <c r="JI6" i="1"/>
  <c r="JI7" i="1"/>
  <c r="JI8" i="1"/>
  <c r="JI9" i="1"/>
  <c r="JI10" i="1"/>
  <c r="JI11" i="1"/>
  <c r="JI12" i="1"/>
  <c r="JI13" i="1"/>
  <c r="JI14" i="1"/>
  <c r="JI15" i="1"/>
  <c r="JI16" i="1"/>
  <c r="JI17" i="1"/>
  <c r="JI18" i="1"/>
  <c r="JI19" i="1"/>
  <c r="JI20" i="1"/>
  <c r="JI22" i="1"/>
  <c r="JI23" i="1"/>
  <c r="JI24" i="1"/>
  <c r="JI25" i="1"/>
  <c r="JI26" i="1"/>
  <c r="JI27" i="1"/>
  <c r="JI28" i="1"/>
  <c r="JI42" i="1"/>
  <c r="JI43" i="1"/>
  <c r="JI44" i="1"/>
  <c r="JI45" i="1"/>
  <c r="JI46" i="1"/>
  <c r="JI47" i="1"/>
  <c r="JI48" i="1"/>
  <c r="JI49" i="1"/>
  <c r="D82" i="25" l="1"/>
  <c r="D84" i="25" s="1"/>
  <c r="D81" i="25"/>
  <c r="C214" i="14" l="1"/>
  <c r="F23" i="17" l="1"/>
  <c r="F34" i="17" l="1"/>
  <c r="J15" i="21" l="1"/>
  <c r="J22" i="21"/>
  <c r="J10" i="21" l="1"/>
  <c r="I10" i="21"/>
  <c r="I15" i="21"/>
  <c r="E8" i="22"/>
  <c r="E7" i="22" l="1"/>
  <c r="G10" i="21"/>
  <c r="G15" i="21"/>
  <c r="H15" i="21" l="1"/>
  <c r="H10" i="21"/>
  <c r="E12" i="24" l="1"/>
  <c r="E48" i="24" l="1"/>
  <c r="E52" i="23" l="1"/>
  <c r="C85" i="17"/>
  <c r="D23" i="17" l="1"/>
  <c r="D22" i="17"/>
  <c r="D34" i="17"/>
  <c r="J85" i="16" l="1"/>
  <c r="K85" i="16"/>
  <c r="L85" i="16"/>
  <c r="M85" i="16"/>
  <c r="N85" i="16"/>
  <c r="D85" i="16"/>
  <c r="E15" i="21" l="1"/>
  <c r="E19" i="19"/>
  <c r="E5" i="22"/>
  <c r="E6" i="22"/>
  <c r="D6" i="22"/>
  <c r="C38" i="21"/>
  <c r="D38" i="21"/>
  <c r="E38" i="21"/>
  <c r="F38" i="21"/>
  <c r="C14" i="21"/>
  <c r="D14" i="21"/>
  <c r="C39" i="21"/>
  <c r="D39" i="21"/>
  <c r="JI67" i="13" l="1"/>
  <c r="JI68" i="13"/>
  <c r="JI69" i="13"/>
  <c r="JI70" i="13"/>
  <c r="JI71" i="13"/>
  <c r="JI72" i="13"/>
  <c r="JI73" i="13"/>
  <c r="JI74" i="13"/>
  <c r="JI75" i="13"/>
  <c r="JI76" i="13"/>
  <c r="JI77" i="13"/>
  <c r="JI78" i="13"/>
  <c r="JI79" i="13"/>
  <c r="JI80" i="13"/>
  <c r="JI81" i="13"/>
  <c r="JI82" i="13"/>
  <c r="JI83" i="13"/>
  <c r="JI84" i="13"/>
  <c r="JI85" i="13"/>
  <c r="JI86" i="13"/>
  <c r="JI87" i="13"/>
  <c r="JI88" i="13"/>
  <c r="JI89" i="13"/>
  <c r="JI90" i="13"/>
  <c r="JI91" i="13"/>
  <c r="JI92" i="13"/>
  <c r="JI93" i="13"/>
  <c r="JI94" i="13"/>
  <c r="JI95" i="13"/>
  <c r="JI96" i="13"/>
  <c r="J83" i="18" l="1"/>
  <c r="I83" i="18"/>
  <c r="J81" i="18"/>
  <c r="I81" i="18"/>
  <c r="H81" i="18"/>
  <c r="G81" i="18"/>
  <c r="J80" i="18"/>
  <c r="I80" i="18"/>
  <c r="H80" i="18"/>
  <c r="G80" i="18"/>
  <c r="J79" i="18"/>
  <c r="I79" i="18"/>
  <c r="H79" i="18"/>
  <c r="G79" i="18"/>
  <c r="J78" i="18"/>
  <c r="I78" i="18"/>
  <c r="H78" i="18"/>
  <c r="G78" i="18"/>
  <c r="J77" i="18"/>
  <c r="I77" i="18"/>
  <c r="H77" i="18"/>
  <c r="G77" i="18"/>
  <c r="J76" i="18"/>
  <c r="I76" i="18"/>
  <c r="H76" i="18"/>
  <c r="G76" i="18"/>
  <c r="J75" i="18"/>
  <c r="I75" i="18"/>
  <c r="H75" i="18"/>
  <c r="G75" i="18"/>
  <c r="J74" i="18"/>
  <c r="I74" i="18"/>
  <c r="H74" i="18"/>
  <c r="G74" i="18"/>
  <c r="L74" i="18" s="1"/>
  <c r="J73" i="18"/>
  <c r="I73" i="18"/>
  <c r="H73" i="18"/>
  <c r="G73" i="18"/>
  <c r="J71" i="18"/>
  <c r="I71" i="18"/>
  <c r="N71" i="18" s="1"/>
  <c r="H71" i="18"/>
  <c r="J70" i="18"/>
  <c r="J68" i="18" s="1"/>
  <c r="I70" i="18"/>
  <c r="H70" i="18"/>
  <c r="J69" i="18"/>
  <c r="I69" i="18"/>
  <c r="H69" i="18"/>
  <c r="G70" i="18"/>
  <c r="G69" i="18"/>
  <c r="J67" i="18"/>
  <c r="I67" i="18"/>
  <c r="H67" i="18"/>
  <c r="G67" i="18"/>
  <c r="G65" i="18" s="1"/>
  <c r="J66" i="18"/>
  <c r="I66" i="18"/>
  <c r="H66" i="18"/>
  <c r="G66" i="18"/>
  <c r="J64" i="18"/>
  <c r="I64" i="18"/>
  <c r="H64" i="18"/>
  <c r="G64" i="18"/>
  <c r="J63" i="18"/>
  <c r="I63" i="18"/>
  <c r="H63" i="18"/>
  <c r="G63" i="18"/>
  <c r="J62" i="18"/>
  <c r="I62" i="18"/>
  <c r="H62" i="18"/>
  <c r="G62" i="18"/>
  <c r="G60" i="18" s="1"/>
  <c r="J61" i="18"/>
  <c r="I61" i="18"/>
  <c r="H61" i="18"/>
  <c r="G61" i="18"/>
  <c r="J59" i="18"/>
  <c r="I59" i="18"/>
  <c r="H59" i="18"/>
  <c r="G59" i="18"/>
  <c r="J58" i="18"/>
  <c r="I58" i="18"/>
  <c r="H58" i="18"/>
  <c r="G58" i="18"/>
  <c r="J57" i="18"/>
  <c r="I57" i="18"/>
  <c r="N57" i="18" s="1"/>
  <c r="H57" i="18"/>
  <c r="M57" i="18" s="1"/>
  <c r="G57" i="18"/>
  <c r="J56" i="18"/>
  <c r="I56" i="18"/>
  <c r="N56" i="18" s="1"/>
  <c r="H56" i="18"/>
  <c r="M56" i="18" s="1"/>
  <c r="G56" i="18"/>
  <c r="J55" i="18"/>
  <c r="I55" i="18"/>
  <c r="H55" i="18"/>
  <c r="G55" i="18"/>
  <c r="J54" i="18"/>
  <c r="I54" i="18"/>
  <c r="H54" i="18"/>
  <c r="G54" i="18"/>
  <c r="J53" i="18"/>
  <c r="I53" i="18"/>
  <c r="H53" i="18"/>
  <c r="G53" i="18"/>
  <c r="J52" i="18"/>
  <c r="I52" i="18"/>
  <c r="N52" i="18" s="1"/>
  <c r="H52" i="18"/>
  <c r="G52" i="18"/>
  <c r="G50" i="18" s="1"/>
  <c r="J51" i="18"/>
  <c r="I51" i="18"/>
  <c r="H51" i="18"/>
  <c r="G51" i="18"/>
  <c r="J49" i="18"/>
  <c r="I49" i="18"/>
  <c r="H49" i="18"/>
  <c r="G49" i="18"/>
  <c r="L49" i="18" s="1"/>
  <c r="J48" i="18"/>
  <c r="I48" i="18"/>
  <c r="H48" i="18"/>
  <c r="G48" i="18"/>
  <c r="L48" i="18" s="1"/>
  <c r="J47" i="18"/>
  <c r="I47" i="18"/>
  <c r="H47" i="18"/>
  <c r="G47" i="18"/>
  <c r="L47" i="18" s="1"/>
  <c r="J46" i="18"/>
  <c r="I46" i="18"/>
  <c r="H46" i="18"/>
  <c r="G46" i="18"/>
  <c r="L46" i="18" s="1"/>
  <c r="J45" i="18"/>
  <c r="I45" i="18"/>
  <c r="H45" i="18"/>
  <c r="G45" i="18"/>
  <c r="L45" i="18" s="1"/>
  <c r="J44" i="18"/>
  <c r="I44" i="18"/>
  <c r="H44" i="18"/>
  <c r="G44" i="18"/>
  <c r="G42" i="18" s="1"/>
  <c r="J43" i="18"/>
  <c r="I43" i="18"/>
  <c r="H43" i="18"/>
  <c r="G43" i="18"/>
  <c r="J41" i="18"/>
  <c r="I41" i="18"/>
  <c r="H41" i="18"/>
  <c r="G41" i="18"/>
  <c r="J40" i="18"/>
  <c r="I40" i="18"/>
  <c r="H40" i="18"/>
  <c r="G40" i="18"/>
  <c r="J39" i="18"/>
  <c r="I39" i="18"/>
  <c r="H39" i="18"/>
  <c r="G39" i="18"/>
  <c r="J38" i="18"/>
  <c r="I38" i="18"/>
  <c r="H38" i="18"/>
  <c r="G38" i="18"/>
  <c r="J37" i="18"/>
  <c r="I37" i="18"/>
  <c r="H37" i="18"/>
  <c r="G37" i="18"/>
  <c r="J36" i="18"/>
  <c r="I36" i="18"/>
  <c r="H36" i="18"/>
  <c r="G36" i="18"/>
  <c r="J35" i="18"/>
  <c r="J34" i="18" s="1"/>
  <c r="I35" i="18"/>
  <c r="N35" i="18" s="1"/>
  <c r="H35" i="18"/>
  <c r="H34" i="18" s="1"/>
  <c r="G35" i="18"/>
  <c r="J33" i="18"/>
  <c r="I33" i="18"/>
  <c r="H33" i="18"/>
  <c r="G33" i="18"/>
  <c r="J32" i="18"/>
  <c r="I32" i="18"/>
  <c r="H32" i="18"/>
  <c r="G32" i="18"/>
  <c r="J31" i="18"/>
  <c r="I31" i="18"/>
  <c r="H31" i="18"/>
  <c r="G31" i="18"/>
  <c r="J30" i="18"/>
  <c r="I30" i="18"/>
  <c r="H30" i="18"/>
  <c r="G30" i="18"/>
  <c r="J29" i="18"/>
  <c r="I29" i="18"/>
  <c r="H29" i="18"/>
  <c r="G29" i="18"/>
  <c r="J28" i="18"/>
  <c r="I28" i="18"/>
  <c r="H28" i="18"/>
  <c r="G28" i="18"/>
  <c r="J27" i="18"/>
  <c r="I27" i="18"/>
  <c r="H27" i="18"/>
  <c r="G27" i="18"/>
  <c r="J26" i="18"/>
  <c r="I26" i="18"/>
  <c r="H26" i="18"/>
  <c r="G26" i="18"/>
  <c r="J25" i="18"/>
  <c r="I25" i="18"/>
  <c r="N25" i="18" s="1"/>
  <c r="H25" i="18"/>
  <c r="G25" i="18"/>
  <c r="J23" i="18"/>
  <c r="I23" i="18"/>
  <c r="H23" i="18"/>
  <c r="G23" i="18"/>
  <c r="L23" i="18" s="1"/>
  <c r="J22" i="18"/>
  <c r="I22" i="18"/>
  <c r="H22" i="18"/>
  <c r="G22" i="18"/>
  <c r="J21" i="18"/>
  <c r="I21" i="18"/>
  <c r="H21" i="18"/>
  <c r="G21" i="18"/>
  <c r="J20" i="18"/>
  <c r="I20" i="18"/>
  <c r="H20" i="18"/>
  <c r="G20" i="18"/>
  <c r="L20" i="18" s="1"/>
  <c r="J19" i="18"/>
  <c r="I19" i="18"/>
  <c r="N19" i="18" s="1"/>
  <c r="H19" i="18"/>
  <c r="M19" i="18" s="1"/>
  <c r="G19" i="18"/>
  <c r="L19" i="18" s="1"/>
  <c r="J18" i="18"/>
  <c r="I18" i="18"/>
  <c r="N18" i="18" s="1"/>
  <c r="H18" i="18"/>
  <c r="G18" i="18"/>
  <c r="L18" i="18" s="1"/>
  <c r="J17" i="18"/>
  <c r="I17" i="18"/>
  <c r="H17" i="18"/>
  <c r="G17" i="18"/>
  <c r="L17" i="18" s="1"/>
  <c r="J16" i="18"/>
  <c r="I16" i="18"/>
  <c r="H16" i="18"/>
  <c r="G16" i="18"/>
  <c r="J15" i="18"/>
  <c r="I15" i="18"/>
  <c r="H15" i="18"/>
  <c r="G15" i="18"/>
  <c r="J13" i="18"/>
  <c r="I13" i="18"/>
  <c r="H13" i="18"/>
  <c r="G13" i="18"/>
  <c r="J12" i="18"/>
  <c r="I12" i="18"/>
  <c r="H12" i="18"/>
  <c r="M12" i="18" s="1"/>
  <c r="G12" i="18"/>
  <c r="L12" i="18" s="1"/>
  <c r="J11" i="18"/>
  <c r="I11" i="18"/>
  <c r="H11" i="18"/>
  <c r="G11" i="18"/>
  <c r="L11" i="18" s="1"/>
  <c r="J10" i="18"/>
  <c r="I10" i="18"/>
  <c r="H10" i="18"/>
  <c r="G10" i="18"/>
  <c r="J9" i="18"/>
  <c r="I9" i="18"/>
  <c r="H9" i="18"/>
  <c r="G9" i="18"/>
  <c r="G8" i="18" s="1"/>
  <c r="E83" i="18"/>
  <c r="E81" i="18"/>
  <c r="D81" i="18"/>
  <c r="C81" i="18"/>
  <c r="B81" i="18"/>
  <c r="E80" i="18"/>
  <c r="D80" i="18"/>
  <c r="C80" i="18"/>
  <c r="B80" i="18"/>
  <c r="E79" i="18"/>
  <c r="D79" i="18"/>
  <c r="C79" i="18"/>
  <c r="B79" i="18"/>
  <c r="E78" i="18"/>
  <c r="D78" i="18"/>
  <c r="C78" i="18"/>
  <c r="B78" i="18"/>
  <c r="E77" i="18"/>
  <c r="D77" i="18"/>
  <c r="C77" i="18"/>
  <c r="B77" i="18"/>
  <c r="E76" i="18"/>
  <c r="D76" i="18"/>
  <c r="C76" i="18"/>
  <c r="B76" i="18"/>
  <c r="E75" i="18"/>
  <c r="D75" i="18"/>
  <c r="C75" i="18"/>
  <c r="B75" i="18"/>
  <c r="E74" i="18"/>
  <c r="D74" i="18"/>
  <c r="C74" i="18"/>
  <c r="B74" i="18"/>
  <c r="E73" i="18"/>
  <c r="D73" i="18"/>
  <c r="C73" i="18"/>
  <c r="B73" i="18"/>
  <c r="E71" i="18"/>
  <c r="D71" i="18"/>
  <c r="C71" i="18"/>
  <c r="B71" i="18"/>
  <c r="E70" i="18"/>
  <c r="D70" i="18"/>
  <c r="C70" i="18"/>
  <c r="B70" i="18"/>
  <c r="E69" i="18"/>
  <c r="D69" i="18"/>
  <c r="C69" i="18"/>
  <c r="B69" i="18"/>
  <c r="E67" i="18"/>
  <c r="D67" i="18"/>
  <c r="C67" i="18"/>
  <c r="B67" i="18"/>
  <c r="E66" i="18"/>
  <c r="D66" i="18"/>
  <c r="C66" i="18"/>
  <c r="M66" i="18" s="1"/>
  <c r="B66" i="18"/>
  <c r="E64" i="18"/>
  <c r="D64" i="18"/>
  <c r="C64" i="18"/>
  <c r="B64" i="18"/>
  <c r="E63" i="18"/>
  <c r="D63" i="18"/>
  <c r="C63" i="18"/>
  <c r="B63" i="18"/>
  <c r="L63" i="18" s="1"/>
  <c r="E62" i="18"/>
  <c r="D62" i="18"/>
  <c r="C62" i="18"/>
  <c r="B62" i="18"/>
  <c r="L62" i="18" s="1"/>
  <c r="E61" i="18"/>
  <c r="D61" i="18"/>
  <c r="C61" i="18"/>
  <c r="B61" i="18"/>
  <c r="L61" i="18" s="1"/>
  <c r="E59" i="18"/>
  <c r="D59" i="18"/>
  <c r="C59" i="18"/>
  <c r="B59" i="18"/>
  <c r="L59" i="18" s="1"/>
  <c r="E58" i="18"/>
  <c r="D58" i="18"/>
  <c r="C58" i="18"/>
  <c r="B58" i="18"/>
  <c r="L58" i="18" s="1"/>
  <c r="E57" i="18"/>
  <c r="D57" i="18"/>
  <c r="C57" i="18"/>
  <c r="B57" i="18"/>
  <c r="L57" i="18" s="1"/>
  <c r="E56" i="18"/>
  <c r="D56" i="18"/>
  <c r="C56" i="18"/>
  <c r="B56" i="18"/>
  <c r="L56" i="18" s="1"/>
  <c r="E55" i="18"/>
  <c r="D55" i="18"/>
  <c r="C55" i="18"/>
  <c r="M55" i="18" s="1"/>
  <c r="B55" i="18"/>
  <c r="L55" i="18" s="1"/>
  <c r="E54" i="18"/>
  <c r="D54" i="18"/>
  <c r="C54" i="18"/>
  <c r="B54" i="18"/>
  <c r="L54" i="18" s="1"/>
  <c r="E53" i="18"/>
  <c r="D53" i="18"/>
  <c r="C53" i="18"/>
  <c r="B53" i="18"/>
  <c r="L53" i="18" s="1"/>
  <c r="E52" i="18"/>
  <c r="D52" i="18"/>
  <c r="C52" i="18"/>
  <c r="B52" i="18"/>
  <c r="L52" i="18" s="1"/>
  <c r="E51" i="18"/>
  <c r="D51" i="18"/>
  <c r="C51" i="18"/>
  <c r="M51" i="18" s="1"/>
  <c r="B51" i="18"/>
  <c r="L51" i="18" s="1"/>
  <c r="E49" i="18"/>
  <c r="D49" i="18"/>
  <c r="C49" i="18"/>
  <c r="B49" i="18"/>
  <c r="E48" i="18"/>
  <c r="D48" i="18"/>
  <c r="C48" i="18"/>
  <c r="B48" i="18"/>
  <c r="E47" i="18"/>
  <c r="D47" i="18"/>
  <c r="C47" i="18"/>
  <c r="B47" i="18"/>
  <c r="E46" i="18"/>
  <c r="D46" i="18"/>
  <c r="C46" i="18"/>
  <c r="B46" i="18"/>
  <c r="E45" i="18"/>
  <c r="D45" i="18"/>
  <c r="C45" i="18"/>
  <c r="B45" i="18"/>
  <c r="E44" i="18"/>
  <c r="D44" i="18"/>
  <c r="C44" i="18"/>
  <c r="B44" i="18"/>
  <c r="B42" i="18" s="1"/>
  <c r="E43" i="18"/>
  <c r="D43" i="18"/>
  <c r="C43" i="18"/>
  <c r="C42" i="18" s="1"/>
  <c r="B43" i="18"/>
  <c r="E41" i="18"/>
  <c r="D41" i="18"/>
  <c r="C41" i="18"/>
  <c r="B41" i="18"/>
  <c r="L41" i="18" s="1"/>
  <c r="E40" i="18"/>
  <c r="D40" i="18"/>
  <c r="C40" i="18"/>
  <c r="B40" i="18"/>
  <c r="E39" i="18"/>
  <c r="D39" i="18"/>
  <c r="C39" i="18"/>
  <c r="B39" i="18"/>
  <c r="E38" i="18"/>
  <c r="D38" i="18"/>
  <c r="C38" i="18"/>
  <c r="B38" i="18"/>
  <c r="L38" i="18" s="1"/>
  <c r="E37" i="18"/>
  <c r="D37" i="18"/>
  <c r="C37" i="18"/>
  <c r="B37" i="18"/>
  <c r="L37" i="18" s="1"/>
  <c r="E36" i="18"/>
  <c r="D36" i="18"/>
  <c r="C36" i="18"/>
  <c r="B36" i="18"/>
  <c r="L36" i="18" s="1"/>
  <c r="E35" i="18"/>
  <c r="D35" i="18"/>
  <c r="C35" i="18"/>
  <c r="B35" i="18"/>
  <c r="E33" i="18"/>
  <c r="D33" i="18"/>
  <c r="C33" i="18"/>
  <c r="M33" i="18" s="1"/>
  <c r="B33" i="18"/>
  <c r="L33" i="18" s="1"/>
  <c r="E32" i="18"/>
  <c r="D32" i="18"/>
  <c r="N32" i="18" s="1"/>
  <c r="C32" i="18"/>
  <c r="B32" i="18"/>
  <c r="E31" i="18"/>
  <c r="D31" i="18"/>
  <c r="N31" i="18" s="1"/>
  <c r="C31" i="18"/>
  <c r="M31" i="18" s="1"/>
  <c r="B31" i="18"/>
  <c r="L31" i="18" s="1"/>
  <c r="E30" i="18"/>
  <c r="D30" i="18"/>
  <c r="N30" i="18" s="1"/>
  <c r="C30" i="18"/>
  <c r="M30" i="18" s="1"/>
  <c r="B30" i="18"/>
  <c r="L30" i="18" s="1"/>
  <c r="E29" i="18"/>
  <c r="D29" i="18"/>
  <c r="C29" i="18"/>
  <c r="M29" i="18" s="1"/>
  <c r="B29" i="18"/>
  <c r="L29" i="18" s="1"/>
  <c r="E28" i="18"/>
  <c r="D28" i="18"/>
  <c r="C28" i="18"/>
  <c r="M28" i="18" s="1"/>
  <c r="B28" i="18"/>
  <c r="L28" i="18" s="1"/>
  <c r="E27" i="18"/>
  <c r="C27" i="18"/>
  <c r="M27" i="18" s="1"/>
  <c r="B27" i="18"/>
  <c r="L27" i="18" s="1"/>
  <c r="E26" i="18"/>
  <c r="D26" i="18"/>
  <c r="C26" i="18"/>
  <c r="M26" i="18" s="1"/>
  <c r="B26" i="18"/>
  <c r="L26" i="18" s="1"/>
  <c r="E25" i="18"/>
  <c r="O25" i="18" s="1"/>
  <c r="D25" i="18"/>
  <c r="C25" i="18"/>
  <c r="B25" i="18"/>
  <c r="L25" i="18" s="1"/>
  <c r="E23" i="18"/>
  <c r="D23" i="18"/>
  <c r="C23" i="18"/>
  <c r="B23" i="18"/>
  <c r="E22" i="18"/>
  <c r="D22" i="18"/>
  <c r="C22" i="18"/>
  <c r="B22" i="18"/>
  <c r="L22" i="18" s="1"/>
  <c r="E21" i="18"/>
  <c r="D21" i="18"/>
  <c r="C21" i="18"/>
  <c r="B21" i="18"/>
  <c r="E20" i="18"/>
  <c r="D20" i="18"/>
  <c r="C20" i="18"/>
  <c r="B20" i="18"/>
  <c r="E19" i="18"/>
  <c r="D19" i="18"/>
  <c r="C19" i="18"/>
  <c r="B19" i="18"/>
  <c r="E18" i="18"/>
  <c r="D18" i="18"/>
  <c r="C18" i="18"/>
  <c r="B18" i="18"/>
  <c r="E17" i="18"/>
  <c r="D17" i="18"/>
  <c r="C17" i="18"/>
  <c r="B17" i="18"/>
  <c r="E16" i="18"/>
  <c r="D16" i="18"/>
  <c r="C16" i="18"/>
  <c r="M16" i="18" s="1"/>
  <c r="B16" i="18"/>
  <c r="E15" i="18"/>
  <c r="D15" i="18"/>
  <c r="C15" i="18"/>
  <c r="M15" i="18" s="1"/>
  <c r="B15" i="18"/>
  <c r="L15" i="18" s="1"/>
  <c r="E13" i="18"/>
  <c r="O13" i="18" s="1"/>
  <c r="D13" i="18"/>
  <c r="N13" i="18" s="1"/>
  <c r="C13" i="18"/>
  <c r="B13" i="18"/>
  <c r="L13" i="18" s="1"/>
  <c r="E12" i="18"/>
  <c r="O12" i="18" s="1"/>
  <c r="D12" i="18"/>
  <c r="C12" i="18"/>
  <c r="B12" i="18"/>
  <c r="E11" i="18"/>
  <c r="O11" i="18" s="1"/>
  <c r="D11" i="18"/>
  <c r="C11" i="18"/>
  <c r="B11" i="18"/>
  <c r="E10" i="18"/>
  <c r="O10" i="18" s="1"/>
  <c r="D10" i="18"/>
  <c r="D8" i="18" s="1"/>
  <c r="C10" i="18"/>
  <c r="M10" i="18" s="1"/>
  <c r="B10" i="18"/>
  <c r="E9" i="18"/>
  <c r="D9" i="18"/>
  <c r="C9" i="18"/>
  <c r="C8" i="18" s="1"/>
  <c r="B9" i="18"/>
  <c r="B8" i="18" s="1"/>
  <c r="D17" i="22"/>
  <c r="C17" i="22"/>
  <c r="Z38" i="21"/>
  <c r="Y38" i="21"/>
  <c r="X38" i="21"/>
  <c r="W38" i="21"/>
  <c r="V38" i="21"/>
  <c r="U38" i="21"/>
  <c r="T38" i="21"/>
  <c r="S38" i="21"/>
  <c r="R38" i="21"/>
  <c r="Q38" i="21"/>
  <c r="P38" i="21"/>
  <c r="L38" i="21"/>
  <c r="J38" i="21"/>
  <c r="I38" i="21"/>
  <c r="H38" i="21"/>
  <c r="G38" i="21"/>
  <c r="Z14" i="21"/>
  <c r="Z39" i="21" s="1"/>
  <c r="Y14" i="21"/>
  <c r="Y39" i="21" s="1"/>
  <c r="X14" i="21"/>
  <c r="X39" i="21" s="1"/>
  <c r="W14" i="21"/>
  <c r="W39" i="21" s="1"/>
  <c r="V14" i="21"/>
  <c r="V39" i="21" s="1"/>
  <c r="U14" i="21"/>
  <c r="U39" i="21" s="1"/>
  <c r="T14" i="21"/>
  <c r="T39" i="21" s="1"/>
  <c r="S14" i="21"/>
  <c r="S39" i="21" s="1"/>
  <c r="R14" i="21"/>
  <c r="R39" i="21" s="1"/>
  <c r="Q14" i="21"/>
  <c r="Q39" i="21" s="1"/>
  <c r="P14" i="21"/>
  <c r="P39" i="21" s="1"/>
  <c r="O14" i="21"/>
  <c r="N14" i="21"/>
  <c r="N39" i="21" s="1"/>
  <c r="L14" i="21"/>
  <c r="L39" i="21" s="1"/>
  <c r="K14" i="21"/>
  <c r="K39" i="21" s="1"/>
  <c r="J14" i="21"/>
  <c r="J39" i="21" s="1"/>
  <c r="I14" i="21"/>
  <c r="I39" i="21" s="1"/>
  <c r="H14" i="21"/>
  <c r="H39" i="21" s="1"/>
  <c r="G14" i="21"/>
  <c r="G39" i="21" s="1"/>
  <c r="F14" i="21"/>
  <c r="F39" i="21" s="1"/>
  <c r="E14" i="21"/>
  <c r="E39" i="21" s="1"/>
  <c r="J82" i="18"/>
  <c r="I82" i="18"/>
  <c r="O81" i="18"/>
  <c r="N81" i="18"/>
  <c r="M81" i="18"/>
  <c r="O80" i="18"/>
  <c r="N80" i="18"/>
  <c r="M80" i="18"/>
  <c r="N79" i="18"/>
  <c r="O79" i="18"/>
  <c r="M79" i="18"/>
  <c r="M78" i="18"/>
  <c r="O78" i="18"/>
  <c r="N78" i="18"/>
  <c r="O77" i="18"/>
  <c r="N77" i="18"/>
  <c r="M77" i="18"/>
  <c r="O76" i="18"/>
  <c r="N76" i="18"/>
  <c r="M76" i="18"/>
  <c r="N75" i="18"/>
  <c r="O75" i="18"/>
  <c r="M75" i="18"/>
  <c r="M74" i="18"/>
  <c r="O74" i="18"/>
  <c r="N74" i="18"/>
  <c r="L73" i="18"/>
  <c r="O73" i="18"/>
  <c r="N73" i="18"/>
  <c r="M73" i="18"/>
  <c r="O71" i="18"/>
  <c r="M71" i="18"/>
  <c r="L71" i="18"/>
  <c r="N70" i="18"/>
  <c r="M70" i="18"/>
  <c r="L70" i="18"/>
  <c r="O69" i="18"/>
  <c r="N69" i="18"/>
  <c r="M69" i="18"/>
  <c r="I68" i="18"/>
  <c r="H68" i="18"/>
  <c r="E68" i="18"/>
  <c r="D68" i="18"/>
  <c r="C68" i="18"/>
  <c r="M68" i="18" s="1"/>
  <c r="B68" i="18"/>
  <c r="O67" i="18"/>
  <c r="N67" i="18"/>
  <c r="M67" i="18"/>
  <c r="J65" i="18"/>
  <c r="O66" i="18"/>
  <c r="N66" i="18"/>
  <c r="L66" i="18"/>
  <c r="I65" i="18"/>
  <c r="H65" i="18"/>
  <c r="D65" i="18"/>
  <c r="B65" i="18"/>
  <c r="O64" i="18"/>
  <c r="N64" i="18"/>
  <c r="M64" i="18"/>
  <c r="O63" i="18"/>
  <c r="N63" i="18"/>
  <c r="M63" i="18"/>
  <c r="O62" i="18"/>
  <c r="N62" i="18"/>
  <c r="M62" i="18"/>
  <c r="O61" i="18"/>
  <c r="N61" i="18"/>
  <c r="M61" i="18"/>
  <c r="J60" i="18"/>
  <c r="I60" i="18"/>
  <c r="H60" i="18"/>
  <c r="E60" i="18"/>
  <c r="O60" i="18" s="1"/>
  <c r="D60" i="18"/>
  <c r="C60" i="18"/>
  <c r="M60" i="18" s="1"/>
  <c r="O59" i="18"/>
  <c r="N59" i="18"/>
  <c r="M59" i="18"/>
  <c r="O58" i="18"/>
  <c r="N58" i="18"/>
  <c r="M58" i="18"/>
  <c r="O57" i="18"/>
  <c r="O56" i="18"/>
  <c r="O55" i="18"/>
  <c r="O54" i="18"/>
  <c r="N54" i="18"/>
  <c r="M54" i="18"/>
  <c r="O53" i="18"/>
  <c r="J50" i="18"/>
  <c r="E50" i="18"/>
  <c r="O50" i="18" s="1"/>
  <c r="O51" i="18"/>
  <c r="N51" i="18"/>
  <c r="H50" i="18"/>
  <c r="D50" i="18"/>
  <c r="O49" i="18"/>
  <c r="N49" i="18"/>
  <c r="M49" i="18"/>
  <c r="O48" i="18"/>
  <c r="N48" i="18"/>
  <c r="M48" i="18"/>
  <c r="O47" i="18"/>
  <c r="N47" i="18"/>
  <c r="M47" i="18"/>
  <c r="O46" i="18"/>
  <c r="N46" i="18"/>
  <c r="M46" i="18"/>
  <c r="O45" i="18"/>
  <c r="N45" i="18"/>
  <c r="M45" i="18"/>
  <c r="J42" i="18"/>
  <c r="E42" i="18"/>
  <c r="O42" i="18" s="1"/>
  <c r="N44" i="18"/>
  <c r="M44" i="18"/>
  <c r="O43" i="18"/>
  <c r="N43" i="18"/>
  <c r="M43" i="18"/>
  <c r="L43" i="18"/>
  <c r="I42" i="18"/>
  <c r="H42" i="18"/>
  <c r="D42" i="18"/>
  <c r="O41" i="18"/>
  <c r="N41" i="18"/>
  <c r="M41" i="18"/>
  <c r="O40" i="18"/>
  <c r="N40" i="18"/>
  <c r="M40" i="18"/>
  <c r="O39" i="18"/>
  <c r="N39" i="18"/>
  <c r="M39" i="18"/>
  <c r="O38" i="18"/>
  <c r="N38" i="18"/>
  <c r="M38" i="18"/>
  <c r="O37" i="18"/>
  <c r="N37" i="18"/>
  <c r="M37" i="18"/>
  <c r="E34" i="18"/>
  <c r="N36" i="18"/>
  <c r="M36" i="18"/>
  <c r="M35" i="18"/>
  <c r="L35" i="18"/>
  <c r="I34" i="18"/>
  <c r="D34" i="18"/>
  <c r="C34" i="18"/>
  <c r="B34" i="18"/>
  <c r="O33" i="18"/>
  <c r="N33" i="18"/>
  <c r="O32" i="18"/>
  <c r="M32" i="18"/>
  <c r="O31" i="18"/>
  <c r="O30" i="18"/>
  <c r="O29" i="18"/>
  <c r="O28" i="18"/>
  <c r="N28" i="18"/>
  <c r="O27" i="18"/>
  <c r="O26" i="18"/>
  <c r="N26" i="18"/>
  <c r="J24" i="18"/>
  <c r="O23" i="18"/>
  <c r="N23" i="18"/>
  <c r="M23" i="18"/>
  <c r="O22" i="18"/>
  <c r="N22" i="18"/>
  <c r="O21" i="18"/>
  <c r="N21" i="18"/>
  <c r="O20" i="18"/>
  <c r="N20" i="18"/>
  <c r="M20" i="18"/>
  <c r="O19" i="18"/>
  <c r="O18" i="18"/>
  <c r="M18" i="18"/>
  <c r="O17" i="18"/>
  <c r="N17" i="18"/>
  <c r="M17" i="18"/>
  <c r="J14" i="18"/>
  <c r="E14" i="18"/>
  <c r="N16" i="18"/>
  <c r="O15" i="18"/>
  <c r="N15" i="18"/>
  <c r="D14" i="18"/>
  <c r="N12" i="18"/>
  <c r="N11" i="18"/>
  <c r="N10" i="18"/>
  <c r="O9" i="18"/>
  <c r="N9" i="18"/>
  <c r="M9" i="18"/>
  <c r="J8" i="18"/>
  <c r="I8" i="18"/>
  <c r="E8" i="18"/>
  <c r="B72" i="17"/>
  <c r="B71" i="17"/>
  <c r="B70" i="17"/>
  <c r="N69" i="17"/>
  <c r="M69" i="17"/>
  <c r="L69" i="17"/>
  <c r="K69" i="17"/>
  <c r="J69" i="17"/>
  <c r="I69" i="17"/>
  <c r="H69" i="17"/>
  <c r="G69" i="17"/>
  <c r="F69" i="17"/>
  <c r="E69" i="17"/>
  <c r="D69" i="17"/>
  <c r="C69" i="17"/>
  <c r="B69" i="17" s="1"/>
  <c r="B68" i="17"/>
  <c r="B67" i="17"/>
  <c r="N66" i="17"/>
  <c r="M66" i="17"/>
  <c r="L66" i="17"/>
  <c r="K66" i="17"/>
  <c r="J66" i="17"/>
  <c r="I66" i="17"/>
  <c r="H66" i="17"/>
  <c r="G66" i="17"/>
  <c r="F66" i="17"/>
  <c r="E66" i="17"/>
  <c r="D66" i="17"/>
  <c r="C66" i="17"/>
  <c r="B66" i="17"/>
  <c r="B65" i="17"/>
  <c r="B64" i="17"/>
  <c r="B63" i="17"/>
  <c r="B62" i="17"/>
  <c r="N61" i="17"/>
  <c r="M61" i="17"/>
  <c r="L61" i="17"/>
  <c r="K61" i="17"/>
  <c r="J61" i="17"/>
  <c r="I61" i="17"/>
  <c r="H61" i="17"/>
  <c r="G61" i="17"/>
  <c r="F61" i="17"/>
  <c r="E61" i="17"/>
  <c r="D61" i="17"/>
  <c r="C61" i="17"/>
  <c r="B61" i="17" s="1"/>
  <c r="B60" i="17"/>
  <c r="B59" i="17"/>
  <c r="B58" i="17"/>
  <c r="B57" i="17"/>
  <c r="B56" i="17"/>
  <c r="B55" i="17"/>
  <c r="B54" i="17"/>
  <c r="B53" i="17"/>
  <c r="B52" i="17"/>
  <c r="N51" i="17"/>
  <c r="M51" i="17"/>
  <c r="L51" i="17"/>
  <c r="K51" i="17"/>
  <c r="J51" i="17"/>
  <c r="I51" i="17"/>
  <c r="H51" i="17"/>
  <c r="G51" i="17"/>
  <c r="F51" i="17"/>
  <c r="E51" i="17"/>
  <c r="D51" i="17"/>
  <c r="C51" i="17"/>
  <c r="B50" i="17"/>
  <c r="B49" i="17"/>
  <c r="B48" i="17"/>
  <c r="B47" i="17"/>
  <c r="B46" i="17"/>
  <c r="B45" i="17"/>
  <c r="B44" i="17"/>
  <c r="N43" i="17"/>
  <c r="M43" i="17"/>
  <c r="L43" i="17"/>
  <c r="K43" i="17"/>
  <c r="J43" i="17"/>
  <c r="I43" i="17"/>
  <c r="H43" i="17"/>
  <c r="G43" i="17"/>
  <c r="F43" i="17"/>
  <c r="E43" i="17"/>
  <c r="B43" i="17" s="1"/>
  <c r="D43" i="17"/>
  <c r="C43" i="17"/>
  <c r="B42" i="17"/>
  <c r="B41" i="17"/>
  <c r="B40" i="17"/>
  <c r="B39" i="17"/>
  <c r="B38" i="17"/>
  <c r="B37" i="17"/>
  <c r="B36" i="17"/>
  <c r="N35" i="17"/>
  <c r="M35" i="17"/>
  <c r="L35" i="17"/>
  <c r="K35" i="17"/>
  <c r="J35" i="17"/>
  <c r="I35" i="17"/>
  <c r="H35" i="17"/>
  <c r="G35" i="17"/>
  <c r="F35" i="17"/>
  <c r="E35" i="17"/>
  <c r="D35" i="17"/>
  <c r="C35" i="17"/>
  <c r="B34" i="17"/>
  <c r="B33" i="17"/>
  <c r="B32" i="17"/>
  <c r="B31" i="17"/>
  <c r="B30" i="17"/>
  <c r="B29" i="17"/>
  <c r="B28" i="17"/>
  <c r="B27" i="17"/>
  <c r="B26" i="17"/>
  <c r="N25" i="17"/>
  <c r="M25" i="17"/>
  <c r="L25" i="17"/>
  <c r="K25" i="17"/>
  <c r="J25" i="17"/>
  <c r="I25" i="17"/>
  <c r="H25" i="17"/>
  <c r="G25" i="17"/>
  <c r="F25" i="17"/>
  <c r="E25" i="17"/>
  <c r="D25" i="17"/>
  <c r="C25" i="17"/>
  <c r="B24" i="17"/>
  <c r="B23" i="17"/>
  <c r="B22" i="17"/>
  <c r="B21" i="17"/>
  <c r="B20" i="17"/>
  <c r="B19" i="17"/>
  <c r="B18" i="17"/>
  <c r="B17" i="17"/>
  <c r="B16" i="17"/>
  <c r="N15" i="17"/>
  <c r="M15" i="17"/>
  <c r="L15" i="17"/>
  <c r="K15" i="17"/>
  <c r="J15" i="17"/>
  <c r="I15" i="17"/>
  <c r="H15" i="17"/>
  <c r="G15" i="17"/>
  <c r="F15" i="17"/>
  <c r="E15" i="17"/>
  <c r="D15" i="17"/>
  <c r="C15" i="17"/>
  <c r="B14" i="17"/>
  <c r="B13" i="17"/>
  <c r="B12" i="17"/>
  <c r="B11" i="17"/>
  <c r="B10" i="17"/>
  <c r="N9" i="17"/>
  <c r="N73" i="17" s="1"/>
  <c r="M9" i="17"/>
  <c r="M73" i="17" s="1"/>
  <c r="L9" i="17"/>
  <c r="L73" i="17" s="1"/>
  <c r="K9" i="17"/>
  <c r="K73" i="17" s="1"/>
  <c r="J9" i="17"/>
  <c r="J73" i="17" s="1"/>
  <c r="I9" i="17"/>
  <c r="H9" i="17"/>
  <c r="G9" i="17"/>
  <c r="F9" i="17"/>
  <c r="F73" i="17" s="1"/>
  <c r="F85" i="17" s="1"/>
  <c r="H83" i="18" s="1"/>
  <c r="H82" i="18" s="1"/>
  <c r="E9" i="17"/>
  <c r="D9" i="17"/>
  <c r="C9" i="17"/>
  <c r="B72" i="16"/>
  <c r="B71" i="16"/>
  <c r="B70" i="16"/>
  <c r="N69" i="16"/>
  <c r="M69" i="16"/>
  <c r="L69" i="16"/>
  <c r="K69" i="16"/>
  <c r="J69" i="16"/>
  <c r="I69" i="16"/>
  <c r="H69" i="16"/>
  <c r="G69" i="16"/>
  <c r="F69" i="16"/>
  <c r="E69" i="16"/>
  <c r="D69" i="16"/>
  <c r="C69" i="16"/>
  <c r="B69" i="16" s="1"/>
  <c r="B68" i="16"/>
  <c r="B67" i="16"/>
  <c r="N66" i="16"/>
  <c r="M66" i="16"/>
  <c r="L66" i="16"/>
  <c r="K66" i="16"/>
  <c r="J66" i="16"/>
  <c r="I66" i="16"/>
  <c r="H66" i="16"/>
  <c r="G66" i="16"/>
  <c r="F66" i="16"/>
  <c r="E66" i="16"/>
  <c r="D66" i="16"/>
  <c r="C66" i="16"/>
  <c r="B66" i="16"/>
  <c r="B65" i="16"/>
  <c r="B64" i="16"/>
  <c r="B63" i="16"/>
  <c r="B62" i="16"/>
  <c r="N61" i="16"/>
  <c r="M61" i="16"/>
  <c r="L61" i="16"/>
  <c r="K61" i="16"/>
  <c r="J61" i="16"/>
  <c r="I61" i="16"/>
  <c r="H61" i="16"/>
  <c r="G61" i="16"/>
  <c r="F61" i="16"/>
  <c r="E61" i="16"/>
  <c r="D61" i="16"/>
  <c r="C61" i="16"/>
  <c r="B61" i="16" s="1"/>
  <c r="B60" i="16"/>
  <c r="B59" i="16"/>
  <c r="B58" i="16"/>
  <c r="B57" i="16"/>
  <c r="B56" i="16"/>
  <c r="B55" i="16"/>
  <c r="B54" i="16"/>
  <c r="B53" i="16"/>
  <c r="B52" i="16"/>
  <c r="N51" i="16"/>
  <c r="M51" i="16"/>
  <c r="L51" i="16"/>
  <c r="K51" i="16"/>
  <c r="J51" i="16"/>
  <c r="I51" i="16"/>
  <c r="H51" i="16"/>
  <c r="G51" i="16"/>
  <c r="F51" i="16"/>
  <c r="E51" i="16"/>
  <c r="D51" i="16"/>
  <c r="C51" i="16"/>
  <c r="B50" i="16"/>
  <c r="B49" i="16"/>
  <c r="B48" i="16"/>
  <c r="B47" i="16"/>
  <c r="B46" i="16"/>
  <c r="B45" i="16"/>
  <c r="B44" i="16"/>
  <c r="N43" i="16"/>
  <c r="M43" i="16"/>
  <c r="L43" i="16"/>
  <c r="K43" i="16"/>
  <c r="J43" i="16"/>
  <c r="I43" i="16"/>
  <c r="H43" i="16"/>
  <c r="G43" i="16"/>
  <c r="F43" i="16"/>
  <c r="E43" i="16"/>
  <c r="D43" i="16"/>
  <c r="C43" i="16"/>
  <c r="B43" i="16" s="1"/>
  <c r="B42" i="16"/>
  <c r="B41" i="16"/>
  <c r="B40" i="16"/>
  <c r="B39" i="16"/>
  <c r="B38" i="16"/>
  <c r="B37" i="16"/>
  <c r="B36" i="16"/>
  <c r="N35" i="16"/>
  <c r="M35" i="16"/>
  <c r="L35" i="16"/>
  <c r="K35" i="16"/>
  <c r="J35" i="16"/>
  <c r="I35" i="16"/>
  <c r="H35" i="16"/>
  <c r="G35" i="16"/>
  <c r="F35" i="16"/>
  <c r="E35" i="16"/>
  <c r="D35" i="16"/>
  <c r="C35" i="16"/>
  <c r="B35" i="16" s="1"/>
  <c r="N25" i="16"/>
  <c r="M25" i="16"/>
  <c r="L25" i="16"/>
  <c r="K25" i="16"/>
  <c r="J25" i="16"/>
  <c r="I25" i="16"/>
  <c r="D27" i="18" s="1"/>
  <c r="H25" i="16"/>
  <c r="G25" i="16"/>
  <c r="F25" i="16"/>
  <c r="E25" i="16"/>
  <c r="D25" i="16"/>
  <c r="C25" i="16"/>
  <c r="B24" i="16"/>
  <c r="B23" i="16"/>
  <c r="B22" i="16"/>
  <c r="B21" i="16"/>
  <c r="B20" i="16"/>
  <c r="B19" i="16"/>
  <c r="B18" i="16"/>
  <c r="B17" i="16"/>
  <c r="B16" i="16"/>
  <c r="N15" i="16"/>
  <c r="M15" i="16"/>
  <c r="L15" i="16"/>
  <c r="K15" i="16"/>
  <c r="J15" i="16"/>
  <c r="I15" i="16"/>
  <c r="H15" i="16"/>
  <c r="G15" i="16"/>
  <c r="F15" i="16"/>
  <c r="E15" i="16"/>
  <c r="D15" i="16"/>
  <c r="C15" i="16"/>
  <c r="B14" i="16"/>
  <c r="B13" i="16"/>
  <c r="B12" i="16"/>
  <c r="B11" i="16"/>
  <c r="B10" i="16"/>
  <c r="N9" i="16"/>
  <c r="M9" i="16"/>
  <c r="L9" i="16"/>
  <c r="K9" i="16"/>
  <c r="J9" i="16"/>
  <c r="I9" i="16"/>
  <c r="H9" i="16"/>
  <c r="G9" i="16"/>
  <c r="F9" i="16"/>
  <c r="E9" i="16"/>
  <c r="D9" i="16"/>
  <c r="C9" i="16"/>
  <c r="N55" i="18" l="1"/>
  <c r="N53" i="18"/>
  <c r="N29" i="18"/>
  <c r="I50" i="18"/>
  <c r="I24" i="18"/>
  <c r="I73" i="17"/>
  <c r="I14" i="18"/>
  <c r="M39" i="21"/>
  <c r="H24" i="18"/>
  <c r="H73" i="17"/>
  <c r="C50" i="18"/>
  <c r="C14" i="18"/>
  <c r="M11" i="18"/>
  <c r="M52" i="18"/>
  <c r="C24" i="18"/>
  <c r="M24" i="18" s="1"/>
  <c r="M25" i="18"/>
  <c r="M22" i="18"/>
  <c r="M21" i="18"/>
  <c r="G73" i="16"/>
  <c r="G85" i="16" s="1"/>
  <c r="G73" i="17"/>
  <c r="H14" i="18"/>
  <c r="M14" i="18" s="1"/>
  <c r="M53" i="18"/>
  <c r="M13" i="18"/>
  <c r="E17" i="22"/>
  <c r="E73" i="17"/>
  <c r="E85" i="17" s="1"/>
  <c r="B35" i="17"/>
  <c r="G34" i="18"/>
  <c r="B51" i="17"/>
  <c r="B25" i="17"/>
  <c r="G24" i="18"/>
  <c r="D73" i="17"/>
  <c r="D85" i="17" s="1"/>
  <c r="G14" i="18"/>
  <c r="B15" i="17"/>
  <c r="B51" i="16"/>
  <c r="L21" i="18"/>
  <c r="L16" i="18"/>
  <c r="L10" i="18"/>
  <c r="O83" i="18"/>
  <c r="L75" i="18"/>
  <c r="L76" i="18"/>
  <c r="L77" i="18"/>
  <c r="L78" i="18"/>
  <c r="L79" i="18"/>
  <c r="L80" i="18"/>
  <c r="L81" i="18"/>
  <c r="O70" i="18"/>
  <c r="N68" i="18"/>
  <c r="G68" i="18"/>
  <c r="L68" i="18" s="1"/>
  <c r="L69" i="18"/>
  <c r="L67" i="18"/>
  <c r="L65" i="18"/>
  <c r="N65" i="18"/>
  <c r="N60" i="18"/>
  <c r="L64" i="18"/>
  <c r="N50" i="18"/>
  <c r="M50" i="18"/>
  <c r="L44" i="18"/>
  <c r="L42" i="18"/>
  <c r="N42" i="18"/>
  <c r="M42" i="18"/>
  <c r="L39" i="18"/>
  <c r="L40" i="18"/>
  <c r="O35" i="18"/>
  <c r="L34" i="18"/>
  <c r="O34" i="18"/>
  <c r="M34" i="18"/>
  <c r="N34" i="18"/>
  <c r="L32" i="18"/>
  <c r="O14" i="18"/>
  <c r="B9" i="17"/>
  <c r="O8" i="18"/>
  <c r="H8" i="18"/>
  <c r="H72" i="18" s="1"/>
  <c r="E82" i="18"/>
  <c r="O82" i="18" s="1"/>
  <c r="C65" i="18"/>
  <c r="M65" i="18" s="1"/>
  <c r="B60" i="18"/>
  <c r="L60" i="18" s="1"/>
  <c r="B50" i="18"/>
  <c r="L50" i="18" s="1"/>
  <c r="H73" i="16"/>
  <c r="H85" i="16" s="1"/>
  <c r="M73" i="16"/>
  <c r="D73" i="16"/>
  <c r="N73" i="16"/>
  <c r="E24" i="18"/>
  <c r="O24" i="18" s="1"/>
  <c r="L73" i="16"/>
  <c r="K73" i="16"/>
  <c r="J73" i="16"/>
  <c r="D24" i="18"/>
  <c r="I73" i="16"/>
  <c r="I85" i="16" s="1"/>
  <c r="D83" i="18" s="1"/>
  <c r="F73" i="16"/>
  <c r="F85" i="16" s="1"/>
  <c r="B25" i="16"/>
  <c r="B24" i="18"/>
  <c r="B15" i="16"/>
  <c r="E73" i="16"/>
  <c r="E85" i="16" s="1"/>
  <c r="B14" i="18"/>
  <c r="B9" i="16"/>
  <c r="L9" i="18"/>
  <c r="J72" i="18"/>
  <c r="O16" i="18"/>
  <c r="O36" i="18"/>
  <c r="O44" i="18"/>
  <c r="O52" i="18"/>
  <c r="E65" i="18"/>
  <c r="O65" i="18" s="1"/>
  <c r="O68" i="18"/>
  <c r="L8" i="18"/>
  <c r="N8" i="18"/>
  <c r="C73" i="17"/>
  <c r="C73" i="16"/>
  <c r="C85" i="16" s="1"/>
  <c r="D82" i="18" l="1"/>
  <c r="N82" i="18" s="1"/>
  <c r="N83" i="18"/>
  <c r="I72" i="18"/>
  <c r="N24" i="18"/>
  <c r="N14" i="18"/>
  <c r="C72" i="18"/>
  <c r="C83" i="18"/>
  <c r="M83" i="18" s="1"/>
  <c r="B83" i="18"/>
  <c r="B82" i="18" s="1"/>
  <c r="L14" i="18"/>
  <c r="G83" i="18"/>
  <c r="L24" i="18"/>
  <c r="B73" i="17"/>
  <c r="B85" i="17" s="1"/>
  <c r="G72" i="18"/>
  <c r="M72" i="18"/>
  <c r="M8" i="18"/>
  <c r="N27" i="18"/>
  <c r="E72" i="18"/>
  <c r="O72" i="18" s="1"/>
  <c r="D72" i="18"/>
  <c r="N72" i="18" s="1"/>
  <c r="B73" i="16"/>
  <c r="B85" i="16" s="1"/>
  <c r="B72" i="18"/>
  <c r="C82" i="18" l="1"/>
  <c r="M82" i="18" s="1"/>
  <c r="G82" i="18"/>
  <c r="L82" i="18" s="1"/>
  <c r="L83" i="18"/>
  <c r="L72" i="18"/>
  <c r="A2" i="6"/>
  <c r="B10" i="6" l="1"/>
  <c r="JI39" i="13"/>
  <c r="JI38" i="13"/>
  <c r="JI37" i="13"/>
  <c r="JI36" i="13"/>
  <c r="JI35" i="13"/>
  <c r="JI34" i="13"/>
  <c r="JI33" i="13"/>
  <c r="JI32" i="13"/>
  <c r="JI31" i="13"/>
  <c r="JI30" i="13"/>
  <c r="JI29" i="13"/>
  <c r="JI28" i="13"/>
  <c r="JI27" i="13"/>
  <c r="JI26" i="13"/>
  <c r="JI25" i="13"/>
  <c r="JI24" i="13"/>
  <c r="JI23" i="13"/>
  <c r="JI22" i="13"/>
  <c r="JI21" i="13"/>
  <c r="JI20" i="13"/>
  <c r="JI19" i="13"/>
  <c r="JI18" i="13"/>
  <c r="JI17" i="13"/>
  <c r="JI16" i="13"/>
  <c r="JI15" i="13"/>
  <c r="JI14" i="13"/>
  <c r="JI13" i="13"/>
  <c r="JI12" i="13"/>
  <c r="JI11" i="13"/>
  <c r="JI10" i="13"/>
  <c r="JI9" i="13"/>
  <c r="JI8" i="13"/>
  <c r="JI7" i="13"/>
  <c r="JI6" i="13"/>
  <c r="JI5" i="13"/>
  <c r="JI4" i="13"/>
  <c r="JO3" i="13"/>
  <c r="JO122" i="13" s="1"/>
  <c r="JI3" i="13"/>
  <c r="JI138" i="13" s="1"/>
  <c r="B29" i="6" l="1"/>
  <c r="B30" i="6"/>
  <c r="B31" i="6"/>
  <c r="B11" i="6"/>
  <c r="JI4" i="1"/>
  <c r="JI5" i="1"/>
  <c r="JI3" i="1"/>
  <c r="C32" i="6" l="1"/>
  <c r="C29" i="6"/>
  <c r="C28" i="6"/>
  <c r="C15" i="6"/>
  <c r="C10" i="6"/>
  <c r="B24" i="6"/>
  <c r="B18" i="6" l="1"/>
  <c r="C31" i="6"/>
  <c r="C30" i="6"/>
  <c r="C25" i="6"/>
  <c r="C9" i="6"/>
  <c r="C22" i="6"/>
  <c r="C24" i="6"/>
  <c r="C21" i="6"/>
  <c r="C27" i="6"/>
  <c r="C11" i="6"/>
  <c r="B32" i="6"/>
  <c r="C20" i="6"/>
  <c r="D30" i="6"/>
  <c r="C19" i="6"/>
  <c r="B36" i="6"/>
  <c r="C26" i="6" l="1"/>
  <c r="C12" i="6"/>
  <c r="B20" i="6"/>
  <c r="B15" i="6"/>
  <c r="D15" i="6" s="1"/>
  <c r="B25" i="6"/>
  <c r="B19" i="6"/>
  <c r="D19" i="6" s="1"/>
  <c r="B9" i="6"/>
  <c r="D9" i="6" s="1"/>
  <c r="B37" i="6"/>
  <c r="B38" i="6" s="1"/>
  <c r="D20" i="6"/>
  <c r="D24" i="6"/>
  <c r="B23" i="6"/>
  <c r="C23" i="6"/>
  <c r="D32" i="6"/>
  <c r="D31" i="6"/>
  <c r="D29" i="6"/>
  <c r="D10" i="6"/>
  <c r="B14" i="6" l="1"/>
  <c r="C33" i="6"/>
  <c r="B21" i="6"/>
  <c r="D21" i="6" s="1"/>
  <c r="B28" i="6"/>
  <c r="D28" i="6" s="1"/>
  <c r="C14" i="6"/>
  <c r="D23" i="6"/>
  <c r="D25" i="6"/>
  <c r="D11" i="6"/>
  <c r="B12" i="6"/>
  <c r="C36" i="6"/>
  <c r="B33" i="6" l="1"/>
  <c r="D33" i="6" s="1"/>
  <c r="B27" i="6"/>
  <c r="D27" i="6" s="1"/>
  <c r="B22" i="6"/>
  <c r="B26" i="6"/>
  <c r="D26" i="6" s="1"/>
  <c r="D36" i="6"/>
  <c r="C37" i="6"/>
  <c r="D37" i="6" s="1"/>
  <c r="D14" i="6"/>
  <c r="D16" i="6" s="1"/>
  <c r="E15" i="6" s="1"/>
  <c r="B16" i="6"/>
  <c r="C16" i="6"/>
  <c r="D12" i="6"/>
  <c r="E9" i="6" s="1"/>
  <c r="C18" i="6"/>
  <c r="C34" i="6" s="1"/>
  <c r="C38" i="6" l="1"/>
  <c r="C39" i="6" s="1"/>
  <c r="D22" i="6"/>
  <c r="B34" i="6"/>
  <c r="B39" i="6" s="1"/>
  <c r="D38" i="6"/>
  <c r="E14" i="6"/>
  <c r="E10" i="6"/>
  <c r="E11" i="6"/>
  <c r="D18" i="6"/>
  <c r="D34" i="6" s="1"/>
  <c r="E33" i="6" l="1"/>
  <c r="D39" i="6"/>
  <c r="E26" i="6"/>
  <c r="E22" i="6"/>
  <c r="E30" i="6"/>
  <c r="E29" i="6"/>
  <c r="E27" i="6"/>
  <c r="E21" i="6"/>
  <c r="E24" i="6"/>
  <c r="E23" i="6"/>
  <c r="E32" i="6"/>
  <c r="E28" i="6"/>
  <c r="E31" i="6"/>
  <c r="E25" i="6"/>
  <c r="E19" i="6"/>
  <c r="E18" i="6"/>
  <c r="E20" i="6"/>
  <c r="E36" i="6" l="1"/>
  <c r="E37" i="6"/>
  <c r="E38" i="6"/>
  <c r="E16" i="6" l="1"/>
  <c r="E34" i="6"/>
  <c r="C40" i="6"/>
  <c r="E12" i="6"/>
  <c r="B40" i="6"/>
  <c r="E39" i="6" l="1"/>
  <c r="D40" i="6"/>
  <c r="A8" i="23" l="1"/>
  <c r="A9" i="23"/>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8" i="23"/>
  <c r="A49" i="23"/>
  <c r="A50" i="23"/>
  <c r="A51" i="23"/>
</calcChain>
</file>

<file path=xl/comments1.xml><?xml version="1.0" encoding="utf-8"?>
<comments xmlns="http://schemas.openxmlformats.org/spreadsheetml/2006/main">
  <authors>
    <author>tc={83937EEF-014E-4ADD-8DB1-68A82781D008}</author>
  </authors>
  <commentList>
    <comment ref="J8" authorId="0"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En proceso. Publicado. Desierto. 
Adjudicado y Celebrado. Cancelado</t>
        </r>
      </text>
    </comment>
  </commentList>
</comments>
</file>

<file path=xl/comments2.xml><?xml version="1.0" encoding="utf-8"?>
<comments xmlns="http://schemas.openxmlformats.org/spreadsheetml/2006/main">
  <authors>
    <author>Libanesa Feliz</author>
  </authors>
  <commentList>
    <comment ref="C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D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E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F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G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H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I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J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K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L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M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N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O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P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Q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R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S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T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U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V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W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X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Y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Z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List>
</comments>
</file>

<file path=xl/sharedStrings.xml><?xml version="1.0" encoding="utf-8"?>
<sst xmlns="http://schemas.openxmlformats.org/spreadsheetml/2006/main" count="3021" uniqueCount="1504">
  <si>
    <t>Totales</t>
  </si>
  <si>
    <t>Productos y útiles varios n.i.p.</t>
  </si>
  <si>
    <t>Repuestos y accesorios menores</t>
  </si>
  <si>
    <t>Productos eléctricos y afines</t>
  </si>
  <si>
    <t>Útiles de cocina y comedor</t>
  </si>
  <si>
    <t>Material para limpieza</t>
  </si>
  <si>
    <t>Otros Productos Quimicos y Conexos</t>
  </si>
  <si>
    <t>99</t>
  </si>
  <si>
    <t>Productos químicos y conexos</t>
  </si>
  <si>
    <t>Lubricantes</t>
  </si>
  <si>
    <t>Gas GLP</t>
  </si>
  <si>
    <t>Gasoil</t>
  </si>
  <si>
    <t>Gasolina</t>
  </si>
  <si>
    <t>Combustibles y lubricantes</t>
  </si>
  <si>
    <t>Otros minerales</t>
  </si>
  <si>
    <t>Carbón mineral</t>
  </si>
  <si>
    <t>Minerales metalíferos</t>
  </si>
  <si>
    <t>Minerales</t>
  </si>
  <si>
    <t>Accesorios de metal</t>
  </si>
  <si>
    <t>Productos de hojalata</t>
  </si>
  <si>
    <t>Herramientas menores</t>
  </si>
  <si>
    <t>Productos metálicos y sus derivados</t>
  </si>
  <si>
    <t>Productos de porcelana</t>
  </si>
  <si>
    <t>Productos de loza</t>
  </si>
  <si>
    <t>Productos de vidrio</t>
  </si>
  <si>
    <t>Productos de vidrio, loza y porcelana</t>
  </si>
  <si>
    <t>Productos de arcilla y derivados</t>
  </si>
  <si>
    <t>Productos de yeso</t>
  </si>
  <si>
    <t>Productos de asbestos</t>
  </si>
  <si>
    <t>Productos de cal</t>
  </si>
  <si>
    <t>Productos de cemento</t>
  </si>
  <si>
    <t>Artículos de plástico</t>
  </si>
  <si>
    <t>Artículos de caucho</t>
  </si>
  <si>
    <t>Llantas y neumáticos</t>
  </si>
  <si>
    <t>Artículos de cuero</t>
  </si>
  <si>
    <t>Cueros y pieles</t>
  </si>
  <si>
    <t>Productos medicinales para uso humano</t>
  </si>
  <si>
    <t>Libros, revistas y periódicos</t>
  </si>
  <si>
    <t>Productos de artes gráficas</t>
  </si>
  <si>
    <t>Papel de escritorio</t>
  </si>
  <si>
    <t>Prendas de vestir</t>
  </si>
  <si>
    <t>Acabados textiles</t>
  </si>
  <si>
    <t>Hilados y telas</t>
  </si>
  <si>
    <t>02</t>
  </si>
  <si>
    <t>01</t>
  </si>
  <si>
    <t>Alimentos y bebidas para personas</t>
  </si>
  <si>
    <t>Servicios de alimentación</t>
  </si>
  <si>
    <t>Tasas</t>
  </si>
  <si>
    <t>Derechos</t>
  </si>
  <si>
    <t>Impuestos</t>
  </si>
  <si>
    <t>Impuestos, derechos y tasas</t>
  </si>
  <si>
    <t>Festividades</t>
  </si>
  <si>
    <t>Organización de eventos y festividades</t>
  </si>
  <si>
    <t>Limpieza e higiene</t>
  </si>
  <si>
    <t>Lavandería</t>
  </si>
  <si>
    <t>Fumigación</t>
  </si>
  <si>
    <t>Fumigación, lavandería, limpieza e higiene</t>
  </si>
  <si>
    <t>Servicios funerarios y gastos conexos</t>
  </si>
  <si>
    <t>Comisiones y gastos bancarios</t>
  </si>
  <si>
    <t>Gastos judiciales</t>
  </si>
  <si>
    <t>07</t>
  </si>
  <si>
    <t>06</t>
  </si>
  <si>
    <t>Seguro de bienes muebles</t>
  </si>
  <si>
    <t>Alquileres de maquinarias y equipos</t>
  </si>
  <si>
    <t>Fletes</t>
  </si>
  <si>
    <t>Viáticos fuera del país</t>
  </si>
  <si>
    <t>Recolección de residuos sólidos</t>
  </si>
  <si>
    <t>Agua</t>
  </si>
  <si>
    <t>Energía eléctrica</t>
  </si>
  <si>
    <t>Electricidad</t>
  </si>
  <si>
    <t>Telefax y correos</t>
  </si>
  <si>
    <t>Teléfono local</t>
  </si>
  <si>
    <t>%</t>
  </si>
  <si>
    <t>Auxiliar</t>
  </si>
  <si>
    <t>Cuenta</t>
  </si>
  <si>
    <t>Objeto</t>
  </si>
  <si>
    <t>Tipo</t>
  </si>
  <si>
    <t>SERVICIO NACIONAL DE SALUD</t>
  </si>
  <si>
    <t>D E S G L O S E    D E    L A S    C U E N T A S</t>
  </si>
  <si>
    <t>1% a ser asignado durante el ejercicio para inversión por calamidad pública</t>
  </si>
  <si>
    <t>`01</t>
  </si>
  <si>
    <t>5% a ser asignado durante el ejercicio para inversión</t>
  </si>
  <si>
    <t>Gastos a Ser Asignados Durante el Ejercicio para Inversión (Art. 32 Y 33 Ley 423-06)</t>
  </si>
  <si>
    <t>Construcciones en bienes de uso privado concesionados</t>
  </si>
  <si>
    <t>Construcciones en bienes de uso público concesionados</t>
  </si>
  <si>
    <t>Construcciones En Bienes Concesionados</t>
  </si>
  <si>
    <t>Obras en plantas industriales, hidrocarburos y minas</t>
  </si>
  <si>
    <t>Obras en cementerios</t>
  </si>
  <si>
    <t>Obras urbanísticas</t>
  </si>
  <si>
    <t>Infraestructura y plantaciones agrícolas</t>
  </si>
  <si>
    <t>Infraestructura marítima y aérea</t>
  </si>
  <si>
    <t>Infraestructura terrestre y obras anexas</t>
  </si>
  <si>
    <t>Obras de telecomunicaciones</t>
  </si>
  <si>
    <t>Obras de Energía</t>
  </si>
  <si>
    <t>Obras Hidráulicas Y Sanitarias</t>
  </si>
  <si>
    <t>Infraestructura</t>
  </si>
  <si>
    <t>Mejoras de tierras y terrenos</t>
  </si>
  <si>
    <t>Obras para edificación de otras estructuras</t>
  </si>
  <si>
    <t>Obras para edificación no residencial</t>
  </si>
  <si>
    <t>Obras para edificación residencial (viviendas)</t>
  </si>
  <si>
    <t>Obras En Edificaciones</t>
  </si>
  <si>
    <t>Obras</t>
  </si>
  <si>
    <t>Otras estructuras</t>
  </si>
  <si>
    <t>Objetos del patrimonio culyural</t>
  </si>
  <si>
    <t>03</t>
  </si>
  <si>
    <t>Antiguedades, bienes artisticos y otros objetos de arte</t>
  </si>
  <si>
    <t>Metales y piedras preciosas</t>
  </si>
  <si>
    <t>Objetos de valor</t>
  </si>
  <si>
    <t>Tierras</t>
  </si>
  <si>
    <t>Terrenos</t>
  </si>
  <si>
    <t>Edificios no residenciales</t>
  </si>
  <si>
    <t>Edificios residenciales (viviendas)</t>
  </si>
  <si>
    <t>Bienes Inmuebles</t>
  </si>
  <si>
    <t>Otros activos intangibles</t>
  </si>
  <si>
    <t>Comerciales</t>
  </si>
  <si>
    <t>`04</t>
  </si>
  <si>
    <t>Industriales</t>
  </si>
  <si>
    <t>`03</t>
  </si>
  <si>
    <t>Intelectuales</t>
  </si>
  <si>
    <t>`02</t>
  </si>
  <si>
    <t>Concesiones</t>
  </si>
  <si>
    <t>Marcas y patentes</t>
  </si>
  <si>
    <t>Estudios de preinversión</t>
  </si>
  <si>
    <t>Originales para esparcimiento, literarios o artísticos</t>
  </si>
  <si>
    <t>Base de datos</t>
  </si>
  <si>
    <t>Programas de informática</t>
  </si>
  <si>
    <t>Programas de informática y base de datos</t>
  </si>
  <si>
    <t>Exploración y evaluación minera</t>
  </si>
  <si>
    <t>Investigación y desarrollo</t>
  </si>
  <si>
    <t>Bienes Intangibles</t>
  </si>
  <si>
    <t>Árboles, cultivos y plantas que generan productos recurrentes</t>
  </si>
  <si>
    <t>Especies menores y de zoológico</t>
  </si>
  <si>
    <t>Equinos</t>
  </si>
  <si>
    <t>Peces y acuicultura</t>
  </si>
  <si>
    <t>Ovinos y caprinos</t>
  </si>
  <si>
    <t>Aves</t>
  </si>
  <si>
    <t>Porcinos</t>
  </si>
  <si>
    <t>Bovinos</t>
  </si>
  <si>
    <t>Activos Biológicos Cultivables</t>
  </si>
  <si>
    <t>Equipos de Seguridad</t>
  </si>
  <si>
    <t>Equipos De Defensa</t>
  </si>
  <si>
    <t>Equipos De Defensa Y Seguridad</t>
  </si>
  <si>
    <t>Otros equipos</t>
  </si>
  <si>
    <t>Equipo de comunicación, telecomunicaciones y señalamiento</t>
  </si>
  <si>
    <t>Maquinaria y equipo de construcción</t>
  </si>
  <si>
    <t>Maquinaria y equipo industrial</t>
  </si>
  <si>
    <t>Maquinaria y equipo agropecuario</t>
  </si>
  <si>
    <t>Maquinaria, Otros Equipos y Herramientas</t>
  </si>
  <si>
    <t>Otros equipos de transporte</t>
  </si>
  <si>
    <t>Equipo de elevación</t>
  </si>
  <si>
    <t>Equipo de tracción</t>
  </si>
  <si>
    <t>Embarcaciones</t>
  </si>
  <si>
    <t>Equipo ferroviario</t>
  </si>
  <si>
    <t>Equipo aeronáutico</t>
  </si>
  <si>
    <t>Carrocerías y remolques</t>
  </si>
  <si>
    <t>Automóviles y camiones</t>
  </si>
  <si>
    <t>Vehículos y Equipo de Transporte, Tracción y Elevación</t>
  </si>
  <si>
    <t>Equipo veterinario</t>
  </si>
  <si>
    <t>Instrumental médico y de laboratorio</t>
  </si>
  <si>
    <t>Equipo médico y de laboratorio</t>
  </si>
  <si>
    <t>Equipo e Instrumental, Científico Y Laboratorio</t>
  </si>
  <si>
    <t>Cámaras fotográficas y de video</t>
  </si>
  <si>
    <t>Aparatos deportivos</t>
  </si>
  <si>
    <t>Equipos y aparatos audiovisuales</t>
  </si>
  <si>
    <t>Otros mobiliarios y equipos no identificados precedentemente</t>
  </si>
  <si>
    <t>Electrodomésticos</t>
  </si>
  <si>
    <t>Muebles de alojamiento, excepto de oficina y estantería</t>
  </si>
  <si>
    <t>Mobiliario Y Equipo</t>
  </si>
  <si>
    <t>Bienes Muebles, Inmuebles e Intangibles</t>
  </si>
  <si>
    <t>Subsidios para viviendas económicas</t>
  </si>
  <si>
    <t>05</t>
  </si>
  <si>
    <t>Subsidio obreros portuarios Ley 199-02</t>
  </si>
  <si>
    <t>04</t>
  </si>
  <si>
    <t>Programa de repitencia escolar</t>
  </si>
  <si>
    <t>Ayudas y donaciones ocasionales a hogares y personas</t>
  </si>
  <si>
    <t>Ayudas y donaciones programadas a hogares y personas</t>
  </si>
  <si>
    <t>Ayudas y donaciones a personas</t>
  </si>
  <si>
    <t xml:space="preserve">Accesorios     </t>
  </si>
  <si>
    <t xml:space="preserve">Repuestos   </t>
  </si>
  <si>
    <t>Productos y útiles veterinarios</t>
  </si>
  <si>
    <t>Útiles destinados a actividades deportivas y recreativas</t>
  </si>
  <si>
    <t>Útiles menores médico quirúrgicos</t>
  </si>
  <si>
    <t>Productos y Útiles Varios</t>
  </si>
  <si>
    <t>1% a ser asignados durante el ej. para gastos corrientes por calamidad pública</t>
  </si>
  <si>
    <t>5% a ser asignados durante el ejercicio para gastos corrientes</t>
  </si>
  <si>
    <t>Gastos a ser Asignados Durante el Ejercicio (ART. 32 Y 33 Ley 423-06)</t>
  </si>
  <si>
    <t>Pinturas, Lacas, Barnices, Diluyentes y Absorbentes para Pintura</t>
  </si>
  <si>
    <t>Insecticidas, Fumigantes y Otros</t>
  </si>
  <si>
    <t>Abonos y Fertilizantes</t>
  </si>
  <si>
    <t>Productos Fotoquímicos</t>
  </si>
  <si>
    <t>Productos explosivos y Pirotecnia</t>
  </si>
  <si>
    <t>Gas Natural</t>
  </si>
  <si>
    <t>Aceites y Grasas</t>
  </si>
  <si>
    <t>Kerosén</t>
  </si>
  <si>
    <t>Combustibles, Lubricantes, Productos Químicos y Conexos</t>
  </si>
  <si>
    <t>Otros Productos Minerales no metálicos</t>
  </si>
  <si>
    <t>Productos abrasivos</t>
  </si>
  <si>
    <t>Productos aislantes</t>
  </si>
  <si>
    <t>Piedra, arcilla y arena</t>
  </si>
  <si>
    <t>Petróleo crudo</t>
  </si>
  <si>
    <t>Productos de cemento, cal, asbesto, yeso y arcilla</t>
  </si>
  <si>
    <t>Productos de Minerales, Metálicos y No Metálicos</t>
  </si>
  <si>
    <t>Productos de Cuero, Caucho y Plásticos</t>
  </si>
  <si>
    <t>Productos medicinales para uso veterinario</t>
  </si>
  <si>
    <t>Productos Farmacéuticos</t>
  </si>
  <si>
    <t>Especies timbrados y valoradas</t>
  </si>
  <si>
    <t>Textos de enseñanza</t>
  </si>
  <si>
    <t>Productos de Papel, Cartón e Impresos</t>
  </si>
  <si>
    <t>Textiles y Vestuarios</t>
  </si>
  <si>
    <t>Madera, corcho y sus manufacturas</t>
  </si>
  <si>
    <t>Productos forestales</t>
  </si>
  <si>
    <t>Productos agrícolas</t>
  </si>
  <si>
    <t>Productos pecuarios</t>
  </si>
  <si>
    <t>Productos agroforestales y pecuarios</t>
  </si>
  <si>
    <t>Alimentos para animales</t>
  </si>
  <si>
    <t>Desayuno escolar</t>
  </si>
  <si>
    <t>Alimentos y Productos Agroforestales</t>
  </si>
  <si>
    <t>Materiales y Suministros</t>
  </si>
  <si>
    <t>Otras Contrataciones de Servicios</t>
  </si>
  <si>
    <t>Otros servicios técnicos profesionales</t>
  </si>
  <si>
    <t>Servicios de informática y sistemas computarizados</t>
  </si>
  <si>
    <t>Servicios de capacitación</t>
  </si>
  <si>
    <t>Servicios de contabilidad y auditoria</t>
  </si>
  <si>
    <t>Servicios jurídicos</t>
  </si>
  <si>
    <t>Estudios, investigaciones y análisis de factibilidad</t>
  </si>
  <si>
    <t>Servicios Técnicos y Profesionales</t>
  </si>
  <si>
    <t>Actuaciones artísticas</t>
  </si>
  <si>
    <t>Actuaciones deportivas</t>
  </si>
  <si>
    <t>Eventos generales</t>
  </si>
  <si>
    <t>Servicios sanitarios médicos y veterinarios</t>
  </si>
  <si>
    <t>Otros Servicios No Personales</t>
  </si>
  <si>
    <t>Instalaciones temporales</t>
  </si>
  <si>
    <t>Otros servicios de mantenimiento y reparacion de maquinaria y equipos, no identificados anteriormente</t>
  </si>
  <si>
    <t>Servicios de Mant. Reparacion, desmonte e instalacion</t>
  </si>
  <si>
    <t>08</t>
  </si>
  <si>
    <t xml:space="preserve">Mant. Y reparacion de equipos industriales y produccion </t>
  </si>
  <si>
    <t>Mantenimiento y reparación de equipos de transporte, tracción y elevación</t>
  </si>
  <si>
    <t>Mantenimiento y reparación de equipo de comunicación</t>
  </si>
  <si>
    <t>Mantenimiento y reparación de equipos sanitarios y de laboratorio</t>
  </si>
  <si>
    <t>Mantenimiento y reparación de equipo educacional</t>
  </si>
  <si>
    <t>Mantenimiento y reparación de equipo de oficina y muebles</t>
  </si>
  <si>
    <t>Reparaciones de maquinarias y equipos</t>
  </si>
  <si>
    <t>Otros mantenimientos, reparaciones y sus derivados, no identificados precedentemente</t>
  </si>
  <si>
    <t>Instalaciones eléctricas</t>
  </si>
  <si>
    <t>Obras en bienes de dominio público</t>
  </si>
  <si>
    <t>Mantenimiento y reparación de obras civiles en instalaciones varias</t>
  </si>
  <si>
    <t>Limpieza, desmalezamiento de tierras y terrenos</t>
  </si>
  <si>
    <t>Servicios especiales de mantenimiento y reparación</t>
  </si>
  <si>
    <t>Obras menores en edificaciones</t>
  </si>
  <si>
    <t>Obras Menores</t>
  </si>
  <si>
    <t>Servicios de Conservación, Reparaciones Menores e Instalaciones Temporales</t>
  </si>
  <si>
    <t>Seguros de la producción agrícola</t>
  </si>
  <si>
    <t>Seguros de personas</t>
  </si>
  <si>
    <t>Seguro de bienes inmuebles e infraestructura</t>
  </si>
  <si>
    <t>Seguros</t>
  </si>
  <si>
    <t>Otros alquileres</t>
  </si>
  <si>
    <t>Alquileres de equipos de construcción y movimiento de tierras</t>
  </si>
  <si>
    <t>Alquileres de terrenos</t>
  </si>
  <si>
    <t>Alquiler de tierras</t>
  </si>
  <si>
    <t>Alquileres de equipos de transporte, tracción y elevación</t>
  </si>
  <si>
    <t>Alquiler de equipos sanitarios y de laboratorios</t>
  </si>
  <si>
    <t>Alquiler de equipo de oficina y muebles</t>
  </si>
  <si>
    <t>Alquiler de equipo de comunicación</t>
  </si>
  <si>
    <t>Alquiler de equipo educacional</t>
  </si>
  <si>
    <t>Alquileres de equipos de producción</t>
  </si>
  <si>
    <t>Alquileres y rentas de edificios y locales</t>
  </si>
  <si>
    <t>Alquileres y Rentas</t>
  </si>
  <si>
    <t>Peaje</t>
  </si>
  <si>
    <t>Almacenaje</t>
  </si>
  <si>
    <t>Pasajes</t>
  </si>
  <si>
    <t>Transporte y Almacenaje</t>
  </si>
  <si>
    <t>Viáticos dentro del país</t>
  </si>
  <si>
    <t>Viáticos</t>
  </si>
  <si>
    <t>Impresión y encuadernación</t>
  </si>
  <si>
    <t>Publicidad y propaganda</t>
  </si>
  <si>
    <t>Publicidad Impresión y Encuadernación</t>
  </si>
  <si>
    <t>Electricidad no cortable</t>
  </si>
  <si>
    <t>Servicio de Internet y televisión por cable</t>
  </si>
  <si>
    <t>Servicios telefónico de larga distancia</t>
  </si>
  <si>
    <t>Radiocomunicación</t>
  </si>
  <si>
    <t>Servicios Básicos</t>
  </si>
  <si>
    <t>Servicios No Personales</t>
  </si>
  <si>
    <t>Contribuciones al plan de retiro complementario</t>
  </si>
  <si>
    <t>Contribuciones al seguro de riesgo laboral</t>
  </si>
  <si>
    <t>Contribuciones al seguro de pensiones</t>
  </si>
  <si>
    <t>Contribuciones al seguro de salud</t>
  </si>
  <si>
    <t>Contribuciones a la Seguridad Social y Riesgo Laboral</t>
  </si>
  <si>
    <t>Gratificaciones por aniversario de institución</t>
  </si>
  <si>
    <t>Gratificaciones por pasantías</t>
  </si>
  <si>
    <t>Bono escolar</t>
  </si>
  <si>
    <t>Otras Gratificaciones y Bonificaciones</t>
  </si>
  <si>
    <t>Bonificaciones</t>
  </si>
  <si>
    <t>Gratificaciones y Bonificaciones</t>
  </si>
  <si>
    <t>Gastos de representación en el exterior</t>
  </si>
  <si>
    <t>Gastos de representación en el país</t>
  </si>
  <si>
    <t>Gastos de representación</t>
  </si>
  <si>
    <t>Dietas en el exterior</t>
  </si>
  <si>
    <t>Dietas en el país</t>
  </si>
  <si>
    <t>Dietas</t>
  </si>
  <si>
    <t>Dietas y Gastos de Representación</t>
  </si>
  <si>
    <t>09</t>
  </si>
  <si>
    <t>Compensaciones especiales</t>
  </si>
  <si>
    <t>Compensación por distancia</t>
  </si>
  <si>
    <t>Compensación servicios de Seguridad</t>
  </si>
  <si>
    <t>Prima de transporte</t>
  </si>
  <si>
    <t>Compensación por gastos de alimentación</t>
  </si>
  <si>
    <t>Compensación</t>
  </si>
  <si>
    <t>Primas por antigüedad</t>
  </si>
  <si>
    <t>Sobresueldos</t>
  </si>
  <si>
    <t>Proporción de vacaciones no disfrutadas</t>
  </si>
  <si>
    <t>Prestación laboral por desvinculación</t>
  </si>
  <si>
    <t>Pago de porcentaje por desvinculación de cargo</t>
  </si>
  <si>
    <t>Sueldos al personal fijo en trámite de pensiones</t>
  </si>
  <si>
    <t xml:space="preserve"> Jornales</t>
  </si>
  <si>
    <t>Sueldo al personal nominal en período probatorio</t>
  </si>
  <si>
    <t>Suplencias</t>
  </si>
  <si>
    <t>Remuneraciones al personal con carácter transitorio</t>
  </si>
  <si>
    <t>Incentivos y escalafón</t>
  </si>
  <si>
    <t>Nuevas plazas maestros</t>
  </si>
  <si>
    <t>Ascensos a militares</t>
  </si>
  <si>
    <t>Sueldos a médicos</t>
  </si>
  <si>
    <t>Remuneraciones al personal fijo</t>
  </si>
  <si>
    <t>Remuneraciones</t>
  </si>
  <si>
    <t>Servicios Personales</t>
  </si>
  <si>
    <t>Gastos</t>
  </si>
  <si>
    <t>Aportes Nomina SNS</t>
  </si>
  <si>
    <t>Venta de Servicios/    Otros Aportes</t>
  </si>
  <si>
    <t>Sub-Cuenta</t>
  </si>
  <si>
    <t>TOTAL</t>
  </si>
  <si>
    <t xml:space="preserve">Distribución del Gasto por Fuente de Financiamiento </t>
  </si>
  <si>
    <t>Descripción Gasto por Cuenta</t>
  </si>
  <si>
    <t>Código Presupuestario</t>
  </si>
  <si>
    <t>TOTAL INGRESOS RDS</t>
  </si>
  <si>
    <t>Venta de Servicios</t>
  </si>
  <si>
    <t>Transferencias Corrientes</t>
  </si>
  <si>
    <t>VS</t>
  </si>
  <si>
    <t>FR</t>
  </si>
  <si>
    <t>OBJETAL</t>
  </si>
  <si>
    <t>Otros Aportes</t>
  </si>
  <si>
    <t>Anticipo Financiero</t>
  </si>
  <si>
    <t>2.- Ingresos por Fuente / Cuenta</t>
  </si>
  <si>
    <t>1.- Balance Inicial / Fuente:</t>
  </si>
  <si>
    <t>Ingresos Generales:</t>
  </si>
  <si>
    <t>Consolidado de Ingresos y Gastos por Fuente de Financiamiento</t>
  </si>
  <si>
    <t>Servicio Nacional de Salud</t>
  </si>
  <si>
    <t>Form. No.6 SRS</t>
  </si>
  <si>
    <t>Porciento</t>
  </si>
  <si>
    <t>Total General</t>
  </si>
  <si>
    <t>Total</t>
  </si>
  <si>
    <t>Otros  Egresos y Gastos</t>
  </si>
  <si>
    <t>Materiales de Limpieza e Higiene</t>
  </si>
  <si>
    <t>GLP</t>
  </si>
  <si>
    <t xml:space="preserve">Gasolina </t>
  </si>
  <si>
    <t>Articulos de Plasticos</t>
  </si>
  <si>
    <t>Productos de papel, carton e impesos</t>
  </si>
  <si>
    <t xml:space="preserve">Alimentos y Bebidas para Personas </t>
  </si>
  <si>
    <t xml:space="preserve">Materiales de Oficina, Impresión y Encuadernación  </t>
  </si>
  <si>
    <t xml:space="preserve">Comisiones y Gastos Bancarios </t>
  </si>
  <si>
    <t xml:space="preserve">Alquileres </t>
  </si>
  <si>
    <t>Transporte y almacenaje</t>
  </si>
  <si>
    <t xml:space="preserve">Viáticos </t>
  </si>
  <si>
    <t>Servicio Telefónico</t>
  </si>
  <si>
    <t xml:space="preserve">Servicios Personales </t>
  </si>
  <si>
    <t>Gastos Administrativos</t>
  </si>
  <si>
    <t xml:space="preserve">Productos Eléctricos y Afines </t>
  </si>
  <si>
    <t>Reparación y Mantenimiento Maquinaria y Eq.</t>
  </si>
  <si>
    <t>Mantenimiento de Equipos</t>
  </si>
  <si>
    <t>Reactivos e Insumos de Laboratorio</t>
  </si>
  <si>
    <t>Oxigeno</t>
  </si>
  <si>
    <t>Medicamentos e Insumos Médicos</t>
  </si>
  <si>
    <t>Atención Directa</t>
  </si>
  <si>
    <t xml:space="preserve"> VENTA SERVICIOS</t>
  </si>
  <si>
    <t>DETALLE</t>
  </si>
  <si>
    <t>RETENCION</t>
  </si>
  <si>
    <t>FECHA</t>
  </si>
  <si>
    <t>TRANSF NO.</t>
  </si>
  <si>
    <t>VALOR</t>
  </si>
  <si>
    <t>AÑOS ANTERIORES</t>
  </si>
  <si>
    <t>Proveedor Informal</t>
  </si>
  <si>
    <t>Incentivo por Rendimieto Individual</t>
  </si>
  <si>
    <t>11</t>
  </si>
  <si>
    <t>Productos Químicos de uso Personal y Laboratorio</t>
  </si>
  <si>
    <t>Contraseña: 0001</t>
  </si>
  <si>
    <t>Personal de carácter eventual</t>
  </si>
  <si>
    <t xml:space="preserve">Servicios de alimentación </t>
  </si>
  <si>
    <t>Servicios de catering</t>
  </si>
  <si>
    <t>Nuevas plazas a médicos</t>
  </si>
  <si>
    <t xml:space="preserve"> Sueldos a empleados fijos</t>
  </si>
  <si>
    <t>Empleados temporales</t>
  </si>
  <si>
    <t>Interinato</t>
  </si>
  <si>
    <t>Sueldo anual no. 13</t>
  </si>
  <si>
    <t>Prestaciones económinas</t>
  </si>
  <si>
    <t>Pago de horas extraordinarias</t>
  </si>
  <si>
    <t>Bono por desempeño a servidores de carrera</t>
  </si>
  <si>
    <t>Compensacion por cumplimiento de indicadores</t>
  </si>
  <si>
    <t>Alquileres de equipos electricos (plantas)</t>
  </si>
  <si>
    <t>Alquiler de equipo de tecnologia y almacenamiento de datos</t>
  </si>
  <si>
    <t>Derechos de uso</t>
  </si>
  <si>
    <t>Licencias informaticas</t>
  </si>
  <si>
    <t>Mantenimiento, reparacion, servicios de pintura y sus derivados</t>
  </si>
  <si>
    <t>Mantenimiento y rep. de equipo de tecnologia e informatica</t>
  </si>
  <si>
    <t>Papel y cartón</t>
  </si>
  <si>
    <t>Otros productos no metálicos</t>
  </si>
  <si>
    <t>Útiles y materiales de limpieza e higiene</t>
  </si>
  <si>
    <t>Útiles y materiales de limpieza e higiene personal</t>
  </si>
  <si>
    <t>Útiles y materiales de escritorio, oficina e informática</t>
  </si>
  <si>
    <t>Útiles de escritorio, oficina, informática, escolares y de enseñanza</t>
  </si>
  <si>
    <t>Productos y útiles e defensa y seguridad</t>
  </si>
  <si>
    <t>Muebles, equipos de oficina y estantería</t>
  </si>
  <si>
    <t>Equipo de tecnologia de la informacion y comunicación</t>
  </si>
  <si>
    <t>Mobiliario y equipo educacional y recreativo</t>
  </si>
  <si>
    <t>Mobiliario y Eq. de Audio, Audiovisual, Recreativo y Educacional</t>
  </si>
  <si>
    <t>Equipo e instrumentos de medición científica</t>
  </si>
  <si>
    <t>Sistemas y equipos de climatización</t>
  </si>
  <si>
    <t>Equipo de generación eléctrica y a fines</t>
  </si>
  <si>
    <t>Máquinas-herramientas</t>
  </si>
  <si>
    <t>Otros activos que generan producción recurrente</t>
  </si>
  <si>
    <t>Adquisición de mejoras residenciales</t>
  </si>
  <si>
    <t>Adquisición de mejoras no residenciales</t>
  </si>
  <si>
    <t>Licencias intelectuales, industriales y comerciales</t>
  </si>
  <si>
    <t>Dirección de Fizcalización</t>
  </si>
  <si>
    <t>Gastos Inversion y Capital</t>
  </si>
  <si>
    <t>Servicios Basicos (electricidad, agua y residuos solidos)</t>
  </si>
  <si>
    <t>Fondo 100</t>
  </si>
  <si>
    <t>RESUMEN COMPARATIVO DE GASTOS ESPECIFICOS FONDO 100 Y VENTA DE SERVICIOS</t>
  </si>
  <si>
    <t>DIRECCION DE FISCALIZACION Y CONTROL</t>
  </si>
  <si>
    <t>RELACION DE PAGOS EMITIDOS DURANTE EL MES</t>
  </si>
  <si>
    <t>ESTABLECIMIENTO:</t>
  </si>
  <si>
    <t xml:space="preserve"> LIBRAMIENTO</t>
  </si>
  <si>
    <t>TRANSFERENCIA</t>
  </si>
  <si>
    <t>CHEQUE</t>
  </si>
  <si>
    <t>BENEFICIARIO</t>
  </si>
  <si>
    <t xml:space="preserve">NO.FACTURAS </t>
  </si>
  <si>
    <t>VALOR DE  FACTURA</t>
  </si>
  <si>
    <t>VALOR PAGADO</t>
  </si>
  <si>
    <t>MONTO</t>
  </si>
  <si>
    <t>TIPO</t>
  </si>
  <si>
    <t>Fuente: [fuente]</t>
  </si>
  <si>
    <t>TOTAL GASTOS Y APLICACIONES FINANCIERAS</t>
  </si>
  <si>
    <t>TOTAL APLICACIONES FINANCIERAS</t>
  </si>
  <si>
    <t>4.3.5 - DISMINUCIÓN DEPÓSITOS FONDOS DE TERCEROS</t>
  </si>
  <si>
    <t>4.3 - DISMINUCIÓN DE FONDOS DE TERCEROS</t>
  </si>
  <si>
    <t>4.2.2 - DISMINUCIÓN DE PASIVOS NO CORRIENTES</t>
  </si>
  <si>
    <t>4.2.1 - DISMINUCIÓN DE PASIVOS CORRIENTES</t>
  </si>
  <si>
    <t>4.2 - DISMINUCIÓN DE PASIVOS</t>
  </si>
  <si>
    <t>4.1.2 - INCREMENTO DE ACTIVOS FINANCIEROS NO CORRIENTES</t>
  </si>
  <si>
    <t>4.1.1 - INCREMENTO DE ACTIVOS FINANCIEROS CORRIENTES</t>
  </si>
  <si>
    <t>4.1 - INCREMENTO DE ACTIVOS FINANCIEROS</t>
  </si>
  <si>
    <t>4 - APLICACIONES FINANCIERAS</t>
  </si>
  <si>
    <t>Total Gastos</t>
  </si>
  <si>
    <t>2.9.4 - COMISIONES Y OTROS GASTOS BANCARIOS DE LA DEUDA PÚBLICA</t>
  </si>
  <si>
    <t>2.9.2 - INTERESES DE LA DEUDA PUBLICA EXTERNA</t>
  </si>
  <si>
    <t>2.9.1 - INTERESES DE LA DEUDA PÚBLICA INTERNA</t>
  </si>
  <si>
    <t>2.9 - GASTOS FINANCIEROS</t>
  </si>
  <si>
    <t>2.8.2 - ADQUISICIÓN DE TÍTULOS VALORES REPRESENTATIVOS DE DEUDA</t>
  </si>
  <si>
    <t>2.8.1 - CONCESIÓN DE PRESTAMOS</t>
  </si>
  <si>
    <t>2.8 - ADQUISICION DE ACTIVOS FINANCIEROS CON FINES DE POLÍTICA</t>
  </si>
  <si>
    <t>2.7.4 - GASTOS QUE SE ASIGNARÁN DURANTE EL EJERCICIO PARA INVERSIÓN (ART. 32 Y 33 LEY 423-06)</t>
  </si>
  <si>
    <t>2.7.3 - CONSTRUCCIONES EN BIENES CONCESIONADOS</t>
  </si>
  <si>
    <t>2.7.2 - INFRAESTRUCTURA</t>
  </si>
  <si>
    <t>2.7.1 - OBRAS EN EDIFICACIONES</t>
  </si>
  <si>
    <t>2.7 - OBRAS</t>
  </si>
  <si>
    <t>2.6.9 - EDIFICIOS, ESTRUCTURAS, TIERRAS, TERRENOS Y OBJETOS DE VALOR</t>
  </si>
  <si>
    <t>2.6.8 - BIENES INTANGIBLES</t>
  </si>
  <si>
    <t>2.6.7 - ACTIVOS BIÓLOGICOS CULTIVABLES</t>
  </si>
  <si>
    <t>2.6.6 - EQUIPOS DE DEFENSA Y SEGURIDAD</t>
  </si>
  <si>
    <t>2.6.5 - MAQUINARIA, OTROS EQUIPOS Y HERRAMIENTAS</t>
  </si>
  <si>
    <t>2.6.4 - VEHÍCULOS Y EQUIPO DE TRANSPORTE, TRACCIÓN Y ELEVACIÓN</t>
  </si>
  <si>
    <t>2.6.3 - EQUIPO E INSTRUMENTAL, CIENTÍFICO Y LABORATORIO</t>
  </si>
  <si>
    <t>2.6.2 - MOBILIARIO Y EQUIPO EDUCACIONAL Y RECREATIVO</t>
  </si>
  <si>
    <t>2.6.1 - MOBILIARIO Y EQUIPO</t>
  </si>
  <si>
    <t>2.6 - BIENES MUEBLES, INMUEBLES E INTANGIBLES</t>
  </si>
  <si>
    <t>2.5.9 - TRANSFERENCIAS DE CAPITAL A OTRAS INSTITUCIONES PÚBLICAS</t>
  </si>
  <si>
    <t>2.5.6 - TRANSFERENCIAS DE CAPITAL AL SECTOR EXTERNO</t>
  </si>
  <si>
    <t>2.5.5 - TRANSFERENCIAS DE CAPITAL A INSTITUCIONES PÚBLICAS FINANCIERAS</t>
  </si>
  <si>
    <t>2.5.4 - TRANSFERENCIAS DE CAPITAL  A EMPRESAS PÚBLICAS NO FINANCIERAS</t>
  </si>
  <si>
    <t>2.5.3 - TRANSFERENCIAS DE CAPITAL A GOBIERNOS GENERALES LOCALES</t>
  </si>
  <si>
    <t>2.5.2 - TRANSFERENCIAS DE CAPITAL AL GOBIERNO GENERAL  NACIONAL</t>
  </si>
  <si>
    <t>2.5.1 - TRANSFERENCIAS DE CAPITAL AL SECTOR PRIVADO</t>
  </si>
  <si>
    <t>2.5 - TRANSFERENCIAS DE CAPITAL</t>
  </si>
  <si>
    <t>2.4.9 - TRANSFERENCIAS CORRIENTES A OTRAS INSTITUCIONES PÚBLICAS</t>
  </si>
  <si>
    <t>2.4.7 - TRANSFERENCIAS CORRIENTES AL SECTOR EXTERNO</t>
  </si>
  <si>
    <t>2.4.5 - TRANSFERENCIAS CORRIENTES A INSTITUCIONES PÚBLICAS FINANCIERAS</t>
  </si>
  <si>
    <t>2.4.4 - TRANSFERENCIAS CORRIENTES A EMPRESAS PÚBLICAS NO FINANCIERAS</t>
  </si>
  <si>
    <t>2.4.3 - TRANSFERENCIAS CORRIENTES A GOBIERNOS GENERALES LOCALES</t>
  </si>
  <si>
    <t>2.4.2 - TRANSFERENCIAS CORRIENTES AL  GOBIERNO GENERAL NACIONAL</t>
  </si>
  <si>
    <t>2.4.1 - TRANSFERENCIAS CORRIENTES AL SECTOR PRIVADO</t>
  </si>
  <si>
    <t>2.4 - TRANSFERENCIAS CORRIENTES</t>
  </si>
  <si>
    <t>2.3.9 - PRODUCTOS Y ÚTILES VARIOS</t>
  </si>
  <si>
    <t>2.3.8 - GASTOS QUE SE ASIGNARÁN DURANTE EL EJERCICIO (ART. 32 Y 33 LEY 423-06)</t>
  </si>
  <si>
    <t>2.3.7 - COMBUSTIBLES, LUBRICANTES, PRODUCTOS QUÍMICOS Y CONEXOS</t>
  </si>
  <si>
    <t>2.3.6 - PRODUCTOS DE MINERALES, METÁLICOS Y NO METÁLICOS</t>
  </si>
  <si>
    <t>2.3.5 - PRODUCTOS DE CUERO, CAUCHO Y PLÁSTICO</t>
  </si>
  <si>
    <t>2.3.4 - PRODUCTOS FARMACÉUTICOS</t>
  </si>
  <si>
    <t>2.3.3 - PRODUCTOS DE PAPEL, CARTÓN E IMPRESOS</t>
  </si>
  <si>
    <t>2.3.2 - TEXTILES Y VESTUARIOS</t>
  </si>
  <si>
    <t>2.3.1 - ALIMENTOS Y PRODUCTOS AGROFORESTALES</t>
  </si>
  <si>
    <t>2.3 - MATERIALES Y SUMINISTROS</t>
  </si>
  <si>
    <t>2.2.9 - OTRAS CONTRATACIONES DE SERVICIOS</t>
  </si>
  <si>
    <t>2.2.8 - OTROS SERVICIOS NO INCLUIDOS EN CONCEPTOS ANTERIORES</t>
  </si>
  <si>
    <t>2.2.7 - SERVICIOS DE CONSERVACIÓN, REPARACIONES MENORES E INSTALACIONES TEMPORALES</t>
  </si>
  <si>
    <t>2.2.6 - SEGUROS</t>
  </si>
  <si>
    <t>2.2.5 - ALQUILERES Y RENTAS</t>
  </si>
  <si>
    <t>2.2.4 - TRANSPORTE Y ALMACENAJE</t>
  </si>
  <si>
    <t>2.2.3 - VIÁTICOS</t>
  </si>
  <si>
    <t>2.2.2 - PUBLICIDAD, IMPRESIÓN Y ENCUADERNACIÓN</t>
  </si>
  <si>
    <t>2.2.1 - SERVICIOS BÁSICOS</t>
  </si>
  <si>
    <t>2.2 - CONTRATACIÓN DE SERVICIOS</t>
  </si>
  <si>
    <t>2.1.5 - CONTRIBUCIONES A LA SEGURIDAD SOCIAL</t>
  </si>
  <si>
    <t>2.1.4 - GRATIFICACIONES Y BONIFICACIONES</t>
  </si>
  <si>
    <t>2.1.3 - DIETAS Y GASTOS DE REPRESENTACIÓN</t>
  </si>
  <si>
    <t>2.1.2 - SOBRESUELDOS</t>
  </si>
  <si>
    <t>2.1.1 - REMUNERACIONES</t>
  </si>
  <si>
    <t>2.1 - REMUNERACIONES Y CONTRIBUCIONES</t>
  </si>
  <si>
    <t>2 - GASTOS</t>
  </si>
  <si>
    <t>Diciembre</t>
  </si>
  <si>
    <t>Noviembre</t>
  </si>
  <si>
    <t xml:space="preserve">Octubre </t>
  </si>
  <si>
    <t>Septiembre</t>
  </si>
  <si>
    <t>Agosto</t>
  </si>
  <si>
    <t>Julio</t>
  </si>
  <si>
    <t>Junio</t>
  </si>
  <si>
    <t>Mayo</t>
  </si>
  <si>
    <t>Abril</t>
  </si>
  <si>
    <t>Marzo</t>
  </si>
  <si>
    <t xml:space="preserve">Febrero </t>
  </si>
  <si>
    <t xml:space="preserve">Enero </t>
  </si>
  <si>
    <t xml:space="preserve">Total </t>
  </si>
  <si>
    <t>Detalle</t>
  </si>
  <si>
    <t>En RD$</t>
  </si>
  <si>
    <t>REGION</t>
  </si>
  <si>
    <t xml:space="preserve">SERVICIO NACIONAL DE SALUD </t>
  </si>
  <si>
    <t>FONDO REPONIBLE</t>
  </si>
  <si>
    <t>VENTA SEVICIOS/OTROS APORTES</t>
  </si>
  <si>
    <t xml:space="preserve">TOTAL </t>
  </si>
  <si>
    <t>1ro</t>
  </si>
  <si>
    <t>2do</t>
  </si>
  <si>
    <t>3ro</t>
  </si>
  <si>
    <t>4to</t>
  </si>
  <si>
    <t>SERVICIO REGIONAL DE SALUD</t>
  </si>
  <si>
    <t>A</t>
  </si>
  <si>
    <t>B</t>
  </si>
  <si>
    <t>C</t>
  </si>
  <si>
    <t>D</t>
  </si>
  <si>
    <t>E</t>
  </si>
  <si>
    <t>F</t>
  </si>
  <si>
    <t>PERÍODO</t>
  </si>
  <si>
    <t>STATUS PRESTAMO</t>
  </si>
  <si>
    <t>DESDE</t>
  </si>
  <si>
    <t>HASTA</t>
  </si>
  <si>
    <t>MONTO ORIGEN</t>
  </si>
  <si>
    <t>MONTO AMORTIZADO</t>
  </si>
  <si>
    <t>BALANCE PENDIENTE</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</si>
  <si>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</si>
  <si>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</si>
  <si>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</si>
  <si>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</si>
  <si>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</si>
  <si>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</si>
  <si>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</si>
  <si>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</si>
  <si>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Preparado por: </t>
  </si>
  <si>
    <t xml:space="preserve">Revisado por: </t>
  </si>
  <si>
    <t xml:space="preserve">Servicio Nacional de Salud </t>
  </si>
  <si>
    <t xml:space="preserve">Dirección de Fiscalización </t>
  </si>
  <si>
    <t xml:space="preserve">Comportamiento de Ingresos percibidos Segregados según Origen </t>
  </si>
  <si>
    <t>ARS</t>
  </si>
  <si>
    <t xml:space="preserve">Fecha deposito </t>
  </si>
  <si>
    <t xml:space="preserve">No. De Documento de referencia </t>
  </si>
  <si>
    <t>INGRESOS</t>
  </si>
  <si>
    <t xml:space="preserve">Sub-Total </t>
  </si>
  <si>
    <t>SALUD SEGURA</t>
  </si>
  <si>
    <t>APS</t>
  </si>
  <si>
    <t>SIMAG</t>
  </si>
  <si>
    <t>GMA</t>
  </si>
  <si>
    <t>YUNEN</t>
  </si>
  <si>
    <t>UNIVERSAL</t>
  </si>
  <si>
    <t>MONUMENTAL</t>
  </si>
  <si>
    <t>FUTURO</t>
  </si>
  <si>
    <t xml:space="preserve">Cafetería </t>
  </si>
  <si>
    <t>Alquiler de espacios internos a terceros</t>
  </si>
  <si>
    <t>INGRESOS POR SERVICIOS PACIENTES PRIVADOS Y DIFERENCIAS POR SEGUROS MEDICOS</t>
  </si>
  <si>
    <t xml:space="preserve">Total General </t>
  </si>
  <si>
    <t xml:space="preserve">Aprobado por:  </t>
  </si>
  <si>
    <t xml:space="preserve">Servicio Nacional De Salud </t>
  </si>
  <si>
    <t xml:space="preserve">Dirección de Fiscalizacion </t>
  </si>
  <si>
    <t>Ingresos Por Facturación ARS</t>
  </si>
  <si>
    <t xml:space="preserve"> </t>
  </si>
  <si>
    <t>Establecimiento:</t>
  </si>
  <si>
    <t xml:space="preserve">ENERO </t>
  </si>
  <si>
    <t>FEBRERO</t>
  </si>
  <si>
    <t>MARZO</t>
  </si>
  <si>
    <t>ABRIL</t>
  </si>
  <si>
    <t>MAYO</t>
  </si>
  <si>
    <t>JUNIO</t>
  </si>
  <si>
    <t>JULIO</t>
  </si>
  <si>
    <t>AGOSTO</t>
  </si>
  <si>
    <t>SEPTIEMBRE</t>
  </si>
  <si>
    <t>OCTUBRE</t>
  </si>
  <si>
    <t>NOVIEMBRE</t>
  </si>
  <si>
    <t>DICIEMBRE</t>
  </si>
  <si>
    <t xml:space="preserve">Facturado </t>
  </si>
  <si>
    <t xml:space="preserve">Recibido </t>
  </si>
  <si>
    <t>SENASA SUBSIDIADO</t>
  </si>
  <si>
    <t>SENASA CONTRIBUTIVO</t>
  </si>
  <si>
    <t>SENASA  JUB. Y PENS.</t>
  </si>
  <si>
    <t>Total SeNaSa</t>
  </si>
  <si>
    <t>PALIC SALUD</t>
  </si>
  <si>
    <t xml:space="preserve">ARL </t>
  </si>
  <si>
    <t>RENACER</t>
  </si>
  <si>
    <t>ARS HUMANO</t>
  </si>
  <si>
    <t xml:space="preserve">ARS PLANSALUD BANCO CENTRAL </t>
  </si>
  <si>
    <t xml:space="preserve">SEMMA </t>
  </si>
  <si>
    <t>CONSTITUCION</t>
  </si>
  <si>
    <t>META SALUD</t>
  </si>
  <si>
    <t>ASEMAP</t>
  </si>
  <si>
    <t>CMD</t>
  </si>
  <si>
    <t>RESERVAS</t>
  </si>
  <si>
    <t>SEMUNASED</t>
  </si>
  <si>
    <t>SERVICIOS MEDICOS UASD</t>
  </si>
  <si>
    <t xml:space="preserve">PRIMERA ARS HUMANO </t>
  </si>
  <si>
    <t>Total ARS PRIVADAS</t>
  </si>
  <si>
    <t>Preparado por:</t>
  </si>
  <si>
    <t xml:space="preserve">Licda. </t>
  </si>
  <si>
    <t xml:space="preserve">              Servicio Nacional de Salud                              </t>
  </si>
  <si>
    <t>Glosa /mes</t>
  </si>
  <si>
    <t>Establecimientos</t>
  </si>
  <si>
    <t>Facturado</t>
  </si>
  <si>
    <t>Glosado</t>
  </si>
  <si>
    <t xml:space="preserve">                  Servicio Nacional de Salud </t>
  </si>
  <si>
    <t xml:space="preserve">RELACION DEUDA </t>
  </si>
  <si>
    <t>NO</t>
  </si>
  <si>
    <t xml:space="preserve">NOMBRES PROVEEDOR  </t>
  </si>
  <si>
    <t>AL 31 DICIEMBRE 2021</t>
  </si>
  <si>
    <t>AL 31 DICIEMBRE 2022</t>
  </si>
  <si>
    <t>TOTAL ADEUDA</t>
  </si>
  <si>
    <t xml:space="preserve">TOTAL GENERAL </t>
  </si>
  <si>
    <t>DIRECCION DE FISCALIZACION</t>
  </si>
  <si>
    <t>FONDO 100</t>
  </si>
  <si>
    <t>CONSOLIDADO GASTOS EJECUCION FINANCIERA 2025</t>
  </si>
  <si>
    <t>Ejecución de Gastos  Fondo (100) 2025</t>
  </si>
  <si>
    <t>FONDO 100(2.1)</t>
  </si>
  <si>
    <t>Años anteriores 2020</t>
  </si>
  <si>
    <t>AL 31 DICIEMBRE 2023</t>
  </si>
  <si>
    <t>Al 31 DICIEMBRE 2024</t>
  </si>
  <si>
    <t>Enero</t>
  </si>
  <si>
    <t>Febrero</t>
  </si>
  <si>
    <t>Octubre</t>
  </si>
  <si>
    <t>Bio Nuclear, SA</t>
  </si>
  <si>
    <t>Ciencia Tecnología y Consultas, SRL</t>
  </si>
  <si>
    <t>Farmaco Internacional, SRL</t>
  </si>
  <si>
    <t>Bello-Lab, SRL</t>
  </si>
  <si>
    <t>Abrias Novo Group SRL</t>
  </si>
  <si>
    <t>PAGO PROVEEDORES</t>
  </si>
  <si>
    <t>CAJA CHICA</t>
  </si>
  <si>
    <t>NOMINA</t>
  </si>
  <si>
    <t>OTROS</t>
  </si>
  <si>
    <t>HOSPITAL MATERNO INFANTIL SAN LORENZO DE LOS MINA</t>
  </si>
  <si>
    <t>DIRECCIÓN DE FISCALIZACIÓN Y CONTROL</t>
  </si>
  <si>
    <t>PROMESE CAL</t>
  </si>
  <si>
    <t>AL 31 DE ENERO 2025</t>
  </si>
  <si>
    <t>AL 28 DE FEBRERO 2025</t>
  </si>
  <si>
    <t>Medequip, SRL</t>
  </si>
  <si>
    <t>Grupo Xeron Medic SRL</t>
  </si>
  <si>
    <t>Ropharma, SRL</t>
  </si>
  <si>
    <t>Bio Nova, SRL</t>
  </si>
  <si>
    <t>Papelería E. Impresos Crishoan, SRL</t>
  </si>
  <si>
    <t>Leromed Pharma, SRL</t>
  </si>
  <si>
    <t>Insocorp, S.R.L.</t>
  </si>
  <si>
    <t>Hospifar, SRL</t>
  </si>
  <si>
    <t>Morami, SRL</t>
  </si>
  <si>
    <t>Delia Josefina Tatis Perdomo</t>
  </si>
  <si>
    <t xml:space="preserve">CUENTAS POR PAGAR A: </t>
  </si>
  <si>
    <t>ESTABLECIMIENTO:HOSPITAL MATERNO INFANTIL SAN LORENZO DE LOS MINA</t>
  </si>
  <si>
    <t>RESUMEN</t>
  </si>
  <si>
    <t>TOTAL GENERAL</t>
  </si>
  <si>
    <t xml:space="preserve">valor de Transferencia o Cheque </t>
  </si>
  <si>
    <t>Odontologia (facturacion servicios no contemplado en Plan Basico)</t>
  </si>
  <si>
    <t>Aportes provenientes de convenios Institucionales</t>
  </si>
  <si>
    <t>Cuenta Núm.</t>
  </si>
  <si>
    <t>Balance en libro</t>
  </si>
  <si>
    <t>Balance en Banco</t>
  </si>
  <si>
    <t>Balance Conciliado</t>
  </si>
  <si>
    <t>____________________________________</t>
  </si>
  <si>
    <t>___________________________________</t>
  </si>
  <si>
    <t>________________________________</t>
  </si>
  <si>
    <t>.</t>
  </si>
  <si>
    <t>FONDO 100(2.3)</t>
  </si>
  <si>
    <t>FONDO 100(2.6)</t>
  </si>
  <si>
    <t>ARS FUTURO</t>
  </si>
  <si>
    <t>ARS YUNEN</t>
  </si>
  <si>
    <t>ARS PRIMERA</t>
  </si>
  <si>
    <t>ARS MONUMENTAL</t>
  </si>
  <si>
    <t>OTROS APORTES</t>
  </si>
  <si>
    <t>010-390450-6</t>
  </si>
  <si>
    <t>31 DE MARZO 2025</t>
  </si>
  <si>
    <t>FUENTE FINANCIMIENTO</t>
  </si>
  <si>
    <t>CONCEPTO</t>
  </si>
  <si>
    <t>Ejecución de Gastos  VENTA SERVICIOS  2025</t>
  </si>
  <si>
    <t>ARS CMD</t>
  </si>
  <si>
    <t>Xavier Vargas, Ingeniería Electromecánica, EIRL</t>
  </si>
  <si>
    <t>Khris Aus Pharmacy, S.R.L</t>
  </si>
  <si>
    <t>ADLER AMICIS VALDEZ MARMOLEJOS</t>
  </si>
  <si>
    <t>Diucam Group SRL</t>
  </si>
  <si>
    <t>LIBRAMIENTO</t>
  </si>
  <si>
    <t>CAFETERIA</t>
  </si>
  <si>
    <t>31 DE MAYO 2025</t>
  </si>
  <si>
    <t>FEBRERO, MARZO Y ABRIL 2025, UCE</t>
  </si>
  <si>
    <t>INGRESOS POR EXTRANJEROS</t>
  </si>
  <si>
    <t>ODONTOLOGIA</t>
  </si>
  <si>
    <t>ARS MAPHRE</t>
  </si>
  <si>
    <t>ARS SENASA SUBSIDIADO</t>
  </si>
  <si>
    <t>ARS SENASA CONTRIBUTIVO</t>
  </si>
  <si>
    <t>ARS META SALUD</t>
  </si>
  <si>
    <t>SENASA PENSIONADO</t>
  </si>
  <si>
    <t>ARS RESERVAS</t>
  </si>
  <si>
    <t>Atenciones a Pacientes Extranjeros</t>
  </si>
  <si>
    <t>EXTRANJEROS</t>
  </si>
  <si>
    <t>Dumas Pharmaceuticals, SRL</t>
  </si>
  <si>
    <t>Empresa Rotricomercial, SRL</t>
  </si>
  <si>
    <t>30 DE ABRIL 2025</t>
  </si>
  <si>
    <t xml:space="preserve">RELACIÓN DE ORDENES DE COMPRAS DE BIENES Y SERVICIOS EFECTUADAS. </t>
  </si>
  <si>
    <t>Fecha</t>
  </si>
  <si>
    <t>#  Orden de Compra o Servicios</t>
  </si>
  <si>
    <t># DE EXPEDIENTE(PROCESO CELEBRADO)</t>
  </si>
  <si>
    <t>No. De Factura Fiscal NCF</t>
  </si>
  <si>
    <t>Fuente. Financ      (FR-VS)</t>
  </si>
  <si>
    <t>Beneficiario</t>
  </si>
  <si>
    <t>Rubro</t>
  </si>
  <si>
    <t>No. Cta. Objetal del Gasto</t>
  </si>
  <si>
    <t>Valor</t>
  </si>
  <si>
    <t>Status del proceso</t>
  </si>
  <si>
    <t>solo observar cuando se presentas esos procesos</t>
  </si>
  <si>
    <t>VS/FG</t>
  </si>
  <si>
    <t>Lambda Diagnósticos, SRL</t>
  </si>
  <si>
    <t>Gapiezo SRL</t>
  </si>
  <si>
    <t>Sub-Total Compras RD$</t>
  </si>
  <si>
    <t>RESUMEN DE COMPRAS o SERVICIOS POR CUENTAS:</t>
  </si>
  <si>
    <t>RESUMEN DE PROCESO SEGÚN MODALIDAD:</t>
  </si>
  <si>
    <t xml:space="preserve">CUENTAS No. </t>
  </si>
  <si>
    <t>CANTIDAD</t>
  </si>
  <si>
    <t>Compra Directa</t>
  </si>
  <si>
    <t>Compra Menor</t>
  </si>
  <si>
    <t>Comparacion de precio</t>
  </si>
  <si>
    <t xml:space="preserve">TOTAL COMPRAS       </t>
  </si>
  <si>
    <t>CERTIFICO CORRECTO:</t>
  </si>
  <si>
    <t>__________________________</t>
  </si>
  <si>
    <t>DIRECTOR</t>
  </si>
  <si>
    <t>ADMINISTRADOR:</t>
  </si>
  <si>
    <t>ENC. DE COMPRAS:__________________________</t>
  </si>
  <si>
    <t>TOTAL RESUMEN</t>
  </si>
  <si>
    <t>Ameriline Pharmaceutical, SRL</t>
  </si>
  <si>
    <t>Destreza Comercial, SRL</t>
  </si>
  <si>
    <t>Compra-Med, SRL</t>
  </si>
  <si>
    <t>AGROGLOBAL EXPORT E IMPORT, SRL</t>
  </si>
  <si>
    <t>CENTRO DE LA SANGRE Y ESPECIALIDADES Y ESPECIALIDADES SRL</t>
  </si>
  <si>
    <t>TROPIGAS DOMINICANA SRL</t>
  </si>
  <si>
    <t>OSORIO INTEGRACIONES, SRL</t>
  </si>
  <si>
    <t>Bajo las funciones que nos asisten certificamos que el valor de los ingresos percibidos durante el mes de marzo de 2025, correspondieron a un monto de RD$104,560,836.52</t>
  </si>
  <si>
    <t>SENASA LARIMAR</t>
  </si>
  <si>
    <t>41110000</t>
  </si>
  <si>
    <t>Adjudicado</t>
  </si>
  <si>
    <t>42180000</t>
  </si>
  <si>
    <t>51130000</t>
  </si>
  <si>
    <t>G &amp; M Gelmat Comercial, SRL</t>
  </si>
  <si>
    <t>52140000</t>
  </si>
  <si>
    <t>Adler Amicis Valdez Marmolejos</t>
  </si>
  <si>
    <t>AMMB Importación, SRL</t>
  </si>
  <si>
    <t>51140000</t>
  </si>
  <si>
    <t>47130000</t>
  </si>
  <si>
    <t>50110000</t>
  </si>
  <si>
    <t>47120000</t>
  </si>
  <si>
    <t>51190000</t>
  </si>
  <si>
    <t>JM Distribución, SRL</t>
  </si>
  <si>
    <t>51170000</t>
  </si>
  <si>
    <t>42270000</t>
  </si>
  <si>
    <t>43210000</t>
  </si>
  <si>
    <t>81110000</t>
  </si>
  <si>
    <t>Gestiones Sanitarias &amp; Ambientales, SRL (GESA)</t>
  </si>
  <si>
    <t>42140000</t>
  </si>
  <si>
    <t>41100000</t>
  </si>
  <si>
    <t>51100000</t>
  </si>
  <si>
    <t>Q&amp;Q Medical RD, SRL</t>
  </si>
  <si>
    <t>50100000</t>
  </si>
  <si>
    <t>Cancelado</t>
  </si>
  <si>
    <t>Livao Farmacéutica, SRL</t>
  </si>
  <si>
    <t>39120000</t>
  </si>
  <si>
    <t>42310000</t>
  </si>
  <si>
    <t>Planeta Azul, SA</t>
  </si>
  <si>
    <t>50200000</t>
  </si>
  <si>
    <t>Negocios Suheidy Rodriguez, SRL</t>
  </si>
  <si>
    <t>42130000</t>
  </si>
  <si>
    <t>Macrotech Farmacéutica, SRL</t>
  </si>
  <si>
    <t>41120000</t>
  </si>
  <si>
    <t>Baucomer, SRL</t>
  </si>
  <si>
    <t>42220000</t>
  </si>
  <si>
    <t>51160000</t>
  </si>
  <si>
    <t>51180000</t>
  </si>
  <si>
    <t>56100000</t>
  </si>
  <si>
    <t>82120000</t>
  </si>
  <si>
    <t>72100000</t>
  </si>
  <si>
    <t>76120000</t>
  </si>
  <si>
    <t>42290000</t>
  </si>
  <si>
    <t>Grupo Cometa, SAS</t>
  </si>
  <si>
    <t>78180000</t>
  </si>
  <si>
    <t>50130000</t>
  </si>
  <si>
    <t>Analisis de oferta</t>
  </si>
  <si>
    <t>Evaluación</t>
  </si>
  <si>
    <t>HSML-2025-00625</t>
  </si>
  <si>
    <t>HSLM-DAF-CD-2025-0489</t>
  </si>
  <si>
    <t>Marino Enrique Nuñez Castro</t>
  </si>
  <si>
    <t>HSML-2025-00626</t>
  </si>
  <si>
    <t>HSLM-DAF-CD-2025-0490</t>
  </si>
  <si>
    <t>24100000</t>
  </si>
  <si>
    <t>Publicado</t>
  </si>
  <si>
    <t>Gerenfar, S.R.L.</t>
  </si>
  <si>
    <t>Fecha de registro: hasta el [01] de [01] del [2025]</t>
  </si>
  <si>
    <t>Tu Amigo, SRL</t>
  </si>
  <si>
    <t>30 DE JUNIO 2025</t>
  </si>
  <si>
    <t>Otros (Identificar Fuente ) Recibidos directamente a  la cuenta corriente010-390450-6 (sisaril)</t>
  </si>
  <si>
    <t>PAGO NCF E450000005443 ADQUISICION DE GAS LICUADO DE PETROLEO SEGÚN ORDEN DE COMPRA HSLM-2025-00066.</t>
  </si>
  <si>
    <t>P&amp;D RECYCLING SRL</t>
  </si>
  <si>
    <t>PAGO NCF B1500000313 SERVICIO DE RECOGIDA DE DESESCHOS SOLIDOS SEGÚN O/C HSLM-2025-00578.</t>
  </si>
  <si>
    <t>PAGO DE PRESTACIONES LABORALES POR VACACIONES NO DISFRUTADAS MAYO 2025, DEBIDO A QUE SU CUENTA FUE CERRADA.</t>
  </si>
  <si>
    <t>JULIO CESAR GONZALEZ</t>
  </si>
  <si>
    <t>FILIDENNY RODRIGUEZ DE ACEVEDO</t>
  </si>
  <si>
    <t>PAGO DE REGALIA PASCUAL PERSONAL FIJOS INACTIVOS 2024, DEBIDO A QUE SU CUENTA FUE CERRADA.</t>
  </si>
  <si>
    <t>PAGO DE FACTURA NCF NO B1500000110, POR ADQUISICION DE TARIMAS PLASTICAS, SEGÚN ORDEN DE COMPRA HSLM-2025-00626</t>
  </si>
  <si>
    <t xml:space="preserve">NEGOCIOS SUHEIDY RODRIGUEZ, SRL  </t>
  </si>
  <si>
    <t>LABORATORIO CLINICO LICDA PATRIA RIVAS, SRL</t>
  </si>
  <si>
    <t>PAGO DE FACT NCF NO E450000000049, POR SERVICIO DE ESTUDIOS ESPECIALIZADOS SEGÚN ORDEN DE COMPRA HSLM-2025-00312</t>
  </si>
  <si>
    <t>PAGO NCF B1500000403 SERVICIO DE SANGRE PARA PACIENTES INTERNOS SEGÚN O/C HSLM-2025-00428.</t>
  </si>
  <si>
    <t>PAGO DE FACT NCF B1500000108, POR ADQUISICION DE FUNDAS PLASTICAS, SEGÚN ORDEN DE COMPRA HSLM-2025-00614</t>
  </si>
  <si>
    <t>NEGOCIOS SUHEIDY RODRIGUEZ, SRL</t>
  </si>
  <si>
    <t>SERVICIO DE BIOMEDICINA MEDICO SERBIOMED SRL</t>
  </si>
  <si>
    <t>PAGO DE FACT NCF NO. B1500000226, POR ADQUISICION DE KIT DE PRUEBA DE ESTERILIZADOR DE VACIO DE PULSO MARCA SHINVA DE 350, SEGÚN ORDEN DE COMPRA HSLM-2025-00526</t>
  </si>
  <si>
    <t>PAGO DE FACT NCF NO. B1500000225, POR SERVICIO DE MANTENIMIENTO PREVENTIVO DE AUTOCLAVE SHINVA 350 LITRO, SEGÚN ORDEN DE SERVICIO HSLM-2025-00528</t>
  </si>
  <si>
    <t>CABOD, SRL</t>
  </si>
  <si>
    <t>PAGO DE FACT NCF NO. B1500001808 Y B1500001802, POR ADQUISICION DE DETERGENTE PARA LAVANDERIA, SEGÚN ORDEN DE COMPRA HSLM-2025-00615</t>
  </si>
  <si>
    <t>PAGO DE FACT NCF NO. B1500000249, POR SERVICIO DE MANTENIMIENTO DE AIRES ACONDICIONADOS, SEGÚN ORDEN DE SERVICIO NO. HSLM-2025-00570</t>
  </si>
  <si>
    <t>XAVIER VARGAS, INGENIERIA ELECROMECANICA, EIRL</t>
  </si>
  <si>
    <t>PAGO DE FACT NCF NO. B1500000015, POR ADQUISICION DE CONTROL DE ASISTENCIA, SEGÚN ORDEN DE COMPRA HSLM-2025-00469</t>
  </si>
  <si>
    <t>LORA &amp; ALMONTE REPARACIONES SRL</t>
  </si>
  <si>
    <t>PAGO DE FACT NCF NO. B1500000201, POR ADQUISICION DE BOMBA PEDROLLO DE 10 HP SEGÚN ORDEN DE COMPRA HSLM-2025-00584</t>
  </si>
  <si>
    <t>MARINO ENRIQUE NUÑEZ CASTRO</t>
  </si>
  <si>
    <t>PAGO DE FACT NCF NO B1500000126, POR SERVICIO DE FUMIGACION EN LAS AREAS DE FARMACIAS Y LABORATORIO, SEGÚN ORDEN DE SERVICIO HSLM-2025-00625</t>
  </si>
  <si>
    <t>PAGO DE FACT NCF NO B1500000268, POR ADQUISICION DE INVITACIONES Y PROGRAMAS PARA LOS GRADUANDOS DE DISTINTAS ESPECIALIDADES DE LOS MEDICOS DE ESTE HOSPITAL, SEGÚN ORDEN DE COMPRA HSLM-2025-00544</t>
  </si>
  <si>
    <t>TONER DEPOT MULTISERVICIOS EORG, SRL</t>
  </si>
  <si>
    <t>PAGO DE NCF NO. E4500000000124, POE SERVICIO DE IMPRESIÓN EN EL MES DE JUNIO 2025</t>
  </si>
  <si>
    <t>AYUNTAMIENTO SANTO DOMINGO ESTE</t>
  </si>
  <si>
    <t>PAGO NCF NO B1500055972 Y B1500056129, POR SERVICIO DE RECOGIDA DE DESECHOS SOLIDOS EN EL MES DE JUNIO Y JULIO 2025</t>
  </si>
  <si>
    <t xml:space="preserve">JESUS FERMIN MARTINEZ LOPEZ  </t>
  </si>
  <si>
    <t>PAGO NCF B1500000444 SERVICIO DE TRANSPORTE SEGÚN O/C HSLM-HSLM-2025-00068.</t>
  </si>
  <si>
    <t xml:space="preserve">LORA &amp; ALMONTE REPARACIONES SRL  </t>
  </si>
  <si>
    <t>PAGO NCF B1500000202 POR ADQUISICION DE MATERIALES DE PLOMERIA Y PLANCHA SOLDADORA PREMIUM SEGÚN O/C HSLM-2025-00562</t>
  </si>
  <si>
    <t>PAGO DE FACT NCF NO. E45000000053, POR SERVICIO CONTINUACION DE TERAPIA RENAL, PARA PACIENTE INTERNA ERIKA SOSA DE LOS SANTOS, EN FECHA 20 DE JUNIO 2025, SEGÚN ORDEN DE SERVICIO 0028</t>
  </si>
  <si>
    <t>SUPLIMED, SRL</t>
  </si>
  <si>
    <t>CABOD, EIRL</t>
  </si>
  <si>
    <t>PAGO DE FACT NCF NO. B1500001810 Y B1500001812, POR ADQUISICION DE DETERGENTE PARA LAVANDERIA, SEGÚN ORDEN DE COMPRA HSLM-2025-00615</t>
  </si>
  <si>
    <t>SANDRY GOMEZ RODRIGUEZ</t>
  </si>
  <si>
    <t>PAGO DE FACT NCF NO. B1500000560, POR ADQUISICION DE EMBUTIDOS, SEGÚN ORDEN DE COMPRA HSLM-2025-00531</t>
  </si>
  <si>
    <t>PAGO DE FACT NCF NO. B15000000013, POR ADQUISICION DE CAMARAS DE SEGURIDAD E INSTALACION, SEGÚN ORDEN DE COMPRA HSLM-2025-00508</t>
  </si>
  <si>
    <t>Industrias Nigua, S.A</t>
  </si>
  <si>
    <t>JBW Leger Ingenieros, SRL</t>
  </si>
  <si>
    <t>PAPELERIA E IMPRESOS CRISHOAN, SRL</t>
  </si>
  <si>
    <t>Hauspital, SRL</t>
  </si>
  <si>
    <t>Pasofri, SRL</t>
  </si>
  <si>
    <t>Oficclin Comercial, SRL</t>
  </si>
  <si>
    <t>BAAM &amp; Asociados, SRL</t>
  </si>
  <si>
    <t>CORPORACION DEL ACUEDUCTO Y ALCANTARILLADO DE SANTO DOMINGO</t>
  </si>
  <si>
    <t>BIO NOVA, SRL</t>
  </si>
  <si>
    <t>Gestoria Administrativa Ynuñez S.R.L</t>
  </si>
  <si>
    <t>HOSPITAL MATERNO INFANTIL SAN LORENZO DE LOS MINAS</t>
  </si>
  <si>
    <t>Express Service Conserg Exsercon, SRL</t>
  </si>
  <si>
    <t>Insocorp, SRL</t>
  </si>
  <si>
    <t>CEM Caribbean Equipment Medical, SRL</t>
  </si>
  <si>
    <t>AMMB Importacion, SRL</t>
  </si>
  <si>
    <t>Smart Supply Medical Dominicana (SMARTMEDOM),  SRL</t>
  </si>
  <si>
    <t>BAUCOMER, SRL</t>
  </si>
  <si>
    <t>DISTRIBUIDORA BRITO CONTRERAS, SRL</t>
  </si>
  <si>
    <t>Ramisol, SRL</t>
  </si>
  <si>
    <t>Eligium, EIRL</t>
  </si>
  <si>
    <t>PAGO DE FACT NCF E450000001047 POR ADQUISICION DE UTILES MEDICOS SEGUN O/C HSLM-2025-00593.</t>
  </si>
  <si>
    <t>PAGO DE FACT NCF B1500000155 POR ADQUISICION DE MEDICAMENTOS SEGUN O/C HSLM-2025-00601.</t>
  </si>
  <si>
    <t>PAGO DE FACTS NCF E450000000513, E450000000524 Y E450000000525 POR ADQUISICION DE DESECHABLES SEGUN O/C HSLM-2025-00443.</t>
  </si>
  <si>
    <t>PAGO DE FACT NCF B1500000063 POR ADQUISICION DE GABINETES EN ACERO INOXIDABLES PARA EL AREA DE UCI SEGUN O/C HSLM-2025-00211.</t>
  </si>
  <si>
    <t>PAGO DE FACT NCF B1500001716 POR ADQUISICION DE SERVILLETAS SEGUN O/C HSLM-2025-00589.</t>
  </si>
  <si>
    <t>PAGO DE FACT NCF B1500000245 POR ADQUISICION DE DISPENSADORES DE GEL SEGUN O/C HSLM-2025-00590.</t>
  </si>
  <si>
    <t>PAGO DE FACT NCF B1500000166 POR ADQUISICION DE MEDICAMENTOS SEGUN O/C HSLM-2025-00599.</t>
  </si>
  <si>
    <t>PAGO DE FACT NCF B1500000809 POR ADQUISICION DE CIRCUITO DE VENTILACION PEDIATRICO SEGUN O/C HSLM-2025-00602.</t>
  </si>
  <si>
    <t>PAGO DE FACT NCF B1500000340 POR ADQUISICION DE MAQUINA DE TERAPIA ELECTROCONVULSIVA SEGUN O/C HSLM-2025-00500.</t>
  </si>
  <si>
    <t>PAGO DE FACT NCF B1500000302 POR ADQUISICION DE DESECHABLES SEGUN O/C HSLM-2025-00477.</t>
  </si>
  <si>
    <t>PAGO DE FACT NCF B1500000168 POR ADQUISICION DE UNIDAD OFTALMOLOGICA CON CONTROL REMOTO SEGUN O/C HSLM-2025-00495.</t>
  </si>
  <si>
    <t>PAGO DE FACT NCF B1500000615 POR ADQUISICION DE LAMPARA DE HENDIDURA 5MG (LS-4) SEGUN O/C HSLM-2025-00464.</t>
  </si>
  <si>
    <t>PAGO DE FACT NCF B1500000079 POR ADQUISICION DE SUMINISTRO E INSTALACION DE PUERTAS SEGUN O/C HSLM-2025-00447.</t>
  </si>
  <si>
    <t>PAGO DE FACT NCF E450000010761 POR SERVICIO DE AGUA CORRESPONDIENTE AL MES DE JULIO 2025.</t>
  </si>
  <si>
    <t>PAGO DE FACT NCF B1500017172 POR ADQUISICION DE LISADORES Y DILUENTES SEGUN O/C HSLM-2025-00559.</t>
  </si>
  <si>
    <t>PAGO DE FACT NCF B1500017228 POR ADQUISICION DE CONTROLES MEDMAY SEGUN O/C HSLM-2025-00594.</t>
  </si>
  <si>
    <t>PAGO DE FACT NCF E450000000036 POR ADQUISICION DE UTILES MEDICOS SEGUN O/C HSLM-2025-00606.</t>
  </si>
  <si>
    <t>PAGO DE FACT NCF E450000000068 POR ADQUISICION DE REACTIVOS SEGUN O/C HSLM-2025-00554.</t>
  </si>
  <si>
    <t>PAGO DE FACT NCF B1500000001 POR ADQUISICION DE UTILES MEDICOS SEGUN O/C HSLM-2025-00475.</t>
  </si>
  <si>
    <t>PAGO DE FACT NCF B1500000159 POR ADQUISICION DE BEBEDEROS SEGUN O/C HSLM-2025-00557.</t>
  </si>
  <si>
    <t>PAGO DE FACT NCF B1500000064 POR ADQUISICION DE REACTIVOS PARA GASOMETRO Y CONTENEDOR DE RESIDUOS DESECHABLE SEGUN O/C HSLM-2025-00192.</t>
  </si>
  <si>
    <t>PAGO DE FACT NCF B1500000018 POR ADQUISICION DE TOALLAS DESINFECTANTE Y ENVASES NO. 4 SEGUN O/C HSLM-2025-00613.</t>
  </si>
  <si>
    <t>PAGO DE FACT NCF B1500001073 POR ADQUISICION DE REACTIVOS Y UTILESM MEDICOS SEGUN O/C HSLM-2025-00478.</t>
  </si>
  <si>
    <t>PAGO DE FACT NCF E450000006424 POR ADQUISICION DE REACTIVOS SEGUN O/C HSLM-2025-00490.</t>
  </si>
  <si>
    <t>PAGO DE FACT NCF B1500000013 POR ADQUISICION DE MATERIAL DE OFICINA SEGUN O/C HSLM-2025-00552.</t>
  </si>
  <si>
    <t>HOSANLORE.NOMINA PAGO DIFERENCIAL INDEMNIZACION ECONOMICA JUNIO 2025</t>
  </si>
  <si>
    <t>PAGO DE FACT NCF B1500000113 POR ADQUISICION DE ESTACION MODULAR SEGUN O/C HSLM-2025-00254.</t>
  </si>
  <si>
    <t>PAGO FACTURA NCF B1500001290 POR ADQUISICION DE UTIL MEDICO SEGUN O/C HSLM-2025-00634.</t>
  </si>
  <si>
    <t>PAGO FACTURA NCF B1500001288 POR ADQUISICION DE GEL DE SONOGRAFIA Y MEDICAMENTOS SEGUN O/C HSLM-2025-00631.</t>
  </si>
  <si>
    <t>PAGO FACTURA NCF B1500001289 POR ADQUISICION DE UTILES MEDICOS SEGUN O/C HSLM-2025-00632.</t>
  </si>
  <si>
    <t>PAGO FACTURA NCF B1500000218 POR ADQUISICION DE INSTRUMENTAL MEDICO  SEGUN O/C HSLM-2025-00213.</t>
  </si>
  <si>
    <t>PAGO FACTURA NCF B1500000171 POR ADQUISICION DE MEDICAMENTOS SEGUN O/C HSLM-2025-00636.</t>
  </si>
  <si>
    <t>PAGO FACTURA NCF B1500000144 POR ADQUISCION DE CORTINAS SEGUN O/C HSLM-2025-00472.</t>
  </si>
  <si>
    <t>PAGO FACTURA NCF B1500000562 POR ADQUISICION DE ALIMENTOS SEGUN O/C HSLM-2025-00530</t>
  </si>
  <si>
    <t>PAGO FACTURA NCF B1500001454 POR ADQUISICION DE LAMPARA QUIRURGICA SEGUN O/C HSLM-2025-00485.</t>
  </si>
  <si>
    <t>PAGO FACTURA NCF E4500000000141 POR ADQUISICION DE UTILES MEDICOS SEGUN O/C HSLM-2025-00624.</t>
  </si>
  <si>
    <t>PAGO FACTURA NCF B1500000021 POR ADQUISICION DE UTIL MEDICO SEGUN O/C HSLM-2025-00623.</t>
  </si>
  <si>
    <t>PAGO FACTURA NCF B1500000381 POR ADQUISICION DE MEDICAMENTOS SEGUN O/C HSLM-2025-00629.</t>
  </si>
  <si>
    <t>PAGO FACTURA NCF B1500001395 POR ADQUISICION DE MEDICAMENTOS SEGUN O/C HSLM-2025-00408.</t>
  </si>
  <si>
    <t>PAGO FACTURA NCF B1500001287 POR ADQUISICION DE MEDICAMENTOS SEGUN O/C HSLM-2025-000638.</t>
  </si>
  <si>
    <t>PAGO FACTURA NCF B15000000112 POR ADQUISICION DE MEDICAMENTOS SEGUN O/C HSLM-2025-00640.</t>
  </si>
  <si>
    <t>PAGO FACTURA NCF B1500000158 POR ADQUISICION DE  MEDICAMENTOS SEGUN O/C HSLM-2025-00643.</t>
  </si>
  <si>
    <t>PAGO FACTURA NCF B1500000159 POR ADQUISICION DE MEDICAMENTOS SEGUN O/C HSLM-2025-00642.</t>
  </si>
  <si>
    <t>PAGO FACTURA NCF B15000000309 POR ADQUISICION DE PLATOS SANCOCHEROS SEGU O/C HSLM-2025-00597.</t>
  </si>
  <si>
    <t>PAGO FACTURA NCF B1500000053 POR ADQUISICION DE MEDICAMENTOS SEGUN O/C HSLM-2025-00646.</t>
  </si>
  <si>
    <t>PAGO FACTURA NCF B1500000366 POR DQUISICION DE MEDICAMENTOS SEGUN O/C HSLM-2025-00641.</t>
  </si>
  <si>
    <t>PAGO FACTURA NCFB1500000068 POR ADQUISICION DE INSUMOS PARA MAQUINA DE GASOMETROS SEGUN O/C HSLM-2025-00471.</t>
  </si>
  <si>
    <t>PAGO FACTURA NCF B1500000068 POR ADQUISICION DE MEMBRANA PARA ELECTRODO SEGUN O/C HSLM-2025-00471.</t>
  </si>
  <si>
    <t>HOSANLORE.NOMINA SUELDO PERSONAL DE VIGILANCIA JULIO 2025</t>
  </si>
  <si>
    <t>HOSANLORE.NOMINA SUELDO TEMPORAL JULIO 2025</t>
  </si>
  <si>
    <t>HOSANLORE.NOMINA SUELDO FIJO JULIO 2025</t>
  </si>
  <si>
    <t>PAGO FACTURA NCF B1500000642 POR ADQUISICION DE MEDICAMENTOS SEGUN O/C HSLM-2025-00652.</t>
  </si>
  <si>
    <t>Pago de Fact NCF No B1500000068, por adquisicion de medicamentos, según orden de compra HSLM-2025-00657</t>
  </si>
  <si>
    <t>Pago de Fact NCF No. B1500000643, por adquisicion de medicamentos, segun orden de compra HSLM-2025-00655</t>
  </si>
  <si>
    <t>Pago de Fact NCF No,. B1500000253, por adquisicion de util medico, segun orden de compra HSLM-2025-00681</t>
  </si>
  <si>
    <t>Pago de Fact NCF No B1500000620, por adquisicion de medicamentos, segun orden de compra HSLM-2025-00678</t>
  </si>
  <si>
    <t>PAGO FACTURA NCF B15000000644 POR ADQUISICION DE MEDICAMENTOS SEGUN O/C HSLM-2025-00654.</t>
  </si>
  <si>
    <t>Pago de Fact NCF No. B1500000251, por adquisicion de medicamentos, segun orden de compra HSLM-2025-00679</t>
  </si>
  <si>
    <t>PAGO FACTURA NCF B1500000225 POR ADQUISICION DE KITS DE TRAQUEOTOMIA PERCUTANEA SEGUN O/C HSLM-2025-00432.</t>
  </si>
  <si>
    <t>PAGO FACTURA NCF B15000000661 POR ADQUISICION DE MEDICAMENTOS SEGUN O/C HSLM-2025-00700.</t>
  </si>
  <si>
    <t>PAGO FACTURA NCF B1500000069 POR ADQUISICION DE MEDICAMENTOS SEGUN O/C HSLM-2025-00651.</t>
  </si>
  <si>
    <t>PAGO FACTURA NCF E450000000057 POR ADQUISICION DE MEDICAMENTOS SEGUN O/C HSLM-2025-00683.</t>
  </si>
  <si>
    <t>PAGO FACTURA B1500001301 POR ADQUISICION DE UTIL MEDICO SEGUN O/C HSLM-2025-00670.</t>
  </si>
  <si>
    <t>Pago de Fact NCF No B1500000160, por adquisicion de medicamentos, según orden de compra HSLM-2025-00689</t>
  </si>
  <si>
    <t>PAGO FACTURA NCF B1500001295 POR ADQUISICION DE UTILES MEDICOS SEGUN O/C HSLM-2025-00656.</t>
  </si>
  <si>
    <t>Pago de Fact NCF No. E4500000052,por adquisicion de util medico, según orden de compra HSLM-2025-00676</t>
  </si>
  <si>
    <t>Pago de Fact NCF No. E450000000053, por adquisicion de util medico, segun orden de compra HSLM-2025-00674</t>
  </si>
  <si>
    <t>Pago de Fact NCF No. B1500000054, por adquisicion de medicamentos, segun orden de compra HSLM-2025-00667</t>
  </si>
  <si>
    <t>Pago de Fact NCF No. B1500001401, por adquisicion de medicamentos, segun orden de compra HSLM-2025-00673.</t>
  </si>
  <si>
    <t>Pago de Fact NCF No. E450000000004, por adquisicion de medicamentos, segun orden de compra HSLM-2025-00671</t>
  </si>
  <si>
    <t>Pago de Fact NCF No. B1500006597, por adquisicion de util medico, segun orden de compra HSLM-2025-00653</t>
  </si>
  <si>
    <t>Pago de Fact NCF No. E450000000003, por adquisicion de util medico, segun orden de compra HSLM-2025-00672</t>
  </si>
  <si>
    <t>PAGO DE FACT NCF B1500000003 POR MANTENIMIENTO DEL AREA DE COMEDOR OESTE 2DO PISO SEGUN O/C HSLM-2024-00282.</t>
  </si>
  <si>
    <t>COLABORACION PARA CAVAR HOYO Y CERTIFICACION DE ACTAS DE DEFUNCION</t>
  </si>
  <si>
    <t>FREDY OSCAR RODRIGUEZ RIVAS</t>
  </si>
  <si>
    <t>COLABORACION PARA LA PACIENTE R/N PAOLA JAVIER LA CUAL SE LE REALIZARA UN DOPPLER CEREBRAL PARA DESCARTAR MUERTE CEREBRAL</t>
  </si>
  <si>
    <t>PAOLA VIRIGILIO JAVIER</t>
  </si>
  <si>
    <t>ISMAEL TEJEDA SIGARAN</t>
  </si>
  <si>
    <t>PAGO POR SERVICIO DE TRASLADO DE INSUMO DEL AREA DE FARMACIA.</t>
  </si>
  <si>
    <t xml:space="preserve">OLEGARIO GUERRERO </t>
  </si>
  <si>
    <t>PAGO DE FACT NCF B1100000054 POR SERVICIO DE JARDINERIA DEL AREA VERDE Y PODA DE ARBOLES EXTERIOR E INTERIOR DE ESTE HOSPITAL.</t>
  </si>
  <si>
    <t>ESTHERLING YUBANET LARA DE LOS SANTOS</t>
  </si>
  <si>
    <t>PAGO DE FACT NCF B1100000053 POR SERVICIO DE REPARACION DE REBANADORA DEL AREA DE COCINA DE ESTE HOSPITAL.</t>
  </si>
  <si>
    <t xml:space="preserve">CRISTIAN ERASMO VENTURA </t>
  </si>
  <si>
    <t>PAGO DE FACT NCF B1100000055 POR SERVICIO DE CONFECCION DE 2 TAPAS DE REGISTROS, CONFECCION DE VERJAS PROTECTORAS PERIMETRAL, REPARACION DE LA PUERTA DE ENTRADA A CUARTO DE BOMBA Y REPARACION DE 2 BANCADAS DEL HOSPITAL</t>
  </si>
  <si>
    <t>PAGO DE FACT NCF B1100000056 POR SERVICIO DE MANTENIMIENTO DE REMIENDO DE PARQUEO EN LAS EMERGENCIAS Y OBSTETRICIA, RESANE DE PAREDES DE DISTINTAS AREAS DEL HOSPITAL</t>
  </si>
  <si>
    <t>ABRAHAN JOSE MENDOZA</t>
  </si>
  <si>
    <t>PAGO DE FACT NCF B1100000057 POR SERVICIO DE REPARACION DE HUECO Y PULIDO DE PARED DEL DEPTO DE LABORATORIO DEL HOSPITAL</t>
  </si>
  <si>
    <t>NULO</t>
  </si>
  <si>
    <t>PAGO POR SERVICIO DE ECOCARDIOGRAMA Y EVALUACION CARDIOVASCULAR PARA 7 PACIENTES INGRESADOS EN EL HOSPITAL A UN COSTO DE RD$3,000.00 C/U</t>
  </si>
  <si>
    <t xml:space="preserve">SANDRA TOLENTINO MARTINEZ </t>
  </si>
  <si>
    <t>PAGO POR EL SERVICIO DE JARDINERIA Y MANTENIMIENTO DE AREAS VERDES DE ESTE HOSPITAL</t>
  </si>
  <si>
    <t>ALEXANDER MENDEZ CONTRERAS</t>
  </si>
  <si>
    <t>PAGO POR EL SERVICIO DE LIMPIEZA Y CLORIFICACION DE LAS CISTERNAS DE ESTE HOSPITAL</t>
  </si>
  <si>
    <t>RUDDY SEGURA</t>
  </si>
  <si>
    <t>NELSON YNFANTE VELAZQUEZ</t>
  </si>
  <si>
    <t>PAGO DE FACT NCF B1100000060 POR SERVICIO DE PINTURA PARA DIFERENTES AREAS DEL HOSPITAL</t>
  </si>
  <si>
    <t>COLABORACION PARA CAVAR HOYO Y CERTIFICACION DE ACTAS DE DEFUNCION.</t>
  </si>
  <si>
    <t>PAGO POR SERVICIO DE TRANSPORTE DE LA AMBULANCIA CORRESPONDIENTE AL MES DE JULIO 2025</t>
  </si>
  <si>
    <t xml:space="preserve">Ovidio De Jesús Duran Clemente </t>
  </si>
  <si>
    <t>DELMIRA GARCIA</t>
  </si>
  <si>
    <t>REPICION DE FONDO DE CAJA CHICA</t>
  </si>
  <si>
    <t>JULIO 2025</t>
  </si>
  <si>
    <t>ALTICE DOMINICANA S,A</t>
  </si>
  <si>
    <t>PAGO NCF E450000016792 Y E450000016183, POR SERVICIO DE COMUNICACIÓN PERIODO FACTURADO 23/07/2025 CUENTA 2666630 Y FACTURADO 01/07/2025 CUENTA 12843802</t>
  </si>
  <si>
    <t>PAGO NCF E450000005454, POR ADQUISICION DE GAS LICUADO DE PETROLEO SEGÚN ORDEN DE COMPRA HSLM-2025-00066</t>
  </si>
  <si>
    <t>PRODUCTOS CANO SRL</t>
  </si>
  <si>
    <t>PAGO NCF B1500001360, POR  ADQUISICION DE PAN SEGÚN O/C HSLM-2025-00118</t>
  </si>
  <si>
    <t>PAGO DE FACT NCF NO. B1500000270, POR ADQUISICION DE TALONARIOS, SEGÚN ORDEN DE COMPRA HSLM-2025-00604</t>
  </si>
  <si>
    <t>PAGO DE FACT NCF NO. B1500000271, POR ADQUISICION DE MURAL INFORMATIVO CON TORNILLOS DECORATIVOS EN ACRILICO TRANSPARENTE, SEGÚN ORDEN DE COMPRA HSLM-2025-00658</t>
  </si>
  <si>
    <t>PAGO DE FACTS NCFS NOS, B1500001822, B1500001821, B1500001824, POR ADQUISICION DE DETERGENTE PARA LAVANDERIA, SEGÚN ORDEN DE COMPRA HSLM-2025-00615</t>
  </si>
  <si>
    <t>INSTITUTO NACIONAL DEL CANCER ROSA EMILIA SANCHEZ PEREZ DE TAVARES</t>
  </si>
  <si>
    <t>PAGO POR ADQUISICION DE MEDICAMENTO PARA LA PACIENTE SANDEIRY SIMON TOLENTINO, INGRESADA EN EL HOSPITAL EN EL AREA PEDIATRICA</t>
  </si>
  <si>
    <t>HEBRON MEDICAL, SRL</t>
  </si>
  <si>
    <t>PAGO DE FACT NCF NO. B1500000137, POR ADQUISICION DE UTIL MEDICO, SEGÚN ORDEN DE COMPRA HSLM-2025-00136</t>
  </si>
  <si>
    <t>MIGUELINA VASQEZ CASTILLO</t>
  </si>
  <si>
    <t>PAGO DE FACT NCF NO. B1500000528, POR ADQUISICION DE MATERIALES FERRETEROS, SEGÚN ORDEN DE COMPRA HSLM-2025-00574</t>
  </si>
  <si>
    <t>GESTIONES SANITARIAS &amp; AMBIENTALES, SRL</t>
  </si>
  <si>
    <t>PAGO DE FACT NCF NO. B1500000469, SERVICIO DE MICROBIOLIGICO DEL AGUA POTABLE, LIMPIEZADE TINACOS Y SANITIZACION DE CISTERNAS DEL HOSPITAL</t>
  </si>
  <si>
    <t>P&amp;D RECYCLING, SRL</t>
  </si>
  <si>
    <t>PAGO DE FACT NCF NO B1500000315 POR RECOGIDA DE DESECHOS BIOLOGICOS, SEGÚN ORDEN DE COMPRA HSLM-2025-00163.</t>
  </si>
  <si>
    <t>Antares Pharma, SRL</t>
  </si>
  <si>
    <t>JT Investdent, SRL</t>
  </si>
  <si>
    <t>Construvio Group, SRL</t>
  </si>
  <si>
    <t>Soluciones de Servicios y Técnicas Altadis, SRL</t>
  </si>
  <si>
    <t>Farmaceutica Dalmasi (FARMADAL), SRL</t>
  </si>
  <si>
    <t>Dumas Pharmaceuticals, S.R.L.</t>
  </si>
  <si>
    <t>Capegar, SRL</t>
  </si>
  <si>
    <t>Sean Dominican, SRL</t>
  </si>
  <si>
    <t>Diversidad de Articulos Diversidart, SRL</t>
  </si>
  <si>
    <t>MATERLEX Servicios de Materiales Gastables, SRL</t>
  </si>
  <si>
    <t>Medina N Solutions, SRL</t>
  </si>
  <si>
    <t>PAGO FACTURA NCF B1500000321 POR ADQUISICION DE UTILES MEDICOS SEGUN O/C HSLM-2023-00717.</t>
  </si>
  <si>
    <t>Pago de Fact NCF No. B1500000022, por adquisicion util medico, segun orden de compra HSLM-2025-00596</t>
  </si>
  <si>
    <t>PAGO FACTURA NCF B1500003118 POR ADQUISICION DE MEDICAMENTOS Y UTIL MEDICO SEGUN O/C HSLM-2023-00578.</t>
  </si>
  <si>
    <t>Pago de Fact NCF No. B1500000004, por adquisicion de medicamentos y util medico, segun orden de compra HSLM-2025-00696</t>
  </si>
  <si>
    <t>PAGO FACTURA  NCF B1500001018 POR ADQUISICION DE UTILES MEDICOS SEGUN ORDEN DE COMPRA HSLM-2025-000203.</t>
  </si>
  <si>
    <t>Pago de Fact NCF No. B1500000819, por adquisicion de util medico, segun orden de compra HSLM-2025-00665</t>
  </si>
  <si>
    <t>PAGO DE FACT NCF B1500000303 POR ADQUISICION DE GASOIL SEGUN O/C HSLM-2025-00509.</t>
  </si>
  <si>
    <t>PAGO FACTURA NCF B1500000633 POR INSTALACION ELECTRICA  PARA CONEXION UPS SEGUN O/C HSLM-2025-00466.</t>
  </si>
  <si>
    <t>Pago de Fact NCF No. B1500000052, por adquisicion de balanza, segun orden de compra HSLM-2025-00581</t>
  </si>
  <si>
    <t>Pago de Fact NCF No. B1500000017, por adquisicion de material de limpieza y alimentos, segun orden de compra HSLM-2025-00609</t>
  </si>
  <si>
    <t>PAGO DE FACT NCF B1500000248 POR ADQUISICION DE AIRES ACONDICIONADOS SEGUN O/C HSLM-2025-00482.</t>
  </si>
  <si>
    <t>PAGO FACTURA NCF B1500000252 POR ADQUISICION DE CONTENEDORES PARA DESECHOS CORTA PUNZANTES SEGUN O/C HSLM-2025-00600.</t>
  </si>
  <si>
    <t>Pago de Fact NCF No. B1500000269, por adquisicion de medallas, según orden de compra HSLM-2025-00419</t>
  </si>
  <si>
    <t>PAGO DE FACT NCF B1500000634 POR ADQUISICION DE MODULO DE EXPANSION DE UPS SEGUN O/C HSLM-2025-00612.</t>
  </si>
  <si>
    <t>Pago de Fact NCF No. B1500000049,  por adquisicion de collarin, mandil, gancho, según orden de compra HSLM-2025-00399</t>
  </si>
  <si>
    <t>PAGO FACTURA NCF B1500000062 POR SUMINISTRO E INSTALACION DE COMPONENTES PARA LA MODERNIZACION DEL ASCENSOR SEGUN O/C HSLM-2025-00300.</t>
  </si>
  <si>
    <t>PAGO DE FACT NCF B1500000019 POR ADQUISICION DE BALON KINESICO, BALON OVALADO Y DISCO DE EQUILIBRIO SEGUN O/C HSLM-2025-00592.</t>
  </si>
  <si>
    <t>Pago de Fact NCF No. B1500000223,  por adquisicion de pinzas, según orden de compra HSLM-2025-00564</t>
  </si>
  <si>
    <t>PAGO DE FACT NCF B1500000140 POR ADQUISICION DE CENTRO DE MESAS SEGUN O/C HSLM-2025-00610.</t>
  </si>
  <si>
    <t>PAGO DE FACT NCF B1500000020 POR ADQUISICION DE MURAL DE 36*48 MARCO DE METAL SEGUN O/C HSLM-2025-00627.</t>
  </si>
  <si>
    <t>Pago de Fact NCF No. B1500000053, por adquisicion de zafacón, según orden de compra HSLM-2025-00582</t>
  </si>
  <si>
    <t>PAGO FACTURA NCF B1500000016 POR ADQUISICION DE ARTICULOS DE LIMPIEZA SEGUN O/C HSLM-2025-00607.</t>
  </si>
  <si>
    <t>Pago de Fact NCF No. B1500001715, por adquisicion de bebederos y lockers, segun orden de compra HSLM-2025-00586</t>
  </si>
  <si>
    <t>PAGO DE FACT NCF B1500000111 POR ADQUISICION DE BALANZA DIGITAL, CARRO PARA CARGA CONVERTIBLE DE MANO 4 EN 1 Y PALA SACADOR DE ALIMENTOS SEGUN O/C HSLM-2025-00462.</t>
  </si>
  <si>
    <t>Pago de Fact NCF No. B1500001715, por adquisicion de sellos pretintados y jarrones de agua, segun orden de compra HSLM-2025-00586, Completivo del Libramiento 3205</t>
  </si>
  <si>
    <t>Pago de Fact NCF No. B1500001319, por adquisicion medicamentos y util medico, segun orden de compra HSLM-2025-00695</t>
  </si>
  <si>
    <t>Pago de Fact NCF No. B1500000563, por adquisicion de alimentos, segun orden de compra HSLM-2025-00533</t>
  </si>
  <si>
    <t>Pago de Fact NCF No. B1500007864, por adquisicion de reactivos, segun orden de compra HSLM-2025-00686</t>
  </si>
  <si>
    <t>Pago de Fact NCF No. B1500007799, por adquisicion de reactivos, segun orden de compra HSLM-2025-00579</t>
  </si>
  <si>
    <t>Pago de Fact NCF No. B1500001094, por adquisicion de reactivos, segun orden de compra HSLM-2025-00691</t>
  </si>
  <si>
    <t>Pago de Fact NCF No. E45000000118, por adquisicion de reactivos, segun orden de compra HSLM-2025-00684</t>
  </si>
  <si>
    <t>PAGO DE FACT NCF B1500001728 POR ADQUISICION DE MATERIALES IMPRESOS SEGUN O/C HSLM-2025-00662.</t>
  </si>
  <si>
    <t>PAGO DE FACT NCF B1500001734 POR ADQUISICION DE MATERIALES IMPRESOS SEGUN O/C HSLM-2025-00687.</t>
  </si>
  <si>
    <t>PAGO DE FACT NCF B1500000167 POR ADQUISICION DE LAMPARAS Y TUBOS LED SEGUN O/C HSLM-2025-00514.</t>
  </si>
  <si>
    <t>PAGO DE FACT NCF B1500000314 POR ADQUISICION DE PAPEL TOALLA Y PAPEL DE BAÑO SEGUN O/C HSLM-2025-00597.</t>
  </si>
  <si>
    <t>PAGO DE FACT NCF B1500000256 POR ADQUISICION DE LABELATOL SEGUN O/C HSLM-2025-00711.</t>
  </si>
  <si>
    <t>PAGO DE FACT NCF B1500000225 POR ADQUISICION DE OTOSCOPIO DE PARED SEGUN O/C HSLM-2025-00704.</t>
  </si>
  <si>
    <t>Pago de Fact NCF E450000007029, por adquisicion de reactivo, segun orden de compra HSLM-2025-00661</t>
  </si>
  <si>
    <t>Pago de Fact NCF No. E450000006940, por adquisicion de reactivos, segun orden de compra HSLM-2025-00591</t>
  </si>
  <si>
    <t>PAGO DE FACT NCF B1500000060 POR ADQUISICION DE CAMBIADOR DE PAÑALES DE BEBE SEGUN O/C HSLM-2025-00645.</t>
  </si>
  <si>
    <t>Pago de Fact NCF No. E450000007155, por adquisicion de reactivos, segun orden de compra HSLM-2025-00591</t>
  </si>
  <si>
    <t>Pago de Fact NCF No. E4500000000067, por adquisicion de medicamentos, segun orden de compra HSLM-2025-00682</t>
  </si>
  <si>
    <t>Pago de Fact NCF No. B1500001081, por adquisicion de reactivos, según orden de compra HSLM-2025-00572</t>
  </si>
  <si>
    <t>PAGO DE FACT NCF  B1500000401 POR ADQUISICION DE SILLAS SECRETARIALES SEGUN O/C HSLM-2025-00633.</t>
  </si>
  <si>
    <t>Pago de Fact NCF No B1500001393, por adquisicion de reactivos, segun orden de compra HSLM-2025-00481</t>
  </si>
  <si>
    <t>Pago de Fact NCF No. B1500001408, por adquisicion de medicamentos, segun orden de compra HSLM-2025-00712</t>
  </si>
  <si>
    <t>PAGO DE FACT NCF E450000000054 POR ADQUISICION DE TEGADERM Y AVAGARD SEGUN O/C HSLM-2025-00675.</t>
  </si>
  <si>
    <t>PAGO FACTURA NCF B1500001305 POR ADQUISICION DE UTIL MEDICO SEGUN O/C HSLM-2025-00699.</t>
  </si>
  <si>
    <t>PAGO DE FACT NCF B1500000454 POR ADQUISICION DE PAPEL BOND SEGUN O/C HSLM-2025-00484.</t>
  </si>
  <si>
    <t>PAGO FACTURA NCF E450000000060 POR ADQUISICION DE MEDICAMENTOS SEGUN O/C HSLM-2025-00664</t>
  </si>
  <si>
    <t>PAGO DE FACT NCF B1500000053 POR ADQUISICION DE REACTIVOS DEL GASOMETRO SEGUN O/C HSLM-2025-00316.</t>
  </si>
  <si>
    <t>PAGO FACTURA NCF E450000000078 POR ADQUISICION DE MEDICAMENTOS SEGUN O/C HSLM-2025-00707</t>
  </si>
  <si>
    <t>PAGO DE FACT NCF B1500000053 POR ADQUISICION DE MEMBRANA PARA ELECTRODO SEGUN O/C HSLM-2025-00316.</t>
  </si>
  <si>
    <t>PAGO FACTURA NCF B150001733 POR ADQUISICION DE ZAFACONES EN ACERO SEGUN O/C HSLM-2025-00702.</t>
  </si>
  <si>
    <t>PAGO DE FACT NCF B1500000070 POR ADQUISICION DE UTILES MEDICOS Y MEDICAMENTOS SEGUN O/C HSLM-2025-00721.</t>
  </si>
  <si>
    <t>PAGO DE FACT NCF B1500006635 POR ADQUISICION DE UTILES MEDICOS SEGUN O/C HSLM-2025-00710.</t>
  </si>
  <si>
    <t>PAGO DE FACTURA NCF B1500000253 POR ADQUISICION DE MEDICAMENTOS SEGUN O/C HSLM-2025-000716.</t>
  </si>
  <si>
    <t>PAGO DE FACT NCF B1500000043 POR ADQUISICION DE MATERIALES ELECTRICOS SEGUN O/C HSLM-2025-00659.</t>
  </si>
  <si>
    <t>PAGO DE FACT NCF B1500000043 POR ADQUISICION DE ASPIRADORA TOTAL SEGUN O/C HSLM-2025-00659.</t>
  </si>
  <si>
    <t>PAGO FACTURA NCF E450000000060 POR ADQUISICION DE UTILES MEDICOS SEGUN O/C HSLM-2025-00723.</t>
  </si>
  <si>
    <t>PAGO DE FACT NCF B1500000014 POR ADQUISICION DE ALIMENTOS, SERVILLETAS, Y PAPEL ALUMINIO SEGUN O/C HSLM-2025-00550.</t>
  </si>
  <si>
    <t>EMMANUEL JIMENEZ</t>
  </si>
  <si>
    <t>RAFAEL ELIGIO MORENO MARTINEZ</t>
  </si>
  <si>
    <t>PAGO POR SERVICIO DE TERAPIA FISICA A PACIENTE INGRESADA</t>
  </si>
  <si>
    <t>PAGO POR SERVICIO DE ANALISIS PARA LA PACIENTE CARINE OLIVER INGRESADA EN LA INSTITUCION</t>
  </si>
  <si>
    <t>GRUPO COMETA, SRL</t>
  </si>
  <si>
    <t>INVERSIONES FH, SRL</t>
  </si>
  <si>
    <t xml:space="preserve"> LILIAN YOMAYRA ENCARNACION</t>
  </si>
  <si>
    <t>pago de regencia en permiso de drogas y farmacia, perteneciente al mes de julio 2025</t>
  </si>
  <si>
    <t>ARS ASEMAP</t>
  </si>
  <si>
    <t>ARS SENASA</t>
  </si>
  <si>
    <t>ARS RENACER</t>
  </si>
  <si>
    <r>
      <t xml:space="preserve">Establecimiento:      HOSPITAL MATERNO INFANTIL SAN LORENZO DE LOS MINA    Mes:   JULIO  . Año:  </t>
    </r>
    <r>
      <rPr>
        <b/>
        <u/>
        <sz val="11"/>
        <color theme="1"/>
        <rFont val="Calibri"/>
        <family val="2"/>
        <scheme val="minor"/>
      </rPr>
      <t>2025</t>
    </r>
    <r>
      <rPr>
        <b/>
        <sz val="11"/>
        <color theme="1"/>
        <rFont val="Calibri"/>
        <family val="2"/>
        <scheme val="minor"/>
      </rPr>
      <t xml:space="preserve">           SRS: I</t>
    </r>
  </si>
  <si>
    <t>DEL 01/07/2025 AL 31/07/2025</t>
  </si>
  <si>
    <t>Agua Planeta Azul, Sa</t>
  </si>
  <si>
    <t xml:space="preserve">Aneka Ingenieria &amp; Servicios Srl </t>
  </si>
  <si>
    <t>Bio Nuclear, Sa</t>
  </si>
  <si>
    <t>Bio Win, Srl</t>
  </si>
  <si>
    <t>Caribbean Integrated Solutions, Srl</t>
  </si>
  <si>
    <t>D, Cora Industrial, S.R.L</t>
  </si>
  <si>
    <t xml:space="preserve">Farmacia Ruth </t>
  </si>
  <si>
    <t>Ga Interprise Import, Srl</t>
  </si>
  <si>
    <t>Grupo Xeron Medic Srl</t>
  </si>
  <si>
    <t>Hospifar, Srl</t>
  </si>
  <si>
    <t>I.V. Biodesinfección, Srl</t>
  </si>
  <si>
    <t xml:space="preserve">J. Jireh Equipos Medicos Srl </t>
  </si>
  <si>
    <t>Le.F.P Consultores Srl</t>
  </si>
  <si>
    <t xml:space="preserve">Magnetique Srl </t>
  </si>
  <si>
    <t>Morami, Srl</t>
  </si>
  <si>
    <t xml:space="preserve">Ocap Srl </t>
  </si>
  <si>
    <t>Papelería E. Impresos Crishoan, Srl</t>
  </si>
  <si>
    <t>R Y S Soluciones E Inversiones Integrales Srl</t>
  </si>
  <si>
    <t>Suplimed,Srl</t>
  </si>
  <si>
    <t>Transportes Jesus Fermin Martinez .</t>
  </si>
  <si>
    <t>Unique Representaciones, S.R.L</t>
  </si>
  <si>
    <t xml:space="preserve">Vara, Srl. </t>
  </si>
  <si>
    <t>Ventas Diversas Farmaceuticas, Srl (Vendifar)</t>
  </si>
  <si>
    <t>31 DE JULIO 2025</t>
  </si>
  <si>
    <t>SERVICIOS DE TRANSPORTE</t>
  </si>
  <si>
    <t>HSML-2025-00632</t>
  </si>
  <si>
    <t>HSLM-DAF-CD-2025-0494</t>
  </si>
  <si>
    <t>Productos quirúrgicos</t>
  </si>
  <si>
    <t>HSML-2025-00631</t>
  </si>
  <si>
    <t>HSLM-DAF-CD-2025-0495</t>
  </si>
  <si>
    <t>Medicamentos que afectan al sistema respiratorio</t>
  </si>
  <si>
    <t>HSML-2025-00677</t>
  </si>
  <si>
    <t>HSLM-DAF-CM-2025-0165</t>
  </si>
  <si>
    <t>Actualidades VD, SRL</t>
  </si>
  <si>
    <t>Aparatos electrodomésticos</t>
  </si>
  <si>
    <t>HSML-2025-00653</t>
  </si>
  <si>
    <t>HSLM-DAF-CD-2025-0516</t>
  </si>
  <si>
    <t>Suministros, productos de tratamiento y cuidado del enfermo</t>
  </si>
  <si>
    <t>HSML-2025-00655</t>
  </si>
  <si>
    <t>HSLM-DAF-CD-2025-0517</t>
  </si>
  <si>
    <t>Hormonas y antagonistas hormonales</t>
  </si>
  <si>
    <t>HSML-2025-00669</t>
  </si>
  <si>
    <t>HSLM-DAF-CD-2025-0532</t>
  </si>
  <si>
    <t>Bio Win, SRL</t>
  </si>
  <si>
    <t>Instrumentos de medida, observación y ensayo</t>
  </si>
  <si>
    <t>HSML-2025-00680</t>
  </si>
  <si>
    <t>HSLM-DAF-CD-2025-0540</t>
  </si>
  <si>
    <t>24110000</t>
  </si>
  <si>
    <t>Recipientes  y  almacenamiento</t>
  </si>
  <si>
    <t>HSML-2025-00702</t>
  </si>
  <si>
    <t>HSLM-DAF-CD-2025-0555</t>
  </si>
  <si>
    <t>Equipo de aseo</t>
  </si>
  <si>
    <t>HSML-2025-00727</t>
  </si>
  <si>
    <t>HSLM-DAF-CD-2025-0557</t>
  </si>
  <si>
    <t>INSOCORP, SRL</t>
  </si>
  <si>
    <t>Productos de resucitación, anestesia y respiratorio</t>
  </si>
  <si>
    <t>HSML-2025-00724</t>
  </si>
  <si>
    <t>HSLM-DAF-CM-2025-0177</t>
  </si>
  <si>
    <t>HSML-2025-00710</t>
  </si>
  <si>
    <t>HSLM-DAF-CD-2025-0563</t>
  </si>
  <si>
    <t>HSML-2025-00712</t>
  </si>
  <si>
    <t>HSLM-DAF-CD-2025-0566</t>
  </si>
  <si>
    <t>Agentes que afectan el agua y los electrolitos</t>
  </si>
  <si>
    <t>HSML-2025-00713</t>
  </si>
  <si>
    <t>HSLM-DAF-CD-2025-0565</t>
  </si>
  <si>
    <t>Servicios de reproducción</t>
  </si>
  <si>
    <t>HSML-2025-00720</t>
  </si>
  <si>
    <t>HSLM-DAF-CD-2025-0569</t>
  </si>
  <si>
    <t>Ofitop, S.R.L</t>
  </si>
  <si>
    <t>HSML-2025-00719</t>
  </si>
  <si>
    <t>HSLM-DAF-CD-2025-0571</t>
  </si>
  <si>
    <t>30180000</t>
  </si>
  <si>
    <t>Instalaciones  de  plomería</t>
  </si>
  <si>
    <t>HSML-2025-00721</t>
  </si>
  <si>
    <t>HSLM-DAF-CD-2025-0573</t>
  </si>
  <si>
    <t>HSML-2025-00752</t>
  </si>
  <si>
    <t>HSLM-DAF-CM-2025-0181</t>
  </si>
  <si>
    <t>Asenp Quality Consulting,SRL</t>
  </si>
  <si>
    <t>HSML-2025-00753</t>
  </si>
  <si>
    <t>HSLM-DAF-CM-2025-0182</t>
  </si>
  <si>
    <t>Medicamentos antiinfecciosos</t>
  </si>
  <si>
    <t>HSML-2025-00754</t>
  </si>
  <si>
    <t>DECIERTO</t>
  </si>
  <si>
    <t>HSLM-DAF-CD-2025-0574</t>
  </si>
  <si>
    <t>Servicios de mantenimiento o reparaciones de transportes</t>
  </si>
  <si>
    <t>Desierto</t>
  </si>
  <si>
    <t>HSML-2025-00733</t>
  </si>
  <si>
    <t>HSLM-DAF-CD-2025-0577</t>
  </si>
  <si>
    <t>Productos para el cuidado de heridas</t>
  </si>
  <si>
    <t>HSML-2025-00731</t>
  </si>
  <si>
    <t>HSLM-DAF-CD-2025-0580</t>
  </si>
  <si>
    <t>HSML-2025-00740</t>
  </si>
  <si>
    <t>HSLM-DAF-CD-2025-0578</t>
  </si>
  <si>
    <t>Muebles de alojamiento</t>
  </si>
  <si>
    <t>HSML-2025-00732</t>
  </si>
  <si>
    <t>HSLM-DAF-CD-2025-0579</t>
  </si>
  <si>
    <t>Telas y vestidos médicos</t>
  </si>
  <si>
    <t>HSML-2025-00755</t>
  </si>
  <si>
    <t>HSLM-DAF-CM-2025-0183</t>
  </si>
  <si>
    <t>HSML-2025-00739</t>
  </si>
  <si>
    <t>HSLM-DAF-CD-2025-0582</t>
  </si>
  <si>
    <t>HSML-2025-00741</t>
  </si>
  <si>
    <t>HSLM-DAF-CD-2025-0583</t>
  </si>
  <si>
    <t>56110000</t>
  </si>
  <si>
    <t>Muebles comerciales e industriales</t>
  </si>
  <si>
    <t>HSML-2025-00747</t>
  </si>
  <si>
    <t>HSLM-DAF-CD-2025-0585</t>
  </si>
  <si>
    <t>HSML-2025-00738</t>
  </si>
  <si>
    <t>HSLM-DAF-CD-2025-0588</t>
  </si>
  <si>
    <t>I.V. Biodesinfección, SRL</t>
  </si>
  <si>
    <t>76100000</t>
  </si>
  <si>
    <t>Servicios de descontaminación</t>
  </si>
  <si>
    <t>HSML-2025-00742</t>
  </si>
  <si>
    <t>HSLM-DAF-CD-2025-0589</t>
  </si>
  <si>
    <t>HSLM-DAF-CM-2025-0186</t>
  </si>
  <si>
    <t>Equipo informático y accesorios</t>
  </si>
  <si>
    <t>HSML-2025-00751</t>
  </si>
  <si>
    <t>HSLM-DAF-CD-2025-0596</t>
  </si>
  <si>
    <t>HSML-2025-00748</t>
  </si>
  <si>
    <t>HSLM-DAF-CD-2025-0597</t>
  </si>
  <si>
    <t>42260000</t>
  </si>
  <si>
    <t>Equipo y suministros post mortem y funerarios</t>
  </si>
  <si>
    <t>HSML-2025-00749</t>
  </si>
  <si>
    <t>HSLM-DAF-CD-2025-0599</t>
  </si>
  <si>
    <t>HSML-2025-00750</t>
  </si>
  <si>
    <t>HSLM-DAF-CD-2025-0598</t>
  </si>
  <si>
    <t>HSLM-DAF-CD-2025-0594</t>
  </si>
  <si>
    <t>Productos lácteos y huevos</t>
  </si>
  <si>
    <t>HSLM-DAF-CM-2025-0184</t>
  </si>
  <si>
    <t>90100000</t>
  </si>
  <si>
    <t>Restaurantes y catering (servicios de comidas y bebidas)</t>
  </si>
  <si>
    <t>HSLM-DAF-CD-2025-0590</t>
  </si>
  <si>
    <t>HSLM-DAF-CD-2025-0586</t>
  </si>
  <si>
    <t>39100000</t>
  </si>
  <si>
    <t>Lámparas y bombillas y componentes para lámparas</t>
  </si>
  <si>
    <t>HSML-2025-00736</t>
  </si>
  <si>
    <t>HSLM-DAF-CD-2025-0584</t>
  </si>
  <si>
    <t>Suplimed, SRL</t>
  </si>
  <si>
    <t>85120000</t>
  </si>
  <si>
    <t>Práctica médica</t>
  </si>
  <si>
    <t>HSML-2025-00729</t>
  </si>
  <si>
    <t>HSLM-DAF-CD-2025-0576</t>
  </si>
  <si>
    <t>HSML-2025-00745</t>
  </si>
  <si>
    <t>HSLM-DAF-CM-2025-0180</t>
  </si>
  <si>
    <t>HSML-2025-00722</t>
  </si>
  <si>
    <t>HSLM-DAF-CD-2025-0572</t>
  </si>
  <si>
    <t>HSML-2025-00717</t>
  </si>
  <si>
    <t>HSLM-DAF-CD-2025-0568</t>
  </si>
  <si>
    <t>Equipo de laboratorio y científico</t>
  </si>
  <si>
    <t>HSML-2025-00716</t>
  </si>
  <si>
    <t>HSLM-DAF-CD-2025-0567</t>
  </si>
  <si>
    <t>Distribuidora Brito Contreras, SRL</t>
  </si>
  <si>
    <t>51150000</t>
  </si>
  <si>
    <t>Medicamentos para el sistema nervioso autónomo</t>
  </si>
  <si>
    <t>HSML-2025-00707</t>
  </si>
  <si>
    <t>HSLM-DAF-CD-2025-0562</t>
  </si>
  <si>
    <t>51110000</t>
  </si>
  <si>
    <t>Agentes antitumorales</t>
  </si>
  <si>
    <t>HSML-2025-00723</t>
  </si>
  <si>
    <t>HSLM-DAF-CM-2025-0179</t>
  </si>
  <si>
    <t>HSML-2025-00725</t>
  </si>
  <si>
    <t>HSLM-DAF-CM-2025-0178</t>
  </si>
  <si>
    <t>Toner Depot Multiservicios EORG, SRL</t>
  </si>
  <si>
    <t>HSML-2025-00734</t>
  </si>
  <si>
    <t>HSLM-DAF-CM-2025-0175</t>
  </si>
  <si>
    <t xml:space="preserve">Sandry Gomez Rodriguez </t>
  </si>
  <si>
    <t>Productos de carne y aves de corral</t>
  </si>
  <si>
    <t>HSML-2025-00703</t>
  </si>
  <si>
    <t>HSLM-DAF-CD-2025-0556</t>
  </si>
  <si>
    <t>HSML-2025-00698</t>
  </si>
  <si>
    <t>HSLM-DAF-CD-2025-0551</t>
  </si>
  <si>
    <t>44120000</t>
  </si>
  <si>
    <t>Suministros de oficina</t>
  </si>
  <si>
    <t>HSML-2025-00689</t>
  </si>
  <si>
    <t>HSLM-DAF-CD-2025-0546</t>
  </si>
  <si>
    <t>Medicamentos que afectan al sistema gastrointestinal</t>
  </si>
  <si>
    <t>HSML-2025-00688</t>
  </si>
  <si>
    <t>HSLM-DAF-CD-2025-0545</t>
  </si>
  <si>
    <t>53100000</t>
  </si>
  <si>
    <t>Ropa</t>
  </si>
  <si>
    <t>HSML-2025-00682</t>
  </si>
  <si>
    <t>HSLM-DAF-CD-2025-0544</t>
  </si>
  <si>
    <t>HSML-2025-00683</t>
  </si>
  <si>
    <t>HSLM-DAF-CD-2025-0543</t>
  </si>
  <si>
    <t>HSML-2025-00681</t>
  </si>
  <si>
    <t>HSLM-DAF-CD-2025-0542</t>
  </si>
  <si>
    <t>HSML-2025-00679</t>
  </si>
  <si>
    <t>HSLM-DAF-CD-2025-0539</t>
  </si>
  <si>
    <t>HSML-2025-00678</t>
  </si>
  <si>
    <t>HSLM-DAF-CD-2025-0538</t>
  </si>
  <si>
    <t>oficlin comercial</t>
  </si>
  <si>
    <t>HSML-2025-00673</t>
  </si>
  <si>
    <t>HSLM-DAF-CD-2025-0536</t>
  </si>
  <si>
    <t>HSML-2025-00674</t>
  </si>
  <si>
    <t>HSLM-DAF-CD-2025-0537</t>
  </si>
  <si>
    <t>HSML-2025-00671</t>
  </si>
  <si>
    <t>HSLM-DAF-CD-2025-0534</t>
  </si>
  <si>
    <t>HSML-2025-00672</t>
  </si>
  <si>
    <t>HSLM-DAF-CD-2025-0535</t>
  </si>
  <si>
    <t>HSML-2025-00675</t>
  </si>
  <si>
    <t>HSLM-DAF-CD-2025-0533</t>
  </si>
  <si>
    <t>HSML-2025-00676</t>
  </si>
  <si>
    <t>HSLM-DAF-CD-2025-0531</t>
  </si>
  <si>
    <t>Productos para administración intravenosa y arterial</t>
  </si>
  <si>
    <t>HSML-2025-00667</t>
  </si>
  <si>
    <t>HSLM-DAF-CD-2025-0528</t>
  </si>
  <si>
    <t>HSML-2025-00665</t>
  </si>
  <si>
    <t>HSLM-DAF-CD-2025-0527</t>
  </si>
  <si>
    <t>HSML-2025-00664</t>
  </si>
  <si>
    <t>HSLM-DAF-CD-2025-0526</t>
  </si>
  <si>
    <t>Medicamentos para el sistema nervioso central</t>
  </si>
  <si>
    <t>HSML-2025-00697</t>
  </si>
  <si>
    <t>HSLM-DAF-CM-2025-0170</t>
  </si>
  <si>
    <t>Gastables del Caribe (GADECA),SRL</t>
  </si>
  <si>
    <t>43220000</t>
  </si>
  <si>
    <t>Equipos o plataformas y accesorios de redes multimedia o de voz y datos</t>
  </si>
  <si>
    <t>HSML-2025-00662</t>
  </si>
  <si>
    <t>HSLM-DAF-CD-2025-0525</t>
  </si>
  <si>
    <t>HSML-2025-00690</t>
  </si>
  <si>
    <t>HSLM-DAF-CM-2025-0171</t>
  </si>
  <si>
    <t>HSML-2025-00691</t>
  </si>
  <si>
    <t>HSML-2025-00663</t>
  </si>
  <si>
    <t>HSLM-DAF-CD-2025-0524</t>
  </si>
  <si>
    <t>46170000</t>
  </si>
  <si>
    <t>Seguridad, vigilancia y detección</t>
  </si>
  <si>
    <t>HSML-2025-00659</t>
  </si>
  <si>
    <t>HSLM-DAF-CD-2025-0522</t>
  </si>
  <si>
    <t>Equipos, suministros y componentes eléctricos</t>
  </si>
  <si>
    <t>HSML-2025-00658</t>
  </si>
  <si>
    <t>HSLM-DAF-CD-2025-0521</t>
  </si>
  <si>
    <t>60100000</t>
  </si>
  <si>
    <t>Materiales didácticos profesionales y de desarrollo y accesorios y suministros</t>
  </si>
  <si>
    <t>HSML-2025-00657</t>
  </si>
  <si>
    <t>HSLM-DAF-CD-2025-0520</t>
  </si>
  <si>
    <t>HSML-2025-00684</t>
  </si>
  <si>
    <t>HSLM-DAF-CM-2025-0168</t>
  </si>
  <si>
    <t>HSML-2025-00686</t>
  </si>
  <si>
    <t>HSLM-DAF-CM-2025-0169</t>
  </si>
  <si>
    <t>HSML-2025-00654</t>
  </si>
  <si>
    <t>HSLM-DAF-CD-2025-0518</t>
  </si>
  <si>
    <t>HSML-2025-00651</t>
  </si>
  <si>
    <t>HSLM-DAF-CD-2025-0515</t>
  </si>
  <si>
    <t>HSML-2025-00661</t>
  </si>
  <si>
    <t>HSLM-DAF-CD-2025-0514</t>
  </si>
  <si>
    <t>HSML-2025-00649</t>
  </si>
  <si>
    <t>HSLM-DAF-CD-2025-0511</t>
  </si>
  <si>
    <t>Bebidas</t>
  </si>
  <si>
    <t>HSML-2025-00685</t>
  </si>
  <si>
    <t>HSLM-DAF-CM-2025-0167</t>
  </si>
  <si>
    <t>CARLOS RAFAEL DE PAULA ROSSO</t>
  </si>
  <si>
    <t>Servicios de mantenimiento y reparaciones de construcciones e instalaciones</t>
  </si>
  <si>
    <t>HSML-2025-00641</t>
  </si>
  <si>
    <t>HSLM-DAF-CD-2025-0507</t>
  </si>
  <si>
    <t>HSML-2025-00640</t>
  </si>
  <si>
    <t>HSLM-DAF-CD-2025-0505</t>
  </si>
  <si>
    <t>HSML-2025-00646</t>
  </si>
  <si>
    <t>HSLM-DAF-CD-2025-0504</t>
  </si>
  <si>
    <t>Medicamentos hematólogos</t>
  </si>
  <si>
    <t>HSML-2025-00638</t>
  </si>
  <si>
    <t>HSLM-DAF-CD-2025-0503</t>
  </si>
  <si>
    <t>HSML-2025-00656</t>
  </si>
  <si>
    <t>HSLM-DAF-CM-2025-0166</t>
  </si>
  <si>
    <t>HSML-2025-00666</t>
  </si>
  <si>
    <t>HSLM-DAF-CM-2025-0164</t>
  </si>
  <si>
    <t>OCAP, SRL</t>
  </si>
  <si>
    <t>42190000</t>
  </si>
  <si>
    <t>Productos de centro médico</t>
  </si>
  <si>
    <t>HSML-2025-00636</t>
  </si>
  <si>
    <t>HSLM-DAF-CD-2025-0501</t>
  </si>
  <si>
    <t>HSML-2025-00650</t>
  </si>
  <si>
    <t>HSLM-DAF-CM-2025-0163</t>
  </si>
  <si>
    <t>P&amp;D Recycling, SRL</t>
  </si>
  <si>
    <t>Eliminación y tratamiento de desechos</t>
  </si>
  <si>
    <t>HSML-2025-00629</t>
  </si>
  <si>
    <t>HSLM-DAF-CD-2025-0493</t>
  </si>
  <si>
    <t>HSML-2025-00627</t>
  </si>
  <si>
    <t>HSLM-DAF-CD-2025-0492</t>
  </si>
  <si>
    <t>HSML-2025-00628</t>
  </si>
  <si>
    <t>HSLM-DAF-CD-2025-0491</t>
  </si>
  <si>
    <t>55120000</t>
  </si>
  <si>
    <t>Etiquetado y accesorios</t>
  </si>
  <si>
    <t>Maquinaria  y  equipo  para  manejo  de  materiales</t>
  </si>
  <si>
    <t>HSML-2025-00699</t>
  </si>
  <si>
    <t>HSLM-DAF-CD-2025-0552</t>
  </si>
  <si>
    <t>HSML-2025-00643</t>
  </si>
  <si>
    <t>HSLM-DAF-CD-2025-0509</t>
  </si>
  <si>
    <t>HSML-2025-00644</t>
  </si>
  <si>
    <t>HSLM-DAF-CD-2025-0506</t>
  </si>
  <si>
    <t>Suministros y accesorios de laboratorio</t>
  </si>
  <si>
    <t>HSML-2025-00756</t>
  </si>
  <si>
    <t>HSLM-DAF-CD-2025-0595</t>
  </si>
  <si>
    <t>HSML-2025-00730</t>
  </si>
  <si>
    <t>HSLM-DAF-CD-2025-0575</t>
  </si>
  <si>
    <t>Tropigas Dominicana, SRL</t>
  </si>
  <si>
    <t>15110000</t>
  </si>
  <si>
    <t>Combustibles  gaseosos  y  aditivos</t>
  </si>
  <si>
    <t>HSML-2025-00715</t>
  </si>
  <si>
    <t>HSLM-DAF-CD-2025-0560</t>
  </si>
  <si>
    <t>HSML-2025-00737</t>
  </si>
  <si>
    <t>HSLM-DAF-CM-2025-0176</t>
  </si>
  <si>
    <t>Frutos secos</t>
  </si>
  <si>
    <t>HSML-2025-00700</t>
  </si>
  <si>
    <t>HSLM-DAF-CD-2025-0553</t>
  </si>
  <si>
    <t>HSML-2025-00695</t>
  </si>
  <si>
    <t>HSLM-DAF-CD-2025-0548</t>
  </si>
  <si>
    <t>HSML-2025-00692</t>
  </si>
  <si>
    <t>HSLM-DAF-CD-2025-0547</t>
  </si>
  <si>
    <t>RYS SOLUCIONES E INVERSIONES INTEGRALES, SRL</t>
  </si>
  <si>
    <t>44110000</t>
  </si>
  <si>
    <t>Accesorios de oficina y escritorio</t>
  </si>
  <si>
    <t>HSLM-DAF-CD-2025-0500</t>
  </si>
  <si>
    <t>HSLM-DAF-CM-2025-0185</t>
  </si>
  <si>
    <t>HSML-2025-00743</t>
  </si>
  <si>
    <t>HSLM-DAF-CD-2025-0592</t>
  </si>
  <si>
    <t>31210000</t>
  </si>
  <si>
    <t>Pinturas y bases y acabados</t>
  </si>
  <si>
    <t>HSML-2025-00718</t>
  </si>
  <si>
    <t>HSLM-DAF-CD-2025-0570</t>
  </si>
  <si>
    <t>HSML-2025-00711</t>
  </si>
  <si>
    <t>HSLM-DAF-CD-2025-0564</t>
  </si>
  <si>
    <t>HSML-2025-00709</t>
  </si>
  <si>
    <t>HSLM-DAF-CD-2025-0561</t>
  </si>
  <si>
    <t>JESUS FERMIN MARTINEZ LOPEZ</t>
  </si>
  <si>
    <t>78110000</t>
  </si>
  <si>
    <t>Transporte de pasajeros</t>
  </si>
  <si>
    <t>Rescindido</t>
  </si>
  <si>
    <t>HSLM-DAF-CD-2025-0559</t>
  </si>
  <si>
    <t>HSML-2025-00706</t>
  </si>
  <si>
    <t>HSLM-DAF-CD-2025-0558</t>
  </si>
  <si>
    <t>Servicios informáticos</t>
  </si>
  <si>
    <t>HSML-2025-00696</t>
  </si>
  <si>
    <t>HSLM-DAF-CD-2025-0550</t>
  </si>
  <si>
    <t>HSML-2025-00694</t>
  </si>
  <si>
    <t>HSLM-DAF-CD-2025-0549</t>
  </si>
  <si>
    <t>HSML-2025-00708</t>
  </si>
  <si>
    <t>HSLM-DAF-CM-2025-0173</t>
  </si>
  <si>
    <t>RC Technology, SRL</t>
  </si>
  <si>
    <t>43200000</t>
  </si>
  <si>
    <t>Componentes para tecnología de la información, difusión o telecomunicaciones</t>
  </si>
  <si>
    <t>HSML-2025-00635</t>
  </si>
  <si>
    <t>HSLM-DAF-CD-2025-0497</t>
  </si>
  <si>
    <t>15100000</t>
  </si>
  <si>
    <t>Combustibles</t>
  </si>
  <si>
    <t>HSML-2025-00633</t>
  </si>
  <si>
    <t>HSLM-DAF-CD-2025-0498</t>
  </si>
  <si>
    <t>HSML-2025-00630</t>
  </si>
  <si>
    <t>HSLM-DAF-CD-2025-0496</t>
  </si>
  <si>
    <t>Hospal Médica, SRL</t>
  </si>
  <si>
    <t>Productos de examen y control del paciente</t>
  </si>
  <si>
    <t>HSML-2025-00744</t>
  </si>
  <si>
    <t>HSLM-DAF-CD-2025-0593</t>
  </si>
  <si>
    <t>52120000</t>
  </si>
  <si>
    <t>Ropa de cama, mantelerías, paños de cocina y toallas</t>
  </si>
  <si>
    <t>HSML-2025-00735</t>
  </si>
  <si>
    <t>HSLM-DAF-CD-2025-0591</t>
  </si>
  <si>
    <t>HSML-2025-00746</t>
  </si>
  <si>
    <t>HSLM-DAF-CD-2025-0587</t>
  </si>
  <si>
    <t>HSML-2025-00726</t>
  </si>
  <si>
    <t>HSLM-DAF-CM-2025-0174</t>
  </si>
  <si>
    <t>HSML-2025-00687</t>
  </si>
  <si>
    <t>HSLM-DAF-CD-2025-0541</t>
  </si>
  <si>
    <t>HSML-2025-00704</t>
  </si>
  <si>
    <t>HSLM-DAF-CM-2025-0172</t>
  </si>
  <si>
    <t>HSML-2025-00670</t>
  </si>
  <si>
    <t>HSLM-DAF-CD-2025-0530</t>
  </si>
  <si>
    <t>HSML-2025-00714</t>
  </si>
  <si>
    <t>HSLM-DAF-CD-2025-0513</t>
  </si>
  <si>
    <t>sued &amp; fargeza</t>
  </si>
  <si>
    <t>HSML-2025-00645</t>
  </si>
  <si>
    <t>HSLM-DAF-CD-2025-0510</t>
  </si>
  <si>
    <t>Suministros de aseo y limpieza</t>
  </si>
  <si>
    <t>HSML-2025-00660</t>
  </si>
  <si>
    <t>HSLM-DAF-CD-2025-0523</t>
  </si>
  <si>
    <t>HSML-2025-00634</t>
  </si>
  <si>
    <t>HSLM-DAF-CD-2025-0499</t>
  </si>
  <si>
    <t>HSML-2025-00701</t>
  </si>
  <si>
    <t>HSLM-DAF-CD-2025-0554</t>
  </si>
  <si>
    <t>HSML-2025-00668</t>
  </si>
  <si>
    <t>HSLM-DAF-CD-2025-0529</t>
  </si>
  <si>
    <t>Felipe Antonio Morey Paulino</t>
  </si>
  <si>
    <t>HSML-2025-00652</t>
  </si>
  <si>
    <t>HSLM-DAF-CD-2025-0519</t>
  </si>
  <si>
    <t>HSML-2025-00642</t>
  </si>
  <si>
    <t>HSLM-DAF-CD-2025-0508</t>
  </si>
  <si>
    <t>HSML-2025-00637</t>
  </si>
  <si>
    <t>HSLM-DAF-CD-2025-0502</t>
  </si>
  <si>
    <t>vs</t>
  </si>
  <si>
    <t>PAGO NCF B1500001510 ADQUISICION DE TICKETS DE COMBUSTIBLE SEGÚN O/C HSLM-2025-00518</t>
  </si>
  <si>
    <t>01/07/2025</t>
  </si>
  <si>
    <t>02/07/2025</t>
  </si>
  <si>
    <t>03/07/2025</t>
  </si>
  <si>
    <t>07/07/2025</t>
  </si>
  <si>
    <t>08/07/2025</t>
  </si>
  <si>
    <t>09/07/2025</t>
  </si>
  <si>
    <t>10/07/2025</t>
  </si>
  <si>
    <t>11/07/2025</t>
  </si>
  <si>
    <t>14/07/2025</t>
  </si>
  <si>
    <t>17/07/2025</t>
  </si>
  <si>
    <t>21/07/2025</t>
  </si>
  <si>
    <t>22/07/2025</t>
  </si>
  <si>
    <t>23/07/2025</t>
  </si>
  <si>
    <t>24/07/2025</t>
  </si>
  <si>
    <t>25/07/2025</t>
  </si>
  <si>
    <t>28/07/2025</t>
  </si>
  <si>
    <t>29/07/2025</t>
  </si>
  <si>
    <t>30/07/2025</t>
  </si>
  <si>
    <t>31/07/2025</t>
  </si>
  <si>
    <t>PAGOS CORRESPONDIENTES AL MES : JULIO 2025</t>
  </si>
  <si>
    <r>
      <t xml:space="preserve">                          </t>
    </r>
    <r>
      <rPr>
        <b/>
        <sz val="14"/>
        <color theme="1"/>
        <rFont val="Calibri"/>
        <family val="2"/>
        <scheme val="minor"/>
      </rPr>
      <t xml:space="preserve">ESTABLECIMIENTO:  HOSPITAL MATERNO INFANTIL SAN LORENZO DE LOS MINA                       </t>
    </r>
    <r>
      <rPr>
        <b/>
        <sz val="12"/>
        <color theme="1"/>
        <rFont val="Calibri"/>
        <family val="2"/>
        <scheme val="minor"/>
      </rPr>
      <t>REGION OZAMA, MES DE JULIO 2025</t>
    </r>
  </si>
  <si>
    <t>ARS SIGMA</t>
  </si>
  <si>
    <t>ARS GMA</t>
  </si>
  <si>
    <t>ARS SIMAG</t>
  </si>
  <si>
    <t>Dado a los 31/07/2025</t>
  </si>
  <si>
    <t>DETALLE OBLIGACIONES CONTRAÍDAS PENDIENTES AL 31 DE JULIO 2025</t>
  </si>
  <si>
    <t>Fecha de imputación: hasta el [31] de [07] del [2025]</t>
  </si>
  <si>
    <t xml:space="preserve">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</si>
</sst>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0.00;[Red]#,##0.00"/>
    <numFmt numFmtId="165" formatCode="_(* #,##0_);_(* \(#,##0\);_(* &quot;-&quot;??_);_(@_)"/>
    <numFmt numFmtId="166" formatCode="dd/mm/yyyy;@"/>
  </numFmts>
  <fonts count="74" x14ac:knownFonts="1">
    <font>
      <sz val="11"/>
      <color theme="1"/>
      <name val="Calibri"/>
      <family val="2"/>
      <scheme val="minor"/>
    </font>
    <font>
      <sz val="11"/>
      <color theme="1"/>
      <name val="Calibri"/>
      <family val="2"/>
      <scheme val="minor"/>
    </font>
    <font>
      <sz val="10"/>
      <name val="Arial"/>
      <family val="2"/>
    </font>
    <font>
      <sz val="11"/>
      <color indexed="8"/>
      <name val="Baskerville Old Face"/>
      <family val="1"/>
    </font>
    <font>
      <sz val="10"/>
      <name val="Calibri"/>
      <family val="2"/>
      <scheme val="minor"/>
    </font>
    <font>
      <sz val="11"/>
      <color indexed="8"/>
      <name val="Calibri"/>
      <family val="2"/>
    </font>
    <font>
      <b/>
      <sz val="10"/>
      <name val="Calibri"/>
      <family val="2"/>
      <scheme val="minor"/>
    </font>
    <font>
      <b/>
      <sz val="10"/>
      <color indexed="8"/>
      <name val="Calibri"/>
      <family val="2"/>
      <scheme val="minor"/>
    </font>
    <font>
      <b/>
      <sz val="10"/>
      <name val="Baskerville Old Face"/>
      <family val="1"/>
    </font>
    <font>
      <b/>
      <sz val="10"/>
      <color indexed="8"/>
      <name val="Baskerville Old Face"/>
      <family val="1"/>
    </font>
    <font>
      <b/>
      <strike/>
      <sz val="12"/>
      <name val="Calibri"/>
      <family val="2"/>
      <scheme val="minor"/>
    </font>
    <font>
      <b/>
      <sz val="9"/>
      <name val="Calibri"/>
      <family val="2"/>
      <scheme val="minor"/>
    </font>
    <font>
      <b/>
      <sz val="8"/>
      <name val="Calibri"/>
      <family val="2"/>
      <scheme val="minor"/>
    </font>
    <font>
      <b/>
      <sz val="9"/>
      <name val="Cambria"/>
      <family val="1"/>
    </font>
    <font>
      <b/>
      <sz val="8"/>
      <name val="Cambria"/>
      <family val="1"/>
    </font>
    <font>
      <b/>
      <sz val="9"/>
      <color indexed="8"/>
      <name val="Calibri"/>
      <family val="2"/>
      <scheme val="minor"/>
    </font>
    <font>
      <sz val="12"/>
      <color indexed="8"/>
      <name val="Calibri"/>
      <family val="2"/>
      <scheme val="minor"/>
    </font>
    <font>
      <b/>
      <sz val="12"/>
      <name val="Calibri"/>
      <family val="2"/>
      <scheme val="minor"/>
    </font>
    <font>
      <sz val="10"/>
      <color indexed="8"/>
      <name val="Calibri"/>
      <family val="2"/>
      <scheme val="minor"/>
    </font>
    <font>
      <b/>
      <sz val="8"/>
      <color indexed="8"/>
      <name val="Calibri"/>
      <family val="2"/>
      <scheme val="minor"/>
    </font>
    <font>
      <b/>
      <sz val="11"/>
      <name val="Calibri"/>
      <family val="2"/>
      <scheme val="minor"/>
    </font>
    <font>
      <b/>
      <sz val="14"/>
      <color rgb="FF0000CC"/>
      <name val="Calibri"/>
      <family val="2"/>
      <scheme val="minor"/>
    </font>
    <font>
      <b/>
      <sz val="20"/>
      <color rgb="FF0000CC"/>
      <name val="Calibri"/>
      <family val="2"/>
      <scheme val="minor"/>
    </font>
    <font>
      <sz val="11"/>
      <color indexed="8"/>
      <name val="Calibri"/>
      <family val="2"/>
      <scheme val="minor"/>
    </font>
    <font>
      <b/>
      <sz val="18"/>
      <color rgb="FF0000CC"/>
      <name val="Calibri"/>
      <family val="2"/>
      <scheme val="minor"/>
    </font>
    <font>
      <b/>
      <sz val="20"/>
      <color rgb="FFFF0000"/>
      <name val="Calibri"/>
      <family val="2"/>
      <scheme val="minor"/>
    </font>
    <font>
      <b/>
      <sz val="12"/>
      <color theme="1"/>
      <name val="Times New Roman"/>
      <family val="1"/>
    </font>
    <font>
      <b/>
      <sz val="14"/>
      <color theme="1"/>
      <name val="Times New Roman"/>
      <family val="1"/>
    </font>
    <font>
      <sz val="12"/>
      <color theme="1"/>
      <name val="Times New Roman"/>
      <family val="1"/>
    </font>
    <font>
      <sz val="14"/>
      <color theme="1"/>
      <name val="Times New Roman"/>
      <family val="1"/>
    </font>
    <font>
      <sz val="14"/>
      <name val="Times New Roman"/>
      <family val="1"/>
    </font>
    <font>
      <b/>
      <sz val="12"/>
      <color theme="0"/>
      <name val="Times New Roman"/>
      <family val="1"/>
    </font>
    <font>
      <b/>
      <sz val="16"/>
      <name val="Times New Roman"/>
      <family val="1"/>
    </font>
    <font>
      <b/>
      <sz val="14"/>
      <name val="Times New Roman"/>
      <family val="1"/>
    </font>
    <font>
      <b/>
      <sz val="16"/>
      <color theme="1"/>
      <name val="Times New Roman"/>
      <family val="1"/>
    </font>
    <font>
      <b/>
      <sz val="26"/>
      <color theme="1"/>
      <name val="Times New Roman"/>
      <family val="1"/>
    </font>
    <font>
      <b/>
      <sz val="9"/>
      <color indexed="81"/>
      <name val="Tahoma"/>
      <family val="2"/>
    </font>
    <font>
      <sz val="9"/>
      <color indexed="81"/>
      <name val="Tahoma"/>
      <family val="2"/>
    </font>
    <font>
      <sz val="12"/>
      <name val="Times New Roman"/>
      <family val="1"/>
    </font>
    <font>
      <b/>
      <sz val="12"/>
      <color theme="1"/>
      <name val="Calibri"/>
      <family val="2"/>
      <scheme val="minor"/>
    </font>
    <font>
      <b/>
      <sz val="14"/>
      <color theme="1"/>
      <name val="Calibri"/>
      <family val="2"/>
      <scheme val="minor"/>
    </font>
    <font>
      <b/>
      <sz val="18"/>
      <color theme="1"/>
      <name val="Calibri"/>
      <family val="2"/>
      <scheme val="minor"/>
    </font>
    <font>
      <b/>
      <sz val="11"/>
      <name val="Arial"/>
      <family val="2"/>
    </font>
    <font>
      <b/>
      <sz val="11"/>
      <color theme="1"/>
      <name val="Calibri"/>
      <family val="2"/>
      <scheme val="minor"/>
    </font>
    <font>
      <sz val="8"/>
      <name val="Calibri"/>
      <family val="2"/>
      <scheme val="minor"/>
    </font>
    <font>
      <b/>
      <sz val="9"/>
      <name val="Comic Sans MS"/>
      <family val="4"/>
    </font>
    <font>
      <sz val="9"/>
      <name val="Comic Sans MS"/>
      <family val="4"/>
    </font>
    <font>
      <sz val="12"/>
      <color theme="1"/>
      <name val="Calibri"/>
      <family val="2"/>
      <scheme val="minor"/>
    </font>
    <font>
      <b/>
      <u/>
      <sz val="11"/>
      <color theme="1"/>
      <name val="Calibri"/>
      <family val="2"/>
      <scheme val="minor"/>
    </font>
    <font>
      <sz val="11"/>
      <name val="Calibri"/>
      <family val="2"/>
      <scheme val="minor"/>
    </font>
    <font>
      <sz val="12"/>
      <name val="Calibri Light"/>
      <family val="1"/>
      <scheme val="major"/>
    </font>
    <font>
      <b/>
      <sz val="22"/>
      <name val="Calibri Light"/>
      <family val="1"/>
      <scheme val="major"/>
    </font>
    <font>
      <sz val="14"/>
      <name val="Calibri Light"/>
      <family val="1"/>
      <scheme val="major"/>
    </font>
    <font>
      <sz val="18"/>
      <name val="Calibri Light"/>
      <family val="1"/>
      <scheme val="major"/>
    </font>
    <font>
      <b/>
      <sz val="14"/>
      <name val="Calibri Light"/>
      <family val="2"/>
      <scheme val="major"/>
    </font>
    <font>
      <b/>
      <sz val="18"/>
      <name val="Times New Roman"/>
      <family val="1"/>
    </font>
    <font>
      <b/>
      <sz val="18"/>
      <name val="Calibri Light"/>
      <family val="1"/>
      <scheme val="major"/>
    </font>
    <font>
      <sz val="18"/>
      <color theme="1"/>
      <name val="Calibri"/>
      <family val="2"/>
      <scheme val="minor"/>
    </font>
    <font>
      <b/>
      <sz val="14"/>
      <name val="Calibri Light"/>
      <family val="1"/>
      <scheme val="major"/>
    </font>
    <font>
      <sz val="10"/>
      <color theme="1"/>
      <name val="Calibri"/>
      <family val="2"/>
      <scheme val="minor"/>
    </font>
    <font>
      <sz val="14"/>
      <name val="Calibri Light"/>
      <family val="2"/>
      <scheme val="major"/>
    </font>
    <font>
      <sz val="14"/>
      <color rgb="FFFF0000"/>
      <name val="Calibri Light"/>
      <family val="1"/>
      <scheme val="major"/>
    </font>
    <font>
      <sz val="14"/>
      <color indexed="81"/>
      <name val="Tahoma"/>
      <family val="2"/>
    </font>
    <font>
      <b/>
      <sz val="18"/>
      <color theme="1"/>
      <name val="Times New Roman"/>
      <family val="1"/>
    </font>
    <font>
      <b/>
      <sz val="12"/>
      <name val="Times New Roman"/>
      <family val="1"/>
    </font>
    <font>
      <sz val="11"/>
      <color theme="1"/>
      <name val="Times New Roman"/>
      <family val="1"/>
    </font>
    <font>
      <sz val="10"/>
      <color indexed="8"/>
      <name val="MS Sans Serif"/>
      <family val="2"/>
    </font>
    <font>
      <sz val="8.0500000000000007"/>
      <color indexed="8"/>
      <name val="Times New Roman"/>
      <family val="1"/>
    </font>
    <font>
      <sz val="8"/>
      <color theme="1"/>
      <name val="Times New Roman"/>
      <family val="1"/>
    </font>
    <font>
      <b/>
      <sz val="11"/>
      <color theme="0"/>
      <name val="Calibri"/>
      <family val="2"/>
      <scheme val="minor"/>
    </font>
    <font>
      <sz val="12"/>
      <name val="Calibri Light"/>
      <family val="2"/>
      <scheme val="major"/>
    </font>
    <font>
      <sz val="8"/>
      <color theme="1"/>
      <name val="Calibri"/>
      <family val="2"/>
      <scheme val="minor"/>
    </font>
    <font>
      <sz val="9"/>
      <color indexed="8"/>
      <name val="Calibri"/>
    </font>
    <font>
      <sz val="11"/>
      <color rgb="FF000000"/>
      <name val="Times New Roman"/>
      <family val="1"/>
    </font>
  </fonts>
  <fills count="2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11"/>
        <bgColor indexed="64"/>
      </patternFill>
    </fill>
    <fill>
      <patternFill patternType="solid">
        <fgColor rgb="FF92D050"/>
        <bgColor indexed="64"/>
      </patternFill>
    </fill>
    <fill>
      <patternFill patternType="solid">
        <fgColor indexed="57"/>
        <bgColor indexed="64"/>
      </patternFill>
    </fill>
    <fill>
      <patternFill patternType="solid">
        <fgColor indexed="44"/>
        <bgColor indexed="64"/>
      </patternFill>
    </fill>
    <fill>
      <patternFill patternType="solid">
        <fgColor indexed="27"/>
        <bgColor indexed="64"/>
      </patternFill>
    </fill>
    <fill>
      <patternFill patternType="solid">
        <fgColor indexed="49"/>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39997558519241921"/>
        <bgColor theme="4" tint="0.79998168889431442"/>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00B0F0"/>
        <bgColor indexed="64"/>
      </patternFill>
    </fill>
    <fill>
      <patternFill patternType="solid">
        <fgColor rgb="FF002060"/>
        <bgColor indexed="64"/>
      </patternFill>
    </fill>
    <fill>
      <patternFill patternType="solid">
        <fgColor theme="4" tint="0.5999938962981048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double">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17">
    <xf numFmtId="0" fontId="0"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1" fillId="0" borderId="0"/>
    <xf numFmtId="43" fontId="1"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cellStyleXfs>
  <cellXfs count="529">
    <xf numFmtId="0" fontId="0" fillId="0" borderId="0" xfId="0"/>
    <xf numFmtId="0" fontId="0" fillId="0" borderId="1" xfId="0" applyBorder="1"/>
    <xf numFmtId="0" fontId="0" fillId="0" borderId="1" xfId="0" applyBorder="1" applyAlignment="1">
      <alignment horizontal="center"/>
    </xf>
    <xf numFmtId="0" fontId="2" fillId="0" borderId="0" xfId="1"/>
    <xf numFmtId="0" fontId="3" fillId="0" borderId="0" xfId="1" applyFont="1"/>
    <xf numFmtId="9" fontId="3" fillId="0" borderId="0" xfId="1" applyNumberFormat="1" applyFont="1"/>
    <xf numFmtId="9" fontId="4" fillId="3" borderId="1" xfId="2" applyFont="1" applyFill="1" applyBorder="1" applyAlignment="1">
      <alignment vertical="top"/>
    </xf>
    <xf numFmtId="164" fontId="4" fillId="2" borderId="1" xfId="4" applyNumberFormat="1" applyFont="1" applyFill="1" applyBorder="1" applyAlignment="1">
      <alignment vertical="top"/>
    </xf>
    <xf numFmtId="0" fontId="4" fillId="2" borderId="1" xfId="1" applyFont="1" applyFill="1" applyBorder="1" applyAlignment="1">
      <alignment vertical="top" wrapText="1"/>
    </xf>
    <xf numFmtId="0" fontId="4" fillId="2" borderId="1" xfId="5" applyFont="1" applyFill="1" applyBorder="1" applyAlignment="1">
      <alignment horizontal="center" vertical="top"/>
    </xf>
    <xf numFmtId="0" fontId="4" fillId="2" borderId="1" xfId="5" applyFont="1" applyFill="1" applyBorder="1" applyAlignment="1">
      <alignment vertical="top"/>
    </xf>
    <xf numFmtId="9" fontId="4" fillId="4" borderId="1" xfId="2" applyFont="1" applyFill="1" applyBorder="1" applyAlignment="1">
      <alignment vertical="top"/>
    </xf>
    <xf numFmtId="164" fontId="4" fillId="4" borderId="1" xfId="4" applyNumberFormat="1" applyFont="1" applyFill="1" applyBorder="1" applyAlignment="1">
      <alignment vertical="top"/>
    </xf>
    <xf numFmtId="0" fontId="4" fillId="4" borderId="1" xfId="1" applyFont="1" applyFill="1" applyBorder="1" applyAlignment="1">
      <alignment vertical="top" wrapText="1"/>
    </xf>
    <xf numFmtId="0" fontId="6" fillId="4" borderId="1" xfId="5" applyFont="1" applyFill="1" applyBorder="1" applyAlignment="1">
      <alignment horizontal="center" vertical="top"/>
    </xf>
    <xf numFmtId="0" fontId="4" fillId="4" borderId="1" xfId="5" applyFont="1" applyFill="1" applyBorder="1" applyAlignment="1">
      <alignment horizontal="center" vertical="top"/>
    </xf>
    <xf numFmtId="0" fontId="4" fillId="4" borderId="1" xfId="5" applyFont="1" applyFill="1" applyBorder="1" applyAlignment="1">
      <alignment vertical="top"/>
    </xf>
    <xf numFmtId="0" fontId="4" fillId="2" borderId="1" xfId="5" applyFont="1" applyFill="1" applyBorder="1"/>
    <xf numFmtId="0" fontId="4" fillId="4" borderId="1" xfId="5" applyFont="1" applyFill="1" applyBorder="1"/>
    <xf numFmtId="9" fontId="6" fillId="5" borderId="1" xfId="2" applyFont="1" applyFill="1" applyBorder="1" applyAlignment="1">
      <alignment vertical="top"/>
    </xf>
    <xf numFmtId="164" fontId="6" fillId="5" borderId="1" xfId="4" applyNumberFormat="1" applyFont="1" applyFill="1" applyBorder="1" applyAlignment="1">
      <alignment vertical="top"/>
    </xf>
    <xf numFmtId="0" fontId="6" fillId="5" borderId="1" xfId="1" applyFont="1" applyFill="1" applyBorder="1" applyAlignment="1">
      <alignment vertical="top" wrapText="1"/>
    </xf>
    <xf numFmtId="0" fontId="6" fillId="5" borderId="1" xfId="5" applyFont="1" applyFill="1" applyBorder="1" applyAlignment="1">
      <alignment horizontal="center" vertical="top"/>
    </xf>
    <xf numFmtId="0" fontId="6" fillId="5" borderId="1" xfId="5" applyFont="1" applyFill="1" applyBorder="1"/>
    <xf numFmtId="0" fontId="4" fillId="2" borderId="1" xfId="5" quotePrefix="1" applyFont="1" applyFill="1" applyBorder="1" applyAlignment="1">
      <alignment horizontal="center" vertical="top"/>
    </xf>
    <xf numFmtId="164" fontId="4" fillId="0" borderId="1" xfId="4" applyNumberFormat="1" applyFont="1" applyFill="1" applyBorder="1" applyAlignment="1">
      <alignment vertical="top"/>
    </xf>
    <xf numFmtId="0" fontId="4" fillId="0" borderId="1" xfId="1" applyFont="1" applyBorder="1" applyAlignment="1">
      <alignment vertical="top" wrapText="1"/>
    </xf>
    <xf numFmtId="0" fontId="4" fillId="0" borderId="1" xfId="5" applyFont="1" applyBorder="1" applyAlignment="1">
      <alignment horizontal="center" vertical="top"/>
    </xf>
    <xf numFmtId="0" fontId="4" fillId="0" borderId="1" xfId="5" applyFont="1" applyBorder="1"/>
    <xf numFmtId="0" fontId="4" fillId="5" borderId="1" xfId="5" applyFont="1" applyFill="1" applyBorder="1" applyAlignment="1">
      <alignment horizontal="center" vertical="top"/>
    </xf>
    <xf numFmtId="0" fontId="6" fillId="5" borderId="1" xfId="5" applyFont="1" applyFill="1" applyBorder="1" applyAlignment="1">
      <alignment vertical="top"/>
    </xf>
    <xf numFmtId="0" fontId="6" fillId="5" borderId="1" xfId="5" applyFont="1" applyFill="1" applyBorder="1" applyAlignment="1">
      <alignment horizontal="right" vertical="top"/>
    </xf>
    <xf numFmtId="0" fontId="4" fillId="2" borderId="1" xfId="5" applyFont="1" applyFill="1" applyBorder="1" applyAlignment="1">
      <alignment vertical="top" wrapText="1"/>
    </xf>
    <xf numFmtId="0" fontId="4" fillId="4" borderId="1" xfId="5" applyFont="1" applyFill="1" applyBorder="1" applyAlignment="1">
      <alignment vertical="top" wrapText="1"/>
    </xf>
    <xf numFmtId="0" fontId="6" fillId="5" borderId="1" xfId="5" applyFont="1" applyFill="1" applyBorder="1" applyAlignment="1">
      <alignment vertical="top" wrapText="1"/>
    </xf>
    <xf numFmtId="0" fontId="4" fillId="2" borderId="1" xfId="5" applyFont="1" applyFill="1" applyBorder="1" applyAlignment="1">
      <alignment horizontal="justify" vertical="top" wrapText="1"/>
    </xf>
    <xf numFmtId="0" fontId="4" fillId="2" borderId="1" xfId="1" applyFont="1" applyFill="1" applyBorder="1" applyAlignment="1">
      <alignment wrapText="1"/>
    </xf>
    <xf numFmtId="0" fontId="6" fillId="5" borderId="1" xfId="1" applyFont="1" applyFill="1" applyBorder="1" applyAlignment="1">
      <alignment wrapText="1"/>
    </xf>
    <xf numFmtId="0" fontId="6" fillId="5" borderId="1" xfId="5" applyFont="1" applyFill="1" applyBorder="1" applyAlignment="1">
      <alignment horizontal="center"/>
    </xf>
    <xf numFmtId="164" fontId="6" fillId="5" borderId="14" xfId="4" applyNumberFormat="1" applyFont="1" applyFill="1" applyBorder="1" applyAlignment="1">
      <alignment vertical="top"/>
    </xf>
    <xf numFmtId="0" fontId="6" fillId="5" borderId="14" xfId="5" applyFont="1" applyFill="1" applyBorder="1" applyAlignment="1">
      <alignment horizontal="center" vertical="top"/>
    </xf>
    <xf numFmtId="0" fontId="7" fillId="5" borderId="14" xfId="5" applyFont="1" applyFill="1" applyBorder="1" applyAlignment="1">
      <alignment vertical="top"/>
    </xf>
    <xf numFmtId="9" fontId="8" fillId="6" borderId="2" xfId="2" applyFont="1" applyFill="1" applyBorder="1" applyAlignment="1">
      <alignment vertical="top"/>
    </xf>
    <xf numFmtId="164" fontId="8" fillId="6" borderId="12" xfId="4" applyNumberFormat="1" applyFont="1" applyFill="1" applyBorder="1" applyAlignment="1">
      <alignment vertical="top"/>
    </xf>
    <xf numFmtId="0" fontId="8" fillId="6" borderId="12" xfId="5" applyFont="1" applyFill="1" applyBorder="1" applyAlignment="1">
      <alignment horizontal="center" vertical="top"/>
    </xf>
    <xf numFmtId="0" fontId="9" fillId="6" borderId="12" xfId="5" applyFont="1" applyFill="1" applyBorder="1" applyAlignment="1">
      <alignment vertical="top"/>
    </xf>
    <xf numFmtId="0" fontId="15" fillId="8" borderId="1" xfId="5" applyFont="1" applyFill="1" applyBorder="1" applyAlignment="1">
      <alignment horizontal="center"/>
    </xf>
    <xf numFmtId="164" fontId="2" fillId="0" borderId="0" xfId="1" applyNumberFormat="1"/>
    <xf numFmtId="0" fontId="6" fillId="3" borderId="15" xfId="1" applyFont="1" applyFill="1" applyBorder="1" applyAlignment="1">
      <alignment horizontal="center"/>
    </xf>
    <xf numFmtId="0" fontId="6" fillId="3" borderId="0" xfId="1" applyFont="1" applyFill="1" applyAlignment="1">
      <alignment horizontal="center"/>
    </xf>
    <xf numFmtId="0" fontId="6" fillId="3" borderId="13" xfId="1" applyFont="1" applyFill="1" applyBorder="1" applyAlignment="1">
      <alignment horizontal="center"/>
    </xf>
    <xf numFmtId="4" fontId="7" fillId="9" borderId="0" xfId="1" applyNumberFormat="1" applyFont="1" applyFill="1"/>
    <xf numFmtId="4" fontId="16" fillId="9" borderId="0" xfId="1" applyNumberFormat="1" applyFont="1" applyFill="1"/>
    <xf numFmtId="4" fontId="17" fillId="9" borderId="0" xfId="1" applyNumberFormat="1" applyFont="1" applyFill="1"/>
    <xf numFmtId="0" fontId="16" fillId="9" borderId="0" xfId="1" applyFont="1" applyFill="1"/>
    <xf numFmtId="0" fontId="17" fillId="9" borderId="0" xfId="1" applyFont="1" applyFill="1"/>
    <xf numFmtId="4" fontId="17" fillId="9" borderId="0" xfId="1" applyNumberFormat="1" applyFont="1" applyFill="1" applyAlignment="1">
      <alignment horizontal="left"/>
    </xf>
    <xf numFmtId="0" fontId="16" fillId="9" borderId="13" xfId="1" applyFont="1" applyFill="1" applyBorder="1"/>
    <xf numFmtId="4" fontId="18" fillId="2" borderId="0" xfId="1" applyNumberFormat="1" applyFont="1" applyFill="1" applyAlignment="1">
      <alignment horizontal="center"/>
    </xf>
    <xf numFmtId="4" fontId="17" fillId="2" borderId="0" xfId="1" applyNumberFormat="1" applyFont="1" applyFill="1" applyAlignment="1">
      <alignment horizontal="left" indent="11"/>
    </xf>
    <xf numFmtId="0" fontId="16" fillId="2" borderId="0" xfId="1" applyFont="1" applyFill="1"/>
    <xf numFmtId="0" fontId="16" fillId="2" borderId="13" xfId="1" applyFont="1" applyFill="1" applyBorder="1"/>
    <xf numFmtId="4" fontId="18" fillId="2" borderId="16" xfId="1" applyNumberFormat="1" applyFont="1" applyFill="1" applyBorder="1"/>
    <xf numFmtId="43" fontId="6" fillId="0" borderId="0" xfId="4" applyFont="1" applyBorder="1" applyAlignment="1">
      <alignment horizontal="left"/>
    </xf>
    <xf numFmtId="4" fontId="18" fillId="2" borderId="17" xfId="1" applyNumberFormat="1" applyFont="1" applyFill="1" applyBorder="1"/>
    <xf numFmtId="4" fontId="6" fillId="2" borderId="0" xfId="1" applyNumberFormat="1" applyFont="1" applyFill="1" applyAlignment="1">
      <alignment horizontal="left" indent="11"/>
    </xf>
    <xf numFmtId="4" fontId="18" fillId="2" borderId="0" xfId="1" applyNumberFormat="1" applyFont="1" applyFill="1"/>
    <xf numFmtId="4" fontId="6" fillId="2" borderId="0" xfId="1" applyNumberFormat="1" applyFont="1" applyFill="1" applyAlignment="1">
      <alignment horizontal="left" indent="2"/>
    </xf>
    <xf numFmtId="4" fontId="18" fillId="2" borderId="4" xfId="1" applyNumberFormat="1" applyFont="1" applyFill="1" applyBorder="1"/>
    <xf numFmtId="4" fontId="7" fillId="2" borderId="0" xfId="1" applyNumberFormat="1" applyFont="1" applyFill="1" applyAlignment="1">
      <alignment horizontal="left" indent="2"/>
    </xf>
    <xf numFmtId="4" fontId="6" fillId="2" borderId="0" xfId="1" applyNumberFormat="1" applyFont="1" applyFill="1" applyAlignment="1">
      <alignment horizontal="left" indent="3"/>
    </xf>
    <xf numFmtId="4" fontId="19" fillId="2" borderId="0" xfId="1" applyNumberFormat="1" applyFont="1" applyFill="1" applyAlignment="1">
      <alignment horizontal="left" indent="2"/>
    </xf>
    <xf numFmtId="0" fontId="18" fillId="2" borderId="0" xfId="1" applyFont="1" applyFill="1"/>
    <xf numFmtId="0" fontId="6" fillId="2" borderId="0" xfId="1" applyFont="1" applyFill="1" applyAlignment="1">
      <alignment horizontal="left" indent="3"/>
    </xf>
    <xf numFmtId="0" fontId="17" fillId="9" borderId="15" xfId="1" applyFont="1" applyFill="1" applyBorder="1" applyAlignment="1">
      <alignment horizontal="left"/>
    </xf>
    <xf numFmtId="0" fontId="17" fillId="9" borderId="0" xfId="1" applyFont="1" applyFill="1" applyAlignment="1">
      <alignment horizontal="left"/>
    </xf>
    <xf numFmtId="0" fontId="17" fillId="9" borderId="13" xfId="1" applyFont="1" applyFill="1" applyBorder="1" applyAlignment="1">
      <alignment horizontal="left"/>
    </xf>
    <xf numFmtId="0" fontId="23" fillId="3" borderId="15" xfId="1" applyFont="1" applyFill="1" applyBorder="1"/>
    <xf numFmtId="0" fontId="23" fillId="3" borderId="0" xfId="1" applyFont="1" applyFill="1"/>
    <xf numFmtId="0" fontId="23" fillId="3" borderId="10" xfId="1" applyFont="1" applyFill="1" applyBorder="1"/>
    <xf numFmtId="0" fontId="23" fillId="3" borderId="17" xfId="1" applyFont="1" applyFill="1" applyBorder="1"/>
    <xf numFmtId="0" fontId="4" fillId="3" borderId="17" xfId="1" applyFont="1" applyFill="1" applyBorder="1"/>
    <xf numFmtId="0" fontId="4" fillId="3" borderId="11" xfId="1" applyFont="1" applyFill="1" applyBorder="1"/>
    <xf numFmtId="0" fontId="25" fillId="0" borderId="0" xfId="1" applyFont="1"/>
    <xf numFmtId="9" fontId="26" fillId="5" borderId="8" xfId="1" applyNumberFormat="1" applyFont="1" applyFill="1" applyBorder="1" applyAlignment="1">
      <alignment horizontal="center"/>
    </xf>
    <xf numFmtId="9" fontId="26" fillId="5" borderId="8" xfId="2" applyFont="1" applyFill="1" applyBorder="1"/>
    <xf numFmtId="0" fontId="27" fillId="5" borderId="9" xfId="1" applyFont="1" applyFill="1" applyBorder="1" applyAlignment="1">
      <alignment horizontal="center"/>
    </xf>
    <xf numFmtId="4" fontId="26" fillId="5" borderId="8" xfId="1" applyNumberFormat="1" applyFont="1" applyFill="1" applyBorder="1"/>
    <xf numFmtId="9" fontId="26" fillId="10" borderId="8" xfId="1" applyNumberFormat="1" applyFont="1" applyFill="1" applyBorder="1" applyAlignment="1">
      <alignment horizontal="center"/>
    </xf>
    <xf numFmtId="4" fontId="26" fillId="10" borderId="1" xfId="1" applyNumberFormat="1" applyFont="1" applyFill="1" applyBorder="1"/>
    <xf numFmtId="0" fontId="26" fillId="10" borderId="9" xfId="1" applyFont="1" applyFill="1" applyBorder="1" applyAlignment="1">
      <alignment horizontal="center"/>
    </xf>
    <xf numFmtId="9" fontId="28" fillId="0" borderId="18" xfId="2" applyFont="1" applyBorder="1" applyAlignment="1">
      <alignment horizontal="center"/>
    </xf>
    <xf numFmtId="4" fontId="28" fillId="0" borderId="5" xfId="1" applyNumberFormat="1" applyFont="1" applyBorder="1"/>
    <xf numFmtId="4" fontId="28" fillId="0" borderId="1" xfId="1" applyNumberFormat="1" applyFont="1" applyBorder="1"/>
    <xf numFmtId="0" fontId="29" fillId="0" borderId="19" xfId="1" applyFont="1" applyBorder="1" applyAlignment="1">
      <alignment horizontal="left"/>
    </xf>
    <xf numFmtId="9" fontId="28" fillId="0" borderId="20" xfId="2" applyFont="1" applyBorder="1" applyAlignment="1">
      <alignment horizontal="center"/>
    </xf>
    <xf numFmtId="0" fontId="30" fillId="0" borderId="21" xfId="1" applyFont="1" applyBorder="1" applyAlignment="1">
      <alignment horizontal="left"/>
    </xf>
    <xf numFmtId="0" fontId="29" fillId="0" borderId="22" xfId="1" applyFont="1" applyBorder="1" applyAlignment="1">
      <alignment horizontal="left"/>
    </xf>
    <xf numFmtId="0" fontId="31" fillId="11" borderId="23" xfId="1" applyFont="1" applyFill="1" applyBorder="1" applyAlignment="1">
      <alignment horizontal="center" vertical="center"/>
    </xf>
    <xf numFmtId="0" fontId="31" fillId="11" borderId="0" xfId="1" applyFont="1" applyFill="1" applyAlignment="1">
      <alignment horizontal="center" vertical="center"/>
    </xf>
    <xf numFmtId="0" fontId="31" fillId="11" borderId="0" xfId="1" applyFont="1" applyFill="1" applyAlignment="1">
      <alignment horizontal="center" wrapText="1"/>
    </xf>
    <xf numFmtId="0" fontId="32" fillId="11" borderId="24" xfId="1" applyFont="1" applyFill="1" applyBorder="1" applyAlignment="1">
      <alignment horizontal="left" vertical="center"/>
    </xf>
    <xf numFmtId="9" fontId="26" fillId="10" borderId="20" xfId="2" applyFont="1" applyFill="1" applyBorder="1" applyAlignment="1">
      <alignment horizontal="center"/>
    </xf>
    <xf numFmtId="0" fontId="33" fillId="10" borderId="22" xfId="1" applyFont="1" applyFill="1" applyBorder="1" applyAlignment="1">
      <alignment horizontal="center"/>
    </xf>
    <xf numFmtId="0" fontId="30" fillId="0" borderId="22" xfId="1" applyFont="1" applyBorder="1" applyAlignment="1">
      <alignment horizontal="left"/>
    </xf>
    <xf numFmtId="0" fontId="26" fillId="0" borderId="0" xfId="1" applyFont="1" applyAlignment="1">
      <alignment horizontal="center"/>
    </xf>
    <xf numFmtId="0" fontId="39" fillId="0" borderId="1" xfId="0" applyFont="1" applyBorder="1" applyAlignment="1">
      <alignment horizontal="center"/>
    </xf>
    <xf numFmtId="43" fontId="0" fillId="0" borderId="1" xfId="6" applyFont="1" applyBorder="1" applyAlignment="1">
      <alignment horizontal="right"/>
    </xf>
    <xf numFmtId="0" fontId="40" fillId="0" borderId="1" xfId="0" applyFont="1" applyBorder="1" applyAlignment="1">
      <alignment horizontal="center"/>
    </xf>
    <xf numFmtId="0" fontId="42" fillId="0" borderId="0" xfId="1" applyFont="1"/>
    <xf numFmtId="43" fontId="0" fillId="0" borderId="1" xfId="6" applyFont="1" applyBorder="1" applyAlignment="1">
      <alignment horizontal="center"/>
    </xf>
    <xf numFmtId="0" fontId="43" fillId="0" borderId="1" xfId="0" applyFont="1" applyBorder="1" applyAlignment="1">
      <alignment horizontal="center"/>
    </xf>
    <xf numFmtId="43" fontId="0" fillId="0" borderId="1" xfId="6" applyFont="1" applyBorder="1"/>
    <xf numFmtId="0" fontId="29" fillId="0" borderId="29" xfId="1" applyFont="1" applyBorder="1" applyAlignment="1">
      <alignment horizontal="left"/>
    </xf>
    <xf numFmtId="4" fontId="28" fillId="0" borderId="2" xfId="1" applyNumberFormat="1" applyFont="1" applyBorder="1"/>
    <xf numFmtId="4" fontId="26" fillId="10" borderId="30" xfId="1" applyNumberFormat="1" applyFont="1" applyFill="1" applyBorder="1"/>
    <xf numFmtId="4" fontId="26" fillId="10" borderId="31" xfId="1" applyNumberFormat="1" applyFont="1" applyFill="1" applyBorder="1"/>
    <xf numFmtId="0" fontId="43" fillId="0" borderId="0" xfId="0" applyFont="1" applyAlignment="1">
      <alignment horizontal="center"/>
    </xf>
    <xf numFmtId="0" fontId="0" fillId="0" borderId="0" xfId="0" applyAlignment="1">
      <alignment horizontal="center"/>
    </xf>
    <xf numFmtId="0" fontId="0" fillId="3" borderId="0" xfId="0" applyFill="1"/>
    <xf numFmtId="0" fontId="45" fillId="13" borderId="1" xfId="0" applyFont="1" applyFill="1" applyBorder="1" applyAlignment="1">
      <alignment horizontal="center" vertical="center" wrapText="1"/>
    </xf>
    <xf numFmtId="0" fontId="45" fillId="13" borderId="1" xfId="0" applyFont="1" applyFill="1" applyBorder="1" applyAlignment="1">
      <alignment horizontal="left" vertical="center" wrapText="1"/>
    </xf>
    <xf numFmtId="43" fontId="45" fillId="13" borderId="1" xfId="6" applyFont="1" applyFill="1" applyBorder="1" applyAlignment="1">
      <alignment horizontal="center" vertical="center" wrapText="1"/>
    </xf>
    <xf numFmtId="0" fontId="46" fillId="0" borderId="1" xfId="0" applyFont="1" applyBorder="1" applyAlignment="1">
      <alignment horizontal="center"/>
    </xf>
    <xf numFmtId="43" fontId="46" fillId="0" borderId="1" xfId="6" applyFont="1" applyFill="1" applyBorder="1"/>
    <xf numFmtId="43" fontId="46" fillId="0" borderId="1" xfId="6" applyFont="1" applyBorder="1"/>
    <xf numFmtId="0" fontId="0" fillId="0" borderId="0" xfId="0" applyAlignment="1">
      <alignment horizontal="left"/>
    </xf>
    <xf numFmtId="0" fontId="43" fillId="0" borderId="0" xfId="0" applyFont="1"/>
    <xf numFmtId="43" fontId="43" fillId="15" borderId="1" xfId="6" applyFont="1" applyFill="1" applyBorder="1" applyAlignment="1">
      <alignment horizontal="center" vertical="center" wrapText="1"/>
    </xf>
    <xf numFmtId="0" fontId="39" fillId="15" borderId="1" xfId="0" applyFont="1" applyFill="1" applyBorder="1" applyAlignment="1">
      <alignment horizontal="left" vertical="center" wrapText="1"/>
    </xf>
    <xf numFmtId="43" fontId="43" fillId="16" borderId="1" xfId="6" applyFont="1" applyFill="1" applyBorder="1" applyAlignment="1">
      <alignment horizontal="center" vertical="center" wrapText="1"/>
    </xf>
    <xf numFmtId="0" fontId="43" fillId="16" borderId="1" xfId="0" applyFont="1" applyFill="1" applyBorder="1" applyAlignment="1">
      <alignment horizontal="left" vertical="center" wrapText="1"/>
    </xf>
    <xf numFmtId="43" fontId="0" fillId="0" borderId="1" xfId="6" applyFont="1" applyBorder="1" applyAlignment="1">
      <alignment vertical="center" wrapText="1"/>
    </xf>
    <xf numFmtId="0" fontId="0" fillId="0" borderId="1" xfId="0" applyBorder="1" applyAlignment="1">
      <alignment horizontal="left" vertical="center" wrapText="1" indent="2"/>
    </xf>
    <xf numFmtId="43" fontId="43" fillId="0" borderId="1" xfId="6" applyFont="1" applyBorder="1" applyAlignment="1">
      <alignment vertical="center" wrapText="1"/>
    </xf>
    <xf numFmtId="0" fontId="43" fillId="0" borderId="1" xfId="0" applyFont="1" applyBorder="1" applyAlignment="1">
      <alignment horizontal="left" vertical="center" wrapText="1"/>
    </xf>
    <xf numFmtId="43" fontId="43" fillId="0" borderId="1" xfId="6" applyFont="1" applyBorder="1"/>
    <xf numFmtId="43" fontId="43" fillId="17" borderId="1" xfId="6" applyFont="1" applyFill="1" applyBorder="1" applyAlignment="1">
      <alignment wrapText="1"/>
    </xf>
    <xf numFmtId="43" fontId="0" fillId="17" borderId="1" xfId="6" applyFont="1" applyFill="1" applyBorder="1"/>
    <xf numFmtId="0" fontId="43" fillId="17" borderId="1" xfId="0" applyFont="1" applyFill="1" applyBorder="1" applyAlignment="1">
      <alignment horizontal="left" vertical="center" wrapText="1"/>
    </xf>
    <xf numFmtId="43" fontId="43" fillId="0" borderId="1" xfId="6" applyFont="1" applyBorder="1" applyAlignment="1">
      <alignment horizontal="left" vertical="center" wrapText="1"/>
    </xf>
    <xf numFmtId="0" fontId="39" fillId="15" borderId="1" xfId="0" applyFont="1" applyFill="1" applyBorder="1" applyAlignment="1">
      <alignment horizontal="center" vertical="center" wrapText="1"/>
    </xf>
    <xf numFmtId="0" fontId="39" fillId="15" borderId="1" xfId="0" applyFont="1" applyFill="1" applyBorder="1" applyAlignment="1">
      <alignment vertical="center" wrapText="1"/>
    </xf>
    <xf numFmtId="165" fontId="43" fillId="0" borderId="1" xfId="0" applyNumberFormat="1" applyFont="1" applyBorder="1" applyAlignment="1">
      <alignment vertical="center" wrapText="1"/>
    </xf>
    <xf numFmtId="165" fontId="43" fillId="16" borderId="1" xfId="0" applyNumberFormat="1" applyFont="1" applyFill="1" applyBorder="1" applyAlignment="1">
      <alignment horizontal="center" vertical="center" wrapText="1"/>
    </xf>
    <xf numFmtId="165" fontId="43" fillId="15" borderId="1" xfId="0" applyNumberFormat="1" applyFont="1" applyFill="1" applyBorder="1" applyAlignment="1">
      <alignment horizontal="center" vertical="center" wrapText="1"/>
    </xf>
    <xf numFmtId="0" fontId="39" fillId="17" borderId="1" xfId="0" applyFont="1" applyFill="1" applyBorder="1" applyAlignment="1">
      <alignment horizontal="center" vertical="center" wrapText="1"/>
    </xf>
    <xf numFmtId="43" fontId="43" fillId="0" borderId="1" xfId="6" applyFont="1" applyFill="1" applyBorder="1" applyAlignment="1">
      <alignment horizontal="left" vertical="center" wrapText="1"/>
    </xf>
    <xf numFmtId="43" fontId="43" fillId="17" borderId="1" xfId="6" applyFont="1" applyFill="1" applyBorder="1" applyAlignment="1">
      <alignment horizontal="right" wrapText="1"/>
    </xf>
    <xf numFmtId="43" fontId="43" fillId="17" borderId="1" xfId="0" applyNumberFormat="1" applyFont="1" applyFill="1" applyBorder="1"/>
    <xf numFmtId="43" fontId="43" fillId="0" borderId="1" xfId="6" applyFont="1" applyFill="1" applyBorder="1" applyAlignment="1">
      <alignment horizontal="right" wrapText="1"/>
    </xf>
    <xf numFmtId="43" fontId="43" fillId="0" borderId="1" xfId="6" applyFont="1" applyFill="1" applyBorder="1" applyAlignment="1">
      <alignment horizontal="right"/>
    </xf>
    <xf numFmtId="43" fontId="0" fillId="0" borderId="1" xfId="0" applyNumberFormat="1" applyBorder="1"/>
    <xf numFmtId="0" fontId="0" fillId="17" borderId="0" xfId="0" applyFill="1"/>
    <xf numFmtId="43" fontId="43" fillId="17" borderId="1" xfId="6" applyFont="1" applyFill="1" applyBorder="1" applyAlignment="1">
      <alignment vertical="center" wrapText="1"/>
    </xf>
    <xf numFmtId="0" fontId="39" fillId="0" borderId="1" xfId="0" applyFont="1" applyBorder="1" applyAlignment="1">
      <alignment horizontal="left" vertical="center" wrapText="1"/>
    </xf>
    <xf numFmtId="0" fontId="39" fillId="17" borderId="33" xfId="0" applyFont="1" applyFill="1" applyBorder="1" applyAlignment="1">
      <alignment horizontal="center"/>
    </xf>
    <xf numFmtId="0" fontId="39" fillId="11" borderId="1" xfId="0" applyFont="1" applyFill="1" applyBorder="1" applyAlignment="1">
      <alignment wrapText="1"/>
    </xf>
    <xf numFmtId="0" fontId="39" fillId="11" borderId="20" xfId="0" applyFont="1" applyFill="1" applyBorder="1" applyAlignment="1">
      <alignment wrapText="1"/>
    </xf>
    <xf numFmtId="0" fontId="0" fillId="0" borderId="20" xfId="0" applyBorder="1" applyAlignment="1">
      <alignment horizontal="center"/>
    </xf>
    <xf numFmtId="0" fontId="0" fillId="0" borderId="22" xfId="0" applyBorder="1"/>
    <xf numFmtId="0" fontId="0" fillId="0" borderId="20" xfId="0" applyBorder="1"/>
    <xf numFmtId="0" fontId="47" fillId="0" borderId="0" xfId="0" applyFont="1"/>
    <xf numFmtId="0" fontId="43" fillId="19" borderId="40" xfId="0" applyFont="1" applyFill="1" applyBorder="1" applyAlignment="1">
      <alignment horizontal="center" vertical="center"/>
    </xf>
    <xf numFmtId="0" fontId="43" fillId="19" borderId="41" xfId="0" applyFont="1" applyFill="1" applyBorder="1" applyAlignment="1">
      <alignment horizontal="center" vertical="center"/>
    </xf>
    <xf numFmtId="0" fontId="43" fillId="19" borderId="41" xfId="0" applyFont="1" applyFill="1" applyBorder="1" applyAlignment="1">
      <alignment horizontal="center" vertical="center" wrapText="1"/>
    </xf>
    <xf numFmtId="14" fontId="0" fillId="0" borderId="1" xfId="0" applyNumberFormat="1" applyBorder="1"/>
    <xf numFmtId="0" fontId="0" fillId="20" borderId="1" xfId="0" applyFill="1" applyBorder="1"/>
    <xf numFmtId="0" fontId="0" fillId="21" borderId="1" xfId="0" applyFill="1" applyBorder="1"/>
    <xf numFmtId="0" fontId="43" fillId="21" borderId="0" xfId="0" applyFont="1" applyFill="1" applyAlignment="1">
      <alignment horizontal="center" vertical="center" wrapText="1"/>
    </xf>
    <xf numFmtId="0" fontId="0" fillId="21" borderId="0" xfId="0" applyFill="1"/>
    <xf numFmtId="43" fontId="0" fillId="0" borderId="0" xfId="6" applyFont="1"/>
    <xf numFmtId="0" fontId="52" fillId="0" borderId="0" xfId="5" applyFont="1"/>
    <xf numFmtId="0" fontId="55" fillId="0" borderId="0" xfId="5" applyFont="1"/>
    <xf numFmtId="43" fontId="55" fillId="0" borderId="0" xfId="6" applyFont="1" applyFill="1" applyAlignment="1"/>
    <xf numFmtId="0" fontId="56" fillId="0" borderId="0" xfId="5" applyFont="1"/>
    <xf numFmtId="0" fontId="56" fillId="0" borderId="0" xfId="5" applyFont="1" applyAlignment="1">
      <alignment horizontal="left"/>
    </xf>
    <xf numFmtId="43" fontId="57" fillId="0" borderId="0" xfId="6" applyFont="1"/>
    <xf numFmtId="0" fontId="57" fillId="0" borderId="0" xfId="0" applyFont="1"/>
    <xf numFmtId="43" fontId="57" fillId="0" borderId="0" xfId="0" applyNumberFormat="1" applyFont="1"/>
    <xf numFmtId="0" fontId="1" fillId="0" borderId="0" xfId="5" applyAlignment="1">
      <alignment horizontal="center"/>
    </xf>
    <xf numFmtId="0" fontId="1" fillId="0" borderId="0" xfId="5"/>
    <xf numFmtId="43" fontId="2" fillId="0" borderId="0" xfId="6" applyFont="1"/>
    <xf numFmtId="0" fontId="58" fillId="22" borderId="1" xfId="5" applyFont="1" applyFill="1" applyBorder="1" applyAlignment="1">
      <alignment horizontal="center" vertical="center"/>
    </xf>
    <xf numFmtId="0" fontId="58" fillId="23" borderId="1" xfId="5" applyFont="1" applyFill="1" applyBorder="1" applyAlignment="1">
      <alignment horizontal="center" vertical="center"/>
    </xf>
    <xf numFmtId="43" fontId="58" fillId="23" borderId="1" xfId="6" applyFont="1" applyFill="1" applyBorder="1" applyAlignment="1">
      <alignment horizontal="center" vertical="center"/>
    </xf>
    <xf numFmtId="0" fontId="52" fillId="0" borderId="1" xfId="5" applyFont="1" applyBorder="1" applyAlignment="1">
      <alignment horizontal="center"/>
    </xf>
    <xf numFmtId="0" fontId="52" fillId="0" borderId="1" xfId="5" applyFont="1" applyBorder="1" applyAlignment="1">
      <alignment horizontal="left" vertical="center"/>
    </xf>
    <xf numFmtId="43" fontId="52" fillId="0" borderId="1" xfId="6" applyFont="1" applyFill="1" applyBorder="1" applyAlignment="1">
      <alignment vertical="center"/>
    </xf>
    <xf numFmtId="43" fontId="52" fillId="0" borderId="1" xfId="6" applyFont="1" applyFill="1" applyBorder="1" applyAlignment="1">
      <alignment horizontal="left" vertical="center"/>
    </xf>
    <xf numFmtId="43" fontId="52" fillId="0" borderId="1" xfId="10" applyFont="1" applyFill="1" applyBorder="1" applyAlignment="1"/>
    <xf numFmtId="43" fontId="52" fillId="0" borderId="1" xfId="6" applyFont="1" applyFill="1" applyBorder="1" applyAlignment="1"/>
    <xf numFmtId="43" fontId="59" fillId="3" borderId="1" xfId="6" applyFont="1" applyFill="1" applyBorder="1" applyAlignment="1">
      <alignment horizontal="center" wrapText="1"/>
    </xf>
    <xf numFmtId="43" fontId="58" fillId="20" borderId="1" xfId="5" applyNumberFormat="1" applyFont="1" applyFill="1" applyBorder="1" applyAlignment="1">
      <alignment vertical="center"/>
    </xf>
    <xf numFmtId="43" fontId="58" fillId="20" borderId="1" xfId="5" applyNumberFormat="1" applyFont="1" applyFill="1" applyBorder="1" applyAlignment="1">
      <alignment horizontal="center" vertical="center"/>
    </xf>
    <xf numFmtId="43" fontId="58" fillId="20" borderId="1" xfId="6" applyFont="1" applyFill="1" applyBorder="1" applyAlignment="1">
      <alignment horizontal="center" vertical="center"/>
    </xf>
    <xf numFmtId="43" fontId="58" fillId="20" borderId="1" xfId="10" applyFont="1" applyFill="1" applyBorder="1" applyAlignment="1"/>
    <xf numFmtId="43" fontId="52" fillId="0" borderId="1" xfId="5" applyNumberFormat="1" applyFont="1" applyBorder="1" applyAlignment="1">
      <alignment vertical="center"/>
    </xf>
    <xf numFmtId="43" fontId="52" fillId="0" borderId="1" xfId="5" applyNumberFormat="1" applyFont="1" applyBorder="1" applyAlignment="1">
      <alignment horizontal="left" vertical="center"/>
    </xf>
    <xf numFmtId="43" fontId="60" fillId="0" borderId="1" xfId="10" applyFont="1" applyFill="1" applyBorder="1" applyAlignment="1">
      <alignment horizontal="center"/>
    </xf>
    <xf numFmtId="43" fontId="30" fillId="0" borderId="1" xfId="10" applyFont="1" applyFill="1" applyBorder="1" applyAlignment="1"/>
    <xf numFmtId="43" fontId="58" fillId="0" borderId="1" xfId="6" applyFont="1" applyFill="1" applyBorder="1" applyAlignment="1">
      <alignment horizontal="center"/>
    </xf>
    <xf numFmtId="43" fontId="60" fillId="0" borderId="1" xfId="6" applyFont="1" applyFill="1" applyBorder="1" applyAlignment="1">
      <alignment horizontal="center"/>
    </xf>
    <xf numFmtId="43" fontId="58" fillId="23" borderId="1" xfId="5" applyNumberFormat="1" applyFont="1" applyFill="1" applyBorder="1" applyAlignment="1">
      <alignment horizontal="center" vertical="center"/>
    </xf>
    <xf numFmtId="0" fontId="58" fillId="3" borderId="0" xfId="5" applyFont="1" applyFill="1" applyAlignment="1">
      <alignment horizontal="center" vertical="center"/>
    </xf>
    <xf numFmtId="43" fontId="58" fillId="3" borderId="0" xfId="5" applyNumberFormat="1" applyFont="1" applyFill="1" applyAlignment="1">
      <alignment horizontal="center" vertical="center"/>
    </xf>
    <xf numFmtId="43" fontId="58" fillId="3" borderId="0" xfId="6" applyFont="1" applyFill="1" applyBorder="1" applyAlignment="1">
      <alignment horizontal="center" vertical="center"/>
    </xf>
    <xf numFmtId="0" fontId="28" fillId="0" borderId="0" xfId="0" applyFont="1" applyAlignment="1">
      <alignment horizontal="left"/>
    </xf>
    <xf numFmtId="43" fontId="52" fillId="0" borderId="0" xfId="10" applyFont="1" applyFill="1" applyBorder="1" applyAlignment="1"/>
    <xf numFmtId="43" fontId="52" fillId="0" borderId="0" xfId="6" applyFont="1" applyFill="1" applyBorder="1" applyAlignment="1"/>
    <xf numFmtId="17" fontId="52" fillId="0" borderId="0" xfId="5" applyNumberFormat="1" applyFont="1" applyAlignment="1">
      <alignment horizontal="left"/>
    </xf>
    <xf numFmtId="43" fontId="0" fillId="0" borderId="0" xfId="0" applyNumberFormat="1"/>
    <xf numFmtId="0" fontId="26" fillId="0" borderId="0" xfId="0" applyFont="1" applyAlignment="1">
      <alignment horizontal="left"/>
    </xf>
    <xf numFmtId="43" fontId="52" fillId="0" borderId="0" xfId="5" applyNumberFormat="1" applyFont="1"/>
    <xf numFmtId="0" fontId="58" fillId="0" borderId="0" xfId="5" applyFont="1" applyAlignment="1">
      <alignment horizontal="left" vertical="center"/>
    </xf>
    <xf numFmtId="0" fontId="58" fillId="0" borderId="0" xfId="5" applyFont="1" applyAlignment="1">
      <alignment horizontal="center" vertical="center"/>
    </xf>
    <xf numFmtId="43" fontId="58" fillId="0" borderId="0" xfId="6" applyFont="1" applyFill="1" applyBorder="1" applyAlignment="1">
      <alignment horizontal="center" vertical="center"/>
    </xf>
    <xf numFmtId="17" fontId="61" fillId="0" borderId="0" xfId="5" applyNumberFormat="1" applyFont="1" applyAlignment="1">
      <alignment horizontal="left"/>
    </xf>
    <xf numFmtId="43" fontId="61" fillId="0" borderId="0" xfId="10" applyFont="1" applyFill="1" applyBorder="1" applyAlignment="1"/>
    <xf numFmtId="43" fontId="61" fillId="0" borderId="0" xfId="5" applyNumberFormat="1" applyFont="1"/>
    <xf numFmtId="0" fontId="61" fillId="0" borderId="0" xfId="5" applyFont="1"/>
    <xf numFmtId="43" fontId="61" fillId="0" borderId="0" xfId="6" applyFont="1" applyFill="1" applyBorder="1" applyAlignment="1"/>
    <xf numFmtId="0" fontId="58" fillId="0" borderId="0" xfId="5" applyFont="1" applyAlignment="1">
      <alignment horizontal="left"/>
    </xf>
    <xf numFmtId="43" fontId="58" fillId="0" borderId="0" xfId="5" applyNumberFormat="1" applyFont="1"/>
    <xf numFmtId="0" fontId="52" fillId="0" borderId="0" xfId="5" applyFont="1" applyAlignment="1">
      <alignment horizontal="left"/>
    </xf>
    <xf numFmtId="0" fontId="33" fillId="23" borderId="2" xfId="5" applyFont="1" applyFill="1" applyBorder="1" applyAlignment="1">
      <alignment horizontal="center" vertical="center" wrapText="1"/>
    </xf>
    <xf numFmtId="0" fontId="64" fillId="3" borderId="1" xfId="0" applyFont="1" applyFill="1" applyBorder="1" applyAlignment="1">
      <alignment horizontal="left" vertical="center" wrapText="1" readingOrder="1"/>
    </xf>
    <xf numFmtId="4" fontId="38" fillId="0" borderId="1" xfId="10" applyNumberFormat="1" applyFont="1" applyBorder="1" applyAlignment="1">
      <alignment horizontal="center"/>
    </xf>
    <xf numFmtId="4" fontId="38" fillId="3" borderId="1" xfId="3" applyNumberFormat="1" applyFont="1" applyFill="1" applyBorder="1" applyAlignment="1">
      <alignment horizontal="center" vertical="center" wrapText="1"/>
    </xf>
    <xf numFmtId="4" fontId="38" fillId="3" borderId="1" xfId="3" applyNumberFormat="1" applyFont="1" applyFill="1" applyBorder="1" applyAlignment="1">
      <alignment horizontal="center" vertical="center"/>
    </xf>
    <xf numFmtId="9" fontId="38" fillId="3" borderId="1" xfId="9" applyFont="1" applyFill="1" applyBorder="1" applyAlignment="1">
      <alignment horizontal="right" vertical="center"/>
    </xf>
    <xf numFmtId="4" fontId="38" fillId="0" borderId="1" xfId="3" applyNumberFormat="1" applyFont="1" applyBorder="1" applyAlignment="1">
      <alignment horizontal="center" vertical="center"/>
    </xf>
    <xf numFmtId="0" fontId="33" fillId="23" borderId="1" xfId="5" applyFont="1" applyFill="1" applyBorder="1" applyAlignment="1">
      <alignment horizontal="center" wrapText="1"/>
    </xf>
    <xf numFmtId="4" fontId="33" fillId="23" borderId="1" xfId="3" applyNumberFormat="1" applyFont="1" applyFill="1" applyBorder="1" applyAlignment="1">
      <alignment horizontal="right" vertical="center"/>
    </xf>
    <xf numFmtId="0" fontId="64" fillId="3" borderId="0" xfId="5" applyFont="1" applyFill="1" applyAlignment="1">
      <alignment horizontal="center"/>
    </xf>
    <xf numFmtId="3" fontId="64" fillId="3" borderId="0" xfId="5" applyNumberFormat="1" applyFont="1" applyFill="1" applyAlignment="1">
      <alignment horizontal="center" vertical="center"/>
    </xf>
    <xf numFmtId="0" fontId="65" fillId="0" borderId="0" xfId="0" applyFont="1"/>
    <xf numFmtId="0" fontId="43" fillId="19" borderId="1" xfId="0" applyFont="1" applyFill="1" applyBorder="1" applyAlignment="1">
      <alignment horizontal="center" vertical="center" wrapText="1"/>
    </xf>
    <xf numFmtId="0" fontId="43" fillId="19" borderId="1" xfId="0" applyFont="1" applyFill="1" applyBorder="1" applyAlignment="1">
      <alignment vertical="center" wrapText="1"/>
    </xf>
    <xf numFmtId="0" fontId="0" fillId="0" borderId="0" xfId="0" applyAlignment="1">
      <alignment vertical="center" wrapText="1"/>
    </xf>
    <xf numFmtId="43" fontId="0" fillId="0" borderId="1" xfId="6" applyFont="1" applyFill="1" applyBorder="1" applyAlignment="1"/>
    <xf numFmtId="0" fontId="67" fillId="0" borderId="1" xfId="13" applyFont="1" applyBorder="1" applyAlignment="1">
      <alignment vertical="center"/>
    </xf>
    <xf numFmtId="0" fontId="67" fillId="0" borderId="1" xfId="0" applyFont="1" applyBorder="1" applyAlignment="1">
      <alignment vertical="center"/>
    </xf>
    <xf numFmtId="0" fontId="67" fillId="0" borderId="1" xfId="14" applyFont="1" applyBorder="1" applyAlignment="1">
      <alignment vertical="center"/>
    </xf>
    <xf numFmtId="43" fontId="43" fillId="13" borderId="4" xfId="0" applyNumberFormat="1" applyFont="1" applyFill="1" applyBorder="1"/>
    <xf numFmtId="43" fontId="43" fillId="13" borderId="1" xfId="0" applyNumberFormat="1" applyFont="1" applyFill="1" applyBorder="1"/>
    <xf numFmtId="0" fontId="2" fillId="3" borderId="0" xfId="1" applyFill="1"/>
    <xf numFmtId="1" fontId="0" fillId="3" borderId="1" xfId="0" applyNumberFormat="1" applyFill="1" applyBorder="1"/>
    <xf numFmtId="0" fontId="58" fillId="23" borderId="1" xfId="5" applyFont="1" applyFill="1" applyBorder="1" applyAlignment="1">
      <alignment horizontal="center" vertical="center"/>
    </xf>
    <xf numFmtId="0" fontId="46" fillId="0" borderId="1" xfId="0" applyNumberFormat="1" applyFont="1" applyBorder="1" applyAlignment="1">
      <alignment horizontal="center"/>
    </xf>
    <xf numFmtId="43" fontId="39" fillId="0" borderId="1" xfId="6" applyFont="1" applyBorder="1" applyAlignment="1">
      <alignment horizontal="center"/>
    </xf>
    <xf numFmtId="0" fontId="39" fillId="0" borderId="1" xfId="6" applyNumberFormat="1" applyFont="1" applyBorder="1" applyAlignment="1">
      <alignment horizontal="center"/>
    </xf>
    <xf numFmtId="0" fontId="40" fillId="0" borderId="1" xfId="0" applyNumberFormat="1" applyFont="1" applyBorder="1" applyAlignment="1">
      <alignment horizontal="center"/>
    </xf>
    <xf numFmtId="0" fontId="43" fillId="0" borderId="1" xfId="0" applyNumberFormat="1" applyFont="1" applyBorder="1" applyAlignment="1">
      <alignment horizontal="center"/>
    </xf>
    <xf numFmtId="0" fontId="0" fillId="0" borderId="1" xfId="0" applyNumberFormat="1" applyBorder="1"/>
    <xf numFmtId="0" fontId="0" fillId="0" borderId="0" xfId="0" applyNumberFormat="1"/>
    <xf numFmtId="43" fontId="43" fillId="0" borderId="1" xfId="6" applyFont="1" applyBorder="1" applyAlignment="1">
      <alignment horizontal="center"/>
    </xf>
    <xf numFmtId="1" fontId="46" fillId="0" borderId="1" xfId="1" applyNumberFormat="1" applyFont="1" applyBorder="1" applyAlignment="1">
      <alignment horizontal="left" vertical="center" wrapText="1"/>
    </xf>
    <xf numFmtId="0" fontId="0" fillId="0" borderId="0" xfId="0" applyAlignment="1">
      <alignment horizontal="left" wrapText="1"/>
    </xf>
    <xf numFmtId="166" fontId="45" fillId="13" borderId="1" xfId="0" applyNumberFormat="1" applyFont="1" applyFill="1" applyBorder="1" applyAlignment="1">
      <alignment horizontal="center" vertical="center" wrapText="1"/>
    </xf>
    <xf numFmtId="166" fontId="46" fillId="0" borderId="1" xfId="0" applyNumberFormat="1" applyFont="1" applyBorder="1" applyAlignment="1">
      <alignment horizontal="center"/>
    </xf>
    <xf numFmtId="166" fontId="0" fillId="0" borderId="0" xfId="0" applyNumberFormat="1"/>
    <xf numFmtId="43" fontId="45" fillId="13" borderId="1" xfId="6" applyFont="1" applyFill="1" applyBorder="1" applyAlignment="1">
      <alignment horizontal="left" vertical="center" wrapText="1"/>
    </xf>
    <xf numFmtId="1" fontId="46" fillId="0" borderId="1" xfId="0" applyNumberFormat="1" applyFont="1" applyBorder="1" applyAlignment="1">
      <alignment horizontal="left" wrapText="1"/>
    </xf>
    <xf numFmtId="0" fontId="0" fillId="3" borderId="2" xfId="0" applyFill="1" applyBorder="1" applyAlignment="1">
      <alignment vertical="center" wrapText="1"/>
    </xf>
    <xf numFmtId="43" fontId="43" fillId="0" borderId="0" xfId="6" applyFont="1"/>
    <xf numFmtId="43" fontId="40" fillId="0" borderId="0" xfId="6" applyFont="1" applyAlignment="1">
      <alignment horizontal="center"/>
    </xf>
    <xf numFmtId="43" fontId="43" fillId="19" borderId="41" xfId="6" applyFont="1" applyFill="1" applyBorder="1" applyAlignment="1">
      <alignment horizontal="center" vertical="center" wrapText="1"/>
    </xf>
    <xf numFmtId="43" fontId="0" fillId="3" borderId="1" xfId="6" applyFont="1" applyFill="1" applyBorder="1"/>
    <xf numFmtId="43" fontId="43" fillId="20" borderId="1" xfId="6" applyFont="1" applyFill="1" applyBorder="1"/>
    <xf numFmtId="43" fontId="43" fillId="21" borderId="1" xfId="6" applyFont="1" applyFill="1" applyBorder="1"/>
    <xf numFmtId="43" fontId="43" fillId="21" borderId="0" xfId="6" applyFont="1" applyFill="1"/>
    <xf numFmtId="43" fontId="43" fillId="0" borderId="0" xfId="6" applyFont="1" applyAlignment="1">
      <alignment horizontal="center"/>
    </xf>
    <xf numFmtId="166" fontId="0" fillId="0" borderId="1" xfId="0" applyNumberFormat="1" applyBorder="1"/>
    <xf numFmtId="9" fontId="4" fillId="4" borderId="1" xfId="9" applyFont="1" applyFill="1" applyBorder="1" applyAlignment="1">
      <alignment vertical="top"/>
    </xf>
    <xf numFmtId="10" fontId="38" fillId="3" borderId="1" xfId="9" applyNumberFormat="1" applyFont="1" applyFill="1" applyBorder="1" applyAlignment="1">
      <alignment horizontal="right" vertical="center"/>
    </xf>
    <xf numFmtId="10" fontId="33" fillId="23" borderId="1" xfId="9" applyNumberFormat="1" applyFont="1" applyFill="1" applyBorder="1" applyAlignment="1">
      <alignment horizontal="center" vertical="center"/>
    </xf>
    <xf numFmtId="0" fontId="39" fillId="17" borderId="27" xfId="0" applyFont="1" applyFill="1" applyBorder="1" applyAlignment="1">
      <alignment horizontal="center"/>
    </xf>
    <xf numFmtId="0" fontId="39" fillId="11" borderId="46" xfId="0" applyFont="1" applyFill="1" applyBorder="1" applyAlignment="1">
      <alignment horizontal="center"/>
    </xf>
    <xf numFmtId="0" fontId="39" fillId="11" borderId="41" xfId="0" applyFont="1" applyFill="1" applyBorder="1" applyAlignment="1">
      <alignment horizontal="center"/>
    </xf>
    <xf numFmtId="0" fontId="39" fillId="11" borderId="47" xfId="0" applyFont="1" applyFill="1" applyBorder="1" applyAlignment="1">
      <alignment horizontal="center"/>
    </xf>
    <xf numFmtId="0" fontId="39" fillId="17" borderId="1" xfId="0" applyFont="1" applyFill="1" applyBorder="1" applyAlignment="1">
      <alignment horizontal="center"/>
    </xf>
    <xf numFmtId="0" fontId="39" fillId="11" borderId="1" xfId="0" applyFont="1" applyFill="1" applyBorder="1"/>
    <xf numFmtId="14" fontId="0" fillId="0" borderId="1" xfId="0" applyNumberFormat="1" applyBorder="1" applyAlignment="1">
      <alignment horizontal="right"/>
    </xf>
    <xf numFmtId="4" fontId="0" fillId="0" borderId="1" xfId="0" applyNumberFormat="1" applyBorder="1"/>
    <xf numFmtId="43" fontId="0" fillId="0" borderId="1" xfId="0" applyNumberFormat="1" applyBorder="1" applyAlignment="1">
      <alignment horizontal="center"/>
    </xf>
    <xf numFmtId="4" fontId="0" fillId="0" borderId="1" xfId="0" applyNumberFormat="1" applyBorder="1" applyAlignment="1">
      <alignment horizontal="center"/>
    </xf>
    <xf numFmtId="0" fontId="43" fillId="0" borderId="37" xfId="0" applyFont="1" applyBorder="1"/>
    <xf numFmtId="0" fontId="43" fillId="0" borderId="45" xfId="0" applyFont="1" applyBorder="1"/>
    <xf numFmtId="44" fontId="43" fillId="0" borderId="45" xfId="8" applyFont="1" applyBorder="1"/>
    <xf numFmtId="44" fontId="43" fillId="0" borderId="38" xfId="8" applyFont="1" applyBorder="1"/>
    <xf numFmtId="43" fontId="43" fillId="17" borderId="1" xfId="6" applyFont="1" applyFill="1" applyBorder="1"/>
    <xf numFmtId="43" fontId="39" fillId="15" borderId="1" xfId="6" applyFont="1" applyFill="1" applyBorder="1" applyAlignment="1">
      <alignment horizontal="center" vertical="center" wrapText="1"/>
    </xf>
    <xf numFmtId="17" fontId="43" fillId="0" borderId="0" xfId="0" applyNumberFormat="1" applyFont="1"/>
    <xf numFmtId="0" fontId="43" fillId="0" borderId="16" xfId="0" applyFont="1" applyBorder="1"/>
    <xf numFmtId="4" fontId="0" fillId="0" borderId="0" xfId="0" applyNumberFormat="1"/>
    <xf numFmtId="0" fontId="0" fillId="0" borderId="1" xfId="0" applyBorder="1" applyAlignment="1">
      <alignment horizontal="left" wrapText="1"/>
    </xf>
    <xf numFmtId="0" fontId="0" fillId="0" borderId="1" xfId="0" applyNumberFormat="1" applyBorder="1" applyAlignment="1">
      <alignment horizontal="center"/>
    </xf>
    <xf numFmtId="0" fontId="0" fillId="0" borderId="0" xfId="0" applyAlignment="1">
      <alignment horizontal="center"/>
    </xf>
    <xf numFmtId="0" fontId="43" fillId="0" borderId="0" xfId="0" applyFont="1" applyAlignment="1">
      <alignment horizontal="center"/>
    </xf>
    <xf numFmtId="0" fontId="40" fillId="0" borderId="0" xfId="0" applyFont="1" applyAlignment="1">
      <alignment horizontal="center"/>
    </xf>
    <xf numFmtId="43" fontId="43" fillId="14" borderId="32" xfId="6" applyFont="1" applyFill="1" applyBorder="1" applyAlignment="1"/>
    <xf numFmtId="0" fontId="69" fillId="24" borderId="1" xfId="0" applyFont="1" applyFill="1" applyBorder="1" applyAlignment="1">
      <alignment horizontal="center"/>
    </xf>
    <xf numFmtId="0" fontId="69" fillId="24" borderId="5" xfId="0" applyFont="1" applyFill="1" applyBorder="1"/>
    <xf numFmtId="0" fontId="0" fillId="0" borderId="2" xfId="0" applyFill="1" applyBorder="1" applyAlignment="1">
      <alignment vertical="center" wrapText="1"/>
    </xf>
    <xf numFmtId="1" fontId="0" fillId="0" borderId="1" xfId="0" applyNumberFormat="1" applyFill="1" applyBorder="1"/>
    <xf numFmtId="0" fontId="0" fillId="0" borderId="1" xfId="0" applyFill="1" applyBorder="1"/>
    <xf numFmtId="0" fontId="0" fillId="0" borderId="2" xfId="0" applyFont="1" applyFill="1" applyBorder="1" applyAlignment="1">
      <alignment wrapText="1"/>
    </xf>
    <xf numFmtId="1" fontId="0" fillId="0" borderId="1" xfId="0" applyNumberFormat="1" applyFont="1" applyFill="1" applyBorder="1"/>
    <xf numFmtId="0" fontId="0" fillId="0" borderId="1" xfId="0" applyFont="1" applyFill="1" applyBorder="1"/>
    <xf numFmtId="0" fontId="0" fillId="0" borderId="1" xfId="0" applyFont="1" applyFill="1" applyBorder="1" applyAlignment="1">
      <alignment wrapText="1"/>
    </xf>
    <xf numFmtId="43" fontId="0" fillId="0" borderId="1" xfId="6" applyFont="1" applyFill="1" applyBorder="1"/>
    <xf numFmtId="43" fontId="70" fillId="0" borderId="1" xfId="6" applyFont="1" applyFill="1" applyBorder="1"/>
    <xf numFmtId="43" fontId="50" fillId="0" borderId="1" xfId="6" applyFont="1" applyFill="1" applyBorder="1"/>
    <xf numFmtId="43" fontId="69" fillId="0" borderId="0" xfId="6" applyFont="1"/>
    <xf numFmtId="43" fontId="49" fillId="0" borderId="1" xfId="6" applyFont="1" applyBorder="1"/>
    <xf numFmtId="0" fontId="43" fillId="0" borderId="0" xfId="0" applyFont="1" applyBorder="1" applyAlignment="1">
      <alignment horizontal="center"/>
    </xf>
    <xf numFmtId="0" fontId="49" fillId="0" borderId="1" xfId="0" applyFont="1" applyFill="1" applyBorder="1"/>
    <xf numFmtId="43" fontId="68" fillId="0" borderId="1" xfId="6" applyFont="1" applyBorder="1" applyAlignment="1">
      <alignment horizontal="left" vertical="center"/>
    </xf>
    <xf numFmtId="43" fontId="43" fillId="19" borderId="1" xfId="6" applyFont="1" applyFill="1" applyBorder="1" applyAlignment="1">
      <alignment vertical="center" wrapText="1"/>
    </xf>
    <xf numFmtId="43" fontId="0" fillId="0" borderId="20" xfId="6" applyFont="1" applyBorder="1" applyAlignment="1">
      <alignment horizontal="center"/>
    </xf>
    <xf numFmtId="43" fontId="0" fillId="0" borderId="0" xfId="0" applyNumberFormat="1" applyAlignment="1">
      <alignment horizontal="center"/>
    </xf>
    <xf numFmtId="43" fontId="43" fillId="0" borderId="38" xfId="0" applyNumberFormat="1" applyFont="1" applyBorder="1" applyAlignment="1">
      <alignment horizontal="center"/>
    </xf>
    <xf numFmtId="43" fontId="0" fillId="3" borderId="0" xfId="6" applyFont="1" applyFill="1"/>
    <xf numFmtId="166" fontId="43" fillId="19" borderId="1" xfId="0" applyNumberFormat="1" applyFont="1" applyFill="1" applyBorder="1" applyAlignment="1">
      <alignment vertical="center" wrapText="1"/>
    </xf>
    <xf numFmtId="166" fontId="68" fillId="0" borderId="1" xfId="6" applyNumberFormat="1" applyFont="1" applyBorder="1" applyAlignment="1">
      <alignment horizontal="left" vertical="center"/>
    </xf>
    <xf numFmtId="166" fontId="68" fillId="0" borderId="3" xfId="6" applyNumberFormat="1" applyFont="1" applyBorder="1" applyAlignment="1">
      <alignment horizontal="left" vertical="center"/>
    </xf>
    <xf numFmtId="0" fontId="0" fillId="0" borderId="2" xfId="0" applyFill="1" applyBorder="1" applyAlignment="1">
      <alignment wrapText="1"/>
    </xf>
    <xf numFmtId="44" fontId="50" fillId="0" borderId="1" xfId="8" applyFont="1" applyFill="1" applyBorder="1"/>
    <xf numFmtId="0" fontId="0" fillId="0" borderId="0" xfId="0" applyFill="1"/>
    <xf numFmtId="0" fontId="0" fillId="0" borderId="1" xfId="0" applyBorder="1" applyAlignment="1"/>
    <xf numFmtId="43" fontId="0" fillId="0" borderId="0" xfId="6" applyFont="1" applyFill="1"/>
    <xf numFmtId="0" fontId="39" fillId="0" borderId="7" xfId="0" applyFont="1" applyBorder="1" applyAlignment="1">
      <alignment horizontal="center"/>
    </xf>
    <xf numFmtId="0" fontId="43" fillId="0" borderId="1" xfId="0" applyFont="1" applyBorder="1" applyAlignment="1">
      <alignment horizontal="center" wrapText="1"/>
    </xf>
    <xf numFmtId="43" fontId="43" fillId="0" borderId="1" xfId="0" applyNumberFormat="1" applyFont="1" applyBorder="1"/>
    <xf numFmtId="0" fontId="39" fillId="0" borderId="0" xfId="0" applyFont="1"/>
    <xf numFmtId="0" fontId="0" fillId="0" borderId="0" xfId="0" applyAlignment="1">
      <alignment wrapText="1"/>
    </xf>
    <xf numFmtId="0" fontId="0" fillId="0" borderId="1" xfId="0" applyBorder="1" applyAlignment="1">
      <alignment horizontal="left"/>
    </xf>
    <xf numFmtId="0" fontId="43" fillId="0" borderId="1" xfId="0" applyFont="1" applyBorder="1" applyAlignment="1">
      <alignment horizontal="right"/>
    </xf>
    <xf numFmtId="0" fontId="71" fillId="0" borderId="1" xfId="0" applyFont="1" applyBorder="1"/>
    <xf numFmtId="43" fontId="0" fillId="0" borderId="0" xfId="0" applyNumberFormat="1" applyAlignment="1">
      <alignment horizontal="left" wrapText="1"/>
    </xf>
    <xf numFmtId="0" fontId="40" fillId="0" borderId="0" xfId="0" applyFont="1" applyAlignment="1">
      <alignment horizontal="center" wrapText="1"/>
    </xf>
    <xf numFmtId="14" fontId="0" fillId="3" borderId="1" xfId="0" applyNumberFormat="1" applyFill="1" applyBorder="1" applyAlignment="1">
      <alignment wrapText="1"/>
    </xf>
    <xf numFmtId="14" fontId="0" fillId="0" borderId="1" xfId="0" applyNumberFormat="1" applyFill="1" applyBorder="1" applyAlignment="1">
      <alignment wrapText="1"/>
    </xf>
    <xf numFmtId="0" fontId="0" fillId="20" borderId="1" xfId="0" applyFill="1" applyBorder="1" applyAlignment="1">
      <alignment wrapText="1"/>
    </xf>
    <xf numFmtId="0" fontId="0" fillId="0" borderId="1" xfId="0" applyBorder="1" applyAlignment="1">
      <alignment wrapText="1"/>
    </xf>
    <xf numFmtId="14" fontId="50" fillId="0" borderId="1" xfId="5" applyNumberFormat="1" applyFont="1" applyFill="1" applyBorder="1" applyAlignment="1">
      <alignment wrapText="1"/>
    </xf>
    <xf numFmtId="0" fontId="0" fillId="21" borderId="1" xfId="0" applyFill="1" applyBorder="1" applyAlignment="1">
      <alignment wrapText="1"/>
    </xf>
    <xf numFmtId="0" fontId="0" fillId="21" borderId="0" xfId="0" applyFill="1" applyAlignment="1">
      <alignment wrapText="1"/>
    </xf>
    <xf numFmtId="0" fontId="69" fillId="24" borderId="1" xfId="0" applyFont="1" applyFill="1" applyBorder="1" applyAlignment="1">
      <alignment horizontal="center" wrapText="1"/>
    </xf>
    <xf numFmtId="43" fontId="49" fillId="0" borderId="1" xfId="6" applyFont="1" applyBorder="1" applyAlignment="1">
      <alignment horizontal="center" wrapText="1"/>
    </xf>
    <xf numFmtId="0" fontId="43" fillId="0" borderId="0" xfId="0" applyFont="1" applyBorder="1" applyAlignment="1">
      <alignment horizontal="center" wrapText="1"/>
    </xf>
    <xf numFmtId="0" fontId="0" fillId="0" borderId="0" xfId="0" applyAlignment="1">
      <alignment horizontal="center"/>
    </xf>
    <xf numFmtId="0" fontId="0" fillId="0" borderId="1" xfId="0" applyFont="1" applyBorder="1" applyAlignment="1">
      <alignment horizontal="center"/>
    </xf>
    <xf numFmtId="0" fontId="43" fillId="0" borderId="0" xfId="0" applyFont="1" applyAlignment="1"/>
    <xf numFmtId="0" fontId="43" fillId="0" borderId="0" xfId="0" applyFont="1" applyFill="1" applyAlignment="1"/>
    <xf numFmtId="0" fontId="0" fillId="0" borderId="0" xfId="0" applyAlignment="1"/>
    <xf numFmtId="166" fontId="0" fillId="0" borderId="0" xfId="0" applyNumberFormat="1" applyAlignment="1"/>
    <xf numFmtId="0" fontId="43" fillId="3" borderId="16" xfId="0" applyFont="1" applyFill="1" applyBorder="1" applyAlignment="1"/>
    <xf numFmtId="0" fontId="43" fillId="14" borderId="26" xfId="0" applyFont="1" applyFill="1" applyBorder="1" applyAlignment="1"/>
    <xf numFmtId="0" fontId="43" fillId="14" borderId="32" xfId="0" applyFont="1" applyFill="1" applyBorder="1" applyAlignment="1"/>
    <xf numFmtId="166" fontId="43" fillId="0" borderId="34" xfId="0" applyNumberFormat="1" applyFont="1" applyBorder="1" applyAlignment="1"/>
    <xf numFmtId="166" fontId="43" fillId="0" borderId="36" xfId="0" applyNumberFormat="1" applyFont="1" applyBorder="1" applyAlignment="1"/>
    <xf numFmtId="166" fontId="43" fillId="0" borderId="35" xfId="0" applyNumberFormat="1" applyFont="1" applyBorder="1" applyAlignment="1"/>
    <xf numFmtId="166" fontId="0" fillId="0" borderId="21" xfId="0" applyNumberFormat="1" applyBorder="1" applyAlignment="1"/>
    <xf numFmtId="166" fontId="0" fillId="0" borderId="3" xfId="0" applyNumberFormat="1" applyBorder="1" applyAlignment="1"/>
    <xf numFmtId="166" fontId="43" fillId="0" borderId="37" xfId="0" applyNumberFormat="1" applyFont="1" applyBorder="1" applyAlignment="1"/>
    <xf numFmtId="166" fontId="43" fillId="0" borderId="45" xfId="0" applyNumberFormat="1" applyFont="1" applyBorder="1" applyAlignment="1"/>
    <xf numFmtId="0" fontId="43" fillId="0" borderId="0" xfId="0" applyFont="1" applyAlignment="1">
      <alignment wrapText="1"/>
    </xf>
    <xf numFmtId="0" fontId="43" fillId="0" borderId="0" xfId="0" applyFont="1" applyFill="1" applyAlignment="1">
      <alignment wrapText="1"/>
    </xf>
    <xf numFmtId="166" fontId="0" fillId="0" borderId="0" xfId="0" applyNumberFormat="1" applyAlignment="1">
      <alignment wrapText="1"/>
    </xf>
    <xf numFmtId="0" fontId="43" fillId="3" borderId="16" xfId="0" applyFont="1" applyFill="1" applyBorder="1" applyAlignment="1">
      <alignment wrapText="1"/>
    </xf>
    <xf numFmtId="0" fontId="0" fillId="0" borderId="0" xfId="0" applyAlignment="1">
      <alignment horizontal="justify" vertical="center" wrapText="1"/>
    </xf>
    <xf numFmtId="0" fontId="43" fillId="14" borderId="32" xfId="0" applyFont="1" applyFill="1" applyBorder="1" applyAlignment="1">
      <alignment wrapText="1"/>
    </xf>
    <xf numFmtId="1" fontId="46" fillId="0" borderId="1" xfId="1" applyNumberFormat="1" applyFont="1" applyBorder="1" applyAlignment="1">
      <alignment horizontal="center" vertical="center" wrapText="1"/>
    </xf>
    <xf numFmtId="166" fontId="46" fillId="0" borderId="1" xfId="0" applyNumberFormat="1" applyFont="1" applyFill="1" applyBorder="1" applyAlignment="1">
      <alignment horizontal="center"/>
    </xf>
    <xf numFmtId="0" fontId="46" fillId="0" borderId="1" xfId="0" applyNumberFormat="1" applyFont="1" applyFill="1" applyBorder="1" applyAlignment="1">
      <alignment horizontal="center"/>
    </xf>
    <xf numFmtId="0" fontId="46" fillId="0" borderId="1" xfId="0" applyFont="1" applyFill="1" applyBorder="1" applyAlignment="1">
      <alignment horizontal="center"/>
    </xf>
    <xf numFmtId="1" fontId="46" fillId="0" borderId="1" xfId="1" applyNumberFormat="1" applyFont="1" applyFill="1" applyBorder="1" applyAlignment="1">
      <alignment horizontal="left" vertical="center" wrapText="1"/>
    </xf>
    <xf numFmtId="1" fontId="46" fillId="0" borderId="1" xfId="0" applyNumberFormat="1" applyFont="1" applyFill="1" applyBorder="1" applyAlignment="1">
      <alignment horizontal="left" wrapText="1"/>
    </xf>
    <xf numFmtId="0" fontId="43" fillId="0" borderId="0" xfId="0" applyFont="1" applyAlignment="1">
      <alignment horizontal="center"/>
    </xf>
    <xf numFmtId="0" fontId="2" fillId="0" borderId="0" xfId="1" applyAlignment="1">
      <alignment horizontal="center"/>
    </xf>
    <xf numFmtId="0" fontId="0" fillId="0" borderId="0" xfId="0" applyAlignment="1">
      <alignment horizontal="center"/>
    </xf>
    <xf numFmtId="43" fontId="72" fillId="0" borderId="0" xfId="6" applyFont="1" applyAlignment="1">
      <alignment horizontal="right"/>
    </xf>
    <xf numFmtId="0" fontId="0" fillId="0" borderId="1" xfId="0" applyFont="1" applyFill="1" applyBorder="1" applyAlignment="1">
      <alignment horizontal="left" vertical="center" wrapText="1"/>
    </xf>
    <xf numFmtId="166" fontId="73" fillId="0" borderId="1" xfId="0" applyNumberFormat="1" applyFont="1" applyFill="1" applyBorder="1" applyAlignment="1">
      <alignment horizontal="center" vertical="top" shrinkToFit="1"/>
    </xf>
    <xf numFmtId="43" fontId="68" fillId="0" borderId="1" xfId="6" applyFont="1" applyBorder="1" applyAlignment="1">
      <alignment horizontal="center" vertical="center"/>
    </xf>
    <xf numFmtId="14" fontId="0" fillId="3" borderId="1" xfId="0" applyNumberFormat="1" applyFill="1" applyBorder="1" applyAlignment="1">
      <alignment horizontal="left"/>
    </xf>
    <xf numFmtId="0" fontId="0" fillId="3" borderId="1" xfId="0" applyFill="1" applyBorder="1"/>
    <xf numFmtId="44" fontId="0" fillId="3" borderId="1" xfId="0" applyNumberFormat="1" applyFill="1" applyBorder="1"/>
    <xf numFmtId="0" fontId="39" fillId="25" borderId="1" xfId="0" applyFont="1" applyFill="1" applyBorder="1" applyAlignment="1">
      <alignment horizontal="left"/>
    </xf>
    <xf numFmtId="0" fontId="43" fillId="25" borderId="1" xfId="0" applyFont="1" applyFill="1" applyBorder="1" applyAlignment="1">
      <alignment horizontal="center" wrapText="1"/>
    </xf>
    <xf numFmtId="0" fontId="39" fillId="25" borderId="1" xfId="0" applyFont="1" applyFill="1" applyBorder="1" applyAlignment="1">
      <alignment horizontal="center" wrapText="1"/>
    </xf>
    <xf numFmtId="0" fontId="39" fillId="25" borderId="1" xfId="0" applyFont="1" applyFill="1" applyBorder="1" applyAlignment="1">
      <alignment horizontal="center"/>
    </xf>
    <xf numFmtId="0" fontId="0" fillId="3" borderId="1" xfId="0" applyFont="1" applyFill="1" applyBorder="1" applyAlignment="1">
      <alignment wrapText="1"/>
    </xf>
    <xf numFmtId="44" fontId="0" fillId="0" borderId="0" xfId="0" applyNumberFormat="1"/>
    <xf numFmtId="0" fontId="4" fillId="3" borderId="17" xfId="1" applyFont="1" applyFill="1" applyBorder="1" applyAlignment="1">
      <alignment wrapText="1"/>
    </xf>
    <xf numFmtId="0" fontId="17" fillId="9" borderId="0" xfId="1" applyFont="1" applyFill="1" applyAlignment="1">
      <alignment horizontal="left" wrapText="1"/>
    </xf>
    <xf numFmtId="0" fontId="6" fillId="3" borderId="0" xfId="1" applyFont="1" applyFill="1" applyAlignment="1">
      <alignment horizontal="center" wrapText="1"/>
    </xf>
    <xf numFmtId="4" fontId="6" fillId="2" borderId="0" xfId="1" applyNumberFormat="1" applyFont="1" applyFill="1" applyAlignment="1">
      <alignment horizontal="center" wrapText="1"/>
    </xf>
    <xf numFmtId="4" fontId="17" fillId="9" borderId="0" xfId="1" applyNumberFormat="1" applyFont="1" applyFill="1" applyAlignment="1">
      <alignment wrapText="1"/>
    </xf>
    <xf numFmtId="0" fontId="11" fillId="8" borderId="1" xfId="5" applyFont="1" applyFill="1" applyBorder="1" applyAlignment="1">
      <alignment horizontal="center" wrapText="1"/>
    </xf>
    <xf numFmtId="0" fontId="8" fillId="6" borderId="12" xfId="5" applyFont="1" applyFill="1" applyBorder="1" applyAlignment="1">
      <alignment vertical="top" wrapText="1"/>
    </xf>
    <xf numFmtId="0" fontId="6" fillId="5" borderId="14" xfId="5" applyFont="1" applyFill="1" applyBorder="1" applyAlignment="1">
      <alignment vertical="top" wrapText="1"/>
    </xf>
    <xf numFmtId="0" fontId="4" fillId="4" borderId="1" xfId="1" applyFont="1" applyFill="1" applyBorder="1" applyAlignment="1">
      <alignment wrapText="1"/>
    </xf>
    <xf numFmtId="0" fontId="6" fillId="5" borderId="1" xfId="5" applyFont="1" applyFill="1" applyBorder="1" applyAlignment="1">
      <alignment horizontal="left" vertical="top" wrapText="1"/>
    </xf>
    <xf numFmtId="0" fontId="3" fillId="0" borderId="0" xfId="1" applyFont="1" applyAlignment="1">
      <alignment wrapText="1"/>
    </xf>
    <xf numFmtId="0" fontId="2" fillId="0" borderId="0" xfId="1" applyAlignment="1">
      <alignment wrapText="1"/>
    </xf>
    <xf numFmtId="43" fontId="1" fillId="0" borderId="1" xfId="6" applyFont="1" applyFill="1" applyBorder="1"/>
    <xf numFmtId="43" fontId="43" fillId="0" borderId="1" xfId="6" applyFont="1" applyBorder="1" applyAlignment="1">
      <alignment horizontal="right"/>
    </xf>
    <xf numFmtId="0" fontId="43" fillId="0" borderId="1" xfId="0" applyFont="1" applyBorder="1"/>
    <xf numFmtId="43" fontId="43" fillId="0" borderId="6" xfId="6" applyFont="1" applyBorder="1" applyAlignment="1">
      <alignment horizontal="right"/>
    </xf>
    <xf numFmtId="0" fontId="57" fillId="0" borderId="0" xfId="0" applyFont="1" applyFill="1"/>
    <xf numFmtId="0" fontId="58" fillId="0" borderId="1" xfId="5" applyFont="1" applyFill="1" applyBorder="1" applyAlignment="1">
      <alignment horizontal="center" vertical="center"/>
    </xf>
    <xf numFmtId="43" fontId="58" fillId="0" borderId="1" xfId="10" applyFont="1" applyFill="1" applyBorder="1" applyAlignment="1"/>
    <xf numFmtId="43" fontId="58" fillId="0" borderId="0" xfId="5" applyNumberFormat="1" applyFont="1" applyFill="1" applyAlignment="1">
      <alignment horizontal="center" vertical="center"/>
    </xf>
    <xf numFmtId="0" fontId="39" fillId="0" borderId="5" xfId="0" applyFont="1" applyBorder="1" applyAlignment="1">
      <alignment horizontal="right"/>
    </xf>
    <xf numFmtId="0" fontId="39" fillId="0" borderId="3" xfId="0" applyFont="1" applyBorder="1" applyAlignment="1">
      <alignment horizontal="right"/>
    </xf>
    <xf numFmtId="0" fontId="43" fillId="0" borderId="0" xfId="0" applyFont="1" applyAlignment="1">
      <alignment horizontal="center"/>
    </xf>
    <xf numFmtId="0" fontId="40" fillId="0" borderId="0" xfId="0" applyFont="1" applyAlignment="1">
      <alignment horizontal="center"/>
    </xf>
    <xf numFmtId="0" fontId="39" fillId="0" borderId="16" xfId="0" applyFont="1" applyBorder="1" applyAlignment="1">
      <alignment horizontal="center"/>
    </xf>
    <xf numFmtId="0" fontId="41" fillId="0" borderId="16" xfId="0" applyFont="1" applyBorder="1" applyAlignment="1">
      <alignment horizontal="center"/>
    </xf>
    <xf numFmtId="43" fontId="41" fillId="0" borderId="16" xfId="6" applyFont="1" applyBorder="1" applyAlignment="1">
      <alignment horizontal="center"/>
    </xf>
    <xf numFmtId="0" fontId="11" fillId="7" borderId="2" xfId="5" applyFont="1" applyFill="1" applyBorder="1" applyAlignment="1">
      <alignment horizontal="center" vertical="center" wrapText="1"/>
    </xf>
    <xf numFmtId="0" fontId="11" fillId="7" borderId="7" xfId="5" applyFont="1" applyFill="1" applyBorder="1" applyAlignment="1">
      <alignment horizontal="center" vertical="center" wrapText="1"/>
    </xf>
    <xf numFmtId="0" fontId="11" fillId="7" borderId="6" xfId="5" applyFont="1" applyFill="1" applyBorder="1" applyAlignment="1">
      <alignment horizontal="center" vertical="center" wrapText="1"/>
    </xf>
    <xf numFmtId="0" fontId="17" fillId="7" borderId="6" xfId="1" applyFont="1" applyFill="1" applyBorder="1" applyAlignment="1">
      <alignment horizontal="center" vertical="center" wrapText="1"/>
    </xf>
    <xf numFmtId="0" fontId="17" fillId="7" borderId="1" xfId="1" applyFont="1" applyFill="1" applyBorder="1" applyAlignment="1">
      <alignment horizontal="center" vertical="center" wrapText="1"/>
    </xf>
    <xf numFmtId="0" fontId="13" fillId="7" borderId="2" xfId="1" applyFont="1" applyFill="1" applyBorder="1" applyAlignment="1">
      <alignment horizontal="center" vertical="center" wrapText="1"/>
    </xf>
    <xf numFmtId="0" fontId="13" fillId="7" borderId="7" xfId="1" applyFont="1" applyFill="1" applyBorder="1" applyAlignment="1">
      <alignment horizontal="center" vertical="center" wrapText="1"/>
    </xf>
    <xf numFmtId="0" fontId="13" fillId="7" borderId="6" xfId="1" applyFont="1" applyFill="1" applyBorder="1" applyAlignment="1">
      <alignment horizontal="center" vertical="center" wrapText="1"/>
    </xf>
    <xf numFmtId="0" fontId="12" fillId="7" borderId="5" xfId="1" applyFont="1" applyFill="1" applyBorder="1" applyAlignment="1">
      <alignment horizontal="center" vertical="center" wrapText="1"/>
    </xf>
    <xf numFmtId="0" fontId="12" fillId="7" borderId="4" xfId="1" applyFont="1" applyFill="1" applyBorder="1" applyAlignment="1">
      <alignment horizontal="center" vertical="center" wrapText="1"/>
    </xf>
    <xf numFmtId="0" fontId="2" fillId="0" borderId="0" xfId="1" applyAlignment="1">
      <alignment horizontal="center"/>
    </xf>
    <xf numFmtId="0" fontId="24" fillId="3" borderId="13" xfId="1" applyFont="1" applyFill="1" applyBorder="1" applyAlignment="1">
      <alignment horizontal="center"/>
    </xf>
    <xf numFmtId="0" fontId="24" fillId="3" borderId="0" xfId="1" applyFont="1" applyFill="1" applyAlignment="1">
      <alignment horizontal="center"/>
    </xf>
    <xf numFmtId="0" fontId="22" fillId="3" borderId="13" xfId="1" applyFont="1" applyFill="1" applyBorder="1" applyAlignment="1">
      <alignment horizontal="center"/>
    </xf>
    <xf numFmtId="0" fontId="22" fillId="3" borderId="0" xfId="1" applyFont="1" applyFill="1" applyAlignment="1">
      <alignment horizontal="center"/>
    </xf>
    <xf numFmtId="0" fontId="22" fillId="3" borderId="15" xfId="1" applyFont="1" applyFill="1" applyBorder="1" applyAlignment="1">
      <alignment horizontal="center"/>
    </xf>
    <xf numFmtId="0" fontId="21" fillId="3" borderId="13" xfId="1" applyFont="1" applyFill="1" applyBorder="1" applyAlignment="1">
      <alignment horizontal="center"/>
    </xf>
    <xf numFmtId="0" fontId="21" fillId="3" borderId="0" xfId="1" applyFont="1" applyFill="1" applyAlignment="1">
      <alignment horizontal="center"/>
    </xf>
    <xf numFmtId="0" fontId="21" fillId="3" borderId="15" xfId="1" applyFont="1" applyFill="1" applyBorder="1" applyAlignment="1">
      <alignment horizontal="center"/>
    </xf>
    <xf numFmtId="0" fontId="20" fillId="3" borderId="13" xfId="1" applyFont="1" applyFill="1" applyBorder="1" applyAlignment="1">
      <alignment horizontal="center"/>
    </xf>
    <xf numFmtId="0" fontId="20" fillId="3" borderId="0" xfId="1" applyFont="1" applyFill="1" applyAlignment="1">
      <alignment horizontal="center"/>
    </xf>
    <xf numFmtId="0" fontId="20" fillId="3" borderId="15" xfId="1" applyFont="1" applyFill="1" applyBorder="1" applyAlignment="1">
      <alignment horizontal="center"/>
    </xf>
    <xf numFmtId="0" fontId="17" fillId="2" borderId="13" xfId="1" applyFont="1" applyFill="1" applyBorder="1" applyAlignment="1">
      <alignment horizontal="center"/>
    </xf>
    <xf numFmtId="0" fontId="17" fillId="2" borderId="0" xfId="1" applyFont="1" applyFill="1" applyAlignment="1">
      <alignment horizontal="center"/>
    </xf>
    <xf numFmtId="0" fontId="17" fillId="2" borderId="15" xfId="1" applyFont="1" applyFill="1" applyBorder="1" applyAlignment="1">
      <alignment horizontal="center"/>
    </xf>
    <xf numFmtId="49" fontId="17" fillId="2" borderId="13" xfId="1" applyNumberFormat="1" applyFont="1" applyFill="1" applyBorder="1" applyAlignment="1">
      <alignment horizontal="center"/>
    </xf>
    <xf numFmtId="49" fontId="17" fillId="2" borderId="0" xfId="1" applyNumberFormat="1" applyFont="1" applyFill="1" applyAlignment="1">
      <alignment horizontal="center"/>
    </xf>
    <xf numFmtId="49" fontId="17" fillId="2" borderId="15" xfId="1" applyNumberFormat="1" applyFont="1" applyFill="1" applyBorder="1" applyAlignment="1">
      <alignment horizontal="center"/>
    </xf>
    <xf numFmtId="0" fontId="11" fillId="8" borderId="1" xfId="5" applyFont="1" applyFill="1" applyBorder="1" applyAlignment="1">
      <alignment horizontal="center"/>
    </xf>
    <xf numFmtId="0" fontId="15" fillId="8" borderId="5" xfId="5" applyFont="1" applyFill="1" applyBorder="1" applyAlignment="1">
      <alignment horizontal="center"/>
    </xf>
    <xf numFmtId="0" fontId="15" fillId="8" borderId="4" xfId="5" applyFont="1" applyFill="1" applyBorder="1" applyAlignment="1">
      <alignment horizontal="center"/>
    </xf>
    <xf numFmtId="0" fontId="14" fillId="7" borderId="1" xfId="1" applyFont="1" applyFill="1" applyBorder="1" applyAlignment="1">
      <alignment horizontal="center" vertical="center"/>
    </xf>
    <xf numFmtId="9" fontId="10" fillId="7" borderId="2" xfId="2" applyFont="1" applyFill="1" applyBorder="1" applyAlignment="1">
      <alignment horizontal="center" vertical="center"/>
    </xf>
    <xf numFmtId="9" fontId="10" fillId="7" borderId="7" xfId="2" applyFont="1" applyFill="1" applyBorder="1" applyAlignment="1">
      <alignment horizontal="center" vertical="center"/>
    </xf>
    <xf numFmtId="9" fontId="10" fillId="7" borderId="6" xfId="2" applyFont="1" applyFill="1" applyBorder="1" applyAlignment="1">
      <alignment horizontal="center" vertical="center"/>
    </xf>
    <xf numFmtId="0" fontId="11" fillId="7" borderId="2" xfId="5" applyFont="1" applyFill="1" applyBorder="1" applyAlignment="1">
      <alignment horizontal="center" vertical="center" textRotation="90"/>
    </xf>
    <xf numFmtId="0" fontId="11" fillId="7" borderId="6" xfId="5" applyFont="1" applyFill="1" applyBorder="1" applyAlignment="1">
      <alignment horizontal="center" vertical="center" textRotation="90"/>
    </xf>
    <xf numFmtId="0" fontId="35" fillId="0" borderId="0" xfId="1" applyFont="1" applyAlignment="1">
      <alignment horizontal="center"/>
    </xf>
    <xf numFmtId="0" fontId="34" fillId="0" borderId="0" xfId="1" applyFont="1" applyAlignment="1">
      <alignment horizontal="center"/>
    </xf>
    <xf numFmtId="0" fontId="26" fillId="0" borderId="0" xfId="1" applyFont="1" applyAlignment="1">
      <alignment horizontal="center"/>
    </xf>
    <xf numFmtId="0" fontId="31" fillId="12" borderId="27" xfId="1" applyFont="1" applyFill="1" applyBorder="1" applyAlignment="1">
      <alignment horizontal="center" vertical="center"/>
    </xf>
    <xf numFmtId="0" fontId="31" fillId="12" borderId="25" xfId="1" applyFont="1" applyFill="1" applyBorder="1" applyAlignment="1">
      <alignment horizontal="center" vertical="center"/>
    </xf>
    <xf numFmtId="0" fontId="31" fillId="12" borderId="28" xfId="1" applyFont="1" applyFill="1" applyBorder="1" applyAlignment="1">
      <alignment horizontal="center" wrapText="1"/>
    </xf>
    <xf numFmtId="0" fontId="31" fillId="12" borderId="26" xfId="1" applyFont="1" applyFill="1" applyBorder="1" applyAlignment="1">
      <alignment horizontal="center" wrapText="1"/>
    </xf>
    <xf numFmtId="0" fontId="31" fillId="12" borderId="27" xfId="1" applyFont="1" applyFill="1" applyBorder="1" applyAlignment="1">
      <alignment horizontal="center" wrapText="1"/>
    </xf>
    <xf numFmtId="0" fontId="31" fillId="12" borderId="25" xfId="1" applyFont="1" applyFill="1" applyBorder="1" applyAlignment="1">
      <alignment horizontal="center" wrapText="1"/>
    </xf>
    <xf numFmtId="0" fontId="40" fillId="0" borderId="0" xfId="0" applyFont="1" applyAlignment="1">
      <alignment horizontal="center" vertical="center" wrapText="1"/>
    </xf>
    <xf numFmtId="0" fontId="39" fillId="0" borderId="0" xfId="0" applyFont="1" applyAlignment="1">
      <alignment horizontal="center" vertical="center" wrapText="1"/>
    </xf>
    <xf numFmtId="0" fontId="0" fillId="0" borderId="0" xfId="0" applyAlignment="1">
      <alignment horizontal="center"/>
    </xf>
    <xf numFmtId="0" fontId="39" fillId="17" borderId="5" xfId="0" applyFont="1" applyFill="1" applyBorder="1" applyAlignment="1">
      <alignment horizontal="center" vertical="center" wrapText="1"/>
    </xf>
    <xf numFmtId="0" fontId="39" fillId="17" borderId="4" xfId="0" applyFont="1" applyFill="1" applyBorder="1" applyAlignment="1">
      <alignment horizontal="center" vertical="center" wrapText="1"/>
    </xf>
    <xf numFmtId="0" fontId="39" fillId="18" borderId="2" xfId="0" applyFont="1" applyFill="1" applyBorder="1" applyAlignment="1">
      <alignment horizontal="center" vertical="center" wrapText="1"/>
    </xf>
    <xf numFmtId="0" fontId="39" fillId="18" borderId="7" xfId="0" applyFont="1" applyFill="1" applyBorder="1" applyAlignment="1">
      <alignment horizontal="center" vertical="center" wrapText="1"/>
    </xf>
    <xf numFmtId="0" fontId="39" fillId="18" borderId="6" xfId="0" applyFont="1" applyFill="1" applyBorder="1" applyAlignment="1">
      <alignment horizontal="center" vertical="center" wrapText="1"/>
    </xf>
    <xf numFmtId="0" fontId="39" fillId="17" borderId="1" xfId="0" applyFont="1" applyFill="1" applyBorder="1" applyAlignment="1">
      <alignment horizontal="center" vertical="center" wrapText="1"/>
    </xf>
    <xf numFmtId="0" fontId="43" fillId="17" borderId="5" xfId="0" applyFont="1" applyFill="1" applyBorder="1" applyAlignment="1">
      <alignment horizontal="center"/>
    </xf>
    <xf numFmtId="0" fontId="43" fillId="17" borderId="4" xfId="0" applyFont="1" applyFill="1" applyBorder="1" applyAlignment="1">
      <alignment horizontal="center"/>
    </xf>
    <xf numFmtId="0" fontId="43" fillId="17" borderId="3" xfId="0" applyFont="1" applyFill="1" applyBorder="1" applyAlignment="1">
      <alignment horizontal="center"/>
    </xf>
    <xf numFmtId="0" fontId="39" fillId="17" borderId="29" xfId="0" applyFont="1" applyFill="1" applyBorder="1" applyAlignment="1">
      <alignment horizontal="center"/>
    </xf>
    <xf numFmtId="0" fontId="39" fillId="17" borderId="49" xfId="0" applyFont="1" applyFill="1" applyBorder="1" applyAlignment="1">
      <alignment horizontal="center"/>
    </xf>
    <xf numFmtId="0" fontId="39" fillId="17" borderId="5" xfId="0" applyFont="1" applyFill="1" applyBorder="1" applyAlignment="1">
      <alignment horizontal="center"/>
    </xf>
    <xf numFmtId="0" fontId="39" fillId="17" borderId="3" xfId="0" applyFont="1" applyFill="1" applyBorder="1" applyAlignment="1">
      <alignment horizontal="center"/>
    </xf>
    <xf numFmtId="0" fontId="39" fillId="11" borderId="5" xfId="0" applyFont="1" applyFill="1" applyBorder="1" applyAlignment="1">
      <alignment horizontal="center"/>
    </xf>
    <xf numFmtId="0" fontId="39" fillId="11" borderId="4" xfId="0" applyFont="1" applyFill="1" applyBorder="1" applyAlignment="1">
      <alignment horizontal="center"/>
    </xf>
    <xf numFmtId="0" fontId="39" fillId="11" borderId="48" xfId="0" applyFont="1" applyFill="1" applyBorder="1" applyAlignment="1">
      <alignment horizontal="center"/>
    </xf>
    <xf numFmtId="0" fontId="40" fillId="0" borderId="32" xfId="0" applyFont="1" applyBorder="1" applyAlignment="1">
      <alignment horizontal="center"/>
    </xf>
    <xf numFmtId="0" fontId="39" fillId="17" borderId="43" xfId="0" applyFont="1" applyFill="1" applyBorder="1" applyAlignment="1">
      <alignment horizontal="center"/>
    </xf>
    <xf numFmtId="0" fontId="39" fillId="17" borderId="44" xfId="0" applyFont="1" applyFill="1" applyBorder="1" applyAlignment="1">
      <alignment horizontal="center"/>
    </xf>
    <xf numFmtId="0" fontId="43" fillId="0" borderId="16" xfId="0" applyFont="1" applyBorder="1" applyAlignment="1">
      <alignment horizontal="center"/>
    </xf>
    <xf numFmtId="0" fontId="43" fillId="0" borderId="17" xfId="0" applyFont="1" applyBorder="1" applyAlignment="1">
      <alignment horizontal="center" wrapText="1"/>
    </xf>
    <xf numFmtId="0" fontId="43" fillId="0" borderId="2" xfId="0" applyFont="1" applyFill="1" applyBorder="1" applyAlignment="1">
      <alignment horizontal="center" vertical="center" wrapText="1"/>
    </xf>
    <xf numFmtId="0" fontId="43" fillId="0" borderId="7" xfId="0" applyFont="1" applyFill="1" applyBorder="1" applyAlignment="1">
      <alignment horizontal="center" vertical="center" wrapText="1"/>
    </xf>
    <xf numFmtId="0" fontId="43" fillId="0" borderId="6" xfId="0" applyFont="1" applyFill="1" applyBorder="1" applyAlignment="1">
      <alignment horizontal="center" vertical="center" wrapText="1"/>
    </xf>
    <xf numFmtId="0" fontId="43" fillId="20" borderId="5" xfId="0" applyFont="1" applyFill="1" applyBorder="1" applyAlignment="1">
      <alignment horizontal="center" vertical="center" wrapText="1"/>
    </xf>
    <xf numFmtId="0" fontId="43" fillId="20" borderId="3" xfId="0" applyFont="1" applyFill="1" applyBorder="1" applyAlignment="1">
      <alignment horizontal="center" vertical="center" wrapText="1"/>
    </xf>
    <xf numFmtId="0" fontId="43" fillId="0" borderId="2" xfId="0" applyFont="1" applyBorder="1" applyAlignment="1">
      <alignment horizontal="center" vertical="center" wrapText="1"/>
    </xf>
    <xf numFmtId="0" fontId="43" fillId="0" borderId="7" xfId="0" applyFont="1" applyBorder="1" applyAlignment="1">
      <alignment horizontal="center" vertical="center" wrapText="1"/>
    </xf>
    <xf numFmtId="0" fontId="43" fillId="0" borderId="6" xfId="0" applyFont="1" applyBorder="1" applyAlignment="1">
      <alignment horizontal="center" vertical="center" wrapText="1"/>
    </xf>
    <xf numFmtId="0" fontId="43" fillId="21" borderId="5" xfId="0" applyFont="1" applyFill="1" applyBorder="1" applyAlignment="1">
      <alignment horizontal="center" vertical="center" wrapText="1"/>
    </xf>
    <xf numFmtId="0" fontId="43" fillId="21" borderId="3" xfId="0" applyFont="1" applyFill="1" applyBorder="1" applyAlignment="1">
      <alignment horizontal="center" vertical="center" wrapText="1"/>
    </xf>
    <xf numFmtId="0" fontId="0" fillId="3" borderId="0" xfId="0" applyFill="1" applyAlignment="1">
      <alignment horizontal="left"/>
    </xf>
    <xf numFmtId="0" fontId="0" fillId="3" borderId="0" xfId="0" applyFill="1" applyAlignment="1">
      <alignment horizontal="left" vertical="top" wrapText="1"/>
    </xf>
    <xf numFmtId="0" fontId="41" fillId="0" borderId="0" xfId="0" applyFont="1" applyAlignment="1">
      <alignment horizontal="center"/>
    </xf>
    <xf numFmtId="0" fontId="43" fillId="19" borderId="1" xfId="0" applyFont="1" applyFill="1" applyBorder="1" applyAlignment="1">
      <alignment horizontal="center"/>
    </xf>
    <xf numFmtId="0" fontId="43" fillId="0" borderId="39" xfId="0" applyFont="1" applyBorder="1" applyAlignment="1">
      <alignment horizontal="left"/>
    </xf>
    <xf numFmtId="0" fontId="43" fillId="20" borderId="1" xfId="0" applyFont="1" applyFill="1" applyBorder="1" applyAlignment="1">
      <alignment horizontal="center" vertical="center" wrapText="1"/>
    </xf>
    <xf numFmtId="0" fontId="43" fillId="3" borderId="2" xfId="0" applyFont="1" applyFill="1" applyBorder="1" applyAlignment="1">
      <alignment horizontal="center" vertical="center"/>
    </xf>
    <xf numFmtId="0" fontId="43" fillId="3" borderId="7" xfId="0" applyFont="1" applyFill="1" applyBorder="1" applyAlignment="1">
      <alignment horizontal="center" vertical="center"/>
    </xf>
    <xf numFmtId="0" fontId="43" fillId="3" borderId="6" xfId="0" applyFont="1" applyFill="1" applyBorder="1" applyAlignment="1">
      <alignment horizontal="center" vertical="center"/>
    </xf>
    <xf numFmtId="0" fontId="63" fillId="0" borderId="0" xfId="0" applyFont="1" applyAlignment="1">
      <alignment horizontal="center"/>
    </xf>
    <xf numFmtId="0" fontId="26" fillId="0" borderId="0" xfId="0" applyFont="1" applyAlignment="1">
      <alignment horizontal="center"/>
    </xf>
    <xf numFmtId="0" fontId="43" fillId="13" borderId="5" xfId="0" applyFont="1" applyFill="1" applyBorder="1" applyAlignment="1">
      <alignment horizontal="center"/>
    </xf>
    <xf numFmtId="0" fontId="43" fillId="13" borderId="4" xfId="0" applyFont="1" applyFill="1" applyBorder="1" applyAlignment="1">
      <alignment horizontal="center"/>
    </xf>
    <xf numFmtId="0" fontId="58" fillId="23" borderId="42" xfId="5" applyFont="1" applyFill="1" applyBorder="1" applyAlignment="1">
      <alignment horizontal="center" vertical="center"/>
    </xf>
    <xf numFmtId="0" fontId="58" fillId="20" borderId="1" xfId="5" applyFont="1" applyFill="1" applyBorder="1" applyAlignment="1">
      <alignment horizontal="center" vertical="center"/>
    </xf>
    <xf numFmtId="0" fontId="58" fillId="23" borderId="1" xfId="5" applyFont="1" applyFill="1" applyBorder="1" applyAlignment="1">
      <alignment horizontal="center" vertical="center"/>
    </xf>
    <xf numFmtId="0" fontId="51" fillId="0" borderId="0" xfId="5" applyFont="1" applyAlignment="1">
      <alignment horizontal="center"/>
    </xf>
    <xf numFmtId="0" fontId="53" fillId="0" borderId="0" xfId="5" applyFont="1" applyAlignment="1">
      <alignment horizontal="center"/>
    </xf>
    <xf numFmtId="0" fontId="54" fillId="0" borderId="0" xfId="5" applyFont="1" applyAlignment="1">
      <alignment horizontal="center"/>
    </xf>
    <xf numFmtId="17" fontId="0" fillId="0" borderId="0" xfId="0" applyNumberFormat="1" applyAlignment="1">
      <alignment horizontal="center"/>
    </xf>
    <xf numFmtId="0" fontId="58" fillId="22" borderId="28" xfId="5" applyFont="1" applyFill="1" applyBorder="1" applyAlignment="1">
      <alignment horizontal="center" vertical="center"/>
    </xf>
    <xf numFmtId="0" fontId="58" fillId="22" borderId="42" xfId="5" applyFont="1" applyFill="1" applyBorder="1" applyAlignment="1">
      <alignment horizontal="center" vertical="center"/>
    </xf>
    <xf numFmtId="0" fontId="58" fillId="23" borderId="43" xfId="5" applyFont="1" applyFill="1" applyBorder="1" applyAlignment="1">
      <alignment horizontal="center" vertical="center"/>
    </xf>
    <xf numFmtId="0" fontId="58" fillId="23" borderId="44" xfId="5" applyFont="1" applyFill="1" applyBorder="1" applyAlignment="1">
      <alignment horizontal="center" vertical="center"/>
    </xf>
    <xf numFmtId="0" fontId="55" fillId="0" borderId="0" xfId="5" applyFont="1" applyAlignment="1">
      <alignment horizontal="center" wrapText="1"/>
    </xf>
    <xf numFmtId="0" fontId="55" fillId="0" borderId="0" xfId="5" applyFont="1" applyAlignment="1">
      <alignment horizontal="center"/>
    </xf>
  </cellXfs>
  <cellStyles count="17">
    <cellStyle name="Millares" xfId="6" builtinId="3"/>
    <cellStyle name="Millares 2" xfId="3"/>
    <cellStyle name="Millares 2 2" xfId="4"/>
    <cellStyle name="Millares 2 4" xfId="10"/>
    <cellStyle name="Millares 3" xfId="7"/>
    <cellStyle name="Moneda" xfId="8" builtinId="4"/>
    <cellStyle name="Normal" xfId="0" builtinId="0"/>
    <cellStyle name="Normal 10" xfId="13"/>
    <cellStyle name="Normal 11" xfId="14"/>
    <cellStyle name="Normal 12 3" xfId="16"/>
    <cellStyle name="Normal 17" xfId="11"/>
    <cellStyle name="Normal 2" xfId="1"/>
    <cellStyle name="Normal 2 2" xfId="5"/>
    <cellStyle name="Normal 2 4" xfId="12"/>
    <cellStyle name="Normal 9" xfId="15"/>
    <cellStyle name="Porcentaje" xfId="9" builtinId="5"/>
    <cellStyle name="Porcentaje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58511</xdr:colOff>
      <xdr:row>0</xdr:row>
      <xdr:rowOff>91168</xdr:rowOff>
    </xdr:from>
    <xdr:to>
      <xdr:col>1</xdr:col>
      <xdr:colOff>834208</xdr:colOff>
      <xdr:row>3</xdr:row>
      <xdr:rowOff>148318</xdr:rowOff>
    </xdr:to>
    <xdr:pic>
      <xdr:nvPicPr>
        <xdr:cNvPr id="2" name="Imagen 1">
          <a:extLst>
            <a:ext uri="{FF2B5EF4-FFF2-40B4-BE49-F238E27FC236}">
              <a16:creationId xmlns:a16="http://schemas.microsoft.com/office/drawing/2014/main" xmlns="" id="{F740DEE7-31C4-4FFD-BD64-78D50EEAB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11" y="91168"/>
          <a:ext cx="1566612" cy="618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FEBRERO%202025/MATRIZ%20ACTUALIZADA%200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row r="212">
          <cell r="G212">
            <v>14433131.48</v>
          </cell>
          <cell r="H212">
            <v>2432378.29</v>
          </cell>
        </row>
        <row r="463">
          <cell r="G463">
            <v>0</v>
          </cell>
          <cell r="H463">
            <v>0</v>
          </cell>
        </row>
      </sheetData>
      <sheetData sheetId="3"/>
      <sheetData sheetId="4">
        <row r="96">
          <cell r="A96">
            <v>0</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259054.40000000002</v>
          </cell>
          <cell r="AR96">
            <v>0</v>
          </cell>
          <cell r="AS96">
            <v>0</v>
          </cell>
          <cell r="AT96">
            <v>0</v>
          </cell>
          <cell r="AU96">
            <v>0</v>
          </cell>
          <cell r="AV96">
            <v>0</v>
          </cell>
          <cell r="AW96">
            <v>0</v>
          </cell>
          <cell r="AX96">
            <v>0</v>
          </cell>
          <cell r="AY96">
            <v>0</v>
          </cell>
          <cell r="AZ96">
            <v>0</v>
          </cell>
          <cell r="BA96">
            <v>0</v>
          </cell>
          <cell r="BB96">
            <v>0</v>
          </cell>
          <cell r="BC96">
            <v>24000</v>
          </cell>
          <cell r="BD96">
            <v>0</v>
          </cell>
          <cell r="BE96">
            <v>0</v>
          </cell>
          <cell r="BF96">
            <v>0</v>
          </cell>
          <cell r="BG96">
            <v>0</v>
          </cell>
          <cell r="BH96">
            <v>0</v>
          </cell>
          <cell r="BI96">
            <v>252960.9</v>
          </cell>
          <cell r="BJ96">
            <v>0</v>
          </cell>
          <cell r="BK96">
            <v>0</v>
          </cell>
          <cell r="BL96">
            <v>0</v>
          </cell>
          <cell r="BM96">
            <v>0</v>
          </cell>
          <cell r="BN96">
            <v>0</v>
          </cell>
          <cell r="BO96">
            <v>0</v>
          </cell>
          <cell r="BP96">
            <v>0</v>
          </cell>
          <cell r="BQ96">
            <v>0</v>
          </cell>
          <cell r="BR96">
            <v>0</v>
          </cell>
          <cell r="BS96">
            <v>0</v>
          </cell>
          <cell r="BT96">
            <v>0</v>
          </cell>
          <cell r="BU96">
            <v>0</v>
          </cell>
          <cell r="BV96">
            <v>0</v>
          </cell>
          <cell r="BW96">
            <v>257071.41999999998</v>
          </cell>
          <cell r="BX96">
            <v>215685.19</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11179.44</v>
          </cell>
          <cell r="CQ96">
            <v>0</v>
          </cell>
          <cell r="CR96">
            <v>0</v>
          </cell>
          <cell r="CS96">
            <v>0</v>
          </cell>
          <cell r="CT96">
            <v>0</v>
          </cell>
          <cell r="CU96">
            <v>0</v>
          </cell>
          <cell r="CV96">
            <v>0</v>
          </cell>
          <cell r="CW96">
            <v>0</v>
          </cell>
          <cell r="CX96">
            <v>0</v>
          </cell>
          <cell r="CY96">
            <v>0</v>
          </cell>
          <cell r="CZ96">
            <v>0</v>
          </cell>
          <cell r="DA96">
            <v>0</v>
          </cell>
          <cell r="DB96">
            <v>0</v>
          </cell>
          <cell r="DC96">
            <v>0</v>
          </cell>
          <cell r="DD96">
            <v>48852</v>
          </cell>
          <cell r="DE96">
            <v>144580</v>
          </cell>
          <cell r="DF96">
            <v>0</v>
          </cell>
          <cell r="DG96">
            <v>0</v>
          </cell>
          <cell r="DH96">
            <v>0</v>
          </cell>
          <cell r="DI96">
            <v>0</v>
          </cell>
          <cell r="DJ96">
            <v>0</v>
          </cell>
          <cell r="DK96">
            <v>300691.8</v>
          </cell>
          <cell r="DL96">
            <v>0</v>
          </cell>
          <cell r="DM96">
            <v>0</v>
          </cell>
          <cell r="DN96">
            <v>0</v>
          </cell>
          <cell r="DO96">
            <v>0</v>
          </cell>
          <cell r="DP96">
            <v>0</v>
          </cell>
          <cell r="DQ96">
            <v>0</v>
          </cell>
          <cell r="DR96">
            <v>0</v>
          </cell>
          <cell r="DS96">
            <v>0</v>
          </cell>
          <cell r="DT96">
            <v>0</v>
          </cell>
          <cell r="DU96">
            <v>0</v>
          </cell>
          <cell r="DV96">
            <v>0</v>
          </cell>
          <cell r="DW96">
            <v>107616</v>
          </cell>
          <cell r="DX96">
            <v>0</v>
          </cell>
          <cell r="DY96">
            <v>0</v>
          </cell>
          <cell r="DZ96">
            <v>0</v>
          </cell>
          <cell r="EA96">
            <v>0</v>
          </cell>
          <cell r="EB96">
            <v>0</v>
          </cell>
          <cell r="EC96">
            <v>0</v>
          </cell>
          <cell r="ED96">
            <v>0</v>
          </cell>
          <cell r="EE96">
            <v>0</v>
          </cell>
          <cell r="EF96">
            <v>0</v>
          </cell>
          <cell r="EG96">
            <v>249831.2</v>
          </cell>
          <cell r="EH96">
            <v>989.98</v>
          </cell>
          <cell r="EI96">
            <v>0</v>
          </cell>
          <cell r="EJ96">
            <v>0</v>
          </cell>
          <cell r="EK96">
            <v>0</v>
          </cell>
          <cell r="EL96">
            <v>0</v>
          </cell>
          <cell r="EM96">
            <v>0</v>
          </cell>
          <cell r="EN96">
            <v>0</v>
          </cell>
          <cell r="EO96">
            <v>123045.27</v>
          </cell>
          <cell r="EP96">
            <v>0</v>
          </cell>
          <cell r="EQ96">
            <v>0</v>
          </cell>
          <cell r="ER96">
            <v>59697.08</v>
          </cell>
          <cell r="ES96">
            <v>0</v>
          </cell>
          <cell r="ET96">
            <v>0</v>
          </cell>
          <cell r="EU96">
            <v>0</v>
          </cell>
          <cell r="EV96">
            <v>0</v>
          </cell>
          <cell r="EW96">
            <v>0</v>
          </cell>
          <cell r="EX96">
            <v>0</v>
          </cell>
          <cell r="EY96">
            <v>0</v>
          </cell>
          <cell r="EZ96">
            <v>0</v>
          </cell>
          <cell r="FA96">
            <v>172000</v>
          </cell>
          <cell r="FB96">
            <v>0</v>
          </cell>
          <cell r="FC96">
            <v>0</v>
          </cell>
          <cell r="FD96">
            <v>23844.13</v>
          </cell>
          <cell r="FE96">
            <v>0</v>
          </cell>
          <cell r="FF96">
            <v>0</v>
          </cell>
          <cell r="FG96">
            <v>0</v>
          </cell>
          <cell r="FH96">
            <v>0</v>
          </cell>
          <cell r="FI96">
            <v>0</v>
          </cell>
          <cell r="FJ96">
            <v>18975</v>
          </cell>
          <cell r="FK96">
            <v>0</v>
          </cell>
          <cell r="FL96">
            <v>0</v>
          </cell>
          <cell r="FM96">
            <v>0</v>
          </cell>
          <cell r="FN96">
            <v>899773.6</v>
          </cell>
          <cell r="FO96">
            <v>0</v>
          </cell>
          <cell r="FP96">
            <v>0</v>
          </cell>
          <cell r="FQ96">
            <v>0</v>
          </cell>
          <cell r="FR96">
            <v>0</v>
          </cell>
          <cell r="FS96">
            <v>0</v>
          </cell>
          <cell r="FT96">
            <v>419800</v>
          </cell>
          <cell r="FU96">
            <v>0</v>
          </cell>
          <cell r="FV96">
            <v>0</v>
          </cell>
          <cell r="FW96">
            <v>4050.01</v>
          </cell>
          <cell r="FX96">
            <v>0</v>
          </cell>
          <cell r="FY96">
            <v>0</v>
          </cell>
          <cell r="FZ96">
            <v>0</v>
          </cell>
          <cell r="GA96">
            <v>52064.22</v>
          </cell>
          <cell r="GB96">
            <v>0</v>
          </cell>
          <cell r="GC96">
            <v>0</v>
          </cell>
          <cell r="GD96">
            <v>23400</v>
          </cell>
          <cell r="GE96">
            <v>0</v>
          </cell>
          <cell r="GF96">
            <v>0</v>
          </cell>
          <cell r="GG96">
            <v>0</v>
          </cell>
          <cell r="GH96">
            <v>0</v>
          </cell>
          <cell r="GI96">
            <v>0</v>
          </cell>
          <cell r="GJ96">
            <v>0</v>
          </cell>
          <cell r="GK96">
            <v>0</v>
          </cell>
          <cell r="GL96">
            <v>0</v>
          </cell>
          <cell r="GM96">
            <v>0</v>
          </cell>
          <cell r="GN96">
            <v>0</v>
          </cell>
          <cell r="GO96">
            <v>0</v>
          </cell>
          <cell r="GP96">
            <v>0</v>
          </cell>
          <cell r="GQ96">
            <v>413000</v>
          </cell>
          <cell r="GR96">
            <v>1662030</v>
          </cell>
          <cell r="GS96">
            <v>0</v>
          </cell>
          <cell r="GT96">
            <v>0</v>
          </cell>
          <cell r="GU96">
            <v>0</v>
          </cell>
          <cell r="GV96">
            <v>0</v>
          </cell>
          <cell r="GX96">
            <v>0</v>
          </cell>
          <cell r="GY96">
            <v>0</v>
          </cell>
          <cell r="GZ96">
            <v>0</v>
          </cell>
          <cell r="HA96">
            <v>0</v>
          </cell>
          <cell r="HB96">
            <v>0</v>
          </cell>
          <cell r="HC96">
            <v>0</v>
          </cell>
          <cell r="HD96">
            <v>1770000</v>
          </cell>
          <cell r="HE96">
            <v>0</v>
          </cell>
          <cell r="HF96">
            <v>0</v>
          </cell>
          <cell r="HG96">
            <v>0</v>
          </cell>
          <cell r="HH96">
            <v>42480</v>
          </cell>
          <cell r="HI96">
            <v>0</v>
          </cell>
          <cell r="HJ96">
            <v>0</v>
          </cell>
          <cell r="HK96">
            <v>0</v>
          </cell>
          <cell r="HL96">
            <v>0</v>
          </cell>
          <cell r="HM96">
            <v>0</v>
          </cell>
          <cell r="HN96">
            <v>0</v>
          </cell>
          <cell r="HO96">
            <v>0</v>
          </cell>
          <cell r="HP96">
            <v>0</v>
          </cell>
          <cell r="HQ96">
            <v>0</v>
          </cell>
          <cell r="HR96">
            <v>0</v>
          </cell>
          <cell r="HS96">
            <v>0</v>
          </cell>
          <cell r="HT96">
            <v>0</v>
          </cell>
          <cell r="HU96">
            <v>0</v>
          </cell>
          <cell r="HV96">
            <v>0</v>
          </cell>
          <cell r="HW96">
            <v>0</v>
          </cell>
          <cell r="HX96">
            <v>0</v>
          </cell>
          <cell r="HY96">
            <v>0</v>
          </cell>
          <cell r="HZ96">
            <v>0</v>
          </cell>
          <cell r="IA96">
            <v>0</v>
          </cell>
          <cell r="IB96">
            <v>0</v>
          </cell>
          <cell r="IC96">
            <v>0</v>
          </cell>
          <cell r="ID96">
            <v>0</v>
          </cell>
          <cell r="IE96">
            <v>0</v>
          </cell>
          <cell r="IF96">
            <v>0</v>
          </cell>
          <cell r="IG96">
            <v>0</v>
          </cell>
          <cell r="IH96">
            <v>0</v>
          </cell>
          <cell r="II96">
            <v>0</v>
          </cell>
          <cell r="IJ96">
            <v>0</v>
          </cell>
          <cell r="IK96">
            <v>0</v>
          </cell>
          <cell r="IL96">
            <v>0</v>
          </cell>
          <cell r="IM96">
            <v>0</v>
          </cell>
          <cell r="IN96">
            <v>0</v>
          </cell>
          <cell r="IO96">
            <v>0</v>
          </cell>
          <cell r="IP96">
            <v>0</v>
          </cell>
          <cell r="IQ96">
            <v>0</v>
          </cell>
          <cell r="IR96">
            <v>0</v>
          </cell>
          <cell r="IS96">
            <v>0</v>
          </cell>
          <cell r="IT96">
            <v>0</v>
          </cell>
          <cell r="IU96">
            <v>0</v>
          </cell>
          <cell r="IV96">
            <v>0</v>
          </cell>
          <cell r="IW96">
            <v>0</v>
          </cell>
          <cell r="IX96">
            <v>0</v>
          </cell>
          <cell r="IY96">
            <v>0</v>
          </cell>
          <cell r="IZ96">
            <v>0</v>
          </cell>
          <cell r="JA96">
            <v>0</v>
          </cell>
          <cell r="JB96">
            <v>0</v>
          </cell>
          <cell r="JC96">
            <v>0</v>
          </cell>
          <cell r="JD96">
            <v>0</v>
          </cell>
          <cell r="JE96">
            <v>0</v>
          </cell>
          <cell r="JF96">
            <v>0</v>
          </cell>
          <cell r="JG96">
            <v>0</v>
          </cell>
          <cell r="JH96">
            <v>0</v>
          </cell>
        </row>
      </sheetData>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214"/>
  <sheetViews>
    <sheetView view="pageBreakPreview" topLeftCell="A202" zoomScale="87" zoomScaleNormal="90" zoomScaleSheetLayoutView="87" workbookViewId="0">
      <selection activeCell="E214" sqref="E214"/>
    </sheetView>
  </sheetViews>
  <sheetFormatPr baseColWidth="10" defaultRowHeight="15" x14ac:dyDescent="0.25"/>
  <cols>
    <col min="1" max="1" width="11.85546875" style="261" bestFit="1" customWidth="1"/>
    <col min="2" max="2" width="17.7109375" style="352" customWidth="1"/>
    <col min="3" max="4" width="18.85546875" style="352" customWidth="1"/>
    <col min="5" max="5" width="51.5703125" style="258" customWidth="1"/>
    <col min="6" max="6" width="50" style="258" customWidth="1"/>
    <col min="7" max="7" width="21.42578125" style="171" bestFit="1" customWidth="1"/>
    <col min="8" max="8" width="16.42578125" style="171" customWidth="1"/>
  </cols>
  <sheetData>
    <row r="5" spans="1:8" x14ac:dyDescent="0.25">
      <c r="A5" s="354" t="s">
        <v>425</v>
      </c>
      <c r="B5" s="354"/>
      <c r="C5" s="354"/>
      <c r="D5" s="354"/>
      <c r="E5" s="354"/>
      <c r="F5" s="368"/>
      <c r="G5" s="354"/>
      <c r="H5" s="354"/>
    </row>
    <row r="6" spans="1:8" x14ac:dyDescent="0.25">
      <c r="A6" s="355" t="s">
        <v>426</v>
      </c>
      <c r="B6" s="355"/>
      <c r="C6" s="355"/>
      <c r="D6" s="355"/>
      <c r="E6" s="355"/>
      <c r="F6" s="369"/>
      <c r="G6" s="355"/>
      <c r="H6" s="355"/>
    </row>
    <row r="7" spans="1:8" x14ac:dyDescent="0.25">
      <c r="A7" s="356" t="s">
        <v>673</v>
      </c>
      <c r="B7" s="356"/>
      <c r="C7" s="356"/>
      <c r="D7" s="356"/>
      <c r="E7" s="356"/>
      <c r="F7" s="336"/>
      <c r="G7" s="356"/>
      <c r="H7" s="356"/>
    </row>
    <row r="8" spans="1:8" x14ac:dyDescent="0.25">
      <c r="A8" s="357"/>
      <c r="B8" s="357"/>
      <c r="C8" s="357"/>
      <c r="D8" s="357"/>
      <c r="E8" s="357"/>
      <c r="F8" s="370"/>
      <c r="G8" s="357"/>
      <c r="H8" s="357"/>
    </row>
    <row r="9" spans="1:8" s="119" customFormat="1" x14ac:dyDescent="0.25">
      <c r="A9" s="358" t="s">
        <v>1495</v>
      </c>
      <c r="B9" s="358"/>
      <c r="C9" s="358"/>
      <c r="D9" s="358"/>
      <c r="E9" s="358"/>
      <c r="F9" s="371"/>
      <c r="G9" s="358"/>
      <c r="H9" s="358"/>
    </row>
    <row r="10" spans="1:8" ht="38.25" customHeight="1" x14ac:dyDescent="0.25">
      <c r="A10" s="259" t="s">
        <v>374</v>
      </c>
      <c r="B10" s="120" t="s">
        <v>428</v>
      </c>
      <c r="C10" s="120" t="s">
        <v>429</v>
      </c>
      <c r="D10" s="120" t="s">
        <v>430</v>
      </c>
      <c r="E10" s="121" t="s">
        <v>431</v>
      </c>
      <c r="F10" s="262" t="s">
        <v>432</v>
      </c>
      <c r="G10" s="122" t="s">
        <v>433</v>
      </c>
      <c r="H10" s="122" t="s">
        <v>434</v>
      </c>
    </row>
    <row r="11" spans="1:8" ht="45" x14ac:dyDescent="0.3">
      <c r="A11" s="260">
        <v>45842</v>
      </c>
      <c r="B11" s="249"/>
      <c r="C11" s="123">
        <v>208</v>
      </c>
      <c r="D11" s="123"/>
      <c r="E11" s="296" t="s">
        <v>756</v>
      </c>
      <c r="F11" s="372" t="s">
        <v>820</v>
      </c>
      <c r="G11" s="112">
        <v>22638</v>
      </c>
      <c r="H11" s="112">
        <v>22638</v>
      </c>
    </row>
    <row r="12" spans="1:8" ht="28.5" x14ac:dyDescent="0.3">
      <c r="A12" s="260">
        <v>45842</v>
      </c>
      <c r="B12" s="249"/>
      <c r="C12" s="123">
        <v>209</v>
      </c>
      <c r="D12" s="123"/>
      <c r="E12" s="257" t="s">
        <v>821</v>
      </c>
      <c r="F12" s="263" t="s">
        <v>822</v>
      </c>
      <c r="G12" s="124">
        <v>760000</v>
      </c>
      <c r="H12" s="125">
        <v>722000</v>
      </c>
    </row>
    <row r="13" spans="1:8" ht="42.75" x14ac:dyDescent="0.3">
      <c r="A13" s="260">
        <v>45842</v>
      </c>
      <c r="B13" s="249"/>
      <c r="C13" s="123">
        <v>210</v>
      </c>
      <c r="D13" s="123"/>
      <c r="E13" s="257" t="s">
        <v>825</v>
      </c>
      <c r="F13" s="263" t="s">
        <v>826</v>
      </c>
      <c r="G13" s="124">
        <v>19496.18</v>
      </c>
      <c r="H13" s="125">
        <v>19496.18</v>
      </c>
    </row>
    <row r="14" spans="1:8" ht="42.75" x14ac:dyDescent="0.3">
      <c r="A14" s="260">
        <v>45842</v>
      </c>
      <c r="B14" s="249"/>
      <c r="C14" s="123">
        <v>211</v>
      </c>
      <c r="D14" s="123"/>
      <c r="E14" s="257" t="s">
        <v>824</v>
      </c>
      <c r="F14" s="263" t="s">
        <v>823</v>
      </c>
      <c r="G14" s="124">
        <v>8860.18</v>
      </c>
      <c r="H14" s="125">
        <v>8860.18</v>
      </c>
    </row>
    <row r="15" spans="1:8" ht="42.75" x14ac:dyDescent="0.3">
      <c r="A15" s="260">
        <v>45842</v>
      </c>
      <c r="B15" s="249"/>
      <c r="C15" s="123">
        <v>212</v>
      </c>
      <c r="D15" s="123"/>
      <c r="E15" s="257" t="s">
        <v>828</v>
      </c>
      <c r="F15" s="263" t="s">
        <v>827</v>
      </c>
      <c r="G15" s="124">
        <v>118075.52</v>
      </c>
      <c r="H15" s="125">
        <v>113072.32000000001</v>
      </c>
    </row>
    <row r="16" spans="1:8" ht="45.75" x14ac:dyDescent="0.3">
      <c r="A16" s="260">
        <v>45845</v>
      </c>
      <c r="B16" s="249"/>
      <c r="C16" s="123">
        <v>213</v>
      </c>
      <c r="D16" s="123"/>
      <c r="E16" s="257" t="s">
        <v>829</v>
      </c>
      <c r="F16" s="296" t="s">
        <v>830</v>
      </c>
      <c r="G16" s="112">
        <v>14160</v>
      </c>
      <c r="H16" s="124">
        <v>14160</v>
      </c>
    </row>
    <row r="17" spans="1:8" ht="28.5" x14ac:dyDescent="0.3">
      <c r="A17" s="260">
        <v>45845</v>
      </c>
      <c r="B17" s="249"/>
      <c r="C17" s="123">
        <v>214</v>
      </c>
      <c r="D17" s="123"/>
      <c r="E17" s="257" t="s">
        <v>755</v>
      </c>
      <c r="F17" s="263" t="s">
        <v>831</v>
      </c>
      <c r="G17" s="124">
        <v>24000</v>
      </c>
      <c r="H17" s="125">
        <v>22800</v>
      </c>
    </row>
    <row r="18" spans="1:8" ht="42.75" x14ac:dyDescent="0.3">
      <c r="A18" s="260">
        <v>45845</v>
      </c>
      <c r="B18" s="249"/>
      <c r="C18" s="123">
        <v>215</v>
      </c>
      <c r="D18" s="123"/>
      <c r="E18" s="257" t="s">
        <v>833</v>
      </c>
      <c r="F18" s="263" t="s">
        <v>832</v>
      </c>
      <c r="G18" s="124">
        <v>1230740</v>
      </c>
      <c r="H18" s="125">
        <v>1178590</v>
      </c>
    </row>
    <row r="19" spans="1:8" ht="57" x14ac:dyDescent="0.3">
      <c r="A19" s="260">
        <v>45845</v>
      </c>
      <c r="B19" s="249"/>
      <c r="C19" s="123">
        <v>216</v>
      </c>
      <c r="D19" s="123"/>
      <c r="E19" s="257" t="s">
        <v>834</v>
      </c>
      <c r="F19" s="263" t="s">
        <v>835</v>
      </c>
      <c r="G19" s="124">
        <v>247800</v>
      </c>
      <c r="H19" s="125">
        <v>237300</v>
      </c>
    </row>
    <row r="20" spans="1:8" ht="57" x14ac:dyDescent="0.3">
      <c r="A20" s="260">
        <v>45845</v>
      </c>
      <c r="B20" s="249"/>
      <c r="C20" s="123">
        <v>217</v>
      </c>
      <c r="D20" s="123"/>
      <c r="E20" s="257" t="s">
        <v>834</v>
      </c>
      <c r="F20" s="263" t="s">
        <v>836</v>
      </c>
      <c r="G20" s="124">
        <v>212400</v>
      </c>
      <c r="H20" s="125">
        <v>203400</v>
      </c>
    </row>
    <row r="21" spans="1:8" ht="57" x14ac:dyDescent="0.3">
      <c r="A21" s="260">
        <v>45845</v>
      </c>
      <c r="B21" s="249"/>
      <c r="C21" s="123">
        <v>218</v>
      </c>
      <c r="D21" s="123"/>
      <c r="E21" s="257" t="s">
        <v>837</v>
      </c>
      <c r="F21" s="263" t="s">
        <v>838</v>
      </c>
      <c r="G21" s="124">
        <v>409306.6</v>
      </c>
      <c r="H21" s="125">
        <v>391963.1</v>
      </c>
    </row>
    <row r="22" spans="1:8" ht="42.75" x14ac:dyDescent="0.3">
      <c r="A22" s="375">
        <v>45845</v>
      </c>
      <c r="B22" s="376"/>
      <c r="C22" s="377">
        <v>219</v>
      </c>
      <c r="D22" s="377"/>
      <c r="E22" s="378" t="s">
        <v>840</v>
      </c>
      <c r="F22" s="379" t="s">
        <v>839</v>
      </c>
      <c r="G22" s="124">
        <v>594720</v>
      </c>
      <c r="H22" s="124">
        <v>569520</v>
      </c>
    </row>
    <row r="23" spans="1:8" ht="42.75" x14ac:dyDescent="0.3">
      <c r="A23" s="375">
        <v>45845</v>
      </c>
      <c r="B23" s="376"/>
      <c r="C23" s="377">
        <v>220</v>
      </c>
      <c r="D23" s="377"/>
      <c r="E23" s="378" t="s">
        <v>757</v>
      </c>
      <c r="F23" s="379" t="s">
        <v>841</v>
      </c>
      <c r="G23" s="124">
        <v>58764</v>
      </c>
      <c r="H23" s="124">
        <v>56274</v>
      </c>
    </row>
    <row r="24" spans="1:8" ht="42.75" x14ac:dyDescent="0.3">
      <c r="A24" s="375">
        <v>45845</v>
      </c>
      <c r="B24" s="376"/>
      <c r="C24" s="377">
        <v>221</v>
      </c>
      <c r="D24" s="377"/>
      <c r="E24" s="378" t="s">
        <v>1079</v>
      </c>
      <c r="F24" s="379" t="s">
        <v>841</v>
      </c>
      <c r="G24" s="124">
        <v>3026.1</v>
      </c>
      <c r="H24" s="124">
        <v>3026.1</v>
      </c>
    </row>
    <row r="25" spans="1:8" ht="42.75" x14ac:dyDescent="0.3">
      <c r="A25" s="375">
        <v>45849</v>
      </c>
      <c r="B25" s="376"/>
      <c r="C25" s="377">
        <v>222</v>
      </c>
      <c r="D25" s="377"/>
      <c r="E25" s="378" t="s">
        <v>842</v>
      </c>
      <c r="F25" s="379" t="s">
        <v>843</v>
      </c>
      <c r="G25" s="124">
        <v>272200</v>
      </c>
      <c r="H25" s="124">
        <v>260666.1</v>
      </c>
    </row>
    <row r="26" spans="1:8" ht="57" x14ac:dyDescent="0.3">
      <c r="A26" s="260">
        <v>45849</v>
      </c>
      <c r="B26" s="249"/>
      <c r="C26" s="123">
        <v>223</v>
      </c>
      <c r="D26" s="123"/>
      <c r="E26" s="257" t="s">
        <v>844</v>
      </c>
      <c r="F26" s="263" t="s">
        <v>845</v>
      </c>
      <c r="G26" s="124">
        <v>147500</v>
      </c>
      <c r="H26" s="125">
        <v>118750</v>
      </c>
    </row>
    <row r="27" spans="1:8" ht="85.5" x14ac:dyDescent="0.3">
      <c r="A27" s="260">
        <v>45849</v>
      </c>
      <c r="B27" s="249"/>
      <c r="C27" s="123">
        <v>224</v>
      </c>
      <c r="D27" s="123"/>
      <c r="E27" s="257" t="s">
        <v>702</v>
      </c>
      <c r="F27" s="263" t="s">
        <v>846</v>
      </c>
      <c r="G27" s="124">
        <v>238950</v>
      </c>
      <c r="H27" s="125">
        <v>228825</v>
      </c>
    </row>
    <row r="28" spans="1:8" ht="28.5" x14ac:dyDescent="0.3">
      <c r="A28" s="260">
        <v>45849</v>
      </c>
      <c r="B28" s="249"/>
      <c r="C28" s="123">
        <v>225</v>
      </c>
      <c r="D28" s="123"/>
      <c r="E28" s="257" t="s">
        <v>847</v>
      </c>
      <c r="F28" s="263" t="s">
        <v>848</v>
      </c>
      <c r="G28" s="124">
        <v>298861.53999999998</v>
      </c>
      <c r="H28" s="125">
        <v>298861.53999999998</v>
      </c>
    </row>
    <row r="29" spans="1:8" ht="57" x14ac:dyDescent="0.3">
      <c r="A29" s="260">
        <v>45849</v>
      </c>
      <c r="B29" s="249"/>
      <c r="C29" s="123">
        <v>226</v>
      </c>
      <c r="D29" s="123"/>
      <c r="E29" s="257" t="s">
        <v>856</v>
      </c>
      <c r="F29" s="263" t="s">
        <v>855</v>
      </c>
      <c r="G29" s="124">
        <v>165375</v>
      </c>
      <c r="H29" s="125">
        <v>165375</v>
      </c>
    </row>
    <row r="30" spans="1:8" ht="28.5" x14ac:dyDescent="0.3">
      <c r="A30" s="260">
        <v>45854</v>
      </c>
      <c r="B30" s="249"/>
      <c r="C30" s="123">
        <v>227</v>
      </c>
      <c r="D30" s="123"/>
      <c r="E30" s="257" t="s">
        <v>851</v>
      </c>
      <c r="F30" s="263" t="s">
        <v>852</v>
      </c>
      <c r="G30" s="124">
        <v>8000</v>
      </c>
      <c r="H30" s="125">
        <v>7600</v>
      </c>
    </row>
    <row r="31" spans="1:8" ht="42.75" x14ac:dyDescent="0.3">
      <c r="A31" s="260">
        <v>45854</v>
      </c>
      <c r="B31" s="249"/>
      <c r="C31" s="123">
        <v>228</v>
      </c>
      <c r="D31" s="123"/>
      <c r="E31" s="257" t="s">
        <v>853</v>
      </c>
      <c r="F31" s="263" t="s">
        <v>854</v>
      </c>
      <c r="G31" s="124">
        <v>122440.02</v>
      </c>
      <c r="H31" s="125">
        <v>117251.88</v>
      </c>
    </row>
    <row r="32" spans="1:8" ht="57" x14ac:dyDescent="0.3">
      <c r="A32" s="260">
        <v>45854</v>
      </c>
      <c r="B32" s="249"/>
      <c r="C32" s="123">
        <v>229</v>
      </c>
      <c r="D32" s="123"/>
      <c r="E32" s="257" t="s">
        <v>856</v>
      </c>
      <c r="F32" s="263" t="s">
        <v>855</v>
      </c>
      <c r="G32" s="124">
        <v>165375</v>
      </c>
      <c r="H32" s="125">
        <v>165375</v>
      </c>
    </row>
    <row r="33" spans="1:8" ht="42.75" x14ac:dyDescent="0.3">
      <c r="A33" s="260">
        <v>45855</v>
      </c>
      <c r="B33" s="249"/>
      <c r="C33" s="123">
        <v>230</v>
      </c>
      <c r="D33" s="123"/>
      <c r="E33" s="257" t="s">
        <v>857</v>
      </c>
      <c r="F33" s="263" t="s">
        <v>858</v>
      </c>
      <c r="G33" s="124">
        <v>431408</v>
      </c>
      <c r="H33" s="125">
        <v>413128</v>
      </c>
    </row>
    <row r="34" spans="1:8" ht="42.75" x14ac:dyDescent="0.3">
      <c r="A34" s="260">
        <v>45860</v>
      </c>
      <c r="B34" s="249"/>
      <c r="C34" s="123">
        <v>231</v>
      </c>
      <c r="D34" s="123"/>
      <c r="E34" s="257" t="s">
        <v>859</v>
      </c>
      <c r="F34" s="263" t="s">
        <v>860</v>
      </c>
      <c r="G34" s="124">
        <v>275330</v>
      </c>
      <c r="H34" s="125">
        <v>261563.5</v>
      </c>
    </row>
    <row r="35" spans="1:8" ht="57" x14ac:dyDescent="0.3">
      <c r="A35" s="260">
        <v>45867</v>
      </c>
      <c r="B35" s="249"/>
      <c r="C35" s="123">
        <v>232</v>
      </c>
      <c r="D35" s="123"/>
      <c r="E35" s="257" t="s">
        <v>757</v>
      </c>
      <c r="F35" s="263" t="s">
        <v>861</v>
      </c>
      <c r="G35" s="124">
        <v>389046</v>
      </c>
      <c r="H35" s="125">
        <v>372561</v>
      </c>
    </row>
    <row r="36" spans="1:8" ht="45.75" x14ac:dyDescent="0.3">
      <c r="A36" s="260">
        <v>45867</v>
      </c>
      <c r="B36" s="249"/>
      <c r="C36" s="123">
        <v>233</v>
      </c>
      <c r="D36" s="123"/>
      <c r="E36" s="257" t="s">
        <v>849</v>
      </c>
      <c r="F36" s="345" t="s">
        <v>850</v>
      </c>
      <c r="G36" s="124">
        <v>50000</v>
      </c>
      <c r="H36" s="125">
        <v>50000</v>
      </c>
    </row>
    <row r="37" spans="1:8" ht="60.75" x14ac:dyDescent="0.3">
      <c r="A37" s="260">
        <v>45867</v>
      </c>
      <c r="B37" s="249"/>
      <c r="C37" s="123">
        <v>234</v>
      </c>
      <c r="D37" s="123"/>
      <c r="E37" s="257" t="s">
        <v>985</v>
      </c>
      <c r="F37" s="345" t="s">
        <v>986</v>
      </c>
      <c r="G37" s="124">
        <v>211904.05</v>
      </c>
      <c r="H37" s="125">
        <v>211904.05</v>
      </c>
    </row>
    <row r="38" spans="1:8" ht="45.75" x14ac:dyDescent="0.3">
      <c r="A38" s="260">
        <v>45867</v>
      </c>
      <c r="B38" s="249"/>
      <c r="C38" s="123">
        <v>235</v>
      </c>
      <c r="D38" s="123"/>
      <c r="E38" s="257" t="s">
        <v>756</v>
      </c>
      <c r="F38" s="345" t="s">
        <v>987</v>
      </c>
      <c r="G38" s="124">
        <v>22638</v>
      </c>
      <c r="H38" s="125">
        <v>22638</v>
      </c>
    </row>
    <row r="39" spans="1:8" ht="30.75" x14ac:dyDescent="0.3">
      <c r="A39" s="260">
        <v>45867</v>
      </c>
      <c r="B39" s="249"/>
      <c r="C39" s="123">
        <v>236</v>
      </c>
      <c r="D39" s="123"/>
      <c r="E39" s="257" t="s">
        <v>988</v>
      </c>
      <c r="F39" s="345" t="s">
        <v>989</v>
      </c>
      <c r="G39" s="124">
        <v>85400</v>
      </c>
      <c r="H39" s="125">
        <v>81130</v>
      </c>
    </row>
    <row r="40" spans="1:8" ht="45.75" x14ac:dyDescent="0.3">
      <c r="A40" s="260">
        <v>45868</v>
      </c>
      <c r="B40" s="249"/>
      <c r="C40" s="123">
        <v>237</v>
      </c>
      <c r="D40" s="123"/>
      <c r="E40" s="257" t="s">
        <v>702</v>
      </c>
      <c r="F40" s="345" t="s">
        <v>990</v>
      </c>
      <c r="G40" s="124">
        <v>236295</v>
      </c>
      <c r="H40" s="125">
        <v>226282.5</v>
      </c>
    </row>
    <row r="41" spans="1:8" ht="75.75" x14ac:dyDescent="0.3">
      <c r="A41" s="260">
        <v>45868</v>
      </c>
      <c r="B41" s="249"/>
      <c r="C41" s="123">
        <v>238</v>
      </c>
      <c r="D41" s="123"/>
      <c r="E41" s="257" t="s">
        <v>702</v>
      </c>
      <c r="F41" s="345" t="s">
        <v>991</v>
      </c>
      <c r="G41" s="124">
        <v>132750</v>
      </c>
      <c r="H41" s="125">
        <v>127125</v>
      </c>
    </row>
    <row r="42" spans="1:8" ht="60.75" x14ac:dyDescent="0.3">
      <c r="A42" s="260">
        <v>45868</v>
      </c>
      <c r="B42" s="249"/>
      <c r="C42" s="123">
        <v>239</v>
      </c>
      <c r="D42" s="123"/>
      <c r="E42" s="257" t="s">
        <v>857</v>
      </c>
      <c r="F42" s="345" t="s">
        <v>992</v>
      </c>
      <c r="G42" s="124">
        <v>395831</v>
      </c>
      <c r="H42" s="125">
        <v>379058.5</v>
      </c>
    </row>
    <row r="43" spans="1:8" ht="45.75" x14ac:dyDescent="0.3">
      <c r="A43" s="260">
        <v>45868</v>
      </c>
      <c r="B43" s="249"/>
      <c r="C43" s="123">
        <v>240</v>
      </c>
      <c r="D43" s="123"/>
      <c r="E43" s="257" t="s">
        <v>993</v>
      </c>
      <c r="F43" s="345" t="s">
        <v>994</v>
      </c>
      <c r="G43" s="124">
        <v>128800</v>
      </c>
      <c r="H43" s="125">
        <v>128800</v>
      </c>
    </row>
    <row r="44" spans="1:8" ht="45.75" x14ac:dyDescent="0.3">
      <c r="A44" s="260">
        <v>45869</v>
      </c>
      <c r="B44" s="249"/>
      <c r="C44" s="123">
        <v>241</v>
      </c>
      <c r="D44" s="123"/>
      <c r="E44" s="257" t="s">
        <v>995</v>
      </c>
      <c r="F44" s="345" t="s">
        <v>996</v>
      </c>
      <c r="G44" s="124">
        <v>168800</v>
      </c>
      <c r="H44" s="125">
        <v>160360</v>
      </c>
    </row>
    <row r="45" spans="1:8" ht="45.75" x14ac:dyDescent="0.3">
      <c r="A45" s="260">
        <v>45869</v>
      </c>
      <c r="B45" s="249"/>
      <c r="C45" s="123">
        <v>242</v>
      </c>
      <c r="D45" s="123"/>
      <c r="E45" s="257" t="s">
        <v>997</v>
      </c>
      <c r="F45" s="345" t="s">
        <v>998</v>
      </c>
      <c r="G45" s="124">
        <v>239191.4</v>
      </c>
      <c r="H45" s="125">
        <v>227231.83</v>
      </c>
    </row>
    <row r="46" spans="1:8" ht="45.75" x14ac:dyDescent="0.3">
      <c r="A46" s="260">
        <v>45869</v>
      </c>
      <c r="B46" s="249"/>
      <c r="C46" s="123">
        <v>243</v>
      </c>
      <c r="D46" s="123"/>
      <c r="E46" s="257" t="s">
        <v>999</v>
      </c>
      <c r="F46" s="345" t="s">
        <v>1000</v>
      </c>
      <c r="G46" s="124">
        <v>39530</v>
      </c>
      <c r="H46" s="125">
        <v>37855</v>
      </c>
    </row>
    <row r="47" spans="1:8" ht="45.75" x14ac:dyDescent="0.3">
      <c r="A47" s="260">
        <v>45869</v>
      </c>
      <c r="B47" s="249"/>
      <c r="C47" s="123">
        <v>244</v>
      </c>
      <c r="D47" s="123"/>
      <c r="E47" s="257" t="s">
        <v>1001</v>
      </c>
      <c r="F47" s="345" t="s">
        <v>1002</v>
      </c>
      <c r="G47" s="124">
        <v>760000</v>
      </c>
      <c r="H47" s="125">
        <v>722000</v>
      </c>
    </row>
    <row r="48" spans="1:8" ht="30.75" x14ac:dyDescent="0.3">
      <c r="A48" s="260">
        <v>45869</v>
      </c>
      <c r="B48" s="249"/>
      <c r="C48" s="123">
        <v>246</v>
      </c>
      <c r="D48" s="123"/>
      <c r="E48" s="257" t="s">
        <v>1080</v>
      </c>
      <c r="F48" s="345" t="s">
        <v>1475</v>
      </c>
      <c r="G48" s="124">
        <v>172000</v>
      </c>
      <c r="H48" s="125">
        <v>170573.26</v>
      </c>
    </row>
    <row r="49" spans="1:8" ht="30.75" x14ac:dyDescent="0.3">
      <c r="A49" s="260">
        <v>45869</v>
      </c>
      <c r="B49" s="249"/>
      <c r="C49" s="123">
        <v>247</v>
      </c>
      <c r="D49" s="123"/>
      <c r="E49" s="257" t="s">
        <v>1081</v>
      </c>
      <c r="F49" s="345" t="s">
        <v>1082</v>
      </c>
      <c r="G49" s="124">
        <v>10000</v>
      </c>
      <c r="H49" s="125">
        <v>10000</v>
      </c>
    </row>
    <row r="50" spans="1:8" ht="30.75" x14ac:dyDescent="0.3">
      <c r="A50" s="260">
        <v>45839</v>
      </c>
      <c r="B50" s="249"/>
      <c r="C50" s="123"/>
      <c r="D50" s="123">
        <v>37252</v>
      </c>
      <c r="E50" s="257" t="s">
        <v>956</v>
      </c>
      <c r="F50" s="345" t="s">
        <v>955</v>
      </c>
      <c r="G50" s="124">
        <v>3600</v>
      </c>
      <c r="H50" s="125">
        <v>3600</v>
      </c>
    </row>
    <row r="51" spans="1:8" ht="45.75" x14ac:dyDescent="0.3">
      <c r="A51" s="260">
        <v>45841</v>
      </c>
      <c r="B51" s="249"/>
      <c r="C51" s="123"/>
      <c r="D51" s="123">
        <f>+D50+1</f>
        <v>37253</v>
      </c>
      <c r="E51" s="257" t="s">
        <v>958</v>
      </c>
      <c r="F51" s="345" t="s">
        <v>957</v>
      </c>
      <c r="G51" s="124">
        <v>10000</v>
      </c>
      <c r="H51" s="125">
        <v>10000</v>
      </c>
    </row>
    <row r="52" spans="1:8" ht="30.75" x14ac:dyDescent="0.3">
      <c r="A52" s="260">
        <v>45841</v>
      </c>
      <c r="B52" s="249"/>
      <c r="C52" s="123"/>
      <c r="D52" s="123">
        <f t="shared" ref="D52:D66" si="0">+D51+1</f>
        <v>37254</v>
      </c>
      <c r="E52" s="257" t="s">
        <v>959</v>
      </c>
      <c r="F52" s="345" t="s">
        <v>960</v>
      </c>
      <c r="G52" s="124">
        <v>18061.23</v>
      </c>
      <c r="H52" s="125">
        <v>15000</v>
      </c>
    </row>
    <row r="53" spans="1:8" ht="15.75" x14ac:dyDescent="0.3">
      <c r="A53" s="260">
        <v>45841</v>
      </c>
      <c r="B53" s="249"/>
      <c r="C53" s="123"/>
      <c r="D53" s="123">
        <f t="shared" si="0"/>
        <v>37255</v>
      </c>
      <c r="E53" s="257" t="s">
        <v>982</v>
      </c>
      <c r="F53" s="345" t="s">
        <v>983</v>
      </c>
      <c r="G53" s="124">
        <v>55105.58</v>
      </c>
      <c r="H53" s="125">
        <v>55105.58</v>
      </c>
    </row>
    <row r="54" spans="1:8" ht="45.75" x14ac:dyDescent="0.3">
      <c r="A54" s="260">
        <v>45848</v>
      </c>
      <c r="B54" s="249"/>
      <c r="C54" s="123"/>
      <c r="D54" s="123">
        <f t="shared" si="0"/>
        <v>37256</v>
      </c>
      <c r="E54" s="257" t="s">
        <v>961</v>
      </c>
      <c r="F54" s="345" t="s">
        <v>962</v>
      </c>
      <c r="G54" s="124">
        <v>9632.66</v>
      </c>
      <c r="H54" s="125">
        <v>8000</v>
      </c>
    </row>
    <row r="55" spans="1:8" ht="45.75" x14ac:dyDescent="0.3">
      <c r="A55" s="260">
        <v>45848</v>
      </c>
      <c r="B55" s="249"/>
      <c r="C55" s="123"/>
      <c r="D55" s="123">
        <f t="shared" si="0"/>
        <v>37257</v>
      </c>
      <c r="E55" s="257" t="s">
        <v>963</v>
      </c>
      <c r="F55" s="345" t="s">
        <v>964</v>
      </c>
      <c r="G55" s="124">
        <v>12402.05</v>
      </c>
      <c r="H55" s="125">
        <v>10300</v>
      </c>
    </row>
    <row r="56" spans="1:8" ht="75.75" x14ac:dyDescent="0.3">
      <c r="A56" s="260">
        <v>45853</v>
      </c>
      <c r="B56" s="249"/>
      <c r="C56" s="123"/>
      <c r="D56" s="123">
        <f t="shared" si="0"/>
        <v>37258</v>
      </c>
      <c r="E56" s="257" t="s">
        <v>965</v>
      </c>
      <c r="F56" s="345" t="s">
        <v>966</v>
      </c>
      <c r="G56" s="124">
        <v>36122.46</v>
      </c>
      <c r="H56" s="125">
        <v>30000.01</v>
      </c>
    </row>
    <row r="57" spans="1:8" ht="60.75" x14ac:dyDescent="0.3">
      <c r="A57" s="260">
        <v>45856</v>
      </c>
      <c r="B57" s="249"/>
      <c r="C57" s="123"/>
      <c r="D57" s="123">
        <f t="shared" si="0"/>
        <v>37259</v>
      </c>
      <c r="E57" s="257" t="s">
        <v>968</v>
      </c>
      <c r="F57" s="345" t="s">
        <v>967</v>
      </c>
      <c r="G57" s="124">
        <v>8428.57</v>
      </c>
      <c r="H57" s="125">
        <v>7000</v>
      </c>
    </row>
    <row r="58" spans="1:8" ht="45.75" x14ac:dyDescent="0.3">
      <c r="A58" s="260">
        <v>45859</v>
      </c>
      <c r="B58" s="249"/>
      <c r="C58" s="123"/>
      <c r="D58" s="123">
        <f t="shared" si="0"/>
        <v>37260</v>
      </c>
      <c r="E58" s="257" t="s">
        <v>968</v>
      </c>
      <c r="F58" s="345" t="s">
        <v>969</v>
      </c>
      <c r="G58" s="124">
        <v>22877.56</v>
      </c>
      <c r="H58" s="125">
        <v>19000</v>
      </c>
    </row>
    <row r="59" spans="1:8" ht="15.75" x14ac:dyDescent="0.3">
      <c r="A59" s="260">
        <v>45860</v>
      </c>
      <c r="B59" s="249"/>
      <c r="C59" s="123"/>
      <c r="D59" s="123">
        <f t="shared" si="0"/>
        <v>37261</v>
      </c>
      <c r="E59" s="257" t="s">
        <v>970</v>
      </c>
      <c r="F59" s="345" t="s">
        <v>970</v>
      </c>
      <c r="G59" s="124">
        <v>0</v>
      </c>
      <c r="H59" s="125"/>
    </row>
    <row r="60" spans="1:8" ht="57" x14ac:dyDescent="0.3">
      <c r="A60" s="260">
        <v>45860</v>
      </c>
      <c r="B60" s="249"/>
      <c r="C60" s="123"/>
      <c r="D60" s="123">
        <f t="shared" si="0"/>
        <v>37262</v>
      </c>
      <c r="E60" s="296" t="s">
        <v>972</v>
      </c>
      <c r="F60" s="257" t="s">
        <v>971</v>
      </c>
      <c r="G60" s="124">
        <v>21000</v>
      </c>
      <c r="H60" s="125">
        <v>21000</v>
      </c>
    </row>
    <row r="61" spans="1:8" ht="42.75" x14ac:dyDescent="0.3">
      <c r="A61" s="260">
        <v>45860</v>
      </c>
      <c r="B61" s="249"/>
      <c r="C61" s="123"/>
      <c r="D61" s="123">
        <f t="shared" si="0"/>
        <v>37263</v>
      </c>
      <c r="E61" s="296" t="s">
        <v>974</v>
      </c>
      <c r="F61" s="257" t="s">
        <v>973</v>
      </c>
      <c r="G61" s="124">
        <v>18061.22</v>
      </c>
      <c r="H61" s="125">
        <v>15000</v>
      </c>
    </row>
    <row r="62" spans="1:8" ht="30.75" x14ac:dyDescent="0.3">
      <c r="A62" s="260">
        <v>45860</v>
      </c>
      <c r="B62" s="249"/>
      <c r="C62" s="123"/>
      <c r="D62" s="123">
        <f t="shared" si="0"/>
        <v>37264</v>
      </c>
      <c r="E62" s="257" t="s">
        <v>976</v>
      </c>
      <c r="F62" s="345" t="s">
        <v>975</v>
      </c>
      <c r="G62" s="124">
        <v>21673.47</v>
      </c>
      <c r="H62" s="125">
        <v>18000.009999999998</v>
      </c>
    </row>
    <row r="63" spans="1:8" ht="30.75" x14ac:dyDescent="0.3">
      <c r="A63" s="260">
        <v>45860</v>
      </c>
      <c r="B63" s="249"/>
      <c r="C63" s="123"/>
      <c r="D63" s="123">
        <f t="shared" si="0"/>
        <v>37265</v>
      </c>
      <c r="E63" s="257" t="s">
        <v>977</v>
      </c>
      <c r="F63" s="345" t="s">
        <v>978</v>
      </c>
      <c r="G63" s="124">
        <v>18061.22</v>
      </c>
      <c r="H63" s="125">
        <v>15000</v>
      </c>
    </row>
    <row r="64" spans="1:8" ht="15.75" x14ac:dyDescent="0.3">
      <c r="A64" s="260">
        <v>45860</v>
      </c>
      <c r="B64" s="249"/>
      <c r="C64" s="123"/>
      <c r="D64" s="123">
        <f t="shared" si="0"/>
        <v>37266</v>
      </c>
      <c r="E64" s="257" t="s">
        <v>970</v>
      </c>
      <c r="F64" s="345" t="s">
        <v>970</v>
      </c>
      <c r="G64" s="124">
        <v>0</v>
      </c>
      <c r="H64" s="125"/>
    </row>
    <row r="65" spans="1:8" ht="30.75" x14ac:dyDescent="0.3">
      <c r="A65" s="260">
        <v>45860</v>
      </c>
      <c r="B65" s="249"/>
      <c r="C65" s="123"/>
      <c r="D65" s="123">
        <f t="shared" si="0"/>
        <v>37267</v>
      </c>
      <c r="E65" s="257" t="s">
        <v>956</v>
      </c>
      <c r="F65" s="345" t="s">
        <v>979</v>
      </c>
      <c r="G65" s="124">
        <v>3600</v>
      </c>
      <c r="H65" s="125">
        <v>3600</v>
      </c>
    </row>
    <row r="66" spans="1:8" ht="42.75" x14ac:dyDescent="0.3">
      <c r="A66" s="260">
        <v>45860</v>
      </c>
      <c r="B66" s="249"/>
      <c r="C66" s="123"/>
      <c r="D66" s="123">
        <f t="shared" si="0"/>
        <v>37268</v>
      </c>
      <c r="E66" s="296" t="s">
        <v>981</v>
      </c>
      <c r="F66" s="257" t="s">
        <v>980</v>
      </c>
      <c r="G66" s="124">
        <v>20000</v>
      </c>
      <c r="H66" s="125">
        <v>20000</v>
      </c>
    </row>
    <row r="67" spans="1:8" ht="15.75" x14ac:dyDescent="0.3">
      <c r="A67" s="260">
        <v>45867</v>
      </c>
      <c r="B67" s="249"/>
      <c r="C67" s="123"/>
      <c r="D67" s="123">
        <v>37269</v>
      </c>
      <c r="E67" s="296" t="s">
        <v>982</v>
      </c>
      <c r="F67" s="257" t="s">
        <v>983</v>
      </c>
      <c r="G67" s="124">
        <v>54251.88</v>
      </c>
      <c r="H67" s="125">
        <v>54251.88</v>
      </c>
    </row>
    <row r="68" spans="1:8" ht="28.5" x14ac:dyDescent="0.3">
      <c r="A68" s="260">
        <v>45867</v>
      </c>
      <c r="B68" s="249"/>
      <c r="C68" s="123"/>
      <c r="D68" s="123">
        <v>37270</v>
      </c>
      <c r="E68" s="296" t="s">
        <v>1075</v>
      </c>
      <c r="F68" s="257" t="s">
        <v>1077</v>
      </c>
      <c r="G68" s="124">
        <v>22500</v>
      </c>
      <c r="H68" s="125">
        <v>22500</v>
      </c>
    </row>
    <row r="69" spans="1:8" ht="28.5" x14ac:dyDescent="0.3">
      <c r="A69" s="260">
        <v>45867</v>
      </c>
      <c r="B69" s="249"/>
      <c r="C69" s="123"/>
      <c r="D69" s="123">
        <v>37271</v>
      </c>
      <c r="E69" s="296" t="s">
        <v>1076</v>
      </c>
      <c r="F69" s="257" t="s">
        <v>1078</v>
      </c>
      <c r="G69" s="124">
        <v>7871</v>
      </c>
      <c r="H69" s="125">
        <v>7871</v>
      </c>
    </row>
    <row r="70" spans="1:8" ht="30.75" x14ac:dyDescent="0.3">
      <c r="A70" s="260" t="s">
        <v>1476</v>
      </c>
      <c r="B70" s="249">
        <v>2719</v>
      </c>
      <c r="C70" s="123"/>
      <c r="D70" s="123"/>
      <c r="E70" s="374" t="s">
        <v>792</v>
      </c>
      <c r="F70" s="345" t="s">
        <v>882</v>
      </c>
      <c r="G70" s="124">
        <v>578891.48</v>
      </c>
      <c r="H70" s="125"/>
    </row>
    <row r="71" spans="1:8" ht="30.75" x14ac:dyDescent="0.3">
      <c r="A71" s="260" t="s">
        <v>1476</v>
      </c>
      <c r="B71" s="249">
        <v>2724</v>
      </c>
      <c r="C71" s="123"/>
      <c r="D71" s="123"/>
      <c r="E71" s="257" t="s">
        <v>701</v>
      </c>
      <c r="F71" s="345" t="s">
        <v>883</v>
      </c>
      <c r="G71" s="124">
        <v>180000</v>
      </c>
      <c r="H71" s="125"/>
    </row>
    <row r="72" spans="1:8" ht="45.75" x14ac:dyDescent="0.3">
      <c r="A72" s="260" t="s">
        <v>1477</v>
      </c>
      <c r="B72" s="249">
        <v>2725</v>
      </c>
      <c r="C72" s="123"/>
      <c r="D72" s="123"/>
      <c r="E72" s="257" t="s">
        <v>862</v>
      </c>
      <c r="F72" s="345" t="s">
        <v>884</v>
      </c>
      <c r="G72" s="124">
        <v>387807.15</v>
      </c>
      <c r="H72" s="125"/>
    </row>
    <row r="73" spans="1:8" ht="45.75" x14ac:dyDescent="0.3">
      <c r="A73" s="260" t="s">
        <v>1477</v>
      </c>
      <c r="B73" s="249">
        <v>2729</v>
      </c>
      <c r="C73" s="123"/>
      <c r="D73" s="123"/>
      <c r="E73" s="257" t="s">
        <v>863</v>
      </c>
      <c r="F73" s="345" t="s">
        <v>885</v>
      </c>
      <c r="G73" s="124">
        <v>1361144.96</v>
      </c>
      <c r="H73" s="125"/>
    </row>
    <row r="74" spans="1:8" ht="30.75" x14ac:dyDescent="0.3">
      <c r="A74" s="260" t="s">
        <v>1477</v>
      </c>
      <c r="B74" s="249">
        <v>2735</v>
      </c>
      <c r="C74" s="123"/>
      <c r="D74" s="123"/>
      <c r="E74" s="257" t="s">
        <v>864</v>
      </c>
      <c r="F74" s="345" t="s">
        <v>886</v>
      </c>
      <c r="G74" s="124">
        <v>265393.8</v>
      </c>
      <c r="H74" s="125"/>
    </row>
    <row r="75" spans="1:8" ht="30.75" x14ac:dyDescent="0.3">
      <c r="A75" s="260" t="s">
        <v>1477</v>
      </c>
      <c r="B75" s="249">
        <v>2739</v>
      </c>
      <c r="C75" s="123"/>
      <c r="D75" s="123"/>
      <c r="E75" s="257" t="s">
        <v>663</v>
      </c>
      <c r="F75" s="345" t="s">
        <v>887</v>
      </c>
      <c r="G75" s="124">
        <v>342200</v>
      </c>
      <c r="H75" s="125"/>
    </row>
    <row r="76" spans="1:8" ht="30.75" x14ac:dyDescent="0.3">
      <c r="A76" s="260" t="s">
        <v>1477</v>
      </c>
      <c r="B76" s="249">
        <v>2743</v>
      </c>
      <c r="C76" s="123"/>
      <c r="D76" s="123"/>
      <c r="E76" s="257" t="s">
        <v>764</v>
      </c>
      <c r="F76" s="345" t="s">
        <v>888</v>
      </c>
      <c r="G76" s="124">
        <v>200010</v>
      </c>
      <c r="H76" s="125"/>
    </row>
    <row r="77" spans="1:8" ht="45.75" x14ac:dyDescent="0.3">
      <c r="A77" s="260" t="s">
        <v>1477</v>
      </c>
      <c r="B77" s="249">
        <v>2747</v>
      </c>
      <c r="C77" s="123"/>
      <c r="D77" s="123"/>
      <c r="E77" s="257" t="s">
        <v>865</v>
      </c>
      <c r="F77" s="345" t="s">
        <v>889</v>
      </c>
      <c r="G77" s="124">
        <v>59000</v>
      </c>
      <c r="H77" s="125"/>
    </row>
    <row r="78" spans="1:8" ht="45.75" x14ac:dyDescent="0.3">
      <c r="A78" s="260" t="s">
        <v>1477</v>
      </c>
      <c r="B78" s="249">
        <v>2751</v>
      </c>
      <c r="C78" s="123"/>
      <c r="D78" s="123"/>
      <c r="E78" s="257" t="s">
        <v>866</v>
      </c>
      <c r="F78" s="345" t="s">
        <v>890</v>
      </c>
      <c r="G78" s="124">
        <v>70800</v>
      </c>
      <c r="H78" s="125"/>
    </row>
    <row r="79" spans="1:8" ht="30.75" x14ac:dyDescent="0.3">
      <c r="A79" s="260" t="s">
        <v>1478</v>
      </c>
      <c r="B79" s="249">
        <v>2756</v>
      </c>
      <c r="C79" s="123"/>
      <c r="D79" s="123"/>
      <c r="E79" s="257" t="s">
        <v>773</v>
      </c>
      <c r="F79" s="345" t="s">
        <v>891</v>
      </c>
      <c r="G79" s="124">
        <v>72900.100000000006</v>
      </c>
      <c r="H79" s="125"/>
    </row>
    <row r="80" spans="1:8" ht="45.75" x14ac:dyDescent="0.3">
      <c r="A80" s="260" t="s">
        <v>1478</v>
      </c>
      <c r="B80" s="249">
        <v>2760</v>
      </c>
      <c r="C80" s="123"/>
      <c r="D80" s="123"/>
      <c r="E80" s="257" t="s">
        <v>764</v>
      </c>
      <c r="F80" s="345" t="s">
        <v>892</v>
      </c>
      <c r="G80" s="124">
        <v>671774</v>
      </c>
      <c r="H80" s="125"/>
    </row>
    <row r="81" spans="1:8" ht="45.75" x14ac:dyDescent="0.3">
      <c r="A81" s="260" t="s">
        <v>1478</v>
      </c>
      <c r="B81" s="249">
        <v>2764</v>
      </c>
      <c r="C81" s="123"/>
      <c r="D81" s="123"/>
      <c r="E81" s="257" t="s">
        <v>867</v>
      </c>
      <c r="F81" s="345" t="s">
        <v>893</v>
      </c>
      <c r="G81" s="124">
        <v>1999226.8</v>
      </c>
      <c r="H81" s="125"/>
    </row>
    <row r="82" spans="1:8" ht="45.75" x14ac:dyDescent="0.3">
      <c r="A82" s="260" t="s">
        <v>1478</v>
      </c>
      <c r="B82" s="249">
        <v>2771</v>
      </c>
      <c r="C82" s="123"/>
      <c r="D82" s="123"/>
      <c r="E82" s="257" t="s">
        <v>868</v>
      </c>
      <c r="F82" s="345" t="s">
        <v>894</v>
      </c>
      <c r="G82" s="124">
        <v>883372.39</v>
      </c>
      <c r="H82" s="125"/>
    </row>
    <row r="83" spans="1:8" ht="30.75" x14ac:dyDescent="0.3">
      <c r="A83" s="260" t="s">
        <v>1478</v>
      </c>
      <c r="B83" s="249">
        <v>2775</v>
      </c>
      <c r="C83" s="123"/>
      <c r="D83" s="123"/>
      <c r="E83" s="257" t="s">
        <v>869</v>
      </c>
      <c r="F83" s="345" t="s">
        <v>895</v>
      </c>
      <c r="G83" s="124">
        <v>60535</v>
      </c>
      <c r="H83" s="125"/>
    </row>
    <row r="84" spans="1:8" ht="30.75" x14ac:dyDescent="0.3">
      <c r="A84" s="260" t="s">
        <v>1479</v>
      </c>
      <c r="B84" s="249">
        <v>2794</v>
      </c>
      <c r="C84" s="123"/>
      <c r="D84" s="123"/>
      <c r="E84" s="257" t="s">
        <v>870</v>
      </c>
      <c r="F84" s="345" t="s">
        <v>896</v>
      </c>
      <c r="G84" s="124">
        <v>161376</v>
      </c>
      <c r="H84" s="125"/>
    </row>
    <row r="85" spans="1:8" ht="30.75" x14ac:dyDescent="0.3">
      <c r="A85" s="260" t="s">
        <v>1479</v>
      </c>
      <c r="B85" s="249">
        <v>2800</v>
      </c>
      <c r="C85" s="123"/>
      <c r="D85" s="123"/>
      <c r="E85" s="257" t="s">
        <v>870</v>
      </c>
      <c r="F85" s="345" t="s">
        <v>897</v>
      </c>
      <c r="G85" s="124">
        <v>16605</v>
      </c>
      <c r="H85" s="125"/>
    </row>
    <row r="86" spans="1:8" ht="30.75" x14ac:dyDescent="0.3">
      <c r="A86" s="260" t="s">
        <v>1479</v>
      </c>
      <c r="B86" s="249">
        <v>2804</v>
      </c>
      <c r="C86" s="123"/>
      <c r="D86" s="123"/>
      <c r="E86" s="257" t="s">
        <v>650</v>
      </c>
      <c r="F86" s="345" t="s">
        <v>898</v>
      </c>
      <c r="G86" s="124">
        <v>220312.32000000001</v>
      </c>
      <c r="H86" s="125"/>
    </row>
    <row r="87" spans="1:8" ht="30.75" x14ac:dyDescent="0.3">
      <c r="A87" s="260" t="s">
        <v>1479</v>
      </c>
      <c r="B87" s="249">
        <v>2808</v>
      </c>
      <c r="C87" s="123"/>
      <c r="D87" s="123"/>
      <c r="E87" s="257" t="s">
        <v>734</v>
      </c>
      <c r="F87" s="345" t="s">
        <v>899</v>
      </c>
      <c r="G87" s="124">
        <v>185670.37</v>
      </c>
      <c r="H87" s="125"/>
    </row>
    <row r="88" spans="1:8" ht="30.75" x14ac:dyDescent="0.3">
      <c r="A88" s="260" t="s">
        <v>1479</v>
      </c>
      <c r="B88" s="249">
        <v>2812</v>
      </c>
      <c r="C88" s="123"/>
      <c r="D88" s="123"/>
      <c r="E88" s="257" t="s">
        <v>871</v>
      </c>
      <c r="F88" s="345" t="s">
        <v>900</v>
      </c>
      <c r="G88" s="124">
        <v>270007.59999999998</v>
      </c>
      <c r="H88" s="125"/>
    </row>
    <row r="89" spans="1:8" ht="30.75" x14ac:dyDescent="0.3">
      <c r="A89" s="260" t="s">
        <v>1479</v>
      </c>
      <c r="B89" s="249">
        <v>2817</v>
      </c>
      <c r="C89" s="123"/>
      <c r="D89" s="123"/>
      <c r="E89" s="257" t="s">
        <v>764</v>
      </c>
      <c r="F89" s="345" t="s">
        <v>901</v>
      </c>
      <c r="G89" s="124">
        <v>251876.14</v>
      </c>
      <c r="H89" s="125"/>
    </row>
    <row r="90" spans="1:8" ht="45.75" x14ac:dyDescent="0.3">
      <c r="A90" s="260" t="s">
        <v>1479</v>
      </c>
      <c r="B90" s="249">
        <v>2821</v>
      </c>
      <c r="C90" s="123"/>
      <c r="D90" s="123"/>
      <c r="E90" s="257" t="s">
        <v>782</v>
      </c>
      <c r="F90" s="345" t="s">
        <v>902</v>
      </c>
      <c r="G90" s="124">
        <v>184324.26</v>
      </c>
      <c r="H90" s="125"/>
    </row>
    <row r="91" spans="1:8" ht="45.75" x14ac:dyDescent="0.3">
      <c r="A91" s="260" t="s">
        <v>1479</v>
      </c>
      <c r="B91" s="249">
        <v>2825</v>
      </c>
      <c r="C91" s="123"/>
      <c r="D91" s="123"/>
      <c r="E91" s="257" t="s">
        <v>703</v>
      </c>
      <c r="F91" s="345" t="s">
        <v>903</v>
      </c>
      <c r="G91" s="124">
        <v>31506</v>
      </c>
      <c r="H91" s="125"/>
    </row>
    <row r="92" spans="1:8" ht="45.75" x14ac:dyDescent="0.3">
      <c r="A92" s="260" t="s">
        <v>1480</v>
      </c>
      <c r="B92" s="249">
        <v>2830</v>
      </c>
      <c r="C92" s="123"/>
      <c r="D92" s="123"/>
      <c r="E92" s="257" t="s">
        <v>651</v>
      </c>
      <c r="F92" s="345" t="s">
        <v>904</v>
      </c>
      <c r="G92" s="124">
        <v>247123.9</v>
      </c>
      <c r="H92" s="125"/>
    </row>
    <row r="93" spans="1:8" ht="30.75" x14ac:dyDescent="0.3">
      <c r="A93" s="260" t="s">
        <v>1480</v>
      </c>
      <c r="B93" s="249">
        <v>2834</v>
      </c>
      <c r="C93" s="123"/>
      <c r="D93" s="123"/>
      <c r="E93" s="257" t="s">
        <v>648</v>
      </c>
      <c r="F93" s="345" t="s">
        <v>905</v>
      </c>
      <c r="G93" s="124">
        <v>43108</v>
      </c>
      <c r="H93" s="125"/>
    </row>
    <row r="94" spans="1:8" ht="30.75" x14ac:dyDescent="0.3">
      <c r="A94" s="260" t="s">
        <v>1480</v>
      </c>
      <c r="B94" s="249">
        <v>2838</v>
      </c>
      <c r="C94" s="123"/>
      <c r="D94" s="123"/>
      <c r="E94" s="257" t="s">
        <v>703</v>
      </c>
      <c r="F94" s="345" t="s">
        <v>906</v>
      </c>
      <c r="G94" s="124">
        <v>87131.199999999997</v>
      </c>
      <c r="H94" s="125"/>
    </row>
    <row r="95" spans="1:8" ht="30.75" x14ac:dyDescent="0.3">
      <c r="A95" s="260" t="s">
        <v>1480</v>
      </c>
      <c r="B95" s="249">
        <v>2840</v>
      </c>
      <c r="C95" s="123"/>
      <c r="D95" s="123"/>
      <c r="E95" s="257" t="s">
        <v>872</v>
      </c>
      <c r="F95" s="345" t="s">
        <v>907</v>
      </c>
      <c r="G95" s="124">
        <v>12100</v>
      </c>
      <c r="H95" s="125"/>
    </row>
    <row r="96" spans="1:8" ht="30.75" x14ac:dyDescent="0.3">
      <c r="A96" s="260" t="s">
        <v>1481</v>
      </c>
      <c r="B96" s="249">
        <v>2847</v>
      </c>
      <c r="C96" s="123"/>
      <c r="D96" s="123"/>
      <c r="E96" s="257" t="s">
        <v>652</v>
      </c>
      <c r="F96" s="345" t="s">
        <v>908</v>
      </c>
      <c r="G96" s="124">
        <v>216333.29</v>
      </c>
      <c r="H96" s="125"/>
    </row>
    <row r="97" spans="1:8" ht="30.75" x14ac:dyDescent="0.3">
      <c r="A97" s="260" t="s">
        <v>1481</v>
      </c>
      <c r="B97" s="249">
        <v>2851</v>
      </c>
      <c r="C97" s="123"/>
      <c r="D97" s="123"/>
      <c r="E97" s="257" t="s">
        <v>873</v>
      </c>
      <c r="F97" s="345" t="s">
        <v>909</v>
      </c>
      <c r="G97" s="124">
        <v>175000</v>
      </c>
      <c r="H97" s="125"/>
    </row>
    <row r="98" spans="1:8" ht="45.75" x14ac:dyDescent="0.3">
      <c r="A98" s="260" t="s">
        <v>1481</v>
      </c>
      <c r="B98" s="249">
        <v>2855</v>
      </c>
      <c r="C98" s="123"/>
      <c r="D98" s="123"/>
      <c r="E98" s="257" t="s">
        <v>873</v>
      </c>
      <c r="F98" s="345" t="s">
        <v>910</v>
      </c>
      <c r="G98" s="124">
        <v>217120</v>
      </c>
      <c r="H98" s="125"/>
    </row>
    <row r="99" spans="1:8" ht="30.75" x14ac:dyDescent="0.3">
      <c r="A99" s="260" t="s">
        <v>1481</v>
      </c>
      <c r="B99" s="249">
        <v>2859</v>
      </c>
      <c r="C99" s="123"/>
      <c r="D99" s="123"/>
      <c r="E99" s="257" t="s">
        <v>873</v>
      </c>
      <c r="F99" s="345" t="s">
        <v>911</v>
      </c>
      <c r="G99" s="124">
        <v>270820</v>
      </c>
      <c r="H99" s="125"/>
    </row>
    <row r="100" spans="1:8" ht="45.75" x14ac:dyDescent="0.3">
      <c r="A100" s="260" t="s">
        <v>1481</v>
      </c>
      <c r="B100" s="249">
        <v>2863</v>
      </c>
      <c r="C100" s="123"/>
      <c r="D100" s="123"/>
      <c r="E100" s="257" t="s">
        <v>874</v>
      </c>
      <c r="F100" s="345" t="s">
        <v>912</v>
      </c>
      <c r="G100" s="124">
        <v>239687.5</v>
      </c>
      <c r="H100" s="125"/>
    </row>
    <row r="101" spans="1:8" ht="30.75" x14ac:dyDescent="0.3">
      <c r="A101" s="260" t="s">
        <v>1482</v>
      </c>
      <c r="B101" s="249">
        <v>2872</v>
      </c>
      <c r="C101" s="123"/>
      <c r="D101" s="123"/>
      <c r="E101" s="257" t="s">
        <v>764</v>
      </c>
      <c r="F101" s="345" t="s">
        <v>913</v>
      </c>
      <c r="G101" s="124">
        <v>200000</v>
      </c>
      <c r="H101" s="125"/>
    </row>
    <row r="102" spans="1:8" ht="30.75" x14ac:dyDescent="0.3">
      <c r="A102" s="260" t="s">
        <v>1482</v>
      </c>
      <c r="B102" s="249">
        <v>2876</v>
      </c>
      <c r="C102" s="123"/>
      <c r="D102" s="123"/>
      <c r="E102" s="257" t="s">
        <v>652</v>
      </c>
      <c r="F102" s="345" t="s">
        <v>914</v>
      </c>
      <c r="G102" s="124">
        <v>1365869.33</v>
      </c>
      <c r="H102" s="125"/>
    </row>
    <row r="103" spans="1:8" ht="30.75" x14ac:dyDescent="0.3">
      <c r="A103" s="260" t="s">
        <v>1482</v>
      </c>
      <c r="B103" s="249">
        <v>2880</v>
      </c>
      <c r="C103" s="123"/>
      <c r="D103" s="123"/>
      <c r="E103" s="257" t="s">
        <v>859</v>
      </c>
      <c r="F103" s="345" t="s">
        <v>915</v>
      </c>
      <c r="G103" s="124">
        <v>521100</v>
      </c>
      <c r="H103" s="125"/>
    </row>
    <row r="104" spans="1:8" ht="45.75" x14ac:dyDescent="0.3">
      <c r="A104" s="260" t="s">
        <v>1482</v>
      </c>
      <c r="B104" s="249">
        <v>2884</v>
      </c>
      <c r="C104" s="123"/>
      <c r="D104" s="123"/>
      <c r="E104" s="257" t="s">
        <v>875</v>
      </c>
      <c r="F104" s="345" t="s">
        <v>916</v>
      </c>
      <c r="G104" s="124">
        <v>1298000</v>
      </c>
      <c r="H104" s="125"/>
    </row>
    <row r="105" spans="1:8" ht="45.75" x14ac:dyDescent="0.3">
      <c r="A105" s="260" t="s">
        <v>1482</v>
      </c>
      <c r="B105" s="249">
        <v>2888</v>
      </c>
      <c r="C105" s="123"/>
      <c r="D105" s="123"/>
      <c r="E105" s="257" t="s">
        <v>669</v>
      </c>
      <c r="F105" s="345" t="s">
        <v>917</v>
      </c>
      <c r="G105" s="124">
        <v>323615</v>
      </c>
      <c r="H105" s="125"/>
    </row>
    <row r="106" spans="1:8" ht="30.75" x14ac:dyDescent="0.3">
      <c r="A106" s="260" t="s">
        <v>1482</v>
      </c>
      <c r="B106" s="249">
        <v>2892</v>
      </c>
      <c r="C106" s="123"/>
      <c r="D106" s="123"/>
      <c r="E106" s="257" t="s">
        <v>735</v>
      </c>
      <c r="F106" s="345" t="s">
        <v>918</v>
      </c>
      <c r="G106" s="124">
        <v>401200</v>
      </c>
      <c r="H106" s="125"/>
    </row>
    <row r="107" spans="1:8" ht="30.75" x14ac:dyDescent="0.3">
      <c r="A107" s="260" t="s">
        <v>1483</v>
      </c>
      <c r="B107" s="249">
        <v>2900</v>
      </c>
      <c r="C107" s="123"/>
      <c r="D107" s="123"/>
      <c r="E107" s="257" t="s">
        <v>664</v>
      </c>
      <c r="F107" s="345" t="s">
        <v>920</v>
      </c>
      <c r="G107" s="124">
        <v>1105000</v>
      </c>
      <c r="H107" s="125"/>
    </row>
    <row r="108" spans="1:8" ht="30.75" x14ac:dyDescent="0.3">
      <c r="A108" s="260" t="s">
        <v>1483</v>
      </c>
      <c r="B108" s="249">
        <v>2905</v>
      </c>
      <c r="C108" s="123"/>
      <c r="D108" s="123"/>
      <c r="E108" s="257" t="s">
        <v>815</v>
      </c>
      <c r="F108" s="345" t="s">
        <v>921</v>
      </c>
      <c r="G108" s="124">
        <v>197000</v>
      </c>
      <c r="H108" s="125"/>
    </row>
    <row r="109" spans="1:8" ht="30.75" x14ac:dyDescent="0.3">
      <c r="A109" s="260" t="s">
        <v>1483</v>
      </c>
      <c r="B109" s="249">
        <v>2909</v>
      </c>
      <c r="C109" s="123"/>
      <c r="D109" s="123"/>
      <c r="E109" s="257" t="s">
        <v>876</v>
      </c>
      <c r="F109" s="345" t="s">
        <v>922</v>
      </c>
      <c r="G109" s="124">
        <v>270000</v>
      </c>
      <c r="H109" s="125"/>
    </row>
    <row r="110" spans="1:8" ht="30.75" x14ac:dyDescent="0.3">
      <c r="A110" s="260" t="s">
        <v>1483</v>
      </c>
      <c r="B110" s="249">
        <v>2913</v>
      </c>
      <c r="C110" s="123"/>
      <c r="D110" s="123"/>
      <c r="E110" s="257" t="s">
        <v>701</v>
      </c>
      <c r="F110" s="345" t="s">
        <v>923</v>
      </c>
      <c r="G110" s="124">
        <v>240000</v>
      </c>
      <c r="H110" s="125"/>
    </row>
    <row r="111" spans="1:8" ht="30.75" x14ac:dyDescent="0.3">
      <c r="A111" s="260" t="s">
        <v>1483</v>
      </c>
      <c r="B111" s="249">
        <v>2917</v>
      </c>
      <c r="C111" s="123"/>
      <c r="D111" s="123"/>
      <c r="E111" s="257" t="s">
        <v>701</v>
      </c>
      <c r="F111" s="345" t="s">
        <v>924</v>
      </c>
      <c r="G111" s="124">
        <v>180000</v>
      </c>
      <c r="H111" s="125"/>
    </row>
    <row r="112" spans="1:8" ht="45.75" x14ac:dyDescent="0.3">
      <c r="A112" s="260" t="s">
        <v>1484</v>
      </c>
      <c r="B112" s="249">
        <v>2927</v>
      </c>
      <c r="C112" s="123"/>
      <c r="D112" s="123"/>
      <c r="E112" s="257" t="s">
        <v>773</v>
      </c>
      <c r="F112" s="345" t="s">
        <v>925</v>
      </c>
      <c r="G112" s="124">
        <v>168000.97</v>
      </c>
      <c r="H112" s="125"/>
    </row>
    <row r="113" spans="1:8" ht="30.75" x14ac:dyDescent="0.3">
      <c r="A113" s="260" t="s">
        <v>1484</v>
      </c>
      <c r="B113" s="249">
        <v>2931</v>
      </c>
      <c r="C113" s="123"/>
      <c r="D113" s="123"/>
      <c r="E113" s="257" t="s">
        <v>877</v>
      </c>
      <c r="F113" s="345" t="s">
        <v>926</v>
      </c>
      <c r="G113" s="124">
        <v>120000</v>
      </c>
      <c r="H113" s="125"/>
    </row>
    <row r="114" spans="1:8" ht="30.75" x14ac:dyDescent="0.3">
      <c r="A114" s="260" t="s">
        <v>1484</v>
      </c>
      <c r="B114" s="249">
        <v>2935</v>
      </c>
      <c r="C114" s="123"/>
      <c r="D114" s="123"/>
      <c r="E114" s="257" t="s">
        <v>753</v>
      </c>
      <c r="F114" s="345" t="s">
        <v>927</v>
      </c>
      <c r="G114" s="124">
        <v>100350</v>
      </c>
      <c r="H114" s="125"/>
    </row>
    <row r="115" spans="1:8" ht="45.75" x14ac:dyDescent="0.3">
      <c r="A115" s="260" t="s">
        <v>1484</v>
      </c>
      <c r="B115" s="249">
        <v>2939</v>
      </c>
      <c r="C115" s="123"/>
      <c r="D115" s="123"/>
      <c r="E115" s="257" t="s">
        <v>782</v>
      </c>
      <c r="F115" s="345" t="s">
        <v>928</v>
      </c>
      <c r="G115" s="124">
        <v>189023.02</v>
      </c>
      <c r="H115" s="125"/>
    </row>
    <row r="116" spans="1:8" ht="45.75" x14ac:dyDescent="0.3">
      <c r="A116" s="260" t="s">
        <v>1484</v>
      </c>
      <c r="B116" s="249">
        <v>2944</v>
      </c>
      <c r="C116" s="123"/>
      <c r="D116" s="123"/>
      <c r="E116" s="257" t="s">
        <v>782</v>
      </c>
      <c r="F116" s="345" t="s">
        <v>929</v>
      </c>
      <c r="G116" s="124">
        <v>37217.199999999997</v>
      </c>
      <c r="H116" s="125"/>
    </row>
    <row r="117" spans="1:8" ht="30.75" x14ac:dyDescent="0.3">
      <c r="A117" s="260" t="s">
        <v>1485</v>
      </c>
      <c r="B117" s="249">
        <v>2957</v>
      </c>
      <c r="C117" s="123"/>
      <c r="D117" s="123"/>
      <c r="E117" s="257" t="s">
        <v>872</v>
      </c>
      <c r="F117" s="345" t="s">
        <v>930</v>
      </c>
      <c r="G117" s="124">
        <v>45000</v>
      </c>
      <c r="H117" s="125"/>
    </row>
    <row r="118" spans="1:8" ht="28.5" x14ac:dyDescent="0.3">
      <c r="A118" s="260" t="s">
        <v>1485</v>
      </c>
      <c r="B118" s="249">
        <v>2959</v>
      </c>
      <c r="C118" s="123"/>
      <c r="D118" s="123"/>
      <c r="E118" s="257" t="s">
        <v>872</v>
      </c>
      <c r="F118" s="345" t="s">
        <v>931</v>
      </c>
      <c r="G118" s="124">
        <v>1304420.1399999999</v>
      </c>
      <c r="H118" s="125"/>
    </row>
    <row r="119" spans="1:8" ht="28.5" x14ac:dyDescent="0.3">
      <c r="A119" s="260" t="s">
        <v>1485</v>
      </c>
      <c r="B119" s="249">
        <v>2961</v>
      </c>
      <c r="C119" s="123"/>
      <c r="D119" s="123"/>
      <c r="E119" s="257" t="s">
        <v>872</v>
      </c>
      <c r="F119" s="345" t="s">
        <v>932</v>
      </c>
      <c r="G119" s="124">
        <v>69974155.810000002</v>
      </c>
      <c r="H119" s="125"/>
    </row>
    <row r="120" spans="1:8" ht="30.75" x14ac:dyDescent="0.3">
      <c r="A120" s="260" t="s">
        <v>1486</v>
      </c>
      <c r="B120" s="249">
        <v>2989</v>
      </c>
      <c r="C120" s="123"/>
      <c r="D120" s="123"/>
      <c r="E120" s="257" t="s">
        <v>878</v>
      </c>
      <c r="F120" s="345" t="s">
        <v>933</v>
      </c>
      <c r="G120" s="124">
        <v>128000</v>
      </c>
      <c r="H120" s="125"/>
    </row>
    <row r="121" spans="1:8" ht="45.75" x14ac:dyDescent="0.3">
      <c r="A121" s="260" t="s">
        <v>1486</v>
      </c>
      <c r="B121" s="249">
        <v>2990</v>
      </c>
      <c r="C121" s="123"/>
      <c r="D121" s="123"/>
      <c r="E121" s="257" t="s">
        <v>752</v>
      </c>
      <c r="F121" s="345" t="s">
        <v>934</v>
      </c>
      <c r="G121" s="124">
        <v>210000</v>
      </c>
      <c r="H121" s="125"/>
    </row>
    <row r="122" spans="1:8" ht="45.75" x14ac:dyDescent="0.3">
      <c r="A122" s="260" t="s">
        <v>1486</v>
      </c>
      <c r="B122" s="249">
        <v>2996</v>
      </c>
      <c r="C122" s="123"/>
      <c r="D122" s="123"/>
      <c r="E122" s="257" t="s">
        <v>878</v>
      </c>
      <c r="F122" s="345" t="s">
        <v>935</v>
      </c>
      <c r="G122" s="124">
        <v>245000</v>
      </c>
      <c r="H122" s="125"/>
    </row>
    <row r="123" spans="1:8" ht="30.75" x14ac:dyDescent="0.3">
      <c r="A123" s="260" t="s">
        <v>1486</v>
      </c>
      <c r="B123" s="249">
        <v>3000</v>
      </c>
      <c r="C123" s="123"/>
      <c r="D123" s="123"/>
      <c r="E123" s="257" t="s">
        <v>663</v>
      </c>
      <c r="F123" s="345" t="s">
        <v>936</v>
      </c>
      <c r="G123" s="124">
        <v>177000</v>
      </c>
      <c r="H123" s="125"/>
    </row>
    <row r="124" spans="1:8" ht="45.75" x14ac:dyDescent="0.3">
      <c r="A124" s="260" t="s">
        <v>1486</v>
      </c>
      <c r="B124" s="249">
        <v>3004</v>
      </c>
      <c r="C124" s="123"/>
      <c r="D124" s="123"/>
      <c r="E124" s="257" t="s">
        <v>867</v>
      </c>
      <c r="F124" s="345" t="s">
        <v>937</v>
      </c>
      <c r="G124" s="124">
        <v>210000</v>
      </c>
      <c r="H124" s="125"/>
    </row>
    <row r="125" spans="1:8" ht="30.75" x14ac:dyDescent="0.3">
      <c r="A125" s="260" t="s">
        <v>1487</v>
      </c>
      <c r="B125" s="249">
        <v>3010</v>
      </c>
      <c r="C125" s="123"/>
      <c r="D125" s="123"/>
      <c r="E125" s="257" t="s">
        <v>878</v>
      </c>
      <c r="F125" s="345" t="s">
        <v>938</v>
      </c>
      <c r="G125" s="124">
        <v>248500</v>
      </c>
      <c r="H125" s="125"/>
    </row>
    <row r="126" spans="1:8" ht="45.75" x14ac:dyDescent="0.3">
      <c r="A126" s="260" t="s">
        <v>1487</v>
      </c>
      <c r="B126" s="249">
        <v>3014</v>
      </c>
      <c r="C126" s="123"/>
      <c r="D126" s="123"/>
      <c r="E126" s="257" t="s">
        <v>879</v>
      </c>
      <c r="F126" s="345" t="s">
        <v>939</v>
      </c>
      <c r="G126" s="124">
        <v>92000</v>
      </c>
      <c r="H126" s="125"/>
    </row>
    <row r="127" spans="1:8" ht="45.75" x14ac:dyDescent="0.3">
      <c r="A127" s="260" t="s">
        <v>1487</v>
      </c>
      <c r="B127" s="249">
        <v>3017</v>
      </c>
      <c r="C127" s="123"/>
      <c r="D127" s="123"/>
      <c r="E127" s="257" t="s">
        <v>663</v>
      </c>
      <c r="F127" s="345" t="s">
        <v>940</v>
      </c>
      <c r="G127" s="124">
        <v>160159.96</v>
      </c>
      <c r="H127" s="125"/>
    </row>
    <row r="128" spans="1:8" ht="30.75" x14ac:dyDescent="0.3">
      <c r="A128" s="260" t="s">
        <v>1487</v>
      </c>
      <c r="B128" s="249">
        <v>3024</v>
      </c>
      <c r="C128" s="123"/>
      <c r="D128" s="123"/>
      <c r="E128" s="257" t="s">
        <v>878</v>
      </c>
      <c r="F128" s="345" t="s">
        <v>941</v>
      </c>
      <c r="G128" s="124">
        <v>210000</v>
      </c>
      <c r="H128" s="125"/>
    </row>
    <row r="129" spans="1:8" ht="30.75" x14ac:dyDescent="0.3">
      <c r="A129" s="260" t="s">
        <v>1487</v>
      </c>
      <c r="B129" s="249">
        <v>3028</v>
      </c>
      <c r="C129" s="123"/>
      <c r="D129" s="123"/>
      <c r="E129" s="257" t="s">
        <v>752</v>
      </c>
      <c r="F129" s="345" t="s">
        <v>942</v>
      </c>
      <c r="G129" s="124">
        <v>70623</v>
      </c>
      <c r="H129" s="125"/>
    </row>
    <row r="130" spans="1:8" ht="30.75" x14ac:dyDescent="0.3">
      <c r="A130" s="260" t="s">
        <v>1487</v>
      </c>
      <c r="B130" s="249">
        <v>3032</v>
      </c>
      <c r="C130" s="123"/>
      <c r="D130" s="123"/>
      <c r="E130" s="257" t="s">
        <v>650</v>
      </c>
      <c r="F130" s="345" t="s">
        <v>943</v>
      </c>
      <c r="G130" s="124">
        <v>213731.65</v>
      </c>
      <c r="H130" s="125"/>
    </row>
    <row r="131" spans="1:8" ht="30.75" x14ac:dyDescent="0.3">
      <c r="A131" s="260" t="s">
        <v>1487</v>
      </c>
      <c r="B131" s="249">
        <v>3036</v>
      </c>
      <c r="C131" s="123"/>
      <c r="D131" s="123"/>
      <c r="E131" s="257" t="s">
        <v>873</v>
      </c>
      <c r="F131" s="345" t="s">
        <v>944</v>
      </c>
      <c r="G131" s="124">
        <v>259600</v>
      </c>
      <c r="H131" s="125"/>
    </row>
    <row r="132" spans="1:8" ht="28.5" x14ac:dyDescent="0.3">
      <c r="A132" s="260" t="s">
        <v>1487</v>
      </c>
      <c r="B132" s="249">
        <v>3041</v>
      </c>
      <c r="C132" s="123"/>
      <c r="D132" s="123"/>
      <c r="E132" s="257" t="s">
        <v>701</v>
      </c>
      <c r="F132" s="263" t="s">
        <v>945</v>
      </c>
      <c r="G132" s="124">
        <v>270000</v>
      </c>
      <c r="H132" s="125"/>
    </row>
    <row r="133" spans="1:8" ht="28.5" x14ac:dyDescent="0.3">
      <c r="A133" s="260" t="s">
        <v>1487</v>
      </c>
      <c r="B133" s="249">
        <v>3043</v>
      </c>
      <c r="C133" s="123"/>
      <c r="D133" s="123"/>
      <c r="E133" s="257" t="s">
        <v>873</v>
      </c>
      <c r="F133" s="263" t="s">
        <v>946</v>
      </c>
      <c r="G133" s="124">
        <v>408600</v>
      </c>
      <c r="H133" s="125"/>
    </row>
    <row r="134" spans="1:8" ht="28.5" x14ac:dyDescent="0.3">
      <c r="A134" s="260" t="s">
        <v>1487</v>
      </c>
      <c r="B134" s="249">
        <v>3046</v>
      </c>
      <c r="C134" s="123"/>
      <c r="D134" s="123"/>
      <c r="E134" s="257" t="s">
        <v>650</v>
      </c>
      <c r="F134" s="263" t="s">
        <v>947</v>
      </c>
      <c r="G134" s="124">
        <v>259234.2</v>
      </c>
      <c r="H134" s="125"/>
    </row>
    <row r="135" spans="1:8" ht="28.5" x14ac:dyDescent="0.3">
      <c r="A135" s="260" t="s">
        <v>1488</v>
      </c>
      <c r="B135" s="249">
        <v>3060</v>
      </c>
      <c r="C135" s="123"/>
      <c r="D135" s="123"/>
      <c r="E135" s="296" t="s">
        <v>650</v>
      </c>
      <c r="F135" s="263" t="s">
        <v>948</v>
      </c>
      <c r="G135" s="124">
        <v>271456</v>
      </c>
      <c r="H135" s="125"/>
    </row>
    <row r="136" spans="1:8" ht="28.5" x14ac:dyDescent="0.3">
      <c r="A136" s="260" t="s">
        <v>1488</v>
      </c>
      <c r="B136" s="249">
        <v>3064</v>
      </c>
      <c r="C136" s="123"/>
      <c r="D136" s="123"/>
      <c r="E136" s="296" t="s">
        <v>877</v>
      </c>
      <c r="F136" s="263" t="s">
        <v>949</v>
      </c>
      <c r="G136" s="124">
        <v>88500</v>
      </c>
      <c r="H136" s="125"/>
    </row>
    <row r="137" spans="1:8" ht="28.5" x14ac:dyDescent="0.3">
      <c r="A137" s="260" t="s">
        <v>1488</v>
      </c>
      <c r="B137" s="249">
        <v>3068</v>
      </c>
      <c r="C137" s="123"/>
      <c r="D137" s="123"/>
      <c r="E137" s="296" t="s">
        <v>664</v>
      </c>
      <c r="F137" s="263" t="s">
        <v>950</v>
      </c>
      <c r="G137" s="124">
        <v>97500</v>
      </c>
      <c r="H137" s="125"/>
    </row>
    <row r="138" spans="1:8" ht="28.5" x14ac:dyDescent="0.3">
      <c r="A138" s="260" t="s">
        <v>1488</v>
      </c>
      <c r="B138" s="249">
        <v>3072</v>
      </c>
      <c r="C138" s="123"/>
      <c r="D138" s="123"/>
      <c r="E138" s="296" t="s">
        <v>880</v>
      </c>
      <c r="F138" s="263" t="s">
        <v>951</v>
      </c>
      <c r="G138" s="124">
        <v>225900</v>
      </c>
      <c r="H138" s="125"/>
    </row>
    <row r="139" spans="1:8" ht="28.5" x14ac:dyDescent="0.3">
      <c r="A139" s="260" t="s">
        <v>1488</v>
      </c>
      <c r="B139" s="249">
        <v>3076</v>
      </c>
      <c r="C139" s="123"/>
      <c r="D139" s="123"/>
      <c r="E139" s="296" t="s">
        <v>670</v>
      </c>
      <c r="F139" s="263" t="s">
        <v>952</v>
      </c>
      <c r="G139" s="124">
        <v>206500</v>
      </c>
      <c r="H139" s="125"/>
    </row>
    <row r="140" spans="1:8" ht="28.5" x14ac:dyDescent="0.3">
      <c r="A140" s="260" t="s">
        <v>1489</v>
      </c>
      <c r="B140" s="249">
        <v>3080</v>
      </c>
      <c r="C140" s="123"/>
      <c r="D140" s="123"/>
      <c r="E140" s="296" t="s">
        <v>880</v>
      </c>
      <c r="F140" s="263" t="s">
        <v>953</v>
      </c>
      <c r="G140" s="124">
        <v>211975.2</v>
      </c>
      <c r="H140" s="125"/>
    </row>
    <row r="141" spans="1:8" ht="42.75" x14ac:dyDescent="0.3">
      <c r="A141" s="260" t="s">
        <v>1490</v>
      </c>
      <c r="B141" s="249">
        <v>3088</v>
      </c>
      <c r="C141" s="123"/>
      <c r="D141" s="123"/>
      <c r="E141" s="296" t="s">
        <v>881</v>
      </c>
      <c r="F141" s="263" t="s">
        <v>954</v>
      </c>
      <c r="G141" s="124">
        <v>1649337.32</v>
      </c>
      <c r="H141" s="125"/>
    </row>
    <row r="142" spans="1:8" ht="28.5" x14ac:dyDescent="0.3">
      <c r="A142" s="260" t="s">
        <v>1491</v>
      </c>
      <c r="B142" s="249">
        <v>3096</v>
      </c>
      <c r="C142" s="123"/>
      <c r="D142" s="123"/>
      <c r="E142" s="296" t="s">
        <v>751</v>
      </c>
      <c r="F142" s="263" t="s">
        <v>1014</v>
      </c>
      <c r="G142" s="124">
        <v>295000</v>
      </c>
      <c r="H142" s="125"/>
    </row>
    <row r="143" spans="1:8" ht="28.5" x14ac:dyDescent="0.3">
      <c r="A143" s="260" t="s">
        <v>1491</v>
      </c>
      <c r="B143" s="249">
        <v>3099</v>
      </c>
      <c r="C143" s="123"/>
      <c r="D143" s="123"/>
      <c r="E143" s="296" t="s">
        <v>703</v>
      </c>
      <c r="F143" s="263" t="s">
        <v>1015</v>
      </c>
      <c r="G143" s="124">
        <v>20650</v>
      </c>
      <c r="H143" s="125"/>
    </row>
    <row r="144" spans="1:8" ht="42.75" x14ac:dyDescent="0.3">
      <c r="A144" s="260" t="s">
        <v>1491</v>
      </c>
      <c r="B144" s="249">
        <v>3102</v>
      </c>
      <c r="C144" s="123"/>
      <c r="D144" s="123"/>
      <c r="E144" s="296" t="s">
        <v>667</v>
      </c>
      <c r="F144" s="263" t="s">
        <v>1016</v>
      </c>
      <c r="G144" s="124">
        <v>167208</v>
      </c>
      <c r="H144" s="125"/>
    </row>
    <row r="145" spans="1:8" ht="42.75" x14ac:dyDescent="0.3">
      <c r="A145" s="260" t="s">
        <v>1491</v>
      </c>
      <c r="B145" s="249">
        <v>3105</v>
      </c>
      <c r="C145" s="123"/>
      <c r="D145" s="123"/>
      <c r="E145" s="296" t="s">
        <v>1003</v>
      </c>
      <c r="F145" s="263" t="s">
        <v>1017</v>
      </c>
      <c r="G145" s="124">
        <v>206018.44</v>
      </c>
      <c r="H145" s="125"/>
    </row>
    <row r="146" spans="1:8" ht="42.75" x14ac:dyDescent="0.3">
      <c r="A146" s="260" t="s">
        <v>1491</v>
      </c>
      <c r="B146" s="249">
        <v>3109</v>
      </c>
      <c r="C146" s="123"/>
      <c r="D146" s="123"/>
      <c r="E146" s="296" t="s">
        <v>650</v>
      </c>
      <c r="F146" s="263" t="s">
        <v>1018</v>
      </c>
      <c r="G146" s="124">
        <v>456188</v>
      </c>
      <c r="H146" s="125"/>
    </row>
    <row r="147" spans="1:8" ht="28.5" x14ac:dyDescent="0.3">
      <c r="A147" s="260" t="s">
        <v>1491</v>
      </c>
      <c r="B147" s="249">
        <v>3112</v>
      </c>
      <c r="C147" s="123"/>
      <c r="D147" s="123"/>
      <c r="E147" s="296" t="s">
        <v>865</v>
      </c>
      <c r="F147" s="263" t="s">
        <v>1019</v>
      </c>
      <c r="G147" s="124">
        <v>161955</v>
      </c>
      <c r="H147" s="125"/>
    </row>
    <row r="148" spans="1:8" ht="28.5" x14ac:dyDescent="0.3">
      <c r="A148" s="260" t="s">
        <v>1492</v>
      </c>
      <c r="B148" s="249">
        <v>3130</v>
      </c>
      <c r="C148" s="123"/>
      <c r="D148" s="123"/>
      <c r="E148" s="296" t="s">
        <v>817</v>
      </c>
      <c r="F148" s="263" t="s">
        <v>1020</v>
      </c>
      <c r="G148" s="124">
        <v>664800</v>
      </c>
      <c r="H148" s="125"/>
    </row>
    <row r="149" spans="1:8" ht="42.75" x14ac:dyDescent="0.3">
      <c r="A149" s="260" t="s">
        <v>1492</v>
      </c>
      <c r="B149" s="249">
        <v>3131</v>
      </c>
      <c r="C149" s="123"/>
      <c r="D149" s="123"/>
      <c r="E149" s="296" t="s">
        <v>785</v>
      </c>
      <c r="F149" s="263" t="s">
        <v>1021</v>
      </c>
      <c r="G149" s="124">
        <v>875914</v>
      </c>
      <c r="H149" s="125"/>
    </row>
    <row r="150" spans="1:8" ht="28.5" x14ac:dyDescent="0.3">
      <c r="A150" s="260" t="s">
        <v>1492</v>
      </c>
      <c r="B150" s="249">
        <v>3135</v>
      </c>
      <c r="C150" s="123"/>
      <c r="D150" s="123"/>
      <c r="E150" s="296" t="s">
        <v>662</v>
      </c>
      <c r="F150" s="263" t="s">
        <v>1022</v>
      </c>
      <c r="G150" s="124">
        <v>43070</v>
      </c>
      <c r="H150" s="125"/>
    </row>
    <row r="151" spans="1:8" ht="42.75" x14ac:dyDescent="0.3">
      <c r="A151" s="260" t="s">
        <v>1492</v>
      </c>
      <c r="B151" s="249">
        <v>3144</v>
      </c>
      <c r="C151" s="123"/>
      <c r="D151" s="123"/>
      <c r="E151" s="296" t="s">
        <v>703</v>
      </c>
      <c r="F151" s="263" t="s">
        <v>1023</v>
      </c>
      <c r="G151" s="124">
        <v>248649.60000000001</v>
      </c>
      <c r="H151" s="125"/>
    </row>
    <row r="152" spans="1:8" ht="42.75" x14ac:dyDescent="0.3">
      <c r="A152" s="260" t="s">
        <v>1492</v>
      </c>
      <c r="B152" s="249">
        <v>3147</v>
      </c>
      <c r="C152" s="123"/>
      <c r="D152" s="123"/>
      <c r="E152" s="296" t="s">
        <v>700</v>
      </c>
      <c r="F152" s="263" t="s">
        <v>1024</v>
      </c>
      <c r="G152" s="124">
        <v>232932</v>
      </c>
      <c r="H152" s="125"/>
    </row>
    <row r="153" spans="1:8" ht="42.75" x14ac:dyDescent="0.3">
      <c r="A153" s="260" t="s">
        <v>1492</v>
      </c>
      <c r="B153" s="249">
        <v>3155</v>
      </c>
      <c r="C153" s="123"/>
      <c r="D153" s="123"/>
      <c r="E153" s="296" t="s">
        <v>1004</v>
      </c>
      <c r="F153" s="263" t="s">
        <v>1025</v>
      </c>
      <c r="G153" s="124">
        <v>265500</v>
      </c>
      <c r="H153" s="125"/>
    </row>
    <row r="154" spans="1:8" ht="28.5" x14ac:dyDescent="0.3">
      <c r="A154" s="260" t="s">
        <v>1492</v>
      </c>
      <c r="B154" s="249">
        <v>3158</v>
      </c>
      <c r="C154" s="123"/>
      <c r="D154" s="123"/>
      <c r="E154" s="296" t="s">
        <v>702</v>
      </c>
      <c r="F154" s="263" t="s">
        <v>1026</v>
      </c>
      <c r="G154" s="124">
        <v>185850</v>
      </c>
      <c r="H154" s="125"/>
    </row>
    <row r="155" spans="1:8" ht="42.75" x14ac:dyDescent="0.3">
      <c r="A155" s="260" t="s">
        <v>1492</v>
      </c>
      <c r="B155" s="249">
        <v>3159</v>
      </c>
      <c r="C155" s="123"/>
      <c r="D155" s="123"/>
      <c r="E155" s="296" t="s">
        <v>785</v>
      </c>
      <c r="F155" s="263" t="s">
        <v>1027</v>
      </c>
      <c r="G155" s="124">
        <v>1700000</v>
      </c>
      <c r="H155" s="125"/>
    </row>
    <row r="156" spans="1:8" ht="42.75" x14ac:dyDescent="0.3">
      <c r="A156" s="260" t="s">
        <v>1492</v>
      </c>
      <c r="B156" s="249">
        <v>3168</v>
      </c>
      <c r="C156" s="123"/>
      <c r="D156" s="123"/>
      <c r="E156" s="296" t="s">
        <v>662</v>
      </c>
      <c r="F156" s="263" t="s">
        <v>1028</v>
      </c>
      <c r="G156" s="124">
        <v>211281.36</v>
      </c>
      <c r="H156" s="125"/>
    </row>
    <row r="157" spans="1:8" ht="57" x14ac:dyDescent="0.3">
      <c r="A157" s="260" t="s">
        <v>1492</v>
      </c>
      <c r="B157" s="249">
        <v>3169</v>
      </c>
      <c r="C157" s="123"/>
      <c r="D157" s="123"/>
      <c r="E157" s="296" t="s">
        <v>1005</v>
      </c>
      <c r="F157" s="263" t="s">
        <v>1029</v>
      </c>
      <c r="G157" s="124">
        <v>849600</v>
      </c>
      <c r="H157" s="125"/>
    </row>
    <row r="158" spans="1:8" ht="42.75" x14ac:dyDescent="0.3">
      <c r="A158" s="260" t="s">
        <v>1492</v>
      </c>
      <c r="B158" s="249">
        <v>3171</v>
      </c>
      <c r="C158" s="123"/>
      <c r="D158" s="123"/>
      <c r="E158" s="296" t="s">
        <v>703</v>
      </c>
      <c r="F158" s="263" t="s">
        <v>1030</v>
      </c>
      <c r="G158" s="124">
        <v>45076</v>
      </c>
      <c r="H158" s="125"/>
    </row>
    <row r="159" spans="1:8" ht="28.5" x14ac:dyDescent="0.3">
      <c r="A159" s="260" t="s">
        <v>1492</v>
      </c>
      <c r="B159" s="249">
        <v>3177</v>
      </c>
      <c r="C159" s="123"/>
      <c r="D159" s="123"/>
      <c r="E159" s="296" t="s">
        <v>874</v>
      </c>
      <c r="F159" s="263" t="s">
        <v>1031</v>
      </c>
      <c r="G159" s="124">
        <v>275943</v>
      </c>
      <c r="H159" s="125"/>
    </row>
    <row r="160" spans="1:8" ht="28.5" x14ac:dyDescent="0.3">
      <c r="A160" s="260" t="s">
        <v>1492</v>
      </c>
      <c r="B160" s="249">
        <v>3180</v>
      </c>
      <c r="C160" s="123"/>
      <c r="D160" s="123"/>
      <c r="E160" s="296" t="s">
        <v>652</v>
      </c>
      <c r="F160" s="263" t="s">
        <v>1032</v>
      </c>
      <c r="G160" s="124">
        <v>153400.21</v>
      </c>
      <c r="H160" s="125"/>
    </row>
    <row r="161" spans="1:8" ht="42.75" x14ac:dyDescent="0.3">
      <c r="A161" s="260" t="s">
        <v>1492</v>
      </c>
      <c r="B161" s="249">
        <v>3187</v>
      </c>
      <c r="C161" s="123"/>
      <c r="D161" s="123"/>
      <c r="E161" s="296" t="s">
        <v>703</v>
      </c>
      <c r="F161" s="263" t="s">
        <v>1033</v>
      </c>
      <c r="G161" s="124">
        <v>6844</v>
      </c>
      <c r="H161" s="125"/>
    </row>
    <row r="162" spans="1:8" ht="28.5" x14ac:dyDescent="0.3">
      <c r="A162" s="260" t="s">
        <v>1492</v>
      </c>
      <c r="B162" s="249">
        <v>3192</v>
      </c>
      <c r="C162" s="123"/>
      <c r="D162" s="123"/>
      <c r="E162" s="296" t="s">
        <v>662</v>
      </c>
      <c r="F162" s="263" t="s">
        <v>1034</v>
      </c>
      <c r="G162" s="124">
        <v>40415</v>
      </c>
      <c r="H162" s="125"/>
    </row>
    <row r="163" spans="1:8" ht="42.75" x14ac:dyDescent="0.3">
      <c r="A163" s="260" t="s">
        <v>1492</v>
      </c>
      <c r="B163" s="249">
        <v>3195</v>
      </c>
      <c r="C163" s="123"/>
      <c r="D163" s="123"/>
      <c r="E163" s="296" t="s">
        <v>703</v>
      </c>
      <c r="F163" s="263" t="s">
        <v>1035</v>
      </c>
      <c r="G163" s="124">
        <v>231988</v>
      </c>
      <c r="H163" s="125"/>
    </row>
    <row r="164" spans="1:8" ht="42.75" x14ac:dyDescent="0.3">
      <c r="A164" s="260" t="s">
        <v>1492</v>
      </c>
      <c r="B164" s="249">
        <v>3205</v>
      </c>
      <c r="C164" s="123"/>
      <c r="D164" s="123"/>
      <c r="E164" s="296" t="s">
        <v>864</v>
      </c>
      <c r="F164" s="263" t="s">
        <v>1036</v>
      </c>
      <c r="G164" s="124">
        <v>100300</v>
      </c>
      <c r="H164" s="125"/>
    </row>
    <row r="165" spans="1:8" ht="57" x14ac:dyDescent="0.3">
      <c r="A165" s="260" t="s">
        <v>1492</v>
      </c>
      <c r="B165" s="249">
        <v>3208</v>
      </c>
      <c r="C165" s="123"/>
      <c r="D165" s="123"/>
      <c r="E165" s="296" t="s">
        <v>1006</v>
      </c>
      <c r="F165" s="263" t="s">
        <v>1037</v>
      </c>
      <c r="G165" s="124">
        <v>8684.7999999999993</v>
      </c>
      <c r="H165" s="125"/>
    </row>
    <row r="166" spans="1:8" ht="42.75" x14ac:dyDescent="0.3">
      <c r="A166" s="260" t="s">
        <v>1492</v>
      </c>
      <c r="B166" s="249">
        <v>3213</v>
      </c>
      <c r="C166" s="123"/>
      <c r="D166" s="123"/>
      <c r="E166" s="296" t="s">
        <v>864</v>
      </c>
      <c r="F166" s="263" t="s">
        <v>1038</v>
      </c>
      <c r="G166" s="124">
        <v>96170</v>
      </c>
      <c r="H166" s="125"/>
    </row>
    <row r="167" spans="1:8" ht="57" x14ac:dyDescent="0.3">
      <c r="A167" s="260" t="s">
        <v>1492</v>
      </c>
      <c r="B167" s="249">
        <v>3216</v>
      </c>
      <c r="C167" s="123"/>
      <c r="D167" s="123"/>
      <c r="E167" s="296" t="s">
        <v>1006</v>
      </c>
      <c r="F167" s="263" t="s">
        <v>1037</v>
      </c>
      <c r="G167" s="124">
        <v>53319.61</v>
      </c>
      <c r="H167" s="125"/>
    </row>
    <row r="168" spans="1:8" ht="42.75" x14ac:dyDescent="0.3">
      <c r="A168" s="260" t="s">
        <v>1493</v>
      </c>
      <c r="B168" s="249">
        <v>3224</v>
      </c>
      <c r="C168" s="123"/>
      <c r="D168" s="123"/>
      <c r="E168" s="296" t="s">
        <v>1008</v>
      </c>
      <c r="F168" s="263" t="s">
        <v>1039</v>
      </c>
      <c r="G168" s="124">
        <v>238905.4</v>
      </c>
      <c r="H168" s="125"/>
    </row>
    <row r="169" spans="1:8" ht="28.5" x14ac:dyDescent="0.3">
      <c r="A169" s="260" t="s">
        <v>1493</v>
      </c>
      <c r="B169" s="249">
        <v>3228</v>
      </c>
      <c r="C169" s="123"/>
      <c r="D169" s="123"/>
      <c r="E169" s="296" t="s">
        <v>859</v>
      </c>
      <c r="F169" s="263" t="s">
        <v>1040</v>
      </c>
      <c r="G169" s="124">
        <v>374360</v>
      </c>
      <c r="H169" s="125"/>
    </row>
    <row r="170" spans="1:8" ht="28.5" x14ac:dyDescent="0.3">
      <c r="A170" s="260" t="s">
        <v>1493</v>
      </c>
      <c r="B170" s="249">
        <v>3232</v>
      </c>
      <c r="C170" s="123"/>
      <c r="D170" s="123"/>
      <c r="E170" s="296" t="s">
        <v>649</v>
      </c>
      <c r="F170" s="263" t="s">
        <v>1041</v>
      </c>
      <c r="G170" s="124">
        <v>763592.32</v>
      </c>
      <c r="H170" s="125"/>
    </row>
    <row r="171" spans="1:8" ht="28.5" x14ac:dyDescent="0.3">
      <c r="A171" s="260" t="s">
        <v>1493</v>
      </c>
      <c r="B171" s="249">
        <v>3233</v>
      </c>
      <c r="C171" s="123"/>
      <c r="D171" s="123"/>
      <c r="E171" s="296" t="s">
        <v>719</v>
      </c>
      <c r="F171" s="263" t="s">
        <v>919</v>
      </c>
      <c r="G171" s="124">
        <v>245700</v>
      </c>
      <c r="H171" s="125"/>
    </row>
    <row r="172" spans="1:8" ht="28.5" x14ac:dyDescent="0.3">
      <c r="A172" s="260" t="s">
        <v>1493</v>
      </c>
      <c r="B172" s="249">
        <v>3239</v>
      </c>
      <c r="C172" s="123"/>
      <c r="D172" s="123"/>
      <c r="E172" s="296" t="s">
        <v>649</v>
      </c>
      <c r="F172" s="263" t="s">
        <v>1042</v>
      </c>
      <c r="G172" s="124">
        <v>232175.72</v>
      </c>
      <c r="H172" s="125"/>
    </row>
    <row r="173" spans="1:8" ht="28.5" x14ac:dyDescent="0.3">
      <c r="A173" s="260" t="s">
        <v>1493</v>
      </c>
      <c r="B173" s="249">
        <v>3243</v>
      </c>
      <c r="C173" s="123"/>
      <c r="D173" s="123"/>
      <c r="E173" s="296" t="s">
        <v>651</v>
      </c>
      <c r="F173" s="263" t="s">
        <v>1043</v>
      </c>
      <c r="G173" s="124">
        <v>410374</v>
      </c>
      <c r="H173" s="125"/>
    </row>
    <row r="174" spans="1:8" ht="28.5" x14ac:dyDescent="0.3">
      <c r="A174" s="260" t="s">
        <v>1493</v>
      </c>
      <c r="B174" s="249">
        <v>3249</v>
      </c>
      <c r="C174" s="123"/>
      <c r="D174" s="123"/>
      <c r="E174" s="296" t="s">
        <v>734</v>
      </c>
      <c r="F174" s="263" t="s">
        <v>1044</v>
      </c>
      <c r="G174" s="124">
        <v>385293.8</v>
      </c>
      <c r="H174" s="125"/>
    </row>
    <row r="175" spans="1:8" ht="42.75" x14ac:dyDescent="0.3">
      <c r="A175" s="260" t="s">
        <v>1493</v>
      </c>
      <c r="B175" s="249">
        <v>3253</v>
      </c>
      <c r="C175" s="123"/>
      <c r="D175" s="123"/>
      <c r="E175" s="296" t="s">
        <v>864</v>
      </c>
      <c r="F175" s="263" t="s">
        <v>1045</v>
      </c>
      <c r="G175" s="124">
        <v>269040</v>
      </c>
      <c r="H175" s="125"/>
    </row>
    <row r="176" spans="1:8" ht="42.75" x14ac:dyDescent="0.3">
      <c r="A176" s="260" t="s">
        <v>1493</v>
      </c>
      <c r="B176" s="249">
        <v>3257</v>
      </c>
      <c r="C176" s="123"/>
      <c r="D176" s="123"/>
      <c r="E176" s="296" t="s">
        <v>864</v>
      </c>
      <c r="F176" s="263" t="s">
        <v>1046</v>
      </c>
      <c r="G176" s="124">
        <v>259010</v>
      </c>
      <c r="H176" s="125"/>
    </row>
    <row r="177" spans="1:8" ht="42.75" x14ac:dyDescent="0.3">
      <c r="A177" s="260" t="s">
        <v>1493</v>
      </c>
      <c r="B177" s="249">
        <v>3261</v>
      </c>
      <c r="C177" s="123"/>
      <c r="D177" s="123"/>
      <c r="E177" s="296" t="s">
        <v>1009</v>
      </c>
      <c r="F177" s="263" t="s">
        <v>1047</v>
      </c>
      <c r="G177" s="124">
        <v>484500.04</v>
      </c>
      <c r="H177" s="125"/>
    </row>
    <row r="178" spans="1:8" ht="42.75" x14ac:dyDescent="0.3">
      <c r="A178" s="260" t="s">
        <v>1493</v>
      </c>
      <c r="B178" s="249">
        <v>3265</v>
      </c>
      <c r="C178" s="123"/>
      <c r="D178" s="123"/>
      <c r="E178" s="296" t="s">
        <v>773</v>
      </c>
      <c r="F178" s="263" t="s">
        <v>1048</v>
      </c>
      <c r="G178" s="124">
        <v>131251.4</v>
      </c>
      <c r="H178" s="125"/>
    </row>
    <row r="179" spans="1:8" ht="28.5" x14ac:dyDescent="0.3">
      <c r="A179" s="260" t="s">
        <v>1493</v>
      </c>
      <c r="B179" s="249">
        <v>3270</v>
      </c>
      <c r="C179" s="123"/>
      <c r="D179" s="123"/>
      <c r="E179" s="296" t="s">
        <v>663</v>
      </c>
      <c r="F179" s="263" t="s">
        <v>1049</v>
      </c>
      <c r="G179" s="124">
        <v>210000</v>
      </c>
      <c r="H179" s="125"/>
    </row>
    <row r="180" spans="1:8" ht="42.75" x14ac:dyDescent="0.3">
      <c r="A180" s="260" t="s">
        <v>1493</v>
      </c>
      <c r="B180" s="249">
        <v>3274</v>
      </c>
      <c r="C180" s="123"/>
      <c r="D180" s="123"/>
      <c r="E180" s="296" t="s">
        <v>874</v>
      </c>
      <c r="F180" s="263" t="s">
        <v>1050</v>
      </c>
      <c r="G180" s="124">
        <v>199998.2</v>
      </c>
      <c r="H180" s="125"/>
    </row>
    <row r="181" spans="1:8" ht="28.5" x14ac:dyDescent="0.3">
      <c r="A181" s="260" t="s">
        <v>1494</v>
      </c>
      <c r="B181" s="249">
        <v>3278</v>
      </c>
      <c r="C181" s="123"/>
      <c r="D181" s="123"/>
      <c r="E181" s="296" t="s">
        <v>648</v>
      </c>
      <c r="F181" s="263" t="s">
        <v>1051</v>
      </c>
      <c r="G181" s="124">
        <v>253400</v>
      </c>
      <c r="H181" s="125"/>
    </row>
    <row r="182" spans="1:8" ht="28.5" x14ac:dyDescent="0.3">
      <c r="A182" s="260" t="s">
        <v>1494</v>
      </c>
      <c r="B182" s="249">
        <v>3284</v>
      </c>
      <c r="C182" s="123"/>
      <c r="D182" s="123"/>
      <c r="E182" s="296" t="s">
        <v>648</v>
      </c>
      <c r="F182" s="263" t="s">
        <v>1052</v>
      </c>
      <c r="G182" s="124">
        <v>8645</v>
      </c>
      <c r="H182" s="125"/>
    </row>
    <row r="183" spans="1:8" ht="42.75" x14ac:dyDescent="0.3">
      <c r="A183" s="260" t="s">
        <v>1494</v>
      </c>
      <c r="B183" s="249">
        <v>3289</v>
      </c>
      <c r="C183" s="123"/>
      <c r="D183" s="123"/>
      <c r="E183" s="296" t="s">
        <v>662</v>
      </c>
      <c r="F183" s="263" t="s">
        <v>1053</v>
      </c>
      <c r="G183" s="124">
        <v>48177.98</v>
      </c>
      <c r="H183" s="125"/>
    </row>
    <row r="184" spans="1:8" ht="28.5" x14ac:dyDescent="0.3">
      <c r="A184" s="260" t="s">
        <v>1494</v>
      </c>
      <c r="B184" s="249">
        <v>3291</v>
      </c>
      <c r="C184" s="123"/>
      <c r="D184" s="123"/>
      <c r="E184" s="296" t="s">
        <v>648</v>
      </c>
      <c r="F184" s="263" t="s">
        <v>1054</v>
      </c>
      <c r="G184" s="124">
        <v>8859.5</v>
      </c>
      <c r="H184" s="125"/>
    </row>
    <row r="185" spans="1:8" ht="28.5" x14ac:dyDescent="0.3">
      <c r="A185" s="260" t="s">
        <v>1494</v>
      </c>
      <c r="B185" s="249">
        <v>3295</v>
      </c>
      <c r="C185" s="123"/>
      <c r="D185" s="123"/>
      <c r="E185" s="296" t="s">
        <v>1010</v>
      </c>
      <c r="F185" s="263" t="s">
        <v>1055</v>
      </c>
      <c r="G185" s="124">
        <v>100000</v>
      </c>
      <c r="H185" s="125"/>
    </row>
    <row r="186" spans="1:8" ht="28.5" x14ac:dyDescent="0.3">
      <c r="A186" s="260" t="s">
        <v>1494</v>
      </c>
      <c r="B186" s="249">
        <v>3301</v>
      </c>
      <c r="C186" s="123"/>
      <c r="D186" s="123"/>
      <c r="E186" s="296" t="s">
        <v>651</v>
      </c>
      <c r="F186" s="263" t="s">
        <v>1056</v>
      </c>
      <c r="G186" s="124">
        <v>121969.2</v>
      </c>
      <c r="H186" s="125"/>
    </row>
    <row r="187" spans="1:8" ht="42.75" x14ac:dyDescent="0.3">
      <c r="A187" s="260" t="s">
        <v>1494</v>
      </c>
      <c r="B187" s="249">
        <v>3307</v>
      </c>
      <c r="C187" s="123"/>
      <c r="D187" s="123"/>
      <c r="E187" s="296" t="s">
        <v>1011</v>
      </c>
      <c r="F187" s="263" t="s">
        <v>1057</v>
      </c>
      <c r="G187" s="124">
        <v>271400</v>
      </c>
      <c r="H187" s="125"/>
    </row>
    <row r="188" spans="1:8" ht="28.5" x14ac:dyDescent="0.3">
      <c r="A188" s="260" t="s">
        <v>1494</v>
      </c>
      <c r="B188" s="249">
        <v>3308</v>
      </c>
      <c r="C188" s="123"/>
      <c r="D188" s="123"/>
      <c r="E188" s="296" t="s">
        <v>875</v>
      </c>
      <c r="F188" s="263" t="s">
        <v>1058</v>
      </c>
      <c r="G188" s="124">
        <v>174238</v>
      </c>
      <c r="H188" s="125"/>
    </row>
    <row r="189" spans="1:8" ht="28.5" x14ac:dyDescent="0.3">
      <c r="A189" s="260" t="s">
        <v>1494</v>
      </c>
      <c r="B189" s="249">
        <v>3312</v>
      </c>
      <c r="C189" s="123"/>
      <c r="D189" s="123"/>
      <c r="E189" s="296" t="s">
        <v>664</v>
      </c>
      <c r="F189" s="263" t="s">
        <v>1059</v>
      </c>
      <c r="G189" s="124">
        <v>136500</v>
      </c>
      <c r="H189" s="125"/>
    </row>
    <row r="190" spans="1:8" ht="42.75" x14ac:dyDescent="0.3">
      <c r="A190" s="260" t="s">
        <v>1494</v>
      </c>
      <c r="B190" s="249">
        <v>3316</v>
      </c>
      <c r="C190" s="123"/>
      <c r="D190" s="123"/>
      <c r="E190" s="296" t="s">
        <v>650</v>
      </c>
      <c r="F190" s="263" t="s">
        <v>1060</v>
      </c>
      <c r="G190" s="124">
        <v>257782.56</v>
      </c>
      <c r="H190" s="125"/>
    </row>
    <row r="191" spans="1:8" ht="28.5" x14ac:dyDescent="0.3">
      <c r="A191" s="260" t="s">
        <v>1494</v>
      </c>
      <c r="B191" s="249">
        <v>3323</v>
      </c>
      <c r="C191" s="123"/>
      <c r="D191" s="123"/>
      <c r="E191" s="296" t="s">
        <v>873</v>
      </c>
      <c r="F191" s="263" t="s">
        <v>1061</v>
      </c>
      <c r="G191" s="124">
        <v>93600</v>
      </c>
      <c r="H191" s="125"/>
    </row>
    <row r="192" spans="1:8" ht="28.5" x14ac:dyDescent="0.3">
      <c r="A192" s="260" t="s">
        <v>1494</v>
      </c>
      <c r="B192" s="249">
        <v>3324</v>
      </c>
      <c r="C192" s="123"/>
      <c r="D192" s="123"/>
      <c r="E192" s="296" t="s">
        <v>1012</v>
      </c>
      <c r="F192" s="263" t="s">
        <v>1062</v>
      </c>
      <c r="G192" s="124">
        <v>584100</v>
      </c>
      <c r="H192" s="125"/>
    </row>
    <row r="193" spans="1:8" ht="42.75" x14ac:dyDescent="0.3">
      <c r="A193" s="260" t="s">
        <v>1494</v>
      </c>
      <c r="B193" s="249">
        <v>3329</v>
      </c>
      <c r="C193" s="123"/>
      <c r="D193" s="123"/>
      <c r="E193" s="296" t="s">
        <v>1010</v>
      </c>
      <c r="F193" s="263" t="s">
        <v>1063</v>
      </c>
      <c r="G193" s="124">
        <v>199000</v>
      </c>
      <c r="H193" s="125"/>
    </row>
    <row r="194" spans="1:8" ht="42.75" x14ac:dyDescent="0.3">
      <c r="A194" s="260" t="s">
        <v>1494</v>
      </c>
      <c r="B194" s="249">
        <v>3332</v>
      </c>
      <c r="C194" s="123"/>
      <c r="D194" s="123"/>
      <c r="E194" s="296" t="s">
        <v>782</v>
      </c>
      <c r="F194" s="263" t="s">
        <v>1064</v>
      </c>
      <c r="G194" s="124">
        <v>214062.62</v>
      </c>
      <c r="H194" s="125"/>
    </row>
    <row r="195" spans="1:8" ht="42.75" x14ac:dyDescent="0.3">
      <c r="A195" s="260" t="s">
        <v>1494</v>
      </c>
      <c r="B195" s="249">
        <v>3337</v>
      </c>
      <c r="C195" s="123"/>
      <c r="D195" s="123"/>
      <c r="E195" s="296" t="s">
        <v>1010</v>
      </c>
      <c r="F195" s="263" t="s">
        <v>1065</v>
      </c>
      <c r="G195" s="124">
        <v>150000</v>
      </c>
      <c r="H195" s="125"/>
    </row>
    <row r="196" spans="1:8" ht="42.75" x14ac:dyDescent="0.3">
      <c r="A196" s="260" t="s">
        <v>1494</v>
      </c>
      <c r="B196" s="249">
        <v>3340</v>
      </c>
      <c r="C196" s="123"/>
      <c r="D196" s="123"/>
      <c r="E196" s="296" t="s">
        <v>782</v>
      </c>
      <c r="F196" s="263" t="s">
        <v>1066</v>
      </c>
      <c r="G196" s="124">
        <v>232860.02</v>
      </c>
      <c r="H196" s="125"/>
    </row>
    <row r="197" spans="1:8" ht="28.5" x14ac:dyDescent="0.3">
      <c r="A197" s="260" t="s">
        <v>1494</v>
      </c>
      <c r="B197" s="249">
        <v>3347</v>
      </c>
      <c r="C197" s="123"/>
      <c r="D197" s="123"/>
      <c r="E197" s="296" t="s">
        <v>864</v>
      </c>
      <c r="F197" s="263" t="s">
        <v>1067</v>
      </c>
      <c r="G197" s="124">
        <v>53336</v>
      </c>
      <c r="H197" s="125"/>
    </row>
    <row r="198" spans="1:8" ht="42.75" x14ac:dyDescent="0.3">
      <c r="A198" s="260" t="s">
        <v>1494</v>
      </c>
      <c r="B198" s="249">
        <v>3348</v>
      </c>
      <c r="C198" s="123"/>
      <c r="D198" s="123"/>
      <c r="E198" s="296" t="s">
        <v>752</v>
      </c>
      <c r="F198" s="263" t="s">
        <v>1068</v>
      </c>
      <c r="G198" s="124">
        <v>133494</v>
      </c>
      <c r="H198" s="125"/>
    </row>
    <row r="199" spans="1:8" ht="28.5" x14ac:dyDescent="0.3">
      <c r="A199" s="260" t="s">
        <v>1494</v>
      </c>
      <c r="B199" s="249">
        <v>3354</v>
      </c>
      <c r="C199" s="123"/>
      <c r="D199" s="123"/>
      <c r="E199" s="296" t="s">
        <v>670</v>
      </c>
      <c r="F199" s="263" t="s">
        <v>1069</v>
      </c>
      <c r="G199" s="124">
        <v>236000</v>
      </c>
      <c r="H199" s="125"/>
    </row>
    <row r="200" spans="1:8" ht="42.75" x14ac:dyDescent="0.3">
      <c r="A200" s="260" t="s">
        <v>1494</v>
      </c>
      <c r="B200" s="249">
        <v>3356</v>
      </c>
      <c r="C200" s="123"/>
      <c r="D200" s="123"/>
      <c r="E200" s="296" t="s">
        <v>879</v>
      </c>
      <c r="F200" s="263" t="s">
        <v>1070</v>
      </c>
      <c r="G200" s="124">
        <v>96330</v>
      </c>
      <c r="H200" s="125"/>
    </row>
    <row r="201" spans="1:8" ht="42.75" x14ac:dyDescent="0.3">
      <c r="A201" s="260" t="s">
        <v>1494</v>
      </c>
      <c r="B201" s="249">
        <v>3361</v>
      </c>
      <c r="C201" s="123"/>
      <c r="D201" s="123"/>
      <c r="E201" s="296" t="s">
        <v>1013</v>
      </c>
      <c r="F201" s="263" t="s">
        <v>1071</v>
      </c>
      <c r="G201" s="124">
        <v>124823.94</v>
      </c>
      <c r="H201" s="125"/>
    </row>
    <row r="202" spans="1:8" ht="28.5" x14ac:dyDescent="0.3">
      <c r="A202" s="260" t="s">
        <v>1494</v>
      </c>
      <c r="B202" s="249">
        <v>3365</v>
      </c>
      <c r="C202" s="123"/>
      <c r="D202" s="123"/>
      <c r="E202" s="296" t="s">
        <v>1013</v>
      </c>
      <c r="F202" s="263" t="s">
        <v>1072</v>
      </c>
      <c r="G202" s="124">
        <v>44840</v>
      </c>
      <c r="H202" s="125"/>
    </row>
    <row r="203" spans="1:8" ht="42.75" x14ac:dyDescent="0.3">
      <c r="A203" s="260" t="s">
        <v>1494</v>
      </c>
      <c r="B203" s="249">
        <v>3369</v>
      </c>
      <c r="C203" s="123"/>
      <c r="D203" s="123"/>
      <c r="E203" s="296" t="s">
        <v>650</v>
      </c>
      <c r="F203" s="263" t="s">
        <v>1073</v>
      </c>
      <c r="G203" s="124">
        <v>299769.59999999998</v>
      </c>
      <c r="H203" s="125"/>
    </row>
    <row r="204" spans="1:8" ht="42.75" x14ac:dyDescent="0.3">
      <c r="A204" s="260" t="s">
        <v>1494</v>
      </c>
      <c r="B204" s="249">
        <v>3373</v>
      </c>
      <c r="C204" s="123"/>
      <c r="D204" s="123"/>
      <c r="E204" s="296" t="s">
        <v>703</v>
      </c>
      <c r="F204" s="263" t="s">
        <v>1074</v>
      </c>
      <c r="G204" s="124">
        <v>731311.6</v>
      </c>
      <c r="H204" s="125"/>
    </row>
    <row r="205" spans="1:8" ht="15.75" thickBot="1" x14ac:dyDescent="0.3">
      <c r="A205" s="359" t="s">
        <v>348</v>
      </c>
      <c r="B205" s="360"/>
      <c r="C205" s="360"/>
      <c r="D205" s="360"/>
      <c r="E205" s="360"/>
      <c r="F205" s="373"/>
      <c r="G205" s="301">
        <f>SUM(G11:G204)</f>
        <v>119547044.46999998</v>
      </c>
      <c r="H205" s="301">
        <f>SUM(H11:H204)</f>
        <v>8863243.5200000014</v>
      </c>
    </row>
    <row r="208" spans="1:8" ht="15.75" thickBot="1" x14ac:dyDescent="0.3"/>
    <row r="209" spans="1:5" x14ac:dyDescent="0.25">
      <c r="A209" s="361" t="s">
        <v>674</v>
      </c>
      <c r="B209" s="362"/>
      <c r="C209" s="363"/>
    </row>
    <row r="210" spans="1:5" x14ac:dyDescent="0.25">
      <c r="A210" s="364" t="s">
        <v>653</v>
      </c>
      <c r="B210" s="365"/>
      <c r="C210" s="320">
        <v>47686119.619999997</v>
      </c>
      <c r="D210" s="321"/>
    </row>
    <row r="211" spans="1:5" x14ac:dyDescent="0.25">
      <c r="A211" s="364" t="s">
        <v>654</v>
      </c>
      <c r="B211" s="365"/>
      <c r="C211" s="320">
        <v>109357.45999999999</v>
      </c>
    </row>
    <row r="212" spans="1:5" x14ac:dyDescent="0.25">
      <c r="A212" s="364" t="s">
        <v>655</v>
      </c>
      <c r="B212" s="365"/>
      <c r="C212" s="320">
        <v>71335675.950000003</v>
      </c>
      <c r="D212" s="321"/>
    </row>
    <row r="213" spans="1:5" x14ac:dyDescent="0.25">
      <c r="A213" s="364" t="s">
        <v>656</v>
      </c>
      <c r="B213" s="365"/>
      <c r="C213" s="320">
        <v>415891.44</v>
      </c>
      <c r="D213" s="321"/>
    </row>
    <row r="214" spans="1:5" ht="15.75" thickBot="1" x14ac:dyDescent="0.3">
      <c r="A214" s="366" t="s">
        <v>675</v>
      </c>
      <c r="B214" s="367"/>
      <c r="C214" s="322">
        <f>SUM(C210:C213)</f>
        <v>119547044.47</v>
      </c>
      <c r="D214" s="321"/>
      <c r="E214" s="340"/>
    </row>
  </sheetData>
  <sortState ref="A11:H109">
    <sortCondition ref="B11:B109"/>
  </sortState>
  <pageMargins left="0.7" right="0.7" top="0.75" bottom="0.75" header="0.3" footer="0.3"/>
  <pageSetup scale="57"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91"/>
  <sheetViews>
    <sheetView topLeftCell="A55" zoomScale="90" zoomScaleNormal="90" workbookViewId="0">
      <selection activeCell="E78" sqref="E78"/>
    </sheetView>
  </sheetViews>
  <sheetFormatPr baseColWidth="10" defaultColWidth="12.5703125" defaultRowHeight="15" x14ac:dyDescent="0.25"/>
  <cols>
    <col min="1" max="1" width="14" customWidth="1"/>
    <col min="2" max="2" width="18.28515625" customWidth="1"/>
    <col min="3" max="3" width="26.28515625" customWidth="1"/>
    <col min="4" max="4" width="24.85546875" customWidth="1"/>
    <col min="5" max="5" width="18.28515625" customWidth="1"/>
    <col min="6" max="6" width="54.140625" customWidth="1"/>
    <col min="7" max="7" width="12" customWidth="1"/>
    <col min="8" max="8" width="57.42578125" customWidth="1"/>
    <col min="9" max="9" width="15.7109375" bestFit="1" customWidth="1"/>
    <col min="10" max="10" width="19" customWidth="1"/>
  </cols>
  <sheetData>
    <row r="1" spans="1:11" x14ac:dyDescent="0.25">
      <c r="A1" s="126"/>
      <c r="B1" s="126"/>
      <c r="F1" s="382"/>
    </row>
    <row r="2" spans="1:11" x14ac:dyDescent="0.25">
      <c r="A2" s="126"/>
      <c r="B2" s="126"/>
    </row>
    <row r="3" spans="1:11" x14ac:dyDescent="0.25">
      <c r="A3" s="418"/>
      <c r="B3" s="418"/>
      <c r="C3" s="418"/>
      <c r="D3" s="418"/>
      <c r="E3" s="418"/>
      <c r="F3" s="418"/>
      <c r="G3" s="418"/>
      <c r="H3" s="418"/>
      <c r="I3" s="418"/>
    </row>
    <row r="4" spans="1:11" ht="18.75" x14ac:dyDescent="0.3">
      <c r="A4" s="419" t="s">
        <v>77</v>
      </c>
      <c r="B4" s="419"/>
      <c r="C4" s="419"/>
      <c r="D4" s="419"/>
      <c r="E4" s="419"/>
      <c r="F4" s="419"/>
      <c r="G4" s="419"/>
      <c r="H4" s="419"/>
      <c r="I4" s="419"/>
    </row>
    <row r="5" spans="1:11" ht="18.75" x14ac:dyDescent="0.3">
      <c r="A5" s="419" t="s">
        <v>637</v>
      </c>
      <c r="B5" s="419"/>
      <c r="C5" s="419"/>
      <c r="D5" s="419"/>
      <c r="E5" s="419"/>
      <c r="F5" s="419"/>
      <c r="G5" s="419"/>
      <c r="H5" s="419"/>
      <c r="I5" s="419"/>
    </row>
    <row r="6" spans="1:11" ht="18.75" x14ac:dyDescent="0.3">
      <c r="A6" s="419" t="s">
        <v>721</v>
      </c>
      <c r="B6" s="419"/>
      <c r="C6" s="419"/>
      <c r="D6" s="419"/>
      <c r="E6" s="419"/>
      <c r="F6" s="419"/>
      <c r="G6" s="419"/>
      <c r="H6" s="419"/>
      <c r="I6" s="419"/>
    </row>
    <row r="7" spans="1:11" ht="18.75" x14ac:dyDescent="0.3">
      <c r="A7" s="420" t="s">
        <v>1496</v>
      </c>
      <c r="B7" s="420"/>
      <c r="C7" s="420"/>
      <c r="D7" s="420"/>
      <c r="E7" s="420"/>
      <c r="F7" s="420"/>
      <c r="G7" s="420"/>
      <c r="H7" s="420"/>
      <c r="I7" s="420"/>
    </row>
    <row r="8" spans="1:11" ht="31.5" x14ac:dyDescent="0.25">
      <c r="A8" s="390" t="s">
        <v>722</v>
      </c>
      <c r="B8" s="391" t="s">
        <v>723</v>
      </c>
      <c r="C8" s="391" t="s">
        <v>724</v>
      </c>
      <c r="D8" s="392" t="s">
        <v>725</v>
      </c>
      <c r="E8" s="392" t="s">
        <v>726</v>
      </c>
      <c r="F8" s="393" t="s">
        <v>727</v>
      </c>
      <c r="G8" s="393" t="s">
        <v>728</v>
      </c>
      <c r="H8" s="392" t="s">
        <v>729</v>
      </c>
      <c r="I8" s="393" t="s">
        <v>730</v>
      </c>
      <c r="J8" s="393" t="s">
        <v>731</v>
      </c>
      <c r="K8" s="332" t="s">
        <v>732</v>
      </c>
    </row>
    <row r="9" spans="1:11" s="119" customFormat="1" x14ac:dyDescent="0.25">
      <c r="A9" s="387">
        <v>45841.62556296296</v>
      </c>
      <c r="B9" s="387" t="s">
        <v>1113</v>
      </c>
      <c r="C9" s="388" t="s">
        <v>1114</v>
      </c>
      <c r="D9" s="388"/>
      <c r="E9" s="394" t="s">
        <v>733</v>
      </c>
      <c r="F9" s="388" t="s">
        <v>873</v>
      </c>
      <c r="G9" s="388" t="s">
        <v>802</v>
      </c>
      <c r="H9" s="388" t="s">
        <v>1115</v>
      </c>
      <c r="I9" s="389">
        <v>270820</v>
      </c>
      <c r="J9" s="119" t="s">
        <v>761</v>
      </c>
    </row>
    <row r="10" spans="1:11" s="119" customFormat="1" x14ac:dyDescent="0.25">
      <c r="A10" s="387">
        <v>45841.625694409719</v>
      </c>
      <c r="B10" s="387" t="s">
        <v>1116</v>
      </c>
      <c r="C10" s="388" t="s">
        <v>1117</v>
      </c>
      <c r="D10" s="388"/>
      <c r="E10" s="394" t="s">
        <v>733</v>
      </c>
      <c r="F10" s="388" t="s">
        <v>873</v>
      </c>
      <c r="G10" s="388" t="s">
        <v>796</v>
      </c>
      <c r="H10" s="388" t="s">
        <v>1118</v>
      </c>
      <c r="I10" s="389">
        <v>217120</v>
      </c>
      <c r="J10" s="119" t="s">
        <v>761</v>
      </c>
    </row>
    <row r="11" spans="1:11" s="119" customFormat="1" x14ac:dyDescent="0.25">
      <c r="A11" s="387">
        <v>45842.667717129625</v>
      </c>
      <c r="B11" s="387" t="s">
        <v>1119</v>
      </c>
      <c r="C11" s="388" t="s">
        <v>1120</v>
      </c>
      <c r="D11" s="388"/>
      <c r="E11" s="394" t="s">
        <v>733</v>
      </c>
      <c r="F11" s="388" t="s">
        <v>1121</v>
      </c>
      <c r="G11" s="388" t="s">
        <v>765</v>
      </c>
      <c r="H11" s="388" t="s">
        <v>1122</v>
      </c>
      <c r="I11" s="389">
        <v>177047</v>
      </c>
      <c r="J11" s="119" t="s">
        <v>761</v>
      </c>
    </row>
    <row r="12" spans="1:11" s="119" customFormat="1" x14ac:dyDescent="0.25">
      <c r="A12" s="387">
        <v>45848.418723148148</v>
      </c>
      <c r="B12" s="387" t="s">
        <v>1123</v>
      </c>
      <c r="C12" s="388" t="s">
        <v>1124</v>
      </c>
      <c r="D12" s="388"/>
      <c r="E12" s="394" t="s">
        <v>733</v>
      </c>
      <c r="F12" s="388" t="s">
        <v>670</v>
      </c>
      <c r="G12" s="388" t="s">
        <v>779</v>
      </c>
      <c r="H12" s="388" t="s">
        <v>1125</v>
      </c>
      <c r="I12" s="389">
        <v>206500</v>
      </c>
      <c r="J12" s="119" t="s">
        <v>761</v>
      </c>
    </row>
    <row r="13" spans="1:11" s="119" customFormat="1" x14ac:dyDescent="0.25">
      <c r="A13" s="387">
        <v>45848.458931597219</v>
      </c>
      <c r="B13" s="387" t="s">
        <v>1126</v>
      </c>
      <c r="C13" s="388" t="s">
        <v>1127</v>
      </c>
      <c r="D13" s="388"/>
      <c r="E13" s="394" t="s">
        <v>733</v>
      </c>
      <c r="F13" s="388" t="s">
        <v>794</v>
      </c>
      <c r="G13" s="388" t="s">
        <v>797</v>
      </c>
      <c r="H13" s="388" t="s">
        <v>1128</v>
      </c>
      <c r="I13" s="389">
        <v>245000</v>
      </c>
      <c r="J13" s="119" t="s">
        <v>761</v>
      </c>
    </row>
    <row r="14" spans="1:11" s="119" customFormat="1" x14ac:dyDescent="0.25">
      <c r="A14" s="387">
        <v>45852.459044756943</v>
      </c>
      <c r="B14" s="387" t="s">
        <v>1129</v>
      </c>
      <c r="C14" s="388" t="s">
        <v>1130</v>
      </c>
      <c r="D14" s="388"/>
      <c r="E14" s="394" t="s">
        <v>733</v>
      </c>
      <c r="F14" s="388" t="s">
        <v>1131</v>
      </c>
      <c r="G14" s="388" t="s">
        <v>760</v>
      </c>
      <c r="H14" s="388" t="s">
        <v>1132</v>
      </c>
      <c r="I14" s="389">
        <v>30000</v>
      </c>
      <c r="J14" s="119" t="s">
        <v>761</v>
      </c>
    </row>
    <row r="15" spans="1:11" s="119" customFormat="1" x14ac:dyDescent="0.25">
      <c r="A15" s="387">
        <v>45853.541836840275</v>
      </c>
      <c r="B15" s="387" t="s">
        <v>1133</v>
      </c>
      <c r="C15" s="388" t="s">
        <v>1134</v>
      </c>
      <c r="D15" s="388"/>
      <c r="E15" s="394" t="s">
        <v>733</v>
      </c>
      <c r="F15" s="388" t="s">
        <v>754</v>
      </c>
      <c r="G15" s="388" t="s">
        <v>1135</v>
      </c>
      <c r="H15" s="388" t="s">
        <v>1136</v>
      </c>
      <c r="I15" s="389">
        <v>63720</v>
      </c>
      <c r="J15" s="119" t="s">
        <v>761</v>
      </c>
    </row>
    <row r="16" spans="1:11" s="119" customFormat="1" x14ac:dyDescent="0.25">
      <c r="A16" s="387">
        <v>45859.479181793977</v>
      </c>
      <c r="B16" s="387" t="s">
        <v>1137</v>
      </c>
      <c r="C16" s="388" t="s">
        <v>1138</v>
      </c>
      <c r="D16" s="388"/>
      <c r="E16" s="394" t="s">
        <v>733</v>
      </c>
      <c r="F16" s="388" t="s">
        <v>666</v>
      </c>
      <c r="G16" s="388" t="s">
        <v>771</v>
      </c>
      <c r="H16" s="388" t="s">
        <v>1139</v>
      </c>
      <c r="I16" s="389">
        <v>53336</v>
      </c>
      <c r="J16" s="119" t="s">
        <v>761</v>
      </c>
    </row>
    <row r="17" spans="1:10" s="119" customFormat="1" x14ac:dyDescent="0.25">
      <c r="A17" s="387">
        <v>45859.584627199074</v>
      </c>
      <c r="B17" s="387" t="s">
        <v>1140</v>
      </c>
      <c r="C17" s="388" t="s">
        <v>1141</v>
      </c>
      <c r="D17" s="388"/>
      <c r="E17" s="394" t="s">
        <v>733</v>
      </c>
      <c r="F17" s="388" t="s">
        <v>1142</v>
      </c>
      <c r="G17" s="388" t="s">
        <v>775</v>
      </c>
      <c r="H17" s="388" t="s">
        <v>1143</v>
      </c>
      <c r="I17" s="389">
        <v>47200</v>
      </c>
      <c r="J17" s="119" t="s">
        <v>761</v>
      </c>
    </row>
    <row r="18" spans="1:10" s="119" customFormat="1" x14ac:dyDescent="0.25">
      <c r="A18" s="387">
        <v>45859.584773344905</v>
      </c>
      <c r="B18" s="387" t="s">
        <v>1144</v>
      </c>
      <c r="C18" s="388" t="s">
        <v>1145</v>
      </c>
      <c r="D18" s="388"/>
      <c r="E18" s="394" t="s">
        <v>733</v>
      </c>
      <c r="F18" s="388" t="s">
        <v>1142</v>
      </c>
      <c r="G18" s="388" t="s">
        <v>802</v>
      </c>
      <c r="H18" s="388" t="s">
        <v>1115</v>
      </c>
      <c r="I18" s="389">
        <v>1945820</v>
      </c>
      <c r="J18" s="119" t="s">
        <v>761</v>
      </c>
    </row>
    <row r="19" spans="1:10" s="119" customFormat="1" x14ac:dyDescent="0.25">
      <c r="A19" s="387">
        <v>45861.375854398146</v>
      </c>
      <c r="B19" s="387" t="s">
        <v>1146</v>
      </c>
      <c r="C19" s="388" t="s">
        <v>1147</v>
      </c>
      <c r="D19" s="388"/>
      <c r="E19" s="394" t="s">
        <v>733</v>
      </c>
      <c r="F19" s="388" t="s">
        <v>670</v>
      </c>
      <c r="G19" s="388" t="s">
        <v>779</v>
      </c>
      <c r="H19" s="388" t="s">
        <v>1125</v>
      </c>
      <c r="I19" s="389">
        <v>236000</v>
      </c>
      <c r="J19" s="119" t="s">
        <v>761</v>
      </c>
    </row>
    <row r="20" spans="1:10" s="119" customFormat="1" x14ac:dyDescent="0.25">
      <c r="A20" s="387">
        <v>45861.444499386569</v>
      </c>
      <c r="B20" s="387" t="s">
        <v>1148</v>
      </c>
      <c r="C20" s="388" t="s">
        <v>1149</v>
      </c>
      <c r="D20" s="388"/>
      <c r="E20" s="394" t="s">
        <v>733</v>
      </c>
      <c r="F20" s="388" t="s">
        <v>664</v>
      </c>
      <c r="G20" s="388" t="s">
        <v>772</v>
      </c>
      <c r="H20" s="388" t="s">
        <v>1150</v>
      </c>
      <c r="I20" s="389">
        <v>136500</v>
      </c>
      <c r="J20" s="119" t="s">
        <v>761</v>
      </c>
    </row>
    <row r="21" spans="1:10" s="119" customFormat="1" x14ac:dyDescent="0.25">
      <c r="A21" s="387">
        <v>45861.459525081016</v>
      </c>
      <c r="B21" s="387" t="s">
        <v>1151</v>
      </c>
      <c r="C21" s="388" t="s">
        <v>1152</v>
      </c>
      <c r="D21" s="388"/>
      <c r="E21" s="394" t="s">
        <v>733</v>
      </c>
      <c r="F21" s="388" t="s">
        <v>666</v>
      </c>
      <c r="G21" s="388" t="s">
        <v>799</v>
      </c>
      <c r="H21" s="388" t="s">
        <v>1153</v>
      </c>
      <c r="I21" s="389">
        <v>258420</v>
      </c>
      <c r="J21" s="119" t="s">
        <v>761</v>
      </c>
    </row>
    <row r="22" spans="1:10" s="119" customFormat="1" x14ac:dyDescent="0.25">
      <c r="A22" s="387">
        <v>45862.41911427083</v>
      </c>
      <c r="B22" s="387" t="s">
        <v>1154</v>
      </c>
      <c r="C22" s="388" t="s">
        <v>1155</v>
      </c>
      <c r="D22" s="388"/>
      <c r="E22" s="394" t="s">
        <v>733</v>
      </c>
      <c r="F22" s="388" t="s">
        <v>1156</v>
      </c>
      <c r="G22" s="388" t="s">
        <v>765</v>
      </c>
      <c r="H22" s="388" t="s">
        <v>1122</v>
      </c>
      <c r="I22" s="389">
        <v>271917.21999999997</v>
      </c>
      <c r="J22" s="119" t="s">
        <v>761</v>
      </c>
    </row>
    <row r="23" spans="1:10" s="119" customFormat="1" x14ac:dyDescent="0.25">
      <c r="A23" s="387">
        <v>45862.502950034723</v>
      </c>
      <c r="B23" s="387" t="s">
        <v>1157</v>
      </c>
      <c r="C23" s="388" t="s">
        <v>1158</v>
      </c>
      <c r="D23" s="388"/>
      <c r="E23" s="394" t="s">
        <v>733</v>
      </c>
      <c r="F23" s="388" t="s">
        <v>663</v>
      </c>
      <c r="G23" s="388" t="s">
        <v>1159</v>
      </c>
      <c r="H23" s="388" t="s">
        <v>1160</v>
      </c>
      <c r="I23" s="389">
        <v>272020</v>
      </c>
      <c r="J23" s="119" t="s">
        <v>761</v>
      </c>
    </row>
    <row r="24" spans="1:10" s="119" customFormat="1" x14ac:dyDescent="0.25">
      <c r="A24" s="387">
        <v>45862.593765081016</v>
      </c>
      <c r="B24" s="387" t="s">
        <v>1161</v>
      </c>
      <c r="C24" s="388" t="s">
        <v>1162</v>
      </c>
      <c r="D24" s="388"/>
      <c r="E24" s="394" t="s">
        <v>733</v>
      </c>
      <c r="F24" s="388" t="s">
        <v>752</v>
      </c>
      <c r="G24" s="388" t="s">
        <v>802</v>
      </c>
      <c r="H24" s="388" t="s">
        <v>1115</v>
      </c>
      <c r="I24" s="389">
        <v>133494</v>
      </c>
      <c r="J24" s="119" t="s">
        <v>761</v>
      </c>
    </row>
    <row r="25" spans="1:10" s="119" customFormat="1" x14ac:dyDescent="0.25">
      <c r="A25" s="387">
        <v>45866.459289965278</v>
      </c>
      <c r="B25" s="387" t="s">
        <v>1163</v>
      </c>
      <c r="C25" s="388" t="s">
        <v>1164</v>
      </c>
      <c r="D25" s="388"/>
      <c r="E25" s="394" t="s">
        <v>733</v>
      </c>
      <c r="F25" s="388" t="s">
        <v>1165</v>
      </c>
      <c r="G25" s="388" t="s">
        <v>760</v>
      </c>
      <c r="H25" s="388" t="s">
        <v>1132</v>
      </c>
      <c r="I25" s="389">
        <v>1784515</v>
      </c>
      <c r="J25" s="119" t="s">
        <v>761</v>
      </c>
    </row>
    <row r="26" spans="1:10" s="119" customFormat="1" x14ac:dyDescent="0.25">
      <c r="A26" s="387">
        <v>45866.459439502316</v>
      </c>
      <c r="B26" s="387" t="s">
        <v>1166</v>
      </c>
      <c r="C26" s="388" t="s">
        <v>1167</v>
      </c>
      <c r="D26" s="388"/>
      <c r="E26" s="394" t="s">
        <v>733</v>
      </c>
      <c r="F26" s="388" t="s">
        <v>663</v>
      </c>
      <c r="G26" s="388" t="s">
        <v>781</v>
      </c>
      <c r="H26" s="388" t="s">
        <v>1168</v>
      </c>
      <c r="I26" s="389">
        <v>260000</v>
      </c>
      <c r="J26" s="119" t="s">
        <v>761</v>
      </c>
    </row>
    <row r="27" spans="1:10" s="119" customFormat="1" x14ac:dyDescent="0.25">
      <c r="A27" s="387">
        <v>45866.459439502316</v>
      </c>
      <c r="B27" s="387" t="s">
        <v>1169</v>
      </c>
      <c r="C27" s="388" t="s">
        <v>1167</v>
      </c>
      <c r="D27" s="388"/>
      <c r="E27" s="394" t="s">
        <v>733</v>
      </c>
      <c r="F27" s="388" t="s">
        <v>650</v>
      </c>
      <c r="G27" s="388" t="s">
        <v>781</v>
      </c>
      <c r="H27" s="388" t="s">
        <v>1168</v>
      </c>
      <c r="I27" s="389">
        <v>294470</v>
      </c>
      <c r="J27" s="119" t="s">
        <v>761</v>
      </c>
    </row>
    <row r="28" spans="1:10" s="119" customFormat="1" x14ac:dyDescent="0.25">
      <c r="A28" s="387">
        <v>45866.459439699072</v>
      </c>
      <c r="B28" s="387" t="s">
        <v>1170</v>
      </c>
      <c r="C28" s="388" t="s">
        <v>1171</v>
      </c>
      <c r="D28" s="388"/>
      <c r="E28" s="394" t="s">
        <v>733</v>
      </c>
      <c r="F28" s="388"/>
      <c r="G28" s="388" t="s">
        <v>804</v>
      </c>
      <c r="H28" s="388" t="s">
        <v>1172</v>
      </c>
      <c r="I28" s="389"/>
      <c r="J28" s="119" t="s">
        <v>1173</v>
      </c>
    </row>
    <row r="29" spans="1:10" s="119" customFormat="1" x14ac:dyDescent="0.25">
      <c r="A29" s="387">
        <v>45866.50164722222</v>
      </c>
      <c r="B29" s="387" t="s">
        <v>1174</v>
      </c>
      <c r="C29" s="388" t="s">
        <v>1175</v>
      </c>
      <c r="D29" s="388"/>
      <c r="E29" s="394" t="s">
        <v>733</v>
      </c>
      <c r="F29" s="388" t="s">
        <v>1142</v>
      </c>
      <c r="G29" s="388" t="s">
        <v>787</v>
      </c>
      <c r="H29" s="388" t="s">
        <v>1176</v>
      </c>
      <c r="I29" s="389">
        <v>247800</v>
      </c>
      <c r="J29" s="119" t="s">
        <v>761</v>
      </c>
    </row>
    <row r="30" spans="1:10" s="119" customFormat="1" x14ac:dyDescent="0.25">
      <c r="A30" s="387">
        <v>45866.542008564815</v>
      </c>
      <c r="B30" s="387" t="s">
        <v>1177</v>
      </c>
      <c r="C30" s="388" t="s">
        <v>1178</v>
      </c>
      <c r="D30" s="388"/>
      <c r="E30" s="394" t="s">
        <v>733</v>
      </c>
      <c r="F30" s="388" t="s">
        <v>1142</v>
      </c>
      <c r="G30" s="388" t="s">
        <v>802</v>
      </c>
      <c r="H30" s="388" t="s">
        <v>1115</v>
      </c>
      <c r="I30" s="389">
        <v>59000</v>
      </c>
      <c r="J30" s="119" t="s">
        <v>761</v>
      </c>
    </row>
    <row r="31" spans="1:10" s="119" customFormat="1" x14ac:dyDescent="0.25">
      <c r="A31" s="387">
        <v>45866.542008645833</v>
      </c>
      <c r="B31" s="387" t="s">
        <v>1179</v>
      </c>
      <c r="C31" s="388" t="s">
        <v>1180</v>
      </c>
      <c r="D31" s="388"/>
      <c r="E31" s="394" t="s">
        <v>733</v>
      </c>
      <c r="F31" s="388" t="s">
        <v>1156</v>
      </c>
      <c r="G31" s="388" t="s">
        <v>798</v>
      </c>
      <c r="H31" s="388" t="s">
        <v>1181</v>
      </c>
      <c r="I31" s="389">
        <v>262509</v>
      </c>
      <c r="J31" s="119" t="s">
        <v>761</v>
      </c>
    </row>
    <row r="32" spans="1:10" s="119" customFormat="1" x14ac:dyDescent="0.25">
      <c r="A32" s="387">
        <v>45866.542009062498</v>
      </c>
      <c r="B32" s="387" t="s">
        <v>1182</v>
      </c>
      <c r="C32" s="388" t="s">
        <v>1183</v>
      </c>
      <c r="D32" s="388"/>
      <c r="E32" s="394" t="s">
        <v>733</v>
      </c>
      <c r="F32" s="388" t="s">
        <v>1142</v>
      </c>
      <c r="G32" s="388" t="s">
        <v>791</v>
      </c>
      <c r="H32" s="388" t="s">
        <v>1184</v>
      </c>
      <c r="I32" s="389">
        <v>271254</v>
      </c>
      <c r="J32" s="119" t="s">
        <v>761</v>
      </c>
    </row>
    <row r="33" spans="1:10" s="119" customFormat="1" x14ac:dyDescent="0.25">
      <c r="A33" s="387">
        <v>45866.584015509259</v>
      </c>
      <c r="B33" s="387" t="s">
        <v>1185</v>
      </c>
      <c r="C33" s="388" t="s">
        <v>1186</v>
      </c>
      <c r="D33" s="388"/>
      <c r="E33" s="394" t="s">
        <v>733</v>
      </c>
      <c r="F33" s="388" t="s">
        <v>1142</v>
      </c>
      <c r="G33" s="388" t="s">
        <v>760</v>
      </c>
      <c r="H33" s="388" t="s">
        <v>1132</v>
      </c>
      <c r="I33" s="389">
        <v>1456293.22</v>
      </c>
      <c r="J33" s="119" t="s">
        <v>807</v>
      </c>
    </row>
    <row r="34" spans="1:10" s="119" customFormat="1" x14ac:dyDescent="0.25">
      <c r="A34" s="387">
        <v>45866.584176041666</v>
      </c>
      <c r="B34" s="387" t="s">
        <v>1187</v>
      </c>
      <c r="C34" s="388" t="s">
        <v>1188</v>
      </c>
      <c r="D34" s="388"/>
      <c r="E34" s="394" t="s">
        <v>733</v>
      </c>
      <c r="F34" s="388" t="s">
        <v>701</v>
      </c>
      <c r="G34" s="388" t="s">
        <v>787</v>
      </c>
      <c r="H34" s="388" t="s">
        <v>1176</v>
      </c>
      <c r="I34" s="389">
        <v>160000</v>
      </c>
      <c r="J34" s="119" t="s">
        <v>761</v>
      </c>
    </row>
    <row r="35" spans="1:10" s="119" customFormat="1" x14ac:dyDescent="0.25">
      <c r="A35" s="387">
        <v>45866.62597025463</v>
      </c>
      <c r="B35" s="387" t="s">
        <v>1189</v>
      </c>
      <c r="C35" s="388" t="s">
        <v>1190</v>
      </c>
      <c r="D35" s="388"/>
      <c r="E35" s="394" t="s">
        <v>733</v>
      </c>
      <c r="F35" s="388" t="s">
        <v>652</v>
      </c>
      <c r="G35" s="388" t="s">
        <v>1191</v>
      </c>
      <c r="H35" s="388" t="s">
        <v>1192</v>
      </c>
      <c r="I35" s="389">
        <v>80523</v>
      </c>
      <c r="J35" s="119" t="s">
        <v>761</v>
      </c>
    </row>
    <row r="36" spans="1:10" s="119" customFormat="1" x14ac:dyDescent="0.25">
      <c r="A36" s="387">
        <v>45867.418556446755</v>
      </c>
      <c r="B36" s="387" t="s">
        <v>1193</v>
      </c>
      <c r="C36" s="388" t="s">
        <v>1194</v>
      </c>
      <c r="D36" s="388"/>
      <c r="E36" s="394" t="s">
        <v>733</v>
      </c>
      <c r="F36" s="388" t="s">
        <v>1156</v>
      </c>
      <c r="G36" s="388" t="s">
        <v>1191</v>
      </c>
      <c r="H36" s="388" t="s">
        <v>1192</v>
      </c>
      <c r="I36" s="389">
        <v>264511</v>
      </c>
      <c r="J36" s="119" t="s">
        <v>761</v>
      </c>
    </row>
    <row r="37" spans="1:10" s="119" customFormat="1" x14ac:dyDescent="0.25">
      <c r="A37" s="387">
        <v>45867.459177743054</v>
      </c>
      <c r="B37" s="387" t="s">
        <v>1195</v>
      </c>
      <c r="C37" s="388" t="s">
        <v>1196</v>
      </c>
      <c r="D37" s="388"/>
      <c r="E37" s="394" t="s">
        <v>733</v>
      </c>
      <c r="F37" s="388" t="s">
        <v>1197</v>
      </c>
      <c r="G37" s="388" t="s">
        <v>1198</v>
      </c>
      <c r="H37" s="388" t="s">
        <v>1199</v>
      </c>
      <c r="I37" s="389">
        <v>9912</v>
      </c>
      <c r="J37" s="119" t="s">
        <v>761</v>
      </c>
    </row>
    <row r="38" spans="1:10" s="119" customFormat="1" x14ac:dyDescent="0.25">
      <c r="A38" s="387">
        <v>45867.502475231478</v>
      </c>
      <c r="B38" s="387" t="s">
        <v>1200</v>
      </c>
      <c r="C38" s="388" t="s">
        <v>1201</v>
      </c>
      <c r="D38" s="388"/>
      <c r="E38" s="394" t="s">
        <v>733</v>
      </c>
      <c r="F38" s="388" t="s">
        <v>766</v>
      </c>
      <c r="G38" s="388" t="s">
        <v>799</v>
      </c>
      <c r="H38" s="388" t="s">
        <v>1153</v>
      </c>
      <c r="I38" s="389">
        <v>167560</v>
      </c>
      <c r="J38" s="119" t="s">
        <v>761</v>
      </c>
    </row>
    <row r="39" spans="1:10" s="119" customFormat="1" x14ac:dyDescent="0.25">
      <c r="A39" s="387">
        <v>45869.419131712959</v>
      </c>
      <c r="B39" s="387" t="s">
        <v>806</v>
      </c>
      <c r="C39" s="388" t="s">
        <v>1202</v>
      </c>
      <c r="D39" s="388"/>
      <c r="E39" s="394" t="s">
        <v>733</v>
      </c>
      <c r="F39" s="388"/>
      <c r="G39" s="388" t="s">
        <v>776</v>
      </c>
      <c r="H39" s="388" t="s">
        <v>1203</v>
      </c>
      <c r="I39" s="389"/>
      <c r="J39" s="119" t="s">
        <v>814</v>
      </c>
    </row>
    <row r="40" spans="1:10" s="119" customFormat="1" x14ac:dyDescent="0.25">
      <c r="A40" s="387">
        <v>45869.427103553237</v>
      </c>
      <c r="B40" s="387" t="s">
        <v>1204</v>
      </c>
      <c r="C40" s="388" t="s">
        <v>1205</v>
      </c>
      <c r="D40" s="388"/>
      <c r="E40" s="394" t="s">
        <v>733</v>
      </c>
      <c r="F40" s="388" t="s">
        <v>1165</v>
      </c>
      <c r="G40" s="388" t="s">
        <v>802</v>
      </c>
      <c r="H40" s="388" t="s">
        <v>1115</v>
      </c>
      <c r="I40" s="389">
        <v>70092</v>
      </c>
      <c r="J40" s="119" t="s">
        <v>761</v>
      </c>
    </row>
    <row r="41" spans="1:10" s="119" customFormat="1" x14ac:dyDescent="0.25">
      <c r="A41" s="387">
        <v>45869.465326585647</v>
      </c>
      <c r="B41" s="387" t="s">
        <v>1206</v>
      </c>
      <c r="C41" s="388" t="s">
        <v>1207</v>
      </c>
      <c r="D41" s="388"/>
      <c r="E41" s="394" t="s">
        <v>733</v>
      </c>
      <c r="F41" s="388" t="s">
        <v>778</v>
      </c>
      <c r="G41" s="388" t="s">
        <v>1208</v>
      </c>
      <c r="H41" s="388" t="s">
        <v>1209</v>
      </c>
      <c r="I41" s="389">
        <v>18290</v>
      </c>
      <c r="J41" s="119" t="s">
        <v>761</v>
      </c>
    </row>
    <row r="42" spans="1:10" s="119" customFormat="1" x14ac:dyDescent="0.25">
      <c r="A42" s="387">
        <v>45869.502471030093</v>
      </c>
      <c r="B42" s="387" t="s">
        <v>1210</v>
      </c>
      <c r="C42" s="388" t="s">
        <v>1211</v>
      </c>
      <c r="D42" s="388"/>
      <c r="E42" s="394" t="s">
        <v>733</v>
      </c>
      <c r="F42" s="388" t="s">
        <v>670</v>
      </c>
      <c r="G42" s="388" t="s">
        <v>802</v>
      </c>
      <c r="H42" s="388" t="s">
        <v>1115</v>
      </c>
      <c r="I42" s="389">
        <v>106200</v>
      </c>
      <c r="J42" s="119" t="s">
        <v>761</v>
      </c>
    </row>
    <row r="43" spans="1:10" s="119" customFormat="1" x14ac:dyDescent="0.25">
      <c r="A43" s="387">
        <v>45869.502300115739</v>
      </c>
      <c r="B43" s="387" t="s">
        <v>1212</v>
      </c>
      <c r="C43" s="388" t="s">
        <v>1213</v>
      </c>
      <c r="D43" s="388"/>
      <c r="E43" s="394" t="s">
        <v>733</v>
      </c>
      <c r="F43" s="388" t="s">
        <v>753</v>
      </c>
      <c r="G43" s="388" t="s">
        <v>796</v>
      </c>
      <c r="H43" s="388" t="s">
        <v>1118</v>
      </c>
      <c r="I43" s="389">
        <v>112995</v>
      </c>
      <c r="J43" s="119" t="s">
        <v>761</v>
      </c>
    </row>
    <row r="44" spans="1:10" s="119" customFormat="1" x14ac:dyDescent="0.25">
      <c r="A44" s="387">
        <v>45869.375935729164</v>
      </c>
      <c r="B44" s="387" t="s">
        <v>784</v>
      </c>
      <c r="C44" s="388" t="s">
        <v>1214</v>
      </c>
      <c r="D44" s="388"/>
      <c r="E44" s="394" t="s">
        <v>733</v>
      </c>
      <c r="F44" s="388"/>
      <c r="G44" s="388" t="s">
        <v>805</v>
      </c>
      <c r="H44" s="388" t="s">
        <v>1215</v>
      </c>
      <c r="I44" s="389"/>
      <c r="J44" s="119" t="s">
        <v>784</v>
      </c>
    </row>
    <row r="45" spans="1:10" s="119" customFormat="1" x14ac:dyDescent="0.25">
      <c r="A45" s="387">
        <v>45868.542582835646</v>
      </c>
      <c r="B45" s="387" t="s">
        <v>806</v>
      </c>
      <c r="C45" s="388" t="s">
        <v>1216</v>
      </c>
      <c r="D45" s="388"/>
      <c r="E45" s="394" t="s">
        <v>733</v>
      </c>
      <c r="F45" s="388"/>
      <c r="G45" s="388" t="s">
        <v>1217</v>
      </c>
      <c r="H45" s="388" t="s">
        <v>1218</v>
      </c>
      <c r="I45" s="389"/>
      <c r="J45" s="119" t="s">
        <v>814</v>
      </c>
    </row>
    <row r="46" spans="1:10" s="119" customFormat="1" x14ac:dyDescent="0.25">
      <c r="A46" s="387">
        <v>45867.502462615739</v>
      </c>
      <c r="B46" s="387" t="s">
        <v>806</v>
      </c>
      <c r="C46" s="388" t="s">
        <v>1219</v>
      </c>
      <c r="D46" s="388"/>
      <c r="E46" s="394" t="s">
        <v>733</v>
      </c>
      <c r="F46" s="388"/>
      <c r="G46" s="388" t="s">
        <v>799</v>
      </c>
      <c r="H46" s="388" t="s">
        <v>1153</v>
      </c>
      <c r="I46" s="389"/>
      <c r="J46" s="119" t="s">
        <v>807</v>
      </c>
    </row>
    <row r="47" spans="1:10" s="119" customFormat="1" x14ac:dyDescent="0.25">
      <c r="A47" s="387">
        <v>45867.45903341435</v>
      </c>
      <c r="B47" s="387" t="s">
        <v>806</v>
      </c>
      <c r="C47" s="388" t="s">
        <v>1220</v>
      </c>
      <c r="D47" s="388"/>
      <c r="E47" s="394" t="s">
        <v>733</v>
      </c>
      <c r="F47" s="388"/>
      <c r="G47" s="388" t="s">
        <v>1221</v>
      </c>
      <c r="H47" s="388" t="s">
        <v>1222</v>
      </c>
      <c r="I47" s="389"/>
      <c r="J47" s="119" t="s">
        <v>807</v>
      </c>
    </row>
    <row r="48" spans="1:10" s="119" customFormat="1" x14ac:dyDescent="0.25">
      <c r="A48" s="387">
        <v>45867.418378472219</v>
      </c>
      <c r="B48" s="387" t="s">
        <v>1223</v>
      </c>
      <c r="C48" s="388" t="s">
        <v>1224</v>
      </c>
      <c r="D48" s="388"/>
      <c r="E48" s="394" t="s">
        <v>733</v>
      </c>
      <c r="F48" s="388" t="s">
        <v>1225</v>
      </c>
      <c r="G48" s="388" t="s">
        <v>1226</v>
      </c>
      <c r="H48" s="388" t="s">
        <v>1227</v>
      </c>
      <c r="I48" s="389">
        <v>195000</v>
      </c>
      <c r="J48" s="119" t="s">
        <v>761</v>
      </c>
    </row>
    <row r="49" spans="1:10" s="119" customFormat="1" x14ac:dyDescent="0.25">
      <c r="A49" s="387">
        <v>45866.418643634257</v>
      </c>
      <c r="B49" s="387" t="s">
        <v>1228</v>
      </c>
      <c r="C49" s="388" t="s">
        <v>1229</v>
      </c>
      <c r="D49" s="388"/>
      <c r="E49" s="394" t="s">
        <v>733</v>
      </c>
      <c r="F49" s="388" t="s">
        <v>766</v>
      </c>
      <c r="G49" s="388" t="s">
        <v>799</v>
      </c>
      <c r="H49" s="388" t="s">
        <v>1153</v>
      </c>
      <c r="I49" s="389">
        <v>88795</v>
      </c>
      <c r="J49" s="119" t="s">
        <v>761</v>
      </c>
    </row>
    <row r="50" spans="1:10" s="119" customFormat="1" x14ac:dyDescent="0.25">
      <c r="A50" s="387">
        <v>45866.418643287034</v>
      </c>
      <c r="B50" s="387" t="s">
        <v>1230</v>
      </c>
      <c r="C50" s="388" t="s">
        <v>1231</v>
      </c>
      <c r="D50" s="388"/>
      <c r="E50" s="394" t="s">
        <v>733</v>
      </c>
      <c r="F50" s="388" t="s">
        <v>875</v>
      </c>
      <c r="G50" s="388" t="s">
        <v>760</v>
      </c>
      <c r="H50" s="388" t="s">
        <v>1132</v>
      </c>
      <c r="I50" s="389">
        <v>600000</v>
      </c>
      <c r="J50" s="119" t="s">
        <v>761</v>
      </c>
    </row>
    <row r="51" spans="1:10" s="119" customFormat="1" x14ac:dyDescent="0.25">
      <c r="A51" s="387">
        <v>45862.584405821755</v>
      </c>
      <c r="B51" s="387" t="s">
        <v>1232</v>
      </c>
      <c r="C51" s="388" t="s">
        <v>1233</v>
      </c>
      <c r="D51" s="388"/>
      <c r="E51" s="394" t="s">
        <v>733</v>
      </c>
      <c r="F51" s="388" t="s">
        <v>662</v>
      </c>
      <c r="G51" s="388" t="s">
        <v>775</v>
      </c>
      <c r="H51" s="388" t="s">
        <v>1143</v>
      </c>
      <c r="I51" s="389">
        <v>78258</v>
      </c>
      <c r="J51" s="119" t="s">
        <v>761</v>
      </c>
    </row>
    <row r="52" spans="1:10" s="119" customFormat="1" x14ac:dyDescent="0.25">
      <c r="A52" s="387">
        <v>45861.626765474532</v>
      </c>
      <c r="B52" s="387" t="s">
        <v>1234</v>
      </c>
      <c r="C52" s="388" t="s">
        <v>1235</v>
      </c>
      <c r="D52" s="388"/>
      <c r="E52" s="394" t="s">
        <v>733</v>
      </c>
      <c r="F52" s="388" t="s">
        <v>792</v>
      </c>
      <c r="G52" s="388" t="s">
        <v>780</v>
      </c>
      <c r="H52" s="388" t="s">
        <v>1236</v>
      </c>
      <c r="I52" s="389">
        <v>92613</v>
      </c>
      <c r="J52" s="119" t="s">
        <v>761</v>
      </c>
    </row>
    <row r="53" spans="1:10" s="119" customFormat="1" x14ac:dyDescent="0.25">
      <c r="A53" s="387">
        <v>45861.541942280091</v>
      </c>
      <c r="B53" s="387" t="s">
        <v>1237</v>
      </c>
      <c r="C53" s="388" t="s">
        <v>1238</v>
      </c>
      <c r="D53" s="388"/>
      <c r="E53" s="394" t="s">
        <v>733</v>
      </c>
      <c r="F53" s="388" t="s">
        <v>1239</v>
      </c>
      <c r="G53" s="388" t="s">
        <v>1240</v>
      </c>
      <c r="H53" s="388" t="s">
        <v>1241</v>
      </c>
      <c r="I53" s="389">
        <v>96330</v>
      </c>
      <c r="J53" s="119" t="s">
        <v>761</v>
      </c>
    </row>
    <row r="54" spans="1:10" s="119" customFormat="1" x14ac:dyDescent="0.25">
      <c r="A54" s="387">
        <v>45860.542527858794</v>
      </c>
      <c r="B54" s="387" t="s">
        <v>1242</v>
      </c>
      <c r="C54" s="388" t="s">
        <v>1243</v>
      </c>
      <c r="D54" s="388"/>
      <c r="E54" s="394" t="s">
        <v>733</v>
      </c>
      <c r="F54" s="388" t="s">
        <v>1010</v>
      </c>
      <c r="G54" s="388" t="s">
        <v>1244</v>
      </c>
      <c r="H54" s="388" t="s">
        <v>1245</v>
      </c>
      <c r="I54" s="389">
        <v>150000</v>
      </c>
      <c r="J54" s="119" t="s">
        <v>761</v>
      </c>
    </row>
    <row r="55" spans="1:10" s="119" customFormat="1" x14ac:dyDescent="0.25">
      <c r="A55" s="387">
        <v>45859.626357488421</v>
      </c>
      <c r="B55" s="387" t="s">
        <v>1246</v>
      </c>
      <c r="C55" s="388" t="s">
        <v>1247</v>
      </c>
      <c r="D55" s="388"/>
      <c r="E55" s="394" t="s">
        <v>733</v>
      </c>
      <c r="F55" s="388" t="s">
        <v>650</v>
      </c>
      <c r="G55" s="388" t="s">
        <v>802</v>
      </c>
      <c r="H55" s="388" t="s">
        <v>1115</v>
      </c>
      <c r="I55" s="389">
        <v>299770</v>
      </c>
      <c r="J55" s="119" t="s">
        <v>761</v>
      </c>
    </row>
    <row r="56" spans="1:10" s="119" customFormat="1" x14ac:dyDescent="0.25">
      <c r="A56" s="387">
        <v>45859.584334722218</v>
      </c>
      <c r="B56" s="387" t="s">
        <v>1248</v>
      </c>
      <c r="C56" s="388" t="s">
        <v>1249</v>
      </c>
      <c r="D56" s="388"/>
      <c r="E56" s="394" t="s">
        <v>733</v>
      </c>
      <c r="F56" s="388" t="s">
        <v>1250</v>
      </c>
      <c r="G56" s="388" t="s">
        <v>799</v>
      </c>
      <c r="H56" s="388" t="s">
        <v>1153</v>
      </c>
      <c r="I56" s="389">
        <v>1625000</v>
      </c>
      <c r="J56" s="119" t="s">
        <v>761</v>
      </c>
    </row>
    <row r="57" spans="1:10" s="119" customFormat="1" x14ac:dyDescent="0.25">
      <c r="A57" s="387">
        <v>45859.502559108798</v>
      </c>
      <c r="B57" s="387" t="s">
        <v>1251</v>
      </c>
      <c r="C57" s="388" t="s">
        <v>1252</v>
      </c>
      <c r="D57" s="388"/>
      <c r="E57" s="394" t="s">
        <v>733</v>
      </c>
      <c r="F57" s="388" t="s">
        <v>1253</v>
      </c>
      <c r="G57" s="388" t="s">
        <v>770</v>
      </c>
      <c r="H57" s="388" t="s">
        <v>1254</v>
      </c>
      <c r="I57" s="389">
        <v>628550</v>
      </c>
      <c r="J57" s="119" t="s">
        <v>761</v>
      </c>
    </row>
    <row r="58" spans="1:10" s="119" customFormat="1" x14ac:dyDescent="0.25">
      <c r="A58" s="387">
        <v>45859.479180590279</v>
      </c>
      <c r="B58" s="387" t="s">
        <v>1255</v>
      </c>
      <c r="C58" s="388" t="s">
        <v>1256</v>
      </c>
      <c r="D58" s="388"/>
      <c r="E58" s="394" t="s">
        <v>733</v>
      </c>
      <c r="F58" s="388" t="s">
        <v>652</v>
      </c>
      <c r="G58" s="388" t="s">
        <v>1217</v>
      </c>
      <c r="H58" s="388" t="s">
        <v>1218</v>
      </c>
      <c r="I58" s="389">
        <v>272167</v>
      </c>
      <c r="J58" s="119" t="s">
        <v>761</v>
      </c>
    </row>
    <row r="59" spans="1:10" s="119" customFormat="1" x14ac:dyDescent="0.25">
      <c r="A59" s="387">
        <v>45855.584365428236</v>
      </c>
      <c r="B59" s="387" t="s">
        <v>1257</v>
      </c>
      <c r="C59" s="388" t="s">
        <v>1258</v>
      </c>
      <c r="D59" s="388"/>
      <c r="E59" s="394" t="s">
        <v>733</v>
      </c>
      <c r="F59" s="388" t="s">
        <v>666</v>
      </c>
      <c r="G59" s="388" t="s">
        <v>1259</v>
      </c>
      <c r="H59" s="388" t="s">
        <v>1260</v>
      </c>
      <c r="I59" s="389">
        <v>171248</v>
      </c>
      <c r="J59" s="119" t="s">
        <v>761</v>
      </c>
    </row>
    <row r="60" spans="1:10" s="119" customFormat="1" x14ac:dyDescent="0.25">
      <c r="A60" s="387">
        <v>45854.52085497685</v>
      </c>
      <c r="B60" s="387" t="s">
        <v>1261</v>
      </c>
      <c r="C60" s="388" t="s">
        <v>1262</v>
      </c>
      <c r="D60" s="388"/>
      <c r="E60" s="394" t="s">
        <v>733</v>
      </c>
      <c r="F60" s="388" t="s">
        <v>701</v>
      </c>
      <c r="G60" s="388" t="s">
        <v>774</v>
      </c>
      <c r="H60" s="388" t="s">
        <v>1263</v>
      </c>
      <c r="I60" s="389">
        <v>270000</v>
      </c>
      <c r="J60" s="119" t="s">
        <v>761</v>
      </c>
    </row>
    <row r="61" spans="1:10" s="119" customFormat="1" x14ac:dyDescent="0.25">
      <c r="A61" s="387">
        <v>45854.388922256941</v>
      </c>
      <c r="B61" s="387" t="s">
        <v>1264</v>
      </c>
      <c r="C61" s="388" t="s">
        <v>1265</v>
      </c>
      <c r="D61" s="388"/>
      <c r="E61" s="394" t="s">
        <v>733</v>
      </c>
      <c r="F61" s="388" t="s">
        <v>703</v>
      </c>
      <c r="G61" s="388" t="s">
        <v>1266</v>
      </c>
      <c r="H61" s="388" t="s">
        <v>1267</v>
      </c>
      <c r="I61" s="389">
        <v>127440</v>
      </c>
      <c r="J61" s="119" t="s">
        <v>761</v>
      </c>
    </row>
    <row r="62" spans="1:10" s="119" customFormat="1" x14ac:dyDescent="0.25">
      <c r="A62" s="387">
        <v>45853.628532291666</v>
      </c>
      <c r="B62" s="387" t="s">
        <v>1268</v>
      </c>
      <c r="C62" s="388" t="s">
        <v>1269</v>
      </c>
      <c r="D62" s="388"/>
      <c r="E62" s="394" t="s">
        <v>733</v>
      </c>
      <c r="F62" s="388" t="s">
        <v>1010</v>
      </c>
      <c r="G62" s="388" t="s">
        <v>1244</v>
      </c>
      <c r="H62" s="388" t="s">
        <v>1245</v>
      </c>
      <c r="I62" s="389">
        <v>100000</v>
      </c>
      <c r="J62" s="119" t="s">
        <v>761</v>
      </c>
    </row>
    <row r="63" spans="1:10" s="119" customFormat="1" x14ac:dyDescent="0.25">
      <c r="A63" s="387">
        <v>45853.626082523144</v>
      </c>
      <c r="B63" s="387" t="s">
        <v>1270</v>
      </c>
      <c r="C63" s="388" t="s">
        <v>1271</v>
      </c>
      <c r="D63" s="388"/>
      <c r="E63" s="394" t="s">
        <v>733</v>
      </c>
      <c r="F63" s="388" t="s">
        <v>650</v>
      </c>
      <c r="G63" s="388" t="s">
        <v>780</v>
      </c>
      <c r="H63" s="388" t="s">
        <v>1236</v>
      </c>
      <c r="I63" s="389">
        <v>213732</v>
      </c>
      <c r="J63" s="119" t="s">
        <v>761</v>
      </c>
    </row>
    <row r="64" spans="1:10" s="119" customFormat="1" x14ac:dyDescent="0.25">
      <c r="A64" s="387">
        <v>45853.584590046295</v>
      </c>
      <c r="B64" s="387" t="s">
        <v>1272</v>
      </c>
      <c r="C64" s="388" t="s">
        <v>1273</v>
      </c>
      <c r="D64" s="388"/>
      <c r="E64" s="394" t="s">
        <v>733</v>
      </c>
      <c r="F64" s="388" t="s">
        <v>663</v>
      </c>
      <c r="G64" s="388" t="s">
        <v>779</v>
      </c>
      <c r="H64" s="388" t="s">
        <v>1125</v>
      </c>
      <c r="I64" s="389">
        <v>177000</v>
      </c>
      <c r="J64" s="119" t="s">
        <v>761</v>
      </c>
    </row>
    <row r="65" spans="1:10" s="119" customFormat="1" x14ac:dyDescent="0.25">
      <c r="A65" s="387">
        <v>45853.468792164349</v>
      </c>
      <c r="B65" s="387" t="s">
        <v>1274</v>
      </c>
      <c r="C65" s="388" t="s">
        <v>1275</v>
      </c>
      <c r="D65" s="388"/>
      <c r="E65" s="394" t="s">
        <v>733</v>
      </c>
      <c r="F65" s="388" t="s">
        <v>1239</v>
      </c>
      <c r="G65" s="388" t="s">
        <v>781</v>
      </c>
      <c r="H65" s="388" t="s">
        <v>1168</v>
      </c>
      <c r="I65" s="389">
        <v>92000</v>
      </c>
      <c r="J65" s="119" t="s">
        <v>761</v>
      </c>
    </row>
    <row r="66" spans="1:10" s="119" customFormat="1" x14ac:dyDescent="0.25">
      <c r="A66" s="387">
        <v>45853.458929664353</v>
      </c>
      <c r="B66" s="387" t="s">
        <v>1276</v>
      </c>
      <c r="C66" s="388" t="s">
        <v>1277</v>
      </c>
      <c r="D66" s="388"/>
      <c r="E66" s="394" t="s">
        <v>733</v>
      </c>
      <c r="F66" s="388" t="s">
        <v>1278</v>
      </c>
      <c r="G66" s="388" t="s">
        <v>1240</v>
      </c>
      <c r="H66" s="388" t="s">
        <v>1241</v>
      </c>
      <c r="I66" s="389">
        <v>210000</v>
      </c>
      <c r="J66" s="119" t="s">
        <v>761</v>
      </c>
    </row>
    <row r="67" spans="1:10" s="119" customFormat="1" x14ac:dyDescent="0.25">
      <c r="A67" s="387">
        <v>45852.626192627315</v>
      </c>
      <c r="B67" s="387" t="s">
        <v>1279</v>
      </c>
      <c r="C67" s="388" t="s">
        <v>1280</v>
      </c>
      <c r="D67" s="388"/>
      <c r="E67" s="394" t="s">
        <v>733</v>
      </c>
      <c r="F67" s="388" t="s">
        <v>664</v>
      </c>
      <c r="G67" s="388" t="s">
        <v>772</v>
      </c>
      <c r="H67" s="388" t="s">
        <v>1150</v>
      </c>
      <c r="I67" s="389">
        <v>97500</v>
      </c>
      <c r="J67" s="119" t="s">
        <v>761</v>
      </c>
    </row>
    <row r="68" spans="1:10" s="119" customFormat="1" x14ac:dyDescent="0.25">
      <c r="A68" s="387">
        <v>45852.625608993054</v>
      </c>
      <c r="B68" s="387" t="s">
        <v>1281</v>
      </c>
      <c r="C68" s="388" t="s">
        <v>1282</v>
      </c>
      <c r="D68" s="388"/>
      <c r="E68" s="394" t="s">
        <v>733</v>
      </c>
      <c r="F68" s="388" t="s">
        <v>650</v>
      </c>
      <c r="G68" s="388" t="s">
        <v>780</v>
      </c>
      <c r="H68" s="388" t="s">
        <v>1236</v>
      </c>
      <c r="I68" s="389">
        <v>271456</v>
      </c>
      <c r="J68" s="119" t="s">
        <v>761</v>
      </c>
    </row>
    <row r="69" spans="1:10" s="119" customFormat="1" x14ac:dyDescent="0.25">
      <c r="A69" s="387">
        <v>45852.542229363426</v>
      </c>
      <c r="B69" s="387" t="s">
        <v>1283</v>
      </c>
      <c r="C69" s="388" t="s">
        <v>1284</v>
      </c>
      <c r="D69" s="388"/>
      <c r="E69" s="394" t="s">
        <v>733</v>
      </c>
      <c r="F69" s="388" t="s">
        <v>880</v>
      </c>
      <c r="G69" s="388" t="s">
        <v>781</v>
      </c>
      <c r="H69" s="388" t="s">
        <v>1168</v>
      </c>
      <c r="I69" s="389">
        <v>225900</v>
      </c>
      <c r="J69" s="119" t="s">
        <v>761</v>
      </c>
    </row>
    <row r="70" spans="1:10" s="119" customFormat="1" x14ac:dyDescent="0.25">
      <c r="A70" s="387">
        <v>45852.542229247687</v>
      </c>
      <c r="B70" s="387" t="s">
        <v>1285</v>
      </c>
      <c r="C70" s="388" t="s">
        <v>1286</v>
      </c>
      <c r="D70" s="388"/>
      <c r="E70" s="394" t="s">
        <v>733</v>
      </c>
      <c r="F70" s="388" t="s">
        <v>880</v>
      </c>
      <c r="G70" s="388" t="s">
        <v>787</v>
      </c>
      <c r="H70" s="388" t="s">
        <v>1176</v>
      </c>
      <c r="I70" s="389">
        <v>211975</v>
      </c>
      <c r="J70" s="119" t="s">
        <v>761</v>
      </c>
    </row>
    <row r="71" spans="1:10" s="119" customFormat="1" x14ac:dyDescent="0.25">
      <c r="A71" s="387">
        <v>45852.502076770834</v>
      </c>
      <c r="B71" s="387" t="s">
        <v>1287</v>
      </c>
      <c r="C71" s="388" t="s">
        <v>1288</v>
      </c>
      <c r="D71" s="388"/>
      <c r="E71" s="394" t="s">
        <v>733</v>
      </c>
      <c r="F71" s="388" t="s">
        <v>650</v>
      </c>
      <c r="G71" s="388" t="s">
        <v>781</v>
      </c>
      <c r="H71" s="388" t="s">
        <v>1168</v>
      </c>
      <c r="I71" s="389">
        <v>257783</v>
      </c>
      <c r="J71" s="119" t="s">
        <v>761</v>
      </c>
    </row>
    <row r="72" spans="1:10" s="119" customFormat="1" x14ac:dyDescent="0.25">
      <c r="A72" s="387">
        <v>45852.459045138887</v>
      </c>
      <c r="B72" s="387" t="s">
        <v>1289</v>
      </c>
      <c r="C72" s="388" t="s">
        <v>1290</v>
      </c>
      <c r="D72" s="388"/>
      <c r="E72" s="394" t="s">
        <v>733</v>
      </c>
      <c r="F72" s="388" t="s">
        <v>650</v>
      </c>
      <c r="G72" s="388" t="s">
        <v>795</v>
      </c>
      <c r="H72" s="388" t="s">
        <v>1291</v>
      </c>
      <c r="I72" s="389">
        <v>259234</v>
      </c>
      <c r="J72" s="119" t="s">
        <v>761</v>
      </c>
    </row>
    <row r="73" spans="1:10" s="119" customFormat="1" x14ac:dyDescent="0.25">
      <c r="A73" s="387">
        <v>45849.584380671295</v>
      </c>
      <c r="B73" s="387" t="s">
        <v>1292</v>
      </c>
      <c r="C73" s="388" t="s">
        <v>1293</v>
      </c>
      <c r="D73" s="388"/>
      <c r="E73" s="394" t="s">
        <v>733</v>
      </c>
      <c r="F73" s="388" t="s">
        <v>877</v>
      </c>
      <c r="G73" s="388" t="s">
        <v>774</v>
      </c>
      <c r="H73" s="388" t="s">
        <v>1263</v>
      </c>
      <c r="I73" s="389">
        <v>88500</v>
      </c>
      <c r="J73" s="119" t="s">
        <v>761</v>
      </c>
    </row>
    <row r="74" spans="1:10" s="119" customFormat="1" x14ac:dyDescent="0.25">
      <c r="A74" s="387">
        <v>45849.562512615739</v>
      </c>
      <c r="B74" s="387" t="s">
        <v>1294</v>
      </c>
      <c r="C74" s="388" t="s">
        <v>1295</v>
      </c>
      <c r="D74" s="388"/>
      <c r="E74" s="394" t="s">
        <v>733</v>
      </c>
      <c r="F74" s="388" t="s">
        <v>865</v>
      </c>
      <c r="G74" s="388" t="s">
        <v>779</v>
      </c>
      <c r="H74" s="388" t="s">
        <v>1125</v>
      </c>
      <c r="I74" s="389">
        <v>190275</v>
      </c>
      <c r="J74" s="119" t="s">
        <v>761</v>
      </c>
    </row>
    <row r="75" spans="1:10" s="119" customFormat="1" x14ac:dyDescent="0.25">
      <c r="A75" s="387">
        <v>45849.541951273146</v>
      </c>
      <c r="B75" s="387" t="s">
        <v>1296</v>
      </c>
      <c r="C75" s="388" t="s">
        <v>1297</v>
      </c>
      <c r="D75" s="388"/>
      <c r="E75" s="394" t="s">
        <v>733</v>
      </c>
      <c r="F75" s="388" t="s">
        <v>1010</v>
      </c>
      <c r="G75" s="388" t="s">
        <v>768</v>
      </c>
      <c r="H75" s="388" t="s">
        <v>1298</v>
      </c>
      <c r="I75" s="389">
        <v>199000</v>
      </c>
      <c r="J75" s="119" t="s">
        <v>761</v>
      </c>
    </row>
    <row r="76" spans="1:10" s="119" customFormat="1" x14ac:dyDescent="0.25">
      <c r="A76" s="387">
        <v>45849.501382719907</v>
      </c>
      <c r="B76" s="387" t="s">
        <v>1299</v>
      </c>
      <c r="C76" s="388" t="s">
        <v>1300</v>
      </c>
      <c r="D76" s="388"/>
      <c r="E76" s="394" t="s">
        <v>733</v>
      </c>
      <c r="F76" s="388" t="s">
        <v>1301</v>
      </c>
      <c r="G76" s="388" t="s">
        <v>1302</v>
      </c>
      <c r="H76" s="388" t="s">
        <v>1303</v>
      </c>
      <c r="I76" s="389">
        <v>433650</v>
      </c>
      <c r="J76" s="119" t="s">
        <v>761</v>
      </c>
    </row>
    <row r="77" spans="1:10" s="119" customFormat="1" x14ac:dyDescent="0.25">
      <c r="A77" s="387">
        <v>45849.460435034722</v>
      </c>
      <c r="B77" s="387" t="s">
        <v>1304</v>
      </c>
      <c r="C77" s="388" t="s">
        <v>1305</v>
      </c>
      <c r="D77" s="388"/>
      <c r="E77" s="394" t="s">
        <v>733</v>
      </c>
      <c r="F77" s="388" t="s">
        <v>666</v>
      </c>
      <c r="G77" s="388" t="s">
        <v>799</v>
      </c>
      <c r="H77" s="388" t="s">
        <v>1153</v>
      </c>
      <c r="I77" s="389">
        <v>269040</v>
      </c>
      <c r="J77" s="119" t="s">
        <v>761</v>
      </c>
    </row>
    <row r="78" spans="1:10" s="119" customFormat="1" x14ac:dyDescent="0.25">
      <c r="A78" s="387">
        <v>45849.460258136569</v>
      </c>
      <c r="B78" s="387" t="s">
        <v>1306</v>
      </c>
      <c r="C78" s="388" t="s">
        <v>1307</v>
      </c>
      <c r="D78" s="388"/>
      <c r="E78" s="394" t="s">
        <v>733</v>
      </c>
      <c r="F78" s="388" t="s">
        <v>1007</v>
      </c>
      <c r="G78" s="388" t="s">
        <v>760</v>
      </c>
      <c r="H78" s="388" t="s">
        <v>1132</v>
      </c>
      <c r="I78" s="389">
        <v>131618</v>
      </c>
      <c r="J78" s="119" t="s">
        <v>761</v>
      </c>
    </row>
    <row r="79" spans="1:10" s="119" customFormat="1" x14ac:dyDescent="0.25">
      <c r="A79" s="387">
        <v>45849.460258136569</v>
      </c>
      <c r="B79" s="387" t="s">
        <v>1308</v>
      </c>
      <c r="C79" s="388" t="s">
        <v>1307</v>
      </c>
      <c r="D79" s="388"/>
      <c r="E79" s="394" t="s">
        <v>733</v>
      </c>
      <c r="F79" s="388" t="s">
        <v>651</v>
      </c>
      <c r="G79" s="388" t="s">
        <v>760</v>
      </c>
      <c r="H79" s="388" t="s">
        <v>1132</v>
      </c>
      <c r="I79" s="389">
        <v>410374</v>
      </c>
      <c r="J79" s="119" t="s">
        <v>761</v>
      </c>
    </row>
    <row r="80" spans="1:10" s="119" customFormat="1" x14ac:dyDescent="0.25">
      <c r="A80" s="387">
        <v>45849.419222372686</v>
      </c>
      <c r="B80" s="387" t="s">
        <v>1309</v>
      </c>
      <c r="C80" s="388" t="s">
        <v>1310</v>
      </c>
      <c r="D80" s="388"/>
      <c r="E80" s="394" t="s">
        <v>733</v>
      </c>
      <c r="F80" s="388" t="s">
        <v>1005</v>
      </c>
      <c r="G80" s="388" t="s">
        <v>1311</v>
      </c>
      <c r="H80" s="388" t="s">
        <v>1312</v>
      </c>
      <c r="I80" s="389">
        <v>150379</v>
      </c>
      <c r="J80" s="119" t="s">
        <v>761</v>
      </c>
    </row>
    <row r="81" spans="1:10" s="119" customFormat="1" x14ac:dyDescent="0.25">
      <c r="A81" s="387">
        <v>45848.645890972221</v>
      </c>
      <c r="B81" s="387" t="s">
        <v>1313</v>
      </c>
      <c r="C81" s="388" t="s">
        <v>1314</v>
      </c>
      <c r="D81" s="388"/>
      <c r="E81" s="394" t="s">
        <v>733</v>
      </c>
      <c r="F81" s="388" t="s">
        <v>1013</v>
      </c>
      <c r="G81" s="388" t="s">
        <v>786</v>
      </c>
      <c r="H81" s="388" t="s">
        <v>1315</v>
      </c>
      <c r="I81" s="389">
        <v>169664</v>
      </c>
      <c r="J81" s="119" t="s">
        <v>761</v>
      </c>
    </row>
    <row r="82" spans="1:10" s="119" customFormat="1" x14ac:dyDescent="0.25">
      <c r="A82" s="387">
        <v>45848.625405057872</v>
      </c>
      <c r="B82" s="387" t="s">
        <v>1316</v>
      </c>
      <c r="C82" s="388" t="s">
        <v>1317</v>
      </c>
      <c r="D82" s="388"/>
      <c r="E82" s="394" t="s">
        <v>733</v>
      </c>
      <c r="F82" s="388" t="s">
        <v>766</v>
      </c>
      <c r="G82" s="388" t="s">
        <v>1318</v>
      </c>
      <c r="H82" s="388" t="s">
        <v>1319</v>
      </c>
      <c r="I82" s="389">
        <v>132750</v>
      </c>
      <c r="J82" s="119" t="s">
        <v>761</v>
      </c>
    </row>
    <row r="83" spans="1:10" s="119" customFormat="1" x14ac:dyDescent="0.25">
      <c r="A83" s="387">
        <v>45848.584996261576</v>
      </c>
      <c r="B83" s="387" t="s">
        <v>1320</v>
      </c>
      <c r="C83" s="388" t="s">
        <v>1321</v>
      </c>
      <c r="D83" s="388"/>
      <c r="E83" s="394" t="s">
        <v>733</v>
      </c>
      <c r="F83" s="388" t="s">
        <v>752</v>
      </c>
      <c r="G83" s="388" t="s">
        <v>1240</v>
      </c>
      <c r="H83" s="388" t="s">
        <v>1241</v>
      </c>
      <c r="I83" s="389">
        <v>210000</v>
      </c>
      <c r="J83" s="119" t="s">
        <v>761</v>
      </c>
    </row>
    <row r="84" spans="1:10" s="119" customFormat="1" x14ac:dyDescent="0.25">
      <c r="A84" s="387">
        <v>45848.584870486113</v>
      </c>
      <c r="B84" s="387" t="s">
        <v>1322</v>
      </c>
      <c r="C84" s="388" t="s">
        <v>1323</v>
      </c>
      <c r="D84" s="388"/>
      <c r="E84" s="394" t="s">
        <v>733</v>
      </c>
      <c r="F84" s="388" t="s">
        <v>734</v>
      </c>
      <c r="G84" s="388" t="s">
        <v>760</v>
      </c>
      <c r="H84" s="388" t="s">
        <v>1132</v>
      </c>
      <c r="I84" s="389">
        <v>415294</v>
      </c>
      <c r="J84" s="119" t="s">
        <v>761</v>
      </c>
    </row>
    <row r="85" spans="1:10" s="119" customFormat="1" x14ac:dyDescent="0.25">
      <c r="A85" s="387">
        <v>45848.584719409722</v>
      </c>
      <c r="B85" s="387" t="s">
        <v>1324</v>
      </c>
      <c r="C85" s="388" t="s">
        <v>1325</v>
      </c>
      <c r="D85" s="388"/>
      <c r="E85" s="394" t="s">
        <v>733</v>
      </c>
      <c r="F85" s="388" t="s">
        <v>649</v>
      </c>
      <c r="G85" s="388" t="s">
        <v>780</v>
      </c>
      <c r="H85" s="388" t="s">
        <v>1236</v>
      </c>
      <c r="I85" s="389">
        <v>763592</v>
      </c>
      <c r="J85" s="119" t="s">
        <v>761</v>
      </c>
    </row>
    <row r="86" spans="1:10" s="119" customFormat="1" x14ac:dyDescent="0.25">
      <c r="A86" s="387">
        <v>45848.459085682865</v>
      </c>
      <c r="B86" s="387" t="s">
        <v>1326</v>
      </c>
      <c r="C86" s="388" t="s">
        <v>1327</v>
      </c>
      <c r="D86" s="388"/>
      <c r="E86" s="394" t="s">
        <v>733</v>
      </c>
      <c r="F86" s="388" t="s">
        <v>794</v>
      </c>
      <c r="G86" s="388" t="s">
        <v>796</v>
      </c>
      <c r="H86" s="388" t="s">
        <v>1118</v>
      </c>
      <c r="I86" s="389">
        <v>248500</v>
      </c>
      <c r="J86" s="119" t="s">
        <v>761</v>
      </c>
    </row>
    <row r="87" spans="1:10" s="119" customFormat="1" x14ac:dyDescent="0.25">
      <c r="A87" s="387">
        <v>45848.41872306713</v>
      </c>
      <c r="B87" s="387" t="s">
        <v>1328</v>
      </c>
      <c r="C87" s="388" t="s">
        <v>1329</v>
      </c>
      <c r="D87" s="388"/>
      <c r="E87" s="394" t="s">
        <v>733</v>
      </c>
      <c r="F87" s="388" t="s">
        <v>752</v>
      </c>
      <c r="G87" s="388" t="s">
        <v>1244</v>
      </c>
      <c r="H87" s="388" t="s">
        <v>1245</v>
      </c>
      <c r="I87" s="389">
        <v>70623</v>
      </c>
      <c r="J87" s="119" t="s">
        <v>761</v>
      </c>
    </row>
    <row r="88" spans="1:10" s="119" customFormat="1" x14ac:dyDescent="0.25">
      <c r="A88" s="387">
        <v>45847.667552349536</v>
      </c>
      <c r="B88" s="387" t="s">
        <v>1330</v>
      </c>
      <c r="C88" s="388" t="s">
        <v>1331</v>
      </c>
      <c r="D88" s="388"/>
      <c r="E88" s="394" t="s">
        <v>733</v>
      </c>
      <c r="F88" s="388" t="s">
        <v>648</v>
      </c>
      <c r="G88" s="388" t="s">
        <v>760</v>
      </c>
      <c r="H88" s="388" t="s">
        <v>1132</v>
      </c>
      <c r="I88" s="389">
        <v>253400</v>
      </c>
      <c r="J88" s="119" t="s">
        <v>761</v>
      </c>
    </row>
    <row r="89" spans="1:10" s="119" customFormat="1" x14ac:dyDescent="0.25">
      <c r="A89" s="387">
        <v>45847.502149305554</v>
      </c>
      <c r="B89" s="387" t="s">
        <v>1332</v>
      </c>
      <c r="C89" s="388" t="s">
        <v>1333</v>
      </c>
      <c r="D89" s="388"/>
      <c r="E89" s="394" t="s">
        <v>733</v>
      </c>
      <c r="F89" s="388" t="s">
        <v>788</v>
      </c>
      <c r="G89" s="388" t="s">
        <v>789</v>
      </c>
      <c r="H89" s="388" t="s">
        <v>1334</v>
      </c>
      <c r="I89" s="389">
        <v>49000</v>
      </c>
      <c r="J89" s="119" t="s">
        <v>761</v>
      </c>
    </row>
    <row r="90" spans="1:10" s="119" customFormat="1" x14ac:dyDescent="0.25">
      <c r="A90" s="387">
        <v>45847.502005474533</v>
      </c>
      <c r="B90" s="387" t="s">
        <v>1335</v>
      </c>
      <c r="C90" s="388" t="s">
        <v>1336</v>
      </c>
      <c r="D90" s="388"/>
      <c r="E90" s="394" t="s">
        <v>733</v>
      </c>
      <c r="F90" s="388" t="s">
        <v>1337</v>
      </c>
      <c r="G90" s="388" t="s">
        <v>800</v>
      </c>
      <c r="H90" s="388" t="s">
        <v>1338</v>
      </c>
      <c r="I90" s="389">
        <v>466457</v>
      </c>
      <c r="J90" s="119" t="s">
        <v>761</v>
      </c>
    </row>
    <row r="91" spans="1:10" s="119" customFormat="1" x14ac:dyDescent="0.25">
      <c r="A91" s="387">
        <v>45845.584252280089</v>
      </c>
      <c r="B91" s="387" t="s">
        <v>1339</v>
      </c>
      <c r="C91" s="388" t="s">
        <v>1340</v>
      </c>
      <c r="D91" s="388"/>
      <c r="E91" s="394" t="s">
        <v>733</v>
      </c>
      <c r="F91" s="388" t="s">
        <v>753</v>
      </c>
      <c r="G91" s="388" t="s">
        <v>781</v>
      </c>
      <c r="H91" s="388" t="s">
        <v>1168</v>
      </c>
      <c r="I91" s="389">
        <v>100350</v>
      </c>
      <c r="J91" s="119" t="s">
        <v>761</v>
      </c>
    </row>
    <row r="92" spans="1:10" s="119" customFormat="1" x14ac:dyDescent="0.25">
      <c r="A92" s="387">
        <v>45845.541855555552</v>
      </c>
      <c r="B92" s="387" t="s">
        <v>1341</v>
      </c>
      <c r="C92" s="388" t="s">
        <v>1342</v>
      </c>
      <c r="D92" s="388"/>
      <c r="E92" s="394" t="s">
        <v>733</v>
      </c>
      <c r="F92" s="388" t="s">
        <v>767</v>
      </c>
      <c r="G92" s="388" t="s">
        <v>768</v>
      </c>
      <c r="H92" s="388" t="s">
        <v>1298</v>
      </c>
      <c r="I92" s="389">
        <v>270000</v>
      </c>
      <c r="J92" s="119" t="s">
        <v>761</v>
      </c>
    </row>
    <row r="93" spans="1:10" s="119" customFormat="1" x14ac:dyDescent="0.25">
      <c r="A93" s="387">
        <v>45845.541855405092</v>
      </c>
      <c r="B93" s="387" t="s">
        <v>1343</v>
      </c>
      <c r="C93" s="388" t="s">
        <v>1344</v>
      </c>
      <c r="D93" s="388"/>
      <c r="E93" s="394" t="s">
        <v>733</v>
      </c>
      <c r="F93" s="388" t="s">
        <v>877</v>
      </c>
      <c r="G93" s="388" t="s">
        <v>763</v>
      </c>
      <c r="H93" s="388" t="s">
        <v>1345</v>
      </c>
      <c r="I93" s="389">
        <v>120000</v>
      </c>
      <c r="J93" s="119" t="s">
        <v>761</v>
      </c>
    </row>
    <row r="94" spans="1:10" s="119" customFormat="1" x14ac:dyDescent="0.25">
      <c r="A94" s="387">
        <v>45845.458925694445</v>
      </c>
      <c r="B94" s="387" t="s">
        <v>1346</v>
      </c>
      <c r="C94" s="388" t="s">
        <v>1347</v>
      </c>
      <c r="D94" s="388"/>
      <c r="E94" s="394" t="s">
        <v>733</v>
      </c>
      <c r="F94" s="388" t="s">
        <v>815</v>
      </c>
      <c r="G94" s="388" t="s">
        <v>1240</v>
      </c>
      <c r="H94" s="388" t="s">
        <v>1241</v>
      </c>
      <c r="I94" s="389">
        <v>197000</v>
      </c>
      <c r="J94" s="119" t="s">
        <v>761</v>
      </c>
    </row>
    <row r="95" spans="1:10" s="119" customFormat="1" x14ac:dyDescent="0.25">
      <c r="A95" s="387">
        <v>45845.37502835648</v>
      </c>
      <c r="B95" s="387" t="s">
        <v>1348</v>
      </c>
      <c r="C95" s="388" t="s">
        <v>1349</v>
      </c>
      <c r="D95" s="388"/>
      <c r="E95" s="394" t="s">
        <v>733</v>
      </c>
      <c r="F95" s="388" t="s">
        <v>873</v>
      </c>
      <c r="G95" s="388" t="s">
        <v>787</v>
      </c>
      <c r="H95" s="388" t="s">
        <v>1176</v>
      </c>
      <c r="I95" s="389">
        <v>408600</v>
      </c>
      <c r="J95" s="119" t="s">
        <v>761</v>
      </c>
    </row>
    <row r="96" spans="1:10" s="119" customFormat="1" x14ac:dyDescent="0.25">
      <c r="A96" s="387">
        <v>45842.611123495371</v>
      </c>
      <c r="B96" s="387" t="s">
        <v>1350</v>
      </c>
      <c r="C96" s="388" t="s">
        <v>1351</v>
      </c>
      <c r="D96" s="388"/>
      <c r="E96" s="394" t="s">
        <v>733</v>
      </c>
      <c r="F96" s="388" t="s">
        <v>1352</v>
      </c>
      <c r="G96" s="388" t="s">
        <v>1353</v>
      </c>
      <c r="H96" s="388" t="s">
        <v>1354</v>
      </c>
      <c r="I96" s="389">
        <v>1230993</v>
      </c>
      <c r="J96" s="119" t="s">
        <v>761</v>
      </c>
    </row>
    <row r="97" spans="1:10" s="119" customFormat="1" x14ac:dyDescent="0.25">
      <c r="A97" s="387">
        <v>45842.541993784718</v>
      </c>
      <c r="B97" s="387" t="s">
        <v>1355</v>
      </c>
      <c r="C97" s="388" t="s">
        <v>1356</v>
      </c>
      <c r="D97" s="388"/>
      <c r="E97" s="394" t="s">
        <v>733</v>
      </c>
      <c r="F97" s="388" t="s">
        <v>764</v>
      </c>
      <c r="G97" s="388" t="s">
        <v>796</v>
      </c>
      <c r="H97" s="388" t="s">
        <v>1118</v>
      </c>
      <c r="I97" s="389">
        <v>200000</v>
      </c>
      <c r="J97" s="119" t="s">
        <v>761</v>
      </c>
    </row>
    <row r="98" spans="1:10" s="119" customFormat="1" x14ac:dyDescent="0.25">
      <c r="A98" s="387">
        <v>45842.501548032407</v>
      </c>
      <c r="B98" s="387" t="s">
        <v>1357</v>
      </c>
      <c r="C98" s="388" t="s">
        <v>1358</v>
      </c>
      <c r="D98" s="388"/>
      <c r="E98" s="394" t="s">
        <v>733</v>
      </c>
      <c r="F98" s="388" t="s">
        <v>1359</v>
      </c>
      <c r="G98" s="388" t="s">
        <v>801</v>
      </c>
      <c r="H98" s="388" t="s">
        <v>1360</v>
      </c>
      <c r="I98" s="389">
        <v>760000</v>
      </c>
      <c r="J98" s="119" t="s">
        <v>761</v>
      </c>
    </row>
    <row r="99" spans="1:10" s="119" customFormat="1" x14ac:dyDescent="0.25">
      <c r="A99" s="387">
        <v>45841.459145682871</v>
      </c>
      <c r="B99" s="387" t="s">
        <v>1361</v>
      </c>
      <c r="C99" s="388" t="s">
        <v>1362</v>
      </c>
      <c r="D99" s="388"/>
      <c r="E99" s="394" t="s">
        <v>733</v>
      </c>
      <c r="F99" s="388" t="s">
        <v>719</v>
      </c>
      <c r="G99" s="388" t="s">
        <v>772</v>
      </c>
      <c r="H99" s="388" t="s">
        <v>1150</v>
      </c>
      <c r="I99" s="389">
        <v>245700</v>
      </c>
      <c r="J99" s="119" t="s">
        <v>761</v>
      </c>
    </row>
    <row r="100" spans="1:10" s="119" customFormat="1" x14ac:dyDescent="0.25">
      <c r="A100" s="387">
        <v>45839.667273263884</v>
      </c>
      <c r="B100" s="387" t="s">
        <v>1363</v>
      </c>
      <c r="C100" s="388" t="s">
        <v>1364</v>
      </c>
      <c r="D100" s="388"/>
      <c r="E100" s="394" t="s">
        <v>733</v>
      </c>
      <c r="F100" s="388" t="s">
        <v>703</v>
      </c>
      <c r="G100" s="388" t="s">
        <v>1318</v>
      </c>
      <c r="H100" s="388" t="s">
        <v>1319</v>
      </c>
      <c r="I100" s="389">
        <v>6844</v>
      </c>
      <c r="J100" s="119" t="s">
        <v>761</v>
      </c>
    </row>
    <row r="101" spans="1:10" s="119" customFormat="1" x14ac:dyDescent="0.25">
      <c r="A101" s="387">
        <v>45839.584269560182</v>
      </c>
      <c r="B101" s="387" t="s">
        <v>1365</v>
      </c>
      <c r="C101" s="388" t="s">
        <v>1366</v>
      </c>
      <c r="D101" s="388"/>
      <c r="E101" s="394" t="s">
        <v>733</v>
      </c>
      <c r="F101" s="388" t="s">
        <v>766</v>
      </c>
      <c r="G101" s="388" t="s">
        <v>1367</v>
      </c>
      <c r="H101" s="388" t="s">
        <v>1368</v>
      </c>
      <c r="I101" s="389">
        <v>7080</v>
      </c>
      <c r="J101" s="119" t="s">
        <v>761</v>
      </c>
    </row>
    <row r="102" spans="1:10" s="119" customFormat="1" x14ac:dyDescent="0.25">
      <c r="A102" s="387">
        <v>45839.458802893518</v>
      </c>
      <c r="B102" s="387" t="s">
        <v>811</v>
      </c>
      <c r="C102" s="388" t="s">
        <v>812</v>
      </c>
      <c r="D102" s="388"/>
      <c r="E102" s="394" t="s">
        <v>733</v>
      </c>
      <c r="F102" s="388" t="s">
        <v>790</v>
      </c>
      <c r="G102" s="388" t="s">
        <v>813</v>
      </c>
      <c r="H102" s="388" t="s">
        <v>1369</v>
      </c>
      <c r="I102" s="389">
        <v>118076</v>
      </c>
      <c r="J102" s="119" t="s">
        <v>761</v>
      </c>
    </row>
    <row r="103" spans="1:10" s="119" customFormat="1" x14ac:dyDescent="0.25">
      <c r="A103" s="387">
        <v>45855.625916898149</v>
      </c>
      <c r="B103" s="387" t="s">
        <v>1370</v>
      </c>
      <c r="C103" s="388" t="s">
        <v>1371</v>
      </c>
      <c r="D103" s="388"/>
      <c r="E103" s="394" t="s">
        <v>733</v>
      </c>
      <c r="F103" s="388" t="s">
        <v>873</v>
      </c>
      <c r="G103" s="388" t="s">
        <v>787</v>
      </c>
      <c r="H103" s="388" t="s">
        <v>1176</v>
      </c>
      <c r="I103" s="389">
        <v>93600</v>
      </c>
      <c r="J103" s="119" t="s">
        <v>761</v>
      </c>
    </row>
    <row r="104" spans="1:10" s="119" customFormat="1" x14ac:dyDescent="0.25">
      <c r="A104" s="387">
        <v>45845.590307905091</v>
      </c>
      <c r="B104" s="387" t="s">
        <v>1372</v>
      </c>
      <c r="C104" s="388" t="s">
        <v>1373</v>
      </c>
      <c r="D104" s="388"/>
      <c r="E104" s="394" t="s">
        <v>733</v>
      </c>
      <c r="F104" s="388" t="s">
        <v>701</v>
      </c>
      <c r="G104" s="388" t="s">
        <v>781</v>
      </c>
      <c r="H104" s="388" t="s">
        <v>1168</v>
      </c>
      <c r="I104" s="389">
        <v>240000</v>
      </c>
      <c r="J104" s="119" t="s">
        <v>761</v>
      </c>
    </row>
    <row r="105" spans="1:10" s="119" customFormat="1" x14ac:dyDescent="0.25">
      <c r="A105" s="387">
        <v>45845.562536423611</v>
      </c>
      <c r="B105" s="387" t="s">
        <v>1374</v>
      </c>
      <c r="C105" s="388" t="s">
        <v>1375</v>
      </c>
      <c r="D105" s="388"/>
      <c r="E105" s="394" t="s">
        <v>733</v>
      </c>
      <c r="F105" s="388" t="s">
        <v>1352</v>
      </c>
      <c r="G105" s="388" t="s">
        <v>793</v>
      </c>
      <c r="H105" s="388" t="s">
        <v>1376</v>
      </c>
      <c r="I105" s="389">
        <v>166220</v>
      </c>
      <c r="J105" s="119" t="s">
        <v>761</v>
      </c>
    </row>
    <row r="106" spans="1:10" s="119" customFormat="1" x14ac:dyDescent="0.25">
      <c r="A106" s="387">
        <v>45869.419131446761</v>
      </c>
      <c r="B106" s="387" t="s">
        <v>1377</v>
      </c>
      <c r="C106" s="388" t="s">
        <v>1378</v>
      </c>
      <c r="D106" s="388"/>
      <c r="E106" s="394" t="s">
        <v>733</v>
      </c>
      <c r="F106" s="388" t="s">
        <v>1253</v>
      </c>
      <c r="G106" s="388" t="s">
        <v>805</v>
      </c>
      <c r="H106" s="388" t="s">
        <v>1215</v>
      </c>
      <c r="I106" s="389">
        <v>407506</v>
      </c>
      <c r="J106" s="119" t="s">
        <v>807</v>
      </c>
    </row>
    <row r="107" spans="1:10" s="119" customFormat="1" x14ac:dyDescent="0.25">
      <c r="A107" s="387">
        <v>45866.402796099537</v>
      </c>
      <c r="B107" s="387" t="s">
        <v>1379</v>
      </c>
      <c r="C107" s="388" t="s">
        <v>1380</v>
      </c>
      <c r="D107" s="388"/>
      <c r="E107" s="394" t="s">
        <v>733</v>
      </c>
      <c r="F107" s="388" t="s">
        <v>1381</v>
      </c>
      <c r="G107" s="388" t="s">
        <v>1382</v>
      </c>
      <c r="H107" s="388" t="s">
        <v>1383</v>
      </c>
      <c r="I107" s="389">
        <v>246960</v>
      </c>
      <c r="J107" s="119" t="s">
        <v>761</v>
      </c>
    </row>
    <row r="108" spans="1:10" s="119" customFormat="1" x14ac:dyDescent="0.25">
      <c r="A108" s="387">
        <v>45860.503264467588</v>
      </c>
      <c r="B108" s="387" t="s">
        <v>1384</v>
      </c>
      <c r="C108" s="388" t="s">
        <v>1385</v>
      </c>
      <c r="D108" s="388"/>
      <c r="E108" s="394" t="s">
        <v>733</v>
      </c>
      <c r="F108" s="388" t="s">
        <v>665</v>
      </c>
      <c r="G108" s="388" t="s">
        <v>760</v>
      </c>
      <c r="H108" s="388" t="s">
        <v>1132</v>
      </c>
      <c r="I108" s="389">
        <v>49200</v>
      </c>
      <c r="J108" s="119" t="s">
        <v>761</v>
      </c>
    </row>
    <row r="109" spans="1:10" s="119" customFormat="1" x14ac:dyDescent="0.25">
      <c r="A109" s="387">
        <v>45859.542121909719</v>
      </c>
      <c r="B109" s="387" t="s">
        <v>1386</v>
      </c>
      <c r="C109" s="388" t="s">
        <v>1387</v>
      </c>
      <c r="D109" s="388"/>
      <c r="E109" s="394" t="s">
        <v>733</v>
      </c>
      <c r="F109" s="388" t="s">
        <v>1253</v>
      </c>
      <c r="G109" s="388" t="s">
        <v>783</v>
      </c>
      <c r="H109" s="388" t="s">
        <v>1388</v>
      </c>
      <c r="I109" s="389"/>
      <c r="J109" s="119" t="s">
        <v>761</v>
      </c>
    </row>
    <row r="110" spans="1:10" s="119" customFormat="1" x14ac:dyDescent="0.25">
      <c r="A110" s="387">
        <v>45856.50200231481</v>
      </c>
      <c r="B110" s="387" t="s">
        <v>1389</v>
      </c>
      <c r="C110" s="388" t="s">
        <v>1390</v>
      </c>
      <c r="D110" s="388"/>
      <c r="E110" s="394" t="s">
        <v>733</v>
      </c>
      <c r="F110" s="388" t="s">
        <v>794</v>
      </c>
      <c r="G110" s="388" t="s">
        <v>1240</v>
      </c>
      <c r="H110" s="388" t="s">
        <v>1241</v>
      </c>
      <c r="I110" s="389">
        <v>210000</v>
      </c>
      <c r="J110" s="119" t="s">
        <v>761</v>
      </c>
    </row>
    <row r="111" spans="1:10" s="119" customFormat="1" x14ac:dyDescent="0.25">
      <c r="A111" s="387">
        <v>45855.458777893517</v>
      </c>
      <c r="B111" s="387" t="s">
        <v>1391</v>
      </c>
      <c r="C111" s="388" t="s">
        <v>1392</v>
      </c>
      <c r="D111" s="388"/>
      <c r="E111" s="394" t="s">
        <v>733</v>
      </c>
      <c r="F111" s="388" t="s">
        <v>718</v>
      </c>
      <c r="G111" s="388" t="s">
        <v>775</v>
      </c>
      <c r="H111" s="388" t="s">
        <v>1143</v>
      </c>
      <c r="I111" s="389">
        <v>238905</v>
      </c>
      <c r="J111" s="119" t="s">
        <v>761</v>
      </c>
    </row>
    <row r="112" spans="1:10" s="119" customFormat="1" x14ac:dyDescent="0.25">
      <c r="A112" s="387">
        <v>45854.638925925923</v>
      </c>
      <c r="B112" s="387" t="s">
        <v>1393</v>
      </c>
      <c r="C112" s="388" t="s">
        <v>1394</v>
      </c>
      <c r="D112" s="388"/>
      <c r="E112" s="394" t="s">
        <v>733</v>
      </c>
      <c r="F112" s="388" t="s">
        <v>1395</v>
      </c>
      <c r="G112" s="388" t="s">
        <v>1396</v>
      </c>
      <c r="H112" s="388" t="s">
        <v>1397</v>
      </c>
      <c r="I112" s="389">
        <v>254829</v>
      </c>
      <c r="J112" s="119" t="s">
        <v>761</v>
      </c>
    </row>
    <row r="113" spans="1:10" s="119" customFormat="1" x14ac:dyDescent="0.25">
      <c r="A113" s="387">
        <v>45842.430581712964</v>
      </c>
      <c r="B113" s="387" t="s">
        <v>784</v>
      </c>
      <c r="C113" s="388" t="s">
        <v>1398</v>
      </c>
      <c r="D113" s="388"/>
      <c r="E113" s="394" t="s">
        <v>733</v>
      </c>
      <c r="F113" s="388"/>
      <c r="G113" s="388" t="s">
        <v>791</v>
      </c>
      <c r="H113" s="388" t="s">
        <v>1184</v>
      </c>
      <c r="I113" s="389"/>
      <c r="J113" s="119" t="s">
        <v>784</v>
      </c>
    </row>
    <row r="114" spans="1:10" s="119" customFormat="1" x14ac:dyDescent="0.25">
      <c r="A114" s="387">
        <v>45868.5843221412</v>
      </c>
      <c r="B114" s="387" t="s">
        <v>806</v>
      </c>
      <c r="C114" s="388" t="s">
        <v>1399</v>
      </c>
      <c r="D114" s="388"/>
      <c r="E114" s="394" t="s">
        <v>733</v>
      </c>
      <c r="F114" s="388"/>
      <c r="G114" s="388" t="s">
        <v>795</v>
      </c>
      <c r="H114" s="388" t="s">
        <v>1291</v>
      </c>
      <c r="I114" s="389"/>
      <c r="J114" s="119" t="s">
        <v>814</v>
      </c>
    </row>
    <row r="115" spans="1:10" s="119" customFormat="1" x14ac:dyDescent="0.25">
      <c r="A115" s="387">
        <v>45868.502463738427</v>
      </c>
      <c r="B115" s="387" t="s">
        <v>1400</v>
      </c>
      <c r="C115" s="388" t="s">
        <v>1401</v>
      </c>
      <c r="D115" s="388"/>
      <c r="E115" s="394" t="s">
        <v>733</v>
      </c>
      <c r="F115" s="388" t="s">
        <v>1013</v>
      </c>
      <c r="G115" s="388" t="s">
        <v>1402</v>
      </c>
      <c r="H115" s="388" t="s">
        <v>1403</v>
      </c>
      <c r="I115" s="389">
        <v>158339.79</v>
      </c>
      <c r="J115" s="119" t="s">
        <v>761</v>
      </c>
    </row>
    <row r="116" spans="1:10" s="119" customFormat="1" x14ac:dyDescent="0.25">
      <c r="A116" s="387">
        <v>45862.418955439811</v>
      </c>
      <c r="B116" s="387" t="s">
        <v>1404</v>
      </c>
      <c r="C116" s="388" t="s">
        <v>1405</v>
      </c>
      <c r="D116" s="388"/>
      <c r="E116" s="394" t="s">
        <v>733</v>
      </c>
      <c r="F116" s="388" t="s">
        <v>1156</v>
      </c>
      <c r="G116" s="388" t="s">
        <v>798</v>
      </c>
      <c r="H116" s="388" t="s">
        <v>1181</v>
      </c>
      <c r="I116" s="389">
        <v>245075.97</v>
      </c>
      <c r="J116" s="119" t="s">
        <v>761</v>
      </c>
    </row>
    <row r="117" spans="1:10" s="119" customFormat="1" x14ac:dyDescent="0.25">
      <c r="A117" s="387">
        <v>45861.402825810183</v>
      </c>
      <c r="B117" s="387" t="s">
        <v>1406</v>
      </c>
      <c r="C117" s="388" t="s">
        <v>1407</v>
      </c>
      <c r="D117" s="388"/>
      <c r="E117" s="394" t="s">
        <v>733</v>
      </c>
      <c r="F117" s="388" t="s">
        <v>663</v>
      </c>
      <c r="G117" s="388" t="s">
        <v>1240</v>
      </c>
      <c r="H117" s="388" t="s">
        <v>1241</v>
      </c>
      <c r="I117" s="389">
        <v>210000</v>
      </c>
      <c r="J117" s="119" t="s">
        <v>761</v>
      </c>
    </row>
    <row r="118" spans="1:10" s="119" customFormat="1" x14ac:dyDescent="0.25">
      <c r="A118" s="387">
        <v>45860.502637500002</v>
      </c>
      <c r="B118" s="387" t="s">
        <v>1408</v>
      </c>
      <c r="C118" s="388" t="s">
        <v>1409</v>
      </c>
      <c r="D118" s="388"/>
      <c r="E118" s="394" t="s">
        <v>733</v>
      </c>
      <c r="F118" s="388" t="s">
        <v>1410</v>
      </c>
      <c r="G118" s="388" t="s">
        <v>1411</v>
      </c>
      <c r="H118" s="388" t="s">
        <v>1412</v>
      </c>
      <c r="I118" s="389">
        <v>128000</v>
      </c>
      <c r="J118" s="119" t="s">
        <v>761</v>
      </c>
    </row>
    <row r="119" spans="1:10" s="119" customFormat="1" x14ac:dyDescent="0.25">
      <c r="A119" s="387">
        <v>45860.459461226848</v>
      </c>
      <c r="B119" s="387" t="s">
        <v>1413</v>
      </c>
      <c r="C119" s="388" t="s">
        <v>1414</v>
      </c>
      <c r="D119" s="388"/>
      <c r="E119" s="394" t="s">
        <v>733</v>
      </c>
      <c r="F119" s="388" t="s">
        <v>662</v>
      </c>
      <c r="G119" s="388" t="s">
        <v>775</v>
      </c>
      <c r="H119" s="388" t="s">
        <v>1143</v>
      </c>
      <c r="I119" s="389">
        <v>8673</v>
      </c>
      <c r="J119" s="119" t="s">
        <v>761</v>
      </c>
    </row>
    <row r="120" spans="1:10" s="119" customFormat="1" x14ac:dyDescent="0.25">
      <c r="A120" s="387">
        <v>45860.438058877313</v>
      </c>
      <c r="B120" s="387" t="s">
        <v>1415</v>
      </c>
      <c r="C120" s="388" t="s">
        <v>1416</v>
      </c>
      <c r="D120" s="388"/>
      <c r="E120" s="394" t="s">
        <v>733</v>
      </c>
      <c r="F120" s="388" t="s">
        <v>648</v>
      </c>
      <c r="G120" s="388" t="s">
        <v>777</v>
      </c>
      <c r="H120" s="388" t="s">
        <v>1417</v>
      </c>
      <c r="I120" s="389"/>
      <c r="J120" s="119" t="s">
        <v>761</v>
      </c>
    </row>
    <row r="121" spans="1:10" s="119" customFormat="1" x14ac:dyDescent="0.25">
      <c r="A121" s="387">
        <v>45855.501949270831</v>
      </c>
      <c r="B121" s="387" t="s">
        <v>1418</v>
      </c>
      <c r="C121" s="388" t="s">
        <v>1419</v>
      </c>
      <c r="D121" s="388"/>
      <c r="E121" s="394" t="s">
        <v>733</v>
      </c>
      <c r="F121" s="388" t="s">
        <v>1003</v>
      </c>
      <c r="G121" s="388" t="s">
        <v>781</v>
      </c>
      <c r="H121" s="388" t="s">
        <v>1168</v>
      </c>
      <c r="I121" s="389">
        <v>206018</v>
      </c>
      <c r="J121" s="119" t="s">
        <v>761</v>
      </c>
    </row>
    <row r="122" spans="1:10" s="119" customFormat="1" x14ac:dyDescent="0.25">
      <c r="A122" s="387">
        <v>45855.479378703705</v>
      </c>
      <c r="B122" s="387" t="s">
        <v>1420</v>
      </c>
      <c r="C122" s="388" t="s">
        <v>1421</v>
      </c>
      <c r="D122" s="388"/>
      <c r="E122" s="394" t="s">
        <v>733</v>
      </c>
      <c r="F122" s="388" t="s">
        <v>875</v>
      </c>
      <c r="G122" s="388" t="s">
        <v>760</v>
      </c>
      <c r="H122" s="388" t="s">
        <v>1132</v>
      </c>
      <c r="I122" s="389">
        <v>10793</v>
      </c>
      <c r="J122" s="119" t="s">
        <v>761</v>
      </c>
    </row>
    <row r="123" spans="1:10" s="119" customFormat="1" x14ac:dyDescent="0.25">
      <c r="A123" s="387">
        <v>45853.607783796295</v>
      </c>
      <c r="B123" s="387" t="s">
        <v>1422</v>
      </c>
      <c r="C123" s="388" t="s">
        <v>1423</v>
      </c>
      <c r="D123" s="388"/>
      <c r="E123" s="394" t="s">
        <v>733</v>
      </c>
      <c r="F123" s="388" t="s">
        <v>1424</v>
      </c>
      <c r="G123" s="388" t="s">
        <v>1425</v>
      </c>
      <c r="H123" s="388" t="s">
        <v>1426</v>
      </c>
      <c r="I123" s="389">
        <v>1816280</v>
      </c>
      <c r="J123" s="119" t="s">
        <v>761</v>
      </c>
    </row>
    <row r="124" spans="1:10" s="119" customFormat="1" x14ac:dyDescent="0.25">
      <c r="A124" s="387">
        <v>45842.419372025463</v>
      </c>
      <c r="B124" s="387" t="s">
        <v>1427</v>
      </c>
      <c r="C124" s="388" t="s">
        <v>1428</v>
      </c>
      <c r="D124" s="388"/>
      <c r="E124" s="394" t="s">
        <v>733</v>
      </c>
      <c r="F124" s="388" t="s">
        <v>1080</v>
      </c>
      <c r="G124" s="388" t="s">
        <v>1429</v>
      </c>
      <c r="H124" s="388" t="s">
        <v>1430</v>
      </c>
      <c r="I124" s="389">
        <v>172000</v>
      </c>
      <c r="J124" s="119" t="s">
        <v>761</v>
      </c>
    </row>
    <row r="125" spans="1:10" s="119" customFormat="1" x14ac:dyDescent="0.25">
      <c r="A125" s="387">
        <v>45842.419371331016</v>
      </c>
      <c r="B125" s="387" t="s">
        <v>1431</v>
      </c>
      <c r="C125" s="388" t="s">
        <v>1432</v>
      </c>
      <c r="D125" s="388"/>
      <c r="E125" s="394" t="s">
        <v>733</v>
      </c>
      <c r="F125" s="388" t="s">
        <v>1011</v>
      </c>
      <c r="G125" s="388" t="s">
        <v>798</v>
      </c>
      <c r="H125" s="388" t="s">
        <v>1181</v>
      </c>
      <c r="I125" s="389">
        <v>271400</v>
      </c>
      <c r="J125" s="119" t="s">
        <v>761</v>
      </c>
    </row>
    <row r="126" spans="1:10" s="119" customFormat="1" x14ac:dyDescent="0.25">
      <c r="A126" s="387">
        <v>45841.614597106476</v>
      </c>
      <c r="B126" s="387" t="s">
        <v>1433</v>
      </c>
      <c r="C126" s="388" t="s">
        <v>1434</v>
      </c>
      <c r="D126" s="388"/>
      <c r="E126" s="394" t="s">
        <v>733</v>
      </c>
      <c r="F126" s="388" t="s">
        <v>1435</v>
      </c>
      <c r="G126" s="388" t="s">
        <v>762</v>
      </c>
      <c r="H126" s="388" t="s">
        <v>1436</v>
      </c>
      <c r="I126" s="389">
        <v>34220</v>
      </c>
      <c r="J126" s="119" t="s">
        <v>761</v>
      </c>
    </row>
    <row r="127" spans="1:10" s="119" customFormat="1" x14ac:dyDescent="0.25">
      <c r="A127" s="387">
        <v>45868.555585729162</v>
      </c>
      <c r="B127" s="387" t="s">
        <v>1437</v>
      </c>
      <c r="C127" s="388" t="s">
        <v>1438</v>
      </c>
      <c r="D127" s="388"/>
      <c r="E127" s="394" t="s">
        <v>733</v>
      </c>
      <c r="F127" s="388" t="s">
        <v>703</v>
      </c>
      <c r="G127" s="388" t="s">
        <v>1439</v>
      </c>
      <c r="H127" s="388" t="s">
        <v>1440</v>
      </c>
      <c r="I127" s="389">
        <v>191396</v>
      </c>
      <c r="J127" s="119" t="s">
        <v>761</v>
      </c>
    </row>
    <row r="128" spans="1:10" s="119" customFormat="1" x14ac:dyDescent="0.25">
      <c r="A128" s="387">
        <v>45867.602796377316</v>
      </c>
      <c r="B128" s="387" t="s">
        <v>1441</v>
      </c>
      <c r="C128" s="388" t="s">
        <v>1442</v>
      </c>
      <c r="D128" s="388"/>
      <c r="E128" s="394" t="s">
        <v>733</v>
      </c>
      <c r="F128" s="388" t="s">
        <v>803</v>
      </c>
      <c r="G128" s="388" t="s">
        <v>804</v>
      </c>
      <c r="H128" s="388" t="s">
        <v>1172</v>
      </c>
      <c r="I128" s="389">
        <v>3160</v>
      </c>
      <c r="J128" s="119" t="s">
        <v>761</v>
      </c>
    </row>
    <row r="129" spans="1:10" s="119" customFormat="1" x14ac:dyDescent="0.25">
      <c r="A129" s="387">
        <v>45867.458890081019</v>
      </c>
      <c r="B129" s="387" t="s">
        <v>1443</v>
      </c>
      <c r="C129" s="388" t="s">
        <v>1444</v>
      </c>
      <c r="D129" s="388"/>
      <c r="E129" s="394" t="s">
        <v>733</v>
      </c>
      <c r="F129" s="388" t="s">
        <v>1156</v>
      </c>
      <c r="G129" s="388" t="s">
        <v>798</v>
      </c>
      <c r="H129" s="388" t="s">
        <v>1181</v>
      </c>
      <c r="I129" s="389">
        <v>241951</v>
      </c>
      <c r="J129" s="119" t="s">
        <v>761</v>
      </c>
    </row>
    <row r="130" spans="1:10" s="119" customFormat="1" x14ac:dyDescent="0.25">
      <c r="A130" s="387">
        <v>45854.541991122685</v>
      </c>
      <c r="B130" s="387" t="s">
        <v>1445</v>
      </c>
      <c r="C130" s="388" t="s">
        <v>1446</v>
      </c>
      <c r="D130" s="388"/>
      <c r="E130" s="394" t="s">
        <v>733</v>
      </c>
      <c r="F130" s="388" t="s">
        <v>875</v>
      </c>
      <c r="G130" s="388" t="s">
        <v>760</v>
      </c>
      <c r="H130" s="388" t="s">
        <v>1132</v>
      </c>
      <c r="I130" s="389">
        <v>479452</v>
      </c>
      <c r="J130" s="119" t="s">
        <v>761</v>
      </c>
    </row>
    <row r="131" spans="1:10" s="119" customFormat="1" x14ac:dyDescent="0.25">
      <c r="A131" s="387">
        <v>45853.584280636569</v>
      </c>
      <c r="B131" s="387" t="s">
        <v>1447</v>
      </c>
      <c r="C131" s="388" t="s">
        <v>1448</v>
      </c>
      <c r="D131" s="388"/>
      <c r="E131" s="394" t="s">
        <v>733</v>
      </c>
      <c r="F131" s="388" t="s">
        <v>666</v>
      </c>
      <c r="G131" s="388" t="s">
        <v>799</v>
      </c>
      <c r="H131" s="388" t="s">
        <v>1153</v>
      </c>
      <c r="I131" s="389">
        <v>259010</v>
      </c>
      <c r="J131" s="119" t="s">
        <v>761</v>
      </c>
    </row>
    <row r="132" spans="1:10" s="119" customFormat="1" x14ac:dyDescent="0.25">
      <c r="A132" s="387">
        <v>45852.502348692127</v>
      </c>
      <c r="B132" s="387" t="s">
        <v>1449</v>
      </c>
      <c r="C132" s="388" t="s">
        <v>1450</v>
      </c>
      <c r="D132" s="388"/>
      <c r="E132" s="394" t="s">
        <v>733</v>
      </c>
      <c r="F132" s="388" t="s">
        <v>1142</v>
      </c>
      <c r="G132" s="388" t="s">
        <v>762</v>
      </c>
      <c r="H132" s="388" t="s">
        <v>1436</v>
      </c>
      <c r="I132" s="389">
        <v>199998</v>
      </c>
      <c r="J132" s="119" t="s">
        <v>761</v>
      </c>
    </row>
    <row r="133" spans="1:10" s="119" customFormat="1" x14ac:dyDescent="0.25">
      <c r="A133" s="387">
        <v>45852.437742094902</v>
      </c>
      <c r="B133" s="387" t="s">
        <v>1451</v>
      </c>
      <c r="C133" s="388" t="s">
        <v>1452</v>
      </c>
      <c r="D133" s="388"/>
      <c r="E133" s="394" t="s">
        <v>733</v>
      </c>
      <c r="F133" s="388" t="s">
        <v>873</v>
      </c>
      <c r="G133" s="388" t="s">
        <v>791</v>
      </c>
      <c r="H133" s="388" t="s">
        <v>1184</v>
      </c>
      <c r="I133" s="389">
        <v>259600</v>
      </c>
      <c r="J133" s="119" t="s">
        <v>761</v>
      </c>
    </row>
    <row r="134" spans="1:10" s="119" customFormat="1" x14ac:dyDescent="0.25">
      <c r="A134" s="387">
        <v>45847.667428935187</v>
      </c>
      <c r="B134" s="387" t="s">
        <v>1453</v>
      </c>
      <c r="C134" s="388" t="s">
        <v>1454</v>
      </c>
      <c r="D134" s="388"/>
      <c r="E134" s="394" t="s">
        <v>733</v>
      </c>
      <c r="F134" s="388" t="s">
        <v>1455</v>
      </c>
      <c r="G134" s="388" t="s">
        <v>760</v>
      </c>
      <c r="H134" s="388" t="s">
        <v>1132</v>
      </c>
      <c r="I134" s="389">
        <v>16188</v>
      </c>
      <c r="J134" s="119" t="s">
        <v>761</v>
      </c>
    </row>
    <row r="135" spans="1:10" s="119" customFormat="1" x14ac:dyDescent="0.25">
      <c r="A135" s="387">
        <v>45846.584363425922</v>
      </c>
      <c r="B135" s="387" t="s">
        <v>1456</v>
      </c>
      <c r="C135" s="388" t="s">
        <v>1457</v>
      </c>
      <c r="D135" s="388"/>
      <c r="E135" s="394" t="s">
        <v>733</v>
      </c>
      <c r="F135" s="388" t="s">
        <v>662</v>
      </c>
      <c r="G135" s="388" t="s">
        <v>769</v>
      </c>
      <c r="H135" s="388" t="s">
        <v>1458</v>
      </c>
      <c r="I135" s="389">
        <v>48178</v>
      </c>
      <c r="J135" s="119" t="s">
        <v>761</v>
      </c>
    </row>
    <row r="136" spans="1:10" s="119" customFormat="1" x14ac:dyDescent="0.25">
      <c r="A136" s="387">
        <v>45839.458648807871</v>
      </c>
      <c r="B136" s="387" t="s">
        <v>808</v>
      </c>
      <c r="C136" s="388" t="s">
        <v>809</v>
      </c>
      <c r="D136" s="388"/>
      <c r="E136" s="394" t="s">
        <v>733</v>
      </c>
      <c r="F136" s="388" t="s">
        <v>810</v>
      </c>
      <c r="G136" s="388" t="s">
        <v>800</v>
      </c>
      <c r="H136" s="388" t="s">
        <v>1338</v>
      </c>
      <c r="I136" s="389">
        <v>147500</v>
      </c>
      <c r="J136" s="119" t="s">
        <v>761</v>
      </c>
    </row>
    <row r="137" spans="1:10" s="119" customFormat="1" x14ac:dyDescent="0.25">
      <c r="A137" s="387">
        <v>45849.419365196758</v>
      </c>
      <c r="B137" s="387" t="s">
        <v>1459</v>
      </c>
      <c r="C137" s="388" t="s">
        <v>1460</v>
      </c>
      <c r="D137" s="388"/>
      <c r="E137" s="394" t="s">
        <v>733</v>
      </c>
      <c r="F137" s="388" t="s">
        <v>766</v>
      </c>
      <c r="G137" s="388" t="s">
        <v>1259</v>
      </c>
      <c r="H137" s="388" t="s">
        <v>1260</v>
      </c>
      <c r="I137" s="389">
        <v>177000</v>
      </c>
      <c r="J137" s="119" t="s">
        <v>761</v>
      </c>
    </row>
    <row r="138" spans="1:10" s="119" customFormat="1" x14ac:dyDescent="0.25">
      <c r="A138" s="387">
        <v>45842.423624340277</v>
      </c>
      <c r="B138" s="387" t="s">
        <v>1461</v>
      </c>
      <c r="C138" s="388" t="s">
        <v>1462</v>
      </c>
      <c r="D138" s="388"/>
      <c r="E138" s="394" t="s">
        <v>733</v>
      </c>
      <c r="F138" s="388" t="s">
        <v>873</v>
      </c>
      <c r="G138" s="388" t="s">
        <v>787</v>
      </c>
      <c r="H138" s="388" t="s">
        <v>1176</v>
      </c>
      <c r="I138" s="389">
        <v>175000</v>
      </c>
      <c r="J138" s="119" t="s">
        <v>761</v>
      </c>
    </row>
    <row r="139" spans="1:10" s="119" customFormat="1" x14ac:dyDescent="0.25">
      <c r="A139" s="387">
        <v>45859.409782557872</v>
      </c>
      <c r="B139" s="387" t="s">
        <v>1463</v>
      </c>
      <c r="C139" s="388" t="s">
        <v>1464</v>
      </c>
      <c r="D139" s="388"/>
      <c r="E139" s="394" t="s">
        <v>733</v>
      </c>
      <c r="F139" s="388" t="s">
        <v>652</v>
      </c>
      <c r="G139" s="388" t="s">
        <v>1217</v>
      </c>
      <c r="H139" s="388" t="s">
        <v>1218</v>
      </c>
      <c r="I139" s="389">
        <v>187514</v>
      </c>
      <c r="J139" s="119" t="s">
        <v>761</v>
      </c>
    </row>
    <row r="140" spans="1:10" s="119" customFormat="1" x14ac:dyDescent="0.25">
      <c r="A140" s="387">
        <v>45852.417856944441</v>
      </c>
      <c r="B140" s="387" t="s">
        <v>1465</v>
      </c>
      <c r="C140" s="388" t="s">
        <v>1466</v>
      </c>
      <c r="D140" s="388"/>
      <c r="E140" s="394" t="s">
        <v>733</v>
      </c>
      <c r="F140" s="388" t="s">
        <v>1467</v>
      </c>
      <c r="G140" s="388" t="s">
        <v>799</v>
      </c>
      <c r="H140" s="388" t="s">
        <v>1153</v>
      </c>
      <c r="I140" s="389">
        <v>220542</v>
      </c>
      <c r="J140" s="119" t="s">
        <v>761</v>
      </c>
    </row>
    <row r="141" spans="1:10" s="119" customFormat="1" x14ac:dyDescent="0.25">
      <c r="A141" s="387">
        <v>45848.458930706016</v>
      </c>
      <c r="B141" s="387" t="s">
        <v>1468</v>
      </c>
      <c r="C141" s="388" t="s">
        <v>1469</v>
      </c>
      <c r="D141" s="388"/>
      <c r="E141" s="394" t="s">
        <v>733</v>
      </c>
      <c r="F141" s="388" t="s">
        <v>794</v>
      </c>
      <c r="G141" s="388" t="s">
        <v>781</v>
      </c>
      <c r="H141" s="388" t="s">
        <v>1168</v>
      </c>
      <c r="I141" s="389">
        <v>128000</v>
      </c>
      <c r="J141" s="119" t="s">
        <v>761</v>
      </c>
    </row>
    <row r="142" spans="1:10" s="119" customFormat="1" x14ac:dyDescent="0.25">
      <c r="A142" s="387">
        <v>45845.584114618054</v>
      </c>
      <c r="B142" s="387" t="s">
        <v>1470</v>
      </c>
      <c r="C142" s="388" t="s">
        <v>1471</v>
      </c>
      <c r="D142" s="388"/>
      <c r="E142" s="394" t="s">
        <v>733</v>
      </c>
      <c r="F142" s="388" t="s">
        <v>701</v>
      </c>
      <c r="G142" s="388" t="s">
        <v>781</v>
      </c>
      <c r="H142" s="388" t="s">
        <v>1168</v>
      </c>
      <c r="I142" s="389">
        <v>180000</v>
      </c>
      <c r="J142" s="119" t="s">
        <v>761</v>
      </c>
    </row>
    <row r="143" spans="1:10" s="119" customFormat="1" x14ac:dyDescent="0.25">
      <c r="A143" s="387">
        <v>45845.444469212962</v>
      </c>
      <c r="B143" s="387" t="s">
        <v>1472</v>
      </c>
      <c r="C143" s="388" t="s">
        <v>1473</v>
      </c>
      <c r="D143" s="388"/>
      <c r="E143" s="394" t="s">
        <v>733</v>
      </c>
      <c r="F143" s="388" t="s">
        <v>1197</v>
      </c>
      <c r="G143" s="388" t="s">
        <v>1198</v>
      </c>
      <c r="H143" s="388" t="s">
        <v>1199</v>
      </c>
      <c r="I143" s="389">
        <v>197674</v>
      </c>
      <c r="J143" s="119" t="s">
        <v>761</v>
      </c>
    </row>
    <row r="144" spans="1:10" ht="15.75" x14ac:dyDescent="0.25">
      <c r="A144" s="1"/>
      <c r="B144" s="1"/>
      <c r="C144" s="1"/>
      <c r="D144" s="333" t="s">
        <v>1474</v>
      </c>
      <c r="E144" s="1"/>
      <c r="F144" s="416" t="s">
        <v>736</v>
      </c>
      <c r="G144" s="417"/>
      <c r="H144" s="334"/>
      <c r="I144" s="395">
        <f>SUM(I9:I143)</f>
        <v>33599531.199999996</v>
      </c>
    </row>
    <row r="145" spans="1:8" x14ac:dyDescent="0.25">
      <c r="A145" s="126"/>
      <c r="B145" s="126"/>
    </row>
    <row r="146" spans="1:8" x14ac:dyDescent="0.25">
      <c r="A146" s="126"/>
      <c r="B146" s="126"/>
    </row>
    <row r="147" spans="1:8" ht="15.75" x14ac:dyDescent="0.25">
      <c r="A147" s="335" t="s">
        <v>737</v>
      </c>
      <c r="B147" s="335"/>
      <c r="C147" s="335"/>
      <c r="D147" s="336"/>
      <c r="F147" s="127" t="s">
        <v>738</v>
      </c>
    </row>
    <row r="148" spans="1:8" x14ac:dyDescent="0.25">
      <c r="D148" s="336"/>
    </row>
    <row r="149" spans="1:8" x14ac:dyDescent="0.25">
      <c r="A149" s="111" t="s">
        <v>739</v>
      </c>
      <c r="B149" s="111" t="s">
        <v>740</v>
      </c>
      <c r="C149" s="111" t="s">
        <v>435</v>
      </c>
      <c r="D149" s="336"/>
      <c r="F149" s="111" t="s">
        <v>436</v>
      </c>
      <c r="G149" s="111" t="s">
        <v>740</v>
      </c>
      <c r="H149" s="111" t="s">
        <v>435</v>
      </c>
    </row>
    <row r="150" spans="1:8" x14ac:dyDescent="0.25">
      <c r="A150" s="337"/>
      <c r="B150" s="2"/>
      <c r="C150" s="112"/>
      <c r="D150" s="336"/>
      <c r="F150" s="1" t="s">
        <v>741</v>
      </c>
      <c r="G150" s="1"/>
      <c r="H150" s="152"/>
    </row>
    <row r="151" spans="1:8" x14ac:dyDescent="0.25">
      <c r="A151" s="337"/>
      <c r="B151" s="2"/>
      <c r="C151" s="112"/>
      <c r="D151" s="336"/>
      <c r="F151" s="1" t="s">
        <v>742</v>
      </c>
      <c r="G151" s="1"/>
      <c r="H151" s="152"/>
    </row>
    <row r="152" spans="1:8" x14ac:dyDescent="0.25">
      <c r="A152" s="337"/>
      <c r="B152" s="2"/>
      <c r="C152" s="112"/>
      <c r="D152" s="336"/>
      <c r="F152" s="1" t="s">
        <v>743</v>
      </c>
      <c r="G152" s="1"/>
      <c r="H152" s="152"/>
    </row>
    <row r="153" spans="1:8" x14ac:dyDescent="0.25">
      <c r="A153" s="337"/>
      <c r="B153" s="2"/>
      <c r="C153" s="112"/>
      <c r="D153" s="336"/>
      <c r="F153" s="338" t="s">
        <v>744</v>
      </c>
      <c r="G153" s="1">
        <f>SUM(G150:G152)</f>
        <v>0</v>
      </c>
      <c r="H153" s="152">
        <f>+H145</f>
        <v>0</v>
      </c>
    </row>
    <row r="154" spans="1:8" x14ac:dyDescent="0.25">
      <c r="A154" s="337"/>
      <c r="B154" s="2"/>
      <c r="C154" s="112"/>
      <c r="D154" s="336"/>
    </row>
    <row r="155" spans="1:8" x14ac:dyDescent="0.25">
      <c r="A155" s="337"/>
      <c r="B155" s="2"/>
      <c r="C155" s="112"/>
      <c r="D155" s="336"/>
    </row>
    <row r="156" spans="1:8" x14ac:dyDescent="0.25">
      <c r="A156" s="337"/>
      <c r="B156" s="2"/>
      <c r="C156" s="112"/>
      <c r="D156" s="336"/>
    </row>
    <row r="157" spans="1:8" x14ac:dyDescent="0.25">
      <c r="A157" s="337"/>
      <c r="B157" s="2"/>
      <c r="C157" s="112"/>
      <c r="D157" s="336"/>
    </row>
    <row r="158" spans="1:8" x14ac:dyDescent="0.25">
      <c r="A158" s="337"/>
      <c r="B158" s="2"/>
      <c r="C158" s="112"/>
      <c r="D158" s="336"/>
    </row>
    <row r="159" spans="1:8" x14ac:dyDescent="0.25">
      <c r="A159" s="337"/>
      <c r="B159" s="2"/>
      <c r="C159" s="112"/>
      <c r="D159" s="336"/>
    </row>
    <row r="160" spans="1:8" x14ac:dyDescent="0.25">
      <c r="A160" s="337"/>
      <c r="B160" s="2"/>
      <c r="C160" s="112"/>
      <c r="D160" s="336"/>
    </row>
    <row r="161" spans="1:5" x14ac:dyDescent="0.25">
      <c r="A161" s="337"/>
      <c r="B161" s="2"/>
      <c r="C161" s="112"/>
      <c r="D161" s="336"/>
      <c r="E161" t="s">
        <v>745</v>
      </c>
    </row>
    <row r="162" spans="1:5" x14ac:dyDescent="0.25">
      <c r="A162" s="337"/>
      <c r="B162" s="2"/>
      <c r="C162" s="112"/>
      <c r="D162" s="336"/>
    </row>
    <row r="163" spans="1:5" x14ac:dyDescent="0.25">
      <c r="A163" s="337"/>
      <c r="B163" s="2"/>
      <c r="C163" s="112"/>
      <c r="D163" s="336"/>
      <c r="E163" t="s">
        <v>746</v>
      </c>
    </row>
    <row r="164" spans="1:5" x14ac:dyDescent="0.25">
      <c r="A164" s="337"/>
      <c r="B164" s="2"/>
      <c r="C164" s="112"/>
      <c r="E164" t="s">
        <v>747</v>
      </c>
    </row>
    <row r="165" spans="1:5" x14ac:dyDescent="0.25">
      <c r="A165" s="337"/>
      <c r="B165" s="2"/>
      <c r="C165" s="112"/>
    </row>
    <row r="166" spans="1:5" x14ac:dyDescent="0.25">
      <c r="A166" s="337"/>
      <c r="B166" s="2"/>
      <c r="C166" s="112"/>
      <c r="E166" t="s">
        <v>746</v>
      </c>
    </row>
    <row r="167" spans="1:5" x14ac:dyDescent="0.25">
      <c r="A167" s="337"/>
      <c r="B167" s="2"/>
      <c r="C167" s="112"/>
      <c r="E167" t="s">
        <v>748</v>
      </c>
    </row>
    <row r="168" spans="1:5" x14ac:dyDescent="0.25">
      <c r="A168" s="337"/>
      <c r="B168" s="2"/>
      <c r="C168" s="112"/>
    </row>
    <row r="169" spans="1:5" x14ac:dyDescent="0.25">
      <c r="A169" s="337"/>
      <c r="B169" s="2"/>
      <c r="C169" s="112"/>
    </row>
    <row r="170" spans="1:5" x14ac:dyDescent="0.25">
      <c r="A170" s="337"/>
      <c r="B170" s="2"/>
      <c r="C170" s="112"/>
      <c r="E170" t="s">
        <v>749</v>
      </c>
    </row>
    <row r="171" spans="1:5" x14ac:dyDescent="0.25">
      <c r="A171" s="337"/>
      <c r="B171" s="2"/>
      <c r="C171" s="112"/>
    </row>
    <row r="172" spans="1:5" x14ac:dyDescent="0.25">
      <c r="A172" s="337"/>
      <c r="B172" s="2"/>
      <c r="C172" s="112"/>
    </row>
    <row r="173" spans="1:5" x14ac:dyDescent="0.25">
      <c r="A173" s="337"/>
      <c r="B173" s="2"/>
      <c r="C173" s="112"/>
    </row>
    <row r="174" spans="1:5" x14ac:dyDescent="0.25">
      <c r="A174" s="337"/>
      <c r="B174" s="2"/>
      <c r="C174" s="112"/>
    </row>
    <row r="175" spans="1:5" x14ac:dyDescent="0.25">
      <c r="A175" s="337"/>
      <c r="B175" s="2"/>
      <c r="C175" s="112"/>
    </row>
    <row r="176" spans="1:5" x14ac:dyDescent="0.25">
      <c r="A176" s="337"/>
      <c r="B176" s="2"/>
      <c r="C176" s="112"/>
    </row>
    <row r="177" spans="1:3" x14ac:dyDescent="0.25">
      <c r="A177" s="337"/>
      <c r="B177" s="2"/>
      <c r="C177" s="112"/>
    </row>
    <row r="178" spans="1:3" x14ac:dyDescent="0.25">
      <c r="A178" s="337"/>
      <c r="B178" s="2"/>
      <c r="C178" s="112"/>
    </row>
    <row r="179" spans="1:3" x14ac:dyDescent="0.25">
      <c r="A179" s="337"/>
      <c r="B179" s="2"/>
      <c r="C179" s="112"/>
    </row>
    <row r="180" spans="1:3" x14ac:dyDescent="0.25">
      <c r="A180" s="337"/>
      <c r="B180" s="2"/>
      <c r="C180" s="112"/>
    </row>
    <row r="181" spans="1:3" x14ac:dyDescent="0.25">
      <c r="A181" s="337"/>
      <c r="B181" s="2"/>
      <c r="C181" s="112"/>
    </row>
    <row r="182" spans="1:3" x14ac:dyDescent="0.25">
      <c r="A182" s="337"/>
      <c r="B182" s="2"/>
      <c r="C182" s="112"/>
    </row>
    <row r="183" spans="1:3" x14ac:dyDescent="0.25">
      <c r="A183" s="337"/>
      <c r="B183" s="2"/>
      <c r="C183" s="112"/>
    </row>
    <row r="184" spans="1:3" x14ac:dyDescent="0.25">
      <c r="A184" s="337"/>
      <c r="B184" s="2"/>
      <c r="C184" s="112"/>
    </row>
    <row r="185" spans="1:3" x14ac:dyDescent="0.25">
      <c r="A185" s="337"/>
      <c r="B185" s="2"/>
      <c r="C185" s="112"/>
    </row>
    <row r="186" spans="1:3" x14ac:dyDescent="0.25">
      <c r="A186" s="337"/>
      <c r="B186" s="2"/>
      <c r="C186" s="112"/>
    </row>
    <row r="187" spans="1:3" x14ac:dyDescent="0.25">
      <c r="A187" s="337"/>
      <c r="B187" s="2"/>
      <c r="C187" s="112"/>
    </row>
    <row r="188" spans="1:3" x14ac:dyDescent="0.25">
      <c r="A188" s="337"/>
      <c r="B188" s="2"/>
      <c r="C188" s="112"/>
    </row>
    <row r="189" spans="1:3" x14ac:dyDescent="0.25">
      <c r="A189" s="337"/>
      <c r="B189" s="2"/>
      <c r="C189" s="112"/>
    </row>
    <row r="190" spans="1:3" x14ac:dyDescent="0.25">
      <c r="A190" s="337"/>
      <c r="B190" s="2"/>
      <c r="C190" s="112"/>
    </row>
    <row r="191" spans="1:3" x14ac:dyDescent="0.25">
      <c r="A191" s="111" t="s">
        <v>750</v>
      </c>
      <c r="B191" s="339"/>
      <c r="C191" s="136">
        <f>SUM(C150:C190)</f>
        <v>0</v>
      </c>
    </row>
  </sheetData>
  <sortState ref="A9:J102">
    <sortCondition ref="A9:A102"/>
  </sortState>
  <mergeCells count="6">
    <mergeCell ref="F144:G144"/>
    <mergeCell ref="A3:I3"/>
    <mergeCell ref="A4:I4"/>
    <mergeCell ref="A5:I5"/>
    <mergeCell ref="A6:I6"/>
    <mergeCell ref="A7:I7"/>
  </mergeCells>
  <pageMargins left="0.7" right="0.7" top="0.75" bottom="0.75" header="0.3" footer="0.3"/>
  <pageSetup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W64"/>
  <sheetViews>
    <sheetView topLeftCell="IS1" zoomScale="90" zoomScaleNormal="90" workbookViewId="0">
      <pane ySplit="2" topLeftCell="A46" activePane="bottomLeft" state="frozen"/>
      <selection activeCell="HJ1" sqref="HJ1"/>
      <selection pane="bottomLeft" activeCell="IS64" sqref="A64:XFD64"/>
    </sheetView>
  </sheetViews>
  <sheetFormatPr baseColWidth="10" defaultRowHeight="15" x14ac:dyDescent="0.25"/>
  <cols>
    <col min="1" max="23" width="7.85546875" bestFit="1" customWidth="1"/>
    <col min="24" max="24" width="13.85546875" bestFit="1" customWidth="1"/>
    <col min="25" max="25" width="7.85546875" bestFit="1" customWidth="1"/>
    <col min="26" max="26" width="13.85546875" bestFit="1" customWidth="1"/>
    <col min="27" max="42" width="7.85546875" bestFit="1" customWidth="1"/>
    <col min="43" max="43" width="12.140625" bestFit="1" customWidth="1"/>
    <col min="44" max="44" width="7.85546875" bestFit="1" customWidth="1"/>
    <col min="45" max="45" width="12.140625" bestFit="1" customWidth="1"/>
    <col min="46" max="48" width="7.85546875" bestFit="1" customWidth="1"/>
    <col min="49" max="49" width="13.85546875" bestFit="1" customWidth="1"/>
    <col min="50" max="50" width="7.85546875" bestFit="1" customWidth="1"/>
    <col min="51" max="51" width="12.140625" bestFit="1" customWidth="1"/>
    <col min="52" max="53" width="7.85546875" bestFit="1" customWidth="1"/>
    <col min="54" max="55" width="11.140625" bestFit="1" customWidth="1"/>
    <col min="56" max="60" width="7.85546875" bestFit="1" customWidth="1"/>
    <col min="61" max="61" width="12.140625" bestFit="1" customWidth="1"/>
    <col min="62" max="68" width="7.85546875" bestFit="1" customWidth="1"/>
    <col min="69" max="69" width="11.140625" bestFit="1" customWidth="1"/>
    <col min="70" max="74" width="7.85546875" bestFit="1" customWidth="1"/>
    <col min="75" max="75" width="12.140625" bestFit="1" customWidth="1"/>
    <col min="76" max="78" width="7.85546875" bestFit="1" customWidth="1"/>
    <col min="79" max="79" width="11.140625" bestFit="1" customWidth="1"/>
    <col min="80" max="81" width="7.85546875" bestFit="1" customWidth="1"/>
    <col min="82" max="82" width="11.140625" bestFit="1" customWidth="1"/>
    <col min="83" max="85" width="7.85546875" bestFit="1" customWidth="1"/>
    <col min="86" max="86" width="12.140625" bestFit="1" customWidth="1"/>
    <col min="87" max="87" width="7.85546875" bestFit="1" customWidth="1"/>
    <col min="88" max="88" width="12.140625" bestFit="1" customWidth="1"/>
    <col min="89" max="89" width="7.85546875" bestFit="1" customWidth="1"/>
    <col min="90" max="91" width="12.140625" bestFit="1" customWidth="1"/>
    <col min="92" max="92" width="7.85546875" bestFit="1" customWidth="1"/>
    <col min="93" max="94" width="11.140625" bestFit="1" customWidth="1"/>
    <col min="95" max="96" width="7.85546875" bestFit="1" customWidth="1"/>
    <col min="97" max="97" width="12.140625" bestFit="1" customWidth="1"/>
    <col min="98" max="98" width="7.85546875" bestFit="1" customWidth="1"/>
    <col min="99" max="100" width="12.140625" bestFit="1" customWidth="1"/>
    <col min="101" max="103" width="7.85546875" bestFit="1" customWidth="1"/>
    <col min="104" max="104" width="11.140625" bestFit="1" customWidth="1"/>
    <col min="105" max="106" width="7.85546875" bestFit="1" customWidth="1"/>
    <col min="107" max="108" width="11.140625" bestFit="1" customWidth="1"/>
    <col min="109" max="109" width="12.140625" bestFit="1" customWidth="1"/>
    <col min="110" max="112" width="7.85546875" bestFit="1" customWidth="1"/>
    <col min="113" max="113" width="12.140625" bestFit="1" customWidth="1"/>
    <col min="114" max="114" width="7.85546875" bestFit="1" customWidth="1"/>
    <col min="115" max="115" width="12.140625" bestFit="1" customWidth="1"/>
    <col min="116" max="120" width="7.85546875" bestFit="1" customWidth="1"/>
    <col min="121" max="121" width="11.140625" bestFit="1" customWidth="1"/>
    <col min="122" max="122" width="12.140625" bestFit="1" customWidth="1"/>
    <col min="123" max="123" width="7.85546875" bestFit="1" customWidth="1"/>
    <col min="124" max="124" width="12.140625" bestFit="1" customWidth="1"/>
    <col min="125" max="125" width="7.85546875" bestFit="1" customWidth="1"/>
    <col min="126" max="127" width="12.140625" bestFit="1" customWidth="1"/>
    <col min="128" max="130" width="7.85546875" bestFit="1" customWidth="1"/>
    <col min="131" max="131" width="12.140625" bestFit="1" customWidth="1"/>
    <col min="132" max="134" width="7.85546875" bestFit="1" customWidth="1"/>
    <col min="135" max="135" width="12.140625" bestFit="1" customWidth="1"/>
    <col min="136" max="136" width="7.85546875" bestFit="1" customWidth="1"/>
    <col min="137" max="137" width="11.140625" bestFit="1" customWidth="1"/>
    <col min="138" max="138" width="10" bestFit="1" customWidth="1"/>
    <col min="139" max="142" width="7.85546875" bestFit="1" customWidth="1"/>
    <col min="143" max="144" width="11.140625" bestFit="1" customWidth="1"/>
    <col min="145" max="145" width="7.85546875" bestFit="1" customWidth="1"/>
    <col min="146" max="146" width="11.140625" bestFit="1" customWidth="1"/>
    <col min="147" max="147" width="7.85546875" bestFit="1" customWidth="1"/>
    <col min="148" max="148" width="10" bestFit="1" customWidth="1"/>
    <col min="149" max="156" width="7.85546875" bestFit="1" customWidth="1"/>
    <col min="157" max="157" width="12.140625" bestFit="1" customWidth="1"/>
    <col min="158" max="159" width="7.85546875" bestFit="1" customWidth="1"/>
    <col min="160" max="160" width="11.140625" bestFit="1" customWidth="1"/>
    <col min="161" max="165" width="7.85546875" bestFit="1" customWidth="1"/>
    <col min="166" max="166" width="12.140625" bestFit="1" customWidth="1"/>
    <col min="167" max="169" width="7.85546875" bestFit="1" customWidth="1"/>
    <col min="170" max="170" width="12.140625" bestFit="1" customWidth="1"/>
    <col min="171" max="172" width="7.85546875" bestFit="1" customWidth="1"/>
    <col min="173" max="173" width="13.85546875" bestFit="1" customWidth="1"/>
    <col min="174" max="175" width="7.85546875" bestFit="1" customWidth="1"/>
    <col min="176" max="176" width="12.140625" bestFit="1" customWidth="1"/>
    <col min="177" max="178" width="7.85546875" bestFit="1" customWidth="1"/>
    <col min="179" max="179" width="11.140625" bestFit="1" customWidth="1"/>
    <col min="180" max="180" width="7.85546875" bestFit="1" customWidth="1"/>
    <col min="181" max="181" width="12.140625" bestFit="1" customWidth="1"/>
    <col min="182" max="184" width="11.140625" bestFit="1" customWidth="1"/>
    <col min="185" max="185" width="12.140625" bestFit="1" customWidth="1"/>
    <col min="186" max="186" width="13.85546875" bestFit="1" customWidth="1"/>
    <col min="187" max="190" width="7.85546875" bestFit="1" customWidth="1"/>
    <col min="191" max="191" width="10" bestFit="1" customWidth="1"/>
    <col min="192" max="192" width="7.85546875" customWidth="1"/>
    <col min="193" max="194" width="7.85546875" bestFit="1" customWidth="1"/>
    <col min="195" max="195" width="12.140625" bestFit="1" customWidth="1"/>
    <col min="196" max="196" width="7.85546875" bestFit="1" customWidth="1"/>
    <col min="197" max="197" width="12.140625" bestFit="1" customWidth="1"/>
    <col min="198" max="199" width="7.85546875" bestFit="1" customWidth="1"/>
    <col min="200" max="200" width="13.85546875" bestFit="1" customWidth="1"/>
    <col min="201" max="201" width="7.85546875" bestFit="1" customWidth="1"/>
    <col min="202" max="202" width="13.85546875" bestFit="1" customWidth="1"/>
    <col min="203" max="207" width="7.85546875" bestFit="1" customWidth="1"/>
    <col min="208" max="208" width="12.140625" bestFit="1" customWidth="1"/>
    <col min="209" max="211" width="7.85546875" bestFit="1" customWidth="1"/>
    <col min="212" max="212" width="13.85546875" bestFit="1" customWidth="1"/>
    <col min="213" max="213" width="7.85546875" bestFit="1" customWidth="1"/>
    <col min="214" max="214" width="12.140625" bestFit="1" customWidth="1"/>
    <col min="215" max="216" width="7.85546875" bestFit="1" customWidth="1"/>
    <col min="217" max="217" width="11.140625" bestFit="1" customWidth="1"/>
    <col min="218" max="219" width="7.85546875" bestFit="1" customWidth="1"/>
    <col min="220" max="220" width="11.140625" bestFit="1" customWidth="1"/>
    <col min="221" max="250" width="7.85546875" bestFit="1" customWidth="1"/>
    <col min="251" max="251" width="9" bestFit="1" customWidth="1"/>
    <col min="252" max="268" width="7.85546875" bestFit="1" customWidth="1"/>
    <col min="269" max="269" width="14.85546875" bestFit="1" customWidth="1"/>
    <col min="270" max="270" width="12.140625" bestFit="1" customWidth="1"/>
    <col min="271" max="271" width="14.85546875" bestFit="1" customWidth="1"/>
    <col min="272" max="272" width="13.85546875" bestFit="1" customWidth="1"/>
    <col min="273" max="273" width="17.7109375" bestFit="1" customWidth="1"/>
    <col min="274" max="274" width="15.28515625" customWidth="1"/>
    <col min="275" max="275" width="12.140625" bestFit="1" customWidth="1"/>
    <col min="276" max="276" width="18.42578125" bestFit="1" customWidth="1"/>
    <col min="1141" max="1141" width="11.42578125" style="1"/>
  </cols>
  <sheetData>
    <row r="1" spans="1:276" ht="23.25" x14ac:dyDescent="0.35">
      <c r="A1" s="421" t="s">
        <v>78</v>
      </c>
      <c r="B1" s="421"/>
      <c r="C1" s="421"/>
      <c r="D1" s="421"/>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421"/>
      <c r="AE1" s="421"/>
      <c r="AF1" s="421"/>
      <c r="AG1" s="421"/>
      <c r="AH1" s="421"/>
      <c r="AI1" s="421"/>
      <c r="AJ1" s="421"/>
      <c r="AK1" s="421"/>
      <c r="AL1" s="421"/>
      <c r="AM1" s="421"/>
      <c r="AN1" s="421"/>
      <c r="AO1" s="421"/>
      <c r="AP1" s="421"/>
      <c r="AQ1" s="421"/>
      <c r="AR1" s="421"/>
      <c r="AS1" s="421"/>
      <c r="AT1" s="421"/>
      <c r="AU1" s="421"/>
      <c r="AV1" s="421"/>
      <c r="AW1" s="421"/>
      <c r="AX1" s="421"/>
      <c r="AY1" s="421"/>
      <c r="AZ1" s="421"/>
      <c r="BA1" s="421"/>
      <c r="BB1" s="421"/>
      <c r="BC1" s="421"/>
      <c r="BD1" s="421"/>
      <c r="BE1" s="421"/>
      <c r="BF1" s="421"/>
      <c r="BG1" s="421"/>
      <c r="BH1" s="421"/>
      <c r="BI1" s="421"/>
      <c r="BJ1" s="421"/>
      <c r="BK1" s="421"/>
      <c r="BL1" s="421"/>
      <c r="BM1" s="421"/>
      <c r="BN1" s="421"/>
      <c r="BO1" s="421"/>
      <c r="BP1" s="421"/>
      <c r="BQ1" s="421"/>
      <c r="BR1" s="421"/>
      <c r="BS1" s="421"/>
      <c r="BT1" s="421"/>
      <c r="BU1" s="421"/>
      <c r="BV1" s="421"/>
      <c r="BW1" s="421"/>
      <c r="BX1" s="421"/>
      <c r="BY1" s="421"/>
      <c r="BZ1" s="421"/>
      <c r="CA1" s="421"/>
      <c r="CB1" s="421"/>
      <c r="CC1" s="421"/>
      <c r="CD1" s="421"/>
      <c r="CE1" s="421"/>
      <c r="CF1" s="421"/>
      <c r="CG1" s="421"/>
      <c r="CH1" s="421"/>
      <c r="CI1" s="421"/>
      <c r="CJ1" s="421"/>
      <c r="CK1" s="421"/>
      <c r="CL1" s="421"/>
      <c r="CM1" s="421"/>
      <c r="CN1" s="421"/>
      <c r="CO1" s="421"/>
      <c r="CP1" s="421"/>
      <c r="CQ1" s="421"/>
      <c r="CR1" s="421"/>
      <c r="CS1" s="421"/>
      <c r="CT1" s="421"/>
      <c r="CU1" s="421"/>
      <c r="CV1" s="421"/>
      <c r="CW1" s="421"/>
      <c r="CX1" s="421"/>
      <c r="CY1" s="421"/>
      <c r="CZ1" s="421"/>
      <c r="DA1" s="421"/>
      <c r="DB1" s="421"/>
      <c r="DC1" s="421"/>
      <c r="DD1" s="421"/>
      <c r="DE1" s="421"/>
      <c r="DF1" s="421"/>
      <c r="DG1" s="421"/>
      <c r="DH1" s="421"/>
      <c r="DI1" s="421"/>
      <c r="DJ1" s="421"/>
      <c r="DK1" s="421"/>
      <c r="DL1" s="421"/>
      <c r="DM1" s="421"/>
      <c r="DN1" s="421"/>
      <c r="DO1" s="421"/>
      <c r="DP1" s="421"/>
      <c r="DQ1" s="421"/>
      <c r="DR1" s="421"/>
      <c r="DS1" s="421"/>
      <c r="DT1" s="421"/>
      <c r="DU1" s="421"/>
      <c r="DV1" s="421"/>
      <c r="DW1" s="421"/>
      <c r="DX1" s="421"/>
      <c r="DY1" s="421"/>
      <c r="DZ1" s="421"/>
      <c r="EA1" s="421"/>
      <c r="EB1" s="421"/>
      <c r="EC1" s="421"/>
      <c r="ED1" s="421"/>
      <c r="EE1" s="421"/>
      <c r="EF1" s="421"/>
      <c r="EG1" s="421"/>
      <c r="EH1" s="421"/>
      <c r="EI1" s="421"/>
      <c r="EJ1" s="421"/>
      <c r="EK1" s="421"/>
      <c r="EL1" s="421"/>
      <c r="EM1" s="421"/>
      <c r="EN1" s="421"/>
      <c r="EO1" s="421"/>
      <c r="EP1" s="421"/>
      <c r="EQ1" s="421"/>
      <c r="ER1" s="421"/>
      <c r="ES1" s="421"/>
      <c r="ET1" s="421"/>
      <c r="EU1" s="421"/>
      <c r="EV1" s="421"/>
      <c r="EW1" s="421"/>
      <c r="EX1" s="421"/>
      <c r="EY1" s="421"/>
      <c r="EZ1" s="421"/>
      <c r="FA1" s="421"/>
      <c r="FB1" s="421"/>
      <c r="FC1" s="421"/>
      <c r="FD1" s="421"/>
      <c r="FE1" s="421"/>
      <c r="FF1" s="421"/>
      <c r="FG1" s="421"/>
      <c r="FH1" s="421"/>
      <c r="FI1" s="421"/>
      <c r="FJ1" s="421"/>
      <c r="FK1" s="421"/>
      <c r="FL1" s="421"/>
      <c r="FM1" s="421"/>
      <c r="FN1" s="421"/>
      <c r="FO1" s="421"/>
      <c r="FP1" s="421"/>
      <c r="FQ1" s="421"/>
      <c r="FR1" s="421"/>
      <c r="FS1" s="421"/>
      <c r="FT1" s="421"/>
      <c r="FU1" s="421"/>
      <c r="FV1" s="421"/>
      <c r="FW1" s="421"/>
      <c r="FX1" s="421"/>
      <c r="FY1" s="421"/>
      <c r="FZ1" s="421"/>
      <c r="GA1" s="421"/>
      <c r="GB1" s="421"/>
      <c r="GC1" s="421"/>
      <c r="GD1" s="421"/>
      <c r="GE1" s="421"/>
      <c r="GF1" s="421"/>
      <c r="GG1" s="421"/>
      <c r="GH1" s="421"/>
      <c r="GI1" s="421"/>
      <c r="GJ1" s="421"/>
      <c r="GK1" s="421"/>
      <c r="GL1" s="421"/>
      <c r="GM1" s="421"/>
      <c r="GN1" s="421"/>
      <c r="GO1" s="421"/>
      <c r="GP1" s="421"/>
      <c r="GQ1" s="421"/>
      <c r="GR1" s="421"/>
      <c r="GS1" s="421"/>
      <c r="GT1" s="421"/>
      <c r="GU1" s="421"/>
      <c r="GV1" s="421"/>
      <c r="GW1" s="421"/>
      <c r="GX1" s="421"/>
      <c r="GY1" s="421"/>
      <c r="GZ1" s="421"/>
      <c r="HA1" s="421"/>
      <c r="HB1" s="421"/>
      <c r="HC1" s="421"/>
      <c r="HD1" s="421"/>
      <c r="HE1" s="421"/>
      <c r="HF1" s="421"/>
      <c r="HG1" s="421"/>
      <c r="HH1" s="421"/>
      <c r="HI1" s="421"/>
      <c r="HJ1" s="421"/>
      <c r="HK1" s="421"/>
      <c r="HL1" s="421"/>
      <c r="HM1" s="421"/>
      <c r="HN1" s="421"/>
      <c r="HO1" s="421"/>
      <c r="HP1" s="421"/>
      <c r="HQ1" s="421"/>
      <c r="HR1" s="421"/>
      <c r="HS1" s="421"/>
      <c r="HT1" s="421"/>
      <c r="HU1" s="421"/>
      <c r="HV1" s="421"/>
      <c r="HW1" s="421"/>
      <c r="HX1" s="421"/>
      <c r="HY1" s="421"/>
      <c r="HZ1" s="421"/>
      <c r="IA1" s="421"/>
      <c r="IB1" s="421"/>
      <c r="IC1" s="421"/>
      <c r="ID1" s="421"/>
      <c r="IE1" s="421"/>
      <c r="IF1" s="421"/>
      <c r="IG1" s="421"/>
      <c r="IH1" s="421"/>
      <c r="II1" s="421"/>
      <c r="IJ1" s="421"/>
      <c r="IK1" s="421"/>
      <c r="IL1" s="421"/>
      <c r="IM1" s="421"/>
      <c r="IN1" s="421"/>
      <c r="IO1" s="421"/>
      <c r="IP1" s="421"/>
      <c r="IQ1" s="421"/>
      <c r="IR1" s="421"/>
      <c r="IS1" s="421"/>
      <c r="IT1" s="421"/>
      <c r="IU1" s="421"/>
      <c r="IV1" s="421"/>
      <c r="IW1" s="421"/>
      <c r="IX1" s="421"/>
      <c r="IY1" s="421"/>
      <c r="IZ1" s="421"/>
      <c r="JA1" s="421"/>
      <c r="JB1" s="421"/>
      <c r="JC1" s="421"/>
      <c r="JD1" s="421"/>
      <c r="JE1" s="421"/>
      <c r="JF1" s="421"/>
      <c r="JG1" s="421"/>
      <c r="JH1" s="421"/>
    </row>
    <row r="2" spans="1:276" ht="18.75" x14ac:dyDescent="0.3">
      <c r="A2" s="106">
        <v>211101</v>
      </c>
      <c r="B2" s="106">
        <v>211102</v>
      </c>
      <c r="C2" s="106">
        <v>211103</v>
      </c>
      <c r="D2" s="106">
        <v>211104</v>
      </c>
      <c r="E2" s="106">
        <v>211105</v>
      </c>
      <c r="F2" s="106">
        <v>211106</v>
      </c>
      <c r="G2" s="106">
        <v>211203</v>
      </c>
      <c r="H2" s="106">
        <v>211205</v>
      </c>
      <c r="I2" s="106">
        <v>211206</v>
      </c>
      <c r="J2" s="106">
        <v>211208</v>
      </c>
      <c r="K2" s="106">
        <v>211209</v>
      </c>
      <c r="L2" s="106">
        <v>211211</v>
      </c>
      <c r="M2" s="106">
        <v>211301</v>
      </c>
      <c r="N2" s="106">
        <v>211401</v>
      </c>
      <c r="O2" s="106">
        <v>211501</v>
      </c>
      <c r="P2" s="106">
        <v>211502</v>
      </c>
      <c r="Q2" s="106">
        <v>211503</v>
      </c>
      <c r="R2" s="106">
        <v>211504</v>
      </c>
      <c r="S2" s="106">
        <v>212101</v>
      </c>
      <c r="T2" s="106">
        <v>212201</v>
      </c>
      <c r="U2" s="106">
        <v>212203</v>
      </c>
      <c r="V2" s="106">
        <v>212204</v>
      </c>
      <c r="W2" s="106">
        <v>212205</v>
      </c>
      <c r="X2" s="106">
        <v>212206</v>
      </c>
      <c r="Y2" s="106">
        <v>212207</v>
      </c>
      <c r="Z2" s="106">
        <v>212208</v>
      </c>
      <c r="AA2" s="106">
        <v>212209</v>
      </c>
      <c r="AB2" s="106">
        <v>212210</v>
      </c>
      <c r="AC2" s="106">
        <v>213101</v>
      </c>
      <c r="AD2" s="106">
        <v>213102</v>
      </c>
      <c r="AE2" s="106">
        <v>213201</v>
      </c>
      <c r="AF2" s="106">
        <v>213202</v>
      </c>
      <c r="AG2" s="106">
        <v>214101</v>
      </c>
      <c r="AH2" s="106">
        <v>214201</v>
      </c>
      <c r="AI2" s="106">
        <v>214202</v>
      </c>
      <c r="AJ2" s="106">
        <v>214203</v>
      </c>
      <c r="AK2" s="106">
        <v>215101</v>
      </c>
      <c r="AL2" s="106">
        <v>215201</v>
      </c>
      <c r="AM2" s="106">
        <v>215301</v>
      </c>
      <c r="AN2" s="106">
        <v>215401</v>
      </c>
      <c r="AO2" s="106">
        <v>221101</v>
      </c>
      <c r="AP2" s="106">
        <v>221201</v>
      </c>
      <c r="AQ2" s="106">
        <v>221301</v>
      </c>
      <c r="AR2" s="106">
        <v>221401</v>
      </c>
      <c r="AS2" s="106">
        <v>221501</v>
      </c>
      <c r="AT2" s="106">
        <v>221601</v>
      </c>
      <c r="AU2" s="106">
        <v>221602</v>
      </c>
      <c r="AV2" s="106">
        <v>221701</v>
      </c>
      <c r="AW2" s="106">
        <v>221801</v>
      </c>
      <c r="AX2" s="106">
        <v>222101</v>
      </c>
      <c r="AY2" s="106">
        <v>222201</v>
      </c>
      <c r="AZ2" s="106">
        <v>223101</v>
      </c>
      <c r="BA2" s="106">
        <v>223201</v>
      </c>
      <c r="BB2" s="106">
        <v>224101</v>
      </c>
      <c r="BC2" s="106">
        <v>224201</v>
      </c>
      <c r="BD2" s="106">
        <v>224301</v>
      </c>
      <c r="BE2" s="106">
        <v>224401</v>
      </c>
      <c r="BF2" s="106">
        <v>225101</v>
      </c>
      <c r="BG2" s="106">
        <v>225201</v>
      </c>
      <c r="BH2" s="106">
        <v>225301</v>
      </c>
      <c r="BI2" s="106">
        <v>225302</v>
      </c>
      <c r="BJ2" s="106">
        <v>225303</v>
      </c>
      <c r="BK2" s="106">
        <v>225304</v>
      </c>
      <c r="BL2" s="106">
        <v>225305</v>
      </c>
      <c r="BM2" s="106">
        <v>225401</v>
      </c>
      <c r="BN2" s="106">
        <v>225501</v>
      </c>
      <c r="BO2" s="106">
        <v>225601</v>
      </c>
      <c r="BP2" s="106">
        <v>225701</v>
      </c>
      <c r="BQ2" s="106">
        <v>225801</v>
      </c>
      <c r="BR2" s="106">
        <v>225901</v>
      </c>
      <c r="BS2" s="106">
        <v>226101</v>
      </c>
      <c r="BT2" s="106">
        <v>226201</v>
      </c>
      <c r="BU2" s="106">
        <v>226301</v>
      </c>
      <c r="BV2" s="106">
        <v>226401</v>
      </c>
      <c r="BW2" s="106">
        <v>227101</v>
      </c>
      <c r="BX2" s="106">
        <v>227102</v>
      </c>
      <c r="BY2" s="106">
        <v>227103</v>
      </c>
      <c r="BZ2" s="106">
        <v>227104</v>
      </c>
      <c r="CA2" s="106">
        <v>227105</v>
      </c>
      <c r="CB2" s="106">
        <v>227106</v>
      </c>
      <c r="CC2" s="106">
        <v>227107</v>
      </c>
      <c r="CD2" s="106">
        <v>227199</v>
      </c>
      <c r="CE2" s="106">
        <v>227201</v>
      </c>
      <c r="CF2" s="106">
        <v>227202</v>
      </c>
      <c r="CG2" s="106">
        <v>227203</v>
      </c>
      <c r="CH2" s="106">
        <v>227204</v>
      </c>
      <c r="CI2" s="106">
        <v>227205</v>
      </c>
      <c r="CJ2" s="106">
        <v>227206</v>
      </c>
      <c r="CK2" s="106">
        <v>227207</v>
      </c>
      <c r="CL2" s="106">
        <v>227208</v>
      </c>
      <c r="CM2" s="106">
        <v>227299</v>
      </c>
      <c r="CN2" s="106">
        <v>227301</v>
      </c>
      <c r="CO2" s="106">
        <v>228101</v>
      </c>
      <c r="CP2" s="106">
        <v>228201</v>
      </c>
      <c r="CQ2" s="106">
        <v>228301</v>
      </c>
      <c r="CR2" s="106">
        <v>228401</v>
      </c>
      <c r="CS2" s="106">
        <v>228501</v>
      </c>
      <c r="CT2" s="106">
        <v>228502</v>
      </c>
      <c r="CU2" s="106">
        <v>228503</v>
      </c>
      <c r="CV2" s="106">
        <v>228601</v>
      </c>
      <c r="CW2" s="106">
        <v>228602</v>
      </c>
      <c r="CX2" s="106">
        <v>228603</v>
      </c>
      <c r="CY2" s="106">
        <v>228604</v>
      </c>
      <c r="CZ2" s="106">
        <v>228701</v>
      </c>
      <c r="DA2" s="106">
        <v>228702</v>
      </c>
      <c r="DB2" s="106">
        <v>228703</v>
      </c>
      <c r="DC2" s="106">
        <v>228704</v>
      </c>
      <c r="DD2" s="106">
        <v>228705</v>
      </c>
      <c r="DE2" s="106">
        <v>228706</v>
      </c>
      <c r="DF2" s="106">
        <v>228801</v>
      </c>
      <c r="DG2" s="106">
        <v>228802</v>
      </c>
      <c r="DH2" s="106">
        <v>228803</v>
      </c>
      <c r="DI2" s="106">
        <v>229201</v>
      </c>
      <c r="DJ2" s="106">
        <v>229203</v>
      </c>
      <c r="DK2" s="106">
        <v>231101</v>
      </c>
      <c r="DL2" s="106">
        <v>231102</v>
      </c>
      <c r="DM2" s="106">
        <v>231201</v>
      </c>
      <c r="DN2" s="106">
        <v>231301</v>
      </c>
      <c r="DO2" s="106">
        <v>231302</v>
      </c>
      <c r="DP2" s="106">
        <v>231303</v>
      </c>
      <c r="DQ2" s="106">
        <v>231401</v>
      </c>
      <c r="DR2" s="106">
        <v>232101</v>
      </c>
      <c r="DS2" s="106">
        <v>232201</v>
      </c>
      <c r="DT2" s="106">
        <v>232301</v>
      </c>
      <c r="DU2" s="106">
        <v>233101</v>
      </c>
      <c r="DV2" s="106">
        <v>233201</v>
      </c>
      <c r="DW2" s="106">
        <v>233301</v>
      </c>
      <c r="DX2" s="106">
        <v>233401</v>
      </c>
      <c r="DY2" s="106">
        <v>233501</v>
      </c>
      <c r="DZ2" s="106">
        <v>233601</v>
      </c>
      <c r="EA2" s="106">
        <v>234101</v>
      </c>
      <c r="EB2" s="106">
        <v>234201</v>
      </c>
      <c r="EC2" s="106">
        <v>235101</v>
      </c>
      <c r="ED2" s="106">
        <v>235201</v>
      </c>
      <c r="EE2" s="106">
        <v>235301</v>
      </c>
      <c r="EF2" s="106">
        <v>235401</v>
      </c>
      <c r="EG2" s="106">
        <v>235501</v>
      </c>
      <c r="EH2" s="106">
        <v>236101</v>
      </c>
      <c r="EI2" s="106">
        <v>236102</v>
      </c>
      <c r="EJ2" s="106">
        <v>236103</v>
      </c>
      <c r="EK2" s="106">
        <v>236104</v>
      </c>
      <c r="EL2" s="106">
        <v>236105</v>
      </c>
      <c r="EM2" s="106">
        <v>236201</v>
      </c>
      <c r="EN2" s="106">
        <v>236202</v>
      </c>
      <c r="EO2" s="106">
        <v>236203</v>
      </c>
      <c r="EP2" s="106">
        <v>236304</v>
      </c>
      <c r="EQ2" s="106">
        <v>236305</v>
      </c>
      <c r="ER2" s="106">
        <v>236306</v>
      </c>
      <c r="ES2" s="106">
        <v>236401</v>
      </c>
      <c r="ET2" s="106">
        <v>236402</v>
      </c>
      <c r="EU2" s="106">
        <v>236403</v>
      </c>
      <c r="EV2" s="106">
        <v>236404</v>
      </c>
      <c r="EW2" s="106">
        <v>236405</v>
      </c>
      <c r="EX2" s="106">
        <v>236406</v>
      </c>
      <c r="EY2" s="106">
        <v>236407</v>
      </c>
      <c r="EZ2" s="106">
        <v>236901</v>
      </c>
      <c r="FA2" s="106">
        <v>237101</v>
      </c>
      <c r="FB2" s="106">
        <v>237102</v>
      </c>
      <c r="FC2" s="106">
        <v>237103</v>
      </c>
      <c r="FD2" s="106">
        <v>237104</v>
      </c>
      <c r="FE2" s="106">
        <v>237105</v>
      </c>
      <c r="FF2" s="106">
        <v>237106</v>
      </c>
      <c r="FG2" s="106">
        <v>237107</v>
      </c>
      <c r="FH2" s="106">
        <v>237201</v>
      </c>
      <c r="FI2" s="106">
        <v>237202</v>
      </c>
      <c r="FJ2" s="106">
        <v>237203</v>
      </c>
      <c r="FK2" s="106">
        <v>237204</v>
      </c>
      <c r="FL2" s="106">
        <v>237205</v>
      </c>
      <c r="FM2" s="106">
        <v>237206</v>
      </c>
      <c r="FN2" s="106">
        <v>237299</v>
      </c>
      <c r="FO2" s="106">
        <v>238101</v>
      </c>
      <c r="FP2" s="106">
        <v>238201</v>
      </c>
      <c r="FQ2" s="106">
        <v>239101</v>
      </c>
      <c r="FR2" s="106">
        <v>239102</v>
      </c>
      <c r="FS2" s="106">
        <v>239201</v>
      </c>
      <c r="FT2" s="106">
        <v>239301</v>
      </c>
      <c r="FU2" s="106">
        <v>239401</v>
      </c>
      <c r="FV2" s="106">
        <v>239501</v>
      </c>
      <c r="FW2" s="106">
        <v>239601</v>
      </c>
      <c r="FX2" s="106">
        <v>239701</v>
      </c>
      <c r="FY2" s="106">
        <v>239801</v>
      </c>
      <c r="FZ2" s="106">
        <v>239802</v>
      </c>
      <c r="GA2" s="106">
        <v>239901</v>
      </c>
      <c r="GB2" s="106">
        <v>239904</v>
      </c>
      <c r="GC2" s="106">
        <v>241201</v>
      </c>
      <c r="GD2" s="106">
        <v>241202</v>
      </c>
      <c r="GE2" s="106">
        <v>241203</v>
      </c>
      <c r="GF2" s="106">
        <v>241204</v>
      </c>
      <c r="GG2" s="106">
        <v>241205</v>
      </c>
      <c r="GH2" s="106">
        <v>261101</v>
      </c>
      <c r="GI2" s="106">
        <v>261201</v>
      </c>
      <c r="GJ2" s="106">
        <v>261301</v>
      </c>
      <c r="GK2" s="106">
        <v>261401</v>
      </c>
      <c r="GL2" s="106">
        <v>261901</v>
      </c>
      <c r="GM2" s="106">
        <v>262101</v>
      </c>
      <c r="GN2" s="106">
        <v>262201</v>
      </c>
      <c r="GO2" s="106">
        <v>262301</v>
      </c>
      <c r="GP2" s="106">
        <v>262401</v>
      </c>
      <c r="GQ2" s="106">
        <v>263101</v>
      </c>
      <c r="GR2" s="106">
        <v>263201</v>
      </c>
      <c r="GS2" s="106">
        <v>263301</v>
      </c>
      <c r="GT2" s="106">
        <v>263401</v>
      </c>
      <c r="GU2" s="106">
        <v>264101</v>
      </c>
      <c r="GV2" s="106">
        <v>264201</v>
      </c>
      <c r="GW2" s="106">
        <v>264301</v>
      </c>
      <c r="GX2" s="106">
        <v>264401</v>
      </c>
      <c r="GY2" s="106">
        <v>264501</v>
      </c>
      <c r="GZ2" s="106">
        <v>264601</v>
      </c>
      <c r="HA2" s="106">
        <v>264701</v>
      </c>
      <c r="HB2" s="106">
        <v>264801</v>
      </c>
      <c r="HC2" s="106">
        <v>265101</v>
      </c>
      <c r="HD2" s="106">
        <v>265201</v>
      </c>
      <c r="HE2" s="106">
        <v>265301</v>
      </c>
      <c r="HF2" s="106">
        <v>265401</v>
      </c>
      <c r="HG2" s="106">
        <v>265501</v>
      </c>
      <c r="HH2" s="106">
        <v>265601</v>
      </c>
      <c r="HI2" s="106">
        <v>265701</v>
      </c>
      <c r="HJ2" s="106">
        <v>265801</v>
      </c>
      <c r="HK2" s="106">
        <v>266101</v>
      </c>
      <c r="HL2" s="106">
        <v>266201</v>
      </c>
      <c r="HM2" s="106">
        <v>267101</v>
      </c>
      <c r="HN2" s="106">
        <v>267201</v>
      </c>
      <c r="HO2" s="106">
        <v>267301</v>
      </c>
      <c r="HP2" s="106">
        <v>267401</v>
      </c>
      <c r="HQ2" s="106">
        <v>267501</v>
      </c>
      <c r="HR2" s="106">
        <v>267601</v>
      </c>
      <c r="HS2" s="106">
        <v>267701</v>
      </c>
      <c r="HT2" s="106">
        <v>267801</v>
      </c>
      <c r="HU2" s="106">
        <v>267901</v>
      </c>
      <c r="HV2" s="106">
        <v>268101</v>
      </c>
      <c r="HW2" s="106">
        <v>268201</v>
      </c>
      <c r="HX2" s="106">
        <v>268301</v>
      </c>
      <c r="HY2" s="106">
        <v>268302</v>
      </c>
      <c r="HZ2" s="106">
        <v>268401</v>
      </c>
      <c r="IA2" s="106">
        <v>268501</v>
      </c>
      <c r="IB2" s="106">
        <v>268601</v>
      </c>
      <c r="IC2" s="106">
        <v>268701</v>
      </c>
      <c r="ID2" s="106">
        <v>268802</v>
      </c>
      <c r="IE2" s="106">
        <v>268803</v>
      </c>
      <c r="IF2" s="106">
        <v>268804</v>
      </c>
      <c r="IG2" s="106">
        <v>268901</v>
      </c>
      <c r="IH2" s="106">
        <v>269101</v>
      </c>
      <c r="II2" s="106">
        <v>269102</v>
      </c>
      <c r="IJ2" s="106">
        <v>269201</v>
      </c>
      <c r="IK2" s="106">
        <v>269202</v>
      </c>
      <c r="IL2" s="106">
        <v>269301</v>
      </c>
      <c r="IM2" s="106">
        <v>269401</v>
      </c>
      <c r="IN2" s="106">
        <v>269501</v>
      </c>
      <c r="IO2" s="106">
        <v>269502</v>
      </c>
      <c r="IP2" s="106">
        <v>269503</v>
      </c>
      <c r="IQ2" s="106">
        <v>2269901</v>
      </c>
      <c r="IR2" s="106">
        <v>271101</v>
      </c>
      <c r="IS2" s="106">
        <v>271201</v>
      </c>
      <c r="IT2" s="106">
        <v>271301</v>
      </c>
      <c r="IU2" s="106">
        <v>271401</v>
      </c>
      <c r="IV2" s="106">
        <v>272101</v>
      </c>
      <c r="IW2" s="106">
        <v>272201</v>
      </c>
      <c r="IX2" s="106">
        <v>272301</v>
      </c>
      <c r="IY2" s="106">
        <v>272401</v>
      </c>
      <c r="IZ2" s="106">
        <v>272501</v>
      </c>
      <c r="JA2" s="106">
        <v>272601</v>
      </c>
      <c r="JB2" s="106">
        <v>272701</v>
      </c>
      <c r="JC2" s="106">
        <v>272801</v>
      </c>
      <c r="JD2" s="106">
        <v>272901</v>
      </c>
      <c r="JE2" s="106">
        <v>273101</v>
      </c>
      <c r="JF2" s="106">
        <v>273201</v>
      </c>
      <c r="JG2" s="106">
        <v>274101</v>
      </c>
      <c r="JH2" s="106">
        <v>274201</v>
      </c>
      <c r="JI2" s="108" t="s">
        <v>0</v>
      </c>
      <c r="JJ2" s="111" t="s">
        <v>375</v>
      </c>
      <c r="JK2" s="111" t="s">
        <v>376</v>
      </c>
      <c r="JL2" s="111" t="s">
        <v>373</v>
      </c>
      <c r="JM2" s="111" t="s">
        <v>377</v>
      </c>
      <c r="JN2" s="111">
        <v>2022</v>
      </c>
      <c r="JO2" s="111" t="s">
        <v>348</v>
      </c>
      <c r="JP2" s="111" t="s">
        <v>378</v>
      </c>
    </row>
    <row r="3" spans="1:276" x14ac:dyDescent="0.25">
      <c r="A3" s="110"/>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c r="EU3" s="110"/>
      <c r="EV3" s="110"/>
      <c r="EW3" s="110"/>
      <c r="EX3" s="110"/>
      <c r="EY3" s="110"/>
      <c r="EZ3" s="110"/>
      <c r="FA3" s="110"/>
      <c r="FB3" s="110"/>
      <c r="FC3" s="110"/>
      <c r="FD3" s="110">
        <v>22638</v>
      </c>
      <c r="FE3" s="110"/>
      <c r="FF3" s="110"/>
      <c r="FG3" s="110"/>
      <c r="FH3" s="110"/>
      <c r="FI3" s="110"/>
      <c r="FJ3" s="110"/>
      <c r="FK3" s="110"/>
      <c r="FL3" s="110"/>
      <c r="FM3" s="110"/>
      <c r="FN3" s="110"/>
      <c r="FO3" s="110"/>
      <c r="FP3" s="110"/>
      <c r="FQ3" s="110"/>
      <c r="FR3" s="110"/>
      <c r="FS3" s="110"/>
      <c r="FT3" s="110"/>
      <c r="FU3" s="110"/>
      <c r="FV3" s="110"/>
      <c r="FW3" s="110"/>
      <c r="FX3" s="110"/>
      <c r="FY3" s="110"/>
      <c r="FZ3" s="110"/>
      <c r="GA3" s="110"/>
      <c r="GB3" s="110"/>
      <c r="GC3" s="110"/>
      <c r="GD3" s="110"/>
      <c r="GE3" s="110"/>
      <c r="GF3" s="110"/>
      <c r="GG3" s="110"/>
      <c r="GH3" s="110"/>
      <c r="GI3" s="110"/>
      <c r="GJ3" s="110"/>
      <c r="GK3" s="110"/>
      <c r="GL3" s="110"/>
      <c r="GM3" s="110"/>
      <c r="GN3" s="110"/>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c r="IL3" s="110"/>
      <c r="IM3" s="110"/>
      <c r="IN3" s="110"/>
      <c r="IO3" s="110"/>
      <c r="IP3" s="110"/>
      <c r="IQ3" s="110"/>
      <c r="IR3" s="110"/>
      <c r="IS3" s="110"/>
      <c r="IT3" s="110"/>
      <c r="IU3" s="110"/>
      <c r="IV3" s="110"/>
      <c r="IW3" s="110"/>
      <c r="IX3" s="110"/>
      <c r="IY3" s="110"/>
      <c r="IZ3" s="110"/>
      <c r="JA3" s="110"/>
      <c r="JB3" s="110"/>
      <c r="JC3" s="110"/>
      <c r="JD3" s="110"/>
      <c r="JE3" s="110"/>
      <c r="JF3" s="110"/>
      <c r="JG3" s="110"/>
      <c r="JH3" s="110"/>
      <c r="JI3" s="107">
        <f>SUM(A3:JH3)</f>
        <v>22638</v>
      </c>
      <c r="JJ3" s="353">
        <v>208</v>
      </c>
      <c r="JK3" s="110">
        <v>22638</v>
      </c>
      <c r="JL3" s="112">
        <f>+JI3-JK3</f>
        <v>0</v>
      </c>
      <c r="JM3" s="112"/>
      <c r="JN3" s="112"/>
      <c r="JO3" s="112"/>
      <c r="JP3" s="112"/>
    </row>
    <row r="4" spans="1:276" x14ac:dyDescent="0.25">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v>760000</v>
      </c>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110"/>
      <c r="IM4" s="110"/>
      <c r="IN4" s="110"/>
      <c r="IO4" s="110"/>
      <c r="IP4" s="110"/>
      <c r="IQ4" s="110"/>
      <c r="IR4" s="110"/>
      <c r="IS4" s="110"/>
      <c r="IT4" s="110"/>
      <c r="IU4" s="110"/>
      <c r="IV4" s="110"/>
      <c r="IW4" s="110"/>
      <c r="IX4" s="110"/>
      <c r="IY4" s="110"/>
      <c r="IZ4" s="110"/>
      <c r="JA4" s="110"/>
      <c r="JB4" s="110"/>
      <c r="JC4" s="110"/>
      <c r="JD4" s="110"/>
      <c r="JE4" s="110"/>
      <c r="JF4" s="110"/>
      <c r="JG4" s="110"/>
      <c r="JH4" s="110"/>
      <c r="JI4" s="107">
        <f t="shared" ref="JI4:JI62" si="0">SUM(A4:JH4)</f>
        <v>760000</v>
      </c>
      <c r="JJ4" s="2">
        <f>+JJ3+1</f>
        <v>209</v>
      </c>
      <c r="JK4" s="110">
        <v>722000</v>
      </c>
      <c r="JL4" s="112">
        <f t="shared" ref="JL4:JL62" si="1">+JI4-JK4</f>
        <v>38000</v>
      </c>
      <c r="JM4" s="112"/>
      <c r="JN4" s="112"/>
      <c r="JO4" s="112"/>
      <c r="JP4" s="112"/>
    </row>
    <row r="5" spans="1:276" x14ac:dyDescent="0.25">
      <c r="A5" s="110"/>
      <c r="B5" s="110"/>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v>19496.18</v>
      </c>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0"/>
      <c r="GU5" s="110"/>
      <c r="GV5" s="110"/>
      <c r="GW5" s="110"/>
      <c r="GX5" s="110"/>
      <c r="GY5" s="110"/>
      <c r="GZ5" s="110"/>
      <c r="HA5" s="110"/>
      <c r="HB5" s="110"/>
      <c r="HC5" s="110"/>
      <c r="HD5" s="110"/>
      <c r="HE5" s="110"/>
      <c r="HF5" s="110"/>
      <c r="HG5" s="110"/>
      <c r="HH5" s="110"/>
      <c r="HI5" s="110"/>
      <c r="HJ5" s="110"/>
      <c r="HK5" s="110"/>
      <c r="HL5" s="110"/>
      <c r="HM5" s="110"/>
      <c r="HN5" s="110"/>
      <c r="HO5" s="110"/>
      <c r="HP5" s="110"/>
      <c r="HQ5" s="110"/>
      <c r="HR5" s="110"/>
      <c r="HS5" s="110"/>
      <c r="HT5" s="110"/>
      <c r="HU5" s="110"/>
      <c r="HV5" s="110"/>
      <c r="HW5" s="110"/>
      <c r="HX5" s="110"/>
      <c r="HY5" s="110"/>
      <c r="HZ5" s="110"/>
      <c r="IA5" s="110"/>
      <c r="IB5" s="110"/>
      <c r="IC5" s="110"/>
      <c r="ID5" s="110"/>
      <c r="IE5" s="110"/>
      <c r="IF5" s="110"/>
      <c r="IG5" s="110"/>
      <c r="IH5" s="110"/>
      <c r="II5" s="110"/>
      <c r="IJ5" s="110"/>
      <c r="IK5" s="110"/>
      <c r="IL5" s="110"/>
      <c r="IM5" s="110"/>
      <c r="IN5" s="110"/>
      <c r="IO5" s="110"/>
      <c r="IP5" s="110"/>
      <c r="IQ5" s="110"/>
      <c r="IR5" s="110"/>
      <c r="IS5" s="110"/>
      <c r="IT5" s="110"/>
      <c r="IU5" s="110"/>
      <c r="IV5" s="110"/>
      <c r="IW5" s="110"/>
      <c r="IX5" s="110"/>
      <c r="IY5" s="110"/>
      <c r="IZ5" s="110"/>
      <c r="JA5" s="110"/>
      <c r="JB5" s="110"/>
      <c r="JC5" s="110"/>
      <c r="JD5" s="110"/>
      <c r="JE5" s="110"/>
      <c r="JF5" s="110"/>
      <c r="JG5" s="110"/>
      <c r="JH5" s="110"/>
      <c r="JI5" s="107">
        <f t="shared" si="0"/>
        <v>19496.18</v>
      </c>
      <c r="JJ5" s="2">
        <f t="shared" ref="JJ5:JJ27" si="2">+JJ4+1</f>
        <v>210</v>
      </c>
      <c r="JK5" s="110">
        <v>19496.18</v>
      </c>
      <c r="JL5" s="112">
        <f t="shared" si="1"/>
        <v>0</v>
      </c>
      <c r="JM5" s="112"/>
      <c r="JN5" s="112"/>
      <c r="JO5" s="112"/>
      <c r="JP5" s="112"/>
    </row>
    <row r="6" spans="1:276" x14ac:dyDescent="0.25">
      <c r="A6" s="110"/>
      <c r="B6" s="110"/>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v>8860.18</v>
      </c>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c r="EV6" s="110"/>
      <c r="EW6" s="110"/>
      <c r="EX6" s="110"/>
      <c r="EY6" s="110"/>
      <c r="EZ6" s="110"/>
      <c r="FA6" s="110"/>
      <c r="FB6" s="110"/>
      <c r="FC6" s="110"/>
      <c r="FD6" s="110"/>
      <c r="FE6" s="110"/>
      <c r="FF6" s="110"/>
      <c r="FG6" s="110"/>
      <c r="FH6" s="110"/>
      <c r="FI6" s="110"/>
      <c r="FJ6" s="110"/>
      <c r="FK6" s="110"/>
      <c r="FL6" s="110"/>
      <c r="FM6" s="110"/>
      <c r="FN6" s="110"/>
      <c r="FO6" s="110"/>
      <c r="FP6" s="110"/>
      <c r="FQ6" s="110"/>
      <c r="FR6" s="110"/>
      <c r="FS6" s="110"/>
      <c r="FT6" s="110"/>
      <c r="FU6" s="110"/>
      <c r="FV6" s="110"/>
      <c r="FW6" s="110"/>
      <c r="FX6" s="110"/>
      <c r="FY6" s="110"/>
      <c r="FZ6" s="110"/>
      <c r="GA6" s="110"/>
      <c r="GB6" s="110"/>
      <c r="GC6" s="110"/>
      <c r="GD6" s="110"/>
      <c r="GE6" s="110"/>
      <c r="GF6" s="110"/>
      <c r="GG6" s="110"/>
      <c r="GH6" s="110"/>
      <c r="GI6" s="110"/>
      <c r="GJ6" s="110"/>
      <c r="GK6" s="110"/>
      <c r="GL6" s="110"/>
      <c r="GM6" s="110"/>
      <c r="GN6" s="110"/>
      <c r="GO6" s="110"/>
      <c r="GP6" s="110"/>
      <c r="GQ6" s="110"/>
      <c r="GR6" s="110"/>
      <c r="GS6" s="110"/>
      <c r="GT6" s="110"/>
      <c r="GU6" s="110"/>
      <c r="GV6" s="110"/>
      <c r="GW6" s="110"/>
      <c r="GX6" s="110"/>
      <c r="GY6" s="110"/>
      <c r="GZ6" s="110"/>
      <c r="HA6" s="110"/>
      <c r="HB6" s="110"/>
      <c r="HC6" s="110"/>
      <c r="HD6" s="110"/>
      <c r="HE6" s="110"/>
      <c r="HF6" s="110"/>
      <c r="HG6" s="110"/>
      <c r="HH6" s="110"/>
      <c r="HI6" s="110"/>
      <c r="HJ6" s="110"/>
      <c r="HK6" s="110"/>
      <c r="HL6" s="110"/>
      <c r="HM6" s="110"/>
      <c r="HN6" s="110"/>
      <c r="HO6" s="110"/>
      <c r="HP6" s="110"/>
      <c r="HQ6" s="110"/>
      <c r="HR6" s="110"/>
      <c r="HS6" s="110"/>
      <c r="HT6" s="110"/>
      <c r="HU6" s="110"/>
      <c r="HV6" s="110"/>
      <c r="HW6" s="110"/>
      <c r="HX6" s="110"/>
      <c r="HY6" s="110"/>
      <c r="HZ6" s="110"/>
      <c r="IA6" s="110"/>
      <c r="IB6" s="110"/>
      <c r="IC6" s="110"/>
      <c r="ID6" s="110"/>
      <c r="IE6" s="110"/>
      <c r="IF6" s="110"/>
      <c r="IG6" s="110"/>
      <c r="IH6" s="110"/>
      <c r="II6" s="110"/>
      <c r="IJ6" s="110"/>
      <c r="IK6" s="110"/>
      <c r="IL6" s="110"/>
      <c r="IM6" s="110"/>
      <c r="IN6" s="110"/>
      <c r="IO6" s="110"/>
      <c r="IP6" s="110"/>
      <c r="IQ6" s="110"/>
      <c r="IR6" s="110"/>
      <c r="IS6" s="110"/>
      <c r="IT6" s="110"/>
      <c r="IU6" s="110"/>
      <c r="IV6" s="110"/>
      <c r="IW6" s="110"/>
      <c r="IX6" s="110"/>
      <c r="IY6" s="110"/>
      <c r="IZ6" s="110"/>
      <c r="JA6" s="110"/>
      <c r="JB6" s="110"/>
      <c r="JC6" s="110"/>
      <c r="JD6" s="110"/>
      <c r="JE6" s="110"/>
      <c r="JF6" s="110"/>
      <c r="JG6" s="110"/>
      <c r="JH6" s="110"/>
      <c r="JI6" s="107">
        <f t="shared" si="0"/>
        <v>8860.18</v>
      </c>
      <c r="JJ6" s="2">
        <f t="shared" si="2"/>
        <v>211</v>
      </c>
      <c r="JK6" s="110">
        <v>8860.18</v>
      </c>
      <c r="JL6" s="112">
        <f t="shared" si="1"/>
        <v>0</v>
      </c>
      <c r="JM6" s="112"/>
      <c r="JN6" s="112"/>
      <c r="JO6" s="112"/>
      <c r="JP6" s="112"/>
    </row>
    <row r="7" spans="1:276" x14ac:dyDescent="0.25">
      <c r="A7" s="110"/>
      <c r="B7" s="110"/>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v>118075.52</v>
      </c>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c r="IL7" s="110"/>
      <c r="IM7" s="110"/>
      <c r="IN7" s="110"/>
      <c r="IO7" s="110"/>
      <c r="IP7" s="110"/>
      <c r="IQ7" s="110"/>
      <c r="IR7" s="110"/>
      <c r="IS7" s="110"/>
      <c r="IT7" s="110"/>
      <c r="IU7" s="110"/>
      <c r="IV7" s="110"/>
      <c r="IW7" s="110"/>
      <c r="IX7" s="110"/>
      <c r="IY7" s="110"/>
      <c r="IZ7" s="110"/>
      <c r="JA7" s="110"/>
      <c r="JB7" s="110"/>
      <c r="JC7" s="110"/>
      <c r="JD7" s="110"/>
      <c r="JE7" s="110"/>
      <c r="JF7" s="110"/>
      <c r="JG7" s="110"/>
      <c r="JH7" s="110"/>
      <c r="JI7" s="107">
        <f t="shared" si="0"/>
        <v>118075.52</v>
      </c>
      <c r="JJ7" s="2">
        <f t="shared" si="2"/>
        <v>212</v>
      </c>
      <c r="JK7" s="110">
        <v>113072.32000000001</v>
      </c>
      <c r="JL7" s="112">
        <f t="shared" si="1"/>
        <v>5003.1999999999971</v>
      </c>
      <c r="JM7" s="112"/>
      <c r="JN7" s="112"/>
      <c r="JO7" s="112"/>
      <c r="JP7" s="112"/>
    </row>
    <row r="8" spans="1:276" x14ac:dyDescent="0.25">
      <c r="A8" s="110"/>
      <c r="B8" s="110"/>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v>14160</v>
      </c>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c r="FT8" s="110"/>
      <c r="FU8" s="110"/>
      <c r="FV8" s="110"/>
      <c r="FW8" s="110"/>
      <c r="FX8" s="110"/>
      <c r="FY8" s="110"/>
      <c r="FZ8" s="110"/>
      <c r="GA8" s="110"/>
      <c r="GB8" s="110"/>
      <c r="GC8" s="110"/>
      <c r="GD8" s="110"/>
      <c r="GE8" s="110"/>
      <c r="GF8" s="110"/>
      <c r="GG8" s="110"/>
      <c r="GH8" s="110"/>
      <c r="GI8" s="110"/>
      <c r="GJ8" s="110"/>
      <c r="GK8" s="110"/>
      <c r="GL8" s="110"/>
      <c r="GM8" s="110"/>
      <c r="GN8" s="110"/>
      <c r="GO8" s="110"/>
      <c r="GP8" s="110"/>
      <c r="GQ8" s="110"/>
      <c r="GR8" s="110"/>
      <c r="GS8" s="110"/>
      <c r="GT8" s="110"/>
      <c r="GU8" s="110"/>
      <c r="GV8" s="110"/>
      <c r="GW8" s="110"/>
      <c r="GX8" s="110"/>
      <c r="GY8" s="110"/>
      <c r="GZ8" s="110"/>
      <c r="HA8" s="110"/>
      <c r="HB8" s="110"/>
      <c r="HC8" s="110"/>
      <c r="HD8" s="110"/>
      <c r="HE8" s="110"/>
      <c r="HF8" s="110"/>
      <c r="HG8" s="110"/>
      <c r="HH8" s="110"/>
      <c r="HI8" s="110"/>
      <c r="HJ8" s="110"/>
      <c r="HK8" s="110"/>
      <c r="HL8" s="110"/>
      <c r="HM8" s="110"/>
      <c r="HN8" s="110"/>
      <c r="HO8" s="110"/>
      <c r="HP8" s="110"/>
      <c r="HQ8" s="110"/>
      <c r="HR8" s="110"/>
      <c r="HS8" s="110"/>
      <c r="HT8" s="110"/>
      <c r="HU8" s="110"/>
      <c r="HV8" s="110"/>
      <c r="HW8" s="110"/>
      <c r="HX8" s="110"/>
      <c r="HY8" s="110"/>
      <c r="HZ8" s="110"/>
      <c r="IA8" s="110"/>
      <c r="IB8" s="110"/>
      <c r="IC8" s="110"/>
      <c r="ID8" s="110"/>
      <c r="IE8" s="110"/>
      <c r="IF8" s="110"/>
      <c r="IG8" s="110"/>
      <c r="IH8" s="110"/>
      <c r="II8" s="110"/>
      <c r="IJ8" s="110"/>
      <c r="IK8" s="110"/>
      <c r="IL8" s="110"/>
      <c r="IM8" s="110"/>
      <c r="IN8" s="110"/>
      <c r="IO8" s="110"/>
      <c r="IP8" s="110"/>
      <c r="IQ8" s="110"/>
      <c r="IR8" s="110"/>
      <c r="IS8" s="110"/>
      <c r="IT8" s="110"/>
      <c r="IU8" s="110"/>
      <c r="IV8" s="110"/>
      <c r="IW8" s="110"/>
      <c r="IX8" s="110"/>
      <c r="IY8" s="110"/>
      <c r="IZ8" s="110"/>
      <c r="JA8" s="110"/>
      <c r="JB8" s="110"/>
      <c r="JC8" s="110"/>
      <c r="JD8" s="110"/>
      <c r="JE8" s="110"/>
      <c r="JF8" s="110"/>
      <c r="JG8" s="110"/>
      <c r="JH8" s="110"/>
      <c r="JI8" s="107">
        <f t="shared" si="0"/>
        <v>14160</v>
      </c>
      <c r="JJ8" s="2">
        <f t="shared" si="2"/>
        <v>213</v>
      </c>
      <c r="JK8" s="110">
        <v>14160</v>
      </c>
      <c r="JL8" s="112">
        <f t="shared" si="1"/>
        <v>0</v>
      </c>
      <c r="JM8" s="112"/>
      <c r="JN8" s="112"/>
      <c r="JO8" s="112"/>
      <c r="JP8" s="112"/>
    </row>
    <row r="9" spans="1:276" x14ac:dyDescent="0.25">
      <c r="A9" s="110"/>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v>24000</v>
      </c>
      <c r="EB9" s="110"/>
      <c r="EC9" s="110"/>
      <c r="ED9" s="110"/>
      <c r="EE9" s="110"/>
      <c r="EF9" s="110"/>
      <c r="EG9" s="110"/>
      <c r="EH9" s="110"/>
      <c r="EI9" s="110"/>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c r="HV9" s="110"/>
      <c r="HW9" s="110"/>
      <c r="HX9" s="110"/>
      <c r="HY9" s="110"/>
      <c r="HZ9" s="110"/>
      <c r="IA9" s="110"/>
      <c r="IB9" s="110"/>
      <c r="IC9" s="110"/>
      <c r="ID9" s="110"/>
      <c r="IE9" s="110"/>
      <c r="IF9" s="110"/>
      <c r="IG9" s="110"/>
      <c r="IH9" s="110"/>
      <c r="II9" s="110"/>
      <c r="IJ9" s="110"/>
      <c r="IK9" s="110"/>
      <c r="IL9" s="110"/>
      <c r="IM9" s="110"/>
      <c r="IN9" s="110"/>
      <c r="IO9" s="110"/>
      <c r="IP9" s="110"/>
      <c r="IQ9" s="110"/>
      <c r="IR9" s="110"/>
      <c r="IS9" s="110"/>
      <c r="IT9" s="110"/>
      <c r="IU9" s="110"/>
      <c r="IV9" s="110"/>
      <c r="IW9" s="110"/>
      <c r="IX9" s="110"/>
      <c r="IY9" s="110"/>
      <c r="IZ9" s="110"/>
      <c r="JA9" s="110"/>
      <c r="JB9" s="110"/>
      <c r="JC9" s="110"/>
      <c r="JD9" s="110"/>
      <c r="JE9" s="110"/>
      <c r="JF9" s="110"/>
      <c r="JG9" s="110"/>
      <c r="JH9" s="110"/>
      <c r="JI9" s="107">
        <f t="shared" si="0"/>
        <v>24000</v>
      </c>
      <c r="JJ9" s="2">
        <f t="shared" si="2"/>
        <v>214</v>
      </c>
      <c r="JK9" s="110">
        <v>22800</v>
      </c>
      <c r="JL9" s="112">
        <f t="shared" si="1"/>
        <v>1200</v>
      </c>
      <c r="JM9" s="112"/>
      <c r="JN9" s="112"/>
      <c r="JO9" s="112"/>
      <c r="JP9" s="112"/>
    </row>
    <row r="10" spans="1:276" x14ac:dyDescent="0.25">
      <c r="A10" s="110"/>
      <c r="B10" s="110"/>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v>1230740</v>
      </c>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c r="IL10" s="110"/>
      <c r="IM10" s="110"/>
      <c r="IN10" s="110"/>
      <c r="IO10" s="110"/>
      <c r="IP10" s="110"/>
      <c r="IQ10" s="110"/>
      <c r="IR10" s="110"/>
      <c r="IS10" s="110"/>
      <c r="IT10" s="110"/>
      <c r="IU10" s="110"/>
      <c r="IV10" s="110"/>
      <c r="IW10" s="110"/>
      <c r="IX10" s="110"/>
      <c r="IY10" s="110"/>
      <c r="IZ10" s="110"/>
      <c r="JA10" s="110"/>
      <c r="JB10" s="110"/>
      <c r="JC10" s="110"/>
      <c r="JD10" s="110"/>
      <c r="JE10" s="110"/>
      <c r="JF10" s="110"/>
      <c r="JG10" s="110"/>
      <c r="JH10" s="110"/>
      <c r="JI10" s="107">
        <f t="shared" si="0"/>
        <v>1230740</v>
      </c>
      <c r="JJ10" s="2">
        <f t="shared" si="2"/>
        <v>215</v>
      </c>
      <c r="JK10" s="110">
        <v>1178590</v>
      </c>
      <c r="JL10" s="112">
        <f t="shared" si="1"/>
        <v>52150</v>
      </c>
      <c r="JM10" s="112"/>
      <c r="JN10" s="112"/>
      <c r="JO10" s="112"/>
      <c r="JP10" s="112"/>
    </row>
    <row r="11" spans="1:276" x14ac:dyDescent="0.25">
      <c r="A11" s="110"/>
      <c r="B11" s="110"/>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v>247800</v>
      </c>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c r="IL11" s="110"/>
      <c r="IM11" s="110"/>
      <c r="IN11" s="110"/>
      <c r="IO11" s="110"/>
      <c r="IP11" s="110"/>
      <c r="IQ11" s="110"/>
      <c r="IR11" s="110"/>
      <c r="IS11" s="110"/>
      <c r="IT11" s="110"/>
      <c r="IU11" s="110"/>
      <c r="IV11" s="110"/>
      <c r="IW11" s="110"/>
      <c r="IX11" s="110"/>
      <c r="IY11" s="110"/>
      <c r="IZ11" s="110"/>
      <c r="JA11" s="110"/>
      <c r="JB11" s="110"/>
      <c r="JC11" s="110"/>
      <c r="JD11" s="110"/>
      <c r="JE11" s="110"/>
      <c r="JF11" s="110"/>
      <c r="JG11" s="110"/>
      <c r="JH11" s="110"/>
      <c r="JI11" s="107">
        <f t="shared" si="0"/>
        <v>247800</v>
      </c>
      <c r="JJ11" s="2">
        <f t="shared" si="2"/>
        <v>216</v>
      </c>
      <c r="JK11" s="110">
        <v>237300</v>
      </c>
      <c r="JL11" s="112">
        <f t="shared" si="1"/>
        <v>10500</v>
      </c>
      <c r="JM11" s="112"/>
      <c r="JN11" s="112"/>
      <c r="JO11" s="112"/>
      <c r="JP11" s="112"/>
    </row>
    <row r="12" spans="1:276" x14ac:dyDescent="0.25">
      <c r="A12" s="110"/>
      <c r="B12" s="110"/>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v>212400</v>
      </c>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c r="IL12" s="110"/>
      <c r="IM12" s="110"/>
      <c r="IN12" s="110"/>
      <c r="IO12" s="110"/>
      <c r="IP12" s="110"/>
      <c r="IQ12" s="110"/>
      <c r="IR12" s="110"/>
      <c r="IS12" s="110"/>
      <c r="IT12" s="110"/>
      <c r="IU12" s="110"/>
      <c r="IV12" s="110"/>
      <c r="IW12" s="110"/>
      <c r="IX12" s="110"/>
      <c r="IY12" s="110"/>
      <c r="IZ12" s="110"/>
      <c r="JA12" s="110"/>
      <c r="JB12" s="110"/>
      <c r="JC12" s="110"/>
      <c r="JD12" s="110"/>
      <c r="JE12" s="110"/>
      <c r="JF12" s="110"/>
      <c r="JG12" s="110"/>
      <c r="JH12" s="110"/>
      <c r="JI12" s="107">
        <f t="shared" si="0"/>
        <v>212400</v>
      </c>
      <c r="JJ12" s="2">
        <f t="shared" si="2"/>
        <v>217</v>
      </c>
      <c r="JK12" s="110">
        <v>203400</v>
      </c>
      <c r="JL12" s="112">
        <f t="shared" si="1"/>
        <v>9000</v>
      </c>
      <c r="JM12" s="112"/>
      <c r="JN12" s="112"/>
      <c r="JO12" s="112"/>
      <c r="JP12" s="112"/>
    </row>
    <row r="13" spans="1:276" x14ac:dyDescent="0.25">
      <c r="A13" s="110"/>
      <c r="B13" s="110"/>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v>409306.6</v>
      </c>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c r="EV13" s="110"/>
      <c r="EW13" s="110"/>
      <c r="EX13" s="110"/>
      <c r="EY13" s="110"/>
      <c r="EZ13" s="110"/>
      <c r="FA13" s="110"/>
      <c r="FB13" s="110"/>
      <c r="FC13" s="110"/>
      <c r="FD13" s="110"/>
      <c r="FE13" s="110"/>
      <c r="FF13" s="110"/>
      <c r="FG13" s="110"/>
      <c r="FH13" s="110"/>
      <c r="FI13" s="110"/>
      <c r="FJ13" s="110"/>
      <c r="FK13" s="110"/>
      <c r="FL13" s="110"/>
      <c r="FM13" s="110"/>
      <c r="FN13" s="110"/>
      <c r="FO13" s="110"/>
      <c r="FP13" s="110"/>
      <c r="FQ13" s="110"/>
      <c r="FR13" s="110"/>
      <c r="FS13" s="110"/>
      <c r="FT13" s="110"/>
      <c r="FU13" s="110"/>
      <c r="FV13" s="110"/>
      <c r="FW13" s="110"/>
      <c r="FX13" s="110"/>
      <c r="FY13" s="110"/>
      <c r="FZ13" s="110"/>
      <c r="GA13" s="110"/>
      <c r="GB13" s="110"/>
      <c r="GC13" s="110"/>
      <c r="GD13" s="110"/>
      <c r="GE13" s="110"/>
      <c r="GF13" s="110"/>
      <c r="GG13" s="110"/>
      <c r="GH13" s="110"/>
      <c r="GI13" s="110"/>
      <c r="GJ13" s="110"/>
      <c r="GK13" s="110"/>
      <c r="GL13" s="110"/>
      <c r="GM13" s="110"/>
      <c r="GN13" s="110"/>
      <c r="GO13" s="110"/>
      <c r="GP13" s="110"/>
      <c r="GQ13" s="110"/>
      <c r="GR13" s="110"/>
      <c r="GS13" s="110"/>
      <c r="GT13" s="110"/>
      <c r="GU13" s="110"/>
      <c r="GV13" s="110"/>
      <c r="GW13" s="110"/>
      <c r="GX13" s="110"/>
      <c r="GY13" s="110"/>
      <c r="GZ13" s="110"/>
      <c r="HA13" s="110"/>
      <c r="HB13" s="110"/>
      <c r="HC13" s="110"/>
      <c r="HD13" s="110"/>
      <c r="HE13" s="110"/>
      <c r="HF13" s="110"/>
      <c r="HG13" s="110"/>
      <c r="HH13" s="110"/>
      <c r="HI13" s="110"/>
      <c r="HJ13" s="110"/>
      <c r="HK13" s="110"/>
      <c r="HL13" s="110"/>
      <c r="HM13" s="110"/>
      <c r="HN13" s="110"/>
      <c r="HO13" s="110"/>
      <c r="HP13" s="110"/>
      <c r="HQ13" s="110"/>
      <c r="HR13" s="110"/>
      <c r="HS13" s="110"/>
      <c r="HT13" s="110"/>
      <c r="HU13" s="110"/>
      <c r="HV13" s="110"/>
      <c r="HW13" s="110"/>
      <c r="HX13" s="110"/>
      <c r="HY13" s="110"/>
      <c r="HZ13" s="110"/>
      <c r="IA13" s="110"/>
      <c r="IB13" s="110"/>
      <c r="IC13" s="110"/>
      <c r="ID13" s="110"/>
      <c r="IE13" s="110"/>
      <c r="IF13" s="110"/>
      <c r="IG13" s="110"/>
      <c r="IH13" s="110"/>
      <c r="II13" s="110"/>
      <c r="IJ13" s="110"/>
      <c r="IK13" s="110"/>
      <c r="IL13" s="110"/>
      <c r="IM13" s="110"/>
      <c r="IN13" s="110"/>
      <c r="IO13" s="110"/>
      <c r="IP13" s="110"/>
      <c r="IQ13" s="110"/>
      <c r="IR13" s="110"/>
      <c r="IS13" s="110"/>
      <c r="IT13" s="110"/>
      <c r="IU13" s="110"/>
      <c r="IV13" s="110"/>
      <c r="IW13" s="110"/>
      <c r="IX13" s="110"/>
      <c r="IY13" s="110"/>
      <c r="IZ13" s="110"/>
      <c r="JA13" s="110"/>
      <c r="JB13" s="110"/>
      <c r="JC13" s="110"/>
      <c r="JD13" s="110"/>
      <c r="JE13" s="110"/>
      <c r="JF13" s="110"/>
      <c r="JG13" s="110"/>
      <c r="JH13" s="110"/>
      <c r="JI13" s="107">
        <f t="shared" si="0"/>
        <v>409306.6</v>
      </c>
      <c r="JJ13" s="2">
        <f t="shared" si="2"/>
        <v>218</v>
      </c>
      <c r="JK13" s="110">
        <v>391963.1</v>
      </c>
      <c r="JL13" s="112">
        <f t="shared" si="1"/>
        <v>17343.5</v>
      </c>
      <c r="JM13" s="112"/>
      <c r="JN13" s="112"/>
      <c r="JO13" s="112"/>
      <c r="JP13" s="112"/>
    </row>
    <row r="14" spans="1:276" x14ac:dyDescent="0.25">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v>594720</v>
      </c>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c r="EV14" s="110"/>
      <c r="EW14" s="110"/>
      <c r="EX14" s="110"/>
      <c r="EY14" s="110"/>
      <c r="EZ14" s="110"/>
      <c r="FA14" s="110"/>
      <c r="FB14" s="110"/>
      <c r="FC14" s="110"/>
      <c r="FD14" s="110"/>
      <c r="FE14" s="110"/>
      <c r="FF14" s="110"/>
      <c r="FG14" s="110"/>
      <c r="FH14" s="110"/>
      <c r="FI14" s="110"/>
      <c r="FJ14" s="110"/>
      <c r="FK14" s="110"/>
      <c r="FL14" s="110"/>
      <c r="FM14" s="110"/>
      <c r="FN14" s="110"/>
      <c r="FO14" s="110"/>
      <c r="FP14" s="110"/>
      <c r="FQ14" s="110"/>
      <c r="FR14" s="110"/>
      <c r="FS14" s="110"/>
      <c r="FT14" s="110"/>
      <c r="FU14" s="110"/>
      <c r="FV14" s="110"/>
      <c r="FW14" s="110"/>
      <c r="FX14" s="110"/>
      <c r="FY14" s="110"/>
      <c r="FZ14" s="110"/>
      <c r="GA14" s="110"/>
      <c r="GB14" s="110"/>
      <c r="GC14" s="110"/>
      <c r="GD14" s="110"/>
      <c r="GE14" s="110"/>
      <c r="GF14" s="110"/>
      <c r="GG14" s="110"/>
      <c r="GH14" s="110"/>
      <c r="GI14" s="110"/>
      <c r="GJ14" s="110"/>
      <c r="GK14" s="110"/>
      <c r="GL14" s="110"/>
      <c r="GM14" s="110"/>
      <c r="GN14" s="110"/>
      <c r="GO14" s="110"/>
      <c r="GP14" s="110"/>
      <c r="GQ14" s="110"/>
      <c r="GR14" s="110"/>
      <c r="GS14" s="110"/>
      <c r="GT14" s="110"/>
      <c r="GU14" s="110"/>
      <c r="GV14" s="110"/>
      <c r="GW14" s="110"/>
      <c r="GX14" s="110"/>
      <c r="GY14" s="110"/>
      <c r="GZ14" s="110"/>
      <c r="HA14" s="110"/>
      <c r="HB14" s="110"/>
      <c r="HC14" s="110"/>
      <c r="HD14" s="110"/>
      <c r="HE14" s="110"/>
      <c r="HF14" s="110"/>
      <c r="HG14" s="110"/>
      <c r="HH14" s="110"/>
      <c r="HI14" s="110"/>
      <c r="HJ14" s="110"/>
      <c r="HK14" s="110"/>
      <c r="HL14" s="110"/>
      <c r="HM14" s="110"/>
      <c r="HN14" s="110"/>
      <c r="HO14" s="110"/>
      <c r="HP14" s="110"/>
      <c r="HQ14" s="110"/>
      <c r="HR14" s="110"/>
      <c r="HS14" s="110"/>
      <c r="HT14" s="110"/>
      <c r="HU14" s="110"/>
      <c r="HV14" s="110"/>
      <c r="HW14" s="110"/>
      <c r="HX14" s="110"/>
      <c r="HY14" s="110"/>
      <c r="HZ14" s="110"/>
      <c r="IA14" s="110"/>
      <c r="IB14" s="110"/>
      <c r="IC14" s="110"/>
      <c r="ID14" s="110"/>
      <c r="IE14" s="110"/>
      <c r="IF14" s="110"/>
      <c r="IG14" s="110"/>
      <c r="IH14" s="110"/>
      <c r="II14" s="110"/>
      <c r="IJ14" s="110"/>
      <c r="IK14" s="110"/>
      <c r="IL14" s="110"/>
      <c r="IM14" s="110"/>
      <c r="IN14" s="110"/>
      <c r="IO14" s="110"/>
      <c r="IP14" s="110"/>
      <c r="IQ14" s="110"/>
      <c r="IR14" s="110"/>
      <c r="IS14" s="110"/>
      <c r="IT14" s="110"/>
      <c r="IU14" s="110"/>
      <c r="IV14" s="110"/>
      <c r="IW14" s="110"/>
      <c r="IX14" s="110"/>
      <c r="IY14" s="110"/>
      <c r="IZ14" s="110"/>
      <c r="JA14" s="110"/>
      <c r="JB14" s="110"/>
      <c r="JC14" s="110"/>
      <c r="JD14" s="110"/>
      <c r="JE14" s="110"/>
      <c r="JF14" s="110"/>
      <c r="JG14" s="110"/>
      <c r="JH14" s="110"/>
      <c r="JI14" s="107">
        <f t="shared" si="0"/>
        <v>594720</v>
      </c>
      <c r="JJ14" s="2">
        <f t="shared" si="2"/>
        <v>219</v>
      </c>
      <c r="JK14" s="110">
        <v>569520</v>
      </c>
      <c r="JL14" s="112">
        <f t="shared" si="1"/>
        <v>25200</v>
      </c>
      <c r="JM14" s="112"/>
      <c r="JN14" s="112"/>
      <c r="JO14" s="112"/>
      <c r="JP14" s="112"/>
    </row>
    <row r="15" spans="1:276" x14ac:dyDescent="0.2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c r="EV15" s="110"/>
      <c r="EW15" s="110"/>
      <c r="EX15" s="110"/>
      <c r="EY15" s="110"/>
      <c r="EZ15" s="110"/>
      <c r="FA15" s="110"/>
      <c r="FB15" s="110"/>
      <c r="FC15" s="110"/>
      <c r="FD15" s="110"/>
      <c r="FE15" s="110"/>
      <c r="FF15" s="110"/>
      <c r="FG15" s="110"/>
      <c r="FH15" s="110"/>
      <c r="FI15" s="110"/>
      <c r="FJ15" s="110"/>
      <c r="FK15" s="110"/>
      <c r="FL15" s="110"/>
      <c r="FM15" s="110"/>
      <c r="FN15" s="110"/>
      <c r="FO15" s="110"/>
      <c r="FP15" s="110"/>
      <c r="FQ15" s="110"/>
      <c r="FR15" s="110"/>
      <c r="FS15" s="110"/>
      <c r="FT15" s="110"/>
      <c r="FU15" s="110"/>
      <c r="FV15" s="110"/>
      <c r="FW15" s="110"/>
      <c r="FX15" s="110"/>
      <c r="FY15" s="110"/>
      <c r="FZ15" s="110"/>
      <c r="GA15" s="110"/>
      <c r="GB15" s="110"/>
      <c r="GC15" s="110"/>
      <c r="GD15" s="110"/>
      <c r="GE15" s="110"/>
      <c r="GF15" s="110"/>
      <c r="GG15" s="110"/>
      <c r="GH15" s="110"/>
      <c r="GI15" s="110"/>
      <c r="GJ15" s="110"/>
      <c r="GK15" s="110"/>
      <c r="GL15" s="110"/>
      <c r="GM15" s="110"/>
      <c r="GN15" s="110"/>
      <c r="GO15" s="110"/>
      <c r="GP15" s="110"/>
      <c r="GQ15" s="110"/>
      <c r="GR15" s="110"/>
      <c r="GS15" s="110"/>
      <c r="GT15" s="110"/>
      <c r="GU15" s="110"/>
      <c r="GV15" s="110"/>
      <c r="GW15" s="110"/>
      <c r="GX15" s="110"/>
      <c r="GY15" s="110"/>
      <c r="GZ15" s="110"/>
      <c r="HA15" s="110"/>
      <c r="HB15" s="110"/>
      <c r="HC15" s="110"/>
      <c r="HD15" s="110"/>
      <c r="HE15" s="110"/>
      <c r="HF15" s="110"/>
      <c r="HG15" s="110"/>
      <c r="HH15" s="110"/>
      <c r="HI15" s="110"/>
      <c r="HJ15" s="110"/>
      <c r="HK15" s="110"/>
      <c r="HL15" s="110">
        <v>58764</v>
      </c>
      <c r="HM15" s="110"/>
      <c r="HN15" s="110"/>
      <c r="HO15" s="110"/>
      <c r="HP15" s="110"/>
      <c r="HQ15" s="110"/>
      <c r="HR15" s="110"/>
      <c r="HS15" s="110"/>
      <c r="HT15" s="110"/>
      <c r="HU15" s="110"/>
      <c r="HV15" s="110"/>
      <c r="HW15" s="110"/>
      <c r="HX15" s="110"/>
      <c r="HY15" s="110"/>
      <c r="HZ15" s="110"/>
      <c r="IA15" s="110"/>
      <c r="IB15" s="110"/>
      <c r="IC15" s="110"/>
      <c r="ID15" s="110"/>
      <c r="IE15" s="110"/>
      <c r="IF15" s="110"/>
      <c r="IG15" s="110"/>
      <c r="IH15" s="110"/>
      <c r="II15" s="110"/>
      <c r="IJ15" s="110"/>
      <c r="IK15" s="110"/>
      <c r="IL15" s="110"/>
      <c r="IM15" s="110"/>
      <c r="IN15" s="110"/>
      <c r="IO15" s="110"/>
      <c r="IP15" s="110"/>
      <c r="IQ15" s="110"/>
      <c r="IR15" s="110"/>
      <c r="IS15" s="110"/>
      <c r="IT15" s="110"/>
      <c r="IU15" s="110"/>
      <c r="IV15" s="110"/>
      <c r="IW15" s="110"/>
      <c r="IX15" s="110"/>
      <c r="IY15" s="110"/>
      <c r="IZ15" s="110"/>
      <c r="JA15" s="110"/>
      <c r="JB15" s="110"/>
      <c r="JC15" s="110"/>
      <c r="JD15" s="110"/>
      <c r="JE15" s="110"/>
      <c r="JF15" s="110"/>
      <c r="JG15" s="110"/>
      <c r="JH15" s="110"/>
      <c r="JI15" s="107">
        <f t="shared" si="0"/>
        <v>58764</v>
      </c>
      <c r="JJ15" s="2">
        <f t="shared" si="2"/>
        <v>220</v>
      </c>
      <c r="JK15" s="110">
        <v>56274</v>
      </c>
      <c r="JL15" s="112">
        <f t="shared" si="1"/>
        <v>2490</v>
      </c>
      <c r="JM15" s="112"/>
      <c r="JN15" s="112"/>
      <c r="JO15" s="112"/>
      <c r="JP15" s="112"/>
    </row>
    <row r="16" spans="1:276" x14ac:dyDescent="0.25">
      <c r="A16" s="110"/>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v>3026.1</v>
      </c>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c r="EV16" s="110"/>
      <c r="EW16" s="110"/>
      <c r="EX16" s="110"/>
      <c r="EY16" s="110"/>
      <c r="EZ16" s="110"/>
      <c r="FA16" s="110"/>
      <c r="FB16" s="110"/>
      <c r="FC16" s="110"/>
      <c r="FD16" s="110"/>
      <c r="FE16" s="110"/>
      <c r="FF16" s="110"/>
      <c r="FG16" s="110"/>
      <c r="FH16" s="110"/>
      <c r="FI16" s="110"/>
      <c r="FJ16" s="110"/>
      <c r="FK16" s="110"/>
      <c r="FL16" s="110"/>
      <c r="FM16" s="110"/>
      <c r="FN16" s="110"/>
      <c r="FO16" s="110"/>
      <c r="FP16" s="110"/>
      <c r="FQ16" s="110"/>
      <c r="FR16" s="110"/>
      <c r="FS16" s="110"/>
      <c r="FT16" s="110"/>
      <c r="FU16" s="110"/>
      <c r="FV16" s="110"/>
      <c r="FW16" s="110"/>
      <c r="FX16" s="110"/>
      <c r="FY16" s="110"/>
      <c r="FZ16" s="110"/>
      <c r="GA16" s="110"/>
      <c r="GB16" s="110"/>
      <c r="GC16" s="110"/>
      <c r="GD16" s="110"/>
      <c r="GE16" s="110"/>
      <c r="GF16" s="110"/>
      <c r="GG16" s="110"/>
      <c r="GH16" s="110"/>
      <c r="GI16" s="110"/>
      <c r="GJ16" s="110"/>
      <c r="GK16" s="110"/>
      <c r="GL16" s="110"/>
      <c r="GM16" s="110"/>
      <c r="GN16" s="110"/>
      <c r="GO16" s="110"/>
      <c r="GP16" s="110"/>
      <c r="GQ16" s="110"/>
      <c r="GR16" s="110"/>
      <c r="GS16" s="110"/>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c r="HV16" s="110"/>
      <c r="HW16" s="110"/>
      <c r="HX16" s="110"/>
      <c r="HY16" s="110"/>
      <c r="HZ16" s="110"/>
      <c r="IA16" s="110"/>
      <c r="IB16" s="110"/>
      <c r="IC16" s="110"/>
      <c r="ID16" s="110"/>
      <c r="IE16" s="110"/>
      <c r="IF16" s="110"/>
      <c r="IG16" s="110"/>
      <c r="IH16" s="110"/>
      <c r="II16" s="110"/>
      <c r="IJ16" s="110"/>
      <c r="IK16" s="110"/>
      <c r="IL16" s="110"/>
      <c r="IM16" s="110"/>
      <c r="IN16" s="110"/>
      <c r="IO16" s="110"/>
      <c r="IP16" s="110"/>
      <c r="IQ16" s="110"/>
      <c r="IR16" s="110"/>
      <c r="IS16" s="110"/>
      <c r="IT16" s="110"/>
      <c r="IU16" s="110"/>
      <c r="IV16" s="110"/>
      <c r="IW16" s="110"/>
      <c r="IX16" s="110"/>
      <c r="IY16" s="110"/>
      <c r="IZ16" s="110"/>
      <c r="JA16" s="110"/>
      <c r="JB16" s="110"/>
      <c r="JC16" s="110"/>
      <c r="JD16" s="110"/>
      <c r="JE16" s="110"/>
      <c r="JF16" s="110"/>
      <c r="JG16" s="110"/>
      <c r="JH16" s="110"/>
      <c r="JI16" s="107">
        <f t="shared" si="0"/>
        <v>3026.1</v>
      </c>
      <c r="JJ16" s="2">
        <f t="shared" si="2"/>
        <v>221</v>
      </c>
      <c r="JK16" s="110">
        <v>3026.1</v>
      </c>
      <c r="JL16" s="112">
        <f t="shared" si="1"/>
        <v>0</v>
      </c>
      <c r="JM16" s="112"/>
      <c r="JN16" s="112"/>
      <c r="JO16" s="112"/>
      <c r="JP16" s="112"/>
    </row>
    <row r="17" spans="1:276" x14ac:dyDescent="0.25">
      <c r="A17" s="110"/>
      <c r="B17" s="110"/>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c r="EV17" s="110"/>
      <c r="EW17" s="110"/>
      <c r="EX17" s="110"/>
      <c r="EY17" s="110"/>
      <c r="EZ17" s="110"/>
      <c r="FA17" s="110"/>
      <c r="FB17" s="110"/>
      <c r="FC17" s="110"/>
      <c r="FD17" s="110"/>
      <c r="FE17" s="110"/>
      <c r="FF17" s="110"/>
      <c r="FG17" s="110"/>
      <c r="FH17" s="110"/>
      <c r="FI17" s="110"/>
      <c r="FJ17" s="110"/>
      <c r="FK17" s="110"/>
      <c r="FL17" s="110"/>
      <c r="FM17" s="110"/>
      <c r="FN17" s="110"/>
      <c r="FO17" s="110"/>
      <c r="FP17" s="110"/>
      <c r="FQ17" s="110"/>
      <c r="FR17" s="110"/>
      <c r="FS17" s="110"/>
      <c r="FT17" s="110"/>
      <c r="FU17" s="110"/>
      <c r="FV17" s="110"/>
      <c r="FW17" s="110"/>
      <c r="FX17" s="110"/>
      <c r="FY17" s="110"/>
      <c r="FZ17" s="110"/>
      <c r="GA17" s="110"/>
      <c r="GB17" s="110"/>
      <c r="GC17" s="110"/>
      <c r="GD17" s="110"/>
      <c r="GE17" s="110"/>
      <c r="GF17" s="110"/>
      <c r="GG17" s="110"/>
      <c r="GH17" s="110"/>
      <c r="GI17" s="110"/>
      <c r="GJ17" s="110"/>
      <c r="GK17" s="110"/>
      <c r="GL17" s="110"/>
      <c r="GM17" s="110"/>
      <c r="GN17" s="110"/>
      <c r="GO17" s="110"/>
      <c r="GP17" s="110"/>
      <c r="GQ17" s="110"/>
      <c r="GR17" s="110"/>
      <c r="GS17" s="110"/>
      <c r="GT17" s="110"/>
      <c r="GU17" s="110"/>
      <c r="GV17" s="110"/>
      <c r="GW17" s="110"/>
      <c r="GX17" s="110"/>
      <c r="GY17" s="110"/>
      <c r="GZ17" s="110"/>
      <c r="HA17" s="110"/>
      <c r="HB17" s="110"/>
      <c r="HC17" s="110"/>
      <c r="HD17" s="110">
        <v>272200</v>
      </c>
      <c r="HE17" s="110"/>
      <c r="HF17" s="110"/>
      <c r="HG17" s="110"/>
      <c r="HH17" s="110"/>
      <c r="HI17" s="110"/>
      <c r="HJ17" s="110"/>
      <c r="HK17" s="110"/>
      <c r="HL17" s="110"/>
      <c r="HM17" s="110"/>
      <c r="HN17" s="110"/>
      <c r="HO17" s="110"/>
      <c r="HP17" s="110"/>
      <c r="HQ17" s="110"/>
      <c r="HR17" s="110"/>
      <c r="HS17" s="110"/>
      <c r="HT17" s="110"/>
      <c r="HU17" s="110"/>
      <c r="HV17" s="110"/>
      <c r="HW17" s="110"/>
      <c r="HX17" s="110"/>
      <c r="HY17" s="110"/>
      <c r="HZ17" s="110"/>
      <c r="IA17" s="110"/>
      <c r="IB17" s="110"/>
      <c r="IC17" s="110"/>
      <c r="ID17" s="110"/>
      <c r="IE17" s="110"/>
      <c r="IF17" s="110"/>
      <c r="IG17" s="110"/>
      <c r="IH17" s="110"/>
      <c r="II17" s="110"/>
      <c r="IJ17" s="110"/>
      <c r="IK17" s="110"/>
      <c r="IL17" s="110"/>
      <c r="IM17" s="110"/>
      <c r="IN17" s="110"/>
      <c r="IO17" s="110"/>
      <c r="IP17" s="110"/>
      <c r="IQ17" s="110"/>
      <c r="IR17" s="110"/>
      <c r="IS17" s="110"/>
      <c r="IT17" s="110"/>
      <c r="IU17" s="110"/>
      <c r="IV17" s="110"/>
      <c r="IW17" s="110"/>
      <c r="IX17" s="110"/>
      <c r="IY17" s="110"/>
      <c r="IZ17" s="110"/>
      <c r="JA17" s="110"/>
      <c r="JB17" s="110"/>
      <c r="JC17" s="110"/>
      <c r="JD17" s="110"/>
      <c r="JE17" s="110"/>
      <c r="JF17" s="110"/>
      <c r="JG17" s="110"/>
      <c r="JH17" s="110"/>
      <c r="JI17" s="107">
        <f t="shared" si="0"/>
        <v>272200</v>
      </c>
      <c r="JJ17" s="2">
        <f t="shared" si="2"/>
        <v>222</v>
      </c>
      <c r="JK17" s="110">
        <v>260666.1</v>
      </c>
      <c r="JL17" s="112">
        <f t="shared" si="1"/>
        <v>11533.899999999994</v>
      </c>
      <c r="JM17" s="112"/>
      <c r="JN17" s="112"/>
      <c r="JO17" s="112"/>
      <c r="JP17" s="112"/>
    </row>
    <row r="18" spans="1:276" x14ac:dyDescent="0.25">
      <c r="A18" s="110"/>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10">
        <v>147500</v>
      </c>
      <c r="CT18" s="110"/>
      <c r="CU18" s="110"/>
      <c r="CV18" s="110"/>
      <c r="CW18" s="110"/>
      <c r="CX18" s="110"/>
      <c r="CY18" s="110"/>
      <c r="CZ18" s="110"/>
      <c r="DA18" s="110"/>
      <c r="DB18" s="110"/>
      <c r="DC18" s="110"/>
      <c r="DD18" s="110"/>
      <c r="DE18" s="110"/>
      <c r="DF18" s="110"/>
      <c r="DG18" s="110"/>
      <c r="DH18" s="110"/>
      <c r="DI18" s="110"/>
      <c r="DJ18" s="110"/>
      <c r="DK18" s="110"/>
      <c r="DL18" s="110"/>
      <c r="DM18" s="110"/>
      <c r="DN18" s="110"/>
      <c r="DO18" s="110"/>
      <c r="DP18" s="110"/>
      <c r="DQ18" s="110"/>
      <c r="DR18" s="110"/>
      <c r="DS18" s="110"/>
      <c r="DT18" s="110"/>
      <c r="DU18" s="110"/>
      <c r="DV18" s="110"/>
      <c r="DW18" s="110"/>
      <c r="DX18" s="110"/>
      <c r="DY18" s="110"/>
      <c r="DZ18" s="110"/>
      <c r="EA18" s="110"/>
      <c r="EB18" s="110"/>
      <c r="EC18" s="110"/>
      <c r="ED18" s="110"/>
      <c r="EE18" s="110"/>
      <c r="EF18" s="110"/>
      <c r="EG18" s="110"/>
      <c r="EH18" s="110"/>
      <c r="EI18" s="110"/>
      <c r="EJ18" s="110"/>
      <c r="EK18" s="110"/>
      <c r="EL18" s="110"/>
      <c r="EM18" s="110"/>
      <c r="EN18" s="110"/>
      <c r="EO18" s="110"/>
      <c r="EP18" s="110"/>
      <c r="EQ18" s="110"/>
      <c r="ER18" s="110"/>
      <c r="ES18" s="110"/>
      <c r="ET18" s="110"/>
      <c r="EU18" s="110"/>
      <c r="EV18" s="110"/>
      <c r="EW18" s="110"/>
      <c r="EX18" s="110"/>
      <c r="EY18" s="110"/>
      <c r="EZ18" s="110"/>
      <c r="FA18" s="110"/>
      <c r="FB18" s="110"/>
      <c r="FC18" s="110"/>
      <c r="FD18" s="110"/>
      <c r="FE18" s="110"/>
      <c r="FF18" s="110"/>
      <c r="FG18" s="110"/>
      <c r="FH18" s="110"/>
      <c r="FI18" s="110"/>
      <c r="FJ18" s="110"/>
      <c r="FK18" s="110"/>
      <c r="FL18" s="110"/>
      <c r="FM18" s="110"/>
      <c r="FN18" s="110"/>
      <c r="FO18" s="110"/>
      <c r="FP18" s="110"/>
      <c r="FQ18" s="110"/>
      <c r="FR18" s="110"/>
      <c r="FS18" s="110"/>
      <c r="FT18" s="110"/>
      <c r="FU18" s="110"/>
      <c r="FV18" s="110"/>
      <c r="FW18" s="110"/>
      <c r="FX18" s="110"/>
      <c r="FY18" s="110"/>
      <c r="FZ18" s="110"/>
      <c r="GA18" s="110"/>
      <c r="GB18" s="110"/>
      <c r="GC18" s="110"/>
      <c r="GD18" s="110"/>
      <c r="GE18" s="110"/>
      <c r="GF18" s="110"/>
      <c r="GG18" s="110"/>
      <c r="GH18" s="110"/>
      <c r="GI18" s="110"/>
      <c r="GJ18" s="110"/>
      <c r="GK18" s="110"/>
      <c r="GL18" s="110"/>
      <c r="GM18" s="110"/>
      <c r="GN18" s="110"/>
      <c r="GO18" s="110"/>
      <c r="GP18" s="110"/>
      <c r="GQ18" s="110"/>
      <c r="GR18" s="110"/>
      <c r="GS18" s="110"/>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c r="HV18" s="110"/>
      <c r="HW18" s="110"/>
      <c r="HX18" s="110"/>
      <c r="HY18" s="110"/>
      <c r="HZ18" s="110"/>
      <c r="IA18" s="110"/>
      <c r="IB18" s="110"/>
      <c r="IC18" s="110"/>
      <c r="ID18" s="110"/>
      <c r="IE18" s="110"/>
      <c r="IF18" s="110"/>
      <c r="IG18" s="110"/>
      <c r="IH18" s="110"/>
      <c r="II18" s="110"/>
      <c r="IJ18" s="110"/>
      <c r="IK18" s="110"/>
      <c r="IL18" s="110"/>
      <c r="IM18" s="110"/>
      <c r="IN18" s="110"/>
      <c r="IO18" s="110"/>
      <c r="IP18" s="110"/>
      <c r="IQ18" s="110"/>
      <c r="IR18" s="110"/>
      <c r="IS18" s="110"/>
      <c r="IT18" s="110"/>
      <c r="IU18" s="110"/>
      <c r="IV18" s="110"/>
      <c r="IW18" s="110"/>
      <c r="IX18" s="110"/>
      <c r="IY18" s="110"/>
      <c r="IZ18" s="110"/>
      <c r="JA18" s="110"/>
      <c r="JB18" s="110"/>
      <c r="JC18" s="110"/>
      <c r="JD18" s="110"/>
      <c r="JE18" s="110"/>
      <c r="JF18" s="110"/>
      <c r="JG18" s="110"/>
      <c r="JH18" s="110"/>
      <c r="JI18" s="107">
        <f t="shared" si="0"/>
        <v>147500</v>
      </c>
      <c r="JJ18" s="2">
        <f>+JJ17+1</f>
        <v>223</v>
      </c>
      <c r="JK18" s="110">
        <v>118750</v>
      </c>
      <c r="JL18" s="112">
        <f t="shared" si="1"/>
        <v>28750</v>
      </c>
      <c r="JM18" s="112"/>
      <c r="JN18" s="112"/>
      <c r="JO18" s="112"/>
      <c r="JP18" s="112"/>
    </row>
    <row r="19" spans="1:276" x14ac:dyDescent="0.25">
      <c r="A19" s="110"/>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v>212400</v>
      </c>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0"/>
      <c r="DI19" s="110"/>
      <c r="DJ19" s="110"/>
      <c r="DK19" s="110"/>
      <c r="DL19" s="110"/>
      <c r="DM19" s="110"/>
      <c r="DN19" s="110"/>
      <c r="DO19" s="110"/>
      <c r="DP19" s="110"/>
      <c r="DQ19" s="110"/>
      <c r="DR19" s="110"/>
      <c r="DS19" s="110"/>
      <c r="DT19" s="110"/>
      <c r="DU19" s="110"/>
      <c r="DV19" s="110">
        <v>26550</v>
      </c>
      <c r="DW19" s="110"/>
      <c r="DX19" s="110"/>
      <c r="DY19" s="110"/>
      <c r="DZ19" s="110"/>
      <c r="EA19" s="110"/>
      <c r="EB19" s="110"/>
      <c r="EC19" s="110"/>
      <c r="ED19" s="110"/>
      <c r="EE19" s="110"/>
      <c r="EF19" s="110"/>
      <c r="EG19" s="110"/>
      <c r="EH19" s="110"/>
      <c r="EI19" s="110"/>
      <c r="EJ19" s="110"/>
      <c r="EK19" s="110"/>
      <c r="EL19" s="110"/>
      <c r="EM19" s="110"/>
      <c r="EN19" s="110"/>
      <c r="EO19" s="110"/>
      <c r="EP19" s="110"/>
      <c r="EQ19" s="110"/>
      <c r="ER19" s="110"/>
      <c r="ES19" s="110"/>
      <c r="ET19" s="110"/>
      <c r="EU19" s="110"/>
      <c r="EV19" s="110"/>
      <c r="EW19" s="110"/>
      <c r="EX19" s="110"/>
      <c r="EY19" s="110"/>
      <c r="EZ19" s="110"/>
      <c r="FA19" s="110"/>
      <c r="FB19" s="110"/>
      <c r="FC19" s="110"/>
      <c r="FD19" s="110"/>
      <c r="FE19" s="110"/>
      <c r="FF19" s="110"/>
      <c r="FG19" s="110"/>
      <c r="FH19" s="110"/>
      <c r="FI19" s="110"/>
      <c r="FJ19" s="110"/>
      <c r="FK19" s="110"/>
      <c r="FL19" s="110"/>
      <c r="FM19" s="110"/>
      <c r="FN19" s="110"/>
      <c r="FO19" s="110"/>
      <c r="FP19" s="110"/>
      <c r="FQ19" s="110"/>
      <c r="FR19" s="110"/>
      <c r="FS19" s="110"/>
      <c r="FT19" s="110"/>
      <c r="FU19" s="110"/>
      <c r="FV19" s="110"/>
      <c r="FW19" s="110"/>
      <c r="FX19" s="110"/>
      <c r="FY19" s="110"/>
      <c r="FZ19" s="110"/>
      <c r="GA19" s="110"/>
      <c r="GB19" s="110"/>
      <c r="GC19" s="110"/>
      <c r="GD19" s="110"/>
      <c r="GE19" s="110"/>
      <c r="GF19" s="110"/>
      <c r="GG19" s="110"/>
      <c r="GH19" s="110"/>
      <c r="GI19" s="110"/>
      <c r="GJ19" s="110"/>
      <c r="GK19" s="110"/>
      <c r="GL19" s="110"/>
      <c r="GM19" s="110"/>
      <c r="GN19" s="110"/>
      <c r="GO19" s="110"/>
      <c r="GP19" s="110"/>
      <c r="GQ19" s="110"/>
      <c r="GR19" s="110"/>
      <c r="GS19" s="110"/>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c r="HV19" s="110"/>
      <c r="HW19" s="110"/>
      <c r="HX19" s="110"/>
      <c r="HY19" s="110"/>
      <c r="HZ19" s="110"/>
      <c r="IA19" s="110"/>
      <c r="IB19" s="110"/>
      <c r="IC19" s="110"/>
      <c r="ID19" s="110"/>
      <c r="IE19" s="110"/>
      <c r="IF19" s="110"/>
      <c r="IG19" s="110"/>
      <c r="IH19" s="110"/>
      <c r="II19" s="110"/>
      <c r="IJ19" s="110"/>
      <c r="IK19" s="110"/>
      <c r="IL19" s="110"/>
      <c r="IM19" s="110"/>
      <c r="IN19" s="110"/>
      <c r="IO19" s="110"/>
      <c r="IP19" s="110"/>
      <c r="IQ19" s="110"/>
      <c r="IR19" s="110"/>
      <c r="IS19" s="110"/>
      <c r="IT19" s="110"/>
      <c r="IU19" s="110"/>
      <c r="IV19" s="110"/>
      <c r="IW19" s="110"/>
      <c r="IX19" s="110"/>
      <c r="IY19" s="110"/>
      <c r="IZ19" s="110"/>
      <c r="JA19" s="110"/>
      <c r="JB19" s="110"/>
      <c r="JC19" s="110"/>
      <c r="JD19" s="110"/>
      <c r="JE19" s="110"/>
      <c r="JF19" s="110"/>
      <c r="JG19" s="110"/>
      <c r="JH19" s="110"/>
      <c r="JI19" s="107">
        <f t="shared" si="0"/>
        <v>238950</v>
      </c>
      <c r="JJ19" s="2">
        <f t="shared" si="2"/>
        <v>224</v>
      </c>
      <c r="JK19" s="110">
        <v>228825</v>
      </c>
      <c r="JL19" s="112">
        <f t="shared" si="1"/>
        <v>10125</v>
      </c>
      <c r="JM19" s="112"/>
      <c r="JN19" s="112"/>
      <c r="JO19" s="112"/>
      <c r="JP19" s="112"/>
    </row>
    <row r="20" spans="1:276" x14ac:dyDescent="0.25">
      <c r="A20" s="110"/>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v>298861.53999999998</v>
      </c>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c r="DB20" s="110"/>
      <c r="DC20" s="110"/>
      <c r="DD20" s="110"/>
      <c r="DE20" s="110"/>
      <c r="DF20" s="110"/>
      <c r="DG20" s="110"/>
      <c r="DH20" s="110"/>
      <c r="DI20" s="110"/>
      <c r="DJ20" s="110"/>
      <c r="DK20" s="110"/>
      <c r="DL20" s="110"/>
      <c r="DM20" s="110"/>
      <c r="DN20" s="110"/>
      <c r="DO20" s="110"/>
      <c r="DP20" s="110"/>
      <c r="DQ20" s="110"/>
      <c r="DR20" s="110"/>
      <c r="DS20" s="110"/>
      <c r="DT20" s="110"/>
      <c r="DU20" s="110"/>
      <c r="DV20" s="110"/>
      <c r="DW20" s="110"/>
      <c r="DX20" s="110"/>
      <c r="DY20" s="110"/>
      <c r="DZ20" s="110"/>
      <c r="EA20" s="110"/>
      <c r="EB20" s="110"/>
      <c r="EC20" s="110"/>
      <c r="ED20" s="110"/>
      <c r="EE20" s="110"/>
      <c r="EF20" s="110"/>
      <c r="EG20" s="110"/>
      <c r="EH20" s="110"/>
      <c r="EI20" s="110"/>
      <c r="EJ20" s="110"/>
      <c r="EK20" s="110"/>
      <c r="EL20" s="110"/>
      <c r="EM20" s="110"/>
      <c r="EN20" s="110"/>
      <c r="EO20" s="110"/>
      <c r="EP20" s="110"/>
      <c r="EQ20" s="110"/>
      <c r="ER20" s="110"/>
      <c r="ES20" s="110"/>
      <c r="ET20" s="110"/>
      <c r="EU20" s="110"/>
      <c r="EV20" s="110"/>
      <c r="EW20" s="110"/>
      <c r="EX20" s="110"/>
      <c r="EY20" s="110"/>
      <c r="EZ20" s="110"/>
      <c r="FA20" s="110"/>
      <c r="FB20" s="110"/>
      <c r="FC20" s="110"/>
      <c r="FD20" s="110"/>
      <c r="FE20" s="110"/>
      <c r="FF20" s="110"/>
      <c r="FG20" s="110"/>
      <c r="FH20" s="110"/>
      <c r="FI20" s="110"/>
      <c r="FJ20" s="110"/>
      <c r="FK20" s="110"/>
      <c r="FL20" s="110"/>
      <c r="FM20" s="110"/>
      <c r="FN20" s="110"/>
      <c r="FO20" s="110"/>
      <c r="FP20" s="110"/>
      <c r="FQ20" s="110"/>
      <c r="FR20" s="110"/>
      <c r="FS20" s="110"/>
      <c r="FT20" s="110"/>
      <c r="FU20" s="110"/>
      <c r="FV20" s="110"/>
      <c r="FW20" s="110"/>
      <c r="FX20" s="110"/>
      <c r="FY20" s="110"/>
      <c r="FZ20" s="110"/>
      <c r="GA20" s="110"/>
      <c r="GB20" s="110"/>
      <c r="GC20" s="110"/>
      <c r="GD20" s="110"/>
      <c r="GE20" s="110"/>
      <c r="GF20" s="110"/>
      <c r="GG20" s="110"/>
      <c r="GH20" s="110"/>
      <c r="GI20" s="110"/>
      <c r="GJ20" s="110"/>
      <c r="GK20" s="110"/>
      <c r="GL20" s="110"/>
      <c r="GM20" s="110"/>
      <c r="GN20" s="110"/>
      <c r="GO20" s="110"/>
      <c r="GP20" s="110"/>
      <c r="GQ20" s="110"/>
      <c r="GR20" s="110"/>
      <c r="GS20" s="110"/>
      <c r="GT20" s="110"/>
      <c r="GU20" s="110"/>
      <c r="GV20" s="110"/>
      <c r="GW20" s="110"/>
      <c r="GX20" s="110"/>
      <c r="GY20" s="110"/>
      <c r="GZ20" s="110"/>
      <c r="HA20" s="110"/>
      <c r="HB20" s="110"/>
      <c r="HC20" s="110"/>
      <c r="HD20" s="110"/>
      <c r="HE20" s="110"/>
      <c r="HF20" s="110"/>
      <c r="HG20" s="110"/>
      <c r="HH20" s="110"/>
      <c r="HI20" s="110"/>
      <c r="HJ20" s="110"/>
      <c r="HK20" s="110"/>
      <c r="HL20" s="110"/>
      <c r="HM20" s="110"/>
      <c r="HN20" s="110"/>
      <c r="HO20" s="110"/>
      <c r="HP20" s="110"/>
      <c r="HQ20" s="110"/>
      <c r="HR20" s="110"/>
      <c r="HS20" s="110"/>
      <c r="HT20" s="110"/>
      <c r="HU20" s="110"/>
      <c r="HV20" s="110"/>
      <c r="HW20" s="110"/>
      <c r="HX20" s="110"/>
      <c r="HY20" s="110"/>
      <c r="HZ20" s="110"/>
      <c r="IA20" s="110"/>
      <c r="IB20" s="110"/>
      <c r="IC20" s="110"/>
      <c r="ID20" s="110"/>
      <c r="IE20" s="110"/>
      <c r="IF20" s="110"/>
      <c r="IG20" s="110"/>
      <c r="IH20" s="110"/>
      <c r="II20" s="110"/>
      <c r="IJ20" s="110"/>
      <c r="IK20" s="110"/>
      <c r="IL20" s="110"/>
      <c r="IM20" s="110"/>
      <c r="IN20" s="110"/>
      <c r="IO20" s="110"/>
      <c r="IP20" s="110"/>
      <c r="IQ20" s="110"/>
      <c r="IR20" s="110"/>
      <c r="IS20" s="110"/>
      <c r="IT20" s="110"/>
      <c r="IU20" s="110"/>
      <c r="IV20" s="110"/>
      <c r="IW20" s="110"/>
      <c r="IX20" s="110"/>
      <c r="IY20" s="110"/>
      <c r="IZ20" s="110"/>
      <c r="JA20" s="110"/>
      <c r="JB20" s="110"/>
      <c r="JC20" s="110"/>
      <c r="JD20" s="110"/>
      <c r="JE20" s="110"/>
      <c r="JF20" s="110"/>
      <c r="JG20" s="110"/>
      <c r="JH20" s="110"/>
      <c r="JI20" s="107">
        <f t="shared" si="0"/>
        <v>298861.53999999998</v>
      </c>
      <c r="JJ20" s="2">
        <f t="shared" si="2"/>
        <v>225</v>
      </c>
      <c r="JK20" s="110">
        <v>298861.53999999998</v>
      </c>
      <c r="JL20" s="112">
        <f t="shared" si="1"/>
        <v>0</v>
      </c>
      <c r="JM20" s="112"/>
      <c r="JN20" s="112"/>
      <c r="JO20" s="112"/>
      <c r="JP20" s="112"/>
    </row>
    <row r="21" spans="1:276" x14ac:dyDescent="0.25">
      <c r="A21" s="110"/>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10"/>
      <c r="CT21" s="110"/>
      <c r="CU21" s="110"/>
      <c r="CV21" s="110"/>
      <c r="CW21" s="110"/>
      <c r="CX21" s="110"/>
      <c r="CY21" s="110"/>
      <c r="CZ21" s="110"/>
      <c r="DA21" s="110"/>
      <c r="DB21" s="110"/>
      <c r="DC21" s="110"/>
      <c r="DD21" s="110"/>
      <c r="DE21" s="110">
        <v>165375</v>
      </c>
      <c r="DF21" s="110"/>
      <c r="DG21" s="110"/>
      <c r="DH21" s="110"/>
      <c r="DI21" s="110"/>
      <c r="DJ21" s="110"/>
      <c r="DK21" s="110"/>
      <c r="DL21" s="110"/>
      <c r="DM21" s="110"/>
      <c r="DN21" s="110"/>
      <c r="DO21" s="110"/>
      <c r="DP21" s="110"/>
      <c r="DQ21" s="110"/>
      <c r="DR21" s="110"/>
      <c r="DS21" s="110"/>
      <c r="DT21" s="110"/>
      <c r="DU21" s="110"/>
      <c r="DV21" s="110"/>
      <c r="DW21" s="110"/>
      <c r="DX21" s="110"/>
      <c r="DY21" s="110"/>
      <c r="DZ21" s="110"/>
      <c r="EA21" s="110"/>
      <c r="EB21" s="110"/>
      <c r="EC21" s="110"/>
      <c r="ED21" s="110"/>
      <c r="EE21" s="110"/>
      <c r="EF21" s="110"/>
      <c r="EG21" s="110"/>
      <c r="EH21" s="110"/>
      <c r="EI21" s="110"/>
      <c r="EJ21" s="110"/>
      <c r="EK21" s="110"/>
      <c r="EL21" s="110"/>
      <c r="EM21" s="110"/>
      <c r="EN21" s="110"/>
      <c r="EO21" s="110"/>
      <c r="EP21" s="110"/>
      <c r="EQ21" s="110"/>
      <c r="ER21" s="110"/>
      <c r="ES21" s="110"/>
      <c r="ET21" s="110"/>
      <c r="EU21" s="110"/>
      <c r="EV21" s="110"/>
      <c r="EW21" s="110"/>
      <c r="EX21" s="110"/>
      <c r="EY21" s="110"/>
      <c r="EZ21" s="110"/>
      <c r="FA21" s="110"/>
      <c r="FB21" s="110"/>
      <c r="FC21" s="110"/>
      <c r="FD21" s="110"/>
      <c r="FE21" s="110"/>
      <c r="FF21" s="110"/>
      <c r="FG21" s="110"/>
      <c r="FH21" s="110"/>
      <c r="FI21" s="110"/>
      <c r="FJ21" s="110"/>
      <c r="FK21" s="110"/>
      <c r="FL21" s="110"/>
      <c r="FM21" s="110"/>
      <c r="FN21" s="110"/>
      <c r="FO21" s="110"/>
      <c r="FP21" s="110"/>
      <c r="FQ21" s="110"/>
      <c r="FR21" s="110"/>
      <c r="FS21" s="110"/>
      <c r="FT21" s="110"/>
      <c r="FU21" s="110"/>
      <c r="FV21" s="110"/>
      <c r="FW21" s="110"/>
      <c r="FX21" s="110"/>
      <c r="FY21" s="110"/>
      <c r="FZ21" s="110"/>
      <c r="GA21" s="110"/>
      <c r="GB21" s="110"/>
      <c r="GC21" s="110"/>
      <c r="GD21" s="110"/>
      <c r="GE21" s="110"/>
      <c r="GF21" s="110"/>
      <c r="GG21" s="110"/>
      <c r="GH21" s="110"/>
      <c r="GI21" s="110"/>
      <c r="GJ21" s="110"/>
      <c r="GK21" s="110"/>
      <c r="GL21" s="110"/>
      <c r="GM21" s="110"/>
      <c r="GN21" s="110"/>
      <c r="GO21" s="110"/>
      <c r="GP21" s="110"/>
      <c r="GQ21" s="110"/>
      <c r="GR21" s="110"/>
      <c r="GS21" s="110"/>
      <c r="GT21" s="110"/>
      <c r="GU21" s="110"/>
      <c r="GV21" s="110"/>
      <c r="GW21" s="110"/>
      <c r="GX21" s="110"/>
      <c r="GY21" s="110"/>
      <c r="GZ21" s="110"/>
      <c r="HA21" s="110"/>
      <c r="HB21" s="110"/>
      <c r="HC21" s="110"/>
      <c r="HD21" s="110"/>
      <c r="HE21" s="110"/>
      <c r="HF21" s="110"/>
      <c r="HG21" s="110"/>
      <c r="HH21" s="110"/>
      <c r="HI21" s="110"/>
      <c r="HJ21" s="110"/>
      <c r="HK21" s="110"/>
      <c r="HL21" s="110"/>
      <c r="HM21" s="110"/>
      <c r="HN21" s="110"/>
      <c r="HO21" s="110"/>
      <c r="HP21" s="110"/>
      <c r="HQ21" s="110"/>
      <c r="HR21" s="110"/>
      <c r="HS21" s="110"/>
      <c r="HT21" s="110"/>
      <c r="HU21" s="110"/>
      <c r="HV21" s="110"/>
      <c r="HW21" s="110"/>
      <c r="HX21" s="110"/>
      <c r="HY21" s="110"/>
      <c r="HZ21" s="110"/>
      <c r="IA21" s="110"/>
      <c r="IB21" s="110"/>
      <c r="IC21" s="110"/>
      <c r="ID21" s="110"/>
      <c r="IE21" s="110"/>
      <c r="IF21" s="110"/>
      <c r="IG21" s="110"/>
      <c r="IH21" s="110"/>
      <c r="II21" s="110"/>
      <c r="IJ21" s="110"/>
      <c r="IK21" s="110"/>
      <c r="IL21" s="110"/>
      <c r="IM21" s="110"/>
      <c r="IN21" s="110"/>
      <c r="IO21" s="110"/>
      <c r="IP21" s="110"/>
      <c r="IQ21" s="110"/>
      <c r="IR21" s="110"/>
      <c r="IS21" s="110"/>
      <c r="IT21" s="110"/>
      <c r="IU21" s="110"/>
      <c r="IV21" s="110"/>
      <c r="IW21" s="110"/>
      <c r="IX21" s="110"/>
      <c r="IY21" s="110"/>
      <c r="IZ21" s="110"/>
      <c r="JA21" s="110"/>
      <c r="JB21" s="110"/>
      <c r="JC21" s="110"/>
      <c r="JD21" s="110"/>
      <c r="JE21" s="110"/>
      <c r="JF21" s="110"/>
      <c r="JG21" s="110"/>
      <c r="JH21" s="110"/>
      <c r="JI21" s="107">
        <f t="shared" si="0"/>
        <v>165375</v>
      </c>
      <c r="JJ21" s="2">
        <f t="shared" si="2"/>
        <v>226</v>
      </c>
      <c r="JK21" s="110">
        <v>165375</v>
      </c>
      <c r="JL21" s="112">
        <f t="shared" si="1"/>
        <v>0</v>
      </c>
      <c r="JM21" s="112"/>
      <c r="JN21" s="112"/>
      <c r="JO21" s="112"/>
      <c r="JP21" s="112"/>
    </row>
    <row r="22" spans="1:276" x14ac:dyDescent="0.25">
      <c r="A22" s="110"/>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v>8000</v>
      </c>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c r="DB22" s="110"/>
      <c r="DC22" s="110"/>
      <c r="DD22" s="110"/>
      <c r="DE22" s="110"/>
      <c r="DF22" s="110"/>
      <c r="DG22" s="110"/>
      <c r="DH22" s="110"/>
      <c r="DI22" s="110"/>
      <c r="DJ22" s="110"/>
      <c r="DK22" s="110"/>
      <c r="DL22" s="110"/>
      <c r="DM22" s="110"/>
      <c r="DN22" s="110"/>
      <c r="DO22" s="110"/>
      <c r="DP22" s="110"/>
      <c r="DQ22" s="110"/>
      <c r="DR22" s="110"/>
      <c r="DS22" s="110"/>
      <c r="DT22" s="110"/>
      <c r="DU22" s="110"/>
      <c r="DV22" s="110"/>
      <c r="DW22" s="110"/>
      <c r="DX22" s="110"/>
      <c r="DY22" s="110"/>
      <c r="DZ22" s="110"/>
      <c r="EA22" s="110"/>
      <c r="EB22" s="110"/>
      <c r="EC22" s="110"/>
      <c r="ED22" s="110"/>
      <c r="EE22" s="110"/>
      <c r="EF22" s="110"/>
      <c r="EG22" s="110"/>
      <c r="EH22" s="110"/>
      <c r="EI22" s="110"/>
      <c r="EJ22" s="110"/>
      <c r="EK22" s="110"/>
      <c r="EL22" s="110"/>
      <c r="EM22" s="110"/>
      <c r="EN22" s="110"/>
      <c r="EO22" s="110"/>
      <c r="EP22" s="110"/>
      <c r="EQ22" s="110"/>
      <c r="ER22" s="110"/>
      <c r="ES22" s="110"/>
      <c r="ET22" s="110"/>
      <c r="EU22" s="110"/>
      <c r="EV22" s="110"/>
      <c r="EW22" s="110"/>
      <c r="EX22" s="110"/>
      <c r="EY22" s="110"/>
      <c r="EZ22" s="110"/>
      <c r="FA22" s="110"/>
      <c r="FB22" s="110"/>
      <c r="FC22" s="110"/>
      <c r="FD22" s="110"/>
      <c r="FE22" s="110"/>
      <c r="FF22" s="110"/>
      <c r="FG22" s="110"/>
      <c r="FH22" s="110"/>
      <c r="FI22" s="110"/>
      <c r="FJ22" s="110"/>
      <c r="FK22" s="110"/>
      <c r="FL22" s="110"/>
      <c r="FM22" s="110"/>
      <c r="FN22" s="110"/>
      <c r="FO22" s="110"/>
      <c r="FP22" s="110"/>
      <c r="FQ22" s="110"/>
      <c r="FR22" s="110"/>
      <c r="FS22" s="110"/>
      <c r="FT22" s="110"/>
      <c r="FU22" s="110"/>
      <c r="FV22" s="110"/>
      <c r="FW22" s="110"/>
      <c r="FX22" s="110"/>
      <c r="FY22" s="110"/>
      <c r="FZ22" s="110"/>
      <c r="GA22" s="110"/>
      <c r="GB22" s="110"/>
      <c r="GC22" s="110"/>
      <c r="GD22" s="110"/>
      <c r="GE22" s="110"/>
      <c r="GF22" s="110"/>
      <c r="GG22" s="110"/>
      <c r="GH22" s="110"/>
      <c r="GI22" s="110"/>
      <c r="GJ22" s="110"/>
      <c r="GK22" s="110"/>
      <c r="GL22" s="110"/>
      <c r="GM22" s="110"/>
      <c r="GN22" s="110"/>
      <c r="GO22" s="110"/>
      <c r="GP22" s="110"/>
      <c r="GQ22" s="110"/>
      <c r="GR22" s="110"/>
      <c r="GS22" s="110"/>
      <c r="GT22" s="110"/>
      <c r="GU22" s="110"/>
      <c r="GV22" s="110"/>
      <c r="GW22" s="110"/>
      <c r="GX22" s="110"/>
      <c r="GY22" s="110"/>
      <c r="GZ22" s="110"/>
      <c r="HA22" s="110"/>
      <c r="HB22" s="110"/>
      <c r="HC22" s="110"/>
      <c r="HD22" s="110"/>
      <c r="HE22" s="110"/>
      <c r="HF22" s="110"/>
      <c r="HG22" s="110"/>
      <c r="HH22" s="110"/>
      <c r="HI22" s="110"/>
      <c r="HJ22" s="110"/>
      <c r="HK22" s="110"/>
      <c r="HL22" s="110"/>
      <c r="HM22" s="110"/>
      <c r="HN22" s="110"/>
      <c r="HO22" s="110"/>
      <c r="HP22" s="110"/>
      <c r="HQ22" s="110"/>
      <c r="HR22" s="110"/>
      <c r="HS22" s="110"/>
      <c r="HT22" s="110"/>
      <c r="HU22" s="110"/>
      <c r="HV22" s="110"/>
      <c r="HW22" s="110"/>
      <c r="HX22" s="110"/>
      <c r="HY22" s="110"/>
      <c r="HZ22" s="110"/>
      <c r="IA22" s="110"/>
      <c r="IB22" s="110"/>
      <c r="IC22" s="110"/>
      <c r="ID22" s="110"/>
      <c r="IE22" s="110"/>
      <c r="IF22" s="110"/>
      <c r="IG22" s="110"/>
      <c r="IH22" s="110"/>
      <c r="II22" s="110"/>
      <c r="IJ22" s="110"/>
      <c r="IK22" s="110"/>
      <c r="IL22" s="110"/>
      <c r="IM22" s="110"/>
      <c r="IN22" s="110"/>
      <c r="IO22" s="110"/>
      <c r="IP22" s="110"/>
      <c r="IQ22" s="110"/>
      <c r="IR22" s="110"/>
      <c r="IS22" s="110"/>
      <c r="IT22" s="110"/>
      <c r="IU22" s="110"/>
      <c r="IV22" s="110"/>
      <c r="IW22" s="110"/>
      <c r="IX22" s="110"/>
      <c r="IY22" s="110"/>
      <c r="IZ22" s="110"/>
      <c r="JA22" s="110"/>
      <c r="JB22" s="110"/>
      <c r="JC22" s="110"/>
      <c r="JD22" s="110"/>
      <c r="JE22" s="110"/>
      <c r="JF22" s="110"/>
      <c r="JG22" s="110"/>
      <c r="JH22" s="110"/>
      <c r="JI22" s="107">
        <f t="shared" si="0"/>
        <v>8000</v>
      </c>
      <c r="JJ22" s="2">
        <f t="shared" si="2"/>
        <v>227</v>
      </c>
      <c r="JK22" s="110">
        <v>7600</v>
      </c>
      <c r="JL22" s="112">
        <f t="shared" si="1"/>
        <v>400</v>
      </c>
      <c r="JM22" s="112"/>
      <c r="JN22" s="112"/>
      <c r="JO22" s="112"/>
      <c r="JP22" s="112"/>
    </row>
    <row r="23" spans="1:276" x14ac:dyDescent="0.25">
      <c r="A23" s="110"/>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0"/>
      <c r="DI23" s="110"/>
      <c r="DJ23" s="110"/>
      <c r="DK23" s="110"/>
      <c r="DL23" s="110"/>
      <c r="DM23" s="110"/>
      <c r="DN23" s="110"/>
      <c r="DO23" s="110"/>
      <c r="DP23" s="110"/>
      <c r="DQ23" s="110"/>
      <c r="DR23" s="110"/>
      <c r="DS23" s="110"/>
      <c r="DT23" s="110"/>
      <c r="DU23" s="110"/>
      <c r="DV23" s="110"/>
      <c r="DW23" s="110"/>
      <c r="DX23" s="110"/>
      <c r="DY23" s="110"/>
      <c r="DZ23" s="110"/>
      <c r="EA23" s="110"/>
      <c r="EB23" s="110"/>
      <c r="EC23" s="110"/>
      <c r="ED23" s="110"/>
      <c r="EE23" s="110"/>
      <c r="EF23" s="110"/>
      <c r="EG23" s="110">
        <v>77390.009999999995</v>
      </c>
      <c r="EH23" s="110"/>
      <c r="EI23" s="110"/>
      <c r="EJ23" s="110"/>
      <c r="EK23" s="110"/>
      <c r="EL23" s="110"/>
      <c r="EM23" s="110"/>
      <c r="EN23" s="110"/>
      <c r="EO23" s="110"/>
      <c r="EP23" s="110"/>
      <c r="EQ23" s="110"/>
      <c r="ER23" s="110">
        <v>2100</v>
      </c>
      <c r="ES23" s="110"/>
      <c r="ET23" s="110"/>
      <c r="EU23" s="110"/>
      <c r="EV23" s="110"/>
      <c r="EW23" s="110"/>
      <c r="EX23" s="110"/>
      <c r="EY23" s="110"/>
      <c r="EZ23" s="110"/>
      <c r="FA23" s="110"/>
      <c r="FB23" s="110"/>
      <c r="FC23" s="110"/>
      <c r="FD23" s="110"/>
      <c r="FE23" s="110"/>
      <c r="FF23" s="110"/>
      <c r="FG23" s="110"/>
      <c r="FH23" s="110"/>
      <c r="FI23" s="110"/>
      <c r="FJ23" s="110"/>
      <c r="FK23" s="110"/>
      <c r="FL23" s="110"/>
      <c r="FM23" s="110"/>
      <c r="FN23" s="110"/>
      <c r="FO23" s="110"/>
      <c r="FP23" s="110"/>
      <c r="FQ23" s="110"/>
      <c r="FR23" s="110"/>
      <c r="FS23" s="110"/>
      <c r="FT23" s="110"/>
      <c r="FU23" s="110"/>
      <c r="FV23" s="110"/>
      <c r="FW23" s="110"/>
      <c r="FX23" s="110"/>
      <c r="FY23" s="110">
        <v>31450</v>
      </c>
      <c r="FZ23" s="110"/>
      <c r="GA23" s="110"/>
      <c r="GB23" s="110">
        <v>1000</v>
      </c>
      <c r="GC23" s="110"/>
      <c r="GD23" s="110"/>
      <c r="GE23" s="110"/>
      <c r="GF23" s="110"/>
      <c r="GG23" s="110"/>
      <c r="GH23" s="110"/>
      <c r="GI23" s="110"/>
      <c r="GJ23" s="110"/>
      <c r="GK23" s="110"/>
      <c r="GL23" s="110"/>
      <c r="GM23" s="110"/>
      <c r="GN23" s="110"/>
      <c r="GO23" s="110"/>
      <c r="GP23" s="110"/>
      <c r="GQ23" s="110"/>
      <c r="GR23" s="110"/>
      <c r="GS23" s="110"/>
      <c r="GT23" s="110"/>
      <c r="GU23" s="110"/>
      <c r="GV23" s="110"/>
      <c r="GW23" s="110"/>
      <c r="GX23" s="110"/>
      <c r="GY23" s="110"/>
      <c r="GZ23" s="110"/>
      <c r="HA23" s="110"/>
      <c r="HB23" s="110"/>
      <c r="HC23" s="110"/>
      <c r="HD23" s="110"/>
      <c r="HE23" s="110"/>
      <c r="HF23" s="110"/>
      <c r="HG23" s="110"/>
      <c r="HH23" s="110"/>
      <c r="HI23" s="110">
        <v>10500.01</v>
      </c>
      <c r="HJ23" s="110"/>
      <c r="HK23" s="110"/>
      <c r="HL23" s="110"/>
      <c r="HM23" s="110"/>
      <c r="HN23" s="110"/>
      <c r="HO23" s="110"/>
      <c r="HP23" s="110"/>
      <c r="HQ23" s="110"/>
      <c r="HR23" s="110"/>
      <c r="HS23" s="110"/>
      <c r="HT23" s="110"/>
      <c r="HU23" s="110"/>
      <c r="HV23" s="110"/>
      <c r="HW23" s="110"/>
      <c r="HX23" s="110"/>
      <c r="HY23" s="110"/>
      <c r="HZ23" s="110"/>
      <c r="IA23" s="110"/>
      <c r="IB23" s="110"/>
      <c r="IC23" s="110"/>
      <c r="ID23" s="110"/>
      <c r="IE23" s="110"/>
      <c r="IF23" s="110"/>
      <c r="IG23" s="110"/>
      <c r="IH23" s="110"/>
      <c r="II23" s="110"/>
      <c r="IJ23" s="110"/>
      <c r="IK23" s="110"/>
      <c r="IL23" s="110"/>
      <c r="IM23" s="110"/>
      <c r="IN23" s="110"/>
      <c r="IO23" s="110"/>
      <c r="IP23" s="110"/>
      <c r="IQ23" s="110"/>
      <c r="IR23" s="110"/>
      <c r="IS23" s="110"/>
      <c r="IT23" s="110"/>
      <c r="IU23" s="110"/>
      <c r="IV23" s="110"/>
      <c r="IW23" s="110"/>
      <c r="IX23" s="110"/>
      <c r="IY23" s="110"/>
      <c r="IZ23" s="110"/>
      <c r="JA23" s="110"/>
      <c r="JB23" s="110"/>
      <c r="JC23" s="110"/>
      <c r="JD23" s="110"/>
      <c r="JE23" s="110"/>
      <c r="JF23" s="110"/>
      <c r="JG23" s="110"/>
      <c r="JH23" s="110"/>
      <c r="JI23" s="107">
        <f t="shared" si="0"/>
        <v>122440.01999999999</v>
      </c>
      <c r="JJ23" s="2">
        <f t="shared" si="2"/>
        <v>228</v>
      </c>
      <c r="JK23" s="110">
        <v>117251.88</v>
      </c>
      <c r="JL23" s="112">
        <f t="shared" si="1"/>
        <v>5188.1399999999849</v>
      </c>
      <c r="JM23" s="112"/>
      <c r="JN23" s="112"/>
      <c r="JO23" s="112"/>
      <c r="JP23" s="112"/>
    </row>
    <row r="24" spans="1:276" x14ac:dyDescent="0.25">
      <c r="A24" s="110"/>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0"/>
      <c r="CE24" s="110"/>
      <c r="CF24" s="110"/>
      <c r="CG24" s="110"/>
      <c r="CH24" s="110"/>
      <c r="CI24" s="110"/>
      <c r="CJ24" s="110"/>
      <c r="CK24" s="110"/>
      <c r="CL24" s="110"/>
      <c r="CM24" s="110"/>
      <c r="CN24" s="110"/>
      <c r="CO24" s="110"/>
      <c r="CP24" s="110"/>
      <c r="CQ24" s="110"/>
      <c r="CR24" s="110"/>
      <c r="CS24" s="110"/>
      <c r="CT24" s="110"/>
      <c r="CU24" s="110"/>
      <c r="CV24" s="110"/>
      <c r="CW24" s="110"/>
      <c r="CX24" s="110"/>
      <c r="CY24" s="110"/>
      <c r="CZ24" s="110"/>
      <c r="DA24" s="110"/>
      <c r="DB24" s="110"/>
      <c r="DC24" s="110"/>
      <c r="DD24" s="110"/>
      <c r="DE24" s="110">
        <v>165375</v>
      </c>
      <c r="DF24" s="110"/>
      <c r="DG24" s="110"/>
      <c r="DH24" s="110"/>
      <c r="DI24" s="110"/>
      <c r="DJ24" s="110"/>
      <c r="DK24" s="110"/>
      <c r="DL24" s="110"/>
      <c r="DM24" s="110"/>
      <c r="DN24" s="110"/>
      <c r="DO24" s="110"/>
      <c r="DP24" s="110"/>
      <c r="DQ24" s="110"/>
      <c r="DR24" s="110"/>
      <c r="DS24" s="110"/>
      <c r="DT24" s="110"/>
      <c r="DU24" s="110"/>
      <c r="DV24" s="110"/>
      <c r="DW24" s="110"/>
      <c r="DX24" s="110"/>
      <c r="DY24" s="110"/>
      <c r="DZ24" s="110"/>
      <c r="EA24" s="110"/>
      <c r="EB24" s="110"/>
      <c r="EC24" s="110"/>
      <c r="ED24" s="110"/>
      <c r="EE24" s="110"/>
      <c r="EF24" s="110"/>
      <c r="EG24" s="110"/>
      <c r="EH24" s="110"/>
      <c r="EI24" s="110"/>
      <c r="EJ24" s="110"/>
      <c r="EK24" s="110"/>
      <c r="EL24" s="110"/>
      <c r="EM24" s="110"/>
      <c r="EN24" s="110"/>
      <c r="EO24" s="110"/>
      <c r="EP24" s="110"/>
      <c r="EQ24" s="110"/>
      <c r="ER24" s="110"/>
      <c r="ES24" s="110"/>
      <c r="ET24" s="110"/>
      <c r="EU24" s="110"/>
      <c r="EV24" s="110"/>
      <c r="EW24" s="110"/>
      <c r="EX24" s="110"/>
      <c r="EY24" s="110"/>
      <c r="EZ24" s="110"/>
      <c r="FA24" s="110"/>
      <c r="FB24" s="110"/>
      <c r="FC24" s="110"/>
      <c r="FD24" s="110"/>
      <c r="FE24" s="110"/>
      <c r="FF24" s="110"/>
      <c r="FG24" s="110"/>
      <c r="FH24" s="110"/>
      <c r="FI24" s="110"/>
      <c r="FJ24" s="110"/>
      <c r="FK24" s="110"/>
      <c r="FL24" s="110"/>
      <c r="FM24" s="110"/>
      <c r="FN24" s="110"/>
      <c r="FO24" s="110"/>
      <c r="FP24" s="110"/>
      <c r="FQ24" s="110"/>
      <c r="FR24" s="110"/>
      <c r="FS24" s="110"/>
      <c r="FT24" s="110"/>
      <c r="FU24" s="110"/>
      <c r="FV24" s="110"/>
      <c r="FW24" s="110"/>
      <c r="FX24" s="110"/>
      <c r="FY24" s="110"/>
      <c r="FZ24" s="110"/>
      <c r="GA24" s="110"/>
      <c r="GB24" s="110"/>
      <c r="GC24" s="110"/>
      <c r="GD24" s="110"/>
      <c r="GE24" s="110"/>
      <c r="GF24" s="110"/>
      <c r="GG24" s="110"/>
      <c r="GH24" s="110"/>
      <c r="GI24" s="110"/>
      <c r="GJ24" s="110"/>
      <c r="GK24" s="110"/>
      <c r="GL24" s="110"/>
      <c r="GM24" s="110"/>
      <c r="GN24" s="110"/>
      <c r="GO24" s="110"/>
      <c r="GP24" s="110"/>
      <c r="GQ24" s="110"/>
      <c r="GR24" s="110"/>
      <c r="GS24" s="110"/>
      <c r="GT24" s="110"/>
      <c r="GU24" s="110"/>
      <c r="GV24" s="110"/>
      <c r="GW24" s="110"/>
      <c r="GX24" s="110"/>
      <c r="GY24" s="110"/>
      <c r="GZ24" s="110"/>
      <c r="HA24" s="110"/>
      <c r="HB24" s="110"/>
      <c r="HC24" s="110"/>
      <c r="HD24" s="110"/>
      <c r="HE24" s="110"/>
      <c r="HF24" s="110"/>
      <c r="HG24" s="110"/>
      <c r="HH24" s="110"/>
      <c r="HI24" s="110"/>
      <c r="HJ24" s="110"/>
      <c r="HK24" s="110"/>
      <c r="HL24" s="110"/>
      <c r="HM24" s="110"/>
      <c r="HN24" s="110"/>
      <c r="HO24" s="110"/>
      <c r="HP24" s="110"/>
      <c r="HQ24" s="110"/>
      <c r="HR24" s="110"/>
      <c r="HS24" s="110"/>
      <c r="HT24" s="110"/>
      <c r="HU24" s="110"/>
      <c r="HV24" s="110"/>
      <c r="HW24" s="110"/>
      <c r="HX24" s="110"/>
      <c r="HY24" s="110"/>
      <c r="HZ24" s="110"/>
      <c r="IA24" s="110"/>
      <c r="IB24" s="110"/>
      <c r="IC24" s="110"/>
      <c r="ID24" s="110"/>
      <c r="IE24" s="110"/>
      <c r="IF24" s="110"/>
      <c r="IG24" s="110"/>
      <c r="IH24" s="110"/>
      <c r="II24" s="110"/>
      <c r="IJ24" s="110"/>
      <c r="IK24" s="110"/>
      <c r="IL24" s="110"/>
      <c r="IM24" s="110"/>
      <c r="IN24" s="110"/>
      <c r="IO24" s="110"/>
      <c r="IP24" s="110"/>
      <c r="IQ24" s="110"/>
      <c r="IR24" s="110"/>
      <c r="IS24" s="110"/>
      <c r="IT24" s="110"/>
      <c r="IU24" s="110"/>
      <c r="IV24" s="110"/>
      <c r="IW24" s="110"/>
      <c r="IX24" s="110"/>
      <c r="IY24" s="110"/>
      <c r="IZ24" s="110"/>
      <c r="JA24" s="110"/>
      <c r="JB24" s="110"/>
      <c r="JC24" s="110"/>
      <c r="JD24" s="110"/>
      <c r="JE24" s="110"/>
      <c r="JF24" s="110"/>
      <c r="JG24" s="110"/>
      <c r="JH24" s="110"/>
      <c r="JI24" s="107">
        <f t="shared" si="0"/>
        <v>165375</v>
      </c>
      <c r="JJ24" s="2">
        <f t="shared" si="2"/>
        <v>229</v>
      </c>
      <c r="JK24" s="110">
        <v>165375</v>
      </c>
      <c r="JL24" s="112">
        <f t="shared" si="1"/>
        <v>0</v>
      </c>
      <c r="JM24" s="112"/>
      <c r="JN24" s="112"/>
      <c r="JO24" s="112"/>
      <c r="JP24" s="112"/>
    </row>
    <row r="25" spans="1:276" x14ac:dyDescent="0.25">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10"/>
      <c r="CT25" s="110"/>
      <c r="CU25" s="110"/>
      <c r="CV25" s="110"/>
      <c r="CW25" s="110"/>
      <c r="CX25" s="110"/>
      <c r="CY25" s="110"/>
      <c r="CZ25" s="110"/>
      <c r="DA25" s="110"/>
      <c r="DB25" s="110"/>
      <c r="DC25" s="110"/>
      <c r="DD25" s="110"/>
      <c r="DE25" s="110"/>
      <c r="DF25" s="110"/>
      <c r="DG25" s="110"/>
      <c r="DH25" s="110"/>
      <c r="DI25" s="110"/>
      <c r="DJ25" s="110"/>
      <c r="DK25" s="110"/>
      <c r="DL25" s="110"/>
      <c r="DM25" s="110"/>
      <c r="DN25" s="110"/>
      <c r="DO25" s="110"/>
      <c r="DP25" s="110"/>
      <c r="DQ25" s="110"/>
      <c r="DR25" s="110"/>
      <c r="DS25" s="110"/>
      <c r="DT25" s="110"/>
      <c r="DU25" s="110"/>
      <c r="DV25" s="110"/>
      <c r="DW25" s="110"/>
      <c r="DX25" s="110"/>
      <c r="DY25" s="110"/>
      <c r="DZ25" s="110"/>
      <c r="EA25" s="110"/>
      <c r="EB25" s="110"/>
      <c r="EC25" s="110"/>
      <c r="ED25" s="110"/>
      <c r="EE25" s="110"/>
      <c r="EF25" s="110"/>
      <c r="EG25" s="110"/>
      <c r="EH25" s="110"/>
      <c r="EI25" s="110"/>
      <c r="EJ25" s="110"/>
      <c r="EK25" s="110"/>
      <c r="EL25" s="110"/>
      <c r="EM25" s="110"/>
      <c r="EN25" s="110"/>
      <c r="EO25" s="110"/>
      <c r="EP25" s="110"/>
      <c r="EQ25" s="110"/>
      <c r="ER25" s="110"/>
      <c r="ES25" s="110"/>
      <c r="ET25" s="110"/>
      <c r="EU25" s="110"/>
      <c r="EV25" s="110"/>
      <c r="EW25" s="110"/>
      <c r="EX25" s="110"/>
      <c r="EY25" s="110"/>
      <c r="EZ25" s="110"/>
      <c r="FA25" s="110"/>
      <c r="FB25" s="110"/>
      <c r="FC25" s="110"/>
      <c r="FD25" s="110"/>
      <c r="FE25" s="110"/>
      <c r="FF25" s="110"/>
      <c r="FG25" s="110"/>
      <c r="FH25" s="110"/>
      <c r="FI25" s="110"/>
      <c r="FJ25" s="110"/>
      <c r="FK25" s="110"/>
      <c r="FL25" s="110"/>
      <c r="FM25" s="110"/>
      <c r="FN25" s="110">
        <v>431408</v>
      </c>
      <c r="FO25" s="110"/>
      <c r="FP25" s="110"/>
      <c r="FQ25" s="110"/>
      <c r="FR25" s="110"/>
      <c r="FS25" s="110"/>
      <c r="FT25" s="110"/>
      <c r="FU25" s="110"/>
      <c r="FV25" s="110"/>
      <c r="FW25" s="110"/>
      <c r="FX25" s="110"/>
      <c r="FY25" s="110"/>
      <c r="FZ25" s="110"/>
      <c r="GA25" s="110"/>
      <c r="GB25" s="110"/>
      <c r="GC25" s="110"/>
      <c r="GD25" s="110"/>
      <c r="GE25" s="110"/>
      <c r="GF25" s="110"/>
      <c r="GG25" s="110"/>
      <c r="GH25" s="110"/>
      <c r="GI25" s="110"/>
      <c r="GJ25" s="110"/>
      <c r="GK25" s="110"/>
      <c r="GL25" s="110"/>
      <c r="GM25" s="110"/>
      <c r="GN25" s="110"/>
      <c r="GO25" s="110"/>
      <c r="GP25" s="110"/>
      <c r="GQ25" s="110"/>
      <c r="GR25" s="110"/>
      <c r="GS25" s="110"/>
      <c r="GT25" s="110"/>
      <c r="GU25" s="110"/>
      <c r="GV25" s="110"/>
      <c r="GW25" s="110"/>
      <c r="GX25" s="110"/>
      <c r="GY25" s="110"/>
      <c r="GZ25" s="110"/>
      <c r="HA25" s="110"/>
      <c r="HB25" s="110"/>
      <c r="HC25" s="110"/>
      <c r="HD25" s="110"/>
      <c r="HE25" s="110"/>
      <c r="HF25" s="110"/>
      <c r="HG25" s="110"/>
      <c r="HH25" s="110"/>
      <c r="HI25" s="110"/>
      <c r="HJ25" s="110"/>
      <c r="HK25" s="110"/>
      <c r="HL25" s="110"/>
      <c r="HM25" s="110"/>
      <c r="HN25" s="110"/>
      <c r="HO25" s="110"/>
      <c r="HP25" s="110"/>
      <c r="HQ25" s="110"/>
      <c r="HR25" s="110"/>
      <c r="HS25" s="110"/>
      <c r="HT25" s="110"/>
      <c r="HU25" s="110"/>
      <c r="HV25" s="110"/>
      <c r="HW25" s="110"/>
      <c r="HX25" s="110"/>
      <c r="HY25" s="110"/>
      <c r="HZ25" s="110"/>
      <c r="IA25" s="110"/>
      <c r="IB25" s="110"/>
      <c r="IC25" s="110"/>
      <c r="ID25" s="110"/>
      <c r="IE25" s="110"/>
      <c r="IF25" s="110"/>
      <c r="IG25" s="110"/>
      <c r="IH25" s="110"/>
      <c r="II25" s="110"/>
      <c r="IJ25" s="110"/>
      <c r="IK25" s="110"/>
      <c r="IL25" s="110"/>
      <c r="IM25" s="110"/>
      <c r="IN25" s="110"/>
      <c r="IO25" s="110"/>
      <c r="IP25" s="110"/>
      <c r="IQ25" s="110"/>
      <c r="IR25" s="110"/>
      <c r="IS25" s="110"/>
      <c r="IT25" s="110"/>
      <c r="IU25" s="110"/>
      <c r="IV25" s="110"/>
      <c r="IW25" s="110"/>
      <c r="IX25" s="110"/>
      <c r="IY25" s="110"/>
      <c r="IZ25" s="110"/>
      <c r="JA25" s="110"/>
      <c r="JB25" s="110"/>
      <c r="JC25" s="110"/>
      <c r="JD25" s="110"/>
      <c r="JE25" s="110"/>
      <c r="JF25" s="110"/>
      <c r="JG25" s="110"/>
      <c r="JH25" s="110"/>
      <c r="JI25" s="107">
        <f t="shared" si="0"/>
        <v>431408</v>
      </c>
      <c r="JJ25" s="2">
        <f t="shared" si="2"/>
        <v>230</v>
      </c>
      <c r="JK25" s="110">
        <v>413128</v>
      </c>
      <c r="JL25" s="112">
        <f t="shared" si="1"/>
        <v>18280</v>
      </c>
      <c r="JM25" s="112"/>
      <c r="JN25" s="112"/>
      <c r="JO25" s="112"/>
      <c r="JP25" s="112"/>
    </row>
    <row r="26" spans="1:276" x14ac:dyDescent="0.25">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c r="CP26" s="110"/>
      <c r="CQ26" s="110"/>
      <c r="CR26" s="110"/>
      <c r="CS26" s="110"/>
      <c r="CT26" s="110"/>
      <c r="CU26" s="110"/>
      <c r="CV26" s="110"/>
      <c r="CW26" s="110"/>
      <c r="CX26" s="110"/>
      <c r="CY26" s="110"/>
      <c r="CZ26" s="110"/>
      <c r="DA26" s="110"/>
      <c r="DB26" s="110"/>
      <c r="DC26" s="110"/>
      <c r="DD26" s="110"/>
      <c r="DE26" s="110"/>
      <c r="DF26" s="110"/>
      <c r="DG26" s="110"/>
      <c r="DH26" s="110"/>
      <c r="DI26" s="110"/>
      <c r="DJ26" s="110"/>
      <c r="DK26" s="110">
        <v>275330</v>
      </c>
      <c r="DL26" s="110"/>
      <c r="DM26" s="110"/>
      <c r="DN26" s="110"/>
      <c r="DO26" s="110"/>
      <c r="DP26" s="110"/>
      <c r="DQ26" s="110"/>
      <c r="DR26" s="110"/>
      <c r="DS26" s="110"/>
      <c r="DT26" s="110"/>
      <c r="DU26" s="110"/>
      <c r="DV26" s="110"/>
      <c r="DW26" s="110"/>
      <c r="DX26" s="110"/>
      <c r="DY26" s="110"/>
      <c r="DZ26" s="110"/>
      <c r="EA26" s="110"/>
      <c r="EB26" s="110"/>
      <c r="EC26" s="110"/>
      <c r="ED26" s="110"/>
      <c r="EE26" s="110"/>
      <c r="EF26" s="110"/>
      <c r="EG26" s="110"/>
      <c r="EH26" s="110"/>
      <c r="EI26" s="110"/>
      <c r="EJ26" s="110"/>
      <c r="EK26" s="110"/>
      <c r="EL26" s="110"/>
      <c r="EM26" s="110"/>
      <c r="EN26" s="110"/>
      <c r="EO26" s="110"/>
      <c r="EP26" s="110"/>
      <c r="EQ26" s="110"/>
      <c r="ER26" s="110"/>
      <c r="ES26" s="110"/>
      <c r="ET26" s="110"/>
      <c r="EU26" s="110"/>
      <c r="EV26" s="110"/>
      <c r="EW26" s="110"/>
      <c r="EX26" s="110"/>
      <c r="EY26" s="110"/>
      <c r="EZ26" s="110"/>
      <c r="FA26" s="110"/>
      <c r="FB26" s="110"/>
      <c r="FC26" s="110"/>
      <c r="FD26" s="110"/>
      <c r="FE26" s="110"/>
      <c r="FF26" s="110"/>
      <c r="FG26" s="110"/>
      <c r="FH26" s="110"/>
      <c r="FI26" s="110"/>
      <c r="FJ26" s="110"/>
      <c r="FK26" s="110"/>
      <c r="FL26" s="110"/>
      <c r="FM26" s="110"/>
      <c r="FN26" s="110"/>
      <c r="FO26" s="110"/>
      <c r="FP26" s="110"/>
      <c r="FQ26" s="110"/>
      <c r="FR26" s="110"/>
      <c r="FS26" s="110"/>
      <c r="FT26" s="110"/>
      <c r="FU26" s="110"/>
      <c r="FV26" s="110"/>
      <c r="FW26" s="110"/>
      <c r="FX26" s="110"/>
      <c r="FY26" s="110"/>
      <c r="FZ26" s="110"/>
      <c r="GA26" s="110"/>
      <c r="GB26" s="110"/>
      <c r="GC26" s="110"/>
      <c r="GD26" s="110"/>
      <c r="GE26" s="110"/>
      <c r="GF26" s="110"/>
      <c r="GG26" s="110"/>
      <c r="GH26" s="110"/>
      <c r="GI26" s="110"/>
      <c r="GJ26" s="110"/>
      <c r="GK26" s="110"/>
      <c r="GL26" s="110"/>
      <c r="GM26" s="110"/>
      <c r="GN26" s="110"/>
      <c r="GO26" s="110"/>
      <c r="GP26" s="110"/>
      <c r="GQ26" s="110"/>
      <c r="GR26" s="110"/>
      <c r="GS26" s="110"/>
      <c r="GT26" s="110"/>
      <c r="GU26" s="110"/>
      <c r="GV26" s="110"/>
      <c r="GW26" s="110"/>
      <c r="GX26" s="110"/>
      <c r="GY26" s="110"/>
      <c r="GZ26" s="110"/>
      <c r="HA26" s="110"/>
      <c r="HB26" s="110"/>
      <c r="HC26" s="110"/>
      <c r="HD26" s="110"/>
      <c r="HE26" s="110"/>
      <c r="HF26" s="110"/>
      <c r="HG26" s="110"/>
      <c r="HH26" s="110"/>
      <c r="HI26" s="110"/>
      <c r="HJ26" s="110"/>
      <c r="HK26" s="110"/>
      <c r="HL26" s="110"/>
      <c r="HM26" s="110"/>
      <c r="HN26" s="110"/>
      <c r="HO26" s="110"/>
      <c r="HP26" s="110"/>
      <c r="HQ26" s="110"/>
      <c r="HR26" s="110"/>
      <c r="HS26" s="110"/>
      <c r="HT26" s="110"/>
      <c r="HU26" s="110"/>
      <c r="HV26" s="110"/>
      <c r="HW26" s="110"/>
      <c r="HX26" s="110"/>
      <c r="HY26" s="110"/>
      <c r="HZ26" s="110"/>
      <c r="IA26" s="110"/>
      <c r="IB26" s="110"/>
      <c r="IC26" s="110"/>
      <c r="ID26" s="110"/>
      <c r="IE26" s="110"/>
      <c r="IF26" s="110"/>
      <c r="IG26" s="110"/>
      <c r="IH26" s="110"/>
      <c r="II26" s="110"/>
      <c r="IJ26" s="110"/>
      <c r="IK26" s="110"/>
      <c r="IL26" s="110"/>
      <c r="IM26" s="110"/>
      <c r="IN26" s="110"/>
      <c r="IO26" s="110"/>
      <c r="IP26" s="110"/>
      <c r="IQ26" s="110"/>
      <c r="IR26" s="110"/>
      <c r="IS26" s="110"/>
      <c r="IT26" s="110"/>
      <c r="IU26" s="110"/>
      <c r="IV26" s="110"/>
      <c r="IW26" s="110"/>
      <c r="IX26" s="110"/>
      <c r="IY26" s="110"/>
      <c r="IZ26" s="110"/>
      <c r="JA26" s="110"/>
      <c r="JB26" s="110"/>
      <c r="JC26" s="110"/>
      <c r="JD26" s="110"/>
      <c r="JE26" s="110"/>
      <c r="JF26" s="110"/>
      <c r="JG26" s="110"/>
      <c r="JH26" s="110"/>
      <c r="JI26" s="107">
        <f t="shared" si="0"/>
        <v>275330</v>
      </c>
      <c r="JJ26" s="2">
        <f t="shared" si="2"/>
        <v>231</v>
      </c>
      <c r="JK26" s="110">
        <v>261563.5</v>
      </c>
      <c r="JL26" s="112">
        <f t="shared" si="1"/>
        <v>13766.5</v>
      </c>
      <c r="JM26" s="112"/>
      <c r="JN26" s="112"/>
      <c r="JO26" s="112"/>
      <c r="JP26" s="112"/>
    </row>
    <row r="27" spans="1:276" x14ac:dyDescent="0.25">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0"/>
      <c r="DI27" s="110"/>
      <c r="DJ27" s="110"/>
      <c r="DK27" s="110"/>
      <c r="DL27" s="110"/>
      <c r="DM27" s="110"/>
      <c r="DN27" s="110"/>
      <c r="DO27" s="110"/>
      <c r="DP27" s="110"/>
      <c r="DQ27" s="110"/>
      <c r="DR27" s="110"/>
      <c r="DS27" s="110"/>
      <c r="DT27" s="110"/>
      <c r="DU27" s="110"/>
      <c r="DV27" s="110"/>
      <c r="DW27" s="110"/>
      <c r="DX27" s="110"/>
      <c r="DY27" s="110"/>
      <c r="DZ27" s="110"/>
      <c r="EA27" s="110"/>
      <c r="EB27" s="110"/>
      <c r="EC27" s="110"/>
      <c r="ED27" s="110"/>
      <c r="EE27" s="110"/>
      <c r="EF27" s="110"/>
      <c r="EG27" s="110"/>
      <c r="EH27" s="110"/>
      <c r="EI27" s="110"/>
      <c r="EJ27" s="110"/>
      <c r="EK27" s="110"/>
      <c r="EL27" s="110"/>
      <c r="EM27" s="110"/>
      <c r="EN27" s="110"/>
      <c r="EO27" s="110"/>
      <c r="EP27" s="110"/>
      <c r="EQ27" s="110"/>
      <c r="ER27" s="110"/>
      <c r="ES27" s="110"/>
      <c r="ET27" s="110"/>
      <c r="EU27" s="110"/>
      <c r="EV27" s="110"/>
      <c r="EW27" s="110"/>
      <c r="EX27" s="110"/>
      <c r="EY27" s="110"/>
      <c r="EZ27" s="110"/>
      <c r="FA27" s="110"/>
      <c r="FB27" s="110"/>
      <c r="FC27" s="110"/>
      <c r="FD27" s="110"/>
      <c r="FE27" s="110"/>
      <c r="FF27" s="110"/>
      <c r="FG27" s="110"/>
      <c r="FH27" s="110"/>
      <c r="FI27" s="110"/>
      <c r="FJ27" s="110"/>
      <c r="FK27" s="110"/>
      <c r="FL27" s="110"/>
      <c r="FM27" s="110"/>
      <c r="FN27" s="110"/>
      <c r="FO27" s="110"/>
      <c r="FP27" s="110"/>
      <c r="FQ27" s="110"/>
      <c r="FR27" s="110"/>
      <c r="FS27" s="110"/>
      <c r="FT27" s="110"/>
      <c r="FU27" s="110"/>
      <c r="FV27" s="110"/>
      <c r="FW27" s="110"/>
      <c r="FX27" s="110"/>
      <c r="FY27" s="110"/>
      <c r="FZ27" s="110"/>
      <c r="GA27" s="110"/>
      <c r="GB27" s="110"/>
      <c r="GC27" s="110"/>
      <c r="GD27" s="110"/>
      <c r="GE27" s="110"/>
      <c r="GF27" s="110"/>
      <c r="GG27" s="110"/>
      <c r="GH27" s="110"/>
      <c r="GI27" s="110"/>
      <c r="GJ27" s="110"/>
      <c r="GK27" s="110"/>
      <c r="GL27" s="110"/>
      <c r="GM27" s="110"/>
      <c r="GN27" s="110"/>
      <c r="GO27" s="110">
        <v>389046</v>
      </c>
      <c r="GP27" s="110"/>
      <c r="GQ27" s="110"/>
      <c r="GR27" s="110"/>
      <c r="GS27" s="110"/>
      <c r="GT27" s="110"/>
      <c r="GU27" s="110"/>
      <c r="GV27" s="110"/>
      <c r="GW27" s="110"/>
      <c r="GX27" s="110"/>
      <c r="GY27" s="110"/>
      <c r="GZ27" s="110"/>
      <c r="HA27" s="110"/>
      <c r="HB27" s="110"/>
      <c r="HC27" s="110"/>
      <c r="HD27" s="110"/>
      <c r="HE27" s="110"/>
      <c r="HF27" s="110"/>
      <c r="HG27" s="110"/>
      <c r="HH27" s="110"/>
      <c r="HI27" s="110"/>
      <c r="HJ27" s="110"/>
      <c r="HK27" s="110"/>
      <c r="HL27" s="110"/>
      <c r="HM27" s="110"/>
      <c r="HN27" s="110"/>
      <c r="HO27" s="110"/>
      <c r="HP27" s="110"/>
      <c r="HQ27" s="110"/>
      <c r="HR27" s="110"/>
      <c r="HS27" s="110"/>
      <c r="HT27" s="110"/>
      <c r="HU27" s="110"/>
      <c r="HV27" s="110"/>
      <c r="HW27" s="110"/>
      <c r="HX27" s="110"/>
      <c r="HY27" s="110"/>
      <c r="HZ27" s="110"/>
      <c r="IA27" s="110"/>
      <c r="IB27" s="110"/>
      <c r="IC27" s="110"/>
      <c r="ID27" s="110"/>
      <c r="IE27" s="110"/>
      <c r="IF27" s="110"/>
      <c r="IG27" s="110"/>
      <c r="IH27" s="110"/>
      <c r="II27" s="110"/>
      <c r="IJ27" s="110"/>
      <c r="IK27" s="110"/>
      <c r="IL27" s="110"/>
      <c r="IM27" s="110"/>
      <c r="IN27" s="110"/>
      <c r="IO27" s="110"/>
      <c r="IP27" s="110"/>
      <c r="IQ27" s="110"/>
      <c r="IR27" s="110"/>
      <c r="IS27" s="110"/>
      <c r="IT27" s="110"/>
      <c r="IU27" s="110"/>
      <c r="IV27" s="110"/>
      <c r="IW27" s="110"/>
      <c r="IX27" s="110"/>
      <c r="IY27" s="110"/>
      <c r="IZ27" s="110"/>
      <c r="JA27" s="110"/>
      <c r="JB27" s="110"/>
      <c r="JC27" s="110"/>
      <c r="JD27" s="110"/>
      <c r="JE27" s="110"/>
      <c r="JF27" s="110"/>
      <c r="JG27" s="110"/>
      <c r="JH27" s="110"/>
      <c r="JI27" s="107">
        <f t="shared" si="0"/>
        <v>389046</v>
      </c>
      <c r="JJ27" s="2">
        <f t="shared" si="2"/>
        <v>232</v>
      </c>
      <c r="JK27" s="110">
        <v>372561</v>
      </c>
      <c r="JL27" s="112">
        <f t="shared" si="1"/>
        <v>16485</v>
      </c>
      <c r="JM27" s="112"/>
      <c r="JN27" s="112"/>
      <c r="JO27" s="112"/>
      <c r="JP27" s="112"/>
    </row>
    <row r="28" spans="1:276" x14ac:dyDescent="0.25">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v>50000</v>
      </c>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c r="CP28" s="110"/>
      <c r="CQ28" s="110"/>
      <c r="CR28" s="110"/>
      <c r="CS28" s="110"/>
      <c r="CT28" s="110"/>
      <c r="CU28" s="110"/>
      <c r="CV28" s="110"/>
      <c r="CW28" s="110"/>
      <c r="CX28" s="110"/>
      <c r="CY28" s="110"/>
      <c r="CZ28" s="110"/>
      <c r="DA28" s="110"/>
      <c r="DB28" s="110"/>
      <c r="DC28" s="110"/>
      <c r="DD28" s="110"/>
      <c r="DE28" s="110"/>
      <c r="DF28" s="110"/>
      <c r="DG28" s="110"/>
      <c r="DH28" s="110"/>
      <c r="DI28" s="110"/>
      <c r="DJ28" s="110"/>
      <c r="DK28" s="110"/>
      <c r="DL28" s="110"/>
      <c r="DM28" s="110"/>
      <c r="DN28" s="110"/>
      <c r="DO28" s="110"/>
      <c r="DP28" s="110"/>
      <c r="DQ28" s="110"/>
      <c r="DR28" s="110"/>
      <c r="DS28" s="110"/>
      <c r="DT28" s="110"/>
      <c r="DU28" s="110"/>
      <c r="DV28" s="110"/>
      <c r="DW28" s="110"/>
      <c r="DX28" s="110"/>
      <c r="DY28" s="110"/>
      <c r="DZ28" s="110"/>
      <c r="EA28" s="110"/>
      <c r="EB28" s="110"/>
      <c r="EC28" s="110"/>
      <c r="ED28" s="110"/>
      <c r="EE28" s="110"/>
      <c r="EF28" s="110"/>
      <c r="EG28" s="110"/>
      <c r="EH28" s="110"/>
      <c r="EI28" s="110"/>
      <c r="EJ28" s="110"/>
      <c r="EK28" s="110"/>
      <c r="EL28" s="110"/>
      <c r="EM28" s="110"/>
      <c r="EN28" s="110"/>
      <c r="EO28" s="110"/>
      <c r="EP28" s="110"/>
      <c r="EQ28" s="110"/>
      <c r="ER28" s="110"/>
      <c r="ES28" s="110"/>
      <c r="ET28" s="110"/>
      <c r="EU28" s="110"/>
      <c r="EV28" s="110"/>
      <c r="EW28" s="110"/>
      <c r="EX28" s="110"/>
      <c r="EY28" s="110"/>
      <c r="EZ28" s="110"/>
      <c r="FA28" s="110"/>
      <c r="FB28" s="110"/>
      <c r="FC28" s="110"/>
      <c r="FD28" s="110"/>
      <c r="FE28" s="110"/>
      <c r="FF28" s="110"/>
      <c r="FG28" s="110"/>
      <c r="FH28" s="110"/>
      <c r="FI28" s="110"/>
      <c r="FJ28" s="110"/>
      <c r="FK28" s="110"/>
      <c r="FL28" s="110"/>
      <c r="FM28" s="110"/>
      <c r="FN28" s="110"/>
      <c r="FO28" s="110"/>
      <c r="FP28" s="110"/>
      <c r="FQ28" s="110"/>
      <c r="FR28" s="110"/>
      <c r="FS28" s="110"/>
      <c r="FT28" s="110"/>
      <c r="FU28" s="110"/>
      <c r="FV28" s="110"/>
      <c r="FW28" s="110"/>
      <c r="FX28" s="110"/>
      <c r="FY28" s="110"/>
      <c r="FZ28" s="110"/>
      <c r="GA28" s="110"/>
      <c r="GB28" s="110"/>
      <c r="GC28" s="110"/>
      <c r="GD28" s="110"/>
      <c r="GE28" s="110"/>
      <c r="GF28" s="110"/>
      <c r="GG28" s="110"/>
      <c r="GH28" s="110"/>
      <c r="GI28" s="110"/>
      <c r="GJ28" s="110"/>
      <c r="GK28" s="110"/>
      <c r="GL28" s="110"/>
      <c r="GM28" s="110"/>
      <c r="GN28" s="110"/>
      <c r="GO28" s="110"/>
      <c r="GP28" s="110"/>
      <c r="GQ28" s="110"/>
      <c r="GR28" s="110"/>
      <c r="GS28" s="110"/>
      <c r="GT28" s="110"/>
      <c r="GU28" s="110"/>
      <c r="GV28" s="110"/>
      <c r="GW28" s="110"/>
      <c r="GX28" s="110"/>
      <c r="GY28" s="110"/>
      <c r="GZ28" s="110"/>
      <c r="HA28" s="110"/>
      <c r="HB28" s="110"/>
      <c r="HC28" s="110"/>
      <c r="HD28" s="110"/>
      <c r="HE28" s="110"/>
      <c r="HF28" s="110"/>
      <c r="HG28" s="110"/>
      <c r="HH28" s="110"/>
      <c r="HI28" s="110"/>
      <c r="HJ28" s="110"/>
      <c r="HK28" s="110"/>
      <c r="HL28" s="110"/>
      <c r="HM28" s="110"/>
      <c r="HN28" s="110"/>
      <c r="HO28" s="110"/>
      <c r="HP28" s="110"/>
      <c r="HQ28" s="110"/>
      <c r="HR28" s="110"/>
      <c r="HS28" s="110"/>
      <c r="HT28" s="110"/>
      <c r="HU28" s="110"/>
      <c r="HV28" s="110"/>
      <c r="HW28" s="110"/>
      <c r="HX28" s="110"/>
      <c r="HY28" s="110"/>
      <c r="HZ28" s="110"/>
      <c r="IA28" s="110"/>
      <c r="IB28" s="110"/>
      <c r="IC28" s="110"/>
      <c r="ID28" s="110"/>
      <c r="IE28" s="110"/>
      <c r="IF28" s="110"/>
      <c r="IG28" s="110"/>
      <c r="IH28" s="110"/>
      <c r="II28" s="110"/>
      <c r="IJ28" s="110"/>
      <c r="IK28" s="110"/>
      <c r="IL28" s="110"/>
      <c r="IM28" s="110"/>
      <c r="IN28" s="110"/>
      <c r="IO28" s="110"/>
      <c r="IP28" s="110"/>
      <c r="IQ28" s="110"/>
      <c r="IR28" s="110"/>
      <c r="IS28" s="110"/>
      <c r="IT28" s="110"/>
      <c r="IU28" s="110"/>
      <c r="IV28" s="110"/>
      <c r="IW28" s="110"/>
      <c r="IX28" s="110"/>
      <c r="IY28" s="110"/>
      <c r="IZ28" s="110"/>
      <c r="JA28" s="110"/>
      <c r="JB28" s="110"/>
      <c r="JC28" s="110"/>
      <c r="JD28" s="110"/>
      <c r="JE28" s="110"/>
      <c r="JF28" s="110"/>
      <c r="JG28" s="110"/>
      <c r="JH28" s="110"/>
      <c r="JI28" s="107">
        <f t="shared" si="0"/>
        <v>50000</v>
      </c>
      <c r="JJ28" s="2">
        <f>+JJ27+1</f>
        <v>233</v>
      </c>
      <c r="JK28" s="110">
        <v>50000</v>
      </c>
      <c r="JL28" s="112">
        <f t="shared" si="1"/>
        <v>0</v>
      </c>
      <c r="JM28" s="112"/>
      <c r="JN28" s="112"/>
      <c r="JO28" s="112"/>
      <c r="JP28" s="112"/>
    </row>
    <row r="29" spans="1:276" x14ac:dyDescent="0.25">
      <c r="A29" s="110"/>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v>211904.05</v>
      </c>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10"/>
      <c r="CT29" s="110"/>
      <c r="CU29" s="110"/>
      <c r="CV29" s="110"/>
      <c r="CW29" s="110"/>
      <c r="CX29" s="110"/>
      <c r="CY29" s="110"/>
      <c r="CZ29" s="110"/>
      <c r="DA29" s="110"/>
      <c r="DB29" s="110"/>
      <c r="DC29" s="110"/>
      <c r="DD29" s="110"/>
      <c r="DE29" s="110"/>
      <c r="DF29" s="110"/>
      <c r="DG29" s="110"/>
      <c r="DH29" s="110"/>
      <c r="DI29" s="110"/>
      <c r="DJ29" s="110"/>
      <c r="DK29" s="110"/>
      <c r="DL29" s="110"/>
      <c r="DM29" s="110"/>
      <c r="DN29" s="110"/>
      <c r="DO29" s="110"/>
      <c r="DP29" s="110"/>
      <c r="DQ29" s="110"/>
      <c r="DR29" s="110"/>
      <c r="DS29" s="110"/>
      <c r="DT29" s="110"/>
      <c r="DU29" s="110"/>
      <c r="DV29" s="110"/>
      <c r="DW29" s="110"/>
      <c r="DX29" s="110"/>
      <c r="DY29" s="110"/>
      <c r="DZ29" s="110"/>
      <c r="EA29" s="110"/>
      <c r="EB29" s="110"/>
      <c r="EC29" s="110"/>
      <c r="ED29" s="110"/>
      <c r="EE29" s="110"/>
      <c r="EF29" s="110"/>
      <c r="EG29" s="110"/>
      <c r="EH29" s="110"/>
      <c r="EI29" s="110"/>
      <c r="EJ29" s="110"/>
      <c r="EK29" s="110"/>
      <c r="EL29" s="110"/>
      <c r="EM29" s="110"/>
      <c r="EN29" s="110"/>
      <c r="EO29" s="110"/>
      <c r="EP29" s="110"/>
      <c r="EQ29" s="110"/>
      <c r="ER29" s="110"/>
      <c r="ES29" s="110"/>
      <c r="ET29" s="110"/>
      <c r="EU29" s="110"/>
      <c r="EV29" s="110"/>
      <c r="EW29" s="110"/>
      <c r="EX29" s="110"/>
      <c r="EY29" s="110"/>
      <c r="EZ29" s="110"/>
      <c r="FA29" s="110"/>
      <c r="FB29" s="110"/>
      <c r="FC29" s="110"/>
      <c r="FD29" s="110"/>
      <c r="FE29" s="110"/>
      <c r="FF29" s="110"/>
      <c r="FG29" s="110"/>
      <c r="FH29" s="110"/>
      <c r="FI29" s="110"/>
      <c r="FJ29" s="110"/>
      <c r="FK29" s="110"/>
      <c r="FL29" s="110"/>
      <c r="FM29" s="110"/>
      <c r="FN29" s="110"/>
      <c r="FO29" s="110"/>
      <c r="FP29" s="110"/>
      <c r="FQ29" s="110"/>
      <c r="FR29" s="110"/>
      <c r="FS29" s="110"/>
      <c r="FT29" s="110"/>
      <c r="FU29" s="110"/>
      <c r="FV29" s="110"/>
      <c r="FW29" s="110"/>
      <c r="FX29" s="110"/>
      <c r="FY29" s="110"/>
      <c r="FZ29" s="110"/>
      <c r="GA29" s="110"/>
      <c r="GB29" s="110"/>
      <c r="GC29" s="110"/>
      <c r="GD29" s="110"/>
      <c r="GE29" s="110"/>
      <c r="GF29" s="110"/>
      <c r="GG29" s="110"/>
      <c r="GH29" s="110"/>
      <c r="GI29" s="110"/>
      <c r="GJ29" s="110"/>
      <c r="GK29" s="110"/>
      <c r="GL29" s="110"/>
      <c r="GM29" s="110"/>
      <c r="GN29" s="110"/>
      <c r="GO29" s="110"/>
      <c r="GP29" s="110"/>
      <c r="GQ29" s="110"/>
      <c r="GR29" s="110"/>
      <c r="GS29" s="110"/>
      <c r="GT29" s="110"/>
      <c r="GU29" s="110"/>
      <c r="GV29" s="110"/>
      <c r="GW29" s="110"/>
      <c r="GX29" s="110"/>
      <c r="GY29" s="110"/>
      <c r="GZ29" s="110"/>
      <c r="HA29" s="110"/>
      <c r="HB29" s="110"/>
      <c r="HC29" s="110"/>
      <c r="HD29" s="110"/>
      <c r="HE29" s="110"/>
      <c r="HF29" s="110"/>
      <c r="HG29" s="110"/>
      <c r="HH29" s="110"/>
      <c r="HI29" s="110"/>
      <c r="HJ29" s="110"/>
      <c r="HK29" s="110"/>
      <c r="HL29" s="110"/>
      <c r="HM29" s="110"/>
      <c r="HN29" s="110"/>
      <c r="HO29" s="110"/>
      <c r="HP29" s="110"/>
      <c r="HQ29" s="110"/>
      <c r="HR29" s="110"/>
      <c r="HS29" s="110"/>
      <c r="HT29" s="110"/>
      <c r="HU29" s="110"/>
      <c r="HV29" s="110"/>
      <c r="HW29" s="110"/>
      <c r="HX29" s="110"/>
      <c r="HY29" s="110"/>
      <c r="HZ29" s="110"/>
      <c r="IA29" s="110"/>
      <c r="IB29" s="110"/>
      <c r="IC29" s="110"/>
      <c r="ID29" s="110"/>
      <c r="IE29" s="110"/>
      <c r="IF29" s="110"/>
      <c r="IG29" s="110"/>
      <c r="IH29" s="110"/>
      <c r="II29" s="110"/>
      <c r="IJ29" s="110"/>
      <c r="IK29" s="110"/>
      <c r="IL29" s="110"/>
      <c r="IM29" s="110"/>
      <c r="IN29" s="110"/>
      <c r="IO29" s="110"/>
      <c r="IP29" s="110"/>
      <c r="IQ29" s="110"/>
      <c r="IR29" s="110"/>
      <c r="IS29" s="110"/>
      <c r="IT29" s="110"/>
      <c r="IU29" s="110"/>
      <c r="IV29" s="110"/>
      <c r="IW29" s="110"/>
      <c r="IX29" s="110"/>
      <c r="IY29" s="110"/>
      <c r="IZ29" s="110"/>
      <c r="JA29" s="110"/>
      <c r="JB29" s="110"/>
      <c r="JC29" s="110"/>
      <c r="JD29" s="110"/>
      <c r="JE29" s="110"/>
      <c r="JF29" s="110"/>
      <c r="JG29" s="110"/>
      <c r="JH29" s="110"/>
      <c r="JI29" s="107">
        <f t="shared" si="0"/>
        <v>211904.05</v>
      </c>
      <c r="JJ29" s="2">
        <f>+JJ28+1</f>
        <v>234</v>
      </c>
      <c r="JK29" s="110">
        <v>211904.05</v>
      </c>
      <c r="JL29" s="112">
        <f t="shared" si="1"/>
        <v>0</v>
      </c>
      <c r="JM29" s="112"/>
      <c r="JN29" s="112"/>
      <c r="JO29" s="112"/>
      <c r="JP29" s="112"/>
    </row>
    <row r="30" spans="1:276" x14ac:dyDescent="0.25">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c r="CP30" s="110"/>
      <c r="CQ30" s="110"/>
      <c r="CR30" s="110"/>
      <c r="CS30" s="110"/>
      <c r="CT30" s="110"/>
      <c r="CU30" s="110"/>
      <c r="CV30" s="110"/>
      <c r="CW30" s="110"/>
      <c r="CX30" s="110"/>
      <c r="CY30" s="110"/>
      <c r="CZ30" s="110"/>
      <c r="DA30" s="110"/>
      <c r="DB30" s="110"/>
      <c r="DC30" s="110"/>
      <c r="DD30" s="110"/>
      <c r="DE30" s="110"/>
      <c r="DF30" s="110"/>
      <c r="DG30" s="110"/>
      <c r="DH30" s="110"/>
      <c r="DI30" s="110"/>
      <c r="DJ30" s="110"/>
      <c r="DK30" s="110"/>
      <c r="DL30" s="110"/>
      <c r="DM30" s="110"/>
      <c r="DN30" s="110"/>
      <c r="DO30" s="110"/>
      <c r="DP30" s="110"/>
      <c r="DQ30" s="110"/>
      <c r="DR30" s="110"/>
      <c r="DS30" s="110"/>
      <c r="DT30" s="110"/>
      <c r="DU30" s="110"/>
      <c r="DV30" s="110"/>
      <c r="DW30" s="110"/>
      <c r="DX30" s="110"/>
      <c r="DY30" s="110"/>
      <c r="DZ30" s="110"/>
      <c r="EA30" s="110"/>
      <c r="EB30" s="110"/>
      <c r="EC30" s="110"/>
      <c r="ED30" s="110"/>
      <c r="EE30" s="110"/>
      <c r="EF30" s="110"/>
      <c r="EG30" s="110"/>
      <c r="EH30" s="110"/>
      <c r="EI30" s="110"/>
      <c r="EJ30" s="110"/>
      <c r="EK30" s="110"/>
      <c r="EL30" s="110"/>
      <c r="EM30" s="110"/>
      <c r="EN30" s="110"/>
      <c r="EO30" s="110"/>
      <c r="EP30" s="110"/>
      <c r="EQ30" s="110"/>
      <c r="ER30" s="110"/>
      <c r="ES30" s="110"/>
      <c r="ET30" s="110"/>
      <c r="EU30" s="110"/>
      <c r="EV30" s="110"/>
      <c r="EW30" s="110"/>
      <c r="EX30" s="110"/>
      <c r="EY30" s="110"/>
      <c r="EZ30" s="110"/>
      <c r="FA30" s="110"/>
      <c r="FB30" s="110"/>
      <c r="FC30" s="110"/>
      <c r="FD30" s="110">
        <v>22638</v>
      </c>
      <c r="FE30" s="110"/>
      <c r="FF30" s="110"/>
      <c r="FG30" s="110"/>
      <c r="FH30" s="110"/>
      <c r="FI30" s="110"/>
      <c r="FJ30" s="110"/>
      <c r="FK30" s="110"/>
      <c r="FL30" s="110"/>
      <c r="FM30" s="110"/>
      <c r="FN30" s="110"/>
      <c r="FO30" s="110"/>
      <c r="FP30" s="110"/>
      <c r="FQ30" s="110"/>
      <c r="FR30" s="110"/>
      <c r="FS30" s="110"/>
      <c r="FT30" s="110"/>
      <c r="FU30" s="110"/>
      <c r="FV30" s="110"/>
      <c r="FW30" s="110"/>
      <c r="FX30" s="110"/>
      <c r="FY30" s="110"/>
      <c r="FZ30" s="110"/>
      <c r="GA30" s="110"/>
      <c r="GB30" s="110"/>
      <c r="GC30" s="110"/>
      <c r="GD30" s="110"/>
      <c r="GE30" s="110"/>
      <c r="GF30" s="110"/>
      <c r="GG30" s="110"/>
      <c r="GH30" s="110"/>
      <c r="GI30" s="110"/>
      <c r="GJ30" s="110"/>
      <c r="GK30" s="110"/>
      <c r="GL30" s="110"/>
      <c r="GM30" s="110"/>
      <c r="GN30" s="110"/>
      <c r="GO30" s="110"/>
      <c r="GP30" s="110"/>
      <c r="GQ30" s="110"/>
      <c r="GR30" s="110"/>
      <c r="GS30" s="110"/>
      <c r="GT30" s="110"/>
      <c r="GU30" s="110"/>
      <c r="GV30" s="110"/>
      <c r="GW30" s="110"/>
      <c r="GX30" s="110"/>
      <c r="GY30" s="110"/>
      <c r="GZ30" s="110"/>
      <c r="HA30" s="110"/>
      <c r="HB30" s="110"/>
      <c r="HC30" s="110"/>
      <c r="HD30" s="110"/>
      <c r="HE30" s="110"/>
      <c r="HF30" s="110"/>
      <c r="HG30" s="110"/>
      <c r="HH30" s="110"/>
      <c r="HI30" s="110"/>
      <c r="HJ30" s="110"/>
      <c r="HK30" s="110"/>
      <c r="HL30" s="110"/>
      <c r="HM30" s="110"/>
      <c r="HN30" s="110"/>
      <c r="HO30" s="110"/>
      <c r="HP30" s="110"/>
      <c r="HQ30" s="110"/>
      <c r="HR30" s="110"/>
      <c r="HS30" s="110"/>
      <c r="HT30" s="110"/>
      <c r="HU30" s="110"/>
      <c r="HV30" s="110"/>
      <c r="HW30" s="110"/>
      <c r="HX30" s="110"/>
      <c r="HY30" s="110"/>
      <c r="HZ30" s="110"/>
      <c r="IA30" s="110"/>
      <c r="IB30" s="110"/>
      <c r="IC30" s="110"/>
      <c r="ID30" s="110"/>
      <c r="IE30" s="110"/>
      <c r="IF30" s="110"/>
      <c r="IG30" s="110"/>
      <c r="IH30" s="110"/>
      <c r="II30" s="110"/>
      <c r="IJ30" s="110"/>
      <c r="IK30" s="110"/>
      <c r="IL30" s="110"/>
      <c r="IM30" s="110"/>
      <c r="IN30" s="110"/>
      <c r="IO30" s="110"/>
      <c r="IP30" s="110"/>
      <c r="IQ30" s="110"/>
      <c r="IR30" s="110"/>
      <c r="IS30" s="110"/>
      <c r="IT30" s="110"/>
      <c r="IU30" s="110"/>
      <c r="IV30" s="110"/>
      <c r="IW30" s="110"/>
      <c r="IX30" s="110"/>
      <c r="IY30" s="110"/>
      <c r="IZ30" s="110"/>
      <c r="JA30" s="110"/>
      <c r="JB30" s="110"/>
      <c r="JC30" s="110"/>
      <c r="JD30" s="110"/>
      <c r="JE30" s="110"/>
      <c r="JF30" s="110"/>
      <c r="JG30" s="110"/>
      <c r="JH30" s="110"/>
      <c r="JI30" s="107">
        <f t="shared" si="0"/>
        <v>22638</v>
      </c>
      <c r="JJ30" s="2">
        <f t="shared" ref="JJ30:JJ39" si="3">+JJ29+1</f>
        <v>235</v>
      </c>
      <c r="JK30" s="110">
        <v>22638</v>
      </c>
      <c r="JL30" s="112">
        <f t="shared" si="1"/>
        <v>0</v>
      </c>
      <c r="JM30" s="112"/>
      <c r="JN30" s="112"/>
      <c r="JO30" s="112"/>
      <c r="JP30" s="112"/>
    </row>
    <row r="31" spans="1:276" x14ac:dyDescent="0.25">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0"/>
      <c r="DI31" s="110"/>
      <c r="DJ31" s="110"/>
      <c r="DK31" s="110">
        <v>85400</v>
      </c>
      <c r="DL31" s="110"/>
      <c r="DM31" s="110"/>
      <c r="DN31" s="110"/>
      <c r="DO31" s="110"/>
      <c r="DP31" s="110"/>
      <c r="DQ31" s="110"/>
      <c r="DR31" s="110"/>
      <c r="DS31" s="110"/>
      <c r="DT31" s="110"/>
      <c r="DU31" s="110"/>
      <c r="DV31" s="110"/>
      <c r="DW31" s="110"/>
      <c r="DX31" s="110"/>
      <c r="DY31" s="110"/>
      <c r="DZ31" s="110"/>
      <c r="EA31" s="110"/>
      <c r="EB31" s="110"/>
      <c r="EC31" s="110"/>
      <c r="ED31" s="110"/>
      <c r="EE31" s="110"/>
      <c r="EF31" s="110"/>
      <c r="EG31" s="110"/>
      <c r="EH31" s="110"/>
      <c r="EI31" s="110"/>
      <c r="EJ31" s="110"/>
      <c r="EK31" s="110"/>
      <c r="EL31" s="110"/>
      <c r="EM31" s="110"/>
      <c r="EN31" s="110"/>
      <c r="EO31" s="110"/>
      <c r="EP31" s="110"/>
      <c r="EQ31" s="110"/>
      <c r="ER31" s="110"/>
      <c r="ES31" s="110"/>
      <c r="ET31" s="110"/>
      <c r="EU31" s="110"/>
      <c r="EV31" s="110"/>
      <c r="EW31" s="110"/>
      <c r="EX31" s="110"/>
      <c r="EY31" s="110"/>
      <c r="EZ31" s="110"/>
      <c r="FA31" s="110"/>
      <c r="FB31" s="110"/>
      <c r="FC31" s="110"/>
      <c r="FD31" s="110"/>
      <c r="FE31" s="110"/>
      <c r="FF31" s="110"/>
      <c r="FG31" s="110"/>
      <c r="FH31" s="110"/>
      <c r="FI31" s="110"/>
      <c r="FJ31" s="110"/>
      <c r="FK31" s="110"/>
      <c r="FL31" s="110"/>
      <c r="FM31" s="110"/>
      <c r="FN31" s="110"/>
      <c r="FO31" s="110"/>
      <c r="FP31" s="110"/>
      <c r="FQ31" s="110"/>
      <c r="FR31" s="110"/>
      <c r="FS31" s="110"/>
      <c r="FT31" s="110"/>
      <c r="FU31" s="110"/>
      <c r="FV31" s="110"/>
      <c r="FW31" s="110"/>
      <c r="FX31" s="110"/>
      <c r="FY31" s="110"/>
      <c r="FZ31" s="110"/>
      <c r="GA31" s="110"/>
      <c r="GB31" s="110"/>
      <c r="GC31" s="110"/>
      <c r="GD31" s="110"/>
      <c r="GE31" s="110"/>
      <c r="GF31" s="110"/>
      <c r="GG31" s="110"/>
      <c r="GH31" s="110"/>
      <c r="GI31" s="110"/>
      <c r="GJ31" s="110"/>
      <c r="GK31" s="110"/>
      <c r="GL31" s="110"/>
      <c r="GM31" s="110"/>
      <c r="GN31" s="110"/>
      <c r="GO31" s="110"/>
      <c r="GP31" s="110"/>
      <c r="GQ31" s="110"/>
      <c r="GR31" s="110"/>
      <c r="GS31" s="110"/>
      <c r="GT31" s="110"/>
      <c r="GU31" s="110"/>
      <c r="GV31" s="110"/>
      <c r="GW31" s="110"/>
      <c r="GX31" s="110"/>
      <c r="GY31" s="110"/>
      <c r="GZ31" s="110"/>
      <c r="HA31" s="110"/>
      <c r="HB31" s="110"/>
      <c r="HC31" s="110"/>
      <c r="HD31" s="110"/>
      <c r="HE31" s="110"/>
      <c r="HF31" s="110"/>
      <c r="HG31" s="110"/>
      <c r="HH31" s="110"/>
      <c r="HI31" s="110"/>
      <c r="HJ31" s="110"/>
      <c r="HK31" s="110"/>
      <c r="HL31" s="110"/>
      <c r="HM31" s="110"/>
      <c r="HN31" s="110"/>
      <c r="HO31" s="110"/>
      <c r="HP31" s="110"/>
      <c r="HQ31" s="110"/>
      <c r="HR31" s="110"/>
      <c r="HS31" s="110"/>
      <c r="HT31" s="110"/>
      <c r="HU31" s="110"/>
      <c r="HV31" s="110"/>
      <c r="HW31" s="110"/>
      <c r="HX31" s="110"/>
      <c r="HY31" s="110"/>
      <c r="HZ31" s="110"/>
      <c r="IA31" s="110"/>
      <c r="IB31" s="110"/>
      <c r="IC31" s="110"/>
      <c r="ID31" s="110"/>
      <c r="IE31" s="110"/>
      <c r="IF31" s="110"/>
      <c r="IG31" s="110"/>
      <c r="IH31" s="110"/>
      <c r="II31" s="110"/>
      <c r="IJ31" s="110"/>
      <c r="IK31" s="110"/>
      <c r="IL31" s="110"/>
      <c r="IM31" s="110"/>
      <c r="IN31" s="110"/>
      <c r="IO31" s="110"/>
      <c r="IP31" s="110"/>
      <c r="IQ31" s="110"/>
      <c r="IR31" s="110"/>
      <c r="IS31" s="110"/>
      <c r="IT31" s="110"/>
      <c r="IU31" s="110"/>
      <c r="IV31" s="110"/>
      <c r="IW31" s="110"/>
      <c r="IX31" s="110"/>
      <c r="IY31" s="110"/>
      <c r="IZ31" s="110"/>
      <c r="JA31" s="110"/>
      <c r="JB31" s="110"/>
      <c r="JC31" s="110"/>
      <c r="JD31" s="110"/>
      <c r="JE31" s="110"/>
      <c r="JF31" s="110"/>
      <c r="JG31" s="110"/>
      <c r="JH31" s="110"/>
      <c r="JI31" s="107">
        <f t="shared" si="0"/>
        <v>85400</v>
      </c>
      <c r="JJ31" s="2">
        <f t="shared" si="3"/>
        <v>236</v>
      </c>
      <c r="JK31" s="110">
        <v>81130</v>
      </c>
      <c r="JL31" s="112">
        <f t="shared" si="1"/>
        <v>4270</v>
      </c>
      <c r="JM31" s="112"/>
      <c r="JN31" s="112"/>
      <c r="JO31" s="112"/>
      <c r="JP31" s="112"/>
    </row>
    <row r="32" spans="1:276" x14ac:dyDescent="0.25">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v>236295</v>
      </c>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c r="CP32" s="110"/>
      <c r="CQ32" s="110"/>
      <c r="CR32" s="110"/>
      <c r="CS32" s="110"/>
      <c r="CT32" s="110"/>
      <c r="CU32" s="110"/>
      <c r="CV32" s="110"/>
      <c r="CW32" s="110"/>
      <c r="CX32" s="110"/>
      <c r="CY32" s="110"/>
      <c r="CZ32" s="110"/>
      <c r="DA32" s="110"/>
      <c r="DB32" s="110"/>
      <c r="DC32" s="110"/>
      <c r="DD32" s="110"/>
      <c r="DE32" s="110"/>
      <c r="DF32" s="110"/>
      <c r="DG32" s="110"/>
      <c r="DH32" s="110"/>
      <c r="DI32" s="110"/>
      <c r="DJ32" s="110"/>
      <c r="DK32" s="110"/>
      <c r="DL32" s="110"/>
      <c r="DM32" s="110"/>
      <c r="DN32" s="110"/>
      <c r="DO32" s="110"/>
      <c r="DP32" s="110"/>
      <c r="DQ32" s="110"/>
      <c r="DR32" s="110"/>
      <c r="DS32" s="110"/>
      <c r="DT32" s="110"/>
      <c r="DU32" s="110"/>
      <c r="DV32" s="110"/>
      <c r="DW32" s="110"/>
      <c r="DX32" s="110"/>
      <c r="DY32" s="110"/>
      <c r="DZ32" s="110"/>
      <c r="EA32" s="110"/>
      <c r="EB32" s="110"/>
      <c r="EC32" s="110"/>
      <c r="ED32" s="110"/>
      <c r="EE32" s="110"/>
      <c r="EF32" s="110"/>
      <c r="EG32" s="110"/>
      <c r="EH32" s="110"/>
      <c r="EI32" s="110"/>
      <c r="EJ32" s="110"/>
      <c r="EK32" s="110"/>
      <c r="EL32" s="110"/>
      <c r="EM32" s="110"/>
      <c r="EN32" s="110"/>
      <c r="EO32" s="110"/>
      <c r="EP32" s="110"/>
      <c r="EQ32" s="110"/>
      <c r="ER32" s="110"/>
      <c r="ES32" s="110"/>
      <c r="ET32" s="110"/>
      <c r="EU32" s="110"/>
      <c r="EV32" s="110"/>
      <c r="EW32" s="110"/>
      <c r="EX32" s="110"/>
      <c r="EY32" s="110"/>
      <c r="EZ32" s="110"/>
      <c r="FA32" s="110"/>
      <c r="FB32" s="110"/>
      <c r="FC32" s="110"/>
      <c r="FD32" s="110"/>
      <c r="FE32" s="110"/>
      <c r="FF32" s="110"/>
      <c r="FG32" s="110"/>
      <c r="FH32" s="110"/>
      <c r="FI32" s="110"/>
      <c r="FJ32" s="110"/>
      <c r="FK32" s="110"/>
      <c r="FL32" s="110"/>
      <c r="FM32" s="110"/>
      <c r="FN32" s="110"/>
      <c r="FO32" s="110"/>
      <c r="FP32" s="110"/>
      <c r="FQ32" s="110"/>
      <c r="FR32" s="110"/>
      <c r="FS32" s="110"/>
      <c r="FT32" s="110"/>
      <c r="FU32" s="110"/>
      <c r="FV32" s="110"/>
      <c r="FW32" s="110"/>
      <c r="FX32" s="110"/>
      <c r="FY32" s="110"/>
      <c r="FZ32" s="110"/>
      <c r="GA32" s="110"/>
      <c r="GB32" s="110"/>
      <c r="GC32" s="110"/>
      <c r="GD32" s="110"/>
      <c r="GE32" s="110"/>
      <c r="GF32" s="110"/>
      <c r="GG32" s="110"/>
      <c r="GH32" s="110"/>
      <c r="GI32" s="110"/>
      <c r="GJ32" s="110"/>
      <c r="GK32" s="110"/>
      <c r="GL32" s="110"/>
      <c r="GM32" s="110"/>
      <c r="GN32" s="110"/>
      <c r="GO32" s="110"/>
      <c r="GP32" s="110"/>
      <c r="GQ32" s="110"/>
      <c r="GR32" s="110"/>
      <c r="GS32" s="110"/>
      <c r="GT32" s="110"/>
      <c r="GU32" s="110"/>
      <c r="GV32" s="110"/>
      <c r="GW32" s="110"/>
      <c r="GX32" s="110"/>
      <c r="GY32" s="110"/>
      <c r="GZ32" s="110"/>
      <c r="HA32" s="110"/>
      <c r="HB32" s="110"/>
      <c r="HC32" s="110"/>
      <c r="HD32" s="110"/>
      <c r="HE32" s="110"/>
      <c r="HF32" s="110"/>
      <c r="HG32" s="110"/>
      <c r="HH32" s="110"/>
      <c r="HI32" s="110"/>
      <c r="HJ32" s="110"/>
      <c r="HK32" s="110"/>
      <c r="HL32" s="110"/>
      <c r="HM32" s="110"/>
      <c r="HN32" s="110"/>
      <c r="HO32" s="110"/>
      <c r="HP32" s="110"/>
      <c r="HQ32" s="110"/>
      <c r="HR32" s="110"/>
      <c r="HS32" s="110"/>
      <c r="HT32" s="110"/>
      <c r="HU32" s="110"/>
      <c r="HV32" s="110"/>
      <c r="HW32" s="110"/>
      <c r="HX32" s="110"/>
      <c r="HY32" s="110"/>
      <c r="HZ32" s="110"/>
      <c r="IA32" s="110"/>
      <c r="IB32" s="110"/>
      <c r="IC32" s="110"/>
      <c r="ID32" s="110"/>
      <c r="IE32" s="110"/>
      <c r="IF32" s="110"/>
      <c r="IG32" s="110"/>
      <c r="IH32" s="110"/>
      <c r="II32" s="110"/>
      <c r="IJ32" s="110"/>
      <c r="IK32" s="110"/>
      <c r="IL32" s="110"/>
      <c r="IM32" s="110"/>
      <c r="IN32" s="110"/>
      <c r="IO32" s="110"/>
      <c r="IP32" s="110"/>
      <c r="IQ32" s="110"/>
      <c r="IR32" s="110"/>
      <c r="IS32" s="110"/>
      <c r="IT32" s="110"/>
      <c r="IU32" s="110"/>
      <c r="IV32" s="110"/>
      <c r="IW32" s="110"/>
      <c r="IX32" s="110"/>
      <c r="IY32" s="110"/>
      <c r="IZ32" s="110"/>
      <c r="JA32" s="110"/>
      <c r="JB32" s="110"/>
      <c r="JC32" s="110"/>
      <c r="JD32" s="110"/>
      <c r="JE32" s="110"/>
      <c r="JF32" s="110"/>
      <c r="JG32" s="110"/>
      <c r="JH32" s="110"/>
      <c r="JI32" s="107">
        <f t="shared" si="0"/>
        <v>236295</v>
      </c>
      <c r="JJ32" s="2">
        <f t="shared" si="3"/>
        <v>237</v>
      </c>
      <c r="JK32" s="110">
        <v>226282.5</v>
      </c>
      <c r="JL32" s="112">
        <f t="shared" si="1"/>
        <v>10012.5</v>
      </c>
      <c r="JM32" s="112"/>
      <c r="JN32" s="112"/>
      <c r="JO32" s="112"/>
      <c r="JP32" s="112"/>
    </row>
    <row r="33" spans="1:276" x14ac:dyDescent="0.25">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v>132750</v>
      </c>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c r="DB33" s="110"/>
      <c r="DC33" s="110"/>
      <c r="DD33" s="110"/>
      <c r="DE33" s="110"/>
      <c r="DF33" s="110"/>
      <c r="DG33" s="110"/>
      <c r="DH33" s="110"/>
      <c r="DI33" s="110"/>
      <c r="DJ33" s="110"/>
      <c r="DK33" s="110"/>
      <c r="DL33" s="110"/>
      <c r="DM33" s="110"/>
      <c r="DN33" s="110"/>
      <c r="DO33" s="110"/>
      <c r="DP33" s="110"/>
      <c r="DQ33" s="110"/>
      <c r="DR33" s="110"/>
      <c r="DS33" s="110"/>
      <c r="DT33" s="110"/>
      <c r="DU33" s="110"/>
      <c r="DV33" s="110"/>
      <c r="DW33" s="110"/>
      <c r="DX33" s="110"/>
      <c r="DY33" s="110"/>
      <c r="DZ33" s="110"/>
      <c r="EA33" s="110"/>
      <c r="EB33" s="110"/>
      <c r="EC33" s="110"/>
      <c r="ED33" s="110"/>
      <c r="EE33" s="110"/>
      <c r="EF33" s="110"/>
      <c r="EG33" s="110"/>
      <c r="EH33" s="110"/>
      <c r="EI33" s="110"/>
      <c r="EJ33" s="110"/>
      <c r="EK33" s="110"/>
      <c r="EL33" s="110"/>
      <c r="EM33" s="110"/>
      <c r="EN33" s="110"/>
      <c r="EO33" s="110"/>
      <c r="EP33" s="110"/>
      <c r="EQ33" s="110"/>
      <c r="ER33" s="110"/>
      <c r="ES33" s="110"/>
      <c r="ET33" s="110"/>
      <c r="EU33" s="110"/>
      <c r="EV33" s="110"/>
      <c r="EW33" s="110"/>
      <c r="EX33" s="110"/>
      <c r="EY33" s="110"/>
      <c r="EZ33" s="110"/>
      <c r="FA33" s="110"/>
      <c r="FB33" s="110"/>
      <c r="FC33" s="110"/>
      <c r="FD33" s="110"/>
      <c r="FE33" s="110"/>
      <c r="FF33" s="110"/>
      <c r="FG33" s="110"/>
      <c r="FH33" s="110"/>
      <c r="FI33" s="110"/>
      <c r="FJ33" s="110"/>
      <c r="FK33" s="110"/>
      <c r="FL33" s="110"/>
      <c r="FM33" s="110"/>
      <c r="FN33" s="110"/>
      <c r="FO33" s="110"/>
      <c r="FP33" s="110"/>
      <c r="FQ33" s="110"/>
      <c r="FR33" s="110"/>
      <c r="FS33" s="110"/>
      <c r="FT33" s="110"/>
      <c r="FU33" s="110"/>
      <c r="FV33" s="110"/>
      <c r="FW33" s="110"/>
      <c r="FX33" s="110"/>
      <c r="FY33" s="110"/>
      <c r="FZ33" s="110"/>
      <c r="GA33" s="110"/>
      <c r="GB33" s="110"/>
      <c r="GC33" s="110"/>
      <c r="GD33" s="110"/>
      <c r="GE33" s="110"/>
      <c r="GF33" s="110"/>
      <c r="GG33" s="110"/>
      <c r="GH33" s="110"/>
      <c r="GI33" s="110"/>
      <c r="GJ33" s="110"/>
      <c r="GK33" s="110"/>
      <c r="GL33" s="110"/>
      <c r="GM33" s="110"/>
      <c r="GN33" s="110"/>
      <c r="GO33" s="110"/>
      <c r="GP33" s="110"/>
      <c r="GQ33" s="110"/>
      <c r="GR33" s="110"/>
      <c r="GS33" s="110"/>
      <c r="GT33" s="110"/>
      <c r="GU33" s="110"/>
      <c r="GV33" s="110"/>
      <c r="GW33" s="110"/>
      <c r="GX33" s="110"/>
      <c r="GY33" s="110"/>
      <c r="GZ33" s="110"/>
      <c r="HA33" s="110"/>
      <c r="HB33" s="110"/>
      <c r="HC33" s="110"/>
      <c r="HD33" s="110"/>
      <c r="HE33" s="110"/>
      <c r="HF33" s="110"/>
      <c r="HG33" s="110"/>
      <c r="HH33" s="110"/>
      <c r="HI33" s="110"/>
      <c r="HJ33" s="110"/>
      <c r="HK33" s="110"/>
      <c r="HL33" s="110"/>
      <c r="HM33" s="110"/>
      <c r="HN33" s="110"/>
      <c r="HO33" s="110"/>
      <c r="HP33" s="110"/>
      <c r="HQ33" s="110"/>
      <c r="HR33" s="110"/>
      <c r="HS33" s="110"/>
      <c r="HT33" s="110"/>
      <c r="HU33" s="110"/>
      <c r="HV33" s="110"/>
      <c r="HW33" s="110"/>
      <c r="HX33" s="110"/>
      <c r="HY33" s="110"/>
      <c r="HZ33" s="110"/>
      <c r="IA33" s="110"/>
      <c r="IB33" s="110"/>
      <c r="IC33" s="110"/>
      <c r="ID33" s="110"/>
      <c r="IE33" s="110"/>
      <c r="IF33" s="110"/>
      <c r="IG33" s="110"/>
      <c r="IH33" s="110"/>
      <c r="II33" s="110"/>
      <c r="IJ33" s="110"/>
      <c r="IK33" s="110"/>
      <c r="IL33" s="110"/>
      <c r="IM33" s="110"/>
      <c r="IN33" s="110"/>
      <c r="IO33" s="110"/>
      <c r="IP33" s="110"/>
      <c r="IQ33" s="110"/>
      <c r="IR33" s="110"/>
      <c r="IS33" s="110"/>
      <c r="IT33" s="110"/>
      <c r="IU33" s="110"/>
      <c r="IV33" s="110"/>
      <c r="IW33" s="110"/>
      <c r="IX33" s="110"/>
      <c r="IY33" s="110"/>
      <c r="IZ33" s="110"/>
      <c r="JA33" s="110"/>
      <c r="JB33" s="110"/>
      <c r="JC33" s="110"/>
      <c r="JD33" s="110"/>
      <c r="JE33" s="110"/>
      <c r="JF33" s="110"/>
      <c r="JG33" s="110"/>
      <c r="JH33" s="110"/>
      <c r="JI33" s="107">
        <f t="shared" si="0"/>
        <v>132750</v>
      </c>
      <c r="JJ33" s="2">
        <f t="shared" si="3"/>
        <v>238</v>
      </c>
      <c r="JK33" s="110">
        <v>127125</v>
      </c>
      <c r="JL33" s="112">
        <f t="shared" si="1"/>
        <v>5625</v>
      </c>
      <c r="JM33" s="112"/>
      <c r="JN33" s="112"/>
      <c r="JO33" s="112"/>
      <c r="JP33" s="112"/>
    </row>
    <row r="34" spans="1:276" x14ac:dyDescent="0.25">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c r="CP34" s="110"/>
      <c r="CQ34" s="110"/>
      <c r="CR34" s="110"/>
      <c r="CS34" s="110"/>
      <c r="CT34" s="110"/>
      <c r="CU34" s="110"/>
      <c r="CV34" s="110"/>
      <c r="CW34" s="110"/>
      <c r="CX34" s="110"/>
      <c r="CY34" s="110"/>
      <c r="CZ34" s="110"/>
      <c r="DA34" s="110"/>
      <c r="DB34" s="110"/>
      <c r="DC34" s="110"/>
      <c r="DD34" s="110"/>
      <c r="DE34" s="110"/>
      <c r="DF34" s="110"/>
      <c r="DG34" s="110"/>
      <c r="DH34" s="110"/>
      <c r="DI34" s="110"/>
      <c r="DJ34" s="110"/>
      <c r="DK34" s="110"/>
      <c r="DL34" s="110"/>
      <c r="DM34" s="110"/>
      <c r="DN34" s="110"/>
      <c r="DO34" s="110"/>
      <c r="DP34" s="110"/>
      <c r="DQ34" s="110"/>
      <c r="DR34" s="110"/>
      <c r="DS34" s="110"/>
      <c r="DT34" s="110"/>
      <c r="DU34" s="110"/>
      <c r="DV34" s="110"/>
      <c r="DW34" s="110"/>
      <c r="DX34" s="110"/>
      <c r="DY34" s="110"/>
      <c r="DZ34" s="110"/>
      <c r="EA34" s="110"/>
      <c r="EB34" s="110"/>
      <c r="EC34" s="110"/>
      <c r="ED34" s="110"/>
      <c r="EE34" s="110"/>
      <c r="EF34" s="110"/>
      <c r="EG34" s="110"/>
      <c r="EH34" s="110"/>
      <c r="EI34" s="110"/>
      <c r="EJ34" s="110"/>
      <c r="EK34" s="110"/>
      <c r="EL34" s="110"/>
      <c r="EM34" s="110"/>
      <c r="EN34" s="110"/>
      <c r="EO34" s="110"/>
      <c r="EP34" s="110"/>
      <c r="EQ34" s="110"/>
      <c r="ER34" s="110"/>
      <c r="ES34" s="110"/>
      <c r="ET34" s="110"/>
      <c r="EU34" s="110"/>
      <c r="EV34" s="110"/>
      <c r="EW34" s="110"/>
      <c r="EX34" s="110"/>
      <c r="EY34" s="110"/>
      <c r="EZ34" s="110"/>
      <c r="FA34" s="110"/>
      <c r="FB34" s="110"/>
      <c r="FC34" s="110"/>
      <c r="FD34" s="110"/>
      <c r="FE34" s="110"/>
      <c r="FF34" s="110"/>
      <c r="FG34" s="110"/>
      <c r="FH34" s="110"/>
      <c r="FI34" s="110"/>
      <c r="FJ34" s="110"/>
      <c r="FK34" s="110"/>
      <c r="FL34" s="110"/>
      <c r="FM34" s="110"/>
      <c r="FN34" s="110">
        <v>395831</v>
      </c>
      <c r="FO34" s="110"/>
      <c r="FP34" s="110"/>
      <c r="FQ34" s="110"/>
      <c r="FR34" s="110"/>
      <c r="FS34" s="110"/>
      <c r="FT34" s="110"/>
      <c r="FU34" s="110"/>
      <c r="FV34" s="110"/>
      <c r="FW34" s="110"/>
      <c r="FX34" s="110"/>
      <c r="FY34" s="110"/>
      <c r="FZ34" s="110"/>
      <c r="GA34" s="110"/>
      <c r="GB34" s="110"/>
      <c r="GC34" s="110"/>
      <c r="GD34" s="110"/>
      <c r="GE34" s="110"/>
      <c r="GF34" s="110"/>
      <c r="GG34" s="110"/>
      <c r="GH34" s="110"/>
      <c r="GI34" s="110"/>
      <c r="GJ34" s="110"/>
      <c r="GK34" s="110"/>
      <c r="GL34" s="110"/>
      <c r="GM34" s="110"/>
      <c r="GN34" s="110"/>
      <c r="GO34" s="110"/>
      <c r="GP34" s="110"/>
      <c r="GQ34" s="110"/>
      <c r="GR34" s="110"/>
      <c r="GS34" s="110"/>
      <c r="GT34" s="110"/>
      <c r="GU34" s="110"/>
      <c r="GV34" s="110"/>
      <c r="GW34" s="110"/>
      <c r="GX34" s="110"/>
      <c r="GY34" s="110"/>
      <c r="GZ34" s="110"/>
      <c r="HA34" s="110"/>
      <c r="HB34" s="110"/>
      <c r="HC34" s="110"/>
      <c r="HD34" s="110"/>
      <c r="HE34" s="110"/>
      <c r="HF34" s="110"/>
      <c r="HG34" s="110"/>
      <c r="HH34" s="110"/>
      <c r="HI34" s="110"/>
      <c r="HJ34" s="110"/>
      <c r="HK34" s="110"/>
      <c r="HL34" s="110"/>
      <c r="HM34" s="110"/>
      <c r="HN34" s="110"/>
      <c r="HO34" s="110"/>
      <c r="HP34" s="110"/>
      <c r="HQ34" s="110"/>
      <c r="HR34" s="110"/>
      <c r="HS34" s="110"/>
      <c r="HT34" s="110"/>
      <c r="HU34" s="110"/>
      <c r="HV34" s="110"/>
      <c r="HW34" s="110"/>
      <c r="HX34" s="110"/>
      <c r="HY34" s="110"/>
      <c r="HZ34" s="110"/>
      <c r="IA34" s="110"/>
      <c r="IB34" s="110"/>
      <c r="IC34" s="110"/>
      <c r="ID34" s="110"/>
      <c r="IE34" s="110"/>
      <c r="IF34" s="110"/>
      <c r="IG34" s="110"/>
      <c r="IH34" s="110"/>
      <c r="II34" s="110"/>
      <c r="IJ34" s="110"/>
      <c r="IK34" s="110"/>
      <c r="IL34" s="110"/>
      <c r="IM34" s="110"/>
      <c r="IN34" s="110"/>
      <c r="IO34" s="110"/>
      <c r="IP34" s="110"/>
      <c r="IQ34" s="110"/>
      <c r="IR34" s="110"/>
      <c r="IS34" s="110"/>
      <c r="IT34" s="110"/>
      <c r="IU34" s="110"/>
      <c r="IV34" s="110"/>
      <c r="IW34" s="110"/>
      <c r="IX34" s="110"/>
      <c r="IY34" s="110"/>
      <c r="IZ34" s="110"/>
      <c r="JA34" s="110"/>
      <c r="JB34" s="110"/>
      <c r="JC34" s="110"/>
      <c r="JD34" s="110"/>
      <c r="JE34" s="110"/>
      <c r="JF34" s="110"/>
      <c r="JG34" s="110"/>
      <c r="JH34" s="110"/>
      <c r="JI34" s="107">
        <f t="shared" si="0"/>
        <v>395831</v>
      </c>
      <c r="JJ34" s="2">
        <f t="shared" si="3"/>
        <v>239</v>
      </c>
      <c r="JK34" s="110">
        <v>379058.5</v>
      </c>
      <c r="JL34" s="112">
        <f t="shared" si="1"/>
        <v>16772.5</v>
      </c>
      <c r="JM34" s="112"/>
      <c r="JN34" s="112"/>
      <c r="JO34" s="112"/>
      <c r="JP34" s="112"/>
    </row>
    <row r="35" spans="1:276" x14ac:dyDescent="0.25">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c r="CP35" s="110"/>
      <c r="CQ35" s="110"/>
      <c r="CR35" s="110"/>
      <c r="CS35" s="110"/>
      <c r="CT35" s="110"/>
      <c r="CU35" s="110"/>
      <c r="CV35" s="110"/>
      <c r="CW35" s="110"/>
      <c r="CX35" s="110"/>
      <c r="CY35" s="110"/>
      <c r="CZ35" s="110"/>
      <c r="DA35" s="110"/>
      <c r="DB35" s="110"/>
      <c r="DC35" s="110"/>
      <c r="DD35" s="110"/>
      <c r="DE35" s="110"/>
      <c r="DF35" s="110"/>
      <c r="DG35" s="110"/>
      <c r="DH35" s="110"/>
      <c r="DI35" s="110"/>
      <c r="DJ35" s="110"/>
      <c r="DK35" s="110"/>
      <c r="DL35" s="110"/>
      <c r="DM35" s="110"/>
      <c r="DN35" s="110"/>
      <c r="DO35" s="110"/>
      <c r="DP35" s="110"/>
      <c r="DQ35" s="110"/>
      <c r="DR35" s="110"/>
      <c r="DS35" s="110"/>
      <c r="DT35" s="110"/>
      <c r="DU35" s="110"/>
      <c r="DV35" s="110"/>
      <c r="DW35" s="110"/>
      <c r="DX35" s="110"/>
      <c r="DY35" s="110"/>
      <c r="DZ35" s="110"/>
      <c r="EA35" s="110">
        <v>128800</v>
      </c>
      <c r="EB35" s="110"/>
      <c r="EC35" s="110"/>
      <c r="ED35" s="110"/>
      <c r="EE35" s="110"/>
      <c r="EF35" s="110"/>
      <c r="EG35" s="110"/>
      <c r="EH35" s="110"/>
      <c r="EI35" s="110"/>
      <c r="EJ35" s="110"/>
      <c r="EK35" s="110"/>
      <c r="EL35" s="110"/>
      <c r="EM35" s="110"/>
      <c r="EN35" s="110"/>
      <c r="EO35" s="110"/>
      <c r="EP35" s="110"/>
      <c r="EQ35" s="110"/>
      <c r="ER35" s="110"/>
      <c r="ES35" s="110"/>
      <c r="ET35" s="110"/>
      <c r="EU35" s="110"/>
      <c r="EV35" s="110"/>
      <c r="EW35" s="110"/>
      <c r="EX35" s="110"/>
      <c r="EY35" s="110"/>
      <c r="EZ35" s="110"/>
      <c r="FA35" s="110"/>
      <c r="FB35" s="110"/>
      <c r="FC35" s="110"/>
      <c r="FD35" s="110"/>
      <c r="FE35" s="110"/>
      <c r="FF35" s="110"/>
      <c r="FG35" s="110"/>
      <c r="FH35" s="110"/>
      <c r="FI35" s="110"/>
      <c r="FJ35" s="110"/>
      <c r="FK35" s="110"/>
      <c r="FL35" s="110"/>
      <c r="FM35" s="110"/>
      <c r="FN35" s="110"/>
      <c r="FO35" s="110"/>
      <c r="FP35" s="110"/>
      <c r="FQ35" s="110"/>
      <c r="FR35" s="110"/>
      <c r="FS35" s="110"/>
      <c r="FT35" s="110"/>
      <c r="FU35" s="110"/>
      <c r="FV35" s="110"/>
      <c r="FW35" s="110"/>
      <c r="FX35" s="110"/>
      <c r="FY35" s="110"/>
      <c r="FZ35" s="110"/>
      <c r="GA35" s="110"/>
      <c r="GB35" s="110"/>
      <c r="GC35" s="110"/>
      <c r="GD35" s="110"/>
      <c r="GE35" s="110"/>
      <c r="GF35" s="110"/>
      <c r="GG35" s="110"/>
      <c r="GH35" s="110"/>
      <c r="GI35" s="110"/>
      <c r="GJ35" s="110"/>
      <c r="GK35" s="110"/>
      <c r="GL35" s="110"/>
      <c r="GM35" s="110"/>
      <c r="GN35" s="110"/>
      <c r="GO35" s="110"/>
      <c r="GP35" s="110"/>
      <c r="GQ35" s="110"/>
      <c r="GR35" s="110"/>
      <c r="GS35" s="110"/>
      <c r="GT35" s="110"/>
      <c r="GU35" s="110"/>
      <c r="GV35" s="110"/>
      <c r="GW35" s="110"/>
      <c r="GX35" s="110"/>
      <c r="GY35" s="110"/>
      <c r="GZ35" s="110"/>
      <c r="HA35" s="110"/>
      <c r="HB35" s="110"/>
      <c r="HC35" s="110"/>
      <c r="HD35" s="110"/>
      <c r="HE35" s="110"/>
      <c r="HF35" s="110"/>
      <c r="HG35" s="110"/>
      <c r="HH35" s="110"/>
      <c r="HI35" s="110"/>
      <c r="HJ35" s="110"/>
      <c r="HK35" s="110"/>
      <c r="HL35" s="110"/>
      <c r="HM35" s="110"/>
      <c r="HN35" s="110"/>
      <c r="HO35" s="110"/>
      <c r="HP35" s="110"/>
      <c r="HQ35" s="110"/>
      <c r="HR35" s="110"/>
      <c r="HS35" s="110"/>
      <c r="HT35" s="110"/>
      <c r="HU35" s="110"/>
      <c r="HV35" s="110"/>
      <c r="HW35" s="110"/>
      <c r="HX35" s="110"/>
      <c r="HY35" s="110"/>
      <c r="HZ35" s="110"/>
      <c r="IA35" s="110"/>
      <c r="IB35" s="110"/>
      <c r="IC35" s="110"/>
      <c r="ID35" s="110"/>
      <c r="IE35" s="110"/>
      <c r="IF35" s="110"/>
      <c r="IG35" s="110"/>
      <c r="IH35" s="110"/>
      <c r="II35" s="110"/>
      <c r="IJ35" s="110"/>
      <c r="IK35" s="110"/>
      <c r="IL35" s="110"/>
      <c r="IM35" s="110"/>
      <c r="IN35" s="110"/>
      <c r="IO35" s="110"/>
      <c r="IP35" s="110"/>
      <c r="IQ35" s="110"/>
      <c r="IR35" s="110"/>
      <c r="IS35" s="110"/>
      <c r="IT35" s="110"/>
      <c r="IU35" s="110"/>
      <c r="IV35" s="110"/>
      <c r="IW35" s="110"/>
      <c r="IX35" s="110"/>
      <c r="IY35" s="110"/>
      <c r="IZ35" s="110"/>
      <c r="JA35" s="110"/>
      <c r="JB35" s="110"/>
      <c r="JC35" s="110"/>
      <c r="JD35" s="110"/>
      <c r="JE35" s="110"/>
      <c r="JF35" s="110"/>
      <c r="JG35" s="110"/>
      <c r="JH35" s="110"/>
      <c r="JI35" s="107">
        <f t="shared" si="0"/>
        <v>128800</v>
      </c>
      <c r="JJ35" s="2">
        <f t="shared" si="3"/>
        <v>240</v>
      </c>
      <c r="JK35" s="110">
        <v>128800</v>
      </c>
      <c r="JL35" s="112">
        <f t="shared" si="1"/>
        <v>0</v>
      </c>
      <c r="JM35" s="112"/>
      <c r="JN35" s="112"/>
      <c r="JO35" s="112"/>
      <c r="JP35" s="112"/>
    </row>
    <row r="36" spans="1:276" x14ac:dyDescent="0.25">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10"/>
      <c r="CT36" s="110"/>
      <c r="CU36" s="110"/>
      <c r="CV36" s="110"/>
      <c r="CW36" s="110"/>
      <c r="CX36" s="110"/>
      <c r="CY36" s="110"/>
      <c r="CZ36" s="110"/>
      <c r="DA36" s="110"/>
      <c r="DB36" s="110"/>
      <c r="DC36" s="110"/>
      <c r="DD36" s="110"/>
      <c r="DE36" s="110"/>
      <c r="DF36" s="110"/>
      <c r="DG36" s="110"/>
      <c r="DH36" s="110"/>
      <c r="DI36" s="110"/>
      <c r="DJ36" s="110"/>
      <c r="DK36" s="110"/>
      <c r="DL36" s="110"/>
      <c r="DM36" s="110"/>
      <c r="DN36" s="110"/>
      <c r="DO36" s="110"/>
      <c r="DP36" s="110"/>
      <c r="DQ36" s="110"/>
      <c r="DR36" s="110"/>
      <c r="DS36" s="110"/>
      <c r="DT36" s="110"/>
      <c r="DU36" s="110"/>
      <c r="DV36" s="110"/>
      <c r="DW36" s="110"/>
      <c r="DX36" s="110"/>
      <c r="DY36" s="110"/>
      <c r="DZ36" s="110"/>
      <c r="EA36" s="110"/>
      <c r="EB36" s="110"/>
      <c r="EC36" s="110"/>
      <c r="ED36" s="110"/>
      <c r="EE36" s="110"/>
      <c r="EF36" s="110"/>
      <c r="EG36" s="110"/>
      <c r="EH36" s="110"/>
      <c r="EI36" s="110"/>
      <c r="EJ36" s="110"/>
      <c r="EK36" s="110"/>
      <c r="EL36" s="110"/>
      <c r="EM36" s="110"/>
      <c r="EN36" s="110"/>
      <c r="EO36" s="110"/>
      <c r="EP36" s="110"/>
      <c r="EQ36" s="110"/>
      <c r="ER36" s="110"/>
      <c r="ES36" s="110"/>
      <c r="ET36" s="110"/>
      <c r="EU36" s="110"/>
      <c r="EV36" s="110"/>
      <c r="EW36" s="110"/>
      <c r="EX36" s="110"/>
      <c r="EY36" s="110"/>
      <c r="EZ36" s="110"/>
      <c r="FA36" s="110"/>
      <c r="FB36" s="110"/>
      <c r="FC36" s="110"/>
      <c r="FD36" s="110"/>
      <c r="FE36" s="110"/>
      <c r="FF36" s="110"/>
      <c r="FG36" s="110"/>
      <c r="FH36" s="110"/>
      <c r="FI36" s="110"/>
      <c r="FJ36" s="110"/>
      <c r="FK36" s="110"/>
      <c r="FL36" s="110"/>
      <c r="FM36" s="110"/>
      <c r="FN36" s="110"/>
      <c r="FO36" s="110"/>
      <c r="FP36" s="110"/>
      <c r="FQ36" s="110"/>
      <c r="FR36" s="110"/>
      <c r="FS36" s="110"/>
      <c r="FT36" s="110">
        <v>168800</v>
      </c>
      <c r="FU36" s="110"/>
      <c r="FV36" s="110"/>
      <c r="FW36" s="110"/>
      <c r="FX36" s="110"/>
      <c r="FY36" s="110"/>
      <c r="FZ36" s="110"/>
      <c r="GA36" s="110"/>
      <c r="GB36" s="110"/>
      <c r="GC36" s="110"/>
      <c r="GD36" s="110"/>
      <c r="GE36" s="110"/>
      <c r="GF36" s="110"/>
      <c r="GG36" s="110"/>
      <c r="GH36" s="110"/>
      <c r="GI36" s="110"/>
      <c r="GJ36" s="110"/>
      <c r="GK36" s="110"/>
      <c r="GL36" s="110"/>
      <c r="GM36" s="110"/>
      <c r="GN36" s="110"/>
      <c r="GO36" s="110"/>
      <c r="GP36" s="110"/>
      <c r="GQ36" s="110"/>
      <c r="GR36" s="110"/>
      <c r="GS36" s="110"/>
      <c r="GT36" s="110"/>
      <c r="GU36" s="110"/>
      <c r="GV36" s="110"/>
      <c r="GW36" s="110"/>
      <c r="GX36" s="110"/>
      <c r="GY36" s="110"/>
      <c r="GZ36" s="110"/>
      <c r="HA36" s="110"/>
      <c r="HB36" s="110"/>
      <c r="HC36" s="110"/>
      <c r="HD36" s="110"/>
      <c r="HE36" s="110"/>
      <c r="HF36" s="110"/>
      <c r="HG36" s="110"/>
      <c r="HH36" s="110"/>
      <c r="HI36" s="110"/>
      <c r="HJ36" s="110"/>
      <c r="HK36" s="110"/>
      <c r="HL36" s="110"/>
      <c r="HM36" s="110"/>
      <c r="HN36" s="110"/>
      <c r="HO36" s="110"/>
      <c r="HP36" s="110"/>
      <c r="HQ36" s="110"/>
      <c r="HR36" s="110"/>
      <c r="HS36" s="110"/>
      <c r="HT36" s="110"/>
      <c r="HU36" s="110"/>
      <c r="HV36" s="110"/>
      <c r="HW36" s="110"/>
      <c r="HX36" s="110"/>
      <c r="HY36" s="110"/>
      <c r="HZ36" s="110"/>
      <c r="IA36" s="110"/>
      <c r="IB36" s="110"/>
      <c r="IC36" s="110"/>
      <c r="ID36" s="110"/>
      <c r="IE36" s="110"/>
      <c r="IF36" s="110"/>
      <c r="IG36" s="110"/>
      <c r="IH36" s="110"/>
      <c r="II36" s="110"/>
      <c r="IJ36" s="110"/>
      <c r="IK36" s="110"/>
      <c r="IL36" s="110"/>
      <c r="IM36" s="110"/>
      <c r="IN36" s="110"/>
      <c r="IO36" s="110"/>
      <c r="IP36" s="110"/>
      <c r="IQ36" s="110"/>
      <c r="IR36" s="110"/>
      <c r="IS36" s="110"/>
      <c r="IT36" s="110"/>
      <c r="IU36" s="110"/>
      <c r="IV36" s="110"/>
      <c r="IW36" s="110"/>
      <c r="IX36" s="110"/>
      <c r="IY36" s="110"/>
      <c r="IZ36" s="110"/>
      <c r="JA36" s="110"/>
      <c r="JB36" s="110"/>
      <c r="JC36" s="110"/>
      <c r="JD36" s="110"/>
      <c r="JE36" s="110"/>
      <c r="JF36" s="110"/>
      <c r="JG36" s="110"/>
      <c r="JH36" s="110"/>
      <c r="JI36" s="107">
        <f t="shared" si="0"/>
        <v>168800</v>
      </c>
      <c r="JJ36" s="2">
        <f t="shared" si="3"/>
        <v>241</v>
      </c>
      <c r="JK36" s="110">
        <v>160360</v>
      </c>
      <c r="JL36" s="112">
        <f t="shared" si="1"/>
        <v>8440</v>
      </c>
      <c r="JM36" s="112"/>
      <c r="JN36" s="112"/>
      <c r="JO36" s="112"/>
      <c r="JP36" s="112"/>
    </row>
    <row r="37" spans="1:276" x14ac:dyDescent="0.25">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c r="CH37" s="110"/>
      <c r="CI37" s="110"/>
      <c r="CJ37" s="110"/>
      <c r="CK37" s="110"/>
      <c r="CL37" s="110"/>
      <c r="CM37" s="110"/>
      <c r="CN37" s="110"/>
      <c r="CO37" s="110"/>
      <c r="CP37" s="110"/>
      <c r="CQ37" s="110"/>
      <c r="CR37" s="110"/>
      <c r="CS37" s="110"/>
      <c r="CT37" s="110"/>
      <c r="CU37" s="110"/>
      <c r="CV37" s="110"/>
      <c r="CW37" s="110"/>
      <c r="CX37" s="110"/>
      <c r="CY37" s="110"/>
      <c r="CZ37" s="110"/>
      <c r="DA37" s="110"/>
      <c r="DB37" s="110"/>
      <c r="DC37" s="110"/>
      <c r="DD37" s="110"/>
      <c r="DE37" s="110"/>
      <c r="DF37" s="110"/>
      <c r="DG37" s="110"/>
      <c r="DH37" s="110"/>
      <c r="DI37" s="110"/>
      <c r="DJ37" s="110"/>
      <c r="DK37" s="110"/>
      <c r="DL37" s="110"/>
      <c r="DM37" s="110"/>
      <c r="DN37" s="110"/>
      <c r="DO37" s="110"/>
      <c r="DP37" s="110"/>
      <c r="DQ37" s="110"/>
      <c r="DR37" s="110"/>
      <c r="DS37" s="110"/>
      <c r="DT37" s="110"/>
      <c r="DU37" s="110"/>
      <c r="DV37" s="110"/>
      <c r="DW37" s="110"/>
      <c r="DX37" s="110"/>
      <c r="DY37" s="110"/>
      <c r="DZ37" s="110"/>
      <c r="EA37" s="110"/>
      <c r="EB37" s="110"/>
      <c r="EC37" s="110"/>
      <c r="ED37" s="110"/>
      <c r="EE37" s="110"/>
      <c r="EF37" s="110"/>
      <c r="EG37" s="110"/>
      <c r="EH37" s="110">
        <v>1483.02</v>
      </c>
      <c r="EI37" s="110"/>
      <c r="EJ37" s="110"/>
      <c r="EK37" s="110"/>
      <c r="EL37" s="110"/>
      <c r="EM37" s="110"/>
      <c r="EN37" s="110">
        <v>20574.93</v>
      </c>
      <c r="EO37" s="110"/>
      <c r="EP37" s="110"/>
      <c r="EQ37" s="110"/>
      <c r="ER37" s="110"/>
      <c r="ES37" s="110"/>
      <c r="ET37" s="110"/>
      <c r="EU37" s="110"/>
      <c r="EV37" s="110"/>
      <c r="EW37" s="110"/>
      <c r="EX37" s="110"/>
      <c r="EY37" s="110"/>
      <c r="EZ37" s="110"/>
      <c r="FA37" s="110"/>
      <c r="FB37" s="110"/>
      <c r="FC37" s="110"/>
      <c r="FD37" s="110"/>
      <c r="FE37" s="110"/>
      <c r="FF37" s="110"/>
      <c r="FG37" s="110"/>
      <c r="FH37" s="110"/>
      <c r="FI37" s="110"/>
      <c r="FJ37" s="110"/>
      <c r="FK37" s="110"/>
      <c r="FL37" s="110"/>
      <c r="FM37" s="110"/>
      <c r="FN37" s="110"/>
      <c r="FO37" s="110"/>
      <c r="FP37" s="110"/>
      <c r="FQ37" s="110"/>
      <c r="FR37" s="110"/>
      <c r="FS37" s="110"/>
      <c r="FT37" s="110"/>
      <c r="FU37" s="110"/>
      <c r="FV37" s="110"/>
      <c r="FW37" s="110">
        <v>62731.97</v>
      </c>
      <c r="FX37" s="110"/>
      <c r="FY37" s="110">
        <v>118290</v>
      </c>
      <c r="FZ37" s="110">
        <v>34881</v>
      </c>
      <c r="GA37" s="110"/>
      <c r="GB37" s="110">
        <v>1230.48</v>
      </c>
      <c r="GC37" s="110"/>
      <c r="GD37" s="110"/>
      <c r="GE37" s="110"/>
      <c r="GF37" s="110"/>
      <c r="GG37" s="110"/>
      <c r="GH37" s="110"/>
      <c r="GI37" s="110"/>
      <c r="GJ37" s="110"/>
      <c r="GK37" s="110"/>
      <c r="GL37" s="110"/>
      <c r="GM37" s="110"/>
      <c r="GN37" s="110"/>
      <c r="GO37" s="110"/>
      <c r="GP37" s="110"/>
      <c r="GQ37" s="110"/>
      <c r="GR37" s="110"/>
      <c r="GS37" s="110"/>
      <c r="GT37" s="110"/>
      <c r="GU37" s="110"/>
      <c r="GV37" s="110"/>
      <c r="GW37" s="110"/>
      <c r="GX37" s="110"/>
      <c r="GY37" s="110"/>
      <c r="GZ37" s="110"/>
      <c r="HA37" s="110"/>
      <c r="HB37" s="110"/>
      <c r="HC37" s="110"/>
      <c r="HD37" s="110"/>
      <c r="HE37" s="110"/>
      <c r="HF37" s="110"/>
      <c r="HG37" s="110"/>
      <c r="HH37" s="110"/>
      <c r="HI37" s="110"/>
      <c r="HJ37" s="110"/>
      <c r="HK37" s="110"/>
      <c r="HL37" s="110"/>
      <c r="HM37" s="110"/>
      <c r="HN37" s="110"/>
      <c r="HO37" s="110"/>
      <c r="HP37" s="110"/>
      <c r="HQ37" s="110"/>
      <c r="HR37" s="110"/>
      <c r="HS37" s="110"/>
      <c r="HT37" s="110"/>
      <c r="HU37" s="110"/>
      <c r="HV37" s="110"/>
      <c r="HW37" s="110"/>
      <c r="HX37" s="110"/>
      <c r="HY37" s="110"/>
      <c r="HZ37" s="110"/>
      <c r="IA37" s="110"/>
      <c r="IB37" s="110"/>
      <c r="IC37" s="110"/>
      <c r="ID37" s="110"/>
      <c r="IE37" s="110"/>
      <c r="IF37" s="110"/>
      <c r="IG37" s="110"/>
      <c r="IH37" s="110"/>
      <c r="II37" s="110"/>
      <c r="IJ37" s="110"/>
      <c r="IK37" s="110"/>
      <c r="IL37" s="110"/>
      <c r="IM37" s="110"/>
      <c r="IN37" s="110"/>
      <c r="IO37" s="110"/>
      <c r="IP37" s="110"/>
      <c r="IQ37" s="110"/>
      <c r="IR37" s="110"/>
      <c r="IS37" s="110"/>
      <c r="IT37" s="110"/>
      <c r="IU37" s="110"/>
      <c r="IV37" s="110"/>
      <c r="IW37" s="110"/>
      <c r="IX37" s="110"/>
      <c r="IY37" s="110"/>
      <c r="IZ37" s="110"/>
      <c r="JA37" s="110"/>
      <c r="JB37" s="110"/>
      <c r="JC37" s="110"/>
      <c r="JD37" s="110"/>
      <c r="JE37" s="110"/>
      <c r="JF37" s="110"/>
      <c r="JG37" s="110"/>
      <c r="JH37" s="110"/>
      <c r="JI37" s="107">
        <f t="shared" si="0"/>
        <v>239191.4</v>
      </c>
      <c r="JJ37" s="2">
        <f t="shared" si="3"/>
        <v>242</v>
      </c>
      <c r="JK37" s="110">
        <v>227231.83</v>
      </c>
      <c r="JL37" s="112">
        <f t="shared" si="1"/>
        <v>11959.570000000007</v>
      </c>
      <c r="JM37" s="112"/>
      <c r="JN37" s="112"/>
      <c r="JO37" s="112"/>
      <c r="JP37" s="112"/>
    </row>
    <row r="38" spans="1:276" x14ac:dyDescent="0.25">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c r="CP38" s="110"/>
      <c r="CQ38" s="110"/>
      <c r="CR38" s="110"/>
      <c r="CS38" s="110"/>
      <c r="CT38" s="110"/>
      <c r="CU38" s="110"/>
      <c r="CV38" s="110"/>
      <c r="CW38" s="110"/>
      <c r="CX38" s="110"/>
      <c r="CY38" s="110"/>
      <c r="CZ38" s="110">
        <v>39530</v>
      </c>
      <c r="DA38" s="110"/>
      <c r="DB38" s="110"/>
      <c r="DC38" s="110"/>
      <c r="DD38" s="110"/>
      <c r="DE38" s="110"/>
      <c r="DF38" s="110"/>
      <c r="DG38" s="110"/>
      <c r="DH38" s="110"/>
      <c r="DI38" s="110"/>
      <c r="DJ38" s="110"/>
      <c r="DK38" s="110"/>
      <c r="DL38" s="110"/>
      <c r="DM38" s="110"/>
      <c r="DN38" s="110"/>
      <c r="DO38" s="110"/>
      <c r="DP38" s="110"/>
      <c r="DQ38" s="110"/>
      <c r="DR38" s="110"/>
      <c r="DS38" s="110"/>
      <c r="DT38" s="110"/>
      <c r="DU38" s="110"/>
      <c r="DV38" s="110"/>
      <c r="DW38" s="110"/>
      <c r="DX38" s="110"/>
      <c r="DY38" s="110"/>
      <c r="DZ38" s="110"/>
      <c r="EA38" s="110"/>
      <c r="EB38" s="110"/>
      <c r="EC38" s="110"/>
      <c r="ED38" s="110"/>
      <c r="EE38" s="110"/>
      <c r="EF38" s="110"/>
      <c r="EG38" s="110"/>
      <c r="EH38" s="110"/>
      <c r="EI38" s="110"/>
      <c r="EJ38" s="110"/>
      <c r="EK38" s="110"/>
      <c r="EL38" s="110"/>
      <c r="EM38" s="110"/>
      <c r="EN38" s="110"/>
      <c r="EO38" s="110"/>
      <c r="EP38" s="110"/>
      <c r="EQ38" s="110"/>
      <c r="ER38" s="110"/>
      <c r="ES38" s="110"/>
      <c r="ET38" s="110"/>
      <c r="EU38" s="110"/>
      <c r="EV38" s="110"/>
      <c r="EW38" s="110"/>
      <c r="EX38" s="110"/>
      <c r="EY38" s="110"/>
      <c r="EZ38" s="110"/>
      <c r="FA38" s="110"/>
      <c r="FB38" s="110"/>
      <c r="FC38" s="110"/>
      <c r="FD38" s="110"/>
      <c r="FE38" s="110"/>
      <c r="FF38" s="110"/>
      <c r="FG38" s="110"/>
      <c r="FH38" s="110"/>
      <c r="FI38" s="110"/>
      <c r="FJ38" s="110"/>
      <c r="FK38" s="110"/>
      <c r="FL38" s="110"/>
      <c r="FM38" s="110"/>
      <c r="FN38" s="110"/>
      <c r="FO38" s="110"/>
      <c r="FP38" s="110"/>
      <c r="FQ38" s="110"/>
      <c r="FR38" s="110"/>
      <c r="FS38" s="110"/>
      <c r="FT38" s="110"/>
      <c r="FU38" s="110"/>
      <c r="FV38" s="110"/>
      <c r="FW38" s="110"/>
      <c r="FX38" s="110"/>
      <c r="FY38" s="110"/>
      <c r="FZ38" s="110"/>
      <c r="GA38" s="110"/>
      <c r="GB38" s="110"/>
      <c r="GC38" s="110"/>
      <c r="GD38" s="110"/>
      <c r="GE38" s="110"/>
      <c r="GF38" s="110"/>
      <c r="GG38" s="110"/>
      <c r="GH38" s="110"/>
      <c r="GI38" s="110"/>
      <c r="GJ38" s="110"/>
      <c r="GK38" s="110"/>
      <c r="GL38" s="110"/>
      <c r="GM38" s="110"/>
      <c r="GN38" s="110"/>
      <c r="GO38" s="110"/>
      <c r="GP38" s="110"/>
      <c r="GQ38" s="110"/>
      <c r="GR38" s="110"/>
      <c r="GS38" s="110"/>
      <c r="GT38" s="110"/>
      <c r="GU38" s="110"/>
      <c r="GV38" s="110"/>
      <c r="GW38" s="110"/>
      <c r="GX38" s="110"/>
      <c r="GY38" s="110"/>
      <c r="GZ38" s="110"/>
      <c r="HA38" s="110"/>
      <c r="HB38" s="110"/>
      <c r="HC38" s="110"/>
      <c r="HD38" s="110"/>
      <c r="HE38" s="110"/>
      <c r="HF38" s="110"/>
      <c r="HG38" s="110"/>
      <c r="HH38" s="110"/>
      <c r="HI38" s="110"/>
      <c r="HJ38" s="110"/>
      <c r="HK38" s="110"/>
      <c r="HL38" s="110"/>
      <c r="HM38" s="110"/>
      <c r="HN38" s="110"/>
      <c r="HO38" s="110"/>
      <c r="HP38" s="110"/>
      <c r="HQ38" s="110"/>
      <c r="HR38" s="110"/>
      <c r="HS38" s="110"/>
      <c r="HT38" s="110"/>
      <c r="HU38" s="110"/>
      <c r="HV38" s="110"/>
      <c r="HW38" s="110"/>
      <c r="HX38" s="110"/>
      <c r="HY38" s="110"/>
      <c r="HZ38" s="110"/>
      <c r="IA38" s="110"/>
      <c r="IB38" s="110"/>
      <c r="IC38" s="110"/>
      <c r="ID38" s="110"/>
      <c r="IE38" s="110"/>
      <c r="IF38" s="110"/>
      <c r="IG38" s="110"/>
      <c r="IH38" s="110"/>
      <c r="II38" s="110"/>
      <c r="IJ38" s="110"/>
      <c r="IK38" s="110"/>
      <c r="IL38" s="110"/>
      <c r="IM38" s="110"/>
      <c r="IN38" s="110"/>
      <c r="IO38" s="110"/>
      <c r="IP38" s="110"/>
      <c r="IQ38" s="110"/>
      <c r="IR38" s="110"/>
      <c r="IS38" s="110"/>
      <c r="IT38" s="110"/>
      <c r="IU38" s="110"/>
      <c r="IV38" s="110"/>
      <c r="IW38" s="110"/>
      <c r="IX38" s="110"/>
      <c r="IY38" s="110"/>
      <c r="IZ38" s="110"/>
      <c r="JA38" s="110"/>
      <c r="JB38" s="110"/>
      <c r="JC38" s="110"/>
      <c r="JD38" s="110"/>
      <c r="JE38" s="110"/>
      <c r="JF38" s="110"/>
      <c r="JG38" s="110"/>
      <c r="JH38" s="110"/>
      <c r="JI38" s="107">
        <f t="shared" si="0"/>
        <v>39530</v>
      </c>
      <c r="JJ38" s="2">
        <f t="shared" si="3"/>
        <v>243</v>
      </c>
      <c r="JK38" s="110">
        <v>37855</v>
      </c>
      <c r="JL38" s="112">
        <f t="shared" si="1"/>
        <v>1675</v>
      </c>
      <c r="JM38" s="112"/>
      <c r="JN38" s="112"/>
      <c r="JO38" s="112"/>
      <c r="JP38" s="112"/>
    </row>
    <row r="39" spans="1:276" x14ac:dyDescent="0.25">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0">
        <v>760000</v>
      </c>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0"/>
      <c r="CD39" s="110"/>
      <c r="CE39" s="110"/>
      <c r="CF39" s="110"/>
      <c r="CG39" s="110"/>
      <c r="CH39" s="110"/>
      <c r="CI39" s="110"/>
      <c r="CJ39" s="110"/>
      <c r="CK39" s="110"/>
      <c r="CL39" s="110"/>
      <c r="CM39" s="110"/>
      <c r="CN39" s="110"/>
      <c r="CO39" s="110"/>
      <c r="CP39" s="110"/>
      <c r="CQ39" s="110"/>
      <c r="CR39" s="110"/>
      <c r="CS39" s="110"/>
      <c r="CT39" s="110"/>
      <c r="CU39" s="110"/>
      <c r="CV39" s="110"/>
      <c r="CW39" s="110"/>
      <c r="CX39" s="110"/>
      <c r="CY39" s="110"/>
      <c r="CZ39" s="110"/>
      <c r="DA39" s="110"/>
      <c r="DB39" s="110"/>
      <c r="DC39" s="110"/>
      <c r="DD39" s="110"/>
      <c r="DE39" s="110"/>
      <c r="DF39" s="110"/>
      <c r="DG39" s="110"/>
      <c r="DH39" s="110"/>
      <c r="DI39" s="110"/>
      <c r="DJ39" s="110"/>
      <c r="DK39" s="110"/>
      <c r="DL39" s="110"/>
      <c r="DM39" s="110"/>
      <c r="DN39" s="110"/>
      <c r="DO39" s="110"/>
      <c r="DP39" s="110"/>
      <c r="DQ39" s="110"/>
      <c r="DR39" s="110"/>
      <c r="DS39" s="110"/>
      <c r="DT39" s="110"/>
      <c r="DU39" s="110"/>
      <c r="DV39" s="110"/>
      <c r="DW39" s="110"/>
      <c r="DX39" s="110"/>
      <c r="DY39" s="110"/>
      <c r="DZ39" s="110"/>
      <c r="EA39" s="110"/>
      <c r="EB39" s="110"/>
      <c r="EC39" s="110"/>
      <c r="ED39" s="110"/>
      <c r="EE39" s="110"/>
      <c r="EF39" s="110"/>
      <c r="EG39" s="110"/>
      <c r="EH39" s="110"/>
      <c r="EI39" s="110"/>
      <c r="EJ39" s="110"/>
      <c r="EK39" s="110"/>
      <c r="EL39" s="110"/>
      <c r="EM39" s="110"/>
      <c r="EN39" s="110"/>
      <c r="EO39" s="110"/>
      <c r="EP39" s="110"/>
      <c r="EQ39" s="110"/>
      <c r="ER39" s="110"/>
      <c r="ES39" s="110"/>
      <c r="ET39" s="110"/>
      <c r="EU39" s="110"/>
      <c r="EV39" s="110"/>
      <c r="EW39" s="110"/>
      <c r="EX39" s="110"/>
      <c r="EY39" s="110"/>
      <c r="EZ39" s="110"/>
      <c r="FA39" s="110"/>
      <c r="FB39" s="110"/>
      <c r="FC39" s="110"/>
      <c r="FD39" s="110"/>
      <c r="FE39" s="110"/>
      <c r="FF39" s="110"/>
      <c r="FG39" s="110"/>
      <c r="FH39" s="110"/>
      <c r="FI39" s="110"/>
      <c r="FJ39" s="110"/>
      <c r="FK39" s="110"/>
      <c r="FL39" s="110"/>
      <c r="FM39" s="110"/>
      <c r="FN39" s="110"/>
      <c r="FO39" s="110"/>
      <c r="FP39" s="110"/>
      <c r="FQ39" s="110"/>
      <c r="FR39" s="110"/>
      <c r="FS39" s="110"/>
      <c r="FT39" s="110"/>
      <c r="FU39" s="110"/>
      <c r="FV39" s="110"/>
      <c r="FW39" s="110"/>
      <c r="FX39" s="110"/>
      <c r="FY39" s="110"/>
      <c r="FZ39" s="110"/>
      <c r="GA39" s="110"/>
      <c r="GB39" s="110"/>
      <c r="GC39" s="110"/>
      <c r="GD39" s="110"/>
      <c r="GE39" s="110"/>
      <c r="GF39" s="110"/>
      <c r="GG39" s="110"/>
      <c r="GH39" s="110"/>
      <c r="GI39" s="110"/>
      <c r="GJ39" s="110"/>
      <c r="GK39" s="110"/>
      <c r="GL39" s="110"/>
      <c r="GM39" s="110"/>
      <c r="GN39" s="110"/>
      <c r="GO39" s="110"/>
      <c r="GP39" s="110"/>
      <c r="GQ39" s="110"/>
      <c r="GR39" s="110"/>
      <c r="GS39" s="110"/>
      <c r="GT39" s="110"/>
      <c r="GU39" s="110"/>
      <c r="GV39" s="110"/>
      <c r="GW39" s="110"/>
      <c r="GX39" s="110"/>
      <c r="GY39" s="110"/>
      <c r="GZ39" s="110"/>
      <c r="HA39" s="110"/>
      <c r="HB39" s="110"/>
      <c r="HC39" s="110"/>
      <c r="HD39" s="110"/>
      <c r="HE39" s="110"/>
      <c r="HF39" s="110"/>
      <c r="HG39" s="110"/>
      <c r="HH39" s="110"/>
      <c r="HI39" s="110"/>
      <c r="HJ39" s="110"/>
      <c r="HK39" s="110"/>
      <c r="HL39" s="110"/>
      <c r="HM39" s="110"/>
      <c r="HN39" s="110"/>
      <c r="HO39" s="110"/>
      <c r="HP39" s="110"/>
      <c r="HQ39" s="110"/>
      <c r="HR39" s="110"/>
      <c r="HS39" s="110"/>
      <c r="HT39" s="110"/>
      <c r="HU39" s="110"/>
      <c r="HV39" s="110"/>
      <c r="HW39" s="110"/>
      <c r="HX39" s="110"/>
      <c r="HY39" s="110"/>
      <c r="HZ39" s="110"/>
      <c r="IA39" s="110"/>
      <c r="IB39" s="110"/>
      <c r="IC39" s="110"/>
      <c r="ID39" s="110"/>
      <c r="IE39" s="110"/>
      <c r="IF39" s="110"/>
      <c r="IG39" s="110"/>
      <c r="IH39" s="110"/>
      <c r="II39" s="110"/>
      <c r="IJ39" s="110"/>
      <c r="IK39" s="110"/>
      <c r="IL39" s="110"/>
      <c r="IM39" s="110"/>
      <c r="IN39" s="110"/>
      <c r="IO39" s="110"/>
      <c r="IP39" s="110"/>
      <c r="IQ39" s="110"/>
      <c r="IR39" s="110"/>
      <c r="IS39" s="110"/>
      <c r="IT39" s="110"/>
      <c r="IU39" s="110"/>
      <c r="IV39" s="110"/>
      <c r="IW39" s="110"/>
      <c r="IX39" s="110"/>
      <c r="IY39" s="110"/>
      <c r="IZ39" s="110"/>
      <c r="JA39" s="110"/>
      <c r="JB39" s="110"/>
      <c r="JC39" s="110"/>
      <c r="JD39" s="110"/>
      <c r="JE39" s="110"/>
      <c r="JF39" s="110"/>
      <c r="JG39" s="110"/>
      <c r="JH39" s="110"/>
      <c r="JI39" s="107">
        <f t="shared" si="0"/>
        <v>760000</v>
      </c>
      <c r="JJ39" s="2">
        <f t="shared" si="3"/>
        <v>244</v>
      </c>
      <c r="JK39" s="110">
        <v>722000</v>
      </c>
      <c r="JL39" s="112">
        <f t="shared" si="1"/>
        <v>38000</v>
      </c>
      <c r="JM39" s="112"/>
      <c r="JN39" s="112"/>
      <c r="JO39" s="112"/>
      <c r="JP39" s="112"/>
    </row>
    <row r="40" spans="1:276" x14ac:dyDescent="0.25">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0"/>
      <c r="CD40" s="110"/>
      <c r="CE40" s="110"/>
      <c r="CF40" s="110"/>
      <c r="CG40" s="110"/>
      <c r="CH40" s="110"/>
      <c r="CI40" s="110"/>
      <c r="CJ40" s="110"/>
      <c r="CK40" s="110"/>
      <c r="CL40" s="110"/>
      <c r="CM40" s="110"/>
      <c r="CN40" s="110"/>
      <c r="CO40" s="110"/>
      <c r="CP40" s="110"/>
      <c r="CQ40" s="110"/>
      <c r="CR40" s="110"/>
      <c r="CS40" s="110"/>
      <c r="CT40" s="110"/>
      <c r="CU40" s="110"/>
      <c r="CV40" s="110"/>
      <c r="CW40" s="110"/>
      <c r="CX40" s="110"/>
      <c r="CY40" s="110"/>
      <c r="CZ40" s="110"/>
      <c r="DA40" s="110"/>
      <c r="DB40" s="110"/>
      <c r="DC40" s="110"/>
      <c r="DD40" s="110"/>
      <c r="DE40" s="110"/>
      <c r="DF40" s="110"/>
      <c r="DG40" s="110"/>
      <c r="DH40" s="110"/>
      <c r="DI40" s="110"/>
      <c r="DJ40" s="110"/>
      <c r="DK40" s="110"/>
      <c r="DL40" s="110"/>
      <c r="DM40" s="110"/>
      <c r="DN40" s="110"/>
      <c r="DO40" s="110"/>
      <c r="DP40" s="110"/>
      <c r="DQ40" s="110"/>
      <c r="DR40" s="110"/>
      <c r="DS40" s="110"/>
      <c r="DT40" s="110"/>
      <c r="DU40" s="110"/>
      <c r="DV40" s="110"/>
      <c r="DW40" s="110"/>
      <c r="DX40" s="110"/>
      <c r="DY40" s="110"/>
      <c r="DZ40" s="110"/>
      <c r="EA40" s="110"/>
      <c r="EB40" s="110"/>
      <c r="EC40" s="110"/>
      <c r="ED40" s="110"/>
      <c r="EE40" s="110"/>
      <c r="EF40" s="110"/>
      <c r="EG40" s="110"/>
      <c r="EH40" s="110"/>
      <c r="EI40" s="110"/>
      <c r="EJ40" s="110"/>
      <c r="EK40" s="110"/>
      <c r="EL40" s="110"/>
      <c r="EM40" s="110"/>
      <c r="EN40" s="110"/>
      <c r="EO40" s="110"/>
      <c r="EP40" s="110"/>
      <c r="EQ40" s="110"/>
      <c r="ER40" s="110"/>
      <c r="ES40" s="110"/>
      <c r="ET40" s="110"/>
      <c r="EU40" s="110"/>
      <c r="EV40" s="110"/>
      <c r="EW40" s="110"/>
      <c r="EX40" s="110"/>
      <c r="EY40" s="110"/>
      <c r="EZ40" s="110"/>
      <c r="FA40" s="110">
        <v>172000</v>
      </c>
      <c r="FB40" s="110"/>
      <c r="FC40" s="110"/>
      <c r="FD40" s="110"/>
      <c r="FE40" s="110"/>
      <c r="FF40" s="110"/>
      <c r="FG40" s="110"/>
      <c r="FH40" s="110"/>
      <c r="FI40" s="110"/>
      <c r="FJ40" s="110"/>
      <c r="FK40" s="110"/>
      <c r="FL40" s="110"/>
      <c r="FM40" s="110"/>
      <c r="FN40" s="110"/>
      <c r="FO40" s="110"/>
      <c r="FP40" s="110"/>
      <c r="FQ40" s="110"/>
      <c r="FR40" s="110"/>
      <c r="FS40" s="110"/>
      <c r="FT40" s="110"/>
      <c r="FU40" s="110"/>
      <c r="FV40" s="110"/>
      <c r="FW40" s="110"/>
      <c r="FX40" s="110"/>
      <c r="FY40" s="110"/>
      <c r="FZ40" s="110"/>
      <c r="GA40" s="110"/>
      <c r="GB40" s="110"/>
      <c r="GC40" s="110"/>
      <c r="GD40" s="110"/>
      <c r="GE40" s="110"/>
      <c r="GF40" s="110"/>
      <c r="GG40" s="110"/>
      <c r="GH40" s="110"/>
      <c r="GI40" s="110"/>
      <c r="GJ40" s="110"/>
      <c r="GK40" s="110"/>
      <c r="GL40" s="110"/>
      <c r="GM40" s="110"/>
      <c r="GN40" s="110"/>
      <c r="GO40" s="110"/>
      <c r="GP40" s="110"/>
      <c r="GQ40" s="110"/>
      <c r="GR40" s="110"/>
      <c r="GS40" s="110"/>
      <c r="GT40" s="110"/>
      <c r="GU40" s="110"/>
      <c r="GV40" s="110"/>
      <c r="GW40" s="110"/>
      <c r="GX40" s="110"/>
      <c r="GY40" s="110"/>
      <c r="GZ40" s="110"/>
      <c r="HA40" s="110"/>
      <c r="HB40" s="110"/>
      <c r="HC40" s="110"/>
      <c r="HD40" s="110"/>
      <c r="HE40" s="110"/>
      <c r="HF40" s="110"/>
      <c r="HG40" s="110"/>
      <c r="HH40" s="110"/>
      <c r="HI40" s="110"/>
      <c r="HJ40" s="110"/>
      <c r="HK40" s="110"/>
      <c r="HL40" s="110"/>
      <c r="HM40" s="110"/>
      <c r="HN40" s="110"/>
      <c r="HO40" s="110"/>
      <c r="HP40" s="110"/>
      <c r="HQ40" s="110"/>
      <c r="HR40" s="110"/>
      <c r="HS40" s="110"/>
      <c r="HT40" s="110"/>
      <c r="HU40" s="110"/>
      <c r="HV40" s="110"/>
      <c r="HW40" s="110"/>
      <c r="HX40" s="110"/>
      <c r="HY40" s="110"/>
      <c r="HZ40" s="110"/>
      <c r="IA40" s="110"/>
      <c r="IB40" s="110"/>
      <c r="IC40" s="110"/>
      <c r="ID40" s="110"/>
      <c r="IE40" s="110"/>
      <c r="IF40" s="110"/>
      <c r="IG40" s="110"/>
      <c r="IH40" s="110"/>
      <c r="II40" s="110"/>
      <c r="IJ40" s="110"/>
      <c r="IK40" s="110"/>
      <c r="IL40" s="110"/>
      <c r="IM40" s="110"/>
      <c r="IN40" s="110"/>
      <c r="IO40" s="110"/>
      <c r="IP40" s="110"/>
      <c r="IQ40" s="110"/>
      <c r="IR40" s="110"/>
      <c r="IS40" s="110"/>
      <c r="IT40" s="110"/>
      <c r="IU40" s="110"/>
      <c r="IV40" s="110"/>
      <c r="IW40" s="110"/>
      <c r="IX40" s="110"/>
      <c r="IY40" s="110"/>
      <c r="IZ40" s="110"/>
      <c r="JA40" s="110"/>
      <c r="JB40" s="110"/>
      <c r="JC40" s="110"/>
      <c r="JD40" s="110"/>
      <c r="JE40" s="110"/>
      <c r="JF40" s="110"/>
      <c r="JG40" s="110"/>
      <c r="JH40" s="110"/>
      <c r="JI40" s="107">
        <f t="shared" si="0"/>
        <v>172000</v>
      </c>
      <c r="JJ40" s="2">
        <v>246</v>
      </c>
      <c r="JK40" s="110">
        <v>170573.26</v>
      </c>
      <c r="JL40" s="112">
        <f t="shared" si="1"/>
        <v>1426.7399999999907</v>
      </c>
      <c r="JM40" s="112"/>
      <c r="JN40" s="112"/>
      <c r="JO40" s="112"/>
      <c r="JP40" s="112"/>
    </row>
    <row r="41" spans="1:276" x14ac:dyDescent="0.25">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c r="CG41" s="110"/>
      <c r="CH41" s="110"/>
      <c r="CI41" s="110"/>
      <c r="CJ41" s="110"/>
      <c r="CK41" s="110"/>
      <c r="CL41" s="110"/>
      <c r="CM41" s="110"/>
      <c r="CN41" s="110"/>
      <c r="CO41" s="110"/>
      <c r="CP41" s="110"/>
      <c r="CQ41" s="110"/>
      <c r="CR41" s="110"/>
      <c r="CS41" s="110"/>
      <c r="CT41" s="110"/>
      <c r="CU41" s="110"/>
      <c r="CV41" s="110"/>
      <c r="CW41" s="110"/>
      <c r="CX41" s="110"/>
      <c r="CY41" s="110"/>
      <c r="CZ41" s="110"/>
      <c r="DA41" s="110"/>
      <c r="DB41" s="110"/>
      <c r="DC41" s="110"/>
      <c r="DD41" s="110"/>
      <c r="DE41" s="110">
        <v>10000</v>
      </c>
      <c r="DF41" s="110"/>
      <c r="DG41" s="110"/>
      <c r="DH41" s="110"/>
      <c r="DI41" s="110"/>
      <c r="DJ41" s="110"/>
      <c r="DK41" s="110"/>
      <c r="DL41" s="110"/>
      <c r="DM41" s="110"/>
      <c r="DN41" s="110"/>
      <c r="DO41" s="110"/>
      <c r="DP41" s="110"/>
      <c r="DQ41" s="110"/>
      <c r="DR41" s="110"/>
      <c r="DS41" s="110"/>
      <c r="DT41" s="110"/>
      <c r="DU41" s="110"/>
      <c r="DV41" s="110"/>
      <c r="DW41" s="110"/>
      <c r="DX41" s="110"/>
      <c r="DY41" s="110"/>
      <c r="DZ41" s="110"/>
      <c r="EA41" s="110"/>
      <c r="EB41" s="110"/>
      <c r="EC41" s="110"/>
      <c r="ED41" s="110"/>
      <c r="EE41" s="110"/>
      <c r="EF41" s="110"/>
      <c r="EG41" s="110"/>
      <c r="EH41" s="110"/>
      <c r="EI41" s="110"/>
      <c r="EJ41" s="110"/>
      <c r="EK41" s="110"/>
      <c r="EL41" s="110"/>
      <c r="EM41" s="110"/>
      <c r="EN41" s="110"/>
      <c r="EO41" s="110"/>
      <c r="EP41" s="110"/>
      <c r="EQ41" s="110"/>
      <c r="ER41" s="110"/>
      <c r="ES41" s="110"/>
      <c r="ET41" s="110"/>
      <c r="EU41" s="110"/>
      <c r="EV41" s="110"/>
      <c r="EW41" s="110"/>
      <c r="EX41" s="110"/>
      <c r="EY41" s="110"/>
      <c r="EZ41" s="110"/>
      <c r="FA41" s="110"/>
      <c r="FB41" s="110"/>
      <c r="FC41" s="110"/>
      <c r="FD41" s="110"/>
      <c r="FE41" s="110"/>
      <c r="FF41" s="110"/>
      <c r="FG41" s="110"/>
      <c r="FH41" s="110"/>
      <c r="FI41" s="110"/>
      <c r="FJ41" s="110"/>
      <c r="FK41" s="110"/>
      <c r="FL41" s="110"/>
      <c r="FM41" s="110"/>
      <c r="FN41" s="110"/>
      <c r="FO41" s="110"/>
      <c r="FP41" s="110"/>
      <c r="FQ41" s="110"/>
      <c r="FR41" s="110"/>
      <c r="FS41" s="110"/>
      <c r="FT41" s="110"/>
      <c r="FU41" s="110"/>
      <c r="FV41" s="110"/>
      <c r="FW41" s="110"/>
      <c r="FX41" s="110"/>
      <c r="FY41" s="110"/>
      <c r="FZ41" s="110"/>
      <c r="GA41" s="110"/>
      <c r="GB41" s="110"/>
      <c r="GC41" s="110"/>
      <c r="GD41" s="110"/>
      <c r="GE41" s="110"/>
      <c r="GF41" s="110"/>
      <c r="GG41" s="110"/>
      <c r="GH41" s="110"/>
      <c r="GI41" s="110"/>
      <c r="GJ41" s="110"/>
      <c r="GK41" s="110"/>
      <c r="GL41" s="110"/>
      <c r="GM41" s="110"/>
      <c r="GN41" s="110"/>
      <c r="GO41" s="110"/>
      <c r="GP41" s="110"/>
      <c r="GQ41" s="110"/>
      <c r="GR41" s="110"/>
      <c r="GS41" s="110"/>
      <c r="GT41" s="110"/>
      <c r="GU41" s="110"/>
      <c r="GV41" s="110"/>
      <c r="GW41" s="110"/>
      <c r="GX41" s="110"/>
      <c r="GY41" s="110"/>
      <c r="GZ41" s="110"/>
      <c r="HA41" s="110"/>
      <c r="HB41" s="110"/>
      <c r="HC41" s="110"/>
      <c r="HD41" s="110"/>
      <c r="HE41" s="110"/>
      <c r="HF41" s="110"/>
      <c r="HG41" s="110"/>
      <c r="HH41" s="110"/>
      <c r="HI41" s="110"/>
      <c r="HJ41" s="110"/>
      <c r="HK41" s="110"/>
      <c r="HL41" s="110"/>
      <c r="HM41" s="110"/>
      <c r="HN41" s="110"/>
      <c r="HO41" s="110"/>
      <c r="HP41" s="110"/>
      <c r="HQ41" s="110"/>
      <c r="HR41" s="110"/>
      <c r="HS41" s="110"/>
      <c r="HT41" s="110"/>
      <c r="HU41" s="110"/>
      <c r="HV41" s="110"/>
      <c r="HW41" s="110"/>
      <c r="HX41" s="110"/>
      <c r="HY41" s="110"/>
      <c r="HZ41" s="110"/>
      <c r="IA41" s="110"/>
      <c r="IB41" s="110"/>
      <c r="IC41" s="110"/>
      <c r="ID41" s="110"/>
      <c r="IE41" s="110"/>
      <c r="IF41" s="110"/>
      <c r="IG41" s="110"/>
      <c r="IH41" s="110"/>
      <c r="II41" s="110"/>
      <c r="IJ41" s="110"/>
      <c r="IK41" s="110"/>
      <c r="IL41" s="110"/>
      <c r="IM41" s="110"/>
      <c r="IN41" s="110"/>
      <c r="IO41" s="110"/>
      <c r="IP41" s="110"/>
      <c r="IQ41" s="110"/>
      <c r="IR41" s="110"/>
      <c r="IS41" s="110"/>
      <c r="IT41" s="110"/>
      <c r="IU41" s="110"/>
      <c r="IV41" s="110"/>
      <c r="IW41" s="110"/>
      <c r="IX41" s="110"/>
      <c r="IY41" s="110"/>
      <c r="IZ41" s="110"/>
      <c r="JA41" s="110"/>
      <c r="JB41" s="110"/>
      <c r="JC41" s="110"/>
      <c r="JD41" s="110"/>
      <c r="JE41" s="110"/>
      <c r="JF41" s="110"/>
      <c r="JG41" s="110"/>
      <c r="JH41" s="110"/>
      <c r="JI41" s="107">
        <f t="shared" si="0"/>
        <v>10000</v>
      </c>
      <c r="JJ41" s="2">
        <v>247</v>
      </c>
      <c r="JK41" s="110">
        <v>10000</v>
      </c>
      <c r="JL41" s="112">
        <f t="shared" si="1"/>
        <v>0</v>
      </c>
      <c r="JM41" s="112"/>
      <c r="JN41" s="112"/>
      <c r="JO41" s="112"/>
      <c r="JP41" s="112"/>
    </row>
    <row r="42" spans="1:276" x14ac:dyDescent="0.25">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c r="CP42" s="110"/>
      <c r="CQ42" s="110"/>
      <c r="CR42" s="110"/>
      <c r="CS42" s="110"/>
      <c r="CT42" s="110"/>
      <c r="CU42" s="110"/>
      <c r="CV42" s="110"/>
      <c r="CW42" s="110"/>
      <c r="CX42" s="110"/>
      <c r="CY42" s="110"/>
      <c r="CZ42" s="110"/>
      <c r="DA42" s="110"/>
      <c r="DB42" s="110"/>
      <c r="DC42" s="110"/>
      <c r="DD42" s="110"/>
      <c r="DE42" s="110"/>
      <c r="DF42" s="110"/>
      <c r="DG42" s="110"/>
      <c r="DH42" s="110"/>
      <c r="DI42" s="110"/>
      <c r="DJ42" s="110"/>
      <c r="DK42" s="110"/>
      <c r="DL42" s="110"/>
      <c r="DM42" s="110"/>
      <c r="DN42" s="110"/>
      <c r="DO42" s="110"/>
      <c r="DP42" s="110"/>
      <c r="DQ42" s="110"/>
      <c r="DR42" s="110"/>
      <c r="DS42" s="110"/>
      <c r="DT42" s="110"/>
      <c r="DU42" s="110"/>
      <c r="DV42" s="110"/>
      <c r="DW42" s="110"/>
      <c r="DX42" s="110"/>
      <c r="DY42" s="110"/>
      <c r="DZ42" s="110"/>
      <c r="EA42" s="110"/>
      <c r="EB42" s="110"/>
      <c r="EC42" s="110"/>
      <c r="ED42" s="110"/>
      <c r="EE42" s="110"/>
      <c r="EF42" s="110"/>
      <c r="EG42" s="110"/>
      <c r="EH42" s="110"/>
      <c r="EI42" s="110"/>
      <c r="EJ42" s="110"/>
      <c r="EK42" s="110"/>
      <c r="EL42" s="110"/>
      <c r="EM42" s="110"/>
      <c r="EN42" s="110"/>
      <c r="EO42" s="110"/>
      <c r="EP42" s="110"/>
      <c r="EQ42" s="110"/>
      <c r="ER42" s="110"/>
      <c r="ES42" s="110"/>
      <c r="ET42" s="110"/>
      <c r="EU42" s="110"/>
      <c r="EV42" s="110"/>
      <c r="EW42" s="110"/>
      <c r="EX42" s="110"/>
      <c r="EY42" s="110"/>
      <c r="EZ42" s="110"/>
      <c r="FA42" s="110"/>
      <c r="FB42" s="110"/>
      <c r="FC42" s="110"/>
      <c r="FD42" s="110"/>
      <c r="FE42" s="110"/>
      <c r="FF42" s="110"/>
      <c r="FG42" s="110"/>
      <c r="FH42" s="110"/>
      <c r="FI42" s="110"/>
      <c r="FJ42" s="110"/>
      <c r="FK42" s="110"/>
      <c r="FL42" s="110"/>
      <c r="FM42" s="110"/>
      <c r="FN42" s="110"/>
      <c r="FO42" s="110"/>
      <c r="FP42" s="110"/>
      <c r="FQ42" s="110"/>
      <c r="FR42" s="110"/>
      <c r="FS42" s="110"/>
      <c r="FT42" s="110"/>
      <c r="FU42" s="110"/>
      <c r="FV42" s="110"/>
      <c r="FW42" s="110"/>
      <c r="FX42" s="110"/>
      <c r="FY42" s="110"/>
      <c r="FZ42" s="110"/>
      <c r="GA42" s="110"/>
      <c r="GB42" s="110"/>
      <c r="GC42" s="110"/>
      <c r="GD42" s="110">
        <v>3600</v>
      </c>
      <c r="GE42" s="110"/>
      <c r="GF42" s="110"/>
      <c r="GG42" s="110"/>
      <c r="GH42" s="110"/>
      <c r="GI42" s="110"/>
      <c r="GJ42" s="110"/>
      <c r="GK42" s="110"/>
      <c r="GL42" s="110"/>
      <c r="GM42" s="110"/>
      <c r="GN42" s="110"/>
      <c r="GO42" s="110"/>
      <c r="GP42" s="110"/>
      <c r="GQ42" s="110"/>
      <c r="GR42" s="110"/>
      <c r="GS42" s="110"/>
      <c r="GT42" s="110"/>
      <c r="GU42" s="110"/>
      <c r="GV42" s="110"/>
      <c r="GW42" s="110"/>
      <c r="GX42" s="110"/>
      <c r="GY42" s="110"/>
      <c r="GZ42" s="110"/>
      <c r="HA42" s="110"/>
      <c r="HB42" s="110"/>
      <c r="HC42" s="110"/>
      <c r="HD42" s="110"/>
      <c r="HE42" s="110"/>
      <c r="HF42" s="110"/>
      <c r="HG42" s="110"/>
      <c r="HH42" s="110"/>
      <c r="HI42" s="110"/>
      <c r="HJ42" s="110"/>
      <c r="HK42" s="110"/>
      <c r="HL42" s="110"/>
      <c r="HM42" s="110"/>
      <c r="HN42" s="110"/>
      <c r="HO42" s="110"/>
      <c r="HP42" s="110"/>
      <c r="HQ42" s="110"/>
      <c r="HR42" s="110"/>
      <c r="HS42" s="110"/>
      <c r="HT42" s="110"/>
      <c r="HU42" s="110"/>
      <c r="HV42" s="110"/>
      <c r="HW42" s="110"/>
      <c r="HX42" s="110"/>
      <c r="HY42" s="110"/>
      <c r="HZ42" s="110"/>
      <c r="IA42" s="110"/>
      <c r="IB42" s="110"/>
      <c r="IC42" s="110"/>
      <c r="ID42" s="110"/>
      <c r="IE42" s="110"/>
      <c r="IF42" s="110"/>
      <c r="IG42" s="110"/>
      <c r="IH42" s="110"/>
      <c r="II42" s="110"/>
      <c r="IJ42" s="110"/>
      <c r="IK42" s="110"/>
      <c r="IL42" s="110"/>
      <c r="IM42" s="110"/>
      <c r="IN42" s="110"/>
      <c r="IO42" s="110"/>
      <c r="IP42" s="110"/>
      <c r="IQ42" s="110"/>
      <c r="IR42" s="110"/>
      <c r="IS42" s="110"/>
      <c r="IT42" s="110"/>
      <c r="IU42" s="110"/>
      <c r="IV42" s="110"/>
      <c r="IW42" s="110"/>
      <c r="IX42" s="110"/>
      <c r="IY42" s="110"/>
      <c r="IZ42" s="110"/>
      <c r="JA42" s="110"/>
      <c r="JB42" s="110"/>
      <c r="JC42" s="110"/>
      <c r="JD42" s="110"/>
      <c r="JE42" s="110"/>
      <c r="JF42" s="110"/>
      <c r="JG42" s="110"/>
      <c r="JH42" s="110"/>
      <c r="JI42" s="107">
        <f t="shared" si="0"/>
        <v>3600</v>
      </c>
      <c r="JJ42" s="2">
        <v>37252</v>
      </c>
      <c r="JK42" s="110">
        <v>3600</v>
      </c>
      <c r="JL42" s="112">
        <f t="shared" si="1"/>
        <v>0</v>
      </c>
      <c r="JM42" s="112"/>
      <c r="JN42" s="112"/>
      <c r="JO42" s="112"/>
      <c r="JP42" s="112"/>
    </row>
    <row r="43" spans="1:276" x14ac:dyDescent="0.25">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c r="CG43" s="110"/>
      <c r="CH43" s="110"/>
      <c r="CI43" s="110"/>
      <c r="CJ43" s="110"/>
      <c r="CK43" s="110"/>
      <c r="CL43" s="110"/>
      <c r="CM43" s="110"/>
      <c r="CN43" s="110"/>
      <c r="CO43" s="110"/>
      <c r="CP43" s="110"/>
      <c r="CQ43" s="110"/>
      <c r="CR43" s="110"/>
      <c r="CS43" s="110"/>
      <c r="CT43" s="110"/>
      <c r="CU43" s="110"/>
      <c r="CV43" s="110"/>
      <c r="CW43" s="110"/>
      <c r="CX43" s="110"/>
      <c r="CY43" s="110"/>
      <c r="CZ43" s="110"/>
      <c r="DA43" s="110"/>
      <c r="DB43" s="110"/>
      <c r="DC43" s="110"/>
      <c r="DD43" s="110"/>
      <c r="DE43" s="110"/>
      <c r="DF43" s="110"/>
      <c r="DG43" s="110"/>
      <c r="DH43" s="110"/>
      <c r="DI43" s="110"/>
      <c r="DJ43" s="110"/>
      <c r="DK43" s="110"/>
      <c r="DL43" s="110"/>
      <c r="DM43" s="110"/>
      <c r="DN43" s="110"/>
      <c r="DO43" s="110"/>
      <c r="DP43" s="110"/>
      <c r="DQ43" s="110"/>
      <c r="DR43" s="110"/>
      <c r="DS43" s="110"/>
      <c r="DT43" s="110"/>
      <c r="DU43" s="110"/>
      <c r="DV43" s="110"/>
      <c r="DW43" s="110"/>
      <c r="DX43" s="110"/>
      <c r="DY43" s="110"/>
      <c r="DZ43" s="110"/>
      <c r="EA43" s="110"/>
      <c r="EB43" s="110"/>
      <c r="EC43" s="110"/>
      <c r="ED43" s="110"/>
      <c r="EE43" s="110"/>
      <c r="EF43" s="110"/>
      <c r="EG43" s="110"/>
      <c r="EH43" s="110"/>
      <c r="EI43" s="110"/>
      <c r="EJ43" s="110"/>
      <c r="EK43" s="110"/>
      <c r="EL43" s="110"/>
      <c r="EM43" s="110"/>
      <c r="EN43" s="110"/>
      <c r="EO43" s="110"/>
      <c r="EP43" s="110"/>
      <c r="EQ43" s="110"/>
      <c r="ER43" s="110"/>
      <c r="ES43" s="110"/>
      <c r="ET43" s="110"/>
      <c r="EU43" s="110"/>
      <c r="EV43" s="110"/>
      <c r="EW43" s="110"/>
      <c r="EX43" s="110"/>
      <c r="EY43" s="110"/>
      <c r="EZ43" s="110"/>
      <c r="FA43" s="110"/>
      <c r="FB43" s="110"/>
      <c r="FC43" s="110"/>
      <c r="FD43" s="110"/>
      <c r="FE43" s="110"/>
      <c r="FF43" s="110"/>
      <c r="FG43" s="110"/>
      <c r="FH43" s="110"/>
      <c r="FI43" s="110"/>
      <c r="FJ43" s="110"/>
      <c r="FK43" s="110"/>
      <c r="FL43" s="110"/>
      <c r="FM43" s="110"/>
      <c r="FN43" s="110"/>
      <c r="FO43" s="110"/>
      <c r="FP43" s="110"/>
      <c r="FQ43" s="110"/>
      <c r="FR43" s="110"/>
      <c r="FS43" s="110"/>
      <c r="FT43" s="110"/>
      <c r="FU43" s="110"/>
      <c r="FV43" s="110"/>
      <c r="FW43" s="110"/>
      <c r="FX43" s="110"/>
      <c r="FY43" s="110"/>
      <c r="FZ43" s="110"/>
      <c r="GA43" s="110"/>
      <c r="GB43" s="110"/>
      <c r="GC43" s="110"/>
      <c r="GD43" s="110">
        <v>10000</v>
      </c>
      <c r="GE43" s="110"/>
      <c r="GF43" s="110"/>
      <c r="GG43" s="110"/>
      <c r="GH43" s="110"/>
      <c r="GI43" s="110"/>
      <c r="GJ43" s="110"/>
      <c r="GK43" s="110"/>
      <c r="GL43" s="110"/>
      <c r="GM43" s="110"/>
      <c r="GN43" s="110"/>
      <c r="GO43" s="110"/>
      <c r="GP43" s="110"/>
      <c r="GQ43" s="110"/>
      <c r="GR43" s="110"/>
      <c r="GS43" s="110"/>
      <c r="GT43" s="110"/>
      <c r="GU43" s="110"/>
      <c r="GV43" s="110"/>
      <c r="GW43" s="110"/>
      <c r="GX43" s="110"/>
      <c r="GY43" s="110"/>
      <c r="GZ43" s="110"/>
      <c r="HA43" s="110"/>
      <c r="HB43" s="110"/>
      <c r="HC43" s="110"/>
      <c r="HD43" s="110"/>
      <c r="HE43" s="110"/>
      <c r="HF43" s="110"/>
      <c r="HG43" s="110"/>
      <c r="HH43" s="110"/>
      <c r="HI43" s="110"/>
      <c r="HJ43" s="110"/>
      <c r="HK43" s="110"/>
      <c r="HL43" s="110"/>
      <c r="HM43" s="110"/>
      <c r="HN43" s="110"/>
      <c r="HO43" s="110"/>
      <c r="HP43" s="110"/>
      <c r="HQ43" s="110"/>
      <c r="HR43" s="110"/>
      <c r="HS43" s="110"/>
      <c r="HT43" s="110"/>
      <c r="HU43" s="110"/>
      <c r="HV43" s="110"/>
      <c r="HW43" s="110"/>
      <c r="HX43" s="110"/>
      <c r="HY43" s="110"/>
      <c r="HZ43" s="110"/>
      <c r="IA43" s="110"/>
      <c r="IB43" s="110"/>
      <c r="IC43" s="110"/>
      <c r="ID43" s="110"/>
      <c r="IE43" s="110"/>
      <c r="IF43" s="110"/>
      <c r="IG43" s="110"/>
      <c r="IH43" s="110"/>
      <c r="II43" s="110"/>
      <c r="IJ43" s="110"/>
      <c r="IK43" s="110"/>
      <c r="IL43" s="110"/>
      <c r="IM43" s="110"/>
      <c r="IN43" s="110"/>
      <c r="IO43" s="110"/>
      <c r="IP43" s="110"/>
      <c r="IQ43" s="110"/>
      <c r="IR43" s="110"/>
      <c r="IS43" s="110"/>
      <c r="IT43" s="110"/>
      <c r="IU43" s="110"/>
      <c r="IV43" s="110"/>
      <c r="IW43" s="110"/>
      <c r="IX43" s="110"/>
      <c r="IY43" s="110"/>
      <c r="IZ43" s="110"/>
      <c r="JA43" s="110"/>
      <c r="JB43" s="110"/>
      <c r="JC43" s="110"/>
      <c r="JD43" s="110"/>
      <c r="JE43" s="110"/>
      <c r="JF43" s="110"/>
      <c r="JG43" s="110"/>
      <c r="JH43" s="110"/>
      <c r="JI43" s="107">
        <f t="shared" si="0"/>
        <v>10000</v>
      </c>
      <c r="JJ43" s="2">
        <v>37253</v>
      </c>
      <c r="JK43" s="110">
        <v>10000</v>
      </c>
      <c r="JL43" s="112">
        <f t="shared" si="1"/>
        <v>0</v>
      </c>
      <c r="JM43" s="112"/>
      <c r="JN43" s="112"/>
      <c r="JO43" s="112"/>
      <c r="JP43" s="112"/>
    </row>
    <row r="44" spans="1:276" x14ac:dyDescent="0.25">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c r="CH44" s="110"/>
      <c r="CI44" s="110"/>
      <c r="CJ44" s="110"/>
      <c r="CK44" s="110"/>
      <c r="CL44" s="110"/>
      <c r="CM44" s="110">
        <v>18061.23</v>
      </c>
      <c r="CN44" s="110"/>
      <c r="CO44" s="110"/>
      <c r="CP44" s="110"/>
      <c r="CQ44" s="110"/>
      <c r="CR44" s="110"/>
      <c r="CS44" s="110"/>
      <c r="CT44" s="110"/>
      <c r="CU44" s="110"/>
      <c r="CV44" s="110"/>
      <c r="CW44" s="110"/>
      <c r="CX44" s="110"/>
      <c r="CY44" s="110"/>
      <c r="CZ44" s="110"/>
      <c r="DA44" s="110"/>
      <c r="DB44" s="110"/>
      <c r="DC44" s="110"/>
      <c r="DD44" s="110"/>
      <c r="DE44" s="110"/>
      <c r="DF44" s="110"/>
      <c r="DG44" s="110"/>
      <c r="DH44" s="110"/>
      <c r="DI44" s="110"/>
      <c r="DJ44" s="110"/>
      <c r="DK44" s="110"/>
      <c r="DL44" s="110"/>
      <c r="DM44" s="110"/>
      <c r="DN44" s="110"/>
      <c r="DO44" s="110"/>
      <c r="DP44" s="110"/>
      <c r="DQ44" s="110"/>
      <c r="DR44" s="110"/>
      <c r="DS44" s="110"/>
      <c r="DT44" s="110"/>
      <c r="DU44" s="110"/>
      <c r="DV44" s="110"/>
      <c r="DW44" s="110"/>
      <c r="DX44" s="110"/>
      <c r="DY44" s="110"/>
      <c r="DZ44" s="110"/>
      <c r="EA44" s="110"/>
      <c r="EB44" s="110"/>
      <c r="EC44" s="110"/>
      <c r="ED44" s="110"/>
      <c r="EE44" s="110"/>
      <c r="EF44" s="110"/>
      <c r="EG44" s="110"/>
      <c r="EH44" s="110"/>
      <c r="EI44" s="110"/>
      <c r="EJ44" s="110"/>
      <c r="EK44" s="110"/>
      <c r="EL44" s="110"/>
      <c r="EM44" s="110"/>
      <c r="EN44" s="110"/>
      <c r="EO44" s="110"/>
      <c r="EP44" s="110"/>
      <c r="EQ44" s="110"/>
      <c r="ER44" s="110"/>
      <c r="ES44" s="110"/>
      <c r="ET44" s="110"/>
      <c r="EU44" s="110"/>
      <c r="EV44" s="110"/>
      <c r="EW44" s="110"/>
      <c r="EX44" s="110"/>
      <c r="EY44" s="110"/>
      <c r="EZ44" s="110"/>
      <c r="FA44" s="110"/>
      <c r="FB44" s="110"/>
      <c r="FC44" s="110"/>
      <c r="FD44" s="110"/>
      <c r="FE44" s="110"/>
      <c r="FF44" s="110"/>
      <c r="FG44" s="110"/>
      <c r="FH44" s="110"/>
      <c r="FI44" s="110"/>
      <c r="FJ44" s="110"/>
      <c r="FK44" s="110"/>
      <c r="FL44" s="110"/>
      <c r="FM44" s="110"/>
      <c r="FN44" s="110"/>
      <c r="FO44" s="110"/>
      <c r="FP44" s="110"/>
      <c r="FQ44" s="110"/>
      <c r="FR44" s="110"/>
      <c r="FS44" s="110"/>
      <c r="FT44" s="110"/>
      <c r="FU44" s="110"/>
      <c r="FV44" s="110"/>
      <c r="FW44" s="110"/>
      <c r="FX44" s="110"/>
      <c r="FY44" s="110"/>
      <c r="FZ44" s="110"/>
      <c r="GA44" s="110"/>
      <c r="GB44" s="110"/>
      <c r="GC44" s="110"/>
      <c r="GD44" s="110"/>
      <c r="GE44" s="110"/>
      <c r="GF44" s="110"/>
      <c r="GG44" s="110"/>
      <c r="GH44" s="110"/>
      <c r="GI44" s="110"/>
      <c r="GJ44" s="110"/>
      <c r="GK44" s="110"/>
      <c r="GL44" s="110"/>
      <c r="GM44" s="110"/>
      <c r="GN44" s="110"/>
      <c r="GO44" s="110"/>
      <c r="GP44" s="110"/>
      <c r="GQ44" s="110"/>
      <c r="GR44" s="110"/>
      <c r="GS44" s="110"/>
      <c r="GT44" s="110"/>
      <c r="GU44" s="110"/>
      <c r="GV44" s="110"/>
      <c r="GW44" s="110"/>
      <c r="GX44" s="110"/>
      <c r="GY44" s="110"/>
      <c r="GZ44" s="110"/>
      <c r="HA44" s="110"/>
      <c r="HB44" s="110"/>
      <c r="HC44" s="110"/>
      <c r="HD44" s="110"/>
      <c r="HE44" s="110"/>
      <c r="HF44" s="110"/>
      <c r="HG44" s="110"/>
      <c r="HH44" s="110"/>
      <c r="HI44" s="110"/>
      <c r="HJ44" s="110"/>
      <c r="HK44" s="110"/>
      <c r="HL44" s="110"/>
      <c r="HM44" s="110"/>
      <c r="HN44" s="110"/>
      <c r="HO44" s="110"/>
      <c r="HP44" s="110"/>
      <c r="HQ44" s="110"/>
      <c r="HR44" s="110"/>
      <c r="HS44" s="110"/>
      <c r="HT44" s="110"/>
      <c r="HU44" s="110"/>
      <c r="HV44" s="110"/>
      <c r="HW44" s="110"/>
      <c r="HX44" s="110"/>
      <c r="HY44" s="110"/>
      <c r="HZ44" s="110"/>
      <c r="IA44" s="110"/>
      <c r="IB44" s="110"/>
      <c r="IC44" s="110"/>
      <c r="ID44" s="110"/>
      <c r="IE44" s="110"/>
      <c r="IF44" s="110"/>
      <c r="IG44" s="110"/>
      <c r="IH44" s="110"/>
      <c r="II44" s="110"/>
      <c r="IJ44" s="110"/>
      <c r="IK44" s="110"/>
      <c r="IL44" s="110"/>
      <c r="IM44" s="110"/>
      <c r="IN44" s="110"/>
      <c r="IO44" s="110"/>
      <c r="IP44" s="110"/>
      <c r="IQ44" s="110"/>
      <c r="IR44" s="110"/>
      <c r="IS44" s="110"/>
      <c r="IT44" s="110"/>
      <c r="IU44" s="110"/>
      <c r="IV44" s="110"/>
      <c r="IW44" s="110"/>
      <c r="IX44" s="110"/>
      <c r="IY44" s="110"/>
      <c r="IZ44" s="110"/>
      <c r="JA44" s="110"/>
      <c r="JB44" s="110"/>
      <c r="JC44" s="110"/>
      <c r="JD44" s="110"/>
      <c r="JE44" s="110"/>
      <c r="JF44" s="110"/>
      <c r="JG44" s="110"/>
      <c r="JH44" s="110"/>
      <c r="JI44" s="107">
        <f t="shared" si="0"/>
        <v>18061.23</v>
      </c>
      <c r="JJ44" s="2">
        <v>37254</v>
      </c>
      <c r="JK44" s="110">
        <v>15000</v>
      </c>
      <c r="JL44" s="112">
        <f t="shared" si="1"/>
        <v>3061.2299999999996</v>
      </c>
      <c r="JM44" s="112"/>
      <c r="JN44" s="112"/>
      <c r="JO44" s="112"/>
      <c r="JP44" s="112"/>
    </row>
    <row r="45" spans="1:276" x14ac:dyDescent="0.2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c r="BX45" s="110"/>
      <c r="BY45" s="110"/>
      <c r="BZ45" s="110"/>
      <c r="CA45" s="110"/>
      <c r="CB45" s="110"/>
      <c r="CC45" s="110"/>
      <c r="CD45" s="110"/>
      <c r="CE45" s="110"/>
      <c r="CF45" s="110"/>
      <c r="CG45" s="110"/>
      <c r="CH45" s="110"/>
      <c r="CI45" s="110"/>
      <c r="CJ45" s="110"/>
      <c r="CK45" s="110"/>
      <c r="CL45" s="110"/>
      <c r="CM45" s="110"/>
      <c r="CN45" s="110"/>
      <c r="CO45" s="110"/>
      <c r="CP45" s="110"/>
      <c r="CQ45" s="110"/>
      <c r="CR45" s="110"/>
      <c r="CS45" s="110"/>
      <c r="CT45" s="110"/>
      <c r="CU45" s="110"/>
      <c r="CV45" s="110"/>
      <c r="CW45" s="110"/>
      <c r="CX45" s="110"/>
      <c r="CY45" s="110"/>
      <c r="CZ45" s="110"/>
      <c r="DA45" s="110"/>
      <c r="DB45" s="110"/>
      <c r="DC45" s="110"/>
      <c r="DD45" s="110"/>
      <c r="DE45" s="110"/>
      <c r="DF45" s="110"/>
      <c r="DG45" s="110"/>
      <c r="DH45" s="110"/>
      <c r="DI45" s="110"/>
      <c r="DJ45" s="110"/>
      <c r="DK45" s="110"/>
      <c r="DL45" s="110"/>
      <c r="DM45" s="110"/>
      <c r="DN45" s="110"/>
      <c r="DO45" s="110"/>
      <c r="DP45" s="110"/>
      <c r="DQ45" s="110"/>
      <c r="DR45" s="110"/>
      <c r="DS45" s="110"/>
      <c r="DT45" s="110"/>
      <c r="DU45" s="110"/>
      <c r="DV45" s="110"/>
      <c r="DW45" s="110"/>
      <c r="DX45" s="110"/>
      <c r="DY45" s="110"/>
      <c r="DZ45" s="110"/>
      <c r="EA45" s="110"/>
      <c r="EB45" s="110"/>
      <c r="EC45" s="110"/>
      <c r="ED45" s="110"/>
      <c r="EE45" s="110"/>
      <c r="EF45" s="110"/>
      <c r="EG45" s="110"/>
      <c r="EH45" s="110"/>
      <c r="EI45" s="110"/>
      <c r="EJ45" s="110"/>
      <c r="EK45" s="110"/>
      <c r="EL45" s="110"/>
      <c r="EM45" s="110"/>
      <c r="EN45" s="110"/>
      <c r="EO45" s="110"/>
      <c r="EP45" s="110"/>
      <c r="EQ45" s="110"/>
      <c r="ER45" s="110"/>
      <c r="ES45" s="110"/>
      <c r="ET45" s="110"/>
      <c r="EU45" s="110"/>
      <c r="EV45" s="110"/>
      <c r="EW45" s="110"/>
      <c r="EX45" s="110"/>
      <c r="EY45" s="110"/>
      <c r="EZ45" s="110"/>
      <c r="FA45" s="110"/>
      <c r="FB45" s="110"/>
      <c r="FC45" s="110"/>
      <c r="FD45" s="110"/>
      <c r="FE45" s="110"/>
      <c r="FF45" s="110"/>
      <c r="FG45" s="110"/>
      <c r="FH45" s="110"/>
      <c r="FI45" s="110"/>
      <c r="FJ45" s="110"/>
      <c r="FK45" s="110"/>
      <c r="FL45" s="110"/>
      <c r="FM45" s="110"/>
      <c r="FN45" s="110"/>
      <c r="FO45" s="110"/>
      <c r="FP45" s="110"/>
      <c r="FQ45" s="110"/>
      <c r="FR45" s="110"/>
      <c r="FS45" s="110"/>
      <c r="FT45" s="110"/>
      <c r="FU45" s="110"/>
      <c r="FV45" s="110"/>
      <c r="FW45" s="110"/>
      <c r="FX45" s="110"/>
      <c r="FY45" s="110"/>
      <c r="FZ45" s="110"/>
      <c r="GA45" s="110">
        <v>55105.58</v>
      </c>
      <c r="GB45" s="110"/>
      <c r="GC45" s="110"/>
      <c r="GD45" s="110"/>
      <c r="GE45" s="110"/>
      <c r="GF45" s="110"/>
      <c r="GG45" s="110"/>
      <c r="GH45" s="110"/>
      <c r="GI45" s="110"/>
      <c r="GJ45" s="110"/>
      <c r="GK45" s="110"/>
      <c r="GL45" s="110"/>
      <c r="GM45" s="110"/>
      <c r="GN45" s="110"/>
      <c r="GO45" s="110"/>
      <c r="GP45" s="110"/>
      <c r="GQ45" s="110"/>
      <c r="GR45" s="110"/>
      <c r="GS45" s="110"/>
      <c r="GT45" s="110"/>
      <c r="GU45" s="110"/>
      <c r="GV45" s="110"/>
      <c r="GW45" s="110"/>
      <c r="GX45" s="110"/>
      <c r="GY45" s="110"/>
      <c r="GZ45" s="110"/>
      <c r="HA45" s="110"/>
      <c r="HB45" s="110"/>
      <c r="HC45" s="110"/>
      <c r="HD45" s="110"/>
      <c r="HE45" s="110"/>
      <c r="HF45" s="110"/>
      <c r="HG45" s="110"/>
      <c r="HH45" s="110"/>
      <c r="HI45" s="110"/>
      <c r="HJ45" s="110"/>
      <c r="HK45" s="110"/>
      <c r="HL45" s="110"/>
      <c r="HM45" s="110"/>
      <c r="HN45" s="110"/>
      <c r="HO45" s="110"/>
      <c r="HP45" s="110"/>
      <c r="HQ45" s="110"/>
      <c r="HR45" s="110"/>
      <c r="HS45" s="110"/>
      <c r="HT45" s="110"/>
      <c r="HU45" s="110"/>
      <c r="HV45" s="110"/>
      <c r="HW45" s="110"/>
      <c r="HX45" s="110"/>
      <c r="HY45" s="110"/>
      <c r="HZ45" s="110"/>
      <c r="IA45" s="110"/>
      <c r="IB45" s="110"/>
      <c r="IC45" s="110"/>
      <c r="ID45" s="110"/>
      <c r="IE45" s="110"/>
      <c r="IF45" s="110"/>
      <c r="IG45" s="110"/>
      <c r="IH45" s="110"/>
      <c r="II45" s="110"/>
      <c r="IJ45" s="110"/>
      <c r="IK45" s="110"/>
      <c r="IL45" s="110"/>
      <c r="IM45" s="110"/>
      <c r="IN45" s="110"/>
      <c r="IO45" s="110"/>
      <c r="IP45" s="110"/>
      <c r="IQ45" s="110"/>
      <c r="IR45" s="110"/>
      <c r="IS45" s="110"/>
      <c r="IT45" s="110"/>
      <c r="IU45" s="110"/>
      <c r="IV45" s="110"/>
      <c r="IW45" s="110"/>
      <c r="IX45" s="110"/>
      <c r="IY45" s="110"/>
      <c r="IZ45" s="110"/>
      <c r="JA45" s="110"/>
      <c r="JB45" s="110"/>
      <c r="JC45" s="110"/>
      <c r="JD45" s="110"/>
      <c r="JE45" s="110"/>
      <c r="JF45" s="110"/>
      <c r="JG45" s="110"/>
      <c r="JH45" s="110"/>
      <c r="JI45" s="107">
        <f t="shared" si="0"/>
        <v>55105.58</v>
      </c>
      <c r="JJ45" s="2">
        <v>37255</v>
      </c>
      <c r="JK45" s="110">
        <v>55105.58</v>
      </c>
      <c r="JL45" s="112">
        <f t="shared" si="1"/>
        <v>0</v>
      </c>
      <c r="JM45" s="112"/>
      <c r="JN45" s="112"/>
      <c r="JO45" s="112"/>
      <c r="JP45" s="112"/>
    </row>
    <row r="46" spans="1:276" x14ac:dyDescent="0.25">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v>9632.66</v>
      </c>
      <c r="CM46" s="110"/>
      <c r="CN46" s="110"/>
      <c r="CO46" s="110"/>
      <c r="CP46" s="110"/>
      <c r="CQ46" s="110"/>
      <c r="CR46" s="110"/>
      <c r="CS46" s="110"/>
      <c r="CT46" s="110"/>
      <c r="CU46" s="110"/>
      <c r="CV46" s="110"/>
      <c r="CW46" s="110"/>
      <c r="CX46" s="110"/>
      <c r="CY46" s="110"/>
      <c r="CZ46" s="110"/>
      <c r="DA46" s="110"/>
      <c r="DB46" s="110"/>
      <c r="DC46" s="110"/>
      <c r="DD46" s="110"/>
      <c r="DE46" s="110"/>
      <c r="DF46" s="110"/>
      <c r="DG46" s="110"/>
      <c r="DH46" s="110"/>
      <c r="DI46" s="110"/>
      <c r="DJ46" s="110"/>
      <c r="DK46" s="110"/>
      <c r="DL46" s="110"/>
      <c r="DM46" s="110"/>
      <c r="DN46" s="110"/>
      <c r="DO46" s="110"/>
      <c r="DP46" s="110"/>
      <c r="DQ46" s="110"/>
      <c r="DR46" s="110"/>
      <c r="DS46" s="110"/>
      <c r="DT46" s="110"/>
      <c r="DU46" s="110"/>
      <c r="DV46" s="110"/>
      <c r="DW46" s="110"/>
      <c r="DX46" s="110"/>
      <c r="DY46" s="110"/>
      <c r="DZ46" s="110"/>
      <c r="EA46" s="110"/>
      <c r="EB46" s="110"/>
      <c r="EC46" s="110"/>
      <c r="ED46" s="110"/>
      <c r="EE46" s="110"/>
      <c r="EF46" s="110"/>
      <c r="EG46" s="110"/>
      <c r="EH46" s="110"/>
      <c r="EI46" s="110"/>
      <c r="EJ46" s="110"/>
      <c r="EK46" s="110"/>
      <c r="EL46" s="110"/>
      <c r="EM46" s="110"/>
      <c r="EN46" s="110"/>
      <c r="EO46" s="110"/>
      <c r="EP46" s="110"/>
      <c r="EQ46" s="110"/>
      <c r="ER46" s="110"/>
      <c r="ES46" s="110"/>
      <c r="ET46" s="110"/>
      <c r="EU46" s="110"/>
      <c r="EV46" s="110"/>
      <c r="EW46" s="110"/>
      <c r="EX46" s="110"/>
      <c r="EY46" s="110"/>
      <c r="EZ46" s="110"/>
      <c r="FA46" s="110"/>
      <c r="FB46" s="110"/>
      <c r="FC46" s="110"/>
      <c r="FD46" s="110"/>
      <c r="FE46" s="110"/>
      <c r="FF46" s="110"/>
      <c r="FG46" s="110"/>
      <c r="FH46" s="110"/>
      <c r="FI46" s="110"/>
      <c r="FJ46" s="110"/>
      <c r="FK46" s="110"/>
      <c r="FL46" s="110"/>
      <c r="FM46" s="110"/>
      <c r="FN46" s="110"/>
      <c r="FO46" s="110"/>
      <c r="FP46" s="110"/>
      <c r="FQ46" s="110"/>
      <c r="FR46" s="110"/>
      <c r="FS46" s="110"/>
      <c r="FT46" s="110"/>
      <c r="FU46" s="110"/>
      <c r="FV46" s="110"/>
      <c r="FW46" s="110"/>
      <c r="FX46" s="110"/>
      <c r="FY46" s="110"/>
      <c r="FZ46" s="110"/>
      <c r="GA46" s="110"/>
      <c r="GB46" s="110"/>
      <c r="GC46" s="110"/>
      <c r="GD46" s="110"/>
      <c r="GE46" s="110"/>
      <c r="GF46" s="110"/>
      <c r="GG46" s="110"/>
      <c r="GH46" s="110"/>
      <c r="GI46" s="110"/>
      <c r="GJ46" s="110"/>
      <c r="GK46" s="110"/>
      <c r="GL46" s="110"/>
      <c r="GM46" s="110"/>
      <c r="GN46" s="110"/>
      <c r="GO46" s="110"/>
      <c r="GP46" s="110"/>
      <c r="GQ46" s="110"/>
      <c r="GR46" s="110"/>
      <c r="GS46" s="110"/>
      <c r="GT46" s="110"/>
      <c r="GU46" s="110"/>
      <c r="GV46" s="110"/>
      <c r="GW46" s="110"/>
      <c r="GX46" s="110"/>
      <c r="GY46" s="110"/>
      <c r="GZ46" s="110"/>
      <c r="HA46" s="110"/>
      <c r="HB46" s="110"/>
      <c r="HC46" s="110"/>
      <c r="HD46" s="110"/>
      <c r="HE46" s="110"/>
      <c r="HF46" s="110"/>
      <c r="HG46" s="110"/>
      <c r="HH46" s="110"/>
      <c r="HI46" s="110"/>
      <c r="HJ46" s="110"/>
      <c r="HK46" s="110"/>
      <c r="HL46" s="110"/>
      <c r="HM46" s="110"/>
      <c r="HN46" s="110"/>
      <c r="HO46" s="110"/>
      <c r="HP46" s="110"/>
      <c r="HQ46" s="110"/>
      <c r="HR46" s="110"/>
      <c r="HS46" s="110"/>
      <c r="HT46" s="110"/>
      <c r="HU46" s="110"/>
      <c r="HV46" s="110"/>
      <c r="HW46" s="110"/>
      <c r="HX46" s="110"/>
      <c r="HY46" s="110"/>
      <c r="HZ46" s="110"/>
      <c r="IA46" s="110"/>
      <c r="IB46" s="110"/>
      <c r="IC46" s="110"/>
      <c r="ID46" s="110"/>
      <c r="IE46" s="110"/>
      <c r="IF46" s="110"/>
      <c r="IG46" s="110"/>
      <c r="IH46" s="110"/>
      <c r="II46" s="110"/>
      <c r="IJ46" s="110"/>
      <c r="IK46" s="110"/>
      <c r="IL46" s="110"/>
      <c r="IM46" s="110"/>
      <c r="IN46" s="110"/>
      <c r="IO46" s="110"/>
      <c r="IP46" s="110"/>
      <c r="IQ46" s="110"/>
      <c r="IR46" s="110"/>
      <c r="IS46" s="110"/>
      <c r="IT46" s="110"/>
      <c r="IU46" s="110"/>
      <c r="IV46" s="110"/>
      <c r="IW46" s="110"/>
      <c r="IX46" s="110"/>
      <c r="IY46" s="110"/>
      <c r="IZ46" s="110"/>
      <c r="JA46" s="110"/>
      <c r="JB46" s="110"/>
      <c r="JC46" s="110"/>
      <c r="JD46" s="110"/>
      <c r="JE46" s="110"/>
      <c r="JF46" s="110"/>
      <c r="JG46" s="110"/>
      <c r="JH46" s="110"/>
      <c r="JI46" s="107">
        <f t="shared" si="0"/>
        <v>9632.66</v>
      </c>
      <c r="JJ46" s="2">
        <v>37256</v>
      </c>
      <c r="JK46" s="110">
        <v>8000</v>
      </c>
      <c r="JL46" s="112">
        <f t="shared" si="1"/>
        <v>1632.6599999999999</v>
      </c>
      <c r="JM46" s="112"/>
      <c r="JN46" s="112"/>
      <c r="JO46" s="112"/>
      <c r="JP46" s="112"/>
    </row>
    <row r="47" spans="1:276" x14ac:dyDescent="0.25">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v>12402.05</v>
      </c>
      <c r="CM47" s="110"/>
      <c r="CN47" s="110"/>
      <c r="CO47" s="110"/>
      <c r="CP47" s="110"/>
      <c r="CQ47" s="110"/>
      <c r="CR47" s="110"/>
      <c r="CS47" s="110"/>
      <c r="CT47" s="110"/>
      <c r="CU47" s="110"/>
      <c r="CV47" s="110"/>
      <c r="CW47" s="110"/>
      <c r="CX47" s="110"/>
      <c r="CY47" s="110"/>
      <c r="CZ47" s="110"/>
      <c r="DA47" s="110"/>
      <c r="DB47" s="110"/>
      <c r="DC47" s="110"/>
      <c r="DD47" s="110"/>
      <c r="DE47" s="110"/>
      <c r="DF47" s="110"/>
      <c r="DG47" s="110"/>
      <c r="DH47" s="110"/>
      <c r="DI47" s="110"/>
      <c r="DJ47" s="110"/>
      <c r="DK47" s="110"/>
      <c r="DL47" s="110"/>
      <c r="DM47" s="110"/>
      <c r="DN47" s="110"/>
      <c r="DO47" s="110"/>
      <c r="DP47" s="110"/>
      <c r="DQ47" s="110"/>
      <c r="DR47" s="110"/>
      <c r="DS47" s="110"/>
      <c r="DT47" s="110"/>
      <c r="DU47" s="110"/>
      <c r="DV47" s="110"/>
      <c r="DW47" s="110"/>
      <c r="DX47" s="110"/>
      <c r="DY47" s="110"/>
      <c r="DZ47" s="110"/>
      <c r="EA47" s="110"/>
      <c r="EB47" s="110"/>
      <c r="EC47" s="110"/>
      <c r="ED47" s="110"/>
      <c r="EE47" s="110"/>
      <c r="EF47" s="110"/>
      <c r="EG47" s="110"/>
      <c r="EH47" s="110"/>
      <c r="EI47" s="110"/>
      <c r="EJ47" s="110"/>
      <c r="EK47" s="110"/>
      <c r="EL47" s="110"/>
      <c r="EM47" s="110"/>
      <c r="EN47" s="110"/>
      <c r="EO47" s="110"/>
      <c r="EP47" s="110"/>
      <c r="EQ47" s="110"/>
      <c r="ER47" s="110"/>
      <c r="ES47" s="110"/>
      <c r="ET47" s="110"/>
      <c r="EU47" s="110"/>
      <c r="EV47" s="110"/>
      <c r="EW47" s="110"/>
      <c r="EX47" s="110"/>
      <c r="EY47" s="110"/>
      <c r="EZ47" s="110"/>
      <c r="FA47" s="110"/>
      <c r="FB47" s="110"/>
      <c r="FC47" s="110"/>
      <c r="FD47" s="110"/>
      <c r="FE47" s="110"/>
      <c r="FF47" s="110"/>
      <c r="FG47" s="110"/>
      <c r="FH47" s="110"/>
      <c r="FI47" s="110"/>
      <c r="FJ47" s="110"/>
      <c r="FK47" s="110"/>
      <c r="FL47" s="110"/>
      <c r="FM47" s="110"/>
      <c r="FN47" s="110"/>
      <c r="FO47" s="110"/>
      <c r="FP47" s="110"/>
      <c r="FQ47" s="110"/>
      <c r="FR47" s="110"/>
      <c r="FS47" s="110"/>
      <c r="FT47" s="110"/>
      <c r="FU47" s="110"/>
      <c r="FV47" s="110"/>
      <c r="FW47" s="110"/>
      <c r="FX47" s="110"/>
      <c r="FY47" s="110"/>
      <c r="FZ47" s="110"/>
      <c r="GA47" s="110"/>
      <c r="GB47" s="110"/>
      <c r="GC47" s="110"/>
      <c r="GD47" s="110"/>
      <c r="GE47" s="110"/>
      <c r="GF47" s="110"/>
      <c r="GG47" s="110"/>
      <c r="GH47" s="110"/>
      <c r="GI47" s="110"/>
      <c r="GJ47" s="110"/>
      <c r="GK47" s="110"/>
      <c r="GL47" s="110"/>
      <c r="GM47" s="110"/>
      <c r="GN47" s="110"/>
      <c r="GO47" s="110"/>
      <c r="GP47" s="110"/>
      <c r="GQ47" s="110"/>
      <c r="GR47" s="110"/>
      <c r="GS47" s="110"/>
      <c r="GT47" s="110"/>
      <c r="GU47" s="110"/>
      <c r="GV47" s="110"/>
      <c r="GW47" s="110"/>
      <c r="GX47" s="110"/>
      <c r="GY47" s="110"/>
      <c r="GZ47" s="110"/>
      <c r="HA47" s="110"/>
      <c r="HB47" s="110"/>
      <c r="HC47" s="110"/>
      <c r="HD47" s="110"/>
      <c r="HE47" s="110"/>
      <c r="HF47" s="110"/>
      <c r="HG47" s="110"/>
      <c r="HH47" s="110"/>
      <c r="HI47" s="110"/>
      <c r="HJ47" s="110"/>
      <c r="HK47" s="110"/>
      <c r="HL47" s="110"/>
      <c r="HM47" s="110"/>
      <c r="HN47" s="110"/>
      <c r="HO47" s="110"/>
      <c r="HP47" s="110"/>
      <c r="HQ47" s="110"/>
      <c r="HR47" s="110"/>
      <c r="HS47" s="110"/>
      <c r="HT47" s="110"/>
      <c r="HU47" s="110"/>
      <c r="HV47" s="110"/>
      <c r="HW47" s="110"/>
      <c r="HX47" s="110"/>
      <c r="HY47" s="110"/>
      <c r="HZ47" s="110"/>
      <c r="IA47" s="110"/>
      <c r="IB47" s="110"/>
      <c r="IC47" s="110"/>
      <c r="ID47" s="110"/>
      <c r="IE47" s="110"/>
      <c r="IF47" s="110"/>
      <c r="IG47" s="110"/>
      <c r="IH47" s="110"/>
      <c r="II47" s="110"/>
      <c r="IJ47" s="110"/>
      <c r="IK47" s="110"/>
      <c r="IL47" s="110"/>
      <c r="IM47" s="110"/>
      <c r="IN47" s="110"/>
      <c r="IO47" s="110"/>
      <c r="IP47" s="110"/>
      <c r="IQ47" s="110"/>
      <c r="IR47" s="110"/>
      <c r="IS47" s="110"/>
      <c r="IT47" s="110"/>
      <c r="IU47" s="110"/>
      <c r="IV47" s="110"/>
      <c r="IW47" s="110"/>
      <c r="IX47" s="110"/>
      <c r="IY47" s="110"/>
      <c r="IZ47" s="110"/>
      <c r="JA47" s="110"/>
      <c r="JB47" s="110"/>
      <c r="JC47" s="110"/>
      <c r="JD47" s="110"/>
      <c r="JE47" s="110"/>
      <c r="JF47" s="110"/>
      <c r="JG47" s="110"/>
      <c r="JH47" s="110"/>
      <c r="JI47" s="107">
        <f t="shared" si="0"/>
        <v>12402.05</v>
      </c>
      <c r="JJ47" s="2">
        <v>37257</v>
      </c>
      <c r="JK47" s="110">
        <v>10300</v>
      </c>
      <c r="JL47" s="112">
        <f t="shared" si="1"/>
        <v>2102.0499999999993</v>
      </c>
      <c r="JM47" s="112"/>
      <c r="JN47" s="112"/>
      <c r="JO47" s="112"/>
      <c r="JP47" s="112"/>
    </row>
    <row r="48" spans="1:276" x14ac:dyDescent="0.25">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v>36122.6</v>
      </c>
      <c r="CE48" s="110"/>
      <c r="CF48" s="110"/>
      <c r="CG48" s="110"/>
      <c r="CH48" s="110"/>
      <c r="CI48" s="110"/>
      <c r="CJ48" s="110"/>
      <c r="CK48" s="110"/>
      <c r="CL48" s="110"/>
      <c r="CM48" s="110"/>
      <c r="CN48" s="110"/>
      <c r="CO48" s="110"/>
      <c r="CP48" s="110"/>
      <c r="CQ48" s="110"/>
      <c r="CR48" s="110"/>
      <c r="CS48" s="110"/>
      <c r="CT48" s="110"/>
      <c r="CU48" s="110"/>
      <c r="CV48" s="110"/>
      <c r="CW48" s="110"/>
      <c r="CX48" s="110"/>
      <c r="CY48" s="110"/>
      <c r="CZ48" s="110"/>
      <c r="DA48" s="110"/>
      <c r="DB48" s="110"/>
      <c r="DC48" s="110"/>
      <c r="DD48" s="110"/>
      <c r="DE48" s="110"/>
      <c r="DF48" s="110"/>
      <c r="DG48" s="110"/>
      <c r="DH48" s="110"/>
      <c r="DI48" s="110"/>
      <c r="DJ48" s="110"/>
      <c r="DK48" s="110"/>
      <c r="DL48" s="110"/>
      <c r="DM48" s="110"/>
      <c r="DN48" s="110"/>
      <c r="DO48" s="110"/>
      <c r="DP48" s="110"/>
      <c r="DQ48" s="110"/>
      <c r="DR48" s="110"/>
      <c r="DS48" s="110"/>
      <c r="DT48" s="110"/>
      <c r="DU48" s="110"/>
      <c r="DV48" s="110"/>
      <c r="DW48" s="110"/>
      <c r="DX48" s="110"/>
      <c r="DY48" s="110"/>
      <c r="DZ48" s="110"/>
      <c r="EA48" s="110"/>
      <c r="EB48" s="110"/>
      <c r="EC48" s="110"/>
      <c r="ED48" s="110"/>
      <c r="EE48" s="110"/>
      <c r="EF48" s="110"/>
      <c r="EG48" s="110"/>
      <c r="EH48" s="110"/>
      <c r="EI48" s="110"/>
      <c r="EJ48" s="110"/>
      <c r="EK48" s="110"/>
      <c r="EL48" s="110"/>
      <c r="EM48" s="110"/>
      <c r="EN48" s="110"/>
      <c r="EO48" s="110"/>
      <c r="EP48" s="110"/>
      <c r="EQ48" s="110"/>
      <c r="ER48" s="110"/>
      <c r="ES48" s="110"/>
      <c r="ET48" s="110"/>
      <c r="EU48" s="110"/>
      <c r="EV48" s="110"/>
      <c r="EW48" s="110"/>
      <c r="EX48" s="110"/>
      <c r="EY48" s="110"/>
      <c r="EZ48" s="110"/>
      <c r="FA48" s="110"/>
      <c r="FB48" s="110"/>
      <c r="FC48" s="110"/>
      <c r="FD48" s="110"/>
      <c r="FE48" s="110"/>
      <c r="FF48" s="110"/>
      <c r="FG48" s="110"/>
      <c r="FH48" s="110"/>
      <c r="FI48" s="110"/>
      <c r="FJ48" s="110"/>
      <c r="FK48" s="110"/>
      <c r="FL48" s="110"/>
      <c r="FM48" s="110"/>
      <c r="FN48" s="110"/>
      <c r="FO48" s="110"/>
      <c r="FP48" s="110"/>
      <c r="FQ48" s="110"/>
      <c r="FR48" s="110"/>
      <c r="FS48" s="110"/>
      <c r="FT48" s="110"/>
      <c r="FU48" s="110"/>
      <c r="FV48" s="110"/>
      <c r="FW48" s="110"/>
      <c r="FX48" s="110"/>
      <c r="FY48" s="110"/>
      <c r="FZ48" s="110"/>
      <c r="GA48" s="110"/>
      <c r="GB48" s="110"/>
      <c r="GC48" s="110"/>
      <c r="GD48" s="110"/>
      <c r="GE48" s="110"/>
      <c r="GF48" s="110"/>
      <c r="GG48" s="110"/>
      <c r="GH48" s="110"/>
      <c r="GI48" s="110"/>
      <c r="GJ48" s="110"/>
      <c r="GK48" s="110"/>
      <c r="GL48" s="110"/>
      <c r="GM48" s="110"/>
      <c r="GN48" s="110"/>
      <c r="GO48" s="110"/>
      <c r="GP48" s="110"/>
      <c r="GQ48" s="110"/>
      <c r="GR48" s="110"/>
      <c r="GS48" s="110"/>
      <c r="GT48" s="110"/>
      <c r="GU48" s="110"/>
      <c r="GV48" s="110"/>
      <c r="GW48" s="110"/>
      <c r="GX48" s="110"/>
      <c r="GY48" s="110"/>
      <c r="GZ48" s="110"/>
      <c r="HA48" s="110"/>
      <c r="HB48" s="110"/>
      <c r="HC48" s="110"/>
      <c r="HD48" s="110"/>
      <c r="HE48" s="110"/>
      <c r="HF48" s="110"/>
      <c r="HG48" s="110"/>
      <c r="HH48" s="110"/>
      <c r="HI48" s="110"/>
      <c r="HJ48" s="110"/>
      <c r="HK48" s="110"/>
      <c r="HL48" s="110"/>
      <c r="HM48" s="110"/>
      <c r="HN48" s="110"/>
      <c r="HO48" s="110"/>
      <c r="HP48" s="110"/>
      <c r="HQ48" s="110"/>
      <c r="HR48" s="110"/>
      <c r="HS48" s="110"/>
      <c r="HT48" s="110"/>
      <c r="HU48" s="110"/>
      <c r="HV48" s="110"/>
      <c r="HW48" s="110"/>
      <c r="HX48" s="110"/>
      <c r="HY48" s="110"/>
      <c r="HZ48" s="110"/>
      <c r="IA48" s="110"/>
      <c r="IB48" s="110"/>
      <c r="IC48" s="110"/>
      <c r="ID48" s="110"/>
      <c r="IE48" s="110"/>
      <c r="IF48" s="110"/>
      <c r="IG48" s="110"/>
      <c r="IH48" s="110"/>
      <c r="II48" s="110"/>
      <c r="IJ48" s="110"/>
      <c r="IK48" s="110"/>
      <c r="IL48" s="110"/>
      <c r="IM48" s="110"/>
      <c r="IN48" s="110"/>
      <c r="IO48" s="110"/>
      <c r="IP48" s="110"/>
      <c r="IQ48" s="110"/>
      <c r="IR48" s="110"/>
      <c r="IS48" s="110"/>
      <c r="IT48" s="110"/>
      <c r="IU48" s="110"/>
      <c r="IV48" s="110"/>
      <c r="IW48" s="110"/>
      <c r="IX48" s="110"/>
      <c r="IY48" s="110"/>
      <c r="IZ48" s="110"/>
      <c r="JA48" s="110"/>
      <c r="JB48" s="110"/>
      <c r="JC48" s="110"/>
      <c r="JD48" s="110"/>
      <c r="JE48" s="110"/>
      <c r="JF48" s="110"/>
      <c r="JG48" s="110"/>
      <c r="JH48" s="110"/>
      <c r="JI48" s="107">
        <f t="shared" si="0"/>
        <v>36122.6</v>
      </c>
      <c r="JJ48" s="2">
        <v>37258</v>
      </c>
      <c r="JK48" s="110">
        <v>30000.01</v>
      </c>
      <c r="JL48" s="112">
        <f t="shared" si="1"/>
        <v>6122.59</v>
      </c>
      <c r="JM48" s="112"/>
      <c r="JN48" s="112"/>
      <c r="JO48" s="112"/>
      <c r="JP48" s="112"/>
    </row>
    <row r="49" spans="1:276 1141:1141" x14ac:dyDescent="0.25">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v>8428.57</v>
      </c>
      <c r="CE49" s="110"/>
      <c r="CF49" s="110"/>
      <c r="CG49" s="110"/>
      <c r="CH49" s="110"/>
      <c r="CI49" s="110"/>
      <c r="CJ49" s="110"/>
      <c r="CK49" s="110"/>
      <c r="CL49" s="110"/>
      <c r="CM49" s="110"/>
      <c r="CN49" s="110"/>
      <c r="CO49" s="110"/>
      <c r="CP49" s="110"/>
      <c r="CQ49" s="110"/>
      <c r="CR49" s="110"/>
      <c r="CS49" s="110"/>
      <c r="CT49" s="110"/>
      <c r="CU49" s="110"/>
      <c r="CV49" s="110"/>
      <c r="CW49" s="110"/>
      <c r="CX49" s="110"/>
      <c r="CY49" s="110"/>
      <c r="CZ49" s="110"/>
      <c r="DA49" s="110"/>
      <c r="DB49" s="110"/>
      <c r="DC49" s="110"/>
      <c r="DD49" s="110"/>
      <c r="DE49" s="110"/>
      <c r="DF49" s="110"/>
      <c r="DG49" s="110"/>
      <c r="DH49" s="110"/>
      <c r="DI49" s="110"/>
      <c r="DJ49" s="110"/>
      <c r="DK49" s="110"/>
      <c r="DL49" s="110"/>
      <c r="DM49" s="110"/>
      <c r="DN49" s="110"/>
      <c r="DO49" s="110"/>
      <c r="DP49" s="110"/>
      <c r="DQ49" s="110"/>
      <c r="DR49" s="110"/>
      <c r="DS49" s="110"/>
      <c r="DT49" s="110"/>
      <c r="DU49" s="110"/>
      <c r="DV49" s="110"/>
      <c r="DW49" s="110"/>
      <c r="DX49" s="110"/>
      <c r="DY49" s="110"/>
      <c r="DZ49" s="110"/>
      <c r="EA49" s="110"/>
      <c r="EB49" s="110"/>
      <c r="EC49" s="110"/>
      <c r="ED49" s="110"/>
      <c r="EE49" s="110"/>
      <c r="EF49" s="110"/>
      <c r="EG49" s="110"/>
      <c r="EH49" s="110"/>
      <c r="EI49" s="110"/>
      <c r="EJ49" s="110"/>
      <c r="EK49" s="110"/>
      <c r="EL49" s="110"/>
      <c r="EM49" s="110"/>
      <c r="EN49" s="110"/>
      <c r="EO49" s="110"/>
      <c r="EP49" s="110"/>
      <c r="EQ49" s="110"/>
      <c r="ER49" s="110"/>
      <c r="ES49" s="110"/>
      <c r="ET49" s="110"/>
      <c r="EU49" s="110"/>
      <c r="EV49" s="110"/>
      <c r="EW49" s="110"/>
      <c r="EX49" s="110"/>
      <c r="EY49" s="110"/>
      <c r="EZ49" s="110"/>
      <c r="FA49" s="110"/>
      <c r="FB49" s="110"/>
      <c r="FC49" s="110"/>
      <c r="FD49" s="110"/>
      <c r="FE49" s="110"/>
      <c r="FF49" s="110"/>
      <c r="FG49" s="110"/>
      <c r="FH49" s="110"/>
      <c r="FI49" s="110"/>
      <c r="FJ49" s="110"/>
      <c r="FK49" s="110"/>
      <c r="FL49" s="110"/>
      <c r="FM49" s="110"/>
      <c r="FN49" s="110"/>
      <c r="FO49" s="110"/>
      <c r="FP49" s="110"/>
      <c r="FQ49" s="110"/>
      <c r="FR49" s="110"/>
      <c r="FS49" s="110"/>
      <c r="FT49" s="110"/>
      <c r="FU49" s="110"/>
      <c r="FV49" s="110"/>
      <c r="FW49" s="110"/>
      <c r="FX49" s="110"/>
      <c r="FY49" s="110"/>
      <c r="FZ49" s="110"/>
      <c r="GA49" s="110"/>
      <c r="GB49" s="110"/>
      <c r="GC49" s="110"/>
      <c r="GD49" s="110"/>
      <c r="GE49" s="110"/>
      <c r="GF49" s="110"/>
      <c r="GG49" s="110"/>
      <c r="GH49" s="110"/>
      <c r="GI49" s="110"/>
      <c r="GJ49" s="110"/>
      <c r="GK49" s="110"/>
      <c r="GL49" s="110"/>
      <c r="GM49" s="110"/>
      <c r="GN49" s="110"/>
      <c r="GO49" s="110"/>
      <c r="GP49" s="110"/>
      <c r="GQ49" s="110"/>
      <c r="GR49" s="110"/>
      <c r="GS49" s="110"/>
      <c r="GT49" s="110"/>
      <c r="GU49" s="110"/>
      <c r="GV49" s="110"/>
      <c r="GW49" s="110"/>
      <c r="GX49" s="110"/>
      <c r="GY49" s="110"/>
      <c r="GZ49" s="110"/>
      <c r="HA49" s="110"/>
      <c r="HB49" s="110"/>
      <c r="HC49" s="110"/>
      <c r="HD49" s="110"/>
      <c r="HE49" s="110"/>
      <c r="HF49" s="110"/>
      <c r="HG49" s="110"/>
      <c r="HH49" s="110"/>
      <c r="HI49" s="110"/>
      <c r="HJ49" s="110"/>
      <c r="HK49" s="110"/>
      <c r="HL49" s="110"/>
      <c r="HM49" s="110"/>
      <c r="HN49" s="110"/>
      <c r="HO49" s="110"/>
      <c r="HP49" s="110"/>
      <c r="HQ49" s="110"/>
      <c r="HR49" s="110"/>
      <c r="HS49" s="110"/>
      <c r="HT49" s="110"/>
      <c r="HU49" s="110"/>
      <c r="HV49" s="110"/>
      <c r="HW49" s="110"/>
      <c r="HX49" s="110"/>
      <c r="HY49" s="110"/>
      <c r="HZ49" s="110"/>
      <c r="IA49" s="110"/>
      <c r="IB49" s="110"/>
      <c r="IC49" s="110"/>
      <c r="ID49" s="110"/>
      <c r="IE49" s="110"/>
      <c r="IF49" s="110"/>
      <c r="IG49" s="110"/>
      <c r="IH49" s="110"/>
      <c r="II49" s="110"/>
      <c r="IJ49" s="110"/>
      <c r="IK49" s="110"/>
      <c r="IL49" s="110"/>
      <c r="IM49" s="110"/>
      <c r="IN49" s="110"/>
      <c r="IO49" s="110"/>
      <c r="IP49" s="110"/>
      <c r="IQ49" s="110"/>
      <c r="IR49" s="110"/>
      <c r="IS49" s="110"/>
      <c r="IT49" s="110"/>
      <c r="IU49" s="110"/>
      <c r="IV49" s="110"/>
      <c r="IW49" s="110"/>
      <c r="IX49" s="110"/>
      <c r="IY49" s="110"/>
      <c r="IZ49" s="110"/>
      <c r="JA49" s="110"/>
      <c r="JB49" s="110"/>
      <c r="JC49" s="110"/>
      <c r="JD49" s="110"/>
      <c r="JE49" s="110"/>
      <c r="JF49" s="110"/>
      <c r="JG49" s="110"/>
      <c r="JH49" s="110"/>
      <c r="JI49" s="107">
        <f t="shared" si="0"/>
        <v>8428.57</v>
      </c>
      <c r="JJ49" s="2">
        <v>37259</v>
      </c>
      <c r="JK49" s="110">
        <v>7000</v>
      </c>
      <c r="JL49" s="112">
        <f t="shared" si="1"/>
        <v>1428.5699999999997</v>
      </c>
      <c r="JM49" s="112"/>
      <c r="JN49" s="112"/>
      <c r="JO49" s="112"/>
      <c r="JP49" s="112"/>
    </row>
    <row r="50" spans="1:276 1141:1141" x14ac:dyDescent="0.25">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v>22877.56</v>
      </c>
      <c r="CB50" s="110"/>
      <c r="CC50" s="110"/>
      <c r="CD50" s="110"/>
      <c r="CE50" s="110"/>
      <c r="CF50" s="110"/>
      <c r="CG50" s="110"/>
      <c r="CH50" s="110"/>
      <c r="CI50" s="110"/>
      <c r="CJ50" s="110"/>
      <c r="CK50" s="110"/>
      <c r="CL50" s="110"/>
      <c r="CM50" s="110"/>
      <c r="CN50" s="110"/>
      <c r="CO50" s="110"/>
      <c r="CP50" s="110"/>
      <c r="CQ50" s="110"/>
      <c r="CR50" s="110"/>
      <c r="CS50" s="110"/>
      <c r="CT50" s="110"/>
      <c r="CU50" s="110"/>
      <c r="CV50" s="110"/>
      <c r="CW50" s="110"/>
      <c r="CX50" s="110"/>
      <c r="CY50" s="110"/>
      <c r="CZ50" s="110"/>
      <c r="DA50" s="110"/>
      <c r="DB50" s="110"/>
      <c r="DC50" s="110"/>
      <c r="DD50" s="110"/>
      <c r="DE50" s="110"/>
      <c r="DF50" s="110"/>
      <c r="DG50" s="110"/>
      <c r="DH50" s="110"/>
      <c r="DI50" s="110"/>
      <c r="DJ50" s="110"/>
      <c r="DK50" s="110"/>
      <c r="DL50" s="110"/>
      <c r="DM50" s="110"/>
      <c r="DN50" s="110"/>
      <c r="DO50" s="110"/>
      <c r="DP50" s="110"/>
      <c r="DQ50" s="110"/>
      <c r="DR50" s="110"/>
      <c r="DS50" s="110"/>
      <c r="DT50" s="110"/>
      <c r="DU50" s="110"/>
      <c r="DV50" s="110"/>
      <c r="DW50" s="110"/>
      <c r="DX50" s="110"/>
      <c r="DY50" s="110"/>
      <c r="DZ50" s="110"/>
      <c r="EA50" s="110"/>
      <c r="EB50" s="110"/>
      <c r="EC50" s="110"/>
      <c r="ED50" s="110"/>
      <c r="EE50" s="110"/>
      <c r="EF50" s="110"/>
      <c r="EG50" s="110"/>
      <c r="EH50" s="110"/>
      <c r="EI50" s="110"/>
      <c r="EJ50" s="110"/>
      <c r="EK50" s="110"/>
      <c r="EL50" s="110"/>
      <c r="EM50" s="110"/>
      <c r="EN50" s="110"/>
      <c r="EO50" s="110"/>
      <c r="EP50" s="110"/>
      <c r="EQ50" s="110"/>
      <c r="ER50" s="110"/>
      <c r="ES50" s="110"/>
      <c r="ET50" s="110"/>
      <c r="EU50" s="110"/>
      <c r="EV50" s="110"/>
      <c r="EW50" s="110"/>
      <c r="EX50" s="110"/>
      <c r="EY50" s="110"/>
      <c r="EZ50" s="110"/>
      <c r="FA50" s="110"/>
      <c r="FB50" s="110"/>
      <c r="FC50" s="110"/>
      <c r="FD50" s="110"/>
      <c r="FE50" s="110"/>
      <c r="FF50" s="110"/>
      <c r="FG50" s="110"/>
      <c r="FH50" s="110"/>
      <c r="FI50" s="110"/>
      <c r="FJ50" s="110"/>
      <c r="FK50" s="110"/>
      <c r="FL50" s="110"/>
      <c r="FM50" s="110"/>
      <c r="FN50" s="110"/>
      <c r="FO50" s="110"/>
      <c r="FP50" s="110"/>
      <c r="FQ50" s="110"/>
      <c r="FR50" s="110"/>
      <c r="FS50" s="110"/>
      <c r="FT50" s="110"/>
      <c r="FU50" s="110"/>
      <c r="FV50" s="110"/>
      <c r="FW50" s="110"/>
      <c r="FX50" s="110"/>
      <c r="FY50" s="110"/>
      <c r="FZ50" s="110"/>
      <c r="GA50" s="110"/>
      <c r="GB50" s="110"/>
      <c r="GC50" s="110"/>
      <c r="GD50" s="110"/>
      <c r="GE50" s="110"/>
      <c r="GF50" s="110"/>
      <c r="GG50" s="110"/>
      <c r="GH50" s="110"/>
      <c r="GI50" s="110"/>
      <c r="GJ50" s="110"/>
      <c r="GK50" s="110"/>
      <c r="GL50" s="110"/>
      <c r="GM50" s="110"/>
      <c r="GN50" s="110"/>
      <c r="GO50" s="110"/>
      <c r="GP50" s="110"/>
      <c r="GQ50" s="110"/>
      <c r="GR50" s="110"/>
      <c r="GS50" s="110"/>
      <c r="GT50" s="110"/>
      <c r="GU50" s="110"/>
      <c r="GV50" s="110"/>
      <c r="GW50" s="110"/>
      <c r="GX50" s="110"/>
      <c r="GY50" s="110"/>
      <c r="GZ50" s="110"/>
      <c r="HA50" s="110"/>
      <c r="HB50" s="110"/>
      <c r="HC50" s="110"/>
      <c r="HD50" s="110"/>
      <c r="HE50" s="110"/>
      <c r="HF50" s="110"/>
      <c r="HG50" s="110"/>
      <c r="HH50" s="110"/>
      <c r="HI50" s="110"/>
      <c r="HJ50" s="110"/>
      <c r="HK50" s="110"/>
      <c r="HL50" s="110"/>
      <c r="HM50" s="110"/>
      <c r="HN50" s="110"/>
      <c r="HO50" s="110"/>
      <c r="HP50" s="110"/>
      <c r="HQ50" s="110"/>
      <c r="HR50" s="110"/>
      <c r="HS50" s="110"/>
      <c r="HT50" s="110"/>
      <c r="HU50" s="110"/>
      <c r="HV50" s="110"/>
      <c r="HW50" s="110"/>
      <c r="HX50" s="110"/>
      <c r="HY50" s="110"/>
      <c r="HZ50" s="110"/>
      <c r="IA50" s="110"/>
      <c r="IB50" s="110"/>
      <c r="IC50" s="110"/>
      <c r="ID50" s="110"/>
      <c r="IE50" s="110"/>
      <c r="IF50" s="110"/>
      <c r="IG50" s="110"/>
      <c r="IH50" s="110"/>
      <c r="II50" s="110"/>
      <c r="IJ50" s="110"/>
      <c r="IK50" s="110"/>
      <c r="IL50" s="110"/>
      <c r="IM50" s="110"/>
      <c r="IN50" s="110"/>
      <c r="IO50" s="110"/>
      <c r="IP50" s="110"/>
      <c r="IQ50" s="110"/>
      <c r="IR50" s="110"/>
      <c r="IS50" s="110"/>
      <c r="IT50" s="110"/>
      <c r="IU50" s="110"/>
      <c r="IV50" s="110"/>
      <c r="IW50" s="110"/>
      <c r="IX50" s="110"/>
      <c r="IY50" s="110"/>
      <c r="IZ50" s="110"/>
      <c r="JA50" s="110"/>
      <c r="JB50" s="110"/>
      <c r="JC50" s="110"/>
      <c r="JD50" s="110"/>
      <c r="JE50" s="110"/>
      <c r="JF50" s="110"/>
      <c r="JG50" s="110"/>
      <c r="JH50" s="110"/>
      <c r="JI50" s="107">
        <f t="shared" si="0"/>
        <v>22877.56</v>
      </c>
      <c r="JJ50" s="2">
        <v>37260</v>
      </c>
      <c r="JK50" s="110">
        <v>19000</v>
      </c>
      <c r="JL50" s="112">
        <f t="shared" si="1"/>
        <v>3877.5600000000013</v>
      </c>
      <c r="JM50" s="112"/>
      <c r="JN50" s="112"/>
      <c r="JO50" s="112"/>
      <c r="JP50" s="112"/>
    </row>
    <row r="51" spans="1:276 1141:1141" x14ac:dyDescent="0.25">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110"/>
      <c r="CG51" s="110"/>
      <c r="CH51" s="110"/>
      <c r="CI51" s="110"/>
      <c r="CJ51" s="110"/>
      <c r="CK51" s="110"/>
      <c r="CL51" s="110"/>
      <c r="CM51" s="110"/>
      <c r="CN51" s="110"/>
      <c r="CO51" s="110"/>
      <c r="CP51" s="110"/>
      <c r="CQ51" s="110"/>
      <c r="CR51" s="110"/>
      <c r="CS51" s="110"/>
      <c r="CT51" s="110"/>
      <c r="CU51" s="110"/>
      <c r="CV51" s="110"/>
      <c r="CW51" s="110"/>
      <c r="CX51" s="110"/>
      <c r="CY51" s="110"/>
      <c r="CZ51" s="110"/>
      <c r="DA51" s="110"/>
      <c r="DB51" s="110"/>
      <c r="DC51" s="110"/>
      <c r="DD51" s="110"/>
      <c r="DE51" s="110"/>
      <c r="DF51" s="110"/>
      <c r="DG51" s="110"/>
      <c r="DH51" s="110"/>
      <c r="DI51" s="110"/>
      <c r="DJ51" s="110"/>
      <c r="DK51" s="110"/>
      <c r="DL51" s="110"/>
      <c r="DM51" s="110"/>
      <c r="DN51" s="110"/>
      <c r="DO51" s="110"/>
      <c r="DP51" s="110"/>
      <c r="DQ51" s="110"/>
      <c r="DR51" s="110"/>
      <c r="DS51" s="110"/>
      <c r="DT51" s="110"/>
      <c r="DU51" s="110"/>
      <c r="DV51" s="110"/>
      <c r="DW51" s="110"/>
      <c r="DX51" s="110"/>
      <c r="DY51" s="110"/>
      <c r="DZ51" s="110"/>
      <c r="EA51" s="110"/>
      <c r="EB51" s="110"/>
      <c r="EC51" s="110"/>
      <c r="ED51" s="110"/>
      <c r="EE51" s="110"/>
      <c r="EF51" s="110"/>
      <c r="EG51" s="110"/>
      <c r="EH51" s="110"/>
      <c r="EI51" s="110"/>
      <c r="EJ51" s="110"/>
      <c r="EK51" s="110"/>
      <c r="EL51" s="110"/>
      <c r="EM51" s="110"/>
      <c r="EN51" s="110"/>
      <c r="EO51" s="110"/>
      <c r="EP51" s="110"/>
      <c r="EQ51" s="110"/>
      <c r="ER51" s="110"/>
      <c r="ES51" s="110"/>
      <c r="ET51" s="110"/>
      <c r="EU51" s="110"/>
      <c r="EV51" s="110"/>
      <c r="EW51" s="110"/>
      <c r="EX51" s="110"/>
      <c r="EY51" s="110"/>
      <c r="EZ51" s="110"/>
      <c r="FA51" s="110"/>
      <c r="FB51" s="110"/>
      <c r="FC51" s="110"/>
      <c r="FD51" s="110"/>
      <c r="FE51" s="110"/>
      <c r="FF51" s="110"/>
      <c r="FG51" s="110"/>
      <c r="FH51" s="110"/>
      <c r="FI51" s="110"/>
      <c r="FJ51" s="110"/>
      <c r="FK51" s="110"/>
      <c r="FL51" s="110"/>
      <c r="FM51" s="110"/>
      <c r="FN51" s="110"/>
      <c r="FO51" s="110"/>
      <c r="FP51" s="110"/>
      <c r="FQ51" s="110"/>
      <c r="FR51" s="110"/>
      <c r="FS51" s="110"/>
      <c r="FT51" s="110"/>
      <c r="FU51" s="110"/>
      <c r="FV51" s="110"/>
      <c r="FW51" s="110"/>
      <c r="FX51" s="110"/>
      <c r="FY51" s="110"/>
      <c r="FZ51" s="110"/>
      <c r="GA51" s="110"/>
      <c r="GB51" s="110"/>
      <c r="GC51" s="110"/>
      <c r="GD51" s="110"/>
      <c r="GE51" s="110"/>
      <c r="GF51" s="110"/>
      <c r="GG51" s="110"/>
      <c r="GH51" s="110"/>
      <c r="GI51" s="110"/>
      <c r="GJ51" s="110"/>
      <c r="GK51" s="110"/>
      <c r="GL51" s="110"/>
      <c r="GM51" s="110"/>
      <c r="GN51" s="110"/>
      <c r="GO51" s="110"/>
      <c r="GP51" s="110"/>
      <c r="GQ51" s="110"/>
      <c r="GR51" s="110"/>
      <c r="GS51" s="110"/>
      <c r="GT51" s="110"/>
      <c r="GU51" s="110"/>
      <c r="GV51" s="110"/>
      <c r="GW51" s="110"/>
      <c r="GX51" s="110"/>
      <c r="GY51" s="110"/>
      <c r="GZ51" s="110"/>
      <c r="HA51" s="110"/>
      <c r="HB51" s="110"/>
      <c r="HC51" s="110"/>
      <c r="HD51" s="110"/>
      <c r="HE51" s="110"/>
      <c r="HF51" s="110"/>
      <c r="HG51" s="110"/>
      <c r="HH51" s="110"/>
      <c r="HI51" s="110"/>
      <c r="HJ51" s="110"/>
      <c r="HK51" s="110"/>
      <c r="HL51" s="110"/>
      <c r="HM51" s="110"/>
      <c r="HN51" s="110"/>
      <c r="HO51" s="110"/>
      <c r="HP51" s="110"/>
      <c r="HQ51" s="110"/>
      <c r="HR51" s="110"/>
      <c r="HS51" s="110"/>
      <c r="HT51" s="110"/>
      <c r="HU51" s="110"/>
      <c r="HV51" s="110"/>
      <c r="HW51" s="110"/>
      <c r="HX51" s="110"/>
      <c r="HY51" s="110"/>
      <c r="HZ51" s="110"/>
      <c r="IA51" s="110"/>
      <c r="IB51" s="110"/>
      <c r="IC51" s="110"/>
      <c r="ID51" s="110"/>
      <c r="IE51" s="110"/>
      <c r="IF51" s="110"/>
      <c r="IG51" s="110"/>
      <c r="IH51" s="110"/>
      <c r="II51" s="110"/>
      <c r="IJ51" s="110"/>
      <c r="IK51" s="110"/>
      <c r="IL51" s="110"/>
      <c r="IM51" s="110"/>
      <c r="IN51" s="110"/>
      <c r="IO51" s="110"/>
      <c r="IP51" s="110"/>
      <c r="IQ51" s="110"/>
      <c r="IR51" s="110"/>
      <c r="IS51" s="110"/>
      <c r="IT51" s="110"/>
      <c r="IU51" s="110"/>
      <c r="IV51" s="110"/>
      <c r="IW51" s="110"/>
      <c r="IX51" s="110"/>
      <c r="IY51" s="110"/>
      <c r="IZ51" s="110"/>
      <c r="JA51" s="110"/>
      <c r="JB51" s="110"/>
      <c r="JC51" s="110"/>
      <c r="JD51" s="110"/>
      <c r="JE51" s="110"/>
      <c r="JF51" s="110"/>
      <c r="JG51" s="110"/>
      <c r="JH51" s="110"/>
      <c r="JI51" s="107">
        <f t="shared" si="0"/>
        <v>0</v>
      </c>
      <c r="JJ51" s="2">
        <v>37261</v>
      </c>
      <c r="JK51" s="110"/>
      <c r="JL51" s="112">
        <f t="shared" si="1"/>
        <v>0</v>
      </c>
      <c r="JM51" s="112"/>
      <c r="JN51" s="112"/>
      <c r="JO51" s="112"/>
      <c r="JP51" s="112"/>
    </row>
    <row r="52" spans="1:276 1141:1141" x14ac:dyDescent="0.25">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c r="CH52" s="110"/>
      <c r="CI52" s="110"/>
      <c r="CJ52" s="110"/>
      <c r="CK52" s="110"/>
      <c r="CL52" s="110"/>
      <c r="CM52" s="110"/>
      <c r="CN52" s="110"/>
      <c r="CO52" s="110"/>
      <c r="CP52" s="110"/>
      <c r="CQ52" s="110"/>
      <c r="CR52" s="110"/>
      <c r="CS52" s="110"/>
      <c r="CT52" s="110"/>
      <c r="CU52" s="110"/>
      <c r="CV52" s="110"/>
      <c r="CW52" s="110"/>
      <c r="CX52" s="110"/>
      <c r="CY52" s="110"/>
      <c r="CZ52" s="110"/>
      <c r="DA52" s="110"/>
      <c r="DB52" s="110"/>
      <c r="DC52" s="110"/>
      <c r="DD52" s="110"/>
      <c r="DE52" s="110">
        <v>21000</v>
      </c>
      <c r="DF52" s="110"/>
      <c r="DG52" s="110"/>
      <c r="DH52" s="110"/>
      <c r="DI52" s="110"/>
      <c r="DJ52" s="110"/>
      <c r="DK52" s="110"/>
      <c r="DL52" s="110"/>
      <c r="DM52" s="110"/>
      <c r="DN52" s="110"/>
      <c r="DO52" s="110"/>
      <c r="DP52" s="110"/>
      <c r="DQ52" s="110"/>
      <c r="DR52" s="110"/>
      <c r="DS52" s="110"/>
      <c r="DT52" s="110"/>
      <c r="DU52" s="110"/>
      <c r="DV52" s="110"/>
      <c r="DW52" s="110"/>
      <c r="DX52" s="110"/>
      <c r="DY52" s="110"/>
      <c r="DZ52" s="110"/>
      <c r="EA52" s="110"/>
      <c r="EB52" s="110"/>
      <c r="EC52" s="110"/>
      <c r="ED52" s="110"/>
      <c r="EE52" s="110"/>
      <c r="EF52" s="110"/>
      <c r="EG52" s="110"/>
      <c r="EH52" s="110"/>
      <c r="EI52" s="110"/>
      <c r="EJ52" s="110"/>
      <c r="EK52" s="110"/>
      <c r="EL52" s="110"/>
      <c r="EM52" s="110"/>
      <c r="EN52" s="110"/>
      <c r="EO52" s="110"/>
      <c r="EP52" s="110"/>
      <c r="EQ52" s="110"/>
      <c r="ER52" s="110"/>
      <c r="ES52" s="110"/>
      <c r="ET52" s="110"/>
      <c r="EU52" s="110"/>
      <c r="EV52" s="110"/>
      <c r="EW52" s="110"/>
      <c r="EX52" s="110"/>
      <c r="EY52" s="110"/>
      <c r="EZ52" s="110"/>
      <c r="FA52" s="110"/>
      <c r="FB52" s="110"/>
      <c r="FC52" s="110"/>
      <c r="FD52" s="110"/>
      <c r="FE52" s="110"/>
      <c r="FF52" s="110"/>
      <c r="FG52" s="110"/>
      <c r="FH52" s="110"/>
      <c r="FI52" s="110"/>
      <c r="FJ52" s="110"/>
      <c r="FK52" s="110"/>
      <c r="FL52" s="110"/>
      <c r="FM52" s="110"/>
      <c r="FN52" s="110"/>
      <c r="FO52" s="110"/>
      <c r="FP52" s="110"/>
      <c r="FQ52" s="110"/>
      <c r="FR52" s="110"/>
      <c r="FS52" s="110"/>
      <c r="FT52" s="110"/>
      <c r="FU52" s="110"/>
      <c r="FV52" s="110"/>
      <c r="FW52" s="110"/>
      <c r="FX52" s="110"/>
      <c r="FY52" s="110"/>
      <c r="FZ52" s="110"/>
      <c r="GA52" s="110"/>
      <c r="GB52" s="110"/>
      <c r="GC52" s="110"/>
      <c r="GD52" s="110"/>
      <c r="GE52" s="110"/>
      <c r="GF52" s="110"/>
      <c r="GG52" s="110"/>
      <c r="GH52" s="110"/>
      <c r="GI52" s="110"/>
      <c r="GJ52" s="110"/>
      <c r="GK52" s="110"/>
      <c r="GL52" s="110"/>
      <c r="GM52" s="110"/>
      <c r="GN52" s="110"/>
      <c r="GO52" s="110"/>
      <c r="GP52" s="110"/>
      <c r="GQ52" s="110"/>
      <c r="GR52" s="110"/>
      <c r="GS52" s="110"/>
      <c r="GT52" s="110"/>
      <c r="GU52" s="110"/>
      <c r="GV52" s="110"/>
      <c r="GW52" s="110"/>
      <c r="GX52" s="110"/>
      <c r="GY52" s="110"/>
      <c r="GZ52" s="110"/>
      <c r="HA52" s="110"/>
      <c r="HB52" s="110"/>
      <c r="HC52" s="110"/>
      <c r="HD52" s="110"/>
      <c r="HE52" s="110"/>
      <c r="HF52" s="110"/>
      <c r="HG52" s="110"/>
      <c r="HH52" s="110"/>
      <c r="HI52" s="110"/>
      <c r="HJ52" s="110"/>
      <c r="HK52" s="110"/>
      <c r="HL52" s="110"/>
      <c r="HM52" s="110"/>
      <c r="HN52" s="110"/>
      <c r="HO52" s="110"/>
      <c r="HP52" s="110"/>
      <c r="HQ52" s="110"/>
      <c r="HR52" s="110"/>
      <c r="HS52" s="110"/>
      <c r="HT52" s="110"/>
      <c r="HU52" s="110"/>
      <c r="HV52" s="110"/>
      <c r="HW52" s="110"/>
      <c r="HX52" s="110"/>
      <c r="HY52" s="110"/>
      <c r="HZ52" s="110"/>
      <c r="IA52" s="110"/>
      <c r="IB52" s="110"/>
      <c r="IC52" s="110"/>
      <c r="ID52" s="110"/>
      <c r="IE52" s="110"/>
      <c r="IF52" s="110"/>
      <c r="IG52" s="110"/>
      <c r="IH52" s="110"/>
      <c r="II52" s="110"/>
      <c r="IJ52" s="110"/>
      <c r="IK52" s="110"/>
      <c r="IL52" s="110"/>
      <c r="IM52" s="110"/>
      <c r="IN52" s="110"/>
      <c r="IO52" s="110"/>
      <c r="IP52" s="110"/>
      <c r="IQ52" s="110"/>
      <c r="IR52" s="110"/>
      <c r="IS52" s="110"/>
      <c r="IT52" s="110"/>
      <c r="IU52" s="110"/>
      <c r="IV52" s="110"/>
      <c r="IW52" s="110"/>
      <c r="IX52" s="110"/>
      <c r="IY52" s="110"/>
      <c r="IZ52" s="110"/>
      <c r="JA52" s="110"/>
      <c r="JB52" s="110"/>
      <c r="JC52" s="110"/>
      <c r="JD52" s="110"/>
      <c r="JE52" s="110"/>
      <c r="JF52" s="110"/>
      <c r="JG52" s="110"/>
      <c r="JH52" s="110"/>
      <c r="JI52" s="107">
        <f t="shared" si="0"/>
        <v>21000</v>
      </c>
      <c r="JJ52" s="2">
        <v>37262</v>
      </c>
      <c r="JK52" s="110">
        <v>21000</v>
      </c>
      <c r="JL52" s="112">
        <f t="shared" si="1"/>
        <v>0</v>
      </c>
      <c r="JM52" s="112"/>
      <c r="JN52" s="112"/>
      <c r="JO52" s="112"/>
      <c r="JP52" s="112"/>
    </row>
    <row r="53" spans="1:276 1141:1141" x14ac:dyDescent="0.25">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v>18061.22</v>
      </c>
      <c r="CB53" s="110"/>
      <c r="CC53" s="110"/>
      <c r="CD53" s="110"/>
      <c r="CE53" s="110"/>
      <c r="CF53" s="110"/>
      <c r="CG53" s="110"/>
      <c r="CH53" s="110"/>
      <c r="CI53" s="110"/>
      <c r="CJ53" s="110"/>
      <c r="CK53" s="110"/>
      <c r="CL53" s="110"/>
      <c r="CM53" s="110"/>
      <c r="CN53" s="110"/>
      <c r="CO53" s="110"/>
      <c r="CP53" s="110"/>
      <c r="CQ53" s="110"/>
      <c r="CR53" s="110"/>
      <c r="CS53" s="110"/>
      <c r="CT53" s="110"/>
      <c r="CU53" s="110"/>
      <c r="CV53" s="110"/>
      <c r="CW53" s="110"/>
      <c r="CX53" s="110"/>
      <c r="CY53" s="110"/>
      <c r="CZ53" s="110"/>
      <c r="DA53" s="110"/>
      <c r="DB53" s="110"/>
      <c r="DC53" s="110"/>
      <c r="DD53" s="110"/>
      <c r="DE53" s="110"/>
      <c r="DF53" s="110"/>
      <c r="DG53" s="110"/>
      <c r="DH53" s="110"/>
      <c r="DI53" s="110"/>
      <c r="DJ53" s="110"/>
      <c r="DK53" s="110"/>
      <c r="DL53" s="110"/>
      <c r="DM53" s="110"/>
      <c r="DN53" s="110"/>
      <c r="DO53" s="110"/>
      <c r="DP53" s="110"/>
      <c r="DQ53" s="110"/>
      <c r="DR53" s="110"/>
      <c r="DS53" s="110"/>
      <c r="DT53" s="110"/>
      <c r="DU53" s="110"/>
      <c r="DV53" s="110"/>
      <c r="DW53" s="110"/>
      <c r="DX53" s="110"/>
      <c r="DY53" s="110"/>
      <c r="DZ53" s="110"/>
      <c r="EA53" s="110"/>
      <c r="EB53" s="110"/>
      <c r="EC53" s="110"/>
      <c r="ED53" s="110"/>
      <c r="EE53" s="110"/>
      <c r="EF53" s="110"/>
      <c r="EG53" s="110"/>
      <c r="EH53" s="110"/>
      <c r="EI53" s="110"/>
      <c r="EJ53" s="110"/>
      <c r="EK53" s="110"/>
      <c r="EL53" s="110"/>
      <c r="EM53" s="110"/>
      <c r="EN53" s="110"/>
      <c r="EO53" s="110"/>
      <c r="EP53" s="110"/>
      <c r="EQ53" s="110"/>
      <c r="ER53" s="110"/>
      <c r="ES53" s="110"/>
      <c r="ET53" s="110"/>
      <c r="EU53" s="110"/>
      <c r="EV53" s="110"/>
      <c r="EW53" s="110"/>
      <c r="EX53" s="110"/>
      <c r="EY53" s="110"/>
      <c r="EZ53" s="110"/>
      <c r="FA53" s="110"/>
      <c r="FB53" s="110"/>
      <c r="FC53" s="110"/>
      <c r="FD53" s="110"/>
      <c r="FE53" s="110"/>
      <c r="FF53" s="110"/>
      <c r="FG53" s="110"/>
      <c r="FH53" s="110"/>
      <c r="FI53" s="110"/>
      <c r="FJ53" s="110"/>
      <c r="FK53" s="110"/>
      <c r="FL53" s="110"/>
      <c r="FM53" s="110"/>
      <c r="FN53" s="110"/>
      <c r="FO53" s="110"/>
      <c r="FP53" s="110"/>
      <c r="FQ53" s="110"/>
      <c r="FR53" s="110"/>
      <c r="FS53" s="110"/>
      <c r="FT53" s="110"/>
      <c r="FU53" s="110"/>
      <c r="FV53" s="110"/>
      <c r="FW53" s="110"/>
      <c r="FX53" s="110"/>
      <c r="FY53" s="110"/>
      <c r="FZ53" s="110"/>
      <c r="GA53" s="110"/>
      <c r="GB53" s="110"/>
      <c r="GC53" s="110"/>
      <c r="GD53" s="110"/>
      <c r="GE53" s="110"/>
      <c r="GF53" s="110"/>
      <c r="GG53" s="110"/>
      <c r="GH53" s="110"/>
      <c r="GI53" s="110"/>
      <c r="GJ53" s="110"/>
      <c r="GK53" s="110"/>
      <c r="GL53" s="110"/>
      <c r="GM53" s="110"/>
      <c r="GN53" s="110"/>
      <c r="GO53" s="110"/>
      <c r="GP53" s="110"/>
      <c r="GQ53" s="110"/>
      <c r="GR53" s="110"/>
      <c r="GS53" s="110"/>
      <c r="GT53" s="110"/>
      <c r="GU53" s="110"/>
      <c r="GV53" s="110"/>
      <c r="GW53" s="110"/>
      <c r="GX53" s="110"/>
      <c r="GY53" s="110"/>
      <c r="GZ53" s="110"/>
      <c r="HA53" s="110"/>
      <c r="HB53" s="110"/>
      <c r="HC53" s="110"/>
      <c r="HD53" s="110"/>
      <c r="HE53" s="110"/>
      <c r="HF53" s="110"/>
      <c r="HG53" s="110"/>
      <c r="HH53" s="110"/>
      <c r="HI53" s="110"/>
      <c r="HJ53" s="110"/>
      <c r="HK53" s="110"/>
      <c r="HL53" s="110"/>
      <c r="HM53" s="110"/>
      <c r="HN53" s="110"/>
      <c r="HO53" s="110"/>
      <c r="HP53" s="110"/>
      <c r="HQ53" s="110"/>
      <c r="HR53" s="110"/>
      <c r="HS53" s="110"/>
      <c r="HT53" s="110"/>
      <c r="HU53" s="110"/>
      <c r="HV53" s="110"/>
      <c r="HW53" s="110"/>
      <c r="HX53" s="110"/>
      <c r="HY53" s="110"/>
      <c r="HZ53" s="110"/>
      <c r="IA53" s="110"/>
      <c r="IB53" s="110"/>
      <c r="IC53" s="110"/>
      <c r="ID53" s="110"/>
      <c r="IE53" s="110"/>
      <c r="IF53" s="110"/>
      <c r="IG53" s="110"/>
      <c r="IH53" s="110"/>
      <c r="II53" s="110"/>
      <c r="IJ53" s="110"/>
      <c r="IK53" s="110"/>
      <c r="IL53" s="110"/>
      <c r="IM53" s="110"/>
      <c r="IN53" s="110"/>
      <c r="IO53" s="110"/>
      <c r="IP53" s="110"/>
      <c r="IQ53" s="110"/>
      <c r="IR53" s="110"/>
      <c r="IS53" s="110"/>
      <c r="IT53" s="110"/>
      <c r="IU53" s="110"/>
      <c r="IV53" s="110"/>
      <c r="IW53" s="110"/>
      <c r="IX53" s="110"/>
      <c r="IY53" s="110"/>
      <c r="IZ53" s="110"/>
      <c r="JA53" s="110"/>
      <c r="JB53" s="110"/>
      <c r="JC53" s="110"/>
      <c r="JD53" s="110"/>
      <c r="JE53" s="110"/>
      <c r="JF53" s="110"/>
      <c r="JG53" s="110"/>
      <c r="JH53" s="110"/>
      <c r="JI53" s="107">
        <f t="shared" si="0"/>
        <v>18061.22</v>
      </c>
      <c r="JJ53" s="2">
        <v>37263</v>
      </c>
      <c r="JK53" s="110">
        <v>15000</v>
      </c>
      <c r="JL53" s="112">
        <f t="shared" si="1"/>
        <v>3061.2200000000012</v>
      </c>
      <c r="JM53" s="112"/>
      <c r="JN53" s="112"/>
      <c r="JO53" s="112"/>
      <c r="JP53" s="112"/>
    </row>
    <row r="54" spans="1:276 1141:1141" x14ac:dyDescent="0.25">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v>21673.47</v>
      </c>
      <c r="CB54" s="110"/>
      <c r="CC54" s="110"/>
      <c r="CD54" s="110"/>
      <c r="CE54" s="110"/>
      <c r="CF54" s="110"/>
      <c r="CG54" s="110"/>
      <c r="CH54" s="110"/>
      <c r="CI54" s="110"/>
      <c r="CJ54" s="110"/>
      <c r="CK54" s="110"/>
      <c r="CL54" s="110"/>
      <c r="CM54" s="110"/>
      <c r="CN54" s="110"/>
      <c r="CO54" s="110"/>
      <c r="CP54" s="110"/>
      <c r="CQ54" s="110"/>
      <c r="CR54" s="110"/>
      <c r="CS54" s="110"/>
      <c r="CT54" s="110"/>
      <c r="CU54" s="110"/>
      <c r="CV54" s="110"/>
      <c r="CW54" s="110"/>
      <c r="CX54" s="110"/>
      <c r="CY54" s="110"/>
      <c r="CZ54" s="110"/>
      <c r="DA54" s="110"/>
      <c r="DB54" s="110"/>
      <c r="DC54" s="110"/>
      <c r="DD54" s="110"/>
      <c r="DE54" s="110"/>
      <c r="DF54" s="110"/>
      <c r="DG54" s="110"/>
      <c r="DH54" s="110"/>
      <c r="DI54" s="110"/>
      <c r="DJ54" s="110"/>
      <c r="DK54" s="110"/>
      <c r="DL54" s="110"/>
      <c r="DM54" s="110"/>
      <c r="DN54" s="110"/>
      <c r="DO54" s="110"/>
      <c r="DP54" s="110"/>
      <c r="DQ54" s="110"/>
      <c r="DR54" s="110"/>
      <c r="DS54" s="110"/>
      <c r="DT54" s="110"/>
      <c r="DU54" s="110"/>
      <c r="DV54" s="110"/>
      <c r="DW54" s="110"/>
      <c r="DX54" s="110"/>
      <c r="DY54" s="110"/>
      <c r="DZ54" s="110"/>
      <c r="EA54" s="110"/>
      <c r="EB54" s="110"/>
      <c r="EC54" s="110"/>
      <c r="ED54" s="110"/>
      <c r="EE54" s="110"/>
      <c r="EF54" s="110"/>
      <c r="EG54" s="110"/>
      <c r="EH54" s="110"/>
      <c r="EI54" s="110"/>
      <c r="EJ54" s="110"/>
      <c r="EK54" s="110"/>
      <c r="EL54" s="110"/>
      <c r="EM54" s="110"/>
      <c r="EN54" s="110"/>
      <c r="EO54" s="110"/>
      <c r="EP54" s="110"/>
      <c r="EQ54" s="110"/>
      <c r="ER54" s="110"/>
      <c r="ES54" s="110"/>
      <c r="ET54" s="110"/>
      <c r="EU54" s="110"/>
      <c r="EV54" s="110"/>
      <c r="EW54" s="110"/>
      <c r="EX54" s="110"/>
      <c r="EY54" s="110"/>
      <c r="EZ54" s="110"/>
      <c r="FA54" s="110"/>
      <c r="FB54" s="110"/>
      <c r="FC54" s="110"/>
      <c r="FD54" s="110"/>
      <c r="FE54" s="110"/>
      <c r="FF54" s="110"/>
      <c r="FG54" s="110"/>
      <c r="FH54" s="110"/>
      <c r="FI54" s="110"/>
      <c r="FJ54" s="110"/>
      <c r="FK54" s="110"/>
      <c r="FL54" s="110"/>
      <c r="FM54" s="110"/>
      <c r="FN54" s="110"/>
      <c r="FO54" s="110"/>
      <c r="FP54" s="110"/>
      <c r="FQ54" s="110"/>
      <c r="FR54" s="110"/>
      <c r="FS54" s="110"/>
      <c r="FT54" s="110"/>
      <c r="FU54" s="110"/>
      <c r="FV54" s="110"/>
      <c r="FW54" s="110"/>
      <c r="FX54" s="110"/>
      <c r="FY54" s="110"/>
      <c r="FZ54" s="110"/>
      <c r="GA54" s="110"/>
      <c r="GB54" s="110"/>
      <c r="GC54" s="110"/>
      <c r="GD54" s="110"/>
      <c r="GE54" s="110"/>
      <c r="GF54" s="110"/>
      <c r="GG54" s="110"/>
      <c r="GH54" s="110"/>
      <c r="GI54" s="110"/>
      <c r="GJ54" s="110"/>
      <c r="GK54" s="110"/>
      <c r="GL54" s="110"/>
      <c r="GM54" s="110"/>
      <c r="GN54" s="110"/>
      <c r="GO54" s="110"/>
      <c r="GP54" s="110"/>
      <c r="GQ54" s="110"/>
      <c r="GR54" s="110"/>
      <c r="GS54" s="110"/>
      <c r="GT54" s="110"/>
      <c r="GU54" s="110"/>
      <c r="GV54" s="110"/>
      <c r="GW54" s="110"/>
      <c r="GX54" s="110"/>
      <c r="GY54" s="110"/>
      <c r="GZ54" s="110"/>
      <c r="HA54" s="110"/>
      <c r="HB54" s="110"/>
      <c r="HC54" s="110"/>
      <c r="HD54" s="110"/>
      <c r="HE54" s="110"/>
      <c r="HF54" s="110"/>
      <c r="HG54" s="110"/>
      <c r="HH54" s="110"/>
      <c r="HI54" s="110"/>
      <c r="HJ54" s="110"/>
      <c r="HK54" s="110"/>
      <c r="HL54" s="110"/>
      <c r="HM54" s="110"/>
      <c r="HN54" s="110"/>
      <c r="HO54" s="110"/>
      <c r="HP54" s="110"/>
      <c r="HQ54" s="110"/>
      <c r="HR54" s="110"/>
      <c r="HS54" s="110"/>
      <c r="HT54" s="110"/>
      <c r="HU54" s="110"/>
      <c r="HV54" s="110"/>
      <c r="HW54" s="110"/>
      <c r="HX54" s="110"/>
      <c r="HY54" s="110"/>
      <c r="HZ54" s="110"/>
      <c r="IA54" s="110"/>
      <c r="IB54" s="110"/>
      <c r="IC54" s="110"/>
      <c r="ID54" s="110"/>
      <c r="IE54" s="110"/>
      <c r="IF54" s="110"/>
      <c r="IG54" s="110"/>
      <c r="IH54" s="110"/>
      <c r="II54" s="110"/>
      <c r="IJ54" s="110"/>
      <c r="IK54" s="110"/>
      <c r="IL54" s="110"/>
      <c r="IM54" s="110"/>
      <c r="IN54" s="110"/>
      <c r="IO54" s="110"/>
      <c r="IP54" s="110"/>
      <c r="IQ54" s="110"/>
      <c r="IR54" s="110"/>
      <c r="IS54" s="110"/>
      <c r="IT54" s="110"/>
      <c r="IU54" s="110"/>
      <c r="IV54" s="110"/>
      <c r="IW54" s="110"/>
      <c r="IX54" s="110"/>
      <c r="IY54" s="110"/>
      <c r="IZ54" s="110"/>
      <c r="JA54" s="110"/>
      <c r="JB54" s="110"/>
      <c r="JC54" s="110"/>
      <c r="JD54" s="110"/>
      <c r="JE54" s="110"/>
      <c r="JF54" s="110"/>
      <c r="JG54" s="110"/>
      <c r="JH54" s="110"/>
      <c r="JI54" s="107">
        <f t="shared" si="0"/>
        <v>21673.47</v>
      </c>
      <c r="JJ54" s="2">
        <v>37264</v>
      </c>
      <c r="JK54" s="110">
        <v>18000.009999999998</v>
      </c>
      <c r="JL54" s="112">
        <f t="shared" si="1"/>
        <v>3673.4600000000028</v>
      </c>
      <c r="JM54" s="112"/>
      <c r="JN54" s="112"/>
      <c r="JO54" s="112"/>
      <c r="JP54" s="112"/>
    </row>
    <row r="55" spans="1:276 1141:1141" x14ac:dyDescent="0.2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v>18061.22</v>
      </c>
      <c r="CB55" s="110"/>
      <c r="CC55" s="110"/>
      <c r="CD55" s="110"/>
      <c r="CE55" s="110"/>
      <c r="CF55" s="110"/>
      <c r="CG55" s="110"/>
      <c r="CH55" s="110"/>
      <c r="CI55" s="110"/>
      <c r="CJ55" s="110"/>
      <c r="CK55" s="110"/>
      <c r="CL55" s="110"/>
      <c r="CM55" s="110"/>
      <c r="CN55" s="110"/>
      <c r="CO55" s="110"/>
      <c r="CP55" s="110"/>
      <c r="CQ55" s="110"/>
      <c r="CR55" s="110"/>
      <c r="CS55" s="110"/>
      <c r="CT55" s="110"/>
      <c r="CU55" s="110"/>
      <c r="CV55" s="110"/>
      <c r="CW55" s="110"/>
      <c r="CX55" s="110"/>
      <c r="CY55" s="110"/>
      <c r="CZ55" s="110"/>
      <c r="DA55" s="110"/>
      <c r="DB55" s="110"/>
      <c r="DC55" s="110"/>
      <c r="DD55" s="110"/>
      <c r="DE55" s="110"/>
      <c r="DF55" s="110"/>
      <c r="DG55" s="110"/>
      <c r="DH55" s="110"/>
      <c r="DI55" s="110"/>
      <c r="DJ55" s="110"/>
      <c r="DK55" s="110"/>
      <c r="DL55" s="110"/>
      <c r="DM55" s="110"/>
      <c r="DN55" s="110"/>
      <c r="DO55" s="110"/>
      <c r="DP55" s="110"/>
      <c r="DQ55" s="110"/>
      <c r="DR55" s="110"/>
      <c r="DS55" s="110"/>
      <c r="DT55" s="110"/>
      <c r="DU55" s="110"/>
      <c r="DV55" s="110"/>
      <c r="DW55" s="110"/>
      <c r="DX55" s="110"/>
      <c r="DY55" s="110"/>
      <c r="DZ55" s="110"/>
      <c r="EA55" s="110"/>
      <c r="EB55" s="110"/>
      <c r="EC55" s="110"/>
      <c r="ED55" s="110"/>
      <c r="EE55" s="110"/>
      <c r="EF55" s="110"/>
      <c r="EG55" s="110"/>
      <c r="EH55" s="110"/>
      <c r="EI55" s="110"/>
      <c r="EJ55" s="110"/>
      <c r="EK55" s="110"/>
      <c r="EL55" s="110"/>
      <c r="EM55" s="110"/>
      <c r="EN55" s="110"/>
      <c r="EO55" s="110"/>
      <c r="EP55" s="110"/>
      <c r="EQ55" s="110"/>
      <c r="ER55" s="110"/>
      <c r="ES55" s="110"/>
      <c r="ET55" s="110"/>
      <c r="EU55" s="110"/>
      <c r="EV55" s="110"/>
      <c r="EW55" s="110"/>
      <c r="EX55" s="110"/>
      <c r="EY55" s="110"/>
      <c r="EZ55" s="110"/>
      <c r="FA55" s="110"/>
      <c r="FB55" s="110"/>
      <c r="FC55" s="110"/>
      <c r="FD55" s="110"/>
      <c r="FE55" s="110"/>
      <c r="FF55" s="110"/>
      <c r="FG55" s="110"/>
      <c r="FH55" s="110"/>
      <c r="FI55" s="110"/>
      <c r="FJ55" s="110"/>
      <c r="FK55" s="110"/>
      <c r="FL55" s="110"/>
      <c r="FM55" s="110"/>
      <c r="FN55" s="110"/>
      <c r="FO55" s="110"/>
      <c r="FP55" s="110"/>
      <c r="FQ55" s="110"/>
      <c r="FR55" s="110"/>
      <c r="FS55" s="110"/>
      <c r="FT55" s="110"/>
      <c r="FU55" s="110"/>
      <c r="FV55" s="110"/>
      <c r="FW55" s="110"/>
      <c r="FX55" s="110"/>
      <c r="FY55" s="110"/>
      <c r="FZ55" s="110"/>
      <c r="GA55" s="110"/>
      <c r="GB55" s="110"/>
      <c r="GC55" s="110"/>
      <c r="GD55" s="110"/>
      <c r="GE55" s="110"/>
      <c r="GF55" s="110"/>
      <c r="GG55" s="110"/>
      <c r="GH55" s="110"/>
      <c r="GI55" s="110"/>
      <c r="GJ55" s="110"/>
      <c r="GK55" s="110"/>
      <c r="GL55" s="110"/>
      <c r="GM55" s="110"/>
      <c r="GN55" s="110"/>
      <c r="GO55" s="110"/>
      <c r="GP55" s="110"/>
      <c r="GQ55" s="110"/>
      <c r="GR55" s="110"/>
      <c r="GS55" s="110"/>
      <c r="GT55" s="110"/>
      <c r="GU55" s="110"/>
      <c r="GV55" s="110"/>
      <c r="GW55" s="110"/>
      <c r="GX55" s="110"/>
      <c r="GY55" s="110"/>
      <c r="GZ55" s="110"/>
      <c r="HA55" s="110"/>
      <c r="HB55" s="110"/>
      <c r="HC55" s="110"/>
      <c r="HD55" s="110"/>
      <c r="HE55" s="110"/>
      <c r="HF55" s="110"/>
      <c r="HG55" s="110"/>
      <c r="HH55" s="110"/>
      <c r="HI55" s="110"/>
      <c r="HJ55" s="110"/>
      <c r="HK55" s="110"/>
      <c r="HL55" s="110"/>
      <c r="HM55" s="110"/>
      <c r="HN55" s="110"/>
      <c r="HO55" s="110"/>
      <c r="HP55" s="110"/>
      <c r="HQ55" s="110"/>
      <c r="HR55" s="110"/>
      <c r="HS55" s="110"/>
      <c r="HT55" s="110"/>
      <c r="HU55" s="110"/>
      <c r="HV55" s="110"/>
      <c r="HW55" s="110"/>
      <c r="HX55" s="110"/>
      <c r="HY55" s="110"/>
      <c r="HZ55" s="110"/>
      <c r="IA55" s="110"/>
      <c r="IB55" s="110"/>
      <c r="IC55" s="110"/>
      <c r="ID55" s="110"/>
      <c r="IE55" s="110"/>
      <c r="IF55" s="110"/>
      <c r="IG55" s="110"/>
      <c r="IH55" s="110"/>
      <c r="II55" s="110"/>
      <c r="IJ55" s="110"/>
      <c r="IK55" s="110"/>
      <c r="IL55" s="110"/>
      <c r="IM55" s="110"/>
      <c r="IN55" s="110"/>
      <c r="IO55" s="110"/>
      <c r="IP55" s="110"/>
      <c r="IQ55" s="110"/>
      <c r="IR55" s="110"/>
      <c r="IS55" s="110"/>
      <c r="IT55" s="110"/>
      <c r="IU55" s="110"/>
      <c r="IV55" s="110"/>
      <c r="IW55" s="110"/>
      <c r="IX55" s="110"/>
      <c r="IY55" s="110"/>
      <c r="IZ55" s="110"/>
      <c r="JA55" s="110"/>
      <c r="JB55" s="110"/>
      <c r="JC55" s="110"/>
      <c r="JD55" s="110"/>
      <c r="JE55" s="110"/>
      <c r="JF55" s="110"/>
      <c r="JG55" s="110"/>
      <c r="JH55" s="110"/>
      <c r="JI55" s="107">
        <f t="shared" si="0"/>
        <v>18061.22</v>
      </c>
      <c r="JJ55" s="2">
        <v>37265</v>
      </c>
      <c r="JK55" s="110">
        <v>15000</v>
      </c>
      <c r="JL55" s="112">
        <f t="shared" si="1"/>
        <v>3061.2200000000012</v>
      </c>
      <c r="JM55" s="112"/>
      <c r="JN55" s="112"/>
      <c r="JO55" s="112"/>
      <c r="JP55" s="112"/>
    </row>
    <row r="56" spans="1:276 1141:1141" x14ac:dyDescent="0.25">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c r="CP56" s="110"/>
      <c r="CQ56" s="110"/>
      <c r="CR56" s="110"/>
      <c r="CS56" s="110"/>
      <c r="CT56" s="110"/>
      <c r="CU56" s="110"/>
      <c r="CV56" s="110"/>
      <c r="CW56" s="110"/>
      <c r="CX56" s="110"/>
      <c r="CY56" s="110"/>
      <c r="CZ56" s="110"/>
      <c r="DA56" s="110"/>
      <c r="DB56" s="110"/>
      <c r="DC56" s="110"/>
      <c r="DD56" s="110"/>
      <c r="DE56" s="110"/>
      <c r="DF56" s="110"/>
      <c r="DG56" s="110"/>
      <c r="DH56" s="110"/>
      <c r="DI56" s="110"/>
      <c r="DJ56" s="110"/>
      <c r="DK56" s="110"/>
      <c r="DL56" s="110"/>
      <c r="DM56" s="110"/>
      <c r="DN56" s="110"/>
      <c r="DO56" s="110"/>
      <c r="DP56" s="110"/>
      <c r="DQ56" s="110"/>
      <c r="DR56" s="110"/>
      <c r="DS56" s="110"/>
      <c r="DT56" s="110"/>
      <c r="DU56" s="110"/>
      <c r="DV56" s="110"/>
      <c r="DW56" s="110"/>
      <c r="DX56" s="110"/>
      <c r="DY56" s="110"/>
      <c r="DZ56" s="110"/>
      <c r="EA56" s="110"/>
      <c r="EB56" s="110"/>
      <c r="EC56" s="110"/>
      <c r="ED56" s="110"/>
      <c r="EE56" s="110"/>
      <c r="EF56" s="110"/>
      <c r="EG56" s="110"/>
      <c r="EH56" s="110"/>
      <c r="EI56" s="110"/>
      <c r="EJ56" s="110"/>
      <c r="EK56" s="110"/>
      <c r="EL56" s="110"/>
      <c r="EM56" s="110"/>
      <c r="EN56" s="110"/>
      <c r="EO56" s="110"/>
      <c r="EP56" s="110"/>
      <c r="EQ56" s="110"/>
      <c r="ER56" s="110"/>
      <c r="ES56" s="110"/>
      <c r="ET56" s="110"/>
      <c r="EU56" s="110"/>
      <c r="EV56" s="110"/>
      <c r="EW56" s="110"/>
      <c r="EX56" s="110"/>
      <c r="EY56" s="110"/>
      <c r="EZ56" s="110"/>
      <c r="FA56" s="110"/>
      <c r="FB56" s="110"/>
      <c r="FC56" s="110"/>
      <c r="FD56" s="110"/>
      <c r="FE56" s="110"/>
      <c r="FF56" s="110"/>
      <c r="FG56" s="110"/>
      <c r="FH56" s="110"/>
      <c r="FI56" s="110"/>
      <c r="FJ56" s="110"/>
      <c r="FK56" s="110"/>
      <c r="FL56" s="110"/>
      <c r="FM56" s="110"/>
      <c r="FN56" s="110"/>
      <c r="FO56" s="110"/>
      <c r="FP56" s="110"/>
      <c r="FQ56" s="110"/>
      <c r="FR56" s="110"/>
      <c r="FS56" s="110"/>
      <c r="FT56" s="110"/>
      <c r="FU56" s="110"/>
      <c r="FV56" s="110"/>
      <c r="FW56" s="110"/>
      <c r="FX56" s="110"/>
      <c r="FY56" s="110"/>
      <c r="FZ56" s="110"/>
      <c r="GA56" s="110"/>
      <c r="GB56" s="110"/>
      <c r="GC56" s="110"/>
      <c r="GD56" s="110"/>
      <c r="GE56" s="110"/>
      <c r="GF56" s="110"/>
      <c r="GG56" s="110"/>
      <c r="GH56" s="110"/>
      <c r="GI56" s="110"/>
      <c r="GJ56" s="110"/>
      <c r="GK56" s="110"/>
      <c r="GL56" s="110"/>
      <c r="GM56" s="110"/>
      <c r="GN56" s="110"/>
      <c r="GO56" s="110"/>
      <c r="GP56" s="110"/>
      <c r="GQ56" s="110"/>
      <c r="GR56" s="110"/>
      <c r="GS56" s="110"/>
      <c r="GT56" s="110"/>
      <c r="GU56" s="110"/>
      <c r="GV56" s="110"/>
      <c r="GW56" s="110"/>
      <c r="GX56" s="110"/>
      <c r="GY56" s="110"/>
      <c r="GZ56" s="110"/>
      <c r="HA56" s="110"/>
      <c r="HB56" s="110"/>
      <c r="HC56" s="110"/>
      <c r="HD56" s="110"/>
      <c r="HE56" s="110"/>
      <c r="HF56" s="110"/>
      <c r="HG56" s="110"/>
      <c r="HH56" s="110"/>
      <c r="HI56" s="110"/>
      <c r="HJ56" s="110"/>
      <c r="HK56" s="110"/>
      <c r="HL56" s="110"/>
      <c r="HM56" s="110"/>
      <c r="HN56" s="110"/>
      <c r="HO56" s="110"/>
      <c r="HP56" s="110"/>
      <c r="HQ56" s="110"/>
      <c r="HR56" s="110"/>
      <c r="HS56" s="110"/>
      <c r="HT56" s="110"/>
      <c r="HU56" s="110"/>
      <c r="HV56" s="110"/>
      <c r="HW56" s="110"/>
      <c r="HX56" s="110"/>
      <c r="HY56" s="110"/>
      <c r="HZ56" s="110"/>
      <c r="IA56" s="110"/>
      <c r="IB56" s="110"/>
      <c r="IC56" s="110"/>
      <c r="ID56" s="110"/>
      <c r="IE56" s="110"/>
      <c r="IF56" s="110"/>
      <c r="IG56" s="110"/>
      <c r="IH56" s="110"/>
      <c r="II56" s="110"/>
      <c r="IJ56" s="110"/>
      <c r="IK56" s="110"/>
      <c r="IL56" s="110"/>
      <c r="IM56" s="110"/>
      <c r="IN56" s="110"/>
      <c r="IO56" s="110"/>
      <c r="IP56" s="110"/>
      <c r="IQ56" s="110"/>
      <c r="IR56" s="110"/>
      <c r="IS56" s="110"/>
      <c r="IT56" s="110"/>
      <c r="IU56" s="110"/>
      <c r="IV56" s="110"/>
      <c r="IW56" s="110"/>
      <c r="IX56" s="110"/>
      <c r="IY56" s="110"/>
      <c r="IZ56" s="110"/>
      <c r="JA56" s="110"/>
      <c r="JB56" s="110"/>
      <c r="JC56" s="110"/>
      <c r="JD56" s="110"/>
      <c r="JE56" s="110"/>
      <c r="JF56" s="110"/>
      <c r="JG56" s="110"/>
      <c r="JH56" s="110"/>
      <c r="JI56" s="107">
        <f t="shared" si="0"/>
        <v>0</v>
      </c>
      <c r="JJ56" s="2">
        <v>37266</v>
      </c>
      <c r="JK56" s="110"/>
      <c r="JL56" s="112">
        <f t="shared" si="1"/>
        <v>0</v>
      </c>
      <c r="JM56" s="112"/>
      <c r="JN56" s="112"/>
      <c r="JO56" s="112"/>
      <c r="JP56" s="112"/>
    </row>
    <row r="57" spans="1:276 1141:1141" x14ac:dyDescent="0.25">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c r="CP57" s="110"/>
      <c r="CQ57" s="110"/>
      <c r="CR57" s="110"/>
      <c r="CS57" s="110"/>
      <c r="CT57" s="110"/>
      <c r="CU57" s="110"/>
      <c r="CV57" s="110"/>
      <c r="CW57" s="110"/>
      <c r="CX57" s="110"/>
      <c r="CY57" s="110"/>
      <c r="CZ57" s="110"/>
      <c r="DA57" s="110"/>
      <c r="DB57" s="110"/>
      <c r="DC57" s="110"/>
      <c r="DD57" s="110"/>
      <c r="DE57" s="110"/>
      <c r="DF57" s="110"/>
      <c r="DG57" s="110"/>
      <c r="DH57" s="110"/>
      <c r="DI57" s="110"/>
      <c r="DJ57" s="110"/>
      <c r="DK57" s="110"/>
      <c r="DL57" s="110"/>
      <c r="DM57" s="110"/>
      <c r="DN57" s="110"/>
      <c r="DO57" s="110"/>
      <c r="DP57" s="110"/>
      <c r="DQ57" s="110"/>
      <c r="DR57" s="110"/>
      <c r="DS57" s="110"/>
      <c r="DT57" s="110"/>
      <c r="DU57" s="110"/>
      <c r="DV57" s="110"/>
      <c r="DW57" s="110"/>
      <c r="DX57" s="110"/>
      <c r="DY57" s="110"/>
      <c r="DZ57" s="110"/>
      <c r="EA57" s="110"/>
      <c r="EB57" s="110"/>
      <c r="EC57" s="110"/>
      <c r="ED57" s="110"/>
      <c r="EE57" s="110"/>
      <c r="EF57" s="110"/>
      <c r="EG57" s="110"/>
      <c r="EH57" s="110"/>
      <c r="EI57" s="110"/>
      <c r="EJ57" s="110"/>
      <c r="EK57" s="110"/>
      <c r="EL57" s="110"/>
      <c r="EM57" s="110"/>
      <c r="EN57" s="110"/>
      <c r="EO57" s="110"/>
      <c r="EP57" s="110"/>
      <c r="EQ57" s="110"/>
      <c r="ER57" s="110"/>
      <c r="ES57" s="110"/>
      <c r="ET57" s="110"/>
      <c r="EU57" s="110"/>
      <c r="EV57" s="110"/>
      <c r="EW57" s="110"/>
      <c r="EX57" s="110"/>
      <c r="EY57" s="110"/>
      <c r="EZ57" s="110"/>
      <c r="FA57" s="110"/>
      <c r="FB57" s="110"/>
      <c r="FC57" s="110"/>
      <c r="FD57" s="110"/>
      <c r="FE57" s="110"/>
      <c r="FF57" s="110"/>
      <c r="FG57" s="110"/>
      <c r="FH57" s="110"/>
      <c r="FI57" s="110"/>
      <c r="FJ57" s="110"/>
      <c r="FK57" s="110"/>
      <c r="FL57" s="110"/>
      <c r="FM57" s="110"/>
      <c r="FN57" s="110"/>
      <c r="FO57" s="110"/>
      <c r="FP57" s="110"/>
      <c r="FQ57" s="110"/>
      <c r="FR57" s="110"/>
      <c r="FS57" s="110"/>
      <c r="FT57" s="110"/>
      <c r="FU57" s="110"/>
      <c r="FV57" s="110"/>
      <c r="FW57" s="110"/>
      <c r="FX57" s="110"/>
      <c r="FY57" s="110"/>
      <c r="FZ57" s="110"/>
      <c r="GA57" s="110"/>
      <c r="GB57" s="110"/>
      <c r="GC57" s="110"/>
      <c r="GD57" s="110">
        <v>3600</v>
      </c>
      <c r="GE57" s="110"/>
      <c r="GF57" s="110"/>
      <c r="GG57" s="110"/>
      <c r="GH57" s="110"/>
      <c r="GI57" s="110"/>
      <c r="GJ57" s="110"/>
      <c r="GK57" s="110"/>
      <c r="GL57" s="110"/>
      <c r="GM57" s="110"/>
      <c r="GN57" s="110"/>
      <c r="GO57" s="110"/>
      <c r="GP57" s="110"/>
      <c r="GQ57" s="110"/>
      <c r="GR57" s="110"/>
      <c r="GS57" s="110"/>
      <c r="GT57" s="110"/>
      <c r="GU57" s="110"/>
      <c r="GV57" s="110"/>
      <c r="GW57" s="110"/>
      <c r="GX57" s="110"/>
      <c r="GY57" s="110"/>
      <c r="GZ57" s="110"/>
      <c r="HA57" s="110"/>
      <c r="HB57" s="110"/>
      <c r="HC57" s="110"/>
      <c r="HD57" s="110"/>
      <c r="HE57" s="110"/>
      <c r="HF57" s="110"/>
      <c r="HG57" s="110"/>
      <c r="HH57" s="110"/>
      <c r="HI57" s="110"/>
      <c r="HJ57" s="110"/>
      <c r="HK57" s="110"/>
      <c r="HL57" s="110"/>
      <c r="HM57" s="110"/>
      <c r="HN57" s="110"/>
      <c r="HO57" s="110"/>
      <c r="HP57" s="110"/>
      <c r="HQ57" s="110"/>
      <c r="HR57" s="110"/>
      <c r="HS57" s="110"/>
      <c r="HT57" s="110"/>
      <c r="HU57" s="110"/>
      <c r="HV57" s="110"/>
      <c r="HW57" s="110"/>
      <c r="HX57" s="110"/>
      <c r="HY57" s="110"/>
      <c r="HZ57" s="110"/>
      <c r="IA57" s="110"/>
      <c r="IB57" s="110"/>
      <c r="IC57" s="110"/>
      <c r="ID57" s="110"/>
      <c r="IE57" s="110"/>
      <c r="IF57" s="110"/>
      <c r="IG57" s="110"/>
      <c r="IH57" s="110"/>
      <c r="II57" s="110"/>
      <c r="IJ57" s="110"/>
      <c r="IK57" s="110"/>
      <c r="IL57" s="110"/>
      <c r="IM57" s="110"/>
      <c r="IN57" s="110"/>
      <c r="IO57" s="110"/>
      <c r="IP57" s="110"/>
      <c r="IQ57" s="110"/>
      <c r="IR57" s="110"/>
      <c r="IS57" s="110"/>
      <c r="IT57" s="110"/>
      <c r="IU57" s="110"/>
      <c r="IV57" s="110"/>
      <c r="IW57" s="110"/>
      <c r="IX57" s="110"/>
      <c r="IY57" s="110"/>
      <c r="IZ57" s="110"/>
      <c r="JA57" s="110"/>
      <c r="JB57" s="110"/>
      <c r="JC57" s="110"/>
      <c r="JD57" s="110"/>
      <c r="JE57" s="110"/>
      <c r="JF57" s="110"/>
      <c r="JG57" s="110"/>
      <c r="JH57" s="110"/>
      <c r="JI57" s="107">
        <f t="shared" si="0"/>
        <v>3600</v>
      </c>
      <c r="JJ57" s="2">
        <v>37267</v>
      </c>
      <c r="JK57" s="110">
        <v>3600</v>
      </c>
      <c r="JL57" s="112">
        <f t="shared" si="1"/>
        <v>0</v>
      </c>
      <c r="JM57" s="112"/>
      <c r="JN57" s="112"/>
      <c r="JO57" s="112"/>
      <c r="JP57" s="112"/>
    </row>
    <row r="58" spans="1:276 1141:1141" x14ac:dyDescent="0.25">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c r="CP58" s="110"/>
      <c r="CQ58" s="110"/>
      <c r="CR58" s="110"/>
      <c r="CS58" s="110"/>
      <c r="CT58" s="110"/>
      <c r="CU58" s="110"/>
      <c r="CV58" s="110"/>
      <c r="CW58" s="110"/>
      <c r="CX58" s="110"/>
      <c r="CY58" s="110"/>
      <c r="CZ58" s="110"/>
      <c r="DA58" s="110"/>
      <c r="DB58" s="110"/>
      <c r="DC58" s="110"/>
      <c r="DD58" s="110"/>
      <c r="DE58" s="110"/>
      <c r="DF58" s="110"/>
      <c r="DG58" s="110"/>
      <c r="DH58" s="110"/>
      <c r="DI58" s="110"/>
      <c r="DJ58" s="110"/>
      <c r="DK58" s="110"/>
      <c r="DL58" s="110"/>
      <c r="DM58" s="110"/>
      <c r="DN58" s="110"/>
      <c r="DO58" s="110"/>
      <c r="DP58" s="110"/>
      <c r="DQ58" s="110"/>
      <c r="DR58" s="110"/>
      <c r="DS58" s="110"/>
      <c r="DT58" s="110"/>
      <c r="DU58" s="110"/>
      <c r="DV58" s="110"/>
      <c r="DW58" s="110"/>
      <c r="DX58" s="110"/>
      <c r="DY58" s="110"/>
      <c r="DZ58" s="110"/>
      <c r="EA58" s="110"/>
      <c r="EB58" s="110"/>
      <c r="EC58" s="110"/>
      <c r="ED58" s="110"/>
      <c r="EE58" s="110"/>
      <c r="EF58" s="110"/>
      <c r="EG58" s="110"/>
      <c r="EH58" s="110"/>
      <c r="EI58" s="110"/>
      <c r="EJ58" s="110"/>
      <c r="EK58" s="110"/>
      <c r="EL58" s="110"/>
      <c r="EM58" s="110"/>
      <c r="EN58" s="110"/>
      <c r="EO58" s="110"/>
      <c r="EP58" s="110"/>
      <c r="EQ58" s="110"/>
      <c r="ER58" s="110"/>
      <c r="ES58" s="110"/>
      <c r="ET58" s="110"/>
      <c r="EU58" s="110"/>
      <c r="EV58" s="110"/>
      <c r="EW58" s="110"/>
      <c r="EX58" s="110"/>
      <c r="EY58" s="110"/>
      <c r="EZ58" s="110"/>
      <c r="FA58" s="110"/>
      <c r="FB58" s="110"/>
      <c r="FC58" s="110"/>
      <c r="FD58" s="110"/>
      <c r="FE58" s="110"/>
      <c r="FF58" s="110"/>
      <c r="FG58" s="110"/>
      <c r="FH58" s="110"/>
      <c r="FI58" s="110"/>
      <c r="FJ58" s="110"/>
      <c r="FK58" s="110"/>
      <c r="FL58" s="110"/>
      <c r="FM58" s="110"/>
      <c r="FN58" s="110"/>
      <c r="FO58" s="110"/>
      <c r="FP58" s="110"/>
      <c r="FQ58" s="110"/>
      <c r="FR58" s="110"/>
      <c r="FS58" s="110"/>
      <c r="FT58" s="110"/>
      <c r="FU58" s="110"/>
      <c r="FV58" s="110"/>
      <c r="FW58" s="110"/>
      <c r="FX58" s="110"/>
      <c r="FY58" s="110"/>
      <c r="FZ58" s="110"/>
      <c r="GA58" s="110"/>
      <c r="GB58" s="110"/>
      <c r="GC58" s="110"/>
      <c r="GD58" s="110">
        <v>20000</v>
      </c>
      <c r="GE58" s="110"/>
      <c r="GF58" s="110"/>
      <c r="GG58" s="110"/>
      <c r="GH58" s="110"/>
      <c r="GI58" s="110"/>
      <c r="GJ58" s="110"/>
      <c r="GK58" s="110"/>
      <c r="GL58" s="110"/>
      <c r="GM58" s="110"/>
      <c r="GN58" s="110"/>
      <c r="GO58" s="110"/>
      <c r="GP58" s="110"/>
      <c r="GQ58" s="110"/>
      <c r="GR58" s="110"/>
      <c r="GS58" s="110"/>
      <c r="GT58" s="110"/>
      <c r="GU58" s="110"/>
      <c r="GV58" s="110"/>
      <c r="GW58" s="110"/>
      <c r="GX58" s="110"/>
      <c r="GY58" s="110"/>
      <c r="GZ58" s="110"/>
      <c r="HA58" s="110"/>
      <c r="HB58" s="110"/>
      <c r="HC58" s="110"/>
      <c r="HD58" s="110"/>
      <c r="HE58" s="110"/>
      <c r="HF58" s="110"/>
      <c r="HG58" s="110"/>
      <c r="HH58" s="110"/>
      <c r="HI58" s="110"/>
      <c r="HJ58" s="110"/>
      <c r="HK58" s="110"/>
      <c r="HL58" s="110"/>
      <c r="HM58" s="110"/>
      <c r="HN58" s="110"/>
      <c r="HO58" s="110"/>
      <c r="HP58" s="110"/>
      <c r="HQ58" s="110"/>
      <c r="HR58" s="110"/>
      <c r="HS58" s="110"/>
      <c r="HT58" s="110"/>
      <c r="HU58" s="110"/>
      <c r="HV58" s="110"/>
      <c r="HW58" s="110"/>
      <c r="HX58" s="110"/>
      <c r="HY58" s="110"/>
      <c r="HZ58" s="110"/>
      <c r="IA58" s="110"/>
      <c r="IB58" s="110"/>
      <c r="IC58" s="110"/>
      <c r="ID58" s="110"/>
      <c r="IE58" s="110"/>
      <c r="IF58" s="110"/>
      <c r="IG58" s="110"/>
      <c r="IH58" s="110"/>
      <c r="II58" s="110"/>
      <c r="IJ58" s="110"/>
      <c r="IK58" s="110"/>
      <c r="IL58" s="110"/>
      <c r="IM58" s="110"/>
      <c r="IN58" s="110"/>
      <c r="IO58" s="110"/>
      <c r="IP58" s="110"/>
      <c r="IQ58" s="110"/>
      <c r="IR58" s="110"/>
      <c r="IS58" s="110"/>
      <c r="IT58" s="110"/>
      <c r="IU58" s="110"/>
      <c r="IV58" s="110"/>
      <c r="IW58" s="110"/>
      <c r="IX58" s="110"/>
      <c r="IY58" s="110"/>
      <c r="IZ58" s="110"/>
      <c r="JA58" s="110"/>
      <c r="JB58" s="110"/>
      <c r="JC58" s="110"/>
      <c r="JD58" s="110"/>
      <c r="JE58" s="110"/>
      <c r="JF58" s="110"/>
      <c r="JG58" s="110"/>
      <c r="JH58" s="110"/>
      <c r="JI58" s="107">
        <f t="shared" si="0"/>
        <v>20000</v>
      </c>
      <c r="JJ58" s="2">
        <v>37268</v>
      </c>
      <c r="JK58" s="110">
        <v>20000</v>
      </c>
      <c r="JL58" s="112">
        <f t="shared" si="1"/>
        <v>0</v>
      </c>
      <c r="JM58" s="112"/>
      <c r="JN58" s="112"/>
      <c r="JO58" s="112"/>
      <c r="JP58" s="112"/>
    </row>
    <row r="59" spans="1:276 1141:1141" x14ac:dyDescent="0.25">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10"/>
      <c r="CT59" s="110"/>
      <c r="CU59" s="110"/>
      <c r="CV59" s="110"/>
      <c r="CW59" s="110"/>
      <c r="CX59" s="110"/>
      <c r="CY59" s="110"/>
      <c r="CZ59" s="110"/>
      <c r="DA59" s="110"/>
      <c r="DB59" s="110"/>
      <c r="DC59" s="110"/>
      <c r="DD59" s="110"/>
      <c r="DE59" s="110"/>
      <c r="DF59" s="110"/>
      <c r="DG59" s="110"/>
      <c r="DH59" s="110"/>
      <c r="DI59" s="110"/>
      <c r="DJ59" s="110"/>
      <c r="DK59" s="110"/>
      <c r="DL59" s="110"/>
      <c r="DM59" s="110"/>
      <c r="DN59" s="110"/>
      <c r="DO59" s="110"/>
      <c r="DP59" s="110"/>
      <c r="DQ59" s="110"/>
      <c r="DR59" s="110"/>
      <c r="DS59" s="110"/>
      <c r="DT59" s="110"/>
      <c r="DU59" s="110"/>
      <c r="DV59" s="110"/>
      <c r="DW59" s="110"/>
      <c r="DX59" s="110"/>
      <c r="DY59" s="110"/>
      <c r="DZ59" s="110"/>
      <c r="EA59" s="110"/>
      <c r="EB59" s="110"/>
      <c r="EC59" s="110"/>
      <c r="ED59" s="110"/>
      <c r="EE59" s="110"/>
      <c r="EF59" s="110"/>
      <c r="EG59" s="110"/>
      <c r="EH59" s="110"/>
      <c r="EI59" s="110"/>
      <c r="EJ59" s="110"/>
      <c r="EK59" s="110"/>
      <c r="EL59" s="110"/>
      <c r="EM59" s="110"/>
      <c r="EN59" s="110"/>
      <c r="EO59" s="110"/>
      <c r="EP59" s="110"/>
      <c r="EQ59" s="110"/>
      <c r="ER59" s="110"/>
      <c r="ES59" s="110"/>
      <c r="ET59" s="110"/>
      <c r="EU59" s="110"/>
      <c r="EV59" s="110"/>
      <c r="EW59" s="110"/>
      <c r="EX59" s="110"/>
      <c r="EY59" s="110"/>
      <c r="EZ59" s="110"/>
      <c r="FA59" s="110"/>
      <c r="FB59" s="110"/>
      <c r="FC59" s="110"/>
      <c r="FD59" s="110"/>
      <c r="FE59" s="110"/>
      <c r="FF59" s="110"/>
      <c r="FG59" s="110"/>
      <c r="FH59" s="110"/>
      <c r="FI59" s="110"/>
      <c r="FJ59" s="110"/>
      <c r="FK59" s="110"/>
      <c r="FL59" s="110"/>
      <c r="FM59" s="110"/>
      <c r="FN59" s="110"/>
      <c r="FO59" s="110"/>
      <c r="FP59" s="110"/>
      <c r="FQ59" s="110"/>
      <c r="FR59" s="110"/>
      <c r="FS59" s="110"/>
      <c r="FT59" s="110"/>
      <c r="FU59" s="110"/>
      <c r="FV59" s="110"/>
      <c r="FW59" s="110"/>
      <c r="FX59" s="110"/>
      <c r="FY59" s="110"/>
      <c r="FZ59" s="110"/>
      <c r="GA59" s="110">
        <v>54251.88</v>
      </c>
      <c r="GB59" s="110"/>
      <c r="GC59" s="110"/>
      <c r="GD59" s="110"/>
      <c r="GE59" s="110"/>
      <c r="GF59" s="110"/>
      <c r="GG59" s="110"/>
      <c r="GH59" s="110"/>
      <c r="GI59" s="110"/>
      <c r="GJ59" s="110"/>
      <c r="GK59" s="110"/>
      <c r="GL59" s="110"/>
      <c r="GM59" s="110"/>
      <c r="GN59" s="110"/>
      <c r="GO59" s="110"/>
      <c r="GP59" s="110"/>
      <c r="GQ59" s="110"/>
      <c r="GR59" s="110"/>
      <c r="GS59" s="110"/>
      <c r="GT59" s="110"/>
      <c r="GU59" s="110"/>
      <c r="GV59" s="110"/>
      <c r="GW59" s="110"/>
      <c r="GX59" s="110"/>
      <c r="GY59" s="110"/>
      <c r="GZ59" s="110"/>
      <c r="HA59" s="110"/>
      <c r="HB59" s="110"/>
      <c r="HC59" s="110"/>
      <c r="HD59" s="110"/>
      <c r="HE59" s="110"/>
      <c r="HF59" s="110"/>
      <c r="HG59" s="110"/>
      <c r="HH59" s="110"/>
      <c r="HI59" s="110"/>
      <c r="HJ59" s="110"/>
      <c r="HK59" s="110"/>
      <c r="HL59" s="110"/>
      <c r="HM59" s="110"/>
      <c r="HN59" s="110"/>
      <c r="HO59" s="110"/>
      <c r="HP59" s="110"/>
      <c r="HQ59" s="110"/>
      <c r="HR59" s="110"/>
      <c r="HS59" s="110"/>
      <c r="HT59" s="110"/>
      <c r="HU59" s="110"/>
      <c r="HV59" s="110"/>
      <c r="HW59" s="110"/>
      <c r="HX59" s="110"/>
      <c r="HY59" s="110"/>
      <c r="HZ59" s="110"/>
      <c r="IA59" s="110"/>
      <c r="IB59" s="110"/>
      <c r="IC59" s="110"/>
      <c r="ID59" s="110"/>
      <c r="IE59" s="110"/>
      <c r="IF59" s="110"/>
      <c r="IG59" s="110"/>
      <c r="IH59" s="110"/>
      <c r="II59" s="110"/>
      <c r="IJ59" s="110"/>
      <c r="IK59" s="110"/>
      <c r="IL59" s="110"/>
      <c r="IM59" s="110"/>
      <c r="IN59" s="110"/>
      <c r="IO59" s="110"/>
      <c r="IP59" s="110"/>
      <c r="IQ59" s="110"/>
      <c r="IR59" s="110"/>
      <c r="IS59" s="110"/>
      <c r="IT59" s="110"/>
      <c r="IU59" s="110"/>
      <c r="IV59" s="110"/>
      <c r="IW59" s="110"/>
      <c r="IX59" s="110"/>
      <c r="IY59" s="110"/>
      <c r="IZ59" s="110"/>
      <c r="JA59" s="110"/>
      <c r="JB59" s="110"/>
      <c r="JC59" s="110"/>
      <c r="JD59" s="110"/>
      <c r="JE59" s="110"/>
      <c r="JF59" s="110"/>
      <c r="JG59" s="110"/>
      <c r="JH59" s="110"/>
      <c r="JI59" s="107">
        <f t="shared" si="0"/>
        <v>54251.88</v>
      </c>
      <c r="JJ59" s="2">
        <v>37269</v>
      </c>
      <c r="JK59" s="110">
        <v>54251.88</v>
      </c>
      <c r="JL59" s="112">
        <f t="shared" si="1"/>
        <v>0</v>
      </c>
      <c r="JM59" s="112"/>
      <c r="JN59" s="112"/>
      <c r="JO59" s="112"/>
      <c r="JP59" s="112"/>
    </row>
    <row r="60" spans="1:276 1141:1141" x14ac:dyDescent="0.25">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c r="CP60" s="110"/>
      <c r="CQ60" s="110"/>
      <c r="CR60" s="110"/>
      <c r="CS60" s="110"/>
      <c r="CT60" s="110"/>
      <c r="CU60" s="110"/>
      <c r="CV60" s="110"/>
      <c r="CW60" s="110"/>
      <c r="CX60" s="110"/>
      <c r="CY60" s="110"/>
      <c r="CZ60" s="110"/>
      <c r="DA60" s="110"/>
      <c r="DB60" s="110"/>
      <c r="DC60" s="110"/>
      <c r="DD60" s="110"/>
      <c r="DE60" s="110"/>
      <c r="DF60" s="110"/>
      <c r="DG60" s="110"/>
      <c r="DH60" s="110"/>
      <c r="DI60" s="110"/>
      <c r="DJ60" s="110"/>
      <c r="DK60" s="110"/>
      <c r="DL60" s="110"/>
      <c r="DM60" s="110"/>
      <c r="DN60" s="110"/>
      <c r="DO60" s="110"/>
      <c r="DP60" s="110"/>
      <c r="DQ60" s="110"/>
      <c r="DR60" s="110"/>
      <c r="DS60" s="110"/>
      <c r="DT60" s="110"/>
      <c r="DU60" s="110"/>
      <c r="DV60" s="110"/>
      <c r="DW60" s="110"/>
      <c r="DX60" s="110"/>
      <c r="DY60" s="110"/>
      <c r="DZ60" s="110"/>
      <c r="EA60" s="110"/>
      <c r="EB60" s="110"/>
      <c r="EC60" s="110"/>
      <c r="ED60" s="110"/>
      <c r="EE60" s="110"/>
      <c r="EF60" s="110"/>
      <c r="EG60" s="110"/>
      <c r="EH60" s="110"/>
      <c r="EI60" s="110"/>
      <c r="EJ60" s="110"/>
      <c r="EK60" s="110"/>
      <c r="EL60" s="110"/>
      <c r="EM60" s="110"/>
      <c r="EN60" s="110"/>
      <c r="EO60" s="110"/>
      <c r="EP60" s="110"/>
      <c r="EQ60" s="110"/>
      <c r="ER60" s="110"/>
      <c r="ES60" s="110"/>
      <c r="ET60" s="110"/>
      <c r="EU60" s="110"/>
      <c r="EV60" s="110"/>
      <c r="EW60" s="110"/>
      <c r="EX60" s="110"/>
      <c r="EY60" s="110"/>
      <c r="EZ60" s="110"/>
      <c r="FA60" s="110"/>
      <c r="FB60" s="110"/>
      <c r="FC60" s="110"/>
      <c r="FD60" s="110"/>
      <c r="FE60" s="110"/>
      <c r="FF60" s="110"/>
      <c r="FG60" s="110"/>
      <c r="FH60" s="110"/>
      <c r="FI60" s="110"/>
      <c r="FJ60" s="110"/>
      <c r="FK60" s="110"/>
      <c r="FL60" s="110"/>
      <c r="FM60" s="110"/>
      <c r="FN60" s="110"/>
      <c r="FO60" s="110"/>
      <c r="FP60" s="110"/>
      <c r="FQ60" s="110"/>
      <c r="FR60" s="110"/>
      <c r="FS60" s="110"/>
      <c r="FT60" s="110"/>
      <c r="FU60" s="110"/>
      <c r="FV60" s="110"/>
      <c r="FW60" s="110"/>
      <c r="FX60" s="110"/>
      <c r="FY60" s="110"/>
      <c r="FZ60" s="110"/>
      <c r="GA60" s="110"/>
      <c r="GB60" s="110"/>
      <c r="GC60" s="110">
        <v>22500</v>
      </c>
      <c r="GD60" s="110"/>
      <c r="GE60" s="110"/>
      <c r="GF60" s="110"/>
      <c r="GG60" s="110"/>
      <c r="GH60" s="110"/>
      <c r="GI60" s="110"/>
      <c r="GJ60" s="110"/>
      <c r="GK60" s="110"/>
      <c r="GL60" s="110"/>
      <c r="GM60" s="110"/>
      <c r="GN60" s="110"/>
      <c r="GO60" s="110"/>
      <c r="GP60" s="110"/>
      <c r="GQ60" s="110"/>
      <c r="GR60" s="110"/>
      <c r="GS60" s="110"/>
      <c r="GT60" s="110"/>
      <c r="GU60" s="110"/>
      <c r="GV60" s="110"/>
      <c r="GW60" s="110"/>
      <c r="GX60" s="110"/>
      <c r="GY60" s="110"/>
      <c r="GZ60" s="110"/>
      <c r="HA60" s="110"/>
      <c r="HB60" s="110"/>
      <c r="HC60" s="110"/>
      <c r="HD60" s="110"/>
      <c r="HE60" s="110"/>
      <c r="HF60" s="110"/>
      <c r="HG60" s="110"/>
      <c r="HH60" s="110"/>
      <c r="HI60" s="110"/>
      <c r="HJ60" s="110"/>
      <c r="HK60" s="110"/>
      <c r="HL60" s="110"/>
      <c r="HM60" s="110"/>
      <c r="HN60" s="110"/>
      <c r="HO60" s="110"/>
      <c r="HP60" s="110"/>
      <c r="HQ60" s="110"/>
      <c r="HR60" s="110"/>
      <c r="HS60" s="110"/>
      <c r="HT60" s="110"/>
      <c r="HU60" s="110"/>
      <c r="HV60" s="110"/>
      <c r="HW60" s="110"/>
      <c r="HX60" s="110"/>
      <c r="HY60" s="110"/>
      <c r="HZ60" s="110"/>
      <c r="IA60" s="110"/>
      <c r="IB60" s="110"/>
      <c r="IC60" s="110"/>
      <c r="ID60" s="110"/>
      <c r="IE60" s="110"/>
      <c r="IF60" s="110"/>
      <c r="IG60" s="110"/>
      <c r="IH60" s="110"/>
      <c r="II60" s="110"/>
      <c r="IJ60" s="110"/>
      <c r="IK60" s="110"/>
      <c r="IL60" s="110"/>
      <c r="IM60" s="110"/>
      <c r="IN60" s="110"/>
      <c r="IO60" s="110"/>
      <c r="IP60" s="110"/>
      <c r="IQ60" s="110"/>
      <c r="IR60" s="110"/>
      <c r="IS60" s="110"/>
      <c r="IT60" s="110"/>
      <c r="IU60" s="110"/>
      <c r="IV60" s="110"/>
      <c r="IW60" s="110"/>
      <c r="IX60" s="110"/>
      <c r="IY60" s="110"/>
      <c r="IZ60" s="110"/>
      <c r="JA60" s="110"/>
      <c r="JB60" s="110"/>
      <c r="JC60" s="110"/>
      <c r="JD60" s="110"/>
      <c r="JE60" s="110"/>
      <c r="JF60" s="110"/>
      <c r="JG60" s="110"/>
      <c r="JH60" s="110"/>
      <c r="JI60" s="107">
        <f t="shared" si="0"/>
        <v>22500</v>
      </c>
      <c r="JJ60" s="2">
        <v>37270</v>
      </c>
      <c r="JK60" s="110">
        <v>22500</v>
      </c>
      <c r="JL60" s="112">
        <f t="shared" si="1"/>
        <v>0</v>
      </c>
      <c r="JM60" s="112"/>
      <c r="JN60" s="112"/>
      <c r="JO60" s="112"/>
      <c r="JP60" s="112"/>
    </row>
    <row r="61" spans="1:276 1141:1141" x14ac:dyDescent="0.25">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c r="CP61" s="110"/>
      <c r="CQ61" s="110"/>
      <c r="CR61" s="110"/>
      <c r="CS61" s="110"/>
      <c r="CT61" s="110"/>
      <c r="CU61" s="110"/>
      <c r="CV61" s="110"/>
      <c r="CW61" s="110"/>
      <c r="CX61" s="110"/>
      <c r="CY61" s="110"/>
      <c r="CZ61" s="110"/>
      <c r="DA61" s="110"/>
      <c r="DB61" s="110"/>
      <c r="DC61" s="110"/>
      <c r="DD61" s="110"/>
      <c r="DE61" s="110"/>
      <c r="DF61" s="110"/>
      <c r="DG61" s="110"/>
      <c r="DH61" s="110"/>
      <c r="DI61" s="110"/>
      <c r="DJ61" s="110"/>
      <c r="DK61" s="110"/>
      <c r="DL61" s="110"/>
      <c r="DM61" s="110"/>
      <c r="DN61" s="110"/>
      <c r="DO61" s="110"/>
      <c r="DP61" s="110"/>
      <c r="DQ61" s="110"/>
      <c r="DR61" s="110"/>
      <c r="DS61" s="110"/>
      <c r="DT61" s="110"/>
      <c r="DU61" s="110"/>
      <c r="DV61" s="110"/>
      <c r="DW61" s="110"/>
      <c r="DX61" s="110"/>
      <c r="DY61" s="110"/>
      <c r="DZ61" s="110"/>
      <c r="EA61" s="110"/>
      <c r="EB61" s="110"/>
      <c r="EC61" s="110"/>
      <c r="ED61" s="110"/>
      <c r="EE61" s="110"/>
      <c r="EF61" s="110"/>
      <c r="EG61" s="110"/>
      <c r="EH61" s="110"/>
      <c r="EI61" s="110"/>
      <c r="EJ61" s="110"/>
      <c r="EK61" s="110"/>
      <c r="EL61" s="110"/>
      <c r="EM61" s="110"/>
      <c r="EN61" s="110"/>
      <c r="EO61" s="110"/>
      <c r="EP61" s="110"/>
      <c r="EQ61" s="110"/>
      <c r="ER61" s="110"/>
      <c r="ES61" s="110"/>
      <c r="ET61" s="110"/>
      <c r="EU61" s="110"/>
      <c r="EV61" s="110"/>
      <c r="EW61" s="110"/>
      <c r="EX61" s="110"/>
      <c r="EY61" s="110"/>
      <c r="EZ61" s="110"/>
      <c r="FA61" s="110"/>
      <c r="FB61" s="110"/>
      <c r="FC61" s="110"/>
      <c r="FD61" s="110"/>
      <c r="FE61" s="110"/>
      <c r="FF61" s="110"/>
      <c r="FG61" s="110"/>
      <c r="FH61" s="110"/>
      <c r="FI61" s="110"/>
      <c r="FJ61" s="110"/>
      <c r="FK61" s="110"/>
      <c r="FL61" s="110"/>
      <c r="FM61" s="110"/>
      <c r="FN61" s="110"/>
      <c r="FO61" s="110"/>
      <c r="FP61" s="110"/>
      <c r="FQ61" s="110"/>
      <c r="FR61" s="110"/>
      <c r="FS61" s="110"/>
      <c r="FT61" s="110"/>
      <c r="FU61" s="110"/>
      <c r="FV61" s="110"/>
      <c r="FW61" s="110"/>
      <c r="FX61" s="110"/>
      <c r="FY61" s="110"/>
      <c r="FZ61" s="110"/>
      <c r="GA61" s="110"/>
      <c r="GB61" s="110"/>
      <c r="GC61" s="110">
        <v>7871</v>
      </c>
      <c r="GD61" s="110"/>
      <c r="GE61" s="110"/>
      <c r="GF61" s="110"/>
      <c r="GG61" s="110"/>
      <c r="GH61" s="110"/>
      <c r="GI61" s="110"/>
      <c r="GJ61" s="110"/>
      <c r="GK61" s="110"/>
      <c r="GL61" s="110"/>
      <c r="GM61" s="110"/>
      <c r="GN61" s="110"/>
      <c r="GO61" s="110"/>
      <c r="GP61" s="110"/>
      <c r="GQ61" s="110"/>
      <c r="GR61" s="110"/>
      <c r="GS61" s="110"/>
      <c r="GT61" s="110"/>
      <c r="GU61" s="110"/>
      <c r="GV61" s="110"/>
      <c r="GW61" s="110"/>
      <c r="GX61" s="110"/>
      <c r="GY61" s="110"/>
      <c r="GZ61" s="110"/>
      <c r="HA61" s="110"/>
      <c r="HB61" s="110"/>
      <c r="HC61" s="110"/>
      <c r="HD61" s="110"/>
      <c r="HE61" s="110"/>
      <c r="HF61" s="110"/>
      <c r="HG61" s="110"/>
      <c r="HH61" s="110"/>
      <c r="HI61" s="110"/>
      <c r="HJ61" s="110"/>
      <c r="HK61" s="110"/>
      <c r="HL61" s="110"/>
      <c r="HM61" s="110"/>
      <c r="HN61" s="110"/>
      <c r="HO61" s="110"/>
      <c r="HP61" s="110"/>
      <c r="HQ61" s="110"/>
      <c r="HR61" s="110"/>
      <c r="HS61" s="110"/>
      <c r="HT61" s="110"/>
      <c r="HU61" s="110"/>
      <c r="HV61" s="110"/>
      <c r="HW61" s="110"/>
      <c r="HX61" s="110"/>
      <c r="HY61" s="110"/>
      <c r="HZ61" s="110"/>
      <c r="IA61" s="110"/>
      <c r="IB61" s="110"/>
      <c r="IC61" s="110"/>
      <c r="ID61" s="110"/>
      <c r="IE61" s="110"/>
      <c r="IF61" s="110"/>
      <c r="IG61" s="110"/>
      <c r="IH61" s="110"/>
      <c r="II61" s="110"/>
      <c r="IJ61" s="110"/>
      <c r="IK61" s="110"/>
      <c r="IL61" s="110"/>
      <c r="IM61" s="110"/>
      <c r="IN61" s="110"/>
      <c r="IO61" s="110"/>
      <c r="IP61" s="110"/>
      <c r="IQ61" s="110"/>
      <c r="IR61" s="110"/>
      <c r="IS61" s="110"/>
      <c r="IT61" s="110"/>
      <c r="IU61" s="110"/>
      <c r="IV61" s="110"/>
      <c r="IW61" s="110"/>
      <c r="IX61" s="110"/>
      <c r="IY61" s="110"/>
      <c r="IZ61" s="110"/>
      <c r="JA61" s="110"/>
      <c r="JB61" s="110"/>
      <c r="JC61" s="110"/>
      <c r="JD61" s="110"/>
      <c r="JE61" s="110"/>
      <c r="JF61" s="110"/>
      <c r="JG61" s="110"/>
      <c r="JH61" s="110"/>
      <c r="JI61" s="107">
        <f t="shared" si="0"/>
        <v>7871</v>
      </c>
      <c r="JJ61" s="2">
        <v>37271</v>
      </c>
      <c r="JK61" s="110">
        <v>7871</v>
      </c>
      <c r="JL61" s="112">
        <f t="shared" si="1"/>
        <v>0</v>
      </c>
      <c r="JM61" s="112"/>
      <c r="JN61" s="112"/>
      <c r="JO61" s="112"/>
      <c r="JP61" s="112"/>
    </row>
    <row r="62" spans="1:276 1141:1141" x14ac:dyDescent="0.25">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c r="CP62" s="110"/>
      <c r="CQ62" s="110"/>
      <c r="CR62" s="110"/>
      <c r="CS62" s="110"/>
      <c r="CT62" s="110"/>
      <c r="CU62" s="110"/>
      <c r="CV62" s="110"/>
      <c r="CW62" s="110"/>
      <c r="CX62" s="110"/>
      <c r="CY62" s="110"/>
      <c r="CZ62" s="110"/>
      <c r="DA62" s="110"/>
      <c r="DB62" s="110"/>
      <c r="DC62" s="110"/>
      <c r="DD62" s="110"/>
      <c r="DE62" s="110"/>
      <c r="DF62" s="110"/>
      <c r="DG62" s="110"/>
      <c r="DH62" s="110"/>
      <c r="DI62" s="110"/>
      <c r="DJ62" s="110"/>
      <c r="DK62" s="110"/>
      <c r="DL62" s="110"/>
      <c r="DM62" s="110"/>
      <c r="DN62" s="110"/>
      <c r="DO62" s="110"/>
      <c r="DP62" s="110"/>
      <c r="DQ62" s="110"/>
      <c r="DR62" s="110"/>
      <c r="DS62" s="110"/>
      <c r="DT62" s="110"/>
      <c r="DU62" s="110"/>
      <c r="DV62" s="110"/>
      <c r="DW62" s="110"/>
      <c r="DX62" s="110"/>
      <c r="DY62" s="110"/>
      <c r="DZ62" s="110"/>
      <c r="EA62" s="110"/>
      <c r="EB62" s="110"/>
      <c r="EC62" s="110"/>
      <c r="ED62" s="110"/>
      <c r="EE62" s="110"/>
      <c r="EF62" s="110"/>
      <c r="EG62" s="110"/>
      <c r="EH62" s="110"/>
      <c r="EI62" s="110"/>
      <c r="EJ62" s="110"/>
      <c r="EK62" s="110"/>
      <c r="EL62" s="110"/>
      <c r="EM62" s="110"/>
      <c r="EN62" s="110"/>
      <c r="EO62" s="110"/>
      <c r="EP62" s="110"/>
      <c r="EQ62" s="110"/>
      <c r="ER62" s="110"/>
      <c r="ES62" s="110"/>
      <c r="ET62" s="110"/>
      <c r="EU62" s="110"/>
      <c r="EV62" s="110"/>
      <c r="EW62" s="110"/>
      <c r="EX62" s="110"/>
      <c r="EY62" s="110"/>
      <c r="EZ62" s="110"/>
      <c r="FA62" s="110"/>
      <c r="FB62" s="110"/>
      <c r="FC62" s="110"/>
      <c r="FD62" s="110"/>
      <c r="FE62" s="110"/>
      <c r="FF62" s="110"/>
      <c r="FG62" s="110"/>
      <c r="FH62" s="110"/>
      <c r="FI62" s="110"/>
      <c r="FJ62" s="110"/>
      <c r="FK62" s="110"/>
      <c r="FL62" s="110"/>
      <c r="FM62" s="110"/>
      <c r="FN62" s="110"/>
      <c r="FO62" s="110"/>
      <c r="FP62" s="110"/>
      <c r="FQ62" s="110"/>
      <c r="FR62" s="110"/>
      <c r="FS62" s="110"/>
      <c r="FT62" s="110"/>
      <c r="FU62" s="110"/>
      <c r="FV62" s="110"/>
      <c r="FW62" s="110"/>
      <c r="FX62" s="110"/>
      <c r="FY62" s="110"/>
      <c r="FZ62" s="110"/>
      <c r="GA62" s="110"/>
      <c r="GB62" s="110"/>
      <c r="GC62" s="110"/>
      <c r="GD62" s="110"/>
      <c r="GE62" s="110"/>
      <c r="GF62" s="110"/>
      <c r="GG62" s="110"/>
      <c r="GH62" s="110"/>
      <c r="GI62" s="110"/>
      <c r="GJ62" s="110"/>
      <c r="GK62" s="110"/>
      <c r="GL62" s="110"/>
      <c r="GM62" s="110"/>
      <c r="GN62" s="110"/>
      <c r="GO62" s="110"/>
      <c r="GP62" s="110"/>
      <c r="GQ62" s="110"/>
      <c r="GR62" s="110"/>
      <c r="GS62" s="110"/>
      <c r="GT62" s="110"/>
      <c r="GU62" s="110"/>
      <c r="GV62" s="110"/>
      <c r="GW62" s="110"/>
      <c r="GX62" s="110"/>
      <c r="GY62" s="110"/>
      <c r="GZ62" s="110"/>
      <c r="HA62" s="110"/>
      <c r="HB62" s="110"/>
      <c r="HC62" s="110"/>
      <c r="HD62" s="110"/>
      <c r="HE62" s="110"/>
      <c r="HF62" s="110"/>
      <c r="HG62" s="110"/>
      <c r="HH62" s="110"/>
      <c r="HI62" s="110"/>
      <c r="HJ62" s="110"/>
      <c r="HK62" s="110"/>
      <c r="HL62" s="110"/>
      <c r="HM62" s="110"/>
      <c r="HN62" s="110"/>
      <c r="HO62" s="110"/>
      <c r="HP62" s="110"/>
      <c r="HQ62" s="110"/>
      <c r="HR62" s="110"/>
      <c r="HS62" s="110"/>
      <c r="HT62" s="110"/>
      <c r="HU62" s="110"/>
      <c r="HV62" s="110"/>
      <c r="HW62" s="110"/>
      <c r="HX62" s="110"/>
      <c r="HY62" s="110"/>
      <c r="HZ62" s="110"/>
      <c r="IA62" s="110"/>
      <c r="IB62" s="110"/>
      <c r="IC62" s="110"/>
      <c r="ID62" s="110"/>
      <c r="IE62" s="110"/>
      <c r="IF62" s="110"/>
      <c r="IG62" s="110"/>
      <c r="IH62" s="110"/>
      <c r="II62" s="110"/>
      <c r="IJ62" s="110"/>
      <c r="IK62" s="110"/>
      <c r="IL62" s="110"/>
      <c r="IM62" s="110"/>
      <c r="IN62" s="110"/>
      <c r="IO62" s="110"/>
      <c r="IP62" s="110"/>
      <c r="IQ62" s="110"/>
      <c r="IR62" s="110"/>
      <c r="IS62" s="110"/>
      <c r="IT62" s="110"/>
      <c r="IU62" s="110"/>
      <c r="IV62" s="110"/>
      <c r="IW62" s="110"/>
      <c r="IX62" s="110"/>
      <c r="IY62" s="110"/>
      <c r="IZ62" s="110"/>
      <c r="JA62" s="110"/>
      <c r="JB62" s="110"/>
      <c r="JC62" s="110"/>
      <c r="JD62" s="110"/>
      <c r="JE62" s="110"/>
      <c r="JF62" s="110"/>
      <c r="JG62" s="110"/>
      <c r="JH62" s="110"/>
      <c r="JI62" s="107">
        <f t="shared" si="0"/>
        <v>0</v>
      </c>
      <c r="JJ62" s="2"/>
      <c r="JK62" s="110"/>
      <c r="JL62" s="112">
        <f t="shared" si="1"/>
        <v>0</v>
      </c>
      <c r="JM62" s="112"/>
      <c r="JN62" s="112"/>
      <c r="JO62" s="112"/>
      <c r="JP62" s="112"/>
    </row>
    <row r="63" spans="1:276 1141:1141" x14ac:dyDescent="0.25">
      <c r="A63" s="107">
        <f>SUM(A3:A62)</f>
        <v>0</v>
      </c>
      <c r="B63" s="107">
        <f t="shared" ref="B63:BL63" si="4">SUM(B3:B62)</f>
        <v>0</v>
      </c>
      <c r="C63" s="107">
        <f t="shared" si="4"/>
        <v>0</v>
      </c>
      <c r="D63" s="107">
        <f t="shared" si="4"/>
        <v>0</v>
      </c>
      <c r="E63" s="107">
        <f t="shared" si="4"/>
        <v>0</v>
      </c>
      <c r="F63" s="107">
        <f t="shared" si="4"/>
        <v>0</v>
      </c>
      <c r="G63" s="107">
        <f t="shared" si="4"/>
        <v>0</v>
      </c>
      <c r="H63" s="107">
        <f t="shared" si="4"/>
        <v>0</v>
      </c>
      <c r="I63" s="107">
        <f t="shared" si="4"/>
        <v>0</v>
      </c>
      <c r="J63" s="107">
        <f t="shared" si="4"/>
        <v>0</v>
      </c>
      <c r="K63" s="107">
        <f t="shared" si="4"/>
        <v>0</v>
      </c>
      <c r="L63" s="107">
        <f t="shared" si="4"/>
        <v>0</v>
      </c>
      <c r="M63" s="107">
        <f t="shared" si="4"/>
        <v>0</v>
      </c>
      <c r="N63" s="107">
        <f t="shared" si="4"/>
        <v>0</v>
      </c>
      <c r="O63" s="107">
        <f t="shared" si="4"/>
        <v>0</v>
      </c>
      <c r="P63" s="107">
        <f t="shared" si="4"/>
        <v>0</v>
      </c>
      <c r="Q63" s="107">
        <f t="shared" si="4"/>
        <v>0</v>
      </c>
      <c r="R63" s="107">
        <f t="shared" si="4"/>
        <v>0</v>
      </c>
      <c r="S63" s="107">
        <f t="shared" si="4"/>
        <v>0</v>
      </c>
      <c r="T63" s="107">
        <f t="shared" si="4"/>
        <v>0</v>
      </c>
      <c r="U63" s="107">
        <f t="shared" si="4"/>
        <v>0</v>
      </c>
      <c r="V63" s="107">
        <f t="shared" si="4"/>
        <v>0</v>
      </c>
      <c r="W63" s="107">
        <f t="shared" si="4"/>
        <v>0</v>
      </c>
      <c r="X63" s="107">
        <f t="shared" si="4"/>
        <v>0</v>
      </c>
      <c r="Y63" s="107">
        <f t="shared" si="4"/>
        <v>0</v>
      </c>
      <c r="Z63" s="107">
        <f t="shared" si="4"/>
        <v>0</v>
      </c>
      <c r="AA63" s="107">
        <f t="shared" si="4"/>
        <v>0</v>
      </c>
      <c r="AB63" s="107">
        <f t="shared" si="4"/>
        <v>0</v>
      </c>
      <c r="AC63" s="107">
        <f t="shared" si="4"/>
        <v>0</v>
      </c>
      <c r="AD63" s="107">
        <f t="shared" si="4"/>
        <v>0</v>
      </c>
      <c r="AE63" s="107">
        <f t="shared" si="4"/>
        <v>0</v>
      </c>
      <c r="AF63" s="107">
        <f t="shared" si="4"/>
        <v>0</v>
      </c>
      <c r="AG63" s="107">
        <f t="shared" si="4"/>
        <v>0</v>
      </c>
      <c r="AH63" s="107">
        <f t="shared" si="4"/>
        <v>0</v>
      </c>
      <c r="AI63" s="107">
        <f t="shared" si="4"/>
        <v>0</v>
      </c>
      <c r="AJ63" s="107">
        <f t="shared" si="4"/>
        <v>0</v>
      </c>
      <c r="AK63" s="107">
        <f t="shared" si="4"/>
        <v>0</v>
      </c>
      <c r="AL63" s="107">
        <f t="shared" si="4"/>
        <v>0</v>
      </c>
      <c r="AM63" s="107">
        <f t="shared" si="4"/>
        <v>0</v>
      </c>
      <c r="AN63" s="107">
        <f t="shared" si="4"/>
        <v>0</v>
      </c>
      <c r="AO63" s="107">
        <f t="shared" si="4"/>
        <v>0</v>
      </c>
      <c r="AP63" s="107">
        <f t="shared" si="4"/>
        <v>0</v>
      </c>
      <c r="AQ63" s="107">
        <f t="shared" si="4"/>
        <v>211904.05</v>
      </c>
      <c r="AR63" s="107">
        <f t="shared" si="4"/>
        <v>0</v>
      </c>
      <c r="AS63" s="107">
        <f t="shared" si="4"/>
        <v>0</v>
      </c>
      <c r="AT63" s="107">
        <f t="shared" si="4"/>
        <v>0</v>
      </c>
      <c r="AU63" s="107">
        <f t="shared" si="4"/>
        <v>0</v>
      </c>
      <c r="AV63" s="107">
        <f t="shared" si="4"/>
        <v>0</v>
      </c>
      <c r="AW63" s="107">
        <f t="shared" si="4"/>
        <v>1570000</v>
      </c>
      <c r="AX63" s="107">
        <f t="shared" si="4"/>
        <v>0</v>
      </c>
      <c r="AY63" s="107">
        <f t="shared" si="4"/>
        <v>581445</v>
      </c>
      <c r="AZ63" s="107">
        <f t="shared" si="4"/>
        <v>0</v>
      </c>
      <c r="BA63" s="107">
        <f t="shared" si="4"/>
        <v>0</v>
      </c>
      <c r="BB63" s="107">
        <f t="shared" si="4"/>
        <v>0</v>
      </c>
      <c r="BC63" s="107">
        <f t="shared" si="4"/>
        <v>8000</v>
      </c>
      <c r="BD63" s="107">
        <f t="shared" si="4"/>
        <v>0</v>
      </c>
      <c r="BE63" s="107">
        <f t="shared" si="4"/>
        <v>0</v>
      </c>
      <c r="BF63" s="107">
        <f t="shared" si="4"/>
        <v>0</v>
      </c>
      <c r="BG63" s="107">
        <f t="shared" si="4"/>
        <v>0</v>
      </c>
      <c r="BH63" s="107">
        <f t="shared" si="4"/>
        <v>0</v>
      </c>
      <c r="BI63" s="107">
        <f t="shared" si="4"/>
        <v>298861.53999999998</v>
      </c>
      <c r="BJ63" s="107">
        <f t="shared" si="4"/>
        <v>0</v>
      </c>
      <c r="BK63" s="107">
        <f t="shared" si="4"/>
        <v>0</v>
      </c>
      <c r="BL63" s="107">
        <f t="shared" si="4"/>
        <v>0</v>
      </c>
      <c r="BM63" s="107">
        <f t="shared" ref="BM63:DX63" si="5">SUM(BM3:BM62)</f>
        <v>0</v>
      </c>
      <c r="BN63" s="107">
        <f t="shared" si="5"/>
        <v>0</v>
      </c>
      <c r="BO63" s="107">
        <f t="shared" si="5"/>
        <v>0</v>
      </c>
      <c r="BP63" s="107">
        <f t="shared" si="5"/>
        <v>0</v>
      </c>
      <c r="BQ63" s="107">
        <f t="shared" si="5"/>
        <v>0</v>
      </c>
      <c r="BR63" s="107">
        <f t="shared" si="5"/>
        <v>0</v>
      </c>
      <c r="BS63" s="107">
        <f t="shared" si="5"/>
        <v>0</v>
      </c>
      <c r="BT63" s="107">
        <f t="shared" si="5"/>
        <v>0</v>
      </c>
      <c r="BU63" s="107">
        <f t="shared" si="5"/>
        <v>0</v>
      </c>
      <c r="BV63" s="107">
        <f t="shared" si="5"/>
        <v>0</v>
      </c>
      <c r="BW63" s="107">
        <f t="shared" si="5"/>
        <v>0</v>
      </c>
      <c r="BX63" s="107">
        <f t="shared" si="5"/>
        <v>0</v>
      </c>
      <c r="BY63" s="107">
        <f t="shared" si="5"/>
        <v>0</v>
      </c>
      <c r="BZ63" s="107">
        <f t="shared" si="5"/>
        <v>0</v>
      </c>
      <c r="CA63" s="107">
        <f t="shared" si="5"/>
        <v>80673.47</v>
      </c>
      <c r="CB63" s="107">
        <f t="shared" si="5"/>
        <v>0</v>
      </c>
      <c r="CC63" s="107">
        <f t="shared" si="5"/>
        <v>0</v>
      </c>
      <c r="CD63" s="107">
        <f t="shared" si="5"/>
        <v>44551.17</v>
      </c>
      <c r="CE63" s="107">
        <f t="shared" si="5"/>
        <v>0</v>
      </c>
      <c r="CF63" s="107">
        <f t="shared" si="5"/>
        <v>0</v>
      </c>
      <c r="CG63" s="107">
        <f t="shared" si="5"/>
        <v>0</v>
      </c>
      <c r="CH63" s="107">
        <f t="shared" si="5"/>
        <v>460200</v>
      </c>
      <c r="CI63" s="107">
        <f t="shared" si="5"/>
        <v>0</v>
      </c>
      <c r="CJ63" s="107">
        <f t="shared" si="5"/>
        <v>3026.1</v>
      </c>
      <c r="CK63" s="107">
        <f t="shared" si="5"/>
        <v>0</v>
      </c>
      <c r="CL63" s="107">
        <f t="shared" si="5"/>
        <v>616754.71000000008</v>
      </c>
      <c r="CM63" s="107">
        <f t="shared" si="5"/>
        <v>427367.82999999996</v>
      </c>
      <c r="CN63" s="107">
        <f t="shared" si="5"/>
        <v>0</v>
      </c>
      <c r="CO63" s="107">
        <f t="shared" si="5"/>
        <v>0</v>
      </c>
      <c r="CP63" s="107">
        <f t="shared" si="5"/>
        <v>0</v>
      </c>
      <c r="CQ63" s="107">
        <f t="shared" si="5"/>
        <v>0</v>
      </c>
      <c r="CR63" s="107">
        <f t="shared" si="5"/>
        <v>0</v>
      </c>
      <c r="CS63" s="107">
        <f t="shared" si="5"/>
        <v>147500</v>
      </c>
      <c r="CT63" s="107">
        <f t="shared" si="5"/>
        <v>0</v>
      </c>
      <c r="CU63" s="107">
        <f t="shared" si="5"/>
        <v>0</v>
      </c>
      <c r="CV63" s="107">
        <f t="shared" si="5"/>
        <v>0</v>
      </c>
      <c r="CW63" s="107">
        <f t="shared" si="5"/>
        <v>0</v>
      </c>
      <c r="CX63" s="107">
        <f t="shared" si="5"/>
        <v>0</v>
      </c>
      <c r="CY63" s="107">
        <f t="shared" si="5"/>
        <v>0</v>
      </c>
      <c r="CZ63" s="107">
        <f t="shared" si="5"/>
        <v>39530</v>
      </c>
      <c r="DA63" s="107">
        <f t="shared" si="5"/>
        <v>0</v>
      </c>
      <c r="DB63" s="107">
        <f t="shared" si="5"/>
        <v>0</v>
      </c>
      <c r="DC63" s="107">
        <f t="shared" si="5"/>
        <v>0</v>
      </c>
      <c r="DD63" s="107">
        <f t="shared" si="5"/>
        <v>0</v>
      </c>
      <c r="DE63" s="107">
        <f t="shared" si="5"/>
        <v>522341.88</v>
      </c>
      <c r="DF63" s="107">
        <f t="shared" si="5"/>
        <v>0</v>
      </c>
      <c r="DG63" s="107">
        <f t="shared" si="5"/>
        <v>0</v>
      </c>
      <c r="DH63" s="107">
        <f t="shared" si="5"/>
        <v>0</v>
      </c>
      <c r="DI63" s="107">
        <f t="shared" si="5"/>
        <v>0</v>
      </c>
      <c r="DJ63" s="107">
        <f t="shared" si="5"/>
        <v>0</v>
      </c>
      <c r="DK63" s="107">
        <f t="shared" si="5"/>
        <v>360730</v>
      </c>
      <c r="DL63" s="107">
        <f t="shared" si="5"/>
        <v>0</v>
      </c>
      <c r="DM63" s="107">
        <f t="shared" si="5"/>
        <v>0</v>
      </c>
      <c r="DN63" s="107">
        <f t="shared" si="5"/>
        <v>0</v>
      </c>
      <c r="DO63" s="107">
        <f t="shared" si="5"/>
        <v>0</v>
      </c>
      <c r="DP63" s="107">
        <f t="shared" si="5"/>
        <v>0</v>
      </c>
      <c r="DQ63" s="107">
        <f t="shared" si="5"/>
        <v>0</v>
      </c>
      <c r="DR63" s="107">
        <f t="shared" si="5"/>
        <v>0</v>
      </c>
      <c r="DS63" s="107">
        <f t="shared" si="5"/>
        <v>0</v>
      </c>
      <c r="DT63" s="107">
        <f t="shared" si="5"/>
        <v>0</v>
      </c>
      <c r="DU63" s="107">
        <f t="shared" si="5"/>
        <v>0</v>
      </c>
      <c r="DV63" s="107">
        <f t="shared" si="5"/>
        <v>26550</v>
      </c>
      <c r="DW63" s="107">
        <f t="shared" si="5"/>
        <v>0</v>
      </c>
      <c r="DX63" s="107">
        <f t="shared" si="5"/>
        <v>0</v>
      </c>
      <c r="DY63" s="107">
        <f t="shared" ref="DY63:GJ63" si="6">SUM(DY3:DY62)</f>
        <v>0</v>
      </c>
      <c r="DZ63" s="107">
        <f t="shared" si="6"/>
        <v>0</v>
      </c>
      <c r="EA63" s="107">
        <f t="shared" si="6"/>
        <v>152800</v>
      </c>
      <c r="EB63" s="107">
        <f t="shared" si="6"/>
        <v>0</v>
      </c>
      <c r="EC63" s="107">
        <f t="shared" si="6"/>
        <v>0</v>
      </c>
      <c r="ED63" s="107">
        <f t="shared" si="6"/>
        <v>0</v>
      </c>
      <c r="EE63" s="107">
        <f t="shared" si="6"/>
        <v>0</v>
      </c>
      <c r="EF63" s="107">
        <f t="shared" si="6"/>
        <v>0</v>
      </c>
      <c r="EG63" s="107">
        <f t="shared" si="6"/>
        <v>77390.009999999995</v>
      </c>
      <c r="EH63" s="107">
        <f t="shared" si="6"/>
        <v>1483.02</v>
      </c>
      <c r="EI63" s="107">
        <f t="shared" si="6"/>
        <v>0</v>
      </c>
      <c r="EJ63" s="107">
        <f t="shared" si="6"/>
        <v>0</v>
      </c>
      <c r="EK63" s="107">
        <f t="shared" si="6"/>
        <v>0</v>
      </c>
      <c r="EL63" s="107">
        <f t="shared" si="6"/>
        <v>0</v>
      </c>
      <c r="EM63" s="107">
        <f t="shared" si="6"/>
        <v>0</v>
      </c>
      <c r="EN63" s="107">
        <f t="shared" si="6"/>
        <v>20574.93</v>
      </c>
      <c r="EO63" s="107">
        <f t="shared" si="6"/>
        <v>0</v>
      </c>
      <c r="EP63" s="107">
        <f t="shared" si="6"/>
        <v>0</v>
      </c>
      <c r="EQ63" s="107">
        <f t="shared" si="6"/>
        <v>0</v>
      </c>
      <c r="ER63" s="107">
        <f t="shared" si="6"/>
        <v>2100</v>
      </c>
      <c r="ES63" s="107">
        <f t="shared" si="6"/>
        <v>0</v>
      </c>
      <c r="ET63" s="107">
        <f t="shared" si="6"/>
        <v>0</v>
      </c>
      <c r="EU63" s="107">
        <f t="shared" si="6"/>
        <v>0</v>
      </c>
      <c r="EV63" s="107">
        <f t="shared" si="6"/>
        <v>0</v>
      </c>
      <c r="EW63" s="107">
        <f t="shared" si="6"/>
        <v>0</v>
      </c>
      <c r="EX63" s="107">
        <f t="shared" si="6"/>
        <v>0</v>
      </c>
      <c r="EY63" s="107">
        <f t="shared" si="6"/>
        <v>0</v>
      </c>
      <c r="EZ63" s="107">
        <f t="shared" si="6"/>
        <v>0</v>
      </c>
      <c r="FA63" s="107">
        <f t="shared" si="6"/>
        <v>172000</v>
      </c>
      <c r="FB63" s="107">
        <f t="shared" si="6"/>
        <v>0</v>
      </c>
      <c r="FC63" s="107">
        <f t="shared" si="6"/>
        <v>0</v>
      </c>
      <c r="FD63" s="107">
        <f t="shared" si="6"/>
        <v>45276</v>
      </c>
      <c r="FE63" s="107">
        <f t="shared" si="6"/>
        <v>0</v>
      </c>
      <c r="FF63" s="107">
        <f t="shared" si="6"/>
        <v>0</v>
      </c>
      <c r="FG63" s="107">
        <f t="shared" si="6"/>
        <v>0</v>
      </c>
      <c r="FH63" s="107">
        <f t="shared" si="6"/>
        <v>0</v>
      </c>
      <c r="FI63" s="107">
        <f t="shared" si="6"/>
        <v>0</v>
      </c>
      <c r="FJ63" s="107">
        <f t="shared" si="6"/>
        <v>0</v>
      </c>
      <c r="FK63" s="107">
        <f t="shared" si="6"/>
        <v>0</v>
      </c>
      <c r="FL63" s="107">
        <f t="shared" si="6"/>
        <v>0</v>
      </c>
      <c r="FM63" s="107">
        <f t="shared" si="6"/>
        <v>0</v>
      </c>
      <c r="FN63" s="107">
        <f t="shared" si="6"/>
        <v>827239</v>
      </c>
      <c r="FO63" s="107">
        <f t="shared" si="6"/>
        <v>0</v>
      </c>
      <c r="FP63" s="107">
        <f t="shared" si="6"/>
        <v>0</v>
      </c>
      <c r="FQ63" s="107">
        <f t="shared" si="6"/>
        <v>1230740</v>
      </c>
      <c r="FR63" s="107">
        <f t="shared" si="6"/>
        <v>0</v>
      </c>
      <c r="FS63" s="107">
        <f t="shared" si="6"/>
        <v>0</v>
      </c>
      <c r="FT63" s="107">
        <f t="shared" si="6"/>
        <v>168800</v>
      </c>
      <c r="FU63" s="107">
        <f t="shared" si="6"/>
        <v>0</v>
      </c>
      <c r="FV63" s="107">
        <f t="shared" si="6"/>
        <v>0</v>
      </c>
      <c r="FW63" s="107">
        <f t="shared" si="6"/>
        <v>62731.97</v>
      </c>
      <c r="FX63" s="107">
        <f t="shared" si="6"/>
        <v>0</v>
      </c>
      <c r="FY63" s="107">
        <f t="shared" si="6"/>
        <v>149740</v>
      </c>
      <c r="FZ63" s="107">
        <f t="shared" si="6"/>
        <v>34881</v>
      </c>
      <c r="GA63" s="107">
        <f t="shared" si="6"/>
        <v>109357.45999999999</v>
      </c>
      <c r="GB63" s="107">
        <f t="shared" si="6"/>
        <v>2230.48</v>
      </c>
      <c r="GC63" s="107">
        <f t="shared" si="6"/>
        <v>30371</v>
      </c>
      <c r="GD63" s="107">
        <f t="shared" si="6"/>
        <v>37200</v>
      </c>
      <c r="GE63" s="107">
        <f t="shared" si="6"/>
        <v>0</v>
      </c>
      <c r="GF63" s="107">
        <f t="shared" si="6"/>
        <v>0</v>
      </c>
      <c r="GG63" s="107">
        <f t="shared" si="6"/>
        <v>0</v>
      </c>
      <c r="GH63" s="107">
        <f t="shared" si="6"/>
        <v>0</v>
      </c>
      <c r="GI63" s="107">
        <f t="shared" si="6"/>
        <v>0</v>
      </c>
      <c r="GJ63" s="107">
        <f t="shared" si="6"/>
        <v>0</v>
      </c>
      <c r="GK63" s="107">
        <f t="shared" ref="GK63:IV63" si="7">SUM(GK3:GK62)</f>
        <v>0</v>
      </c>
      <c r="GL63" s="107">
        <f t="shared" si="7"/>
        <v>0</v>
      </c>
      <c r="GM63" s="107">
        <f t="shared" si="7"/>
        <v>0</v>
      </c>
      <c r="GN63" s="107">
        <f t="shared" si="7"/>
        <v>0</v>
      </c>
      <c r="GO63" s="107">
        <f t="shared" si="7"/>
        <v>389046</v>
      </c>
      <c r="GP63" s="107">
        <f t="shared" si="7"/>
        <v>0</v>
      </c>
      <c r="GQ63" s="107">
        <f t="shared" si="7"/>
        <v>0</v>
      </c>
      <c r="GR63" s="107">
        <f t="shared" si="7"/>
        <v>0</v>
      </c>
      <c r="GS63" s="107">
        <f t="shared" si="7"/>
        <v>0</v>
      </c>
      <c r="GT63" s="107">
        <f t="shared" si="7"/>
        <v>0</v>
      </c>
      <c r="GU63" s="107">
        <f t="shared" si="7"/>
        <v>0</v>
      </c>
      <c r="GV63" s="107">
        <f t="shared" si="7"/>
        <v>0</v>
      </c>
      <c r="GW63" s="107">
        <f t="shared" si="7"/>
        <v>0</v>
      </c>
      <c r="GX63" s="107">
        <f t="shared" si="7"/>
        <v>0</v>
      </c>
      <c r="GY63" s="107">
        <f t="shared" si="7"/>
        <v>0</v>
      </c>
      <c r="GZ63" s="107">
        <f t="shared" si="7"/>
        <v>0</v>
      </c>
      <c r="HA63" s="107">
        <f t="shared" si="7"/>
        <v>0</v>
      </c>
      <c r="HB63" s="107">
        <f t="shared" si="7"/>
        <v>0</v>
      </c>
      <c r="HC63" s="107">
        <f t="shared" si="7"/>
        <v>0</v>
      </c>
      <c r="HD63" s="107">
        <f t="shared" si="7"/>
        <v>272200</v>
      </c>
      <c r="HE63" s="107">
        <f t="shared" si="7"/>
        <v>0</v>
      </c>
      <c r="HF63" s="107">
        <f t="shared" si="7"/>
        <v>0</v>
      </c>
      <c r="HG63" s="107">
        <f t="shared" si="7"/>
        <v>0</v>
      </c>
      <c r="HH63" s="107">
        <f t="shared" si="7"/>
        <v>0</v>
      </c>
      <c r="HI63" s="107">
        <f t="shared" si="7"/>
        <v>10500.01</v>
      </c>
      <c r="HJ63" s="107">
        <f t="shared" si="7"/>
        <v>0</v>
      </c>
      <c r="HK63" s="107">
        <f t="shared" si="7"/>
        <v>0</v>
      </c>
      <c r="HL63" s="107">
        <f t="shared" si="7"/>
        <v>58764</v>
      </c>
      <c r="HM63" s="107">
        <f t="shared" si="7"/>
        <v>0</v>
      </c>
      <c r="HN63" s="107">
        <f t="shared" si="7"/>
        <v>0</v>
      </c>
      <c r="HO63" s="107">
        <f t="shared" si="7"/>
        <v>0</v>
      </c>
      <c r="HP63" s="107">
        <f t="shared" si="7"/>
        <v>0</v>
      </c>
      <c r="HQ63" s="107">
        <f t="shared" si="7"/>
        <v>0</v>
      </c>
      <c r="HR63" s="107">
        <f t="shared" si="7"/>
        <v>0</v>
      </c>
      <c r="HS63" s="107">
        <f t="shared" si="7"/>
        <v>0</v>
      </c>
      <c r="HT63" s="107">
        <f t="shared" si="7"/>
        <v>0</v>
      </c>
      <c r="HU63" s="107">
        <f t="shared" si="7"/>
        <v>0</v>
      </c>
      <c r="HV63" s="107">
        <f t="shared" si="7"/>
        <v>0</v>
      </c>
      <c r="HW63" s="107">
        <f t="shared" si="7"/>
        <v>0</v>
      </c>
      <c r="HX63" s="107">
        <f t="shared" si="7"/>
        <v>0</v>
      </c>
      <c r="HY63" s="107">
        <f t="shared" si="7"/>
        <v>0</v>
      </c>
      <c r="HZ63" s="107">
        <f t="shared" si="7"/>
        <v>0</v>
      </c>
      <c r="IA63" s="107">
        <f t="shared" si="7"/>
        <v>0</v>
      </c>
      <c r="IB63" s="107">
        <f t="shared" si="7"/>
        <v>0</v>
      </c>
      <c r="IC63" s="107">
        <f t="shared" si="7"/>
        <v>0</v>
      </c>
      <c r="ID63" s="107">
        <f t="shared" si="7"/>
        <v>0</v>
      </c>
      <c r="IE63" s="107">
        <f t="shared" si="7"/>
        <v>0</v>
      </c>
      <c r="IF63" s="107">
        <f t="shared" si="7"/>
        <v>0</v>
      </c>
      <c r="IG63" s="107">
        <f t="shared" si="7"/>
        <v>0</v>
      </c>
      <c r="IH63" s="107">
        <f t="shared" si="7"/>
        <v>0</v>
      </c>
      <c r="II63" s="107">
        <f t="shared" si="7"/>
        <v>0</v>
      </c>
      <c r="IJ63" s="107">
        <f t="shared" si="7"/>
        <v>0</v>
      </c>
      <c r="IK63" s="107">
        <f t="shared" si="7"/>
        <v>0</v>
      </c>
      <c r="IL63" s="107">
        <f t="shared" si="7"/>
        <v>0</v>
      </c>
      <c r="IM63" s="107">
        <f t="shared" si="7"/>
        <v>0</v>
      </c>
      <c r="IN63" s="107">
        <f t="shared" si="7"/>
        <v>0</v>
      </c>
      <c r="IO63" s="107">
        <f t="shared" si="7"/>
        <v>0</v>
      </c>
      <c r="IP63" s="107">
        <f t="shared" si="7"/>
        <v>0</v>
      </c>
      <c r="IQ63" s="107">
        <f t="shared" si="7"/>
        <v>0</v>
      </c>
      <c r="IR63" s="107">
        <f t="shared" si="7"/>
        <v>0</v>
      </c>
      <c r="IS63" s="107">
        <f t="shared" si="7"/>
        <v>0</v>
      </c>
      <c r="IT63" s="107">
        <f t="shared" si="7"/>
        <v>0</v>
      </c>
      <c r="IU63" s="107">
        <f t="shared" si="7"/>
        <v>0</v>
      </c>
      <c r="IV63" s="107">
        <f t="shared" si="7"/>
        <v>0</v>
      </c>
      <c r="IW63" s="107">
        <f t="shared" ref="IW63:JG63" si="8">SUM(IW3:IW62)</f>
        <v>0</v>
      </c>
      <c r="IX63" s="107">
        <f t="shared" si="8"/>
        <v>0</v>
      </c>
      <c r="IY63" s="107">
        <f t="shared" si="8"/>
        <v>0</v>
      </c>
      <c r="IZ63" s="107">
        <f t="shared" si="8"/>
        <v>0</v>
      </c>
      <c r="JA63" s="107">
        <f t="shared" si="8"/>
        <v>0</v>
      </c>
      <c r="JB63" s="107">
        <f t="shared" si="8"/>
        <v>0</v>
      </c>
      <c r="JC63" s="107">
        <f t="shared" si="8"/>
        <v>0</v>
      </c>
      <c r="JD63" s="107">
        <f t="shared" si="8"/>
        <v>0</v>
      </c>
      <c r="JE63" s="107">
        <f t="shared" si="8"/>
        <v>0</v>
      </c>
      <c r="JF63" s="107">
        <f t="shared" si="8"/>
        <v>0</v>
      </c>
      <c r="JG63" s="107">
        <f t="shared" si="8"/>
        <v>0</v>
      </c>
      <c r="JH63" s="107">
        <f>SUM(JH3:JH62)</f>
        <v>0</v>
      </c>
      <c r="JI63" s="107">
        <f>SUM(JI3:JI62)</f>
        <v>9254860.6300000045</v>
      </c>
      <c r="JJ63" s="1"/>
      <c r="JK63" s="2"/>
      <c r="JL63" s="112"/>
    </row>
    <row r="64" spans="1:276 1141:1141" s="127" customFormat="1" x14ac:dyDescent="0.25">
      <c r="A64" s="409">
        <f>+A63</f>
        <v>0</v>
      </c>
      <c r="B64" s="409">
        <f t="shared" ref="B64:BM64" si="9">+B63</f>
        <v>0</v>
      </c>
      <c r="C64" s="409">
        <f t="shared" si="9"/>
        <v>0</v>
      </c>
      <c r="D64" s="409">
        <f t="shared" si="9"/>
        <v>0</v>
      </c>
      <c r="E64" s="409">
        <f t="shared" si="9"/>
        <v>0</v>
      </c>
      <c r="F64" s="409">
        <f t="shared" si="9"/>
        <v>0</v>
      </c>
      <c r="G64" s="409">
        <f t="shared" si="9"/>
        <v>0</v>
      </c>
      <c r="H64" s="409">
        <f t="shared" si="9"/>
        <v>0</v>
      </c>
      <c r="I64" s="409">
        <f t="shared" si="9"/>
        <v>0</v>
      </c>
      <c r="J64" s="409">
        <f t="shared" si="9"/>
        <v>0</v>
      </c>
      <c r="K64" s="409">
        <f t="shared" si="9"/>
        <v>0</v>
      </c>
      <c r="L64" s="409">
        <f t="shared" si="9"/>
        <v>0</v>
      </c>
      <c r="M64" s="409">
        <f t="shared" si="9"/>
        <v>0</v>
      </c>
      <c r="N64" s="409">
        <f t="shared" si="9"/>
        <v>0</v>
      </c>
      <c r="O64" s="409">
        <f t="shared" si="9"/>
        <v>0</v>
      </c>
      <c r="P64" s="409">
        <f t="shared" si="9"/>
        <v>0</v>
      </c>
      <c r="Q64" s="409">
        <f t="shared" si="9"/>
        <v>0</v>
      </c>
      <c r="R64" s="409">
        <f t="shared" si="9"/>
        <v>0</v>
      </c>
      <c r="S64" s="409">
        <f t="shared" si="9"/>
        <v>0</v>
      </c>
      <c r="T64" s="409">
        <f t="shared" si="9"/>
        <v>0</v>
      </c>
      <c r="U64" s="409">
        <f t="shared" si="9"/>
        <v>0</v>
      </c>
      <c r="V64" s="409">
        <f t="shared" si="9"/>
        <v>0</v>
      </c>
      <c r="W64" s="409">
        <f t="shared" si="9"/>
        <v>0</v>
      </c>
      <c r="X64" s="409">
        <f t="shared" si="9"/>
        <v>0</v>
      </c>
      <c r="Y64" s="409">
        <f t="shared" si="9"/>
        <v>0</v>
      </c>
      <c r="Z64" s="409">
        <f t="shared" si="9"/>
        <v>0</v>
      </c>
      <c r="AA64" s="409">
        <f t="shared" si="9"/>
        <v>0</v>
      </c>
      <c r="AB64" s="409">
        <f t="shared" si="9"/>
        <v>0</v>
      </c>
      <c r="AC64" s="409">
        <f t="shared" si="9"/>
        <v>0</v>
      </c>
      <c r="AD64" s="409">
        <f t="shared" si="9"/>
        <v>0</v>
      </c>
      <c r="AE64" s="409">
        <f t="shared" si="9"/>
        <v>0</v>
      </c>
      <c r="AF64" s="409">
        <f t="shared" si="9"/>
        <v>0</v>
      </c>
      <c r="AG64" s="409">
        <f t="shared" si="9"/>
        <v>0</v>
      </c>
      <c r="AH64" s="409">
        <f t="shared" si="9"/>
        <v>0</v>
      </c>
      <c r="AI64" s="409">
        <f t="shared" si="9"/>
        <v>0</v>
      </c>
      <c r="AJ64" s="409">
        <f t="shared" si="9"/>
        <v>0</v>
      </c>
      <c r="AK64" s="409">
        <f t="shared" si="9"/>
        <v>0</v>
      </c>
      <c r="AL64" s="409">
        <f t="shared" si="9"/>
        <v>0</v>
      </c>
      <c r="AM64" s="409">
        <f t="shared" si="9"/>
        <v>0</v>
      </c>
      <c r="AN64" s="409">
        <f t="shared" si="9"/>
        <v>0</v>
      </c>
      <c r="AO64" s="409">
        <f t="shared" si="9"/>
        <v>0</v>
      </c>
      <c r="AP64" s="409">
        <f t="shared" si="9"/>
        <v>0</v>
      </c>
      <c r="AQ64" s="409">
        <f t="shared" si="9"/>
        <v>211904.05</v>
      </c>
      <c r="AR64" s="409">
        <f t="shared" si="9"/>
        <v>0</v>
      </c>
      <c r="AS64" s="409">
        <f t="shared" si="9"/>
        <v>0</v>
      </c>
      <c r="AT64" s="409">
        <f t="shared" si="9"/>
        <v>0</v>
      </c>
      <c r="AU64" s="409">
        <f t="shared" si="9"/>
        <v>0</v>
      </c>
      <c r="AV64" s="409">
        <f t="shared" si="9"/>
        <v>0</v>
      </c>
      <c r="AW64" s="409">
        <f t="shared" si="9"/>
        <v>1570000</v>
      </c>
      <c r="AX64" s="409">
        <f t="shared" si="9"/>
        <v>0</v>
      </c>
      <c r="AY64" s="409">
        <f t="shared" si="9"/>
        <v>581445</v>
      </c>
      <c r="AZ64" s="409">
        <f t="shared" si="9"/>
        <v>0</v>
      </c>
      <c r="BA64" s="409">
        <f t="shared" si="9"/>
        <v>0</v>
      </c>
      <c r="BB64" s="409">
        <f t="shared" si="9"/>
        <v>0</v>
      </c>
      <c r="BC64" s="409">
        <f t="shared" si="9"/>
        <v>8000</v>
      </c>
      <c r="BD64" s="409">
        <f t="shared" si="9"/>
        <v>0</v>
      </c>
      <c r="BE64" s="409">
        <f t="shared" si="9"/>
        <v>0</v>
      </c>
      <c r="BF64" s="409">
        <f t="shared" si="9"/>
        <v>0</v>
      </c>
      <c r="BG64" s="409">
        <f t="shared" si="9"/>
        <v>0</v>
      </c>
      <c r="BH64" s="409">
        <f t="shared" si="9"/>
        <v>0</v>
      </c>
      <c r="BI64" s="409">
        <f t="shared" si="9"/>
        <v>298861.53999999998</v>
      </c>
      <c r="BJ64" s="409">
        <f t="shared" si="9"/>
        <v>0</v>
      </c>
      <c r="BK64" s="409">
        <f t="shared" si="9"/>
        <v>0</v>
      </c>
      <c r="BL64" s="409">
        <f t="shared" si="9"/>
        <v>0</v>
      </c>
      <c r="BM64" s="409">
        <f t="shared" si="9"/>
        <v>0</v>
      </c>
      <c r="BN64" s="409">
        <f t="shared" ref="BN64:DY64" si="10">+BN63</f>
        <v>0</v>
      </c>
      <c r="BO64" s="409">
        <f t="shared" si="10"/>
        <v>0</v>
      </c>
      <c r="BP64" s="409">
        <f t="shared" si="10"/>
        <v>0</v>
      </c>
      <c r="BQ64" s="409">
        <f t="shared" si="10"/>
        <v>0</v>
      </c>
      <c r="BR64" s="409">
        <f t="shared" si="10"/>
        <v>0</v>
      </c>
      <c r="BS64" s="409">
        <f t="shared" si="10"/>
        <v>0</v>
      </c>
      <c r="BT64" s="409">
        <f t="shared" si="10"/>
        <v>0</v>
      </c>
      <c r="BU64" s="409">
        <f t="shared" si="10"/>
        <v>0</v>
      </c>
      <c r="BV64" s="409">
        <f t="shared" si="10"/>
        <v>0</v>
      </c>
      <c r="BW64" s="409">
        <f t="shared" si="10"/>
        <v>0</v>
      </c>
      <c r="BX64" s="409">
        <f t="shared" si="10"/>
        <v>0</v>
      </c>
      <c r="BY64" s="409">
        <f t="shared" si="10"/>
        <v>0</v>
      </c>
      <c r="BZ64" s="409">
        <f t="shared" si="10"/>
        <v>0</v>
      </c>
      <c r="CA64" s="409">
        <f t="shared" si="10"/>
        <v>80673.47</v>
      </c>
      <c r="CB64" s="409">
        <f t="shared" si="10"/>
        <v>0</v>
      </c>
      <c r="CC64" s="409">
        <f t="shared" si="10"/>
        <v>0</v>
      </c>
      <c r="CD64" s="409">
        <f t="shared" si="10"/>
        <v>44551.17</v>
      </c>
      <c r="CE64" s="409">
        <f t="shared" si="10"/>
        <v>0</v>
      </c>
      <c r="CF64" s="409">
        <f t="shared" si="10"/>
        <v>0</v>
      </c>
      <c r="CG64" s="409">
        <f t="shared" si="10"/>
        <v>0</v>
      </c>
      <c r="CH64" s="409">
        <f t="shared" si="10"/>
        <v>460200</v>
      </c>
      <c r="CI64" s="409">
        <f t="shared" si="10"/>
        <v>0</v>
      </c>
      <c r="CJ64" s="409">
        <f t="shared" si="10"/>
        <v>3026.1</v>
      </c>
      <c r="CK64" s="409">
        <f t="shared" si="10"/>
        <v>0</v>
      </c>
      <c r="CL64" s="409">
        <f t="shared" si="10"/>
        <v>616754.71000000008</v>
      </c>
      <c r="CM64" s="409">
        <f t="shared" si="10"/>
        <v>427367.82999999996</v>
      </c>
      <c r="CN64" s="409">
        <f t="shared" si="10"/>
        <v>0</v>
      </c>
      <c r="CO64" s="409">
        <f t="shared" si="10"/>
        <v>0</v>
      </c>
      <c r="CP64" s="409">
        <f t="shared" si="10"/>
        <v>0</v>
      </c>
      <c r="CQ64" s="409">
        <f t="shared" si="10"/>
        <v>0</v>
      </c>
      <c r="CR64" s="409">
        <f t="shared" si="10"/>
        <v>0</v>
      </c>
      <c r="CS64" s="409">
        <f t="shared" si="10"/>
        <v>147500</v>
      </c>
      <c r="CT64" s="409">
        <f t="shared" si="10"/>
        <v>0</v>
      </c>
      <c r="CU64" s="409">
        <f t="shared" si="10"/>
        <v>0</v>
      </c>
      <c r="CV64" s="409">
        <f t="shared" si="10"/>
        <v>0</v>
      </c>
      <c r="CW64" s="409">
        <f t="shared" si="10"/>
        <v>0</v>
      </c>
      <c r="CX64" s="409">
        <f t="shared" si="10"/>
        <v>0</v>
      </c>
      <c r="CY64" s="409">
        <f t="shared" si="10"/>
        <v>0</v>
      </c>
      <c r="CZ64" s="409">
        <f t="shared" si="10"/>
        <v>39530</v>
      </c>
      <c r="DA64" s="409">
        <f t="shared" si="10"/>
        <v>0</v>
      </c>
      <c r="DB64" s="409">
        <f t="shared" si="10"/>
        <v>0</v>
      </c>
      <c r="DC64" s="409">
        <f t="shared" si="10"/>
        <v>0</v>
      </c>
      <c r="DD64" s="409">
        <f t="shared" si="10"/>
        <v>0</v>
      </c>
      <c r="DE64" s="409">
        <f t="shared" si="10"/>
        <v>522341.88</v>
      </c>
      <c r="DF64" s="409">
        <f t="shared" si="10"/>
        <v>0</v>
      </c>
      <c r="DG64" s="409">
        <f t="shared" si="10"/>
        <v>0</v>
      </c>
      <c r="DH64" s="409">
        <f t="shared" si="10"/>
        <v>0</v>
      </c>
      <c r="DI64" s="409">
        <f t="shared" si="10"/>
        <v>0</v>
      </c>
      <c r="DJ64" s="409">
        <f t="shared" si="10"/>
        <v>0</v>
      </c>
      <c r="DK64" s="409">
        <f t="shared" si="10"/>
        <v>360730</v>
      </c>
      <c r="DL64" s="409">
        <f t="shared" si="10"/>
        <v>0</v>
      </c>
      <c r="DM64" s="409">
        <f t="shared" si="10"/>
        <v>0</v>
      </c>
      <c r="DN64" s="409">
        <f t="shared" si="10"/>
        <v>0</v>
      </c>
      <c r="DO64" s="409">
        <f t="shared" si="10"/>
        <v>0</v>
      </c>
      <c r="DP64" s="409">
        <f t="shared" si="10"/>
        <v>0</v>
      </c>
      <c r="DQ64" s="409">
        <f t="shared" si="10"/>
        <v>0</v>
      </c>
      <c r="DR64" s="409">
        <f t="shared" si="10"/>
        <v>0</v>
      </c>
      <c r="DS64" s="409">
        <f t="shared" si="10"/>
        <v>0</v>
      </c>
      <c r="DT64" s="409">
        <f t="shared" si="10"/>
        <v>0</v>
      </c>
      <c r="DU64" s="409">
        <f t="shared" si="10"/>
        <v>0</v>
      </c>
      <c r="DV64" s="409">
        <f t="shared" si="10"/>
        <v>26550</v>
      </c>
      <c r="DW64" s="409">
        <f t="shared" si="10"/>
        <v>0</v>
      </c>
      <c r="DX64" s="409">
        <f t="shared" si="10"/>
        <v>0</v>
      </c>
      <c r="DY64" s="409">
        <f t="shared" si="10"/>
        <v>0</v>
      </c>
      <c r="DZ64" s="409">
        <f t="shared" ref="DZ64:GK64" si="11">+DZ63</f>
        <v>0</v>
      </c>
      <c r="EA64" s="409">
        <f t="shared" si="11"/>
        <v>152800</v>
      </c>
      <c r="EB64" s="409">
        <f t="shared" si="11"/>
        <v>0</v>
      </c>
      <c r="EC64" s="409">
        <f t="shared" si="11"/>
        <v>0</v>
      </c>
      <c r="ED64" s="409">
        <f t="shared" si="11"/>
        <v>0</v>
      </c>
      <c r="EE64" s="409">
        <f t="shared" si="11"/>
        <v>0</v>
      </c>
      <c r="EF64" s="409">
        <f t="shared" si="11"/>
        <v>0</v>
      </c>
      <c r="EG64" s="409">
        <f t="shared" si="11"/>
        <v>77390.009999999995</v>
      </c>
      <c r="EH64" s="409">
        <f t="shared" si="11"/>
        <v>1483.02</v>
      </c>
      <c r="EI64" s="409">
        <f t="shared" si="11"/>
        <v>0</v>
      </c>
      <c r="EJ64" s="409">
        <f t="shared" si="11"/>
        <v>0</v>
      </c>
      <c r="EK64" s="409">
        <f t="shared" si="11"/>
        <v>0</v>
      </c>
      <c r="EL64" s="409">
        <f t="shared" si="11"/>
        <v>0</v>
      </c>
      <c r="EM64" s="409">
        <f t="shared" si="11"/>
        <v>0</v>
      </c>
      <c r="EN64" s="409">
        <f t="shared" si="11"/>
        <v>20574.93</v>
      </c>
      <c r="EO64" s="409">
        <f t="shared" si="11"/>
        <v>0</v>
      </c>
      <c r="EP64" s="409">
        <f t="shared" si="11"/>
        <v>0</v>
      </c>
      <c r="EQ64" s="409">
        <f t="shared" si="11"/>
        <v>0</v>
      </c>
      <c r="ER64" s="409">
        <f t="shared" si="11"/>
        <v>2100</v>
      </c>
      <c r="ES64" s="409">
        <f t="shared" si="11"/>
        <v>0</v>
      </c>
      <c r="ET64" s="409">
        <f t="shared" si="11"/>
        <v>0</v>
      </c>
      <c r="EU64" s="409">
        <f t="shared" si="11"/>
        <v>0</v>
      </c>
      <c r="EV64" s="409">
        <f t="shared" si="11"/>
        <v>0</v>
      </c>
      <c r="EW64" s="409">
        <f t="shared" si="11"/>
        <v>0</v>
      </c>
      <c r="EX64" s="409">
        <f t="shared" si="11"/>
        <v>0</v>
      </c>
      <c r="EY64" s="409">
        <f t="shared" si="11"/>
        <v>0</v>
      </c>
      <c r="EZ64" s="409">
        <f t="shared" si="11"/>
        <v>0</v>
      </c>
      <c r="FA64" s="409">
        <f t="shared" si="11"/>
        <v>172000</v>
      </c>
      <c r="FB64" s="409">
        <f t="shared" si="11"/>
        <v>0</v>
      </c>
      <c r="FC64" s="409">
        <f t="shared" si="11"/>
        <v>0</v>
      </c>
      <c r="FD64" s="409">
        <f t="shared" si="11"/>
        <v>45276</v>
      </c>
      <c r="FE64" s="409">
        <f t="shared" si="11"/>
        <v>0</v>
      </c>
      <c r="FF64" s="409">
        <f t="shared" si="11"/>
        <v>0</v>
      </c>
      <c r="FG64" s="409">
        <f t="shared" si="11"/>
        <v>0</v>
      </c>
      <c r="FH64" s="409">
        <f t="shared" si="11"/>
        <v>0</v>
      </c>
      <c r="FI64" s="409">
        <f t="shared" si="11"/>
        <v>0</v>
      </c>
      <c r="FJ64" s="409">
        <f t="shared" si="11"/>
        <v>0</v>
      </c>
      <c r="FK64" s="409">
        <f t="shared" si="11"/>
        <v>0</v>
      </c>
      <c r="FL64" s="409">
        <f t="shared" si="11"/>
        <v>0</v>
      </c>
      <c r="FM64" s="409">
        <f t="shared" si="11"/>
        <v>0</v>
      </c>
      <c r="FN64" s="409">
        <f t="shared" si="11"/>
        <v>827239</v>
      </c>
      <c r="FO64" s="409">
        <f t="shared" si="11"/>
        <v>0</v>
      </c>
      <c r="FP64" s="409">
        <f t="shared" si="11"/>
        <v>0</v>
      </c>
      <c r="FQ64" s="409">
        <f t="shared" si="11"/>
        <v>1230740</v>
      </c>
      <c r="FR64" s="409">
        <f t="shared" si="11"/>
        <v>0</v>
      </c>
      <c r="FS64" s="409">
        <f t="shared" si="11"/>
        <v>0</v>
      </c>
      <c r="FT64" s="409">
        <f t="shared" si="11"/>
        <v>168800</v>
      </c>
      <c r="FU64" s="409">
        <f t="shared" si="11"/>
        <v>0</v>
      </c>
      <c r="FV64" s="409">
        <f t="shared" si="11"/>
        <v>0</v>
      </c>
      <c r="FW64" s="409">
        <f t="shared" si="11"/>
        <v>62731.97</v>
      </c>
      <c r="FX64" s="409">
        <f t="shared" si="11"/>
        <v>0</v>
      </c>
      <c r="FY64" s="409">
        <f t="shared" si="11"/>
        <v>149740</v>
      </c>
      <c r="FZ64" s="409">
        <f t="shared" si="11"/>
        <v>34881</v>
      </c>
      <c r="GA64" s="409">
        <f t="shared" si="11"/>
        <v>109357.45999999999</v>
      </c>
      <c r="GB64" s="409">
        <f t="shared" si="11"/>
        <v>2230.48</v>
      </c>
      <c r="GC64" s="409">
        <f t="shared" si="11"/>
        <v>30371</v>
      </c>
      <c r="GD64" s="409">
        <f t="shared" si="11"/>
        <v>37200</v>
      </c>
      <c r="GE64" s="409">
        <f t="shared" si="11"/>
        <v>0</v>
      </c>
      <c r="GF64" s="409">
        <f t="shared" si="11"/>
        <v>0</v>
      </c>
      <c r="GG64" s="409">
        <f t="shared" si="11"/>
        <v>0</v>
      </c>
      <c r="GH64" s="409">
        <f t="shared" si="11"/>
        <v>0</v>
      </c>
      <c r="GI64" s="409">
        <f t="shared" si="11"/>
        <v>0</v>
      </c>
      <c r="GJ64" s="409">
        <f t="shared" si="11"/>
        <v>0</v>
      </c>
      <c r="GK64" s="409">
        <f t="shared" si="11"/>
        <v>0</v>
      </c>
      <c r="GL64" s="409">
        <f t="shared" ref="GL64:IW64" si="12">+GL63</f>
        <v>0</v>
      </c>
      <c r="GM64" s="409">
        <f t="shared" si="12"/>
        <v>0</v>
      </c>
      <c r="GN64" s="409">
        <f t="shared" si="12"/>
        <v>0</v>
      </c>
      <c r="GO64" s="409">
        <f t="shared" si="12"/>
        <v>389046</v>
      </c>
      <c r="GP64" s="409">
        <f t="shared" si="12"/>
        <v>0</v>
      </c>
      <c r="GQ64" s="409">
        <f t="shared" si="12"/>
        <v>0</v>
      </c>
      <c r="GR64" s="409">
        <f t="shared" si="12"/>
        <v>0</v>
      </c>
      <c r="GS64" s="409">
        <f t="shared" si="12"/>
        <v>0</v>
      </c>
      <c r="GT64" s="409">
        <f t="shared" si="12"/>
        <v>0</v>
      </c>
      <c r="GU64" s="409">
        <f t="shared" si="12"/>
        <v>0</v>
      </c>
      <c r="GV64" s="409">
        <f t="shared" si="12"/>
        <v>0</v>
      </c>
      <c r="GW64" s="409">
        <f t="shared" si="12"/>
        <v>0</v>
      </c>
      <c r="GX64" s="409">
        <f t="shared" si="12"/>
        <v>0</v>
      </c>
      <c r="GY64" s="409">
        <f t="shared" si="12"/>
        <v>0</v>
      </c>
      <c r="GZ64" s="409">
        <f t="shared" si="12"/>
        <v>0</v>
      </c>
      <c r="HA64" s="409">
        <f t="shared" si="12"/>
        <v>0</v>
      </c>
      <c r="HB64" s="409">
        <f t="shared" si="12"/>
        <v>0</v>
      </c>
      <c r="HC64" s="409">
        <f t="shared" si="12"/>
        <v>0</v>
      </c>
      <c r="HD64" s="409">
        <f t="shared" si="12"/>
        <v>272200</v>
      </c>
      <c r="HE64" s="409">
        <f t="shared" si="12"/>
        <v>0</v>
      </c>
      <c r="HF64" s="409">
        <f t="shared" si="12"/>
        <v>0</v>
      </c>
      <c r="HG64" s="409">
        <f t="shared" si="12"/>
        <v>0</v>
      </c>
      <c r="HH64" s="409">
        <f t="shared" si="12"/>
        <v>0</v>
      </c>
      <c r="HI64" s="409">
        <f t="shared" si="12"/>
        <v>10500.01</v>
      </c>
      <c r="HJ64" s="409">
        <f t="shared" si="12"/>
        <v>0</v>
      </c>
      <c r="HK64" s="409">
        <f t="shared" si="12"/>
        <v>0</v>
      </c>
      <c r="HL64" s="409">
        <f t="shared" si="12"/>
        <v>58764</v>
      </c>
      <c r="HM64" s="409">
        <f t="shared" si="12"/>
        <v>0</v>
      </c>
      <c r="HN64" s="409">
        <f t="shared" si="12"/>
        <v>0</v>
      </c>
      <c r="HO64" s="409">
        <f t="shared" si="12"/>
        <v>0</v>
      </c>
      <c r="HP64" s="409">
        <f t="shared" si="12"/>
        <v>0</v>
      </c>
      <c r="HQ64" s="409">
        <f t="shared" si="12"/>
        <v>0</v>
      </c>
      <c r="HR64" s="409">
        <f t="shared" si="12"/>
        <v>0</v>
      </c>
      <c r="HS64" s="409">
        <f t="shared" si="12"/>
        <v>0</v>
      </c>
      <c r="HT64" s="409">
        <f t="shared" si="12"/>
        <v>0</v>
      </c>
      <c r="HU64" s="409">
        <f t="shared" si="12"/>
        <v>0</v>
      </c>
      <c r="HV64" s="409">
        <f t="shared" si="12"/>
        <v>0</v>
      </c>
      <c r="HW64" s="409">
        <f t="shared" si="12"/>
        <v>0</v>
      </c>
      <c r="HX64" s="409">
        <f t="shared" si="12"/>
        <v>0</v>
      </c>
      <c r="HY64" s="409">
        <f t="shared" si="12"/>
        <v>0</v>
      </c>
      <c r="HZ64" s="409">
        <f t="shared" si="12"/>
        <v>0</v>
      </c>
      <c r="IA64" s="409">
        <f t="shared" si="12"/>
        <v>0</v>
      </c>
      <c r="IB64" s="409">
        <f t="shared" si="12"/>
        <v>0</v>
      </c>
      <c r="IC64" s="409">
        <f t="shared" si="12"/>
        <v>0</v>
      </c>
      <c r="ID64" s="409">
        <f t="shared" si="12"/>
        <v>0</v>
      </c>
      <c r="IE64" s="409">
        <f t="shared" si="12"/>
        <v>0</v>
      </c>
      <c r="IF64" s="409">
        <f t="shared" si="12"/>
        <v>0</v>
      </c>
      <c r="IG64" s="409">
        <f t="shared" si="12"/>
        <v>0</v>
      </c>
      <c r="IH64" s="409">
        <f t="shared" si="12"/>
        <v>0</v>
      </c>
      <c r="II64" s="409">
        <f t="shared" si="12"/>
        <v>0</v>
      </c>
      <c r="IJ64" s="409">
        <f t="shared" si="12"/>
        <v>0</v>
      </c>
      <c r="IK64" s="409">
        <f t="shared" si="12"/>
        <v>0</v>
      </c>
      <c r="IL64" s="409">
        <f t="shared" si="12"/>
        <v>0</v>
      </c>
      <c r="IM64" s="409">
        <f t="shared" si="12"/>
        <v>0</v>
      </c>
      <c r="IN64" s="409">
        <f t="shared" si="12"/>
        <v>0</v>
      </c>
      <c r="IO64" s="409">
        <f t="shared" si="12"/>
        <v>0</v>
      </c>
      <c r="IP64" s="409">
        <f t="shared" si="12"/>
        <v>0</v>
      </c>
      <c r="IQ64" s="409">
        <f t="shared" si="12"/>
        <v>0</v>
      </c>
      <c r="IR64" s="409">
        <f t="shared" si="12"/>
        <v>0</v>
      </c>
      <c r="IS64" s="409">
        <f t="shared" si="12"/>
        <v>0</v>
      </c>
      <c r="IT64" s="409">
        <f t="shared" si="12"/>
        <v>0</v>
      </c>
      <c r="IU64" s="409">
        <f t="shared" si="12"/>
        <v>0</v>
      </c>
      <c r="IV64" s="409">
        <f t="shared" si="12"/>
        <v>0</v>
      </c>
      <c r="IW64" s="409">
        <f t="shared" si="12"/>
        <v>0</v>
      </c>
      <c r="IX64" s="409">
        <f t="shared" ref="IX64:JH64" si="13">+IX63</f>
        <v>0</v>
      </c>
      <c r="IY64" s="409">
        <f t="shared" si="13"/>
        <v>0</v>
      </c>
      <c r="IZ64" s="409">
        <f t="shared" si="13"/>
        <v>0</v>
      </c>
      <c r="JA64" s="409">
        <f t="shared" si="13"/>
        <v>0</v>
      </c>
      <c r="JB64" s="409">
        <f t="shared" si="13"/>
        <v>0</v>
      </c>
      <c r="JC64" s="409">
        <f t="shared" si="13"/>
        <v>0</v>
      </c>
      <c r="JD64" s="409">
        <f t="shared" si="13"/>
        <v>0</v>
      </c>
      <c r="JE64" s="409">
        <f t="shared" si="13"/>
        <v>0</v>
      </c>
      <c r="JF64" s="409">
        <f t="shared" si="13"/>
        <v>0</v>
      </c>
      <c r="JG64" s="409">
        <f t="shared" si="13"/>
        <v>0</v>
      </c>
      <c r="JH64" s="409">
        <f t="shared" si="13"/>
        <v>0</v>
      </c>
      <c r="JI64" s="409">
        <f>+JI63</f>
        <v>9254860.6300000045</v>
      </c>
      <c r="JJ64" s="410"/>
      <c r="JK64" s="111"/>
      <c r="JL64" s="136"/>
      <c r="AQW64" s="410"/>
    </row>
  </sheetData>
  <mergeCells count="1">
    <mergeCell ref="A1:JH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W138"/>
  <sheetViews>
    <sheetView topLeftCell="IW1" zoomScale="90" zoomScaleNormal="90" workbookViewId="0">
      <pane ySplit="2" topLeftCell="A132" activePane="bottomLeft" state="frozen"/>
      <selection activeCell="EX1" sqref="EX1"/>
      <selection pane="bottomLeft" activeCell="JI144" sqref="JI144"/>
    </sheetView>
  </sheetViews>
  <sheetFormatPr baseColWidth="10" defaultRowHeight="15" x14ac:dyDescent="0.25"/>
  <cols>
    <col min="1" max="1" width="14.85546875" style="171" bestFit="1" customWidth="1"/>
    <col min="2" max="9" width="7.85546875" style="171" bestFit="1" customWidth="1"/>
    <col min="10" max="10" width="13.85546875" style="171" bestFit="1" customWidth="1"/>
    <col min="11" max="16" width="7.85546875" style="171" bestFit="1" customWidth="1"/>
    <col min="17" max="17" width="11.140625" style="171" bestFit="1" customWidth="1"/>
    <col min="18" max="18" width="7.85546875" style="171" bestFit="1" customWidth="1"/>
    <col min="19" max="19" width="13.85546875" style="171" bestFit="1" customWidth="1"/>
    <col min="20" max="22" width="7.85546875" style="171" bestFit="1" customWidth="1"/>
    <col min="23" max="23" width="11.140625" style="171" bestFit="1" customWidth="1"/>
    <col min="24" max="25" width="7.85546875" style="171" bestFit="1" customWidth="1"/>
    <col min="26" max="26" width="12.140625" style="171" bestFit="1" customWidth="1"/>
    <col min="27" max="27" width="7.85546875" style="171" bestFit="1" customWidth="1"/>
    <col min="28" max="28" width="12.140625" style="171" bestFit="1" customWidth="1"/>
    <col min="29" max="36" width="7.85546875" style="171" bestFit="1" customWidth="1"/>
    <col min="37" max="38" width="13.85546875" style="171" bestFit="1" customWidth="1"/>
    <col min="39" max="39" width="12.140625" style="171" bestFit="1" customWidth="1"/>
    <col min="40" max="47" width="7.85546875" style="171" bestFit="1" customWidth="1"/>
    <col min="48" max="48" width="11.140625" style="171" bestFit="1" customWidth="1"/>
    <col min="49" max="74" width="7.85546875" style="171" bestFit="1" customWidth="1"/>
    <col min="75" max="75" width="13.85546875" style="171" bestFit="1" customWidth="1"/>
    <col min="76" max="83" width="7.85546875" style="171" bestFit="1" customWidth="1"/>
    <col min="84" max="84" width="12.140625" style="171" bestFit="1" customWidth="1"/>
    <col min="85" max="87" width="7.85546875" style="171" bestFit="1" customWidth="1"/>
    <col min="88" max="88" width="12.140625" style="171" bestFit="1" customWidth="1"/>
    <col min="89" max="114" width="7.85546875" style="171" bestFit="1" customWidth="1"/>
    <col min="115" max="115" width="13.85546875" style="171" bestFit="1" customWidth="1"/>
    <col min="116" max="119" width="7.85546875" style="171" bestFit="1" customWidth="1"/>
    <col min="120" max="120" width="12.140625" style="171" bestFit="1" customWidth="1"/>
    <col min="121" max="122" width="7.85546875" style="171" bestFit="1" customWidth="1"/>
    <col min="123" max="123" width="13.85546875" style="171" bestFit="1" customWidth="1"/>
    <col min="124" max="127" width="12.140625" style="171" bestFit="1" customWidth="1"/>
    <col min="128" max="130" width="7.85546875" style="171" bestFit="1" customWidth="1"/>
    <col min="131" max="131" width="13.85546875" style="171" bestFit="1" customWidth="1"/>
    <col min="132" max="136" width="7.85546875" style="171" bestFit="1" customWidth="1"/>
    <col min="137" max="137" width="12.140625" style="171" bestFit="1" customWidth="1"/>
    <col min="138" max="157" width="7.85546875" style="171" bestFit="1" customWidth="1"/>
    <col min="158" max="158" width="12.140625" style="171" bestFit="1" customWidth="1"/>
    <col min="159" max="165" width="7.85546875" style="171" bestFit="1" customWidth="1"/>
    <col min="166" max="166" width="13.85546875" style="171" bestFit="1" customWidth="1"/>
    <col min="167" max="169" width="7.85546875" style="171" bestFit="1" customWidth="1"/>
    <col min="170" max="170" width="12.140625" style="171" bestFit="1" customWidth="1"/>
    <col min="171" max="172" width="7.85546875" style="171" bestFit="1" customWidth="1"/>
    <col min="173" max="173" width="13.85546875" style="171" bestFit="1" customWidth="1"/>
    <col min="174" max="174" width="7.85546875" style="171" bestFit="1" customWidth="1"/>
    <col min="175" max="175" width="12.140625" style="171" bestFit="1" customWidth="1"/>
    <col min="176" max="176" width="13.85546875" style="171" bestFit="1" customWidth="1"/>
    <col min="177" max="178" width="11.140625" style="171" bestFit="1" customWidth="1"/>
    <col min="179" max="179" width="12.140625" style="171" bestFit="1" customWidth="1"/>
    <col min="180" max="180" width="7.85546875" style="171" bestFit="1" customWidth="1"/>
    <col min="181" max="181" width="12.140625" style="171" bestFit="1" customWidth="1"/>
    <col min="182" max="182" width="11.140625" style="171" bestFit="1" customWidth="1"/>
    <col min="183" max="183" width="7.85546875" style="171" bestFit="1" customWidth="1"/>
    <col min="184" max="184" width="12.140625" style="171" bestFit="1" customWidth="1"/>
    <col min="185" max="189" width="7.85546875" style="171" bestFit="1" customWidth="1"/>
    <col min="190" max="190" width="12.140625" style="171" bestFit="1" customWidth="1"/>
    <col min="191" max="192" width="7.85546875" style="171" bestFit="1" customWidth="1"/>
    <col min="193" max="193" width="12.140625" style="171" bestFit="1" customWidth="1"/>
    <col min="194" max="194" width="13.85546875" style="171" bestFit="1" customWidth="1"/>
    <col min="195" max="198" width="7.85546875" style="171" bestFit="1" customWidth="1"/>
    <col min="199" max="199" width="13.85546875" style="171" bestFit="1" customWidth="1"/>
    <col min="200" max="200" width="12.140625" style="171" bestFit="1" customWidth="1"/>
    <col min="201" max="201" width="7.85546875" style="171" bestFit="1" customWidth="1"/>
    <col min="202" max="202" width="11.140625" style="171" bestFit="1" customWidth="1"/>
    <col min="203" max="213" width="7.85546875" style="171" bestFit="1" customWidth="1"/>
    <col min="214" max="214" width="12.140625" style="171" bestFit="1" customWidth="1"/>
    <col min="215" max="215" width="7.85546875" style="171" bestFit="1" customWidth="1"/>
    <col min="216" max="216" width="13.85546875" style="171" bestFit="1" customWidth="1"/>
    <col min="217" max="217" width="7.85546875" style="171" bestFit="1" customWidth="1"/>
    <col min="218" max="218" width="11.140625" style="171" bestFit="1" customWidth="1"/>
    <col min="219" max="250" width="7.85546875" style="171" bestFit="1" customWidth="1"/>
    <col min="251" max="251" width="9" style="171" bestFit="1" customWidth="1"/>
    <col min="252" max="268" width="7.85546875" style="171" bestFit="1" customWidth="1"/>
    <col min="269" max="269" width="16" bestFit="1" customWidth="1"/>
    <col min="270" max="270" width="13.28515625" style="298" bestFit="1" customWidth="1"/>
    <col min="271" max="271" width="8.42578125" style="171" bestFit="1" customWidth="1"/>
    <col min="272" max="272" width="14.85546875" bestFit="1" customWidth="1"/>
    <col min="273" max="273" width="17.7109375" bestFit="1" customWidth="1"/>
    <col min="274" max="274" width="5.5703125" bestFit="1" customWidth="1"/>
    <col min="275" max="275" width="5.42578125" bestFit="1" customWidth="1"/>
    <col min="276" max="276" width="18.42578125" bestFit="1" customWidth="1"/>
    <col min="1141" max="1141" width="11.42578125" style="1"/>
  </cols>
  <sheetData>
    <row r="1" spans="1:276 1141:1141" ht="23.25" x14ac:dyDescent="0.35">
      <c r="A1" s="422" t="s">
        <v>78</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c r="AW1" s="422"/>
      <c r="AX1" s="422"/>
      <c r="AY1" s="422"/>
      <c r="AZ1" s="422"/>
      <c r="BA1" s="422"/>
      <c r="BB1" s="422"/>
      <c r="BC1" s="422"/>
      <c r="BD1" s="422"/>
      <c r="BE1" s="422"/>
      <c r="BF1" s="422"/>
      <c r="BG1" s="422"/>
      <c r="BH1" s="422"/>
      <c r="BI1" s="422"/>
      <c r="BJ1" s="422"/>
      <c r="BK1" s="422"/>
      <c r="BL1" s="422"/>
      <c r="BM1" s="422"/>
      <c r="BN1" s="422"/>
      <c r="BO1" s="422"/>
      <c r="BP1" s="422"/>
      <c r="BQ1" s="422"/>
      <c r="BR1" s="422"/>
      <c r="BS1" s="422"/>
      <c r="BT1" s="422"/>
      <c r="BU1" s="422"/>
      <c r="BV1" s="422"/>
      <c r="BW1" s="422"/>
      <c r="BX1" s="422"/>
      <c r="BY1" s="422"/>
      <c r="BZ1" s="422"/>
      <c r="CA1" s="422"/>
      <c r="CB1" s="422"/>
      <c r="CC1" s="422"/>
      <c r="CD1" s="422"/>
      <c r="CE1" s="422"/>
      <c r="CF1" s="422"/>
      <c r="CG1" s="422"/>
      <c r="CH1" s="422"/>
      <c r="CI1" s="422"/>
      <c r="CJ1" s="422"/>
      <c r="CK1" s="422"/>
      <c r="CL1" s="422"/>
      <c r="CM1" s="422"/>
      <c r="CN1" s="422"/>
      <c r="CO1" s="422"/>
      <c r="CP1" s="422"/>
      <c r="CQ1" s="422"/>
      <c r="CR1" s="422"/>
      <c r="CS1" s="422"/>
      <c r="CT1" s="422"/>
      <c r="CU1" s="422"/>
      <c r="CV1" s="422"/>
      <c r="CW1" s="422"/>
      <c r="CX1" s="422"/>
      <c r="CY1" s="422"/>
      <c r="CZ1" s="422"/>
      <c r="DA1" s="422"/>
      <c r="DB1" s="422"/>
      <c r="DC1" s="422"/>
      <c r="DD1" s="422"/>
      <c r="DE1" s="422"/>
      <c r="DF1" s="422"/>
      <c r="DG1" s="422"/>
      <c r="DH1" s="422"/>
      <c r="DI1" s="422"/>
      <c r="DJ1" s="422"/>
      <c r="DK1" s="422"/>
      <c r="DL1" s="422"/>
      <c r="DM1" s="422"/>
      <c r="DN1" s="422"/>
      <c r="DO1" s="422"/>
      <c r="DP1" s="422"/>
      <c r="DQ1" s="422"/>
      <c r="DR1" s="422"/>
      <c r="DS1" s="422"/>
      <c r="DT1" s="422"/>
      <c r="DU1" s="422"/>
      <c r="DV1" s="422"/>
      <c r="DW1" s="422"/>
      <c r="DX1" s="422"/>
      <c r="DY1" s="422"/>
      <c r="DZ1" s="422"/>
      <c r="EA1" s="422"/>
      <c r="EB1" s="422"/>
      <c r="EC1" s="422"/>
      <c r="ED1" s="422"/>
      <c r="EE1" s="422"/>
      <c r="EF1" s="422"/>
      <c r="EG1" s="422"/>
      <c r="EH1" s="422"/>
      <c r="EI1" s="422"/>
      <c r="EJ1" s="422"/>
      <c r="EK1" s="422"/>
      <c r="EL1" s="422"/>
      <c r="EM1" s="422"/>
      <c r="EN1" s="422"/>
      <c r="EO1" s="422"/>
      <c r="EP1" s="422"/>
      <c r="EQ1" s="422"/>
      <c r="ER1" s="422"/>
      <c r="ES1" s="422"/>
      <c r="ET1" s="422"/>
      <c r="EU1" s="422"/>
      <c r="EV1" s="422"/>
      <c r="EW1" s="422"/>
      <c r="EX1" s="422"/>
      <c r="EY1" s="422"/>
      <c r="EZ1" s="422"/>
      <c r="FA1" s="422"/>
      <c r="FB1" s="422"/>
      <c r="FC1" s="422"/>
      <c r="FD1" s="422"/>
      <c r="FE1" s="422"/>
      <c r="FF1" s="422"/>
      <c r="FG1" s="422"/>
      <c r="FH1" s="422"/>
      <c r="FI1" s="422"/>
      <c r="FJ1" s="422"/>
      <c r="FK1" s="422"/>
      <c r="FL1" s="422"/>
      <c r="FM1" s="422"/>
      <c r="FN1" s="422"/>
      <c r="FO1" s="422"/>
      <c r="FP1" s="422"/>
      <c r="FQ1" s="422"/>
      <c r="FR1" s="422"/>
      <c r="FS1" s="422"/>
      <c r="FT1" s="422"/>
      <c r="FU1" s="422"/>
      <c r="FV1" s="422"/>
      <c r="FW1" s="422"/>
      <c r="FX1" s="422"/>
      <c r="FY1" s="422"/>
      <c r="FZ1" s="422"/>
      <c r="GA1" s="422"/>
      <c r="GB1" s="422"/>
      <c r="GC1" s="422"/>
      <c r="GD1" s="422"/>
      <c r="GE1" s="422"/>
      <c r="GF1" s="422"/>
      <c r="GG1" s="422"/>
      <c r="GH1" s="422"/>
      <c r="GI1" s="422"/>
      <c r="GJ1" s="422"/>
      <c r="GK1" s="422"/>
      <c r="GL1" s="422"/>
      <c r="GM1" s="422"/>
      <c r="GN1" s="422"/>
      <c r="GO1" s="422"/>
      <c r="GP1" s="422"/>
      <c r="GQ1" s="422"/>
      <c r="GR1" s="422"/>
      <c r="GS1" s="422"/>
      <c r="GT1" s="422"/>
      <c r="GU1" s="422"/>
      <c r="GV1" s="422"/>
      <c r="GW1" s="422"/>
      <c r="GX1" s="422"/>
      <c r="GY1" s="422"/>
      <c r="GZ1" s="422"/>
      <c r="HA1" s="422"/>
      <c r="HB1" s="422"/>
      <c r="HC1" s="422"/>
      <c r="HD1" s="422"/>
      <c r="HE1" s="422"/>
      <c r="HF1" s="422"/>
      <c r="HG1" s="422"/>
      <c r="HH1" s="422"/>
      <c r="HI1" s="422"/>
      <c r="HJ1" s="422"/>
      <c r="HK1" s="422"/>
      <c r="HL1" s="422"/>
      <c r="HM1" s="422"/>
      <c r="HN1" s="422"/>
      <c r="HO1" s="422"/>
      <c r="HP1" s="422"/>
      <c r="HQ1" s="422"/>
      <c r="HR1" s="422"/>
      <c r="HS1" s="422"/>
      <c r="HT1" s="422"/>
      <c r="HU1" s="422"/>
      <c r="HV1" s="422"/>
      <c r="HW1" s="422"/>
      <c r="HX1" s="422"/>
      <c r="HY1" s="422"/>
      <c r="HZ1" s="422"/>
      <c r="IA1" s="422"/>
      <c r="IB1" s="422"/>
      <c r="IC1" s="422"/>
      <c r="ID1" s="422"/>
      <c r="IE1" s="422"/>
      <c r="IF1" s="422"/>
      <c r="IG1" s="422"/>
      <c r="IH1" s="422"/>
      <c r="II1" s="422"/>
      <c r="IJ1" s="422"/>
      <c r="IK1" s="422"/>
      <c r="IL1" s="422"/>
      <c r="IM1" s="422"/>
      <c r="IN1" s="422"/>
      <c r="IO1" s="422"/>
      <c r="IP1" s="422"/>
      <c r="IQ1" s="422"/>
      <c r="IR1" s="422"/>
      <c r="IS1" s="422"/>
      <c r="IT1" s="422"/>
      <c r="IU1" s="422"/>
      <c r="IV1" s="422"/>
      <c r="IW1" s="422"/>
      <c r="IX1" s="422"/>
      <c r="IY1" s="422"/>
      <c r="IZ1" s="422"/>
      <c r="JA1" s="422"/>
      <c r="JB1" s="422"/>
      <c r="JC1" s="422"/>
      <c r="JD1" s="422"/>
      <c r="JE1" s="422"/>
      <c r="JF1" s="422"/>
      <c r="JG1" s="422"/>
      <c r="JH1" s="422"/>
    </row>
    <row r="2" spans="1:276 1141:1141" s="255" customFormat="1" ht="18.75" x14ac:dyDescent="0.3">
      <c r="A2" s="251">
        <v>211101</v>
      </c>
      <c r="B2" s="251">
        <v>211102</v>
      </c>
      <c r="C2" s="251">
        <v>211103</v>
      </c>
      <c r="D2" s="251">
        <v>211104</v>
      </c>
      <c r="E2" s="251">
        <v>211105</v>
      </c>
      <c r="F2" s="251">
        <v>211106</v>
      </c>
      <c r="G2" s="251">
        <v>211203</v>
      </c>
      <c r="H2" s="251">
        <v>211205</v>
      </c>
      <c r="I2" s="251">
        <v>211206</v>
      </c>
      <c r="J2" s="251">
        <v>211208</v>
      </c>
      <c r="K2" s="251">
        <v>211209</v>
      </c>
      <c r="L2" s="251">
        <v>211211</v>
      </c>
      <c r="M2" s="251">
        <v>211301</v>
      </c>
      <c r="N2" s="251">
        <v>211401</v>
      </c>
      <c r="O2" s="251">
        <v>211501</v>
      </c>
      <c r="P2" s="251">
        <v>211502</v>
      </c>
      <c r="Q2" s="251">
        <v>211503</v>
      </c>
      <c r="R2" s="251">
        <v>211504</v>
      </c>
      <c r="S2" s="251">
        <v>212101</v>
      </c>
      <c r="T2" s="251">
        <v>212201</v>
      </c>
      <c r="U2" s="251">
        <v>212203</v>
      </c>
      <c r="V2" s="251">
        <v>212204</v>
      </c>
      <c r="W2" s="251">
        <v>212205</v>
      </c>
      <c r="X2" s="251">
        <v>212206</v>
      </c>
      <c r="Y2" s="251">
        <v>212207</v>
      </c>
      <c r="Z2" s="251">
        <v>212208</v>
      </c>
      <c r="AA2" s="251">
        <v>212209</v>
      </c>
      <c r="AB2" s="251">
        <v>212210</v>
      </c>
      <c r="AC2" s="251">
        <v>213101</v>
      </c>
      <c r="AD2" s="251">
        <v>213102</v>
      </c>
      <c r="AE2" s="251">
        <v>213201</v>
      </c>
      <c r="AF2" s="251">
        <v>213202</v>
      </c>
      <c r="AG2" s="251">
        <v>214101</v>
      </c>
      <c r="AH2" s="251">
        <v>214201</v>
      </c>
      <c r="AI2" s="251">
        <v>214202</v>
      </c>
      <c r="AJ2" s="251">
        <v>214203</v>
      </c>
      <c r="AK2" s="251">
        <v>215101</v>
      </c>
      <c r="AL2" s="251">
        <v>215201</v>
      </c>
      <c r="AM2" s="251">
        <v>215301</v>
      </c>
      <c r="AN2" s="251">
        <v>215401</v>
      </c>
      <c r="AO2" s="251">
        <v>221101</v>
      </c>
      <c r="AP2" s="251">
        <v>221201</v>
      </c>
      <c r="AQ2" s="251">
        <v>221301</v>
      </c>
      <c r="AR2" s="251">
        <v>221401</v>
      </c>
      <c r="AS2" s="251">
        <v>221501</v>
      </c>
      <c r="AT2" s="251">
        <v>221601</v>
      </c>
      <c r="AU2" s="251">
        <v>221602</v>
      </c>
      <c r="AV2" s="251">
        <v>221701</v>
      </c>
      <c r="AW2" s="251">
        <v>221801</v>
      </c>
      <c r="AX2" s="251">
        <v>222101</v>
      </c>
      <c r="AY2" s="251">
        <v>222201</v>
      </c>
      <c r="AZ2" s="251">
        <v>223101</v>
      </c>
      <c r="BA2" s="251">
        <v>223201</v>
      </c>
      <c r="BB2" s="251">
        <v>224101</v>
      </c>
      <c r="BC2" s="251">
        <v>224201</v>
      </c>
      <c r="BD2" s="251">
        <v>224301</v>
      </c>
      <c r="BE2" s="251">
        <v>224401</v>
      </c>
      <c r="BF2" s="251">
        <v>225101</v>
      </c>
      <c r="BG2" s="251">
        <v>225201</v>
      </c>
      <c r="BH2" s="251">
        <v>225301</v>
      </c>
      <c r="BI2" s="251">
        <v>225302</v>
      </c>
      <c r="BJ2" s="251">
        <v>225303</v>
      </c>
      <c r="BK2" s="251">
        <v>225304</v>
      </c>
      <c r="BL2" s="251">
        <v>225305</v>
      </c>
      <c r="BM2" s="251">
        <v>225401</v>
      </c>
      <c r="BN2" s="251">
        <v>225501</v>
      </c>
      <c r="BO2" s="251">
        <v>225601</v>
      </c>
      <c r="BP2" s="251">
        <v>225701</v>
      </c>
      <c r="BQ2" s="251">
        <v>225801</v>
      </c>
      <c r="BR2" s="251">
        <v>225901</v>
      </c>
      <c r="BS2" s="251">
        <v>226101</v>
      </c>
      <c r="BT2" s="251">
        <v>226201</v>
      </c>
      <c r="BU2" s="251">
        <v>226301</v>
      </c>
      <c r="BV2" s="251">
        <v>226401</v>
      </c>
      <c r="BW2" s="251">
        <v>227101</v>
      </c>
      <c r="BX2" s="251">
        <v>227102</v>
      </c>
      <c r="BY2" s="251">
        <v>227103</v>
      </c>
      <c r="BZ2" s="251">
        <v>227104</v>
      </c>
      <c r="CA2" s="251">
        <v>227105</v>
      </c>
      <c r="CB2" s="251">
        <v>227106</v>
      </c>
      <c r="CC2" s="251">
        <v>227107</v>
      </c>
      <c r="CD2" s="251">
        <v>227199</v>
      </c>
      <c r="CE2" s="251">
        <v>227201</v>
      </c>
      <c r="CF2" s="251">
        <v>227202</v>
      </c>
      <c r="CG2" s="251">
        <v>227203</v>
      </c>
      <c r="CH2" s="251">
        <v>227204</v>
      </c>
      <c r="CI2" s="251">
        <v>227205</v>
      </c>
      <c r="CJ2" s="251">
        <v>227206</v>
      </c>
      <c r="CK2" s="251">
        <v>227207</v>
      </c>
      <c r="CL2" s="251">
        <v>227208</v>
      </c>
      <c r="CM2" s="251">
        <v>227299</v>
      </c>
      <c r="CN2" s="251">
        <v>227301</v>
      </c>
      <c r="CO2" s="251">
        <v>228101</v>
      </c>
      <c r="CP2" s="251">
        <v>228201</v>
      </c>
      <c r="CQ2" s="251">
        <v>228301</v>
      </c>
      <c r="CR2" s="251">
        <v>228401</v>
      </c>
      <c r="CS2" s="251">
        <v>228501</v>
      </c>
      <c r="CT2" s="251">
        <v>228502</v>
      </c>
      <c r="CU2" s="251">
        <v>228503</v>
      </c>
      <c r="CV2" s="251">
        <v>228601</v>
      </c>
      <c r="CW2" s="251">
        <v>228602</v>
      </c>
      <c r="CX2" s="251">
        <v>228603</v>
      </c>
      <c r="CY2" s="251">
        <v>228604</v>
      </c>
      <c r="CZ2" s="251">
        <v>228701</v>
      </c>
      <c r="DA2" s="251">
        <v>228702</v>
      </c>
      <c r="DB2" s="251">
        <v>228703</v>
      </c>
      <c r="DC2" s="251">
        <v>228704</v>
      </c>
      <c r="DD2" s="251">
        <v>228705</v>
      </c>
      <c r="DE2" s="251">
        <v>228706</v>
      </c>
      <c r="DF2" s="251">
        <v>228801</v>
      </c>
      <c r="DG2" s="251">
        <v>228802</v>
      </c>
      <c r="DH2" s="251">
        <v>228803</v>
      </c>
      <c r="DI2" s="251">
        <v>229201</v>
      </c>
      <c r="DJ2" s="251">
        <v>229203</v>
      </c>
      <c r="DK2" s="251">
        <v>231101</v>
      </c>
      <c r="DL2" s="251">
        <v>231102</v>
      </c>
      <c r="DM2" s="251">
        <v>231201</v>
      </c>
      <c r="DN2" s="251">
        <v>231301</v>
      </c>
      <c r="DO2" s="251">
        <v>231302</v>
      </c>
      <c r="DP2" s="251">
        <v>231303</v>
      </c>
      <c r="DQ2" s="251">
        <v>231401</v>
      </c>
      <c r="DR2" s="251">
        <v>232101</v>
      </c>
      <c r="DS2" s="251">
        <v>232201</v>
      </c>
      <c r="DT2" s="251">
        <v>232301</v>
      </c>
      <c r="DU2" s="251">
        <v>233101</v>
      </c>
      <c r="DV2" s="251">
        <v>233201</v>
      </c>
      <c r="DW2" s="251">
        <v>233301</v>
      </c>
      <c r="DX2" s="251">
        <v>233401</v>
      </c>
      <c r="DY2" s="251">
        <v>233501</v>
      </c>
      <c r="DZ2" s="251">
        <v>233601</v>
      </c>
      <c r="EA2" s="251">
        <v>234101</v>
      </c>
      <c r="EB2" s="251">
        <v>234201</v>
      </c>
      <c r="EC2" s="251">
        <v>235101</v>
      </c>
      <c r="ED2" s="251">
        <v>235201</v>
      </c>
      <c r="EE2" s="251">
        <v>235301</v>
      </c>
      <c r="EF2" s="251">
        <v>235401</v>
      </c>
      <c r="EG2" s="251">
        <v>235501</v>
      </c>
      <c r="EH2" s="251">
        <v>236101</v>
      </c>
      <c r="EI2" s="251">
        <v>236102</v>
      </c>
      <c r="EJ2" s="251">
        <v>236103</v>
      </c>
      <c r="EK2" s="251">
        <v>236104</v>
      </c>
      <c r="EL2" s="251">
        <v>236105</v>
      </c>
      <c r="EM2" s="251">
        <v>236201</v>
      </c>
      <c r="EN2" s="251">
        <v>236202</v>
      </c>
      <c r="EO2" s="251">
        <v>236203</v>
      </c>
      <c r="EP2" s="251">
        <v>236304</v>
      </c>
      <c r="EQ2" s="251">
        <v>236305</v>
      </c>
      <c r="ER2" s="251">
        <v>236306</v>
      </c>
      <c r="ES2" s="251">
        <v>236401</v>
      </c>
      <c r="ET2" s="251">
        <v>236402</v>
      </c>
      <c r="EU2" s="251">
        <v>236403</v>
      </c>
      <c r="EV2" s="251">
        <v>236404</v>
      </c>
      <c r="EW2" s="251">
        <v>236405</v>
      </c>
      <c r="EX2" s="251">
        <v>236406</v>
      </c>
      <c r="EY2" s="251">
        <v>236407</v>
      </c>
      <c r="EZ2" s="251">
        <v>236901</v>
      </c>
      <c r="FA2" s="251">
        <v>237101</v>
      </c>
      <c r="FB2" s="251">
        <v>237102</v>
      </c>
      <c r="FC2" s="251">
        <v>237103</v>
      </c>
      <c r="FD2" s="251">
        <v>237104</v>
      </c>
      <c r="FE2" s="251">
        <v>237105</v>
      </c>
      <c r="FF2" s="251">
        <v>237106</v>
      </c>
      <c r="FG2" s="251">
        <v>237107</v>
      </c>
      <c r="FH2" s="251">
        <v>237201</v>
      </c>
      <c r="FI2" s="251">
        <v>237202</v>
      </c>
      <c r="FJ2" s="251">
        <v>237203</v>
      </c>
      <c r="FK2" s="251">
        <v>237204</v>
      </c>
      <c r="FL2" s="251">
        <v>237205</v>
      </c>
      <c r="FM2" s="251">
        <v>237206</v>
      </c>
      <c r="FN2" s="251">
        <v>237299</v>
      </c>
      <c r="FO2" s="251">
        <v>238101</v>
      </c>
      <c r="FP2" s="251">
        <v>238201</v>
      </c>
      <c r="FQ2" s="251">
        <v>239101</v>
      </c>
      <c r="FR2" s="251">
        <v>239102</v>
      </c>
      <c r="FS2" s="251">
        <v>239201</v>
      </c>
      <c r="FT2" s="251">
        <v>239301</v>
      </c>
      <c r="FU2" s="251">
        <v>239401</v>
      </c>
      <c r="FV2" s="251">
        <v>239501</v>
      </c>
      <c r="FW2" s="251">
        <v>239601</v>
      </c>
      <c r="FX2" s="251">
        <v>239701</v>
      </c>
      <c r="FY2" s="251">
        <v>239801</v>
      </c>
      <c r="FZ2" s="251">
        <v>239802</v>
      </c>
      <c r="GA2" s="251">
        <v>239901</v>
      </c>
      <c r="GB2" s="251">
        <v>239904</v>
      </c>
      <c r="GC2" s="251">
        <v>241201</v>
      </c>
      <c r="GD2" s="251">
        <v>241202</v>
      </c>
      <c r="GE2" s="251">
        <v>241203</v>
      </c>
      <c r="GF2" s="251">
        <v>241204</v>
      </c>
      <c r="GG2" s="251">
        <v>241205</v>
      </c>
      <c r="GH2" s="251">
        <v>261101</v>
      </c>
      <c r="GI2" s="251">
        <v>261201</v>
      </c>
      <c r="GJ2" s="251">
        <v>261301</v>
      </c>
      <c r="GK2" s="251">
        <v>261401</v>
      </c>
      <c r="GL2" s="251">
        <v>261901</v>
      </c>
      <c r="GM2" s="251">
        <v>262101</v>
      </c>
      <c r="GN2" s="251">
        <v>262201</v>
      </c>
      <c r="GO2" s="251">
        <v>262301</v>
      </c>
      <c r="GP2" s="251">
        <v>262401</v>
      </c>
      <c r="GQ2" s="251">
        <v>263101</v>
      </c>
      <c r="GR2" s="251">
        <v>263201</v>
      </c>
      <c r="GS2" s="251">
        <v>263301</v>
      </c>
      <c r="GT2" s="251">
        <v>263401</v>
      </c>
      <c r="GU2" s="251">
        <v>264101</v>
      </c>
      <c r="GV2" s="251">
        <v>264201</v>
      </c>
      <c r="GW2" s="251">
        <v>264301</v>
      </c>
      <c r="GX2" s="251">
        <v>264401</v>
      </c>
      <c r="GY2" s="251">
        <v>264501</v>
      </c>
      <c r="GZ2" s="251">
        <v>264601</v>
      </c>
      <c r="HA2" s="251">
        <v>264701</v>
      </c>
      <c r="HB2" s="251">
        <v>264801</v>
      </c>
      <c r="HC2" s="251">
        <v>265101</v>
      </c>
      <c r="HD2" s="251">
        <v>265201</v>
      </c>
      <c r="HE2" s="251">
        <v>265301</v>
      </c>
      <c r="HF2" s="251">
        <v>265401</v>
      </c>
      <c r="HG2" s="251">
        <v>265501</v>
      </c>
      <c r="HH2" s="251">
        <v>265601</v>
      </c>
      <c r="HI2" s="251">
        <v>265701</v>
      </c>
      <c r="HJ2" s="251">
        <v>265801</v>
      </c>
      <c r="HK2" s="251">
        <v>266101</v>
      </c>
      <c r="HL2" s="251">
        <v>266201</v>
      </c>
      <c r="HM2" s="251">
        <v>267101</v>
      </c>
      <c r="HN2" s="251">
        <v>267201</v>
      </c>
      <c r="HO2" s="251">
        <v>267301</v>
      </c>
      <c r="HP2" s="251">
        <v>267401</v>
      </c>
      <c r="HQ2" s="251">
        <v>267501</v>
      </c>
      <c r="HR2" s="251">
        <v>267601</v>
      </c>
      <c r="HS2" s="251">
        <v>267701</v>
      </c>
      <c r="HT2" s="251">
        <v>267801</v>
      </c>
      <c r="HU2" s="251">
        <v>267901</v>
      </c>
      <c r="HV2" s="251">
        <v>268101</v>
      </c>
      <c r="HW2" s="251">
        <v>268201</v>
      </c>
      <c r="HX2" s="251">
        <v>268301</v>
      </c>
      <c r="HY2" s="251">
        <v>268302</v>
      </c>
      <c r="HZ2" s="251">
        <v>268401</v>
      </c>
      <c r="IA2" s="251">
        <v>268501</v>
      </c>
      <c r="IB2" s="251">
        <v>268601</v>
      </c>
      <c r="IC2" s="251">
        <v>268701</v>
      </c>
      <c r="ID2" s="251">
        <v>268802</v>
      </c>
      <c r="IE2" s="251">
        <v>268803</v>
      </c>
      <c r="IF2" s="251">
        <v>268804</v>
      </c>
      <c r="IG2" s="251">
        <v>268901</v>
      </c>
      <c r="IH2" s="251">
        <v>269101</v>
      </c>
      <c r="II2" s="251">
        <v>269102</v>
      </c>
      <c r="IJ2" s="251">
        <v>269201</v>
      </c>
      <c r="IK2" s="251">
        <v>269202</v>
      </c>
      <c r="IL2" s="251">
        <v>269301</v>
      </c>
      <c r="IM2" s="251">
        <v>269401</v>
      </c>
      <c r="IN2" s="251">
        <v>269501</v>
      </c>
      <c r="IO2" s="251">
        <v>269502</v>
      </c>
      <c r="IP2" s="251">
        <v>269503</v>
      </c>
      <c r="IQ2" s="251">
        <v>2269901</v>
      </c>
      <c r="IR2" s="251">
        <v>271101</v>
      </c>
      <c r="IS2" s="251">
        <v>271201</v>
      </c>
      <c r="IT2" s="251">
        <v>271301</v>
      </c>
      <c r="IU2" s="251">
        <v>271401</v>
      </c>
      <c r="IV2" s="251">
        <v>272101</v>
      </c>
      <c r="IW2" s="251">
        <v>272201</v>
      </c>
      <c r="IX2" s="251">
        <v>272301</v>
      </c>
      <c r="IY2" s="251">
        <v>272401</v>
      </c>
      <c r="IZ2" s="251">
        <v>272501</v>
      </c>
      <c r="JA2" s="251">
        <v>272601</v>
      </c>
      <c r="JB2" s="251">
        <v>272701</v>
      </c>
      <c r="JC2" s="251">
        <v>272801</v>
      </c>
      <c r="JD2" s="251">
        <v>272901</v>
      </c>
      <c r="JE2" s="251">
        <v>273101</v>
      </c>
      <c r="JF2" s="251">
        <v>273201</v>
      </c>
      <c r="JG2" s="251">
        <v>274101</v>
      </c>
      <c r="JH2" s="251">
        <v>274201</v>
      </c>
      <c r="JI2" s="252" t="s">
        <v>0</v>
      </c>
      <c r="JJ2" s="253" t="s">
        <v>704</v>
      </c>
      <c r="JK2" s="256" t="s">
        <v>376</v>
      </c>
      <c r="JL2" s="253" t="s">
        <v>373</v>
      </c>
      <c r="JM2" s="253" t="s">
        <v>377</v>
      </c>
      <c r="JN2" s="253">
        <v>2024</v>
      </c>
      <c r="JO2" s="253" t="s">
        <v>348</v>
      </c>
      <c r="JP2" s="253" t="s">
        <v>378</v>
      </c>
      <c r="AQW2" s="254"/>
    </row>
    <row r="3" spans="1:276 1141:1141" x14ac:dyDescent="0.25">
      <c r="A3" s="110"/>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c r="EU3" s="110"/>
      <c r="EV3" s="110"/>
      <c r="EW3" s="110"/>
      <c r="EX3" s="110"/>
      <c r="EY3" s="110"/>
      <c r="EZ3" s="110"/>
      <c r="FA3" s="110"/>
      <c r="FB3" s="110"/>
      <c r="FC3" s="110"/>
      <c r="FD3" s="110"/>
      <c r="FE3" s="110"/>
      <c r="FF3" s="110"/>
      <c r="FG3" s="110"/>
      <c r="FH3" s="110"/>
      <c r="FI3" s="110"/>
      <c r="FJ3" s="110"/>
      <c r="FK3" s="110"/>
      <c r="FL3" s="110"/>
      <c r="FM3" s="110"/>
      <c r="FN3" s="110"/>
      <c r="FO3" s="110"/>
      <c r="FP3" s="110"/>
      <c r="FQ3" s="110"/>
      <c r="FR3" s="110"/>
      <c r="FS3" s="110"/>
      <c r="FT3" s="110">
        <v>578891.48</v>
      </c>
      <c r="FU3" s="110"/>
      <c r="FV3" s="110"/>
      <c r="FW3" s="110"/>
      <c r="FX3" s="110"/>
      <c r="FY3" s="110"/>
      <c r="FZ3" s="110"/>
      <c r="GA3" s="110"/>
      <c r="GB3" s="110"/>
      <c r="GC3" s="110"/>
      <c r="GD3" s="110"/>
      <c r="GE3" s="110"/>
      <c r="GF3" s="110"/>
      <c r="GG3" s="110"/>
      <c r="GH3" s="110"/>
      <c r="GI3" s="110"/>
      <c r="GJ3" s="110"/>
      <c r="GK3" s="110"/>
      <c r="GL3" s="110"/>
      <c r="GM3" s="110"/>
      <c r="GN3" s="110"/>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c r="IL3" s="110"/>
      <c r="IM3" s="110"/>
      <c r="IN3" s="110"/>
      <c r="IO3" s="110"/>
      <c r="IP3" s="110"/>
      <c r="IQ3" s="110"/>
      <c r="IR3" s="110"/>
      <c r="IS3" s="110"/>
      <c r="IT3" s="110"/>
      <c r="IU3" s="110"/>
      <c r="IV3" s="110"/>
      <c r="IW3" s="110"/>
      <c r="IX3" s="110"/>
      <c r="IY3" s="110"/>
      <c r="IZ3" s="110"/>
      <c r="JA3" s="110"/>
      <c r="JB3" s="110"/>
      <c r="JC3" s="110"/>
      <c r="JD3" s="110"/>
      <c r="JE3" s="110"/>
      <c r="JF3" s="110"/>
      <c r="JG3" s="110"/>
      <c r="JH3" s="110"/>
      <c r="JI3" s="107">
        <f>SUM(A3:JH3)</f>
        <v>578891.48</v>
      </c>
      <c r="JJ3" s="297">
        <v>2719</v>
      </c>
      <c r="JK3" s="110"/>
      <c r="JL3" s="112"/>
      <c r="JM3" s="112"/>
      <c r="JN3" s="112"/>
      <c r="JO3" s="112">
        <f>+JM3+JN3</f>
        <v>0</v>
      </c>
      <c r="JP3" s="112"/>
    </row>
    <row r="4" spans="1:276 1141:1141" x14ac:dyDescent="0.25">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383">
        <v>180000</v>
      </c>
      <c r="EB4" s="110"/>
      <c r="EC4" s="110"/>
      <c r="ED4" s="110"/>
      <c r="EE4" s="110"/>
      <c r="EF4" s="110"/>
      <c r="EG4" s="110"/>
      <c r="EH4" s="110"/>
      <c r="EI4" s="110"/>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110"/>
      <c r="IM4" s="110"/>
      <c r="IN4" s="110"/>
      <c r="IO4" s="110"/>
      <c r="IP4" s="110"/>
      <c r="IQ4" s="110"/>
      <c r="IR4" s="110"/>
      <c r="IS4" s="110"/>
      <c r="IT4" s="110"/>
      <c r="IU4" s="110"/>
      <c r="IV4" s="110"/>
      <c r="IW4" s="110"/>
      <c r="IX4" s="110"/>
      <c r="IY4" s="110"/>
      <c r="IZ4" s="110"/>
      <c r="JA4" s="110"/>
      <c r="JB4" s="110"/>
      <c r="JC4" s="110"/>
      <c r="JD4" s="110"/>
      <c r="JE4" s="110"/>
      <c r="JF4" s="110"/>
      <c r="JG4" s="110"/>
      <c r="JH4" s="110"/>
      <c r="JI4" s="107">
        <f t="shared" ref="JI4:JI39" si="0">SUM(A4:JH4)</f>
        <v>180000</v>
      </c>
      <c r="JJ4" s="297">
        <v>2724</v>
      </c>
      <c r="JK4" s="110"/>
      <c r="JL4" s="112"/>
      <c r="JM4" s="112"/>
      <c r="JN4" s="112"/>
      <c r="JO4" s="112"/>
      <c r="JP4" s="112"/>
    </row>
    <row r="5" spans="1:276 1141:1141" x14ac:dyDescent="0.25">
      <c r="A5" s="110"/>
      <c r="B5" s="110"/>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v>387807.15</v>
      </c>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0"/>
      <c r="GU5" s="110"/>
      <c r="GV5" s="110"/>
      <c r="GW5" s="110"/>
      <c r="GX5" s="110"/>
      <c r="GY5" s="110"/>
      <c r="GZ5" s="110"/>
      <c r="HA5" s="110"/>
      <c r="HB5" s="110"/>
      <c r="HC5" s="110"/>
      <c r="HD5" s="110"/>
      <c r="HE5" s="110"/>
      <c r="HF5" s="110"/>
      <c r="HG5" s="110"/>
      <c r="HH5" s="110"/>
      <c r="HI5" s="110"/>
      <c r="HJ5" s="110"/>
      <c r="HK5" s="110"/>
      <c r="HL5" s="110"/>
      <c r="HM5" s="110"/>
      <c r="HN5" s="110"/>
      <c r="HO5" s="110"/>
      <c r="HP5" s="110"/>
      <c r="HQ5" s="110"/>
      <c r="HR5" s="110"/>
      <c r="HS5" s="110"/>
      <c r="HT5" s="110"/>
      <c r="HU5" s="110"/>
      <c r="HV5" s="110"/>
      <c r="HW5" s="110"/>
      <c r="HX5" s="110"/>
      <c r="HY5" s="110"/>
      <c r="HZ5" s="110"/>
      <c r="IA5" s="110"/>
      <c r="IB5" s="110"/>
      <c r="IC5" s="110"/>
      <c r="ID5" s="110"/>
      <c r="IE5" s="110"/>
      <c r="IF5" s="110"/>
      <c r="IG5" s="110"/>
      <c r="IH5" s="110"/>
      <c r="II5" s="110"/>
      <c r="IJ5" s="110"/>
      <c r="IK5" s="110"/>
      <c r="IL5" s="110"/>
      <c r="IM5" s="110"/>
      <c r="IN5" s="110"/>
      <c r="IO5" s="110"/>
      <c r="IP5" s="110"/>
      <c r="IQ5" s="110"/>
      <c r="IR5" s="110"/>
      <c r="IS5" s="110"/>
      <c r="IT5" s="110"/>
      <c r="IU5" s="110"/>
      <c r="IV5" s="110"/>
      <c r="IW5" s="110"/>
      <c r="IX5" s="110"/>
      <c r="IY5" s="110"/>
      <c r="IZ5" s="110"/>
      <c r="JA5" s="110"/>
      <c r="JB5" s="110"/>
      <c r="JC5" s="110"/>
      <c r="JD5" s="110"/>
      <c r="JE5" s="110"/>
      <c r="JF5" s="110"/>
      <c r="JG5" s="110"/>
      <c r="JH5" s="110"/>
      <c r="JI5" s="107">
        <f t="shared" si="0"/>
        <v>387807.15</v>
      </c>
      <c r="JJ5" s="297">
        <v>2725</v>
      </c>
      <c r="JK5" s="110"/>
      <c r="JL5" s="112"/>
      <c r="JM5" s="112"/>
      <c r="JN5" s="112"/>
      <c r="JO5" s="112"/>
      <c r="JP5" s="112"/>
    </row>
    <row r="6" spans="1:276 1141:1141" x14ac:dyDescent="0.25">
      <c r="A6" s="110"/>
      <c r="B6" s="110"/>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c r="EV6" s="110"/>
      <c r="EW6" s="110"/>
      <c r="EX6" s="110"/>
      <c r="EY6" s="110"/>
      <c r="EZ6" s="110"/>
      <c r="FA6" s="110"/>
      <c r="FB6" s="110"/>
      <c r="FC6" s="110"/>
      <c r="FD6" s="110"/>
      <c r="FE6" s="110"/>
      <c r="FF6" s="110"/>
      <c r="FG6" s="110"/>
      <c r="FH6" s="110"/>
      <c r="FI6" s="110"/>
      <c r="FJ6" s="110"/>
      <c r="FK6" s="110"/>
      <c r="FL6" s="110"/>
      <c r="FM6" s="110"/>
      <c r="FN6" s="110"/>
      <c r="FO6" s="110"/>
      <c r="FP6" s="110"/>
      <c r="FQ6" s="110"/>
      <c r="FR6" s="110"/>
      <c r="FS6" s="110"/>
      <c r="FT6" s="110"/>
      <c r="FU6" s="110"/>
      <c r="FV6" s="110"/>
      <c r="FW6" s="110"/>
      <c r="FX6" s="110"/>
      <c r="FY6" s="110"/>
      <c r="FZ6" s="110"/>
      <c r="GA6" s="110"/>
      <c r="GB6" s="110"/>
      <c r="GC6" s="110"/>
      <c r="GD6" s="110"/>
      <c r="GE6" s="110"/>
      <c r="GF6" s="110"/>
      <c r="GG6" s="110"/>
      <c r="GH6" s="110"/>
      <c r="GI6" s="110"/>
      <c r="GJ6" s="110"/>
      <c r="GK6" s="110"/>
      <c r="GL6" s="110">
        <v>1361144.96</v>
      </c>
      <c r="GM6" s="110"/>
      <c r="GN6" s="110"/>
      <c r="GO6" s="110"/>
      <c r="GP6" s="110"/>
      <c r="GQ6" s="110"/>
      <c r="GR6" s="110"/>
      <c r="GS6" s="110"/>
      <c r="GT6" s="110"/>
      <c r="GU6" s="110"/>
      <c r="GV6" s="110"/>
      <c r="GW6" s="110"/>
      <c r="GX6" s="110"/>
      <c r="GY6" s="110"/>
      <c r="GZ6" s="110"/>
      <c r="HA6" s="110"/>
      <c r="HB6" s="110"/>
      <c r="HC6" s="110"/>
      <c r="HD6" s="110"/>
      <c r="HE6" s="110"/>
      <c r="HF6" s="110"/>
      <c r="HG6" s="110"/>
      <c r="HH6" s="110"/>
      <c r="HI6" s="110"/>
      <c r="HJ6" s="110"/>
      <c r="HK6" s="110"/>
      <c r="HL6" s="110"/>
      <c r="HM6" s="110"/>
      <c r="HN6" s="110"/>
      <c r="HO6" s="110"/>
      <c r="HP6" s="110"/>
      <c r="HQ6" s="110"/>
      <c r="HR6" s="110"/>
      <c r="HS6" s="110"/>
      <c r="HT6" s="110"/>
      <c r="HU6" s="110"/>
      <c r="HV6" s="110"/>
      <c r="HW6" s="110"/>
      <c r="HX6" s="110"/>
      <c r="HY6" s="110"/>
      <c r="HZ6" s="110"/>
      <c r="IA6" s="110"/>
      <c r="IB6" s="110"/>
      <c r="IC6" s="110"/>
      <c r="ID6" s="110"/>
      <c r="IE6" s="110"/>
      <c r="IF6" s="110"/>
      <c r="IG6" s="110"/>
      <c r="IH6" s="110"/>
      <c r="II6" s="110"/>
      <c r="IJ6" s="110"/>
      <c r="IK6" s="110"/>
      <c r="IL6" s="110"/>
      <c r="IM6" s="110"/>
      <c r="IN6" s="110"/>
      <c r="IO6" s="110"/>
      <c r="IP6" s="110"/>
      <c r="IQ6" s="110"/>
      <c r="IR6" s="110"/>
      <c r="IS6" s="110"/>
      <c r="IT6" s="110"/>
      <c r="IU6" s="110"/>
      <c r="IV6" s="110"/>
      <c r="IW6" s="110"/>
      <c r="IX6" s="110"/>
      <c r="IY6" s="110"/>
      <c r="IZ6" s="110"/>
      <c r="JA6" s="110"/>
      <c r="JB6" s="110"/>
      <c r="JC6" s="110"/>
      <c r="JD6" s="110"/>
      <c r="JE6" s="110"/>
      <c r="JF6" s="110"/>
      <c r="JG6" s="110"/>
      <c r="JH6" s="110"/>
      <c r="JI6" s="107">
        <f t="shared" si="0"/>
        <v>1361144.96</v>
      </c>
      <c r="JJ6" s="297">
        <v>2729</v>
      </c>
      <c r="JK6" s="110"/>
      <c r="JL6" s="112"/>
      <c r="JM6" s="112"/>
      <c r="JN6" s="112"/>
      <c r="JO6" s="112"/>
      <c r="JP6" s="112"/>
    </row>
    <row r="7" spans="1:276 1141:1141" x14ac:dyDescent="0.25">
      <c r="A7" s="110"/>
      <c r="B7" s="110"/>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v>265393.8</v>
      </c>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c r="IL7" s="110"/>
      <c r="IM7" s="110"/>
      <c r="IN7" s="110"/>
      <c r="IO7" s="110"/>
      <c r="IP7" s="110"/>
      <c r="IQ7" s="110"/>
      <c r="IR7" s="110"/>
      <c r="IS7" s="110"/>
      <c r="IT7" s="110"/>
      <c r="IU7" s="110"/>
      <c r="IV7" s="110"/>
      <c r="IW7" s="110"/>
      <c r="IX7" s="110"/>
      <c r="IY7" s="110"/>
      <c r="IZ7" s="110"/>
      <c r="JA7" s="110"/>
      <c r="JB7" s="110"/>
      <c r="JC7" s="110"/>
      <c r="JD7" s="110"/>
      <c r="JE7" s="110"/>
      <c r="JF7" s="110"/>
      <c r="JG7" s="110"/>
      <c r="JH7" s="110"/>
      <c r="JI7" s="107">
        <f t="shared" si="0"/>
        <v>265393.8</v>
      </c>
      <c r="JJ7" s="297">
        <v>2735</v>
      </c>
      <c r="JK7" s="110"/>
      <c r="JL7" s="112"/>
      <c r="JM7" s="112"/>
      <c r="JN7" s="112"/>
      <c r="JO7" s="112"/>
      <c r="JP7" s="112"/>
    </row>
    <row r="8" spans="1:276 1141:1141" x14ac:dyDescent="0.25">
      <c r="A8" s="110"/>
      <c r="B8" s="110"/>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v>342200</v>
      </c>
      <c r="FR8" s="110"/>
      <c r="FS8" s="110"/>
      <c r="FT8" s="110"/>
      <c r="FU8" s="110"/>
      <c r="FV8" s="110"/>
      <c r="FW8" s="110"/>
      <c r="FX8" s="110"/>
      <c r="FY8" s="110"/>
      <c r="FZ8" s="110"/>
      <c r="GA8" s="110"/>
      <c r="GB8" s="110"/>
      <c r="GC8" s="110"/>
      <c r="GD8" s="110"/>
      <c r="GE8" s="110"/>
      <c r="GF8" s="110"/>
      <c r="GG8" s="110"/>
      <c r="GH8" s="110"/>
      <c r="GI8" s="110"/>
      <c r="GJ8" s="110"/>
      <c r="GK8" s="110"/>
      <c r="GL8" s="110"/>
      <c r="GM8" s="110"/>
      <c r="GN8" s="110"/>
      <c r="GO8" s="110"/>
      <c r="GP8" s="110"/>
      <c r="GQ8" s="110"/>
      <c r="GR8" s="110"/>
      <c r="GS8" s="110"/>
      <c r="GT8" s="110"/>
      <c r="GU8" s="110"/>
      <c r="GV8" s="110"/>
      <c r="GW8" s="110"/>
      <c r="GX8" s="110"/>
      <c r="GY8" s="110"/>
      <c r="GZ8" s="110"/>
      <c r="HA8" s="110"/>
      <c r="HB8" s="110"/>
      <c r="HC8" s="110"/>
      <c r="HD8" s="110"/>
      <c r="HE8" s="110"/>
      <c r="HF8" s="110"/>
      <c r="HG8" s="110"/>
      <c r="HH8" s="110"/>
      <c r="HI8" s="110"/>
      <c r="HJ8" s="110"/>
      <c r="HK8" s="110"/>
      <c r="HL8" s="110"/>
      <c r="HM8" s="110"/>
      <c r="HN8" s="110"/>
      <c r="HO8" s="110"/>
      <c r="HP8" s="110"/>
      <c r="HQ8" s="110"/>
      <c r="HR8" s="110"/>
      <c r="HS8" s="110"/>
      <c r="HT8" s="110"/>
      <c r="HU8" s="110"/>
      <c r="HV8" s="110"/>
      <c r="HW8" s="110"/>
      <c r="HX8" s="110"/>
      <c r="HY8" s="110"/>
      <c r="HZ8" s="110"/>
      <c r="IA8" s="110"/>
      <c r="IB8" s="110"/>
      <c r="IC8" s="110"/>
      <c r="ID8" s="110"/>
      <c r="IE8" s="110"/>
      <c r="IF8" s="110"/>
      <c r="IG8" s="110"/>
      <c r="IH8" s="110"/>
      <c r="II8" s="110"/>
      <c r="IJ8" s="110"/>
      <c r="IK8" s="110"/>
      <c r="IL8" s="110"/>
      <c r="IM8" s="110"/>
      <c r="IN8" s="110"/>
      <c r="IO8" s="110"/>
      <c r="IP8" s="110"/>
      <c r="IQ8" s="110"/>
      <c r="IR8" s="110"/>
      <c r="IS8" s="110"/>
      <c r="IT8" s="110"/>
      <c r="IU8" s="110"/>
      <c r="IV8" s="110"/>
      <c r="IW8" s="110"/>
      <c r="IX8" s="110"/>
      <c r="IY8" s="110"/>
      <c r="IZ8" s="110"/>
      <c r="JA8" s="110"/>
      <c r="JB8" s="110"/>
      <c r="JC8" s="110"/>
      <c r="JD8" s="110"/>
      <c r="JE8" s="110"/>
      <c r="JF8" s="110"/>
      <c r="JG8" s="110"/>
      <c r="JH8" s="110"/>
      <c r="JI8" s="107">
        <f t="shared" si="0"/>
        <v>342200</v>
      </c>
      <c r="JJ8" s="297">
        <v>2739</v>
      </c>
      <c r="JK8" s="110"/>
      <c r="JL8" s="112"/>
      <c r="JM8" s="112"/>
      <c r="JN8" s="112"/>
      <c r="JO8" s="112"/>
      <c r="JP8" s="112"/>
    </row>
    <row r="9" spans="1:276 1141:1141" x14ac:dyDescent="0.25">
      <c r="A9" s="110"/>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v>200010</v>
      </c>
      <c r="EB9" s="110"/>
      <c r="EC9" s="110"/>
      <c r="ED9" s="110"/>
      <c r="EE9" s="110"/>
      <c r="EF9" s="110"/>
      <c r="EG9" s="110"/>
      <c r="EH9" s="110"/>
      <c r="EI9" s="110"/>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c r="HV9" s="110"/>
      <c r="HW9" s="110"/>
      <c r="HX9" s="110"/>
      <c r="HY9" s="110"/>
      <c r="HZ9" s="110"/>
      <c r="IA9" s="110"/>
      <c r="IB9" s="110"/>
      <c r="IC9" s="110"/>
      <c r="ID9" s="110"/>
      <c r="IE9" s="110"/>
      <c r="IF9" s="110"/>
      <c r="IG9" s="110"/>
      <c r="IH9" s="110"/>
      <c r="II9" s="110"/>
      <c r="IJ9" s="110"/>
      <c r="IK9" s="110"/>
      <c r="IL9" s="110"/>
      <c r="IM9" s="110"/>
      <c r="IN9" s="110"/>
      <c r="IO9" s="110"/>
      <c r="IP9" s="110"/>
      <c r="IQ9" s="110"/>
      <c r="IR9" s="110"/>
      <c r="IS9" s="110"/>
      <c r="IT9" s="110"/>
      <c r="IU9" s="110"/>
      <c r="IV9" s="110"/>
      <c r="IW9" s="110"/>
      <c r="IX9" s="110"/>
      <c r="IY9" s="110"/>
      <c r="IZ9" s="110"/>
      <c r="JA9" s="110"/>
      <c r="JB9" s="110"/>
      <c r="JC9" s="110"/>
      <c r="JD9" s="110"/>
      <c r="JE9" s="110"/>
      <c r="JF9" s="110"/>
      <c r="JG9" s="110"/>
      <c r="JH9" s="110"/>
      <c r="JI9" s="107">
        <f t="shared" si="0"/>
        <v>200010</v>
      </c>
      <c r="JJ9" s="297">
        <v>2743</v>
      </c>
      <c r="JK9" s="110"/>
      <c r="JL9" s="112"/>
      <c r="JM9" s="112"/>
      <c r="JN9" s="112"/>
      <c r="JO9" s="112"/>
      <c r="JP9" s="112"/>
    </row>
    <row r="10" spans="1:276 1141:1141" x14ac:dyDescent="0.25">
      <c r="A10" s="110"/>
      <c r="B10" s="110"/>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v>59000</v>
      </c>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c r="IL10" s="110"/>
      <c r="IM10" s="110"/>
      <c r="IN10" s="110"/>
      <c r="IO10" s="110"/>
      <c r="IP10" s="110"/>
      <c r="IQ10" s="110"/>
      <c r="IR10" s="110"/>
      <c r="IS10" s="110"/>
      <c r="IT10" s="110"/>
      <c r="IU10" s="110"/>
      <c r="IV10" s="110"/>
      <c r="IW10" s="110"/>
      <c r="IX10" s="110"/>
      <c r="IY10" s="110"/>
      <c r="IZ10" s="110"/>
      <c r="JA10" s="110"/>
      <c r="JB10" s="110"/>
      <c r="JC10" s="110"/>
      <c r="JD10" s="110"/>
      <c r="JE10" s="110"/>
      <c r="JF10" s="110"/>
      <c r="JG10" s="110"/>
      <c r="JH10" s="110"/>
      <c r="JI10" s="107">
        <f t="shared" si="0"/>
        <v>59000</v>
      </c>
      <c r="JJ10" s="297">
        <v>2747</v>
      </c>
      <c r="JK10" s="110"/>
      <c r="JL10" s="112"/>
      <c r="JM10" s="112"/>
      <c r="JN10" s="112"/>
      <c r="JO10" s="112"/>
      <c r="JP10" s="112"/>
    </row>
    <row r="11" spans="1:276 1141:1141" x14ac:dyDescent="0.25">
      <c r="A11" s="110"/>
      <c r="B11" s="110"/>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v>70800</v>
      </c>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c r="IL11" s="110"/>
      <c r="IM11" s="110"/>
      <c r="IN11" s="110"/>
      <c r="IO11" s="110"/>
      <c r="IP11" s="110"/>
      <c r="IQ11" s="110"/>
      <c r="IR11" s="110"/>
      <c r="IS11" s="110"/>
      <c r="IT11" s="110"/>
      <c r="IU11" s="110"/>
      <c r="IV11" s="110"/>
      <c r="IW11" s="110"/>
      <c r="IX11" s="110"/>
      <c r="IY11" s="110"/>
      <c r="IZ11" s="110"/>
      <c r="JA11" s="110"/>
      <c r="JB11" s="110"/>
      <c r="JC11" s="110"/>
      <c r="JD11" s="110"/>
      <c r="JE11" s="110"/>
      <c r="JF11" s="110"/>
      <c r="JG11" s="110"/>
      <c r="JH11" s="110"/>
      <c r="JI11" s="107">
        <f t="shared" si="0"/>
        <v>70800</v>
      </c>
      <c r="JJ11" s="297">
        <v>2751</v>
      </c>
      <c r="JK11" s="110"/>
      <c r="JL11" s="112"/>
      <c r="JM11" s="112"/>
      <c r="JN11" s="112"/>
      <c r="JO11" s="112"/>
      <c r="JP11" s="112"/>
    </row>
    <row r="12" spans="1:276 1141:1141" x14ac:dyDescent="0.25">
      <c r="A12" s="110"/>
      <c r="B12" s="110"/>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v>72900.100000000006</v>
      </c>
      <c r="EH12" s="110"/>
      <c r="EI12" s="110"/>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c r="IL12" s="110"/>
      <c r="IM12" s="110"/>
      <c r="IN12" s="110"/>
      <c r="IO12" s="110"/>
      <c r="IP12" s="110"/>
      <c r="IQ12" s="110"/>
      <c r="IR12" s="110"/>
      <c r="IS12" s="110"/>
      <c r="IT12" s="110"/>
      <c r="IU12" s="110"/>
      <c r="IV12" s="110"/>
      <c r="IW12" s="110"/>
      <c r="IX12" s="110"/>
      <c r="IY12" s="110"/>
      <c r="IZ12" s="110"/>
      <c r="JA12" s="110"/>
      <c r="JB12" s="110"/>
      <c r="JC12" s="110"/>
      <c r="JD12" s="110"/>
      <c r="JE12" s="110"/>
      <c r="JF12" s="110"/>
      <c r="JG12" s="110"/>
      <c r="JH12" s="110"/>
      <c r="JI12" s="107">
        <f t="shared" si="0"/>
        <v>72900.100000000006</v>
      </c>
      <c r="JJ12" s="297">
        <v>2756</v>
      </c>
      <c r="JK12" s="110"/>
      <c r="JL12" s="112"/>
      <c r="JM12" s="112"/>
      <c r="JN12" s="112"/>
      <c r="JO12" s="112"/>
      <c r="JP12" s="112"/>
    </row>
    <row r="13" spans="1:276 1141:1141" x14ac:dyDescent="0.25">
      <c r="A13" s="110"/>
      <c r="B13" s="110"/>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c r="EV13" s="110"/>
      <c r="EW13" s="110"/>
      <c r="EX13" s="110"/>
      <c r="EY13" s="110"/>
      <c r="EZ13" s="110"/>
      <c r="FA13" s="110"/>
      <c r="FB13" s="110"/>
      <c r="FC13" s="110"/>
      <c r="FD13" s="110"/>
      <c r="FE13" s="110"/>
      <c r="FF13" s="110"/>
      <c r="FG13" s="110"/>
      <c r="FH13" s="110"/>
      <c r="FI13" s="110"/>
      <c r="FJ13" s="110"/>
      <c r="FK13" s="110"/>
      <c r="FL13" s="110"/>
      <c r="FM13" s="110"/>
      <c r="FN13" s="110"/>
      <c r="FO13" s="110"/>
      <c r="FP13" s="110"/>
      <c r="FQ13" s="110"/>
      <c r="FR13" s="110"/>
      <c r="FS13" s="110"/>
      <c r="FT13" s="110"/>
      <c r="FU13" s="110"/>
      <c r="FV13" s="110"/>
      <c r="FW13" s="110"/>
      <c r="FX13" s="110"/>
      <c r="FY13" s="110"/>
      <c r="FZ13" s="110"/>
      <c r="GA13" s="110"/>
      <c r="GB13" s="110"/>
      <c r="GC13" s="110"/>
      <c r="GD13" s="110"/>
      <c r="GE13" s="110"/>
      <c r="GF13" s="110"/>
      <c r="GG13" s="110"/>
      <c r="GH13" s="110"/>
      <c r="GI13" s="110"/>
      <c r="GJ13" s="110"/>
      <c r="GK13" s="110"/>
      <c r="GL13" s="110"/>
      <c r="GM13" s="110"/>
      <c r="GN13" s="110"/>
      <c r="GO13" s="110"/>
      <c r="GP13" s="110"/>
      <c r="GQ13" s="110">
        <v>671774</v>
      </c>
      <c r="GR13" s="110"/>
      <c r="GS13" s="110"/>
      <c r="GT13" s="110"/>
      <c r="GU13" s="110"/>
      <c r="GV13" s="110"/>
      <c r="GW13" s="110"/>
      <c r="GX13" s="110"/>
      <c r="GY13" s="110"/>
      <c r="GZ13" s="110"/>
      <c r="HA13" s="110"/>
      <c r="HB13" s="110"/>
      <c r="HC13" s="110"/>
      <c r="HD13" s="110"/>
      <c r="HE13" s="110"/>
      <c r="HF13" s="110"/>
      <c r="HG13" s="110"/>
      <c r="HH13" s="110"/>
      <c r="HI13" s="110"/>
      <c r="HJ13" s="110"/>
      <c r="HK13" s="110"/>
      <c r="HL13" s="110"/>
      <c r="HM13" s="110"/>
      <c r="HN13" s="110"/>
      <c r="HO13" s="110"/>
      <c r="HP13" s="110"/>
      <c r="HQ13" s="110"/>
      <c r="HR13" s="110"/>
      <c r="HS13" s="110"/>
      <c r="HT13" s="110"/>
      <c r="HU13" s="110"/>
      <c r="HV13" s="110"/>
      <c r="HW13" s="110"/>
      <c r="HX13" s="110"/>
      <c r="HY13" s="110"/>
      <c r="HZ13" s="110"/>
      <c r="IA13" s="110"/>
      <c r="IB13" s="110"/>
      <c r="IC13" s="110"/>
      <c r="ID13" s="110"/>
      <c r="IE13" s="110"/>
      <c r="IF13" s="110"/>
      <c r="IG13" s="110"/>
      <c r="IH13" s="110"/>
      <c r="II13" s="110"/>
      <c r="IJ13" s="110"/>
      <c r="IK13" s="110"/>
      <c r="IL13" s="110"/>
      <c r="IM13" s="110"/>
      <c r="IN13" s="110"/>
      <c r="IO13" s="110"/>
      <c r="IP13" s="110"/>
      <c r="IQ13" s="110"/>
      <c r="IR13" s="110"/>
      <c r="IS13" s="110"/>
      <c r="IT13" s="110"/>
      <c r="IU13" s="110"/>
      <c r="IV13" s="110"/>
      <c r="IW13" s="110"/>
      <c r="IX13" s="110"/>
      <c r="IY13" s="110"/>
      <c r="IZ13" s="110"/>
      <c r="JA13" s="110"/>
      <c r="JB13" s="110"/>
      <c r="JC13" s="110"/>
      <c r="JD13" s="110"/>
      <c r="JE13" s="110"/>
      <c r="JF13" s="110"/>
      <c r="JG13" s="110"/>
      <c r="JH13" s="110"/>
      <c r="JI13" s="107">
        <f t="shared" si="0"/>
        <v>671774</v>
      </c>
      <c r="JJ13" s="297">
        <v>2760</v>
      </c>
      <c r="JK13" s="110"/>
      <c r="JL13" s="112"/>
      <c r="JM13" s="112"/>
      <c r="JN13" s="112"/>
      <c r="JO13" s="112"/>
      <c r="JP13" s="112"/>
    </row>
    <row r="14" spans="1:276 1141:1141" x14ac:dyDescent="0.25">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c r="EV14" s="110"/>
      <c r="EW14" s="110"/>
      <c r="EX14" s="110"/>
      <c r="EY14" s="110"/>
      <c r="EZ14" s="110"/>
      <c r="FA14" s="110"/>
      <c r="FB14" s="110"/>
      <c r="FC14" s="110"/>
      <c r="FD14" s="110"/>
      <c r="FE14" s="110"/>
      <c r="FF14" s="110"/>
      <c r="FG14" s="110"/>
      <c r="FH14" s="110"/>
      <c r="FI14" s="110"/>
      <c r="FJ14" s="110"/>
      <c r="FK14" s="110"/>
      <c r="FL14" s="110"/>
      <c r="FM14" s="110"/>
      <c r="FN14" s="110"/>
      <c r="FO14" s="110"/>
      <c r="FP14" s="110"/>
      <c r="FQ14" s="110"/>
      <c r="FR14" s="110"/>
      <c r="FS14" s="110"/>
      <c r="FT14" s="110"/>
      <c r="FU14" s="110"/>
      <c r="FV14" s="110"/>
      <c r="FW14" s="110"/>
      <c r="FX14" s="110"/>
      <c r="FY14" s="110"/>
      <c r="FZ14" s="110"/>
      <c r="GA14" s="110"/>
      <c r="GB14" s="110"/>
      <c r="GC14" s="110"/>
      <c r="GD14" s="110"/>
      <c r="GE14" s="110"/>
      <c r="GF14" s="110"/>
      <c r="GG14" s="110"/>
      <c r="GH14" s="110"/>
      <c r="GI14" s="110"/>
      <c r="GJ14" s="110"/>
      <c r="GK14" s="110"/>
      <c r="GL14" s="110"/>
      <c r="GM14" s="110"/>
      <c r="GN14" s="110"/>
      <c r="GO14" s="110"/>
      <c r="GP14" s="110"/>
      <c r="GQ14" s="110">
        <v>1999226.8</v>
      </c>
      <c r="GR14" s="110"/>
      <c r="GS14" s="110"/>
      <c r="GT14" s="110"/>
      <c r="GU14" s="110"/>
      <c r="GV14" s="110"/>
      <c r="GW14" s="110"/>
      <c r="GX14" s="110"/>
      <c r="GY14" s="110"/>
      <c r="GZ14" s="110"/>
      <c r="HA14" s="110"/>
      <c r="HB14" s="110"/>
      <c r="HC14" s="110"/>
      <c r="HD14" s="110"/>
      <c r="HE14" s="110"/>
      <c r="HF14" s="110"/>
      <c r="HG14" s="110"/>
      <c r="HH14" s="110"/>
      <c r="HI14" s="110"/>
      <c r="HJ14" s="110"/>
      <c r="HK14" s="110"/>
      <c r="HL14" s="110"/>
      <c r="HM14" s="110"/>
      <c r="HN14" s="110"/>
      <c r="HO14" s="110"/>
      <c r="HP14" s="110"/>
      <c r="HQ14" s="110"/>
      <c r="HR14" s="110"/>
      <c r="HS14" s="110"/>
      <c r="HT14" s="110"/>
      <c r="HU14" s="110"/>
      <c r="HV14" s="110"/>
      <c r="HW14" s="110"/>
      <c r="HX14" s="110"/>
      <c r="HY14" s="110"/>
      <c r="HZ14" s="110"/>
      <c r="IA14" s="110"/>
      <c r="IB14" s="110"/>
      <c r="IC14" s="110"/>
      <c r="ID14" s="110"/>
      <c r="IE14" s="110"/>
      <c r="IF14" s="110"/>
      <c r="IG14" s="110"/>
      <c r="IH14" s="110"/>
      <c r="II14" s="110"/>
      <c r="IJ14" s="110"/>
      <c r="IK14" s="110"/>
      <c r="IL14" s="110"/>
      <c r="IM14" s="110"/>
      <c r="IN14" s="110"/>
      <c r="IO14" s="110"/>
      <c r="IP14" s="110"/>
      <c r="IQ14" s="110"/>
      <c r="IR14" s="110"/>
      <c r="IS14" s="110"/>
      <c r="IT14" s="110"/>
      <c r="IU14" s="110"/>
      <c r="IV14" s="110"/>
      <c r="IW14" s="110"/>
      <c r="IX14" s="110"/>
      <c r="IY14" s="110"/>
      <c r="IZ14" s="110"/>
      <c r="JA14" s="110"/>
      <c r="JB14" s="110"/>
      <c r="JC14" s="110"/>
      <c r="JD14" s="110"/>
      <c r="JE14" s="110"/>
      <c r="JF14" s="110"/>
      <c r="JG14" s="110"/>
      <c r="JH14" s="110"/>
      <c r="JI14" s="107">
        <f t="shared" si="0"/>
        <v>1999226.8</v>
      </c>
      <c r="JJ14" s="297">
        <v>2764</v>
      </c>
      <c r="JK14" s="110"/>
      <c r="JL14" s="112"/>
      <c r="JM14" s="112"/>
      <c r="JN14" s="112"/>
      <c r="JO14" s="112"/>
      <c r="JP14" s="112"/>
    </row>
    <row r="15" spans="1:276 1141:1141" x14ac:dyDescent="0.2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v>74179.460000000006</v>
      </c>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c r="EV15" s="110"/>
      <c r="EW15" s="110"/>
      <c r="EX15" s="110"/>
      <c r="EY15" s="110"/>
      <c r="EZ15" s="110"/>
      <c r="FA15" s="110"/>
      <c r="FB15" s="110"/>
      <c r="FC15" s="110"/>
      <c r="FD15" s="110"/>
      <c r="FE15" s="110"/>
      <c r="FF15" s="110"/>
      <c r="FG15" s="110"/>
      <c r="FH15" s="110"/>
      <c r="FI15" s="110"/>
      <c r="FJ15" s="110"/>
      <c r="FK15" s="110"/>
      <c r="FL15" s="110"/>
      <c r="FM15" s="110"/>
      <c r="FN15" s="110"/>
      <c r="FO15" s="110"/>
      <c r="FP15" s="110"/>
      <c r="FQ15" s="110"/>
      <c r="FR15" s="110"/>
      <c r="FS15" s="110"/>
      <c r="FT15" s="110"/>
      <c r="FU15" s="110"/>
      <c r="FV15" s="110"/>
      <c r="FW15" s="110"/>
      <c r="FX15" s="110"/>
      <c r="FY15" s="110">
        <v>809192.93</v>
      </c>
      <c r="FZ15" s="110"/>
      <c r="GA15" s="110"/>
      <c r="GB15" s="110"/>
      <c r="GC15" s="110"/>
      <c r="GD15" s="110"/>
      <c r="GE15" s="110"/>
      <c r="GF15" s="110"/>
      <c r="GG15" s="110"/>
      <c r="GH15" s="110"/>
      <c r="GI15" s="110"/>
      <c r="GJ15" s="110"/>
      <c r="GK15" s="110"/>
      <c r="GL15" s="110"/>
      <c r="GM15" s="110"/>
      <c r="GN15" s="110"/>
      <c r="GO15" s="110"/>
      <c r="GP15" s="110"/>
      <c r="GQ15" s="110"/>
      <c r="GR15" s="110"/>
      <c r="GS15" s="110"/>
      <c r="GT15" s="110"/>
      <c r="GU15" s="110"/>
      <c r="GV15" s="110"/>
      <c r="GW15" s="110"/>
      <c r="GX15" s="110"/>
      <c r="GY15" s="110"/>
      <c r="GZ15" s="110"/>
      <c r="HA15" s="110"/>
      <c r="HB15" s="110"/>
      <c r="HC15" s="110"/>
      <c r="HD15" s="110"/>
      <c r="HE15" s="110"/>
      <c r="HF15" s="110"/>
      <c r="HG15" s="110"/>
      <c r="HH15" s="110"/>
      <c r="HI15" s="110"/>
      <c r="HJ15" s="110"/>
      <c r="HK15" s="110"/>
      <c r="HL15" s="110"/>
      <c r="HM15" s="110"/>
      <c r="HN15" s="110"/>
      <c r="HO15" s="110"/>
      <c r="HP15" s="110"/>
      <c r="HQ15" s="110"/>
      <c r="HR15" s="110"/>
      <c r="HS15" s="110"/>
      <c r="HT15" s="110"/>
      <c r="HU15" s="110"/>
      <c r="HV15" s="110"/>
      <c r="HW15" s="110"/>
      <c r="HX15" s="110"/>
      <c r="HY15" s="110"/>
      <c r="HZ15" s="110"/>
      <c r="IA15" s="110"/>
      <c r="IB15" s="110"/>
      <c r="IC15" s="110"/>
      <c r="ID15" s="110"/>
      <c r="IE15" s="110"/>
      <c r="IF15" s="110"/>
      <c r="IG15" s="110"/>
      <c r="IH15" s="110"/>
      <c r="II15" s="110"/>
      <c r="IJ15" s="110"/>
      <c r="IK15" s="110"/>
      <c r="IL15" s="110"/>
      <c r="IM15" s="110"/>
      <c r="IN15" s="110"/>
      <c r="IO15" s="110"/>
      <c r="IP15" s="110"/>
      <c r="IQ15" s="110"/>
      <c r="IR15" s="110"/>
      <c r="IS15" s="110"/>
      <c r="IT15" s="110"/>
      <c r="IU15" s="110"/>
      <c r="IV15" s="110"/>
      <c r="IW15" s="110"/>
      <c r="IX15" s="110"/>
      <c r="IY15" s="110"/>
      <c r="IZ15" s="110"/>
      <c r="JA15" s="110"/>
      <c r="JB15" s="110"/>
      <c r="JC15" s="110"/>
      <c r="JD15" s="110"/>
      <c r="JE15" s="110"/>
      <c r="JF15" s="110"/>
      <c r="JG15" s="110"/>
      <c r="JH15" s="110"/>
      <c r="JI15" s="107">
        <f t="shared" si="0"/>
        <v>883372.39</v>
      </c>
      <c r="JJ15" s="297">
        <v>2771</v>
      </c>
      <c r="JK15" s="110"/>
      <c r="JL15" s="112"/>
      <c r="JM15" s="112"/>
      <c r="JN15" s="112"/>
      <c r="JO15" s="112"/>
      <c r="JP15" s="112"/>
    </row>
    <row r="16" spans="1:276 1141:1141" x14ac:dyDescent="0.25">
      <c r="A16" s="110"/>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v>60535</v>
      </c>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c r="EV16" s="110"/>
      <c r="EW16" s="110"/>
      <c r="EX16" s="110"/>
      <c r="EY16" s="110"/>
      <c r="EZ16" s="110"/>
      <c r="FA16" s="110"/>
      <c r="FB16" s="110"/>
      <c r="FC16" s="110"/>
      <c r="FD16" s="110"/>
      <c r="FE16" s="110"/>
      <c r="FF16" s="110"/>
      <c r="FG16" s="110"/>
      <c r="FH16" s="110"/>
      <c r="FI16" s="110"/>
      <c r="FJ16" s="110"/>
      <c r="FK16" s="110"/>
      <c r="FL16" s="110"/>
      <c r="FM16" s="110"/>
      <c r="FN16" s="110"/>
      <c r="FO16" s="110"/>
      <c r="FP16" s="110"/>
      <c r="FQ16" s="110"/>
      <c r="FR16" s="110"/>
      <c r="FS16" s="110"/>
      <c r="FT16" s="110"/>
      <c r="FU16" s="110"/>
      <c r="FV16" s="110"/>
      <c r="FW16" s="110"/>
      <c r="FX16" s="110"/>
      <c r="FY16" s="110"/>
      <c r="FZ16" s="110"/>
      <c r="GA16" s="110"/>
      <c r="GB16" s="110"/>
      <c r="GC16" s="110"/>
      <c r="GD16" s="110"/>
      <c r="GE16" s="110"/>
      <c r="GF16" s="110"/>
      <c r="GG16" s="110"/>
      <c r="GH16" s="110"/>
      <c r="GI16" s="110"/>
      <c r="GJ16" s="110"/>
      <c r="GK16" s="110"/>
      <c r="GL16" s="110"/>
      <c r="GM16" s="110"/>
      <c r="GN16" s="110"/>
      <c r="GO16" s="110"/>
      <c r="GP16" s="110"/>
      <c r="GQ16" s="110"/>
      <c r="GR16" s="110"/>
      <c r="GS16" s="110"/>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c r="HV16" s="110"/>
      <c r="HW16" s="110"/>
      <c r="HX16" s="110"/>
      <c r="HY16" s="110"/>
      <c r="HZ16" s="110"/>
      <c r="IA16" s="110"/>
      <c r="IB16" s="110"/>
      <c r="IC16" s="110"/>
      <c r="ID16" s="110"/>
      <c r="IE16" s="110"/>
      <c r="IF16" s="110"/>
      <c r="IG16" s="110"/>
      <c r="IH16" s="110"/>
      <c r="II16" s="110"/>
      <c r="IJ16" s="110"/>
      <c r="IK16" s="110"/>
      <c r="IL16" s="110"/>
      <c r="IM16" s="110"/>
      <c r="IN16" s="110"/>
      <c r="IO16" s="110"/>
      <c r="IP16" s="110"/>
      <c r="IQ16" s="110"/>
      <c r="IR16" s="110"/>
      <c r="IS16" s="110"/>
      <c r="IT16" s="110"/>
      <c r="IU16" s="110"/>
      <c r="IV16" s="110"/>
      <c r="IW16" s="110"/>
      <c r="IX16" s="110"/>
      <c r="IY16" s="110"/>
      <c r="IZ16" s="110"/>
      <c r="JA16" s="110"/>
      <c r="JB16" s="110"/>
      <c r="JC16" s="110"/>
      <c r="JD16" s="110"/>
      <c r="JE16" s="110"/>
      <c r="JF16" s="110"/>
      <c r="JG16" s="110"/>
      <c r="JH16" s="110"/>
      <c r="JI16" s="107">
        <f t="shared" si="0"/>
        <v>60535</v>
      </c>
      <c r="JJ16" s="297">
        <v>2775</v>
      </c>
      <c r="JK16" s="110"/>
      <c r="JL16" s="112"/>
      <c r="JM16" s="112"/>
      <c r="JN16" s="112"/>
      <c r="JO16" s="112"/>
      <c r="JP16" s="112"/>
    </row>
    <row r="17" spans="1:276" x14ac:dyDescent="0.25">
      <c r="A17" s="110"/>
      <c r="B17" s="110"/>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c r="EV17" s="110"/>
      <c r="EW17" s="110"/>
      <c r="EX17" s="110"/>
      <c r="EY17" s="110"/>
      <c r="EZ17" s="110"/>
      <c r="FA17" s="110"/>
      <c r="FB17" s="110"/>
      <c r="FC17" s="110"/>
      <c r="FD17" s="110"/>
      <c r="FE17" s="110"/>
      <c r="FF17" s="110"/>
      <c r="FG17" s="110"/>
      <c r="FH17" s="110"/>
      <c r="FI17" s="110"/>
      <c r="FJ17" s="110">
        <v>161376</v>
      </c>
      <c r="FK17" s="110"/>
      <c r="FL17" s="110"/>
      <c r="FM17" s="110"/>
      <c r="FN17" s="110"/>
      <c r="FO17" s="110"/>
      <c r="FP17" s="110"/>
      <c r="FQ17" s="110"/>
      <c r="FR17" s="110"/>
      <c r="FS17" s="110"/>
      <c r="FT17" s="110"/>
      <c r="FU17" s="110"/>
      <c r="FV17" s="110"/>
      <c r="FW17" s="110"/>
      <c r="FX17" s="110"/>
      <c r="FY17" s="110"/>
      <c r="FZ17" s="110"/>
      <c r="GA17" s="110"/>
      <c r="GB17" s="110"/>
      <c r="GC17" s="110"/>
      <c r="GD17" s="110"/>
      <c r="GE17" s="110"/>
      <c r="GF17" s="110"/>
      <c r="GG17" s="110"/>
      <c r="GH17" s="110"/>
      <c r="GI17" s="110"/>
      <c r="GJ17" s="110"/>
      <c r="GK17" s="110"/>
      <c r="GL17" s="110"/>
      <c r="GM17" s="110"/>
      <c r="GN17" s="110"/>
      <c r="GO17" s="110"/>
      <c r="GP17" s="110"/>
      <c r="GQ17" s="110"/>
      <c r="GR17" s="110"/>
      <c r="GS17" s="110"/>
      <c r="GT17" s="110"/>
      <c r="GU17" s="110"/>
      <c r="GV17" s="110"/>
      <c r="GW17" s="110"/>
      <c r="GX17" s="110"/>
      <c r="GY17" s="110"/>
      <c r="GZ17" s="110"/>
      <c r="HA17" s="110"/>
      <c r="HB17" s="110"/>
      <c r="HC17" s="110"/>
      <c r="HD17" s="110"/>
      <c r="HE17" s="110"/>
      <c r="HF17" s="110"/>
      <c r="HG17" s="110"/>
      <c r="HH17" s="110"/>
      <c r="HI17" s="110"/>
      <c r="HJ17" s="110"/>
      <c r="HK17" s="110"/>
      <c r="HL17" s="110"/>
      <c r="HM17" s="110"/>
      <c r="HN17" s="110"/>
      <c r="HO17" s="110"/>
      <c r="HP17" s="110"/>
      <c r="HQ17" s="110"/>
      <c r="HR17" s="110"/>
      <c r="HS17" s="110"/>
      <c r="HT17" s="110"/>
      <c r="HU17" s="110"/>
      <c r="HV17" s="110"/>
      <c r="HW17" s="110"/>
      <c r="HX17" s="110"/>
      <c r="HY17" s="110"/>
      <c r="HZ17" s="110"/>
      <c r="IA17" s="110"/>
      <c r="IB17" s="110"/>
      <c r="IC17" s="110"/>
      <c r="ID17" s="110"/>
      <c r="IE17" s="110"/>
      <c r="IF17" s="110"/>
      <c r="IG17" s="110"/>
      <c r="IH17" s="110"/>
      <c r="II17" s="110"/>
      <c r="IJ17" s="110"/>
      <c r="IK17" s="110"/>
      <c r="IL17" s="110"/>
      <c r="IM17" s="110"/>
      <c r="IN17" s="110"/>
      <c r="IO17" s="110"/>
      <c r="IP17" s="110"/>
      <c r="IQ17" s="110"/>
      <c r="IR17" s="110"/>
      <c r="IS17" s="110"/>
      <c r="IT17" s="110"/>
      <c r="IU17" s="110"/>
      <c r="IV17" s="110"/>
      <c r="IW17" s="110"/>
      <c r="IX17" s="110"/>
      <c r="IY17" s="110"/>
      <c r="IZ17" s="110"/>
      <c r="JA17" s="110"/>
      <c r="JB17" s="110"/>
      <c r="JC17" s="110"/>
      <c r="JD17" s="110"/>
      <c r="JE17" s="110"/>
      <c r="JF17" s="110"/>
      <c r="JG17" s="110"/>
      <c r="JH17" s="110"/>
      <c r="JI17" s="107">
        <f t="shared" si="0"/>
        <v>161376</v>
      </c>
      <c r="JJ17" s="297">
        <v>2794</v>
      </c>
      <c r="JK17" s="110"/>
      <c r="JL17" s="112"/>
      <c r="JM17" s="112"/>
      <c r="JN17" s="112"/>
      <c r="JO17" s="112"/>
      <c r="JP17" s="112"/>
    </row>
    <row r="18" spans="1:276" x14ac:dyDescent="0.25">
      <c r="A18" s="110"/>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10"/>
      <c r="CT18" s="110"/>
      <c r="CU18" s="110"/>
      <c r="CV18" s="110"/>
      <c r="CW18" s="110"/>
      <c r="CX18" s="110"/>
      <c r="CY18" s="110"/>
      <c r="CZ18" s="110"/>
      <c r="DA18" s="110"/>
      <c r="DB18" s="110"/>
      <c r="DC18" s="110"/>
      <c r="DD18" s="110"/>
      <c r="DE18" s="110"/>
      <c r="DF18" s="110"/>
      <c r="DG18" s="110"/>
      <c r="DH18" s="110"/>
      <c r="DI18" s="110"/>
      <c r="DJ18" s="110"/>
      <c r="DK18" s="110"/>
      <c r="DL18" s="110"/>
      <c r="DM18" s="110"/>
      <c r="DN18" s="110"/>
      <c r="DO18" s="110"/>
      <c r="DP18" s="110"/>
      <c r="DQ18" s="110"/>
      <c r="DR18" s="110"/>
      <c r="DS18" s="110"/>
      <c r="DT18" s="110"/>
      <c r="DU18" s="110"/>
      <c r="DV18" s="110"/>
      <c r="DW18" s="110"/>
      <c r="DX18" s="110"/>
      <c r="DY18" s="110"/>
      <c r="DZ18" s="110"/>
      <c r="EA18" s="110"/>
      <c r="EB18" s="110"/>
      <c r="EC18" s="110"/>
      <c r="ED18" s="110"/>
      <c r="EE18" s="110"/>
      <c r="EF18" s="110"/>
      <c r="EG18" s="110"/>
      <c r="EH18" s="110"/>
      <c r="EI18" s="110"/>
      <c r="EJ18" s="110"/>
      <c r="EK18" s="110"/>
      <c r="EL18" s="110"/>
      <c r="EM18" s="110"/>
      <c r="EN18" s="110"/>
      <c r="EO18" s="110"/>
      <c r="EP18" s="110"/>
      <c r="EQ18" s="110"/>
      <c r="ER18" s="110"/>
      <c r="ES18" s="110"/>
      <c r="ET18" s="110"/>
      <c r="EU18" s="110"/>
      <c r="EV18" s="110"/>
      <c r="EW18" s="110"/>
      <c r="EX18" s="110"/>
      <c r="EY18" s="110"/>
      <c r="EZ18" s="110"/>
      <c r="FA18" s="110"/>
      <c r="FB18" s="110"/>
      <c r="FC18" s="110"/>
      <c r="FD18" s="110"/>
      <c r="FE18" s="110"/>
      <c r="FF18" s="110"/>
      <c r="FG18" s="110"/>
      <c r="FH18" s="110"/>
      <c r="FI18" s="110"/>
      <c r="FJ18" s="110">
        <v>16605</v>
      </c>
      <c r="FK18" s="110"/>
      <c r="FL18" s="110"/>
      <c r="FM18" s="110"/>
      <c r="FN18" s="110"/>
      <c r="FO18" s="110"/>
      <c r="FP18" s="110"/>
      <c r="FQ18" s="110"/>
      <c r="FR18" s="110"/>
      <c r="FS18" s="110"/>
      <c r="FT18" s="110"/>
      <c r="FU18" s="110"/>
      <c r="FV18" s="110"/>
      <c r="FW18" s="110"/>
      <c r="FX18" s="110"/>
      <c r="FY18" s="110"/>
      <c r="FZ18" s="110"/>
      <c r="GA18" s="110"/>
      <c r="GB18" s="110"/>
      <c r="GC18" s="110"/>
      <c r="GD18" s="110"/>
      <c r="GE18" s="110"/>
      <c r="GF18" s="110"/>
      <c r="GG18" s="110"/>
      <c r="GH18" s="110"/>
      <c r="GI18" s="110"/>
      <c r="GJ18" s="110"/>
      <c r="GK18" s="110"/>
      <c r="GL18" s="110"/>
      <c r="GM18" s="110"/>
      <c r="GN18" s="110"/>
      <c r="GO18" s="110"/>
      <c r="GP18" s="110"/>
      <c r="GQ18" s="110"/>
      <c r="GR18" s="110"/>
      <c r="GS18" s="110"/>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c r="HV18" s="110"/>
      <c r="HW18" s="110"/>
      <c r="HX18" s="110"/>
      <c r="HY18" s="110"/>
      <c r="HZ18" s="110"/>
      <c r="IA18" s="110"/>
      <c r="IB18" s="110"/>
      <c r="IC18" s="110"/>
      <c r="ID18" s="110"/>
      <c r="IE18" s="110"/>
      <c r="IF18" s="110"/>
      <c r="IG18" s="110"/>
      <c r="IH18" s="110"/>
      <c r="II18" s="110"/>
      <c r="IJ18" s="110"/>
      <c r="IK18" s="110"/>
      <c r="IL18" s="110"/>
      <c r="IM18" s="110"/>
      <c r="IN18" s="110"/>
      <c r="IO18" s="110"/>
      <c r="IP18" s="110"/>
      <c r="IQ18" s="110"/>
      <c r="IR18" s="110"/>
      <c r="IS18" s="110"/>
      <c r="IT18" s="110"/>
      <c r="IU18" s="110"/>
      <c r="IV18" s="110"/>
      <c r="IW18" s="110"/>
      <c r="IX18" s="110"/>
      <c r="IY18" s="110"/>
      <c r="IZ18" s="110"/>
      <c r="JA18" s="110"/>
      <c r="JB18" s="110"/>
      <c r="JC18" s="110"/>
      <c r="JD18" s="110"/>
      <c r="JE18" s="110"/>
      <c r="JF18" s="110"/>
      <c r="JG18" s="110"/>
      <c r="JH18" s="110"/>
      <c r="JI18" s="107">
        <f t="shared" si="0"/>
        <v>16605</v>
      </c>
      <c r="JJ18" s="297">
        <v>2800</v>
      </c>
      <c r="JK18" s="110"/>
      <c r="JL18" s="112"/>
      <c r="JM18" s="112"/>
      <c r="JN18" s="112"/>
      <c r="JO18" s="112"/>
      <c r="JP18" s="112"/>
    </row>
    <row r="19" spans="1:276" x14ac:dyDescent="0.25">
      <c r="A19" s="110"/>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0"/>
      <c r="DI19" s="110"/>
      <c r="DJ19" s="110"/>
      <c r="DK19" s="110"/>
      <c r="DL19" s="110"/>
      <c r="DM19" s="110"/>
      <c r="DN19" s="110"/>
      <c r="DO19" s="110"/>
      <c r="DP19" s="110"/>
      <c r="DQ19" s="110"/>
      <c r="DR19" s="110"/>
      <c r="DS19" s="110"/>
      <c r="DT19" s="110"/>
      <c r="DU19" s="110"/>
      <c r="DV19" s="110"/>
      <c r="DW19" s="110"/>
      <c r="DX19" s="110"/>
      <c r="DY19" s="110"/>
      <c r="DZ19" s="110"/>
      <c r="EA19" s="110"/>
      <c r="EB19" s="110"/>
      <c r="EC19" s="110"/>
      <c r="ED19" s="110"/>
      <c r="EE19" s="110"/>
      <c r="EF19" s="110"/>
      <c r="EG19" s="110"/>
      <c r="EH19" s="110"/>
      <c r="EI19" s="110"/>
      <c r="EJ19" s="110"/>
      <c r="EK19" s="110"/>
      <c r="EL19" s="110"/>
      <c r="EM19" s="110"/>
      <c r="EN19" s="110"/>
      <c r="EO19" s="110"/>
      <c r="EP19" s="110"/>
      <c r="EQ19" s="110"/>
      <c r="ER19" s="110"/>
      <c r="ES19" s="110"/>
      <c r="ET19" s="110"/>
      <c r="EU19" s="110"/>
      <c r="EV19" s="110"/>
      <c r="EW19" s="110"/>
      <c r="EX19" s="110"/>
      <c r="EY19" s="110"/>
      <c r="EZ19" s="110"/>
      <c r="FA19" s="110"/>
      <c r="FB19" s="110"/>
      <c r="FC19" s="110"/>
      <c r="FD19" s="110"/>
      <c r="FE19" s="110"/>
      <c r="FF19" s="110"/>
      <c r="FG19" s="110"/>
      <c r="FH19" s="110"/>
      <c r="FI19" s="110"/>
      <c r="FJ19" s="110"/>
      <c r="FK19" s="110"/>
      <c r="FL19" s="110"/>
      <c r="FM19" s="110"/>
      <c r="FN19" s="110"/>
      <c r="FO19" s="110"/>
      <c r="FP19" s="110"/>
      <c r="FQ19" s="110"/>
      <c r="FR19" s="110"/>
      <c r="FS19" s="110"/>
      <c r="FT19" s="110">
        <v>220312.32000000001</v>
      </c>
      <c r="FU19" s="110"/>
      <c r="FV19" s="110"/>
      <c r="FW19" s="110"/>
      <c r="FX19" s="110"/>
      <c r="FY19" s="110"/>
      <c r="FZ19" s="110"/>
      <c r="GA19" s="110"/>
      <c r="GB19" s="110"/>
      <c r="GC19" s="110"/>
      <c r="GD19" s="110"/>
      <c r="GE19" s="110"/>
      <c r="GF19" s="110"/>
      <c r="GG19" s="110"/>
      <c r="GH19" s="110"/>
      <c r="GI19" s="110"/>
      <c r="GJ19" s="110"/>
      <c r="GK19" s="110"/>
      <c r="GL19" s="110"/>
      <c r="GM19" s="110"/>
      <c r="GN19" s="110"/>
      <c r="GO19" s="110"/>
      <c r="GP19" s="110"/>
      <c r="GQ19" s="110"/>
      <c r="GR19" s="110"/>
      <c r="GS19" s="110"/>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c r="HV19" s="110"/>
      <c r="HW19" s="110"/>
      <c r="HX19" s="110"/>
      <c r="HY19" s="110"/>
      <c r="HZ19" s="110"/>
      <c r="IA19" s="110"/>
      <c r="IB19" s="110"/>
      <c r="IC19" s="110"/>
      <c r="ID19" s="110"/>
      <c r="IE19" s="110"/>
      <c r="IF19" s="110"/>
      <c r="IG19" s="110"/>
      <c r="IH19" s="110"/>
      <c r="II19" s="110"/>
      <c r="IJ19" s="110"/>
      <c r="IK19" s="110"/>
      <c r="IL19" s="110"/>
      <c r="IM19" s="110"/>
      <c r="IN19" s="110"/>
      <c r="IO19" s="110"/>
      <c r="IP19" s="110"/>
      <c r="IQ19" s="110"/>
      <c r="IR19" s="110"/>
      <c r="IS19" s="110"/>
      <c r="IT19" s="110"/>
      <c r="IU19" s="110"/>
      <c r="IV19" s="110"/>
      <c r="IW19" s="110"/>
      <c r="IX19" s="110"/>
      <c r="IY19" s="110"/>
      <c r="IZ19" s="110"/>
      <c r="JA19" s="110"/>
      <c r="JB19" s="110"/>
      <c r="JC19" s="110"/>
      <c r="JD19" s="110"/>
      <c r="JE19" s="110"/>
      <c r="JF19" s="110"/>
      <c r="JG19" s="110"/>
      <c r="JH19" s="110"/>
      <c r="JI19" s="107">
        <f t="shared" si="0"/>
        <v>220312.32000000001</v>
      </c>
      <c r="JJ19" s="297">
        <v>2804</v>
      </c>
      <c r="JK19" s="110"/>
      <c r="JL19" s="112"/>
      <c r="JM19" s="112"/>
      <c r="JN19" s="112"/>
      <c r="JO19" s="112"/>
      <c r="JP19" s="112"/>
    </row>
    <row r="20" spans="1:276" x14ac:dyDescent="0.25">
      <c r="A20" s="110"/>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c r="DB20" s="110"/>
      <c r="DC20" s="110"/>
      <c r="DD20" s="110"/>
      <c r="DE20" s="110"/>
      <c r="DF20" s="110"/>
      <c r="DG20" s="110"/>
      <c r="DH20" s="110"/>
      <c r="DI20" s="110"/>
      <c r="DJ20" s="110"/>
      <c r="DK20" s="110"/>
      <c r="DL20" s="110"/>
      <c r="DM20" s="110"/>
      <c r="DN20" s="110"/>
      <c r="DO20" s="110"/>
      <c r="DP20" s="110"/>
      <c r="DQ20" s="110"/>
      <c r="DR20" s="110"/>
      <c r="DS20" s="110"/>
      <c r="DT20" s="110"/>
      <c r="DU20" s="110"/>
      <c r="DV20" s="110"/>
      <c r="DW20" s="110"/>
      <c r="DX20" s="110"/>
      <c r="DY20" s="110"/>
      <c r="DZ20" s="110"/>
      <c r="EA20" s="110"/>
      <c r="EB20" s="110"/>
      <c r="EC20" s="110"/>
      <c r="ED20" s="110"/>
      <c r="EE20" s="110"/>
      <c r="EF20" s="110"/>
      <c r="EG20" s="110"/>
      <c r="EH20" s="110"/>
      <c r="EI20" s="110"/>
      <c r="EJ20" s="110"/>
      <c r="EK20" s="110"/>
      <c r="EL20" s="110"/>
      <c r="EM20" s="110"/>
      <c r="EN20" s="110"/>
      <c r="EO20" s="110"/>
      <c r="EP20" s="110"/>
      <c r="EQ20" s="110"/>
      <c r="ER20" s="110"/>
      <c r="ES20" s="110"/>
      <c r="ET20" s="110"/>
      <c r="EU20" s="110"/>
      <c r="EV20" s="110"/>
      <c r="EW20" s="110"/>
      <c r="EX20" s="110"/>
      <c r="EY20" s="110"/>
      <c r="EZ20" s="110"/>
      <c r="FA20" s="110"/>
      <c r="FB20" s="110"/>
      <c r="FC20" s="110"/>
      <c r="FD20" s="110"/>
      <c r="FE20" s="110"/>
      <c r="FF20" s="110"/>
      <c r="FG20" s="110"/>
      <c r="FH20" s="110"/>
      <c r="FI20" s="110"/>
      <c r="FJ20" s="110">
        <v>185670.37</v>
      </c>
      <c r="FK20" s="110"/>
      <c r="FL20" s="110"/>
      <c r="FM20" s="110"/>
      <c r="FN20" s="110"/>
      <c r="FO20" s="110"/>
      <c r="FP20" s="110"/>
      <c r="FQ20" s="110"/>
      <c r="FR20" s="110"/>
      <c r="FS20" s="110"/>
      <c r="FT20" s="110"/>
      <c r="FU20" s="110"/>
      <c r="FV20" s="110"/>
      <c r="FW20" s="110"/>
      <c r="FX20" s="110"/>
      <c r="FY20" s="110"/>
      <c r="FZ20" s="110"/>
      <c r="GA20" s="110"/>
      <c r="GB20" s="110"/>
      <c r="GC20" s="110"/>
      <c r="GD20" s="110"/>
      <c r="GE20" s="110"/>
      <c r="GF20" s="110"/>
      <c r="GG20" s="110"/>
      <c r="GH20" s="110"/>
      <c r="GI20" s="110"/>
      <c r="GJ20" s="110"/>
      <c r="GK20" s="110"/>
      <c r="GL20" s="110"/>
      <c r="GM20" s="110"/>
      <c r="GN20" s="110"/>
      <c r="GO20" s="110"/>
      <c r="GP20" s="110"/>
      <c r="GQ20" s="110"/>
      <c r="GR20" s="110"/>
      <c r="GS20" s="110"/>
      <c r="GT20" s="110"/>
      <c r="GU20" s="110"/>
      <c r="GV20" s="110"/>
      <c r="GW20" s="110"/>
      <c r="GX20" s="110"/>
      <c r="GY20" s="110"/>
      <c r="GZ20" s="110"/>
      <c r="HA20" s="110"/>
      <c r="HB20" s="110"/>
      <c r="HC20" s="110"/>
      <c r="HD20" s="110"/>
      <c r="HE20" s="110"/>
      <c r="HF20" s="110"/>
      <c r="HG20" s="110"/>
      <c r="HH20" s="110"/>
      <c r="HI20" s="110"/>
      <c r="HJ20" s="110"/>
      <c r="HK20" s="110"/>
      <c r="HL20" s="110"/>
      <c r="HM20" s="110"/>
      <c r="HN20" s="110"/>
      <c r="HO20" s="110"/>
      <c r="HP20" s="110"/>
      <c r="HQ20" s="110"/>
      <c r="HR20" s="110"/>
      <c r="HS20" s="110"/>
      <c r="HT20" s="110"/>
      <c r="HU20" s="110"/>
      <c r="HV20" s="110"/>
      <c r="HW20" s="110"/>
      <c r="HX20" s="110"/>
      <c r="HY20" s="110"/>
      <c r="HZ20" s="110"/>
      <c r="IA20" s="110"/>
      <c r="IB20" s="110"/>
      <c r="IC20" s="110"/>
      <c r="ID20" s="110"/>
      <c r="IE20" s="110"/>
      <c r="IF20" s="110"/>
      <c r="IG20" s="110"/>
      <c r="IH20" s="110"/>
      <c r="II20" s="110"/>
      <c r="IJ20" s="110"/>
      <c r="IK20" s="110"/>
      <c r="IL20" s="110"/>
      <c r="IM20" s="110"/>
      <c r="IN20" s="110"/>
      <c r="IO20" s="110"/>
      <c r="IP20" s="110"/>
      <c r="IQ20" s="110"/>
      <c r="IR20" s="110"/>
      <c r="IS20" s="110"/>
      <c r="IT20" s="110"/>
      <c r="IU20" s="110"/>
      <c r="IV20" s="110"/>
      <c r="IW20" s="110"/>
      <c r="IX20" s="110"/>
      <c r="IY20" s="110"/>
      <c r="IZ20" s="110"/>
      <c r="JA20" s="110"/>
      <c r="JB20" s="110"/>
      <c r="JC20" s="110"/>
      <c r="JD20" s="110"/>
      <c r="JE20" s="110"/>
      <c r="JF20" s="110"/>
      <c r="JG20" s="110"/>
      <c r="JH20" s="110"/>
      <c r="JI20" s="107">
        <f t="shared" si="0"/>
        <v>185670.37</v>
      </c>
      <c r="JJ20" s="297">
        <v>2808</v>
      </c>
      <c r="JK20" s="110"/>
      <c r="JL20" s="112"/>
      <c r="JM20" s="112"/>
      <c r="JN20" s="112"/>
      <c r="JO20" s="112"/>
      <c r="JP20" s="112"/>
    </row>
    <row r="21" spans="1:276" x14ac:dyDescent="0.25">
      <c r="A21" s="110"/>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10"/>
      <c r="CT21" s="110"/>
      <c r="CU21" s="110"/>
      <c r="CV21" s="110"/>
      <c r="CW21" s="110"/>
      <c r="CX21" s="110"/>
      <c r="CY21" s="110"/>
      <c r="CZ21" s="110"/>
      <c r="DA21" s="110"/>
      <c r="DB21" s="110"/>
      <c r="DC21" s="110"/>
      <c r="DD21" s="110"/>
      <c r="DE21" s="110"/>
      <c r="DF21" s="110"/>
      <c r="DG21" s="110"/>
      <c r="DH21" s="110"/>
      <c r="DI21" s="110"/>
      <c r="DJ21" s="110"/>
      <c r="DK21" s="110"/>
      <c r="DL21" s="110"/>
      <c r="DM21" s="110"/>
      <c r="DN21" s="110"/>
      <c r="DO21" s="110"/>
      <c r="DP21" s="110"/>
      <c r="DQ21" s="110"/>
      <c r="DR21" s="110"/>
      <c r="DS21" s="110"/>
      <c r="DT21" s="110"/>
      <c r="DU21" s="110"/>
      <c r="DV21" s="110"/>
      <c r="DW21" s="110"/>
      <c r="DX21" s="110"/>
      <c r="DY21" s="110"/>
      <c r="DZ21" s="110"/>
      <c r="EA21" s="110"/>
      <c r="EB21" s="110"/>
      <c r="EC21" s="110"/>
      <c r="ED21" s="110"/>
      <c r="EE21" s="110"/>
      <c r="EF21" s="110"/>
      <c r="EG21" s="110"/>
      <c r="EH21" s="110"/>
      <c r="EI21" s="110"/>
      <c r="EJ21" s="110"/>
      <c r="EK21" s="110"/>
      <c r="EL21" s="110"/>
      <c r="EM21" s="110"/>
      <c r="EN21" s="110"/>
      <c r="EO21" s="110"/>
      <c r="EP21" s="110"/>
      <c r="EQ21" s="110"/>
      <c r="ER21" s="110"/>
      <c r="ES21" s="110"/>
      <c r="ET21" s="110"/>
      <c r="EU21" s="110"/>
      <c r="EV21" s="110"/>
      <c r="EW21" s="110"/>
      <c r="EX21" s="110"/>
      <c r="EY21" s="110"/>
      <c r="EZ21" s="110"/>
      <c r="FA21" s="110"/>
      <c r="FB21" s="110"/>
      <c r="FC21" s="110"/>
      <c r="FD21" s="110"/>
      <c r="FE21" s="110"/>
      <c r="FF21" s="110"/>
      <c r="FG21" s="110"/>
      <c r="FH21" s="110"/>
      <c r="FI21" s="110"/>
      <c r="FJ21" s="110"/>
      <c r="FK21" s="110"/>
      <c r="FL21" s="110"/>
      <c r="FM21" s="110"/>
      <c r="FN21" s="110"/>
      <c r="FO21" s="110"/>
      <c r="FP21" s="110"/>
      <c r="FQ21" s="110"/>
      <c r="FR21" s="110"/>
      <c r="FS21" s="110"/>
      <c r="FT21" s="110">
        <v>270007.59999999998</v>
      </c>
      <c r="FU21" s="110"/>
      <c r="FV21" s="110"/>
      <c r="FW21" s="110"/>
      <c r="FX21" s="110"/>
      <c r="FY21" s="110"/>
      <c r="FZ21" s="110"/>
      <c r="GA21" s="110"/>
      <c r="GB21" s="110"/>
      <c r="GC21" s="110"/>
      <c r="GD21" s="110"/>
      <c r="GE21" s="110"/>
      <c r="GF21" s="110"/>
      <c r="GG21" s="110"/>
      <c r="GH21" s="110"/>
      <c r="GI21" s="110"/>
      <c r="GJ21" s="110"/>
      <c r="GK21" s="110"/>
      <c r="GL21" s="110"/>
      <c r="GM21" s="110"/>
      <c r="GN21" s="110"/>
      <c r="GO21" s="110"/>
      <c r="GP21" s="110"/>
      <c r="GQ21" s="110"/>
      <c r="GR21" s="110"/>
      <c r="GS21" s="110"/>
      <c r="GT21" s="110"/>
      <c r="GU21" s="110"/>
      <c r="GV21" s="110"/>
      <c r="GW21" s="110"/>
      <c r="GX21" s="110"/>
      <c r="GY21" s="110"/>
      <c r="GZ21" s="110"/>
      <c r="HA21" s="110"/>
      <c r="HB21" s="110"/>
      <c r="HC21" s="110"/>
      <c r="HD21" s="110"/>
      <c r="HE21" s="110"/>
      <c r="HF21" s="110"/>
      <c r="HG21" s="110"/>
      <c r="HH21" s="110"/>
      <c r="HI21" s="110"/>
      <c r="HJ21" s="110"/>
      <c r="HK21" s="110"/>
      <c r="HL21" s="110"/>
      <c r="HM21" s="110"/>
      <c r="HN21" s="110"/>
      <c r="HO21" s="110"/>
      <c r="HP21" s="110"/>
      <c r="HQ21" s="110"/>
      <c r="HR21" s="110"/>
      <c r="HS21" s="110"/>
      <c r="HT21" s="110"/>
      <c r="HU21" s="110"/>
      <c r="HV21" s="110"/>
      <c r="HW21" s="110"/>
      <c r="HX21" s="110"/>
      <c r="HY21" s="110"/>
      <c r="HZ21" s="110"/>
      <c r="IA21" s="110"/>
      <c r="IB21" s="110"/>
      <c r="IC21" s="110"/>
      <c r="ID21" s="110"/>
      <c r="IE21" s="110"/>
      <c r="IF21" s="110"/>
      <c r="IG21" s="110"/>
      <c r="IH21" s="110"/>
      <c r="II21" s="110"/>
      <c r="IJ21" s="110"/>
      <c r="IK21" s="110"/>
      <c r="IL21" s="110"/>
      <c r="IM21" s="110"/>
      <c r="IN21" s="110"/>
      <c r="IO21" s="110"/>
      <c r="IP21" s="110"/>
      <c r="IQ21" s="110"/>
      <c r="IR21" s="110"/>
      <c r="IS21" s="110"/>
      <c r="IT21" s="110"/>
      <c r="IU21" s="110"/>
      <c r="IV21" s="110"/>
      <c r="IW21" s="110"/>
      <c r="IX21" s="110"/>
      <c r="IY21" s="110"/>
      <c r="IZ21" s="110"/>
      <c r="JA21" s="110"/>
      <c r="JB21" s="110"/>
      <c r="JC21" s="110"/>
      <c r="JD21" s="110"/>
      <c r="JE21" s="110"/>
      <c r="JF21" s="110"/>
      <c r="JG21" s="110"/>
      <c r="JH21" s="110"/>
      <c r="JI21" s="107">
        <f t="shared" si="0"/>
        <v>270007.59999999998</v>
      </c>
      <c r="JJ21" s="297">
        <v>2812</v>
      </c>
      <c r="JK21" s="110"/>
      <c r="JL21" s="112"/>
      <c r="JM21" s="112"/>
      <c r="JN21" s="112"/>
      <c r="JO21" s="112"/>
      <c r="JP21" s="112"/>
    </row>
    <row r="22" spans="1:276" x14ac:dyDescent="0.25">
      <c r="A22" s="110"/>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c r="DB22" s="110"/>
      <c r="DC22" s="110"/>
      <c r="DD22" s="110"/>
      <c r="DE22" s="110"/>
      <c r="DF22" s="110"/>
      <c r="DG22" s="110"/>
      <c r="DH22" s="110"/>
      <c r="DI22" s="110"/>
      <c r="DJ22" s="110"/>
      <c r="DK22" s="110"/>
      <c r="DL22" s="110"/>
      <c r="DM22" s="110"/>
      <c r="DN22" s="110"/>
      <c r="DO22" s="110"/>
      <c r="DP22" s="110"/>
      <c r="DQ22" s="110"/>
      <c r="DR22" s="110"/>
      <c r="DS22" s="110"/>
      <c r="DT22" s="110"/>
      <c r="DU22" s="110"/>
      <c r="DV22" s="110"/>
      <c r="DW22" s="110"/>
      <c r="DX22" s="110"/>
      <c r="DY22" s="110"/>
      <c r="DZ22" s="110"/>
      <c r="EA22" s="110"/>
      <c r="EB22" s="110"/>
      <c r="EC22" s="110"/>
      <c r="ED22" s="110"/>
      <c r="EE22" s="110"/>
      <c r="EF22" s="110"/>
      <c r="EG22" s="110"/>
      <c r="EH22" s="110"/>
      <c r="EI22" s="110"/>
      <c r="EJ22" s="110"/>
      <c r="EK22" s="110"/>
      <c r="EL22" s="110"/>
      <c r="EM22" s="110"/>
      <c r="EN22" s="110"/>
      <c r="EO22" s="110"/>
      <c r="EP22" s="110"/>
      <c r="EQ22" s="110"/>
      <c r="ER22" s="110"/>
      <c r="ES22" s="110"/>
      <c r="ET22" s="110"/>
      <c r="EU22" s="110"/>
      <c r="EV22" s="110"/>
      <c r="EW22" s="110"/>
      <c r="EX22" s="110"/>
      <c r="EY22" s="110"/>
      <c r="EZ22" s="110"/>
      <c r="FA22" s="110"/>
      <c r="FB22" s="110"/>
      <c r="FC22" s="110"/>
      <c r="FD22" s="110"/>
      <c r="FE22" s="110"/>
      <c r="FF22" s="110"/>
      <c r="FG22" s="110"/>
      <c r="FH22" s="110"/>
      <c r="FI22" s="110"/>
      <c r="FJ22" s="110"/>
      <c r="FK22" s="110"/>
      <c r="FL22" s="110"/>
      <c r="FM22" s="110"/>
      <c r="FN22" s="110"/>
      <c r="FO22" s="110"/>
      <c r="FP22" s="110"/>
      <c r="FQ22" s="110"/>
      <c r="FR22" s="110"/>
      <c r="FS22" s="110"/>
      <c r="FT22" s="110"/>
      <c r="FU22" s="110"/>
      <c r="FV22" s="110"/>
      <c r="FW22" s="110"/>
      <c r="FX22" s="110"/>
      <c r="FY22" s="110"/>
      <c r="FZ22" s="110"/>
      <c r="GA22" s="110"/>
      <c r="GB22" s="110"/>
      <c r="GC22" s="110"/>
      <c r="GD22" s="110"/>
      <c r="GE22" s="110"/>
      <c r="GF22" s="110"/>
      <c r="GG22" s="110"/>
      <c r="GH22" s="110"/>
      <c r="GI22" s="110"/>
      <c r="GJ22" s="110"/>
      <c r="GK22" s="110">
        <v>251876.14</v>
      </c>
      <c r="GL22" s="110"/>
      <c r="GM22" s="110"/>
      <c r="GN22" s="110"/>
      <c r="GO22" s="110"/>
      <c r="GP22" s="110"/>
      <c r="GQ22" s="110"/>
      <c r="GR22" s="110"/>
      <c r="GS22" s="110"/>
      <c r="GT22" s="110"/>
      <c r="GU22" s="110"/>
      <c r="GV22" s="110"/>
      <c r="GW22" s="110"/>
      <c r="GX22" s="110"/>
      <c r="GY22" s="110"/>
      <c r="GZ22" s="110"/>
      <c r="HA22" s="110"/>
      <c r="HB22" s="110"/>
      <c r="HC22" s="110"/>
      <c r="HD22" s="110"/>
      <c r="HE22" s="110"/>
      <c r="HF22" s="110"/>
      <c r="HG22" s="110"/>
      <c r="HH22" s="110"/>
      <c r="HI22" s="110"/>
      <c r="HJ22" s="110"/>
      <c r="HK22" s="110"/>
      <c r="HL22" s="110"/>
      <c r="HM22" s="110"/>
      <c r="HN22" s="110"/>
      <c r="HO22" s="110"/>
      <c r="HP22" s="110"/>
      <c r="HQ22" s="110"/>
      <c r="HR22" s="110"/>
      <c r="HS22" s="110"/>
      <c r="HT22" s="110"/>
      <c r="HU22" s="110"/>
      <c r="HV22" s="110"/>
      <c r="HW22" s="110"/>
      <c r="HX22" s="110"/>
      <c r="HY22" s="110"/>
      <c r="HZ22" s="110"/>
      <c r="IA22" s="110"/>
      <c r="IB22" s="110"/>
      <c r="IC22" s="110"/>
      <c r="ID22" s="110"/>
      <c r="IE22" s="110"/>
      <c r="IF22" s="110"/>
      <c r="IG22" s="110"/>
      <c r="IH22" s="110"/>
      <c r="II22" s="110"/>
      <c r="IJ22" s="110"/>
      <c r="IK22" s="110"/>
      <c r="IL22" s="110"/>
      <c r="IM22" s="110"/>
      <c r="IN22" s="110"/>
      <c r="IO22" s="110"/>
      <c r="IP22" s="110"/>
      <c r="IQ22" s="110"/>
      <c r="IR22" s="110"/>
      <c r="IS22" s="110"/>
      <c r="IT22" s="110"/>
      <c r="IU22" s="110"/>
      <c r="IV22" s="110"/>
      <c r="IW22" s="110"/>
      <c r="IX22" s="110"/>
      <c r="IY22" s="110"/>
      <c r="IZ22" s="110"/>
      <c r="JA22" s="110"/>
      <c r="JB22" s="110"/>
      <c r="JC22" s="110"/>
      <c r="JD22" s="110"/>
      <c r="JE22" s="110"/>
      <c r="JF22" s="110"/>
      <c r="JG22" s="110"/>
      <c r="JH22" s="110"/>
      <c r="JI22" s="107">
        <f t="shared" si="0"/>
        <v>251876.14</v>
      </c>
      <c r="JJ22" s="297">
        <v>2817</v>
      </c>
      <c r="JK22" s="110"/>
      <c r="JL22" s="112"/>
      <c r="JM22" s="112"/>
      <c r="JN22" s="112"/>
      <c r="JO22" s="112"/>
      <c r="JP22" s="112"/>
    </row>
    <row r="23" spans="1:276" x14ac:dyDescent="0.25">
      <c r="A23" s="110"/>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0"/>
      <c r="DI23" s="110"/>
      <c r="DJ23" s="110"/>
      <c r="DK23" s="110"/>
      <c r="DL23" s="110"/>
      <c r="DM23" s="110"/>
      <c r="DN23" s="110"/>
      <c r="DO23" s="110"/>
      <c r="DP23" s="110"/>
      <c r="DQ23" s="110"/>
      <c r="DR23" s="110"/>
      <c r="DS23" s="110"/>
      <c r="DT23" s="110"/>
      <c r="DU23" s="110"/>
      <c r="DV23" s="110"/>
      <c r="DW23" s="110"/>
      <c r="DX23" s="110"/>
      <c r="DY23" s="110"/>
      <c r="DZ23" s="110"/>
      <c r="EA23" s="110"/>
      <c r="EB23" s="110"/>
      <c r="EC23" s="110"/>
      <c r="ED23" s="110"/>
      <c r="EE23" s="110"/>
      <c r="EF23" s="110"/>
      <c r="EG23" s="110"/>
      <c r="EH23" s="110"/>
      <c r="EI23" s="110"/>
      <c r="EJ23" s="110"/>
      <c r="EK23" s="110"/>
      <c r="EL23" s="110"/>
      <c r="EM23" s="110"/>
      <c r="EN23" s="110"/>
      <c r="EO23" s="110"/>
      <c r="EP23" s="110"/>
      <c r="EQ23" s="110"/>
      <c r="ER23" s="110"/>
      <c r="ES23" s="110"/>
      <c r="ET23" s="110"/>
      <c r="EU23" s="110"/>
      <c r="EV23" s="110"/>
      <c r="EW23" s="110"/>
      <c r="EX23" s="110"/>
      <c r="EY23" s="110"/>
      <c r="EZ23" s="110"/>
      <c r="FA23" s="110"/>
      <c r="FB23" s="110"/>
      <c r="FC23" s="110"/>
      <c r="FD23" s="110"/>
      <c r="FE23" s="110"/>
      <c r="FF23" s="110"/>
      <c r="FG23" s="110"/>
      <c r="FH23" s="110"/>
      <c r="FI23" s="110"/>
      <c r="FJ23" s="110"/>
      <c r="FK23" s="110"/>
      <c r="FL23" s="110"/>
      <c r="FM23" s="110"/>
      <c r="FN23" s="110">
        <v>168860.36</v>
      </c>
      <c r="FO23" s="110"/>
      <c r="FP23" s="110"/>
      <c r="FQ23" s="110"/>
      <c r="FR23" s="110"/>
      <c r="FS23" s="110"/>
      <c r="FT23" s="110"/>
      <c r="FU23" s="110"/>
      <c r="FV23" s="110"/>
      <c r="FW23" s="110"/>
      <c r="FX23" s="110"/>
      <c r="FY23" s="110"/>
      <c r="FZ23" s="110">
        <v>15463.9</v>
      </c>
      <c r="GA23" s="110"/>
      <c r="GB23" s="110"/>
      <c r="GC23" s="110"/>
      <c r="GD23" s="110"/>
      <c r="GE23" s="110"/>
      <c r="GF23" s="110"/>
      <c r="GG23" s="110"/>
      <c r="GH23" s="110"/>
      <c r="GI23" s="110"/>
      <c r="GJ23" s="110"/>
      <c r="GK23" s="110"/>
      <c r="GL23" s="110"/>
      <c r="GM23" s="110"/>
      <c r="GN23" s="110"/>
      <c r="GO23" s="110"/>
      <c r="GP23" s="110"/>
      <c r="GQ23" s="110"/>
      <c r="GR23" s="110"/>
      <c r="GS23" s="110"/>
      <c r="GT23" s="110"/>
      <c r="GU23" s="110"/>
      <c r="GV23" s="110"/>
      <c r="GW23" s="110"/>
      <c r="GX23" s="110"/>
      <c r="GY23" s="110"/>
      <c r="GZ23" s="110"/>
      <c r="HA23" s="110"/>
      <c r="HB23" s="110"/>
      <c r="HC23" s="110"/>
      <c r="HD23" s="110"/>
      <c r="HE23" s="110"/>
      <c r="HF23" s="110"/>
      <c r="HG23" s="110"/>
      <c r="HH23" s="110"/>
      <c r="HI23" s="110"/>
      <c r="HJ23" s="110"/>
      <c r="HK23" s="110"/>
      <c r="HL23" s="110"/>
      <c r="HM23" s="110"/>
      <c r="HN23" s="110"/>
      <c r="HO23" s="110"/>
      <c r="HP23" s="110"/>
      <c r="HQ23" s="110"/>
      <c r="HR23" s="110"/>
      <c r="HS23" s="110"/>
      <c r="HT23" s="110"/>
      <c r="HU23" s="110"/>
      <c r="HV23" s="110"/>
      <c r="HW23" s="110"/>
      <c r="HX23" s="110"/>
      <c r="HY23" s="110"/>
      <c r="HZ23" s="110"/>
      <c r="IA23" s="110"/>
      <c r="IB23" s="110"/>
      <c r="IC23" s="110"/>
      <c r="ID23" s="110"/>
      <c r="IE23" s="110"/>
      <c r="IF23" s="110"/>
      <c r="IG23" s="110"/>
      <c r="IH23" s="110"/>
      <c r="II23" s="110"/>
      <c r="IJ23" s="110"/>
      <c r="IK23" s="110"/>
      <c r="IL23" s="110"/>
      <c r="IM23" s="110"/>
      <c r="IN23" s="110"/>
      <c r="IO23" s="110"/>
      <c r="IP23" s="110"/>
      <c r="IQ23" s="110"/>
      <c r="IR23" s="110"/>
      <c r="IS23" s="110"/>
      <c r="IT23" s="110"/>
      <c r="IU23" s="110"/>
      <c r="IV23" s="110"/>
      <c r="IW23" s="110"/>
      <c r="IX23" s="110"/>
      <c r="IY23" s="110"/>
      <c r="IZ23" s="110"/>
      <c r="JA23" s="110"/>
      <c r="JB23" s="110"/>
      <c r="JC23" s="110"/>
      <c r="JD23" s="110"/>
      <c r="JE23" s="110"/>
      <c r="JF23" s="110"/>
      <c r="JG23" s="110"/>
      <c r="JH23" s="110"/>
      <c r="JI23" s="107">
        <f t="shared" si="0"/>
        <v>184324.25999999998</v>
      </c>
      <c r="JJ23" s="297">
        <v>2821</v>
      </c>
      <c r="JK23" s="110"/>
      <c r="JL23" s="112"/>
      <c r="JM23" s="112"/>
      <c r="JN23" s="112"/>
      <c r="JO23" s="112"/>
      <c r="JP23" s="112"/>
    </row>
    <row r="24" spans="1:276" x14ac:dyDescent="0.25">
      <c r="A24" s="110"/>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0"/>
      <c r="CE24" s="110"/>
      <c r="CF24" s="110"/>
      <c r="CG24" s="110"/>
      <c r="CH24" s="110"/>
      <c r="CI24" s="110"/>
      <c r="CJ24" s="110"/>
      <c r="CK24" s="110"/>
      <c r="CL24" s="110"/>
      <c r="CM24" s="110"/>
      <c r="CN24" s="110"/>
      <c r="CO24" s="110"/>
      <c r="CP24" s="110"/>
      <c r="CQ24" s="110"/>
      <c r="CR24" s="110"/>
      <c r="CS24" s="110"/>
      <c r="CT24" s="110"/>
      <c r="CU24" s="110"/>
      <c r="CV24" s="110"/>
      <c r="CW24" s="110"/>
      <c r="CX24" s="110"/>
      <c r="CY24" s="110"/>
      <c r="CZ24" s="110"/>
      <c r="DA24" s="110"/>
      <c r="DB24" s="110"/>
      <c r="DC24" s="110"/>
      <c r="DD24" s="110"/>
      <c r="DE24" s="110"/>
      <c r="DF24" s="110"/>
      <c r="DG24" s="110"/>
      <c r="DH24" s="110"/>
      <c r="DI24" s="110"/>
      <c r="DJ24" s="110"/>
      <c r="DK24" s="110"/>
      <c r="DL24" s="110"/>
      <c r="DM24" s="110"/>
      <c r="DN24" s="110"/>
      <c r="DO24" s="110"/>
      <c r="DP24" s="110"/>
      <c r="DQ24" s="110"/>
      <c r="DR24" s="110"/>
      <c r="DS24" s="110"/>
      <c r="DT24" s="110"/>
      <c r="DU24" s="110"/>
      <c r="DV24" s="110"/>
      <c r="DW24" s="110"/>
      <c r="DX24" s="110"/>
      <c r="DY24" s="110"/>
      <c r="DZ24" s="110"/>
      <c r="EA24" s="110"/>
      <c r="EB24" s="110"/>
      <c r="EC24" s="110"/>
      <c r="ED24" s="110"/>
      <c r="EE24" s="110"/>
      <c r="EF24" s="110"/>
      <c r="EG24" s="110">
        <v>26432</v>
      </c>
      <c r="EH24" s="110"/>
      <c r="EI24" s="110"/>
      <c r="EJ24" s="110"/>
      <c r="EK24" s="110"/>
      <c r="EL24" s="110"/>
      <c r="EM24" s="110"/>
      <c r="EN24" s="110"/>
      <c r="EO24" s="110"/>
      <c r="EP24" s="110"/>
      <c r="EQ24" s="110"/>
      <c r="ER24" s="110"/>
      <c r="ES24" s="110"/>
      <c r="ET24" s="110"/>
      <c r="EU24" s="110"/>
      <c r="EV24" s="110"/>
      <c r="EW24" s="110"/>
      <c r="EX24" s="110"/>
      <c r="EY24" s="110"/>
      <c r="EZ24" s="110"/>
      <c r="FA24" s="110"/>
      <c r="FB24" s="110"/>
      <c r="FC24" s="110"/>
      <c r="FD24" s="110"/>
      <c r="FE24" s="110"/>
      <c r="FF24" s="110"/>
      <c r="FG24" s="110"/>
      <c r="FH24" s="110"/>
      <c r="FI24" s="110"/>
      <c r="FJ24" s="110"/>
      <c r="FK24" s="110"/>
      <c r="FL24" s="110"/>
      <c r="FM24" s="110"/>
      <c r="FN24" s="110"/>
      <c r="FO24" s="110"/>
      <c r="FP24" s="110"/>
      <c r="FQ24" s="110">
        <v>5074</v>
      </c>
      <c r="FR24" s="110"/>
      <c r="FS24" s="110"/>
      <c r="FT24" s="110"/>
      <c r="FU24" s="110"/>
      <c r="FV24" s="110"/>
      <c r="FW24" s="110"/>
      <c r="FX24" s="110"/>
      <c r="FY24" s="110"/>
      <c r="FZ24" s="110"/>
      <c r="GA24" s="110"/>
      <c r="GB24" s="110"/>
      <c r="GC24" s="110"/>
      <c r="GD24" s="110"/>
      <c r="GE24" s="110"/>
      <c r="GF24" s="110"/>
      <c r="GG24" s="110"/>
      <c r="GH24" s="110"/>
      <c r="GI24" s="110"/>
      <c r="GJ24" s="110"/>
      <c r="GK24" s="110"/>
      <c r="GL24" s="110"/>
      <c r="GM24" s="110"/>
      <c r="GN24" s="110"/>
      <c r="GO24" s="110"/>
      <c r="GP24" s="110"/>
      <c r="GQ24" s="110"/>
      <c r="GR24" s="110"/>
      <c r="GS24" s="110"/>
      <c r="GT24" s="110"/>
      <c r="GU24" s="110"/>
      <c r="GV24" s="110"/>
      <c r="GW24" s="110"/>
      <c r="GX24" s="110"/>
      <c r="GY24" s="110"/>
      <c r="GZ24" s="110"/>
      <c r="HA24" s="110"/>
      <c r="HB24" s="110"/>
      <c r="HC24" s="110"/>
      <c r="HD24" s="110"/>
      <c r="HE24" s="110"/>
      <c r="HF24" s="110"/>
      <c r="HG24" s="110"/>
      <c r="HH24" s="110"/>
      <c r="HI24" s="110"/>
      <c r="HJ24" s="110"/>
      <c r="HK24" s="110"/>
      <c r="HL24" s="110"/>
      <c r="HM24" s="110"/>
      <c r="HN24" s="110"/>
      <c r="HO24" s="110"/>
      <c r="HP24" s="110"/>
      <c r="HQ24" s="110"/>
      <c r="HR24" s="110"/>
      <c r="HS24" s="110"/>
      <c r="HT24" s="110"/>
      <c r="HU24" s="110"/>
      <c r="HV24" s="110"/>
      <c r="HW24" s="110"/>
      <c r="HX24" s="110"/>
      <c r="HY24" s="110"/>
      <c r="HZ24" s="110"/>
      <c r="IA24" s="110"/>
      <c r="IB24" s="110"/>
      <c r="IC24" s="110"/>
      <c r="ID24" s="110"/>
      <c r="IE24" s="110"/>
      <c r="IF24" s="110"/>
      <c r="IG24" s="110"/>
      <c r="IH24" s="110"/>
      <c r="II24" s="110"/>
      <c r="IJ24" s="110"/>
      <c r="IK24" s="110"/>
      <c r="IL24" s="110"/>
      <c r="IM24" s="110"/>
      <c r="IN24" s="110"/>
      <c r="IO24" s="110"/>
      <c r="IP24" s="110"/>
      <c r="IQ24" s="110"/>
      <c r="IR24" s="110"/>
      <c r="IS24" s="110"/>
      <c r="IT24" s="110"/>
      <c r="IU24" s="110"/>
      <c r="IV24" s="110"/>
      <c r="IW24" s="110"/>
      <c r="IX24" s="110"/>
      <c r="IY24" s="110"/>
      <c r="IZ24" s="110"/>
      <c r="JA24" s="110"/>
      <c r="JB24" s="110"/>
      <c r="JC24" s="110"/>
      <c r="JD24" s="110"/>
      <c r="JE24" s="110"/>
      <c r="JF24" s="110"/>
      <c r="JG24" s="110"/>
      <c r="JH24" s="110"/>
      <c r="JI24" s="107">
        <f t="shared" si="0"/>
        <v>31506</v>
      </c>
      <c r="JJ24" s="297">
        <v>2825</v>
      </c>
      <c r="JK24" s="110"/>
      <c r="JL24" s="112"/>
      <c r="JM24" s="112"/>
      <c r="JN24" s="112"/>
      <c r="JO24" s="112"/>
      <c r="JP24" s="112"/>
    </row>
    <row r="25" spans="1:276" x14ac:dyDescent="0.25">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10"/>
      <c r="CT25" s="110"/>
      <c r="CU25" s="110"/>
      <c r="CV25" s="110"/>
      <c r="CW25" s="110"/>
      <c r="CX25" s="110"/>
      <c r="CY25" s="110"/>
      <c r="CZ25" s="110"/>
      <c r="DA25" s="110"/>
      <c r="DB25" s="110"/>
      <c r="DC25" s="110"/>
      <c r="DD25" s="110"/>
      <c r="DE25" s="110"/>
      <c r="DF25" s="110"/>
      <c r="DG25" s="110"/>
      <c r="DH25" s="110"/>
      <c r="DI25" s="110"/>
      <c r="DJ25" s="110"/>
      <c r="DK25" s="110"/>
      <c r="DL25" s="110"/>
      <c r="DM25" s="110"/>
      <c r="DN25" s="110"/>
      <c r="DO25" s="110"/>
      <c r="DP25" s="110"/>
      <c r="DQ25" s="110"/>
      <c r="DR25" s="110"/>
      <c r="DS25" s="110"/>
      <c r="DT25" s="110"/>
      <c r="DU25" s="110"/>
      <c r="DV25" s="110"/>
      <c r="DW25" s="110"/>
      <c r="DX25" s="110"/>
      <c r="DY25" s="110"/>
      <c r="DZ25" s="110"/>
      <c r="EA25" s="110"/>
      <c r="EB25" s="110"/>
      <c r="EC25" s="110"/>
      <c r="ED25" s="110"/>
      <c r="EE25" s="110"/>
      <c r="EF25" s="110"/>
      <c r="EG25" s="110"/>
      <c r="EH25" s="110"/>
      <c r="EI25" s="110"/>
      <c r="EJ25" s="110"/>
      <c r="EK25" s="110"/>
      <c r="EL25" s="110"/>
      <c r="EM25" s="110"/>
      <c r="EN25" s="110"/>
      <c r="EO25" s="110"/>
      <c r="EP25" s="110"/>
      <c r="EQ25" s="110"/>
      <c r="ER25" s="110"/>
      <c r="ES25" s="110"/>
      <c r="ET25" s="110"/>
      <c r="EU25" s="110"/>
      <c r="EV25" s="110"/>
      <c r="EW25" s="110"/>
      <c r="EX25" s="110"/>
      <c r="EY25" s="110"/>
      <c r="EZ25" s="110"/>
      <c r="FA25" s="110"/>
      <c r="FB25" s="110"/>
      <c r="FC25" s="110"/>
      <c r="FD25" s="110"/>
      <c r="FE25" s="110"/>
      <c r="FF25" s="110"/>
      <c r="FG25" s="110"/>
      <c r="FH25" s="110"/>
      <c r="FI25" s="110"/>
      <c r="FJ25" s="110">
        <v>162040</v>
      </c>
      <c r="FK25" s="110"/>
      <c r="FL25" s="110"/>
      <c r="FM25" s="110"/>
      <c r="FN25" s="110"/>
      <c r="FO25" s="110"/>
      <c r="FP25" s="110"/>
      <c r="FQ25" s="110"/>
      <c r="FR25" s="110"/>
      <c r="FS25" s="110"/>
      <c r="FT25" s="110">
        <v>85083.9</v>
      </c>
      <c r="FU25" s="110"/>
      <c r="FV25" s="110"/>
      <c r="FW25" s="110"/>
      <c r="FX25" s="110"/>
      <c r="FY25" s="110"/>
      <c r="FZ25" s="110"/>
      <c r="GA25" s="110"/>
      <c r="GB25" s="110"/>
      <c r="GC25" s="110"/>
      <c r="GD25" s="110"/>
      <c r="GE25" s="110"/>
      <c r="GF25" s="110"/>
      <c r="GG25" s="110"/>
      <c r="GH25" s="110"/>
      <c r="GI25" s="110"/>
      <c r="GJ25" s="110"/>
      <c r="GK25" s="110"/>
      <c r="GL25" s="110"/>
      <c r="GM25" s="110"/>
      <c r="GN25" s="110"/>
      <c r="GO25" s="110"/>
      <c r="GP25" s="110"/>
      <c r="GQ25" s="110"/>
      <c r="GR25" s="110"/>
      <c r="GS25" s="110"/>
      <c r="GT25" s="110"/>
      <c r="GU25" s="110"/>
      <c r="GV25" s="110"/>
      <c r="GW25" s="110"/>
      <c r="GX25" s="110"/>
      <c r="GY25" s="110"/>
      <c r="GZ25" s="110"/>
      <c r="HA25" s="110"/>
      <c r="HB25" s="110"/>
      <c r="HC25" s="110"/>
      <c r="HD25" s="110"/>
      <c r="HE25" s="110"/>
      <c r="HF25" s="110"/>
      <c r="HG25" s="110"/>
      <c r="HH25" s="110"/>
      <c r="HI25" s="110"/>
      <c r="HJ25" s="110"/>
      <c r="HK25" s="110"/>
      <c r="HL25" s="110"/>
      <c r="HM25" s="110"/>
      <c r="HN25" s="110"/>
      <c r="HO25" s="110"/>
      <c r="HP25" s="110"/>
      <c r="HQ25" s="110"/>
      <c r="HR25" s="110"/>
      <c r="HS25" s="110"/>
      <c r="HT25" s="110"/>
      <c r="HU25" s="110"/>
      <c r="HV25" s="110"/>
      <c r="HW25" s="110"/>
      <c r="HX25" s="110"/>
      <c r="HY25" s="110"/>
      <c r="HZ25" s="110"/>
      <c r="IA25" s="110"/>
      <c r="IB25" s="110"/>
      <c r="IC25" s="110"/>
      <c r="ID25" s="110"/>
      <c r="IE25" s="110"/>
      <c r="IF25" s="110"/>
      <c r="IG25" s="110"/>
      <c r="IH25" s="110"/>
      <c r="II25" s="110"/>
      <c r="IJ25" s="110"/>
      <c r="IK25" s="110"/>
      <c r="IL25" s="110"/>
      <c r="IM25" s="110"/>
      <c r="IN25" s="110"/>
      <c r="IO25" s="110"/>
      <c r="IP25" s="110"/>
      <c r="IQ25" s="110"/>
      <c r="IR25" s="110"/>
      <c r="IS25" s="110"/>
      <c r="IT25" s="110"/>
      <c r="IU25" s="110"/>
      <c r="IV25" s="110"/>
      <c r="IW25" s="110"/>
      <c r="IX25" s="110"/>
      <c r="IY25" s="110"/>
      <c r="IZ25" s="110"/>
      <c r="JA25" s="110"/>
      <c r="JB25" s="110"/>
      <c r="JC25" s="110"/>
      <c r="JD25" s="110"/>
      <c r="JE25" s="110"/>
      <c r="JF25" s="110"/>
      <c r="JG25" s="110"/>
      <c r="JH25" s="110"/>
      <c r="JI25" s="107">
        <f t="shared" si="0"/>
        <v>247123.9</v>
      </c>
      <c r="JJ25" s="297">
        <v>2830</v>
      </c>
      <c r="JK25" s="110"/>
      <c r="JL25" s="112"/>
      <c r="JM25" s="112"/>
      <c r="JN25" s="112"/>
      <c r="JO25" s="112"/>
      <c r="JP25" s="112"/>
    </row>
    <row r="26" spans="1:276" x14ac:dyDescent="0.25">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c r="CP26" s="110"/>
      <c r="CQ26" s="110"/>
      <c r="CR26" s="110"/>
      <c r="CS26" s="110"/>
      <c r="CT26" s="110"/>
      <c r="CU26" s="110"/>
      <c r="CV26" s="110"/>
      <c r="CW26" s="110"/>
      <c r="CX26" s="110"/>
      <c r="CY26" s="110"/>
      <c r="CZ26" s="110"/>
      <c r="DA26" s="110"/>
      <c r="DB26" s="110"/>
      <c r="DC26" s="110"/>
      <c r="DD26" s="110"/>
      <c r="DE26" s="110"/>
      <c r="DF26" s="110"/>
      <c r="DG26" s="110"/>
      <c r="DH26" s="110"/>
      <c r="DI26" s="110"/>
      <c r="DJ26" s="110"/>
      <c r="DK26" s="110"/>
      <c r="DL26" s="110"/>
      <c r="DM26" s="110"/>
      <c r="DN26" s="110"/>
      <c r="DO26" s="110"/>
      <c r="DP26" s="110"/>
      <c r="DQ26" s="110"/>
      <c r="DR26" s="110"/>
      <c r="DS26" s="110"/>
      <c r="DT26" s="110"/>
      <c r="DU26" s="110"/>
      <c r="DV26" s="110"/>
      <c r="DW26" s="110"/>
      <c r="DX26" s="110"/>
      <c r="DY26" s="110"/>
      <c r="DZ26" s="110"/>
      <c r="EA26" s="110"/>
      <c r="EB26" s="110"/>
      <c r="EC26" s="110"/>
      <c r="ED26" s="110"/>
      <c r="EE26" s="110"/>
      <c r="EF26" s="110"/>
      <c r="EG26" s="110"/>
      <c r="EH26" s="110"/>
      <c r="EI26" s="110"/>
      <c r="EJ26" s="110"/>
      <c r="EK26" s="110"/>
      <c r="EL26" s="110"/>
      <c r="EM26" s="110"/>
      <c r="EN26" s="110"/>
      <c r="EO26" s="110"/>
      <c r="EP26" s="110"/>
      <c r="EQ26" s="110"/>
      <c r="ER26" s="110"/>
      <c r="ES26" s="110"/>
      <c r="ET26" s="110"/>
      <c r="EU26" s="110"/>
      <c r="EV26" s="110"/>
      <c r="EW26" s="110"/>
      <c r="EX26" s="110"/>
      <c r="EY26" s="110"/>
      <c r="EZ26" s="110"/>
      <c r="FA26" s="110"/>
      <c r="FB26" s="110"/>
      <c r="FC26" s="110"/>
      <c r="FD26" s="110"/>
      <c r="FE26" s="110"/>
      <c r="FF26" s="110"/>
      <c r="FG26" s="110"/>
      <c r="FH26" s="110"/>
      <c r="FI26" s="110"/>
      <c r="FJ26" s="110">
        <v>43108</v>
      </c>
      <c r="FK26" s="110"/>
      <c r="FL26" s="110"/>
      <c r="FM26" s="110"/>
      <c r="FN26" s="110"/>
      <c r="FO26" s="110"/>
      <c r="FP26" s="110"/>
      <c r="FQ26" s="110"/>
      <c r="FR26" s="110"/>
      <c r="FS26" s="110"/>
      <c r="FT26" s="110"/>
      <c r="FU26" s="110"/>
      <c r="FV26" s="110"/>
      <c r="FW26" s="110"/>
      <c r="FX26" s="110"/>
      <c r="FY26" s="110"/>
      <c r="FZ26" s="110"/>
      <c r="GA26" s="110"/>
      <c r="GB26" s="110"/>
      <c r="GC26" s="110"/>
      <c r="GD26" s="110"/>
      <c r="GE26" s="110"/>
      <c r="GF26" s="110"/>
      <c r="GG26" s="110"/>
      <c r="GH26" s="110"/>
      <c r="GI26" s="110"/>
      <c r="GJ26" s="110"/>
      <c r="GK26" s="110"/>
      <c r="GL26" s="110"/>
      <c r="GM26" s="110"/>
      <c r="GN26" s="110"/>
      <c r="GO26" s="110"/>
      <c r="GP26" s="110"/>
      <c r="GQ26" s="110"/>
      <c r="GR26" s="110"/>
      <c r="GS26" s="110"/>
      <c r="GT26" s="110"/>
      <c r="GU26" s="110"/>
      <c r="GV26" s="110"/>
      <c r="GW26" s="110"/>
      <c r="GX26" s="110"/>
      <c r="GY26" s="110"/>
      <c r="GZ26" s="110"/>
      <c r="HA26" s="110"/>
      <c r="HB26" s="110"/>
      <c r="HC26" s="110"/>
      <c r="HD26" s="110"/>
      <c r="HE26" s="110"/>
      <c r="HF26" s="110"/>
      <c r="HG26" s="110"/>
      <c r="HH26" s="110"/>
      <c r="HI26" s="110"/>
      <c r="HJ26" s="110"/>
      <c r="HK26" s="110"/>
      <c r="HL26" s="110"/>
      <c r="HM26" s="110"/>
      <c r="HN26" s="110"/>
      <c r="HO26" s="110"/>
      <c r="HP26" s="110"/>
      <c r="HQ26" s="110"/>
      <c r="HR26" s="110"/>
      <c r="HS26" s="110"/>
      <c r="HT26" s="110"/>
      <c r="HU26" s="110"/>
      <c r="HV26" s="110"/>
      <c r="HW26" s="110"/>
      <c r="HX26" s="110"/>
      <c r="HY26" s="110"/>
      <c r="HZ26" s="110"/>
      <c r="IA26" s="110"/>
      <c r="IB26" s="110"/>
      <c r="IC26" s="110"/>
      <c r="ID26" s="110"/>
      <c r="IE26" s="110"/>
      <c r="IF26" s="110"/>
      <c r="IG26" s="110"/>
      <c r="IH26" s="110"/>
      <c r="II26" s="110"/>
      <c r="IJ26" s="110"/>
      <c r="IK26" s="110"/>
      <c r="IL26" s="110"/>
      <c r="IM26" s="110"/>
      <c r="IN26" s="110"/>
      <c r="IO26" s="110"/>
      <c r="IP26" s="110"/>
      <c r="IQ26" s="110"/>
      <c r="IR26" s="110"/>
      <c r="IS26" s="110"/>
      <c r="IT26" s="110"/>
      <c r="IU26" s="110"/>
      <c r="IV26" s="110"/>
      <c r="IW26" s="110"/>
      <c r="IX26" s="110"/>
      <c r="IY26" s="110"/>
      <c r="IZ26" s="110"/>
      <c r="JA26" s="110"/>
      <c r="JB26" s="110"/>
      <c r="JC26" s="110"/>
      <c r="JD26" s="110"/>
      <c r="JE26" s="110"/>
      <c r="JF26" s="110"/>
      <c r="JG26" s="110"/>
      <c r="JH26" s="110"/>
      <c r="JI26" s="107">
        <f t="shared" si="0"/>
        <v>43108</v>
      </c>
      <c r="JJ26" s="297">
        <v>2834</v>
      </c>
      <c r="JK26" s="110"/>
      <c r="JL26" s="112"/>
      <c r="JM26" s="112"/>
      <c r="JN26" s="112"/>
      <c r="JO26" s="112"/>
      <c r="JP26" s="112"/>
    </row>
    <row r="27" spans="1:276" x14ac:dyDescent="0.25">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0"/>
      <c r="DI27" s="110"/>
      <c r="DJ27" s="110"/>
      <c r="DK27" s="110"/>
      <c r="DL27" s="110"/>
      <c r="DM27" s="110"/>
      <c r="DN27" s="110"/>
      <c r="DO27" s="110"/>
      <c r="DP27" s="110"/>
      <c r="DQ27" s="110"/>
      <c r="DR27" s="110"/>
      <c r="DS27" s="110"/>
      <c r="DT27" s="110"/>
      <c r="DU27" s="110"/>
      <c r="DV27" s="110"/>
      <c r="DW27" s="110">
        <v>39530</v>
      </c>
      <c r="DX27" s="110"/>
      <c r="DY27" s="110"/>
      <c r="DZ27" s="110"/>
      <c r="EA27" s="110"/>
      <c r="EB27" s="110"/>
      <c r="EC27" s="110"/>
      <c r="ED27" s="110"/>
      <c r="EE27" s="110"/>
      <c r="EF27" s="110"/>
      <c r="EG27" s="110"/>
      <c r="EH27" s="110"/>
      <c r="EI27" s="110"/>
      <c r="EJ27" s="110"/>
      <c r="EK27" s="110"/>
      <c r="EL27" s="110"/>
      <c r="EM27" s="110"/>
      <c r="EN27" s="110"/>
      <c r="EO27" s="110"/>
      <c r="EP27" s="110"/>
      <c r="EQ27" s="110"/>
      <c r="ER27" s="110"/>
      <c r="ES27" s="110"/>
      <c r="ET27" s="110"/>
      <c r="EU27" s="110"/>
      <c r="EV27" s="110"/>
      <c r="EW27" s="110"/>
      <c r="EX27" s="110"/>
      <c r="EY27" s="110"/>
      <c r="EZ27" s="110"/>
      <c r="FA27" s="110"/>
      <c r="FB27" s="110"/>
      <c r="FC27" s="110"/>
      <c r="FD27" s="110"/>
      <c r="FE27" s="110"/>
      <c r="FF27" s="110"/>
      <c r="FG27" s="110"/>
      <c r="FH27" s="110"/>
      <c r="FI27" s="110"/>
      <c r="FJ27" s="110"/>
      <c r="FK27" s="110"/>
      <c r="FL27" s="110"/>
      <c r="FM27" s="110"/>
      <c r="FN27" s="110"/>
      <c r="FO27" s="110"/>
      <c r="FP27" s="110"/>
      <c r="FQ27" s="110"/>
      <c r="FR27" s="110"/>
      <c r="FS27" s="110">
        <v>45902</v>
      </c>
      <c r="FT27" s="110"/>
      <c r="FU27" s="110"/>
      <c r="FV27" s="110"/>
      <c r="FW27" s="110"/>
      <c r="FX27" s="110"/>
      <c r="FY27" s="110"/>
      <c r="FZ27" s="110"/>
      <c r="GA27" s="110"/>
      <c r="GB27" s="110">
        <v>1699.2</v>
      </c>
      <c r="GC27" s="110"/>
      <c r="GD27" s="110"/>
      <c r="GE27" s="110"/>
      <c r="GF27" s="110"/>
      <c r="GG27" s="110"/>
      <c r="GH27" s="110"/>
      <c r="GI27" s="110"/>
      <c r="GJ27" s="110"/>
      <c r="GK27" s="110"/>
      <c r="GL27" s="110"/>
      <c r="GM27" s="110"/>
      <c r="GN27" s="110"/>
      <c r="GO27" s="110"/>
      <c r="GP27" s="110"/>
      <c r="GQ27" s="110"/>
      <c r="GR27" s="110"/>
      <c r="GS27" s="110"/>
      <c r="GT27" s="110"/>
      <c r="GU27" s="110"/>
      <c r="GV27" s="110"/>
      <c r="GW27" s="110"/>
      <c r="GX27" s="110"/>
      <c r="GY27" s="110"/>
      <c r="GZ27" s="110"/>
      <c r="HA27" s="110"/>
      <c r="HB27" s="110"/>
      <c r="HC27" s="110"/>
      <c r="HD27" s="110"/>
      <c r="HE27" s="110"/>
      <c r="HF27" s="110"/>
      <c r="HG27" s="110"/>
      <c r="HH27" s="110"/>
      <c r="HI27" s="110"/>
      <c r="HJ27" s="110"/>
      <c r="HK27" s="110"/>
      <c r="HL27" s="110"/>
      <c r="HM27" s="110"/>
      <c r="HN27" s="110"/>
      <c r="HO27" s="110"/>
      <c r="HP27" s="110"/>
      <c r="HQ27" s="110"/>
      <c r="HR27" s="110"/>
      <c r="HS27" s="110"/>
      <c r="HT27" s="110"/>
      <c r="HU27" s="110"/>
      <c r="HV27" s="110"/>
      <c r="HW27" s="110"/>
      <c r="HX27" s="110"/>
      <c r="HY27" s="110"/>
      <c r="HZ27" s="110"/>
      <c r="IA27" s="110"/>
      <c r="IB27" s="110"/>
      <c r="IC27" s="110"/>
      <c r="ID27" s="110"/>
      <c r="IE27" s="110"/>
      <c r="IF27" s="110"/>
      <c r="IG27" s="110"/>
      <c r="IH27" s="110"/>
      <c r="II27" s="110"/>
      <c r="IJ27" s="110"/>
      <c r="IK27" s="110"/>
      <c r="IL27" s="110"/>
      <c r="IM27" s="110"/>
      <c r="IN27" s="110"/>
      <c r="IO27" s="110"/>
      <c r="IP27" s="110"/>
      <c r="IQ27" s="110"/>
      <c r="IR27" s="110"/>
      <c r="IS27" s="110"/>
      <c r="IT27" s="110"/>
      <c r="IU27" s="110"/>
      <c r="IV27" s="110"/>
      <c r="IW27" s="110"/>
      <c r="IX27" s="110"/>
      <c r="IY27" s="110"/>
      <c r="IZ27" s="110"/>
      <c r="JA27" s="110"/>
      <c r="JB27" s="110"/>
      <c r="JC27" s="110"/>
      <c r="JD27" s="110"/>
      <c r="JE27" s="110"/>
      <c r="JF27" s="110"/>
      <c r="JG27" s="110"/>
      <c r="JH27" s="110"/>
      <c r="JI27" s="107">
        <f t="shared" si="0"/>
        <v>87131.199999999997</v>
      </c>
      <c r="JJ27" s="297">
        <v>2838</v>
      </c>
      <c r="JK27" s="110"/>
      <c r="JL27" s="112"/>
      <c r="JM27" s="112"/>
      <c r="JN27" s="112"/>
      <c r="JO27" s="112"/>
      <c r="JP27" s="112"/>
    </row>
    <row r="28" spans="1:276" x14ac:dyDescent="0.25">
      <c r="A28" s="110"/>
      <c r="B28" s="110"/>
      <c r="C28" s="110"/>
      <c r="D28" s="110"/>
      <c r="E28" s="110"/>
      <c r="F28" s="110"/>
      <c r="G28" s="110"/>
      <c r="H28" s="110"/>
      <c r="I28" s="110"/>
      <c r="J28" s="110"/>
      <c r="K28" s="110"/>
      <c r="L28" s="110"/>
      <c r="M28" s="110"/>
      <c r="N28" s="110"/>
      <c r="O28" s="110"/>
      <c r="P28" s="110"/>
      <c r="Q28" s="110">
        <v>12100</v>
      </c>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c r="CP28" s="110"/>
      <c r="CQ28" s="110"/>
      <c r="CR28" s="110"/>
      <c r="CS28" s="110"/>
      <c r="CT28" s="110"/>
      <c r="CU28" s="110"/>
      <c r="CV28" s="110"/>
      <c r="CW28" s="110"/>
      <c r="CX28" s="110"/>
      <c r="CY28" s="110"/>
      <c r="CZ28" s="110"/>
      <c r="DA28" s="110"/>
      <c r="DB28" s="110"/>
      <c r="DC28" s="110"/>
      <c r="DD28" s="110"/>
      <c r="DE28" s="110"/>
      <c r="DF28" s="110"/>
      <c r="DG28" s="110"/>
      <c r="DH28" s="110"/>
      <c r="DI28" s="110"/>
      <c r="DJ28" s="110"/>
      <c r="DK28" s="110"/>
      <c r="DL28" s="110"/>
      <c r="DM28" s="110"/>
      <c r="DN28" s="110"/>
      <c r="DO28" s="110"/>
      <c r="DP28" s="110"/>
      <c r="DQ28" s="110"/>
      <c r="DR28" s="110"/>
      <c r="DS28" s="110"/>
      <c r="DT28" s="110"/>
      <c r="DU28" s="110"/>
      <c r="DV28" s="110"/>
      <c r="DW28" s="110"/>
      <c r="DX28" s="110"/>
      <c r="DY28" s="110"/>
      <c r="DZ28" s="110"/>
      <c r="EA28" s="110"/>
      <c r="EB28" s="110"/>
      <c r="EC28" s="110"/>
      <c r="ED28" s="110"/>
      <c r="EE28" s="110"/>
      <c r="EF28" s="110"/>
      <c r="EG28" s="110"/>
      <c r="EH28" s="110"/>
      <c r="EI28" s="110"/>
      <c r="EJ28" s="110"/>
      <c r="EK28" s="110"/>
      <c r="EL28" s="110"/>
      <c r="EM28" s="110"/>
      <c r="EN28" s="110"/>
      <c r="EO28" s="110"/>
      <c r="EP28" s="110"/>
      <c r="EQ28" s="110"/>
      <c r="ER28" s="110"/>
      <c r="ES28" s="110"/>
      <c r="ET28" s="110"/>
      <c r="EU28" s="110"/>
      <c r="EV28" s="110"/>
      <c r="EW28" s="110"/>
      <c r="EX28" s="110"/>
      <c r="EY28" s="110"/>
      <c r="EZ28" s="110"/>
      <c r="FA28" s="110"/>
      <c r="FB28" s="110"/>
      <c r="FC28" s="110"/>
      <c r="FD28" s="110"/>
      <c r="FE28" s="110"/>
      <c r="FF28" s="110"/>
      <c r="FG28" s="110"/>
      <c r="FH28" s="110"/>
      <c r="FI28" s="110"/>
      <c r="FJ28" s="110"/>
      <c r="FK28" s="110"/>
      <c r="FL28" s="110"/>
      <c r="FM28" s="110"/>
      <c r="FN28" s="110"/>
      <c r="FO28" s="110"/>
      <c r="FP28" s="110"/>
      <c r="FQ28" s="110"/>
      <c r="FR28" s="110"/>
      <c r="FS28" s="110"/>
      <c r="FT28" s="110"/>
      <c r="FU28" s="110"/>
      <c r="FV28" s="110"/>
      <c r="FW28" s="110"/>
      <c r="FX28" s="110"/>
      <c r="FY28" s="110"/>
      <c r="FZ28" s="110"/>
      <c r="GA28" s="110"/>
      <c r="GB28" s="110"/>
      <c r="GC28" s="110"/>
      <c r="GD28" s="110"/>
      <c r="GE28" s="110"/>
      <c r="GF28" s="110"/>
      <c r="GG28" s="110"/>
      <c r="GH28" s="110"/>
      <c r="GI28" s="110"/>
      <c r="GJ28" s="110"/>
      <c r="GK28" s="110"/>
      <c r="GL28" s="110"/>
      <c r="GM28" s="110"/>
      <c r="GN28" s="110"/>
      <c r="GO28" s="110"/>
      <c r="GP28" s="110"/>
      <c r="GQ28" s="110"/>
      <c r="GR28" s="110"/>
      <c r="GS28" s="110"/>
      <c r="GT28" s="110"/>
      <c r="GU28" s="110"/>
      <c r="GV28" s="110"/>
      <c r="GW28" s="110"/>
      <c r="GX28" s="110"/>
      <c r="GY28" s="110"/>
      <c r="GZ28" s="110"/>
      <c r="HA28" s="110"/>
      <c r="HB28" s="110"/>
      <c r="HC28" s="110"/>
      <c r="HD28" s="110"/>
      <c r="HE28" s="110"/>
      <c r="HF28" s="110"/>
      <c r="HG28" s="110"/>
      <c r="HH28" s="110"/>
      <c r="HI28" s="110"/>
      <c r="HJ28" s="110"/>
      <c r="HK28" s="110"/>
      <c r="HL28" s="110"/>
      <c r="HM28" s="110"/>
      <c r="HN28" s="110"/>
      <c r="HO28" s="110"/>
      <c r="HP28" s="110"/>
      <c r="HQ28" s="110"/>
      <c r="HR28" s="110"/>
      <c r="HS28" s="110"/>
      <c r="HT28" s="110"/>
      <c r="HU28" s="110"/>
      <c r="HV28" s="110"/>
      <c r="HW28" s="110"/>
      <c r="HX28" s="110"/>
      <c r="HY28" s="110"/>
      <c r="HZ28" s="110"/>
      <c r="IA28" s="110"/>
      <c r="IB28" s="110"/>
      <c r="IC28" s="110"/>
      <c r="ID28" s="110"/>
      <c r="IE28" s="110"/>
      <c r="IF28" s="110"/>
      <c r="IG28" s="110"/>
      <c r="IH28" s="110"/>
      <c r="II28" s="110"/>
      <c r="IJ28" s="110"/>
      <c r="IK28" s="110"/>
      <c r="IL28" s="110"/>
      <c r="IM28" s="110"/>
      <c r="IN28" s="110"/>
      <c r="IO28" s="110"/>
      <c r="IP28" s="110"/>
      <c r="IQ28" s="110"/>
      <c r="IR28" s="110"/>
      <c r="IS28" s="110"/>
      <c r="IT28" s="110"/>
      <c r="IU28" s="110"/>
      <c r="IV28" s="110"/>
      <c r="IW28" s="110"/>
      <c r="IX28" s="110"/>
      <c r="IY28" s="110"/>
      <c r="IZ28" s="110"/>
      <c r="JA28" s="110"/>
      <c r="JB28" s="110"/>
      <c r="JC28" s="110"/>
      <c r="JD28" s="110"/>
      <c r="JE28" s="110"/>
      <c r="JF28" s="110"/>
      <c r="JG28" s="110"/>
      <c r="JH28" s="110"/>
      <c r="JI28" s="107">
        <f t="shared" si="0"/>
        <v>12100</v>
      </c>
      <c r="JJ28" s="297">
        <v>2840</v>
      </c>
      <c r="JK28" s="110"/>
      <c r="JL28" s="112"/>
      <c r="JM28" s="112"/>
      <c r="JN28" s="112"/>
      <c r="JO28" s="112"/>
      <c r="JP28" s="112"/>
    </row>
    <row r="29" spans="1:276" x14ac:dyDescent="0.25">
      <c r="A29" s="110"/>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10"/>
      <c r="CT29" s="110"/>
      <c r="CU29" s="110"/>
      <c r="CV29" s="110"/>
      <c r="CW29" s="110"/>
      <c r="CX29" s="110"/>
      <c r="CY29" s="110"/>
      <c r="CZ29" s="110"/>
      <c r="DA29" s="110"/>
      <c r="DB29" s="110"/>
      <c r="DC29" s="110"/>
      <c r="DD29" s="110"/>
      <c r="DE29" s="110"/>
      <c r="DF29" s="110"/>
      <c r="DG29" s="110"/>
      <c r="DH29" s="110"/>
      <c r="DI29" s="110"/>
      <c r="DJ29" s="110"/>
      <c r="DK29" s="110"/>
      <c r="DL29" s="110"/>
      <c r="DM29" s="110"/>
      <c r="DN29" s="110"/>
      <c r="DO29" s="110"/>
      <c r="DP29" s="110"/>
      <c r="DQ29" s="110"/>
      <c r="DR29" s="110"/>
      <c r="DS29" s="110"/>
      <c r="DT29" s="110"/>
      <c r="DU29" s="110"/>
      <c r="DV29" s="110"/>
      <c r="DW29" s="110"/>
      <c r="DX29" s="110"/>
      <c r="DY29" s="110"/>
      <c r="DZ29" s="110"/>
      <c r="EA29" s="110"/>
      <c r="EB29" s="110"/>
      <c r="EC29" s="110"/>
      <c r="ED29" s="110"/>
      <c r="EE29" s="110"/>
      <c r="EF29" s="110"/>
      <c r="EG29" s="110"/>
      <c r="EH29" s="110"/>
      <c r="EI29" s="110"/>
      <c r="EJ29" s="110"/>
      <c r="EK29" s="110"/>
      <c r="EL29" s="110"/>
      <c r="EM29" s="110"/>
      <c r="EN29" s="110"/>
      <c r="EO29" s="110"/>
      <c r="EP29" s="110"/>
      <c r="EQ29" s="110"/>
      <c r="ER29" s="110"/>
      <c r="ES29" s="110"/>
      <c r="ET29" s="110"/>
      <c r="EU29" s="110"/>
      <c r="EV29" s="110"/>
      <c r="EW29" s="110"/>
      <c r="EX29" s="110"/>
      <c r="EY29" s="110"/>
      <c r="EZ29" s="110"/>
      <c r="FA29" s="110"/>
      <c r="FB29" s="110"/>
      <c r="FC29" s="110"/>
      <c r="FD29" s="110"/>
      <c r="FE29" s="110"/>
      <c r="FF29" s="110"/>
      <c r="FG29" s="110"/>
      <c r="FH29" s="110"/>
      <c r="FI29" s="110"/>
      <c r="FJ29" s="110"/>
      <c r="FK29" s="110"/>
      <c r="FL29" s="110"/>
      <c r="FM29" s="110"/>
      <c r="FN29" s="110"/>
      <c r="FO29" s="110"/>
      <c r="FP29" s="110"/>
      <c r="FQ29" s="110"/>
      <c r="FR29" s="110"/>
      <c r="FS29" s="110"/>
      <c r="FT29" s="110"/>
      <c r="FU29" s="110"/>
      <c r="FV29" s="110"/>
      <c r="FW29" s="110"/>
      <c r="FX29" s="110"/>
      <c r="FY29" s="110"/>
      <c r="FZ29" s="110"/>
      <c r="GA29" s="110"/>
      <c r="GB29" s="110"/>
      <c r="GC29" s="110"/>
      <c r="GD29" s="110"/>
      <c r="GE29" s="110"/>
      <c r="GF29" s="110"/>
      <c r="GG29" s="110"/>
      <c r="GH29" s="110">
        <v>216333.29</v>
      </c>
      <c r="GI29" s="110"/>
      <c r="GJ29" s="110"/>
      <c r="GK29" s="110"/>
      <c r="GL29" s="110"/>
      <c r="GM29" s="110"/>
      <c r="GN29" s="110"/>
      <c r="GO29" s="110"/>
      <c r="GP29" s="110"/>
      <c r="GQ29" s="110"/>
      <c r="GR29" s="110"/>
      <c r="GS29" s="110"/>
      <c r="GT29" s="110"/>
      <c r="GU29" s="110"/>
      <c r="GV29" s="110"/>
      <c r="GW29" s="110"/>
      <c r="GX29" s="110"/>
      <c r="GY29" s="110"/>
      <c r="GZ29" s="110"/>
      <c r="HA29" s="110"/>
      <c r="HB29" s="110"/>
      <c r="HC29" s="110"/>
      <c r="HD29" s="110"/>
      <c r="HE29" s="110"/>
      <c r="HF29" s="110"/>
      <c r="HG29" s="110"/>
      <c r="HH29" s="110"/>
      <c r="HI29" s="110"/>
      <c r="HJ29" s="110"/>
      <c r="HK29" s="110"/>
      <c r="HL29" s="110"/>
      <c r="HM29" s="110"/>
      <c r="HN29" s="110"/>
      <c r="HO29" s="110"/>
      <c r="HP29" s="110"/>
      <c r="HQ29" s="110"/>
      <c r="HR29" s="110"/>
      <c r="HS29" s="110"/>
      <c r="HT29" s="110"/>
      <c r="HU29" s="110"/>
      <c r="HV29" s="110"/>
      <c r="HW29" s="110"/>
      <c r="HX29" s="110"/>
      <c r="HY29" s="110"/>
      <c r="HZ29" s="110"/>
      <c r="IA29" s="110"/>
      <c r="IB29" s="110"/>
      <c r="IC29" s="110"/>
      <c r="ID29" s="110"/>
      <c r="IE29" s="110"/>
      <c r="IF29" s="110"/>
      <c r="IG29" s="110"/>
      <c r="IH29" s="110"/>
      <c r="II29" s="110"/>
      <c r="IJ29" s="110"/>
      <c r="IK29" s="110"/>
      <c r="IL29" s="110"/>
      <c r="IM29" s="110"/>
      <c r="IN29" s="110"/>
      <c r="IO29" s="110"/>
      <c r="IP29" s="110"/>
      <c r="IQ29" s="110"/>
      <c r="IR29" s="110"/>
      <c r="IS29" s="110"/>
      <c r="IT29" s="110"/>
      <c r="IU29" s="110"/>
      <c r="IV29" s="110"/>
      <c r="IW29" s="110"/>
      <c r="IX29" s="110"/>
      <c r="IY29" s="110"/>
      <c r="IZ29" s="110"/>
      <c r="JA29" s="110"/>
      <c r="JB29" s="110"/>
      <c r="JC29" s="110"/>
      <c r="JD29" s="110"/>
      <c r="JE29" s="110"/>
      <c r="JF29" s="110"/>
      <c r="JG29" s="110"/>
      <c r="JH29" s="110"/>
      <c r="JI29" s="107">
        <f t="shared" si="0"/>
        <v>216333.29</v>
      </c>
      <c r="JJ29" s="297">
        <v>2847</v>
      </c>
      <c r="JK29" s="110"/>
      <c r="JL29" s="112"/>
      <c r="JM29" s="112"/>
      <c r="JN29" s="112"/>
      <c r="JO29" s="112"/>
      <c r="JP29" s="112"/>
    </row>
    <row r="30" spans="1:276" x14ac:dyDescent="0.25">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2"/>
      <c r="AL30" s="112"/>
      <c r="AM30" s="112"/>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c r="CP30" s="110"/>
      <c r="CQ30" s="110"/>
      <c r="CR30" s="110"/>
      <c r="CS30" s="110"/>
      <c r="CT30" s="110"/>
      <c r="CU30" s="110"/>
      <c r="CV30" s="110"/>
      <c r="CW30" s="110"/>
      <c r="CX30" s="110"/>
      <c r="CY30" s="110"/>
      <c r="CZ30" s="110"/>
      <c r="DA30" s="110"/>
      <c r="DB30" s="110"/>
      <c r="DC30" s="110"/>
      <c r="DD30" s="110"/>
      <c r="DE30" s="110"/>
      <c r="DF30" s="110"/>
      <c r="DG30" s="110"/>
      <c r="DH30" s="110"/>
      <c r="DI30" s="110"/>
      <c r="DJ30" s="110"/>
      <c r="DK30" s="110"/>
      <c r="DL30" s="110"/>
      <c r="DM30" s="110"/>
      <c r="DN30" s="110"/>
      <c r="DO30" s="110"/>
      <c r="DP30" s="110"/>
      <c r="DQ30" s="110"/>
      <c r="DR30" s="110"/>
      <c r="DS30" s="110"/>
      <c r="DT30" s="110"/>
      <c r="DU30" s="110"/>
      <c r="DV30" s="110"/>
      <c r="DW30" s="110"/>
      <c r="DX30" s="110"/>
      <c r="DY30" s="110"/>
      <c r="DZ30" s="110"/>
      <c r="EA30" s="110"/>
      <c r="EB30" s="110"/>
      <c r="EC30" s="110"/>
      <c r="ED30" s="110"/>
      <c r="EE30" s="110"/>
      <c r="EF30" s="110"/>
      <c r="EG30" s="110"/>
      <c r="EH30" s="110"/>
      <c r="EI30" s="110"/>
      <c r="EJ30" s="110"/>
      <c r="EK30" s="110"/>
      <c r="EL30" s="110"/>
      <c r="EM30" s="110"/>
      <c r="EN30" s="110"/>
      <c r="EO30" s="110"/>
      <c r="EP30" s="110"/>
      <c r="EQ30" s="110"/>
      <c r="ER30" s="110"/>
      <c r="ES30" s="110"/>
      <c r="ET30" s="110"/>
      <c r="EU30" s="110"/>
      <c r="EV30" s="110"/>
      <c r="EW30" s="110"/>
      <c r="EX30" s="110"/>
      <c r="EY30" s="110"/>
      <c r="EZ30" s="110"/>
      <c r="FA30" s="110"/>
      <c r="FB30" s="110"/>
      <c r="FC30" s="110"/>
      <c r="FD30" s="110"/>
      <c r="FE30" s="110"/>
      <c r="FF30" s="110"/>
      <c r="FG30" s="110"/>
      <c r="FH30" s="110"/>
      <c r="FI30" s="110"/>
      <c r="FJ30" s="110"/>
      <c r="FK30" s="110"/>
      <c r="FL30" s="110"/>
      <c r="FM30" s="110"/>
      <c r="FN30" s="110"/>
      <c r="FO30" s="110"/>
      <c r="FP30" s="110"/>
      <c r="FQ30" s="110"/>
      <c r="FR30" s="110"/>
      <c r="FS30" s="110"/>
      <c r="FT30" s="110">
        <v>175000</v>
      </c>
      <c r="FU30" s="110"/>
      <c r="FV30" s="110"/>
      <c r="FW30" s="110"/>
      <c r="FX30" s="110"/>
      <c r="FY30" s="110"/>
      <c r="FZ30" s="110"/>
      <c r="GA30" s="110"/>
      <c r="GB30" s="110"/>
      <c r="GC30" s="110"/>
      <c r="GD30" s="110"/>
      <c r="GE30" s="110"/>
      <c r="GF30" s="110"/>
      <c r="GG30" s="110"/>
      <c r="GH30" s="110"/>
      <c r="GI30" s="110"/>
      <c r="GJ30" s="110"/>
      <c r="GK30" s="110"/>
      <c r="GL30" s="110"/>
      <c r="GM30" s="110"/>
      <c r="GN30" s="110"/>
      <c r="GO30" s="110"/>
      <c r="GP30" s="110"/>
      <c r="GQ30" s="110"/>
      <c r="GR30" s="110"/>
      <c r="GS30" s="110"/>
      <c r="GT30" s="110"/>
      <c r="GU30" s="110"/>
      <c r="GV30" s="110"/>
      <c r="GW30" s="110"/>
      <c r="GX30" s="110"/>
      <c r="GY30" s="110"/>
      <c r="GZ30" s="110"/>
      <c r="HA30" s="110"/>
      <c r="HB30" s="110"/>
      <c r="HC30" s="110"/>
      <c r="HD30" s="110"/>
      <c r="HE30" s="110"/>
      <c r="HF30" s="110"/>
      <c r="HG30" s="110"/>
      <c r="HH30" s="110"/>
      <c r="HI30" s="110"/>
      <c r="HJ30" s="110"/>
      <c r="HK30" s="110"/>
      <c r="HL30" s="110"/>
      <c r="HM30" s="110"/>
      <c r="HN30" s="110"/>
      <c r="HO30" s="110"/>
      <c r="HP30" s="110"/>
      <c r="HQ30" s="110"/>
      <c r="HR30" s="110"/>
      <c r="HS30" s="110"/>
      <c r="HT30" s="110"/>
      <c r="HU30" s="110"/>
      <c r="HV30" s="110"/>
      <c r="HW30" s="110"/>
      <c r="HX30" s="110"/>
      <c r="HY30" s="110"/>
      <c r="HZ30" s="110"/>
      <c r="IA30" s="110"/>
      <c r="IB30" s="110"/>
      <c r="IC30" s="110"/>
      <c r="ID30" s="110"/>
      <c r="IE30" s="110"/>
      <c r="IF30" s="110"/>
      <c r="IG30" s="110"/>
      <c r="IH30" s="110"/>
      <c r="II30" s="110"/>
      <c r="IJ30" s="110"/>
      <c r="IK30" s="110"/>
      <c r="IL30" s="110"/>
      <c r="IM30" s="110"/>
      <c r="IN30" s="110"/>
      <c r="IO30" s="110"/>
      <c r="IP30" s="110"/>
      <c r="IQ30" s="110"/>
      <c r="IR30" s="110"/>
      <c r="IS30" s="110"/>
      <c r="IT30" s="110"/>
      <c r="IU30" s="110"/>
      <c r="IV30" s="110"/>
      <c r="IW30" s="110"/>
      <c r="IX30" s="110"/>
      <c r="IY30" s="110"/>
      <c r="IZ30" s="110"/>
      <c r="JA30" s="110"/>
      <c r="JB30" s="110"/>
      <c r="JC30" s="110"/>
      <c r="JD30" s="110"/>
      <c r="JE30" s="110"/>
      <c r="JF30" s="110"/>
      <c r="JG30" s="110"/>
      <c r="JH30" s="110"/>
      <c r="JI30" s="107">
        <f t="shared" si="0"/>
        <v>175000</v>
      </c>
      <c r="JJ30" s="297">
        <v>2851</v>
      </c>
      <c r="JK30" s="110"/>
      <c r="JL30" s="112"/>
      <c r="JM30" s="112"/>
      <c r="JN30" s="112"/>
      <c r="JO30" s="112"/>
      <c r="JP30" s="112"/>
    </row>
    <row r="31" spans="1:276" x14ac:dyDescent="0.25">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0"/>
      <c r="DI31" s="110"/>
      <c r="DJ31" s="110"/>
      <c r="DK31" s="110"/>
      <c r="DL31" s="110"/>
      <c r="DM31" s="110"/>
      <c r="DN31" s="110"/>
      <c r="DO31" s="110"/>
      <c r="DP31" s="110"/>
      <c r="DQ31" s="110"/>
      <c r="DR31" s="110"/>
      <c r="DS31" s="110"/>
      <c r="DT31" s="110"/>
      <c r="DU31" s="110"/>
      <c r="DV31" s="110"/>
      <c r="DW31" s="110"/>
      <c r="DX31" s="110"/>
      <c r="DY31" s="110"/>
      <c r="DZ31" s="110"/>
      <c r="EA31" s="110">
        <v>210000</v>
      </c>
      <c r="EB31" s="110"/>
      <c r="EC31" s="110"/>
      <c r="ED31" s="110"/>
      <c r="EE31" s="110"/>
      <c r="EF31" s="110"/>
      <c r="EG31" s="110"/>
      <c r="EH31" s="110"/>
      <c r="EI31" s="110"/>
      <c r="EJ31" s="110"/>
      <c r="EK31" s="110"/>
      <c r="EL31" s="110"/>
      <c r="EM31" s="110"/>
      <c r="EN31" s="110"/>
      <c r="EO31" s="110"/>
      <c r="EP31" s="110"/>
      <c r="EQ31" s="110"/>
      <c r="ER31" s="110"/>
      <c r="ES31" s="110"/>
      <c r="ET31" s="110"/>
      <c r="EU31" s="110"/>
      <c r="EV31" s="110"/>
      <c r="EW31" s="110"/>
      <c r="EX31" s="110"/>
      <c r="EY31" s="110"/>
      <c r="EZ31" s="110"/>
      <c r="FA31" s="110"/>
      <c r="FB31" s="110"/>
      <c r="FC31" s="110"/>
      <c r="FD31" s="110"/>
      <c r="FE31" s="110"/>
      <c r="FF31" s="110"/>
      <c r="FG31" s="110"/>
      <c r="FH31" s="110"/>
      <c r="FI31" s="110"/>
      <c r="FJ31" s="110">
        <v>7120</v>
      </c>
      <c r="FK31" s="110"/>
      <c r="FL31" s="110"/>
      <c r="FM31" s="110"/>
      <c r="FN31" s="110"/>
      <c r="FO31" s="110"/>
      <c r="FP31" s="110"/>
      <c r="FQ31" s="110"/>
      <c r="FR31" s="110"/>
      <c r="FS31" s="110"/>
      <c r="FT31" s="110"/>
      <c r="FU31" s="110"/>
      <c r="FV31" s="110"/>
      <c r="FW31" s="110"/>
      <c r="FX31" s="110"/>
      <c r="FY31" s="110"/>
      <c r="FZ31" s="110"/>
      <c r="GA31" s="110"/>
      <c r="GB31" s="110"/>
      <c r="GC31" s="110"/>
      <c r="GD31" s="110"/>
      <c r="GE31" s="110"/>
      <c r="GF31" s="110"/>
      <c r="GG31" s="110"/>
      <c r="GH31" s="110"/>
      <c r="GI31" s="110"/>
      <c r="GJ31" s="110"/>
      <c r="GK31" s="110"/>
      <c r="GL31" s="110"/>
      <c r="GM31" s="110"/>
      <c r="GN31" s="110"/>
      <c r="GO31" s="110"/>
      <c r="GP31" s="110"/>
      <c r="GQ31" s="110"/>
      <c r="GR31" s="110"/>
      <c r="GS31" s="110"/>
      <c r="GT31" s="110"/>
      <c r="GU31" s="110"/>
      <c r="GV31" s="110"/>
      <c r="GW31" s="110"/>
      <c r="GX31" s="110"/>
      <c r="GY31" s="110"/>
      <c r="GZ31" s="110"/>
      <c r="HA31" s="110"/>
      <c r="HB31" s="110"/>
      <c r="HC31" s="110"/>
      <c r="HD31" s="110"/>
      <c r="HE31" s="110"/>
      <c r="HF31" s="110"/>
      <c r="HG31" s="110"/>
      <c r="HH31" s="110"/>
      <c r="HI31" s="110"/>
      <c r="HJ31" s="110"/>
      <c r="HK31" s="110"/>
      <c r="HL31" s="110"/>
      <c r="HM31" s="110"/>
      <c r="HN31" s="110"/>
      <c r="HO31" s="110"/>
      <c r="HP31" s="110"/>
      <c r="HQ31" s="110"/>
      <c r="HR31" s="110"/>
      <c r="HS31" s="110"/>
      <c r="HT31" s="110"/>
      <c r="HU31" s="110"/>
      <c r="HV31" s="110"/>
      <c r="HW31" s="110"/>
      <c r="HX31" s="110"/>
      <c r="HY31" s="110"/>
      <c r="HZ31" s="110"/>
      <c r="IA31" s="110"/>
      <c r="IB31" s="110"/>
      <c r="IC31" s="110"/>
      <c r="ID31" s="110"/>
      <c r="IE31" s="110"/>
      <c r="IF31" s="110"/>
      <c r="IG31" s="110"/>
      <c r="IH31" s="110"/>
      <c r="II31" s="110"/>
      <c r="IJ31" s="110"/>
      <c r="IK31" s="110"/>
      <c r="IL31" s="110"/>
      <c r="IM31" s="110"/>
      <c r="IN31" s="110"/>
      <c r="IO31" s="110"/>
      <c r="IP31" s="110"/>
      <c r="IQ31" s="110"/>
      <c r="IR31" s="110"/>
      <c r="IS31" s="110"/>
      <c r="IT31" s="110"/>
      <c r="IU31" s="110"/>
      <c r="IV31" s="110"/>
      <c r="IW31" s="110"/>
      <c r="IX31" s="110"/>
      <c r="IY31" s="110"/>
      <c r="IZ31" s="110"/>
      <c r="JA31" s="110"/>
      <c r="JB31" s="110"/>
      <c r="JC31" s="110"/>
      <c r="JD31" s="110"/>
      <c r="JE31" s="110"/>
      <c r="JF31" s="110"/>
      <c r="JG31" s="110"/>
      <c r="JH31" s="110"/>
      <c r="JI31" s="107">
        <f t="shared" si="0"/>
        <v>217120</v>
      </c>
      <c r="JJ31" s="297">
        <v>2855</v>
      </c>
      <c r="JK31" s="110"/>
      <c r="JL31" s="112"/>
      <c r="JM31" s="112"/>
      <c r="JN31" s="112"/>
      <c r="JO31" s="112"/>
      <c r="JP31" s="112"/>
    </row>
    <row r="32" spans="1:276" x14ac:dyDescent="0.25">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c r="CP32" s="110"/>
      <c r="CQ32" s="110"/>
      <c r="CR32" s="110"/>
      <c r="CS32" s="110"/>
      <c r="CT32" s="110"/>
      <c r="CU32" s="110"/>
      <c r="CV32" s="110"/>
      <c r="CW32" s="110"/>
      <c r="CX32" s="110"/>
      <c r="CY32" s="110"/>
      <c r="CZ32" s="110"/>
      <c r="DA32" s="110"/>
      <c r="DB32" s="110"/>
      <c r="DC32" s="110"/>
      <c r="DD32" s="110"/>
      <c r="DE32" s="110"/>
      <c r="DF32" s="110"/>
      <c r="DG32" s="110"/>
      <c r="DH32" s="110"/>
      <c r="DI32" s="110"/>
      <c r="DJ32" s="110"/>
      <c r="DK32" s="110"/>
      <c r="DL32" s="110"/>
      <c r="DM32" s="110"/>
      <c r="DN32" s="110"/>
      <c r="DO32" s="110"/>
      <c r="DP32" s="110"/>
      <c r="DQ32" s="110"/>
      <c r="DR32" s="110"/>
      <c r="DS32" s="110"/>
      <c r="DT32" s="110"/>
      <c r="DU32" s="110"/>
      <c r="DV32" s="110"/>
      <c r="DW32" s="110"/>
      <c r="DX32" s="110"/>
      <c r="DY32" s="110"/>
      <c r="DZ32" s="110"/>
      <c r="EA32" s="110"/>
      <c r="EB32" s="110"/>
      <c r="EC32" s="110"/>
      <c r="ED32" s="110"/>
      <c r="EE32" s="110"/>
      <c r="EF32" s="110"/>
      <c r="EG32" s="110"/>
      <c r="EH32" s="110"/>
      <c r="EI32" s="110"/>
      <c r="EJ32" s="110"/>
      <c r="EK32" s="110"/>
      <c r="EL32" s="110"/>
      <c r="EM32" s="110"/>
      <c r="EN32" s="110"/>
      <c r="EO32" s="110"/>
      <c r="EP32" s="110"/>
      <c r="EQ32" s="110"/>
      <c r="ER32" s="110"/>
      <c r="ES32" s="110"/>
      <c r="ET32" s="110"/>
      <c r="EU32" s="110"/>
      <c r="EV32" s="110"/>
      <c r="EW32" s="110"/>
      <c r="EX32" s="110"/>
      <c r="EY32" s="110"/>
      <c r="EZ32" s="110"/>
      <c r="FA32" s="110"/>
      <c r="FB32" s="110"/>
      <c r="FC32" s="110"/>
      <c r="FD32" s="110"/>
      <c r="FE32" s="110"/>
      <c r="FF32" s="110"/>
      <c r="FG32" s="110"/>
      <c r="FH32" s="110"/>
      <c r="FI32" s="110"/>
      <c r="FJ32" s="110"/>
      <c r="FK32" s="110"/>
      <c r="FL32" s="110"/>
      <c r="FM32" s="110"/>
      <c r="FN32" s="110"/>
      <c r="FO32" s="110"/>
      <c r="FP32" s="110"/>
      <c r="FQ32" s="110"/>
      <c r="FR32" s="110"/>
      <c r="FS32" s="110"/>
      <c r="FT32" s="110">
        <v>270820</v>
      </c>
      <c r="FU32" s="110"/>
      <c r="FV32" s="110"/>
      <c r="FW32" s="110"/>
      <c r="FX32" s="110"/>
      <c r="FY32" s="110"/>
      <c r="FZ32" s="110"/>
      <c r="GA32" s="110"/>
      <c r="GB32" s="110"/>
      <c r="GC32" s="110"/>
      <c r="GD32" s="110"/>
      <c r="GE32" s="110"/>
      <c r="GF32" s="110"/>
      <c r="GG32" s="110"/>
      <c r="GH32" s="110"/>
      <c r="GI32" s="110"/>
      <c r="GJ32" s="110"/>
      <c r="GK32" s="110"/>
      <c r="GL32" s="110"/>
      <c r="GM32" s="110"/>
      <c r="GN32" s="110"/>
      <c r="GO32" s="110"/>
      <c r="GP32" s="110"/>
      <c r="GQ32" s="110"/>
      <c r="GR32" s="110"/>
      <c r="GS32" s="110"/>
      <c r="GT32" s="110"/>
      <c r="GU32" s="110"/>
      <c r="GV32" s="110"/>
      <c r="GW32" s="110"/>
      <c r="GX32" s="110"/>
      <c r="GY32" s="110"/>
      <c r="GZ32" s="110"/>
      <c r="HA32" s="110"/>
      <c r="HB32" s="110"/>
      <c r="HC32" s="110"/>
      <c r="HD32" s="110"/>
      <c r="HE32" s="110"/>
      <c r="HF32" s="110"/>
      <c r="HG32" s="110"/>
      <c r="HH32" s="110"/>
      <c r="HI32" s="110"/>
      <c r="HJ32" s="110"/>
      <c r="HK32" s="110"/>
      <c r="HL32" s="110"/>
      <c r="HM32" s="110"/>
      <c r="HN32" s="110"/>
      <c r="HO32" s="110"/>
      <c r="HP32" s="110"/>
      <c r="HQ32" s="110"/>
      <c r="HR32" s="110"/>
      <c r="HS32" s="110"/>
      <c r="HT32" s="110"/>
      <c r="HU32" s="110"/>
      <c r="HV32" s="110"/>
      <c r="HW32" s="110"/>
      <c r="HX32" s="110"/>
      <c r="HY32" s="110"/>
      <c r="HZ32" s="110"/>
      <c r="IA32" s="110"/>
      <c r="IB32" s="110"/>
      <c r="IC32" s="110"/>
      <c r="ID32" s="110"/>
      <c r="IE32" s="110"/>
      <c r="IF32" s="110"/>
      <c r="IG32" s="110"/>
      <c r="IH32" s="110"/>
      <c r="II32" s="110"/>
      <c r="IJ32" s="110"/>
      <c r="IK32" s="110"/>
      <c r="IL32" s="110"/>
      <c r="IM32" s="110"/>
      <c r="IN32" s="110"/>
      <c r="IO32" s="110"/>
      <c r="IP32" s="110"/>
      <c r="IQ32" s="110"/>
      <c r="IR32" s="110"/>
      <c r="IS32" s="110"/>
      <c r="IT32" s="110"/>
      <c r="IU32" s="110"/>
      <c r="IV32" s="110"/>
      <c r="IW32" s="110"/>
      <c r="IX32" s="110"/>
      <c r="IY32" s="110"/>
      <c r="IZ32" s="110"/>
      <c r="JA32" s="110"/>
      <c r="JB32" s="110"/>
      <c r="JC32" s="110"/>
      <c r="JD32" s="110"/>
      <c r="JE32" s="110"/>
      <c r="JF32" s="110"/>
      <c r="JG32" s="110"/>
      <c r="JH32" s="110"/>
      <c r="JI32" s="107">
        <f t="shared" si="0"/>
        <v>270820</v>
      </c>
      <c r="JJ32" s="297">
        <v>2859</v>
      </c>
      <c r="JK32" s="110"/>
      <c r="JL32" s="112"/>
      <c r="JM32" s="112"/>
      <c r="JN32" s="112"/>
      <c r="JO32" s="112"/>
      <c r="JP32" s="112"/>
    </row>
    <row r="33" spans="1:276" x14ac:dyDescent="0.25">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c r="DB33" s="110"/>
      <c r="DC33" s="110"/>
      <c r="DD33" s="110"/>
      <c r="DE33" s="110"/>
      <c r="DF33" s="110"/>
      <c r="DG33" s="110"/>
      <c r="DH33" s="110"/>
      <c r="DI33" s="110"/>
      <c r="DJ33" s="110"/>
      <c r="DK33" s="110"/>
      <c r="DL33" s="110"/>
      <c r="DM33" s="110"/>
      <c r="DN33" s="110"/>
      <c r="DO33" s="110"/>
      <c r="DP33" s="110"/>
      <c r="DQ33" s="110"/>
      <c r="DR33" s="110"/>
      <c r="DS33" s="110"/>
      <c r="DT33" s="110"/>
      <c r="DU33" s="110"/>
      <c r="DV33" s="110"/>
      <c r="DW33" s="110"/>
      <c r="DX33" s="110"/>
      <c r="DY33" s="110"/>
      <c r="DZ33" s="110"/>
      <c r="EA33" s="110"/>
      <c r="EB33" s="110"/>
      <c r="EC33" s="110"/>
      <c r="ED33" s="110"/>
      <c r="EE33" s="110"/>
      <c r="EF33" s="110"/>
      <c r="EG33" s="110"/>
      <c r="EH33" s="110"/>
      <c r="EI33" s="110"/>
      <c r="EJ33" s="110"/>
      <c r="EK33" s="110"/>
      <c r="EL33" s="110"/>
      <c r="EM33" s="110"/>
      <c r="EN33" s="110"/>
      <c r="EO33" s="110"/>
      <c r="EP33" s="110"/>
      <c r="EQ33" s="110"/>
      <c r="ER33" s="110"/>
      <c r="ES33" s="110"/>
      <c r="ET33" s="110"/>
      <c r="EU33" s="110"/>
      <c r="EV33" s="110"/>
      <c r="EW33" s="110"/>
      <c r="EX33" s="110"/>
      <c r="EY33" s="110"/>
      <c r="EZ33" s="110"/>
      <c r="FA33" s="110"/>
      <c r="FB33" s="110"/>
      <c r="FC33" s="110"/>
      <c r="FD33" s="110"/>
      <c r="FE33" s="110"/>
      <c r="FF33" s="110"/>
      <c r="FG33" s="110"/>
      <c r="FH33" s="110"/>
      <c r="FI33" s="110"/>
      <c r="FJ33" s="110"/>
      <c r="FK33" s="110"/>
      <c r="FL33" s="110"/>
      <c r="FM33" s="110"/>
      <c r="FN33" s="110"/>
      <c r="FO33" s="110"/>
      <c r="FP33" s="110"/>
      <c r="FQ33" s="110"/>
      <c r="FR33" s="110"/>
      <c r="FS33" s="110"/>
      <c r="FT33" s="110"/>
      <c r="FU33" s="110"/>
      <c r="FV33" s="110"/>
      <c r="FW33" s="110"/>
      <c r="FX33" s="110"/>
      <c r="FY33" s="110"/>
      <c r="FZ33" s="110"/>
      <c r="GA33" s="110"/>
      <c r="GB33" s="110"/>
      <c r="GC33" s="110"/>
      <c r="GD33" s="110"/>
      <c r="GE33" s="110"/>
      <c r="GF33" s="110"/>
      <c r="GG33" s="110"/>
      <c r="GH33" s="110"/>
      <c r="GI33" s="110"/>
      <c r="GJ33" s="110"/>
      <c r="GK33" s="110"/>
      <c r="GL33" s="110"/>
      <c r="GM33" s="110"/>
      <c r="GN33" s="110"/>
      <c r="GO33" s="110"/>
      <c r="GP33" s="110"/>
      <c r="GQ33" s="110"/>
      <c r="GR33" s="110">
        <v>239687.5</v>
      </c>
      <c r="GS33" s="110"/>
      <c r="GT33" s="110"/>
      <c r="GU33" s="110"/>
      <c r="GV33" s="110"/>
      <c r="GW33" s="110"/>
      <c r="GX33" s="110"/>
      <c r="GY33" s="110"/>
      <c r="GZ33" s="110"/>
      <c r="HA33" s="110"/>
      <c r="HB33" s="110"/>
      <c r="HC33" s="110"/>
      <c r="HD33" s="110"/>
      <c r="HE33" s="110"/>
      <c r="HF33" s="110"/>
      <c r="HG33" s="110"/>
      <c r="HH33" s="110"/>
      <c r="HI33" s="110"/>
      <c r="HJ33" s="110"/>
      <c r="HK33" s="110"/>
      <c r="HL33" s="110"/>
      <c r="HM33" s="110"/>
      <c r="HN33" s="110"/>
      <c r="HO33" s="110"/>
      <c r="HP33" s="110"/>
      <c r="HQ33" s="110"/>
      <c r="HR33" s="110"/>
      <c r="HS33" s="110"/>
      <c r="HT33" s="110"/>
      <c r="HU33" s="110"/>
      <c r="HV33" s="110"/>
      <c r="HW33" s="110"/>
      <c r="HX33" s="110"/>
      <c r="HY33" s="110"/>
      <c r="HZ33" s="110"/>
      <c r="IA33" s="110"/>
      <c r="IB33" s="110"/>
      <c r="IC33" s="110"/>
      <c r="ID33" s="110"/>
      <c r="IE33" s="110"/>
      <c r="IF33" s="110"/>
      <c r="IG33" s="110"/>
      <c r="IH33" s="110"/>
      <c r="II33" s="110"/>
      <c r="IJ33" s="110"/>
      <c r="IK33" s="110"/>
      <c r="IL33" s="110"/>
      <c r="IM33" s="110"/>
      <c r="IN33" s="110"/>
      <c r="IO33" s="110"/>
      <c r="IP33" s="110"/>
      <c r="IQ33" s="110"/>
      <c r="IR33" s="110"/>
      <c r="IS33" s="110"/>
      <c r="IT33" s="110"/>
      <c r="IU33" s="110"/>
      <c r="IV33" s="110"/>
      <c r="IW33" s="110"/>
      <c r="IX33" s="110"/>
      <c r="IY33" s="110"/>
      <c r="IZ33" s="110"/>
      <c r="JA33" s="110"/>
      <c r="JB33" s="110"/>
      <c r="JC33" s="110"/>
      <c r="JD33" s="110"/>
      <c r="JE33" s="110"/>
      <c r="JF33" s="110"/>
      <c r="JG33" s="110"/>
      <c r="JH33" s="110"/>
      <c r="JI33" s="107">
        <f t="shared" si="0"/>
        <v>239687.5</v>
      </c>
      <c r="JJ33" s="297">
        <v>2863</v>
      </c>
      <c r="JK33" s="110"/>
      <c r="JL33" s="112"/>
      <c r="JM33" s="112"/>
      <c r="JN33" s="112"/>
      <c r="JO33" s="112"/>
      <c r="JP33" s="112"/>
    </row>
    <row r="34" spans="1:276" x14ac:dyDescent="0.25">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c r="CP34" s="110"/>
      <c r="CQ34" s="110"/>
      <c r="CR34" s="110"/>
      <c r="CS34" s="110"/>
      <c r="CT34" s="110"/>
      <c r="CU34" s="110"/>
      <c r="CV34" s="110"/>
      <c r="CW34" s="110"/>
      <c r="CX34" s="110"/>
      <c r="CY34" s="110"/>
      <c r="CZ34" s="110"/>
      <c r="DA34" s="110"/>
      <c r="DB34" s="110"/>
      <c r="DC34" s="110"/>
      <c r="DD34" s="110"/>
      <c r="DE34" s="110"/>
      <c r="DF34" s="110"/>
      <c r="DG34" s="110"/>
      <c r="DH34" s="110"/>
      <c r="DI34" s="110"/>
      <c r="DJ34" s="110"/>
      <c r="DK34" s="110"/>
      <c r="DL34" s="110"/>
      <c r="DM34" s="110"/>
      <c r="DN34" s="110"/>
      <c r="DO34" s="110"/>
      <c r="DP34" s="110"/>
      <c r="DQ34" s="110"/>
      <c r="DR34" s="110"/>
      <c r="DS34" s="110"/>
      <c r="DT34" s="110"/>
      <c r="DU34" s="110"/>
      <c r="DV34" s="110"/>
      <c r="DW34" s="110"/>
      <c r="DX34" s="110"/>
      <c r="DY34" s="110"/>
      <c r="DZ34" s="110"/>
      <c r="EA34" s="110">
        <v>200000</v>
      </c>
      <c r="EB34" s="110"/>
      <c r="EC34" s="110"/>
      <c r="ED34" s="110"/>
      <c r="EE34" s="110"/>
      <c r="EF34" s="110"/>
      <c r="EG34" s="110"/>
      <c r="EH34" s="110"/>
      <c r="EI34" s="110"/>
      <c r="EJ34" s="110"/>
      <c r="EK34" s="110"/>
      <c r="EL34" s="110"/>
      <c r="EM34" s="110"/>
      <c r="EN34" s="110"/>
      <c r="EO34" s="110"/>
      <c r="EP34" s="110"/>
      <c r="EQ34" s="110"/>
      <c r="ER34" s="110"/>
      <c r="ES34" s="110"/>
      <c r="ET34" s="110"/>
      <c r="EU34" s="110"/>
      <c r="EV34" s="110"/>
      <c r="EW34" s="110"/>
      <c r="EX34" s="110"/>
      <c r="EY34" s="110"/>
      <c r="EZ34" s="110"/>
      <c r="FA34" s="110"/>
      <c r="FB34" s="110"/>
      <c r="FC34" s="110"/>
      <c r="FD34" s="110"/>
      <c r="FE34" s="110"/>
      <c r="FF34" s="110"/>
      <c r="FG34" s="110"/>
      <c r="FH34" s="110"/>
      <c r="FI34" s="110"/>
      <c r="FJ34" s="110"/>
      <c r="FK34" s="110"/>
      <c r="FL34" s="110"/>
      <c r="FM34" s="110"/>
      <c r="FN34" s="110"/>
      <c r="FO34" s="110"/>
      <c r="FP34" s="110"/>
      <c r="FQ34" s="110"/>
      <c r="FR34" s="110"/>
      <c r="FS34" s="110"/>
      <c r="FT34" s="110"/>
      <c r="FU34" s="110"/>
      <c r="FV34" s="110"/>
      <c r="FW34" s="110"/>
      <c r="FX34" s="110"/>
      <c r="FY34" s="110"/>
      <c r="FZ34" s="110"/>
      <c r="GA34" s="110"/>
      <c r="GB34" s="110"/>
      <c r="GC34" s="110"/>
      <c r="GD34" s="110"/>
      <c r="GE34" s="110"/>
      <c r="GF34" s="110"/>
      <c r="GG34" s="110"/>
      <c r="GH34" s="110"/>
      <c r="GI34" s="110"/>
      <c r="GJ34" s="110"/>
      <c r="GK34" s="110"/>
      <c r="GL34" s="110"/>
      <c r="GM34" s="110"/>
      <c r="GN34" s="110"/>
      <c r="GO34" s="110"/>
      <c r="GP34" s="110"/>
      <c r="GQ34" s="110"/>
      <c r="GR34" s="110"/>
      <c r="GS34" s="110"/>
      <c r="GT34" s="110"/>
      <c r="GU34" s="110"/>
      <c r="GV34" s="110"/>
      <c r="GW34" s="110"/>
      <c r="GX34" s="110"/>
      <c r="GY34" s="110"/>
      <c r="GZ34" s="110"/>
      <c r="HA34" s="110"/>
      <c r="HB34" s="110"/>
      <c r="HC34" s="110"/>
      <c r="HD34" s="110"/>
      <c r="HE34" s="110"/>
      <c r="HF34" s="110"/>
      <c r="HG34" s="110"/>
      <c r="HH34" s="110"/>
      <c r="HI34" s="110"/>
      <c r="HJ34" s="110"/>
      <c r="HK34" s="110"/>
      <c r="HL34" s="110"/>
      <c r="HM34" s="110"/>
      <c r="HN34" s="110"/>
      <c r="HO34" s="110"/>
      <c r="HP34" s="110"/>
      <c r="HQ34" s="110"/>
      <c r="HR34" s="110"/>
      <c r="HS34" s="110"/>
      <c r="HT34" s="110"/>
      <c r="HU34" s="110"/>
      <c r="HV34" s="110"/>
      <c r="HW34" s="110"/>
      <c r="HX34" s="110"/>
      <c r="HY34" s="110"/>
      <c r="HZ34" s="110"/>
      <c r="IA34" s="110"/>
      <c r="IB34" s="110"/>
      <c r="IC34" s="110"/>
      <c r="ID34" s="110"/>
      <c r="IE34" s="110"/>
      <c r="IF34" s="110"/>
      <c r="IG34" s="110"/>
      <c r="IH34" s="110"/>
      <c r="II34" s="110"/>
      <c r="IJ34" s="110"/>
      <c r="IK34" s="110"/>
      <c r="IL34" s="110"/>
      <c r="IM34" s="110"/>
      <c r="IN34" s="110"/>
      <c r="IO34" s="110"/>
      <c r="IP34" s="110"/>
      <c r="IQ34" s="110"/>
      <c r="IR34" s="110"/>
      <c r="IS34" s="110"/>
      <c r="IT34" s="110"/>
      <c r="IU34" s="110"/>
      <c r="IV34" s="110"/>
      <c r="IW34" s="110"/>
      <c r="IX34" s="110"/>
      <c r="IY34" s="110"/>
      <c r="IZ34" s="110"/>
      <c r="JA34" s="110"/>
      <c r="JB34" s="110"/>
      <c r="JC34" s="110"/>
      <c r="JD34" s="110"/>
      <c r="JE34" s="110"/>
      <c r="JF34" s="110"/>
      <c r="JG34" s="110"/>
      <c r="JH34" s="110"/>
      <c r="JI34" s="107">
        <f t="shared" si="0"/>
        <v>200000</v>
      </c>
      <c r="JJ34" s="297">
        <v>2872</v>
      </c>
      <c r="JK34" s="110"/>
      <c r="JL34" s="112"/>
      <c r="JM34" s="112"/>
      <c r="JN34" s="112"/>
      <c r="JO34" s="112"/>
      <c r="JP34" s="112"/>
    </row>
    <row r="35" spans="1:276" x14ac:dyDescent="0.25">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c r="CP35" s="110"/>
      <c r="CQ35" s="110"/>
      <c r="CR35" s="110"/>
      <c r="CS35" s="110"/>
      <c r="CT35" s="110"/>
      <c r="CU35" s="110"/>
      <c r="CV35" s="110"/>
      <c r="CW35" s="110"/>
      <c r="CX35" s="110"/>
      <c r="CY35" s="110"/>
      <c r="CZ35" s="110"/>
      <c r="DA35" s="110"/>
      <c r="DB35" s="110"/>
      <c r="DC35" s="110"/>
      <c r="DD35" s="110"/>
      <c r="DE35" s="110"/>
      <c r="DF35" s="110"/>
      <c r="DG35" s="110"/>
      <c r="DH35" s="110"/>
      <c r="DI35" s="110"/>
      <c r="DJ35" s="110"/>
      <c r="DK35" s="110"/>
      <c r="DL35" s="110"/>
      <c r="DM35" s="110"/>
      <c r="DN35" s="110"/>
      <c r="DO35" s="110"/>
      <c r="DP35" s="110"/>
      <c r="DQ35" s="110"/>
      <c r="DR35" s="110"/>
      <c r="DS35" s="110">
        <v>1365869.33</v>
      </c>
      <c r="DT35" s="110"/>
      <c r="DU35" s="110"/>
      <c r="DV35" s="110"/>
      <c r="DW35" s="110"/>
      <c r="DX35" s="110"/>
      <c r="DY35" s="110"/>
      <c r="DZ35" s="110"/>
      <c r="EA35" s="110"/>
      <c r="EB35" s="110"/>
      <c r="EC35" s="110"/>
      <c r="ED35" s="110"/>
      <c r="EE35" s="110"/>
      <c r="EF35" s="110"/>
      <c r="EG35" s="110"/>
      <c r="EH35" s="110"/>
      <c r="EI35" s="110"/>
      <c r="EJ35" s="110"/>
      <c r="EK35" s="110"/>
      <c r="EL35" s="110"/>
      <c r="EM35" s="110"/>
      <c r="EN35" s="110"/>
      <c r="EO35" s="110"/>
      <c r="EP35" s="110"/>
      <c r="EQ35" s="110"/>
      <c r="ER35" s="110"/>
      <c r="ES35" s="110"/>
      <c r="ET35" s="110"/>
      <c r="EU35" s="110"/>
      <c r="EV35" s="110"/>
      <c r="EW35" s="110"/>
      <c r="EX35" s="110"/>
      <c r="EY35" s="110"/>
      <c r="EZ35" s="110"/>
      <c r="FA35" s="110"/>
      <c r="FB35" s="110"/>
      <c r="FC35" s="110"/>
      <c r="FD35" s="110"/>
      <c r="FE35" s="110"/>
      <c r="FF35" s="110"/>
      <c r="FG35" s="110"/>
      <c r="FH35" s="110"/>
      <c r="FI35" s="110"/>
      <c r="FJ35" s="110"/>
      <c r="FK35" s="110"/>
      <c r="FL35" s="110"/>
      <c r="FM35" s="110"/>
      <c r="FN35" s="110"/>
      <c r="FO35" s="110"/>
      <c r="FP35" s="110"/>
      <c r="FQ35" s="110"/>
      <c r="FR35" s="110"/>
      <c r="FS35" s="110"/>
      <c r="FT35" s="110"/>
      <c r="FU35" s="110"/>
      <c r="FV35" s="110"/>
      <c r="FW35" s="110"/>
      <c r="FX35" s="110"/>
      <c r="FY35" s="110"/>
      <c r="FZ35" s="110"/>
      <c r="GA35" s="110"/>
      <c r="GB35" s="110"/>
      <c r="GC35" s="110"/>
      <c r="GD35" s="110"/>
      <c r="GE35" s="110"/>
      <c r="GF35" s="110"/>
      <c r="GG35" s="110"/>
      <c r="GH35" s="110"/>
      <c r="GI35" s="110"/>
      <c r="GJ35" s="110"/>
      <c r="GK35" s="110"/>
      <c r="GL35" s="110"/>
      <c r="GM35" s="110"/>
      <c r="GN35" s="110"/>
      <c r="GO35" s="110"/>
      <c r="GP35" s="110"/>
      <c r="GQ35" s="110"/>
      <c r="GR35" s="110"/>
      <c r="GS35" s="110"/>
      <c r="GT35" s="110"/>
      <c r="GU35" s="110"/>
      <c r="GV35" s="110"/>
      <c r="GW35" s="110"/>
      <c r="GX35" s="110"/>
      <c r="GY35" s="110"/>
      <c r="GZ35" s="110"/>
      <c r="HA35" s="110"/>
      <c r="HB35" s="110"/>
      <c r="HC35" s="110"/>
      <c r="HD35" s="110"/>
      <c r="HE35" s="110"/>
      <c r="HF35" s="110"/>
      <c r="HG35" s="110"/>
      <c r="HH35" s="110"/>
      <c r="HI35" s="110"/>
      <c r="HJ35" s="110"/>
      <c r="HK35" s="110"/>
      <c r="HL35" s="110"/>
      <c r="HM35" s="110"/>
      <c r="HN35" s="110"/>
      <c r="HO35" s="110"/>
      <c r="HP35" s="110"/>
      <c r="HQ35" s="110"/>
      <c r="HR35" s="110"/>
      <c r="HS35" s="110"/>
      <c r="HT35" s="110"/>
      <c r="HU35" s="110"/>
      <c r="HV35" s="110"/>
      <c r="HW35" s="110"/>
      <c r="HX35" s="110"/>
      <c r="HY35" s="110"/>
      <c r="HZ35" s="110"/>
      <c r="IA35" s="110"/>
      <c r="IB35" s="110"/>
      <c r="IC35" s="110"/>
      <c r="ID35" s="110"/>
      <c r="IE35" s="110"/>
      <c r="IF35" s="110"/>
      <c r="IG35" s="110"/>
      <c r="IH35" s="110"/>
      <c r="II35" s="110"/>
      <c r="IJ35" s="110"/>
      <c r="IK35" s="110"/>
      <c r="IL35" s="110"/>
      <c r="IM35" s="110"/>
      <c r="IN35" s="110"/>
      <c r="IO35" s="110"/>
      <c r="IP35" s="110"/>
      <c r="IQ35" s="110"/>
      <c r="IR35" s="110"/>
      <c r="IS35" s="110"/>
      <c r="IT35" s="110"/>
      <c r="IU35" s="110"/>
      <c r="IV35" s="110"/>
      <c r="IW35" s="110"/>
      <c r="IX35" s="110"/>
      <c r="IY35" s="110"/>
      <c r="IZ35" s="110"/>
      <c r="JA35" s="110"/>
      <c r="JB35" s="110"/>
      <c r="JC35" s="110"/>
      <c r="JD35" s="110"/>
      <c r="JE35" s="110"/>
      <c r="JF35" s="110"/>
      <c r="JG35" s="110"/>
      <c r="JH35" s="110"/>
      <c r="JI35" s="107">
        <f t="shared" si="0"/>
        <v>1365869.33</v>
      </c>
      <c r="JJ35" s="297">
        <v>2876</v>
      </c>
      <c r="JK35" s="110"/>
      <c r="JL35" s="112"/>
      <c r="JM35" s="112"/>
      <c r="JN35" s="112"/>
      <c r="JO35" s="112"/>
      <c r="JP35" s="112"/>
    </row>
    <row r="36" spans="1:276" x14ac:dyDescent="0.25">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10"/>
      <c r="CT36" s="110"/>
      <c r="CU36" s="110"/>
      <c r="CV36" s="110"/>
      <c r="CW36" s="110"/>
      <c r="CX36" s="110"/>
      <c r="CY36" s="110"/>
      <c r="CZ36" s="110"/>
      <c r="DA36" s="110"/>
      <c r="DB36" s="110"/>
      <c r="DC36" s="110"/>
      <c r="DD36" s="110"/>
      <c r="DE36" s="110"/>
      <c r="DF36" s="110"/>
      <c r="DG36" s="110"/>
      <c r="DH36" s="110"/>
      <c r="DI36" s="110"/>
      <c r="DJ36" s="110"/>
      <c r="DK36" s="110">
        <v>521100</v>
      </c>
      <c r="DL36" s="110"/>
      <c r="DM36" s="110"/>
      <c r="DN36" s="110"/>
      <c r="DO36" s="110"/>
      <c r="DP36" s="110"/>
      <c r="DQ36" s="110"/>
      <c r="DR36" s="110"/>
      <c r="DS36" s="110"/>
      <c r="DT36" s="110"/>
      <c r="DU36" s="110"/>
      <c r="DV36" s="110"/>
      <c r="DW36" s="110"/>
      <c r="DX36" s="110"/>
      <c r="DY36" s="110"/>
      <c r="DZ36" s="110"/>
      <c r="EA36" s="110"/>
      <c r="EB36" s="110"/>
      <c r="EC36" s="110"/>
      <c r="ED36" s="110"/>
      <c r="EE36" s="110"/>
      <c r="EF36" s="110"/>
      <c r="EG36" s="110"/>
      <c r="EH36" s="110"/>
      <c r="EI36" s="110"/>
      <c r="EJ36" s="110"/>
      <c r="EK36" s="110"/>
      <c r="EL36" s="110"/>
      <c r="EM36" s="110"/>
      <c r="EN36" s="110"/>
      <c r="EO36" s="110"/>
      <c r="EP36" s="110"/>
      <c r="EQ36" s="110"/>
      <c r="ER36" s="110"/>
      <c r="ES36" s="110"/>
      <c r="ET36" s="110"/>
      <c r="EU36" s="110"/>
      <c r="EV36" s="110"/>
      <c r="EW36" s="110"/>
      <c r="EX36" s="110"/>
      <c r="EY36" s="110"/>
      <c r="EZ36" s="110"/>
      <c r="FA36" s="110"/>
      <c r="FB36" s="110"/>
      <c r="FC36" s="110"/>
      <c r="FD36" s="110"/>
      <c r="FE36" s="110"/>
      <c r="FF36" s="110"/>
      <c r="FG36" s="110"/>
      <c r="FH36" s="110"/>
      <c r="FI36" s="110"/>
      <c r="FJ36" s="110"/>
      <c r="FK36" s="110"/>
      <c r="FL36" s="110"/>
      <c r="FM36" s="110"/>
      <c r="FN36" s="110"/>
      <c r="FO36" s="110"/>
      <c r="FP36" s="110"/>
      <c r="FQ36" s="110"/>
      <c r="FR36" s="110"/>
      <c r="FS36" s="110"/>
      <c r="FT36" s="110"/>
      <c r="FU36" s="110"/>
      <c r="FV36" s="110"/>
      <c r="FW36" s="110"/>
      <c r="FX36" s="110"/>
      <c r="FY36" s="110"/>
      <c r="FZ36" s="110"/>
      <c r="GA36" s="110"/>
      <c r="GB36" s="110"/>
      <c r="GC36" s="110"/>
      <c r="GD36" s="110"/>
      <c r="GE36" s="110"/>
      <c r="GF36" s="110"/>
      <c r="GG36" s="110"/>
      <c r="GH36" s="110"/>
      <c r="GI36" s="110"/>
      <c r="GJ36" s="110"/>
      <c r="GK36" s="110"/>
      <c r="GL36" s="110"/>
      <c r="GM36" s="110"/>
      <c r="GN36" s="110"/>
      <c r="GO36" s="110"/>
      <c r="GP36" s="110"/>
      <c r="GQ36" s="110"/>
      <c r="GR36" s="110"/>
      <c r="GS36" s="110"/>
      <c r="GT36" s="110"/>
      <c r="GU36" s="110"/>
      <c r="GV36" s="110"/>
      <c r="GW36" s="110"/>
      <c r="GX36" s="110"/>
      <c r="GY36" s="110"/>
      <c r="GZ36" s="110"/>
      <c r="HA36" s="110"/>
      <c r="HB36" s="110"/>
      <c r="HC36" s="110"/>
      <c r="HD36" s="110"/>
      <c r="HE36" s="110"/>
      <c r="HF36" s="110"/>
      <c r="HG36" s="110"/>
      <c r="HH36" s="110"/>
      <c r="HI36" s="110"/>
      <c r="HJ36" s="110"/>
      <c r="HK36" s="110"/>
      <c r="HL36" s="110"/>
      <c r="HM36" s="110"/>
      <c r="HN36" s="110"/>
      <c r="HO36" s="110"/>
      <c r="HP36" s="110"/>
      <c r="HQ36" s="110"/>
      <c r="HR36" s="110"/>
      <c r="HS36" s="110"/>
      <c r="HT36" s="110"/>
      <c r="HU36" s="110"/>
      <c r="HV36" s="110"/>
      <c r="HW36" s="110"/>
      <c r="HX36" s="110"/>
      <c r="HY36" s="110"/>
      <c r="HZ36" s="110"/>
      <c r="IA36" s="110"/>
      <c r="IB36" s="110"/>
      <c r="IC36" s="110"/>
      <c r="ID36" s="110"/>
      <c r="IE36" s="110"/>
      <c r="IF36" s="110"/>
      <c r="IG36" s="110"/>
      <c r="IH36" s="110"/>
      <c r="II36" s="110"/>
      <c r="IJ36" s="110"/>
      <c r="IK36" s="110"/>
      <c r="IL36" s="110"/>
      <c r="IM36" s="110"/>
      <c r="IN36" s="110"/>
      <c r="IO36" s="110"/>
      <c r="IP36" s="110"/>
      <c r="IQ36" s="110"/>
      <c r="IR36" s="110"/>
      <c r="IS36" s="110"/>
      <c r="IT36" s="110"/>
      <c r="IU36" s="110"/>
      <c r="IV36" s="110"/>
      <c r="IW36" s="110"/>
      <c r="IX36" s="110"/>
      <c r="IY36" s="110"/>
      <c r="IZ36" s="110"/>
      <c r="JA36" s="110"/>
      <c r="JB36" s="110"/>
      <c r="JC36" s="110"/>
      <c r="JD36" s="110"/>
      <c r="JE36" s="110"/>
      <c r="JF36" s="110"/>
      <c r="JG36" s="110"/>
      <c r="JH36" s="110"/>
      <c r="JI36" s="107">
        <f t="shared" si="0"/>
        <v>521100</v>
      </c>
      <c r="JJ36" s="297">
        <v>2880</v>
      </c>
      <c r="JK36" s="110"/>
      <c r="JL36" s="112"/>
      <c r="JM36" s="112"/>
      <c r="JN36" s="112"/>
      <c r="JO36" s="112"/>
      <c r="JP36" s="112"/>
    </row>
    <row r="37" spans="1:276" x14ac:dyDescent="0.25">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c r="CH37" s="110"/>
      <c r="CI37" s="110"/>
      <c r="CJ37" s="110"/>
      <c r="CK37" s="110"/>
      <c r="CL37" s="110"/>
      <c r="CM37" s="110"/>
      <c r="CN37" s="110"/>
      <c r="CO37" s="110"/>
      <c r="CP37" s="110"/>
      <c r="CQ37" s="110"/>
      <c r="CR37" s="110"/>
      <c r="CS37" s="110"/>
      <c r="CT37" s="110"/>
      <c r="CU37" s="110"/>
      <c r="CV37" s="110"/>
      <c r="CW37" s="110"/>
      <c r="CX37" s="110"/>
      <c r="CY37" s="110"/>
      <c r="CZ37" s="110"/>
      <c r="DA37" s="110"/>
      <c r="DB37" s="110"/>
      <c r="DC37" s="110"/>
      <c r="DD37" s="110"/>
      <c r="DE37" s="110"/>
      <c r="DF37" s="110"/>
      <c r="DG37" s="110"/>
      <c r="DH37" s="110"/>
      <c r="DI37" s="110"/>
      <c r="DJ37" s="110"/>
      <c r="DK37" s="110"/>
      <c r="DL37" s="110"/>
      <c r="DM37" s="110"/>
      <c r="DN37" s="110"/>
      <c r="DO37" s="110"/>
      <c r="DP37" s="110"/>
      <c r="DQ37" s="110"/>
      <c r="DR37" s="110"/>
      <c r="DS37" s="110"/>
      <c r="DT37" s="110"/>
      <c r="DU37" s="110"/>
      <c r="DV37" s="110"/>
      <c r="DW37" s="110"/>
      <c r="DX37" s="110"/>
      <c r="DY37" s="110"/>
      <c r="DZ37" s="110"/>
      <c r="EA37" s="110"/>
      <c r="EB37" s="110"/>
      <c r="EC37" s="110"/>
      <c r="ED37" s="110"/>
      <c r="EE37" s="110"/>
      <c r="EF37" s="110"/>
      <c r="EG37" s="110"/>
      <c r="EH37" s="110"/>
      <c r="EI37" s="110"/>
      <c r="EJ37" s="110"/>
      <c r="EK37" s="110"/>
      <c r="EL37" s="110"/>
      <c r="EM37" s="110"/>
      <c r="EN37" s="110"/>
      <c r="EO37" s="110"/>
      <c r="EP37" s="110"/>
      <c r="EQ37" s="110"/>
      <c r="ER37" s="110"/>
      <c r="ES37" s="110"/>
      <c r="ET37" s="110"/>
      <c r="EU37" s="110"/>
      <c r="EV37" s="110"/>
      <c r="EW37" s="110"/>
      <c r="EX37" s="110"/>
      <c r="EY37" s="110"/>
      <c r="EZ37" s="110"/>
      <c r="FA37" s="110"/>
      <c r="FB37" s="110"/>
      <c r="FC37" s="110"/>
      <c r="FD37" s="110"/>
      <c r="FE37" s="110"/>
      <c r="FF37" s="110"/>
      <c r="FG37" s="110"/>
      <c r="FH37" s="110"/>
      <c r="FI37" s="110"/>
      <c r="FJ37" s="110"/>
      <c r="FK37" s="110"/>
      <c r="FL37" s="110"/>
      <c r="FM37" s="110"/>
      <c r="FN37" s="110"/>
      <c r="FO37" s="110"/>
      <c r="FP37" s="110"/>
      <c r="FQ37" s="110"/>
      <c r="FR37" s="110"/>
      <c r="FS37" s="110"/>
      <c r="FT37" s="110"/>
      <c r="FU37" s="110"/>
      <c r="FV37" s="110"/>
      <c r="FW37" s="110"/>
      <c r="FX37" s="110"/>
      <c r="FY37" s="110"/>
      <c r="FZ37" s="110"/>
      <c r="GA37" s="110"/>
      <c r="GB37" s="110"/>
      <c r="GC37" s="110"/>
      <c r="GD37" s="110"/>
      <c r="GE37" s="110"/>
      <c r="GF37" s="110"/>
      <c r="GG37" s="110"/>
      <c r="GH37" s="110"/>
      <c r="GI37" s="110"/>
      <c r="GJ37" s="110"/>
      <c r="GK37" s="110"/>
      <c r="GL37" s="110"/>
      <c r="GM37" s="110"/>
      <c r="GN37" s="110"/>
      <c r="GO37" s="110"/>
      <c r="GP37" s="110"/>
      <c r="GQ37" s="110">
        <v>1298000</v>
      </c>
      <c r="GR37" s="110"/>
      <c r="GS37" s="110"/>
      <c r="GT37" s="110"/>
      <c r="GU37" s="110"/>
      <c r="GV37" s="110"/>
      <c r="GW37" s="110"/>
      <c r="GX37" s="110"/>
      <c r="GY37" s="110"/>
      <c r="GZ37" s="110"/>
      <c r="HA37" s="110"/>
      <c r="HB37" s="110"/>
      <c r="HC37" s="110"/>
      <c r="HD37" s="110"/>
      <c r="HE37" s="110"/>
      <c r="HF37" s="110"/>
      <c r="HG37" s="110"/>
      <c r="HH37" s="110"/>
      <c r="HI37" s="110"/>
      <c r="HJ37" s="110"/>
      <c r="HK37" s="110"/>
      <c r="HL37" s="110"/>
      <c r="HM37" s="110"/>
      <c r="HN37" s="110"/>
      <c r="HO37" s="110"/>
      <c r="HP37" s="110"/>
      <c r="HQ37" s="110"/>
      <c r="HR37" s="110"/>
      <c r="HS37" s="110"/>
      <c r="HT37" s="110"/>
      <c r="HU37" s="110"/>
      <c r="HV37" s="110"/>
      <c r="HW37" s="110"/>
      <c r="HX37" s="110"/>
      <c r="HY37" s="110"/>
      <c r="HZ37" s="110"/>
      <c r="IA37" s="110"/>
      <c r="IB37" s="110"/>
      <c r="IC37" s="110"/>
      <c r="ID37" s="110"/>
      <c r="IE37" s="110"/>
      <c r="IF37" s="110"/>
      <c r="IG37" s="110"/>
      <c r="IH37" s="110"/>
      <c r="II37" s="110"/>
      <c r="IJ37" s="110"/>
      <c r="IK37" s="110"/>
      <c r="IL37" s="110"/>
      <c r="IM37" s="110"/>
      <c r="IN37" s="110"/>
      <c r="IO37" s="110"/>
      <c r="IP37" s="110"/>
      <c r="IQ37" s="110"/>
      <c r="IR37" s="110"/>
      <c r="IS37" s="110"/>
      <c r="IT37" s="110"/>
      <c r="IU37" s="110"/>
      <c r="IV37" s="110"/>
      <c r="IW37" s="110"/>
      <c r="IX37" s="110"/>
      <c r="IY37" s="110"/>
      <c r="IZ37" s="110"/>
      <c r="JA37" s="110"/>
      <c r="JB37" s="110"/>
      <c r="JC37" s="110"/>
      <c r="JD37" s="110"/>
      <c r="JE37" s="110"/>
      <c r="JF37" s="110"/>
      <c r="JG37" s="110"/>
      <c r="JH37" s="110"/>
      <c r="JI37" s="107">
        <f t="shared" si="0"/>
        <v>1298000</v>
      </c>
      <c r="JJ37" s="297">
        <v>2884</v>
      </c>
      <c r="JK37" s="110"/>
      <c r="JL37" s="112"/>
      <c r="JM37" s="112"/>
      <c r="JN37" s="112"/>
      <c r="JO37" s="112"/>
      <c r="JP37" s="112"/>
    </row>
    <row r="38" spans="1:276" x14ac:dyDescent="0.25">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c r="CP38" s="110"/>
      <c r="CQ38" s="110"/>
      <c r="CR38" s="110"/>
      <c r="CS38" s="110"/>
      <c r="CT38" s="110"/>
      <c r="CU38" s="110"/>
      <c r="CV38" s="110"/>
      <c r="CW38" s="110"/>
      <c r="CX38" s="110"/>
      <c r="CY38" s="110"/>
      <c r="CZ38" s="110"/>
      <c r="DA38" s="110"/>
      <c r="DB38" s="110"/>
      <c r="DC38" s="110"/>
      <c r="DD38" s="110"/>
      <c r="DE38" s="110"/>
      <c r="DF38" s="110"/>
      <c r="DG38" s="110"/>
      <c r="DH38" s="110"/>
      <c r="DI38" s="110"/>
      <c r="DJ38" s="110"/>
      <c r="DK38" s="110"/>
      <c r="DL38" s="110"/>
      <c r="DM38" s="110"/>
      <c r="DN38" s="110"/>
      <c r="DO38" s="110"/>
      <c r="DP38" s="110"/>
      <c r="DQ38" s="110"/>
      <c r="DR38" s="110"/>
      <c r="DS38" s="110"/>
      <c r="DT38" s="110"/>
      <c r="DU38" s="110"/>
      <c r="DV38" s="110"/>
      <c r="DW38" s="110"/>
      <c r="DX38" s="110"/>
      <c r="DY38" s="110"/>
      <c r="DZ38" s="110"/>
      <c r="EA38" s="110"/>
      <c r="EB38" s="110"/>
      <c r="EC38" s="110"/>
      <c r="ED38" s="110"/>
      <c r="EE38" s="110"/>
      <c r="EF38" s="110"/>
      <c r="EG38" s="110"/>
      <c r="EH38" s="110"/>
      <c r="EI38" s="110"/>
      <c r="EJ38" s="110"/>
      <c r="EK38" s="110"/>
      <c r="EL38" s="110"/>
      <c r="EM38" s="110"/>
      <c r="EN38" s="110"/>
      <c r="EO38" s="110"/>
      <c r="EP38" s="110"/>
      <c r="EQ38" s="110"/>
      <c r="ER38" s="110"/>
      <c r="ES38" s="110"/>
      <c r="ET38" s="110"/>
      <c r="EU38" s="110"/>
      <c r="EV38" s="110"/>
      <c r="EW38" s="110"/>
      <c r="EX38" s="110"/>
      <c r="EY38" s="110"/>
      <c r="EZ38" s="110"/>
      <c r="FA38" s="110"/>
      <c r="FB38" s="110"/>
      <c r="FC38" s="110"/>
      <c r="FD38" s="110"/>
      <c r="FE38" s="110"/>
      <c r="FF38" s="110"/>
      <c r="FG38" s="110"/>
      <c r="FH38" s="110"/>
      <c r="FI38" s="110"/>
      <c r="FJ38" s="110"/>
      <c r="FK38" s="110"/>
      <c r="FL38" s="110"/>
      <c r="FM38" s="110"/>
      <c r="FN38" s="110"/>
      <c r="FO38" s="110"/>
      <c r="FP38" s="110"/>
      <c r="FQ38" s="110"/>
      <c r="FR38" s="110"/>
      <c r="FS38" s="110"/>
      <c r="FT38" s="110">
        <v>323615</v>
      </c>
      <c r="FU38" s="110"/>
      <c r="FV38" s="110"/>
      <c r="FW38" s="110"/>
      <c r="FX38" s="110"/>
      <c r="FY38" s="110"/>
      <c r="FZ38" s="110"/>
      <c r="GA38" s="110"/>
      <c r="GB38" s="110"/>
      <c r="GC38" s="110"/>
      <c r="GD38" s="110"/>
      <c r="GE38" s="110"/>
      <c r="GF38" s="110"/>
      <c r="GG38" s="110"/>
      <c r="GH38" s="110"/>
      <c r="GI38" s="110"/>
      <c r="GJ38" s="110"/>
      <c r="GK38" s="110"/>
      <c r="GL38" s="110"/>
      <c r="GM38" s="110"/>
      <c r="GN38" s="110"/>
      <c r="GO38" s="110"/>
      <c r="GP38" s="110"/>
      <c r="GQ38" s="110"/>
      <c r="GR38" s="110"/>
      <c r="GS38" s="110"/>
      <c r="GT38" s="110"/>
      <c r="GU38" s="110"/>
      <c r="GV38" s="110"/>
      <c r="GW38" s="110"/>
      <c r="GX38" s="110"/>
      <c r="GY38" s="110"/>
      <c r="GZ38" s="110"/>
      <c r="HA38" s="110"/>
      <c r="HB38" s="110"/>
      <c r="HC38" s="110"/>
      <c r="HD38" s="110"/>
      <c r="HE38" s="110"/>
      <c r="HF38" s="110"/>
      <c r="HG38" s="110"/>
      <c r="HH38" s="110"/>
      <c r="HI38" s="110"/>
      <c r="HJ38" s="110"/>
      <c r="HK38" s="110"/>
      <c r="HL38" s="110"/>
      <c r="HM38" s="110"/>
      <c r="HN38" s="110"/>
      <c r="HO38" s="110"/>
      <c r="HP38" s="110"/>
      <c r="HQ38" s="110"/>
      <c r="HR38" s="110"/>
      <c r="HS38" s="110"/>
      <c r="HT38" s="110"/>
      <c r="HU38" s="110"/>
      <c r="HV38" s="110"/>
      <c r="HW38" s="110"/>
      <c r="HX38" s="110"/>
      <c r="HY38" s="110"/>
      <c r="HZ38" s="110"/>
      <c r="IA38" s="110"/>
      <c r="IB38" s="110"/>
      <c r="IC38" s="110"/>
      <c r="ID38" s="110"/>
      <c r="IE38" s="110"/>
      <c r="IF38" s="110"/>
      <c r="IG38" s="110"/>
      <c r="IH38" s="110"/>
      <c r="II38" s="110"/>
      <c r="IJ38" s="110"/>
      <c r="IK38" s="110"/>
      <c r="IL38" s="110"/>
      <c r="IM38" s="110"/>
      <c r="IN38" s="110"/>
      <c r="IO38" s="110"/>
      <c r="IP38" s="110"/>
      <c r="IQ38" s="110"/>
      <c r="IR38" s="110"/>
      <c r="IS38" s="110"/>
      <c r="IT38" s="110"/>
      <c r="IU38" s="110"/>
      <c r="IV38" s="110"/>
      <c r="IW38" s="110"/>
      <c r="IX38" s="110"/>
      <c r="IY38" s="110"/>
      <c r="IZ38" s="110"/>
      <c r="JA38" s="110"/>
      <c r="JB38" s="110"/>
      <c r="JC38" s="110"/>
      <c r="JD38" s="110"/>
      <c r="JE38" s="110"/>
      <c r="JF38" s="110"/>
      <c r="JG38" s="110"/>
      <c r="JH38" s="110"/>
      <c r="JI38" s="107">
        <f t="shared" si="0"/>
        <v>323615</v>
      </c>
      <c r="JJ38" s="297">
        <v>2888</v>
      </c>
      <c r="JK38" s="110"/>
      <c r="JL38" s="112"/>
      <c r="JM38" s="112"/>
      <c r="JN38" s="112"/>
      <c r="JO38" s="112"/>
      <c r="JP38" s="112"/>
    </row>
    <row r="39" spans="1:276" x14ac:dyDescent="0.25">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0"/>
      <c r="CD39" s="110"/>
      <c r="CE39" s="110"/>
      <c r="CF39" s="110"/>
      <c r="CG39" s="110"/>
      <c r="CH39" s="110"/>
      <c r="CI39" s="110"/>
      <c r="CJ39" s="110"/>
      <c r="CK39" s="110"/>
      <c r="CL39" s="110"/>
      <c r="CM39" s="110"/>
      <c r="CN39" s="110"/>
      <c r="CO39" s="110"/>
      <c r="CP39" s="110"/>
      <c r="CQ39" s="110"/>
      <c r="CR39" s="110"/>
      <c r="CS39" s="110"/>
      <c r="CT39" s="110"/>
      <c r="CU39" s="110"/>
      <c r="CV39" s="110"/>
      <c r="CW39" s="110"/>
      <c r="CX39" s="110"/>
      <c r="CY39" s="110"/>
      <c r="CZ39" s="110"/>
      <c r="DA39" s="110"/>
      <c r="DB39" s="110"/>
      <c r="DC39" s="110"/>
      <c r="DD39" s="110"/>
      <c r="DE39" s="110"/>
      <c r="DF39" s="110"/>
      <c r="DG39" s="110"/>
      <c r="DH39" s="110"/>
      <c r="DI39" s="110"/>
      <c r="DJ39" s="110"/>
      <c r="DK39" s="110"/>
      <c r="DL39" s="110"/>
      <c r="DM39" s="110"/>
      <c r="DN39" s="110"/>
      <c r="DO39" s="110"/>
      <c r="DP39" s="110"/>
      <c r="DQ39" s="110"/>
      <c r="DR39" s="110"/>
      <c r="DS39" s="110"/>
      <c r="DT39" s="110"/>
      <c r="DU39" s="110"/>
      <c r="DV39" s="110"/>
      <c r="DW39" s="110"/>
      <c r="DX39" s="110"/>
      <c r="DY39" s="110"/>
      <c r="DZ39" s="110"/>
      <c r="EA39" s="110"/>
      <c r="EB39" s="110"/>
      <c r="EC39" s="110"/>
      <c r="ED39" s="110"/>
      <c r="EE39" s="110"/>
      <c r="EF39" s="110"/>
      <c r="EG39" s="110"/>
      <c r="EH39" s="110"/>
      <c r="EI39" s="110"/>
      <c r="EJ39" s="110"/>
      <c r="EK39" s="110"/>
      <c r="EL39" s="110"/>
      <c r="EM39" s="110"/>
      <c r="EN39" s="110"/>
      <c r="EO39" s="110"/>
      <c r="EP39" s="110"/>
      <c r="EQ39" s="110"/>
      <c r="ER39" s="110"/>
      <c r="ES39" s="110"/>
      <c r="ET39" s="110"/>
      <c r="EU39" s="110"/>
      <c r="EV39" s="110"/>
      <c r="EW39" s="110"/>
      <c r="EX39" s="110"/>
      <c r="EY39" s="110"/>
      <c r="EZ39" s="110"/>
      <c r="FA39" s="110"/>
      <c r="FB39" s="110"/>
      <c r="FC39" s="110"/>
      <c r="FD39" s="110"/>
      <c r="FE39" s="110"/>
      <c r="FF39" s="110"/>
      <c r="FG39" s="110"/>
      <c r="FH39" s="110"/>
      <c r="FI39" s="110"/>
      <c r="FJ39" s="110"/>
      <c r="FK39" s="110"/>
      <c r="FL39" s="110"/>
      <c r="FM39" s="110"/>
      <c r="FN39" s="110"/>
      <c r="FO39" s="110"/>
      <c r="FP39" s="110"/>
      <c r="FQ39" s="110"/>
      <c r="FR39" s="110"/>
      <c r="FS39" s="110"/>
      <c r="FT39" s="110">
        <v>401200</v>
      </c>
      <c r="FU39" s="110"/>
      <c r="FV39" s="110"/>
      <c r="FW39" s="110"/>
      <c r="FX39" s="110"/>
      <c r="FY39" s="110"/>
      <c r="FZ39" s="110"/>
      <c r="GA39" s="110"/>
      <c r="GB39" s="110"/>
      <c r="GC39" s="110"/>
      <c r="GD39" s="110"/>
      <c r="GE39" s="110"/>
      <c r="GF39" s="110"/>
      <c r="GG39" s="110"/>
      <c r="GH39" s="110"/>
      <c r="GI39" s="110"/>
      <c r="GJ39" s="110"/>
      <c r="GK39" s="110"/>
      <c r="GL39" s="110"/>
      <c r="GM39" s="110"/>
      <c r="GN39" s="110"/>
      <c r="GO39" s="110"/>
      <c r="GP39" s="110"/>
      <c r="GQ39" s="110"/>
      <c r="GR39" s="110"/>
      <c r="GS39" s="110"/>
      <c r="GT39" s="110"/>
      <c r="GU39" s="110"/>
      <c r="GV39" s="110"/>
      <c r="GW39" s="110"/>
      <c r="GX39" s="110"/>
      <c r="GY39" s="110"/>
      <c r="GZ39" s="110"/>
      <c r="HA39" s="110"/>
      <c r="HB39" s="110"/>
      <c r="HC39" s="110"/>
      <c r="HD39" s="110"/>
      <c r="HE39" s="110"/>
      <c r="HF39" s="110"/>
      <c r="HG39" s="110"/>
      <c r="HH39" s="110"/>
      <c r="HI39" s="110"/>
      <c r="HJ39" s="110"/>
      <c r="HK39" s="110"/>
      <c r="HL39" s="110"/>
      <c r="HM39" s="110"/>
      <c r="HN39" s="110"/>
      <c r="HO39" s="110"/>
      <c r="HP39" s="110"/>
      <c r="HQ39" s="110"/>
      <c r="HR39" s="110"/>
      <c r="HS39" s="110"/>
      <c r="HT39" s="110"/>
      <c r="HU39" s="110"/>
      <c r="HV39" s="110"/>
      <c r="HW39" s="110"/>
      <c r="HX39" s="110"/>
      <c r="HY39" s="110"/>
      <c r="HZ39" s="110"/>
      <c r="IA39" s="110"/>
      <c r="IB39" s="110"/>
      <c r="IC39" s="110"/>
      <c r="ID39" s="110"/>
      <c r="IE39" s="110"/>
      <c r="IF39" s="110"/>
      <c r="IG39" s="110"/>
      <c r="IH39" s="110"/>
      <c r="II39" s="110"/>
      <c r="IJ39" s="110"/>
      <c r="IK39" s="110"/>
      <c r="IL39" s="110"/>
      <c r="IM39" s="110"/>
      <c r="IN39" s="110"/>
      <c r="IO39" s="110"/>
      <c r="IP39" s="110"/>
      <c r="IQ39" s="110"/>
      <c r="IR39" s="110"/>
      <c r="IS39" s="110"/>
      <c r="IT39" s="110"/>
      <c r="IU39" s="110"/>
      <c r="IV39" s="110"/>
      <c r="IW39" s="110"/>
      <c r="IX39" s="110"/>
      <c r="IY39" s="110"/>
      <c r="IZ39" s="110"/>
      <c r="JA39" s="110"/>
      <c r="JB39" s="110"/>
      <c r="JC39" s="110"/>
      <c r="JD39" s="110"/>
      <c r="JE39" s="110"/>
      <c r="JF39" s="110"/>
      <c r="JG39" s="110"/>
      <c r="JH39" s="110"/>
      <c r="JI39" s="107">
        <f t="shared" si="0"/>
        <v>401200</v>
      </c>
      <c r="JJ39" s="297">
        <v>2892</v>
      </c>
      <c r="JK39" s="110"/>
      <c r="JL39" s="112"/>
      <c r="JM39" s="112"/>
      <c r="JN39" s="112"/>
      <c r="JO39" s="112"/>
      <c r="JP39" s="112"/>
    </row>
    <row r="40" spans="1:276" x14ac:dyDescent="0.25">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0"/>
      <c r="CD40" s="110"/>
      <c r="CE40" s="110"/>
      <c r="CF40" s="110"/>
      <c r="CG40" s="110"/>
      <c r="CH40" s="110"/>
      <c r="CI40" s="110"/>
      <c r="CJ40" s="110"/>
      <c r="CK40" s="110"/>
      <c r="CL40" s="110"/>
      <c r="CM40" s="110"/>
      <c r="CN40" s="110"/>
      <c r="CO40" s="110"/>
      <c r="CP40" s="110"/>
      <c r="CQ40" s="110"/>
      <c r="CR40" s="110"/>
      <c r="CS40" s="110"/>
      <c r="CT40" s="110"/>
      <c r="CU40" s="110"/>
      <c r="CV40" s="110"/>
      <c r="CW40" s="110"/>
      <c r="CX40" s="110"/>
      <c r="CY40" s="110"/>
      <c r="CZ40" s="110"/>
      <c r="DA40" s="110"/>
      <c r="DB40" s="110"/>
      <c r="DC40" s="110"/>
      <c r="DD40" s="110"/>
      <c r="DE40" s="110"/>
      <c r="DF40" s="110"/>
      <c r="DG40" s="110"/>
      <c r="DH40" s="110"/>
      <c r="DI40" s="110"/>
      <c r="DJ40" s="110"/>
      <c r="DK40" s="110"/>
      <c r="DL40" s="110"/>
      <c r="DM40" s="110"/>
      <c r="DN40" s="110"/>
      <c r="DO40" s="110"/>
      <c r="DP40" s="110"/>
      <c r="DQ40" s="110"/>
      <c r="DR40" s="110"/>
      <c r="DS40" s="110"/>
      <c r="DT40" s="110"/>
      <c r="DU40" s="110"/>
      <c r="DV40" s="110"/>
      <c r="DW40" s="110"/>
      <c r="DX40" s="110"/>
      <c r="DY40" s="110"/>
      <c r="DZ40" s="110"/>
      <c r="EA40" s="110">
        <v>1105000</v>
      </c>
      <c r="EB40" s="110"/>
      <c r="EC40" s="110"/>
      <c r="ED40" s="110"/>
      <c r="EE40" s="110"/>
      <c r="EF40" s="110"/>
      <c r="EG40" s="110"/>
      <c r="EH40" s="110"/>
      <c r="EI40" s="110"/>
      <c r="EJ40" s="110"/>
      <c r="EK40" s="110"/>
      <c r="EL40" s="110"/>
      <c r="EM40" s="110"/>
      <c r="EN40" s="110"/>
      <c r="EO40" s="110"/>
      <c r="EP40" s="110"/>
      <c r="EQ40" s="110"/>
      <c r="ER40" s="110"/>
      <c r="ES40" s="110"/>
      <c r="ET40" s="110"/>
      <c r="EU40" s="110"/>
      <c r="EV40" s="110"/>
      <c r="EW40" s="110"/>
      <c r="EX40" s="110"/>
      <c r="EY40" s="110"/>
      <c r="EZ40" s="110"/>
      <c r="FA40" s="110"/>
      <c r="FB40" s="110"/>
      <c r="FC40" s="110"/>
      <c r="FD40" s="110"/>
      <c r="FE40" s="110"/>
      <c r="FF40" s="110"/>
      <c r="FG40" s="110"/>
      <c r="FH40" s="110"/>
      <c r="FI40" s="110"/>
      <c r="FJ40" s="110"/>
      <c r="FK40" s="110"/>
      <c r="FL40" s="110"/>
      <c r="FM40" s="110"/>
      <c r="FN40" s="110"/>
      <c r="FO40" s="110"/>
      <c r="FP40" s="110"/>
      <c r="FQ40" s="110"/>
      <c r="FR40" s="110"/>
      <c r="FS40" s="110"/>
      <c r="FT40" s="110"/>
      <c r="FU40" s="110"/>
      <c r="FV40" s="110"/>
      <c r="FW40" s="110"/>
      <c r="FX40" s="110"/>
      <c r="FY40" s="110"/>
      <c r="FZ40" s="110"/>
      <c r="GA40" s="110"/>
      <c r="GB40" s="110"/>
      <c r="GC40" s="110"/>
      <c r="GD40" s="110"/>
      <c r="GE40" s="110"/>
      <c r="GF40" s="110"/>
      <c r="GG40" s="110"/>
      <c r="GH40" s="110"/>
      <c r="GI40" s="110"/>
      <c r="GJ40" s="110"/>
      <c r="GK40" s="110"/>
      <c r="GL40" s="110"/>
      <c r="GM40" s="110"/>
      <c r="GN40" s="110"/>
      <c r="GO40" s="110"/>
      <c r="GP40" s="110"/>
      <c r="GQ40" s="110"/>
      <c r="GR40" s="110"/>
      <c r="GS40" s="110"/>
      <c r="GT40" s="110"/>
      <c r="GU40" s="110"/>
      <c r="GV40" s="110"/>
      <c r="GW40" s="110"/>
      <c r="GX40" s="110"/>
      <c r="GY40" s="110"/>
      <c r="GZ40" s="110"/>
      <c r="HA40" s="110"/>
      <c r="HB40" s="110"/>
      <c r="HC40" s="110"/>
      <c r="HD40" s="110"/>
      <c r="HE40" s="110"/>
      <c r="HF40" s="110"/>
      <c r="HG40" s="110"/>
      <c r="HH40" s="110"/>
      <c r="HI40" s="110"/>
      <c r="HJ40" s="110"/>
      <c r="HK40" s="110"/>
      <c r="HL40" s="110"/>
      <c r="HM40" s="110"/>
      <c r="HN40" s="110"/>
      <c r="HO40" s="110"/>
      <c r="HP40" s="110"/>
      <c r="HQ40" s="110"/>
      <c r="HR40" s="110"/>
      <c r="HS40" s="110"/>
      <c r="HT40" s="110"/>
      <c r="HU40" s="110"/>
      <c r="HV40" s="110"/>
      <c r="HW40" s="110"/>
      <c r="HX40" s="110"/>
      <c r="HY40" s="110"/>
      <c r="HZ40" s="110"/>
      <c r="IA40" s="110"/>
      <c r="IB40" s="110"/>
      <c r="IC40" s="110"/>
      <c r="ID40" s="110"/>
      <c r="IE40" s="110"/>
      <c r="IF40" s="110"/>
      <c r="IG40" s="110"/>
      <c r="IH40" s="110"/>
      <c r="II40" s="110"/>
      <c r="IJ40" s="110"/>
      <c r="IK40" s="110"/>
      <c r="IL40" s="110"/>
      <c r="IM40" s="110"/>
      <c r="IN40" s="110"/>
      <c r="IO40" s="110"/>
      <c r="IP40" s="110"/>
      <c r="IQ40" s="110"/>
      <c r="IR40" s="110"/>
      <c r="IS40" s="110"/>
      <c r="IT40" s="110"/>
      <c r="IU40" s="110"/>
      <c r="IV40" s="110"/>
      <c r="IW40" s="110"/>
      <c r="IX40" s="110"/>
      <c r="IY40" s="110"/>
      <c r="IZ40" s="110"/>
      <c r="JA40" s="110"/>
      <c r="JB40" s="110"/>
      <c r="JC40" s="110"/>
      <c r="JD40" s="110"/>
      <c r="JE40" s="110"/>
      <c r="JF40" s="110"/>
      <c r="JG40" s="110"/>
      <c r="JH40" s="110"/>
      <c r="JI40" s="107">
        <f t="shared" ref="JI40:JI96" si="1">SUM(A40:JH40)</f>
        <v>1105000</v>
      </c>
      <c r="JJ40" s="297">
        <v>2900</v>
      </c>
      <c r="JK40" s="110"/>
      <c r="JL40" s="112"/>
      <c r="JM40" s="112"/>
      <c r="JN40" s="112"/>
      <c r="JO40" s="112"/>
      <c r="JP40" s="112"/>
    </row>
    <row r="41" spans="1:276" x14ac:dyDescent="0.25">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c r="CG41" s="110"/>
      <c r="CH41" s="110"/>
      <c r="CI41" s="110"/>
      <c r="CJ41" s="110"/>
      <c r="CK41" s="110"/>
      <c r="CL41" s="110"/>
      <c r="CM41" s="110"/>
      <c r="CN41" s="110"/>
      <c r="CO41" s="110"/>
      <c r="CP41" s="110"/>
      <c r="CQ41" s="110"/>
      <c r="CR41" s="110"/>
      <c r="CS41" s="110"/>
      <c r="CT41" s="110"/>
      <c r="CU41" s="110"/>
      <c r="CV41" s="110"/>
      <c r="CW41" s="110"/>
      <c r="CX41" s="110"/>
      <c r="CY41" s="110"/>
      <c r="CZ41" s="110"/>
      <c r="DA41" s="110"/>
      <c r="DB41" s="110"/>
      <c r="DC41" s="110"/>
      <c r="DD41" s="110"/>
      <c r="DE41" s="110"/>
      <c r="DF41" s="110"/>
      <c r="DG41" s="110"/>
      <c r="DH41" s="110"/>
      <c r="DI41" s="110"/>
      <c r="DJ41" s="110"/>
      <c r="DK41" s="110"/>
      <c r="DL41" s="110"/>
      <c r="DM41" s="110"/>
      <c r="DN41" s="110"/>
      <c r="DO41" s="110"/>
      <c r="DP41" s="110"/>
      <c r="DQ41" s="110"/>
      <c r="DR41" s="110"/>
      <c r="DS41" s="110"/>
      <c r="DT41" s="110"/>
      <c r="DU41" s="110"/>
      <c r="DV41" s="110"/>
      <c r="DW41" s="110"/>
      <c r="DX41" s="110"/>
      <c r="DY41" s="110"/>
      <c r="DZ41" s="110"/>
      <c r="EA41" s="110">
        <v>197000</v>
      </c>
      <c r="EB41" s="110"/>
      <c r="EC41" s="110"/>
      <c r="ED41" s="110"/>
      <c r="EE41" s="110"/>
      <c r="EF41" s="110"/>
      <c r="EG41" s="110"/>
      <c r="EH41" s="110"/>
      <c r="EI41" s="110"/>
      <c r="EJ41" s="110"/>
      <c r="EK41" s="110"/>
      <c r="EL41" s="110"/>
      <c r="EM41" s="110"/>
      <c r="EN41" s="110"/>
      <c r="EO41" s="110"/>
      <c r="EP41" s="110"/>
      <c r="EQ41" s="110"/>
      <c r="ER41" s="110"/>
      <c r="ES41" s="110"/>
      <c r="ET41" s="110"/>
      <c r="EU41" s="110"/>
      <c r="EV41" s="110"/>
      <c r="EW41" s="110"/>
      <c r="EX41" s="110"/>
      <c r="EY41" s="110"/>
      <c r="EZ41" s="110"/>
      <c r="FA41" s="110"/>
      <c r="FB41" s="110"/>
      <c r="FC41" s="110"/>
      <c r="FD41" s="110"/>
      <c r="FE41" s="110"/>
      <c r="FF41" s="110"/>
      <c r="FG41" s="110"/>
      <c r="FH41" s="110"/>
      <c r="FI41" s="110"/>
      <c r="FJ41" s="110"/>
      <c r="FK41" s="110"/>
      <c r="FL41" s="110"/>
      <c r="FM41" s="110"/>
      <c r="FN41" s="110"/>
      <c r="FO41" s="110"/>
      <c r="FP41" s="110"/>
      <c r="FQ41" s="110"/>
      <c r="FR41" s="110"/>
      <c r="FS41" s="110"/>
      <c r="FT41" s="110"/>
      <c r="FU41" s="110"/>
      <c r="FV41" s="110"/>
      <c r="FW41" s="110"/>
      <c r="FX41" s="110"/>
      <c r="FY41" s="110"/>
      <c r="FZ41" s="110"/>
      <c r="GA41" s="110"/>
      <c r="GB41" s="110"/>
      <c r="GC41" s="110"/>
      <c r="GD41" s="110"/>
      <c r="GE41" s="110"/>
      <c r="GF41" s="110"/>
      <c r="GG41" s="110"/>
      <c r="GH41" s="110"/>
      <c r="GI41" s="110"/>
      <c r="GJ41" s="110"/>
      <c r="GK41" s="110"/>
      <c r="GL41" s="110"/>
      <c r="GM41" s="110"/>
      <c r="GN41" s="110"/>
      <c r="GO41" s="110"/>
      <c r="GP41" s="110"/>
      <c r="GQ41" s="110"/>
      <c r="GR41" s="110"/>
      <c r="GS41" s="110"/>
      <c r="GT41" s="110"/>
      <c r="GU41" s="110"/>
      <c r="GV41" s="110"/>
      <c r="GW41" s="110"/>
      <c r="GX41" s="110"/>
      <c r="GY41" s="110"/>
      <c r="GZ41" s="110"/>
      <c r="HA41" s="110"/>
      <c r="HB41" s="110"/>
      <c r="HC41" s="110"/>
      <c r="HD41" s="110"/>
      <c r="HE41" s="110"/>
      <c r="HF41" s="110"/>
      <c r="HG41" s="110"/>
      <c r="HH41" s="110"/>
      <c r="HI41" s="110"/>
      <c r="HJ41" s="110"/>
      <c r="HK41" s="110"/>
      <c r="HL41" s="110"/>
      <c r="HM41" s="110"/>
      <c r="HN41" s="110"/>
      <c r="HO41" s="110"/>
      <c r="HP41" s="110"/>
      <c r="HQ41" s="110"/>
      <c r="HR41" s="110"/>
      <c r="HS41" s="110"/>
      <c r="HT41" s="110"/>
      <c r="HU41" s="110"/>
      <c r="HV41" s="110"/>
      <c r="HW41" s="110"/>
      <c r="HX41" s="110"/>
      <c r="HY41" s="110"/>
      <c r="HZ41" s="110"/>
      <c r="IA41" s="110"/>
      <c r="IB41" s="110"/>
      <c r="IC41" s="110"/>
      <c r="ID41" s="110"/>
      <c r="IE41" s="110"/>
      <c r="IF41" s="110"/>
      <c r="IG41" s="110"/>
      <c r="IH41" s="110"/>
      <c r="II41" s="110"/>
      <c r="IJ41" s="110"/>
      <c r="IK41" s="110"/>
      <c r="IL41" s="110"/>
      <c r="IM41" s="110"/>
      <c r="IN41" s="110"/>
      <c r="IO41" s="110"/>
      <c r="IP41" s="110"/>
      <c r="IQ41" s="110"/>
      <c r="IR41" s="110"/>
      <c r="IS41" s="110"/>
      <c r="IT41" s="110"/>
      <c r="IU41" s="110"/>
      <c r="IV41" s="110"/>
      <c r="IW41" s="110"/>
      <c r="IX41" s="110"/>
      <c r="IY41" s="110"/>
      <c r="IZ41" s="110"/>
      <c r="JA41" s="110"/>
      <c r="JB41" s="110"/>
      <c r="JC41" s="110"/>
      <c r="JD41" s="110"/>
      <c r="JE41" s="110"/>
      <c r="JF41" s="110"/>
      <c r="JG41" s="110"/>
      <c r="JH41" s="110"/>
      <c r="JI41" s="107">
        <f t="shared" si="1"/>
        <v>197000</v>
      </c>
      <c r="JJ41" s="297">
        <v>2905</v>
      </c>
      <c r="JK41" s="110"/>
      <c r="JL41" s="112"/>
      <c r="JM41" s="112"/>
      <c r="JN41" s="112"/>
      <c r="JO41" s="112"/>
      <c r="JP41" s="112"/>
    </row>
    <row r="42" spans="1:276" x14ac:dyDescent="0.25">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c r="CP42" s="110"/>
      <c r="CQ42" s="110"/>
      <c r="CR42" s="110"/>
      <c r="CS42" s="110"/>
      <c r="CT42" s="110"/>
      <c r="CU42" s="110"/>
      <c r="CV42" s="110"/>
      <c r="CW42" s="110"/>
      <c r="CX42" s="110"/>
      <c r="CY42" s="110"/>
      <c r="CZ42" s="110"/>
      <c r="DA42" s="110"/>
      <c r="DB42" s="110"/>
      <c r="DC42" s="110"/>
      <c r="DD42" s="110"/>
      <c r="DE42" s="110"/>
      <c r="DF42" s="110"/>
      <c r="DG42" s="110"/>
      <c r="DH42" s="110"/>
      <c r="DI42" s="110"/>
      <c r="DJ42" s="110"/>
      <c r="DK42" s="110"/>
      <c r="DL42" s="110"/>
      <c r="DM42" s="110"/>
      <c r="DN42" s="110"/>
      <c r="DO42" s="110"/>
      <c r="DP42" s="110"/>
      <c r="DQ42" s="110"/>
      <c r="DR42" s="110"/>
      <c r="DS42" s="110"/>
      <c r="DT42" s="110"/>
      <c r="DU42" s="110"/>
      <c r="DV42" s="110"/>
      <c r="DW42" s="110"/>
      <c r="DX42" s="110"/>
      <c r="DY42" s="110"/>
      <c r="DZ42" s="110"/>
      <c r="EA42" s="110">
        <v>270000</v>
      </c>
      <c r="EB42" s="110"/>
      <c r="EC42" s="110"/>
      <c r="ED42" s="110"/>
      <c r="EE42" s="110"/>
      <c r="EF42" s="110"/>
      <c r="EG42" s="110"/>
      <c r="EH42" s="110"/>
      <c r="EI42" s="110"/>
      <c r="EJ42" s="110"/>
      <c r="EK42" s="110"/>
      <c r="EL42" s="110"/>
      <c r="EM42" s="110"/>
      <c r="EN42" s="110"/>
      <c r="EO42" s="110"/>
      <c r="EP42" s="110"/>
      <c r="EQ42" s="110"/>
      <c r="ER42" s="110"/>
      <c r="ES42" s="110"/>
      <c r="ET42" s="110"/>
      <c r="EU42" s="110"/>
      <c r="EV42" s="110"/>
      <c r="EW42" s="110"/>
      <c r="EX42" s="110"/>
      <c r="EY42" s="110"/>
      <c r="EZ42" s="110"/>
      <c r="FA42" s="110"/>
      <c r="FB42" s="110"/>
      <c r="FC42" s="110"/>
      <c r="FD42" s="110"/>
      <c r="FE42" s="110"/>
      <c r="FF42" s="110"/>
      <c r="FG42" s="110"/>
      <c r="FH42" s="110"/>
      <c r="FI42" s="110"/>
      <c r="FJ42" s="110"/>
      <c r="FK42" s="110"/>
      <c r="FL42" s="110"/>
      <c r="FM42" s="110"/>
      <c r="FN42" s="110"/>
      <c r="FO42" s="110"/>
      <c r="FP42" s="110"/>
      <c r="FQ42" s="110"/>
      <c r="FR42" s="110"/>
      <c r="FS42" s="110"/>
      <c r="FT42" s="110"/>
      <c r="FU42" s="110"/>
      <c r="FV42" s="110"/>
      <c r="FW42" s="110"/>
      <c r="FX42" s="110"/>
      <c r="FY42" s="110"/>
      <c r="FZ42" s="110"/>
      <c r="GA42" s="110"/>
      <c r="GB42" s="110"/>
      <c r="GC42" s="110"/>
      <c r="GD42" s="110"/>
      <c r="GE42" s="110"/>
      <c r="GF42" s="110"/>
      <c r="GG42" s="110"/>
      <c r="GH42" s="110"/>
      <c r="GI42" s="110"/>
      <c r="GJ42" s="110"/>
      <c r="GK42" s="110"/>
      <c r="GL42" s="110"/>
      <c r="GM42" s="110"/>
      <c r="GN42" s="110"/>
      <c r="GO42" s="110"/>
      <c r="GP42" s="110"/>
      <c r="GQ42" s="110"/>
      <c r="GR42" s="110"/>
      <c r="GS42" s="110"/>
      <c r="GT42" s="110"/>
      <c r="GU42" s="110"/>
      <c r="GV42" s="110"/>
      <c r="GW42" s="110"/>
      <c r="GX42" s="110"/>
      <c r="GY42" s="110"/>
      <c r="GZ42" s="110"/>
      <c r="HA42" s="110"/>
      <c r="HB42" s="110"/>
      <c r="HC42" s="110"/>
      <c r="HD42" s="110"/>
      <c r="HE42" s="110"/>
      <c r="HF42" s="110"/>
      <c r="HG42" s="110"/>
      <c r="HH42" s="110"/>
      <c r="HI42" s="110"/>
      <c r="HJ42" s="110"/>
      <c r="HK42" s="110"/>
      <c r="HL42" s="110"/>
      <c r="HM42" s="110"/>
      <c r="HN42" s="110"/>
      <c r="HO42" s="110"/>
      <c r="HP42" s="110"/>
      <c r="HQ42" s="110"/>
      <c r="HR42" s="110"/>
      <c r="HS42" s="110"/>
      <c r="HT42" s="110"/>
      <c r="HU42" s="110"/>
      <c r="HV42" s="110"/>
      <c r="HW42" s="110"/>
      <c r="HX42" s="110"/>
      <c r="HY42" s="110"/>
      <c r="HZ42" s="110"/>
      <c r="IA42" s="110"/>
      <c r="IB42" s="110"/>
      <c r="IC42" s="110"/>
      <c r="ID42" s="110"/>
      <c r="IE42" s="110"/>
      <c r="IF42" s="110"/>
      <c r="IG42" s="110"/>
      <c r="IH42" s="110"/>
      <c r="II42" s="110"/>
      <c r="IJ42" s="110"/>
      <c r="IK42" s="110"/>
      <c r="IL42" s="110"/>
      <c r="IM42" s="110"/>
      <c r="IN42" s="110"/>
      <c r="IO42" s="110"/>
      <c r="IP42" s="110"/>
      <c r="IQ42" s="110"/>
      <c r="IR42" s="110"/>
      <c r="IS42" s="110"/>
      <c r="IT42" s="110"/>
      <c r="IU42" s="110"/>
      <c r="IV42" s="110"/>
      <c r="IW42" s="110"/>
      <c r="IX42" s="110"/>
      <c r="IY42" s="110"/>
      <c r="IZ42" s="110"/>
      <c r="JA42" s="110"/>
      <c r="JB42" s="110"/>
      <c r="JC42" s="110"/>
      <c r="JD42" s="110"/>
      <c r="JE42" s="110"/>
      <c r="JF42" s="110"/>
      <c r="JG42" s="110"/>
      <c r="JH42" s="110"/>
      <c r="JI42" s="107">
        <f t="shared" si="1"/>
        <v>270000</v>
      </c>
      <c r="JJ42" s="297">
        <v>2909</v>
      </c>
      <c r="JK42" s="110"/>
      <c r="JL42" s="112"/>
      <c r="JM42" s="112"/>
      <c r="JN42" s="112"/>
      <c r="JO42" s="112"/>
      <c r="JP42" s="112"/>
    </row>
    <row r="43" spans="1:276" x14ac:dyDescent="0.25">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c r="CG43" s="110"/>
      <c r="CH43" s="110"/>
      <c r="CI43" s="110"/>
      <c r="CJ43" s="110"/>
      <c r="CK43" s="110"/>
      <c r="CL43" s="110"/>
      <c r="CM43" s="110"/>
      <c r="CN43" s="110"/>
      <c r="CO43" s="110"/>
      <c r="CP43" s="110"/>
      <c r="CQ43" s="110"/>
      <c r="CR43" s="110"/>
      <c r="CS43" s="110"/>
      <c r="CT43" s="110"/>
      <c r="CU43" s="110"/>
      <c r="CV43" s="110"/>
      <c r="CW43" s="110"/>
      <c r="CX43" s="110"/>
      <c r="CY43" s="110"/>
      <c r="CZ43" s="110"/>
      <c r="DA43" s="110"/>
      <c r="DB43" s="110"/>
      <c r="DC43" s="110"/>
      <c r="DD43" s="110"/>
      <c r="DE43" s="110"/>
      <c r="DF43" s="110"/>
      <c r="DG43" s="110"/>
      <c r="DH43" s="110"/>
      <c r="DI43" s="110"/>
      <c r="DJ43" s="110"/>
      <c r="DK43" s="110"/>
      <c r="DL43" s="110"/>
      <c r="DM43" s="110"/>
      <c r="DN43" s="110"/>
      <c r="DO43" s="110"/>
      <c r="DP43" s="110"/>
      <c r="DQ43" s="110"/>
      <c r="DR43" s="110"/>
      <c r="DS43" s="110"/>
      <c r="DT43" s="110"/>
      <c r="DU43" s="110"/>
      <c r="DV43" s="110"/>
      <c r="DW43" s="110"/>
      <c r="DX43" s="110"/>
      <c r="DY43" s="110"/>
      <c r="DZ43" s="110"/>
      <c r="EA43" s="110">
        <v>240000</v>
      </c>
      <c r="EB43" s="110"/>
      <c r="EC43" s="110"/>
      <c r="ED43" s="110"/>
      <c r="EE43" s="110"/>
      <c r="EF43" s="110"/>
      <c r="EG43" s="110"/>
      <c r="EH43" s="110"/>
      <c r="EI43" s="110"/>
      <c r="EJ43" s="110"/>
      <c r="EK43" s="110"/>
      <c r="EL43" s="110"/>
      <c r="EM43" s="110"/>
      <c r="EN43" s="110"/>
      <c r="EO43" s="110"/>
      <c r="EP43" s="110"/>
      <c r="EQ43" s="110"/>
      <c r="ER43" s="110"/>
      <c r="ES43" s="110"/>
      <c r="ET43" s="110"/>
      <c r="EU43" s="110"/>
      <c r="EV43" s="110"/>
      <c r="EW43" s="110"/>
      <c r="EX43" s="110"/>
      <c r="EY43" s="110"/>
      <c r="EZ43" s="110"/>
      <c r="FA43" s="110"/>
      <c r="FB43" s="110"/>
      <c r="FC43" s="110"/>
      <c r="FD43" s="110"/>
      <c r="FE43" s="110"/>
      <c r="FF43" s="110"/>
      <c r="FG43" s="110"/>
      <c r="FH43" s="110"/>
      <c r="FI43" s="110"/>
      <c r="FJ43" s="110"/>
      <c r="FK43" s="110"/>
      <c r="FL43" s="110"/>
      <c r="FM43" s="110"/>
      <c r="FN43" s="110"/>
      <c r="FO43" s="110"/>
      <c r="FP43" s="110"/>
      <c r="FQ43" s="110"/>
      <c r="FR43" s="110"/>
      <c r="FS43" s="110"/>
      <c r="FT43" s="110"/>
      <c r="FU43" s="110"/>
      <c r="FV43" s="110"/>
      <c r="FW43" s="110"/>
      <c r="FX43" s="110"/>
      <c r="FY43" s="110"/>
      <c r="FZ43" s="110"/>
      <c r="GA43" s="110"/>
      <c r="GB43" s="110"/>
      <c r="GC43" s="110"/>
      <c r="GD43" s="110"/>
      <c r="GE43" s="110"/>
      <c r="GF43" s="110"/>
      <c r="GG43" s="110"/>
      <c r="GH43" s="110"/>
      <c r="GI43" s="110"/>
      <c r="GJ43" s="110"/>
      <c r="GK43" s="110"/>
      <c r="GL43" s="110"/>
      <c r="GM43" s="110"/>
      <c r="GN43" s="110"/>
      <c r="GO43" s="110"/>
      <c r="GP43" s="110"/>
      <c r="GQ43" s="110"/>
      <c r="GR43" s="110"/>
      <c r="GS43" s="110"/>
      <c r="GT43" s="110"/>
      <c r="GU43" s="110"/>
      <c r="GV43" s="110"/>
      <c r="GW43" s="110"/>
      <c r="GX43" s="110"/>
      <c r="GY43" s="110"/>
      <c r="GZ43" s="110"/>
      <c r="HA43" s="110"/>
      <c r="HB43" s="110"/>
      <c r="HC43" s="110"/>
      <c r="HD43" s="110"/>
      <c r="HE43" s="110"/>
      <c r="HF43" s="110"/>
      <c r="HG43" s="110"/>
      <c r="HH43" s="110"/>
      <c r="HI43" s="110"/>
      <c r="HJ43" s="110"/>
      <c r="HK43" s="110"/>
      <c r="HL43" s="110"/>
      <c r="HM43" s="110"/>
      <c r="HN43" s="110"/>
      <c r="HO43" s="110"/>
      <c r="HP43" s="110"/>
      <c r="HQ43" s="110"/>
      <c r="HR43" s="110"/>
      <c r="HS43" s="110"/>
      <c r="HT43" s="110"/>
      <c r="HU43" s="110"/>
      <c r="HV43" s="110"/>
      <c r="HW43" s="110"/>
      <c r="HX43" s="110"/>
      <c r="HY43" s="110"/>
      <c r="HZ43" s="110"/>
      <c r="IA43" s="110"/>
      <c r="IB43" s="110"/>
      <c r="IC43" s="110"/>
      <c r="ID43" s="110"/>
      <c r="IE43" s="110"/>
      <c r="IF43" s="110"/>
      <c r="IG43" s="110"/>
      <c r="IH43" s="110"/>
      <c r="II43" s="110"/>
      <c r="IJ43" s="110"/>
      <c r="IK43" s="110"/>
      <c r="IL43" s="110"/>
      <c r="IM43" s="110"/>
      <c r="IN43" s="110"/>
      <c r="IO43" s="110"/>
      <c r="IP43" s="110"/>
      <c r="IQ43" s="110"/>
      <c r="IR43" s="110"/>
      <c r="IS43" s="110"/>
      <c r="IT43" s="110"/>
      <c r="IU43" s="110"/>
      <c r="IV43" s="110"/>
      <c r="IW43" s="110"/>
      <c r="IX43" s="110"/>
      <c r="IY43" s="110"/>
      <c r="IZ43" s="110"/>
      <c r="JA43" s="110"/>
      <c r="JB43" s="110"/>
      <c r="JC43" s="110"/>
      <c r="JD43" s="110"/>
      <c r="JE43" s="110"/>
      <c r="JF43" s="110"/>
      <c r="JG43" s="110"/>
      <c r="JH43" s="110"/>
      <c r="JI43" s="107">
        <f t="shared" si="1"/>
        <v>240000</v>
      </c>
      <c r="JJ43" s="297">
        <v>2913</v>
      </c>
      <c r="JK43" s="110"/>
      <c r="JL43" s="112"/>
      <c r="JM43" s="112"/>
      <c r="JN43" s="112"/>
      <c r="JO43" s="112"/>
      <c r="JP43" s="112"/>
    </row>
    <row r="44" spans="1:276" x14ac:dyDescent="0.25">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c r="CH44" s="110"/>
      <c r="CI44" s="110"/>
      <c r="CJ44" s="110"/>
      <c r="CK44" s="110"/>
      <c r="CL44" s="110"/>
      <c r="CM44" s="110"/>
      <c r="CN44" s="110"/>
      <c r="CO44" s="110"/>
      <c r="CP44" s="110"/>
      <c r="CQ44" s="110"/>
      <c r="CR44" s="110"/>
      <c r="CS44" s="110"/>
      <c r="CT44" s="110"/>
      <c r="CU44" s="110"/>
      <c r="CV44" s="110"/>
      <c r="CW44" s="110"/>
      <c r="CX44" s="110"/>
      <c r="CY44" s="110"/>
      <c r="CZ44" s="110"/>
      <c r="DA44" s="110"/>
      <c r="DB44" s="110"/>
      <c r="DC44" s="110"/>
      <c r="DD44" s="110"/>
      <c r="DE44" s="110"/>
      <c r="DF44" s="110"/>
      <c r="DG44" s="110"/>
      <c r="DH44" s="110"/>
      <c r="DI44" s="110"/>
      <c r="DJ44" s="110"/>
      <c r="DK44" s="110"/>
      <c r="DL44" s="110"/>
      <c r="DM44" s="110"/>
      <c r="DN44" s="110"/>
      <c r="DO44" s="110"/>
      <c r="DP44" s="110"/>
      <c r="DQ44" s="110"/>
      <c r="DR44" s="110"/>
      <c r="DS44" s="110"/>
      <c r="DT44" s="110"/>
      <c r="DU44" s="110"/>
      <c r="DV44" s="110"/>
      <c r="DW44" s="110"/>
      <c r="DX44" s="110"/>
      <c r="DY44" s="110"/>
      <c r="DZ44" s="110"/>
      <c r="EA44" s="110">
        <v>180000</v>
      </c>
      <c r="EB44" s="110"/>
      <c r="EC44" s="110"/>
      <c r="ED44" s="110"/>
      <c r="EE44" s="110"/>
      <c r="EF44" s="110"/>
      <c r="EG44" s="110"/>
      <c r="EH44" s="110"/>
      <c r="EI44" s="110"/>
      <c r="EJ44" s="110"/>
      <c r="EK44" s="110"/>
      <c r="EL44" s="110"/>
      <c r="EM44" s="110"/>
      <c r="EN44" s="110"/>
      <c r="EO44" s="110"/>
      <c r="EP44" s="110"/>
      <c r="EQ44" s="110"/>
      <c r="ER44" s="110"/>
      <c r="ES44" s="110"/>
      <c r="ET44" s="110"/>
      <c r="EU44" s="110"/>
      <c r="EV44" s="110"/>
      <c r="EW44" s="110"/>
      <c r="EX44" s="110"/>
      <c r="EY44" s="110"/>
      <c r="EZ44" s="110"/>
      <c r="FA44" s="110"/>
      <c r="FB44" s="110"/>
      <c r="FC44" s="110"/>
      <c r="FD44" s="110"/>
      <c r="FE44" s="110"/>
      <c r="FF44" s="110"/>
      <c r="FG44" s="110"/>
      <c r="FH44" s="110"/>
      <c r="FI44" s="110"/>
      <c r="FJ44" s="110"/>
      <c r="FK44" s="110"/>
      <c r="FL44" s="110"/>
      <c r="FM44" s="110"/>
      <c r="FN44" s="110"/>
      <c r="FO44" s="110"/>
      <c r="FP44" s="110"/>
      <c r="FQ44" s="110"/>
      <c r="FR44" s="110"/>
      <c r="FS44" s="110"/>
      <c r="FT44" s="110"/>
      <c r="FU44" s="110"/>
      <c r="FV44" s="110"/>
      <c r="FW44" s="110"/>
      <c r="FX44" s="110"/>
      <c r="FY44" s="110"/>
      <c r="FZ44" s="110"/>
      <c r="GA44" s="110"/>
      <c r="GB44" s="110"/>
      <c r="GC44" s="110"/>
      <c r="GD44" s="110"/>
      <c r="GE44" s="110"/>
      <c r="GF44" s="110"/>
      <c r="GG44" s="110"/>
      <c r="GH44" s="110"/>
      <c r="GI44" s="110"/>
      <c r="GJ44" s="110"/>
      <c r="GK44" s="110"/>
      <c r="GL44" s="110"/>
      <c r="GM44" s="110"/>
      <c r="GN44" s="110"/>
      <c r="GO44" s="110"/>
      <c r="GP44" s="110"/>
      <c r="GQ44" s="110"/>
      <c r="GR44" s="110"/>
      <c r="GS44" s="110"/>
      <c r="GT44" s="110"/>
      <c r="GU44" s="110"/>
      <c r="GV44" s="110"/>
      <c r="GW44" s="110"/>
      <c r="GX44" s="110"/>
      <c r="GY44" s="110"/>
      <c r="GZ44" s="110"/>
      <c r="HA44" s="110"/>
      <c r="HB44" s="110"/>
      <c r="HC44" s="110"/>
      <c r="HD44" s="110"/>
      <c r="HE44" s="110"/>
      <c r="HF44" s="110"/>
      <c r="HG44" s="110"/>
      <c r="HH44" s="110"/>
      <c r="HI44" s="110"/>
      <c r="HJ44" s="110"/>
      <c r="HK44" s="110"/>
      <c r="HL44" s="110"/>
      <c r="HM44" s="110"/>
      <c r="HN44" s="110"/>
      <c r="HO44" s="110"/>
      <c r="HP44" s="110"/>
      <c r="HQ44" s="110"/>
      <c r="HR44" s="110"/>
      <c r="HS44" s="110"/>
      <c r="HT44" s="110"/>
      <c r="HU44" s="110"/>
      <c r="HV44" s="110"/>
      <c r="HW44" s="110"/>
      <c r="HX44" s="110"/>
      <c r="HY44" s="110"/>
      <c r="HZ44" s="110"/>
      <c r="IA44" s="110"/>
      <c r="IB44" s="110"/>
      <c r="IC44" s="110"/>
      <c r="ID44" s="110"/>
      <c r="IE44" s="110"/>
      <c r="IF44" s="110"/>
      <c r="IG44" s="110"/>
      <c r="IH44" s="110"/>
      <c r="II44" s="110"/>
      <c r="IJ44" s="110"/>
      <c r="IK44" s="110"/>
      <c r="IL44" s="110"/>
      <c r="IM44" s="110"/>
      <c r="IN44" s="110"/>
      <c r="IO44" s="110"/>
      <c r="IP44" s="110"/>
      <c r="IQ44" s="110"/>
      <c r="IR44" s="110"/>
      <c r="IS44" s="110"/>
      <c r="IT44" s="110"/>
      <c r="IU44" s="110"/>
      <c r="IV44" s="110"/>
      <c r="IW44" s="110"/>
      <c r="IX44" s="110"/>
      <c r="IY44" s="110"/>
      <c r="IZ44" s="110"/>
      <c r="JA44" s="110"/>
      <c r="JB44" s="110"/>
      <c r="JC44" s="110"/>
      <c r="JD44" s="110"/>
      <c r="JE44" s="110"/>
      <c r="JF44" s="110"/>
      <c r="JG44" s="110"/>
      <c r="JH44" s="110"/>
      <c r="JI44" s="107">
        <f t="shared" si="1"/>
        <v>180000</v>
      </c>
      <c r="JJ44" s="297">
        <v>2917</v>
      </c>
      <c r="JK44" s="110"/>
      <c r="JL44" s="112"/>
      <c r="JM44" s="112"/>
      <c r="JN44" s="112"/>
      <c r="JO44" s="112"/>
      <c r="JP44" s="112"/>
    </row>
    <row r="45" spans="1:276" x14ac:dyDescent="0.2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c r="BX45" s="110"/>
      <c r="BY45" s="110"/>
      <c r="BZ45" s="110"/>
      <c r="CA45" s="110"/>
      <c r="CB45" s="110"/>
      <c r="CC45" s="110"/>
      <c r="CD45" s="110"/>
      <c r="CE45" s="110"/>
      <c r="CF45" s="110"/>
      <c r="CG45" s="110"/>
      <c r="CH45" s="110"/>
      <c r="CI45" s="110"/>
      <c r="CJ45" s="110"/>
      <c r="CK45" s="110"/>
      <c r="CL45" s="110"/>
      <c r="CM45" s="110"/>
      <c r="CN45" s="110"/>
      <c r="CO45" s="110"/>
      <c r="CP45" s="110"/>
      <c r="CQ45" s="110"/>
      <c r="CR45" s="110"/>
      <c r="CS45" s="110"/>
      <c r="CT45" s="110"/>
      <c r="CU45" s="110"/>
      <c r="CV45" s="110"/>
      <c r="CW45" s="110"/>
      <c r="CX45" s="110"/>
      <c r="CY45" s="110"/>
      <c r="CZ45" s="110"/>
      <c r="DA45" s="110"/>
      <c r="DB45" s="110"/>
      <c r="DC45" s="110"/>
      <c r="DD45" s="110"/>
      <c r="DE45" s="110"/>
      <c r="DF45" s="110"/>
      <c r="DG45" s="110"/>
      <c r="DH45" s="110"/>
      <c r="DI45" s="110"/>
      <c r="DJ45" s="110"/>
      <c r="DK45" s="110"/>
      <c r="DL45" s="110"/>
      <c r="DM45" s="110"/>
      <c r="DN45" s="110"/>
      <c r="DO45" s="110"/>
      <c r="DP45" s="110"/>
      <c r="DQ45" s="110"/>
      <c r="DR45" s="110"/>
      <c r="DS45" s="110"/>
      <c r="DT45" s="110"/>
      <c r="DU45" s="110"/>
      <c r="DV45" s="110"/>
      <c r="DW45" s="110"/>
      <c r="DX45" s="110"/>
      <c r="DY45" s="110"/>
      <c r="DZ45" s="110"/>
      <c r="EA45" s="110"/>
      <c r="EB45" s="110"/>
      <c r="EC45" s="110"/>
      <c r="ED45" s="110"/>
      <c r="EE45" s="110"/>
      <c r="EF45" s="110"/>
      <c r="EG45" s="110">
        <v>168000.97</v>
      </c>
      <c r="EH45" s="110"/>
      <c r="EI45" s="110"/>
      <c r="EJ45" s="110"/>
      <c r="EK45" s="110"/>
      <c r="EL45" s="110"/>
      <c r="EM45" s="110"/>
      <c r="EN45" s="110"/>
      <c r="EO45" s="110"/>
      <c r="EP45" s="110"/>
      <c r="EQ45" s="110"/>
      <c r="ER45" s="110"/>
      <c r="ES45" s="110"/>
      <c r="ET45" s="110"/>
      <c r="EU45" s="110"/>
      <c r="EV45" s="110"/>
      <c r="EW45" s="110"/>
      <c r="EX45" s="110"/>
      <c r="EY45" s="110"/>
      <c r="EZ45" s="110"/>
      <c r="FA45" s="110"/>
      <c r="FB45" s="110"/>
      <c r="FC45" s="110"/>
      <c r="FD45" s="110"/>
      <c r="FE45" s="110"/>
      <c r="FF45" s="110"/>
      <c r="FG45" s="110"/>
      <c r="FH45" s="110"/>
      <c r="FI45" s="110"/>
      <c r="FJ45" s="110"/>
      <c r="FK45" s="110"/>
      <c r="FL45" s="110"/>
      <c r="FM45" s="110"/>
      <c r="FN45" s="110"/>
      <c r="FO45" s="110"/>
      <c r="FP45" s="110"/>
      <c r="FQ45" s="110"/>
      <c r="FR45" s="110"/>
      <c r="FS45" s="110"/>
      <c r="FT45" s="110"/>
      <c r="FU45" s="110"/>
      <c r="FV45" s="110"/>
      <c r="FW45" s="110"/>
      <c r="FX45" s="110"/>
      <c r="FY45" s="110"/>
      <c r="FZ45" s="110"/>
      <c r="GA45" s="110"/>
      <c r="GB45" s="110"/>
      <c r="GC45" s="110"/>
      <c r="GD45" s="110"/>
      <c r="GE45" s="110"/>
      <c r="GF45" s="110"/>
      <c r="GG45" s="110"/>
      <c r="GH45" s="110"/>
      <c r="GI45" s="110"/>
      <c r="GJ45" s="110"/>
      <c r="GK45" s="110"/>
      <c r="GL45" s="110"/>
      <c r="GM45" s="110"/>
      <c r="GN45" s="110"/>
      <c r="GO45" s="110"/>
      <c r="GP45" s="110"/>
      <c r="GQ45" s="110"/>
      <c r="GR45" s="110"/>
      <c r="GS45" s="110"/>
      <c r="GT45" s="110"/>
      <c r="GU45" s="110"/>
      <c r="GV45" s="110"/>
      <c r="GW45" s="110"/>
      <c r="GX45" s="110"/>
      <c r="GY45" s="110"/>
      <c r="GZ45" s="110"/>
      <c r="HA45" s="110"/>
      <c r="HB45" s="110"/>
      <c r="HC45" s="110"/>
      <c r="HD45" s="110"/>
      <c r="HE45" s="110"/>
      <c r="HF45" s="110"/>
      <c r="HG45" s="110"/>
      <c r="HH45" s="110"/>
      <c r="HI45" s="110"/>
      <c r="HJ45" s="110"/>
      <c r="HK45" s="110"/>
      <c r="HL45" s="110"/>
      <c r="HM45" s="110"/>
      <c r="HN45" s="110"/>
      <c r="HO45" s="110"/>
      <c r="HP45" s="110"/>
      <c r="HQ45" s="110"/>
      <c r="HR45" s="110"/>
      <c r="HS45" s="110"/>
      <c r="HT45" s="110"/>
      <c r="HU45" s="110"/>
      <c r="HV45" s="110"/>
      <c r="HW45" s="110"/>
      <c r="HX45" s="110"/>
      <c r="HY45" s="110"/>
      <c r="HZ45" s="110"/>
      <c r="IA45" s="110"/>
      <c r="IB45" s="110"/>
      <c r="IC45" s="110"/>
      <c r="ID45" s="110"/>
      <c r="IE45" s="110"/>
      <c r="IF45" s="110"/>
      <c r="IG45" s="110"/>
      <c r="IH45" s="110"/>
      <c r="II45" s="110"/>
      <c r="IJ45" s="110"/>
      <c r="IK45" s="110"/>
      <c r="IL45" s="110"/>
      <c r="IM45" s="110"/>
      <c r="IN45" s="110"/>
      <c r="IO45" s="110"/>
      <c r="IP45" s="110"/>
      <c r="IQ45" s="110"/>
      <c r="IR45" s="110"/>
      <c r="IS45" s="110"/>
      <c r="IT45" s="110"/>
      <c r="IU45" s="110"/>
      <c r="IV45" s="110"/>
      <c r="IW45" s="110"/>
      <c r="IX45" s="110"/>
      <c r="IY45" s="110"/>
      <c r="IZ45" s="110"/>
      <c r="JA45" s="110"/>
      <c r="JB45" s="110"/>
      <c r="JC45" s="110"/>
      <c r="JD45" s="110"/>
      <c r="JE45" s="110"/>
      <c r="JF45" s="110"/>
      <c r="JG45" s="110"/>
      <c r="JH45" s="110"/>
      <c r="JI45" s="107">
        <f t="shared" si="1"/>
        <v>168000.97</v>
      </c>
      <c r="JJ45" s="297">
        <v>2927</v>
      </c>
      <c r="JK45" s="110"/>
      <c r="JL45" s="112"/>
      <c r="JM45" s="112"/>
      <c r="JN45" s="112"/>
      <c r="JO45" s="112"/>
      <c r="JP45" s="112"/>
    </row>
    <row r="46" spans="1:276" x14ac:dyDescent="0.25">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c r="CM46" s="110"/>
      <c r="CN46" s="110"/>
      <c r="CO46" s="110"/>
      <c r="CP46" s="110"/>
      <c r="CQ46" s="110"/>
      <c r="CR46" s="110"/>
      <c r="CS46" s="110"/>
      <c r="CT46" s="110"/>
      <c r="CU46" s="110"/>
      <c r="CV46" s="110"/>
      <c r="CW46" s="110"/>
      <c r="CX46" s="110"/>
      <c r="CY46" s="110"/>
      <c r="CZ46" s="110"/>
      <c r="DA46" s="110"/>
      <c r="DB46" s="110"/>
      <c r="DC46" s="110"/>
      <c r="DD46" s="110"/>
      <c r="DE46" s="110"/>
      <c r="DF46" s="110"/>
      <c r="DG46" s="110"/>
      <c r="DH46" s="110"/>
      <c r="DI46" s="110"/>
      <c r="DJ46" s="110"/>
      <c r="DK46" s="110"/>
      <c r="DL46" s="110"/>
      <c r="DM46" s="110"/>
      <c r="DN46" s="110"/>
      <c r="DO46" s="110"/>
      <c r="DP46" s="110"/>
      <c r="DQ46" s="110"/>
      <c r="DR46" s="110"/>
      <c r="DS46" s="110"/>
      <c r="DT46" s="110"/>
      <c r="DU46" s="110"/>
      <c r="DV46" s="110"/>
      <c r="DW46" s="110"/>
      <c r="DX46" s="110"/>
      <c r="DY46" s="110"/>
      <c r="DZ46" s="110"/>
      <c r="EA46" s="110">
        <v>120000</v>
      </c>
      <c r="EB46" s="110"/>
      <c r="EC46" s="110"/>
      <c r="ED46" s="110"/>
      <c r="EE46" s="110"/>
      <c r="EF46" s="110"/>
      <c r="EG46" s="110"/>
      <c r="EH46" s="110"/>
      <c r="EI46" s="110"/>
      <c r="EJ46" s="110"/>
      <c r="EK46" s="110"/>
      <c r="EL46" s="110"/>
      <c r="EM46" s="110"/>
      <c r="EN46" s="110"/>
      <c r="EO46" s="110"/>
      <c r="EP46" s="110"/>
      <c r="EQ46" s="110"/>
      <c r="ER46" s="110"/>
      <c r="ES46" s="110"/>
      <c r="ET46" s="110"/>
      <c r="EU46" s="110"/>
      <c r="EV46" s="110"/>
      <c r="EW46" s="110"/>
      <c r="EX46" s="110"/>
      <c r="EY46" s="110"/>
      <c r="EZ46" s="110"/>
      <c r="FA46" s="110"/>
      <c r="FB46" s="110"/>
      <c r="FC46" s="110"/>
      <c r="FD46" s="110"/>
      <c r="FE46" s="110"/>
      <c r="FF46" s="110"/>
      <c r="FG46" s="110"/>
      <c r="FH46" s="110"/>
      <c r="FI46" s="110"/>
      <c r="FJ46" s="110"/>
      <c r="FK46" s="110"/>
      <c r="FL46" s="110"/>
      <c r="FM46" s="110"/>
      <c r="FN46" s="110"/>
      <c r="FO46" s="110"/>
      <c r="FP46" s="110"/>
      <c r="FQ46" s="110"/>
      <c r="FR46" s="110"/>
      <c r="FS46" s="110"/>
      <c r="FT46" s="110"/>
      <c r="FU46" s="110"/>
      <c r="FV46" s="110"/>
      <c r="FW46" s="110"/>
      <c r="FX46" s="110"/>
      <c r="FY46" s="110"/>
      <c r="FZ46" s="110"/>
      <c r="GA46" s="110"/>
      <c r="GB46" s="110"/>
      <c r="GC46" s="110"/>
      <c r="GD46" s="110"/>
      <c r="GE46" s="110"/>
      <c r="GF46" s="110"/>
      <c r="GG46" s="110"/>
      <c r="GH46" s="110"/>
      <c r="GI46" s="110"/>
      <c r="GJ46" s="110"/>
      <c r="GK46" s="110"/>
      <c r="GL46" s="110"/>
      <c r="GM46" s="110"/>
      <c r="GN46" s="110"/>
      <c r="GO46" s="110"/>
      <c r="GP46" s="110"/>
      <c r="GQ46" s="110"/>
      <c r="GR46" s="110"/>
      <c r="GS46" s="110"/>
      <c r="GT46" s="110"/>
      <c r="GU46" s="110"/>
      <c r="GV46" s="110"/>
      <c r="GW46" s="110"/>
      <c r="GX46" s="110"/>
      <c r="GY46" s="110"/>
      <c r="GZ46" s="110"/>
      <c r="HA46" s="110"/>
      <c r="HB46" s="110"/>
      <c r="HC46" s="110"/>
      <c r="HD46" s="110"/>
      <c r="HE46" s="110"/>
      <c r="HF46" s="110"/>
      <c r="HG46" s="110"/>
      <c r="HH46" s="110"/>
      <c r="HI46" s="110"/>
      <c r="HJ46" s="110"/>
      <c r="HK46" s="110"/>
      <c r="HL46" s="110"/>
      <c r="HM46" s="110"/>
      <c r="HN46" s="110"/>
      <c r="HO46" s="110"/>
      <c r="HP46" s="110"/>
      <c r="HQ46" s="110"/>
      <c r="HR46" s="110"/>
      <c r="HS46" s="110"/>
      <c r="HT46" s="110"/>
      <c r="HU46" s="110"/>
      <c r="HV46" s="110"/>
      <c r="HW46" s="110"/>
      <c r="HX46" s="110"/>
      <c r="HY46" s="110"/>
      <c r="HZ46" s="110"/>
      <c r="IA46" s="110"/>
      <c r="IB46" s="110"/>
      <c r="IC46" s="110"/>
      <c r="ID46" s="110"/>
      <c r="IE46" s="110"/>
      <c r="IF46" s="110"/>
      <c r="IG46" s="110"/>
      <c r="IH46" s="110"/>
      <c r="II46" s="110"/>
      <c r="IJ46" s="110"/>
      <c r="IK46" s="110"/>
      <c r="IL46" s="110"/>
      <c r="IM46" s="110"/>
      <c r="IN46" s="110"/>
      <c r="IO46" s="110"/>
      <c r="IP46" s="110"/>
      <c r="IQ46" s="110"/>
      <c r="IR46" s="110"/>
      <c r="IS46" s="110"/>
      <c r="IT46" s="110"/>
      <c r="IU46" s="110"/>
      <c r="IV46" s="110"/>
      <c r="IW46" s="110"/>
      <c r="IX46" s="110"/>
      <c r="IY46" s="110"/>
      <c r="IZ46" s="110"/>
      <c r="JA46" s="110"/>
      <c r="JB46" s="110"/>
      <c r="JC46" s="110"/>
      <c r="JD46" s="110"/>
      <c r="JE46" s="110"/>
      <c r="JF46" s="110"/>
      <c r="JG46" s="110"/>
      <c r="JH46" s="110"/>
      <c r="JI46" s="107">
        <f t="shared" si="1"/>
        <v>120000</v>
      </c>
      <c r="JJ46" s="297">
        <v>2931</v>
      </c>
      <c r="JK46" s="110"/>
      <c r="JL46" s="112"/>
      <c r="JM46" s="112"/>
      <c r="JN46" s="112"/>
      <c r="JO46" s="112"/>
      <c r="JP46" s="112"/>
    </row>
    <row r="47" spans="1:276" x14ac:dyDescent="0.25">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0"/>
      <c r="CR47" s="110"/>
      <c r="CS47" s="110"/>
      <c r="CT47" s="110"/>
      <c r="CU47" s="110"/>
      <c r="CV47" s="110"/>
      <c r="CW47" s="110"/>
      <c r="CX47" s="110"/>
      <c r="CY47" s="110"/>
      <c r="CZ47" s="110"/>
      <c r="DA47" s="110"/>
      <c r="DB47" s="110"/>
      <c r="DC47" s="110"/>
      <c r="DD47" s="110"/>
      <c r="DE47" s="110"/>
      <c r="DF47" s="110"/>
      <c r="DG47" s="110"/>
      <c r="DH47" s="110"/>
      <c r="DI47" s="110"/>
      <c r="DJ47" s="110"/>
      <c r="DK47" s="110"/>
      <c r="DL47" s="110"/>
      <c r="DM47" s="110"/>
      <c r="DN47" s="110"/>
      <c r="DO47" s="110"/>
      <c r="DP47" s="110"/>
      <c r="DQ47" s="110"/>
      <c r="DR47" s="110"/>
      <c r="DS47" s="110"/>
      <c r="DT47" s="110"/>
      <c r="DU47" s="110"/>
      <c r="DV47" s="110"/>
      <c r="DW47" s="110"/>
      <c r="DX47" s="110"/>
      <c r="DY47" s="110"/>
      <c r="DZ47" s="110"/>
      <c r="EA47" s="110">
        <v>100350</v>
      </c>
      <c r="EB47" s="110"/>
      <c r="EC47" s="110"/>
      <c r="ED47" s="110"/>
      <c r="EE47" s="110"/>
      <c r="EF47" s="110"/>
      <c r="EG47" s="110"/>
      <c r="EH47" s="110"/>
      <c r="EI47" s="110"/>
      <c r="EJ47" s="110"/>
      <c r="EK47" s="110"/>
      <c r="EL47" s="110"/>
      <c r="EM47" s="110"/>
      <c r="EN47" s="110"/>
      <c r="EO47" s="110"/>
      <c r="EP47" s="110"/>
      <c r="EQ47" s="110"/>
      <c r="ER47" s="110"/>
      <c r="ES47" s="110"/>
      <c r="ET47" s="110"/>
      <c r="EU47" s="110"/>
      <c r="EV47" s="110"/>
      <c r="EW47" s="110"/>
      <c r="EX47" s="110"/>
      <c r="EY47" s="110"/>
      <c r="EZ47" s="110"/>
      <c r="FA47" s="110"/>
      <c r="FB47" s="110"/>
      <c r="FC47" s="110"/>
      <c r="FD47" s="110"/>
      <c r="FE47" s="110"/>
      <c r="FF47" s="110"/>
      <c r="FG47" s="110"/>
      <c r="FH47" s="110"/>
      <c r="FI47" s="110"/>
      <c r="FJ47" s="110"/>
      <c r="FK47" s="110"/>
      <c r="FL47" s="110"/>
      <c r="FM47" s="110"/>
      <c r="FN47" s="110"/>
      <c r="FO47" s="110"/>
      <c r="FP47" s="110"/>
      <c r="FQ47" s="110"/>
      <c r="FR47" s="110"/>
      <c r="FS47" s="110"/>
      <c r="FT47" s="110"/>
      <c r="FU47" s="110"/>
      <c r="FV47" s="110"/>
      <c r="FW47" s="110"/>
      <c r="FX47" s="110"/>
      <c r="FY47" s="110"/>
      <c r="FZ47" s="110"/>
      <c r="GA47" s="110"/>
      <c r="GB47" s="110"/>
      <c r="GC47" s="110"/>
      <c r="GD47" s="110"/>
      <c r="GE47" s="110"/>
      <c r="GF47" s="110"/>
      <c r="GG47" s="110"/>
      <c r="GH47" s="110"/>
      <c r="GI47" s="110"/>
      <c r="GJ47" s="110"/>
      <c r="GK47" s="110"/>
      <c r="GL47" s="110"/>
      <c r="GM47" s="110"/>
      <c r="GN47" s="110"/>
      <c r="GO47" s="110"/>
      <c r="GP47" s="110"/>
      <c r="GQ47" s="110"/>
      <c r="GR47" s="110"/>
      <c r="GS47" s="110"/>
      <c r="GT47" s="110"/>
      <c r="GU47" s="110"/>
      <c r="GV47" s="110"/>
      <c r="GW47" s="110"/>
      <c r="GX47" s="110"/>
      <c r="GY47" s="110"/>
      <c r="GZ47" s="110"/>
      <c r="HA47" s="110"/>
      <c r="HB47" s="110"/>
      <c r="HC47" s="110"/>
      <c r="HD47" s="110"/>
      <c r="HE47" s="110"/>
      <c r="HF47" s="110"/>
      <c r="HG47" s="110"/>
      <c r="HH47" s="110"/>
      <c r="HI47" s="110"/>
      <c r="HJ47" s="110"/>
      <c r="HK47" s="110"/>
      <c r="HL47" s="110"/>
      <c r="HM47" s="110"/>
      <c r="HN47" s="110"/>
      <c r="HO47" s="110"/>
      <c r="HP47" s="110"/>
      <c r="HQ47" s="110"/>
      <c r="HR47" s="110"/>
      <c r="HS47" s="110"/>
      <c r="HT47" s="110"/>
      <c r="HU47" s="110"/>
      <c r="HV47" s="110"/>
      <c r="HW47" s="110"/>
      <c r="HX47" s="110"/>
      <c r="HY47" s="110"/>
      <c r="HZ47" s="110"/>
      <c r="IA47" s="110"/>
      <c r="IB47" s="110"/>
      <c r="IC47" s="110"/>
      <c r="ID47" s="110"/>
      <c r="IE47" s="110"/>
      <c r="IF47" s="110"/>
      <c r="IG47" s="110"/>
      <c r="IH47" s="110"/>
      <c r="II47" s="110"/>
      <c r="IJ47" s="110"/>
      <c r="IK47" s="110"/>
      <c r="IL47" s="110"/>
      <c r="IM47" s="110"/>
      <c r="IN47" s="110"/>
      <c r="IO47" s="110"/>
      <c r="IP47" s="110"/>
      <c r="IQ47" s="110"/>
      <c r="IR47" s="110"/>
      <c r="IS47" s="110"/>
      <c r="IT47" s="110"/>
      <c r="IU47" s="110"/>
      <c r="IV47" s="110"/>
      <c r="IW47" s="110"/>
      <c r="IX47" s="110"/>
      <c r="IY47" s="110"/>
      <c r="IZ47" s="110"/>
      <c r="JA47" s="110"/>
      <c r="JB47" s="110"/>
      <c r="JC47" s="110"/>
      <c r="JD47" s="110"/>
      <c r="JE47" s="110"/>
      <c r="JF47" s="110"/>
      <c r="JG47" s="110"/>
      <c r="JH47" s="110"/>
      <c r="JI47" s="107">
        <f t="shared" si="1"/>
        <v>100350</v>
      </c>
      <c r="JJ47" s="297">
        <v>2935</v>
      </c>
      <c r="JK47" s="110"/>
      <c r="JL47" s="112"/>
      <c r="JM47" s="112"/>
      <c r="JN47" s="112"/>
      <c r="JO47" s="112"/>
      <c r="JP47" s="112"/>
    </row>
    <row r="48" spans="1:276" x14ac:dyDescent="0.25">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c r="CP48" s="110"/>
      <c r="CQ48" s="110"/>
      <c r="CR48" s="110"/>
      <c r="CS48" s="110"/>
      <c r="CT48" s="110"/>
      <c r="CU48" s="110"/>
      <c r="CV48" s="110"/>
      <c r="CW48" s="110"/>
      <c r="CX48" s="110"/>
      <c r="CY48" s="110"/>
      <c r="CZ48" s="110"/>
      <c r="DA48" s="110"/>
      <c r="DB48" s="110"/>
      <c r="DC48" s="110"/>
      <c r="DD48" s="110"/>
      <c r="DE48" s="110"/>
      <c r="DF48" s="110"/>
      <c r="DG48" s="110"/>
      <c r="DH48" s="110"/>
      <c r="DI48" s="110"/>
      <c r="DJ48" s="110"/>
      <c r="DK48" s="110"/>
      <c r="DL48" s="110"/>
      <c r="DM48" s="110"/>
      <c r="DN48" s="110"/>
      <c r="DO48" s="110"/>
      <c r="DP48" s="110"/>
      <c r="DQ48" s="110"/>
      <c r="DR48" s="110"/>
      <c r="DS48" s="110"/>
      <c r="DT48" s="110"/>
      <c r="DU48" s="110">
        <v>12681.46</v>
      </c>
      <c r="DV48" s="110"/>
      <c r="DW48" s="110"/>
      <c r="DX48" s="110"/>
      <c r="DY48" s="110"/>
      <c r="DZ48" s="110"/>
      <c r="EA48" s="110"/>
      <c r="EB48" s="110"/>
      <c r="EC48" s="110"/>
      <c r="ED48" s="110"/>
      <c r="EE48" s="110"/>
      <c r="EF48" s="110"/>
      <c r="EG48" s="110"/>
      <c r="EH48" s="110"/>
      <c r="EI48" s="110"/>
      <c r="EJ48" s="110"/>
      <c r="EK48" s="110"/>
      <c r="EL48" s="110"/>
      <c r="EM48" s="110"/>
      <c r="EN48" s="110"/>
      <c r="EO48" s="110"/>
      <c r="EP48" s="110"/>
      <c r="EQ48" s="110"/>
      <c r="ER48" s="110"/>
      <c r="ES48" s="110"/>
      <c r="ET48" s="110"/>
      <c r="EU48" s="110"/>
      <c r="EV48" s="110"/>
      <c r="EW48" s="110"/>
      <c r="EX48" s="110"/>
      <c r="EY48" s="110"/>
      <c r="EZ48" s="110"/>
      <c r="FA48" s="110"/>
      <c r="FB48" s="110"/>
      <c r="FC48" s="110"/>
      <c r="FD48" s="110"/>
      <c r="FE48" s="110"/>
      <c r="FF48" s="110"/>
      <c r="FG48" s="110"/>
      <c r="FH48" s="110"/>
      <c r="FI48" s="110"/>
      <c r="FJ48" s="110"/>
      <c r="FK48" s="110"/>
      <c r="FL48" s="110"/>
      <c r="FM48" s="110"/>
      <c r="FN48" s="110">
        <v>61810.76</v>
      </c>
      <c r="FO48" s="110"/>
      <c r="FP48" s="110"/>
      <c r="FQ48" s="110">
        <v>97981.3</v>
      </c>
      <c r="FR48" s="110"/>
      <c r="FS48" s="110"/>
      <c r="FT48" s="110">
        <v>16549.5</v>
      </c>
      <c r="FU48" s="110"/>
      <c r="FV48" s="110"/>
      <c r="FW48" s="110"/>
      <c r="FX48" s="110"/>
      <c r="FY48" s="110"/>
      <c r="FZ48" s="110"/>
      <c r="GA48" s="110"/>
      <c r="GB48" s="110"/>
      <c r="GC48" s="110"/>
      <c r="GD48" s="110"/>
      <c r="GE48" s="110"/>
      <c r="GF48" s="110"/>
      <c r="GG48" s="110"/>
      <c r="GH48" s="110"/>
      <c r="GI48" s="110"/>
      <c r="GJ48" s="110"/>
      <c r="GK48" s="110"/>
      <c r="GL48" s="110"/>
      <c r="GM48" s="110"/>
      <c r="GN48" s="110"/>
      <c r="GO48" s="110"/>
      <c r="GP48" s="110"/>
      <c r="GQ48" s="110"/>
      <c r="GR48" s="110"/>
      <c r="GS48" s="110"/>
      <c r="GT48" s="110"/>
      <c r="GU48" s="110"/>
      <c r="GV48" s="110"/>
      <c r="GW48" s="110"/>
      <c r="GX48" s="110"/>
      <c r="GY48" s="110"/>
      <c r="GZ48" s="110"/>
      <c r="HA48" s="110"/>
      <c r="HB48" s="110"/>
      <c r="HC48" s="110"/>
      <c r="HD48" s="110"/>
      <c r="HE48" s="110"/>
      <c r="HF48" s="110"/>
      <c r="HG48" s="110"/>
      <c r="HH48" s="110"/>
      <c r="HI48" s="110"/>
      <c r="HJ48" s="110"/>
      <c r="HK48" s="110"/>
      <c r="HL48" s="110"/>
      <c r="HM48" s="110"/>
      <c r="HN48" s="110"/>
      <c r="HO48" s="110"/>
      <c r="HP48" s="110"/>
      <c r="HQ48" s="110"/>
      <c r="HR48" s="110"/>
      <c r="HS48" s="110"/>
      <c r="HT48" s="110"/>
      <c r="HU48" s="110"/>
      <c r="HV48" s="110"/>
      <c r="HW48" s="110"/>
      <c r="HX48" s="110"/>
      <c r="HY48" s="110"/>
      <c r="HZ48" s="110"/>
      <c r="IA48" s="110"/>
      <c r="IB48" s="110"/>
      <c r="IC48" s="110"/>
      <c r="ID48" s="110"/>
      <c r="IE48" s="110"/>
      <c r="IF48" s="110"/>
      <c r="IG48" s="110"/>
      <c r="IH48" s="110"/>
      <c r="II48" s="110"/>
      <c r="IJ48" s="110"/>
      <c r="IK48" s="110"/>
      <c r="IL48" s="110"/>
      <c r="IM48" s="110"/>
      <c r="IN48" s="110"/>
      <c r="IO48" s="110"/>
      <c r="IP48" s="110"/>
      <c r="IQ48" s="110"/>
      <c r="IR48" s="110"/>
      <c r="IS48" s="110"/>
      <c r="IT48" s="110"/>
      <c r="IU48" s="110"/>
      <c r="IV48" s="110"/>
      <c r="IW48" s="110"/>
      <c r="IX48" s="110"/>
      <c r="IY48" s="110"/>
      <c r="IZ48" s="110"/>
      <c r="JA48" s="110"/>
      <c r="JB48" s="110"/>
      <c r="JC48" s="110"/>
      <c r="JD48" s="110"/>
      <c r="JE48" s="110"/>
      <c r="JF48" s="110"/>
      <c r="JG48" s="110"/>
      <c r="JH48" s="110"/>
      <c r="JI48" s="107">
        <f t="shared" si="1"/>
        <v>189023.02000000002</v>
      </c>
      <c r="JJ48" s="297">
        <v>2939</v>
      </c>
      <c r="JK48" s="110"/>
      <c r="JL48" s="112"/>
      <c r="JM48" s="112"/>
      <c r="JN48" s="112"/>
      <c r="JO48" s="112"/>
      <c r="JP48" s="112"/>
    </row>
    <row r="49" spans="1:276" x14ac:dyDescent="0.25">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c r="CE49" s="110"/>
      <c r="CF49" s="110"/>
      <c r="CG49" s="110"/>
      <c r="CH49" s="110"/>
      <c r="CI49" s="110"/>
      <c r="CJ49" s="110"/>
      <c r="CK49" s="110"/>
      <c r="CL49" s="110"/>
      <c r="CM49" s="110"/>
      <c r="CN49" s="110"/>
      <c r="CO49" s="110"/>
      <c r="CP49" s="110"/>
      <c r="CQ49" s="110"/>
      <c r="CR49" s="110"/>
      <c r="CS49" s="110"/>
      <c r="CT49" s="110"/>
      <c r="CU49" s="110"/>
      <c r="CV49" s="110"/>
      <c r="CW49" s="110"/>
      <c r="CX49" s="110"/>
      <c r="CY49" s="110"/>
      <c r="CZ49" s="110"/>
      <c r="DA49" s="110"/>
      <c r="DB49" s="110"/>
      <c r="DC49" s="110"/>
      <c r="DD49" s="110"/>
      <c r="DE49" s="110"/>
      <c r="DF49" s="110"/>
      <c r="DG49" s="110"/>
      <c r="DH49" s="110"/>
      <c r="DI49" s="110"/>
      <c r="DJ49" s="110"/>
      <c r="DK49" s="110"/>
      <c r="DL49" s="110"/>
      <c r="DM49" s="110"/>
      <c r="DN49" s="110"/>
      <c r="DO49" s="110"/>
      <c r="DP49" s="110"/>
      <c r="DQ49" s="110"/>
      <c r="DR49" s="110"/>
      <c r="DS49" s="110"/>
      <c r="DT49" s="110"/>
      <c r="DU49" s="110"/>
      <c r="DV49" s="110"/>
      <c r="DW49" s="110"/>
      <c r="DX49" s="110"/>
      <c r="DY49" s="110"/>
      <c r="DZ49" s="110"/>
      <c r="EA49" s="110"/>
      <c r="EB49" s="110"/>
      <c r="EC49" s="110"/>
      <c r="ED49" s="110"/>
      <c r="EE49" s="110"/>
      <c r="EF49" s="110"/>
      <c r="EG49" s="110"/>
      <c r="EH49" s="110"/>
      <c r="EI49" s="110"/>
      <c r="EJ49" s="110"/>
      <c r="EK49" s="110"/>
      <c r="EL49" s="110"/>
      <c r="EM49" s="110"/>
      <c r="EN49" s="110"/>
      <c r="EO49" s="110"/>
      <c r="EP49" s="110"/>
      <c r="EQ49" s="110"/>
      <c r="ER49" s="110"/>
      <c r="ES49" s="110"/>
      <c r="ET49" s="110"/>
      <c r="EU49" s="110"/>
      <c r="EV49" s="110"/>
      <c r="EW49" s="110"/>
      <c r="EX49" s="110"/>
      <c r="EY49" s="110"/>
      <c r="EZ49" s="110"/>
      <c r="FA49" s="110"/>
      <c r="FB49" s="110"/>
      <c r="FC49" s="110"/>
      <c r="FD49" s="110"/>
      <c r="FE49" s="110"/>
      <c r="FF49" s="110"/>
      <c r="FG49" s="110"/>
      <c r="FH49" s="110"/>
      <c r="FI49" s="110"/>
      <c r="FJ49" s="110"/>
      <c r="FK49" s="110"/>
      <c r="FL49" s="110"/>
      <c r="FM49" s="110"/>
      <c r="FN49" s="110"/>
      <c r="FO49" s="110"/>
      <c r="FP49" s="110"/>
      <c r="FQ49" s="110"/>
      <c r="FR49" s="110"/>
      <c r="FS49" s="110"/>
      <c r="FT49" s="110"/>
      <c r="FU49" s="110"/>
      <c r="FV49" s="110"/>
      <c r="FW49" s="110"/>
      <c r="FX49" s="110"/>
      <c r="FY49" s="110"/>
      <c r="FZ49" s="110"/>
      <c r="GA49" s="110"/>
      <c r="GB49" s="110"/>
      <c r="GC49" s="110"/>
      <c r="GD49" s="110"/>
      <c r="GE49" s="110"/>
      <c r="GF49" s="110"/>
      <c r="GG49" s="110"/>
      <c r="GH49" s="110"/>
      <c r="GI49" s="110"/>
      <c r="GJ49" s="110"/>
      <c r="GK49" s="110"/>
      <c r="GL49" s="110"/>
      <c r="GM49" s="110"/>
      <c r="GN49" s="110"/>
      <c r="GO49" s="110"/>
      <c r="GP49" s="110"/>
      <c r="GQ49" s="110"/>
      <c r="GR49" s="110"/>
      <c r="GS49" s="110"/>
      <c r="GT49" s="110">
        <v>37217.199999999997</v>
      </c>
      <c r="GU49" s="110"/>
      <c r="GV49" s="110"/>
      <c r="GW49" s="110"/>
      <c r="GX49" s="110"/>
      <c r="GY49" s="110"/>
      <c r="GZ49" s="110"/>
      <c r="HA49" s="110"/>
      <c r="HB49" s="110"/>
      <c r="HC49" s="110"/>
      <c r="HD49" s="110"/>
      <c r="HE49" s="110"/>
      <c r="HF49" s="110"/>
      <c r="HG49" s="110"/>
      <c r="HH49" s="110"/>
      <c r="HI49" s="110"/>
      <c r="HJ49" s="110"/>
      <c r="HK49" s="110"/>
      <c r="HL49" s="110"/>
      <c r="HM49" s="110"/>
      <c r="HN49" s="110"/>
      <c r="HO49" s="110"/>
      <c r="HP49" s="110"/>
      <c r="HQ49" s="110"/>
      <c r="HR49" s="110"/>
      <c r="HS49" s="110"/>
      <c r="HT49" s="110"/>
      <c r="HU49" s="110"/>
      <c r="HV49" s="110"/>
      <c r="HW49" s="110"/>
      <c r="HX49" s="110"/>
      <c r="HY49" s="110"/>
      <c r="HZ49" s="110"/>
      <c r="IA49" s="110"/>
      <c r="IB49" s="110"/>
      <c r="IC49" s="110"/>
      <c r="ID49" s="110"/>
      <c r="IE49" s="110"/>
      <c r="IF49" s="110"/>
      <c r="IG49" s="110"/>
      <c r="IH49" s="110"/>
      <c r="II49" s="110"/>
      <c r="IJ49" s="110"/>
      <c r="IK49" s="110"/>
      <c r="IL49" s="110"/>
      <c r="IM49" s="110"/>
      <c r="IN49" s="110"/>
      <c r="IO49" s="110"/>
      <c r="IP49" s="110"/>
      <c r="IQ49" s="110"/>
      <c r="IR49" s="110"/>
      <c r="IS49" s="110"/>
      <c r="IT49" s="110"/>
      <c r="IU49" s="110"/>
      <c r="IV49" s="110"/>
      <c r="IW49" s="110"/>
      <c r="IX49" s="110"/>
      <c r="IY49" s="110"/>
      <c r="IZ49" s="110"/>
      <c r="JA49" s="110"/>
      <c r="JB49" s="110"/>
      <c r="JC49" s="110"/>
      <c r="JD49" s="110"/>
      <c r="JE49" s="110"/>
      <c r="JF49" s="110"/>
      <c r="JG49" s="110"/>
      <c r="JH49" s="110"/>
      <c r="JI49" s="107">
        <f t="shared" si="1"/>
        <v>37217.199999999997</v>
      </c>
      <c r="JJ49" s="297">
        <v>2944</v>
      </c>
      <c r="JK49" s="110"/>
      <c r="JL49" s="112"/>
      <c r="JM49" s="112"/>
      <c r="JN49" s="112"/>
      <c r="JO49" s="112"/>
      <c r="JP49" s="112"/>
    </row>
    <row r="50" spans="1:276" x14ac:dyDescent="0.25">
      <c r="A50" s="110"/>
      <c r="B50" s="110"/>
      <c r="C50" s="110"/>
      <c r="D50" s="110"/>
      <c r="E50" s="110"/>
      <c r="F50" s="110"/>
      <c r="G50" s="110"/>
      <c r="H50" s="110"/>
      <c r="I50" s="110"/>
      <c r="J50" s="110"/>
      <c r="K50" s="110"/>
      <c r="L50" s="110"/>
      <c r="M50" s="110"/>
      <c r="N50" s="110"/>
      <c r="O50" s="110"/>
      <c r="P50" s="110"/>
      <c r="Q50" s="110"/>
      <c r="R50" s="110"/>
      <c r="S50" s="110"/>
      <c r="T50" s="110"/>
      <c r="U50" s="110"/>
      <c r="V50" s="110"/>
      <c r="W50" s="110">
        <v>45000</v>
      </c>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c r="CH50" s="110"/>
      <c r="CI50" s="110"/>
      <c r="CJ50" s="110"/>
      <c r="CK50" s="110"/>
      <c r="CL50" s="110"/>
      <c r="CM50" s="110"/>
      <c r="CN50" s="110"/>
      <c r="CO50" s="110"/>
      <c r="CP50" s="110"/>
      <c r="CQ50" s="110"/>
      <c r="CR50" s="110"/>
      <c r="CS50" s="110"/>
      <c r="CT50" s="110"/>
      <c r="CU50" s="110"/>
      <c r="CV50" s="110"/>
      <c r="CW50" s="110"/>
      <c r="CX50" s="110"/>
      <c r="CY50" s="110"/>
      <c r="CZ50" s="110"/>
      <c r="DA50" s="110"/>
      <c r="DB50" s="110"/>
      <c r="DC50" s="110"/>
      <c r="DD50" s="110"/>
      <c r="DE50" s="110"/>
      <c r="DF50" s="110"/>
      <c r="DG50" s="110"/>
      <c r="DH50" s="110"/>
      <c r="DI50" s="110"/>
      <c r="DJ50" s="110"/>
      <c r="DK50" s="110"/>
      <c r="DL50" s="110"/>
      <c r="DM50" s="110"/>
      <c r="DN50" s="110"/>
      <c r="DO50" s="110"/>
      <c r="DP50" s="110"/>
      <c r="DQ50" s="110"/>
      <c r="DR50" s="110"/>
      <c r="DS50" s="110"/>
      <c r="DT50" s="110"/>
      <c r="DU50" s="110"/>
      <c r="DV50" s="110"/>
      <c r="DW50" s="110"/>
      <c r="DX50" s="110"/>
      <c r="DY50" s="110"/>
      <c r="DZ50" s="110"/>
      <c r="EA50" s="110"/>
      <c r="EB50" s="110"/>
      <c r="EC50" s="110"/>
      <c r="ED50" s="110"/>
      <c r="EE50" s="110"/>
      <c r="EF50" s="110"/>
      <c r="EG50" s="110"/>
      <c r="EH50" s="110"/>
      <c r="EI50" s="110"/>
      <c r="EJ50" s="110"/>
      <c r="EK50" s="110"/>
      <c r="EL50" s="110"/>
      <c r="EM50" s="110"/>
      <c r="EN50" s="110"/>
      <c r="EO50" s="110"/>
      <c r="EP50" s="110"/>
      <c r="EQ50" s="110"/>
      <c r="ER50" s="110"/>
      <c r="ES50" s="110"/>
      <c r="ET50" s="110"/>
      <c r="EU50" s="110"/>
      <c r="EV50" s="110"/>
      <c r="EW50" s="110"/>
      <c r="EX50" s="110"/>
      <c r="EY50" s="110"/>
      <c r="EZ50" s="110"/>
      <c r="FA50" s="110"/>
      <c r="FB50" s="110"/>
      <c r="FC50" s="110"/>
      <c r="FD50" s="110"/>
      <c r="FE50" s="110"/>
      <c r="FF50" s="110"/>
      <c r="FG50" s="110"/>
      <c r="FH50" s="110"/>
      <c r="FI50" s="110"/>
      <c r="FJ50" s="110"/>
      <c r="FK50" s="110"/>
      <c r="FL50" s="110"/>
      <c r="FM50" s="110"/>
      <c r="FN50" s="110"/>
      <c r="FO50" s="110"/>
      <c r="FP50" s="110"/>
      <c r="FQ50" s="110"/>
      <c r="FR50" s="110"/>
      <c r="FS50" s="110"/>
      <c r="FT50" s="110"/>
      <c r="FU50" s="110"/>
      <c r="FV50" s="110"/>
      <c r="FW50" s="110"/>
      <c r="FX50" s="110"/>
      <c r="FY50" s="110"/>
      <c r="FZ50" s="110"/>
      <c r="GA50" s="110"/>
      <c r="GB50" s="110"/>
      <c r="GC50" s="110"/>
      <c r="GD50" s="110"/>
      <c r="GE50" s="110"/>
      <c r="GF50" s="110"/>
      <c r="GG50" s="110"/>
      <c r="GH50" s="110"/>
      <c r="GI50" s="110"/>
      <c r="GJ50" s="110"/>
      <c r="GK50" s="110"/>
      <c r="GL50" s="110"/>
      <c r="GM50" s="110"/>
      <c r="GN50" s="110"/>
      <c r="GO50" s="110"/>
      <c r="GP50" s="110"/>
      <c r="GQ50" s="110"/>
      <c r="GR50" s="110"/>
      <c r="GS50" s="110"/>
      <c r="GT50" s="110"/>
      <c r="GU50" s="110"/>
      <c r="GV50" s="110"/>
      <c r="GW50" s="110"/>
      <c r="GX50" s="110"/>
      <c r="GY50" s="110"/>
      <c r="GZ50" s="110"/>
      <c r="HA50" s="110"/>
      <c r="HB50" s="110"/>
      <c r="HC50" s="110"/>
      <c r="HD50" s="110"/>
      <c r="HE50" s="110"/>
      <c r="HF50" s="110"/>
      <c r="HG50" s="110"/>
      <c r="HH50" s="110"/>
      <c r="HI50" s="110"/>
      <c r="HJ50" s="110"/>
      <c r="HK50" s="110"/>
      <c r="HL50" s="110"/>
      <c r="HM50" s="110"/>
      <c r="HN50" s="110"/>
      <c r="HO50" s="110"/>
      <c r="HP50" s="110"/>
      <c r="HQ50" s="110"/>
      <c r="HR50" s="110"/>
      <c r="HS50" s="110"/>
      <c r="HT50" s="110"/>
      <c r="HU50" s="110"/>
      <c r="HV50" s="110"/>
      <c r="HW50" s="110"/>
      <c r="HX50" s="110"/>
      <c r="HY50" s="110"/>
      <c r="HZ50" s="110"/>
      <c r="IA50" s="110"/>
      <c r="IB50" s="110"/>
      <c r="IC50" s="110"/>
      <c r="ID50" s="110"/>
      <c r="IE50" s="110"/>
      <c r="IF50" s="110"/>
      <c r="IG50" s="110"/>
      <c r="IH50" s="110"/>
      <c r="II50" s="110"/>
      <c r="IJ50" s="110"/>
      <c r="IK50" s="110"/>
      <c r="IL50" s="110"/>
      <c r="IM50" s="110"/>
      <c r="IN50" s="110"/>
      <c r="IO50" s="110"/>
      <c r="IP50" s="110"/>
      <c r="IQ50" s="110"/>
      <c r="IR50" s="110"/>
      <c r="IS50" s="110"/>
      <c r="IT50" s="110"/>
      <c r="IU50" s="110"/>
      <c r="IV50" s="110"/>
      <c r="IW50" s="110"/>
      <c r="IX50" s="110"/>
      <c r="IY50" s="110"/>
      <c r="IZ50" s="110"/>
      <c r="JA50" s="110"/>
      <c r="JB50" s="110"/>
      <c r="JC50" s="110"/>
      <c r="JD50" s="110"/>
      <c r="JE50" s="110"/>
      <c r="JF50" s="110"/>
      <c r="JG50" s="110"/>
      <c r="JH50" s="110"/>
      <c r="JI50" s="107">
        <f t="shared" si="1"/>
        <v>45000</v>
      </c>
      <c r="JJ50" s="297">
        <v>2957</v>
      </c>
      <c r="JK50" s="110"/>
      <c r="JL50" s="112"/>
      <c r="JM50" s="112"/>
      <c r="JN50" s="112"/>
      <c r="JO50" s="112"/>
      <c r="JP50" s="112"/>
    </row>
    <row r="51" spans="1:276" x14ac:dyDescent="0.25">
      <c r="A51" s="110"/>
      <c r="B51" s="110"/>
      <c r="C51" s="110"/>
      <c r="D51" s="110"/>
      <c r="E51" s="110"/>
      <c r="F51" s="110"/>
      <c r="G51" s="110"/>
      <c r="H51" s="110"/>
      <c r="I51" s="110"/>
      <c r="J51" s="110">
        <v>1130531.03</v>
      </c>
      <c r="K51" s="110"/>
      <c r="L51" s="110"/>
      <c r="M51" s="110"/>
      <c r="N51" s="110"/>
      <c r="O51" s="110"/>
      <c r="P51" s="110"/>
      <c r="Q51" s="110"/>
      <c r="R51" s="110"/>
      <c r="S51" s="110"/>
      <c r="T51" s="110"/>
      <c r="U51" s="110"/>
      <c r="V51" s="110"/>
      <c r="W51" s="110"/>
      <c r="X51" s="110"/>
      <c r="Y51" s="110"/>
      <c r="Z51" s="110"/>
      <c r="AA51" s="110"/>
      <c r="AB51" s="110"/>
      <c r="AC51" s="110"/>
      <c r="AD51" s="110"/>
      <c r="AE51" s="110"/>
      <c r="AF51" s="110"/>
      <c r="AG51" s="110"/>
      <c r="AH51" s="110"/>
      <c r="AI51" s="110"/>
      <c r="AJ51" s="110"/>
      <c r="AK51" s="110">
        <v>80154.649999999994</v>
      </c>
      <c r="AL51" s="110">
        <v>80267.7</v>
      </c>
      <c r="AM51" s="110">
        <v>13466.76</v>
      </c>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110"/>
      <c r="CG51" s="110"/>
      <c r="CH51" s="110"/>
      <c r="CI51" s="110"/>
      <c r="CJ51" s="110"/>
      <c r="CK51" s="110"/>
      <c r="CL51" s="110"/>
      <c r="CM51" s="110"/>
      <c r="CN51" s="110"/>
      <c r="CO51" s="110"/>
      <c r="CP51" s="110"/>
      <c r="CQ51" s="110"/>
      <c r="CR51" s="110"/>
      <c r="CS51" s="110"/>
      <c r="CT51" s="110"/>
      <c r="CU51" s="110"/>
      <c r="CV51" s="110"/>
      <c r="CW51" s="110"/>
      <c r="CX51" s="110"/>
      <c r="CY51" s="110"/>
      <c r="CZ51" s="110"/>
      <c r="DA51" s="110"/>
      <c r="DB51" s="110"/>
      <c r="DC51" s="110"/>
      <c r="DD51" s="110"/>
      <c r="DE51" s="110"/>
      <c r="DF51" s="110"/>
      <c r="DG51" s="110"/>
      <c r="DH51" s="110"/>
      <c r="DI51" s="110"/>
      <c r="DJ51" s="110"/>
      <c r="DK51" s="110"/>
      <c r="DL51" s="110"/>
      <c r="DM51" s="110"/>
      <c r="DN51" s="110"/>
      <c r="DO51" s="110"/>
      <c r="DP51" s="110"/>
      <c r="DQ51" s="110"/>
      <c r="DR51" s="110"/>
      <c r="DS51" s="110"/>
      <c r="DT51" s="110"/>
      <c r="DU51" s="110"/>
      <c r="DV51" s="110"/>
      <c r="DW51" s="110"/>
      <c r="DX51" s="110"/>
      <c r="DY51" s="110"/>
      <c r="DZ51" s="110"/>
      <c r="EA51" s="110"/>
      <c r="EB51" s="110"/>
      <c r="EC51" s="110"/>
      <c r="ED51" s="110"/>
      <c r="EE51" s="110"/>
      <c r="EF51" s="110"/>
      <c r="EG51" s="110"/>
      <c r="EH51" s="110"/>
      <c r="EI51" s="110"/>
      <c r="EJ51" s="110"/>
      <c r="EK51" s="110"/>
      <c r="EL51" s="110"/>
      <c r="EM51" s="110"/>
      <c r="EN51" s="110"/>
      <c r="EO51" s="110"/>
      <c r="EP51" s="110"/>
      <c r="EQ51" s="110"/>
      <c r="ER51" s="110"/>
      <c r="ES51" s="110"/>
      <c r="ET51" s="110"/>
      <c r="EU51" s="110"/>
      <c r="EV51" s="110"/>
      <c r="EW51" s="110"/>
      <c r="EX51" s="110"/>
      <c r="EY51" s="110"/>
      <c r="EZ51" s="110"/>
      <c r="FA51" s="110"/>
      <c r="FB51" s="110"/>
      <c r="FC51" s="110"/>
      <c r="FD51" s="110"/>
      <c r="FE51" s="110"/>
      <c r="FF51" s="110"/>
      <c r="FG51" s="110"/>
      <c r="FH51" s="110"/>
      <c r="FI51" s="110"/>
      <c r="FJ51" s="110"/>
      <c r="FK51" s="110"/>
      <c r="FL51" s="110"/>
      <c r="FM51" s="110"/>
      <c r="FN51" s="110"/>
      <c r="FO51" s="110"/>
      <c r="FP51" s="110"/>
      <c r="FQ51" s="110"/>
      <c r="FR51" s="110"/>
      <c r="FS51" s="110"/>
      <c r="FT51" s="110"/>
      <c r="FU51" s="110"/>
      <c r="FV51" s="110"/>
      <c r="FW51" s="110"/>
      <c r="FX51" s="110"/>
      <c r="FY51" s="110"/>
      <c r="FZ51" s="110"/>
      <c r="GA51" s="110"/>
      <c r="GB51" s="110"/>
      <c r="GC51" s="110"/>
      <c r="GD51" s="110"/>
      <c r="GE51" s="110"/>
      <c r="GF51" s="110"/>
      <c r="GG51" s="110"/>
      <c r="GH51" s="110"/>
      <c r="GI51" s="110"/>
      <c r="GJ51" s="110"/>
      <c r="GK51" s="110"/>
      <c r="GL51" s="110"/>
      <c r="GM51" s="110"/>
      <c r="GN51" s="110"/>
      <c r="GO51" s="110"/>
      <c r="GP51" s="110"/>
      <c r="GQ51" s="110"/>
      <c r="GR51" s="110"/>
      <c r="GS51" s="110"/>
      <c r="GT51" s="110"/>
      <c r="GU51" s="110"/>
      <c r="GV51" s="110"/>
      <c r="GW51" s="110"/>
      <c r="GX51" s="110"/>
      <c r="GY51" s="110"/>
      <c r="GZ51" s="110"/>
      <c r="HA51" s="110"/>
      <c r="HB51" s="110"/>
      <c r="HC51" s="110"/>
      <c r="HD51" s="110"/>
      <c r="HE51" s="110"/>
      <c r="HF51" s="110"/>
      <c r="HG51" s="110"/>
      <c r="HH51" s="110"/>
      <c r="HI51" s="110"/>
      <c r="HJ51" s="110"/>
      <c r="HK51" s="110"/>
      <c r="HL51" s="110"/>
      <c r="HM51" s="110"/>
      <c r="HN51" s="110"/>
      <c r="HO51" s="110"/>
      <c r="HP51" s="110"/>
      <c r="HQ51" s="110"/>
      <c r="HR51" s="110"/>
      <c r="HS51" s="110"/>
      <c r="HT51" s="110"/>
      <c r="HU51" s="110"/>
      <c r="HV51" s="110"/>
      <c r="HW51" s="110"/>
      <c r="HX51" s="110"/>
      <c r="HY51" s="110"/>
      <c r="HZ51" s="110"/>
      <c r="IA51" s="110"/>
      <c r="IB51" s="110"/>
      <c r="IC51" s="110"/>
      <c r="ID51" s="110"/>
      <c r="IE51" s="110"/>
      <c r="IF51" s="110"/>
      <c r="IG51" s="110"/>
      <c r="IH51" s="110"/>
      <c r="II51" s="110"/>
      <c r="IJ51" s="110"/>
      <c r="IK51" s="110"/>
      <c r="IL51" s="110"/>
      <c r="IM51" s="110"/>
      <c r="IN51" s="110"/>
      <c r="IO51" s="110"/>
      <c r="IP51" s="110"/>
      <c r="IQ51" s="110"/>
      <c r="IR51" s="110"/>
      <c r="IS51" s="110"/>
      <c r="IT51" s="110"/>
      <c r="IU51" s="110"/>
      <c r="IV51" s="110"/>
      <c r="IW51" s="110"/>
      <c r="IX51" s="110"/>
      <c r="IY51" s="110"/>
      <c r="IZ51" s="110"/>
      <c r="JA51" s="110"/>
      <c r="JB51" s="110"/>
      <c r="JC51" s="110"/>
      <c r="JD51" s="110"/>
      <c r="JE51" s="110"/>
      <c r="JF51" s="110"/>
      <c r="JG51" s="110"/>
      <c r="JH51" s="110"/>
      <c r="JI51" s="107">
        <f t="shared" si="1"/>
        <v>1304420.1399999999</v>
      </c>
      <c r="JJ51" s="297">
        <v>2959</v>
      </c>
      <c r="JK51" s="110"/>
      <c r="JL51" s="112"/>
      <c r="JM51" s="112"/>
      <c r="JN51" s="112"/>
      <c r="JO51" s="112"/>
      <c r="JP51" s="112"/>
    </row>
    <row r="52" spans="1:276" x14ac:dyDescent="0.25">
      <c r="A52" s="110">
        <v>57782790.159999996</v>
      </c>
      <c r="B52" s="110"/>
      <c r="C52" s="110"/>
      <c r="D52" s="110"/>
      <c r="E52" s="110"/>
      <c r="F52" s="110"/>
      <c r="G52" s="110"/>
      <c r="H52" s="110"/>
      <c r="I52" s="110"/>
      <c r="J52" s="110"/>
      <c r="K52" s="110"/>
      <c r="L52" s="110"/>
      <c r="M52" s="110"/>
      <c r="N52" s="110"/>
      <c r="O52" s="110"/>
      <c r="P52" s="110"/>
      <c r="Q52" s="110"/>
      <c r="R52" s="110"/>
      <c r="S52" s="110">
        <v>2707086.2</v>
      </c>
      <c r="T52" s="110"/>
      <c r="U52" s="110"/>
      <c r="V52" s="110"/>
      <c r="W52" s="110"/>
      <c r="X52" s="110"/>
      <c r="Y52" s="110"/>
      <c r="Z52" s="110">
        <v>306200</v>
      </c>
      <c r="AA52" s="110"/>
      <c r="AB52" s="110">
        <f>101150.82+185443.17</f>
        <v>286593.99</v>
      </c>
      <c r="AC52" s="110"/>
      <c r="AD52" s="110"/>
      <c r="AE52" s="110"/>
      <c r="AF52" s="110"/>
      <c r="AG52" s="110"/>
      <c r="AH52" s="110"/>
      <c r="AI52" s="110"/>
      <c r="AJ52" s="110"/>
      <c r="AK52" s="110">
        <v>4096800.52</v>
      </c>
      <c r="AL52" s="110">
        <v>4102579.77</v>
      </c>
      <c r="AM52" s="110">
        <v>692105.17</v>
      </c>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c r="CH52" s="110"/>
      <c r="CI52" s="110"/>
      <c r="CJ52" s="110"/>
      <c r="CK52" s="110"/>
      <c r="CL52" s="110"/>
      <c r="CM52" s="110"/>
      <c r="CN52" s="110"/>
      <c r="CO52" s="110"/>
      <c r="CP52" s="110"/>
      <c r="CQ52" s="110"/>
      <c r="CR52" s="110"/>
      <c r="CS52" s="110"/>
      <c r="CT52" s="110"/>
      <c r="CU52" s="110"/>
      <c r="CV52" s="110"/>
      <c r="CW52" s="110"/>
      <c r="CX52" s="110"/>
      <c r="CY52" s="110"/>
      <c r="CZ52" s="110"/>
      <c r="DA52" s="110"/>
      <c r="DB52" s="110"/>
      <c r="DC52" s="110"/>
      <c r="DD52" s="110"/>
      <c r="DE52" s="110"/>
      <c r="DF52" s="110"/>
      <c r="DG52" s="110"/>
      <c r="DH52" s="110"/>
      <c r="DI52" s="110"/>
      <c r="DJ52" s="110"/>
      <c r="DK52" s="110"/>
      <c r="DL52" s="110"/>
      <c r="DM52" s="110"/>
      <c r="DN52" s="110"/>
      <c r="DO52" s="110"/>
      <c r="DP52" s="110"/>
      <c r="DQ52" s="110"/>
      <c r="DR52" s="110"/>
      <c r="DS52" s="110"/>
      <c r="DT52" s="110"/>
      <c r="DU52" s="110"/>
      <c r="DV52" s="110"/>
      <c r="DW52" s="110"/>
      <c r="DX52" s="110"/>
      <c r="DY52" s="110"/>
      <c r="DZ52" s="110"/>
      <c r="EA52" s="110"/>
      <c r="EB52" s="110"/>
      <c r="EC52" s="110"/>
      <c r="ED52" s="110"/>
      <c r="EE52" s="110"/>
      <c r="EF52" s="110"/>
      <c r="EG52" s="110"/>
      <c r="EH52" s="110"/>
      <c r="EI52" s="110"/>
      <c r="EJ52" s="110"/>
      <c r="EK52" s="110"/>
      <c r="EL52" s="110"/>
      <c r="EM52" s="110"/>
      <c r="EN52" s="110"/>
      <c r="EO52" s="110"/>
      <c r="EP52" s="110"/>
      <c r="EQ52" s="110"/>
      <c r="ER52" s="110"/>
      <c r="ES52" s="110"/>
      <c r="ET52" s="110"/>
      <c r="EU52" s="110"/>
      <c r="EV52" s="110"/>
      <c r="EW52" s="110"/>
      <c r="EX52" s="110"/>
      <c r="EY52" s="110"/>
      <c r="EZ52" s="110"/>
      <c r="FA52" s="110"/>
      <c r="FB52" s="110"/>
      <c r="FC52" s="110"/>
      <c r="FD52" s="110"/>
      <c r="FE52" s="110"/>
      <c r="FF52" s="110"/>
      <c r="FG52" s="110"/>
      <c r="FH52" s="110"/>
      <c r="FI52" s="110"/>
      <c r="FJ52" s="110"/>
      <c r="FK52" s="110"/>
      <c r="FL52" s="110"/>
      <c r="FM52" s="110"/>
      <c r="FN52" s="110"/>
      <c r="FO52" s="110"/>
      <c r="FP52" s="110"/>
      <c r="FQ52" s="110"/>
      <c r="FR52" s="110"/>
      <c r="FS52" s="110"/>
      <c r="FT52" s="110"/>
      <c r="FU52" s="110"/>
      <c r="FV52" s="110"/>
      <c r="FW52" s="110"/>
      <c r="FX52" s="110"/>
      <c r="FY52" s="110"/>
      <c r="FZ52" s="110"/>
      <c r="GA52" s="110"/>
      <c r="GB52" s="110"/>
      <c r="GC52" s="110"/>
      <c r="GD52" s="110"/>
      <c r="GE52" s="110"/>
      <c r="GF52" s="110"/>
      <c r="GG52" s="110"/>
      <c r="GH52" s="110"/>
      <c r="GI52" s="110"/>
      <c r="GJ52" s="110"/>
      <c r="GK52" s="110"/>
      <c r="GL52" s="110"/>
      <c r="GM52" s="110"/>
      <c r="GN52" s="110"/>
      <c r="GO52" s="110"/>
      <c r="GP52" s="110"/>
      <c r="GQ52" s="110"/>
      <c r="GR52" s="110"/>
      <c r="GS52" s="110"/>
      <c r="GT52" s="110"/>
      <c r="GU52" s="110"/>
      <c r="GV52" s="110"/>
      <c r="GW52" s="110"/>
      <c r="GX52" s="110"/>
      <c r="GY52" s="110"/>
      <c r="GZ52" s="110"/>
      <c r="HA52" s="110"/>
      <c r="HB52" s="110"/>
      <c r="HC52" s="110"/>
      <c r="HD52" s="110"/>
      <c r="HE52" s="110"/>
      <c r="HF52" s="110"/>
      <c r="HG52" s="110"/>
      <c r="HH52" s="110"/>
      <c r="HI52" s="110"/>
      <c r="HJ52" s="110"/>
      <c r="HK52" s="110"/>
      <c r="HL52" s="110"/>
      <c r="HM52" s="110"/>
      <c r="HN52" s="110"/>
      <c r="HO52" s="110"/>
      <c r="HP52" s="110"/>
      <c r="HQ52" s="110"/>
      <c r="HR52" s="110"/>
      <c r="HS52" s="110"/>
      <c r="HT52" s="110"/>
      <c r="HU52" s="110"/>
      <c r="HV52" s="110"/>
      <c r="HW52" s="110"/>
      <c r="HX52" s="110"/>
      <c r="HY52" s="110"/>
      <c r="HZ52" s="110"/>
      <c r="IA52" s="110"/>
      <c r="IB52" s="110"/>
      <c r="IC52" s="110"/>
      <c r="ID52" s="110"/>
      <c r="IE52" s="110"/>
      <c r="IF52" s="110"/>
      <c r="IG52" s="110"/>
      <c r="IH52" s="110"/>
      <c r="II52" s="110"/>
      <c r="IJ52" s="110"/>
      <c r="IK52" s="110"/>
      <c r="IL52" s="110"/>
      <c r="IM52" s="110"/>
      <c r="IN52" s="110"/>
      <c r="IO52" s="110"/>
      <c r="IP52" s="110"/>
      <c r="IQ52" s="110"/>
      <c r="IR52" s="110"/>
      <c r="IS52" s="110"/>
      <c r="IT52" s="110"/>
      <c r="IU52" s="110"/>
      <c r="IV52" s="110"/>
      <c r="IW52" s="110"/>
      <c r="IX52" s="110"/>
      <c r="IY52" s="110"/>
      <c r="IZ52" s="110"/>
      <c r="JA52" s="110"/>
      <c r="JB52" s="110"/>
      <c r="JC52" s="110"/>
      <c r="JD52" s="110"/>
      <c r="JE52" s="110"/>
      <c r="JF52" s="110"/>
      <c r="JG52" s="110"/>
      <c r="JH52" s="110"/>
      <c r="JI52" s="107">
        <f t="shared" si="1"/>
        <v>69974155.810000002</v>
      </c>
      <c r="JJ52" s="297">
        <v>2961</v>
      </c>
      <c r="JK52" s="110"/>
      <c r="JL52" s="112"/>
      <c r="JM52" s="112"/>
      <c r="JN52" s="112"/>
      <c r="JO52" s="112"/>
      <c r="JP52" s="112"/>
    </row>
    <row r="53" spans="1:276" x14ac:dyDescent="0.25">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0"/>
      <c r="CD53" s="110"/>
      <c r="CE53" s="110"/>
      <c r="CF53" s="110"/>
      <c r="CG53" s="110"/>
      <c r="CH53" s="110"/>
      <c r="CI53" s="110"/>
      <c r="CJ53" s="110"/>
      <c r="CK53" s="110"/>
      <c r="CL53" s="110"/>
      <c r="CM53" s="110"/>
      <c r="CN53" s="110"/>
      <c r="CO53" s="110"/>
      <c r="CP53" s="110"/>
      <c r="CQ53" s="110"/>
      <c r="CR53" s="110"/>
      <c r="CS53" s="110"/>
      <c r="CT53" s="110"/>
      <c r="CU53" s="110"/>
      <c r="CV53" s="110"/>
      <c r="CW53" s="110"/>
      <c r="CX53" s="110"/>
      <c r="CY53" s="110"/>
      <c r="CZ53" s="110"/>
      <c r="DA53" s="110"/>
      <c r="DB53" s="110"/>
      <c r="DC53" s="110"/>
      <c r="DD53" s="110"/>
      <c r="DE53" s="110"/>
      <c r="DF53" s="110"/>
      <c r="DG53" s="110"/>
      <c r="DH53" s="110"/>
      <c r="DI53" s="110"/>
      <c r="DJ53" s="110"/>
      <c r="DK53" s="110"/>
      <c r="DL53" s="110"/>
      <c r="DM53" s="110"/>
      <c r="DN53" s="110"/>
      <c r="DO53" s="110"/>
      <c r="DP53" s="110"/>
      <c r="DQ53" s="110"/>
      <c r="DR53" s="110"/>
      <c r="DS53" s="110"/>
      <c r="DT53" s="110"/>
      <c r="DU53" s="110"/>
      <c r="DV53" s="110"/>
      <c r="DW53" s="110"/>
      <c r="DX53" s="110"/>
      <c r="DY53" s="110"/>
      <c r="DZ53" s="110"/>
      <c r="EA53" s="110">
        <v>128000</v>
      </c>
      <c r="EB53" s="110"/>
      <c r="EC53" s="110"/>
      <c r="ED53" s="110"/>
      <c r="EE53" s="110"/>
      <c r="EF53" s="110"/>
      <c r="EG53" s="110"/>
      <c r="EH53" s="110"/>
      <c r="EI53" s="110"/>
      <c r="EJ53" s="110"/>
      <c r="EK53" s="110"/>
      <c r="EL53" s="110"/>
      <c r="EM53" s="110"/>
      <c r="EN53" s="110"/>
      <c r="EO53" s="110"/>
      <c r="EP53" s="110"/>
      <c r="EQ53" s="110"/>
      <c r="ER53" s="110"/>
      <c r="ES53" s="110"/>
      <c r="ET53" s="110"/>
      <c r="EU53" s="110"/>
      <c r="EV53" s="110"/>
      <c r="EW53" s="110"/>
      <c r="EX53" s="110"/>
      <c r="EY53" s="110"/>
      <c r="EZ53" s="110"/>
      <c r="FA53" s="110"/>
      <c r="FB53" s="110"/>
      <c r="FC53" s="110"/>
      <c r="FD53" s="110"/>
      <c r="FE53" s="110"/>
      <c r="FF53" s="110"/>
      <c r="FG53" s="110"/>
      <c r="FH53" s="110"/>
      <c r="FI53" s="110"/>
      <c r="FJ53" s="110"/>
      <c r="FK53" s="110"/>
      <c r="FL53" s="110"/>
      <c r="FM53" s="110"/>
      <c r="FN53" s="110"/>
      <c r="FO53" s="110"/>
      <c r="FP53" s="110"/>
      <c r="FQ53" s="110"/>
      <c r="FR53" s="110"/>
      <c r="FS53" s="110"/>
      <c r="FT53" s="110"/>
      <c r="FU53" s="110"/>
      <c r="FV53" s="110"/>
      <c r="FW53" s="110"/>
      <c r="FX53" s="110"/>
      <c r="FY53" s="110"/>
      <c r="FZ53" s="110"/>
      <c r="GA53" s="110"/>
      <c r="GB53" s="110"/>
      <c r="GC53" s="110"/>
      <c r="GD53" s="110"/>
      <c r="GE53" s="110"/>
      <c r="GF53" s="110"/>
      <c r="GG53" s="110"/>
      <c r="GH53" s="110"/>
      <c r="GI53" s="110"/>
      <c r="GJ53" s="110"/>
      <c r="GK53" s="110"/>
      <c r="GL53" s="110"/>
      <c r="GM53" s="110"/>
      <c r="GN53" s="110"/>
      <c r="GO53" s="110"/>
      <c r="GP53" s="110"/>
      <c r="GQ53" s="110"/>
      <c r="GR53" s="110"/>
      <c r="GS53" s="110"/>
      <c r="GT53" s="110"/>
      <c r="GU53" s="110"/>
      <c r="GV53" s="110"/>
      <c r="GW53" s="110"/>
      <c r="GX53" s="110"/>
      <c r="GY53" s="110"/>
      <c r="GZ53" s="110"/>
      <c r="HA53" s="110"/>
      <c r="HB53" s="110"/>
      <c r="HC53" s="110"/>
      <c r="HD53" s="110"/>
      <c r="HE53" s="110"/>
      <c r="HF53" s="110"/>
      <c r="HG53" s="110"/>
      <c r="HH53" s="110"/>
      <c r="HI53" s="110"/>
      <c r="HJ53" s="110"/>
      <c r="HK53" s="110"/>
      <c r="HL53" s="110"/>
      <c r="HM53" s="110"/>
      <c r="HN53" s="110"/>
      <c r="HO53" s="110"/>
      <c r="HP53" s="110"/>
      <c r="HQ53" s="110"/>
      <c r="HR53" s="110"/>
      <c r="HS53" s="110"/>
      <c r="HT53" s="110"/>
      <c r="HU53" s="110"/>
      <c r="HV53" s="110"/>
      <c r="HW53" s="110"/>
      <c r="HX53" s="110"/>
      <c r="HY53" s="110"/>
      <c r="HZ53" s="110"/>
      <c r="IA53" s="110"/>
      <c r="IB53" s="110"/>
      <c r="IC53" s="110"/>
      <c r="ID53" s="110"/>
      <c r="IE53" s="110"/>
      <c r="IF53" s="110"/>
      <c r="IG53" s="110"/>
      <c r="IH53" s="110"/>
      <c r="II53" s="110"/>
      <c r="IJ53" s="110"/>
      <c r="IK53" s="110"/>
      <c r="IL53" s="110"/>
      <c r="IM53" s="110"/>
      <c r="IN53" s="110"/>
      <c r="IO53" s="110"/>
      <c r="IP53" s="110"/>
      <c r="IQ53" s="110"/>
      <c r="IR53" s="110"/>
      <c r="IS53" s="110"/>
      <c r="IT53" s="110"/>
      <c r="IU53" s="110"/>
      <c r="IV53" s="110"/>
      <c r="IW53" s="110"/>
      <c r="IX53" s="110"/>
      <c r="IY53" s="110"/>
      <c r="IZ53" s="110"/>
      <c r="JA53" s="110"/>
      <c r="JB53" s="110"/>
      <c r="JC53" s="110"/>
      <c r="JD53" s="110"/>
      <c r="JE53" s="110"/>
      <c r="JF53" s="110"/>
      <c r="JG53" s="110"/>
      <c r="JH53" s="110"/>
      <c r="JI53" s="107">
        <f t="shared" si="1"/>
        <v>128000</v>
      </c>
      <c r="JJ53" s="297">
        <v>2989</v>
      </c>
      <c r="JK53" s="110"/>
      <c r="JL53" s="112"/>
      <c r="JM53" s="112"/>
      <c r="JN53" s="112"/>
      <c r="JO53" s="112"/>
      <c r="JP53" s="112"/>
    </row>
    <row r="54" spans="1:276" x14ac:dyDescent="0.25">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0"/>
      <c r="CD54" s="110"/>
      <c r="CE54" s="110"/>
      <c r="CF54" s="110"/>
      <c r="CG54" s="110"/>
      <c r="CH54" s="110"/>
      <c r="CI54" s="110"/>
      <c r="CJ54" s="110"/>
      <c r="CK54" s="110"/>
      <c r="CL54" s="110"/>
      <c r="CM54" s="110"/>
      <c r="CN54" s="110"/>
      <c r="CO54" s="110"/>
      <c r="CP54" s="110"/>
      <c r="CQ54" s="110"/>
      <c r="CR54" s="110"/>
      <c r="CS54" s="110"/>
      <c r="CT54" s="110"/>
      <c r="CU54" s="110"/>
      <c r="CV54" s="110"/>
      <c r="CW54" s="110"/>
      <c r="CX54" s="110"/>
      <c r="CY54" s="110"/>
      <c r="CZ54" s="110"/>
      <c r="DA54" s="110"/>
      <c r="DB54" s="110"/>
      <c r="DC54" s="110"/>
      <c r="DD54" s="110"/>
      <c r="DE54" s="110"/>
      <c r="DF54" s="110"/>
      <c r="DG54" s="110"/>
      <c r="DH54" s="110"/>
      <c r="DI54" s="110"/>
      <c r="DJ54" s="110"/>
      <c r="DK54" s="110"/>
      <c r="DL54" s="110"/>
      <c r="DM54" s="110"/>
      <c r="DN54" s="110"/>
      <c r="DO54" s="110"/>
      <c r="DP54" s="110"/>
      <c r="DQ54" s="110"/>
      <c r="DR54" s="110"/>
      <c r="DS54" s="110"/>
      <c r="DT54" s="110"/>
      <c r="DU54" s="110"/>
      <c r="DV54" s="110"/>
      <c r="DW54" s="110"/>
      <c r="DX54" s="110"/>
      <c r="DY54" s="110"/>
      <c r="DZ54" s="110"/>
      <c r="EA54" s="110">
        <v>210000</v>
      </c>
      <c r="EB54" s="110"/>
      <c r="EC54" s="110"/>
      <c r="ED54" s="110"/>
      <c r="EE54" s="110"/>
      <c r="EF54" s="110"/>
      <c r="EG54" s="110"/>
      <c r="EH54" s="110"/>
      <c r="EI54" s="110"/>
      <c r="EJ54" s="110"/>
      <c r="EK54" s="110"/>
      <c r="EL54" s="110"/>
      <c r="EM54" s="110"/>
      <c r="EN54" s="110"/>
      <c r="EO54" s="110"/>
      <c r="EP54" s="110"/>
      <c r="EQ54" s="110"/>
      <c r="ER54" s="110"/>
      <c r="ES54" s="110"/>
      <c r="ET54" s="110"/>
      <c r="EU54" s="110"/>
      <c r="EV54" s="110"/>
      <c r="EW54" s="110"/>
      <c r="EX54" s="110"/>
      <c r="EY54" s="110"/>
      <c r="EZ54" s="110"/>
      <c r="FA54" s="110"/>
      <c r="FB54" s="110"/>
      <c r="FC54" s="110"/>
      <c r="FD54" s="110"/>
      <c r="FE54" s="110"/>
      <c r="FF54" s="110"/>
      <c r="FG54" s="110"/>
      <c r="FH54" s="110"/>
      <c r="FI54" s="110"/>
      <c r="FJ54" s="110"/>
      <c r="FK54" s="110"/>
      <c r="FL54" s="110"/>
      <c r="FM54" s="110"/>
      <c r="FN54" s="110"/>
      <c r="FO54" s="110"/>
      <c r="FP54" s="110"/>
      <c r="FQ54" s="110"/>
      <c r="FR54" s="110"/>
      <c r="FS54" s="110"/>
      <c r="FT54" s="110"/>
      <c r="FU54" s="110"/>
      <c r="FV54" s="110"/>
      <c r="FW54" s="110"/>
      <c r="FX54" s="110"/>
      <c r="FY54" s="110"/>
      <c r="FZ54" s="110"/>
      <c r="GA54" s="110"/>
      <c r="GB54" s="110"/>
      <c r="GC54" s="110"/>
      <c r="GD54" s="110"/>
      <c r="GE54" s="110"/>
      <c r="GF54" s="110"/>
      <c r="GG54" s="110"/>
      <c r="GH54" s="110"/>
      <c r="GI54" s="110"/>
      <c r="GJ54" s="110"/>
      <c r="GK54" s="110"/>
      <c r="GL54" s="110"/>
      <c r="GM54" s="110"/>
      <c r="GN54" s="110"/>
      <c r="GO54" s="110"/>
      <c r="GP54" s="110"/>
      <c r="GQ54" s="110"/>
      <c r="GR54" s="110"/>
      <c r="GS54" s="110"/>
      <c r="GT54" s="110"/>
      <c r="GU54" s="110"/>
      <c r="GV54" s="110"/>
      <c r="GW54" s="110"/>
      <c r="GX54" s="110"/>
      <c r="GY54" s="110"/>
      <c r="GZ54" s="110"/>
      <c r="HA54" s="110"/>
      <c r="HB54" s="110"/>
      <c r="HC54" s="110"/>
      <c r="HD54" s="110"/>
      <c r="HE54" s="110"/>
      <c r="HF54" s="110"/>
      <c r="HG54" s="110"/>
      <c r="HH54" s="110"/>
      <c r="HI54" s="110"/>
      <c r="HJ54" s="110"/>
      <c r="HK54" s="110"/>
      <c r="HL54" s="110"/>
      <c r="HM54" s="110"/>
      <c r="HN54" s="110"/>
      <c r="HO54" s="110"/>
      <c r="HP54" s="110"/>
      <c r="HQ54" s="110"/>
      <c r="HR54" s="110"/>
      <c r="HS54" s="110"/>
      <c r="HT54" s="110"/>
      <c r="HU54" s="110"/>
      <c r="HV54" s="110"/>
      <c r="HW54" s="110"/>
      <c r="HX54" s="110"/>
      <c r="HY54" s="110"/>
      <c r="HZ54" s="110"/>
      <c r="IA54" s="110"/>
      <c r="IB54" s="110"/>
      <c r="IC54" s="110"/>
      <c r="ID54" s="110"/>
      <c r="IE54" s="110"/>
      <c r="IF54" s="110"/>
      <c r="IG54" s="110"/>
      <c r="IH54" s="110"/>
      <c r="II54" s="110"/>
      <c r="IJ54" s="110"/>
      <c r="IK54" s="110"/>
      <c r="IL54" s="110"/>
      <c r="IM54" s="110"/>
      <c r="IN54" s="110"/>
      <c r="IO54" s="110"/>
      <c r="IP54" s="110"/>
      <c r="IQ54" s="110"/>
      <c r="IR54" s="110"/>
      <c r="IS54" s="110"/>
      <c r="IT54" s="110"/>
      <c r="IU54" s="110"/>
      <c r="IV54" s="110"/>
      <c r="IW54" s="110"/>
      <c r="IX54" s="110"/>
      <c r="IY54" s="110"/>
      <c r="IZ54" s="110"/>
      <c r="JA54" s="110"/>
      <c r="JB54" s="110"/>
      <c r="JC54" s="110"/>
      <c r="JD54" s="110"/>
      <c r="JE54" s="110"/>
      <c r="JF54" s="110"/>
      <c r="JG54" s="110"/>
      <c r="JH54" s="110"/>
      <c r="JI54" s="107">
        <f t="shared" si="1"/>
        <v>210000</v>
      </c>
      <c r="JJ54" s="297">
        <v>2990</v>
      </c>
      <c r="JK54" s="110"/>
      <c r="JL54" s="112"/>
      <c r="JM54" s="112"/>
      <c r="JN54" s="112"/>
      <c r="JO54" s="112"/>
      <c r="JP54" s="112"/>
    </row>
    <row r="55" spans="1:276" x14ac:dyDescent="0.2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0"/>
      <c r="CD55" s="110"/>
      <c r="CE55" s="110"/>
      <c r="CF55" s="110"/>
      <c r="CG55" s="110"/>
      <c r="CH55" s="110"/>
      <c r="CI55" s="110"/>
      <c r="CJ55" s="110"/>
      <c r="CK55" s="110"/>
      <c r="CL55" s="110"/>
      <c r="CM55" s="110"/>
      <c r="CN55" s="110"/>
      <c r="CO55" s="110"/>
      <c r="CP55" s="110"/>
      <c r="CQ55" s="110"/>
      <c r="CR55" s="110"/>
      <c r="CS55" s="110"/>
      <c r="CT55" s="110"/>
      <c r="CU55" s="110"/>
      <c r="CV55" s="110"/>
      <c r="CW55" s="110"/>
      <c r="CX55" s="110"/>
      <c r="CY55" s="110"/>
      <c r="CZ55" s="110"/>
      <c r="DA55" s="110"/>
      <c r="DB55" s="110"/>
      <c r="DC55" s="110"/>
      <c r="DD55" s="110"/>
      <c r="DE55" s="110"/>
      <c r="DF55" s="110"/>
      <c r="DG55" s="110"/>
      <c r="DH55" s="110"/>
      <c r="DI55" s="110"/>
      <c r="DJ55" s="110"/>
      <c r="DK55" s="110"/>
      <c r="DL55" s="110"/>
      <c r="DM55" s="110"/>
      <c r="DN55" s="110"/>
      <c r="DO55" s="110"/>
      <c r="DP55" s="110"/>
      <c r="DQ55" s="110"/>
      <c r="DR55" s="110"/>
      <c r="DS55" s="110"/>
      <c r="DT55" s="110"/>
      <c r="DU55" s="110"/>
      <c r="DV55" s="110"/>
      <c r="DW55" s="110"/>
      <c r="DX55" s="110"/>
      <c r="DY55" s="110"/>
      <c r="DZ55" s="110"/>
      <c r="EA55" s="110">
        <v>245000</v>
      </c>
      <c r="EB55" s="110"/>
      <c r="EC55" s="110"/>
      <c r="ED55" s="110"/>
      <c r="EE55" s="110"/>
      <c r="EF55" s="110"/>
      <c r="EG55" s="110"/>
      <c r="EH55" s="110"/>
      <c r="EI55" s="110"/>
      <c r="EJ55" s="110"/>
      <c r="EK55" s="110"/>
      <c r="EL55" s="110"/>
      <c r="EM55" s="110"/>
      <c r="EN55" s="110"/>
      <c r="EO55" s="110"/>
      <c r="EP55" s="110"/>
      <c r="EQ55" s="110"/>
      <c r="ER55" s="110"/>
      <c r="ES55" s="110"/>
      <c r="ET55" s="110"/>
      <c r="EU55" s="110"/>
      <c r="EV55" s="110"/>
      <c r="EW55" s="110"/>
      <c r="EX55" s="110"/>
      <c r="EY55" s="110"/>
      <c r="EZ55" s="110"/>
      <c r="FA55" s="110"/>
      <c r="FB55" s="110"/>
      <c r="FC55" s="110"/>
      <c r="FD55" s="110"/>
      <c r="FE55" s="110"/>
      <c r="FF55" s="110"/>
      <c r="FG55" s="110"/>
      <c r="FH55" s="110"/>
      <c r="FI55" s="110"/>
      <c r="FJ55" s="110"/>
      <c r="FK55" s="110"/>
      <c r="FL55" s="110"/>
      <c r="FM55" s="110"/>
      <c r="FN55" s="110"/>
      <c r="FO55" s="110"/>
      <c r="FP55" s="110"/>
      <c r="FQ55" s="110"/>
      <c r="FR55" s="110"/>
      <c r="FS55" s="110"/>
      <c r="FT55" s="110"/>
      <c r="FU55" s="110"/>
      <c r="FV55" s="110"/>
      <c r="FW55" s="110"/>
      <c r="FX55" s="110"/>
      <c r="FY55" s="110"/>
      <c r="FZ55" s="110"/>
      <c r="GA55" s="110"/>
      <c r="GB55" s="110"/>
      <c r="GC55" s="110"/>
      <c r="GD55" s="110"/>
      <c r="GE55" s="110"/>
      <c r="GF55" s="110"/>
      <c r="GG55" s="110"/>
      <c r="GH55" s="110"/>
      <c r="GI55" s="110"/>
      <c r="GJ55" s="110"/>
      <c r="GK55" s="110"/>
      <c r="GL55" s="110"/>
      <c r="GM55" s="110"/>
      <c r="GN55" s="110"/>
      <c r="GO55" s="110"/>
      <c r="GP55" s="110"/>
      <c r="GQ55" s="110"/>
      <c r="GR55" s="110"/>
      <c r="GS55" s="110"/>
      <c r="GT55" s="110"/>
      <c r="GU55" s="110"/>
      <c r="GV55" s="110"/>
      <c r="GW55" s="110"/>
      <c r="GX55" s="110"/>
      <c r="GY55" s="110"/>
      <c r="GZ55" s="110"/>
      <c r="HA55" s="110"/>
      <c r="HB55" s="110"/>
      <c r="HC55" s="110"/>
      <c r="HD55" s="110"/>
      <c r="HE55" s="110"/>
      <c r="HF55" s="110"/>
      <c r="HG55" s="110"/>
      <c r="HH55" s="110"/>
      <c r="HI55" s="110"/>
      <c r="HJ55" s="110"/>
      <c r="HK55" s="110"/>
      <c r="HL55" s="110"/>
      <c r="HM55" s="110"/>
      <c r="HN55" s="110"/>
      <c r="HO55" s="110"/>
      <c r="HP55" s="110"/>
      <c r="HQ55" s="110"/>
      <c r="HR55" s="110"/>
      <c r="HS55" s="110"/>
      <c r="HT55" s="110"/>
      <c r="HU55" s="110"/>
      <c r="HV55" s="110"/>
      <c r="HW55" s="110"/>
      <c r="HX55" s="110"/>
      <c r="HY55" s="110"/>
      <c r="HZ55" s="110"/>
      <c r="IA55" s="110"/>
      <c r="IB55" s="110"/>
      <c r="IC55" s="110"/>
      <c r="ID55" s="110"/>
      <c r="IE55" s="110"/>
      <c r="IF55" s="110"/>
      <c r="IG55" s="110"/>
      <c r="IH55" s="110"/>
      <c r="II55" s="110"/>
      <c r="IJ55" s="110"/>
      <c r="IK55" s="110"/>
      <c r="IL55" s="110"/>
      <c r="IM55" s="110"/>
      <c r="IN55" s="110"/>
      <c r="IO55" s="110"/>
      <c r="IP55" s="110"/>
      <c r="IQ55" s="110"/>
      <c r="IR55" s="110"/>
      <c r="IS55" s="110"/>
      <c r="IT55" s="110"/>
      <c r="IU55" s="110"/>
      <c r="IV55" s="110"/>
      <c r="IW55" s="110"/>
      <c r="IX55" s="110"/>
      <c r="IY55" s="110"/>
      <c r="IZ55" s="110"/>
      <c r="JA55" s="110"/>
      <c r="JB55" s="110"/>
      <c r="JC55" s="110"/>
      <c r="JD55" s="110"/>
      <c r="JE55" s="110"/>
      <c r="JF55" s="110"/>
      <c r="JG55" s="110"/>
      <c r="JH55" s="110"/>
      <c r="JI55" s="107">
        <f t="shared" si="1"/>
        <v>245000</v>
      </c>
      <c r="JJ55" s="297">
        <v>2996</v>
      </c>
      <c r="JK55" s="110"/>
      <c r="JL55" s="112"/>
      <c r="JM55" s="112"/>
      <c r="JN55" s="112"/>
      <c r="JO55" s="112"/>
      <c r="JP55" s="112"/>
    </row>
    <row r="56" spans="1:276" x14ac:dyDescent="0.25">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c r="CP56" s="110"/>
      <c r="CQ56" s="110"/>
      <c r="CR56" s="110"/>
      <c r="CS56" s="110"/>
      <c r="CT56" s="110"/>
      <c r="CU56" s="110"/>
      <c r="CV56" s="110"/>
      <c r="CW56" s="110"/>
      <c r="CX56" s="110"/>
      <c r="CY56" s="110"/>
      <c r="CZ56" s="110"/>
      <c r="DA56" s="110"/>
      <c r="DB56" s="110"/>
      <c r="DC56" s="110"/>
      <c r="DD56" s="110"/>
      <c r="DE56" s="110"/>
      <c r="DF56" s="110"/>
      <c r="DG56" s="110"/>
      <c r="DH56" s="110"/>
      <c r="DI56" s="110"/>
      <c r="DJ56" s="110"/>
      <c r="DK56" s="110"/>
      <c r="DL56" s="110"/>
      <c r="DM56" s="110"/>
      <c r="DN56" s="110"/>
      <c r="DO56" s="110"/>
      <c r="DP56" s="110"/>
      <c r="DQ56" s="110"/>
      <c r="DR56" s="110"/>
      <c r="DS56" s="110"/>
      <c r="DT56" s="110"/>
      <c r="DU56" s="110"/>
      <c r="DV56" s="110"/>
      <c r="DW56" s="110"/>
      <c r="DX56" s="110"/>
      <c r="DY56" s="110"/>
      <c r="DZ56" s="110"/>
      <c r="EA56" s="110"/>
      <c r="EB56" s="110"/>
      <c r="EC56" s="110"/>
      <c r="ED56" s="110"/>
      <c r="EE56" s="110"/>
      <c r="EF56" s="110"/>
      <c r="EG56" s="110"/>
      <c r="EH56" s="110"/>
      <c r="EI56" s="110"/>
      <c r="EJ56" s="110"/>
      <c r="EK56" s="110"/>
      <c r="EL56" s="110"/>
      <c r="EM56" s="110"/>
      <c r="EN56" s="110"/>
      <c r="EO56" s="110"/>
      <c r="EP56" s="110"/>
      <c r="EQ56" s="110"/>
      <c r="ER56" s="110"/>
      <c r="ES56" s="110"/>
      <c r="ET56" s="110"/>
      <c r="EU56" s="110"/>
      <c r="EV56" s="110"/>
      <c r="EW56" s="110"/>
      <c r="EX56" s="110"/>
      <c r="EY56" s="110"/>
      <c r="EZ56" s="110"/>
      <c r="FA56" s="110"/>
      <c r="FB56" s="110"/>
      <c r="FC56" s="110"/>
      <c r="FD56" s="110"/>
      <c r="FE56" s="110"/>
      <c r="FF56" s="110"/>
      <c r="FG56" s="110"/>
      <c r="FH56" s="110"/>
      <c r="FI56" s="110"/>
      <c r="FJ56" s="110"/>
      <c r="FK56" s="110"/>
      <c r="FL56" s="110"/>
      <c r="FM56" s="110"/>
      <c r="FN56" s="110"/>
      <c r="FO56" s="110"/>
      <c r="FP56" s="110"/>
      <c r="FQ56" s="110"/>
      <c r="FR56" s="110"/>
      <c r="FS56" s="110"/>
      <c r="FT56" s="110">
        <v>177000</v>
      </c>
      <c r="FU56" s="110"/>
      <c r="FV56" s="110"/>
      <c r="FW56" s="110"/>
      <c r="FX56" s="110"/>
      <c r="FY56" s="110"/>
      <c r="FZ56" s="110"/>
      <c r="GA56" s="110"/>
      <c r="GB56" s="110"/>
      <c r="GC56" s="110"/>
      <c r="GD56" s="110"/>
      <c r="GE56" s="110"/>
      <c r="GF56" s="110"/>
      <c r="GG56" s="110"/>
      <c r="GH56" s="110"/>
      <c r="GI56" s="110"/>
      <c r="GJ56" s="110"/>
      <c r="GK56" s="110"/>
      <c r="GL56" s="110"/>
      <c r="GM56" s="110"/>
      <c r="GN56" s="110"/>
      <c r="GO56" s="110"/>
      <c r="GP56" s="110"/>
      <c r="GQ56" s="110"/>
      <c r="GR56" s="110"/>
      <c r="GS56" s="110"/>
      <c r="GT56" s="110"/>
      <c r="GU56" s="110"/>
      <c r="GV56" s="110"/>
      <c r="GW56" s="110"/>
      <c r="GX56" s="110"/>
      <c r="GY56" s="110"/>
      <c r="GZ56" s="110"/>
      <c r="HA56" s="110"/>
      <c r="HB56" s="110"/>
      <c r="HC56" s="110"/>
      <c r="HD56" s="110"/>
      <c r="HE56" s="110"/>
      <c r="HF56" s="110"/>
      <c r="HG56" s="110"/>
      <c r="HH56" s="110"/>
      <c r="HI56" s="110"/>
      <c r="HJ56" s="110"/>
      <c r="HK56" s="110"/>
      <c r="HL56" s="110"/>
      <c r="HM56" s="110"/>
      <c r="HN56" s="110"/>
      <c r="HO56" s="110"/>
      <c r="HP56" s="110"/>
      <c r="HQ56" s="110"/>
      <c r="HR56" s="110"/>
      <c r="HS56" s="110"/>
      <c r="HT56" s="110"/>
      <c r="HU56" s="110"/>
      <c r="HV56" s="110"/>
      <c r="HW56" s="110"/>
      <c r="HX56" s="110"/>
      <c r="HY56" s="110"/>
      <c r="HZ56" s="110"/>
      <c r="IA56" s="110"/>
      <c r="IB56" s="110"/>
      <c r="IC56" s="110"/>
      <c r="ID56" s="110"/>
      <c r="IE56" s="110"/>
      <c r="IF56" s="110"/>
      <c r="IG56" s="110"/>
      <c r="IH56" s="110"/>
      <c r="II56" s="110"/>
      <c r="IJ56" s="110"/>
      <c r="IK56" s="110"/>
      <c r="IL56" s="110"/>
      <c r="IM56" s="110"/>
      <c r="IN56" s="110"/>
      <c r="IO56" s="110"/>
      <c r="IP56" s="110"/>
      <c r="IQ56" s="110"/>
      <c r="IR56" s="110"/>
      <c r="IS56" s="110"/>
      <c r="IT56" s="110"/>
      <c r="IU56" s="110"/>
      <c r="IV56" s="110"/>
      <c r="IW56" s="110"/>
      <c r="IX56" s="110"/>
      <c r="IY56" s="110"/>
      <c r="IZ56" s="110"/>
      <c r="JA56" s="110"/>
      <c r="JB56" s="110"/>
      <c r="JC56" s="110"/>
      <c r="JD56" s="110"/>
      <c r="JE56" s="110"/>
      <c r="JF56" s="110"/>
      <c r="JG56" s="110"/>
      <c r="JH56" s="110"/>
      <c r="JI56" s="107">
        <f t="shared" si="1"/>
        <v>177000</v>
      </c>
      <c r="JJ56" s="297">
        <v>3000</v>
      </c>
      <c r="JK56" s="110"/>
      <c r="JL56" s="112"/>
      <c r="JM56" s="1"/>
      <c r="JN56" s="1"/>
      <c r="JO56" s="1"/>
      <c r="JP56" s="1"/>
    </row>
    <row r="57" spans="1:276" x14ac:dyDescent="0.25">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112"/>
      <c r="BO57" s="112"/>
      <c r="BP57" s="112"/>
      <c r="BQ57" s="112"/>
      <c r="BR57" s="112"/>
      <c r="BS57" s="112"/>
      <c r="BT57" s="112"/>
      <c r="BU57" s="112"/>
      <c r="BV57" s="112"/>
      <c r="BW57" s="112"/>
      <c r="BX57" s="112"/>
      <c r="BY57" s="112"/>
      <c r="BZ57" s="112"/>
      <c r="CA57" s="112"/>
      <c r="CB57" s="112"/>
      <c r="CC57" s="112"/>
      <c r="CD57" s="112"/>
      <c r="CE57" s="112"/>
      <c r="CF57" s="112"/>
      <c r="CG57" s="112"/>
      <c r="CH57" s="112"/>
      <c r="CI57" s="112"/>
      <c r="CJ57" s="112"/>
      <c r="CK57" s="112"/>
      <c r="CL57" s="112"/>
      <c r="CM57" s="112"/>
      <c r="CN57" s="112"/>
      <c r="CO57" s="112"/>
      <c r="CP57" s="112"/>
      <c r="CQ57" s="112"/>
      <c r="CR57" s="112"/>
      <c r="CS57" s="112"/>
      <c r="CT57" s="112"/>
      <c r="CU57" s="112"/>
      <c r="CV57" s="112"/>
      <c r="CW57" s="112"/>
      <c r="CX57" s="112"/>
      <c r="CY57" s="112"/>
      <c r="CZ57" s="112"/>
      <c r="DA57" s="112"/>
      <c r="DB57" s="112"/>
      <c r="DC57" s="112"/>
      <c r="DD57" s="112"/>
      <c r="DE57" s="112"/>
      <c r="DF57" s="112"/>
      <c r="DG57" s="112"/>
      <c r="DH57" s="112"/>
      <c r="DI57" s="112"/>
      <c r="DJ57" s="112"/>
      <c r="DK57" s="112"/>
      <c r="DL57" s="112"/>
      <c r="DM57" s="112"/>
      <c r="DN57" s="112"/>
      <c r="DO57" s="112"/>
      <c r="DP57" s="112"/>
      <c r="DQ57" s="112"/>
      <c r="DR57" s="112"/>
      <c r="DS57" s="112"/>
      <c r="DT57" s="112"/>
      <c r="DU57" s="112"/>
      <c r="DV57" s="112"/>
      <c r="DW57" s="112"/>
      <c r="DX57" s="112"/>
      <c r="DY57" s="112"/>
      <c r="DZ57" s="112"/>
      <c r="EA57" s="112">
        <v>210000</v>
      </c>
      <c r="EB57" s="112"/>
      <c r="EC57" s="112"/>
      <c r="ED57" s="112"/>
      <c r="EE57" s="112"/>
      <c r="EF57" s="112"/>
      <c r="EG57" s="112"/>
      <c r="EH57" s="112"/>
      <c r="EI57" s="112"/>
      <c r="EJ57" s="112"/>
      <c r="EK57" s="112"/>
      <c r="EL57" s="112"/>
      <c r="EM57" s="112"/>
      <c r="EN57" s="112"/>
      <c r="EO57" s="112"/>
      <c r="EP57" s="112"/>
      <c r="EQ57" s="112"/>
      <c r="ER57" s="112"/>
      <c r="ES57" s="112"/>
      <c r="ET57" s="112"/>
      <c r="EU57" s="112"/>
      <c r="EV57" s="112"/>
      <c r="EW57" s="112"/>
      <c r="EX57" s="112"/>
      <c r="EY57" s="112"/>
      <c r="EZ57" s="112"/>
      <c r="FA57" s="112"/>
      <c r="FB57" s="112"/>
      <c r="FC57" s="112"/>
      <c r="FD57" s="112"/>
      <c r="FE57" s="112"/>
      <c r="FF57" s="112"/>
      <c r="FG57" s="112"/>
      <c r="FH57" s="112"/>
      <c r="FI57" s="112"/>
      <c r="FJ57" s="112"/>
      <c r="FK57" s="112"/>
      <c r="FL57" s="112"/>
      <c r="FM57" s="112"/>
      <c r="FN57" s="112"/>
      <c r="FO57" s="112"/>
      <c r="FP57" s="112"/>
      <c r="FQ57" s="112"/>
      <c r="FR57" s="112"/>
      <c r="FS57" s="112"/>
      <c r="FT57" s="112"/>
      <c r="FU57" s="112"/>
      <c r="FV57" s="112"/>
      <c r="FW57" s="112"/>
      <c r="FX57" s="112"/>
      <c r="FY57" s="112"/>
      <c r="FZ57" s="112"/>
      <c r="GA57" s="112"/>
      <c r="GB57" s="112"/>
      <c r="GC57" s="112"/>
      <c r="GD57" s="112"/>
      <c r="GE57" s="112"/>
      <c r="GF57" s="112"/>
      <c r="GG57" s="112"/>
      <c r="GH57" s="112"/>
      <c r="GI57" s="112"/>
      <c r="GJ57" s="112"/>
      <c r="GK57" s="112"/>
      <c r="GL57" s="112"/>
      <c r="GM57" s="112"/>
      <c r="GN57" s="112"/>
      <c r="GO57" s="112"/>
      <c r="GP57" s="112"/>
      <c r="GQ57" s="112"/>
      <c r="GR57" s="112"/>
      <c r="GS57" s="112"/>
      <c r="GT57" s="112"/>
      <c r="GU57" s="112"/>
      <c r="GV57" s="112"/>
      <c r="GW57" s="112"/>
      <c r="GX57" s="112"/>
      <c r="GY57" s="112"/>
      <c r="GZ57" s="112"/>
      <c r="HA57" s="112"/>
      <c r="HB57" s="112"/>
      <c r="HC57" s="112"/>
      <c r="HD57" s="112"/>
      <c r="HE57" s="112"/>
      <c r="HF57" s="112"/>
      <c r="HG57" s="112"/>
      <c r="HH57" s="112"/>
      <c r="HI57" s="112"/>
      <c r="HJ57" s="112"/>
      <c r="HK57" s="112"/>
      <c r="HL57" s="112"/>
      <c r="HM57" s="112"/>
      <c r="HN57" s="112"/>
      <c r="HO57" s="112"/>
      <c r="HP57" s="112"/>
      <c r="HQ57" s="112"/>
      <c r="HR57" s="112"/>
      <c r="HS57" s="112"/>
      <c r="HT57" s="112"/>
      <c r="HU57" s="112"/>
      <c r="HV57" s="112"/>
      <c r="HW57" s="112"/>
      <c r="HX57" s="112"/>
      <c r="HY57" s="112"/>
      <c r="HZ57" s="112"/>
      <c r="IA57" s="112"/>
      <c r="IB57" s="112"/>
      <c r="IC57" s="112"/>
      <c r="ID57" s="112"/>
      <c r="IE57" s="112"/>
      <c r="IF57" s="112"/>
      <c r="IG57" s="112"/>
      <c r="IH57" s="112"/>
      <c r="II57" s="112"/>
      <c r="IJ57" s="112"/>
      <c r="IK57" s="112"/>
      <c r="IL57" s="112"/>
      <c r="IM57" s="112"/>
      <c r="IN57" s="112"/>
      <c r="IO57" s="112"/>
      <c r="IP57" s="112"/>
      <c r="IQ57" s="112"/>
      <c r="IR57" s="112"/>
      <c r="IS57" s="112"/>
      <c r="IT57" s="112"/>
      <c r="IU57" s="112"/>
      <c r="IV57" s="112"/>
      <c r="IW57" s="112"/>
      <c r="IX57" s="112"/>
      <c r="IY57" s="112"/>
      <c r="IZ57" s="112"/>
      <c r="JA57" s="112"/>
      <c r="JB57" s="112"/>
      <c r="JC57" s="112"/>
      <c r="JD57" s="112"/>
      <c r="JE57" s="112"/>
      <c r="JF57" s="112"/>
      <c r="JG57" s="112"/>
      <c r="JH57" s="112"/>
      <c r="JI57" s="107">
        <f t="shared" si="1"/>
        <v>210000</v>
      </c>
      <c r="JJ57" s="297">
        <v>3004</v>
      </c>
      <c r="JK57" s="110"/>
      <c r="JL57" s="112"/>
      <c r="JM57" s="1"/>
      <c r="JN57" s="1"/>
      <c r="JO57" s="1"/>
      <c r="JP57" s="1"/>
    </row>
    <row r="58" spans="1:276" x14ac:dyDescent="0.25">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c r="AX58" s="112"/>
      <c r="AY58" s="112"/>
      <c r="AZ58" s="112"/>
      <c r="BA58" s="112"/>
      <c r="BB58" s="112"/>
      <c r="BC58" s="112"/>
      <c r="BD58" s="112"/>
      <c r="BE58" s="112"/>
      <c r="BF58" s="112"/>
      <c r="BG58" s="112"/>
      <c r="BH58" s="112"/>
      <c r="BI58" s="112"/>
      <c r="BJ58" s="112"/>
      <c r="BK58" s="112"/>
      <c r="BL58" s="112"/>
      <c r="BM58" s="112"/>
      <c r="BN58" s="112"/>
      <c r="BO58" s="112"/>
      <c r="BP58" s="112"/>
      <c r="BQ58" s="112"/>
      <c r="BR58" s="112"/>
      <c r="BS58" s="112"/>
      <c r="BT58" s="112"/>
      <c r="BU58" s="112"/>
      <c r="BV58" s="112"/>
      <c r="BW58" s="112"/>
      <c r="BX58" s="112"/>
      <c r="BY58" s="112"/>
      <c r="BZ58" s="112"/>
      <c r="CA58" s="112"/>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2"/>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12"/>
      <c r="DY58" s="112"/>
      <c r="DZ58" s="112"/>
      <c r="EA58" s="112">
        <v>248500</v>
      </c>
      <c r="EB58" s="112"/>
      <c r="EC58" s="112"/>
      <c r="ED58" s="112"/>
      <c r="EE58" s="112"/>
      <c r="EF58" s="112"/>
      <c r="EG58" s="112"/>
      <c r="EH58" s="112"/>
      <c r="EI58" s="112"/>
      <c r="EJ58" s="112"/>
      <c r="EK58" s="112"/>
      <c r="EL58" s="112"/>
      <c r="EM58" s="112"/>
      <c r="EN58" s="112"/>
      <c r="EO58" s="112"/>
      <c r="EP58" s="112"/>
      <c r="EQ58" s="112"/>
      <c r="ER58" s="112"/>
      <c r="ES58" s="112"/>
      <c r="ET58" s="112"/>
      <c r="EU58" s="112"/>
      <c r="EV58" s="112"/>
      <c r="EW58" s="112"/>
      <c r="EX58" s="112"/>
      <c r="EY58" s="112"/>
      <c r="EZ58" s="112"/>
      <c r="FA58" s="112"/>
      <c r="FB58" s="112"/>
      <c r="FC58" s="112"/>
      <c r="FD58" s="112"/>
      <c r="FE58" s="112"/>
      <c r="FF58" s="112"/>
      <c r="FG58" s="112"/>
      <c r="FH58" s="112"/>
      <c r="FI58" s="112"/>
      <c r="FJ58" s="112"/>
      <c r="FK58" s="112"/>
      <c r="FL58" s="112"/>
      <c r="FM58" s="112"/>
      <c r="FN58" s="112"/>
      <c r="FO58" s="112"/>
      <c r="FP58" s="112"/>
      <c r="FQ58" s="112"/>
      <c r="FR58" s="112"/>
      <c r="FS58" s="112"/>
      <c r="FT58" s="112"/>
      <c r="FU58" s="112"/>
      <c r="FV58" s="112"/>
      <c r="FW58" s="112"/>
      <c r="FX58" s="112"/>
      <c r="FY58" s="112"/>
      <c r="FZ58" s="112"/>
      <c r="GA58" s="112"/>
      <c r="GB58" s="112"/>
      <c r="GC58" s="112"/>
      <c r="GD58" s="112"/>
      <c r="GE58" s="112"/>
      <c r="GF58" s="112"/>
      <c r="GG58" s="112"/>
      <c r="GH58" s="112"/>
      <c r="GI58" s="112"/>
      <c r="GJ58" s="112"/>
      <c r="GK58" s="112"/>
      <c r="GL58" s="112"/>
      <c r="GM58" s="112"/>
      <c r="GN58" s="112"/>
      <c r="GO58" s="112"/>
      <c r="GP58" s="112"/>
      <c r="GQ58" s="112"/>
      <c r="GR58" s="112"/>
      <c r="GS58" s="112"/>
      <c r="GT58" s="112"/>
      <c r="GU58" s="112"/>
      <c r="GV58" s="112"/>
      <c r="GW58" s="112"/>
      <c r="GX58" s="112"/>
      <c r="GY58" s="112"/>
      <c r="GZ58" s="112"/>
      <c r="HA58" s="112"/>
      <c r="HB58" s="112"/>
      <c r="HC58" s="112"/>
      <c r="HD58" s="112"/>
      <c r="HE58" s="112"/>
      <c r="HF58" s="112"/>
      <c r="HG58" s="112"/>
      <c r="HH58" s="112"/>
      <c r="HI58" s="112"/>
      <c r="HJ58" s="112"/>
      <c r="HK58" s="112"/>
      <c r="HL58" s="112"/>
      <c r="HM58" s="112"/>
      <c r="HN58" s="112"/>
      <c r="HO58" s="112"/>
      <c r="HP58" s="112"/>
      <c r="HQ58" s="112"/>
      <c r="HR58" s="112"/>
      <c r="HS58" s="112"/>
      <c r="HT58" s="112"/>
      <c r="HU58" s="112"/>
      <c r="HV58" s="112"/>
      <c r="HW58" s="112"/>
      <c r="HX58" s="112"/>
      <c r="HY58" s="112"/>
      <c r="HZ58" s="112"/>
      <c r="IA58" s="112"/>
      <c r="IB58" s="112"/>
      <c r="IC58" s="112"/>
      <c r="ID58" s="112"/>
      <c r="IE58" s="112"/>
      <c r="IF58" s="112"/>
      <c r="IG58" s="112"/>
      <c r="IH58" s="112"/>
      <c r="II58" s="112"/>
      <c r="IJ58" s="112"/>
      <c r="IK58" s="112"/>
      <c r="IL58" s="112"/>
      <c r="IM58" s="112"/>
      <c r="IN58" s="112"/>
      <c r="IO58" s="112"/>
      <c r="IP58" s="112"/>
      <c r="IQ58" s="112"/>
      <c r="IR58" s="112"/>
      <c r="IS58" s="112"/>
      <c r="IT58" s="112"/>
      <c r="IU58" s="112"/>
      <c r="IV58" s="112"/>
      <c r="IW58" s="112"/>
      <c r="IX58" s="112"/>
      <c r="IY58" s="112"/>
      <c r="IZ58" s="112"/>
      <c r="JA58" s="112"/>
      <c r="JB58" s="112"/>
      <c r="JC58" s="112"/>
      <c r="JD58" s="112"/>
      <c r="JE58" s="112"/>
      <c r="JF58" s="112"/>
      <c r="JG58" s="112"/>
      <c r="JH58" s="112"/>
      <c r="JI58" s="107">
        <f t="shared" si="1"/>
        <v>248500</v>
      </c>
      <c r="JJ58" s="297">
        <v>3010</v>
      </c>
      <c r="JK58" s="110"/>
      <c r="JL58" s="112"/>
      <c r="JM58" s="1"/>
      <c r="JN58" s="1"/>
      <c r="JO58" s="1"/>
      <c r="JP58" s="1"/>
    </row>
    <row r="59" spans="1:276" x14ac:dyDescent="0.25">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c r="AX59" s="112"/>
      <c r="AY59" s="112"/>
      <c r="AZ59" s="112"/>
      <c r="BA59" s="112"/>
      <c r="BB59" s="112"/>
      <c r="BC59" s="112"/>
      <c r="BD59" s="112"/>
      <c r="BE59" s="112"/>
      <c r="BF59" s="112"/>
      <c r="BG59" s="112"/>
      <c r="BH59" s="112"/>
      <c r="BI59" s="112"/>
      <c r="BJ59" s="112"/>
      <c r="BK59" s="112"/>
      <c r="BL59" s="112"/>
      <c r="BM59" s="112"/>
      <c r="BN59" s="112"/>
      <c r="BO59" s="112"/>
      <c r="BP59" s="112"/>
      <c r="BQ59" s="112"/>
      <c r="BR59" s="112"/>
      <c r="BS59" s="112"/>
      <c r="BT59" s="112"/>
      <c r="BU59" s="112"/>
      <c r="BV59" s="112"/>
      <c r="BW59" s="112"/>
      <c r="BX59" s="112"/>
      <c r="BY59" s="112"/>
      <c r="BZ59" s="112"/>
      <c r="CA59" s="112"/>
      <c r="CB59" s="112"/>
      <c r="CC59" s="112"/>
      <c r="CD59" s="112"/>
      <c r="CE59" s="112"/>
      <c r="CF59" s="112"/>
      <c r="CG59" s="112"/>
      <c r="CH59" s="112"/>
      <c r="CI59" s="112"/>
      <c r="CJ59" s="112"/>
      <c r="CK59" s="112"/>
      <c r="CL59" s="112"/>
      <c r="CM59" s="112"/>
      <c r="CN59" s="112"/>
      <c r="CO59" s="112"/>
      <c r="CP59" s="112"/>
      <c r="CQ59" s="112"/>
      <c r="CR59" s="112"/>
      <c r="CS59" s="112"/>
      <c r="CT59" s="112"/>
      <c r="CU59" s="112"/>
      <c r="CV59" s="112"/>
      <c r="CW59" s="112"/>
      <c r="CX59" s="112"/>
      <c r="CY59" s="112"/>
      <c r="CZ59" s="112"/>
      <c r="DA59" s="112"/>
      <c r="DB59" s="112"/>
      <c r="DC59" s="112"/>
      <c r="DD59" s="112"/>
      <c r="DE59" s="112"/>
      <c r="DF59" s="112"/>
      <c r="DG59" s="112"/>
      <c r="DH59" s="112"/>
      <c r="DI59" s="112"/>
      <c r="DJ59" s="112"/>
      <c r="DK59" s="112"/>
      <c r="DL59" s="112"/>
      <c r="DM59" s="112"/>
      <c r="DN59" s="112"/>
      <c r="DO59" s="112"/>
      <c r="DP59" s="112"/>
      <c r="DQ59" s="112"/>
      <c r="DR59" s="112"/>
      <c r="DS59" s="112"/>
      <c r="DT59" s="112"/>
      <c r="DU59" s="112"/>
      <c r="DV59" s="112"/>
      <c r="DW59" s="112"/>
      <c r="DX59" s="112"/>
      <c r="DY59" s="112"/>
      <c r="DZ59" s="112"/>
      <c r="EA59" s="112">
        <v>92000</v>
      </c>
      <c r="EB59" s="112"/>
      <c r="EC59" s="112"/>
      <c r="ED59" s="112"/>
      <c r="EE59" s="112"/>
      <c r="EF59" s="112"/>
      <c r="EG59" s="112"/>
      <c r="EH59" s="112"/>
      <c r="EI59" s="112"/>
      <c r="EJ59" s="112"/>
      <c r="EK59" s="112"/>
      <c r="EL59" s="112"/>
      <c r="EM59" s="112"/>
      <c r="EN59" s="112"/>
      <c r="EO59" s="112"/>
      <c r="EP59" s="112"/>
      <c r="EQ59" s="112"/>
      <c r="ER59" s="112"/>
      <c r="ES59" s="112"/>
      <c r="ET59" s="112"/>
      <c r="EU59" s="112"/>
      <c r="EV59" s="112"/>
      <c r="EW59" s="112"/>
      <c r="EX59" s="112"/>
      <c r="EY59" s="112"/>
      <c r="EZ59" s="112"/>
      <c r="FA59" s="112"/>
      <c r="FB59" s="112"/>
      <c r="FC59" s="112"/>
      <c r="FD59" s="112"/>
      <c r="FE59" s="112"/>
      <c r="FF59" s="112"/>
      <c r="FG59" s="112"/>
      <c r="FH59" s="112"/>
      <c r="FI59" s="112"/>
      <c r="FJ59" s="112"/>
      <c r="FK59" s="112"/>
      <c r="FL59" s="112"/>
      <c r="FM59" s="112"/>
      <c r="FN59" s="112"/>
      <c r="FO59" s="112"/>
      <c r="FP59" s="112"/>
      <c r="FQ59" s="112"/>
      <c r="FR59" s="112"/>
      <c r="FS59" s="112"/>
      <c r="FT59" s="112"/>
      <c r="FU59" s="112"/>
      <c r="FV59" s="112"/>
      <c r="FW59" s="112"/>
      <c r="FX59" s="112"/>
      <c r="FY59" s="112"/>
      <c r="FZ59" s="112"/>
      <c r="GA59" s="112"/>
      <c r="GB59" s="112"/>
      <c r="GC59" s="112"/>
      <c r="GD59" s="112"/>
      <c r="GE59" s="112"/>
      <c r="GF59" s="112"/>
      <c r="GG59" s="112"/>
      <c r="GH59" s="112"/>
      <c r="GI59" s="112"/>
      <c r="GJ59" s="112"/>
      <c r="GK59" s="112"/>
      <c r="GL59" s="112"/>
      <c r="GM59" s="112"/>
      <c r="GN59" s="112"/>
      <c r="GO59" s="112"/>
      <c r="GP59" s="112"/>
      <c r="GQ59" s="112"/>
      <c r="GR59" s="112"/>
      <c r="GS59" s="112"/>
      <c r="GT59" s="112"/>
      <c r="GU59" s="112"/>
      <c r="GV59" s="112"/>
      <c r="GW59" s="112"/>
      <c r="GX59" s="112"/>
      <c r="GY59" s="112"/>
      <c r="GZ59" s="112"/>
      <c r="HA59" s="112"/>
      <c r="HB59" s="112"/>
      <c r="HC59" s="112"/>
      <c r="HD59" s="112"/>
      <c r="HE59" s="112"/>
      <c r="HF59" s="112"/>
      <c r="HG59" s="112"/>
      <c r="HH59" s="112"/>
      <c r="HI59" s="112"/>
      <c r="HJ59" s="112"/>
      <c r="HK59" s="112"/>
      <c r="HL59" s="112"/>
      <c r="HM59" s="112"/>
      <c r="HN59" s="112"/>
      <c r="HO59" s="112"/>
      <c r="HP59" s="112"/>
      <c r="HQ59" s="112"/>
      <c r="HR59" s="112"/>
      <c r="HS59" s="112"/>
      <c r="HT59" s="112"/>
      <c r="HU59" s="112"/>
      <c r="HV59" s="112"/>
      <c r="HW59" s="112"/>
      <c r="HX59" s="112"/>
      <c r="HY59" s="112"/>
      <c r="HZ59" s="112"/>
      <c r="IA59" s="112"/>
      <c r="IB59" s="112"/>
      <c r="IC59" s="112"/>
      <c r="ID59" s="112"/>
      <c r="IE59" s="112"/>
      <c r="IF59" s="112"/>
      <c r="IG59" s="112"/>
      <c r="IH59" s="112"/>
      <c r="II59" s="112"/>
      <c r="IJ59" s="112"/>
      <c r="IK59" s="112"/>
      <c r="IL59" s="112"/>
      <c r="IM59" s="112"/>
      <c r="IN59" s="112"/>
      <c r="IO59" s="112"/>
      <c r="IP59" s="112"/>
      <c r="IQ59" s="112"/>
      <c r="IR59" s="112"/>
      <c r="IS59" s="112"/>
      <c r="IT59" s="112"/>
      <c r="IU59" s="112"/>
      <c r="IV59" s="112"/>
      <c r="IW59" s="112"/>
      <c r="IX59" s="112"/>
      <c r="IY59" s="112"/>
      <c r="IZ59" s="112"/>
      <c r="JA59" s="112"/>
      <c r="JB59" s="112"/>
      <c r="JC59" s="112"/>
      <c r="JD59" s="112"/>
      <c r="JE59" s="112"/>
      <c r="JF59" s="112"/>
      <c r="JG59" s="112"/>
      <c r="JH59" s="112"/>
      <c r="JI59" s="107">
        <f t="shared" si="1"/>
        <v>92000</v>
      </c>
      <c r="JJ59" s="297">
        <v>3014</v>
      </c>
      <c r="JK59" s="110"/>
      <c r="JL59" s="112"/>
      <c r="JM59" s="1"/>
      <c r="JN59" s="1"/>
      <c r="JO59" s="1"/>
      <c r="JP59" s="1"/>
    </row>
    <row r="60" spans="1:276" x14ac:dyDescent="0.25">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112"/>
      <c r="BK60" s="112"/>
      <c r="BL60" s="112"/>
      <c r="BM60" s="112"/>
      <c r="BN60" s="112"/>
      <c r="BO60" s="112"/>
      <c r="BP60" s="112"/>
      <c r="BQ60" s="112"/>
      <c r="BR60" s="112"/>
      <c r="BS60" s="112"/>
      <c r="BT60" s="112"/>
      <c r="BU60" s="112"/>
      <c r="BV60" s="112"/>
      <c r="BW60" s="112"/>
      <c r="BX60" s="112"/>
      <c r="BY60" s="112"/>
      <c r="BZ60" s="112"/>
      <c r="CA60" s="112"/>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2"/>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12"/>
      <c r="DY60" s="112"/>
      <c r="DZ60" s="112"/>
      <c r="EA60" s="112"/>
      <c r="EB60" s="112"/>
      <c r="EC60" s="112"/>
      <c r="ED60" s="112"/>
      <c r="EE60" s="112"/>
      <c r="EF60" s="112"/>
      <c r="EG60" s="112"/>
      <c r="EH60" s="112"/>
      <c r="EI60" s="112"/>
      <c r="EJ60" s="112"/>
      <c r="EK60" s="112"/>
      <c r="EL60" s="112"/>
      <c r="EM60" s="112"/>
      <c r="EN60" s="112"/>
      <c r="EO60" s="112"/>
      <c r="EP60" s="112"/>
      <c r="EQ60" s="112"/>
      <c r="ER60" s="112"/>
      <c r="ES60" s="112"/>
      <c r="ET60" s="112"/>
      <c r="EU60" s="112"/>
      <c r="EV60" s="112"/>
      <c r="EW60" s="112"/>
      <c r="EX60" s="112"/>
      <c r="EY60" s="112"/>
      <c r="EZ60" s="112"/>
      <c r="FA60" s="112"/>
      <c r="FB60" s="112"/>
      <c r="FC60" s="112"/>
      <c r="FD60" s="112"/>
      <c r="FE60" s="112"/>
      <c r="FF60" s="112"/>
      <c r="FG60" s="112"/>
      <c r="FH60" s="112"/>
      <c r="FI60" s="112"/>
      <c r="FJ60" s="112"/>
      <c r="FK60" s="112"/>
      <c r="FL60" s="112"/>
      <c r="FM60" s="112"/>
      <c r="FN60" s="112"/>
      <c r="FO60" s="112"/>
      <c r="FP60" s="112"/>
      <c r="FQ60" s="112"/>
      <c r="FR60" s="112"/>
      <c r="FS60" s="112"/>
      <c r="FT60" s="112">
        <v>160159.96</v>
      </c>
      <c r="FU60" s="112"/>
      <c r="FV60" s="112"/>
      <c r="FW60" s="112"/>
      <c r="FX60" s="112"/>
      <c r="FY60" s="112"/>
      <c r="FZ60" s="112"/>
      <c r="GA60" s="112"/>
      <c r="GB60" s="112"/>
      <c r="GC60" s="112"/>
      <c r="GD60" s="112"/>
      <c r="GE60" s="112"/>
      <c r="GF60" s="112"/>
      <c r="GG60" s="112"/>
      <c r="GH60" s="112"/>
      <c r="GI60" s="112"/>
      <c r="GJ60" s="112"/>
      <c r="GK60" s="112"/>
      <c r="GL60" s="112"/>
      <c r="GM60" s="112"/>
      <c r="GN60" s="112"/>
      <c r="GO60" s="112"/>
      <c r="GP60" s="112"/>
      <c r="GQ60" s="112"/>
      <c r="GR60" s="112"/>
      <c r="GS60" s="112"/>
      <c r="GT60" s="112"/>
      <c r="GU60" s="112"/>
      <c r="GV60" s="112"/>
      <c r="GW60" s="112"/>
      <c r="GX60" s="112"/>
      <c r="GY60" s="112"/>
      <c r="GZ60" s="112"/>
      <c r="HA60" s="112"/>
      <c r="HB60" s="112"/>
      <c r="HC60" s="112"/>
      <c r="HD60" s="112"/>
      <c r="HE60" s="112"/>
      <c r="HF60" s="112"/>
      <c r="HG60" s="112"/>
      <c r="HH60" s="112"/>
      <c r="HI60" s="112"/>
      <c r="HJ60" s="112"/>
      <c r="HK60" s="112"/>
      <c r="HL60" s="112"/>
      <c r="HM60" s="112"/>
      <c r="HN60" s="112"/>
      <c r="HO60" s="112"/>
      <c r="HP60" s="112"/>
      <c r="HQ60" s="112"/>
      <c r="HR60" s="112"/>
      <c r="HS60" s="112"/>
      <c r="HT60" s="112"/>
      <c r="HU60" s="112"/>
      <c r="HV60" s="112"/>
      <c r="HW60" s="112"/>
      <c r="HX60" s="112"/>
      <c r="HY60" s="112"/>
      <c r="HZ60" s="112"/>
      <c r="IA60" s="112"/>
      <c r="IB60" s="112"/>
      <c r="IC60" s="112"/>
      <c r="ID60" s="112"/>
      <c r="IE60" s="112"/>
      <c r="IF60" s="112"/>
      <c r="IG60" s="112"/>
      <c r="IH60" s="112"/>
      <c r="II60" s="112"/>
      <c r="IJ60" s="112"/>
      <c r="IK60" s="112"/>
      <c r="IL60" s="112"/>
      <c r="IM60" s="112"/>
      <c r="IN60" s="112"/>
      <c r="IO60" s="112"/>
      <c r="IP60" s="112"/>
      <c r="IQ60" s="112"/>
      <c r="IR60" s="112"/>
      <c r="IS60" s="112"/>
      <c r="IT60" s="112"/>
      <c r="IU60" s="112"/>
      <c r="IV60" s="112"/>
      <c r="IW60" s="112"/>
      <c r="IX60" s="112"/>
      <c r="IY60" s="112"/>
      <c r="IZ60" s="112"/>
      <c r="JA60" s="112"/>
      <c r="JB60" s="112"/>
      <c r="JC60" s="112"/>
      <c r="JD60" s="112"/>
      <c r="JE60" s="112"/>
      <c r="JF60" s="112"/>
      <c r="JG60" s="112"/>
      <c r="JH60" s="112"/>
      <c r="JI60" s="107">
        <f t="shared" si="1"/>
        <v>160159.96</v>
      </c>
      <c r="JJ60" s="297">
        <v>3017</v>
      </c>
      <c r="JK60" s="110"/>
      <c r="JL60" s="112"/>
      <c r="JM60" s="1"/>
      <c r="JN60" s="1"/>
      <c r="JO60" s="1"/>
      <c r="JP60" s="1"/>
    </row>
    <row r="61" spans="1:276" x14ac:dyDescent="0.25">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c r="AX61" s="112"/>
      <c r="AY61" s="112"/>
      <c r="AZ61" s="112"/>
      <c r="BA61" s="112"/>
      <c r="BB61" s="112"/>
      <c r="BC61" s="112"/>
      <c r="BD61" s="112"/>
      <c r="BE61" s="112"/>
      <c r="BF61" s="112"/>
      <c r="BG61" s="112"/>
      <c r="BH61" s="112"/>
      <c r="BI61" s="112"/>
      <c r="BJ61" s="112"/>
      <c r="BK61" s="112"/>
      <c r="BL61" s="112"/>
      <c r="BM61" s="112"/>
      <c r="BN61" s="112"/>
      <c r="BO61" s="112"/>
      <c r="BP61" s="112"/>
      <c r="BQ61" s="112"/>
      <c r="BR61" s="112"/>
      <c r="BS61" s="112"/>
      <c r="BT61" s="112"/>
      <c r="BU61" s="112"/>
      <c r="BV61" s="112"/>
      <c r="BW61" s="112"/>
      <c r="BX61" s="112"/>
      <c r="BY61" s="112"/>
      <c r="BZ61" s="112"/>
      <c r="CA61" s="112"/>
      <c r="CB61" s="112"/>
      <c r="CC61" s="112"/>
      <c r="CD61" s="112"/>
      <c r="CE61" s="112"/>
      <c r="CF61" s="112"/>
      <c r="CG61" s="112"/>
      <c r="CH61" s="112"/>
      <c r="CI61" s="112"/>
      <c r="CJ61" s="112"/>
      <c r="CK61" s="112"/>
      <c r="CL61" s="112"/>
      <c r="CM61" s="112"/>
      <c r="CN61" s="112"/>
      <c r="CO61" s="112"/>
      <c r="CP61" s="112"/>
      <c r="CQ61" s="112"/>
      <c r="CR61" s="112"/>
      <c r="CS61" s="112"/>
      <c r="CT61" s="112"/>
      <c r="CU61" s="112"/>
      <c r="CV61" s="112"/>
      <c r="CW61" s="112"/>
      <c r="CX61" s="112"/>
      <c r="CY61" s="112"/>
      <c r="CZ61" s="112"/>
      <c r="DA61" s="112"/>
      <c r="DB61" s="112"/>
      <c r="DC61" s="112"/>
      <c r="DD61" s="112"/>
      <c r="DE61" s="112"/>
      <c r="DF61" s="112"/>
      <c r="DG61" s="112"/>
      <c r="DH61" s="112"/>
      <c r="DI61" s="112"/>
      <c r="DJ61" s="112"/>
      <c r="DK61" s="112"/>
      <c r="DL61" s="112"/>
      <c r="DM61" s="112"/>
      <c r="DN61" s="112"/>
      <c r="DO61" s="112"/>
      <c r="DP61" s="112"/>
      <c r="DQ61" s="112"/>
      <c r="DR61" s="112"/>
      <c r="DS61" s="112"/>
      <c r="DT61" s="112"/>
      <c r="DU61" s="112"/>
      <c r="DV61" s="112"/>
      <c r="DW61" s="112"/>
      <c r="DX61" s="112"/>
      <c r="DY61" s="112"/>
      <c r="DZ61" s="112"/>
      <c r="EA61" s="112">
        <v>210000</v>
      </c>
      <c r="EB61" s="112"/>
      <c r="EC61" s="112"/>
      <c r="ED61" s="112"/>
      <c r="EE61" s="112"/>
      <c r="EF61" s="112"/>
      <c r="EG61" s="112"/>
      <c r="EH61" s="112"/>
      <c r="EI61" s="112"/>
      <c r="EJ61" s="112"/>
      <c r="EK61" s="112"/>
      <c r="EL61" s="112"/>
      <c r="EM61" s="112"/>
      <c r="EN61" s="112"/>
      <c r="EO61" s="112"/>
      <c r="EP61" s="112"/>
      <c r="EQ61" s="112"/>
      <c r="ER61" s="112"/>
      <c r="ES61" s="112"/>
      <c r="ET61" s="112"/>
      <c r="EU61" s="112"/>
      <c r="EV61" s="112"/>
      <c r="EW61" s="112"/>
      <c r="EX61" s="112"/>
      <c r="EY61" s="112"/>
      <c r="EZ61" s="112"/>
      <c r="FA61" s="112"/>
      <c r="FB61" s="112"/>
      <c r="FC61" s="112"/>
      <c r="FD61" s="112"/>
      <c r="FE61" s="112"/>
      <c r="FF61" s="112"/>
      <c r="FG61" s="112"/>
      <c r="FH61" s="112"/>
      <c r="FI61" s="112"/>
      <c r="FJ61" s="112"/>
      <c r="FK61" s="112"/>
      <c r="FL61" s="112"/>
      <c r="FM61" s="112"/>
      <c r="FN61" s="112"/>
      <c r="FO61" s="112"/>
      <c r="FP61" s="112"/>
      <c r="FQ61" s="112"/>
      <c r="FR61" s="112"/>
      <c r="FS61" s="112"/>
      <c r="FT61" s="112"/>
      <c r="FU61" s="112"/>
      <c r="FV61" s="112"/>
      <c r="FW61" s="112"/>
      <c r="FX61" s="112"/>
      <c r="FY61" s="112"/>
      <c r="FZ61" s="112"/>
      <c r="GA61" s="112"/>
      <c r="GB61" s="112"/>
      <c r="GC61" s="112"/>
      <c r="GD61" s="112"/>
      <c r="GE61" s="112"/>
      <c r="GF61" s="112"/>
      <c r="GG61" s="112"/>
      <c r="GH61" s="112"/>
      <c r="GI61" s="112"/>
      <c r="GJ61" s="112"/>
      <c r="GK61" s="112"/>
      <c r="GL61" s="112"/>
      <c r="GM61" s="112"/>
      <c r="GN61" s="112"/>
      <c r="GO61" s="112"/>
      <c r="GP61" s="112"/>
      <c r="GQ61" s="112"/>
      <c r="GR61" s="112"/>
      <c r="GS61" s="112"/>
      <c r="GT61" s="112"/>
      <c r="GU61" s="112"/>
      <c r="GV61" s="112"/>
      <c r="GW61" s="112"/>
      <c r="GX61" s="112"/>
      <c r="GY61" s="112"/>
      <c r="GZ61" s="112"/>
      <c r="HA61" s="112"/>
      <c r="HB61" s="112"/>
      <c r="HC61" s="112"/>
      <c r="HD61" s="112"/>
      <c r="HE61" s="112"/>
      <c r="HF61" s="112"/>
      <c r="HG61" s="112"/>
      <c r="HH61" s="112"/>
      <c r="HI61" s="112"/>
      <c r="HJ61" s="112"/>
      <c r="HK61" s="112"/>
      <c r="HL61" s="112"/>
      <c r="HM61" s="112"/>
      <c r="HN61" s="112"/>
      <c r="HO61" s="112"/>
      <c r="HP61" s="112"/>
      <c r="HQ61" s="112"/>
      <c r="HR61" s="112"/>
      <c r="HS61" s="112"/>
      <c r="HT61" s="112"/>
      <c r="HU61" s="112"/>
      <c r="HV61" s="112"/>
      <c r="HW61" s="112"/>
      <c r="HX61" s="112"/>
      <c r="HY61" s="112"/>
      <c r="HZ61" s="112"/>
      <c r="IA61" s="112"/>
      <c r="IB61" s="112"/>
      <c r="IC61" s="112"/>
      <c r="ID61" s="112"/>
      <c r="IE61" s="112"/>
      <c r="IF61" s="112"/>
      <c r="IG61" s="112"/>
      <c r="IH61" s="112"/>
      <c r="II61" s="112"/>
      <c r="IJ61" s="112"/>
      <c r="IK61" s="112"/>
      <c r="IL61" s="112"/>
      <c r="IM61" s="112"/>
      <c r="IN61" s="112"/>
      <c r="IO61" s="112"/>
      <c r="IP61" s="112"/>
      <c r="IQ61" s="112"/>
      <c r="IR61" s="112"/>
      <c r="IS61" s="112"/>
      <c r="IT61" s="112"/>
      <c r="IU61" s="112"/>
      <c r="IV61" s="112"/>
      <c r="IW61" s="112"/>
      <c r="IX61" s="112"/>
      <c r="IY61" s="112"/>
      <c r="IZ61" s="112"/>
      <c r="JA61" s="112"/>
      <c r="JB61" s="112"/>
      <c r="JC61" s="112"/>
      <c r="JD61" s="112"/>
      <c r="JE61" s="112"/>
      <c r="JF61" s="112"/>
      <c r="JG61" s="112"/>
      <c r="JH61" s="112"/>
      <c r="JI61" s="107">
        <f t="shared" si="1"/>
        <v>210000</v>
      </c>
      <c r="JJ61" s="297">
        <v>3024</v>
      </c>
      <c r="JK61" s="110"/>
      <c r="JL61" s="112"/>
      <c r="JM61" s="1"/>
      <c r="JN61" s="1"/>
      <c r="JO61" s="1"/>
      <c r="JP61" s="1"/>
    </row>
    <row r="62" spans="1:276" x14ac:dyDescent="0.25">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2"/>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12"/>
      <c r="DY62" s="112"/>
      <c r="DZ62" s="112"/>
      <c r="EA62" s="112">
        <v>70623</v>
      </c>
      <c r="EB62" s="112"/>
      <c r="EC62" s="112"/>
      <c r="ED62" s="112"/>
      <c r="EE62" s="112"/>
      <c r="EF62" s="112"/>
      <c r="EG62" s="112"/>
      <c r="EH62" s="112"/>
      <c r="EI62" s="112"/>
      <c r="EJ62" s="112"/>
      <c r="EK62" s="112"/>
      <c r="EL62" s="112"/>
      <c r="EM62" s="112"/>
      <c r="EN62" s="112"/>
      <c r="EO62" s="112"/>
      <c r="EP62" s="112"/>
      <c r="EQ62" s="112"/>
      <c r="ER62" s="112"/>
      <c r="ES62" s="112"/>
      <c r="ET62" s="112"/>
      <c r="EU62" s="112"/>
      <c r="EV62" s="112"/>
      <c r="EW62" s="112"/>
      <c r="EX62" s="112"/>
      <c r="EY62" s="112"/>
      <c r="EZ62" s="112"/>
      <c r="FA62" s="112"/>
      <c r="FB62" s="112"/>
      <c r="FC62" s="112"/>
      <c r="FD62" s="112"/>
      <c r="FE62" s="112"/>
      <c r="FF62" s="112"/>
      <c r="FG62" s="112"/>
      <c r="FH62" s="112"/>
      <c r="FI62" s="112"/>
      <c r="FJ62" s="112"/>
      <c r="FK62" s="112"/>
      <c r="FL62" s="112"/>
      <c r="FM62" s="112"/>
      <c r="FN62" s="112"/>
      <c r="FO62" s="112"/>
      <c r="FP62" s="112"/>
      <c r="FQ62" s="112"/>
      <c r="FR62" s="112"/>
      <c r="FS62" s="112"/>
      <c r="FT62" s="112"/>
      <c r="FU62" s="112"/>
      <c r="FV62" s="112"/>
      <c r="FW62" s="112"/>
      <c r="FX62" s="112"/>
      <c r="FY62" s="112"/>
      <c r="FZ62" s="112"/>
      <c r="GA62" s="112"/>
      <c r="GB62" s="112"/>
      <c r="GC62" s="112"/>
      <c r="GD62" s="112"/>
      <c r="GE62" s="112"/>
      <c r="GF62" s="112"/>
      <c r="GG62" s="112"/>
      <c r="GH62" s="112"/>
      <c r="GI62" s="112"/>
      <c r="GJ62" s="112"/>
      <c r="GK62" s="112"/>
      <c r="GL62" s="112"/>
      <c r="GM62" s="112"/>
      <c r="GN62" s="112"/>
      <c r="GO62" s="112"/>
      <c r="GP62" s="112"/>
      <c r="GQ62" s="112"/>
      <c r="GR62" s="112"/>
      <c r="GS62" s="112"/>
      <c r="GT62" s="112"/>
      <c r="GU62" s="112"/>
      <c r="GV62" s="112"/>
      <c r="GW62" s="112"/>
      <c r="GX62" s="112"/>
      <c r="GY62" s="112"/>
      <c r="GZ62" s="112"/>
      <c r="HA62" s="112"/>
      <c r="HB62" s="112"/>
      <c r="HC62" s="112"/>
      <c r="HD62" s="112"/>
      <c r="HE62" s="112"/>
      <c r="HF62" s="112"/>
      <c r="HG62" s="112"/>
      <c r="HH62" s="112"/>
      <c r="HI62" s="112"/>
      <c r="HJ62" s="112"/>
      <c r="HK62" s="112"/>
      <c r="HL62" s="112"/>
      <c r="HM62" s="112"/>
      <c r="HN62" s="112"/>
      <c r="HO62" s="112"/>
      <c r="HP62" s="112"/>
      <c r="HQ62" s="112"/>
      <c r="HR62" s="112"/>
      <c r="HS62" s="112"/>
      <c r="HT62" s="112"/>
      <c r="HU62" s="112"/>
      <c r="HV62" s="112"/>
      <c r="HW62" s="112"/>
      <c r="HX62" s="112"/>
      <c r="HY62" s="112"/>
      <c r="HZ62" s="112"/>
      <c r="IA62" s="112"/>
      <c r="IB62" s="112"/>
      <c r="IC62" s="112"/>
      <c r="ID62" s="112"/>
      <c r="IE62" s="112"/>
      <c r="IF62" s="112"/>
      <c r="IG62" s="112"/>
      <c r="IH62" s="112"/>
      <c r="II62" s="112"/>
      <c r="IJ62" s="112"/>
      <c r="IK62" s="112"/>
      <c r="IL62" s="112"/>
      <c r="IM62" s="112"/>
      <c r="IN62" s="112"/>
      <c r="IO62" s="112"/>
      <c r="IP62" s="112"/>
      <c r="IQ62" s="112"/>
      <c r="IR62" s="112"/>
      <c r="IS62" s="112"/>
      <c r="IT62" s="112"/>
      <c r="IU62" s="112"/>
      <c r="IV62" s="112"/>
      <c r="IW62" s="112"/>
      <c r="IX62" s="112"/>
      <c r="IY62" s="112"/>
      <c r="IZ62" s="112"/>
      <c r="JA62" s="112"/>
      <c r="JB62" s="112"/>
      <c r="JC62" s="112"/>
      <c r="JD62" s="112"/>
      <c r="JE62" s="112"/>
      <c r="JF62" s="112"/>
      <c r="JG62" s="112"/>
      <c r="JH62" s="112"/>
      <c r="JI62" s="107">
        <f t="shared" si="1"/>
        <v>70623</v>
      </c>
      <c r="JJ62" s="297">
        <v>3028</v>
      </c>
      <c r="JK62" s="110"/>
      <c r="JL62" s="112"/>
      <c r="JM62" s="1"/>
      <c r="JN62" s="1"/>
      <c r="JO62" s="1"/>
      <c r="JP62" s="1"/>
    </row>
    <row r="63" spans="1:276" x14ac:dyDescent="0.25">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12"/>
      <c r="AX63" s="112"/>
      <c r="AY63" s="112"/>
      <c r="AZ63" s="112"/>
      <c r="BA63" s="112"/>
      <c r="BB63" s="112"/>
      <c r="BC63" s="112"/>
      <c r="BD63" s="112"/>
      <c r="BE63" s="112"/>
      <c r="BF63" s="112"/>
      <c r="BG63" s="112"/>
      <c r="BH63" s="112"/>
      <c r="BI63" s="112"/>
      <c r="BJ63" s="112"/>
      <c r="BK63" s="112"/>
      <c r="BL63" s="112"/>
      <c r="BM63" s="112"/>
      <c r="BN63" s="112"/>
      <c r="BO63" s="112"/>
      <c r="BP63" s="112"/>
      <c r="BQ63" s="112"/>
      <c r="BR63" s="112"/>
      <c r="BS63" s="112"/>
      <c r="BT63" s="112"/>
      <c r="BU63" s="112"/>
      <c r="BV63" s="112"/>
      <c r="BW63" s="112"/>
      <c r="BX63" s="112"/>
      <c r="BY63" s="112"/>
      <c r="BZ63" s="112"/>
      <c r="CA63" s="112"/>
      <c r="CB63" s="112"/>
      <c r="CC63" s="112"/>
      <c r="CD63" s="112"/>
      <c r="CE63" s="112"/>
      <c r="CF63" s="112"/>
      <c r="CG63" s="112"/>
      <c r="CH63" s="112"/>
      <c r="CI63" s="112"/>
      <c r="CJ63" s="112"/>
      <c r="CK63" s="112"/>
      <c r="CL63" s="112"/>
      <c r="CM63" s="112"/>
      <c r="CN63" s="112"/>
      <c r="CO63" s="112"/>
      <c r="CP63" s="112"/>
      <c r="CQ63" s="112"/>
      <c r="CR63" s="112"/>
      <c r="CS63" s="112"/>
      <c r="CT63" s="112"/>
      <c r="CU63" s="112"/>
      <c r="CV63" s="112"/>
      <c r="CW63" s="112"/>
      <c r="CX63" s="112"/>
      <c r="CY63" s="112"/>
      <c r="CZ63" s="112"/>
      <c r="DA63" s="112"/>
      <c r="DB63" s="112"/>
      <c r="DC63" s="112"/>
      <c r="DD63" s="112"/>
      <c r="DE63" s="112"/>
      <c r="DF63" s="112"/>
      <c r="DG63" s="112"/>
      <c r="DH63" s="112"/>
      <c r="DI63" s="112"/>
      <c r="DJ63" s="112"/>
      <c r="DK63" s="112"/>
      <c r="DL63" s="112"/>
      <c r="DM63" s="112"/>
      <c r="DN63" s="112"/>
      <c r="DO63" s="112"/>
      <c r="DP63" s="112"/>
      <c r="DQ63" s="112"/>
      <c r="DR63" s="112"/>
      <c r="DS63" s="112"/>
      <c r="DT63" s="112"/>
      <c r="DU63" s="112"/>
      <c r="DV63" s="112"/>
      <c r="DW63" s="112"/>
      <c r="DX63" s="112"/>
      <c r="DY63" s="112"/>
      <c r="DZ63" s="112"/>
      <c r="EA63" s="112"/>
      <c r="EB63" s="112"/>
      <c r="EC63" s="112"/>
      <c r="ED63" s="112"/>
      <c r="EE63" s="112"/>
      <c r="EF63" s="112"/>
      <c r="EG63" s="112"/>
      <c r="EH63" s="112"/>
      <c r="EI63" s="112"/>
      <c r="EJ63" s="112"/>
      <c r="EK63" s="112"/>
      <c r="EL63" s="112"/>
      <c r="EM63" s="112"/>
      <c r="EN63" s="112"/>
      <c r="EO63" s="112"/>
      <c r="EP63" s="112"/>
      <c r="EQ63" s="112"/>
      <c r="ER63" s="112"/>
      <c r="ES63" s="112"/>
      <c r="ET63" s="112"/>
      <c r="EU63" s="112"/>
      <c r="EV63" s="112"/>
      <c r="EW63" s="112"/>
      <c r="EX63" s="112"/>
      <c r="EY63" s="112"/>
      <c r="EZ63" s="112"/>
      <c r="FA63" s="112"/>
      <c r="FB63" s="112"/>
      <c r="FC63" s="112"/>
      <c r="FD63" s="112"/>
      <c r="FE63" s="112"/>
      <c r="FF63" s="112"/>
      <c r="FG63" s="112"/>
      <c r="FH63" s="112"/>
      <c r="FI63" s="112"/>
      <c r="FJ63" s="112"/>
      <c r="FK63" s="112"/>
      <c r="FL63" s="112"/>
      <c r="FM63" s="112"/>
      <c r="FN63" s="112"/>
      <c r="FO63" s="112"/>
      <c r="FP63" s="112"/>
      <c r="FQ63" s="112"/>
      <c r="FR63" s="112"/>
      <c r="FS63" s="112"/>
      <c r="FT63" s="112">
        <v>213731.65</v>
      </c>
      <c r="FU63" s="112"/>
      <c r="FV63" s="112"/>
      <c r="FW63" s="112"/>
      <c r="FX63" s="112"/>
      <c r="FY63" s="112"/>
      <c r="FZ63" s="112"/>
      <c r="GA63" s="112"/>
      <c r="GB63" s="112"/>
      <c r="GC63" s="112"/>
      <c r="GD63" s="112"/>
      <c r="GE63" s="112"/>
      <c r="GF63" s="112"/>
      <c r="GG63" s="112"/>
      <c r="GH63" s="112"/>
      <c r="GI63" s="112"/>
      <c r="GJ63" s="112"/>
      <c r="GK63" s="112"/>
      <c r="GL63" s="112"/>
      <c r="GM63" s="112"/>
      <c r="GN63" s="112"/>
      <c r="GO63" s="112"/>
      <c r="GP63" s="112"/>
      <c r="GQ63" s="112"/>
      <c r="GR63" s="112"/>
      <c r="GS63" s="112"/>
      <c r="GT63" s="112"/>
      <c r="GU63" s="112"/>
      <c r="GV63" s="112"/>
      <c r="GW63" s="112"/>
      <c r="GX63" s="112"/>
      <c r="GY63" s="112"/>
      <c r="GZ63" s="112"/>
      <c r="HA63" s="112"/>
      <c r="HB63" s="112"/>
      <c r="HC63" s="112"/>
      <c r="HD63" s="112"/>
      <c r="HE63" s="112"/>
      <c r="HF63" s="112"/>
      <c r="HG63" s="112"/>
      <c r="HH63" s="112"/>
      <c r="HI63" s="112"/>
      <c r="HJ63" s="112"/>
      <c r="HK63" s="112"/>
      <c r="HL63" s="112"/>
      <c r="HM63" s="112"/>
      <c r="HN63" s="112"/>
      <c r="HO63" s="112"/>
      <c r="HP63" s="112"/>
      <c r="HQ63" s="112"/>
      <c r="HR63" s="112"/>
      <c r="HS63" s="112"/>
      <c r="HT63" s="112"/>
      <c r="HU63" s="112"/>
      <c r="HV63" s="112"/>
      <c r="HW63" s="112"/>
      <c r="HX63" s="112"/>
      <c r="HY63" s="112"/>
      <c r="HZ63" s="112"/>
      <c r="IA63" s="112"/>
      <c r="IB63" s="112"/>
      <c r="IC63" s="112"/>
      <c r="ID63" s="112"/>
      <c r="IE63" s="112"/>
      <c r="IF63" s="112"/>
      <c r="IG63" s="112"/>
      <c r="IH63" s="112"/>
      <c r="II63" s="112"/>
      <c r="IJ63" s="112"/>
      <c r="IK63" s="112"/>
      <c r="IL63" s="112"/>
      <c r="IM63" s="112"/>
      <c r="IN63" s="112"/>
      <c r="IO63" s="112"/>
      <c r="IP63" s="112"/>
      <c r="IQ63" s="112"/>
      <c r="IR63" s="112"/>
      <c r="IS63" s="112"/>
      <c r="IT63" s="112"/>
      <c r="IU63" s="112"/>
      <c r="IV63" s="112"/>
      <c r="IW63" s="112"/>
      <c r="IX63" s="112"/>
      <c r="IY63" s="112"/>
      <c r="IZ63" s="112"/>
      <c r="JA63" s="112"/>
      <c r="JB63" s="112"/>
      <c r="JC63" s="112"/>
      <c r="JD63" s="112"/>
      <c r="JE63" s="112"/>
      <c r="JF63" s="112"/>
      <c r="JG63" s="112"/>
      <c r="JH63" s="112"/>
      <c r="JI63" s="107">
        <f t="shared" si="1"/>
        <v>213731.65</v>
      </c>
      <c r="JJ63" s="297">
        <v>3032</v>
      </c>
      <c r="JK63" s="110"/>
      <c r="JL63" s="112"/>
      <c r="JM63" s="1"/>
      <c r="JN63" s="1"/>
      <c r="JO63" s="1"/>
      <c r="JP63" s="1"/>
    </row>
    <row r="64" spans="1:276" x14ac:dyDescent="0.25">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c r="AX64" s="112"/>
      <c r="AY64" s="112"/>
      <c r="AZ64" s="112"/>
      <c r="BA64" s="112"/>
      <c r="BB64" s="112"/>
      <c r="BC64" s="112"/>
      <c r="BD64" s="112"/>
      <c r="BE64" s="112"/>
      <c r="BF64" s="112"/>
      <c r="BG64" s="112"/>
      <c r="BH64" s="112"/>
      <c r="BI64" s="112"/>
      <c r="BJ64" s="112"/>
      <c r="BK64" s="112"/>
      <c r="BL64" s="112"/>
      <c r="BM64" s="112"/>
      <c r="BN64" s="112"/>
      <c r="BO64" s="112"/>
      <c r="BP64" s="112"/>
      <c r="BQ64" s="112"/>
      <c r="BR64" s="112"/>
      <c r="BS64" s="112"/>
      <c r="BT64" s="112"/>
      <c r="BU64" s="112"/>
      <c r="BV64" s="112"/>
      <c r="BW64" s="112"/>
      <c r="BX64" s="112"/>
      <c r="BY64" s="112"/>
      <c r="BZ64" s="112"/>
      <c r="CA64" s="112"/>
      <c r="CB64" s="112"/>
      <c r="CC64" s="112"/>
      <c r="CD64" s="112"/>
      <c r="CE64" s="112"/>
      <c r="CF64" s="112"/>
      <c r="CG64" s="112"/>
      <c r="CH64" s="112"/>
      <c r="CI64" s="112"/>
      <c r="CJ64" s="112"/>
      <c r="CK64" s="112"/>
      <c r="CL64" s="112"/>
      <c r="CM64" s="112"/>
      <c r="CN64" s="112"/>
      <c r="CO64" s="112"/>
      <c r="CP64" s="112"/>
      <c r="CQ64" s="112"/>
      <c r="CR64" s="112"/>
      <c r="CS64" s="112"/>
      <c r="CT64" s="112"/>
      <c r="CU64" s="112"/>
      <c r="CV64" s="112"/>
      <c r="CW64" s="112"/>
      <c r="CX64" s="112"/>
      <c r="CY64" s="112"/>
      <c r="CZ64" s="112"/>
      <c r="DA64" s="112"/>
      <c r="DB64" s="112"/>
      <c r="DC64" s="112"/>
      <c r="DD64" s="112"/>
      <c r="DE64" s="112"/>
      <c r="DF64" s="112"/>
      <c r="DG64" s="112"/>
      <c r="DH64" s="112"/>
      <c r="DI64" s="112"/>
      <c r="DJ64" s="112"/>
      <c r="DK64" s="112"/>
      <c r="DL64" s="112"/>
      <c r="DM64" s="112"/>
      <c r="DN64" s="112"/>
      <c r="DO64" s="112"/>
      <c r="DP64" s="112"/>
      <c r="DQ64" s="112"/>
      <c r="DR64" s="112"/>
      <c r="DS64" s="112"/>
      <c r="DT64" s="112"/>
      <c r="DU64" s="112"/>
      <c r="DV64" s="112"/>
      <c r="DW64" s="112"/>
      <c r="DX64" s="112"/>
      <c r="DY64" s="112"/>
      <c r="DZ64" s="112"/>
      <c r="EA64" s="112"/>
      <c r="EB64" s="112"/>
      <c r="EC64" s="112"/>
      <c r="ED64" s="112"/>
      <c r="EE64" s="112"/>
      <c r="EF64" s="112"/>
      <c r="EG64" s="112"/>
      <c r="EH64" s="112"/>
      <c r="EI64" s="112"/>
      <c r="EJ64" s="112"/>
      <c r="EK64" s="112"/>
      <c r="EL64" s="112"/>
      <c r="EM64" s="112"/>
      <c r="EN64" s="112"/>
      <c r="EO64" s="112"/>
      <c r="EP64" s="112"/>
      <c r="EQ64" s="112"/>
      <c r="ER64" s="112"/>
      <c r="ES64" s="112"/>
      <c r="ET64" s="112"/>
      <c r="EU64" s="112"/>
      <c r="EV64" s="112"/>
      <c r="EW64" s="112"/>
      <c r="EX64" s="112"/>
      <c r="EY64" s="112"/>
      <c r="EZ64" s="112"/>
      <c r="FA64" s="112"/>
      <c r="FB64" s="112"/>
      <c r="FC64" s="112"/>
      <c r="FD64" s="112"/>
      <c r="FE64" s="112"/>
      <c r="FF64" s="112"/>
      <c r="FG64" s="112"/>
      <c r="FH64" s="112"/>
      <c r="FI64" s="112"/>
      <c r="FJ64" s="112"/>
      <c r="FK64" s="112"/>
      <c r="FL64" s="112"/>
      <c r="FM64" s="112"/>
      <c r="FN64" s="112"/>
      <c r="FO64" s="112"/>
      <c r="FP64" s="112"/>
      <c r="FQ64" s="112"/>
      <c r="FR64" s="112"/>
      <c r="FS64" s="112"/>
      <c r="FT64" s="112">
        <v>259600</v>
      </c>
      <c r="FU64" s="112"/>
      <c r="FV64" s="112"/>
      <c r="FW64" s="112"/>
      <c r="FX64" s="112"/>
      <c r="FY64" s="112"/>
      <c r="FZ64" s="112"/>
      <c r="GA64" s="112"/>
      <c r="GB64" s="112"/>
      <c r="GC64" s="112"/>
      <c r="GD64" s="112"/>
      <c r="GE64" s="112"/>
      <c r="GF64" s="112"/>
      <c r="GG64" s="112"/>
      <c r="GH64" s="112"/>
      <c r="GI64" s="112"/>
      <c r="GJ64" s="112"/>
      <c r="GK64" s="112"/>
      <c r="GL64" s="112"/>
      <c r="GM64" s="112"/>
      <c r="GN64" s="112"/>
      <c r="GO64" s="112"/>
      <c r="GP64" s="112"/>
      <c r="GQ64" s="112"/>
      <c r="GR64" s="112"/>
      <c r="GS64" s="112"/>
      <c r="GT64" s="112"/>
      <c r="GU64" s="112"/>
      <c r="GV64" s="112"/>
      <c r="GW64" s="112"/>
      <c r="GX64" s="112"/>
      <c r="GY64" s="112"/>
      <c r="GZ64" s="112"/>
      <c r="HA64" s="112"/>
      <c r="HB64" s="112"/>
      <c r="HC64" s="112"/>
      <c r="HD64" s="112"/>
      <c r="HE64" s="112"/>
      <c r="HF64" s="112"/>
      <c r="HG64" s="112"/>
      <c r="HH64" s="112"/>
      <c r="HI64" s="112"/>
      <c r="HJ64" s="112"/>
      <c r="HK64" s="112"/>
      <c r="HL64" s="112"/>
      <c r="HM64" s="112"/>
      <c r="HN64" s="112"/>
      <c r="HO64" s="112"/>
      <c r="HP64" s="112"/>
      <c r="HQ64" s="112"/>
      <c r="HR64" s="112"/>
      <c r="HS64" s="112"/>
      <c r="HT64" s="112"/>
      <c r="HU64" s="112"/>
      <c r="HV64" s="112"/>
      <c r="HW64" s="112"/>
      <c r="HX64" s="112"/>
      <c r="HY64" s="112"/>
      <c r="HZ64" s="112"/>
      <c r="IA64" s="112"/>
      <c r="IB64" s="112"/>
      <c r="IC64" s="112"/>
      <c r="ID64" s="112"/>
      <c r="IE64" s="112"/>
      <c r="IF64" s="112"/>
      <c r="IG64" s="112"/>
      <c r="IH64" s="112"/>
      <c r="II64" s="112"/>
      <c r="IJ64" s="112"/>
      <c r="IK64" s="112"/>
      <c r="IL64" s="112"/>
      <c r="IM64" s="112"/>
      <c r="IN64" s="112"/>
      <c r="IO64" s="112"/>
      <c r="IP64" s="112"/>
      <c r="IQ64" s="112"/>
      <c r="IR64" s="112"/>
      <c r="IS64" s="112"/>
      <c r="IT64" s="112"/>
      <c r="IU64" s="112"/>
      <c r="IV64" s="112"/>
      <c r="IW64" s="112"/>
      <c r="IX64" s="112"/>
      <c r="IY64" s="112"/>
      <c r="IZ64" s="112"/>
      <c r="JA64" s="112"/>
      <c r="JB64" s="112"/>
      <c r="JC64" s="112"/>
      <c r="JD64" s="112"/>
      <c r="JE64" s="112"/>
      <c r="JF64" s="112"/>
      <c r="JG64" s="112"/>
      <c r="JH64" s="112"/>
      <c r="JI64" s="107">
        <f t="shared" si="1"/>
        <v>259600</v>
      </c>
      <c r="JJ64" s="297">
        <v>3036</v>
      </c>
      <c r="JK64" s="110"/>
      <c r="JL64" s="112"/>
      <c r="JM64" s="1"/>
      <c r="JN64" s="1"/>
      <c r="JO64" s="1"/>
      <c r="JP64" s="1"/>
    </row>
    <row r="65" spans="1:276" x14ac:dyDescent="0.25">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112"/>
      <c r="BO65" s="112"/>
      <c r="BP65" s="112"/>
      <c r="BQ65" s="112"/>
      <c r="BR65" s="112"/>
      <c r="BS65" s="112"/>
      <c r="BT65" s="112"/>
      <c r="BU65" s="112"/>
      <c r="BV65" s="112"/>
      <c r="BW65" s="112"/>
      <c r="BX65" s="112"/>
      <c r="BY65" s="112"/>
      <c r="BZ65" s="112"/>
      <c r="CA65" s="112"/>
      <c r="CB65" s="112"/>
      <c r="CC65" s="112"/>
      <c r="CD65" s="112"/>
      <c r="CE65" s="112"/>
      <c r="CF65" s="112"/>
      <c r="CG65" s="112"/>
      <c r="CH65" s="112"/>
      <c r="CI65" s="112"/>
      <c r="CJ65" s="112"/>
      <c r="CK65" s="112"/>
      <c r="CL65" s="112"/>
      <c r="CM65" s="112"/>
      <c r="CN65" s="112"/>
      <c r="CO65" s="112"/>
      <c r="CP65" s="112"/>
      <c r="CQ65" s="112"/>
      <c r="CR65" s="112"/>
      <c r="CS65" s="112"/>
      <c r="CT65" s="112"/>
      <c r="CU65" s="112"/>
      <c r="CV65" s="112"/>
      <c r="CW65" s="112"/>
      <c r="CX65" s="112"/>
      <c r="CY65" s="112"/>
      <c r="CZ65" s="112"/>
      <c r="DA65" s="112"/>
      <c r="DB65" s="112"/>
      <c r="DC65" s="112"/>
      <c r="DD65" s="112"/>
      <c r="DE65" s="112"/>
      <c r="DF65" s="112"/>
      <c r="DG65" s="112"/>
      <c r="DH65" s="112"/>
      <c r="DI65" s="112"/>
      <c r="DJ65" s="112"/>
      <c r="DK65" s="112"/>
      <c r="DL65" s="112"/>
      <c r="DM65" s="112"/>
      <c r="DN65" s="112"/>
      <c r="DO65" s="112"/>
      <c r="DP65" s="112"/>
      <c r="DQ65" s="112"/>
      <c r="DR65" s="112"/>
      <c r="DS65" s="112"/>
      <c r="DT65" s="112"/>
      <c r="DU65" s="112"/>
      <c r="DV65" s="112"/>
      <c r="DW65" s="112"/>
      <c r="DX65" s="112"/>
      <c r="DY65" s="112"/>
      <c r="DZ65" s="112"/>
      <c r="EA65" s="112">
        <v>270000</v>
      </c>
      <c r="EB65" s="112"/>
      <c r="EC65" s="112"/>
      <c r="ED65" s="112"/>
      <c r="EE65" s="112"/>
      <c r="EF65" s="112"/>
      <c r="EG65" s="112"/>
      <c r="EH65" s="112"/>
      <c r="EI65" s="112"/>
      <c r="EJ65" s="112"/>
      <c r="EK65" s="112"/>
      <c r="EL65" s="112"/>
      <c r="EM65" s="112"/>
      <c r="EN65" s="112"/>
      <c r="EO65" s="112"/>
      <c r="EP65" s="112"/>
      <c r="EQ65" s="112"/>
      <c r="ER65" s="112"/>
      <c r="ES65" s="112"/>
      <c r="ET65" s="112"/>
      <c r="EU65" s="112"/>
      <c r="EV65" s="112"/>
      <c r="EW65" s="112"/>
      <c r="EX65" s="112"/>
      <c r="EY65" s="112"/>
      <c r="EZ65" s="112"/>
      <c r="FA65" s="112"/>
      <c r="FB65" s="112"/>
      <c r="FC65" s="112"/>
      <c r="FD65" s="112"/>
      <c r="FE65" s="112"/>
      <c r="FF65" s="112"/>
      <c r="FG65" s="112"/>
      <c r="FH65" s="112"/>
      <c r="FI65" s="112"/>
      <c r="FJ65" s="112"/>
      <c r="FK65" s="112"/>
      <c r="FL65" s="112"/>
      <c r="FM65" s="112"/>
      <c r="FN65" s="112"/>
      <c r="FO65" s="112"/>
      <c r="FP65" s="112"/>
      <c r="FQ65" s="112"/>
      <c r="FR65" s="112"/>
      <c r="FS65" s="112"/>
      <c r="FT65" s="112"/>
      <c r="FU65" s="112"/>
      <c r="FV65" s="112"/>
      <c r="FW65" s="112"/>
      <c r="FX65" s="112"/>
      <c r="FY65" s="112"/>
      <c r="FZ65" s="112"/>
      <c r="GA65" s="112"/>
      <c r="GB65" s="112"/>
      <c r="GC65" s="112"/>
      <c r="GD65" s="112"/>
      <c r="GE65" s="112"/>
      <c r="GF65" s="112"/>
      <c r="GG65" s="112"/>
      <c r="GH65" s="112"/>
      <c r="GI65" s="112"/>
      <c r="GJ65" s="112"/>
      <c r="GK65" s="112"/>
      <c r="GL65" s="112"/>
      <c r="GM65" s="112"/>
      <c r="GN65" s="112"/>
      <c r="GO65" s="112"/>
      <c r="GP65" s="112"/>
      <c r="GQ65" s="112"/>
      <c r="GR65" s="112"/>
      <c r="GS65" s="112"/>
      <c r="GT65" s="112"/>
      <c r="GU65" s="112"/>
      <c r="GV65" s="112"/>
      <c r="GW65" s="112"/>
      <c r="GX65" s="112"/>
      <c r="GY65" s="112"/>
      <c r="GZ65" s="112"/>
      <c r="HA65" s="112"/>
      <c r="HB65" s="112"/>
      <c r="HC65" s="112"/>
      <c r="HD65" s="112"/>
      <c r="HE65" s="112"/>
      <c r="HF65" s="112"/>
      <c r="HG65" s="112"/>
      <c r="HH65" s="112"/>
      <c r="HI65" s="112"/>
      <c r="HJ65" s="112"/>
      <c r="HK65" s="112"/>
      <c r="HL65" s="112"/>
      <c r="HM65" s="112"/>
      <c r="HN65" s="112"/>
      <c r="HO65" s="112"/>
      <c r="HP65" s="112"/>
      <c r="HQ65" s="112"/>
      <c r="HR65" s="112"/>
      <c r="HS65" s="112"/>
      <c r="HT65" s="112"/>
      <c r="HU65" s="112"/>
      <c r="HV65" s="112"/>
      <c r="HW65" s="112"/>
      <c r="HX65" s="112"/>
      <c r="HY65" s="112"/>
      <c r="HZ65" s="112"/>
      <c r="IA65" s="112"/>
      <c r="IB65" s="112"/>
      <c r="IC65" s="112"/>
      <c r="ID65" s="112"/>
      <c r="IE65" s="112"/>
      <c r="IF65" s="112"/>
      <c r="IG65" s="112"/>
      <c r="IH65" s="112"/>
      <c r="II65" s="112"/>
      <c r="IJ65" s="112"/>
      <c r="IK65" s="112"/>
      <c r="IL65" s="112"/>
      <c r="IM65" s="112"/>
      <c r="IN65" s="112"/>
      <c r="IO65" s="112"/>
      <c r="IP65" s="112"/>
      <c r="IQ65" s="112"/>
      <c r="IR65" s="112"/>
      <c r="IS65" s="112"/>
      <c r="IT65" s="112"/>
      <c r="IU65" s="112"/>
      <c r="IV65" s="112"/>
      <c r="IW65" s="112"/>
      <c r="IX65" s="112"/>
      <c r="IY65" s="112"/>
      <c r="IZ65" s="112"/>
      <c r="JA65" s="112"/>
      <c r="JB65" s="112"/>
      <c r="JC65" s="112"/>
      <c r="JD65" s="112"/>
      <c r="JE65" s="112"/>
      <c r="JF65" s="112"/>
      <c r="JG65" s="112"/>
      <c r="JH65" s="112"/>
      <c r="JI65" s="107">
        <f t="shared" si="1"/>
        <v>270000</v>
      </c>
      <c r="JJ65" s="297">
        <v>3041</v>
      </c>
      <c r="JK65" s="110"/>
      <c r="JL65" s="112"/>
      <c r="JM65" s="1"/>
      <c r="JN65" s="1"/>
      <c r="JO65" s="1"/>
      <c r="JP65" s="1"/>
    </row>
    <row r="66" spans="1:276" x14ac:dyDescent="0.25">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c r="AX66" s="112"/>
      <c r="AY66" s="112"/>
      <c r="AZ66" s="112"/>
      <c r="BA66" s="112"/>
      <c r="BB66" s="112"/>
      <c r="BC66" s="112"/>
      <c r="BD66" s="112"/>
      <c r="BE66" s="112"/>
      <c r="BF66" s="112"/>
      <c r="BG66" s="112"/>
      <c r="BH66" s="112"/>
      <c r="BI66" s="112"/>
      <c r="BJ66" s="112"/>
      <c r="BK66" s="112"/>
      <c r="BL66" s="112"/>
      <c r="BM66" s="112"/>
      <c r="BN66" s="112"/>
      <c r="BO66" s="112"/>
      <c r="BP66" s="112"/>
      <c r="BQ66" s="112"/>
      <c r="BR66" s="112"/>
      <c r="BS66" s="112"/>
      <c r="BT66" s="112"/>
      <c r="BU66" s="112"/>
      <c r="BV66" s="112"/>
      <c r="BW66" s="112"/>
      <c r="BX66" s="112"/>
      <c r="BY66" s="112"/>
      <c r="BZ66" s="112"/>
      <c r="CA66" s="112"/>
      <c r="CB66" s="112"/>
      <c r="CC66" s="112"/>
      <c r="CD66" s="112"/>
      <c r="CE66" s="112"/>
      <c r="CF66" s="112"/>
      <c r="CG66" s="112"/>
      <c r="CH66" s="112"/>
      <c r="CI66" s="112"/>
      <c r="CJ66" s="112"/>
      <c r="CK66" s="112"/>
      <c r="CL66" s="112"/>
      <c r="CM66" s="112"/>
      <c r="CN66" s="112"/>
      <c r="CO66" s="112"/>
      <c r="CP66" s="112"/>
      <c r="CQ66" s="112"/>
      <c r="CR66" s="112"/>
      <c r="CS66" s="112"/>
      <c r="CT66" s="112"/>
      <c r="CU66" s="112"/>
      <c r="CV66" s="112"/>
      <c r="CW66" s="112"/>
      <c r="CX66" s="112"/>
      <c r="CY66" s="112"/>
      <c r="CZ66" s="112"/>
      <c r="DA66" s="112"/>
      <c r="DB66" s="112"/>
      <c r="DC66" s="112"/>
      <c r="DD66" s="112"/>
      <c r="DE66" s="112"/>
      <c r="DF66" s="112"/>
      <c r="DG66" s="112"/>
      <c r="DH66" s="112"/>
      <c r="DI66" s="112"/>
      <c r="DJ66" s="112"/>
      <c r="DK66" s="112"/>
      <c r="DL66" s="112"/>
      <c r="DM66" s="112"/>
      <c r="DN66" s="112"/>
      <c r="DO66" s="112"/>
      <c r="DP66" s="112"/>
      <c r="DQ66" s="112"/>
      <c r="DR66" s="112"/>
      <c r="DS66" s="112"/>
      <c r="DT66" s="112"/>
      <c r="DU66" s="112"/>
      <c r="DV66" s="112"/>
      <c r="DW66" s="112"/>
      <c r="DX66" s="112"/>
      <c r="DY66" s="112"/>
      <c r="DZ66" s="112"/>
      <c r="EA66" s="112"/>
      <c r="EB66" s="112"/>
      <c r="EC66" s="112"/>
      <c r="ED66" s="112"/>
      <c r="EE66" s="112"/>
      <c r="EF66" s="112"/>
      <c r="EG66" s="112"/>
      <c r="EH66" s="112"/>
      <c r="EI66" s="112"/>
      <c r="EJ66" s="112"/>
      <c r="EK66" s="112"/>
      <c r="EL66" s="112"/>
      <c r="EM66" s="112"/>
      <c r="EN66" s="112"/>
      <c r="EO66" s="112"/>
      <c r="EP66" s="112"/>
      <c r="EQ66" s="112"/>
      <c r="ER66" s="112"/>
      <c r="ES66" s="112"/>
      <c r="ET66" s="112"/>
      <c r="EU66" s="112"/>
      <c r="EV66" s="112"/>
      <c r="EW66" s="112"/>
      <c r="EX66" s="112"/>
      <c r="EY66" s="112"/>
      <c r="EZ66" s="112"/>
      <c r="FA66" s="112"/>
      <c r="FB66" s="112"/>
      <c r="FC66" s="112"/>
      <c r="FD66" s="112"/>
      <c r="FE66" s="112"/>
      <c r="FF66" s="112"/>
      <c r="FG66" s="112"/>
      <c r="FH66" s="112"/>
      <c r="FI66" s="112"/>
      <c r="FJ66" s="112"/>
      <c r="FK66" s="112"/>
      <c r="FL66" s="112"/>
      <c r="FM66" s="112"/>
      <c r="FN66" s="112"/>
      <c r="FO66" s="112"/>
      <c r="FP66" s="112"/>
      <c r="FQ66" s="112"/>
      <c r="FR66" s="112"/>
      <c r="FS66" s="112"/>
      <c r="FT66" s="112">
        <v>408600</v>
      </c>
      <c r="FU66" s="112"/>
      <c r="FV66" s="112"/>
      <c r="FW66" s="112"/>
      <c r="FX66" s="112"/>
      <c r="FY66" s="112"/>
      <c r="FZ66" s="112"/>
      <c r="GA66" s="112"/>
      <c r="GB66" s="112"/>
      <c r="GC66" s="112"/>
      <c r="GD66" s="112"/>
      <c r="GE66" s="112"/>
      <c r="GF66" s="112"/>
      <c r="GG66" s="112"/>
      <c r="GH66" s="112"/>
      <c r="GI66" s="112"/>
      <c r="GJ66" s="112"/>
      <c r="GK66" s="112"/>
      <c r="GL66" s="112"/>
      <c r="GM66" s="112"/>
      <c r="GN66" s="112"/>
      <c r="GO66" s="112"/>
      <c r="GP66" s="112"/>
      <c r="GQ66" s="112"/>
      <c r="GR66" s="112"/>
      <c r="GS66" s="112"/>
      <c r="GT66" s="112"/>
      <c r="GU66" s="112"/>
      <c r="GV66" s="112"/>
      <c r="GW66" s="112"/>
      <c r="GX66" s="112"/>
      <c r="GY66" s="112"/>
      <c r="GZ66" s="112"/>
      <c r="HA66" s="112"/>
      <c r="HB66" s="112"/>
      <c r="HC66" s="112"/>
      <c r="HD66" s="112"/>
      <c r="HE66" s="112"/>
      <c r="HF66" s="112"/>
      <c r="HG66" s="112"/>
      <c r="HH66" s="112"/>
      <c r="HI66" s="112"/>
      <c r="HJ66" s="112"/>
      <c r="HK66" s="112"/>
      <c r="HL66" s="112"/>
      <c r="HM66" s="112"/>
      <c r="HN66" s="112"/>
      <c r="HO66" s="112"/>
      <c r="HP66" s="112"/>
      <c r="HQ66" s="112"/>
      <c r="HR66" s="112"/>
      <c r="HS66" s="112"/>
      <c r="HT66" s="112"/>
      <c r="HU66" s="112"/>
      <c r="HV66" s="112"/>
      <c r="HW66" s="112"/>
      <c r="HX66" s="112"/>
      <c r="HY66" s="112"/>
      <c r="HZ66" s="112"/>
      <c r="IA66" s="112"/>
      <c r="IB66" s="112"/>
      <c r="IC66" s="112"/>
      <c r="ID66" s="112"/>
      <c r="IE66" s="112"/>
      <c r="IF66" s="112"/>
      <c r="IG66" s="112"/>
      <c r="IH66" s="112"/>
      <c r="II66" s="112"/>
      <c r="IJ66" s="112"/>
      <c r="IK66" s="112"/>
      <c r="IL66" s="112"/>
      <c r="IM66" s="112"/>
      <c r="IN66" s="112"/>
      <c r="IO66" s="112"/>
      <c r="IP66" s="112"/>
      <c r="IQ66" s="112"/>
      <c r="IR66" s="112"/>
      <c r="IS66" s="112"/>
      <c r="IT66" s="112"/>
      <c r="IU66" s="112"/>
      <c r="IV66" s="112"/>
      <c r="IW66" s="112"/>
      <c r="IX66" s="112"/>
      <c r="IY66" s="112"/>
      <c r="IZ66" s="112"/>
      <c r="JA66" s="112"/>
      <c r="JB66" s="112"/>
      <c r="JC66" s="112"/>
      <c r="JD66" s="112"/>
      <c r="JE66" s="112"/>
      <c r="JF66" s="112"/>
      <c r="JG66" s="112"/>
      <c r="JH66" s="112"/>
      <c r="JI66" s="107">
        <f t="shared" si="1"/>
        <v>408600</v>
      </c>
      <c r="JJ66" s="297">
        <v>3043</v>
      </c>
      <c r="JK66" s="110"/>
      <c r="JL66" s="112"/>
      <c r="JM66" s="1"/>
      <c r="JN66" s="1"/>
      <c r="JO66" s="1"/>
      <c r="JP66" s="1"/>
    </row>
    <row r="67" spans="1:276" x14ac:dyDescent="0.25">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112"/>
      <c r="BA67" s="112"/>
      <c r="BB67" s="112"/>
      <c r="BC67" s="112"/>
      <c r="BD67" s="112"/>
      <c r="BE67" s="112"/>
      <c r="BF67" s="112"/>
      <c r="BG67" s="112"/>
      <c r="BH67" s="112"/>
      <c r="BI67" s="112"/>
      <c r="BJ67" s="112"/>
      <c r="BK67" s="112"/>
      <c r="BL67" s="112"/>
      <c r="BM67" s="112"/>
      <c r="BN67" s="112"/>
      <c r="BO67" s="112"/>
      <c r="BP67" s="112"/>
      <c r="BQ67" s="112"/>
      <c r="BR67" s="112"/>
      <c r="BS67" s="112"/>
      <c r="BT67" s="112"/>
      <c r="BU67" s="112"/>
      <c r="BV67" s="112"/>
      <c r="BW67" s="112"/>
      <c r="BX67" s="112"/>
      <c r="BY67" s="112"/>
      <c r="BZ67" s="112"/>
      <c r="CA67" s="112"/>
      <c r="CB67" s="112"/>
      <c r="CC67" s="112"/>
      <c r="CD67" s="112"/>
      <c r="CE67" s="112"/>
      <c r="CF67" s="112"/>
      <c r="CG67" s="112"/>
      <c r="CH67" s="112"/>
      <c r="CI67" s="112"/>
      <c r="CJ67" s="112"/>
      <c r="CK67" s="112"/>
      <c r="CL67" s="112"/>
      <c r="CM67" s="112"/>
      <c r="CN67" s="112"/>
      <c r="CO67" s="112"/>
      <c r="CP67" s="112"/>
      <c r="CQ67" s="112"/>
      <c r="CR67" s="112"/>
      <c r="CS67" s="112"/>
      <c r="CT67" s="112"/>
      <c r="CU67" s="112"/>
      <c r="CV67" s="112"/>
      <c r="CW67" s="112"/>
      <c r="CX67" s="112"/>
      <c r="CY67" s="112"/>
      <c r="CZ67" s="112"/>
      <c r="DA67" s="112"/>
      <c r="DB67" s="112"/>
      <c r="DC67" s="112"/>
      <c r="DD67" s="112"/>
      <c r="DE67" s="112"/>
      <c r="DF67" s="112"/>
      <c r="DG67" s="112"/>
      <c r="DH67" s="112"/>
      <c r="DI67" s="112"/>
      <c r="DJ67" s="112"/>
      <c r="DK67" s="112"/>
      <c r="DL67" s="112"/>
      <c r="DM67" s="112"/>
      <c r="DN67" s="112"/>
      <c r="DO67" s="112"/>
      <c r="DP67" s="112"/>
      <c r="DQ67" s="112"/>
      <c r="DR67" s="112"/>
      <c r="DS67" s="112"/>
      <c r="DT67" s="112"/>
      <c r="DU67" s="112"/>
      <c r="DV67" s="112"/>
      <c r="DW67" s="112"/>
      <c r="DX67" s="112"/>
      <c r="DY67" s="112"/>
      <c r="DZ67" s="112"/>
      <c r="EA67" s="112"/>
      <c r="EB67" s="112"/>
      <c r="EC67" s="112"/>
      <c r="ED67" s="112"/>
      <c r="EE67" s="112"/>
      <c r="EF67" s="112"/>
      <c r="EG67" s="112"/>
      <c r="EH67" s="112"/>
      <c r="EI67" s="112"/>
      <c r="EJ67" s="112"/>
      <c r="EK67" s="112"/>
      <c r="EL67" s="112"/>
      <c r="EM67" s="112"/>
      <c r="EN67" s="112"/>
      <c r="EO67" s="112"/>
      <c r="EP67" s="112"/>
      <c r="EQ67" s="112"/>
      <c r="ER67" s="112"/>
      <c r="ES67" s="112"/>
      <c r="ET67" s="112"/>
      <c r="EU67" s="112"/>
      <c r="EV67" s="112"/>
      <c r="EW67" s="112"/>
      <c r="EX67" s="112"/>
      <c r="EY67" s="112"/>
      <c r="EZ67" s="112"/>
      <c r="FA67" s="112"/>
      <c r="FB67" s="112"/>
      <c r="FC67" s="112"/>
      <c r="FD67" s="112"/>
      <c r="FE67" s="112"/>
      <c r="FF67" s="112"/>
      <c r="FG67" s="112"/>
      <c r="FH67" s="112"/>
      <c r="FI67" s="112"/>
      <c r="FJ67" s="112"/>
      <c r="FK67" s="112"/>
      <c r="FL67" s="112"/>
      <c r="FM67" s="112"/>
      <c r="FN67" s="112"/>
      <c r="FO67" s="112"/>
      <c r="FP67" s="112"/>
      <c r="FQ67" s="112"/>
      <c r="FR67" s="112"/>
      <c r="FS67" s="112"/>
      <c r="FT67" s="112">
        <v>259234.2</v>
      </c>
      <c r="FU67" s="112"/>
      <c r="FV67" s="112"/>
      <c r="FW67" s="112"/>
      <c r="FX67" s="112"/>
      <c r="FY67" s="112"/>
      <c r="FZ67" s="112"/>
      <c r="GA67" s="112"/>
      <c r="GB67" s="112"/>
      <c r="GC67" s="112"/>
      <c r="GD67" s="112"/>
      <c r="GE67" s="112"/>
      <c r="GF67" s="112"/>
      <c r="GG67" s="112"/>
      <c r="GH67" s="112"/>
      <c r="GI67" s="112"/>
      <c r="GJ67" s="112"/>
      <c r="GK67" s="112"/>
      <c r="GL67" s="112"/>
      <c r="GM67" s="112"/>
      <c r="GN67" s="112"/>
      <c r="GO67" s="112"/>
      <c r="GP67" s="112"/>
      <c r="GQ67" s="112"/>
      <c r="GR67" s="112"/>
      <c r="GS67" s="112"/>
      <c r="GT67" s="112"/>
      <c r="GU67" s="112"/>
      <c r="GV67" s="112"/>
      <c r="GW67" s="112"/>
      <c r="GX67" s="112"/>
      <c r="GY67" s="112"/>
      <c r="GZ67" s="112"/>
      <c r="HA67" s="112"/>
      <c r="HB67" s="112"/>
      <c r="HC67" s="112"/>
      <c r="HD67" s="112"/>
      <c r="HE67" s="112"/>
      <c r="HF67" s="112"/>
      <c r="HG67" s="112"/>
      <c r="HH67" s="112"/>
      <c r="HI67" s="112"/>
      <c r="HJ67" s="112"/>
      <c r="HK67" s="112"/>
      <c r="HL67" s="112"/>
      <c r="HM67" s="112"/>
      <c r="HN67" s="112"/>
      <c r="HO67" s="112"/>
      <c r="HP67" s="112"/>
      <c r="HQ67" s="112"/>
      <c r="HR67" s="112"/>
      <c r="HS67" s="112"/>
      <c r="HT67" s="112"/>
      <c r="HU67" s="112"/>
      <c r="HV67" s="112"/>
      <c r="HW67" s="112"/>
      <c r="HX67" s="112"/>
      <c r="HY67" s="112"/>
      <c r="HZ67" s="112"/>
      <c r="IA67" s="112"/>
      <c r="IB67" s="112"/>
      <c r="IC67" s="112"/>
      <c r="ID67" s="112"/>
      <c r="IE67" s="112"/>
      <c r="IF67" s="112"/>
      <c r="IG67" s="112"/>
      <c r="IH67" s="112"/>
      <c r="II67" s="112"/>
      <c r="IJ67" s="112"/>
      <c r="IK67" s="112"/>
      <c r="IL67" s="112"/>
      <c r="IM67" s="112"/>
      <c r="IN67" s="112"/>
      <c r="IO67" s="112"/>
      <c r="IP67" s="112"/>
      <c r="IQ67" s="112"/>
      <c r="IR67" s="112"/>
      <c r="IS67" s="112"/>
      <c r="IT67" s="112"/>
      <c r="IU67" s="112"/>
      <c r="IV67" s="112"/>
      <c r="IW67" s="112"/>
      <c r="IX67" s="112"/>
      <c r="IY67" s="112"/>
      <c r="IZ67" s="112"/>
      <c r="JA67" s="112"/>
      <c r="JB67" s="112"/>
      <c r="JC67" s="112"/>
      <c r="JD67" s="112"/>
      <c r="JE67" s="112"/>
      <c r="JF67" s="112"/>
      <c r="JG67" s="112"/>
      <c r="JH67" s="112"/>
      <c r="JI67" s="107">
        <f t="shared" si="1"/>
        <v>259234.2</v>
      </c>
      <c r="JJ67" s="297">
        <v>3046</v>
      </c>
      <c r="JK67" s="110"/>
      <c r="JL67" s="112"/>
      <c r="JM67" s="1"/>
      <c r="JN67" s="1"/>
      <c r="JO67" s="1"/>
      <c r="JP67" s="1"/>
    </row>
    <row r="68" spans="1:276" x14ac:dyDescent="0.25">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112"/>
      <c r="BO68" s="112"/>
      <c r="BP68" s="112"/>
      <c r="BQ68" s="112"/>
      <c r="BR68" s="112"/>
      <c r="BS68" s="112"/>
      <c r="BT68" s="112"/>
      <c r="BU68" s="112"/>
      <c r="BV68" s="112"/>
      <c r="BW68" s="112"/>
      <c r="BX68" s="112"/>
      <c r="BY68" s="112"/>
      <c r="BZ68" s="112"/>
      <c r="CA68" s="112"/>
      <c r="CB68" s="112"/>
      <c r="CC68" s="112"/>
      <c r="CD68" s="112"/>
      <c r="CE68" s="112"/>
      <c r="CF68" s="112"/>
      <c r="CG68" s="112"/>
      <c r="CH68" s="112"/>
      <c r="CI68" s="112"/>
      <c r="CJ68" s="112"/>
      <c r="CK68" s="112"/>
      <c r="CL68" s="112"/>
      <c r="CM68" s="112"/>
      <c r="CN68" s="112"/>
      <c r="CO68" s="112"/>
      <c r="CP68" s="112"/>
      <c r="CQ68" s="112"/>
      <c r="CR68" s="112"/>
      <c r="CS68" s="112"/>
      <c r="CT68" s="112"/>
      <c r="CU68" s="112"/>
      <c r="CV68" s="112"/>
      <c r="CW68" s="112"/>
      <c r="CX68" s="112"/>
      <c r="CY68" s="112"/>
      <c r="CZ68" s="112"/>
      <c r="DA68" s="112"/>
      <c r="DB68" s="112"/>
      <c r="DC68" s="112"/>
      <c r="DD68" s="112"/>
      <c r="DE68" s="112"/>
      <c r="DF68" s="112"/>
      <c r="DG68" s="112"/>
      <c r="DH68" s="112"/>
      <c r="DI68" s="112"/>
      <c r="DJ68" s="112"/>
      <c r="DK68" s="112"/>
      <c r="DL68" s="112"/>
      <c r="DM68" s="112"/>
      <c r="DN68" s="112"/>
      <c r="DO68" s="112"/>
      <c r="DP68" s="112"/>
      <c r="DQ68" s="112"/>
      <c r="DR68" s="112"/>
      <c r="DS68" s="112"/>
      <c r="DT68" s="112"/>
      <c r="DU68" s="112"/>
      <c r="DV68" s="112"/>
      <c r="DW68" s="112"/>
      <c r="DX68" s="112"/>
      <c r="DY68" s="112"/>
      <c r="DZ68" s="112"/>
      <c r="EA68" s="112"/>
      <c r="EB68" s="112"/>
      <c r="EC68" s="112"/>
      <c r="ED68" s="112"/>
      <c r="EE68" s="112"/>
      <c r="EF68" s="112"/>
      <c r="EG68" s="112"/>
      <c r="EH68" s="112"/>
      <c r="EI68" s="112"/>
      <c r="EJ68" s="112"/>
      <c r="EK68" s="112"/>
      <c r="EL68" s="112"/>
      <c r="EM68" s="112"/>
      <c r="EN68" s="112"/>
      <c r="EO68" s="112"/>
      <c r="EP68" s="112"/>
      <c r="EQ68" s="112"/>
      <c r="ER68" s="112"/>
      <c r="ES68" s="112"/>
      <c r="ET68" s="112"/>
      <c r="EU68" s="112"/>
      <c r="EV68" s="112"/>
      <c r="EW68" s="112"/>
      <c r="EX68" s="112"/>
      <c r="EY68" s="112"/>
      <c r="EZ68" s="112"/>
      <c r="FA68" s="112"/>
      <c r="FB68" s="112"/>
      <c r="FC68" s="112"/>
      <c r="FD68" s="112"/>
      <c r="FE68" s="112"/>
      <c r="FF68" s="112"/>
      <c r="FG68" s="112"/>
      <c r="FH68" s="112"/>
      <c r="FI68" s="112"/>
      <c r="FJ68" s="112"/>
      <c r="FK68" s="112"/>
      <c r="FL68" s="112"/>
      <c r="FM68" s="112"/>
      <c r="FN68" s="112"/>
      <c r="FO68" s="112"/>
      <c r="FP68" s="112"/>
      <c r="FQ68" s="112"/>
      <c r="FR68" s="112"/>
      <c r="FS68" s="112"/>
      <c r="FT68" s="112">
        <v>271456</v>
      </c>
      <c r="FU68" s="112"/>
      <c r="FV68" s="112"/>
      <c r="FW68" s="112"/>
      <c r="FX68" s="112"/>
      <c r="FY68" s="112"/>
      <c r="FZ68" s="112"/>
      <c r="GA68" s="112"/>
      <c r="GB68" s="112"/>
      <c r="GC68" s="112"/>
      <c r="GD68" s="112"/>
      <c r="GE68" s="112"/>
      <c r="GF68" s="112"/>
      <c r="GG68" s="112"/>
      <c r="GH68" s="112"/>
      <c r="GI68" s="112"/>
      <c r="GJ68" s="112"/>
      <c r="GK68" s="112"/>
      <c r="GL68" s="112"/>
      <c r="GM68" s="112"/>
      <c r="GN68" s="112"/>
      <c r="GO68" s="112"/>
      <c r="GP68" s="112"/>
      <c r="GQ68" s="112"/>
      <c r="GR68" s="112"/>
      <c r="GS68" s="112"/>
      <c r="GT68" s="112"/>
      <c r="GU68" s="112"/>
      <c r="GV68" s="112"/>
      <c r="GW68" s="112"/>
      <c r="GX68" s="112"/>
      <c r="GY68" s="112"/>
      <c r="GZ68" s="112"/>
      <c r="HA68" s="112"/>
      <c r="HB68" s="112"/>
      <c r="HC68" s="112"/>
      <c r="HD68" s="112"/>
      <c r="HE68" s="112"/>
      <c r="HF68" s="112"/>
      <c r="HG68" s="112"/>
      <c r="HH68" s="112"/>
      <c r="HI68" s="112"/>
      <c r="HJ68" s="112"/>
      <c r="HK68" s="112"/>
      <c r="HL68" s="112"/>
      <c r="HM68" s="112"/>
      <c r="HN68" s="112"/>
      <c r="HO68" s="112"/>
      <c r="HP68" s="112"/>
      <c r="HQ68" s="112"/>
      <c r="HR68" s="112"/>
      <c r="HS68" s="112"/>
      <c r="HT68" s="112"/>
      <c r="HU68" s="112"/>
      <c r="HV68" s="112"/>
      <c r="HW68" s="112"/>
      <c r="HX68" s="112"/>
      <c r="HY68" s="112"/>
      <c r="HZ68" s="112"/>
      <c r="IA68" s="112"/>
      <c r="IB68" s="112"/>
      <c r="IC68" s="112"/>
      <c r="ID68" s="112"/>
      <c r="IE68" s="112"/>
      <c r="IF68" s="112"/>
      <c r="IG68" s="112"/>
      <c r="IH68" s="112"/>
      <c r="II68" s="112"/>
      <c r="IJ68" s="112"/>
      <c r="IK68" s="112"/>
      <c r="IL68" s="112"/>
      <c r="IM68" s="112"/>
      <c r="IN68" s="112"/>
      <c r="IO68" s="112"/>
      <c r="IP68" s="112"/>
      <c r="IQ68" s="112"/>
      <c r="IR68" s="112"/>
      <c r="IS68" s="112"/>
      <c r="IT68" s="112"/>
      <c r="IU68" s="112"/>
      <c r="IV68" s="112"/>
      <c r="IW68" s="112"/>
      <c r="IX68" s="112"/>
      <c r="IY68" s="112"/>
      <c r="IZ68" s="112"/>
      <c r="JA68" s="112"/>
      <c r="JB68" s="112"/>
      <c r="JC68" s="112"/>
      <c r="JD68" s="112"/>
      <c r="JE68" s="112"/>
      <c r="JF68" s="112"/>
      <c r="JG68" s="112"/>
      <c r="JH68" s="112"/>
      <c r="JI68" s="107">
        <f t="shared" si="1"/>
        <v>271456</v>
      </c>
      <c r="JJ68" s="297">
        <v>3060</v>
      </c>
      <c r="JK68" s="110"/>
      <c r="JL68" s="112"/>
      <c r="JM68" s="1"/>
      <c r="JN68" s="1"/>
      <c r="JO68" s="1"/>
      <c r="JP68" s="1"/>
    </row>
    <row r="69" spans="1:276" x14ac:dyDescent="0.25">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112"/>
      <c r="CA69" s="112"/>
      <c r="CB69" s="112"/>
      <c r="CC69" s="112"/>
      <c r="CD69" s="112"/>
      <c r="CE69" s="112"/>
      <c r="CF69" s="112"/>
      <c r="CG69" s="112"/>
      <c r="CH69" s="112"/>
      <c r="CI69" s="112"/>
      <c r="CJ69" s="112"/>
      <c r="CK69" s="112"/>
      <c r="CL69" s="112"/>
      <c r="CM69" s="112"/>
      <c r="CN69" s="112"/>
      <c r="CO69" s="112"/>
      <c r="CP69" s="112"/>
      <c r="CQ69" s="112"/>
      <c r="CR69" s="112"/>
      <c r="CS69" s="112"/>
      <c r="CT69" s="112"/>
      <c r="CU69" s="112"/>
      <c r="CV69" s="112"/>
      <c r="CW69" s="112"/>
      <c r="CX69" s="112"/>
      <c r="CY69" s="112"/>
      <c r="CZ69" s="112"/>
      <c r="DA69" s="112"/>
      <c r="DB69" s="112"/>
      <c r="DC69" s="112"/>
      <c r="DD69" s="112"/>
      <c r="DE69" s="112"/>
      <c r="DF69" s="112"/>
      <c r="DG69" s="112"/>
      <c r="DH69" s="112"/>
      <c r="DI69" s="112"/>
      <c r="DJ69" s="112"/>
      <c r="DK69" s="112"/>
      <c r="DL69" s="112"/>
      <c r="DM69" s="112"/>
      <c r="DN69" s="112"/>
      <c r="DO69" s="112"/>
      <c r="DP69" s="112"/>
      <c r="DQ69" s="112"/>
      <c r="DR69" s="112"/>
      <c r="DS69" s="112"/>
      <c r="DT69" s="112"/>
      <c r="DU69" s="112"/>
      <c r="DV69" s="112"/>
      <c r="DW69" s="112"/>
      <c r="DX69" s="112"/>
      <c r="DY69" s="112"/>
      <c r="DZ69" s="112"/>
      <c r="EA69" s="112">
        <v>88500</v>
      </c>
      <c r="EB69" s="112"/>
      <c r="EC69" s="112"/>
      <c r="ED69" s="112"/>
      <c r="EE69" s="112"/>
      <c r="EF69" s="112"/>
      <c r="EG69" s="112"/>
      <c r="EH69" s="112"/>
      <c r="EI69" s="112"/>
      <c r="EJ69" s="112"/>
      <c r="EK69" s="112"/>
      <c r="EL69" s="112"/>
      <c r="EM69" s="112"/>
      <c r="EN69" s="112"/>
      <c r="EO69" s="112"/>
      <c r="EP69" s="112"/>
      <c r="EQ69" s="112"/>
      <c r="ER69" s="112"/>
      <c r="ES69" s="112"/>
      <c r="ET69" s="112"/>
      <c r="EU69" s="112"/>
      <c r="EV69" s="112"/>
      <c r="EW69" s="112"/>
      <c r="EX69" s="112"/>
      <c r="EY69" s="112"/>
      <c r="EZ69" s="112"/>
      <c r="FA69" s="112"/>
      <c r="FB69" s="112"/>
      <c r="FC69" s="112"/>
      <c r="FD69" s="112"/>
      <c r="FE69" s="112"/>
      <c r="FF69" s="112"/>
      <c r="FG69" s="112"/>
      <c r="FH69" s="112"/>
      <c r="FI69" s="112"/>
      <c r="FJ69" s="112"/>
      <c r="FK69" s="112"/>
      <c r="FL69" s="112"/>
      <c r="FM69" s="112"/>
      <c r="FN69" s="112"/>
      <c r="FO69" s="112"/>
      <c r="FP69" s="112"/>
      <c r="FQ69" s="112"/>
      <c r="FR69" s="112"/>
      <c r="FS69" s="112"/>
      <c r="FT69" s="112"/>
      <c r="FU69" s="112"/>
      <c r="FV69" s="112"/>
      <c r="FW69" s="112"/>
      <c r="FX69" s="112"/>
      <c r="FY69" s="112"/>
      <c r="FZ69" s="112"/>
      <c r="GA69" s="112"/>
      <c r="GB69" s="112"/>
      <c r="GC69" s="112"/>
      <c r="GD69" s="112"/>
      <c r="GE69" s="112"/>
      <c r="GF69" s="112"/>
      <c r="GG69" s="112"/>
      <c r="GH69" s="112"/>
      <c r="GI69" s="112"/>
      <c r="GJ69" s="112"/>
      <c r="GK69" s="112"/>
      <c r="GL69" s="112"/>
      <c r="GM69" s="112"/>
      <c r="GN69" s="112"/>
      <c r="GO69" s="112"/>
      <c r="GP69" s="112"/>
      <c r="GQ69" s="112"/>
      <c r="GR69" s="112"/>
      <c r="GS69" s="112"/>
      <c r="GT69" s="112"/>
      <c r="GU69" s="112"/>
      <c r="GV69" s="112"/>
      <c r="GW69" s="112"/>
      <c r="GX69" s="112"/>
      <c r="GY69" s="112"/>
      <c r="GZ69" s="112"/>
      <c r="HA69" s="112"/>
      <c r="HB69" s="112"/>
      <c r="HC69" s="112"/>
      <c r="HD69" s="112"/>
      <c r="HE69" s="112"/>
      <c r="HF69" s="112"/>
      <c r="HG69" s="112"/>
      <c r="HH69" s="112"/>
      <c r="HI69" s="112"/>
      <c r="HJ69" s="112"/>
      <c r="HK69" s="112"/>
      <c r="HL69" s="112"/>
      <c r="HM69" s="112"/>
      <c r="HN69" s="112"/>
      <c r="HO69" s="112"/>
      <c r="HP69" s="112"/>
      <c r="HQ69" s="112"/>
      <c r="HR69" s="112"/>
      <c r="HS69" s="112"/>
      <c r="HT69" s="112"/>
      <c r="HU69" s="112"/>
      <c r="HV69" s="112"/>
      <c r="HW69" s="112"/>
      <c r="HX69" s="112"/>
      <c r="HY69" s="112"/>
      <c r="HZ69" s="112"/>
      <c r="IA69" s="112"/>
      <c r="IB69" s="112"/>
      <c r="IC69" s="112"/>
      <c r="ID69" s="112"/>
      <c r="IE69" s="112"/>
      <c r="IF69" s="112"/>
      <c r="IG69" s="112"/>
      <c r="IH69" s="112"/>
      <c r="II69" s="112"/>
      <c r="IJ69" s="112"/>
      <c r="IK69" s="112"/>
      <c r="IL69" s="112"/>
      <c r="IM69" s="112"/>
      <c r="IN69" s="112"/>
      <c r="IO69" s="112"/>
      <c r="IP69" s="112"/>
      <c r="IQ69" s="112"/>
      <c r="IR69" s="112"/>
      <c r="IS69" s="112"/>
      <c r="IT69" s="112"/>
      <c r="IU69" s="112"/>
      <c r="IV69" s="112"/>
      <c r="IW69" s="112"/>
      <c r="IX69" s="112"/>
      <c r="IY69" s="112"/>
      <c r="IZ69" s="112"/>
      <c r="JA69" s="112"/>
      <c r="JB69" s="112"/>
      <c r="JC69" s="112"/>
      <c r="JD69" s="112"/>
      <c r="JE69" s="112"/>
      <c r="JF69" s="112"/>
      <c r="JG69" s="112"/>
      <c r="JH69" s="112"/>
      <c r="JI69" s="107">
        <f t="shared" si="1"/>
        <v>88500</v>
      </c>
      <c r="JJ69" s="297">
        <v>3064</v>
      </c>
      <c r="JK69" s="110"/>
      <c r="JL69" s="112"/>
      <c r="JM69" s="1"/>
      <c r="JN69" s="1"/>
      <c r="JO69" s="1"/>
      <c r="JP69" s="1"/>
    </row>
    <row r="70" spans="1:276" x14ac:dyDescent="0.25">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c r="AX70" s="112"/>
      <c r="AY70" s="112"/>
      <c r="AZ70" s="112"/>
      <c r="BA70" s="112"/>
      <c r="BB70" s="112"/>
      <c r="BC70" s="112"/>
      <c r="BD70" s="112"/>
      <c r="BE70" s="112"/>
      <c r="BF70" s="112"/>
      <c r="BG70" s="112"/>
      <c r="BH70" s="112"/>
      <c r="BI70" s="112"/>
      <c r="BJ70" s="112"/>
      <c r="BK70" s="112"/>
      <c r="BL70" s="112"/>
      <c r="BM70" s="112"/>
      <c r="BN70" s="112"/>
      <c r="BO70" s="112"/>
      <c r="BP70" s="112"/>
      <c r="BQ70" s="112"/>
      <c r="BR70" s="112"/>
      <c r="BS70" s="112"/>
      <c r="BT70" s="112"/>
      <c r="BU70" s="112"/>
      <c r="BV70" s="112"/>
      <c r="BW70" s="112"/>
      <c r="BX70" s="112"/>
      <c r="BY70" s="112"/>
      <c r="BZ70" s="112"/>
      <c r="CA70" s="112"/>
      <c r="CB70" s="112"/>
      <c r="CC70" s="112"/>
      <c r="CD70" s="112"/>
      <c r="CE70" s="112"/>
      <c r="CF70" s="112"/>
      <c r="CG70" s="112"/>
      <c r="CH70" s="112"/>
      <c r="CI70" s="112"/>
      <c r="CJ70" s="112"/>
      <c r="CK70" s="112"/>
      <c r="CL70" s="112"/>
      <c r="CM70" s="112"/>
      <c r="CN70" s="112"/>
      <c r="CO70" s="112"/>
      <c r="CP70" s="112"/>
      <c r="CQ70" s="112"/>
      <c r="CR70" s="112"/>
      <c r="CS70" s="112"/>
      <c r="CT70" s="112"/>
      <c r="CU70" s="112"/>
      <c r="CV70" s="112"/>
      <c r="CW70" s="112"/>
      <c r="CX70" s="112"/>
      <c r="CY70" s="112"/>
      <c r="CZ70" s="112"/>
      <c r="DA70" s="112"/>
      <c r="DB70" s="112"/>
      <c r="DC70" s="112"/>
      <c r="DD70" s="112"/>
      <c r="DE70" s="112"/>
      <c r="DF70" s="112"/>
      <c r="DG70" s="112"/>
      <c r="DH70" s="112"/>
      <c r="DI70" s="112"/>
      <c r="DJ70" s="112"/>
      <c r="DK70" s="112"/>
      <c r="DL70" s="112"/>
      <c r="DM70" s="112"/>
      <c r="DN70" s="112"/>
      <c r="DO70" s="112"/>
      <c r="DP70" s="112"/>
      <c r="DQ70" s="112"/>
      <c r="DR70" s="112"/>
      <c r="DS70" s="112"/>
      <c r="DT70" s="112"/>
      <c r="DU70" s="112"/>
      <c r="DV70" s="112"/>
      <c r="DW70" s="112"/>
      <c r="DX70" s="112"/>
      <c r="DY70" s="112"/>
      <c r="DZ70" s="112"/>
      <c r="EA70" s="112">
        <v>97500</v>
      </c>
      <c r="EB70" s="112"/>
      <c r="EC70" s="112"/>
      <c r="ED70" s="112"/>
      <c r="EE70" s="112"/>
      <c r="EF70" s="112"/>
      <c r="EG70" s="112"/>
      <c r="EH70" s="112"/>
      <c r="EI70" s="112"/>
      <c r="EJ70" s="112"/>
      <c r="EK70" s="112"/>
      <c r="EL70" s="112"/>
      <c r="EM70" s="112"/>
      <c r="EN70" s="112"/>
      <c r="EO70" s="112"/>
      <c r="EP70" s="112"/>
      <c r="EQ70" s="112"/>
      <c r="ER70" s="112"/>
      <c r="ES70" s="112"/>
      <c r="ET70" s="112"/>
      <c r="EU70" s="112"/>
      <c r="EV70" s="112"/>
      <c r="EW70" s="112"/>
      <c r="EX70" s="112"/>
      <c r="EY70" s="112"/>
      <c r="EZ70" s="112"/>
      <c r="FA70" s="112"/>
      <c r="FB70" s="112"/>
      <c r="FC70" s="112"/>
      <c r="FD70" s="112"/>
      <c r="FE70" s="112"/>
      <c r="FF70" s="112"/>
      <c r="FG70" s="112"/>
      <c r="FH70" s="112"/>
      <c r="FI70" s="112"/>
      <c r="FJ70" s="112"/>
      <c r="FK70" s="112"/>
      <c r="FL70" s="112"/>
      <c r="FM70" s="112"/>
      <c r="FN70" s="112"/>
      <c r="FO70" s="112"/>
      <c r="FP70" s="112"/>
      <c r="FQ70" s="112"/>
      <c r="FR70" s="112"/>
      <c r="FS70" s="112"/>
      <c r="FT70" s="112"/>
      <c r="FU70" s="112"/>
      <c r="FV70" s="112"/>
      <c r="FW70" s="112"/>
      <c r="FX70" s="112"/>
      <c r="FY70" s="112"/>
      <c r="FZ70" s="112"/>
      <c r="GA70" s="112"/>
      <c r="GB70" s="112"/>
      <c r="GC70" s="112"/>
      <c r="GD70" s="112"/>
      <c r="GE70" s="112"/>
      <c r="GF70" s="112"/>
      <c r="GG70" s="112"/>
      <c r="GH70" s="112"/>
      <c r="GI70" s="112"/>
      <c r="GJ70" s="112"/>
      <c r="GK70" s="112"/>
      <c r="GL70" s="112"/>
      <c r="GM70" s="112"/>
      <c r="GN70" s="112"/>
      <c r="GO70" s="112"/>
      <c r="GP70" s="112"/>
      <c r="GQ70" s="112"/>
      <c r="GR70" s="112"/>
      <c r="GS70" s="112"/>
      <c r="GT70" s="112"/>
      <c r="GU70" s="112"/>
      <c r="GV70" s="112"/>
      <c r="GW70" s="112"/>
      <c r="GX70" s="112"/>
      <c r="GY70" s="112"/>
      <c r="GZ70" s="112"/>
      <c r="HA70" s="112"/>
      <c r="HB70" s="112"/>
      <c r="HC70" s="112"/>
      <c r="HD70" s="112"/>
      <c r="HE70" s="112"/>
      <c r="HF70" s="112"/>
      <c r="HG70" s="112"/>
      <c r="HH70" s="112"/>
      <c r="HI70" s="112"/>
      <c r="HJ70" s="112"/>
      <c r="HK70" s="112"/>
      <c r="HL70" s="112"/>
      <c r="HM70" s="112"/>
      <c r="HN70" s="112"/>
      <c r="HO70" s="112"/>
      <c r="HP70" s="112"/>
      <c r="HQ70" s="112"/>
      <c r="HR70" s="112"/>
      <c r="HS70" s="112"/>
      <c r="HT70" s="112"/>
      <c r="HU70" s="112"/>
      <c r="HV70" s="112"/>
      <c r="HW70" s="112"/>
      <c r="HX70" s="112"/>
      <c r="HY70" s="112"/>
      <c r="HZ70" s="112"/>
      <c r="IA70" s="112"/>
      <c r="IB70" s="112"/>
      <c r="IC70" s="112"/>
      <c r="ID70" s="112"/>
      <c r="IE70" s="112"/>
      <c r="IF70" s="112"/>
      <c r="IG70" s="112"/>
      <c r="IH70" s="112"/>
      <c r="II70" s="112"/>
      <c r="IJ70" s="112"/>
      <c r="IK70" s="112"/>
      <c r="IL70" s="112"/>
      <c r="IM70" s="112"/>
      <c r="IN70" s="112"/>
      <c r="IO70" s="112"/>
      <c r="IP70" s="112"/>
      <c r="IQ70" s="112"/>
      <c r="IR70" s="112"/>
      <c r="IS70" s="112"/>
      <c r="IT70" s="112"/>
      <c r="IU70" s="112"/>
      <c r="IV70" s="112"/>
      <c r="IW70" s="112"/>
      <c r="IX70" s="112"/>
      <c r="IY70" s="112"/>
      <c r="IZ70" s="112"/>
      <c r="JA70" s="112"/>
      <c r="JB70" s="112"/>
      <c r="JC70" s="112"/>
      <c r="JD70" s="112"/>
      <c r="JE70" s="112"/>
      <c r="JF70" s="112"/>
      <c r="JG70" s="112"/>
      <c r="JH70" s="112"/>
      <c r="JI70" s="107">
        <f t="shared" si="1"/>
        <v>97500</v>
      </c>
      <c r="JJ70" s="297">
        <v>3068</v>
      </c>
      <c r="JK70" s="110"/>
      <c r="JL70" s="112"/>
      <c r="JM70" s="1"/>
      <c r="JN70" s="1"/>
      <c r="JO70" s="1"/>
      <c r="JP70" s="1"/>
    </row>
    <row r="71" spans="1:276" x14ac:dyDescent="0.25">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c r="AX71" s="112"/>
      <c r="AY71" s="112"/>
      <c r="AZ71" s="112"/>
      <c r="BA71" s="112"/>
      <c r="BB71" s="112"/>
      <c r="BC71" s="112"/>
      <c r="BD71" s="112"/>
      <c r="BE71" s="112"/>
      <c r="BF71" s="112"/>
      <c r="BG71" s="112"/>
      <c r="BH71" s="112"/>
      <c r="BI71" s="112"/>
      <c r="BJ71" s="112"/>
      <c r="BK71" s="112"/>
      <c r="BL71" s="112"/>
      <c r="BM71" s="112"/>
      <c r="BN71" s="112"/>
      <c r="BO71" s="112"/>
      <c r="BP71" s="112"/>
      <c r="BQ71" s="112"/>
      <c r="BR71" s="112"/>
      <c r="BS71" s="112"/>
      <c r="BT71" s="112"/>
      <c r="BU71" s="112"/>
      <c r="BV71" s="112"/>
      <c r="BW71" s="112"/>
      <c r="BX71" s="112"/>
      <c r="BY71" s="112"/>
      <c r="BZ71" s="112"/>
      <c r="CA71" s="112"/>
      <c r="CB71" s="112"/>
      <c r="CC71" s="112"/>
      <c r="CD71" s="112"/>
      <c r="CE71" s="112"/>
      <c r="CF71" s="112"/>
      <c r="CG71" s="112"/>
      <c r="CH71" s="112"/>
      <c r="CI71" s="112"/>
      <c r="CJ71" s="112"/>
      <c r="CK71" s="112"/>
      <c r="CL71" s="112"/>
      <c r="CM71" s="112"/>
      <c r="CN71" s="112"/>
      <c r="CO71" s="112"/>
      <c r="CP71" s="112"/>
      <c r="CQ71" s="112"/>
      <c r="CR71" s="112"/>
      <c r="CS71" s="112"/>
      <c r="CT71" s="112"/>
      <c r="CU71" s="112"/>
      <c r="CV71" s="112"/>
      <c r="CW71" s="112"/>
      <c r="CX71" s="112"/>
      <c r="CY71" s="112"/>
      <c r="CZ71" s="112"/>
      <c r="DA71" s="112"/>
      <c r="DB71" s="112"/>
      <c r="DC71" s="112"/>
      <c r="DD71" s="112"/>
      <c r="DE71" s="112"/>
      <c r="DF71" s="112"/>
      <c r="DG71" s="112"/>
      <c r="DH71" s="112"/>
      <c r="DI71" s="112"/>
      <c r="DJ71" s="112"/>
      <c r="DK71" s="112"/>
      <c r="DL71" s="112"/>
      <c r="DM71" s="112"/>
      <c r="DN71" s="112"/>
      <c r="DO71" s="112"/>
      <c r="DP71" s="112"/>
      <c r="DQ71" s="112"/>
      <c r="DR71" s="112"/>
      <c r="DS71" s="112"/>
      <c r="DT71" s="112"/>
      <c r="DU71" s="112"/>
      <c r="DV71" s="112"/>
      <c r="DW71" s="112"/>
      <c r="DX71" s="112"/>
      <c r="DY71" s="112"/>
      <c r="DZ71" s="112"/>
      <c r="EA71" s="112">
        <v>225900</v>
      </c>
      <c r="EB71" s="112"/>
      <c r="EC71" s="112"/>
      <c r="ED71" s="112"/>
      <c r="EE71" s="112"/>
      <c r="EF71" s="112"/>
      <c r="EG71" s="112"/>
      <c r="EH71" s="112"/>
      <c r="EI71" s="112"/>
      <c r="EJ71" s="112"/>
      <c r="EK71" s="112"/>
      <c r="EL71" s="112"/>
      <c r="EM71" s="112"/>
      <c r="EN71" s="112"/>
      <c r="EO71" s="112"/>
      <c r="EP71" s="112"/>
      <c r="EQ71" s="112"/>
      <c r="ER71" s="112"/>
      <c r="ES71" s="112"/>
      <c r="ET71" s="112"/>
      <c r="EU71" s="112"/>
      <c r="EV71" s="112"/>
      <c r="EW71" s="112"/>
      <c r="EX71" s="112"/>
      <c r="EY71" s="112"/>
      <c r="EZ71" s="112"/>
      <c r="FA71" s="112"/>
      <c r="FB71" s="112"/>
      <c r="FC71" s="112"/>
      <c r="FD71" s="112"/>
      <c r="FE71" s="112"/>
      <c r="FF71" s="112"/>
      <c r="FG71" s="112"/>
      <c r="FH71" s="112"/>
      <c r="FI71" s="112"/>
      <c r="FJ71" s="112"/>
      <c r="FK71" s="112"/>
      <c r="FL71" s="112"/>
      <c r="FM71" s="112"/>
      <c r="FN71" s="112"/>
      <c r="FO71" s="112"/>
      <c r="FP71" s="112"/>
      <c r="FQ71" s="112"/>
      <c r="FR71" s="112"/>
      <c r="FS71" s="112"/>
      <c r="FT71" s="112"/>
      <c r="FU71" s="112"/>
      <c r="FV71" s="112"/>
      <c r="FW71" s="112"/>
      <c r="FX71" s="112"/>
      <c r="FY71" s="112"/>
      <c r="FZ71" s="112"/>
      <c r="GA71" s="112"/>
      <c r="GB71" s="112"/>
      <c r="GC71" s="112"/>
      <c r="GD71" s="112"/>
      <c r="GE71" s="112"/>
      <c r="GF71" s="112"/>
      <c r="GG71" s="112"/>
      <c r="GH71" s="112"/>
      <c r="GI71" s="112"/>
      <c r="GJ71" s="112"/>
      <c r="GK71" s="112"/>
      <c r="GL71" s="112"/>
      <c r="GM71" s="112"/>
      <c r="GN71" s="112"/>
      <c r="GO71" s="112"/>
      <c r="GP71" s="112"/>
      <c r="GQ71" s="112"/>
      <c r="GR71" s="112"/>
      <c r="GS71" s="112"/>
      <c r="GT71" s="112"/>
      <c r="GU71" s="112"/>
      <c r="GV71" s="112"/>
      <c r="GW71" s="112"/>
      <c r="GX71" s="112"/>
      <c r="GY71" s="112"/>
      <c r="GZ71" s="112"/>
      <c r="HA71" s="112"/>
      <c r="HB71" s="112"/>
      <c r="HC71" s="112"/>
      <c r="HD71" s="112"/>
      <c r="HE71" s="112"/>
      <c r="HF71" s="112"/>
      <c r="HG71" s="112"/>
      <c r="HH71" s="112"/>
      <c r="HI71" s="112"/>
      <c r="HJ71" s="112"/>
      <c r="HK71" s="112"/>
      <c r="HL71" s="112"/>
      <c r="HM71" s="112"/>
      <c r="HN71" s="112"/>
      <c r="HO71" s="112"/>
      <c r="HP71" s="112"/>
      <c r="HQ71" s="112"/>
      <c r="HR71" s="112"/>
      <c r="HS71" s="112"/>
      <c r="HT71" s="112"/>
      <c r="HU71" s="112"/>
      <c r="HV71" s="112"/>
      <c r="HW71" s="112"/>
      <c r="HX71" s="112"/>
      <c r="HY71" s="112"/>
      <c r="HZ71" s="112"/>
      <c r="IA71" s="112"/>
      <c r="IB71" s="112"/>
      <c r="IC71" s="112"/>
      <c r="ID71" s="112"/>
      <c r="IE71" s="112"/>
      <c r="IF71" s="112"/>
      <c r="IG71" s="112"/>
      <c r="IH71" s="112"/>
      <c r="II71" s="112"/>
      <c r="IJ71" s="112"/>
      <c r="IK71" s="112"/>
      <c r="IL71" s="112"/>
      <c r="IM71" s="112"/>
      <c r="IN71" s="112"/>
      <c r="IO71" s="112"/>
      <c r="IP71" s="112"/>
      <c r="IQ71" s="112"/>
      <c r="IR71" s="112"/>
      <c r="IS71" s="112"/>
      <c r="IT71" s="112"/>
      <c r="IU71" s="112"/>
      <c r="IV71" s="112"/>
      <c r="IW71" s="112"/>
      <c r="IX71" s="112"/>
      <c r="IY71" s="112"/>
      <c r="IZ71" s="112"/>
      <c r="JA71" s="112"/>
      <c r="JB71" s="112"/>
      <c r="JC71" s="112"/>
      <c r="JD71" s="112"/>
      <c r="JE71" s="112"/>
      <c r="JF71" s="112"/>
      <c r="JG71" s="112"/>
      <c r="JH71" s="112"/>
      <c r="JI71" s="107">
        <f t="shared" si="1"/>
        <v>225900</v>
      </c>
      <c r="JJ71" s="297">
        <v>3072</v>
      </c>
      <c r="JK71" s="110"/>
      <c r="JL71" s="112"/>
      <c r="JM71" s="1"/>
      <c r="JN71" s="1"/>
      <c r="JO71" s="1"/>
      <c r="JP71" s="1"/>
    </row>
    <row r="72" spans="1:276" x14ac:dyDescent="0.25">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c r="AX72" s="112"/>
      <c r="AY72" s="112"/>
      <c r="AZ72" s="112"/>
      <c r="BA72" s="112"/>
      <c r="BB72" s="112"/>
      <c r="BC72" s="112"/>
      <c r="BD72" s="112"/>
      <c r="BE72" s="112"/>
      <c r="BF72" s="112"/>
      <c r="BG72" s="112"/>
      <c r="BH72" s="112"/>
      <c r="BI72" s="112"/>
      <c r="BJ72" s="112"/>
      <c r="BK72" s="112"/>
      <c r="BL72" s="112"/>
      <c r="BM72" s="112"/>
      <c r="BN72" s="112"/>
      <c r="BO72" s="112"/>
      <c r="BP72" s="112"/>
      <c r="BQ72" s="112"/>
      <c r="BR72" s="112"/>
      <c r="BS72" s="112"/>
      <c r="BT72" s="112"/>
      <c r="BU72" s="112"/>
      <c r="BV72" s="112"/>
      <c r="BW72" s="112"/>
      <c r="BX72" s="112"/>
      <c r="BY72" s="112"/>
      <c r="BZ72" s="112"/>
      <c r="CA72" s="112"/>
      <c r="CB72" s="112"/>
      <c r="CC72" s="112"/>
      <c r="CD72" s="112"/>
      <c r="CE72" s="112"/>
      <c r="CF72" s="112"/>
      <c r="CG72" s="112"/>
      <c r="CH72" s="112"/>
      <c r="CI72" s="112"/>
      <c r="CJ72" s="112"/>
      <c r="CK72" s="112"/>
      <c r="CL72" s="112"/>
      <c r="CM72" s="112"/>
      <c r="CN72" s="112"/>
      <c r="CO72" s="112"/>
      <c r="CP72" s="112"/>
      <c r="CQ72" s="112"/>
      <c r="CR72" s="112"/>
      <c r="CS72" s="112"/>
      <c r="CT72" s="112"/>
      <c r="CU72" s="112"/>
      <c r="CV72" s="112"/>
      <c r="CW72" s="112"/>
      <c r="CX72" s="112"/>
      <c r="CY72" s="112"/>
      <c r="CZ72" s="112"/>
      <c r="DA72" s="112"/>
      <c r="DB72" s="112"/>
      <c r="DC72" s="112"/>
      <c r="DD72" s="112"/>
      <c r="DE72" s="112"/>
      <c r="DF72" s="112"/>
      <c r="DG72" s="112"/>
      <c r="DH72" s="112"/>
      <c r="DI72" s="112"/>
      <c r="DJ72" s="112"/>
      <c r="DK72" s="112"/>
      <c r="DL72" s="112"/>
      <c r="DM72" s="112"/>
      <c r="DN72" s="112"/>
      <c r="DO72" s="112"/>
      <c r="DP72" s="112"/>
      <c r="DQ72" s="112"/>
      <c r="DR72" s="112"/>
      <c r="DS72" s="112"/>
      <c r="DT72" s="112"/>
      <c r="DU72" s="112"/>
      <c r="DV72" s="112"/>
      <c r="DW72" s="112"/>
      <c r="DX72" s="112"/>
      <c r="DY72" s="112"/>
      <c r="DZ72" s="112"/>
      <c r="EA72" s="112"/>
      <c r="EB72" s="112"/>
      <c r="EC72" s="112"/>
      <c r="ED72" s="112"/>
      <c r="EE72" s="112"/>
      <c r="EF72" s="112"/>
      <c r="EG72" s="112"/>
      <c r="EH72" s="112"/>
      <c r="EI72" s="112"/>
      <c r="EJ72" s="112"/>
      <c r="EK72" s="112"/>
      <c r="EL72" s="112"/>
      <c r="EM72" s="112"/>
      <c r="EN72" s="112"/>
      <c r="EO72" s="112"/>
      <c r="EP72" s="112"/>
      <c r="EQ72" s="112"/>
      <c r="ER72" s="112"/>
      <c r="ES72" s="112"/>
      <c r="ET72" s="112"/>
      <c r="EU72" s="112"/>
      <c r="EV72" s="112"/>
      <c r="EW72" s="112"/>
      <c r="EX72" s="112"/>
      <c r="EY72" s="112"/>
      <c r="EZ72" s="112"/>
      <c r="FA72" s="112"/>
      <c r="FB72" s="112"/>
      <c r="FC72" s="112"/>
      <c r="FD72" s="112"/>
      <c r="FE72" s="112"/>
      <c r="FF72" s="112"/>
      <c r="FG72" s="112"/>
      <c r="FH72" s="112"/>
      <c r="FI72" s="112"/>
      <c r="FJ72" s="112"/>
      <c r="FK72" s="112"/>
      <c r="FL72" s="112"/>
      <c r="FM72" s="112"/>
      <c r="FN72" s="112"/>
      <c r="FO72" s="112"/>
      <c r="FP72" s="112"/>
      <c r="FQ72" s="112"/>
      <c r="FR72" s="112"/>
      <c r="FS72" s="112"/>
      <c r="FT72" s="112">
        <v>206500</v>
      </c>
      <c r="FU72" s="112"/>
      <c r="FV72" s="112"/>
      <c r="FW72" s="112"/>
      <c r="FX72" s="112"/>
      <c r="FY72" s="112"/>
      <c r="FZ72" s="112"/>
      <c r="GA72" s="112"/>
      <c r="GB72" s="112"/>
      <c r="GC72" s="112"/>
      <c r="GD72" s="112"/>
      <c r="GE72" s="112"/>
      <c r="GF72" s="112"/>
      <c r="GG72" s="112"/>
      <c r="GH72" s="112"/>
      <c r="GI72" s="112"/>
      <c r="GJ72" s="112"/>
      <c r="GK72" s="112"/>
      <c r="GL72" s="112"/>
      <c r="GM72" s="112"/>
      <c r="GN72" s="112"/>
      <c r="GO72" s="112"/>
      <c r="GP72" s="112"/>
      <c r="GQ72" s="112"/>
      <c r="GR72" s="112"/>
      <c r="GS72" s="112"/>
      <c r="GT72" s="112"/>
      <c r="GU72" s="112"/>
      <c r="GV72" s="112"/>
      <c r="GW72" s="112"/>
      <c r="GX72" s="112"/>
      <c r="GY72" s="112"/>
      <c r="GZ72" s="112"/>
      <c r="HA72" s="112"/>
      <c r="HB72" s="112"/>
      <c r="HC72" s="112"/>
      <c r="HD72" s="112"/>
      <c r="HE72" s="112"/>
      <c r="HF72" s="112"/>
      <c r="HG72" s="112"/>
      <c r="HH72" s="112"/>
      <c r="HI72" s="112"/>
      <c r="HJ72" s="112"/>
      <c r="HK72" s="112"/>
      <c r="HL72" s="112"/>
      <c r="HM72" s="112"/>
      <c r="HN72" s="112"/>
      <c r="HO72" s="112"/>
      <c r="HP72" s="112"/>
      <c r="HQ72" s="112"/>
      <c r="HR72" s="112"/>
      <c r="HS72" s="112"/>
      <c r="HT72" s="112"/>
      <c r="HU72" s="112"/>
      <c r="HV72" s="112"/>
      <c r="HW72" s="112"/>
      <c r="HX72" s="112"/>
      <c r="HY72" s="112"/>
      <c r="HZ72" s="112"/>
      <c r="IA72" s="112"/>
      <c r="IB72" s="112"/>
      <c r="IC72" s="112"/>
      <c r="ID72" s="112"/>
      <c r="IE72" s="112"/>
      <c r="IF72" s="112"/>
      <c r="IG72" s="112"/>
      <c r="IH72" s="112"/>
      <c r="II72" s="112"/>
      <c r="IJ72" s="112"/>
      <c r="IK72" s="112"/>
      <c r="IL72" s="112"/>
      <c r="IM72" s="112"/>
      <c r="IN72" s="112"/>
      <c r="IO72" s="112"/>
      <c r="IP72" s="112"/>
      <c r="IQ72" s="112"/>
      <c r="IR72" s="112"/>
      <c r="IS72" s="112"/>
      <c r="IT72" s="112"/>
      <c r="IU72" s="112"/>
      <c r="IV72" s="112"/>
      <c r="IW72" s="112"/>
      <c r="IX72" s="112"/>
      <c r="IY72" s="112"/>
      <c r="IZ72" s="112"/>
      <c r="JA72" s="112"/>
      <c r="JB72" s="112"/>
      <c r="JC72" s="112"/>
      <c r="JD72" s="112"/>
      <c r="JE72" s="112"/>
      <c r="JF72" s="112"/>
      <c r="JG72" s="112"/>
      <c r="JH72" s="112"/>
      <c r="JI72" s="107">
        <f t="shared" si="1"/>
        <v>206500</v>
      </c>
      <c r="JJ72" s="297">
        <v>3076</v>
      </c>
      <c r="JK72" s="110"/>
      <c r="JL72" s="112"/>
      <c r="JM72" s="1"/>
      <c r="JN72" s="1"/>
      <c r="JO72" s="1"/>
      <c r="JP72" s="1"/>
    </row>
    <row r="73" spans="1:276" x14ac:dyDescent="0.25">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112"/>
      <c r="BK73" s="112"/>
      <c r="BL73" s="112"/>
      <c r="BM73" s="112"/>
      <c r="BN73" s="112"/>
      <c r="BO73" s="112"/>
      <c r="BP73" s="112"/>
      <c r="BQ73" s="112"/>
      <c r="BR73" s="112"/>
      <c r="BS73" s="112"/>
      <c r="BT73" s="112"/>
      <c r="BU73" s="112"/>
      <c r="BV73" s="112"/>
      <c r="BW73" s="112"/>
      <c r="BX73" s="112"/>
      <c r="BY73" s="112"/>
      <c r="BZ73" s="112"/>
      <c r="CA73" s="112"/>
      <c r="CB73" s="112"/>
      <c r="CC73" s="112"/>
      <c r="CD73" s="112"/>
      <c r="CE73" s="112"/>
      <c r="CF73" s="112"/>
      <c r="CG73" s="112"/>
      <c r="CH73" s="112"/>
      <c r="CI73" s="112"/>
      <c r="CJ73" s="112"/>
      <c r="CK73" s="112"/>
      <c r="CL73" s="112"/>
      <c r="CM73" s="112"/>
      <c r="CN73" s="112"/>
      <c r="CO73" s="112"/>
      <c r="CP73" s="112"/>
      <c r="CQ73" s="112"/>
      <c r="CR73" s="112"/>
      <c r="CS73" s="112"/>
      <c r="CT73" s="112"/>
      <c r="CU73" s="112"/>
      <c r="CV73" s="112"/>
      <c r="CW73" s="112"/>
      <c r="CX73" s="112"/>
      <c r="CY73" s="112"/>
      <c r="CZ73" s="112"/>
      <c r="DA73" s="112"/>
      <c r="DB73" s="112"/>
      <c r="DC73" s="112"/>
      <c r="DD73" s="112"/>
      <c r="DE73" s="112"/>
      <c r="DF73" s="112"/>
      <c r="DG73" s="112"/>
      <c r="DH73" s="112"/>
      <c r="DI73" s="112"/>
      <c r="DJ73" s="112"/>
      <c r="DK73" s="112"/>
      <c r="DL73" s="112"/>
      <c r="DM73" s="112"/>
      <c r="DN73" s="112"/>
      <c r="DO73" s="112"/>
      <c r="DP73" s="112"/>
      <c r="DQ73" s="112"/>
      <c r="DR73" s="112"/>
      <c r="DS73" s="112"/>
      <c r="DT73" s="112"/>
      <c r="DU73" s="112"/>
      <c r="DV73" s="112"/>
      <c r="DW73" s="112"/>
      <c r="DX73" s="112"/>
      <c r="DY73" s="112"/>
      <c r="DZ73" s="112"/>
      <c r="EA73" s="112"/>
      <c r="EB73" s="112"/>
      <c r="EC73" s="112"/>
      <c r="ED73" s="112"/>
      <c r="EE73" s="112"/>
      <c r="EF73" s="112"/>
      <c r="EG73" s="112"/>
      <c r="EH73" s="112"/>
      <c r="EI73" s="112"/>
      <c r="EJ73" s="112"/>
      <c r="EK73" s="112"/>
      <c r="EL73" s="112"/>
      <c r="EM73" s="112"/>
      <c r="EN73" s="112"/>
      <c r="EO73" s="112"/>
      <c r="EP73" s="112"/>
      <c r="EQ73" s="112"/>
      <c r="ER73" s="112"/>
      <c r="ES73" s="112"/>
      <c r="ET73" s="112"/>
      <c r="EU73" s="112"/>
      <c r="EV73" s="112"/>
      <c r="EW73" s="112"/>
      <c r="EX73" s="112"/>
      <c r="EY73" s="112"/>
      <c r="EZ73" s="112"/>
      <c r="FA73" s="112"/>
      <c r="FB73" s="112"/>
      <c r="FC73" s="112"/>
      <c r="FD73" s="112"/>
      <c r="FE73" s="112"/>
      <c r="FF73" s="112"/>
      <c r="FG73" s="112"/>
      <c r="FH73" s="112"/>
      <c r="FI73" s="112"/>
      <c r="FJ73" s="112"/>
      <c r="FK73" s="112"/>
      <c r="FL73" s="112"/>
      <c r="FM73" s="112"/>
      <c r="FN73" s="112"/>
      <c r="FO73" s="112"/>
      <c r="FP73" s="112"/>
      <c r="FQ73" s="112"/>
      <c r="FR73" s="112"/>
      <c r="FS73" s="112"/>
      <c r="FT73" s="112">
        <v>211975.2</v>
      </c>
      <c r="FU73" s="112"/>
      <c r="FV73" s="112"/>
      <c r="FW73" s="112"/>
      <c r="FX73" s="112"/>
      <c r="FY73" s="112"/>
      <c r="FZ73" s="112"/>
      <c r="GA73" s="112"/>
      <c r="GB73" s="112"/>
      <c r="GC73" s="112"/>
      <c r="GD73" s="112"/>
      <c r="GE73" s="112"/>
      <c r="GF73" s="112"/>
      <c r="GG73" s="112"/>
      <c r="GH73" s="112"/>
      <c r="GI73" s="112"/>
      <c r="GJ73" s="112"/>
      <c r="GK73" s="112"/>
      <c r="GL73" s="112"/>
      <c r="GM73" s="112"/>
      <c r="GN73" s="112"/>
      <c r="GO73" s="112"/>
      <c r="GP73" s="112"/>
      <c r="GQ73" s="112"/>
      <c r="GR73" s="112"/>
      <c r="GS73" s="112"/>
      <c r="GT73" s="112"/>
      <c r="GU73" s="112"/>
      <c r="GV73" s="112"/>
      <c r="GW73" s="112"/>
      <c r="GX73" s="112"/>
      <c r="GY73" s="112"/>
      <c r="GZ73" s="112"/>
      <c r="HA73" s="112"/>
      <c r="HB73" s="112"/>
      <c r="HC73" s="112"/>
      <c r="HD73" s="112"/>
      <c r="HE73" s="112"/>
      <c r="HF73" s="112"/>
      <c r="HG73" s="112"/>
      <c r="HH73" s="112"/>
      <c r="HI73" s="112"/>
      <c r="HJ73" s="112"/>
      <c r="HK73" s="112"/>
      <c r="HL73" s="112"/>
      <c r="HM73" s="112"/>
      <c r="HN73" s="112"/>
      <c r="HO73" s="112"/>
      <c r="HP73" s="112"/>
      <c r="HQ73" s="112"/>
      <c r="HR73" s="112"/>
      <c r="HS73" s="112"/>
      <c r="HT73" s="112"/>
      <c r="HU73" s="112"/>
      <c r="HV73" s="112"/>
      <c r="HW73" s="112"/>
      <c r="HX73" s="112"/>
      <c r="HY73" s="112"/>
      <c r="HZ73" s="112"/>
      <c r="IA73" s="112"/>
      <c r="IB73" s="112"/>
      <c r="IC73" s="112"/>
      <c r="ID73" s="112"/>
      <c r="IE73" s="112"/>
      <c r="IF73" s="112"/>
      <c r="IG73" s="112"/>
      <c r="IH73" s="112"/>
      <c r="II73" s="112"/>
      <c r="IJ73" s="112"/>
      <c r="IK73" s="112"/>
      <c r="IL73" s="112"/>
      <c r="IM73" s="112"/>
      <c r="IN73" s="112"/>
      <c r="IO73" s="112"/>
      <c r="IP73" s="112"/>
      <c r="IQ73" s="112"/>
      <c r="IR73" s="112"/>
      <c r="IS73" s="112"/>
      <c r="IT73" s="112"/>
      <c r="IU73" s="112"/>
      <c r="IV73" s="112"/>
      <c r="IW73" s="112"/>
      <c r="IX73" s="112"/>
      <c r="IY73" s="112"/>
      <c r="IZ73" s="112"/>
      <c r="JA73" s="112"/>
      <c r="JB73" s="112"/>
      <c r="JC73" s="112"/>
      <c r="JD73" s="112"/>
      <c r="JE73" s="112"/>
      <c r="JF73" s="112"/>
      <c r="JG73" s="112"/>
      <c r="JH73" s="112"/>
      <c r="JI73" s="107">
        <f t="shared" si="1"/>
        <v>211975.2</v>
      </c>
      <c r="JJ73" s="297">
        <v>3080</v>
      </c>
      <c r="JK73" s="110"/>
      <c r="JL73" s="112"/>
      <c r="JM73" s="1"/>
      <c r="JN73" s="1"/>
      <c r="JO73" s="1"/>
      <c r="JP73" s="1"/>
    </row>
    <row r="74" spans="1:276" x14ac:dyDescent="0.25">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112"/>
      <c r="BK74" s="112"/>
      <c r="BL74" s="112"/>
      <c r="BM74" s="112"/>
      <c r="BN74" s="112"/>
      <c r="BO74" s="112"/>
      <c r="BP74" s="112"/>
      <c r="BQ74" s="112"/>
      <c r="BR74" s="112"/>
      <c r="BS74" s="112"/>
      <c r="BT74" s="112"/>
      <c r="BU74" s="112"/>
      <c r="BV74" s="112"/>
      <c r="BW74" s="112">
        <v>1649337.32</v>
      </c>
      <c r="BX74" s="112"/>
      <c r="BY74" s="112"/>
      <c r="BZ74" s="112"/>
      <c r="CA74" s="112"/>
      <c r="CB74" s="112"/>
      <c r="CC74" s="112"/>
      <c r="CD74" s="112"/>
      <c r="CE74" s="112"/>
      <c r="CF74" s="112"/>
      <c r="CG74" s="112"/>
      <c r="CH74" s="112"/>
      <c r="CI74" s="112"/>
      <c r="CJ74" s="112"/>
      <c r="CK74" s="112"/>
      <c r="CL74" s="112"/>
      <c r="CM74" s="112"/>
      <c r="CN74" s="112"/>
      <c r="CO74" s="112"/>
      <c r="CP74" s="112"/>
      <c r="CQ74" s="112"/>
      <c r="CR74" s="112"/>
      <c r="CS74" s="112"/>
      <c r="CT74" s="112"/>
      <c r="CU74" s="112"/>
      <c r="CV74" s="112"/>
      <c r="CW74" s="112"/>
      <c r="CX74" s="112"/>
      <c r="CY74" s="112"/>
      <c r="CZ74" s="112"/>
      <c r="DA74" s="112"/>
      <c r="DB74" s="112"/>
      <c r="DC74" s="112"/>
      <c r="DD74" s="112"/>
      <c r="DE74" s="112"/>
      <c r="DF74" s="112"/>
      <c r="DG74" s="112"/>
      <c r="DH74" s="112"/>
      <c r="DI74" s="112"/>
      <c r="DJ74" s="112"/>
      <c r="DK74" s="112"/>
      <c r="DL74" s="112"/>
      <c r="DM74" s="112"/>
      <c r="DN74" s="112"/>
      <c r="DO74" s="112"/>
      <c r="DP74" s="112"/>
      <c r="DQ74" s="112"/>
      <c r="DR74" s="112"/>
      <c r="DS74" s="112"/>
      <c r="DT74" s="112"/>
      <c r="DU74" s="112"/>
      <c r="DV74" s="112"/>
      <c r="DW74" s="112"/>
      <c r="DX74" s="112"/>
      <c r="DY74" s="112"/>
      <c r="DZ74" s="112"/>
      <c r="EA74" s="112"/>
      <c r="EB74" s="112"/>
      <c r="EC74" s="112"/>
      <c r="ED74" s="112"/>
      <c r="EE74" s="112"/>
      <c r="EF74" s="112"/>
      <c r="EG74" s="112"/>
      <c r="EH74" s="112"/>
      <c r="EI74" s="112"/>
      <c r="EJ74" s="112"/>
      <c r="EK74" s="112"/>
      <c r="EL74" s="112"/>
      <c r="EM74" s="112"/>
      <c r="EN74" s="112"/>
      <c r="EO74" s="112"/>
      <c r="EP74" s="112"/>
      <c r="EQ74" s="112"/>
      <c r="ER74" s="112"/>
      <c r="ES74" s="112"/>
      <c r="ET74" s="112"/>
      <c r="EU74" s="112"/>
      <c r="EV74" s="112"/>
      <c r="EW74" s="112"/>
      <c r="EX74" s="112"/>
      <c r="EY74" s="112"/>
      <c r="EZ74" s="112"/>
      <c r="FA74" s="112"/>
      <c r="FB74" s="112"/>
      <c r="FC74" s="112"/>
      <c r="FD74" s="112"/>
      <c r="FE74" s="112"/>
      <c r="FF74" s="112"/>
      <c r="FG74" s="112"/>
      <c r="FH74" s="112"/>
      <c r="FI74" s="112"/>
      <c r="FJ74" s="112"/>
      <c r="FK74" s="112"/>
      <c r="FL74" s="112"/>
      <c r="FM74" s="112"/>
      <c r="FN74" s="112"/>
      <c r="FO74" s="112"/>
      <c r="FP74" s="112"/>
      <c r="FQ74" s="112"/>
      <c r="FR74" s="112"/>
      <c r="FS74" s="112"/>
      <c r="FT74" s="112"/>
      <c r="FU74" s="112"/>
      <c r="FV74" s="112"/>
      <c r="FW74" s="112"/>
      <c r="FX74" s="112"/>
      <c r="FY74" s="112"/>
      <c r="FZ74" s="112"/>
      <c r="GA74" s="112"/>
      <c r="GB74" s="112"/>
      <c r="GC74" s="112"/>
      <c r="GD74" s="112"/>
      <c r="GE74" s="112"/>
      <c r="GF74" s="112"/>
      <c r="GG74" s="112"/>
      <c r="GH74" s="112"/>
      <c r="GI74" s="112"/>
      <c r="GJ74" s="112"/>
      <c r="GK74" s="112"/>
      <c r="GL74" s="112"/>
      <c r="GM74" s="112"/>
      <c r="GN74" s="112"/>
      <c r="GO74" s="112"/>
      <c r="GP74" s="112"/>
      <c r="GQ74" s="112"/>
      <c r="GR74" s="112"/>
      <c r="GS74" s="112"/>
      <c r="GT74" s="112"/>
      <c r="GU74" s="112"/>
      <c r="GV74" s="112"/>
      <c r="GW74" s="112"/>
      <c r="GX74" s="112"/>
      <c r="GY74" s="112"/>
      <c r="GZ74" s="112"/>
      <c r="HA74" s="112"/>
      <c r="HB74" s="112"/>
      <c r="HC74" s="112"/>
      <c r="HD74" s="112"/>
      <c r="HE74" s="112"/>
      <c r="HF74" s="112"/>
      <c r="HG74" s="112"/>
      <c r="HH74" s="112"/>
      <c r="HI74" s="112"/>
      <c r="HJ74" s="112"/>
      <c r="HK74" s="112"/>
      <c r="HL74" s="112"/>
      <c r="HM74" s="112"/>
      <c r="HN74" s="112"/>
      <c r="HO74" s="112"/>
      <c r="HP74" s="112"/>
      <c r="HQ74" s="112"/>
      <c r="HR74" s="112"/>
      <c r="HS74" s="112"/>
      <c r="HT74" s="112"/>
      <c r="HU74" s="112"/>
      <c r="HV74" s="112"/>
      <c r="HW74" s="112"/>
      <c r="HX74" s="112"/>
      <c r="HY74" s="112"/>
      <c r="HZ74" s="112"/>
      <c r="IA74" s="112"/>
      <c r="IB74" s="112"/>
      <c r="IC74" s="112"/>
      <c r="ID74" s="112"/>
      <c r="IE74" s="112"/>
      <c r="IF74" s="112"/>
      <c r="IG74" s="112"/>
      <c r="IH74" s="112"/>
      <c r="II74" s="112"/>
      <c r="IJ74" s="112"/>
      <c r="IK74" s="112"/>
      <c r="IL74" s="112"/>
      <c r="IM74" s="112"/>
      <c r="IN74" s="112"/>
      <c r="IO74" s="112"/>
      <c r="IP74" s="112"/>
      <c r="IQ74" s="112"/>
      <c r="IR74" s="112"/>
      <c r="IS74" s="112"/>
      <c r="IT74" s="112"/>
      <c r="IU74" s="112"/>
      <c r="IV74" s="112"/>
      <c r="IW74" s="112"/>
      <c r="IX74" s="112"/>
      <c r="IY74" s="112"/>
      <c r="IZ74" s="112"/>
      <c r="JA74" s="112"/>
      <c r="JB74" s="112"/>
      <c r="JC74" s="112"/>
      <c r="JD74" s="112"/>
      <c r="JE74" s="112"/>
      <c r="JF74" s="112"/>
      <c r="JG74" s="112"/>
      <c r="JH74" s="112"/>
      <c r="JI74" s="107">
        <f t="shared" si="1"/>
        <v>1649337.32</v>
      </c>
      <c r="JJ74" s="297">
        <v>3088</v>
      </c>
      <c r="JK74" s="112"/>
      <c r="JL74" s="112"/>
      <c r="JM74" s="1"/>
      <c r="JN74" s="1"/>
      <c r="JO74" s="1"/>
      <c r="JP74" s="1"/>
    </row>
    <row r="75" spans="1:276" x14ac:dyDescent="0.25">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112"/>
      <c r="BK75" s="112"/>
      <c r="BL75" s="112"/>
      <c r="BM75" s="112"/>
      <c r="BN75" s="112"/>
      <c r="BO75" s="112"/>
      <c r="BP75" s="112"/>
      <c r="BQ75" s="112"/>
      <c r="BR75" s="112"/>
      <c r="BS75" s="112"/>
      <c r="BT75" s="112"/>
      <c r="BU75" s="112"/>
      <c r="BV75" s="112"/>
      <c r="BW75" s="112"/>
      <c r="BX75" s="112"/>
      <c r="BY75" s="112"/>
      <c r="BZ75" s="112"/>
      <c r="CA75" s="112"/>
      <c r="CB75" s="112"/>
      <c r="CC75" s="112"/>
      <c r="CD75" s="112"/>
      <c r="CE75" s="112"/>
      <c r="CF75" s="112"/>
      <c r="CG75" s="112"/>
      <c r="CH75" s="112"/>
      <c r="CI75" s="112"/>
      <c r="CJ75" s="112"/>
      <c r="CK75" s="112"/>
      <c r="CL75" s="112"/>
      <c r="CM75" s="112"/>
      <c r="CN75" s="112"/>
      <c r="CO75" s="112"/>
      <c r="CP75" s="112"/>
      <c r="CQ75" s="112"/>
      <c r="CR75" s="112"/>
      <c r="CS75" s="112"/>
      <c r="CT75" s="112"/>
      <c r="CU75" s="112"/>
      <c r="CV75" s="112"/>
      <c r="CW75" s="112"/>
      <c r="CX75" s="112"/>
      <c r="CY75" s="112"/>
      <c r="CZ75" s="112"/>
      <c r="DA75" s="112"/>
      <c r="DB75" s="112"/>
      <c r="DC75" s="112"/>
      <c r="DD75" s="112"/>
      <c r="DE75" s="112"/>
      <c r="DF75" s="112"/>
      <c r="DG75" s="112"/>
      <c r="DH75" s="112"/>
      <c r="DI75" s="112"/>
      <c r="DJ75" s="112"/>
      <c r="DK75" s="112"/>
      <c r="DL75" s="112"/>
      <c r="DM75" s="112"/>
      <c r="DN75" s="112"/>
      <c r="DO75" s="112"/>
      <c r="DP75" s="112"/>
      <c r="DQ75" s="112"/>
      <c r="DR75" s="112"/>
      <c r="DS75" s="112"/>
      <c r="DT75" s="112"/>
      <c r="DU75" s="112"/>
      <c r="DV75" s="112"/>
      <c r="DW75" s="112"/>
      <c r="DX75" s="112"/>
      <c r="DY75" s="112"/>
      <c r="DZ75" s="112"/>
      <c r="EA75" s="112"/>
      <c r="EB75" s="112"/>
      <c r="EC75" s="112"/>
      <c r="ED75" s="112"/>
      <c r="EE75" s="112"/>
      <c r="EF75" s="112"/>
      <c r="EG75" s="112"/>
      <c r="EH75" s="112"/>
      <c r="EI75" s="112"/>
      <c r="EJ75" s="112"/>
      <c r="EK75" s="112"/>
      <c r="EL75" s="112"/>
      <c r="EM75" s="112"/>
      <c r="EN75" s="112"/>
      <c r="EO75" s="112"/>
      <c r="EP75" s="112"/>
      <c r="EQ75" s="112"/>
      <c r="ER75" s="112"/>
      <c r="ES75" s="112"/>
      <c r="ET75" s="112"/>
      <c r="EU75" s="112"/>
      <c r="EV75" s="112"/>
      <c r="EW75" s="112"/>
      <c r="EX75" s="112"/>
      <c r="EY75" s="112"/>
      <c r="EZ75" s="112"/>
      <c r="FA75" s="112"/>
      <c r="FB75" s="112"/>
      <c r="FC75" s="112"/>
      <c r="FD75" s="112"/>
      <c r="FE75" s="112"/>
      <c r="FF75" s="112"/>
      <c r="FG75" s="112"/>
      <c r="FH75" s="112"/>
      <c r="FI75" s="112"/>
      <c r="FJ75" s="112"/>
      <c r="FK75" s="112"/>
      <c r="FL75" s="112"/>
      <c r="FM75" s="112"/>
      <c r="FN75" s="112"/>
      <c r="FO75" s="112"/>
      <c r="FP75" s="112"/>
      <c r="FQ75" s="112"/>
      <c r="FR75" s="112"/>
      <c r="FS75" s="112"/>
      <c r="FT75" s="112">
        <v>295000</v>
      </c>
      <c r="FU75" s="112"/>
      <c r="FV75" s="112"/>
      <c r="FW75" s="112"/>
      <c r="FX75" s="112"/>
      <c r="FY75" s="112"/>
      <c r="FZ75" s="112"/>
      <c r="GA75" s="112"/>
      <c r="GB75" s="112"/>
      <c r="GC75" s="112"/>
      <c r="GD75" s="112"/>
      <c r="GE75" s="112"/>
      <c r="GF75" s="112"/>
      <c r="GG75" s="112"/>
      <c r="GH75" s="112"/>
      <c r="GI75" s="112"/>
      <c r="GJ75" s="112"/>
      <c r="GK75" s="112"/>
      <c r="GL75" s="112"/>
      <c r="GM75" s="112"/>
      <c r="GN75" s="112"/>
      <c r="GO75" s="112"/>
      <c r="GP75" s="112"/>
      <c r="GQ75" s="112"/>
      <c r="GR75" s="112"/>
      <c r="GS75" s="112"/>
      <c r="GT75" s="112"/>
      <c r="GU75" s="112"/>
      <c r="GV75" s="112"/>
      <c r="GW75" s="112"/>
      <c r="GX75" s="112"/>
      <c r="GY75" s="112"/>
      <c r="GZ75" s="112"/>
      <c r="HA75" s="112"/>
      <c r="HB75" s="112"/>
      <c r="HC75" s="112"/>
      <c r="HD75" s="112"/>
      <c r="HE75" s="112"/>
      <c r="HF75" s="112"/>
      <c r="HG75" s="112"/>
      <c r="HH75" s="112"/>
      <c r="HI75" s="112"/>
      <c r="HJ75" s="112"/>
      <c r="HK75" s="112"/>
      <c r="HL75" s="112"/>
      <c r="HM75" s="112"/>
      <c r="HN75" s="112"/>
      <c r="HO75" s="112"/>
      <c r="HP75" s="112"/>
      <c r="HQ75" s="112"/>
      <c r="HR75" s="112"/>
      <c r="HS75" s="112"/>
      <c r="HT75" s="112"/>
      <c r="HU75" s="112"/>
      <c r="HV75" s="112"/>
      <c r="HW75" s="112"/>
      <c r="HX75" s="112"/>
      <c r="HY75" s="112"/>
      <c r="HZ75" s="112"/>
      <c r="IA75" s="112"/>
      <c r="IB75" s="112"/>
      <c r="IC75" s="112"/>
      <c r="ID75" s="112"/>
      <c r="IE75" s="112"/>
      <c r="IF75" s="112"/>
      <c r="IG75" s="112"/>
      <c r="IH75" s="112"/>
      <c r="II75" s="112"/>
      <c r="IJ75" s="112"/>
      <c r="IK75" s="112"/>
      <c r="IL75" s="112"/>
      <c r="IM75" s="112"/>
      <c r="IN75" s="112"/>
      <c r="IO75" s="112"/>
      <c r="IP75" s="112"/>
      <c r="IQ75" s="112"/>
      <c r="IR75" s="112"/>
      <c r="IS75" s="112"/>
      <c r="IT75" s="112"/>
      <c r="IU75" s="112"/>
      <c r="IV75" s="112"/>
      <c r="IW75" s="112"/>
      <c r="IX75" s="112"/>
      <c r="IY75" s="112"/>
      <c r="IZ75" s="112"/>
      <c r="JA75" s="112"/>
      <c r="JB75" s="112"/>
      <c r="JC75" s="112"/>
      <c r="JD75" s="112"/>
      <c r="JE75" s="112"/>
      <c r="JF75" s="112"/>
      <c r="JG75" s="112"/>
      <c r="JH75" s="112"/>
      <c r="JI75" s="107">
        <f t="shared" si="1"/>
        <v>295000</v>
      </c>
      <c r="JJ75" s="297">
        <v>3096</v>
      </c>
      <c r="JK75" s="112"/>
      <c r="JL75" s="112"/>
      <c r="JM75" s="1"/>
      <c r="JN75" s="1"/>
      <c r="JO75" s="1"/>
      <c r="JP75" s="1"/>
    </row>
    <row r="76" spans="1:276" x14ac:dyDescent="0.25">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112"/>
      <c r="CA76" s="112"/>
      <c r="CB76" s="112"/>
      <c r="CC76" s="112"/>
      <c r="CD76" s="112"/>
      <c r="CE76" s="112"/>
      <c r="CF76" s="112"/>
      <c r="CG76" s="112"/>
      <c r="CH76" s="112"/>
      <c r="CI76" s="112"/>
      <c r="CJ76" s="112"/>
      <c r="CK76" s="112"/>
      <c r="CL76" s="112"/>
      <c r="CM76" s="112"/>
      <c r="CN76" s="112"/>
      <c r="CO76" s="112"/>
      <c r="CP76" s="112"/>
      <c r="CQ76" s="112"/>
      <c r="CR76" s="112"/>
      <c r="CS76" s="112"/>
      <c r="CT76" s="112"/>
      <c r="CU76" s="112"/>
      <c r="CV76" s="112"/>
      <c r="CW76" s="112"/>
      <c r="CX76" s="112"/>
      <c r="CY76" s="112"/>
      <c r="CZ76" s="112"/>
      <c r="DA76" s="112"/>
      <c r="DB76" s="112"/>
      <c r="DC76" s="112"/>
      <c r="DD76" s="112"/>
      <c r="DE76" s="112"/>
      <c r="DF76" s="112"/>
      <c r="DG76" s="112"/>
      <c r="DH76" s="112"/>
      <c r="DI76" s="112"/>
      <c r="DJ76" s="112"/>
      <c r="DK76" s="112"/>
      <c r="DL76" s="112"/>
      <c r="DM76" s="112"/>
      <c r="DN76" s="112"/>
      <c r="DO76" s="112"/>
      <c r="DP76" s="112"/>
      <c r="DQ76" s="112"/>
      <c r="DR76" s="112"/>
      <c r="DS76" s="112"/>
      <c r="DT76" s="112"/>
      <c r="DU76" s="112"/>
      <c r="DV76" s="112"/>
      <c r="DW76" s="112"/>
      <c r="DX76" s="112"/>
      <c r="DY76" s="112"/>
      <c r="DZ76" s="112"/>
      <c r="EA76" s="112"/>
      <c r="EB76" s="112"/>
      <c r="EC76" s="112"/>
      <c r="ED76" s="112"/>
      <c r="EE76" s="112"/>
      <c r="EF76" s="112"/>
      <c r="EG76" s="112"/>
      <c r="EH76" s="112"/>
      <c r="EI76" s="112"/>
      <c r="EJ76" s="112"/>
      <c r="EK76" s="112"/>
      <c r="EL76" s="112"/>
      <c r="EM76" s="112"/>
      <c r="EN76" s="112"/>
      <c r="EO76" s="112"/>
      <c r="EP76" s="112"/>
      <c r="EQ76" s="112"/>
      <c r="ER76" s="112"/>
      <c r="ES76" s="112"/>
      <c r="ET76" s="112"/>
      <c r="EU76" s="112"/>
      <c r="EV76" s="112"/>
      <c r="EW76" s="112"/>
      <c r="EX76" s="112"/>
      <c r="EY76" s="112"/>
      <c r="EZ76" s="112"/>
      <c r="FA76" s="112"/>
      <c r="FB76" s="112"/>
      <c r="FC76" s="112"/>
      <c r="FD76" s="112"/>
      <c r="FE76" s="112"/>
      <c r="FF76" s="112"/>
      <c r="FG76" s="112"/>
      <c r="FH76" s="112"/>
      <c r="FI76" s="112"/>
      <c r="FJ76" s="112"/>
      <c r="FK76" s="112"/>
      <c r="FL76" s="112"/>
      <c r="FM76" s="112"/>
      <c r="FN76" s="112"/>
      <c r="FO76" s="112"/>
      <c r="FP76" s="112"/>
      <c r="FQ76" s="112"/>
      <c r="FR76" s="112"/>
      <c r="FS76" s="112"/>
      <c r="FT76" s="112">
        <v>20650</v>
      </c>
      <c r="FU76" s="112"/>
      <c r="FV76" s="112"/>
      <c r="FW76" s="112"/>
      <c r="FX76" s="112"/>
      <c r="FY76" s="112"/>
      <c r="FZ76" s="112"/>
      <c r="GA76" s="112"/>
      <c r="GB76" s="112"/>
      <c r="GC76" s="112"/>
      <c r="GD76" s="112"/>
      <c r="GE76" s="112"/>
      <c r="GF76" s="112"/>
      <c r="GG76" s="112"/>
      <c r="GH76" s="112"/>
      <c r="GI76" s="112"/>
      <c r="GJ76" s="112"/>
      <c r="GK76" s="112"/>
      <c r="GL76" s="112"/>
      <c r="GM76" s="112"/>
      <c r="GN76" s="112"/>
      <c r="GO76" s="112"/>
      <c r="GP76" s="112"/>
      <c r="GQ76" s="112"/>
      <c r="GR76" s="112"/>
      <c r="GS76" s="112"/>
      <c r="GT76" s="112"/>
      <c r="GU76" s="112"/>
      <c r="GV76" s="112"/>
      <c r="GW76" s="112"/>
      <c r="GX76" s="112"/>
      <c r="GY76" s="112"/>
      <c r="GZ76" s="112"/>
      <c r="HA76" s="112"/>
      <c r="HB76" s="112"/>
      <c r="HC76" s="112"/>
      <c r="HD76" s="112"/>
      <c r="HE76" s="112"/>
      <c r="HF76" s="112"/>
      <c r="HG76" s="112"/>
      <c r="HH76" s="112"/>
      <c r="HI76" s="112"/>
      <c r="HJ76" s="112"/>
      <c r="HK76" s="112"/>
      <c r="HL76" s="112"/>
      <c r="HM76" s="112"/>
      <c r="HN76" s="112"/>
      <c r="HO76" s="112"/>
      <c r="HP76" s="112"/>
      <c r="HQ76" s="112"/>
      <c r="HR76" s="112"/>
      <c r="HS76" s="112"/>
      <c r="HT76" s="112"/>
      <c r="HU76" s="112"/>
      <c r="HV76" s="112"/>
      <c r="HW76" s="112"/>
      <c r="HX76" s="112"/>
      <c r="HY76" s="112"/>
      <c r="HZ76" s="112"/>
      <c r="IA76" s="112"/>
      <c r="IB76" s="112"/>
      <c r="IC76" s="112"/>
      <c r="ID76" s="112"/>
      <c r="IE76" s="112"/>
      <c r="IF76" s="112"/>
      <c r="IG76" s="112"/>
      <c r="IH76" s="112"/>
      <c r="II76" s="112"/>
      <c r="IJ76" s="112"/>
      <c r="IK76" s="112"/>
      <c r="IL76" s="112"/>
      <c r="IM76" s="112"/>
      <c r="IN76" s="112"/>
      <c r="IO76" s="112"/>
      <c r="IP76" s="112"/>
      <c r="IQ76" s="112"/>
      <c r="IR76" s="112"/>
      <c r="IS76" s="112"/>
      <c r="IT76" s="112"/>
      <c r="IU76" s="112"/>
      <c r="IV76" s="112"/>
      <c r="IW76" s="112"/>
      <c r="IX76" s="112"/>
      <c r="IY76" s="112"/>
      <c r="IZ76" s="112"/>
      <c r="JA76" s="112"/>
      <c r="JB76" s="112"/>
      <c r="JC76" s="112"/>
      <c r="JD76" s="112"/>
      <c r="JE76" s="112"/>
      <c r="JF76" s="112"/>
      <c r="JG76" s="112"/>
      <c r="JH76" s="112"/>
      <c r="JI76" s="107">
        <f t="shared" si="1"/>
        <v>20650</v>
      </c>
      <c r="JJ76" s="297">
        <v>3099</v>
      </c>
      <c r="JK76" s="112"/>
      <c r="JL76" s="112"/>
      <c r="JM76" s="1"/>
      <c r="JN76" s="1"/>
      <c r="JO76" s="1"/>
      <c r="JP76" s="1"/>
    </row>
    <row r="77" spans="1:276" x14ac:dyDescent="0.25">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112"/>
      <c r="BO77" s="112"/>
      <c r="BP77" s="112"/>
      <c r="BQ77" s="112"/>
      <c r="BR77" s="112"/>
      <c r="BS77" s="112"/>
      <c r="BT77" s="112"/>
      <c r="BU77" s="112"/>
      <c r="BV77" s="112"/>
      <c r="BW77" s="112"/>
      <c r="BX77" s="112"/>
      <c r="BY77" s="112"/>
      <c r="BZ77" s="112"/>
      <c r="CA77" s="112"/>
      <c r="CB77" s="112"/>
      <c r="CC77" s="112"/>
      <c r="CD77" s="112"/>
      <c r="CE77" s="112"/>
      <c r="CF77" s="112"/>
      <c r="CG77" s="112"/>
      <c r="CH77" s="112"/>
      <c r="CI77" s="112"/>
      <c r="CJ77" s="112"/>
      <c r="CK77" s="112"/>
      <c r="CL77" s="112"/>
      <c r="CM77" s="112"/>
      <c r="CN77" s="112"/>
      <c r="CO77" s="112"/>
      <c r="CP77" s="112"/>
      <c r="CQ77" s="112"/>
      <c r="CR77" s="112"/>
      <c r="CS77" s="112"/>
      <c r="CT77" s="112"/>
      <c r="CU77" s="112"/>
      <c r="CV77" s="112"/>
      <c r="CW77" s="112"/>
      <c r="CX77" s="112"/>
      <c r="CY77" s="112"/>
      <c r="CZ77" s="112"/>
      <c r="DA77" s="112"/>
      <c r="DB77" s="112"/>
      <c r="DC77" s="112"/>
      <c r="DD77" s="112"/>
      <c r="DE77" s="112"/>
      <c r="DF77" s="112"/>
      <c r="DG77" s="112"/>
      <c r="DH77" s="112"/>
      <c r="DI77" s="112"/>
      <c r="DJ77" s="112"/>
      <c r="DK77" s="112"/>
      <c r="DL77" s="112"/>
      <c r="DM77" s="112"/>
      <c r="DN77" s="112"/>
      <c r="DO77" s="112"/>
      <c r="DP77" s="112"/>
      <c r="DQ77" s="112"/>
      <c r="DR77" s="112"/>
      <c r="DS77" s="112"/>
      <c r="DT77" s="112"/>
      <c r="DU77" s="112"/>
      <c r="DV77" s="112"/>
      <c r="DW77" s="112"/>
      <c r="DX77" s="112"/>
      <c r="DY77" s="112"/>
      <c r="DZ77" s="112"/>
      <c r="EA77" s="112">
        <v>148800</v>
      </c>
      <c r="EB77" s="112"/>
      <c r="EC77" s="112"/>
      <c r="ED77" s="112"/>
      <c r="EE77" s="112"/>
      <c r="EF77" s="112"/>
      <c r="EG77" s="112"/>
      <c r="EH77" s="112"/>
      <c r="EI77" s="112"/>
      <c r="EJ77" s="112"/>
      <c r="EK77" s="112"/>
      <c r="EL77" s="112"/>
      <c r="EM77" s="112"/>
      <c r="EN77" s="112"/>
      <c r="EO77" s="112"/>
      <c r="EP77" s="112"/>
      <c r="EQ77" s="112"/>
      <c r="ER77" s="112"/>
      <c r="ES77" s="112"/>
      <c r="ET77" s="112"/>
      <c r="EU77" s="112"/>
      <c r="EV77" s="112"/>
      <c r="EW77" s="112"/>
      <c r="EX77" s="112"/>
      <c r="EY77" s="112"/>
      <c r="EZ77" s="112"/>
      <c r="FA77" s="112"/>
      <c r="FB77" s="112"/>
      <c r="FC77" s="112"/>
      <c r="FD77" s="112"/>
      <c r="FE77" s="112"/>
      <c r="FF77" s="112"/>
      <c r="FG77" s="112"/>
      <c r="FH77" s="112"/>
      <c r="FI77" s="112"/>
      <c r="FJ77" s="112"/>
      <c r="FK77" s="112"/>
      <c r="FL77" s="112"/>
      <c r="FM77" s="112"/>
      <c r="FN77" s="112"/>
      <c r="FO77" s="112"/>
      <c r="FP77" s="112"/>
      <c r="FQ77" s="112"/>
      <c r="FR77" s="112"/>
      <c r="FS77" s="112"/>
      <c r="FT77" s="112">
        <v>18408</v>
      </c>
      <c r="FU77" s="112"/>
      <c r="FV77" s="112"/>
      <c r="FW77" s="112"/>
      <c r="FX77" s="112"/>
      <c r="FY77" s="112"/>
      <c r="FZ77" s="112"/>
      <c r="GA77" s="112"/>
      <c r="GB77" s="112"/>
      <c r="GC77" s="112"/>
      <c r="GD77" s="112"/>
      <c r="GE77" s="112"/>
      <c r="GF77" s="112"/>
      <c r="GG77" s="112"/>
      <c r="GH77" s="112"/>
      <c r="GI77" s="112"/>
      <c r="GJ77" s="112"/>
      <c r="GK77" s="112"/>
      <c r="GL77" s="112"/>
      <c r="GM77" s="112"/>
      <c r="GN77" s="112"/>
      <c r="GO77" s="112"/>
      <c r="GP77" s="112"/>
      <c r="GQ77" s="112"/>
      <c r="GR77" s="112"/>
      <c r="GS77" s="112"/>
      <c r="GT77" s="112"/>
      <c r="GU77" s="112"/>
      <c r="GV77" s="112"/>
      <c r="GW77" s="112"/>
      <c r="GX77" s="112"/>
      <c r="GY77" s="112"/>
      <c r="GZ77" s="112"/>
      <c r="HA77" s="112"/>
      <c r="HB77" s="112"/>
      <c r="HC77" s="112"/>
      <c r="HD77" s="112"/>
      <c r="HE77" s="112"/>
      <c r="HF77" s="112"/>
      <c r="HG77" s="112"/>
      <c r="HH77" s="112"/>
      <c r="HI77" s="112"/>
      <c r="HJ77" s="112"/>
      <c r="HK77" s="112"/>
      <c r="HL77" s="112"/>
      <c r="HM77" s="112"/>
      <c r="HN77" s="112"/>
      <c r="HO77" s="112"/>
      <c r="HP77" s="112"/>
      <c r="HQ77" s="112"/>
      <c r="HR77" s="112"/>
      <c r="HS77" s="112"/>
      <c r="HT77" s="112"/>
      <c r="HU77" s="112"/>
      <c r="HV77" s="112"/>
      <c r="HW77" s="112"/>
      <c r="HX77" s="112"/>
      <c r="HY77" s="112"/>
      <c r="HZ77" s="112"/>
      <c r="IA77" s="112"/>
      <c r="IB77" s="112"/>
      <c r="IC77" s="112"/>
      <c r="ID77" s="112"/>
      <c r="IE77" s="112"/>
      <c r="IF77" s="112"/>
      <c r="IG77" s="112"/>
      <c r="IH77" s="112"/>
      <c r="II77" s="112"/>
      <c r="IJ77" s="112"/>
      <c r="IK77" s="112"/>
      <c r="IL77" s="112"/>
      <c r="IM77" s="112"/>
      <c r="IN77" s="112"/>
      <c r="IO77" s="112"/>
      <c r="IP77" s="112"/>
      <c r="IQ77" s="112"/>
      <c r="IR77" s="112"/>
      <c r="IS77" s="112"/>
      <c r="IT77" s="112"/>
      <c r="IU77" s="112"/>
      <c r="IV77" s="112"/>
      <c r="IW77" s="112"/>
      <c r="IX77" s="112"/>
      <c r="IY77" s="112"/>
      <c r="IZ77" s="112"/>
      <c r="JA77" s="112"/>
      <c r="JB77" s="112"/>
      <c r="JC77" s="112"/>
      <c r="JD77" s="112"/>
      <c r="JE77" s="112"/>
      <c r="JF77" s="112"/>
      <c r="JG77" s="112"/>
      <c r="JH77" s="112"/>
      <c r="JI77" s="107">
        <f t="shared" si="1"/>
        <v>167208</v>
      </c>
      <c r="JJ77" s="297">
        <v>3102</v>
      </c>
      <c r="JK77" s="112"/>
      <c r="JL77" s="112"/>
      <c r="JM77" s="1"/>
      <c r="JN77" s="1"/>
      <c r="JO77" s="1"/>
      <c r="JP77" s="1"/>
    </row>
    <row r="78" spans="1:276" x14ac:dyDescent="0.25">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112"/>
      <c r="BO78" s="112"/>
      <c r="BP78" s="112"/>
      <c r="BQ78" s="112"/>
      <c r="BR78" s="112"/>
      <c r="BS78" s="112"/>
      <c r="BT78" s="112"/>
      <c r="BU78" s="112"/>
      <c r="BV78" s="112"/>
      <c r="BW78" s="112"/>
      <c r="BX78" s="112"/>
      <c r="BY78" s="112"/>
      <c r="BZ78" s="112"/>
      <c r="CA78" s="112"/>
      <c r="CB78" s="112"/>
      <c r="CC78" s="112"/>
      <c r="CD78" s="112"/>
      <c r="CE78" s="112"/>
      <c r="CF78" s="112"/>
      <c r="CG78" s="112"/>
      <c r="CH78" s="112"/>
      <c r="CI78" s="112"/>
      <c r="CJ78" s="112"/>
      <c r="CK78" s="112"/>
      <c r="CL78" s="112"/>
      <c r="CM78" s="112"/>
      <c r="CN78" s="112"/>
      <c r="CO78" s="112"/>
      <c r="CP78" s="112"/>
      <c r="CQ78" s="112"/>
      <c r="CR78" s="112"/>
      <c r="CS78" s="112"/>
      <c r="CT78" s="112"/>
      <c r="CU78" s="112"/>
      <c r="CV78" s="112"/>
      <c r="CW78" s="112"/>
      <c r="CX78" s="112"/>
      <c r="CY78" s="112"/>
      <c r="CZ78" s="112"/>
      <c r="DA78" s="112"/>
      <c r="DB78" s="112"/>
      <c r="DC78" s="112"/>
      <c r="DD78" s="112"/>
      <c r="DE78" s="112"/>
      <c r="DF78" s="112"/>
      <c r="DG78" s="112"/>
      <c r="DH78" s="112"/>
      <c r="DI78" s="112"/>
      <c r="DJ78" s="112"/>
      <c r="DK78" s="112"/>
      <c r="DL78" s="112"/>
      <c r="DM78" s="112"/>
      <c r="DN78" s="112"/>
      <c r="DO78" s="112"/>
      <c r="DP78" s="112"/>
      <c r="DQ78" s="112"/>
      <c r="DR78" s="112"/>
      <c r="DS78" s="112"/>
      <c r="DT78" s="112"/>
      <c r="DU78" s="112"/>
      <c r="DV78" s="112"/>
      <c r="DW78" s="112"/>
      <c r="DX78" s="112"/>
      <c r="DY78" s="112"/>
      <c r="DZ78" s="112"/>
      <c r="EA78" s="112">
        <v>172438</v>
      </c>
      <c r="EB78" s="112"/>
      <c r="EC78" s="112"/>
      <c r="ED78" s="112"/>
      <c r="EE78" s="112"/>
      <c r="EF78" s="112"/>
      <c r="EG78" s="112"/>
      <c r="EH78" s="112"/>
      <c r="EI78" s="112"/>
      <c r="EJ78" s="112"/>
      <c r="EK78" s="112"/>
      <c r="EL78" s="112"/>
      <c r="EM78" s="112"/>
      <c r="EN78" s="112"/>
      <c r="EO78" s="112"/>
      <c r="EP78" s="112"/>
      <c r="EQ78" s="112"/>
      <c r="ER78" s="112"/>
      <c r="ES78" s="112"/>
      <c r="ET78" s="112"/>
      <c r="EU78" s="112"/>
      <c r="EV78" s="112"/>
      <c r="EW78" s="112"/>
      <c r="EX78" s="112"/>
      <c r="EY78" s="112"/>
      <c r="EZ78" s="112"/>
      <c r="FA78" s="112"/>
      <c r="FB78" s="112"/>
      <c r="FC78" s="112"/>
      <c r="FD78" s="112"/>
      <c r="FE78" s="112"/>
      <c r="FF78" s="112"/>
      <c r="FG78" s="112"/>
      <c r="FH78" s="112"/>
      <c r="FI78" s="112"/>
      <c r="FJ78" s="112"/>
      <c r="FK78" s="112"/>
      <c r="FL78" s="112"/>
      <c r="FM78" s="112"/>
      <c r="FN78" s="112"/>
      <c r="FO78" s="112"/>
      <c r="FP78" s="112"/>
      <c r="FQ78" s="112"/>
      <c r="FR78" s="112"/>
      <c r="FS78" s="112"/>
      <c r="FT78" s="112">
        <v>33580.44</v>
      </c>
      <c r="FU78" s="112"/>
      <c r="FV78" s="112"/>
      <c r="FW78" s="112"/>
      <c r="FX78" s="112"/>
      <c r="FY78" s="112"/>
      <c r="FZ78" s="112"/>
      <c r="GA78" s="112"/>
      <c r="GB78" s="112"/>
      <c r="GC78" s="112"/>
      <c r="GD78" s="112"/>
      <c r="GE78" s="112"/>
      <c r="GF78" s="112"/>
      <c r="GG78" s="112"/>
      <c r="GH78" s="112"/>
      <c r="GI78" s="112"/>
      <c r="GJ78" s="112"/>
      <c r="GK78" s="112"/>
      <c r="GL78" s="112"/>
      <c r="GM78" s="112"/>
      <c r="GN78" s="112"/>
      <c r="GO78" s="112"/>
      <c r="GP78" s="112"/>
      <c r="GQ78" s="112"/>
      <c r="GR78" s="112"/>
      <c r="GS78" s="112"/>
      <c r="GT78" s="112"/>
      <c r="GU78" s="112"/>
      <c r="GV78" s="112"/>
      <c r="GW78" s="112"/>
      <c r="GX78" s="112"/>
      <c r="GY78" s="112"/>
      <c r="GZ78" s="112"/>
      <c r="HA78" s="112"/>
      <c r="HB78" s="112"/>
      <c r="HC78" s="112"/>
      <c r="HD78" s="112"/>
      <c r="HE78" s="112"/>
      <c r="HF78" s="112"/>
      <c r="HG78" s="112"/>
      <c r="HH78" s="112"/>
      <c r="HI78" s="112"/>
      <c r="HJ78" s="112"/>
      <c r="HK78" s="112"/>
      <c r="HL78" s="112"/>
      <c r="HM78" s="112"/>
      <c r="HN78" s="112"/>
      <c r="HO78" s="112"/>
      <c r="HP78" s="112"/>
      <c r="HQ78" s="112"/>
      <c r="HR78" s="112"/>
      <c r="HS78" s="112"/>
      <c r="HT78" s="112"/>
      <c r="HU78" s="112"/>
      <c r="HV78" s="112"/>
      <c r="HW78" s="112"/>
      <c r="HX78" s="112"/>
      <c r="HY78" s="112"/>
      <c r="HZ78" s="112"/>
      <c r="IA78" s="112"/>
      <c r="IB78" s="112"/>
      <c r="IC78" s="112"/>
      <c r="ID78" s="112"/>
      <c r="IE78" s="112"/>
      <c r="IF78" s="112"/>
      <c r="IG78" s="112"/>
      <c r="IH78" s="112"/>
      <c r="II78" s="112"/>
      <c r="IJ78" s="112"/>
      <c r="IK78" s="112"/>
      <c r="IL78" s="112"/>
      <c r="IM78" s="112"/>
      <c r="IN78" s="112"/>
      <c r="IO78" s="112"/>
      <c r="IP78" s="112"/>
      <c r="IQ78" s="112"/>
      <c r="IR78" s="112"/>
      <c r="IS78" s="112"/>
      <c r="IT78" s="112"/>
      <c r="IU78" s="112"/>
      <c r="IV78" s="112"/>
      <c r="IW78" s="112"/>
      <c r="IX78" s="112"/>
      <c r="IY78" s="112"/>
      <c r="IZ78" s="112"/>
      <c r="JA78" s="112"/>
      <c r="JB78" s="112"/>
      <c r="JC78" s="112"/>
      <c r="JD78" s="112"/>
      <c r="JE78" s="112"/>
      <c r="JF78" s="112"/>
      <c r="JG78" s="112"/>
      <c r="JH78" s="112"/>
      <c r="JI78" s="107">
        <f t="shared" si="1"/>
        <v>206018.44</v>
      </c>
      <c r="JJ78" s="297">
        <v>3105</v>
      </c>
      <c r="JK78" s="112"/>
      <c r="JL78" s="112"/>
      <c r="JM78" s="1"/>
      <c r="JN78" s="1"/>
      <c r="JO78" s="1"/>
      <c r="JP78" s="1"/>
    </row>
    <row r="79" spans="1:276" x14ac:dyDescent="0.25">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12"/>
      <c r="AX79" s="112"/>
      <c r="AY79" s="112"/>
      <c r="AZ79" s="112"/>
      <c r="BA79" s="112"/>
      <c r="BB79" s="112"/>
      <c r="BC79" s="112"/>
      <c r="BD79" s="112"/>
      <c r="BE79" s="112"/>
      <c r="BF79" s="112"/>
      <c r="BG79" s="112"/>
      <c r="BH79" s="112"/>
      <c r="BI79" s="112"/>
      <c r="BJ79" s="112"/>
      <c r="BK79" s="112"/>
      <c r="BL79" s="112"/>
      <c r="BM79" s="112"/>
      <c r="BN79" s="112"/>
      <c r="BO79" s="112"/>
      <c r="BP79" s="112"/>
      <c r="BQ79" s="112"/>
      <c r="BR79" s="112"/>
      <c r="BS79" s="112"/>
      <c r="BT79" s="112"/>
      <c r="BU79" s="112"/>
      <c r="BV79" s="112"/>
      <c r="BW79" s="112"/>
      <c r="BX79" s="112"/>
      <c r="BY79" s="112"/>
      <c r="BZ79" s="112"/>
      <c r="CA79" s="112"/>
      <c r="CB79" s="112"/>
      <c r="CC79" s="112"/>
      <c r="CD79" s="112"/>
      <c r="CE79" s="112"/>
      <c r="CF79" s="112"/>
      <c r="CG79" s="112"/>
      <c r="CH79" s="112"/>
      <c r="CI79" s="112"/>
      <c r="CJ79" s="112"/>
      <c r="CK79" s="112"/>
      <c r="CL79" s="112"/>
      <c r="CM79" s="112"/>
      <c r="CN79" s="112"/>
      <c r="CO79" s="112"/>
      <c r="CP79" s="112"/>
      <c r="CQ79" s="112"/>
      <c r="CR79" s="112"/>
      <c r="CS79" s="112"/>
      <c r="CT79" s="112"/>
      <c r="CU79" s="112"/>
      <c r="CV79" s="112"/>
      <c r="CW79" s="112"/>
      <c r="CX79" s="112"/>
      <c r="CY79" s="112"/>
      <c r="CZ79" s="112"/>
      <c r="DA79" s="112"/>
      <c r="DB79" s="112"/>
      <c r="DC79" s="112"/>
      <c r="DD79" s="112"/>
      <c r="DE79" s="112"/>
      <c r="DF79" s="112"/>
      <c r="DG79" s="112"/>
      <c r="DH79" s="112"/>
      <c r="DI79" s="112"/>
      <c r="DJ79" s="112"/>
      <c r="DK79" s="112"/>
      <c r="DL79" s="112"/>
      <c r="DM79" s="112"/>
      <c r="DN79" s="112"/>
      <c r="DO79" s="112"/>
      <c r="DP79" s="112"/>
      <c r="DQ79" s="112"/>
      <c r="DR79" s="112"/>
      <c r="DS79" s="112"/>
      <c r="DT79" s="112"/>
      <c r="DU79" s="112"/>
      <c r="DV79" s="112"/>
      <c r="DW79" s="112"/>
      <c r="DX79" s="112"/>
      <c r="DY79" s="112"/>
      <c r="DZ79" s="112"/>
      <c r="EA79" s="112"/>
      <c r="EB79" s="112"/>
      <c r="EC79" s="112"/>
      <c r="ED79" s="112"/>
      <c r="EE79" s="112"/>
      <c r="EF79" s="112"/>
      <c r="EG79" s="112"/>
      <c r="EH79" s="112"/>
      <c r="EI79" s="112"/>
      <c r="EJ79" s="112"/>
      <c r="EK79" s="112"/>
      <c r="EL79" s="112"/>
      <c r="EM79" s="112"/>
      <c r="EN79" s="112"/>
      <c r="EO79" s="112"/>
      <c r="EP79" s="112"/>
      <c r="EQ79" s="112"/>
      <c r="ER79" s="112"/>
      <c r="ES79" s="112"/>
      <c r="ET79" s="112"/>
      <c r="EU79" s="112"/>
      <c r="EV79" s="112"/>
      <c r="EW79" s="112"/>
      <c r="EX79" s="112"/>
      <c r="EY79" s="112"/>
      <c r="EZ79" s="112"/>
      <c r="FA79" s="112"/>
      <c r="FB79" s="112"/>
      <c r="FC79" s="112"/>
      <c r="FD79" s="112"/>
      <c r="FE79" s="112"/>
      <c r="FF79" s="112"/>
      <c r="FG79" s="112"/>
      <c r="FH79" s="112"/>
      <c r="FI79" s="112"/>
      <c r="FJ79" s="112"/>
      <c r="FK79" s="112"/>
      <c r="FL79" s="112"/>
      <c r="FM79" s="112"/>
      <c r="FN79" s="112"/>
      <c r="FO79" s="112"/>
      <c r="FP79" s="112"/>
      <c r="FQ79" s="112"/>
      <c r="FR79" s="112"/>
      <c r="FS79" s="112"/>
      <c r="FT79" s="112">
        <v>456188</v>
      </c>
      <c r="FU79" s="112"/>
      <c r="FV79" s="112"/>
      <c r="FW79" s="112"/>
      <c r="FX79" s="112"/>
      <c r="FY79" s="112"/>
      <c r="FZ79" s="112"/>
      <c r="GA79" s="112"/>
      <c r="GB79" s="112"/>
      <c r="GC79" s="112"/>
      <c r="GD79" s="112"/>
      <c r="GE79" s="112"/>
      <c r="GF79" s="112"/>
      <c r="GG79" s="112"/>
      <c r="GH79" s="112"/>
      <c r="GI79" s="112"/>
      <c r="GJ79" s="112"/>
      <c r="GK79" s="112"/>
      <c r="GL79" s="112"/>
      <c r="GM79" s="112"/>
      <c r="GN79" s="112"/>
      <c r="GO79" s="112"/>
      <c r="GP79" s="112"/>
      <c r="GQ79" s="112"/>
      <c r="GR79" s="112"/>
      <c r="GS79" s="112"/>
      <c r="GT79" s="112"/>
      <c r="GU79" s="112"/>
      <c r="GV79" s="112"/>
      <c r="GW79" s="112"/>
      <c r="GX79" s="112"/>
      <c r="GY79" s="112"/>
      <c r="GZ79" s="112"/>
      <c r="HA79" s="112"/>
      <c r="HB79" s="112"/>
      <c r="HC79" s="112"/>
      <c r="HD79" s="112"/>
      <c r="HE79" s="112"/>
      <c r="HF79" s="112"/>
      <c r="HG79" s="112"/>
      <c r="HH79" s="112"/>
      <c r="HI79" s="112"/>
      <c r="HJ79" s="112"/>
      <c r="HK79" s="112"/>
      <c r="HL79" s="112"/>
      <c r="HM79" s="112"/>
      <c r="HN79" s="112"/>
      <c r="HO79" s="112"/>
      <c r="HP79" s="112"/>
      <c r="HQ79" s="112"/>
      <c r="HR79" s="112"/>
      <c r="HS79" s="112"/>
      <c r="HT79" s="112"/>
      <c r="HU79" s="112"/>
      <c r="HV79" s="112"/>
      <c r="HW79" s="112"/>
      <c r="HX79" s="112"/>
      <c r="HY79" s="112"/>
      <c r="HZ79" s="112"/>
      <c r="IA79" s="112"/>
      <c r="IB79" s="112"/>
      <c r="IC79" s="112"/>
      <c r="ID79" s="112"/>
      <c r="IE79" s="112"/>
      <c r="IF79" s="112"/>
      <c r="IG79" s="112"/>
      <c r="IH79" s="112"/>
      <c r="II79" s="112"/>
      <c r="IJ79" s="112"/>
      <c r="IK79" s="112"/>
      <c r="IL79" s="112"/>
      <c r="IM79" s="112"/>
      <c r="IN79" s="112"/>
      <c r="IO79" s="112"/>
      <c r="IP79" s="112"/>
      <c r="IQ79" s="112"/>
      <c r="IR79" s="112"/>
      <c r="IS79" s="112"/>
      <c r="IT79" s="112"/>
      <c r="IU79" s="112"/>
      <c r="IV79" s="112"/>
      <c r="IW79" s="112"/>
      <c r="IX79" s="112"/>
      <c r="IY79" s="112"/>
      <c r="IZ79" s="112"/>
      <c r="JA79" s="112"/>
      <c r="JB79" s="112"/>
      <c r="JC79" s="112"/>
      <c r="JD79" s="112"/>
      <c r="JE79" s="112"/>
      <c r="JF79" s="112"/>
      <c r="JG79" s="112"/>
      <c r="JH79" s="112"/>
      <c r="JI79" s="107">
        <f t="shared" si="1"/>
        <v>456188</v>
      </c>
      <c r="JJ79" s="297">
        <v>3109</v>
      </c>
      <c r="JK79" s="112"/>
      <c r="JL79" s="112"/>
      <c r="JM79" s="1"/>
      <c r="JN79" s="1"/>
      <c r="JO79" s="1"/>
      <c r="JP79" s="1"/>
    </row>
    <row r="80" spans="1:276" x14ac:dyDescent="0.25">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112"/>
      <c r="BO80" s="112"/>
      <c r="BP80" s="112"/>
      <c r="BQ80" s="112"/>
      <c r="BR80" s="112"/>
      <c r="BS80" s="112"/>
      <c r="BT80" s="112"/>
      <c r="BU80" s="112"/>
      <c r="BV80" s="112"/>
      <c r="BW80" s="112"/>
      <c r="BX80" s="112"/>
      <c r="BY80" s="112"/>
      <c r="BZ80" s="112"/>
      <c r="CA80" s="112"/>
      <c r="CB80" s="112"/>
      <c r="CC80" s="112"/>
      <c r="CD80" s="112"/>
      <c r="CE80" s="112"/>
      <c r="CF80" s="112"/>
      <c r="CG80" s="112"/>
      <c r="CH80" s="112"/>
      <c r="CI80" s="112"/>
      <c r="CJ80" s="112"/>
      <c r="CK80" s="112"/>
      <c r="CL80" s="112"/>
      <c r="CM80" s="112"/>
      <c r="CN80" s="112"/>
      <c r="CO80" s="112"/>
      <c r="CP80" s="112"/>
      <c r="CQ80" s="112"/>
      <c r="CR80" s="112"/>
      <c r="CS80" s="112"/>
      <c r="CT80" s="112"/>
      <c r="CU80" s="112"/>
      <c r="CV80" s="112"/>
      <c r="CW80" s="112"/>
      <c r="CX80" s="112"/>
      <c r="CY80" s="112"/>
      <c r="CZ80" s="112"/>
      <c r="DA80" s="112"/>
      <c r="DB80" s="112"/>
      <c r="DC80" s="112"/>
      <c r="DD80" s="112"/>
      <c r="DE80" s="112"/>
      <c r="DF80" s="112"/>
      <c r="DG80" s="112"/>
      <c r="DH80" s="112"/>
      <c r="DI80" s="112"/>
      <c r="DJ80" s="112"/>
      <c r="DK80" s="112"/>
      <c r="DL80" s="112"/>
      <c r="DM80" s="112"/>
      <c r="DN80" s="112"/>
      <c r="DO80" s="112"/>
      <c r="DP80" s="112"/>
      <c r="DQ80" s="112"/>
      <c r="DR80" s="112"/>
      <c r="DS80" s="112"/>
      <c r="DT80" s="112"/>
      <c r="DU80" s="112"/>
      <c r="DV80" s="112"/>
      <c r="DW80" s="112"/>
      <c r="DX80" s="112"/>
      <c r="DY80" s="112"/>
      <c r="DZ80" s="112"/>
      <c r="EA80" s="112"/>
      <c r="EB80" s="112"/>
      <c r="EC80" s="112"/>
      <c r="ED80" s="112"/>
      <c r="EE80" s="112"/>
      <c r="EF80" s="112"/>
      <c r="EG80" s="112"/>
      <c r="EH80" s="112"/>
      <c r="EI80" s="112"/>
      <c r="EJ80" s="112"/>
      <c r="EK80" s="112"/>
      <c r="EL80" s="112"/>
      <c r="EM80" s="112"/>
      <c r="EN80" s="112"/>
      <c r="EO80" s="112"/>
      <c r="EP80" s="112"/>
      <c r="EQ80" s="112"/>
      <c r="ER80" s="112"/>
      <c r="ES80" s="112"/>
      <c r="ET80" s="112"/>
      <c r="EU80" s="112"/>
      <c r="EV80" s="112"/>
      <c r="EW80" s="112"/>
      <c r="EX80" s="112"/>
      <c r="EY80" s="112"/>
      <c r="EZ80" s="112"/>
      <c r="FA80" s="112"/>
      <c r="FB80" s="112"/>
      <c r="FC80" s="112"/>
      <c r="FD80" s="112"/>
      <c r="FE80" s="112"/>
      <c r="FF80" s="112"/>
      <c r="FG80" s="112"/>
      <c r="FH80" s="112"/>
      <c r="FI80" s="112"/>
      <c r="FJ80" s="112"/>
      <c r="FK80" s="112"/>
      <c r="FL80" s="112"/>
      <c r="FM80" s="112"/>
      <c r="FN80" s="112"/>
      <c r="FO80" s="112"/>
      <c r="FP80" s="112"/>
      <c r="FQ80" s="112"/>
      <c r="FR80" s="112"/>
      <c r="FS80" s="112"/>
      <c r="FT80" s="112">
        <v>161955</v>
      </c>
      <c r="FU80" s="112"/>
      <c r="FV80" s="112"/>
      <c r="FW80" s="112"/>
      <c r="FX80" s="112"/>
      <c r="FY80" s="112"/>
      <c r="FZ80" s="112"/>
      <c r="GA80" s="112"/>
      <c r="GB80" s="112"/>
      <c r="GC80" s="112"/>
      <c r="GD80" s="112"/>
      <c r="GE80" s="112"/>
      <c r="GF80" s="112"/>
      <c r="GG80" s="112"/>
      <c r="GH80" s="112"/>
      <c r="GI80" s="112"/>
      <c r="GJ80" s="112"/>
      <c r="GK80" s="112"/>
      <c r="GL80" s="112"/>
      <c r="GM80" s="112"/>
      <c r="GN80" s="112"/>
      <c r="GO80" s="112"/>
      <c r="GP80" s="112"/>
      <c r="GQ80" s="112"/>
      <c r="GR80" s="112"/>
      <c r="GS80" s="112"/>
      <c r="GT80" s="112"/>
      <c r="GU80" s="112"/>
      <c r="GV80" s="112"/>
      <c r="GW80" s="112"/>
      <c r="GX80" s="112"/>
      <c r="GY80" s="112"/>
      <c r="GZ80" s="112"/>
      <c r="HA80" s="112"/>
      <c r="HB80" s="112"/>
      <c r="HC80" s="112"/>
      <c r="HD80" s="112"/>
      <c r="HE80" s="112"/>
      <c r="HF80" s="112"/>
      <c r="HG80" s="112"/>
      <c r="HH80" s="112"/>
      <c r="HI80" s="112"/>
      <c r="HJ80" s="112"/>
      <c r="HK80" s="112"/>
      <c r="HL80" s="112"/>
      <c r="HM80" s="112"/>
      <c r="HN80" s="112"/>
      <c r="HO80" s="112"/>
      <c r="HP80" s="112"/>
      <c r="HQ80" s="112"/>
      <c r="HR80" s="112"/>
      <c r="HS80" s="112"/>
      <c r="HT80" s="112"/>
      <c r="HU80" s="112"/>
      <c r="HV80" s="112"/>
      <c r="HW80" s="112"/>
      <c r="HX80" s="112"/>
      <c r="HY80" s="112"/>
      <c r="HZ80" s="112"/>
      <c r="IA80" s="112"/>
      <c r="IB80" s="112"/>
      <c r="IC80" s="112"/>
      <c r="ID80" s="112"/>
      <c r="IE80" s="112"/>
      <c r="IF80" s="112"/>
      <c r="IG80" s="112"/>
      <c r="IH80" s="112"/>
      <c r="II80" s="112"/>
      <c r="IJ80" s="112"/>
      <c r="IK80" s="112"/>
      <c r="IL80" s="112"/>
      <c r="IM80" s="112"/>
      <c r="IN80" s="112"/>
      <c r="IO80" s="112"/>
      <c r="IP80" s="112"/>
      <c r="IQ80" s="112"/>
      <c r="IR80" s="112"/>
      <c r="IS80" s="112"/>
      <c r="IT80" s="112"/>
      <c r="IU80" s="112"/>
      <c r="IV80" s="112"/>
      <c r="IW80" s="112"/>
      <c r="IX80" s="112"/>
      <c r="IY80" s="112"/>
      <c r="IZ80" s="112"/>
      <c r="JA80" s="112"/>
      <c r="JB80" s="112"/>
      <c r="JC80" s="112"/>
      <c r="JD80" s="112"/>
      <c r="JE80" s="112"/>
      <c r="JF80" s="112"/>
      <c r="JG80" s="112"/>
      <c r="JH80" s="112"/>
      <c r="JI80" s="107">
        <f t="shared" si="1"/>
        <v>161955</v>
      </c>
      <c r="JJ80" s="297">
        <v>3112</v>
      </c>
      <c r="JK80" s="112"/>
      <c r="JL80" s="112"/>
      <c r="JM80" s="1"/>
      <c r="JN80" s="1"/>
      <c r="JO80" s="1"/>
      <c r="JP80" s="1"/>
    </row>
    <row r="81" spans="1:276" x14ac:dyDescent="0.25">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112"/>
      <c r="BO81" s="112"/>
      <c r="BP81" s="112"/>
      <c r="BQ81" s="112"/>
      <c r="BR81" s="112"/>
      <c r="BS81" s="112"/>
      <c r="BT81" s="112"/>
      <c r="BU81" s="112"/>
      <c r="BV81" s="112"/>
      <c r="BW81" s="112"/>
      <c r="BX81" s="112"/>
      <c r="BY81" s="112"/>
      <c r="BZ81" s="112"/>
      <c r="CA81" s="112"/>
      <c r="CB81" s="112"/>
      <c r="CC81" s="112"/>
      <c r="CD81" s="112"/>
      <c r="CE81" s="112"/>
      <c r="CF81" s="112"/>
      <c r="CG81" s="112"/>
      <c r="CH81" s="112"/>
      <c r="CI81" s="112"/>
      <c r="CJ81" s="112"/>
      <c r="CK81" s="112"/>
      <c r="CL81" s="112"/>
      <c r="CM81" s="112"/>
      <c r="CN81" s="112"/>
      <c r="CO81" s="112"/>
      <c r="CP81" s="112"/>
      <c r="CQ81" s="112"/>
      <c r="CR81" s="112"/>
      <c r="CS81" s="112"/>
      <c r="CT81" s="112"/>
      <c r="CU81" s="112"/>
      <c r="CV81" s="112"/>
      <c r="CW81" s="112"/>
      <c r="CX81" s="112"/>
      <c r="CY81" s="112"/>
      <c r="CZ81" s="112"/>
      <c r="DA81" s="112"/>
      <c r="DB81" s="112"/>
      <c r="DC81" s="112"/>
      <c r="DD81" s="112"/>
      <c r="DE81" s="112"/>
      <c r="DF81" s="112"/>
      <c r="DG81" s="112"/>
      <c r="DH81" s="112"/>
      <c r="DI81" s="112"/>
      <c r="DJ81" s="112"/>
      <c r="DK81" s="112"/>
      <c r="DL81" s="112"/>
      <c r="DM81" s="112"/>
      <c r="DN81" s="112"/>
      <c r="DO81" s="112"/>
      <c r="DP81" s="112"/>
      <c r="DQ81" s="112"/>
      <c r="DR81" s="112"/>
      <c r="DS81" s="112"/>
      <c r="DT81" s="112"/>
      <c r="DU81" s="112"/>
      <c r="DV81" s="112"/>
      <c r="DW81" s="112"/>
      <c r="DX81" s="112"/>
      <c r="DY81" s="112"/>
      <c r="DZ81" s="112"/>
      <c r="EA81" s="112"/>
      <c r="EB81" s="112"/>
      <c r="EC81" s="112"/>
      <c r="ED81" s="112"/>
      <c r="EE81" s="112"/>
      <c r="EF81" s="112"/>
      <c r="EG81" s="112"/>
      <c r="EH81" s="112"/>
      <c r="EI81" s="112"/>
      <c r="EJ81" s="112"/>
      <c r="EK81" s="112"/>
      <c r="EL81" s="112"/>
      <c r="EM81" s="112"/>
      <c r="EN81" s="112"/>
      <c r="EO81" s="112"/>
      <c r="EP81" s="112"/>
      <c r="EQ81" s="112"/>
      <c r="ER81" s="112"/>
      <c r="ES81" s="112"/>
      <c r="ET81" s="112"/>
      <c r="EU81" s="112"/>
      <c r="EV81" s="112"/>
      <c r="EW81" s="112"/>
      <c r="EX81" s="112"/>
      <c r="EY81" s="112"/>
      <c r="EZ81" s="112"/>
      <c r="FA81" s="112"/>
      <c r="FB81" s="112">
        <v>664800</v>
      </c>
      <c r="FC81" s="112"/>
      <c r="FD81" s="112"/>
      <c r="FE81" s="112"/>
      <c r="FF81" s="112"/>
      <c r="FG81" s="112"/>
      <c r="FH81" s="112"/>
      <c r="FI81" s="112"/>
      <c r="FJ81" s="112"/>
      <c r="FK81" s="112"/>
      <c r="FL81" s="112"/>
      <c r="FM81" s="112"/>
      <c r="FN81" s="112"/>
      <c r="FO81" s="112"/>
      <c r="FP81" s="112"/>
      <c r="FQ81" s="112"/>
      <c r="FR81" s="112"/>
      <c r="FS81" s="112"/>
      <c r="FT81" s="112"/>
      <c r="FU81" s="112"/>
      <c r="FV81" s="112"/>
      <c r="FW81" s="112"/>
      <c r="FX81" s="112"/>
      <c r="FY81" s="112"/>
      <c r="FZ81" s="112"/>
      <c r="GA81" s="112"/>
      <c r="GB81" s="112"/>
      <c r="GC81" s="112"/>
      <c r="GD81" s="112"/>
      <c r="GE81" s="112"/>
      <c r="GF81" s="112"/>
      <c r="GG81" s="112"/>
      <c r="GH81" s="112"/>
      <c r="GI81" s="112"/>
      <c r="GJ81" s="112"/>
      <c r="GK81" s="112"/>
      <c r="GL81" s="112"/>
      <c r="GM81" s="112"/>
      <c r="GN81" s="112"/>
      <c r="GO81" s="112"/>
      <c r="GP81" s="112"/>
      <c r="GQ81" s="112"/>
      <c r="GR81" s="112"/>
      <c r="GS81" s="112"/>
      <c r="GT81" s="112"/>
      <c r="GU81" s="112"/>
      <c r="GV81" s="112"/>
      <c r="GW81" s="112"/>
      <c r="GX81" s="112"/>
      <c r="GY81" s="112"/>
      <c r="GZ81" s="112"/>
      <c r="HA81" s="112"/>
      <c r="HB81" s="112"/>
      <c r="HC81" s="112"/>
      <c r="HD81" s="112"/>
      <c r="HE81" s="112"/>
      <c r="HF81" s="112"/>
      <c r="HG81" s="112"/>
      <c r="HH81" s="112"/>
      <c r="HI81" s="112"/>
      <c r="HJ81" s="112"/>
      <c r="HK81" s="112"/>
      <c r="HL81" s="112"/>
      <c r="HM81" s="112"/>
      <c r="HN81" s="112"/>
      <c r="HO81" s="112"/>
      <c r="HP81" s="112"/>
      <c r="HQ81" s="112"/>
      <c r="HR81" s="112"/>
      <c r="HS81" s="112"/>
      <c r="HT81" s="112"/>
      <c r="HU81" s="112"/>
      <c r="HV81" s="112"/>
      <c r="HW81" s="112"/>
      <c r="HX81" s="112"/>
      <c r="HY81" s="112"/>
      <c r="HZ81" s="112"/>
      <c r="IA81" s="112"/>
      <c r="IB81" s="112"/>
      <c r="IC81" s="112"/>
      <c r="ID81" s="112"/>
      <c r="IE81" s="112"/>
      <c r="IF81" s="112"/>
      <c r="IG81" s="112"/>
      <c r="IH81" s="112"/>
      <c r="II81" s="112"/>
      <c r="IJ81" s="112"/>
      <c r="IK81" s="112"/>
      <c r="IL81" s="112"/>
      <c r="IM81" s="112"/>
      <c r="IN81" s="112"/>
      <c r="IO81" s="112"/>
      <c r="IP81" s="112"/>
      <c r="IQ81" s="112"/>
      <c r="IR81" s="112"/>
      <c r="IS81" s="112"/>
      <c r="IT81" s="112"/>
      <c r="IU81" s="112"/>
      <c r="IV81" s="112"/>
      <c r="IW81" s="112"/>
      <c r="IX81" s="112"/>
      <c r="IY81" s="112"/>
      <c r="IZ81" s="112"/>
      <c r="JA81" s="112"/>
      <c r="JB81" s="112"/>
      <c r="JC81" s="112"/>
      <c r="JD81" s="112"/>
      <c r="JE81" s="112"/>
      <c r="JF81" s="112"/>
      <c r="JG81" s="112"/>
      <c r="JH81" s="112"/>
      <c r="JI81" s="107">
        <f t="shared" si="1"/>
        <v>664800</v>
      </c>
      <c r="JJ81" s="297">
        <v>3130</v>
      </c>
      <c r="JK81" s="112"/>
      <c r="JL81" s="112"/>
      <c r="JM81" s="1"/>
      <c r="JN81" s="1"/>
      <c r="JO81" s="1"/>
      <c r="JP81" s="1"/>
    </row>
    <row r="82" spans="1:276" x14ac:dyDescent="0.25">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12"/>
      <c r="BA82" s="112"/>
      <c r="BB82" s="112"/>
      <c r="BC82" s="112"/>
      <c r="BD82" s="112"/>
      <c r="BE82" s="112"/>
      <c r="BF82" s="112"/>
      <c r="BG82" s="112"/>
      <c r="BH82" s="112"/>
      <c r="BI82" s="112"/>
      <c r="BJ82" s="112"/>
      <c r="BK82" s="112"/>
      <c r="BL82" s="112"/>
      <c r="BM82" s="112"/>
      <c r="BN82" s="112"/>
      <c r="BO82" s="112"/>
      <c r="BP82" s="112"/>
      <c r="BQ82" s="112"/>
      <c r="BR82" s="112"/>
      <c r="BS82" s="112"/>
      <c r="BT82" s="112"/>
      <c r="BU82" s="112"/>
      <c r="BV82" s="112"/>
      <c r="BW82" s="112"/>
      <c r="BX82" s="112"/>
      <c r="BY82" s="112"/>
      <c r="BZ82" s="112"/>
      <c r="CA82" s="112"/>
      <c r="CB82" s="112"/>
      <c r="CC82" s="112"/>
      <c r="CD82" s="112"/>
      <c r="CE82" s="112"/>
      <c r="CF82" s="112">
        <v>875914</v>
      </c>
      <c r="CG82" s="112"/>
      <c r="CH82" s="112"/>
      <c r="CI82" s="112"/>
      <c r="CJ82" s="112"/>
      <c r="CK82" s="112"/>
      <c r="CL82" s="112"/>
      <c r="CM82" s="112"/>
      <c r="CN82" s="112"/>
      <c r="CO82" s="112"/>
      <c r="CP82" s="112"/>
      <c r="CQ82" s="112"/>
      <c r="CR82" s="112"/>
      <c r="CS82" s="112"/>
      <c r="CT82" s="112"/>
      <c r="CU82" s="112"/>
      <c r="CV82" s="112"/>
      <c r="CW82" s="112"/>
      <c r="CX82" s="112"/>
      <c r="CY82" s="112"/>
      <c r="CZ82" s="112"/>
      <c r="DA82" s="112"/>
      <c r="DB82" s="112"/>
      <c r="DC82" s="112"/>
      <c r="DD82" s="112"/>
      <c r="DE82" s="112"/>
      <c r="DF82" s="112"/>
      <c r="DG82" s="112"/>
      <c r="DH82" s="112"/>
      <c r="DI82" s="112"/>
      <c r="DJ82" s="112"/>
      <c r="DK82" s="112"/>
      <c r="DL82" s="112"/>
      <c r="DM82" s="112"/>
      <c r="DN82" s="112"/>
      <c r="DO82" s="112"/>
      <c r="DP82" s="112"/>
      <c r="DQ82" s="112"/>
      <c r="DR82" s="112"/>
      <c r="DS82" s="112"/>
      <c r="DT82" s="112"/>
      <c r="DU82" s="112"/>
      <c r="DV82" s="112"/>
      <c r="DW82" s="112"/>
      <c r="DX82" s="112"/>
      <c r="DY82" s="112"/>
      <c r="DZ82" s="112"/>
      <c r="EA82" s="112"/>
      <c r="EB82" s="112"/>
      <c r="EC82" s="112"/>
      <c r="ED82" s="112"/>
      <c r="EE82" s="112"/>
      <c r="EF82" s="112"/>
      <c r="EG82" s="112"/>
      <c r="EH82" s="112"/>
      <c r="EI82" s="112"/>
      <c r="EJ82" s="112"/>
      <c r="EK82" s="112"/>
      <c r="EL82" s="112"/>
      <c r="EM82" s="112"/>
      <c r="EN82" s="112"/>
      <c r="EO82" s="112"/>
      <c r="EP82" s="112"/>
      <c r="EQ82" s="112"/>
      <c r="ER82" s="112"/>
      <c r="ES82" s="112"/>
      <c r="ET82" s="112"/>
      <c r="EU82" s="112"/>
      <c r="EV82" s="112"/>
      <c r="EW82" s="112"/>
      <c r="EX82" s="112"/>
      <c r="EY82" s="112"/>
      <c r="EZ82" s="112"/>
      <c r="FA82" s="112"/>
      <c r="FB82" s="112"/>
      <c r="FC82" s="112"/>
      <c r="FD82" s="112"/>
      <c r="FE82" s="112"/>
      <c r="FF82" s="112"/>
      <c r="FG82" s="112"/>
      <c r="FH82" s="112"/>
      <c r="FI82" s="112"/>
      <c r="FJ82" s="112"/>
      <c r="FK82" s="112"/>
      <c r="FL82" s="112"/>
      <c r="FM82" s="112"/>
      <c r="FN82" s="112"/>
      <c r="FO82" s="112"/>
      <c r="FP82" s="112"/>
      <c r="FQ82" s="112"/>
      <c r="FR82" s="112"/>
      <c r="FS82" s="112"/>
      <c r="FT82" s="112"/>
      <c r="FU82" s="112"/>
      <c r="FV82" s="112"/>
      <c r="FW82" s="112"/>
      <c r="FX82" s="112"/>
      <c r="FY82" s="112"/>
      <c r="FZ82" s="112"/>
      <c r="GA82" s="112"/>
      <c r="GB82" s="112"/>
      <c r="GC82" s="112"/>
      <c r="GD82" s="112"/>
      <c r="GE82" s="112"/>
      <c r="GF82" s="112"/>
      <c r="GG82" s="112"/>
      <c r="GH82" s="112"/>
      <c r="GI82" s="112"/>
      <c r="GJ82" s="112"/>
      <c r="GK82" s="112"/>
      <c r="GL82" s="112"/>
      <c r="GM82" s="112"/>
      <c r="GN82" s="112"/>
      <c r="GO82" s="112"/>
      <c r="GP82" s="112"/>
      <c r="GQ82" s="112"/>
      <c r="GR82" s="112"/>
      <c r="GS82" s="112"/>
      <c r="GT82" s="112"/>
      <c r="GU82" s="112"/>
      <c r="GV82" s="112"/>
      <c r="GW82" s="112"/>
      <c r="GX82" s="112"/>
      <c r="GY82" s="112"/>
      <c r="GZ82" s="112"/>
      <c r="HA82" s="112"/>
      <c r="HB82" s="112"/>
      <c r="HC82" s="112"/>
      <c r="HD82" s="112"/>
      <c r="HE82" s="112"/>
      <c r="HF82" s="112"/>
      <c r="HG82" s="112"/>
      <c r="HH82" s="112"/>
      <c r="HI82" s="112"/>
      <c r="HJ82" s="112"/>
      <c r="HK82" s="112"/>
      <c r="HL82" s="112"/>
      <c r="HM82" s="112"/>
      <c r="HN82" s="112"/>
      <c r="HO82" s="112"/>
      <c r="HP82" s="112"/>
      <c r="HQ82" s="112"/>
      <c r="HR82" s="112"/>
      <c r="HS82" s="112"/>
      <c r="HT82" s="112"/>
      <c r="HU82" s="112"/>
      <c r="HV82" s="112"/>
      <c r="HW82" s="112"/>
      <c r="HX82" s="112"/>
      <c r="HY82" s="112"/>
      <c r="HZ82" s="112"/>
      <c r="IA82" s="112"/>
      <c r="IB82" s="112"/>
      <c r="IC82" s="112"/>
      <c r="ID82" s="112"/>
      <c r="IE82" s="112"/>
      <c r="IF82" s="112"/>
      <c r="IG82" s="112"/>
      <c r="IH82" s="112"/>
      <c r="II82" s="112"/>
      <c r="IJ82" s="112"/>
      <c r="IK82" s="112"/>
      <c r="IL82" s="112"/>
      <c r="IM82" s="112"/>
      <c r="IN82" s="112"/>
      <c r="IO82" s="112"/>
      <c r="IP82" s="112"/>
      <c r="IQ82" s="112"/>
      <c r="IR82" s="112"/>
      <c r="IS82" s="112"/>
      <c r="IT82" s="112"/>
      <c r="IU82" s="112"/>
      <c r="IV82" s="112"/>
      <c r="IW82" s="112"/>
      <c r="IX82" s="112"/>
      <c r="IY82" s="112"/>
      <c r="IZ82" s="112"/>
      <c r="JA82" s="112"/>
      <c r="JB82" s="112"/>
      <c r="JC82" s="112"/>
      <c r="JD82" s="112"/>
      <c r="JE82" s="112"/>
      <c r="JF82" s="112"/>
      <c r="JG82" s="112"/>
      <c r="JH82" s="112"/>
      <c r="JI82" s="107">
        <f t="shared" si="1"/>
        <v>875914</v>
      </c>
      <c r="JJ82" s="297">
        <v>3131</v>
      </c>
      <c r="JK82" s="112"/>
      <c r="JL82" s="112"/>
      <c r="JM82" s="1"/>
      <c r="JN82" s="1"/>
      <c r="JO82" s="1"/>
      <c r="JP82" s="1"/>
    </row>
    <row r="83" spans="1:276" x14ac:dyDescent="0.25">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N83" s="112"/>
      <c r="BO83" s="112"/>
      <c r="BP83" s="112"/>
      <c r="BQ83" s="112"/>
      <c r="BR83" s="112"/>
      <c r="BS83" s="112"/>
      <c r="BT83" s="112"/>
      <c r="BU83" s="112"/>
      <c r="BV83" s="112"/>
      <c r="BW83" s="112"/>
      <c r="BX83" s="112"/>
      <c r="BY83" s="112"/>
      <c r="BZ83" s="112"/>
      <c r="CA83" s="112"/>
      <c r="CB83" s="112"/>
      <c r="CC83" s="112"/>
      <c r="CD83" s="112"/>
      <c r="CE83" s="112"/>
      <c r="CF83" s="112"/>
      <c r="CG83" s="112"/>
      <c r="CH83" s="112"/>
      <c r="CI83" s="112"/>
      <c r="CJ83" s="112"/>
      <c r="CK83" s="112"/>
      <c r="CL83" s="112"/>
      <c r="CM83" s="112"/>
      <c r="CN83" s="112"/>
      <c r="CO83" s="112"/>
      <c r="CP83" s="112"/>
      <c r="CQ83" s="112"/>
      <c r="CR83" s="112"/>
      <c r="CS83" s="112"/>
      <c r="CT83" s="112"/>
      <c r="CU83" s="112"/>
      <c r="CV83" s="112"/>
      <c r="CW83" s="112"/>
      <c r="CX83" s="112"/>
      <c r="CY83" s="112"/>
      <c r="CZ83" s="112"/>
      <c r="DA83" s="112"/>
      <c r="DB83" s="112"/>
      <c r="DC83" s="112"/>
      <c r="DD83" s="112"/>
      <c r="DE83" s="112"/>
      <c r="DF83" s="112"/>
      <c r="DG83" s="112"/>
      <c r="DH83" s="112"/>
      <c r="DI83" s="112"/>
      <c r="DJ83" s="112"/>
      <c r="DK83" s="112"/>
      <c r="DL83" s="112"/>
      <c r="DM83" s="112"/>
      <c r="DN83" s="112"/>
      <c r="DO83" s="112"/>
      <c r="DP83" s="112"/>
      <c r="DQ83" s="112"/>
      <c r="DR83" s="112"/>
      <c r="DS83" s="112"/>
      <c r="DT83" s="112"/>
      <c r="DU83" s="112"/>
      <c r="DV83" s="112"/>
      <c r="DW83" s="112"/>
      <c r="DX83" s="112"/>
      <c r="DY83" s="112"/>
      <c r="DZ83" s="112"/>
      <c r="EA83" s="112"/>
      <c r="EB83" s="112"/>
      <c r="EC83" s="112"/>
      <c r="ED83" s="112"/>
      <c r="EE83" s="112"/>
      <c r="EF83" s="112"/>
      <c r="EG83" s="112"/>
      <c r="EH83" s="112"/>
      <c r="EI83" s="112"/>
      <c r="EJ83" s="112"/>
      <c r="EK83" s="112"/>
      <c r="EL83" s="112"/>
      <c r="EM83" s="112"/>
      <c r="EN83" s="112"/>
      <c r="EO83" s="112"/>
      <c r="EP83" s="112"/>
      <c r="EQ83" s="112"/>
      <c r="ER83" s="112"/>
      <c r="ES83" s="112"/>
      <c r="ET83" s="112"/>
      <c r="EU83" s="112"/>
      <c r="EV83" s="112"/>
      <c r="EW83" s="112"/>
      <c r="EX83" s="112"/>
      <c r="EY83" s="112"/>
      <c r="EZ83" s="112"/>
      <c r="FA83" s="112"/>
      <c r="FB83" s="112"/>
      <c r="FC83" s="112"/>
      <c r="FD83" s="112"/>
      <c r="FE83" s="112"/>
      <c r="FF83" s="112"/>
      <c r="FG83" s="112"/>
      <c r="FH83" s="112"/>
      <c r="FI83" s="112"/>
      <c r="FJ83" s="112"/>
      <c r="FK83" s="112"/>
      <c r="FL83" s="112"/>
      <c r="FM83" s="112"/>
      <c r="FN83" s="112"/>
      <c r="FO83" s="112"/>
      <c r="FP83" s="112"/>
      <c r="FQ83" s="112"/>
      <c r="FR83" s="112"/>
      <c r="FS83" s="112"/>
      <c r="FT83" s="112"/>
      <c r="FU83" s="112"/>
      <c r="FV83" s="112"/>
      <c r="FW83" s="112"/>
      <c r="FX83" s="112"/>
      <c r="FY83" s="112"/>
      <c r="FZ83" s="112"/>
      <c r="GA83" s="112"/>
      <c r="GB83" s="112"/>
      <c r="GC83" s="112"/>
      <c r="GD83" s="112"/>
      <c r="GE83" s="112"/>
      <c r="GF83" s="112"/>
      <c r="GG83" s="112"/>
      <c r="GH83" s="112"/>
      <c r="GI83" s="112"/>
      <c r="GJ83" s="112"/>
      <c r="GK83" s="112"/>
      <c r="GL83" s="112"/>
      <c r="GM83" s="112"/>
      <c r="GN83" s="112"/>
      <c r="GO83" s="112"/>
      <c r="GP83" s="112"/>
      <c r="GQ83" s="112"/>
      <c r="GR83" s="112"/>
      <c r="GS83" s="112"/>
      <c r="GT83" s="112"/>
      <c r="GU83" s="112"/>
      <c r="GV83" s="112"/>
      <c r="GW83" s="112"/>
      <c r="GX83" s="112"/>
      <c r="GY83" s="112"/>
      <c r="GZ83" s="112"/>
      <c r="HA83" s="112"/>
      <c r="HB83" s="112"/>
      <c r="HC83" s="112"/>
      <c r="HD83" s="112"/>
      <c r="HE83" s="112"/>
      <c r="HF83" s="112"/>
      <c r="HG83" s="112"/>
      <c r="HH83" s="112"/>
      <c r="HI83" s="112"/>
      <c r="HJ83" s="112">
        <v>43070</v>
      </c>
      <c r="HK83" s="112"/>
      <c r="HL83" s="112"/>
      <c r="HM83" s="112"/>
      <c r="HN83" s="112"/>
      <c r="HO83" s="112"/>
      <c r="HP83" s="112"/>
      <c r="HQ83" s="112"/>
      <c r="HR83" s="112"/>
      <c r="HS83" s="112"/>
      <c r="HT83" s="112"/>
      <c r="HU83" s="112"/>
      <c r="HV83" s="112"/>
      <c r="HW83" s="112"/>
      <c r="HX83" s="112"/>
      <c r="HY83" s="112"/>
      <c r="HZ83" s="112"/>
      <c r="IA83" s="112"/>
      <c r="IB83" s="112"/>
      <c r="IC83" s="112"/>
      <c r="ID83" s="112"/>
      <c r="IE83" s="112"/>
      <c r="IF83" s="112"/>
      <c r="IG83" s="112"/>
      <c r="IH83" s="112"/>
      <c r="II83" s="112"/>
      <c r="IJ83" s="112"/>
      <c r="IK83" s="112"/>
      <c r="IL83" s="112"/>
      <c r="IM83" s="112"/>
      <c r="IN83" s="112"/>
      <c r="IO83" s="112"/>
      <c r="IP83" s="112"/>
      <c r="IQ83" s="112"/>
      <c r="IR83" s="112"/>
      <c r="IS83" s="112"/>
      <c r="IT83" s="112"/>
      <c r="IU83" s="112"/>
      <c r="IV83" s="112"/>
      <c r="IW83" s="112"/>
      <c r="IX83" s="112"/>
      <c r="IY83" s="112"/>
      <c r="IZ83" s="112"/>
      <c r="JA83" s="112"/>
      <c r="JB83" s="112"/>
      <c r="JC83" s="112"/>
      <c r="JD83" s="112"/>
      <c r="JE83" s="112"/>
      <c r="JF83" s="112"/>
      <c r="JG83" s="112"/>
      <c r="JH83" s="112"/>
      <c r="JI83" s="107">
        <f t="shared" si="1"/>
        <v>43070</v>
      </c>
      <c r="JJ83" s="297">
        <v>3135</v>
      </c>
      <c r="JK83" s="112"/>
      <c r="JL83" s="112"/>
      <c r="JM83" s="1"/>
      <c r="JN83" s="1"/>
      <c r="JO83" s="1"/>
      <c r="JP83" s="1"/>
    </row>
    <row r="84" spans="1:276" x14ac:dyDescent="0.25">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c r="AU84" s="112"/>
      <c r="AV84" s="112"/>
      <c r="AW84" s="112"/>
      <c r="AX84" s="112"/>
      <c r="AY84" s="112"/>
      <c r="AZ84" s="112"/>
      <c r="BA84" s="112"/>
      <c r="BB84" s="112"/>
      <c r="BC84" s="112"/>
      <c r="BD84" s="112"/>
      <c r="BE84" s="112"/>
      <c r="BF84" s="112"/>
      <c r="BG84" s="112"/>
      <c r="BH84" s="112"/>
      <c r="BI84" s="112"/>
      <c r="BJ84" s="112"/>
      <c r="BK84" s="112"/>
      <c r="BL84" s="112"/>
      <c r="BM84" s="112"/>
      <c r="BN84" s="112"/>
      <c r="BO84" s="112"/>
      <c r="BP84" s="112"/>
      <c r="BQ84" s="112"/>
      <c r="BR84" s="112"/>
      <c r="BS84" s="112"/>
      <c r="BT84" s="112"/>
      <c r="BU84" s="112"/>
      <c r="BV84" s="112"/>
      <c r="BW84" s="112"/>
      <c r="BX84" s="112"/>
      <c r="BY84" s="112"/>
      <c r="BZ84" s="112"/>
      <c r="CA84" s="112"/>
      <c r="CB84" s="112"/>
      <c r="CC84" s="112"/>
      <c r="CD84" s="112"/>
      <c r="CE84" s="112"/>
      <c r="CF84" s="112"/>
      <c r="CG84" s="112"/>
      <c r="CH84" s="112"/>
      <c r="CI84" s="112"/>
      <c r="CJ84" s="112"/>
      <c r="CK84" s="112"/>
      <c r="CL84" s="112"/>
      <c r="CM84" s="112"/>
      <c r="CN84" s="112"/>
      <c r="CO84" s="112"/>
      <c r="CP84" s="112"/>
      <c r="CQ84" s="112"/>
      <c r="CR84" s="112"/>
      <c r="CS84" s="112"/>
      <c r="CT84" s="112"/>
      <c r="CU84" s="112"/>
      <c r="CV84" s="112"/>
      <c r="CW84" s="112"/>
      <c r="CX84" s="112"/>
      <c r="CY84" s="112"/>
      <c r="CZ84" s="112"/>
      <c r="DA84" s="112"/>
      <c r="DB84" s="112"/>
      <c r="DC84" s="112"/>
      <c r="DD84" s="112"/>
      <c r="DE84" s="112"/>
      <c r="DF84" s="112"/>
      <c r="DG84" s="112"/>
      <c r="DH84" s="112"/>
      <c r="DI84" s="112"/>
      <c r="DJ84" s="112"/>
      <c r="DK84" s="112">
        <v>35400</v>
      </c>
      <c r="DL84" s="112"/>
      <c r="DM84" s="112"/>
      <c r="DN84" s="112"/>
      <c r="DO84" s="112"/>
      <c r="DP84" s="112"/>
      <c r="DQ84" s="112"/>
      <c r="DR84" s="112"/>
      <c r="DS84" s="112"/>
      <c r="DT84" s="112"/>
      <c r="DU84" s="112"/>
      <c r="DV84" s="112"/>
      <c r="DW84" s="112"/>
      <c r="DX84" s="112"/>
      <c r="DY84" s="112"/>
      <c r="DZ84" s="112"/>
      <c r="EA84" s="112"/>
      <c r="EB84" s="112"/>
      <c r="EC84" s="112"/>
      <c r="ED84" s="112"/>
      <c r="EE84" s="112"/>
      <c r="EF84" s="112"/>
      <c r="EG84" s="112"/>
      <c r="EH84" s="112"/>
      <c r="EI84" s="112"/>
      <c r="EJ84" s="112"/>
      <c r="EK84" s="112"/>
      <c r="EL84" s="112"/>
      <c r="EM84" s="112"/>
      <c r="EN84" s="112"/>
      <c r="EO84" s="112"/>
      <c r="EP84" s="112"/>
      <c r="EQ84" s="112"/>
      <c r="ER84" s="112"/>
      <c r="ES84" s="112"/>
      <c r="ET84" s="112"/>
      <c r="EU84" s="112"/>
      <c r="EV84" s="112"/>
      <c r="EW84" s="112"/>
      <c r="EX84" s="112"/>
      <c r="EY84" s="112"/>
      <c r="EZ84" s="112"/>
      <c r="FA84" s="112"/>
      <c r="FB84" s="112"/>
      <c r="FC84" s="112"/>
      <c r="FD84" s="112"/>
      <c r="FE84" s="112"/>
      <c r="FF84" s="112"/>
      <c r="FG84" s="112"/>
      <c r="FH84" s="112"/>
      <c r="FI84" s="112"/>
      <c r="FJ84" s="112"/>
      <c r="FK84" s="112"/>
      <c r="FL84" s="112"/>
      <c r="FM84" s="112"/>
      <c r="FN84" s="112"/>
      <c r="FO84" s="112"/>
      <c r="FP84" s="112"/>
      <c r="FQ84" s="112">
        <v>213249.6</v>
      </c>
      <c r="FR84" s="112"/>
      <c r="FS84" s="112"/>
      <c r="FT84" s="112"/>
      <c r="FU84" s="112"/>
      <c r="FV84" s="112"/>
      <c r="FW84" s="112"/>
      <c r="FX84" s="112"/>
      <c r="FY84" s="112"/>
      <c r="FZ84" s="112"/>
      <c r="GA84" s="112"/>
      <c r="GB84" s="112"/>
      <c r="GC84" s="112"/>
      <c r="GD84" s="112"/>
      <c r="GE84" s="112"/>
      <c r="GF84" s="112"/>
      <c r="GG84" s="112"/>
      <c r="GH84" s="112"/>
      <c r="GI84" s="112"/>
      <c r="GJ84" s="112"/>
      <c r="GK84" s="112"/>
      <c r="GL84" s="112"/>
      <c r="GM84" s="112"/>
      <c r="GN84" s="112"/>
      <c r="GO84" s="112"/>
      <c r="GP84" s="112"/>
      <c r="GQ84" s="112"/>
      <c r="GR84" s="112"/>
      <c r="GS84" s="112"/>
      <c r="GT84" s="112"/>
      <c r="GU84" s="112"/>
      <c r="GV84" s="112"/>
      <c r="GW84" s="112"/>
      <c r="GX84" s="112"/>
      <c r="GY84" s="112"/>
      <c r="GZ84" s="112"/>
      <c r="HA84" s="112"/>
      <c r="HB84" s="112"/>
      <c r="HC84" s="112"/>
      <c r="HD84" s="112"/>
      <c r="HE84" s="112"/>
      <c r="HF84" s="112"/>
      <c r="HG84" s="112"/>
      <c r="HH84" s="112"/>
      <c r="HI84" s="112"/>
      <c r="HJ84" s="112"/>
      <c r="HK84" s="112"/>
      <c r="HL84" s="112"/>
      <c r="HM84" s="112"/>
      <c r="HN84" s="112"/>
      <c r="HO84" s="112"/>
      <c r="HP84" s="112"/>
      <c r="HQ84" s="112"/>
      <c r="HR84" s="112"/>
      <c r="HS84" s="112"/>
      <c r="HT84" s="112"/>
      <c r="HU84" s="112"/>
      <c r="HV84" s="112"/>
      <c r="HW84" s="112"/>
      <c r="HX84" s="112"/>
      <c r="HY84" s="112"/>
      <c r="HZ84" s="112"/>
      <c r="IA84" s="112"/>
      <c r="IB84" s="112"/>
      <c r="IC84" s="112"/>
      <c r="ID84" s="112"/>
      <c r="IE84" s="112"/>
      <c r="IF84" s="112"/>
      <c r="IG84" s="112"/>
      <c r="IH84" s="112"/>
      <c r="II84" s="112"/>
      <c r="IJ84" s="112"/>
      <c r="IK84" s="112"/>
      <c r="IL84" s="112"/>
      <c r="IM84" s="112"/>
      <c r="IN84" s="112"/>
      <c r="IO84" s="112"/>
      <c r="IP84" s="112"/>
      <c r="IQ84" s="112"/>
      <c r="IR84" s="112"/>
      <c r="IS84" s="112"/>
      <c r="IT84" s="112"/>
      <c r="IU84" s="112"/>
      <c r="IV84" s="112"/>
      <c r="IW84" s="112"/>
      <c r="IX84" s="112"/>
      <c r="IY84" s="112"/>
      <c r="IZ84" s="112"/>
      <c r="JA84" s="112"/>
      <c r="JB84" s="112"/>
      <c r="JC84" s="112"/>
      <c r="JD84" s="112"/>
      <c r="JE84" s="112"/>
      <c r="JF84" s="112"/>
      <c r="JG84" s="112"/>
      <c r="JH84" s="112"/>
      <c r="JI84" s="107">
        <f t="shared" si="1"/>
        <v>248649.60000000001</v>
      </c>
      <c r="JJ84" s="297">
        <v>3144</v>
      </c>
      <c r="JK84" s="112"/>
      <c r="JL84" s="112"/>
      <c r="JM84" s="1"/>
      <c r="JN84" s="1"/>
      <c r="JO84" s="1"/>
      <c r="JP84" s="1"/>
    </row>
    <row r="85" spans="1:276" x14ac:dyDescent="0.25">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112"/>
      <c r="CC85" s="112"/>
      <c r="CD85" s="112"/>
      <c r="CE85" s="112"/>
      <c r="CF85" s="112"/>
      <c r="CG85" s="112"/>
      <c r="CH85" s="112"/>
      <c r="CI85" s="112"/>
      <c r="CJ85" s="112"/>
      <c r="CK85" s="112"/>
      <c r="CL85" s="112"/>
      <c r="CM85" s="112"/>
      <c r="CN85" s="112"/>
      <c r="CO85" s="112"/>
      <c r="CP85" s="112"/>
      <c r="CQ85" s="112"/>
      <c r="CR85" s="112"/>
      <c r="CS85" s="112"/>
      <c r="CT85" s="112"/>
      <c r="CU85" s="112"/>
      <c r="CV85" s="112"/>
      <c r="CW85" s="112"/>
      <c r="CX85" s="112"/>
      <c r="CY85" s="112"/>
      <c r="CZ85" s="112"/>
      <c r="DA85" s="112"/>
      <c r="DB85" s="112"/>
      <c r="DC85" s="112"/>
      <c r="DD85" s="112"/>
      <c r="DE85" s="112"/>
      <c r="DF85" s="112"/>
      <c r="DG85" s="112"/>
      <c r="DH85" s="112"/>
      <c r="DI85" s="112"/>
      <c r="DJ85" s="112"/>
      <c r="DK85" s="112"/>
      <c r="DL85" s="112"/>
      <c r="DM85" s="112"/>
      <c r="DN85" s="112"/>
      <c r="DO85" s="112"/>
      <c r="DP85" s="112"/>
      <c r="DQ85" s="112"/>
      <c r="DR85" s="112"/>
      <c r="DS85" s="112"/>
      <c r="DT85" s="112"/>
      <c r="DU85" s="112"/>
      <c r="DV85" s="112"/>
      <c r="DW85" s="112"/>
      <c r="DX85" s="112"/>
      <c r="DY85" s="112"/>
      <c r="DZ85" s="112"/>
      <c r="EA85" s="112"/>
      <c r="EB85" s="112"/>
      <c r="EC85" s="112"/>
      <c r="ED85" s="112"/>
      <c r="EE85" s="112"/>
      <c r="EF85" s="112"/>
      <c r="EG85" s="112"/>
      <c r="EH85" s="112"/>
      <c r="EI85" s="112"/>
      <c r="EJ85" s="112"/>
      <c r="EK85" s="112"/>
      <c r="EL85" s="112"/>
      <c r="EM85" s="112"/>
      <c r="EN85" s="112"/>
      <c r="EO85" s="112"/>
      <c r="EP85" s="112"/>
      <c r="EQ85" s="112"/>
      <c r="ER85" s="112"/>
      <c r="ES85" s="112"/>
      <c r="ET85" s="112"/>
      <c r="EU85" s="112"/>
      <c r="EV85" s="112"/>
      <c r="EW85" s="112"/>
      <c r="EX85" s="112"/>
      <c r="EY85" s="112"/>
      <c r="EZ85" s="112"/>
      <c r="FA85" s="112"/>
      <c r="FB85" s="112"/>
      <c r="FC85" s="112"/>
      <c r="FD85" s="112"/>
      <c r="FE85" s="112"/>
      <c r="FF85" s="112"/>
      <c r="FG85" s="112"/>
      <c r="FH85" s="112"/>
      <c r="FI85" s="112"/>
      <c r="FJ85" s="112"/>
      <c r="FK85" s="112"/>
      <c r="FL85" s="112"/>
      <c r="FM85" s="112"/>
      <c r="FN85" s="112"/>
      <c r="FO85" s="112"/>
      <c r="FP85" s="112"/>
      <c r="FQ85" s="112"/>
      <c r="FR85" s="112"/>
      <c r="FS85" s="112"/>
      <c r="FT85" s="112"/>
      <c r="FU85" s="112"/>
      <c r="FV85" s="112"/>
      <c r="FW85" s="112"/>
      <c r="FX85" s="112"/>
      <c r="FY85" s="112"/>
      <c r="FZ85" s="112"/>
      <c r="GA85" s="112"/>
      <c r="GB85" s="112"/>
      <c r="GC85" s="112"/>
      <c r="GD85" s="112"/>
      <c r="GE85" s="112"/>
      <c r="GF85" s="112"/>
      <c r="GG85" s="112"/>
      <c r="GH85" s="112"/>
      <c r="GI85" s="112"/>
      <c r="GJ85" s="112"/>
      <c r="GK85" s="112"/>
      <c r="GL85" s="112"/>
      <c r="GM85" s="112"/>
      <c r="GN85" s="112"/>
      <c r="GO85" s="112"/>
      <c r="GP85" s="112"/>
      <c r="GQ85" s="112"/>
      <c r="GR85" s="112"/>
      <c r="GS85" s="112"/>
      <c r="GT85" s="112"/>
      <c r="GU85" s="112"/>
      <c r="GV85" s="112"/>
      <c r="GW85" s="112"/>
      <c r="GX85" s="112"/>
      <c r="GY85" s="112"/>
      <c r="GZ85" s="112"/>
      <c r="HA85" s="112"/>
      <c r="HB85" s="112"/>
      <c r="HC85" s="112"/>
      <c r="HD85" s="112"/>
      <c r="HE85" s="112"/>
      <c r="HF85" s="112">
        <v>232932</v>
      </c>
      <c r="HG85" s="112"/>
      <c r="HH85" s="112"/>
      <c r="HI85" s="112"/>
      <c r="HJ85" s="112"/>
      <c r="HK85" s="112"/>
      <c r="HL85" s="112"/>
      <c r="HM85" s="112"/>
      <c r="HN85" s="112"/>
      <c r="HO85" s="112"/>
      <c r="HP85" s="112"/>
      <c r="HQ85" s="112"/>
      <c r="HR85" s="112"/>
      <c r="HS85" s="112"/>
      <c r="HT85" s="112"/>
      <c r="HU85" s="112"/>
      <c r="HV85" s="112"/>
      <c r="HW85" s="112"/>
      <c r="HX85" s="112"/>
      <c r="HY85" s="112"/>
      <c r="HZ85" s="112"/>
      <c r="IA85" s="112"/>
      <c r="IB85" s="112"/>
      <c r="IC85" s="112"/>
      <c r="ID85" s="112"/>
      <c r="IE85" s="112"/>
      <c r="IF85" s="112"/>
      <c r="IG85" s="112"/>
      <c r="IH85" s="112"/>
      <c r="II85" s="112"/>
      <c r="IJ85" s="112"/>
      <c r="IK85" s="112"/>
      <c r="IL85" s="112"/>
      <c r="IM85" s="112"/>
      <c r="IN85" s="112"/>
      <c r="IO85" s="112"/>
      <c r="IP85" s="112"/>
      <c r="IQ85" s="112"/>
      <c r="IR85" s="112"/>
      <c r="IS85" s="112"/>
      <c r="IT85" s="112"/>
      <c r="IU85" s="112"/>
      <c r="IV85" s="112"/>
      <c r="IW85" s="112"/>
      <c r="IX85" s="112"/>
      <c r="IY85" s="112"/>
      <c r="IZ85" s="112"/>
      <c r="JA85" s="112"/>
      <c r="JB85" s="112"/>
      <c r="JC85" s="112"/>
      <c r="JD85" s="112"/>
      <c r="JE85" s="112"/>
      <c r="JF85" s="112"/>
      <c r="JG85" s="112"/>
      <c r="JH85" s="112"/>
      <c r="JI85" s="107">
        <f t="shared" si="1"/>
        <v>232932</v>
      </c>
      <c r="JJ85" s="297">
        <v>3147</v>
      </c>
      <c r="JK85" s="112"/>
      <c r="JL85" s="112"/>
      <c r="JM85" s="1"/>
      <c r="JN85" s="1"/>
      <c r="JO85" s="1"/>
      <c r="JP85" s="1"/>
    </row>
    <row r="86" spans="1:276" x14ac:dyDescent="0.25">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112"/>
      <c r="CC86" s="112"/>
      <c r="CD86" s="112"/>
      <c r="CE86" s="112"/>
      <c r="CF86" s="112"/>
      <c r="CG86" s="112"/>
      <c r="CH86" s="112"/>
      <c r="CI86" s="112"/>
      <c r="CJ86" s="112"/>
      <c r="CK86" s="112"/>
      <c r="CL86" s="112"/>
      <c r="CM86" s="112"/>
      <c r="CN86" s="112"/>
      <c r="CO86" s="112"/>
      <c r="CP86" s="112"/>
      <c r="CQ86" s="112"/>
      <c r="CR86" s="112"/>
      <c r="CS86" s="112"/>
      <c r="CT86" s="112"/>
      <c r="CU86" s="112"/>
      <c r="CV86" s="112"/>
      <c r="CW86" s="112"/>
      <c r="CX86" s="112"/>
      <c r="CY86" s="112"/>
      <c r="CZ86" s="112"/>
      <c r="DA86" s="112"/>
      <c r="DB86" s="112"/>
      <c r="DC86" s="112"/>
      <c r="DD86" s="112"/>
      <c r="DE86" s="112"/>
      <c r="DF86" s="112"/>
      <c r="DG86" s="112"/>
      <c r="DH86" s="112"/>
      <c r="DI86" s="112"/>
      <c r="DJ86" s="112"/>
      <c r="DK86" s="112"/>
      <c r="DL86" s="112"/>
      <c r="DM86" s="112"/>
      <c r="DN86" s="112"/>
      <c r="DO86" s="112"/>
      <c r="DP86" s="112"/>
      <c r="DQ86" s="112"/>
      <c r="DR86" s="112"/>
      <c r="DS86" s="112"/>
      <c r="DT86" s="112"/>
      <c r="DU86" s="112"/>
      <c r="DV86" s="112"/>
      <c r="DW86" s="112"/>
      <c r="DX86" s="112"/>
      <c r="DY86" s="112"/>
      <c r="DZ86" s="112"/>
      <c r="EA86" s="112"/>
      <c r="EB86" s="112"/>
      <c r="EC86" s="112"/>
      <c r="ED86" s="112"/>
      <c r="EE86" s="112"/>
      <c r="EF86" s="112"/>
      <c r="EG86" s="112"/>
      <c r="EH86" s="112"/>
      <c r="EI86" s="112"/>
      <c r="EJ86" s="112"/>
      <c r="EK86" s="112"/>
      <c r="EL86" s="112"/>
      <c r="EM86" s="112"/>
      <c r="EN86" s="112"/>
      <c r="EO86" s="112"/>
      <c r="EP86" s="112"/>
      <c r="EQ86" s="112"/>
      <c r="ER86" s="112"/>
      <c r="ES86" s="112"/>
      <c r="ET86" s="112"/>
      <c r="EU86" s="112"/>
      <c r="EV86" s="112"/>
      <c r="EW86" s="112"/>
      <c r="EX86" s="112"/>
      <c r="EY86" s="112"/>
      <c r="EZ86" s="112"/>
      <c r="FA86" s="112"/>
      <c r="FB86" s="112"/>
      <c r="FC86" s="112"/>
      <c r="FD86" s="112"/>
      <c r="FE86" s="112"/>
      <c r="FF86" s="112"/>
      <c r="FG86" s="112"/>
      <c r="FH86" s="112"/>
      <c r="FI86" s="112"/>
      <c r="FJ86" s="112"/>
      <c r="FK86" s="112"/>
      <c r="FL86" s="112"/>
      <c r="FM86" s="112"/>
      <c r="FN86" s="112"/>
      <c r="FO86" s="112"/>
      <c r="FP86" s="112"/>
      <c r="FQ86" s="112">
        <v>265500</v>
      </c>
      <c r="FR86" s="112"/>
      <c r="FS86" s="112"/>
      <c r="FT86" s="112"/>
      <c r="FU86" s="112"/>
      <c r="FV86" s="112"/>
      <c r="FW86" s="112"/>
      <c r="FX86" s="112"/>
      <c r="FY86" s="112"/>
      <c r="FZ86" s="112"/>
      <c r="GA86" s="112"/>
      <c r="GB86" s="112"/>
      <c r="GC86" s="112"/>
      <c r="GD86" s="112"/>
      <c r="GE86" s="112"/>
      <c r="GF86" s="112"/>
      <c r="GG86" s="112"/>
      <c r="GH86" s="112"/>
      <c r="GI86" s="112"/>
      <c r="GJ86" s="112"/>
      <c r="GK86" s="112"/>
      <c r="GL86" s="112"/>
      <c r="GM86" s="112"/>
      <c r="GN86" s="112"/>
      <c r="GO86" s="112"/>
      <c r="GP86" s="112"/>
      <c r="GQ86" s="112"/>
      <c r="GR86" s="112"/>
      <c r="GS86" s="112"/>
      <c r="GT86" s="112"/>
      <c r="GU86" s="112"/>
      <c r="GV86" s="112"/>
      <c r="GW86" s="112"/>
      <c r="GX86" s="112"/>
      <c r="GY86" s="112"/>
      <c r="GZ86" s="112"/>
      <c r="HA86" s="112"/>
      <c r="HB86" s="112"/>
      <c r="HC86" s="112"/>
      <c r="HD86" s="112"/>
      <c r="HE86" s="112"/>
      <c r="HF86" s="112"/>
      <c r="HG86" s="112"/>
      <c r="HH86" s="112"/>
      <c r="HI86" s="112"/>
      <c r="HJ86" s="112"/>
      <c r="HK86" s="112"/>
      <c r="HL86" s="112"/>
      <c r="HM86" s="112"/>
      <c r="HN86" s="112"/>
      <c r="HO86" s="112"/>
      <c r="HP86" s="112"/>
      <c r="HQ86" s="112"/>
      <c r="HR86" s="112"/>
      <c r="HS86" s="112"/>
      <c r="HT86" s="112"/>
      <c r="HU86" s="112"/>
      <c r="HV86" s="112"/>
      <c r="HW86" s="112"/>
      <c r="HX86" s="112"/>
      <c r="HY86" s="112"/>
      <c r="HZ86" s="112"/>
      <c r="IA86" s="112"/>
      <c r="IB86" s="112"/>
      <c r="IC86" s="112"/>
      <c r="ID86" s="112"/>
      <c r="IE86" s="112"/>
      <c r="IF86" s="112"/>
      <c r="IG86" s="112"/>
      <c r="IH86" s="112"/>
      <c r="II86" s="112"/>
      <c r="IJ86" s="112"/>
      <c r="IK86" s="112"/>
      <c r="IL86" s="112"/>
      <c r="IM86" s="112"/>
      <c r="IN86" s="112"/>
      <c r="IO86" s="112"/>
      <c r="IP86" s="112"/>
      <c r="IQ86" s="112"/>
      <c r="IR86" s="112"/>
      <c r="IS86" s="112"/>
      <c r="IT86" s="112"/>
      <c r="IU86" s="112"/>
      <c r="IV86" s="112"/>
      <c r="IW86" s="112"/>
      <c r="IX86" s="112"/>
      <c r="IY86" s="112"/>
      <c r="IZ86" s="112"/>
      <c r="JA86" s="112"/>
      <c r="JB86" s="112"/>
      <c r="JC86" s="112"/>
      <c r="JD86" s="112"/>
      <c r="JE86" s="112"/>
      <c r="JF86" s="112"/>
      <c r="JG86" s="112"/>
      <c r="JH86" s="112"/>
      <c r="JI86" s="107">
        <f t="shared" si="1"/>
        <v>265500</v>
      </c>
      <c r="JJ86" s="297">
        <v>3155</v>
      </c>
      <c r="JK86" s="112"/>
      <c r="JL86" s="112"/>
      <c r="JM86" s="1"/>
      <c r="JN86" s="1"/>
      <c r="JO86" s="1"/>
      <c r="JP86" s="1"/>
    </row>
    <row r="87" spans="1:276" x14ac:dyDescent="0.25">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c r="AU87" s="112"/>
      <c r="AV87" s="112"/>
      <c r="AW87" s="112"/>
      <c r="AX87" s="112"/>
      <c r="AY87" s="112"/>
      <c r="AZ87" s="112"/>
      <c r="BA87" s="112"/>
      <c r="BB87" s="112"/>
      <c r="BC87" s="112"/>
      <c r="BD87" s="112"/>
      <c r="BE87" s="112"/>
      <c r="BF87" s="112"/>
      <c r="BG87" s="112"/>
      <c r="BH87" s="112"/>
      <c r="BI87" s="112"/>
      <c r="BJ87" s="112"/>
      <c r="BK87" s="112"/>
      <c r="BL87" s="112"/>
      <c r="BM87" s="112"/>
      <c r="BN87" s="112"/>
      <c r="BO87" s="112"/>
      <c r="BP87" s="112"/>
      <c r="BQ87" s="112"/>
      <c r="BR87" s="112"/>
      <c r="BS87" s="112"/>
      <c r="BT87" s="112"/>
      <c r="BU87" s="112"/>
      <c r="BV87" s="112"/>
      <c r="BW87" s="112"/>
      <c r="BX87" s="112"/>
      <c r="BY87" s="112"/>
      <c r="BZ87" s="112"/>
      <c r="CA87" s="112"/>
      <c r="CB87" s="112"/>
      <c r="CC87" s="112"/>
      <c r="CD87" s="112"/>
      <c r="CE87" s="112"/>
      <c r="CF87" s="112"/>
      <c r="CG87" s="112"/>
      <c r="CH87" s="112"/>
      <c r="CI87" s="112"/>
      <c r="CJ87" s="112"/>
      <c r="CK87" s="112"/>
      <c r="CL87" s="112"/>
      <c r="CM87" s="112"/>
      <c r="CN87" s="112"/>
      <c r="CO87" s="112"/>
      <c r="CP87" s="112"/>
      <c r="CQ87" s="112"/>
      <c r="CR87" s="112"/>
      <c r="CS87" s="112"/>
      <c r="CT87" s="112"/>
      <c r="CU87" s="112"/>
      <c r="CV87" s="112"/>
      <c r="CW87" s="112"/>
      <c r="CX87" s="112"/>
      <c r="CY87" s="112"/>
      <c r="CZ87" s="112"/>
      <c r="DA87" s="112"/>
      <c r="DB87" s="112"/>
      <c r="DC87" s="112"/>
      <c r="DD87" s="112"/>
      <c r="DE87" s="112"/>
      <c r="DF87" s="112"/>
      <c r="DG87" s="112"/>
      <c r="DH87" s="112"/>
      <c r="DI87" s="112"/>
      <c r="DJ87" s="112"/>
      <c r="DK87" s="112"/>
      <c r="DL87" s="112"/>
      <c r="DM87" s="112"/>
      <c r="DN87" s="112"/>
      <c r="DO87" s="112"/>
      <c r="DP87" s="112"/>
      <c r="DQ87" s="112"/>
      <c r="DR87" s="112"/>
      <c r="DS87" s="112"/>
      <c r="DT87" s="112"/>
      <c r="DU87" s="112"/>
      <c r="DV87" s="112"/>
      <c r="DW87" s="112"/>
      <c r="DX87" s="112"/>
      <c r="DY87" s="112"/>
      <c r="DZ87" s="112"/>
      <c r="EA87" s="112"/>
      <c r="EB87" s="112"/>
      <c r="EC87" s="112"/>
      <c r="ED87" s="112"/>
      <c r="EE87" s="112"/>
      <c r="EF87" s="112"/>
      <c r="EG87" s="112"/>
      <c r="EH87" s="112"/>
      <c r="EI87" s="112"/>
      <c r="EJ87" s="112"/>
      <c r="EK87" s="112"/>
      <c r="EL87" s="112"/>
      <c r="EM87" s="112"/>
      <c r="EN87" s="112"/>
      <c r="EO87" s="112"/>
      <c r="EP87" s="112"/>
      <c r="EQ87" s="112"/>
      <c r="ER87" s="112"/>
      <c r="ES87" s="112"/>
      <c r="ET87" s="112"/>
      <c r="EU87" s="112"/>
      <c r="EV87" s="112"/>
      <c r="EW87" s="112"/>
      <c r="EX87" s="112"/>
      <c r="EY87" s="112"/>
      <c r="EZ87" s="112"/>
      <c r="FA87" s="112"/>
      <c r="FB87" s="112"/>
      <c r="FC87" s="112"/>
      <c r="FD87" s="112"/>
      <c r="FE87" s="112"/>
      <c r="FF87" s="112"/>
      <c r="FG87" s="112"/>
      <c r="FH87" s="112"/>
      <c r="FI87" s="112"/>
      <c r="FJ87" s="112"/>
      <c r="FK87" s="112"/>
      <c r="FL87" s="112"/>
      <c r="FM87" s="112"/>
      <c r="FN87" s="112"/>
      <c r="FO87" s="112"/>
      <c r="FP87" s="112"/>
      <c r="FQ87" s="112"/>
      <c r="FR87" s="112"/>
      <c r="FS87" s="112"/>
      <c r="FT87" s="112"/>
      <c r="FU87" s="112"/>
      <c r="FV87" s="112"/>
      <c r="FW87" s="112"/>
      <c r="FX87" s="112"/>
      <c r="FY87" s="112"/>
      <c r="FZ87" s="112"/>
      <c r="GA87" s="112"/>
      <c r="GB87" s="112">
        <v>185850</v>
      </c>
      <c r="GC87" s="112"/>
      <c r="GD87" s="112"/>
      <c r="GE87" s="112"/>
      <c r="GF87" s="112"/>
      <c r="GG87" s="112"/>
      <c r="GH87" s="112"/>
      <c r="GI87" s="112"/>
      <c r="GJ87" s="112"/>
      <c r="GK87" s="112"/>
      <c r="GL87" s="112"/>
      <c r="GM87" s="112"/>
      <c r="GN87" s="112"/>
      <c r="GO87" s="112"/>
      <c r="GP87" s="112"/>
      <c r="GQ87" s="112"/>
      <c r="GR87" s="112"/>
      <c r="GS87" s="112"/>
      <c r="GT87" s="112"/>
      <c r="GU87" s="112"/>
      <c r="GV87" s="112"/>
      <c r="GW87" s="112"/>
      <c r="GX87" s="112"/>
      <c r="GY87" s="112"/>
      <c r="GZ87" s="112"/>
      <c r="HA87" s="112"/>
      <c r="HB87" s="112"/>
      <c r="HC87" s="112"/>
      <c r="HD87" s="112"/>
      <c r="HE87" s="112"/>
      <c r="HF87" s="112"/>
      <c r="HG87" s="112"/>
      <c r="HH87" s="112"/>
      <c r="HI87" s="112"/>
      <c r="HJ87" s="112"/>
      <c r="HK87" s="112"/>
      <c r="HL87" s="112"/>
      <c r="HM87" s="112"/>
      <c r="HN87" s="112"/>
      <c r="HO87" s="112"/>
      <c r="HP87" s="112"/>
      <c r="HQ87" s="112"/>
      <c r="HR87" s="112"/>
      <c r="HS87" s="112"/>
      <c r="HT87" s="112"/>
      <c r="HU87" s="112"/>
      <c r="HV87" s="112"/>
      <c r="HW87" s="112"/>
      <c r="HX87" s="112"/>
      <c r="HY87" s="112"/>
      <c r="HZ87" s="112"/>
      <c r="IA87" s="112"/>
      <c r="IB87" s="112"/>
      <c r="IC87" s="112"/>
      <c r="ID87" s="112"/>
      <c r="IE87" s="112"/>
      <c r="IF87" s="112"/>
      <c r="IG87" s="112"/>
      <c r="IH87" s="112"/>
      <c r="II87" s="112"/>
      <c r="IJ87" s="112"/>
      <c r="IK87" s="112"/>
      <c r="IL87" s="112"/>
      <c r="IM87" s="112"/>
      <c r="IN87" s="112"/>
      <c r="IO87" s="112"/>
      <c r="IP87" s="112"/>
      <c r="IQ87" s="112"/>
      <c r="IR87" s="112"/>
      <c r="IS87" s="112"/>
      <c r="IT87" s="112"/>
      <c r="IU87" s="112"/>
      <c r="IV87" s="112"/>
      <c r="IW87" s="112"/>
      <c r="IX87" s="112"/>
      <c r="IY87" s="112"/>
      <c r="IZ87" s="112"/>
      <c r="JA87" s="112"/>
      <c r="JB87" s="112"/>
      <c r="JC87" s="112"/>
      <c r="JD87" s="112"/>
      <c r="JE87" s="112"/>
      <c r="JF87" s="112"/>
      <c r="JG87" s="112"/>
      <c r="JH87" s="112"/>
      <c r="JI87" s="107">
        <f t="shared" si="1"/>
        <v>185850</v>
      </c>
      <c r="JJ87" s="297">
        <v>3158</v>
      </c>
      <c r="JK87" s="112"/>
      <c r="JL87" s="112"/>
      <c r="JM87" s="1"/>
      <c r="JN87" s="1"/>
      <c r="JO87" s="1"/>
      <c r="JP87" s="1"/>
    </row>
    <row r="88" spans="1:276" x14ac:dyDescent="0.25">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c r="BM88" s="112"/>
      <c r="BN88" s="112"/>
      <c r="BO88" s="112"/>
      <c r="BP88" s="112"/>
      <c r="BQ88" s="112"/>
      <c r="BR88" s="112"/>
      <c r="BS88" s="112"/>
      <c r="BT88" s="112"/>
      <c r="BU88" s="112"/>
      <c r="BV88" s="112"/>
      <c r="BW88" s="112"/>
      <c r="BX88" s="112"/>
      <c r="BY88" s="112"/>
      <c r="BZ88" s="112"/>
      <c r="CA88" s="112"/>
      <c r="CB88" s="112"/>
      <c r="CC88" s="112"/>
      <c r="CD88" s="112"/>
      <c r="CE88" s="112"/>
      <c r="CF88" s="112"/>
      <c r="CG88" s="112"/>
      <c r="CH88" s="112"/>
      <c r="CI88" s="112"/>
      <c r="CJ88" s="112"/>
      <c r="CK88" s="112"/>
      <c r="CL88" s="112"/>
      <c r="CM88" s="112"/>
      <c r="CN88" s="112"/>
      <c r="CO88" s="112"/>
      <c r="CP88" s="112"/>
      <c r="CQ88" s="112"/>
      <c r="CR88" s="112"/>
      <c r="CS88" s="112"/>
      <c r="CT88" s="112"/>
      <c r="CU88" s="112"/>
      <c r="CV88" s="112"/>
      <c r="CW88" s="112"/>
      <c r="CX88" s="112"/>
      <c r="CY88" s="112"/>
      <c r="CZ88" s="112"/>
      <c r="DA88" s="112"/>
      <c r="DB88" s="112"/>
      <c r="DC88" s="112"/>
      <c r="DD88" s="112"/>
      <c r="DE88" s="112"/>
      <c r="DF88" s="112"/>
      <c r="DG88" s="112"/>
      <c r="DH88" s="112"/>
      <c r="DI88" s="112"/>
      <c r="DJ88" s="112"/>
      <c r="DK88" s="112"/>
      <c r="DL88" s="112"/>
      <c r="DM88" s="112"/>
      <c r="DN88" s="112"/>
      <c r="DO88" s="112"/>
      <c r="DP88" s="112"/>
      <c r="DQ88" s="112"/>
      <c r="DR88" s="112"/>
      <c r="DS88" s="112"/>
      <c r="DT88" s="112"/>
      <c r="DU88" s="112"/>
      <c r="DV88" s="112"/>
      <c r="DW88" s="112"/>
      <c r="DX88" s="112"/>
      <c r="DY88" s="112"/>
      <c r="DZ88" s="112"/>
      <c r="EA88" s="112"/>
      <c r="EB88" s="112"/>
      <c r="EC88" s="112"/>
      <c r="ED88" s="112"/>
      <c r="EE88" s="112"/>
      <c r="EF88" s="112"/>
      <c r="EG88" s="112"/>
      <c r="EH88" s="112"/>
      <c r="EI88" s="112"/>
      <c r="EJ88" s="112"/>
      <c r="EK88" s="112"/>
      <c r="EL88" s="112"/>
      <c r="EM88" s="112"/>
      <c r="EN88" s="112"/>
      <c r="EO88" s="112"/>
      <c r="EP88" s="112"/>
      <c r="EQ88" s="112"/>
      <c r="ER88" s="112"/>
      <c r="ES88" s="112"/>
      <c r="ET88" s="112"/>
      <c r="EU88" s="112"/>
      <c r="EV88" s="112"/>
      <c r="EW88" s="112"/>
      <c r="EX88" s="112"/>
      <c r="EY88" s="112"/>
      <c r="EZ88" s="112"/>
      <c r="FA88" s="112"/>
      <c r="FB88" s="112"/>
      <c r="FC88" s="112"/>
      <c r="FD88" s="112"/>
      <c r="FE88" s="112"/>
      <c r="FF88" s="112"/>
      <c r="FG88" s="112"/>
      <c r="FH88" s="112"/>
      <c r="FI88" s="112"/>
      <c r="FJ88" s="112"/>
      <c r="FK88" s="112"/>
      <c r="FL88" s="112"/>
      <c r="FM88" s="112"/>
      <c r="FN88" s="112"/>
      <c r="FO88" s="112"/>
      <c r="FP88" s="112"/>
      <c r="FQ88" s="112"/>
      <c r="FR88" s="112"/>
      <c r="FS88" s="112"/>
      <c r="FT88" s="112"/>
      <c r="FU88" s="112"/>
      <c r="FV88" s="112"/>
      <c r="FW88" s="112"/>
      <c r="FX88" s="112"/>
      <c r="FY88" s="112"/>
      <c r="FZ88" s="112"/>
      <c r="GA88" s="112"/>
      <c r="GB88" s="112"/>
      <c r="GC88" s="112"/>
      <c r="GD88" s="112"/>
      <c r="GE88" s="112"/>
      <c r="GF88" s="112"/>
      <c r="GG88" s="112"/>
      <c r="GH88" s="112"/>
      <c r="GI88" s="112"/>
      <c r="GJ88" s="112"/>
      <c r="GK88" s="112"/>
      <c r="GL88" s="112"/>
      <c r="GM88" s="112"/>
      <c r="GN88" s="112"/>
      <c r="GO88" s="112"/>
      <c r="GP88" s="112"/>
      <c r="GQ88" s="112"/>
      <c r="GR88" s="112"/>
      <c r="GS88" s="112"/>
      <c r="GT88" s="112"/>
      <c r="GU88" s="112"/>
      <c r="GV88" s="112"/>
      <c r="GW88" s="112"/>
      <c r="GX88" s="112"/>
      <c r="GY88" s="112"/>
      <c r="GZ88" s="112"/>
      <c r="HA88" s="112"/>
      <c r="HB88" s="112"/>
      <c r="HC88" s="112"/>
      <c r="HD88" s="112"/>
      <c r="HE88" s="112"/>
      <c r="HF88" s="112"/>
      <c r="HG88" s="112"/>
      <c r="HH88" s="112">
        <v>1700000</v>
      </c>
      <c r="HI88" s="112"/>
      <c r="HJ88" s="112"/>
      <c r="HK88" s="112"/>
      <c r="HL88" s="112"/>
      <c r="HM88" s="112"/>
      <c r="HN88" s="112"/>
      <c r="HO88" s="112"/>
      <c r="HP88" s="112"/>
      <c r="HQ88" s="112"/>
      <c r="HR88" s="112"/>
      <c r="HS88" s="112"/>
      <c r="HT88" s="112"/>
      <c r="HU88" s="112"/>
      <c r="HV88" s="112"/>
      <c r="HW88" s="112"/>
      <c r="HX88" s="112"/>
      <c r="HY88" s="112"/>
      <c r="HZ88" s="112"/>
      <c r="IA88" s="112"/>
      <c r="IB88" s="112"/>
      <c r="IC88" s="112"/>
      <c r="ID88" s="112"/>
      <c r="IE88" s="112"/>
      <c r="IF88" s="112"/>
      <c r="IG88" s="112"/>
      <c r="IH88" s="112"/>
      <c r="II88" s="112"/>
      <c r="IJ88" s="112"/>
      <c r="IK88" s="112"/>
      <c r="IL88" s="112"/>
      <c r="IM88" s="112"/>
      <c r="IN88" s="112"/>
      <c r="IO88" s="112"/>
      <c r="IP88" s="112"/>
      <c r="IQ88" s="112"/>
      <c r="IR88" s="112"/>
      <c r="IS88" s="112"/>
      <c r="IT88" s="112"/>
      <c r="IU88" s="112"/>
      <c r="IV88" s="112"/>
      <c r="IW88" s="112"/>
      <c r="IX88" s="112"/>
      <c r="IY88" s="112"/>
      <c r="IZ88" s="112"/>
      <c r="JA88" s="112"/>
      <c r="JB88" s="112"/>
      <c r="JC88" s="112"/>
      <c r="JD88" s="112"/>
      <c r="JE88" s="112"/>
      <c r="JF88" s="112"/>
      <c r="JG88" s="112"/>
      <c r="JH88" s="112"/>
      <c r="JI88" s="107">
        <f t="shared" si="1"/>
        <v>1700000</v>
      </c>
      <c r="JJ88" s="297">
        <v>3159</v>
      </c>
      <c r="JK88" s="112"/>
      <c r="JL88" s="112"/>
      <c r="JM88" s="1"/>
      <c r="JN88" s="1"/>
      <c r="JO88" s="1"/>
      <c r="JP88" s="1"/>
    </row>
    <row r="89" spans="1:276" x14ac:dyDescent="0.25">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112"/>
      <c r="BO89" s="112"/>
      <c r="BP89" s="112"/>
      <c r="BQ89" s="112"/>
      <c r="BR89" s="112"/>
      <c r="BS89" s="112"/>
      <c r="BT89" s="112"/>
      <c r="BU89" s="112"/>
      <c r="BV89" s="112"/>
      <c r="BW89" s="112"/>
      <c r="BX89" s="112"/>
      <c r="BY89" s="112"/>
      <c r="BZ89" s="112"/>
      <c r="CA89" s="112"/>
      <c r="CB89" s="112"/>
      <c r="CC89" s="112"/>
      <c r="CD89" s="112"/>
      <c r="CE89" s="112"/>
      <c r="CF89" s="112"/>
      <c r="CG89" s="112"/>
      <c r="CH89" s="112"/>
      <c r="CI89" s="112"/>
      <c r="CJ89" s="112"/>
      <c r="CK89" s="112"/>
      <c r="CL89" s="112"/>
      <c r="CM89" s="112"/>
      <c r="CN89" s="112"/>
      <c r="CO89" s="112"/>
      <c r="CP89" s="112"/>
      <c r="CQ89" s="112"/>
      <c r="CR89" s="112"/>
      <c r="CS89" s="112"/>
      <c r="CT89" s="112"/>
      <c r="CU89" s="112"/>
      <c r="CV89" s="112"/>
      <c r="CW89" s="112"/>
      <c r="CX89" s="112"/>
      <c r="CY89" s="112"/>
      <c r="CZ89" s="112"/>
      <c r="DA89" s="112"/>
      <c r="DB89" s="112"/>
      <c r="DC89" s="112"/>
      <c r="DD89" s="112"/>
      <c r="DE89" s="112"/>
      <c r="DF89" s="112"/>
      <c r="DG89" s="112"/>
      <c r="DH89" s="112"/>
      <c r="DI89" s="112"/>
      <c r="DJ89" s="112"/>
      <c r="DK89" s="112"/>
      <c r="DL89" s="112"/>
      <c r="DM89" s="112"/>
      <c r="DN89" s="112"/>
      <c r="DO89" s="112"/>
      <c r="DP89" s="112"/>
      <c r="DQ89" s="112"/>
      <c r="DR89" s="112"/>
      <c r="DS89" s="112"/>
      <c r="DT89" s="112">
        <v>211281.36</v>
      </c>
      <c r="DU89" s="112"/>
      <c r="DV89" s="112"/>
      <c r="DW89" s="112"/>
      <c r="DX89" s="112"/>
      <c r="DY89" s="112"/>
      <c r="DZ89" s="112"/>
      <c r="EA89" s="112"/>
      <c r="EB89" s="112"/>
      <c r="EC89" s="112"/>
      <c r="ED89" s="112"/>
      <c r="EE89" s="112"/>
      <c r="EF89" s="112"/>
      <c r="EG89" s="112"/>
      <c r="EH89" s="112"/>
      <c r="EI89" s="112"/>
      <c r="EJ89" s="112"/>
      <c r="EK89" s="112"/>
      <c r="EL89" s="112"/>
      <c r="EM89" s="112"/>
      <c r="EN89" s="112"/>
      <c r="EO89" s="112"/>
      <c r="EP89" s="112"/>
      <c r="EQ89" s="112"/>
      <c r="ER89" s="112"/>
      <c r="ES89" s="112"/>
      <c r="ET89" s="112"/>
      <c r="EU89" s="112"/>
      <c r="EV89" s="112"/>
      <c r="EW89" s="112"/>
      <c r="EX89" s="112"/>
      <c r="EY89" s="112"/>
      <c r="EZ89" s="112"/>
      <c r="FA89" s="112"/>
      <c r="FB89" s="112"/>
      <c r="FC89" s="112"/>
      <c r="FD89" s="112"/>
      <c r="FE89" s="112"/>
      <c r="FF89" s="112"/>
      <c r="FG89" s="112"/>
      <c r="FH89" s="112"/>
      <c r="FI89" s="112"/>
      <c r="FJ89" s="112"/>
      <c r="FK89" s="112"/>
      <c r="FL89" s="112"/>
      <c r="FM89" s="112"/>
      <c r="FN89" s="112"/>
      <c r="FO89" s="112"/>
      <c r="FP89" s="112"/>
      <c r="FQ89" s="112"/>
      <c r="FR89" s="112"/>
      <c r="FS89" s="112"/>
      <c r="FT89" s="112"/>
      <c r="FU89" s="112"/>
      <c r="FV89" s="112"/>
      <c r="FW89" s="112"/>
      <c r="FX89" s="112"/>
      <c r="FY89" s="112"/>
      <c r="FZ89" s="112"/>
      <c r="GA89" s="112"/>
      <c r="GB89" s="112"/>
      <c r="GC89" s="112"/>
      <c r="GD89" s="112"/>
      <c r="GE89" s="112"/>
      <c r="GF89" s="112"/>
      <c r="GG89" s="112"/>
      <c r="GH89" s="112"/>
      <c r="GI89" s="112"/>
      <c r="GJ89" s="112"/>
      <c r="GK89" s="112"/>
      <c r="GL89" s="112"/>
      <c r="GM89" s="112"/>
      <c r="GN89" s="112"/>
      <c r="GO89" s="112"/>
      <c r="GP89" s="112"/>
      <c r="GQ89" s="112"/>
      <c r="GR89" s="112"/>
      <c r="GS89" s="112"/>
      <c r="GT89" s="112"/>
      <c r="GU89" s="112"/>
      <c r="GV89" s="112"/>
      <c r="GW89" s="112"/>
      <c r="GX89" s="112"/>
      <c r="GY89" s="112"/>
      <c r="GZ89" s="112"/>
      <c r="HA89" s="112"/>
      <c r="HB89" s="112"/>
      <c r="HC89" s="112"/>
      <c r="HD89" s="112"/>
      <c r="HE89" s="112"/>
      <c r="HF89" s="112"/>
      <c r="HG89" s="112"/>
      <c r="HH89" s="112"/>
      <c r="HI89" s="112"/>
      <c r="HJ89" s="112"/>
      <c r="HK89" s="112"/>
      <c r="HL89" s="112"/>
      <c r="HM89" s="112"/>
      <c r="HN89" s="112"/>
      <c r="HO89" s="112"/>
      <c r="HP89" s="112"/>
      <c r="HQ89" s="112"/>
      <c r="HR89" s="112"/>
      <c r="HS89" s="112"/>
      <c r="HT89" s="112"/>
      <c r="HU89" s="112"/>
      <c r="HV89" s="112"/>
      <c r="HW89" s="112"/>
      <c r="HX89" s="112"/>
      <c r="HY89" s="112"/>
      <c r="HZ89" s="112"/>
      <c r="IA89" s="112"/>
      <c r="IB89" s="112"/>
      <c r="IC89" s="112"/>
      <c r="ID89" s="112"/>
      <c r="IE89" s="112"/>
      <c r="IF89" s="112"/>
      <c r="IG89" s="112"/>
      <c r="IH89" s="112"/>
      <c r="II89" s="112"/>
      <c r="IJ89" s="112"/>
      <c r="IK89" s="112"/>
      <c r="IL89" s="112"/>
      <c r="IM89" s="112"/>
      <c r="IN89" s="112"/>
      <c r="IO89" s="112"/>
      <c r="IP89" s="112"/>
      <c r="IQ89" s="112"/>
      <c r="IR89" s="112"/>
      <c r="IS89" s="112"/>
      <c r="IT89" s="112"/>
      <c r="IU89" s="112"/>
      <c r="IV89" s="112"/>
      <c r="IW89" s="112"/>
      <c r="IX89" s="112"/>
      <c r="IY89" s="112"/>
      <c r="IZ89" s="112"/>
      <c r="JA89" s="112"/>
      <c r="JB89" s="112"/>
      <c r="JC89" s="112"/>
      <c r="JD89" s="112"/>
      <c r="JE89" s="112"/>
      <c r="JF89" s="112"/>
      <c r="JG89" s="112"/>
      <c r="JH89" s="112"/>
      <c r="JI89" s="107">
        <f t="shared" si="1"/>
        <v>211281.36</v>
      </c>
      <c r="JJ89" s="297">
        <v>3168</v>
      </c>
      <c r="JK89" s="112"/>
      <c r="JL89" s="112"/>
      <c r="JM89" s="1"/>
      <c r="JN89" s="1"/>
      <c r="JO89" s="1"/>
      <c r="JP89" s="1"/>
    </row>
    <row r="90" spans="1:276" x14ac:dyDescent="0.25">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12"/>
      <c r="BA90" s="112"/>
      <c r="BB90" s="112"/>
      <c r="BC90" s="112"/>
      <c r="BD90" s="112"/>
      <c r="BE90" s="112"/>
      <c r="BF90" s="112"/>
      <c r="BG90" s="112"/>
      <c r="BH90" s="112"/>
      <c r="BI90" s="112"/>
      <c r="BJ90" s="112"/>
      <c r="BK90" s="112"/>
      <c r="BL90" s="112"/>
      <c r="BM90" s="112"/>
      <c r="BN90" s="112"/>
      <c r="BO90" s="112"/>
      <c r="BP90" s="112"/>
      <c r="BQ90" s="112"/>
      <c r="BR90" s="112"/>
      <c r="BS90" s="112"/>
      <c r="BT90" s="112"/>
      <c r="BU90" s="112"/>
      <c r="BV90" s="112"/>
      <c r="BW90" s="112"/>
      <c r="BX90" s="112"/>
      <c r="BY90" s="112"/>
      <c r="BZ90" s="112"/>
      <c r="CA90" s="112"/>
      <c r="CB90" s="112"/>
      <c r="CC90" s="112"/>
      <c r="CD90" s="112"/>
      <c r="CE90" s="112"/>
      <c r="CF90" s="112"/>
      <c r="CG90" s="112"/>
      <c r="CH90" s="112"/>
      <c r="CI90" s="112"/>
      <c r="CJ90" s="112">
        <v>849600</v>
      </c>
      <c r="CK90" s="112"/>
      <c r="CL90" s="112"/>
      <c r="CM90" s="112"/>
      <c r="CN90" s="112"/>
      <c r="CO90" s="112"/>
      <c r="CP90" s="112"/>
      <c r="CQ90" s="112"/>
      <c r="CR90" s="112"/>
      <c r="CS90" s="112"/>
      <c r="CT90" s="112"/>
      <c r="CU90" s="112"/>
      <c r="CV90" s="112"/>
      <c r="CW90" s="112"/>
      <c r="CX90" s="112"/>
      <c r="CY90" s="112"/>
      <c r="CZ90" s="112"/>
      <c r="DA90" s="112"/>
      <c r="DB90" s="112"/>
      <c r="DC90" s="112"/>
      <c r="DD90" s="112"/>
      <c r="DE90" s="112"/>
      <c r="DF90" s="112"/>
      <c r="DG90" s="112"/>
      <c r="DH90" s="112"/>
      <c r="DI90" s="112"/>
      <c r="DJ90" s="112"/>
      <c r="DK90" s="112"/>
      <c r="DL90" s="112"/>
      <c r="DM90" s="112"/>
      <c r="DN90" s="112"/>
      <c r="DO90" s="112"/>
      <c r="DP90" s="112"/>
      <c r="DQ90" s="112"/>
      <c r="DR90" s="112"/>
      <c r="DS90" s="112"/>
      <c r="DT90" s="112"/>
      <c r="DU90" s="112"/>
      <c r="DV90" s="112"/>
      <c r="DW90" s="112"/>
      <c r="DX90" s="112"/>
      <c r="DY90" s="112"/>
      <c r="DZ90" s="112"/>
      <c r="EA90" s="112"/>
      <c r="EB90" s="112"/>
      <c r="EC90" s="112"/>
      <c r="ED90" s="112"/>
      <c r="EE90" s="112"/>
      <c r="EF90" s="112"/>
      <c r="EG90" s="112"/>
      <c r="EH90" s="112"/>
      <c r="EI90" s="112"/>
      <c r="EJ90" s="112"/>
      <c r="EK90" s="112"/>
      <c r="EL90" s="112"/>
      <c r="EM90" s="112"/>
      <c r="EN90" s="112"/>
      <c r="EO90" s="112"/>
      <c r="EP90" s="112"/>
      <c r="EQ90" s="112"/>
      <c r="ER90" s="112"/>
      <c r="ES90" s="112"/>
      <c r="ET90" s="112"/>
      <c r="EU90" s="112"/>
      <c r="EV90" s="112"/>
      <c r="EW90" s="112"/>
      <c r="EX90" s="112"/>
      <c r="EY90" s="112"/>
      <c r="EZ90" s="112"/>
      <c r="FA90" s="112"/>
      <c r="FB90" s="112"/>
      <c r="FC90" s="112"/>
      <c r="FD90" s="112"/>
      <c r="FE90" s="112"/>
      <c r="FF90" s="112"/>
      <c r="FG90" s="112"/>
      <c r="FH90" s="112"/>
      <c r="FI90" s="112"/>
      <c r="FJ90" s="112"/>
      <c r="FK90" s="112"/>
      <c r="FL90" s="112"/>
      <c r="FM90" s="112"/>
      <c r="FN90" s="112"/>
      <c r="FO90" s="112"/>
      <c r="FP90" s="112"/>
      <c r="FQ90" s="112"/>
      <c r="FR90" s="112"/>
      <c r="FS90" s="112"/>
      <c r="FT90" s="112"/>
      <c r="FU90" s="112"/>
      <c r="FV90" s="112"/>
      <c r="FW90" s="112"/>
      <c r="FX90" s="112"/>
      <c r="FY90" s="112"/>
      <c r="FZ90" s="112"/>
      <c r="GA90" s="112"/>
      <c r="GB90" s="112"/>
      <c r="GC90" s="112"/>
      <c r="GD90" s="112"/>
      <c r="GE90" s="112"/>
      <c r="GF90" s="112"/>
      <c r="GG90" s="112"/>
      <c r="GH90" s="112"/>
      <c r="GI90" s="112"/>
      <c r="GJ90" s="112"/>
      <c r="GK90" s="112"/>
      <c r="GL90" s="112"/>
      <c r="GM90" s="112"/>
      <c r="GN90" s="112"/>
      <c r="GO90" s="112"/>
      <c r="GP90" s="112"/>
      <c r="GQ90" s="112"/>
      <c r="GR90" s="112"/>
      <c r="GS90" s="112"/>
      <c r="GT90" s="112"/>
      <c r="GU90" s="112"/>
      <c r="GV90" s="112"/>
      <c r="GW90" s="112"/>
      <c r="GX90" s="112"/>
      <c r="GY90" s="112"/>
      <c r="GZ90" s="112"/>
      <c r="HA90" s="112"/>
      <c r="HB90" s="112"/>
      <c r="HC90" s="112"/>
      <c r="HD90" s="112"/>
      <c r="HE90" s="112"/>
      <c r="HF90" s="112"/>
      <c r="HG90" s="112"/>
      <c r="HH90" s="112"/>
      <c r="HI90" s="112"/>
      <c r="HJ90" s="112"/>
      <c r="HK90" s="112"/>
      <c r="HL90" s="112"/>
      <c r="HM90" s="112"/>
      <c r="HN90" s="112"/>
      <c r="HO90" s="112"/>
      <c r="HP90" s="112"/>
      <c r="HQ90" s="112"/>
      <c r="HR90" s="112"/>
      <c r="HS90" s="112"/>
      <c r="HT90" s="112"/>
      <c r="HU90" s="112"/>
      <c r="HV90" s="112"/>
      <c r="HW90" s="112"/>
      <c r="HX90" s="112"/>
      <c r="HY90" s="112"/>
      <c r="HZ90" s="112"/>
      <c r="IA90" s="112"/>
      <c r="IB90" s="112"/>
      <c r="IC90" s="112"/>
      <c r="ID90" s="112"/>
      <c r="IE90" s="112"/>
      <c r="IF90" s="112"/>
      <c r="IG90" s="112"/>
      <c r="IH90" s="112"/>
      <c r="II90" s="112"/>
      <c r="IJ90" s="112"/>
      <c r="IK90" s="112"/>
      <c r="IL90" s="112"/>
      <c r="IM90" s="112"/>
      <c r="IN90" s="112"/>
      <c r="IO90" s="112"/>
      <c r="IP90" s="112"/>
      <c r="IQ90" s="112"/>
      <c r="IR90" s="112"/>
      <c r="IS90" s="112"/>
      <c r="IT90" s="112"/>
      <c r="IU90" s="112"/>
      <c r="IV90" s="112"/>
      <c r="IW90" s="112"/>
      <c r="IX90" s="112"/>
      <c r="IY90" s="112"/>
      <c r="IZ90" s="112"/>
      <c r="JA90" s="112"/>
      <c r="JB90" s="112"/>
      <c r="JC90" s="112"/>
      <c r="JD90" s="112"/>
      <c r="JE90" s="112"/>
      <c r="JF90" s="112"/>
      <c r="JG90" s="112"/>
      <c r="JH90" s="112"/>
      <c r="JI90" s="107">
        <f t="shared" si="1"/>
        <v>849600</v>
      </c>
      <c r="JJ90" s="297">
        <v>3169</v>
      </c>
      <c r="JK90" s="112"/>
      <c r="JL90" s="112"/>
      <c r="JM90" s="1"/>
      <c r="JN90" s="1"/>
      <c r="JO90" s="1"/>
      <c r="JP90" s="1"/>
    </row>
    <row r="91" spans="1:276" x14ac:dyDescent="0.25">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c r="BM91" s="112"/>
      <c r="BN91" s="112"/>
      <c r="BO91" s="112"/>
      <c r="BP91" s="112"/>
      <c r="BQ91" s="112"/>
      <c r="BR91" s="112"/>
      <c r="BS91" s="112"/>
      <c r="BT91" s="112"/>
      <c r="BU91" s="112"/>
      <c r="BV91" s="112"/>
      <c r="BW91" s="112"/>
      <c r="BX91" s="112"/>
      <c r="BY91" s="112"/>
      <c r="BZ91" s="112"/>
      <c r="CA91" s="112"/>
      <c r="CB91" s="112"/>
      <c r="CC91" s="112"/>
      <c r="CD91" s="112"/>
      <c r="CE91" s="112"/>
      <c r="CF91" s="112"/>
      <c r="CG91" s="112"/>
      <c r="CH91" s="112"/>
      <c r="CI91" s="112"/>
      <c r="CJ91" s="112"/>
      <c r="CK91" s="112"/>
      <c r="CL91" s="112"/>
      <c r="CM91" s="112"/>
      <c r="CN91" s="112"/>
      <c r="CO91" s="112"/>
      <c r="CP91" s="112"/>
      <c r="CQ91" s="112"/>
      <c r="CR91" s="112"/>
      <c r="CS91" s="112"/>
      <c r="CT91" s="112"/>
      <c r="CU91" s="112"/>
      <c r="CV91" s="112"/>
      <c r="CW91" s="112"/>
      <c r="CX91" s="112"/>
      <c r="CY91" s="112"/>
      <c r="CZ91" s="112"/>
      <c r="DA91" s="112"/>
      <c r="DB91" s="112"/>
      <c r="DC91" s="112"/>
      <c r="DD91" s="112"/>
      <c r="DE91" s="112"/>
      <c r="DF91" s="112"/>
      <c r="DG91" s="112"/>
      <c r="DH91" s="112"/>
      <c r="DI91" s="112"/>
      <c r="DJ91" s="112"/>
      <c r="DK91" s="112"/>
      <c r="DL91" s="112"/>
      <c r="DM91" s="112"/>
      <c r="DN91" s="112"/>
      <c r="DO91" s="112"/>
      <c r="DP91" s="112"/>
      <c r="DQ91" s="112"/>
      <c r="DR91" s="112"/>
      <c r="DS91" s="112"/>
      <c r="DT91" s="112"/>
      <c r="DU91" s="112"/>
      <c r="DV91" s="112"/>
      <c r="DW91" s="112"/>
      <c r="DX91" s="112"/>
      <c r="DY91" s="112"/>
      <c r="DZ91" s="112"/>
      <c r="EA91" s="112"/>
      <c r="EB91" s="112"/>
      <c r="EC91" s="112"/>
      <c r="ED91" s="112"/>
      <c r="EE91" s="112"/>
      <c r="EF91" s="112"/>
      <c r="EG91" s="112"/>
      <c r="EH91" s="112"/>
      <c r="EI91" s="112"/>
      <c r="EJ91" s="112"/>
      <c r="EK91" s="112"/>
      <c r="EL91" s="112"/>
      <c r="EM91" s="112"/>
      <c r="EN91" s="112"/>
      <c r="EO91" s="112"/>
      <c r="EP91" s="112"/>
      <c r="EQ91" s="112"/>
      <c r="ER91" s="112"/>
      <c r="ES91" s="112"/>
      <c r="ET91" s="112"/>
      <c r="EU91" s="112"/>
      <c r="EV91" s="112"/>
      <c r="EW91" s="112"/>
      <c r="EX91" s="112"/>
      <c r="EY91" s="112"/>
      <c r="EZ91" s="112"/>
      <c r="FA91" s="112"/>
      <c r="FB91" s="112"/>
      <c r="FC91" s="112"/>
      <c r="FD91" s="112"/>
      <c r="FE91" s="112"/>
      <c r="FF91" s="112"/>
      <c r="FG91" s="112"/>
      <c r="FH91" s="112"/>
      <c r="FI91" s="112"/>
      <c r="FJ91" s="112"/>
      <c r="FK91" s="112"/>
      <c r="FL91" s="112"/>
      <c r="FM91" s="112"/>
      <c r="FN91" s="112"/>
      <c r="FO91" s="112"/>
      <c r="FP91" s="112"/>
      <c r="FQ91" s="112"/>
      <c r="FR91" s="112"/>
      <c r="FS91" s="112"/>
      <c r="FT91" s="112"/>
      <c r="FU91" s="112">
        <v>45076</v>
      </c>
      <c r="FV91" s="112"/>
      <c r="FW91" s="112"/>
      <c r="FX91" s="112"/>
      <c r="FY91" s="112"/>
      <c r="FZ91" s="112"/>
      <c r="GA91" s="112"/>
      <c r="GB91" s="112"/>
      <c r="GC91" s="112"/>
      <c r="GD91" s="112"/>
      <c r="GE91" s="112"/>
      <c r="GF91" s="112"/>
      <c r="GG91" s="112"/>
      <c r="GH91" s="112"/>
      <c r="GI91" s="112"/>
      <c r="GJ91" s="112"/>
      <c r="GK91" s="112"/>
      <c r="GL91" s="112"/>
      <c r="GM91" s="112"/>
      <c r="GN91" s="112"/>
      <c r="GO91" s="112"/>
      <c r="GP91" s="112"/>
      <c r="GQ91" s="112"/>
      <c r="GR91" s="112"/>
      <c r="GS91" s="112"/>
      <c r="GT91" s="112"/>
      <c r="GU91" s="112"/>
      <c r="GV91" s="112"/>
      <c r="GW91" s="112"/>
      <c r="GX91" s="112"/>
      <c r="GY91" s="112"/>
      <c r="GZ91" s="112"/>
      <c r="HA91" s="112"/>
      <c r="HB91" s="112"/>
      <c r="HC91" s="112"/>
      <c r="HD91" s="112"/>
      <c r="HE91" s="112"/>
      <c r="HF91" s="112"/>
      <c r="HG91" s="112"/>
      <c r="HH91" s="112"/>
      <c r="HI91" s="112"/>
      <c r="HJ91" s="112"/>
      <c r="HK91" s="112"/>
      <c r="HL91" s="112"/>
      <c r="HM91" s="112"/>
      <c r="HN91" s="112"/>
      <c r="HO91" s="112"/>
      <c r="HP91" s="112"/>
      <c r="HQ91" s="112"/>
      <c r="HR91" s="112"/>
      <c r="HS91" s="112"/>
      <c r="HT91" s="112"/>
      <c r="HU91" s="112"/>
      <c r="HV91" s="112"/>
      <c r="HW91" s="112"/>
      <c r="HX91" s="112"/>
      <c r="HY91" s="112"/>
      <c r="HZ91" s="112"/>
      <c r="IA91" s="112"/>
      <c r="IB91" s="112"/>
      <c r="IC91" s="112"/>
      <c r="ID91" s="112"/>
      <c r="IE91" s="112"/>
      <c r="IF91" s="112"/>
      <c r="IG91" s="112"/>
      <c r="IH91" s="112"/>
      <c r="II91" s="112"/>
      <c r="IJ91" s="112"/>
      <c r="IK91" s="112"/>
      <c r="IL91" s="112"/>
      <c r="IM91" s="112"/>
      <c r="IN91" s="112"/>
      <c r="IO91" s="112"/>
      <c r="IP91" s="112"/>
      <c r="IQ91" s="112"/>
      <c r="IR91" s="112"/>
      <c r="IS91" s="112"/>
      <c r="IT91" s="112"/>
      <c r="IU91" s="112"/>
      <c r="IV91" s="112"/>
      <c r="IW91" s="112"/>
      <c r="IX91" s="112"/>
      <c r="IY91" s="112"/>
      <c r="IZ91" s="112"/>
      <c r="JA91" s="112"/>
      <c r="JB91" s="112"/>
      <c r="JC91" s="112"/>
      <c r="JD91" s="112"/>
      <c r="JE91" s="112"/>
      <c r="JF91" s="112"/>
      <c r="JG91" s="112"/>
      <c r="JH91" s="112"/>
      <c r="JI91" s="107">
        <f t="shared" si="1"/>
        <v>45076</v>
      </c>
      <c r="JJ91" s="297">
        <v>3171</v>
      </c>
      <c r="JK91" s="112"/>
      <c r="JL91" s="112"/>
      <c r="JM91" s="1"/>
      <c r="JN91" s="1"/>
      <c r="JO91" s="1"/>
      <c r="JP91" s="1"/>
    </row>
    <row r="92" spans="1:276" x14ac:dyDescent="0.25">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12"/>
      <c r="BY92" s="112"/>
      <c r="BZ92" s="112"/>
      <c r="CA92" s="112"/>
      <c r="CB92" s="112"/>
      <c r="CC92" s="112"/>
      <c r="CD92" s="112"/>
      <c r="CE92" s="112"/>
      <c r="CF92" s="112"/>
      <c r="CG92" s="112"/>
      <c r="CH92" s="112"/>
      <c r="CI92" s="112"/>
      <c r="CJ92" s="112"/>
      <c r="CK92" s="112"/>
      <c r="CL92" s="112"/>
      <c r="CM92" s="112"/>
      <c r="CN92" s="112"/>
      <c r="CO92" s="112"/>
      <c r="CP92" s="112"/>
      <c r="CQ92" s="112"/>
      <c r="CR92" s="112"/>
      <c r="CS92" s="112"/>
      <c r="CT92" s="112"/>
      <c r="CU92" s="112"/>
      <c r="CV92" s="112"/>
      <c r="CW92" s="112"/>
      <c r="CX92" s="112"/>
      <c r="CY92" s="112"/>
      <c r="CZ92" s="112"/>
      <c r="DA92" s="112"/>
      <c r="DB92" s="112"/>
      <c r="DC92" s="112"/>
      <c r="DD92" s="112"/>
      <c r="DE92" s="112"/>
      <c r="DF92" s="112"/>
      <c r="DG92" s="112"/>
      <c r="DH92" s="112"/>
      <c r="DI92" s="112"/>
      <c r="DJ92" s="112"/>
      <c r="DK92" s="112"/>
      <c r="DL92" s="112"/>
      <c r="DM92" s="112"/>
      <c r="DN92" s="112"/>
      <c r="DO92" s="112"/>
      <c r="DP92" s="112"/>
      <c r="DQ92" s="112"/>
      <c r="DR92" s="112"/>
      <c r="DS92" s="112"/>
      <c r="DT92" s="112"/>
      <c r="DU92" s="112"/>
      <c r="DV92" s="112"/>
      <c r="DW92" s="112"/>
      <c r="DX92" s="112"/>
      <c r="DY92" s="112"/>
      <c r="DZ92" s="112"/>
      <c r="EA92" s="112"/>
      <c r="EB92" s="112"/>
      <c r="EC92" s="112"/>
      <c r="ED92" s="112"/>
      <c r="EE92" s="112"/>
      <c r="EF92" s="112"/>
      <c r="EG92" s="112"/>
      <c r="EH92" s="112"/>
      <c r="EI92" s="112"/>
      <c r="EJ92" s="112"/>
      <c r="EK92" s="112"/>
      <c r="EL92" s="112"/>
      <c r="EM92" s="112"/>
      <c r="EN92" s="112"/>
      <c r="EO92" s="112"/>
      <c r="EP92" s="112"/>
      <c r="EQ92" s="112"/>
      <c r="ER92" s="112"/>
      <c r="ES92" s="112"/>
      <c r="ET92" s="112"/>
      <c r="EU92" s="112"/>
      <c r="EV92" s="112"/>
      <c r="EW92" s="112"/>
      <c r="EX92" s="112"/>
      <c r="EY92" s="112"/>
      <c r="EZ92" s="112"/>
      <c r="FA92" s="112"/>
      <c r="FB92" s="112"/>
      <c r="FC92" s="112"/>
      <c r="FD92" s="112"/>
      <c r="FE92" s="112"/>
      <c r="FF92" s="112"/>
      <c r="FG92" s="112"/>
      <c r="FH92" s="112"/>
      <c r="FI92" s="112"/>
      <c r="FJ92" s="112"/>
      <c r="FK92" s="112"/>
      <c r="FL92" s="112"/>
      <c r="FM92" s="112"/>
      <c r="FN92" s="112"/>
      <c r="FO92" s="112"/>
      <c r="FP92" s="112"/>
      <c r="FQ92" s="112"/>
      <c r="FR92" s="112"/>
      <c r="FS92" s="112"/>
      <c r="FT92" s="112"/>
      <c r="FU92" s="112"/>
      <c r="FV92" s="112"/>
      <c r="FW92" s="112"/>
      <c r="FX92" s="112"/>
      <c r="FY92" s="112"/>
      <c r="FZ92" s="112"/>
      <c r="GA92" s="112"/>
      <c r="GB92" s="112"/>
      <c r="GC92" s="112"/>
      <c r="GD92" s="112"/>
      <c r="GE92" s="112"/>
      <c r="GF92" s="112"/>
      <c r="GG92" s="112"/>
      <c r="GH92" s="112"/>
      <c r="GI92" s="112"/>
      <c r="GJ92" s="112"/>
      <c r="GK92" s="112"/>
      <c r="GL92" s="112"/>
      <c r="GM92" s="112"/>
      <c r="GN92" s="112"/>
      <c r="GO92" s="112"/>
      <c r="GP92" s="112"/>
      <c r="GQ92" s="112"/>
      <c r="GR92" s="112">
        <v>275943</v>
      </c>
      <c r="GS92" s="112"/>
      <c r="GT92" s="112"/>
      <c r="GU92" s="112"/>
      <c r="GV92" s="112"/>
      <c r="GW92" s="112"/>
      <c r="GX92" s="112"/>
      <c r="GY92" s="112"/>
      <c r="GZ92" s="112"/>
      <c r="HA92" s="112"/>
      <c r="HB92" s="112"/>
      <c r="HC92" s="112"/>
      <c r="HD92" s="112"/>
      <c r="HE92" s="112"/>
      <c r="HF92" s="112"/>
      <c r="HG92" s="112"/>
      <c r="HH92" s="112"/>
      <c r="HI92" s="112"/>
      <c r="HJ92" s="112"/>
      <c r="HK92" s="112"/>
      <c r="HL92" s="112"/>
      <c r="HM92" s="112"/>
      <c r="HN92" s="112"/>
      <c r="HO92" s="112"/>
      <c r="HP92" s="112"/>
      <c r="HQ92" s="112"/>
      <c r="HR92" s="112"/>
      <c r="HS92" s="112"/>
      <c r="HT92" s="112"/>
      <c r="HU92" s="112"/>
      <c r="HV92" s="112"/>
      <c r="HW92" s="112"/>
      <c r="HX92" s="112"/>
      <c r="HY92" s="112"/>
      <c r="HZ92" s="112"/>
      <c r="IA92" s="112"/>
      <c r="IB92" s="112"/>
      <c r="IC92" s="112"/>
      <c r="ID92" s="112"/>
      <c r="IE92" s="112"/>
      <c r="IF92" s="112"/>
      <c r="IG92" s="112"/>
      <c r="IH92" s="112"/>
      <c r="II92" s="112"/>
      <c r="IJ92" s="112"/>
      <c r="IK92" s="112"/>
      <c r="IL92" s="112"/>
      <c r="IM92" s="112"/>
      <c r="IN92" s="112"/>
      <c r="IO92" s="112"/>
      <c r="IP92" s="112"/>
      <c r="IQ92" s="112"/>
      <c r="IR92" s="112"/>
      <c r="IS92" s="112"/>
      <c r="IT92" s="112"/>
      <c r="IU92" s="112"/>
      <c r="IV92" s="112"/>
      <c r="IW92" s="112"/>
      <c r="IX92" s="112"/>
      <c r="IY92" s="112"/>
      <c r="IZ92" s="112"/>
      <c r="JA92" s="112"/>
      <c r="JB92" s="112"/>
      <c r="JC92" s="112"/>
      <c r="JD92" s="112"/>
      <c r="JE92" s="112"/>
      <c r="JF92" s="112"/>
      <c r="JG92" s="112"/>
      <c r="JH92" s="112"/>
      <c r="JI92" s="107">
        <f t="shared" si="1"/>
        <v>275943</v>
      </c>
      <c r="JJ92" s="297">
        <v>3177</v>
      </c>
      <c r="JK92" s="112"/>
      <c r="JL92" s="112"/>
      <c r="JM92" s="1"/>
      <c r="JN92" s="1"/>
      <c r="JO92" s="1"/>
      <c r="JP92" s="1"/>
    </row>
    <row r="93" spans="1:276" x14ac:dyDescent="0.25">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112"/>
      <c r="BY93" s="112"/>
      <c r="BZ93" s="112"/>
      <c r="CA93" s="112"/>
      <c r="CB93" s="112"/>
      <c r="CC93" s="112"/>
      <c r="CD93" s="112"/>
      <c r="CE93" s="112"/>
      <c r="CF93" s="112"/>
      <c r="CG93" s="112"/>
      <c r="CH93" s="112"/>
      <c r="CI93" s="112"/>
      <c r="CJ93" s="112"/>
      <c r="CK93" s="112"/>
      <c r="CL93" s="112"/>
      <c r="CM93" s="112"/>
      <c r="CN93" s="112"/>
      <c r="CO93" s="112"/>
      <c r="CP93" s="112"/>
      <c r="CQ93" s="112"/>
      <c r="CR93" s="112"/>
      <c r="CS93" s="112"/>
      <c r="CT93" s="112"/>
      <c r="CU93" s="112"/>
      <c r="CV93" s="112"/>
      <c r="CW93" s="112"/>
      <c r="CX93" s="112"/>
      <c r="CY93" s="112"/>
      <c r="CZ93" s="112"/>
      <c r="DA93" s="112"/>
      <c r="DB93" s="112"/>
      <c r="DC93" s="112"/>
      <c r="DD93" s="112"/>
      <c r="DE93" s="112"/>
      <c r="DF93" s="112"/>
      <c r="DG93" s="112"/>
      <c r="DH93" s="112"/>
      <c r="DI93" s="112"/>
      <c r="DJ93" s="112"/>
      <c r="DK93" s="112"/>
      <c r="DL93" s="112"/>
      <c r="DM93" s="112"/>
      <c r="DN93" s="112"/>
      <c r="DO93" s="112"/>
      <c r="DP93" s="112">
        <v>153400.21</v>
      </c>
      <c r="DQ93" s="112"/>
      <c r="DR93" s="112"/>
      <c r="DS93" s="112"/>
      <c r="DT93" s="112"/>
      <c r="DU93" s="112"/>
      <c r="DV93" s="112"/>
      <c r="DW93" s="112"/>
      <c r="DX93" s="112"/>
      <c r="DY93" s="112"/>
      <c r="DZ93" s="112"/>
      <c r="EA93" s="112"/>
      <c r="EB93" s="112"/>
      <c r="EC93" s="112"/>
      <c r="ED93" s="112"/>
      <c r="EE93" s="112"/>
      <c r="EF93" s="112"/>
      <c r="EG93" s="112"/>
      <c r="EH93" s="112"/>
      <c r="EI93" s="112"/>
      <c r="EJ93" s="112"/>
      <c r="EK93" s="112"/>
      <c r="EL93" s="112"/>
      <c r="EM93" s="112"/>
      <c r="EN93" s="112"/>
      <c r="EO93" s="112"/>
      <c r="EP93" s="112"/>
      <c r="EQ93" s="112"/>
      <c r="ER93" s="112"/>
      <c r="ES93" s="112"/>
      <c r="ET93" s="112"/>
      <c r="EU93" s="112"/>
      <c r="EV93" s="112"/>
      <c r="EW93" s="112"/>
      <c r="EX93" s="112"/>
      <c r="EY93" s="112"/>
      <c r="EZ93" s="112"/>
      <c r="FA93" s="112"/>
      <c r="FB93" s="112"/>
      <c r="FC93" s="112"/>
      <c r="FD93" s="112"/>
      <c r="FE93" s="112"/>
      <c r="FF93" s="112"/>
      <c r="FG93" s="112"/>
      <c r="FH93" s="112"/>
      <c r="FI93" s="112"/>
      <c r="FJ93" s="112"/>
      <c r="FK93" s="112"/>
      <c r="FL93" s="112"/>
      <c r="FM93" s="112"/>
      <c r="FN93" s="112"/>
      <c r="FO93" s="112"/>
      <c r="FP93" s="112"/>
      <c r="FQ93" s="112"/>
      <c r="FR93" s="112"/>
      <c r="FS93" s="112"/>
      <c r="FT93" s="112"/>
      <c r="FU93" s="112"/>
      <c r="FV93" s="112"/>
      <c r="FW93" s="112"/>
      <c r="FX93" s="112"/>
      <c r="FY93" s="112"/>
      <c r="FZ93" s="112"/>
      <c r="GA93" s="112"/>
      <c r="GB93" s="112"/>
      <c r="GC93" s="112"/>
      <c r="GD93" s="112"/>
      <c r="GE93" s="112"/>
      <c r="GF93" s="112"/>
      <c r="GG93" s="112"/>
      <c r="GH93" s="112"/>
      <c r="GI93" s="112"/>
      <c r="GJ93" s="112"/>
      <c r="GK93" s="112"/>
      <c r="GL93" s="112"/>
      <c r="GM93" s="112"/>
      <c r="GN93" s="112"/>
      <c r="GO93" s="112"/>
      <c r="GP93" s="112"/>
      <c r="GQ93" s="112"/>
      <c r="GR93" s="112"/>
      <c r="GS93" s="112"/>
      <c r="GT93" s="112"/>
      <c r="GU93" s="112"/>
      <c r="GV93" s="112"/>
      <c r="GW93" s="112"/>
      <c r="GX93" s="112"/>
      <c r="GY93" s="112"/>
      <c r="GZ93" s="112"/>
      <c r="HA93" s="112"/>
      <c r="HB93" s="112"/>
      <c r="HC93" s="112"/>
      <c r="HD93" s="112"/>
      <c r="HE93" s="112"/>
      <c r="HF93" s="112"/>
      <c r="HG93" s="112"/>
      <c r="HH93" s="112"/>
      <c r="HI93" s="112"/>
      <c r="HJ93" s="112"/>
      <c r="HK93" s="112"/>
      <c r="HL93" s="112"/>
      <c r="HM93" s="112"/>
      <c r="HN93" s="112"/>
      <c r="HO93" s="112"/>
      <c r="HP93" s="112"/>
      <c r="HQ93" s="112"/>
      <c r="HR93" s="112"/>
      <c r="HS93" s="112"/>
      <c r="HT93" s="112"/>
      <c r="HU93" s="112"/>
      <c r="HV93" s="112"/>
      <c r="HW93" s="112"/>
      <c r="HX93" s="112"/>
      <c r="HY93" s="112"/>
      <c r="HZ93" s="112"/>
      <c r="IA93" s="112"/>
      <c r="IB93" s="112"/>
      <c r="IC93" s="112"/>
      <c r="ID93" s="112"/>
      <c r="IE93" s="112"/>
      <c r="IF93" s="112"/>
      <c r="IG93" s="112"/>
      <c r="IH93" s="112"/>
      <c r="II93" s="112"/>
      <c r="IJ93" s="112"/>
      <c r="IK93" s="112"/>
      <c r="IL93" s="112"/>
      <c r="IM93" s="112"/>
      <c r="IN93" s="112"/>
      <c r="IO93" s="112"/>
      <c r="IP93" s="112"/>
      <c r="IQ93" s="112"/>
      <c r="IR93" s="112"/>
      <c r="IS93" s="112"/>
      <c r="IT93" s="112"/>
      <c r="IU93" s="112"/>
      <c r="IV93" s="112"/>
      <c r="IW93" s="112"/>
      <c r="IX93" s="112"/>
      <c r="IY93" s="112"/>
      <c r="IZ93" s="112"/>
      <c r="JA93" s="112"/>
      <c r="JB93" s="112"/>
      <c r="JC93" s="112"/>
      <c r="JD93" s="112"/>
      <c r="JE93" s="112"/>
      <c r="JF93" s="112"/>
      <c r="JG93" s="112"/>
      <c r="JH93" s="112"/>
      <c r="JI93" s="107">
        <f t="shared" si="1"/>
        <v>153400.21</v>
      </c>
      <c r="JJ93" s="297">
        <v>3180</v>
      </c>
      <c r="JK93" s="112"/>
      <c r="JL93" s="112"/>
      <c r="JM93" s="1"/>
      <c r="JN93" s="1"/>
      <c r="JO93" s="1"/>
      <c r="JP93" s="1"/>
    </row>
    <row r="94" spans="1:276" x14ac:dyDescent="0.25">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12"/>
      <c r="BY94" s="112"/>
      <c r="BZ94" s="112"/>
      <c r="CA94" s="112"/>
      <c r="CB94" s="112"/>
      <c r="CC94" s="112"/>
      <c r="CD94" s="112"/>
      <c r="CE94" s="112"/>
      <c r="CF94" s="112"/>
      <c r="CG94" s="112"/>
      <c r="CH94" s="112"/>
      <c r="CI94" s="112"/>
      <c r="CJ94" s="112"/>
      <c r="CK94" s="112"/>
      <c r="CL94" s="112"/>
      <c r="CM94" s="112"/>
      <c r="CN94" s="112"/>
      <c r="CO94" s="112"/>
      <c r="CP94" s="112"/>
      <c r="CQ94" s="112"/>
      <c r="CR94" s="112"/>
      <c r="CS94" s="112"/>
      <c r="CT94" s="112"/>
      <c r="CU94" s="112"/>
      <c r="CV94" s="112"/>
      <c r="CW94" s="112"/>
      <c r="CX94" s="112"/>
      <c r="CY94" s="112"/>
      <c r="CZ94" s="112"/>
      <c r="DA94" s="112"/>
      <c r="DB94" s="112"/>
      <c r="DC94" s="112"/>
      <c r="DD94" s="112"/>
      <c r="DE94" s="112"/>
      <c r="DF94" s="112"/>
      <c r="DG94" s="112"/>
      <c r="DH94" s="112"/>
      <c r="DI94" s="112"/>
      <c r="DJ94" s="112"/>
      <c r="DK94" s="112"/>
      <c r="DL94" s="112"/>
      <c r="DM94" s="112"/>
      <c r="DN94" s="112"/>
      <c r="DO94" s="112"/>
      <c r="DP94" s="112"/>
      <c r="DQ94" s="112"/>
      <c r="DR94" s="112"/>
      <c r="DS94" s="112"/>
      <c r="DT94" s="112"/>
      <c r="DU94" s="112"/>
      <c r="DV94" s="112"/>
      <c r="DW94" s="112"/>
      <c r="DX94" s="112"/>
      <c r="DY94" s="112"/>
      <c r="DZ94" s="112"/>
      <c r="EA94" s="112"/>
      <c r="EB94" s="112"/>
      <c r="EC94" s="112"/>
      <c r="ED94" s="112"/>
      <c r="EE94" s="112"/>
      <c r="EF94" s="112"/>
      <c r="EG94" s="112"/>
      <c r="EH94" s="112"/>
      <c r="EI94" s="112"/>
      <c r="EJ94" s="112"/>
      <c r="EK94" s="112"/>
      <c r="EL94" s="112"/>
      <c r="EM94" s="112"/>
      <c r="EN94" s="112"/>
      <c r="EO94" s="112"/>
      <c r="EP94" s="112"/>
      <c r="EQ94" s="112"/>
      <c r="ER94" s="112"/>
      <c r="ES94" s="112"/>
      <c r="ET94" s="112"/>
      <c r="EU94" s="112"/>
      <c r="EV94" s="112"/>
      <c r="EW94" s="112"/>
      <c r="EX94" s="112"/>
      <c r="EY94" s="112"/>
      <c r="EZ94" s="112"/>
      <c r="FA94" s="112"/>
      <c r="FB94" s="112"/>
      <c r="FC94" s="112"/>
      <c r="FD94" s="112"/>
      <c r="FE94" s="112"/>
      <c r="FF94" s="112"/>
      <c r="FG94" s="112"/>
      <c r="FH94" s="112"/>
      <c r="FI94" s="112"/>
      <c r="FJ94" s="112"/>
      <c r="FK94" s="112"/>
      <c r="FL94" s="112"/>
      <c r="FM94" s="112"/>
      <c r="FN94" s="112"/>
      <c r="FO94" s="112"/>
      <c r="FP94" s="112"/>
      <c r="FQ94" s="112"/>
      <c r="FR94" s="112"/>
      <c r="FS94" s="112">
        <v>6844</v>
      </c>
      <c r="FT94" s="112"/>
      <c r="FU94" s="112"/>
      <c r="FV94" s="112"/>
      <c r="FW94" s="112"/>
      <c r="FX94" s="112"/>
      <c r="FY94" s="112"/>
      <c r="FZ94" s="112"/>
      <c r="GA94" s="112"/>
      <c r="GB94" s="112"/>
      <c r="GC94" s="112"/>
      <c r="GD94" s="112"/>
      <c r="GE94" s="112"/>
      <c r="GF94" s="112"/>
      <c r="GG94" s="112"/>
      <c r="GH94" s="112"/>
      <c r="GI94" s="112"/>
      <c r="GJ94" s="112"/>
      <c r="GK94" s="112"/>
      <c r="GL94" s="112"/>
      <c r="GM94" s="112"/>
      <c r="GN94" s="112"/>
      <c r="GO94" s="112"/>
      <c r="GP94" s="112"/>
      <c r="GQ94" s="112"/>
      <c r="GR94" s="112"/>
      <c r="GS94" s="112"/>
      <c r="GT94" s="112"/>
      <c r="GU94" s="112"/>
      <c r="GV94" s="112"/>
      <c r="GW94" s="112"/>
      <c r="GX94" s="112"/>
      <c r="GY94" s="112"/>
      <c r="GZ94" s="112"/>
      <c r="HA94" s="112"/>
      <c r="HB94" s="112"/>
      <c r="HC94" s="112"/>
      <c r="HD94" s="112"/>
      <c r="HE94" s="112"/>
      <c r="HF94" s="112"/>
      <c r="HG94" s="112"/>
      <c r="HH94" s="112"/>
      <c r="HI94" s="112"/>
      <c r="HJ94" s="112"/>
      <c r="HK94" s="112"/>
      <c r="HL94" s="112"/>
      <c r="HM94" s="112"/>
      <c r="HN94" s="112"/>
      <c r="HO94" s="112"/>
      <c r="HP94" s="112"/>
      <c r="HQ94" s="112"/>
      <c r="HR94" s="112"/>
      <c r="HS94" s="112"/>
      <c r="HT94" s="112"/>
      <c r="HU94" s="112"/>
      <c r="HV94" s="112"/>
      <c r="HW94" s="112"/>
      <c r="HX94" s="112"/>
      <c r="HY94" s="112"/>
      <c r="HZ94" s="112"/>
      <c r="IA94" s="112"/>
      <c r="IB94" s="112"/>
      <c r="IC94" s="112"/>
      <c r="ID94" s="112"/>
      <c r="IE94" s="112"/>
      <c r="IF94" s="112"/>
      <c r="IG94" s="112"/>
      <c r="IH94" s="112"/>
      <c r="II94" s="112"/>
      <c r="IJ94" s="112"/>
      <c r="IK94" s="112"/>
      <c r="IL94" s="112"/>
      <c r="IM94" s="112"/>
      <c r="IN94" s="112"/>
      <c r="IO94" s="112"/>
      <c r="IP94" s="112"/>
      <c r="IQ94" s="112"/>
      <c r="IR94" s="112"/>
      <c r="IS94" s="112"/>
      <c r="IT94" s="112"/>
      <c r="IU94" s="112"/>
      <c r="IV94" s="112"/>
      <c r="IW94" s="112"/>
      <c r="IX94" s="112"/>
      <c r="IY94" s="112"/>
      <c r="IZ94" s="112"/>
      <c r="JA94" s="112"/>
      <c r="JB94" s="112"/>
      <c r="JC94" s="112"/>
      <c r="JD94" s="112"/>
      <c r="JE94" s="112"/>
      <c r="JF94" s="112"/>
      <c r="JG94" s="112"/>
      <c r="JH94" s="112"/>
      <c r="JI94" s="107">
        <f t="shared" si="1"/>
        <v>6844</v>
      </c>
      <c r="JJ94" s="297">
        <v>3187</v>
      </c>
      <c r="JK94" s="112"/>
      <c r="JL94" s="112"/>
      <c r="JM94" s="1"/>
      <c r="JN94" s="1"/>
      <c r="JO94" s="1"/>
      <c r="JP94" s="1"/>
    </row>
    <row r="95" spans="1:276" x14ac:dyDescent="0.25">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12"/>
      <c r="BY95" s="112"/>
      <c r="BZ95" s="112"/>
      <c r="CA95" s="112"/>
      <c r="CB95" s="112"/>
      <c r="CC95" s="112"/>
      <c r="CD95" s="112"/>
      <c r="CE95" s="112"/>
      <c r="CF95" s="112"/>
      <c r="CG95" s="112"/>
      <c r="CH95" s="112"/>
      <c r="CI95" s="112"/>
      <c r="CJ95" s="112"/>
      <c r="CK95" s="112"/>
      <c r="CL95" s="112"/>
      <c r="CM95" s="112"/>
      <c r="CN95" s="112"/>
      <c r="CO95" s="112"/>
      <c r="CP95" s="112"/>
      <c r="CQ95" s="112"/>
      <c r="CR95" s="112"/>
      <c r="CS95" s="112"/>
      <c r="CT95" s="112"/>
      <c r="CU95" s="112"/>
      <c r="CV95" s="112"/>
      <c r="CW95" s="112"/>
      <c r="CX95" s="112"/>
      <c r="CY95" s="112"/>
      <c r="CZ95" s="112"/>
      <c r="DA95" s="112"/>
      <c r="DB95" s="112"/>
      <c r="DC95" s="112"/>
      <c r="DD95" s="112"/>
      <c r="DE95" s="112"/>
      <c r="DF95" s="112"/>
      <c r="DG95" s="112"/>
      <c r="DH95" s="112"/>
      <c r="DI95" s="112"/>
      <c r="DJ95" s="112"/>
      <c r="DK95" s="112"/>
      <c r="DL95" s="112"/>
      <c r="DM95" s="112"/>
      <c r="DN95" s="112"/>
      <c r="DO95" s="112"/>
      <c r="DP95" s="112"/>
      <c r="DQ95" s="112"/>
      <c r="DR95" s="112"/>
      <c r="DS95" s="112"/>
      <c r="DT95" s="112"/>
      <c r="DU95" s="112"/>
      <c r="DV95" s="112"/>
      <c r="DW95" s="112"/>
      <c r="DX95" s="112"/>
      <c r="DY95" s="112"/>
      <c r="DZ95" s="112"/>
      <c r="EA95" s="112"/>
      <c r="EB95" s="112"/>
      <c r="EC95" s="112"/>
      <c r="ED95" s="112"/>
      <c r="EE95" s="112"/>
      <c r="EF95" s="112"/>
      <c r="EG95" s="112"/>
      <c r="EH95" s="112"/>
      <c r="EI95" s="112"/>
      <c r="EJ95" s="112"/>
      <c r="EK95" s="112"/>
      <c r="EL95" s="112"/>
      <c r="EM95" s="112"/>
      <c r="EN95" s="112"/>
      <c r="EO95" s="112"/>
      <c r="EP95" s="112"/>
      <c r="EQ95" s="112"/>
      <c r="ER95" s="112"/>
      <c r="ES95" s="112"/>
      <c r="ET95" s="112"/>
      <c r="EU95" s="112"/>
      <c r="EV95" s="112"/>
      <c r="EW95" s="112"/>
      <c r="EX95" s="112"/>
      <c r="EY95" s="112"/>
      <c r="EZ95" s="112"/>
      <c r="FA95" s="112"/>
      <c r="FB95" s="112"/>
      <c r="FC95" s="112"/>
      <c r="FD95" s="112"/>
      <c r="FE95" s="112"/>
      <c r="FF95" s="112"/>
      <c r="FG95" s="112"/>
      <c r="FH95" s="112"/>
      <c r="FI95" s="112"/>
      <c r="FJ95" s="112"/>
      <c r="FK95" s="112"/>
      <c r="FL95" s="112"/>
      <c r="FM95" s="112"/>
      <c r="FN95" s="112"/>
      <c r="FO95" s="112"/>
      <c r="FP95" s="112"/>
      <c r="FQ95" s="112">
        <v>40415</v>
      </c>
      <c r="FR95" s="112"/>
      <c r="FS95" s="112"/>
      <c r="FT95" s="112"/>
      <c r="FU95" s="112"/>
      <c r="FV95" s="112"/>
      <c r="FW95" s="112"/>
      <c r="FX95" s="112"/>
      <c r="FY95" s="112"/>
      <c r="FZ95" s="112"/>
      <c r="GA95" s="112"/>
      <c r="GB95" s="112"/>
      <c r="GC95" s="112"/>
      <c r="GD95" s="112"/>
      <c r="GE95" s="112"/>
      <c r="GF95" s="112"/>
      <c r="GG95" s="112"/>
      <c r="GH95" s="112"/>
      <c r="GI95" s="112"/>
      <c r="GJ95" s="112"/>
      <c r="GK95" s="112"/>
      <c r="GL95" s="112"/>
      <c r="GM95" s="112"/>
      <c r="GN95" s="112"/>
      <c r="GO95" s="112"/>
      <c r="GP95" s="112"/>
      <c r="GQ95" s="112"/>
      <c r="GR95" s="112"/>
      <c r="GS95" s="112"/>
      <c r="GT95" s="112"/>
      <c r="GU95" s="112"/>
      <c r="GV95" s="112"/>
      <c r="GW95" s="112"/>
      <c r="GX95" s="112"/>
      <c r="GY95" s="112"/>
      <c r="GZ95" s="112"/>
      <c r="HA95" s="112"/>
      <c r="HB95" s="112"/>
      <c r="HC95" s="112"/>
      <c r="HD95" s="112"/>
      <c r="HE95" s="112"/>
      <c r="HF95" s="112"/>
      <c r="HG95" s="112"/>
      <c r="HH95" s="112"/>
      <c r="HI95" s="112"/>
      <c r="HJ95" s="112"/>
      <c r="HK95" s="112"/>
      <c r="HL95" s="112"/>
      <c r="HM95" s="112"/>
      <c r="HN95" s="112"/>
      <c r="HO95" s="112"/>
      <c r="HP95" s="112"/>
      <c r="HQ95" s="112"/>
      <c r="HR95" s="112"/>
      <c r="HS95" s="112"/>
      <c r="HT95" s="112"/>
      <c r="HU95" s="112"/>
      <c r="HV95" s="112"/>
      <c r="HW95" s="112"/>
      <c r="HX95" s="112"/>
      <c r="HY95" s="112"/>
      <c r="HZ95" s="112"/>
      <c r="IA95" s="112"/>
      <c r="IB95" s="112"/>
      <c r="IC95" s="112"/>
      <c r="ID95" s="112"/>
      <c r="IE95" s="112"/>
      <c r="IF95" s="112"/>
      <c r="IG95" s="112"/>
      <c r="IH95" s="112"/>
      <c r="II95" s="112"/>
      <c r="IJ95" s="112"/>
      <c r="IK95" s="112"/>
      <c r="IL95" s="112"/>
      <c r="IM95" s="112"/>
      <c r="IN95" s="112"/>
      <c r="IO95" s="112"/>
      <c r="IP95" s="112"/>
      <c r="IQ95" s="112"/>
      <c r="IR95" s="112"/>
      <c r="IS95" s="112"/>
      <c r="IT95" s="112"/>
      <c r="IU95" s="112"/>
      <c r="IV95" s="112"/>
      <c r="IW95" s="112"/>
      <c r="IX95" s="112"/>
      <c r="IY95" s="112"/>
      <c r="IZ95" s="112"/>
      <c r="JA95" s="112"/>
      <c r="JB95" s="112"/>
      <c r="JC95" s="112"/>
      <c r="JD95" s="112"/>
      <c r="JE95" s="112"/>
      <c r="JF95" s="112"/>
      <c r="JG95" s="112"/>
      <c r="JH95" s="112"/>
      <c r="JI95" s="107">
        <f t="shared" si="1"/>
        <v>40415</v>
      </c>
      <c r="JJ95" s="297">
        <v>3192</v>
      </c>
      <c r="JK95" s="112"/>
      <c r="JL95" s="112"/>
      <c r="JM95" s="1"/>
      <c r="JN95" s="1"/>
      <c r="JO95" s="1"/>
      <c r="JP95" s="1"/>
    </row>
    <row r="96" spans="1:276" x14ac:dyDescent="0.25">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12"/>
      <c r="CA96" s="112"/>
      <c r="CB96" s="112"/>
      <c r="CC96" s="112"/>
      <c r="CD96" s="112"/>
      <c r="CE96" s="112"/>
      <c r="CF96" s="112"/>
      <c r="CG96" s="112"/>
      <c r="CH96" s="112"/>
      <c r="CI96" s="112"/>
      <c r="CJ96" s="112"/>
      <c r="CK96" s="112"/>
      <c r="CL96" s="112"/>
      <c r="CM96" s="112"/>
      <c r="CN96" s="112"/>
      <c r="CO96" s="112"/>
      <c r="CP96" s="112"/>
      <c r="CQ96" s="112"/>
      <c r="CR96" s="112"/>
      <c r="CS96" s="112"/>
      <c r="CT96" s="112"/>
      <c r="CU96" s="112"/>
      <c r="CV96" s="112"/>
      <c r="CW96" s="112"/>
      <c r="CX96" s="112"/>
      <c r="CY96" s="112"/>
      <c r="CZ96" s="112"/>
      <c r="DA96" s="112"/>
      <c r="DB96" s="112"/>
      <c r="DC96" s="112"/>
      <c r="DD96" s="112"/>
      <c r="DE96" s="112"/>
      <c r="DF96" s="112"/>
      <c r="DG96" s="112"/>
      <c r="DH96" s="112"/>
      <c r="DI96" s="112"/>
      <c r="DJ96" s="112"/>
      <c r="DK96" s="112"/>
      <c r="DL96" s="112"/>
      <c r="DM96" s="112"/>
      <c r="DN96" s="112"/>
      <c r="DO96" s="112"/>
      <c r="DP96" s="112"/>
      <c r="DQ96" s="112"/>
      <c r="DR96" s="112"/>
      <c r="DS96" s="112"/>
      <c r="DT96" s="112"/>
      <c r="DU96" s="112"/>
      <c r="DV96" s="112"/>
      <c r="DW96" s="112"/>
      <c r="DX96" s="112"/>
      <c r="DY96" s="112"/>
      <c r="DZ96" s="112"/>
      <c r="EA96" s="112"/>
      <c r="EB96" s="112"/>
      <c r="EC96" s="112"/>
      <c r="ED96" s="112"/>
      <c r="EE96" s="112"/>
      <c r="EF96" s="112"/>
      <c r="EG96" s="112"/>
      <c r="EH96" s="112"/>
      <c r="EI96" s="112"/>
      <c r="EJ96" s="112"/>
      <c r="EK96" s="112"/>
      <c r="EL96" s="112"/>
      <c r="EM96" s="112"/>
      <c r="EN96" s="112"/>
      <c r="EO96" s="112"/>
      <c r="EP96" s="112"/>
      <c r="EQ96" s="112"/>
      <c r="ER96" s="112"/>
      <c r="ES96" s="112"/>
      <c r="ET96" s="112"/>
      <c r="EU96" s="112"/>
      <c r="EV96" s="112"/>
      <c r="EW96" s="112"/>
      <c r="EX96" s="112"/>
      <c r="EY96" s="112"/>
      <c r="EZ96" s="112"/>
      <c r="FA96" s="112"/>
      <c r="FB96" s="112"/>
      <c r="FC96" s="112"/>
      <c r="FD96" s="112"/>
      <c r="FE96" s="112"/>
      <c r="FF96" s="112"/>
      <c r="FG96" s="112"/>
      <c r="FH96" s="112"/>
      <c r="FI96" s="112"/>
      <c r="FJ96" s="112"/>
      <c r="FK96" s="112"/>
      <c r="FL96" s="112"/>
      <c r="FM96" s="112"/>
      <c r="FN96" s="112"/>
      <c r="FO96" s="112"/>
      <c r="FP96" s="112"/>
      <c r="FQ96" s="112">
        <v>231988</v>
      </c>
      <c r="FR96" s="112"/>
      <c r="FS96" s="112"/>
      <c r="FT96" s="112"/>
      <c r="FU96" s="112"/>
      <c r="FV96" s="112"/>
      <c r="FW96" s="112"/>
      <c r="FX96" s="112"/>
      <c r="FY96" s="112"/>
      <c r="FZ96" s="112"/>
      <c r="GA96" s="112"/>
      <c r="GB96" s="112"/>
      <c r="GC96" s="112"/>
      <c r="GD96" s="112"/>
      <c r="GE96" s="112"/>
      <c r="GF96" s="112"/>
      <c r="GG96" s="112"/>
      <c r="GH96" s="112"/>
      <c r="GI96" s="112"/>
      <c r="GJ96" s="112"/>
      <c r="GK96" s="112"/>
      <c r="GL96" s="112"/>
      <c r="GM96" s="112"/>
      <c r="GN96" s="112"/>
      <c r="GO96" s="112"/>
      <c r="GP96" s="112"/>
      <c r="GQ96" s="112"/>
      <c r="GR96" s="112"/>
      <c r="GS96" s="112"/>
      <c r="GT96" s="112"/>
      <c r="GU96" s="112"/>
      <c r="GV96" s="112"/>
      <c r="GW96" s="112"/>
      <c r="GX96" s="112"/>
      <c r="GY96" s="112"/>
      <c r="GZ96" s="112"/>
      <c r="HA96" s="112"/>
      <c r="HB96" s="112"/>
      <c r="HC96" s="112"/>
      <c r="HD96" s="112"/>
      <c r="HE96" s="112"/>
      <c r="HF96" s="112"/>
      <c r="HG96" s="112"/>
      <c r="HH96" s="112"/>
      <c r="HI96" s="112"/>
      <c r="HJ96" s="112"/>
      <c r="HK96" s="112"/>
      <c r="HL96" s="112"/>
      <c r="HM96" s="112"/>
      <c r="HN96" s="112"/>
      <c r="HO96" s="112"/>
      <c r="HP96" s="112"/>
      <c r="HQ96" s="112"/>
      <c r="HR96" s="112"/>
      <c r="HS96" s="112"/>
      <c r="HT96" s="112"/>
      <c r="HU96" s="112"/>
      <c r="HV96" s="112"/>
      <c r="HW96" s="112"/>
      <c r="HX96" s="112"/>
      <c r="HY96" s="112"/>
      <c r="HZ96" s="112"/>
      <c r="IA96" s="112"/>
      <c r="IB96" s="112"/>
      <c r="IC96" s="112"/>
      <c r="ID96" s="112"/>
      <c r="IE96" s="112"/>
      <c r="IF96" s="112"/>
      <c r="IG96" s="112"/>
      <c r="IH96" s="112"/>
      <c r="II96" s="112"/>
      <c r="IJ96" s="112"/>
      <c r="IK96" s="112"/>
      <c r="IL96" s="112"/>
      <c r="IM96" s="112"/>
      <c r="IN96" s="112"/>
      <c r="IO96" s="112"/>
      <c r="IP96" s="112"/>
      <c r="IQ96" s="112"/>
      <c r="IR96" s="112"/>
      <c r="IS96" s="112"/>
      <c r="IT96" s="112"/>
      <c r="IU96" s="112"/>
      <c r="IV96" s="112"/>
      <c r="IW96" s="112"/>
      <c r="IX96" s="112"/>
      <c r="IY96" s="112"/>
      <c r="IZ96" s="112"/>
      <c r="JA96" s="112"/>
      <c r="JB96" s="112"/>
      <c r="JC96" s="112"/>
      <c r="JD96" s="112"/>
      <c r="JE96" s="112"/>
      <c r="JF96" s="112"/>
      <c r="JG96" s="112"/>
      <c r="JH96" s="112"/>
      <c r="JI96" s="107">
        <f t="shared" si="1"/>
        <v>231988</v>
      </c>
      <c r="JJ96" s="297">
        <v>3195</v>
      </c>
      <c r="JK96" s="112"/>
      <c r="JL96" s="112"/>
      <c r="JM96" s="1"/>
      <c r="JN96" s="1"/>
      <c r="JO96" s="1"/>
      <c r="JP96" s="1"/>
    </row>
    <row r="97" spans="1:276" x14ac:dyDescent="0.25">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7"/>
      <c r="DK97" s="107"/>
      <c r="DL97" s="107"/>
      <c r="DM97" s="107"/>
      <c r="DN97" s="107"/>
      <c r="DO97" s="107"/>
      <c r="DP97" s="107"/>
      <c r="DQ97" s="107"/>
      <c r="DR97" s="107"/>
      <c r="DS97" s="107"/>
      <c r="DT97" s="107"/>
      <c r="DU97" s="107"/>
      <c r="DV97" s="107"/>
      <c r="DW97" s="107"/>
      <c r="DX97" s="107"/>
      <c r="DY97" s="107"/>
      <c r="DZ97" s="107"/>
      <c r="EA97" s="107"/>
      <c r="EB97" s="107"/>
      <c r="EC97" s="107"/>
      <c r="ED97" s="107"/>
      <c r="EE97" s="107"/>
      <c r="EF97" s="107"/>
      <c r="EG97" s="107"/>
      <c r="EH97" s="107"/>
      <c r="EI97" s="107"/>
      <c r="EJ97" s="107"/>
      <c r="EK97" s="107"/>
      <c r="EL97" s="107"/>
      <c r="EM97" s="107"/>
      <c r="EN97" s="107"/>
      <c r="EO97" s="107"/>
      <c r="EP97" s="107"/>
      <c r="EQ97" s="107"/>
      <c r="ER97" s="107"/>
      <c r="ES97" s="107"/>
      <c r="ET97" s="107"/>
      <c r="EU97" s="107"/>
      <c r="EV97" s="107"/>
      <c r="EW97" s="107"/>
      <c r="EX97" s="107"/>
      <c r="EY97" s="107"/>
      <c r="EZ97" s="107"/>
      <c r="FA97" s="107"/>
      <c r="FB97" s="107"/>
      <c r="FC97" s="107"/>
      <c r="FD97" s="107"/>
      <c r="FE97" s="107"/>
      <c r="FF97" s="107"/>
      <c r="FG97" s="107"/>
      <c r="FH97" s="107"/>
      <c r="FI97" s="107"/>
      <c r="FJ97" s="107"/>
      <c r="FK97" s="107"/>
      <c r="FL97" s="107"/>
      <c r="FM97" s="107"/>
      <c r="FN97" s="107"/>
      <c r="FO97" s="107"/>
      <c r="FP97" s="107"/>
      <c r="FQ97" s="107"/>
      <c r="FR97" s="107"/>
      <c r="FS97" s="107"/>
      <c r="FT97" s="107"/>
      <c r="FU97" s="107"/>
      <c r="FV97" s="107"/>
      <c r="FW97" s="107"/>
      <c r="FX97" s="107"/>
      <c r="FY97" s="107"/>
      <c r="FZ97" s="107"/>
      <c r="GA97" s="107"/>
      <c r="GB97" s="107"/>
      <c r="GC97" s="107"/>
      <c r="GD97" s="107"/>
      <c r="GE97" s="107"/>
      <c r="GF97" s="107"/>
      <c r="GG97" s="107"/>
      <c r="GH97" s="107">
        <v>55696</v>
      </c>
      <c r="GI97" s="107"/>
      <c r="GJ97" s="107"/>
      <c r="GK97" s="107">
        <v>44604</v>
      </c>
      <c r="GL97" s="107"/>
      <c r="GM97" s="107"/>
      <c r="GN97" s="107"/>
      <c r="GO97" s="107"/>
      <c r="GP97" s="107"/>
      <c r="GQ97" s="107"/>
      <c r="GR97" s="107"/>
      <c r="GS97" s="107"/>
      <c r="GT97" s="107"/>
      <c r="GU97" s="107"/>
      <c r="GV97" s="107"/>
      <c r="GW97" s="107"/>
      <c r="GX97" s="107"/>
      <c r="GY97" s="107"/>
      <c r="GZ97" s="107"/>
      <c r="HA97" s="107"/>
      <c r="HB97" s="107"/>
      <c r="HC97" s="107"/>
      <c r="HD97" s="107"/>
      <c r="HE97" s="107"/>
      <c r="HF97" s="107"/>
      <c r="HG97" s="107"/>
      <c r="HH97" s="107"/>
      <c r="HI97" s="107"/>
      <c r="HJ97" s="107"/>
      <c r="HK97" s="107"/>
      <c r="HL97" s="107"/>
      <c r="HM97" s="107"/>
      <c r="HN97" s="107"/>
      <c r="HO97" s="107"/>
      <c r="HP97" s="107"/>
      <c r="HQ97" s="107"/>
      <c r="HR97" s="107"/>
      <c r="HS97" s="107"/>
      <c r="HT97" s="107"/>
      <c r="HU97" s="107"/>
      <c r="HV97" s="107"/>
      <c r="HW97" s="107"/>
      <c r="HX97" s="107"/>
      <c r="HY97" s="107"/>
      <c r="HZ97" s="107"/>
      <c r="IA97" s="107"/>
      <c r="IB97" s="107"/>
      <c r="IC97" s="107"/>
      <c r="ID97" s="107"/>
      <c r="IE97" s="107"/>
      <c r="IF97" s="107"/>
      <c r="IG97" s="107"/>
      <c r="IH97" s="107"/>
      <c r="II97" s="107"/>
      <c r="IJ97" s="107"/>
      <c r="IK97" s="107"/>
      <c r="IL97" s="107"/>
      <c r="IM97" s="107"/>
      <c r="IN97" s="107"/>
      <c r="IO97" s="107"/>
      <c r="IP97" s="107"/>
      <c r="IQ97" s="107"/>
      <c r="IR97" s="107"/>
      <c r="IS97" s="107"/>
      <c r="IT97" s="107"/>
      <c r="IU97" s="107"/>
      <c r="IV97" s="107"/>
      <c r="IW97" s="107"/>
      <c r="IX97" s="107"/>
      <c r="IY97" s="107"/>
      <c r="IZ97" s="107"/>
      <c r="JA97" s="107"/>
      <c r="JB97" s="107"/>
      <c r="JC97" s="107"/>
      <c r="JD97" s="107"/>
      <c r="JE97" s="107"/>
      <c r="JF97" s="107"/>
      <c r="JG97" s="107"/>
      <c r="JH97" s="107"/>
      <c r="JI97" s="107">
        <f t="shared" ref="JI97:JI98" si="2">SUM(A97:JH97)</f>
        <v>100300</v>
      </c>
      <c r="JJ97" s="297">
        <v>3205</v>
      </c>
      <c r="JK97" s="112"/>
      <c r="JL97" s="112"/>
      <c r="JM97" s="1"/>
      <c r="JN97" s="1"/>
      <c r="JO97" s="1"/>
      <c r="JP97" s="1"/>
    </row>
    <row r="98" spans="1:276" ht="15.75" x14ac:dyDescent="0.25">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0"/>
      <c r="AE98" s="250"/>
      <c r="AF98" s="250"/>
      <c r="AG98" s="250"/>
      <c r="AH98" s="250"/>
      <c r="AI98" s="250"/>
      <c r="AJ98" s="250"/>
      <c r="AK98" s="250"/>
      <c r="AL98" s="250"/>
      <c r="AM98" s="250"/>
      <c r="AN98" s="250"/>
      <c r="AO98" s="250"/>
      <c r="AP98" s="250"/>
      <c r="AQ98" s="250"/>
      <c r="AR98" s="250"/>
      <c r="AS98" s="250"/>
      <c r="AT98" s="250"/>
      <c r="AU98" s="250"/>
      <c r="AV98" s="250"/>
      <c r="AW98" s="250"/>
      <c r="AX98" s="250"/>
      <c r="AY98" s="250"/>
      <c r="AZ98" s="250"/>
      <c r="BA98" s="250"/>
      <c r="BB98" s="250"/>
      <c r="BC98" s="250"/>
      <c r="BD98" s="250"/>
      <c r="BE98" s="250"/>
      <c r="BF98" s="250"/>
      <c r="BG98" s="250"/>
      <c r="BH98" s="250"/>
      <c r="BI98" s="250"/>
      <c r="BJ98" s="250"/>
      <c r="BK98" s="250"/>
      <c r="BL98" s="250"/>
      <c r="BM98" s="250"/>
      <c r="BN98" s="250"/>
      <c r="BO98" s="250"/>
      <c r="BP98" s="250"/>
      <c r="BQ98" s="250"/>
      <c r="BR98" s="250"/>
      <c r="BS98" s="250"/>
      <c r="BT98" s="250"/>
      <c r="BU98" s="250"/>
      <c r="BV98" s="250"/>
      <c r="BW98" s="250"/>
      <c r="BX98" s="250"/>
      <c r="BY98" s="250"/>
      <c r="BZ98" s="250"/>
      <c r="CA98" s="250"/>
      <c r="CB98" s="250"/>
      <c r="CC98" s="250"/>
      <c r="CD98" s="250"/>
      <c r="CE98" s="250"/>
      <c r="CF98" s="250"/>
      <c r="CG98" s="250"/>
      <c r="CH98" s="250"/>
      <c r="CI98" s="250"/>
      <c r="CJ98" s="250"/>
      <c r="CK98" s="250"/>
      <c r="CL98" s="250"/>
      <c r="CM98" s="250"/>
      <c r="CN98" s="250"/>
      <c r="CO98" s="250"/>
      <c r="CP98" s="250"/>
      <c r="CQ98" s="250"/>
      <c r="CR98" s="250"/>
      <c r="CS98" s="250"/>
      <c r="CT98" s="250"/>
      <c r="CU98" s="250"/>
      <c r="CV98" s="250"/>
      <c r="CW98" s="250"/>
      <c r="CX98" s="250"/>
      <c r="CY98" s="250"/>
      <c r="CZ98" s="250"/>
      <c r="DA98" s="250"/>
      <c r="DB98" s="250"/>
      <c r="DC98" s="250"/>
      <c r="DD98" s="250"/>
      <c r="DE98" s="250"/>
      <c r="DF98" s="250"/>
      <c r="DG98" s="250"/>
      <c r="DH98" s="250"/>
      <c r="DI98" s="250"/>
      <c r="DJ98" s="250"/>
      <c r="DK98" s="250"/>
      <c r="DL98" s="250"/>
      <c r="DM98" s="250"/>
      <c r="DN98" s="250"/>
      <c r="DO98" s="250"/>
      <c r="DP98" s="250"/>
      <c r="DQ98" s="250"/>
      <c r="DR98" s="250"/>
      <c r="DS98" s="250"/>
      <c r="DT98" s="250"/>
      <c r="DU98" s="250"/>
      <c r="DV98" s="250"/>
      <c r="DW98" s="250"/>
      <c r="DX98" s="250"/>
      <c r="DY98" s="250"/>
      <c r="DZ98" s="250"/>
      <c r="EA98" s="250"/>
      <c r="EB98" s="250"/>
      <c r="EC98" s="250"/>
      <c r="ED98" s="250"/>
      <c r="EE98" s="250"/>
      <c r="EF98" s="250"/>
      <c r="EG98" s="250"/>
      <c r="EH98" s="250"/>
      <c r="EI98" s="250"/>
      <c r="EJ98" s="250"/>
      <c r="EK98" s="250"/>
      <c r="EL98" s="250"/>
      <c r="EM98" s="250"/>
      <c r="EN98" s="250"/>
      <c r="EO98" s="250"/>
      <c r="EP98" s="250"/>
      <c r="EQ98" s="250"/>
      <c r="ER98" s="250"/>
      <c r="ES98" s="250"/>
      <c r="ET98" s="250"/>
      <c r="EU98" s="250"/>
      <c r="EV98" s="250"/>
      <c r="EW98" s="250"/>
      <c r="EX98" s="250"/>
      <c r="EY98" s="250"/>
      <c r="EZ98" s="250"/>
      <c r="FA98" s="250"/>
      <c r="FB98" s="250"/>
      <c r="FC98" s="250"/>
      <c r="FD98" s="250"/>
      <c r="FE98" s="250"/>
      <c r="FF98" s="250"/>
      <c r="FG98" s="250"/>
      <c r="FH98" s="250"/>
      <c r="FI98" s="250"/>
      <c r="FJ98" s="250"/>
      <c r="FK98" s="250"/>
      <c r="FL98" s="250"/>
      <c r="FM98" s="250"/>
      <c r="FN98" s="250"/>
      <c r="FO98" s="250"/>
      <c r="FP98" s="250"/>
      <c r="FQ98" s="250"/>
      <c r="FR98" s="250"/>
      <c r="FS98" s="250"/>
      <c r="FT98" s="250"/>
      <c r="FU98" s="250"/>
      <c r="FV98" s="250">
        <v>8684.7999999999993</v>
      </c>
      <c r="FW98" s="250"/>
      <c r="FX98" s="250"/>
      <c r="FY98" s="250"/>
      <c r="FZ98" s="250"/>
      <c r="GA98" s="250"/>
      <c r="GB98" s="250"/>
      <c r="GC98" s="250"/>
      <c r="GD98" s="250"/>
      <c r="GE98" s="250"/>
      <c r="GF98" s="250"/>
      <c r="GG98" s="250"/>
      <c r="GH98" s="250"/>
      <c r="GI98" s="250"/>
      <c r="GJ98" s="250"/>
      <c r="GK98" s="250"/>
      <c r="GL98" s="250"/>
      <c r="GM98" s="250"/>
      <c r="GN98" s="250"/>
      <c r="GO98" s="250"/>
      <c r="GP98" s="250"/>
      <c r="GQ98" s="250"/>
      <c r="GR98" s="250"/>
      <c r="GS98" s="250"/>
      <c r="GT98" s="250"/>
      <c r="GU98" s="250"/>
      <c r="GV98" s="250"/>
      <c r="GW98" s="250"/>
      <c r="GX98" s="250"/>
      <c r="GY98" s="250"/>
      <c r="GZ98" s="250"/>
      <c r="HA98" s="250"/>
      <c r="HB98" s="250"/>
      <c r="HC98" s="250"/>
      <c r="HD98" s="250"/>
      <c r="HE98" s="250"/>
      <c r="HF98" s="250"/>
      <c r="HG98" s="250"/>
      <c r="HH98" s="250"/>
      <c r="HI98" s="250"/>
      <c r="HJ98" s="250"/>
      <c r="HK98" s="250"/>
      <c r="HL98" s="250"/>
      <c r="HM98" s="250"/>
      <c r="HN98" s="250"/>
      <c r="HO98" s="250"/>
      <c r="HP98" s="250"/>
      <c r="HQ98" s="250"/>
      <c r="HR98" s="250"/>
      <c r="HS98" s="250"/>
      <c r="HT98" s="250"/>
      <c r="HU98" s="250"/>
      <c r="HV98" s="250"/>
      <c r="HW98" s="250"/>
      <c r="HX98" s="250"/>
      <c r="HY98" s="250"/>
      <c r="HZ98" s="250"/>
      <c r="IA98" s="250"/>
      <c r="IB98" s="250"/>
      <c r="IC98" s="250"/>
      <c r="ID98" s="250"/>
      <c r="IE98" s="250"/>
      <c r="IF98" s="250"/>
      <c r="IG98" s="250"/>
      <c r="IH98" s="250"/>
      <c r="II98" s="250"/>
      <c r="IJ98" s="250"/>
      <c r="IK98" s="250"/>
      <c r="IL98" s="250"/>
      <c r="IM98" s="250"/>
      <c r="IN98" s="250"/>
      <c r="IO98" s="250"/>
      <c r="IP98" s="250"/>
      <c r="IQ98" s="250"/>
      <c r="IR98" s="250"/>
      <c r="IS98" s="250"/>
      <c r="IT98" s="250"/>
      <c r="IU98" s="250"/>
      <c r="IV98" s="250"/>
      <c r="IW98" s="250"/>
      <c r="IX98" s="250"/>
      <c r="IY98" s="250"/>
      <c r="IZ98" s="250"/>
      <c r="JA98" s="250"/>
      <c r="JB98" s="250"/>
      <c r="JC98" s="250"/>
      <c r="JD98" s="250"/>
      <c r="JE98" s="250"/>
      <c r="JF98" s="250"/>
      <c r="JG98" s="250"/>
      <c r="JH98" s="250"/>
      <c r="JI98" s="107">
        <f t="shared" si="2"/>
        <v>8684.7999999999993</v>
      </c>
      <c r="JJ98" s="297">
        <v>3208</v>
      </c>
      <c r="JK98" s="112"/>
      <c r="JL98" s="112"/>
      <c r="JM98" s="1"/>
      <c r="JN98" s="1"/>
      <c r="JO98" s="1"/>
      <c r="JP98" s="1"/>
    </row>
    <row r="99" spans="1:276" x14ac:dyDescent="0.25">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c r="BX99" s="110"/>
      <c r="BY99" s="110"/>
      <c r="BZ99" s="110"/>
      <c r="CA99" s="110"/>
      <c r="CB99" s="110"/>
      <c r="CC99" s="110"/>
      <c r="CD99" s="110"/>
      <c r="CE99" s="110"/>
      <c r="CF99" s="110"/>
      <c r="CG99" s="110"/>
      <c r="CH99" s="110"/>
      <c r="CI99" s="110"/>
      <c r="CJ99" s="110"/>
      <c r="CK99" s="110"/>
      <c r="CL99" s="110"/>
      <c r="CM99" s="110"/>
      <c r="CN99" s="110"/>
      <c r="CO99" s="110"/>
      <c r="CP99" s="110"/>
      <c r="CQ99" s="110"/>
      <c r="CR99" s="110"/>
      <c r="CS99" s="110"/>
      <c r="CT99" s="110"/>
      <c r="CU99" s="110"/>
      <c r="CV99" s="110"/>
      <c r="CW99" s="110"/>
      <c r="CX99" s="110"/>
      <c r="CY99" s="110"/>
      <c r="CZ99" s="110"/>
      <c r="DA99" s="110"/>
      <c r="DB99" s="110"/>
      <c r="DC99" s="110"/>
      <c r="DD99" s="110"/>
      <c r="DE99" s="110"/>
      <c r="DF99" s="110"/>
      <c r="DG99" s="110"/>
      <c r="DH99" s="110"/>
      <c r="DI99" s="110"/>
      <c r="DJ99" s="110"/>
      <c r="DK99" s="110"/>
      <c r="DL99" s="110"/>
      <c r="DM99" s="110"/>
      <c r="DN99" s="110"/>
      <c r="DO99" s="110"/>
      <c r="DP99" s="110"/>
      <c r="DQ99" s="110"/>
      <c r="DR99" s="110"/>
      <c r="DS99" s="110"/>
      <c r="DT99" s="110"/>
      <c r="DU99" s="110"/>
      <c r="DV99" s="110"/>
      <c r="DW99" s="110"/>
      <c r="DX99" s="110"/>
      <c r="DY99" s="110"/>
      <c r="DZ99" s="110"/>
      <c r="EA99" s="110"/>
      <c r="EB99" s="110"/>
      <c r="EC99" s="110"/>
      <c r="ED99" s="110"/>
      <c r="EE99" s="110"/>
      <c r="EF99" s="110"/>
      <c r="EG99" s="110"/>
      <c r="EH99" s="110"/>
      <c r="EI99" s="110"/>
      <c r="EJ99" s="110"/>
      <c r="EK99" s="110"/>
      <c r="EL99" s="110"/>
      <c r="EM99" s="110"/>
      <c r="EN99" s="110"/>
      <c r="EO99" s="110"/>
      <c r="EP99" s="110"/>
      <c r="EQ99" s="110"/>
      <c r="ER99" s="110"/>
      <c r="ES99" s="110"/>
      <c r="ET99" s="110"/>
      <c r="EU99" s="110"/>
      <c r="EV99" s="110"/>
      <c r="EW99" s="110"/>
      <c r="EX99" s="110"/>
      <c r="EY99" s="110"/>
      <c r="EZ99" s="110"/>
      <c r="FA99" s="110"/>
      <c r="FB99" s="110"/>
      <c r="FC99" s="110"/>
      <c r="FD99" s="110"/>
      <c r="FE99" s="110"/>
      <c r="FF99" s="110"/>
      <c r="FG99" s="110"/>
      <c r="FH99" s="110"/>
      <c r="FI99" s="110"/>
      <c r="FJ99" s="110"/>
      <c r="FK99" s="110"/>
      <c r="FL99" s="110"/>
      <c r="FM99" s="110"/>
      <c r="FN99" s="110"/>
      <c r="FO99" s="110"/>
      <c r="FP99" s="110"/>
      <c r="FQ99" s="110"/>
      <c r="FR99" s="110"/>
      <c r="FS99" s="110">
        <v>50150</v>
      </c>
      <c r="FT99" s="110"/>
      <c r="FU99" s="110"/>
      <c r="FV99" s="110">
        <v>46020</v>
      </c>
      <c r="FW99" s="110"/>
      <c r="FX99" s="110"/>
      <c r="FY99" s="110"/>
      <c r="FZ99" s="110"/>
      <c r="GA99" s="110"/>
      <c r="GB99" s="110"/>
      <c r="GC99" s="110"/>
      <c r="GD99" s="110"/>
      <c r="GE99" s="110"/>
      <c r="GF99" s="110"/>
      <c r="GG99" s="110"/>
      <c r="GH99" s="110"/>
      <c r="GI99" s="110"/>
      <c r="GJ99" s="110"/>
      <c r="GK99" s="110"/>
      <c r="GL99" s="110"/>
      <c r="GM99" s="110"/>
      <c r="GN99" s="110"/>
      <c r="GO99" s="110"/>
      <c r="GP99" s="110"/>
      <c r="GQ99" s="110"/>
      <c r="GR99" s="110"/>
      <c r="GS99" s="110"/>
      <c r="GT99" s="110"/>
      <c r="GU99" s="110"/>
      <c r="GV99" s="110"/>
      <c r="GW99" s="110"/>
      <c r="GX99" s="110"/>
      <c r="GY99" s="110"/>
      <c r="GZ99" s="110"/>
      <c r="HA99" s="110"/>
      <c r="HB99" s="110"/>
      <c r="HC99" s="110"/>
      <c r="HD99" s="110"/>
      <c r="HE99" s="110"/>
      <c r="HF99" s="110"/>
      <c r="HG99" s="110"/>
      <c r="HH99" s="110"/>
      <c r="HI99" s="110"/>
      <c r="HJ99" s="110"/>
      <c r="HK99" s="110"/>
      <c r="HL99" s="110"/>
      <c r="HM99" s="110"/>
      <c r="HN99" s="110"/>
      <c r="HO99" s="110"/>
      <c r="HP99" s="110"/>
      <c r="HQ99" s="110"/>
      <c r="HR99" s="110"/>
      <c r="HS99" s="110"/>
      <c r="HT99" s="110"/>
      <c r="HU99" s="110"/>
      <c r="HV99" s="110"/>
      <c r="HW99" s="110"/>
      <c r="HX99" s="110"/>
      <c r="HY99" s="110"/>
      <c r="HZ99" s="110"/>
      <c r="IA99" s="110"/>
      <c r="IB99" s="110"/>
      <c r="IC99" s="110"/>
      <c r="ID99" s="110"/>
      <c r="IE99" s="110"/>
      <c r="IF99" s="110"/>
      <c r="IG99" s="110"/>
      <c r="IH99" s="110"/>
      <c r="II99" s="110"/>
      <c r="IJ99" s="110"/>
      <c r="IK99" s="110"/>
      <c r="IL99" s="110"/>
      <c r="IM99" s="110"/>
      <c r="IN99" s="110"/>
      <c r="IO99" s="110"/>
      <c r="IP99" s="110"/>
      <c r="IQ99" s="110"/>
      <c r="IR99" s="110"/>
      <c r="IS99" s="110"/>
      <c r="IT99" s="110"/>
      <c r="IU99" s="110"/>
      <c r="IV99" s="110"/>
      <c r="IW99" s="110"/>
      <c r="IX99" s="110"/>
      <c r="IY99" s="110"/>
      <c r="IZ99" s="110"/>
      <c r="JA99" s="110"/>
      <c r="JB99" s="110"/>
      <c r="JC99" s="110"/>
      <c r="JD99" s="110"/>
      <c r="JE99" s="110"/>
      <c r="JF99" s="110"/>
      <c r="JG99" s="110"/>
      <c r="JH99" s="110"/>
      <c r="JI99" s="107">
        <f>SUM(A99:JH99)</f>
        <v>96170</v>
      </c>
      <c r="JJ99" s="297">
        <v>3213</v>
      </c>
      <c r="JK99" s="112"/>
      <c r="JL99" s="112"/>
      <c r="JM99" s="1"/>
      <c r="JN99" s="1"/>
      <c r="JO99" s="1"/>
      <c r="JP99" s="1"/>
    </row>
    <row r="100" spans="1:276" x14ac:dyDescent="0.25">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c r="BX100" s="110"/>
      <c r="BY100" s="110"/>
      <c r="BZ100" s="110"/>
      <c r="CA100" s="110"/>
      <c r="CB100" s="110"/>
      <c r="CC100" s="110"/>
      <c r="CD100" s="110"/>
      <c r="CE100" s="110"/>
      <c r="CF100" s="110"/>
      <c r="CG100" s="110"/>
      <c r="CH100" s="110"/>
      <c r="CI100" s="110"/>
      <c r="CJ100" s="110"/>
      <c r="CK100" s="110"/>
      <c r="CL100" s="110"/>
      <c r="CM100" s="110"/>
      <c r="CN100" s="110"/>
      <c r="CO100" s="110"/>
      <c r="CP100" s="110"/>
      <c r="CQ100" s="110"/>
      <c r="CR100" s="110"/>
      <c r="CS100" s="110"/>
      <c r="CT100" s="110"/>
      <c r="CU100" s="110"/>
      <c r="CV100" s="110"/>
      <c r="CW100" s="110"/>
      <c r="CX100" s="110"/>
      <c r="CY100" s="110"/>
      <c r="CZ100" s="110"/>
      <c r="DA100" s="110"/>
      <c r="DB100" s="110"/>
      <c r="DC100" s="110"/>
      <c r="DD100" s="110"/>
      <c r="DE100" s="110"/>
      <c r="DF100" s="110"/>
      <c r="DG100" s="110"/>
      <c r="DH100" s="110"/>
      <c r="DI100" s="110"/>
      <c r="DJ100" s="110"/>
      <c r="DK100" s="110"/>
      <c r="DL100" s="110"/>
      <c r="DM100" s="110"/>
      <c r="DN100" s="110"/>
      <c r="DO100" s="110"/>
      <c r="DP100" s="110"/>
      <c r="DQ100" s="110"/>
      <c r="DR100" s="110"/>
      <c r="DS100" s="110"/>
      <c r="DT100" s="110"/>
      <c r="DU100" s="110"/>
      <c r="DV100" s="110"/>
      <c r="DW100" s="110"/>
      <c r="DX100" s="110"/>
      <c r="DY100" s="110"/>
      <c r="DZ100" s="110"/>
      <c r="EA100" s="110"/>
      <c r="EB100" s="110"/>
      <c r="EC100" s="110"/>
      <c r="ED100" s="110"/>
      <c r="EE100" s="110"/>
      <c r="EF100" s="110"/>
      <c r="EG100" s="110"/>
      <c r="EH100" s="110"/>
      <c r="EI100" s="110"/>
      <c r="EJ100" s="110"/>
      <c r="EK100" s="110"/>
      <c r="EL100" s="110"/>
      <c r="EM100" s="110"/>
      <c r="EN100" s="110"/>
      <c r="EO100" s="110"/>
      <c r="EP100" s="110"/>
      <c r="EQ100" s="110"/>
      <c r="ER100" s="110"/>
      <c r="ES100" s="110"/>
      <c r="ET100" s="110"/>
      <c r="EU100" s="110"/>
      <c r="EV100" s="110"/>
      <c r="EW100" s="110"/>
      <c r="EX100" s="110"/>
      <c r="EY100" s="110"/>
      <c r="EZ100" s="110"/>
      <c r="FA100" s="110"/>
      <c r="FB100" s="110"/>
      <c r="FC100" s="110"/>
      <c r="FD100" s="110"/>
      <c r="FE100" s="110"/>
      <c r="FF100" s="110"/>
      <c r="FG100" s="110"/>
      <c r="FH100" s="110"/>
      <c r="FI100" s="110"/>
      <c r="FJ100" s="110"/>
      <c r="FK100" s="110"/>
      <c r="FL100" s="110"/>
      <c r="FM100" s="110"/>
      <c r="FN100" s="110"/>
      <c r="FO100" s="110"/>
      <c r="FP100" s="110"/>
      <c r="FQ100" s="110"/>
      <c r="FR100" s="110"/>
      <c r="FS100" s="110">
        <v>0</v>
      </c>
      <c r="FT100" s="110"/>
      <c r="FU100" s="110"/>
      <c r="FV100" s="110"/>
      <c r="FW100" s="110"/>
      <c r="FX100" s="110"/>
      <c r="FY100" s="110"/>
      <c r="FZ100" s="110"/>
      <c r="GA100" s="110"/>
      <c r="GB100" s="110"/>
      <c r="GC100" s="110"/>
      <c r="GD100" s="110"/>
      <c r="GE100" s="110"/>
      <c r="GF100" s="110"/>
      <c r="GG100" s="110"/>
      <c r="GH100" s="110">
        <v>23010</v>
      </c>
      <c r="GI100" s="110"/>
      <c r="GJ100" s="110"/>
      <c r="GK100" s="110"/>
      <c r="GL100" s="110"/>
      <c r="GM100" s="110"/>
      <c r="GN100" s="110"/>
      <c r="GO100" s="110"/>
      <c r="GP100" s="110"/>
      <c r="GQ100" s="110"/>
      <c r="GR100" s="110"/>
      <c r="GS100" s="110"/>
      <c r="GT100" s="110"/>
      <c r="GU100" s="110"/>
      <c r="GV100" s="110"/>
      <c r="GW100" s="110"/>
      <c r="GX100" s="110"/>
      <c r="GY100" s="110"/>
      <c r="GZ100" s="110"/>
      <c r="HA100" s="110"/>
      <c r="HB100" s="110"/>
      <c r="HC100" s="110"/>
      <c r="HD100" s="110"/>
      <c r="HE100" s="110"/>
      <c r="HF100" s="110"/>
      <c r="HG100" s="110"/>
      <c r="HH100" s="110"/>
      <c r="HI100" s="110"/>
      <c r="HJ100" s="110">
        <v>30309.61</v>
      </c>
      <c r="HK100" s="110"/>
      <c r="HL100" s="110"/>
      <c r="HM100" s="110"/>
      <c r="HN100" s="110"/>
      <c r="HO100" s="110"/>
      <c r="HP100" s="110"/>
      <c r="HQ100" s="110"/>
      <c r="HR100" s="110"/>
      <c r="HS100" s="110"/>
      <c r="HT100" s="110"/>
      <c r="HU100" s="110"/>
      <c r="HV100" s="110"/>
      <c r="HW100" s="110"/>
      <c r="HX100" s="110"/>
      <c r="HY100" s="110"/>
      <c r="HZ100" s="110"/>
      <c r="IA100" s="110"/>
      <c r="IB100" s="110"/>
      <c r="IC100" s="110"/>
      <c r="ID100" s="110"/>
      <c r="IE100" s="110"/>
      <c r="IF100" s="110"/>
      <c r="IG100" s="110"/>
      <c r="IH100" s="110"/>
      <c r="II100" s="110"/>
      <c r="IJ100" s="110"/>
      <c r="IK100" s="110"/>
      <c r="IL100" s="110"/>
      <c r="IM100" s="110"/>
      <c r="IN100" s="110"/>
      <c r="IO100" s="110"/>
      <c r="IP100" s="110"/>
      <c r="IQ100" s="110"/>
      <c r="IR100" s="110"/>
      <c r="IS100" s="110"/>
      <c r="IT100" s="110"/>
      <c r="IU100" s="110"/>
      <c r="IV100" s="110"/>
      <c r="IW100" s="110"/>
      <c r="IX100" s="110"/>
      <c r="IY100" s="110"/>
      <c r="IZ100" s="110"/>
      <c r="JA100" s="110"/>
      <c r="JB100" s="110"/>
      <c r="JC100" s="110"/>
      <c r="JD100" s="110"/>
      <c r="JE100" s="110"/>
      <c r="JF100" s="110"/>
      <c r="JG100" s="110"/>
      <c r="JH100" s="110"/>
      <c r="JI100" s="107">
        <f t="shared" ref="JI100:JI137" si="3">SUM(A100:JH100)</f>
        <v>53319.61</v>
      </c>
      <c r="JJ100" s="297">
        <v>3216</v>
      </c>
      <c r="JK100" s="112"/>
      <c r="JL100" s="112"/>
      <c r="JM100" s="1"/>
      <c r="JN100" s="1"/>
      <c r="JO100" s="1"/>
      <c r="JP100" s="1"/>
    </row>
    <row r="101" spans="1:276" x14ac:dyDescent="0.25">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c r="AI101" s="110"/>
      <c r="AJ101" s="110"/>
      <c r="AK101" s="110"/>
      <c r="AL101" s="110"/>
      <c r="AM101" s="110"/>
      <c r="AN101" s="110"/>
      <c r="AO101" s="110"/>
      <c r="AP101" s="110"/>
      <c r="AQ101" s="110"/>
      <c r="AR101" s="110"/>
      <c r="AS101" s="110"/>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10"/>
      <c r="CH101" s="110"/>
      <c r="CI101" s="110"/>
      <c r="CJ101" s="110"/>
      <c r="CK101" s="110"/>
      <c r="CL101" s="110"/>
      <c r="CM101" s="110"/>
      <c r="CN101" s="110"/>
      <c r="CO101" s="110"/>
      <c r="CP101" s="110"/>
      <c r="CQ101" s="110"/>
      <c r="CR101" s="110"/>
      <c r="CS101" s="110"/>
      <c r="CT101" s="110"/>
      <c r="CU101" s="110"/>
      <c r="CV101" s="110"/>
      <c r="CW101" s="110"/>
      <c r="CX101" s="110"/>
      <c r="CY101" s="110"/>
      <c r="CZ101" s="110"/>
      <c r="DA101" s="110"/>
      <c r="DB101" s="110"/>
      <c r="DC101" s="110"/>
      <c r="DD101" s="110"/>
      <c r="DE101" s="110"/>
      <c r="DF101" s="110"/>
      <c r="DG101" s="110"/>
      <c r="DH101" s="110"/>
      <c r="DI101" s="110"/>
      <c r="DJ101" s="110"/>
      <c r="DK101" s="110"/>
      <c r="DL101" s="110"/>
      <c r="DM101" s="110"/>
      <c r="DN101" s="110"/>
      <c r="DO101" s="110"/>
      <c r="DP101" s="110"/>
      <c r="DQ101" s="110"/>
      <c r="DR101" s="110"/>
      <c r="DS101" s="110"/>
      <c r="DT101" s="110"/>
      <c r="DU101" s="110"/>
      <c r="DV101" s="110"/>
      <c r="DW101" s="110"/>
      <c r="DX101" s="110"/>
      <c r="DY101" s="110"/>
      <c r="DZ101" s="110"/>
      <c r="EA101" s="110">
        <v>22340</v>
      </c>
      <c r="EB101" s="110"/>
      <c r="EC101" s="110"/>
      <c r="ED101" s="110"/>
      <c r="EE101" s="110"/>
      <c r="EF101" s="110"/>
      <c r="EG101" s="110"/>
      <c r="EH101" s="110"/>
      <c r="EI101" s="110"/>
      <c r="EJ101" s="110"/>
      <c r="EK101" s="110"/>
      <c r="EL101" s="110"/>
      <c r="EM101" s="110"/>
      <c r="EN101" s="110"/>
      <c r="EO101" s="110"/>
      <c r="EP101" s="110"/>
      <c r="EQ101" s="110"/>
      <c r="ER101" s="110"/>
      <c r="ES101" s="110"/>
      <c r="ET101" s="110"/>
      <c r="EU101" s="110"/>
      <c r="EV101" s="110"/>
      <c r="EW101" s="110"/>
      <c r="EX101" s="110"/>
      <c r="EY101" s="110"/>
      <c r="EZ101" s="110"/>
      <c r="FA101" s="110"/>
      <c r="FB101" s="110"/>
      <c r="FC101" s="110"/>
      <c r="FD101" s="110"/>
      <c r="FE101" s="110"/>
      <c r="FF101" s="110"/>
      <c r="FG101" s="110"/>
      <c r="FH101" s="110"/>
      <c r="FI101" s="110"/>
      <c r="FJ101" s="110"/>
      <c r="FK101" s="110"/>
      <c r="FL101" s="110"/>
      <c r="FM101" s="110"/>
      <c r="FN101" s="110"/>
      <c r="FO101" s="110"/>
      <c r="FP101" s="110"/>
      <c r="FQ101" s="110"/>
      <c r="FR101" s="110"/>
      <c r="FS101" s="110"/>
      <c r="FT101" s="110">
        <v>216565.4</v>
      </c>
      <c r="FU101" s="110"/>
      <c r="FV101" s="110"/>
      <c r="FW101" s="110"/>
      <c r="FX101" s="110"/>
      <c r="FY101" s="110"/>
      <c r="FZ101" s="110"/>
      <c r="GA101" s="110"/>
      <c r="GB101" s="110"/>
      <c r="GC101" s="110"/>
      <c r="GD101" s="110"/>
      <c r="GE101" s="110"/>
      <c r="GF101" s="110"/>
      <c r="GG101" s="110"/>
      <c r="GH101" s="110"/>
      <c r="GI101" s="110"/>
      <c r="GJ101" s="110"/>
      <c r="GK101" s="110"/>
      <c r="GL101" s="110"/>
      <c r="GM101" s="110"/>
      <c r="GN101" s="110"/>
      <c r="GO101" s="110"/>
      <c r="GP101" s="110"/>
      <c r="GQ101" s="110"/>
      <c r="GR101" s="110"/>
      <c r="GS101" s="110"/>
      <c r="GT101" s="110"/>
      <c r="GU101" s="110"/>
      <c r="GV101" s="110"/>
      <c r="GW101" s="110"/>
      <c r="GX101" s="110"/>
      <c r="GY101" s="110"/>
      <c r="GZ101" s="110"/>
      <c r="HA101" s="110"/>
      <c r="HB101" s="110"/>
      <c r="HC101" s="110"/>
      <c r="HD101" s="110"/>
      <c r="HE101" s="110"/>
      <c r="HF101" s="110"/>
      <c r="HG101" s="110"/>
      <c r="HH101" s="110"/>
      <c r="HI101" s="110"/>
      <c r="HJ101" s="110"/>
      <c r="HK101" s="110"/>
      <c r="HL101" s="110"/>
      <c r="HM101" s="110"/>
      <c r="HN101" s="110"/>
      <c r="HO101" s="110"/>
      <c r="HP101" s="110"/>
      <c r="HQ101" s="110"/>
      <c r="HR101" s="110"/>
      <c r="HS101" s="110"/>
      <c r="HT101" s="110"/>
      <c r="HU101" s="110"/>
      <c r="HV101" s="110"/>
      <c r="HW101" s="110"/>
      <c r="HX101" s="110"/>
      <c r="HY101" s="110"/>
      <c r="HZ101" s="110"/>
      <c r="IA101" s="110"/>
      <c r="IB101" s="110"/>
      <c r="IC101" s="110"/>
      <c r="ID101" s="110"/>
      <c r="IE101" s="110"/>
      <c r="IF101" s="110"/>
      <c r="IG101" s="110"/>
      <c r="IH101" s="110"/>
      <c r="II101" s="110"/>
      <c r="IJ101" s="110"/>
      <c r="IK101" s="110"/>
      <c r="IL101" s="110"/>
      <c r="IM101" s="110"/>
      <c r="IN101" s="110"/>
      <c r="IO101" s="110"/>
      <c r="IP101" s="110"/>
      <c r="IQ101" s="110"/>
      <c r="IR101" s="110"/>
      <c r="IS101" s="110"/>
      <c r="IT101" s="110"/>
      <c r="IU101" s="110"/>
      <c r="IV101" s="110"/>
      <c r="IW101" s="110"/>
      <c r="IX101" s="110"/>
      <c r="IY101" s="110"/>
      <c r="IZ101" s="110"/>
      <c r="JA101" s="110"/>
      <c r="JB101" s="110"/>
      <c r="JC101" s="110"/>
      <c r="JD101" s="110"/>
      <c r="JE101" s="110"/>
      <c r="JF101" s="110"/>
      <c r="JG101" s="110"/>
      <c r="JH101" s="110"/>
      <c r="JI101" s="107">
        <f t="shared" si="3"/>
        <v>238905.4</v>
      </c>
      <c r="JJ101" s="297">
        <v>3224</v>
      </c>
      <c r="JK101" s="112"/>
      <c r="JL101" s="112"/>
      <c r="JM101" s="1"/>
      <c r="JN101" s="1"/>
      <c r="JO101" s="1"/>
      <c r="JP101" s="1"/>
    </row>
    <row r="102" spans="1:276" x14ac:dyDescent="0.25">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c r="AI102" s="110"/>
      <c r="AJ102" s="110"/>
      <c r="AK102" s="110"/>
      <c r="AL102" s="110"/>
      <c r="AM102" s="110"/>
      <c r="AN102" s="110"/>
      <c r="AO102" s="110"/>
      <c r="AP102" s="110"/>
      <c r="AQ102" s="110"/>
      <c r="AR102" s="110"/>
      <c r="AS102" s="11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c r="BX102" s="110"/>
      <c r="BY102" s="110"/>
      <c r="BZ102" s="110"/>
      <c r="CA102" s="110"/>
      <c r="CB102" s="110"/>
      <c r="CC102" s="110"/>
      <c r="CD102" s="110"/>
      <c r="CE102" s="110"/>
      <c r="CF102" s="110"/>
      <c r="CG102" s="110"/>
      <c r="CH102" s="110"/>
      <c r="CI102" s="110"/>
      <c r="CJ102" s="110"/>
      <c r="CK102" s="110"/>
      <c r="CL102" s="110"/>
      <c r="CM102" s="110"/>
      <c r="CN102" s="110"/>
      <c r="CO102" s="110"/>
      <c r="CP102" s="110"/>
      <c r="CQ102" s="110"/>
      <c r="CR102" s="110"/>
      <c r="CS102" s="110"/>
      <c r="CT102" s="110"/>
      <c r="CU102" s="110"/>
      <c r="CV102" s="110"/>
      <c r="CW102" s="110"/>
      <c r="CX102" s="110"/>
      <c r="CY102" s="110"/>
      <c r="CZ102" s="110"/>
      <c r="DA102" s="110"/>
      <c r="DB102" s="110"/>
      <c r="DC102" s="110"/>
      <c r="DD102" s="110"/>
      <c r="DE102" s="110"/>
      <c r="DF102" s="110"/>
      <c r="DG102" s="110"/>
      <c r="DH102" s="110"/>
      <c r="DI102" s="110"/>
      <c r="DJ102" s="110"/>
      <c r="DK102" s="110">
        <v>374360</v>
      </c>
      <c r="DL102" s="110"/>
      <c r="DM102" s="110"/>
      <c r="DN102" s="110"/>
      <c r="DO102" s="110"/>
      <c r="DP102" s="110"/>
      <c r="DQ102" s="110"/>
      <c r="DR102" s="110"/>
      <c r="DS102" s="110"/>
      <c r="DT102" s="110"/>
      <c r="DU102" s="110"/>
      <c r="DV102" s="110"/>
      <c r="DW102" s="110"/>
      <c r="DX102" s="110"/>
      <c r="DY102" s="110"/>
      <c r="DZ102" s="110"/>
      <c r="EA102" s="110"/>
      <c r="EB102" s="110"/>
      <c r="EC102" s="110"/>
      <c r="ED102" s="110"/>
      <c r="EE102" s="110"/>
      <c r="EF102" s="110"/>
      <c r="EG102" s="110"/>
      <c r="EH102" s="110"/>
      <c r="EI102" s="110"/>
      <c r="EJ102" s="110"/>
      <c r="EK102" s="110"/>
      <c r="EL102" s="110"/>
      <c r="EM102" s="110"/>
      <c r="EN102" s="110"/>
      <c r="EO102" s="110"/>
      <c r="EP102" s="110"/>
      <c r="EQ102" s="110"/>
      <c r="ER102" s="110"/>
      <c r="ES102" s="110"/>
      <c r="ET102" s="110"/>
      <c r="EU102" s="110"/>
      <c r="EV102" s="110"/>
      <c r="EW102" s="110"/>
      <c r="EX102" s="110"/>
      <c r="EY102" s="110"/>
      <c r="EZ102" s="110"/>
      <c r="FA102" s="110"/>
      <c r="FB102" s="110"/>
      <c r="FC102" s="110"/>
      <c r="FD102" s="110"/>
      <c r="FE102" s="110"/>
      <c r="FF102" s="110"/>
      <c r="FG102" s="110"/>
      <c r="FH102" s="110"/>
      <c r="FI102" s="110"/>
      <c r="FJ102" s="110"/>
      <c r="FK102" s="110"/>
      <c r="FL102" s="110"/>
      <c r="FM102" s="110"/>
      <c r="FN102" s="110"/>
      <c r="FO102" s="110"/>
      <c r="FP102" s="110"/>
      <c r="FQ102" s="110"/>
      <c r="FR102" s="110"/>
      <c r="FS102" s="110"/>
      <c r="FT102" s="110"/>
      <c r="FU102" s="110"/>
      <c r="FV102" s="110"/>
      <c r="FW102" s="110"/>
      <c r="FX102" s="110"/>
      <c r="FY102" s="110"/>
      <c r="FZ102" s="110"/>
      <c r="GA102" s="110"/>
      <c r="GB102" s="110"/>
      <c r="GC102" s="110"/>
      <c r="GD102" s="110"/>
      <c r="GE102" s="110"/>
      <c r="GF102" s="110"/>
      <c r="GG102" s="110"/>
      <c r="GH102" s="110"/>
      <c r="GI102" s="110"/>
      <c r="GJ102" s="110"/>
      <c r="GK102" s="110"/>
      <c r="GL102" s="110"/>
      <c r="GM102" s="110"/>
      <c r="GN102" s="110"/>
      <c r="GO102" s="110"/>
      <c r="GP102" s="110"/>
      <c r="GQ102" s="110"/>
      <c r="GR102" s="110"/>
      <c r="GS102" s="110"/>
      <c r="GT102" s="110"/>
      <c r="GU102" s="110"/>
      <c r="GV102" s="110"/>
      <c r="GW102" s="110"/>
      <c r="GX102" s="110"/>
      <c r="GY102" s="110"/>
      <c r="GZ102" s="110"/>
      <c r="HA102" s="110"/>
      <c r="HB102" s="110"/>
      <c r="HC102" s="110"/>
      <c r="HD102" s="110"/>
      <c r="HE102" s="110"/>
      <c r="HF102" s="110"/>
      <c r="HG102" s="110"/>
      <c r="HH102" s="110"/>
      <c r="HI102" s="110"/>
      <c r="HJ102" s="110"/>
      <c r="HK102" s="110"/>
      <c r="HL102" s="110"/>
      <c r="HM102" s="110"/>
      <c r="HN102" s="110"/>
      <c r="HO102" s="110"/>
      <c r="HP102" s="110"/>
      <c r="HQ102" s="110"/>
      <c r="HR102" s="110"/>
      <c r="HS102" s="110"/>
      <c r="HT102" s="110"/>
      <c r="HU102" s="110"/>
      <c r="HV102" s="110"/>
      <c r="HW102" s="110"/>
      <c r="HX102" s="110"/>
      <c r="HY102" s="110"/>
      <c r="HZ102" s="110"/>
      <c r="IA102" s="110"/>
      <c r="IB102" s="110"/>
      <c r="IC102" s="110"/>
      <c r="ID102" s="110"/>
      <c r="IE102" s="110"/>
      <c r="IF102" s="110"/>
      <c r="IG102" s="110"/>
      <c r="IH102" s="110"/>
      <c r="II102" s="110"/>
      <c r="IJ102" s="110"/>
      <c r="IK102" s="110"/>
      <c r="IL102" s="110"/>
      <c r="IM102" s="110"/>
      <c r="IN102" s="110"/>
      <c r="IO102" s="110"/>
      <c r="IP102" s="110"/>
      <c r="IQ102" s="110"/>
      <c r="IR102" s="110"/>
      <c r="IS102" s="110"/>
      <c r="IT102" s="110"/>
      <c r="IU102" s="110"/>
      <c r="IV102" s="110"/>
      <c r="IW102" s="110"/>
      <c r="IX102" s="110"/>
      <c r="IY102" s="110"/>
      <c r="IZ102" s="110"/>
      <c r="JA102" s="110"/>
      <c r="JB102" s="110"/>
      <c r="JC102" s="110"/>
      <c r="JD102" s="110"/>
      <c r="JE102" s="110"/>
      <c r="JF102" s="110"/>
      <c r="JG102" s="110"/>
      <c r="JH102" s="110"/>
      <c r="JI102" s="107">
        <f t="shared" si="3"/>
        <v>374360</v>
      </c>
      <c r="JJ102" s="297">
        <v>3228</v>
      </c>
      <c r="JK102" s="112"/>
      <c r="JL102" s="112"/>
      <c r="JM102" s="1"/>
      <c r="JN102" s="1"/>
      <c r="JO102" s="1"/>
      <c r="JP102" s="1"/>
    </row>
    <row r="103" spans="1:276" x14ac:dyDescent="0.25">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c r="AI103" s="110"/>
      <c r="AJ103" s="110"/>
      <c r="AK103" s="110"/>
      <c r="AL103" s="110"/>
      <c r="AM103" s="110"/>
      <c r="AN103" s="110"/>
      <c r="AO103" s="110"/>
      <c r="AP103" s="110"/>
      <c r="AQ103" s="110"/>
      <c r="AR103" s="110"/>
      <c r="AS103" s="110"/>
      <c r="AT103" s="110"/>
      <c r="AU103" s="110"/>
      <c r="AV103" s="110"/>
      <c r="AW103" s="110"/>
      <c r="AX103" s="110"/>
      <c r="AY103" s="110"/>
      <c r="AZ103" s="110"/>
      <c r="BA103" s="110"/>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c r="BX103" s="110"/>
      <c r="BY103" s="110"/>
      <c r="BZ103" s="110"/>
      <c r="CA103" s="110"/>
      <c r="CB103" s="110"/>
      <c r="CC103" s="110"/>
      <c r="CD103" s="110"/>
      <c r="CE103" s="110"/>
      <c r="CF103" s="110"/>
      <c r="CG103" s="110"/>
      <c r="CH103" s="110"/>
      <c r="CI103" s="110"/>
      <c r="CJ103" s="110"/>
      <c r="CK103" s="110"/>
      <c r="CL103" s="110"/>
      <c r="CM103" s="110"/>
      <c r="CN103" s="110"/>
      <c r="CO103" s="110"/>
      <c r="CP103" s="110"/>
      <c r="CQ103" s="110"/>
      <c r="CR103" s="110"/>
      <c r="CS103" s="110"/>
      <c r="CT103" s="110"/>
      <c r="CU103" s="110"/>
      <c r="CV103" s="110"/>
      <c r="CW103" s="110"/>
      <c r="CX103" s="110"/>
      <c r="CY103" s="110"/>
      <c r="CZ103" s="110"/>
      <c r="DA103" s="110"/>
      <c r="DB103" s="110"/>
      <c r="DC103" s="110"/>
      <c r="DD103" s="110"/>
      <c r="DE103" s="110"/>
      <c r="DF103" s="110"/>
      <c r="DG103" s="110"/>
      <c r="DH103" s="110"/>
      <c r="DI103" s="110"/>
      <c r="DJ103" s="110"/>
      <c r="DK103" s="110"/>
      <c r="DL103" s="110"/>
      <c r="DM103" s="110"/>
      <c r="DN103" s="110"/>
      <c r="DO103" s="110"/>
      <c r="DP103" s="110"/>
      <c r="DQ103" s="110"/>
      <c r="DR103" s="110"/>
      <c r="DS103" s="110"/>
      <c r="DT103" s="110"/>
      <c r="DU103" s="110"/>
      <c r="DV103" s="110"/>
      <c r="DW103" s="110"/>
      <c r="DX103" s="110"/>
      <c r="DY103" s="110"/>
      <c r="DZ103" s="110"/>
      <c r="EA103" s="110"/>
      <c r="EB103" s="110"/>
      <c r="EC103" s="110"/>
      <c r="ED103" s="110"/>
      <c r="EE103" s="110"/>
      <c r="EF103" s="110"/>
      <c r="EG103" s="110"/>
      <c r="EH103" s="110"/>
      <c r="EI103" s="110"/>
      <c r="EJ103" s="110"/>
      <c r="EK103" s="110"/>
      <c r="EL103" s="110"/>
      <c r="EM103" s="110"/>
      <c r="EN103" s="110"/>
      <c r="EO103" s="110"/>
      <c r="EP103" s="110"/>
      <c r="EQ103" s="110"/>
      <c r="ER103" s="110"/>
      <c r="ES103" s="110"/>
      <c r="ET103" s="110"/>
      <c r="EU103" s="110"/>
      <c r="EV103" s="110"/>
      <c r="EW103" s="110"/>
      <c r="EX103" s="110"/>
      <c r="EY103" s="110"/>
      <c r="EZ103" s="110"/>
      <c r="FA103" s="110"/>
      <c r="FB103" s="110"/>
      <c r="FC103" s="110"/>
      <c r="FD103" s="110"/>
      <c r="FE103" s="110"/>
      <c r="FF103" s="110"/>
      <c r="FG103" s="110"/>
      <c r="FH103" s="110"/>
      <c r="FI103" s="110"/>
      <c r="FJ103" s="110">
        <v>763592.32</v>
      </c>
      <c r="FK103" s="110"/>
      <c r="FL103" s="110"/>
      <c r="FM103" s="110"/>
      <c r="FN103" s="110"/>
      <c r="FO103" s="110"/>
      <c r="FP103" s="110"/>
      <c r="FQ103" s="110"/>
      <c r="FR103" s="110"/>
      <c r="FS103" s="110"/>
      <c r="FT103" s="110"/>
      <c r="FU103" s="110"/>
      <c r="FV103" s="110"/>
      <c r="FW103" s="110"/>
      <c r="FX103" s="110"/>
      <c r="FY103" s="110"/>
      <c r="FZ103" s="110"/>
      <c r="GA103" s="110"/>
      <c r="GB103" s="110"/>
      <c r="GC103" s="110"/>
      <c r="GD103" s="110"/>
      <c r="GE103" s="110"/>
      <c r="GF103" s="110"/>
      <c r="GG103" s="110"/>
      <c r="GH103" s="110"/>
      <c r="GI103" s="110"/>
      <c r="GJ103" s="110"/>
      <c r="GK103" s="110"/>
      <c r="GL103" s="110"/>
      <c r="GM103" s="110"/>
      <c r="GN103" s="110"/>
      <c r="GO103" s="110"/>
      <c r="GP103" s="110"/>
      <c r="GQ103" s="110"/>
      <c r="GR103" s="110"/>
      <c r="GS103" s="110"/>
      <c r="GT103" s="110"/>
      <c r="GU103" s="110"/>
      <c r="GV103" s="110"/>
      <c r="GW103" s="110"/>
      <c r="GX103" s="110"/>
      <c r="GY103" s="110"/>
      <c r="GZ103" s="110"/>
      <c r="HA103" s="110"/>
      <c r="HB103" s="110"/>
      <c r="HC103" s="110"/>
      <c r="HD103" s="110"/>
      <c r="HE103" s="110"/>
      <c r="HF103" s="110"/>
      <c r="HG103" s="110"/>
      <c r="HH103" s="110"/>
      <c r="HI103" s="110"/>
      <c r="HJ103" s="110"/>
      <c r="HK103" s="110"/>
      <c r="HL103" s="110"/>
      <c r="HM103" s="110"/>
      <c r="HN103" s="110"/>
      <c r="HO103" s="110"/>
      <c r="HP103" s="110"/>
      <c r="HQ103" s="110"/>
      <c r="HR103" s="110"/>
      <c r="HS103" s="110"/>
      <c r="HT103" s="110"/>
      <c r="HU103" s="110"/>
      <c r="HV103" s="110"/>
      <c r="HW103" s="110"/>
      <c r="HX103" s="110"/>
      <c r="HY103" s="110"/>
      <c r="HZ103" s="110"/>
      <c r="IA103" s="110"/>
      <c r="IB103" s="110"/>
      <c r="IC103" s="110"/>
      <c r="ID103" s="110"/>
      <c r="IE103" s="110"/>
      <c r="IF103" s="110"/>
      <c r="IG103" s="110"/>
      <c r="IH103" s="110"/>
      <c r="II103" s="110"/>
      <c r="IJ103" s="110"/>
      <c r="IK103" s="110"/>
      <c r="IL103" s="110"/>
      <c r="IM103" s="110"/>
      <c r="IN103" s="110"/>
      <c r="IO103" s="110"/>
      <c r="IP103" s="110"/>
      <c r="IQ103" s="110"/>
      <c r="IR103" s="110"/>
      <c r="IS103" s="110"/>
      <c r="IT103" s="110"/>
      <c r="IU103" s="110"/>
      <c r="IV103" s="110"/>
      <c r="IW103" s="110"/>
      <c r="IX103" s="110"/>
      <c r="IY103" s="110"/>
      <c r="IZ103" s="110"/>
      <c r="JA103" s="110"/>
      <c r="JB103" s="110"/>
      <c r="JC103" s="110"/>
      <c r="JD103" s="110"/>
      <c r="JE103" s="110"/>
      <c r="JF103" s="110"/>
      <c r="JG103" s="110"/>
      <c r="JH103" s="110"/>
      <c r="JI103" s="107">
        <f t="shared" si="3"/>
        <v>763592.32</v>
      </c>
      <c r="JJ103" s="297">
        <v>3232</v>
      </c>
      <c r="JK103" s="112"/>
      <c r="JL103" s="112"/>
      <c r="JM103" s="1"/>
      <c r="JN103" s="1"/>
      <c r="JO103" s="1"/>
      <c r="JP103" s="1"/>
    </row>
    <row r="104" spans="1:276" x14ac:dyDescent="0.25">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c r="AI104" s="110"/>
      <c r="AJ104" s="110"/>
      <c r="AK104" s="110"/>
      <c r="AL104" s="110"/>
      <c r="AM104" s="110"/>
      <c r="AN104" s="110"/>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c r="BX104" s="110"/>
      <c r="BY104" s="110"/>
      <c r="BZ104" s="110"/>
      <c r="CA104" s="110"/>
      <c r="CB104" s="110"/>
      <c r="CC104" s="110"/>
      <c r="CD104" s="110"/>
      <c r="CE104" s="110"/>
      <c r="CF104" s="110"/>
      <c r="CG104" s="110"/>
      <c r="CH104" s="110"/>
      <c r="CI104" s="110"/>
      <c r="CJ104" s="110"/>
      <c r="CK104" s="110"/>
      <c r="CL104" s="110"/>
      <c r="CM104" s="110"/>
      <c r="CN104" s="110"/>
      <c r="CO104" s="110"/>
      <c r="CP104" s="110"/>
      <c r="CQ104" s="110"/>
      <c r="CR104" s="110"/>
      <c r="CS104" s="110"/>
      <c r="CT104" s="110"/>
      <c r="CU104" s="110"/>
      <c r="CV104" s="110"/>
      <c r="CW104" s="110"/>
      <c r="CX104" s="110"/>
      <c r="CY104" s="110"/>
      <c r="CZ104" s="110"/>
      <c r="DA104" s="110"/>
      <c r="DB104" s="110"/>
      <c r="DC104" s="110"/>
      <c r="DD104" s="110"/>
      <c r="DE104" s="110"/>
      <c r="DF104" s="110"/>
      <c r="DG104" s="110"/>
      <c r="DH104" s="110"/>
      <c r="DI104" s="110"/>
      <c r="DJ104" s="110"/>
      <c r="DK104" s="110"/>
      <c r="DL104" s="110"/>
      <c r="DM104" s="110"/>
      <c r="DN104" s="110"/>
      <c r="DO104" s="110"/>
      <c r="DP104" s="110"/>
      <c r="DQ104" s="110"/>
      <c r="DR104" s="110"/>
      <c r="DS104" s="110"/>
      <c r="DT104" s="110"/>
      <c r="DU104" s="110"/>
      <c r="DV104" s="110"/>
      <c r="DW104" s="110"/>
      <c r="DX104" s="110"/>
      <c r="DY104" s="110"/>
      <c r="DZ104" s="110"/>
      <c r="EA104" s="110">
        <v>245700</v>
      </c>
      <c r="EB104" s="110"/>
      <c r="EC104" s="110"/>
      <c r="ED104" s="110"/>
      <c r="EE104" s="110"/>
      <c r="EF104" s="110"/>
      <c r="EG104" s="110"/>
      <c r="EH104" s="110"/>
      <c r="EI104" s="110"/>
      <c r="EJ104" s="110"/>
      <c r="EK104" s="110"/>
      <c r="EL104" s="110"/>
      <c r="EM104" s="110"/>
      <c r="EN104" s="110"/>
      <c r="EO104" s="110"/>
      <c r="EP104" s="110"/>
      <c r="EQ104" s="110"/>
      <c r="ER104" s="110"/>
      <c r="ES104" s="110"/>
      <c r="ET104" s="110"/>
      <c r="EU104" s="110"/>
      <c r="EV104" s="110"/>
      <c r="EW104" s="110"/>
      <c r="EX104" s="110"/>
      <c r="EY104" s="110"/>
      <c r="EZ104" s="110"/>
      <c r="FA104" s="110"/>
      <c r="FB104" s="110"/>
      <c r="FC104" s="110"/>
      <c r="FD104" s="110"/>
      <c r="FE104" s="110"/>
      <c r="FF104" s="110"/>
      <c r="FG104" s="110"/>
      <c r="FH104" s="110"/>
      <c r="FI104" s="110"/>
      <c r="FJ104" s="110"/>
      <c r="FK104" s="110"/>
      <c r="FL104" s="110"/>
      <c r="FM104" s="110"/>
      <c r="FN104" s="110"/>
      <c r="FO104" s="110"/>
      <c r="FP104" s="110"/>
      <c r="FQ104" s="110"/>
      <c r="FR104" s="110"/>
      <c r="FS104" s="110"/>
      <c r="FT104" s="110"/>
      <c r="FU104" s="110"/>
      <c r="FV104" s="110"/>
      <c r="FW104" s="110"/>
      <c r="FX104" s="110"/>
      <c r="FY104" s="110"/>
      <c r="FZ104" s="110"/>
      <c r="GA104" s="110"/>
      <c r="GB104" s="110"/>
      <c r="GC104" s="110"/>
      <c r="GD104" s="110"/>
      <c r="GE104" s="110"/>
      <c r="GF104" s="110"/>
      <c r="GG104" s="110"/>
      <c r="GH104" s="110"/>
      <c r="GI104" s="110"/>
      <c r="GJ104" s="110"/>
      <c r="GK104" s="110"/>
      <c r="GL104" s="110"/>
      <c r="GM104" s="110"/>
      <c r="GN104" s="110"/>
      <c r="GO104" s="110"/>
      <c r="GP104" s="110"/>
      <c r="GQ104" s="110"/>
      <c r="GR104" s="110"/>
      <c r="GS104" s="110"/>
      <c r="GT104" s="110"/>
      <c r="GU104" s="110"/>
      <c r="GV104" s="110"/>
      <c r="GW104" s="110"/>
      <c r="GX104" s="110"/>
      <c r="GY104" s="110"/>
      <c r="GZ104" s="110"/>
      <c r="HA104" s="110"/>
      <c r="HB104" s="110"/>
      <c r="HC104" s="110"/>
      <c r="HD104" s="110"/>
      <c r="HE104" s="110"/>
      <c r="HF104" s="110"/>
      <c r="HG104" s="110"/>
      <c r="HH104" s="110"/>
      <c r="HI104" s="110"/>
      <c r="HJ104" s="110"/>
      <c r="HK104" s="110"/>
      <c r="HL104" s="110"/>
      <c r="HM104" s="110"/>
      <c r="HN104" s="110"/>
      <c r="HO104" s="110"/>
      <c r="HP104" s="110"/>
      <c r="HQ104" s="110"/>
      <c r="HR104" s="110"/>
      <c r="HS104" s="110"/>
      <c r="HT104" s="110"/>
      <c r="HU104" s="110"/>
      <c r="HV104" s="110"/>
      <c r="HW104" s="110"/>
      <c r="HX104" s="110"/>
      <c r="HY104" s="110"/>
      <c r="HZ104" s="110"/>
      <c r="IA104" s="110"/>
      <c r="IB104" s="110"/>
      <c r="IC104" s="110"/>
      <c r="ID104" s="110"/>
      <c r="IE104" s="110"/>
      <c r="IF104" s="110"/>
      <c r="IG104" s="110"/>
      <c r="IH104" s="110"/>
      <c r="II104" s="110"/>
      <c r="IJ104" s="110"/>
      <c r="IK104" s="110"/>
      <c r="IL104" s="110"/>
      <c r="IM104" s="110"/>
      <c r="IN104" s="110"/>
      <c r="IO104" s="110"/>
      <c r="IP104" s="110"/>
      <c r="IQ104" s="110"/>
      <c r="IR104" s="110"/>
      <c r="IS104" s="110"/>
      <c r="IT104" s="110"/>
      <c r="IU104" s="110"/>
      <c r="IV104" s="110"/>
      <c r="IW104" s="110"/>
      <c r="IX104" s="110"/>
      <c r="IY104" s="110"/>
      <c r="IZ104" s="110"/>
      <c r="JA104" s="110"/>
      <c r="JB104" s="110"/>
      <c r="JC104" s="110"/>
      <c r="JD104" s="110"/>
      <c r="JE104" s="110"/>
      <c r="JF104" s="110"/>
      <c r="JG104" s="110"/>
      <c r="JH104" s="110"/>
      <c r="JI104" s="107">
        <f t="shared" si="3"/>
        <v>245700</v>
      </c>
      <c r="JJ104" s="297">
        <v>3233</v>
      </c>
      <c r="JK104" s="112"/>
      <c r="JL104" s="112"/>
      <c r="JM104" s="1"/>
      <c r="JN104" s="1"/>
      <c r="JO104" s="1"/>
      <c r="JP104" s="1"/>
    </row>
    <row r="105" spans="1:276" x14ac:dyDescent="0.2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c r="AI105" s="110"/>
      <c r="AJ105" s="110"/>
      <c r="AK105" s="110"/>
      <c r="AL105" s="110"/>
      <c r="AM105" s="110"/>
      <c r="AN105" s="110"/>
      <c r="AO105" s="110"/>
      <c r="AP105" s="110"/>
      <c r="AQ105" s="110"/>
      <c r="AR105" s="110"/>
      <c r="AS105" s="110"/>
      <c r="AT105" s="110"/>
      <c r="AU105" s="110"/>
      <c r="AV105" s="110"/>
      <c r="AW105" s="110"/>
      <c r="AX105" s="110"/>
      <c r="AY105" s="110"/>
      <c r="AZ105" s="110"/>
      <c r="BA105" s="110"/>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c r="BX105" s="110"/>
      <c r="BY105" s="110"/>
      <c r="BZ105" s="110"/>
      <c r="CA105" s="110"/>
      <c r="CB105" s="110"/>
      <c r="CC105" s="110"/>
      <c r="CD105" s="110"/>
      <c r="CE105" s="110"/>
      <c r="CF105" s="110"/>
      <c r="CG105" s="110"/>
      <c r="CH105" s="110"/>
      <c r="CI105" s="110"/>
      <c r="CJ105" s="110"/>
      <c r="CK105" s="110"/>
      <c r="CL105" s="110"/>
      <c r="CM105" s="110"/>
      <c r="CN105" s="110"/>
      <c r="CO105" s="110"/>
      <c r="CP105" s="110"/>
      <c r="CQ105" s="110"/>
      <c r="CR105" s="110"/>
      <c r="CS105" s="110"/>
      <c r="CT105" s="110"/>
      <c r="CU105" s="110"/>
      <c r="CV105" s="110"/>
      <c r="CW105" s="110"/>
      <c r="CX105" s="110"/>
      <c r="CY105" s="110"/>
      <c r="CZ105" s="110"/>
      <c r="DA105" s="110"/>
      <c r="DB105" s="110"/>
      <c r="DC105" s="110"/>
      <c r="DD105" s="110"/>
      <c r="DE105" s="110"/>
      <c r="DF105" s="110"/>
      <c r="DG105" s="110"/>
      <c r="DH105" s="110"/>
      <c r="DI105" s="110"/>
      <c r="DJ105" s="110"/>
      <c r="DK105" s="110"/>
      <c r="DL105" s="110"/>
      <c r="DM105" s="110"/>
      <c r="DN105" s="110"/>
      <c r="DO105" s="110"/>
      <c r="DP105" s="110"/>
      <c r="DQ105" s="110"/>
      <c r="DR105" s="110"/>
      <c r="DS105" s="110"/>
      <c r="DT105" s="110"/>
      <c r="DU105" s="110"/>
      <c r="DV105" s="110"/>
      <c r="DW105" s="110"/>
      <c r="DX105" s="110"/>
      <c r="DY105" s="110"/>
      <c r="DZ105" s="110"/>
      <c r="EA105" s="110"/>
      <c r="EB105" s="110"/>
      <c r="EC105" s="110"/>
      <c r="ED105" s="110"/>
      <c r="EE105" s="110"/>
      <c r="EF105" s="110"/>
      <c r="EG105" s="110"/>
      <c r="EH105" s="110"/>
      <c r="EI105" s="110"/>
      <c r="EJ105" s="110"/>
      <c r="EK105" s="110"/>
      <c r="EL105" s="110"/>
      <c r="EM105" s="110"/>
      <c r="EN105" s="110"/>
      <c r="EO105" s="110"/>
      <c r="EP105" s="110"/>
      <c r="EQ105" s="110"/>
      <c r="ER105" s="110"/>
      <c r="ES105" s="110"/>
      <c r="ET105" s="110"/>
      <c r="EU105" s="110"/>
      <c r="EV105" s="110"/>
      <c r="EW105" s="110"/>
      <c r="EX105" s="110"/>
      <c r="EY105" s="110"/>
      <c r="EZ105" s="110"/>
      <c r="FA105" s="110"/>
      <c r="FB105" s="110"/>
      <c r="FC105" s="110"/>
      <c r="FD105" s="110"/>
      <c r="FE105" s="110"/>
      <c r="FF105" s="110"/>
      <c r="FG105" s="110"/>
      <c r="FH105" s="110"/>
      <c r="FI105" s="110"/>
      <c r="FJ105" s="110">
        <v>232175.72</v>
      </c>
      <c r="FK105" s="110"/>
      <c r="FL105" s="110"/>
      <c r="FM105" s="110"/>
      <c r="FN105" s="110"/>
      <c r="FO105" s="110"/>
      <c r="FP105" s="110"/>
      <c r="FQ105" s="110"/>
      <c r="FR105" s="110"/>
      <c r="FS105" s="110"/>
      <c r="FT105" s="110"/>
      <c r="FU105" s="110"/>
      <c r="FV105" s="110"/>
      <c r="FW105" s="110"/>
      <c r="FX105" s="110"/>
      <c r="FY105" s="110"/>
      <c r="FZ105" s="110"/>
      <c r="GA105" s="110"/>
      <c r="GB105" s="110"/>
      <c r="GC105" s="110"/>
      <c r="GD105" s="110"/>
      <c r="GE105" s="110"/>
      <c r="GF105" s="110"/>
      <c r="GG105" s="110"/>
      <c r="GH105" s="110"/>
      <c r="GI105" s="110"/>
      <c r="GJ105" s="110"/>
      <c r="GK105" s="110"/>
      <c r="GL105" s="110"/>
      <c r="GM105" s="110"/>
      <c r="GN105" s="110"/>
      <c r="GO105" s="110"/>
      <c r="GP105" s="110"/>
      <c r="GQ105" s="110"/>
      <c r="GR105" s="110"/>
      <c r="GS105" s="110"/>
      <c r="GT105" s="110"/>
      <c r="GU105" s="110"/>
      <c r="GV105" s="110"/>
      <c r="GW105" s="110"/>
      <c r="GX105" s="110"/>
      <c r="GY105" s="110"/>
      <c r="GZ105" s="110"/>
      <c r="HA105" s="110"/>
      <c r="HB105" s="110"/>
      <c r="HC105" s="110"/>
      <c r="HD105" s="110"/>
      <c r="HE105" s="110"/>
      <c r="HF105" s="110"/>
      <c r="HG105" s="110"/>
      <c r="HH105" s="110"/>
      <c r="HI105" s="110"/>
      <c r="HJ105" s="110"/>
      <c r="HK105" s="110"/>
      <c r="HL105" s="110"/>
      <c r="HM105" s="110"/>
      <c r="HN105" s="110"/>
      <c r="HO105" s="110"/>
      <c r="HP105" s="110"/>
      <c r="HQ105" s="110"/>
      <c r="HR105" s="110"/>
      <c r="HS105" s="110"/>
      <c r="HT105" s="110"/>
      <c r="HU105" s="110"/>
      <c r="HV105" s="110"/>
      <c r="HW105" s="110"/>
      <c r="HX105" s="110"/>
      <c r="HY105" s="110"/>
      <c r="HZ105" s="110"/>
      <c r="IA105" s="110"/>
      <c r="IB105" s="110"/>
      <c r="IC105" s="110"/>
      <c r="ID105" s="110"/>
      <c r="IE105" s="110"/>
      <c r="IF105" s="110"/>
      <c r="IG105" s="110"/>
      <c r="IH105" s="110"/>
      <c r="II105" s="110"/>
      <c r="IJ105" s="110"/>
      <c r="IK105" s="110"/>
      <c r="IL105" s="110"/>
      <c r="IM105" s="110"/>
      <c r="IN105" s="110"/>
      <c r="IO105" s="110"/>
      <c r="IP105" s="110"/>
      <c r="IQ105" s="110"/>
      <c r="IR105" s="110"/>
      <c r="IS105" s="110"/>
      <c r="IT105" s="110"/>
      <c r="IU105" s="110"/>
      <c r="IV105" s="110"/>
      <c r="IW105" s="110"/>
      <c r="IX105" s="110"/>
      <c r="IY105" s="110"/>
      <c r="IZ105" s="110"/>
      <c r="JA105" s="110"/>
      <c r="JB105" s="110"/>
      <c r="JC105" s="110"/>
      <c r="JD105" s="110"/>
      <c r="JE105" s="110"/>
      <c r="JF105" s="110"/>
      <c r="JG105" s="110"/>
      <c r="JH105" s="110"/>
      <c r="JI105" s="107">
        <f t="shared" si="3"/>
        <v>232175.72</v>
      </c>
      <c r="JJ105" s="297">
        <v>3239</v>
      </c>
      <c r="JK105" s="112"/>
      <c r="JL105" s="112"/>
      <c r="JM105" s="1"/>
      <c r="JN105" s="1"/>
      <c r="JO105" s="1"/>
      <c r="JP105" s="1"/>
    </row>
    <row r="106" spans="1:276" x14ac:dyDescent="0.25">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c r="CI106" s="110"/>
      <c r="CJ106" s="110"/>
      <c r="CK106" s="110"/>
      <c r="CL106" s="110"/>
      <c r="CM106" s="110"/>
      <c r="CN106" s="110"/>
      <c r="CO106" s="110"/>
      <c r="CP106" s="110"/>
      <c r="CQ106" s="110"/>
      <c r="CR106" s="110"/>
      <c r="CS106" s="110"/>
      <c r="CT106" s="110"/>
      <c r="CU106" s="110"/>
      <c r="CV106" s="110"/>
      <c r="CW106" s="110"/>
      <c r="CX106" s="110"/>
      <c r="CY106" s="110"/>
      <c r="CZ106" s="110"/>
      <c r="DA106" s="110"/>
      <c r="DB106" s="110"/>
      <c r="DC106" s="110"/>
      <c r="DD106" s="110"/>
      <c r="DE106" s="110"/>
      <c r="DF106" s="110"/>
      <c r="DG106" s="110"/>
      <c r="DH106" s="110"/>
      <c r="DI106" s="110"/>
      <c r="DJ106" s="110"/>
      <c r="DK106" s="110"/>
      <c r="DL106" s="110"/>
      <c r="DM106" s="110"/>
      <c r="DN106" s="110"/>
      <c r="DO106" s="110"/>
      <c r="DP106" s="110"/>
      <c r="DQ106" s="110"/>
      <c r="DR106" s="110"/>
      <c r="DS106" s="110"/>
      <c r="DT106" s="110"/>
      <c r="DU106" s="110"/>
      <c r="DV106" s="110"/>
      <c r="DW106" s="110"/>
      <c r="DX106" s="110"/>
      <c r="DY106" s="110"/>
      <c r="DZ106" s="110"/>
      <c r="EA106" s="110"/>
      <c r="EB106" s="110"/>
      <c r="EC106" s="110"/>
      <c r="ED106" s="110"/>
      <c r="EE106" s="110"/>
      <c r="EF106" s="110"/>
      <c r="EG106" s="110"/>
      <c r="EH106" s="110"/>
      <c r="EI106" s="110"/>
      <c r="EJ106" s="110"/>
      <c r="EK106" s="110"/>
      <c r="EL106" s="110"/>
      <c r="EM106" s="110"/>
      <c r="EN106" s="110"/>
      <c r="EO106" s="110"/>
      <c r="EP106" s="110"/>
      <c r="EQ106" s="110"/>
      <c r="ER106" s="110"/>
      <c r="ES106" s="110"/>
      <c r="ET106" s="110"/>
      <c r="EU106" s="110"/>
      <c r="EV106" s="110"/>
      <c r="EW106" s="110"/>
      <c r="EX106" s="110"/>
      <c r="EY106" s="110"/>
      <c r="EZ106" s="110"/>
      <c r="FA106" s="110"/>
      <c r="FB106" s="110"/>
      <c r="FC106" s="110"/>
      <c r="FD106" s="110"/>
      <c r="FE106" s="110"/>
      <c r="FF106" s="110"/>
      <c r="FG106" s="110"/>
      <c r="FH106" s="110"/>
      <c r="FI106" s="110"/>
      <c r="FJ106" s="110">
        <v>410374</v>
      </c>
      <c r="FK106" s="110"/>
      <c r="FL106" s="110"/>
      <c r="FM106" s="110"/>
      <c r="FN106" s="110"/>
      <c r="FO106" s="110"/>
      <c r="FP106" s="110"/>
      <c r="FQ106" s="110"/>
      <c r="FR106" s="110"/>
      <c r="FS106" s="110"/>
      <c r="FT106" s="110"/>
      <c r="FU106" s="110"/>
      <c r="FV106" s="110"/>
      <c r="FW106" s="110"/>
      <c r="FX106" s="110"/>
      <c r="FY106" s="110"/>
      <c r="FZ106" s="110"/>
      <c r="GA106" s="110"/>
      <c r="GB106" s="110"/>
      <c r="GC106" s="110"/>
      <c r="GD106" s="110"/>
      <c r="GE106" s="110"/>
      <c r="GF106" s="110"/>
      <c r="GG106" s="110"/>
      <c r="GH106" s="110"/>
      <c r="GI106" s="110"/>
      <c r="GJ106" s="110"/>
      <c r="GK106" s="110"/>
      <c r="GL106" s="110"/>
      <c r="GM106" s="110"/>
      <c r="GN106" s="110"/>
      <c r="GO106" s="110"/>
      <c r="GP106" s="110"/>
      <c r="GQ106" s="110"/>
      <c r="GR106" s="110"/>
      <c r="GS106" s="110"/>
      <c r="GT106" s="110"/>
      <c r="GU106" s="110"/>
      <c r="GV106" s="110"/>
      <c r="GW106" s="110"/>
      <c r="GX106" s="110"/>
      <c r="GY106" s="110"/>
      <c r="GZ106" s="110"/>
      <c r="HA106" s="110"/>
      <c r="HB106" s="110"/>
      <c r="HC106" s="110"/>
      <c r="HD106" s="110"/>
      <c r="HE106" s="110"/>
      <c r="HF106" s="110"/>
      <c r="HG106" s="110"/>
      <c r="HH106" s="110"/>
      <c r="HI106" s="110"/>
      <c r="HJ106" s="110"/>
      <c r="HK106" s="110"/>
      <c r="HL106" s="110"/>
      <c r="HM106" s="110"/>
      <c r="HN106" s="110"/>
      <c r="HO106" s="110"/>
      <c r="HP106" s="110"/>
      <c r="HQ106" s="110"/>
      <c r="HR106" s="110"/>
      <c r="HS106" s="110"/>
      <c r="HT106" s="110"/>
      <c r="HU106" s="110"/>
      <c r="HV106" s="110"/>
      <c r="HW106" s="110"/>
      <c r="HX106" s="110"/>
      <c r="HY106" s="110"/>
      <c r="HZ106" s="110"/>
      <c r="IA106" s="110"/>
      <c r="IB106" s="110"/>
      <c r="IC106" s="110"/>
      <c r="ID106" s="110"/>
      <c r="IE106" s="110"/>
      <c r="IF106" s="110"/>
      <c r="IG106" s="110"/>
      <c r="IH106" s="110"/>
      <c r="II106" s="110"/>
      <c r="IJ106" s="110"/>
      <c r="IK106" s="110"/>
      <c r="IL106" s="110"/>
      <c r="IM106" s="110"/>
      <c r="IN106" s="110"/>
      <c r="IO106" s="110"/>
      <c r="IP106" s="110"/>
      <c r="IQ106" s="110"/>
      <c r="IR106" s="110"/>
      <c r="IS106" s="110"/>
      <c r="IT106" s="110"/>
      <c r="IU106" s="110"/>
      <c r="IV106" s="110"/>
      <c r="IW106" s="110"/>
      <c r="IX106" s="110"/>
      <c r="IY106" s="110"/>
      <c r="IZ106" s="110"/>
      <c r="JA106" s="110"/>
      <c r="JB106" s="110"/>
      <c r="JC106" s="110"/>
      <c r="JD106" s="110"/>
      <c r="JE106" s="110"/>
      <c r="JF106" s="110"/>
      <c r="JG106" s="110"/>
      <c r="JH106" s="110"/>
      <c r="JI106" s="107">
        <f t="shared" si="3"/>
        <v>410374</v>
      </c>
      <c r="JJ106" s="297">
        <v>3243</v>
      </c>
      <c r="JK106" s="112"/>
      <c r="JL106" s="112"/>
      <c r="JM106" s="1"/>
      <c r="JN106" s="1"/>
      <c r="JO106" s="1"/>
      <c r="JP106" s="1"/>
    </row>
    <row r="107" spans="1:276" x14ac:dyDescent="0.25">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c r="AI107" s="110"/>
      <c r="AJ107" s="110"/>
      <c r="AK107" s="110"/>
      <c r="AL107" s="110"/>
      <c r="AM107" s="110"/>
      <c r="AN107" s="110"/>
      <c r="AO107" s="110"/>
      <c r="AP107" s="110"/>
      <c r="AQ107" s="110"/>
      <c r="AR107" s="110"/>
      <c r="AS107" s="110"/>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c r="BX107" s="110"/>
      <c r="BY107" s="110"/>
      <c r="BZ107" s="110"/>
      <c r="CA107" s="110"/>
      <c r="CB107" s="110"/>
      <c r="CC107" s="110"/>
      <c r="CD107" s="110"/>
      <c r="CE107" s="110"/>
      <c r="CF107" s="110"/>
      <c r="CG107" s="110"/>
      <c r="CH107" s="110"/>
      <c r="CI107" s="110"/>
      <c r="CJ107" s="110"/>
      <c r="CK107" s="110"/>
      <c r="CL107" s="110"/>
      <c r="CM107" s="110"/>
      <c r="CN107" s="110"/>
      <c r="CO107" s="110"/>
      <c r="CP107" s="110"/>
      <c r="CQ107" s="110"/>
      <c r="CR107" s="110"/>
      <c r="CS107" s="110"/>
      <c r="CT107" s="110"/>
      <c r="CU107" s="110"/>
      <c r="CV107" s="110"/>
      <c r="CW107" s="110"/>
      <c r="CX107" s="110"/>
      <c r="CY107" s="110"/>
      <c r="CZ107" s="110"/>
      <c r="DA107" s="110"/>
      <c r="DB107" s="110"/>
      <c r="DC107" s="110"/>
      <c r="DD107" s="110"/>
      <c r="DE107" s="110"/>
      <c r="DF107" s="110"/>
      <c r="DG107" s="110"/>
      <c r="DH107" s="110"/>
      <c r="DI107" s="110"/>
      <c r="DJ107" s="110"/>
      <c r="DK107" s="110"/>
      <c r="DL107" s="110"/>
      <c r="DM107" s="110"/>
      <c r="DN107" s="110"/>
      <c r="DO107" s="110"/>
      <c r="DP107" s="110"/>
      <c r="DQ107" s="110"/>
      <c r="DR107" s="110"/>
      <c r="DS107" s="110"/>
      <c r="DT107" s="110"/>
      <c r="DU107" s="110"/>
      <c r="DV107" s="110"/>
      <c r="DW107" s="110"/>
      <c r="DX107" s="110"/>
      <c r="DY107" s="110"/>
      <c r="DZ107" s="110"/>
      <c r="EA107" s="110"/>
      <c r="EB107" s="110"/>
      <c r="EC107" s="110"/>
      <c r="ED107" s="110"/>
      <c r="EE107" s="110"/>
      <c r="EF107" s="110"/>
      <c r="EG107" s="110"/>
      <c r="EH107" s="110"/>
      <c r="EI107" s="110"/>
      <c r="EJ107" s="110"/>
      <c r="EK107" s="110"/>
      <c r="EL107" s="110"/>
      <c r="EM107" s="110"/>
      <c r="EN107" s="110"/>
      <c r="EO107" s="110"/>
      <c r="EP107" s="110"/>
      <c r="EQ107" s="110"/>
      <c r="ER107" s="110"/>
      <c r="ES107" s="110"/>
      <c r="ET107" s="110"/>
      <c r="EU107" s="110"/>
      <c r="EV107" s="110"/>
      <c r="EW107" s="110"/>
      <c r="EX107" s="110"/>
      <c r="EY107" s="110"/>
      <c r="EZ107" s="110"/>
      <c r="FA107" s="110"/>
      <c r="FB107" s="110"/>
      <c r="FC107" s="110"/>
      <c r="FD107" s="110"/>
      <c r="FE107" s="110"/>
      <c r="FF107" s="110"/>
      <c r="FG107" s="110"/>
      <c r="FH107" s="110"/>
      <c r="FI107" s="110"/>
      <c r="FJ107" s="110">
        <v>385293.8</v>
      </c>
      <c r="FK107" s="110"/>
      <c r="FL107" s="110"/>
      <c r="FM107" s="110"/>
      <c r="FN107" s="110"/>
      <c r="FO107" s="110"/>
      <c r="FP107" s="110"/>
      <c r="FQ107" s="110"/>
      <c r="FR107" s="110"/>
      <c r="FS107" s="110"/>
      <c r="FT107" s="110"/>
      <c r="FU107" s="110"/>
      <c r="FV107" s="110"/>
      <c r="FW107" s="110"/>
      <c r="FX107" s="110"/>
      <c r="FY107" s="110"/>
      <c r="FZ107" s="110"/>
      <c r="GA107" s="110"/>
      <c r="GB107" s="110"/>
      <c r="GC107" s="110"/>
      <c r="GD107" s="110"/>
      <c r="GE107" s="110"/>
      <c r="GF107" s="110"/>
      <c r="GG107" s="110"/>
      <c r="GH107" s="110"/>
      <c r="GI107" s="110"/>
      <c r="GJ107" s="110"/>
      <c r="GK107" s="110"/>
      <c r="GL107" s="110"/>
      <c r="GM107" s="110"/>
      <c r="GN107" s="110"/>
      <c r="GO107" s="110"/>
      <c r="GP107" s="110"/>
      <c r="GQ107" s="110"/>
      <c r="GR107" s="110"/>
      <c r="GS107" s="110"/>
      <c r="GT107" s="110"/>
      <c r="GU107" s="110"/>
      <c r="GV107" s="110"/>
      <c r="GW107" s="110"/>
      <c r="GX107" s="110"/>
      <c r="GY107" s="110"/>
      <c r="GZ107" s="110"/>
      <c r="HA107" s="110"/>
      <c r="HB107" s="110"/>
      <c r="HC107" s="110"/>
      <c r="HD107" s="110"/>
      <c r="HE107" s="110"/>
      <c r="HF107" s="110"/>
      <c r="HG107" s="110"/>
      <c r="HH107" s="110"/>
      <c r="HI107" s="110"/>
      <c r="HJ107" s="110"/>
      <c r="HK107" s="110"/>
      <c r="HL107" s="110"/>
      <c r="HM107" s="110"/>
      <c r="HN107" s="110"/>
      <c r="HO107" s="110"/>
      <c r="HP107" s="110"/>
      <c r="HQ107" s="110"/>
      <c r="HR107" s="110"/>
      <c r="HS107" s="110"/>
      <c r="HT107" s="110"/>
      <c r="HU107" s="110"/>
      <c r="HV107" s="110"/>
      <c r="HW107" s="110"/>
      <c r="HX107" s="110"/>
      <c r="HY107" s="110"/>
      <c r="HZ107" s="110"/>
      <c r="IA107" s="110"/>
      <c r="IB107" s="110"/>
      <c r="IC107" s="110"/>
      <c r="ID107" s="110"/>
      <c r="IE107" s="110"/>
      <c r="IF107" s="110"/>
      <c r="IG107" s="110"/>
      <c r="IH107" s="110"/>
      <c r="II107" s="110"/>
      <c r="IJ107" s="110"/>
      <c r="IK107" s="110"/>
      <c r="IL107" s="110"/>
      <c r="IM107" s="110"/>
      <c r="IN107" s="110"/>
      <c r="IO107" s="110"/>
      <c r="IP107" s="110"/>
      <c r="IQ107" s="110"/>
      <c r="IR107" s="110"/>
      <c r="IS107" s="110"/>
      <c r="IT107" s="110"/>
      <c r="IU107" s="110"/>
      <c r="IV107" s="110"/>
      <c r="IW107" s="110"/>
      <c r="IX107" s="110"/>
      <c r="IY107" s="110"/>
      <c r="IZ107" s="110"/>
      <c r="JA107" s="110"/>
      <c r="JB107" s="110"/>
      <c r="JC107" s="110"/>
      <c r="JD107" s="110"/>
      <c r="JE107" s="110"/>
      <c r="JF107" s="110"/>
      <c r="JG107" s="110"/>
      <c r="JH107" s="110"/>
      <c r="JI107" s="107">
        <f t="shared" si="3"/>
        <v>385293.8</v>
      </c>
      <c r="JJ107" s="297">
        <v>3249</v>
      </c>
      <c r="JK107" s="112"/>
      <c r="JL107" s="112"/>
      <c r="JM107" s="1"/>
      <c r="JN107" s="1"/>
      <c r="JO107" s="1"/>
      <c r="JP107" s="1"/>
    </row>
    <row r="108" spans="1:276" x14ac:dyDescent="0.25">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c r="BX108" s="110"/>
      <c r="BY108" s="110"/>
      <c r="BZ108" s="110"/>
      <c r="CA108" s="110"/>
      <c r="CB108" s="110"/>
      <c r="CC108" s="110"/>
      <c r="CD108" s="110"/>
      <c r="CE108" s="110"/>
      <c r="CF108" s="110"/>
      <c r="CG108" s="110"/>
      <c r="CH108" s="110"/>
      <c r="CI108" s="110"/>
      <c r="CJ108" s="110"/>
      <c r="CK108" s="110"/>
      <c r="CL108" s="110"/>
      <c r="CM108" s="110"/>
      <c r="CN108" s="110"/>
      <c r="CO108" s="110"/>
      <c r="CP108" s="110"/>
      <c r="CQ108" s="110"/>
      <c r="CR108" s="110"/>
      <c r="CS108" s="110"/>
      <c r="CT108" s="110"/>
      <c r="CU108" s="110"/>
      <c r="CV108" s="110"/>
      <c r="CW108" s="110"/>
      <c r="CX108" s="110"/>
      <c r="CY108" s="110"/>
      <c r="CZ108" s="110"/>
      <c r="DA108" s="110"/>
      <c r="DB108" s="110"/>
      <c r="DC108" s="110"/>
      <c r="DD108" s="110"/>
      <c r="DE108" s="110"/>
      <c r="DF108" s="110"/>
      <c r="DG108" s="110"/>
      <c r="DH108" s="110"/>
      <c r="DI108" s="110"/>
      <c r="DJ108" s="110"/>
      <c r="DK108" s="110"/>
      <c r="DL108" s="110"/>
      <c r="DM108" s="110"/>
      <c r="DN108" s="110"/>
      <c r="DO108" s="110"/>
      <c r="DP108" s="110"/>
      <c r="DQ108" s="110"/>
      <c r="DR108" s="110"/>
      <c r="DS108" s="110"/>
      <c r="DT108" s="110"/>
      <c r="DU108" s="110">
        <v>269040</v>
      </c>
      <c r="DV108" s="110"/>
      <c r="DW108" s="110"/>
      <c r="DX108" s="110"/>
      <c r="DY108" s="110"/>
      <c r="DZ108" s="110"/>
      <c r="EA108" s="110"/>
      <c r="EB108" s="110"/>
      <c r="EC108" s="110"/>
      <c r="ED108" s="110"/>
      <c r="EE108" s="110"/>
      <c r="EF108" s="110"/>
      <c r="EG108" s="110"/>
      <c r="EH108" s="110"/>
      <c r="EI108" s="110"/>
      <c r="EJ108" s="110"/>
      <c r="EK108" s="110"/>
      <c r="EL108" s="110"/>
      <c r="EM108" s="110"/>
      <c r="EN108" s="110"/>
      <c r="EO108" s="110"/>
      <c r="EP108" s="110"/>
      <c r="EQ108" s="110"/>
      <c r="ER108" s="110"/>
      <c r="ES108" s="110"/>
      <c r="ET108" s="110"/>
      <c r="EU108" s="110"/>
      <c r="EV108" s="110"/>
      <c r="EW108" s="110"/>
      <c r="EX108" s="110"/>
      <c r="EY108" s="110"/>
      <c r="EZ108" s="110"/>
      <c r="FA108" s="110"/>
      <c r="FB108" s="110"/>
      <c r="FC108" s="110"/>
      <c r="FD108" s="110"/>
      <c r="FE108" s="110"/>
      <c r="FF108" s="110"/>
      <c r="FG108" s="110"/>
      <c r="FH108" s="110"/>
      <c r="FI108" s="110"/>
      <c r="FJ108" s="110"/>
      <c r="FK108" s="110"/>
      <c r="FL108" s="110"/>
      <c r="FM108" s="110"/>
      <c r="FN108" s="110"/>
      <c r="FO108" s="110"/>
      <c r="FP108" s="110"/>
      <c r="FQ108" s="110"/>
      <c r="FR108" s="110"/>
      <c r="FS108" s="110"/>
      <c r="FT108" s="110"/>
      <c r="FU108" s="110"/>
      <c r="FV108" s="110"/>
      <c r="FW108" s="110"/>
      <c r="FX108" s="110"/>
      <c r="FY108" s="110"/>
      <c r="FZ108" s="110"/>
      <c r="GA108" s="110"/>
      <c r="GB108" s="110"/>
      <c r="GC108" s="110"/>
      <c r="GD108" s="110"/>
      <c r="GE108" s="110"/>
      <c r="GF108" s="110"/>
      <c r="GG108" s="110"/>
      <c r="GH108" s="110"/>
      <c r="GI108" s="110"/>
      <c r="GJ108" s="110"/>
      <c r="GK108" s="110"/>
      <c r="GL108" s="110"/>
      <c r="GM108" s="110"/>
      <c r="GN108" s="110"/>
      <c r="GO108" s="110"/>
      <c r="GP108" s="110"/>
      <c r="GQ108" s="110"/>
      <c r="GR108" s="110"/>
      <c r="GS108" s="110"/>
      <c r="GT108" s="110"/>
      <c r="GU108" s="110"/>
      <c r="GV108" s="110"/>
      <c r="GW108" s="110"/>
      <c r="GX108" s="110"/>
      <c r="GY108" s="110"/>
      <c r="GZ108" s="110"/>
      <c r="HA108" s="110"/>
      <c r="HB108" s="110"/>
      <c r="HC108" s="110"/>
      <c r="HD108" s="110"/>
      <c r="HE108" s="110"/>
      <c r="HF108" s="110"/>
      <c r="HG108" s="110"/>
      <c r="HH108" s="110"/>
      <c r="HI108" s="110"/>
      <c r="HJ108" s="110"/>
      <c r="HK108" s="110"/>
      <c r="HL108" s="110"/>
      <c r="HM108" s="110"/>
      <c r="HN108" s="110"/>
      <c r="HO108" s="110"/>
      <c r="HP108" s="110"/>
      <c r="HQ108" s="110"/>
      <c r="HR108" s="110"/>
      <c r="HS108" s="110"/>
      <c r="HT108" s="110"/>
      <c r="HU108" s="110"/>
      <c r="HV108" s="110"/>
      <c r="HW108" s="110"/>
      <c r="HX108" s="110"/>
      <c r="HY108" s="110"/>
      <c r="HZ108" s="110"/>
      <c r="IA108" s="110"/>
      <c r="IB108" s="110"/>
      <c r="IC108" s="110"/>
      <c r="ID108" s="110"/>
      <c r="IE108" s="110"/>
      <c r="IF108" s="110"/>
      <c r="IG108" s="110"/>
      <c r="IH108" s="110"/>
      <c r="II108" s="110"/>
      <c r="IJ108" s="110"/>
      <c r="IK108" s="110"/>
      <c r="IL108" s="110"/>
      <c r="IM108" s="110"/>
      <c r="IN108" s="110"/>
      <c r="IO108" s="110"/>
      <c r="IP108" s="110"/>
      <c r="IQ108" s="110"/>
      <c r="IR108" s="110"/>
      <c r="IS108" s="110"/>
      <c r="IT108" s="110"/>
      <c r="IU108" s="110"/>
      <c r="IV108" s="110"/>
      <c r="IW108" s="110"/>
      <c r="IX108" s="110"/>
      <c r="IY108" s="110"/>
      <c r="IZ108" s="110"/>
      <c r="JA108" s="110"/>
      <c r="JB108" s="110"/>
      <c r="JC108" s="110"/>
      <c r="JD108" s="110"/>
      <c r="JE108" s="110"/>
      <c r="JF108" s="110"/>
      <c r="JG108" s="110"/>
      <c r="JH108" s="110"/>
      <c r="JI108" s="107">
        <f t="shared" si="3"/>
        <v>269040</v>
      </c>
      <c r="JJ108" s="297">
        <v>3253</v>
      </c>
      <c r="JK108" s="112"/>
      <c r="JL108" s="112"/>
      <c r="JM108" s="1"/>
      <c r="JN108" s="1"/>
      <c r="JO108" s="1"/>
      <c r="JP108" s="1"/>
    </row>
    <row r="109" spans="1:276" x14ac:dyDescent="0.25">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c r="BX109" s="110"/>
      <c r="BY109" s="110"/>
      <c r="BZ109" s="110"/>
      <c r="CA109" s="110"/>
      <c r="CB109" s="110"/>
      <c r="CC109" s="110"/>
      <c r="CD109" s="110"/>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c r="DB109" s="110"/>
      <c r="DC109" s="110"/>
      <c r="DD109" s="110"/>
      <c r="DE109" s="110"/>
      <c r="DF109" s="110"/>
      <c r="DG109" s="110"/>
      <c r="DH109" s="110"/>
      <c r="DI109" s="110"/>
      <c r="DJ109" s="110"/>
      <c r="DK109" s="110"/>
      <c r="DL109" s="110"/>
      <c r="DM109" s="110"/>
      <c r="DN109" s="110"/>
      <c r="DO109" s="110"/>
      <c r="DP109" s="110"/>
      <c r="DQ109" s="110"/>
      <c r="DR109" s="110"/>
      <c r="DS109" s="110"/>
      <c r="DT109" s="110"/>
      <c r="DU109" s="110"/>
      <c r="DV109" s="110"/>
      <c r="DW109" s="110">
        <v>259010</v>
      </c>
      <c r="DX109" s="110"/>
      <c r="DY109" s="110"/>
      <c r="DZ109" s="110"/>
      <c r="EA109" s="110"/>
      <c r="EB109" s="110"/>
      <c r="EC109" s="110"/>
      <c r="ED109" s="110"/>
      <c r="EE109" s="110"/>
      <c r="EF109" s="110"/>
      <c r="EG109" s="110"/>
      <c r="EH109" s="110"/>
      <c r="EI109" s="110"/>
      <c r="EJ109" s="110"/>
      <c r="EK109" s="110"/>
      <c r="EL109" s="110"/>
      <c r="EM109" s="110"/>
      <c r="EN109" s="110"/>
      <c r="EO109" s="110"/>
      <c r="EP109" s="110"/>
      <c r="EQ109" s="110"/>
      <c r="ER109" s="110"/>
      <c r="ES109" s="110"/>
      <c r="ET109" s="110"/>
      <c r="EU109" s="110"/>
      <c r="EV109" s="110"/>
      <c r="EW109" s="110"/>
      <c r="EX109" s="110"/>
      <c r="EY109" s="110"/>
      <c r="EZ109" s="110"/>
      <c r="FA109" s="110"/>
      <c r="FB109" s="110"/>
      <c r="FC109" s="110"/>
      <c r="FD109" s="110"/>
      <c r="FE109" s="110"/>
      <c r="FF109" s="110"/>
      <c r="FG109" s="110"/>
      <c r="FH109" s="110"/>
      <c r="FI109" s="110"/>
      <c r="FJ109" s="110"/>
      <c r="FK109" s="110"/>
      <c r="FL109" s="110"/>
      <c r="FM109" s="110"/>
      <c r="FN109" s="110"/>
      <c r="FO109" s="110"/>
      <c r="FP109" s="110"/>
      <c r="FQ109" s="110"/>
      <c r="FR109" s="110"/>
      <c r="FS109" s="110"/>
      <c r="FT109" s="110"/>
      <c r="FU109" s="110"/>
      <c r="FV109" s="110"/>
      <c r="FW109" s="110"/>
      <c r="FX109" s="110"/>
      <c r="FY109" s="110"/>
      <c r="FZ109" s="110"/>
      <c r="GA109" s="110"/>
      <c r="GB109" s="110"/>
      <c r="GC109" s="110"/>
      <c r="GD109" s="110"/>
      <c r="GE109" s="110"/>
      <c r="GF109" s="110"/>
      <c r="GG109" s="110"/>
      <c r="GH109" s="110"/>
      <c r="GI109" s="110"/>
      <c r="GJ109" s="110"/>
      <c r="GK109" s="110"/>
      <c r="GL109" s="110"/>
      <c r="GM109" s="110"/>
      <c r="GN109" s="110"/>
      <c r="GO109" s="110"/>
      <c r="GP109" s="110"/>
      <c r="GQ109" s="110"/>
      <c r="GR109" s="110"/>
      <c r="GS109" s="110"/>
      <c r="GT109" s="110"/>
      <c r="GU109" s="110"/>
      <c r="GV109" s="110"/>
      <c r="GW109" s="110"/>
      <c r="GX109" s="110"/>
      <c r="GY109" s="110"/>
      <c r="GZ109" s="110"/>
      <c r="HA109" s="110"/>
      <c r="HB109" s="110"/>
      <c r="HC109" s="110"/>
      <c r="HD109" s="110"/>
      <c r="HE109" s="110"/>
      <c r="HF109" s="110"/>
      <c r="HG109" s="110"/>
      <c r="HH109" s="110"/>
      <c r="HI109" s="110"/>
      <c r="HJ109" s="110"/>
      <c r="HK109" s="110"/>
      <c r="HL109" s="110"/>
      <c r="HM109" s="110"/>
      <c r="HN109" s="110"/>
      <c r="HO109" s="110"/>
      <c r="HP109" s="110"/>
      <c r="HQ109" s="110"/>
      <c r="HR109" s="110"/>
      <c r="HS109" s="110"/>
      <c r="HT109" s="110"/>
      <c r="HU109" s="110"/>
      <c r="HV109" s="110"/>
      <c r="HW109" s="110"/>
      <c r="HX109" s="110"/>
      <c r="HY109" s="110"/>
      <c r="HZ109" s="110"/>
      <c r="IA109" s="110"/>
      <c r="IB109" s="110"/>
      <c r="IC109" s="110"/>
      <c r="ID109" s="110"/>
      <c r="IE109" s="110"/>
      <c r="IF109" s="110"/>
      <c r="IG109" s="110"/>
      <c r="IH109" s="110"/>
      <c r="II109" s="110"/>
      <c r="IJ109" s="110"/>
      <c r="IK109" s="110"/>
      <c r="IL109" s="110"/>
      <c r="IM109" s="110"/>
      <c r="IN109" s="110"/>
      <c r="IO109" s="110"/>
      <c r="IP109" s="110"/>
      <c r="IQ109" s="110"/>
      <c r="IR109" s="110"/>
      <c r="IS109" s="110"/>
      <c r="IT109" s="110"/>
      <c r="IU109" s="110"/>
      <c r="IV109" s="110"/>
      <c r="IW109" s="110"/>
      <c r="IX109" s="110"/>
      <c r="IY109" s="110"/>
      <c r="IZ109" s="110"/>
      <c r="JA109" s="110"/>
      <c r="JB109" s="110"/>
      <c r="JC109" s="110"/>
      <c r="JD109" s="110"/>
      <c r="JE109" s="110"/>
      <c r="JF109" s="110"/>
      <c r="JG109" s="110"/>
      <c r="JH109" s="110"/>
      <c r="JI109" s="107">
        <f t="shared" si="3"/>
        <v>259010</v>
      </c>
      <c r="JJ109" s="297">
        <v>3257</v>
      </c>
      <c r="JK109" s="112"/>
      <c r="JL109" s="112"/>
      <c r="JM109" s="1"/>
      <c r="JN109" s="1"/>
      <c r="JO109" s="1"/>
      <c r="JP109" s="1"/>
    </row>
    <row r="110" spans="1:276" x14ac:dyDescent="0.25">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c r="BX110" s="110"/>
      <c r="BY110" s="110"/>
      <c r="BZ110" s="110"/>
      <c r="CA110" s="110"/>
      <c r="CB110" s="110"/>
      <c r="CC110" s="110"/>
      <c r="CD110" s="110"/>
      <c r="CE110" s="110"/>
      <c r="CF110" s="110"/>
      <c r="CG110" s="110"/>
      <c r="CH110" s="110"/>
      <c r="CI110" s="110"/>
      <c r="CJ110" s="110"/>
      <c r="CK110" s="110"/>
      <c r="CL110" s="110"/>
      <c r="CM110" s="110"/>
      <c r="CN110" s="110"/>
      <c r="CO110" s="110"/>
      <c r="CP110" s="110"/>
      <c r="CQ110" s="110"/>
      <c r="CR110" s="110"/>
      <c r="CS110" s="110"/>
      <c r="CT110" s="110"/>
      <c r="CU110" s="110"/>
      <c r="CV110" s="110"/>
      <c r="CW110" s="110"/>
      <c r="CX110" s="110"/>
      <c r="CY110" s="110"/>
      <c r="CZ110" s="110"/>
      <c r="DA110" s="110"/>
      <c r="DB110" s="110"/>
      <c r="DC110" s="110"/>
      <c r="DD110" s="110"/>
      <c r="DE110" s="110"/>
      <c r="DF110" s="110"/>
      <c r="DG110" s="110"/>
      <c r="DH110" s="110"/>
      <c r="DI110" s="110"/>
      <c r="DJ110" s="110"/>
      <c r="DK110" s="110"/>
      <c r="DL110" s="110"/>
      <c r="DM110" s="110"/>
      <c r="DN110" s="110"/>
      <c r="DO110" s="110"/>
      <c r="DP110" s="110"/>
      <c r="DQ110" s="110"/>
      <c r="DR110" s="110"/>
      <c r="DS110" s="110"/>
      <c r="DT110" s="110"/>
      <c r="DU110" s="110"/>
      <c r="DV110" s="110"/>
      <c r="DW110" s="110"/>
      <c r="DX110" s="110"/>
      <c r="DY110" s="110"/>
      <c r="DZ110" s="110"/>
      <c r="EA110" s="110"/>
      <c r="EB110" s="110"/>
      <c r="EC110" s="110"/>
      <c r="ED110" s="110"/>
      <c r="EE110" s="110"/>
      <c r="EF110" s="110"/>
      <c r="EG110" s="110"/>
      <c r="EH110" s="110"/>
      <c r="EI110" s="110"/>
      <c r="EJ110" s="110"/>
      <c r="EK110" s="110"/>
      <c r="EL110" s="110"/>
      <c r="EM110" s="110"/>
      <c r="EN110" s="110"/>
      <c r="EO110" s="110"/>
      <c r="EP110" s="110"/>
      <c r="EQ110" s="110"/>
      <c r="ER110" s="110"/>
      <c r="ES110" s="110"/>
      <c r="ET110" s="110"/>
      <c r="EU110" s="110"/>
      <c r="EV110" s="110"/>
      <c r="EW110" s="110"/>
      <c r="EX110" s="110"/>
      <c r="EY110" s="110"/>
      <c r="EZ110" s="110"/>
      <c r="FA110" s="110"/>
      <c r="FB110" s="110"/>
      <c r="FC110" s="110"/>
      <c r="FD110" s="110"/>
      <c r="FE110" s="110"/>
      <c r="FF110" s="110"/>
      <c r="FG110" s="110"/>
      <c r="FH110" s="110"/>
      <c r="FI110" s="110"/>
      <c r="FJ110" s="110"/>
      <c r="FK110" s="110"/>
      <c r="FL110" s="110"/>
      <c r="FM110" s="110"/>
      <c r="FN110" s="110"/>
      <c r="FO110" s="110"/>
      <c r="FP110" s="110"/>
      <c r="FQ110" s="110"/>
      <c r="FR110" s="110"/>
      <c r="FS110" s="110"/>
      <c r="FT110" s="110"/>
      <c r="FU110" s="110"/>
      <c r="FV110" s="110"/>
      <c r="FW110" s="110">
        <v>484500.04</v>
      </c>
      <c r="FX110" s="110"/>
      <c r="FY110" s="110"/>
      <c r="FZ110" s="110"/>
      <c r="GA110" s="110"/>
      <c r="GB110" s="110"/>
      <c r="GC110" s="110"/>
      <c r="GD110" s="110"/>
      <c r="GE110" s="110"/>
      <c r="GF110" s="110"/>
      <c r="GG110" s="110"/>
      <c r="GH110" s="110"/>
      <c r="GI110" s="110"/>
      <c r="GJ110" s="110"/>
      <c r="GK110" s="110"/>
      <c r="GL110" s="110"/>
      <c r="GM110" s="110"/>
      <c r="GN110" s="110"/>
      <c r="GO110" s="110"/>
      <c r="GP110" s="110"/>
      <c r="GQ110" s="110"/>
      <c r="GR110" s="110"/>
      <c r="GS110" s="110"/>
      <c r="GT110" s="110"/>
      <c r="GU110" s="110"/>
      <c r="GV110" s="110"/>
      <c r="GW110" s="110"/>
      <c r="GX110" s="110"/>
      <c r="GY110" s="110"/>
      <c r="GZ110" s="110"/>
      <c r="HA110" s="110"/>
      <c r="HB110" s="110"/>
      <c r="HC110" s="110"/>
      <c r="HD110" s="110"/>
      <c r="HE110" s="110"/>
      <c r="HF110" s="110"/>
      <c r="HG110" s="110"/>
      <c r="HH110" s="110"/>
      <c r="HI110" s="110"/>
      <c r="HJ110" s="110"/>
      <c r="HK110" s="110"/>
      <c r="HL110" s="110"/>
      <c r="HM110" s="110"/>
      <c r="HN110" s="110"/>
      <c r="HO110" s="110"/>
      <c r="HP110" s="110"/>
      <c r="HQ110" s="110"/>
      <c r="HR110" s="110"/>
      <c r="HS110" s="110"/>
      <c r="HT110" s="110"/>
      <c r="HU110" s="110"/>
      <c r="HV110" s="110"/>
      <c r="HW110" s="110"/>
      <c r="HX110" s="110"/>
      <c r="HY110" s="110"/>
      <c r="HZ110" s="110"/>
      <c r="IA110" s="110"/>
      <c r="IB110" s="110"/>
      <c r="IC110" s="110"/>
      <c r="ID110" s="110"/>
      <c r="IE110" s="110"/>
      <c r="IF110" s="110"/>
      <c r="IG110" s="110"/>
      <c r="IH110" s="110"/>
      <c r="II110" s="110"/>
      <c r="IJ110" s="110"/>
      <c r="IK110" s="110"/>
      <c r="IL110" s="110"/>
      <c r="IM110" s="110"/>
      <c r="IN110" s="110"/>
      <c r="IO110" s="110"/>
      <c r="IP110" s="110"/>
      <c r="IQ110" s="110"/>
      <c r="IR110" s="110"/>
      <c r="IS110" s="110"/>
      <c r="IT110" s="110"/>
      <c r="IU110" s="110"/>
      <c r="IV110" s="110"/>
      <c r="IW110" s="110"/>
      <c r="IX110" s="110"/>
      <c r="IY110" s="110"/>
      <c r="IZ110" s="110"/>
      <c r="JA110" s="110"/>
      <c r="JB110" s="110"/>
      <c r="JC110" s="110"/>
      <c r="JD110" s="110"/>
      <c r="JE110" s="110"/>
      <c r="JF110" s="110"/>
      <c r="JG110" s="110"/>
      <c r="JH110" s="110"/>
      <c r="JI110" s="107">
        <f t="shared" si="3"/>
        <v>484500.04</v>
      </c>
      <c r="JJ110" s="297">
        <v>3261</v>
      </c>
      <c r="JK110" s="112"/>
      <c r="JL110" s="112"/>
      <c r="JM110" s="1"/>
      <c r="JN110" s="1"/>
      <c r="JO110" s="1"/>
      <c r="JP110" s="1"/>
    </row>
    <row r="111" spans="1:276" x14ac:dyDescent="0.25">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0"/>
      <c r="CH111" s="110"/>
      <c r="CI111" s="110"/>
      <c r="CJ111" s="110"/>
      <c r="CK111" s="110"/>
      <c r="CL111" s="110"/>
      <c r="CM111" s="110"/>
      <c r="CN111" s="110"/>
      <c r="CO111" s="110"/>
      <c r="CP111" s="110"/>
      <c r="CQ111" s="110"/>
      <c r="CR111" s="110"/>
      <c r="CS111" s="110"/>
      <c r="CT111" s="110"/>
      <c r="CU111" s="110"/>
      <c r="CV111" s="110"/>
      <c r="CW111" s="110"/>
      <c r="CX111" s="110"/>
      <c r="CY111" s="110"/>
      <c r="CZ111" s="110"/>
      <c r="DA111" s="110"/>
      <c r="DB111" s="110"/>
      <c r="DC111" s="110"/>
      <c r="DD111" s="110"/>
      <c r="DE111" s="110"/>
      <c r="DF111" s="110"/>
      <c r="DG111" s="110"/>
      <c r="DH111" s="110"/>
      <c r="DI111" s="110"/>
      <c r="DJ111" s="110"/>
      <c r="DK111" s="110"/>
      <c r="DL111" s="110"/>
      <c r="DM111" s="110"/>
      <c r="DN111" s="110"/>
      <c r="DO111" s="110"/>
      <c r="DP111" s="110"/>
      <c r="DQ111" s="110"/>
      <c r="DR111" s="110"/>
      <c r="DS111" s="110"/>
      <c r="DT111" s="110"/>
      <c r="DU111" s="110"/>
      <c r="DV111" s="110">
        <v>131251.4</v>
      </c>
      <c r="DW111" s="110"/>
      <c r="DX111" s="110"/>
      <c r="DY111" s="110"/>
      <c r="DZ111" s="110"/>
      <c r="EA111" s="110"/>
      <c r="EB111" s="110"/>
      <c r="EC111" s="110"/>
      <c r="ED111" s="110"/>
      <c r="EE111" s="110"/>
      <c r="EF111" s="110"/>
      <c r="EG111" s="110"/>
      <c r="EH111" s="110"/>
      <c r="EI111" s="110"/>
      <c r="EJ111" s="110"/>
      <c r="EK111" s="110"/>
      <c r="EL111" s="110"/>
      <c r="EM111" s="110"/>
      <c r="EN111" s="110"/>
      <c r="EO111" s="110"/>
      <c r="EP111" s="110"/>
      <c r="EQ111" s="110"/>
      <c r="ER111" s="110"/>
      <c r="ES111" s="110"/>
      <c r="ET111" s="110"/>
      <c r="EU111" s="110"/>
      <c r="EV111" s="110"/>
      <c r="EW111" s="110"/>
      <c r="EX111" s="110"/>
      <c r="EY111" s="110"/>
      <c r="EZ111" s="110"/>
      <c r="FA111" s="110"/>
      <c r="FB111" s="110"/>
      <c r="FC111" s="110"/>
      <c r="FD111" s="110"/>
      <c r="FE111" s="110"/>
      <c r="FF111" s="110"/>
      <c r="FG111" s="110"/>
      <c r="FH111" s="110"/>
      <c r="FI111" s="110"/>
      <c r="FJ111" s="110"/>
      <c r="FK111" s="110"/>
      <c r="FL111" s="110"/>
      <c r="FM111" s="110"/>
      <c r="FN111" s="110"/>
      <c r="FO111" s="110"/>
      <c r="FP111" s="110"/>
      <c r="FQ111" s="110"/>
      <c r="FR111" s="110"/>
      <c r="FS111" s="110"/>
      <c r="FT111" s="110"/>
      <c r="FU111" s="110"/>
      <c r="FV111" s="110"/>
      <c r="FW111" s="110"/>
      <c r="FX111" s="110"/>
      <c r="FY111" s="110"/>
      <c r="FZ111" s="110"/>
      <c r="GA111" s="110"/>
      <c r="GB111" s="110"/>
      <c r="GC111" s="110"/>
      <c r="GD111" s="110"/>
      <c r="GE111" s="110"/>
      <c r="GF111" s="110"/>
      <c r="GG111" s="110"/>
      <c r="GH111" s="110"/>
      <c r="GI111" s="110"/>
      <c r="GJ111" s="110"/>
      <c r="GK111" s="110"/>
      <c r="GL111" s="110"/>
      <c r="GM111" s="110"/>
      <c r="GN111" s="110"/>
      <c r="GO111" s="110"/>
      <c r="GP111" s="110"/>
      <c r="GQ111" s="110"/>
      <c r="GR111" s="110"/>
      <c r="GS111" s="110"/>
      <c r="GT111" s="110"/>
      <c r="GU111" s="110"/>
      <c r="GV111" s="110"/>
      <c r="GW111" s="110"/>
      <c r="GX111" s="110"/>
      <c r="GY111" s="110"/>
      <c r="GZ111" s="110"/>
      <c r="HA111" s="110"/>
      <c r="HB111" s="110"/>
      <c r="HC111" s="110"/>
      <c r="HD111" s="110"/>
      <c r="HE111" s="110"/>
      <c r="HF111" s="110"/>
      <c r="HG111" s="110"/>
      <c r="HH111" s="110"/>
      <c r="HI111" s="110"/>
      <c r="HJ111" s="110"/>
      <c r="HK111" s="110"/>
      <c r="HL111" s="110"/>
      <c r="HM111" s="110"/>
      <c r="HN111" s="110"/>
      <c r="HO111" s="110"/>
      <c r="HP111" s="110"/>
      <c r="HQ111" s="110"/>
      <c r="HR111" s="110"/>
      <c r="HS111" s="110"/>
      <c r="HT111" s="110"/>
      <c r="HU111" s="110"/>
      <c r="HV111" s="110"/>
      <c r="HW111" s="110"/>
      <c r="HX111" s="110"/>
      <c r="HY111" s="110"/>
      <c r="HZ111" s="110"/>
      <c r="IA111" s="110"/>
      <c r="IB111" s="110"/>
      <c r="IC111" s="110"/>
      <c r="ID111" s="110"/>
      <c r="IE111" s="110"/>
      <c r="IF111" s="110"/>
      <c r="IG111" s="110"/>
      <c r="IH111" s="110"/>
      <c r="II111" s="110"/>
      <c r="IJ111" s="110"/>
      <c r="IK111" s="110"/>
      <c r="IL111" s="110"/>
      <c r="IM111" s="110"/>
      <c r="IN111" s="110"/>
      <c r="IO111" s="110"/>
      <c r="IP111" s="110"/>
      <c r="IQ111" s="110"/>
      <c r="IR111" s="110"/>
      <c r="IS111" s="110"/>
      <c r="IT111" s="110"/>
      <c r="IU111" s="110"/>
      <c r="IV111" s="110"/>
      <c r="IW111" s="110"/>
      <c r="IX111" s="110"/>
      <c r="IY111" s="110"/>
      <c r="IZ111" s="110"/>
      <c r="JA111" s="110"/>
      <c r="JB111" s="110"/>
      <c r="JC111" s="110"/>
      <c r="JD111" s="110"/>
      <c r="JE111" s="110"/>
      <c r="JF111" s="110"/>
      <c r="JG111" s="110"/>
      <c r="JH111" s="110"/>
      <c r="JI111" s="107">
        <f t="shared" si="3"/>
        <v>131251.4</v>
      </c>
      <c r="JJ111" s="297">
        <v>3265</v>
      </c>
      <c r="JK111" s="112"/>
      <c r="JL111" s="112"/>
      <c r="JM111" s="1"/>
      <c r="JN111" s="1"/>
      <c r="JO111" s="1"/>
      <c r="JP111" s="1"/>
    </row>
    <row r="112" spans="1:276" x14ac:dyDescent="0.25">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c r="BX112" s="110"/>
      <c r="BY112" s="110"/>
      <c r="BZ112" s="110"/>
      <c r="CA112" s="110"/>
      <c r="CB112" s="110"/>
      <c r="CC112" s="110"/>
      <c r="CD112" s="110"/>
      <c r="CE112" s="110"/>
      <c r="CF112" s="110"/>
      <c r="CG112" s="110"/>
      <c r="CH112" s="110"/>
      <c r="CI112" s="110"/>
      <c r="CJ112" s="110"/>
      <c r="CK112" s="110"/>
      <c r="CL112" s="110"/>
      <c r="CM112" s="110"/>
      <c r="CN112" s="110"/>
      <c r="CO112" s="110"/>
      <c r="CP112" s="110"/>
      <c r="CQ112" s="110"/>
      <c r="CR112" s="110"/>
      <c r="CS112" s="110"/>
      <c r="CT112" s="110"/>
      <c r="CU112" s="110"/>
      <c r="CV112" s="110"/>
      <c r="CW112" s="110"/>
      <c r="CX112" s="110"/>
      <c r="CY112" s="110"/>
      <c r="CZ112" s="110"/>
      <c r="DA112" s="110"/>
      <c r="DB112" s="110"/>
      <c r="DC112" s="110"/>
      <c r="DD112" s="110"/>
      <c r="DE112" s="110"/>
      <c r="DF112" s="110"/>
      <c r="DG112" s="110"/>
      <c r="DH112" s="110"/>
      <c r="DI112" s="110"/>
      <c r="DJ112" s="110"/>
      <c r="DK112" s="110"/>
      <c r="DL112" s="110"/>
      <c r="DM112" s="110"/>
      <c r="DN112" s="110"/>
      <c r="DO112" s="110"/>
      <c r="DP112" s="110"/>
      <c r="DQ112" s="110"/>
      <c r="DR112" s="110"/>
      <c r="DS112" s="110"/>
      <c r="DT112" s="110"/>
      <c r="DU112" s="110"/>
      <c r="DV112" s="110"/>
      <c r="DW112" s="110"/>
      <c r="DX112" s="110"/>
      <c r="DY112" s="110"/>
      <c r="DZ112" s="110"/>
      <c r="EA112" s="110">
        <v>210000</v>
      </c>
      <c r="EB112" s="110"/>
      <c r="EC112" s="110"/>
      <c r="ED112" s="110"/>
      <c r="EE112" s="110"/>
      <c r="EF112" s="110"/>
      <c r="EG112" s="110"/>
      <c r="EH112" s="110"/>
      <c r="EI112" s="110"/>
      <c r="EJ112" s="110"/>
      <c r="EK112" s="110"/>
      <c r="EL112" s="110"/>
      <c r="EM112" s="110"/>
      <c r="EN112" s="110"/>
      <c r="EO112" s="110"/>
      <c r="EP112" s="110"/>
      <c r="EQ112" s="110"/>
      <c r="ER112" s="110"/>
      <c r="ES112" s="110"/>
      <c r="ET112" s="110"/>
      <c r="EU112" s="110"/>
      <c r="EV112" s="110"/>
      <c r="EW112" s="110"/>
      <c r="EX112" s="110"/>
      <c r="EY112" s="110"/>
      <c r="EZ112" s="110"/>
      <c r="FA112" s="110"/>
      <c r="FB112" s="110"/>
      <c r="FC112" s="110"/>
      <c r="FD112" s="110"/>
      <c r="FE112" s="110"/>
      <c r="FF112" s="110"/>
      <c r="FG112" s="110"/>
      <c r="FH112" s="110"/>
      <c r="FI112" s="110"/>
      <c r="FJ112" s="110"/>
      <c r="FK112" s="110"/>
      <c r="FL112" s="110"/>
      <c r="FM112" s="110"/>
      <c r="FN112" s="110"/>
      <c r="FO112" s="110"/>
      <c r="FP112" s="110"/>
      <c r="FQ112" s="110"/>
      <c r="FR112" s="110"/>
      <c r="FS112" s="110"/>
      <c r="FT112" s="110"/>
      <c r="FU112" s="110"/>
      <c r="FV112" s="110"/>
      <c r="FW112" s="110"/>
      <c r="FX112" s="110"/>
      <c r="FY112" s="110"/>
      <c r="FZ112" s="110"/>
      <c r="GA112" s="110"/>
      <c r="GB112" s="110"/>
      <c r="GC112" s="110"/>
      <c r="GD112" s="110"/>
      <c r="GE112" s="110"/>
      <c r="GF112" s="110"/>
      <c r="GG112" s="110"/>
      <c r="GH112" s="110"/>
      <c r="GI112" s="110"/>
      <c r="GJ112" s="110"/>
      <c r="GK112" s="110"/>
      <c r="GL112" s="110"/>
      <c r="GM112" s="110"/>
      <c r="GN112" s="110"/>
      <c r="GO112" s="110"/>
      <c r="GP112" s="110"/>
      <c r="GQ112" s="110"/>
      <c r="GR112" s="110"/>
      <c r="GS112" s="110"/>
      <c r="GT112" s="110"/>
      <c r="GU112" s="110"/>
      <c r="GV112" s="110"/>
      <c r="GW112" s="110"/>
      <c r="GX112" s="110"/>
      <c r="GY112" s="110"/>
      <c r="GZ112" s="110"/>
      <c r="HA112" s="110"/>
      <c r="HB112" s="110"/>
      <c r="HC112" s="110"/>
      <c r="HD112" s="110"/>
      <c r="HE112" s="110"/>
      <c r="HF112" s="110"/>
      <c r="HG112" s="110"/>
      <c r="HH112" s="110"/>
      <c r="HI112" s="110"/>
      <c r="HJ112" s="110"/>
      <c r="HK112" s="110"/>
      <c r="HL112" s="110"/>
      <c r="HM112" s="110"/>
      <c r="HN112" s="110"/>
      <c r="HO112" s="110"/>
      <c r="HP112" s="110"/>
      <c r="HQ112" s="110"/>
      <c r="HR112" s="110"/>
      <c r="HS112" s="110"/>
      <c r="HT112" s="110"/>
      <c r="HU112" s="110"/>
      <c r="HV112" s="110"/>
      <c r="HW112" s="110"/>
      <c r="HX112" s="110"/>
      <c r="HY112" s="110"/>
      <c r="HZ112" s="110"/>
      <c r="IA112" s="110"/>
      <c r="IB112" s="110"/>
      <c r="IC112" s="110"/>
      <c r="ID112" s="110"/>
      <c r="IE112" s="110"/>
      <c r="IF112" s="110"/>
      <c r="IG112" s="110"/>
      <c r="IH112" s="110"/>
      <c r="II112" s="110"/>
      <c r="IJ112" s="110"/>
      <c r="IK112" s="110"/>
      <c r="IL112" s="110"/>
      <c r="IM112" s="110"/>
      <c r="IN112" s="110"/>
      <c r="IO112" s="110"/>
      <c r="IP112" s="110"/>
      <c r="IQ112" s="110"/>
      <c r="IR112" s="110"/>
      <c r="IS112" s="110"/>
      <c r="IT112" s="110"/>
      <c r="IU112" s="110"/>
      <c r="IV112" s="110"/>
      <c r="IW112" s="110"/>
      <c r="IX112" s="110"/>
      <c r="IY112" s="110"/>
      <c r="IZ112" s="110"/>
      <c r="JA112" s="110"/>
      <c r="JB112" s="110"/>
      <c r="JC112" s="110"/>
      <c r="JD112" s="110"/>
      <c r="JE112" s="110"/>
      <c r="JF112" s="110"/>
      <c r="JG112" s="110"/>
      <c r="JH112" s="110"/>
      <c r="JI112" s="107">
        <f t="shared" si="3"/>
        <v>210000</v>
      </c>
      <c r="JJ112" s="297">
        <v>3270</v>
      </c>
      <c r="JK112" s="112"/>
      <c r="JL112" s="112"/>
      <c r="JM112" s="1"/>
      <c r="JN112" s="1"/>
      <c r="JO112" s="1"/>
      <c r="JP112" s="1"/>
    </row>
    <row r="113" spans="1:276" x14ac:dyDescent="0.25">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c r="BX113" s="110"/>
      <c r="BY113" s="110"/>
      <c r="BZ113" s="110"/>
      <c r="CA113" s="110"/>
      <c r="CB113" s="110"/>
      <c r="CC113" s="110"/>
      <c r="CD113" s="110"/>
      <c r="CE113" s="110"/>
      <c r="CF113" s="110"/>
      <c r="CG113" s="110"/>
      <c r="CH113" s="110"/>
      <c r="CI113" s="110"/>
      <c r="CJ113" s="110"/>
      <c r="CK113" s="110"/>
      <c r="CL113" s="110"/>
      <c r="CM113" s="110"/>
      <c r="CN113" s="110"/>
      <c r="CO113" s="110"/>
      <c r="CP113" s="110"/>
      <c r="CQ113" s="110"/>
      <c r="CR113" s="110"/>
      <c r="CS113" s="110"/>
      <c r="CT113" s="110"/>
      <c r="CU113" s="110"/>
      <c r="CV113" s="110"/>
      <c r="CW113" s="110"/>
      <c r="CX113" s="110"/>
      <c r="CY113" s="110"/>
      <c r="CZ113" s="110"/>
      <c r="DA113" s="110"/>
      <c r="DB113" s="110"/>
      <c r="DC113" s="110"/>
      <c r="DD113" s="110"/>
      <c r="DE113" s="110"/>
      <c r="DF113" s="110"/>
      <c r="DG113" s="110"/>
      <c r="DH113" s="110"/>
      <c r="DI113" s="110"/>
      <c r="DJ113" s="110"/>
      <c r="DK113" s="110"/>
      <c r="DL113" s="110"/>
      <c r="DM113" s="110"/>
      <c r="DN113" s="110"/>
      <c r="DO113" s="110"/>
      <c r="DP113" s="110"/>
      <c r="DQ113" s="110"/>
      <c r="DR113" s="110"/>
      <c r="DS113" s="110"/>
      <c r="DT113" s="110"/>
      <c r="DU113" s="110"/>
      <c r="DV113" s="110"/>
      <c r="DW113" s="110"/>
      <c r="DX113" s="110"/>
      <c r="DY113" s="110"/>
      <c r="DZ113" s="110"/>
      <c r="EA113" s="110"/>
      <c r="EB113" s="110"/>
      <c r="EC113" s="110"/>
      <c r="ED113" s="110"/>
      <c r="EE113" s="110"/>
      <c r="EF113" s="110"/>
      <c r="EG113" s="110"/>
      <c r="EH113" s="110"/>
      <c r="EI113" s="110"/>
      <c r="EJ113" s="110"/>
      <c r="EK113" s="110"/>
      <c r="EL113" s="110"/>
      <c r="EM113" s="110"/>
      <c r="EN113" s="110"/>
      <c r="EO113" s="110"/>
      <c r="EP113" s="110"/>
      <c r="EQ113" s="110"/>
      <c r="ER113" s="110"/>
      <c r="ES113" s="110"/>
      <c r="ET113" s="110"/>
      <c r="EU113" s="110"/>
      <c r="EV113" s="110"/>
      <c r="EW113" s="110"/>
      <c r="EX113" s="110"/>
      <c r="EY113" s="110"/>
      <c r="EZ113" s="110"/>
      <c r="FA113" s="110"/>
      <c r="FB113" s="110"/>
      <c r="FC113" s="110"/>
      <c r="FD113" s="110"/>
      <c r="FE113" s="110"/>
      <c r="FF113" s="110"/>
      <c r="FG113" s="110"/>
      <c r="FH113" s="110"/>
      <c r="FI113" s="110"/>
      <c r="FJ113" s="110"/>
      <c r="FK113" s="110"/>
      <c r="FL113" s="110"/>
      <c r="FM113" s="110"/>
      <c r="FN113" s="110"/>
      <c r="FO113" s="110"/>
      <c r="FP113" s="110"/>
      <c r="FQ113" s="110"/>
      <c r="FR113" s="110"/>
      <c r="FS113" s="110"/>
      <c r="FT113" s="110"/>
      <c r="FU113" s="110"/>
      <c r="FV113" s="110"/>
      <c r="FW113" s="110"/>
      <c r="FX113" s="110"/>
      <c r="FY113" s="110"/>
      <c r="FZ113" s="110"/>
      <c r="GA113" s="110"/>
      <c r="GB113" s="110"/>
      <c r="GC113" s="110"/>
      <c r="GD113" s="110"/>
      <c r="GE113" s="110"/>
      <c r="GF113" s="110"/>
      <c r="GG113" s="110"/>
      <c r="GH113" s="110"/>
      <c r="GI113" s="110"/>
      <c r="GJ113" s="110"/>
      <c r="GK113" s="110"/>
      <c r="GL113" s="110"/>
      <c r="GM113" s="110"/>
      <c r="GN113" s="110"/>
      <c r="GO113" s="110"/>
      <c r="GP113" s="110"/>
      <c r="GQ113" s="110">
        <v>199998.2</v>
      </c>
      <c r="GR113" s="110"/>
      <c r="GS113" s="110"/>
      <c r="GT113" s="110"/>
      <c r="GU113" s="110"/>
      <c r="GV113" s="110"/>
      <c r="GW113" s="110"/>
      <c r="GX113" s="110"/>
      <c r="GY113" s="110"/>
      <c r="GZ113" s="110"/>
      <c r="HA113" s="110"/>
      <c r="HB113" s="110"/>
      <c r="HC113" s="110"/>
      <c r="HD113" s="110"/>
      <c r="HE113" s="110"/>
      <c r="HF113" s="110"/>
      <c r="HG113" s="110"/>
      <c r="HH113" s="110"/>
      <c r="HI113" s="110"/>
      <c r="HJ113" s="110"/>
      <c r="HK113" s="110"/>
      <c r="HL113" s="110"/>
      <c r="HM113" s="110"/>
      <c r="HN113" s="110"/>
      <c r="HO113" s="110"/>
      <c r="HP113" s="110"/>
      <c r="HQ113" s="110"/>
      <c r="HR113" s="110"/>
      <c r="HS113" s="110"/>
      <c r="HT113" s="110"/>
      <c r="HU113" s="110"/>
      <c r="HV113" s="110"/>
      <c r="HW113" s="110"/>
      <c r="HX113" s="110"/>
      <c r="HY113" s="110"/>
      <c r="HZ113" s="110"/>
      <c r="IA113" s="110"/>
      <c r="IB113" s="110"/>
      <c r="IC113" s="110"/>
      <c r="ID113" s="110"/>
      <c r="IE113" s="110"/>
      <c r="IF113" s="110"/>
      <c r="IG113" s="110"/>
      <c r="IH113" s="110"/>
      <c r="II113" s="110"/>
      <c r="IJ113" s="110"/>
      <c r="IK113" s="110"/>
      <c r="IL113" s="110"/>
      <c r="IM113" s="110"/>
      <c r="IN113" s="110"/>
      <c r="IO113" s="110"/>
      <c r="IP113" s="110"/>
      <c r="IQ113" s="110"/>
      <c r="IR113" s="110"/>
      <c r="IS113" s="110"/>
      <c r="IT113" s="110"/>
      <c r="IU113" s="110"/>
      <c r="IV113" s="110"/>
      <c r="IW113" s="110"/>
      <c r="IX113" s="110"/>
      <c r="IY113" s="110"/>
      <c r="IZ113" s="110"/>
      <c r="JA113" s="110"/>
      <c r="JB113" s="110"/>
      <c r="JC113" s="110"/>
      <c r="JD113" s="110"/>
      <c r="JE113" s="110"/>
      <c r="JF113" s="110"/>
      <c r="JG113" s="110"/>
      <c r="JH113" s="110"/>
      <c r="JI113" s="107">
        <f t="shared" si="3"/>
        <v>199998.2</v>
      </c>
      <c r="JJ113" s="297">
        <v>3274</v>
      </c>
      <c r="JK113" s="112"/>
      <c r="JL113" s="112"/>
      <c r="JM113" s="1"/>
      <c r="JN113" s="1"/>
      <c r="JO113" s="1"/>
      <c r="JP113" s="1"/>
    </row>
    <row r="114" spans="1:276" x14ac:dyDescent="0.25">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c r="BX114" s="110"/>
      <c r="BY114" s="110"/>
      <c r="BZ114" s="110"/>
      <c r="CA114" s="110"/>
      <c r="CB114" s="110"/>
      <c r="CC114" s="110"/>
      <c r="CD114" s="110"/>
      <c r="CE114" s="110"/>
      <c r="CF114" s="110"/>
      <c r="CG114" s="110"/>
      <c r="CH114" s="110"/>
      <c r="CI114" s="110"/>
      <c r="CJ114" s="110"/>
      <c r="CK114" s="110"/>
      <c r="CL114" s="110"/>
      <c r="CM114" s="110"/>
      <c r="CN114" s="110"/>
      <c r="CO114" s="110"/>
      <c r="CP114" s="110"/>
      <c r="CQ114" s="110"/>
      <c r="CR114" s="110"/>
      <c r="CS114" s="110"/>
      <c r="CT114" s="110"/>
      <c r="CU114" s="110"/>
      <c r="CV114" s="110"/>
      <c r="CW114" s="110"/>
      <c r="CX114" s="110"/>
      <c r="CY114" s="110"/>
      <c r="CZ114" s="110"/>
      <c r="DA114" s="110"/>
      <c r="DB114" s="110"/>
      <c r="DC114" s="110"/>
      <c r="DD114" s="110"/>
      <c r="DE114" s="110"/>
      <c r="DF114" s="110"/>
      <c r="DG114" s="110"/>
      <c r="DH114" s="110"/>
      <c r="DI114" s="110"/>
      <c r="DJ114" s="110"/>
      <c r="DK114" s="110"/>
      <c r="DL114" s="110"/>
      <c r="DM114" s="110"/>
      <c r="DN114" s="110"/>
      <c r="DO114" s="110"/>
      <c r="DP114" s="110"/>
      <c r="DQ114" s="110"/>
      <c r="DR114" s="110"/>
      <c r="DS114" s="110"/>
      <c r="DT114" s="110"/>
      <c r="DU114" s="110"/>
      <c r="DV114" s="110"/>
      <c r="DW114" s="110"/>
      <c r="DX114" s="110"/>
      <c r="DY114" s="110"/>
      <c r="DZ114" s="110"/>
      <c r="EA114" s="110"/>
      <c r="EB114" s="110"/>
      <c r="EC114" s="110"/>
      <c r="ED114" s="110"/>
      <c r="EE114" s="110"/>
      <c r="EF114" s="110"/>
      <c r="EG114" s="110"/>
      <c r="EH114" s="110"/>
      <c r="EI114" s="110"/>
      <c r="EJ114" s="110"/>
      <c r="EK114" s="110"/>
      <c r="EL114" s="110"/>
      <c r="EM114" s="110"/>
      <c r="EN114" s="110"/>
      <c r="EO114" s="110"/>
      <c r="EP114" s="110"/>
      <c r="EQ114" s="110"/>
      <c r="ER114" s="110"/>
      <c r="ES114" s="110"/>
      <c r="ET114" s="110"/>
      <c r="EU114" s="110"/>
      <c r="EV114" s="110"/>
      <c r="EW114" s="110"/>
      <c r="EX114" s="110"/>
      <c r="EY114" s="110"/>
      <c r="EZ114" s="110"/>
      <c r="FA114" s="110"/>
      <c r="FB114" s="110"/>
      <c r="FC114" s="110"/>
      <c r="FD114" s="110"/>
      <c r="FE114" s="110"/>
      <c r="FF114" s="110"/>
      <c r="FG114" s="110"/>
      <c r="FH114" s="110"/>
      <c r="FI114" s="110"/>
      <c r="FJ114" s="110">
        <v>253400</v>
      </c>
      <c r="FK114" s="110"/>
      <c r="FL114" s="110"/>
      <c r="FM114" s="110"/>
      <c r="FN114" s="110"/>
      <c r="FO114" s="110"/>
      <c r="FP114" s="110"/>
      <c r="FQ114" s="110"/>
      <c r="FR114" s="110"/>
      <c r="FS114" s="110"/>
      <c r="FT114" s="110"/>
      <c r="FU114" s="110"/>
      <c r="FV114" s="110"/>
      <c r="FW114" s="110"/>
      <c r="FX114" s="110"/>
      <c r="FY114" s="110"/>
      <c r="FZ114" s="110"/>
      <c r="GA114" s="110"/>
      <c r="GB114" s="110"/>
      <c r="GC114" s="110"/>
      <c r="GD114" s="110"/>
      <c r="GE114" s="110"/>
      <c r="GF114" s="110"/>
      <c r="GG114" s="110"/>
      <c r="GH114" s="110"/>
      <c r="GI114" s="110"/>
      <c r="GJ114" s="110"/>
      <c r="GK114" s="110"/>
      <c r="GL114" s="110"/>
      <c r="GM114" s="110"/>
      <c r="GN114" s="110"/>
      <c r="GO114" s="110"/>
      <c r="GP114" s="110"/>
      <c r="GQ114" s="110"/>
      <c r="GR114" s="110"/>
      <c r="GS114" s="110"/>
      <c r="GT114" s="110"/>
      <c r="GU114" s="110"/>
      <c r="GV114" s="110"/>
      <c r="GW114" s="110"/>
      <c r="GX114" s="110"/>
      <c r="GY114" s="110"/>
      <c r="GZ114" s="110"/>
      <c r="HA114" s="110"/>
      <c r="HB114" s="110"/>
      <c r="HC114" s="110"/>
      <c r="HD114" s="110"/>
      <c r="HE114" s="110"/>
      <c r="HF114" s="110"/>
      <c r="HG114" s="110"/>
      <c r="HH114" s="110"/>
      <c r="HI114" s="110"/>
      <c r="HJ114" s="110"/>
      <c r="HK114" s="110"/>
      <c r="HL114" s="110"/>
      <c r="HM114" s="110"/>
      <c r="HN114" s="110"/>
      <c r="HO114" s="110"/>
      <c r="HP114" s="110"/>
      <c r="HQ114" s="110"/>
      <c r="HR114" s="110"/>
      <c r="HS114" s="110"/>
      <c r="HT114" s="110"/>
      <c r="HU114" s="110"/>
      <c r="HV114" s="110"/>
      <c r="HW114" s="110"/>
      <c r="HX114" s="110"/>
      <c r="HY114" s="110"/>
      <c r="HZ114" s="110"/>
      <c r="IA114" s="110"/>
      <c r="IB114" s="110"/>
      <c r="IC114" s="110"/>
      <c r="ID114" s="110"/>
      <c r="IE114" s="110"/>
      <c r="IF114" s="110"/>
      <c r="IG114" s="110"/>
      <c r="IH114" s="110"/>
      <c r="II114" s="110"/>
      <c r="IJ114" s="110"/>
      <c r="IK114" s="110"/>
      <c r="IL114" s="110"/>
      <c r="IM114" s="110"/>
      <c r="IN114" s="110"/>
      <c r="IO114" s="110"/>
      <c r="IP114" s="110"/>
      <c r="IQ114" s="110"/>
      <c r="IR114" s="110"/>
      <c r="IS114" s="110"/>
      <c r="IT114" s="110"/>
      <c r="IU114" s="110"/>
      <c r="IV114" s="110"/>
      <c r="IW114" s="110"/>
      <c r="IX114" s="110"/>
      <c r="IY114" s="110"/>
      <c r="IZ114" s="110"/>
      <c r="JA114" s="110"/>
      <c r="JB114" s="110"/>
      <c r="JC114" s="110"/>
      <c r="JD114" s="110"/>
      <c r="JE114" s="110"/>
      <c r="JF114" s="110"/>
      <c r="JG114" s="110"/>
      <c r="JH114" s="110"/>
      <c r="JI114" s="107">
        <f t="shared" si="3"/>
        <v>253400</v>
      </c>
      <c r="JJ114" s="297">
        <v>3278</v>
      </c>
      <c r="JK114" s="112"/>
      <c r="JL114" s="112"/>
      <c r="JM114" s="1"/>
      <c r="JN114" s="1"/>
      <c r="JO114" s="1"/>
      <c r="JP114" s="1"/>
    </row>
    <row r="115" spans="1:276" x14ac:dyDescent="0.2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c r="AI115" s="110"/>
      <c r="AJ115" s="110"/>
      <c r="AK115" s="110"/>
      <c r="AL115" s="110"/>
      <c r="AM115" s="110"/>
      <c r="AN115" s="110"/>
      <c r="AO115" s="110"/>
      <c r="AP115" s="110"/>
      <c r="AQ115" s="110"/>
      <c r="AR115" s="110"/>
      <c r="AS115" s="110"/>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c r="BX115" s="110"/>
      <c r="BY115" s="110"/>
      <c r="BZ115" s="110"/>
      <c r="CA115" s="110"/>
      <c r="CB115" s="110"/>
      <c r="CC115" s="110"/>
      <c r="CD115" s="110"/>
      <c r="CE115" s="110"/>
      <c r="CF115" s="110"/>
      <c r="CG115" s="110"/>
      <c r="CH115" s="110"/>
      <c r="CI115" s="110"/>
      <c r="CJ115" s="110"/>
      <c r="CK115" s="110"/>
      <c r="CL115" s="110"/>
      <c r="CM115" s="110"/>
      <c r="CN115" s="110"/>
      <c r="CO115" s="110"/>
      <c r="CP115" s="110"/>
      <c r="CQ115" s="110"/>
      <c r="CR115" s="110"/>
      <c r="CS115" s="110"/>
      <c r="CT115" s="110"/>
      <c r="CU115" s="110"/>
      <c r="CV115" s="110"/>
      <c r="CW115" s="110"/>
      <c r="CX115" s="110"/>
      <c r="CY115" s="110"/>
      <c r="CZ115" s="110"/>
      <c r="DA115" s="110"/>
      <c r="DB115" s="110"/>
      <c r="DC115" s="110"/>
      <c r="DD115" s="110"/>
      <c r="DE115" s="110"/>
      <c r="DF115" s="110"/>
      <c r="DG115" s="110"/>
      <c r="DH115" s="110"/>
      <c r="DI115" s="110"/>
      <c r="DJ115" s="110"/>
      <c r="DK115" s="110"/>
      <c r="DL115" s="110"/>
      <c r="DM115" s="110"/>
      <c r="DN115" s="110"/>
      <c r="DO115" s="110"/>
      <c r="DP115" s="110"/>
      <c r="DQ115" s="110"/>
      <c r="DR115" s="110"/>
      <c r="DS115" s="110"/>
      <c r="DT115" s="110"/>
      <c r="DU115" s="110"/>
      <c r="DV115" s="110"/>
      <c r="DW115" s="110"/>
      <c r="DX115" s="110"/>
      <c r="DY115" s="110"/>
      <c r="DZ115" s="110"/>
      <c r="EA115" s="110"/>
      <c r="EB115" s="110"/>
      <c r="EC115" s="110"/>
      <c r="ED115" s="110"/>
      <c r="EE115" s="110"/>
      <c r="EF115" s="110"/>
      <c r="EG115" s="110"/>
      <c r="EH115" s="110"/>
      <c r="EI115" s="110"/>
      <c r="EJ115" s="110"/>
      <c r="EK115" s="110"/>
      <c r="EL115" s="110"/>
      <c r="EM115" s="110"/>
      <c r="EN115" s="110"/>
      <c r="EO115" s="110"/>
      <c r="EP115" s="110"/>
      <c r="EQ115" s="110"/>
      <c r="ER115" s="110"/>
      <c r="ES115" s="110"/>
      <c r="ET115" s="110"/>
      <c r="EU115" s="110"/>
      <c r="EV115" s="110"/>
      <c r="EW115" s="110"/>
      <c r="EX115" s="110"/>
      <c r="EY115" s="110"/>
      <c r="EZ115" s="110"/>
      <c r="FA115" s="110"/>
      <c r="FB115" s="110"/>
      <c r="FC115" s="110"/>
      <c r="FD115" s="110"/>
      <c r="FE115" s="110"/>
      <c r="FF115" s="110"/>
      <c r="FG115" s="110"/>
      <c r="FH115" s="110"/>
      <c r="FI115" s="110"/>
      <c r="FJ115" s="110">
        <v>8645</v>
      </c>
      <c r="FK115" s="110"/>
      <c r="FL115" s="110"/>
      <c r="FM115" s="110"/>
      <c r="FN115" s="110"/>
      <c r="FO115" s="110"/>
      <c r="FP115" s="110"/>
      <c r="FQ115" s="110"/>
      <c r="FR115" s="110"/>
      <c r="FS115" s="110"/>
      <c r="FT115" s="110"/>
      <c r="FU115" s="110"/>
      <c r="FV115" s="110"/>
      <c r="FW115" s="110"/>
      <c r="FX115" s="110"/>
      <c r="FY115" s="110"/>
      <c r="FZ115" s="110"/>
      <c r="GA115" s="110"/>
      <c r="GB115" s="110"/>
      <c r="GC115" s="110"/>
      <c r="GD115" s="110"/>
      <c r="GE115" s="110"/>
      <c r="GF115" s="110"/>
      <c r="GG115" s="110"/>
      <c r="GH115" s="110"/>
      <c r="GI115" s="110"/>
      <c r="GJ115" s="110"/>
      <c r="GK115" s="110"/>
      <c r="GL115" s="110"/>
      <c r="GM115" s="110"/>
      <c r="GN115" s="110"/>
      <c r="GO115" s="110"/>
      <c r="GP115" s="110"/>
      <c r="GQ115" s="110"/>
      <c r="GR115" s="110"/>
      <c r="GS115" s="110"/>
      <c r="GT115" s="110"/>
      <c r="GU115" s="110"/>
      <c r="GV115" s="110"/>
      <c r="GW115" s="110"/>
      <c r="GX115" s="110"/>
      <c r="GY115" s="110"/>
      <c r="GZ115" s="110"/>
      <c r="HA115" s="110"/>
      <c r="HB115" s="110"/>
      <c r="HC115" s="110"/>
      <c r="HD115" s="110"/>
      <c r="HE115" s="110"/>
      <c r="HF115" s="110"/>
      <c r="HG115" s="110"/>
      <c r="HH115" s="110"/>
      <c r="HI115" s="110"/>
      <c r="HJ115" s="110"/>
      <c r="HK115" s="110"/>
      <c r="HL115" s="110"/>
      <c r="HM115" s="110"/>
      <c r="HN115" s="110"/>
      <c r="HO115" s="110"/>
      <c r="HP115" s="110"/>
      <c r="HQ115" s="110"/>
      <c r="HR115" s="110"/>
      <c r="HS115" s="110"/>
      <c r="HT115" s="110"/>
      <c r="HU115" s="110"/>
      <c r="HV115" s="110"/>
      <c r="HW115" s="110"/>
      <c r="HX115" s="110"/>
      <c r="HY115" s="110"/>
      <c r="HZ115" s="110"/>
      <c r="IA115" s="110"/>
      <c r="IB115" s="110"/>
      <c r="IC115" s="110"/>
      <c r="ID115" s="110"/>
      <c r="IE115" s="110"/>
      <c r="IF115" s="110"/>
      <c r="IG115" s="110"/>
      <c r="IH115" s="110"/>
      <c r="II115" s="110"/>
      <c r="IJ115" s="110"/>
      <c r="IK115" s="110"/>
      <c r="IL115" s="110"/>
      <c r="IM115" s="110"/>
      <c r="IN115" s="110"/>
      <c r="IO115" s="110"/>
      <c r="IP115" s="110"/>
      <c r="IQ115" s="110"/>
      <c r="IR115" s="110"/>
      <c r="IS115" s="110"/>
      <c r="IT115" s="110"/>
      <c r="IU115" s="110"/>
      <c r="IV115" s="110"/>
      <c r="IW115" s="110"/>
      <c r="IX115" s="110"/>
      <c r="IY115" s="110"/>
      <c r="IZ115" s="110"/>
      <c r="JA115" s="110"/>
      <c r="JB115" s="110"/>
      <c r="JC115" s="110"/>
      <c r="JD115" s="110"/>
      <c r="JE115" s="110"/>
      <c r="JF115" s="110"/>
      <c r="JG115" s="110"/>
      <c r="JH115" s="110"/>
      <c r="JI115" s="107">
        <f t="shared" si="3"/>
        <v>8645</v>
      </c>
      <c r="JJ115" s="297">
        <v>3284</v>
      </c>
      <c r="JK115" s="112"/>
      <c r="JL115" s="112"/>
      <c r="JM115" s="1"/>
      <c r="JN115" s="1"/>
      <c r="JO115" s="1"/>
      <c r="JP115" s="1"/>
    </row>
    <row r="116" spans="1:276" x14ac:dyDescent="0.25">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c r="BX116" s="110"/>
      <c r="BY116" s="110"/>
      <c r="BZ116" s="110"/>
      <c r="CA116" s="110"/>
      <c r="CB116" s="110"/>
      <c r="CC116" s="110"/>
      <c r="CD116" s="110"/>
      <c r="CE116" s="110"/>
      <c r="CF116" s="110"/>
      <c r="CG116" s="110"/>
      <c r="CH116" s="110"/>
      <c r="CI116" s="110"/>
      <c r="CJ116" s="110"/>
      <c r="CK116" s="110"/>
      <c r="CL116" s="110"/>
      <c r="CM116" s="110"/>
      <c r="CN116" s="110"/>
      <c r="CO116" s="110"/>
      <c r="CP116" s="110"/>
      <c r="CQ116" s="110"/>
      <c r="CR116" s="110"/>
      <c r="CS116" s="110"/>
      <c r="CT116" s="110"/>
      <c r="CU116" s="110"/>
      <c r="CV116" s="110"/>
      <c r="CW116" s="110"/>
      <c r="CX116" s="110"/>
      <c r="CY116" s="110"/>
      <c r="CZ116" s="110"/>
      <c r="DA116" s="110"/>
      <c r="DB116" s="110"/>
      <c r="DC116" s="110"/>
      <c r="DD116" s="110"/>
      <c r="DE116" s="110"/>
      <c r="DF116" s="110"/>
      <c r="DG116" s="110"/>
      <c r="DH116" s="110"/>
      <c r="DI116" s="110"/>
      <c r="DJ116" s="110"/>
      <c r="DK116" s="110"/>
      <c r="DL116" s="110"/>
      <c r="DM116" s="110"/>
      <c r="DN116" s="110"/>
      <c r="DO116" s="110"/>
      <c r="DP116" s="110"/>
      <c r="DQ116" s="110"/>
      <c r="DR116" s="110"/>
      <c r="DS116" s="110"/>
      <c r="DT116" s="110"/>
      <c r="DU116" s="110"/>
      <c r="DV116" s="110"/>
      <c r="DW116" s="110"/>
      <c r="DX116" s="110"/>
      <c r="DY116" s="110"/>
      <c r="DZ116" s="110"/>
      <c r="EA116" s="110"/>
      <c r="EB116" s="110"/>
      <c r="EC116" s="110"/>
      <c r="ED116" s="110"/>
      <c r="EE116" s="110"/>
      <c r="EF116" s="110"/>
      <c r="EG116" s="110"/>
      <c r="EH116" s="110"/>
      <c r="EI116" s="110"/>
      <c r="EJ116" s="110"/>
      <c r="EK116" s="110"/>
      <c r="EL116" s="110"/>
      <c r="EM116" s="110"/>
      <c r="EN116" s="110"/>
      <c r="EO116" s="110"/>
      <c r="EP116" s="110"/>
      <c r="EQ116" s="110"/>
      <c r="ER116" s="110"/>
      <c r="ES116" s="110"/>
      <c r="ET116" s="110"/>
      <c r="EU116" s="110"/>
      <c r="EV116" s="110"/>
      <c r="EW116" s="110"/>
      <c r="EX116" s="110"/>
      <c r="EY116" s="110"/>
      <c r="EZ116" s="110"/>
      <c r="FA116" s="110"/>
      <c r="FB116" s="110"/>
      <c r="FC116" s="110"/>
      <c r="FD116" s="110"/>
      <c r="FE116" s="110"/>
      <c r="FF116" s="110"/>
      <c r="FG116" s="110"/>
      <c r="FH116" s="110"/>
      <c r="FI116" s="110"/>
      <c r="FJ116" s="110"/>
      <c r="FK116" s="110"/>
      <c r="FL116" s="110"/>
      <c r="FM116" s="110"/>
      <c r="FN116" s="110"/>
      <c r="FO116" s="110"/>
      <c r="FP116" s="110"/>
      <c r="FQ116" s="110"/>
      <c r="FR116" s="110"/>
      <c r="FS116" s="110"/>
      <c r="FT116" s="110"/>
      <c r="FU116" s="110"/>
      <c r="FV116" s="110"/>
      <c r="FW116" s="110"/>
      <c r="FX116" s="110"/>
      <c r="FY116" s="110"/>
      <c r="FZ116" s="110">
        <v>48177.98</v>
      </c>
      <c r="GA116" s="110"/>
      <c r="GB116" s="110"/>
      <c r="GC116" s="110"/>
      <c r="GD116" s="110"/>
      <c r="GE116" s="110"/>
      <c r="GF116" s="110"/>
      <c r="GG116" s="110"/>
      <c r="GH116" s="110"/>
      <c r="GI116" s="110"/>
      <c r="GJ116" s="110"/>
      <c r="GK116" s="110"/>
      <c r="GL116" s="110"/>
      <c r="GM116" s="110"/>
      <c r="GN116" s="110"/>
      <c r="GO116" s="110"/>
      <c r="GP116" s="110"/>
      <c r="GQ116" s="110"/>
      <c r="GR116" s="110"/>
      <c r="GS116" s="110"/>
      <c r="GT116" s="110"/>
      <c r="GU116" s="110"/>
      <c r="GV116" s="110"/>
      <c r="GW116" s="110"/>
      <c r="GX116" s="110"/>
      <c r="GY116" s="110"/>
      <c r="GZ116" s="110"/>
      <c r="HA116" s="110"/>
      <c r="HB116" s="110"/>
      <c r="HC116" s="110"/>
      <c r="HD116" s="110"/>
      <c r="HE116" s="110"/>
      <c r="HF116" s="110"/>
      <c r="HG116" s="110"/>
      <c r="HH116" s="110"/>
      <c r="HI116" s="110"/>
      <c r="HJ116" s="110"/>
      <c r="HK116" s="110"/>
      <c r="HL116" s="110"/>
      <c r="HM116" s="110"/>
      <c r="HN116" s="110"/>
      <c r="HO116" s="110"/>
      <c r="HP116" s="110"/>
      <c r="HQ116" s="110"/>
      <c r="HR116" s="110"/>
      <c r="HS116" s="110"/>
      <c r="HT116" s="110"/>
      <c r="HU116" s="110"/>
      <c r="HV116" s="110"/>
      <c r="HW116" s="110"/>
      <c r="HX116" s="110"/>
      <c r="HY116" s="110"/>
      <c r="HZ116" s="110"/>
      <c r="IA116" s="110"/>
      <c r="IB116" s="110"/>
      <c r="IC116" s="110"/>
      <c r="ID116" s="110"/>
      <c r="IE116" s="110"/>
      <c r="IF116" s="110"/>
      <c r="IG116" s="110"/>
      <c r="IH116" s="110"/>
      <c r="II116" s="110"/>
      <c r="IJ116" s="110"/>
      <c r="IK116" s="110"/>
      <c r="IL116" s="110"/>
      <c r="IM116" s="110"/>
      <c r="IN116" s="110"/>
      <c r="IO116" s="110"/>
      <c r="IP116" s="110"/>
      <c r="IQ116" s="110"/>
      <c r="IR116" s="110"/>
      <c r="IS116" s="110"/>
      <c r="IT116" s="110"/>
      <c r="IU116" s="110"/>
      <c r="IV116" s="110"/>
      <c r="IW116" s="110"/>
      <c r="IX116" s="110"/>
      <c r="IY116" s="110"/>
      <c r="IZ116" s="110"/>
      <c r="JA116" s="110"/>
      <c r="JB116" s="110"/>
      <c r="JC116" s="110"/>
      <c r="JD116" s="110"/>
      <c r="JE116" s="110"/>
      <c r="JF116" s="110"/>
      <c r="JG116" s="110"/>
      <c r="JH116" s="110"/>
      <c r="JI116" s="107">
        <f t="shared" si="3"/>
        <v>48177.98</v>
      </c>
      <c r="JJ116" s="297">
        <v>3289</v>
      </c>
      <c r="JK116" s="112"/>
      <c r="JL116" s="112"/>
      <c r="JM116" s="1"/>
      <c r="JN116" s="1"/>
      <c r="JO116" s="1"/>
      <c r="JP116" s="1"/>
    </row>
    <row r="117" spans="1:276" x14ac:dyDescent="0.25">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c r="BX117" s="110"/>
      <c r="BY117" s="110"/>
      <c r="BZ117" s="110"/>
      <c r="CA117" s="110"/>
      <c r="CB117" s="110"/>
      <c r="CC117" s="110"/>
      <c r="CD117" s="110"/>
      <c r="CE117" s="110"/>
      <c r="CF117" s="110"/>
      <c r="CG117" s="110"/>
      <c r="CH117" s="110"/>
      <c r="CI117" s="110"/>
      <c r="CJ117" s="110"/>
      <c r="CK117" s="110"/>
      <c r="CL117" s="110"/>
      <c r="CM117" s="110"/>
      <c r="CN117" s="110"/>
      <c r="CO117" s="110"/>
      <c r="CP117" s="110"/>
      <c r="CQ117" s="110"/>
      <c r="CR117" s="110"/>
      <c r="CS117" s="110"/>
      <c r="CT117" s="110"/>
      <c r="CU117" s="110"/>
      <c r="CV117" s="110"/>
      <c r="CW117" s="110"/>
      <c r="CX117" s="110"/>
      <c r="CY117" s="110"/>
      <c r="CZ117" s="110"/>
      <c r="DA117" s="110"/>
      <c r="DB117" s="110"/>
      <c r="DC117" s="110"/>
      <c r="DD117" s="110"/>
      <c r="DE117" s="110"/>
      <c r="DF117" s="110"/>
      <c r="DG117" s="110"/>
      <c r="DH117" s="110"/>
      <c r="DI117" s="110"/>
      <c r="DJ117" s="110"/>
      <c r="DK117" s="110"/>
      <c r="DL117" s="110"/>
      <c r="DM117" s="110"/>
      <c r="DN117" s="110"/>
      <c r="DO117" s="110"/>
      <c r="DP117" s="110"/>
      <c r="DQ117" s="110"/>
      <c r="DR117" s="110"/>
      <c r="DS117" s="110"/>
      <c r="DT117" s="110"/>
      <c r="DU117" s="110"/>
      <c r="DV117" s="110"/>
      <c r="DW117" s="110"/>
      <c r="DX117" s="110"/>
      <c r="DY117" s="110"/>
      <c r="DZ117" s="110"/>
      <c r="EA117" s="110"/>
      <c r="EB117" s="110"/>
      <c r="EC117" s="110"/>
      <c r="ED117" s="110"/>
      <c r="EE117" s="110"/>
      <c r="EF117" s="110"/>
      <c r="EG117" s="110"/>
      <c r="EH117" s="110"/>
      <c r="EI117" s="110"/>
      <c r="EJ117" s="110"/>
      <c r="EK117" s="110"/>
      <c r="EL117" s="110"/>
      <c r="EM117" s="110"/>
      <c r="EN117" s="110"/>
      <c r="EO117" s="110"/>
      <c r="EP117" s="110"/>
      <c r="EQ117" s="110"/>
      <c r="ER117" s="110"/>
      <c r="ES117" s="110"/>
      <c r="ET117" s="110"/>
      <c r="EU117" s="110"/>
      <c r="EV117" s="110"/>
      <c r="EW117" s="110"/>
      <c r="EX117" s="110"/>
      <c r="EY117" s="110"/>
      <c r="EZ117" s="110"/>
      <c r="FA117" s="110"/>
      <c r="FB117" s="110"/>
      <c r="FC117" s="110"/>
      <c r="FD117" s="110"/>
      <c r="FE117" s="110"/>
      <c r="FF117" s="110"/>
      <c r="FG117" s="110"/>
      <c r="FH117" s="110"/>
      <c r="FI117" s="110"/>
      <c r="FJ117" s="110">
        <v>8859.5</v>
      </c>
      <c r="FK117" s="110"/>
      <c r="FL117" s="110"/>
      <c r="FM117" s="110"/>
      <c r="FN117" s="110"/>
      <c r="FO117" s="110"/>
      <c r="FP117" s="110"/>
      <c r="FQ117" s="110"/>
      <c r="FR117" s="110"/>
      <c r="FS117" s="110"/>
      <c r="FT117" s="110"/>
      <c r="FU117" s="110"/>
      <c r="FV117" s="110"/>
      <c r="FW117" s="110"/>
      <c r="FX117" s="110"/>
      <c r="FY117" s="110"/>
      <c r="FZ117" s="110"/>
      <c r="GA117" s="110"/>
      <c r="GB117" s="110"/>
      <c r="GC117" s="110"/>
      <c r="GD117" s="110"/>
      <c r="GE117" s="110"/>
      <c r="GF117" s="110"/>
      <c r="GG117" s="110"/>
      <c r="GH117" s="110"/>
      <c r="GI117" s="110"/>
      <c r="GJ117" s="110"/>
      <c r="GK117" s="110"/>
      <c r="GL117" s="110"/>
      <c r="GM117" s="110"/>
      <c r="GN117" s="110"/>
      <c r="GO117" s="110"/>
      <c r="GP117" s="110"/>
      <c r="GQ117" s="110"/>
      <c r="GR117" s="110"/>
      <c r="GS117" s="110"/>
      <c r="GT117" s="110"/>
      <c r="GU117" s="110"/>
      <c r="GV117" s="110"/>
      <c r="GW117" s="110"/>
      <c r="GX117" s="110"/>
      <c r="GY117" s="110"/>
      <c r="GZ117" s="110"/>
      <c r="HA117" s="110"/>
      <c r="HB117" s="110"/>
      <c r="HC117" s="110"/>
      <c r="HD117" s="110"/>
      <c r="HE117" s="110"/>
      <c r="HF117" s="110"/>
      <c r="HG117" s="110"/>
      <c r="HH117" s="110"/>
      <c r="HI117" s="110"/>
      <c r="HJ117" s="110"/>
      <c r="HK117" s="110"/>
      <c r="HL117" s="110"/>
      <c r="HM117" s="110"/>
      <c r="HN117" s="110"/>
      <c r="HO117" s="110"/>
      <c r="HP117" s="110"/>
      <c r="HQ117" s="110"/>
      <c r="HR117" s="110"/>
      <c r="HS117" s="110"/>
      <c r="HT117" s="110"/>
      <c r="HU117" s="110"/>
      <c r="HV117" s="110"/>
      <c r="HW117" s="110"/>
      <c r="HX117" s="110"/>
      <c r="HY117" s="110"/>
      <c r="HZ117" s="110"/>
      <c r="IA117" s="110"/>
      <c r="IB117" s="110"/>
      <c r="IC117" s="110"/>
      <c r="ID117" s="110"/>
      <c r="IE117" s="110"/>
      <c r="IF117" s="110"/>
      <c r="IG117" s="110"/>
      <c r="IH117" s="110"/>
      <c r="II117" s="110"/>
      <c r="IJ117" s="110"/>
      <c r="IK117" s="110"/>
      <c r="IL117" s="110"/>
      <c r="IM117" s="110"/>
      <c r="IN117" s="110"/>
      <c r="IO117" s="110"/>
      <c r="IP117" s="110"/>
      <c r="IQ117" s="110"/>
      <c r="IR117" s="110"/>
      <c r="IS117" s="110"/>
      <c r="IT117" s="110"/>
      <c r="IU117" s="110"/>
      <c r="IV117" s="110"/>
      <c r="IW117" s="110"/>
      <c r="IX117" s="110"/>
      <c r="IY117" s="110"/>
      <c r="IZ117" s="110"/>
      <c r="JA117" s="110"/>
      <c r="JB117" s="110"/>
      <c r="JC117" s="110"/>
      <c r="JD117" s="110"/>
      <c r="JE117" s="110"/>
      <c r="JF117" s="110"/>
      <c r="JG117" s="110"/>
      <c r="JH117" s="110"/>
      <c r="JI117" s="107">
        <f t="shared" si="3"/>
        <v>8859.5</v>
      </c>
      <c r="JJ117" s="297">
        <v>3291</v>
      </c>
      <c r="JK117" s="112"/>
      <c r="JL117" s="112"/>
      <c r="JM117" s="1"/>
      <c r="JN117" s="1"/>
      <c r="JO117" s="1"/>
      <c r="JP117" s="1"/>
    </row>
    <row r="118" spans="1:276" x14ac:dyDescent="0.25">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c r="BX118" s="110"/>
      <c r="BY118" s="110"/>
      <c r="BZ118" s="110"/>
      <c r="CA118" s="110"/>
      <c r="CB118" s="110"/>
      <c r="CC118" s="110"/>
      <c r="CD118" s="110"/>
      <c r="CE118" s="110"/>
      <c r="CF118" s="110"/>
      <c r="CG118" s="110"/>
      <c r="CH118" s="110"/>
      <c r="CI118" s="110"/>
      <c r="CJ118" s="110"/>
      <c r="CK118" s="110"/>
      <c r="CL118" s="110"/>
      <c r="CM118" s="110"/>
      <c r="CN118" s="110"/>
      <c r="CO118" s="110"/>
      <c r="CP118" s="110"/>
      <c r="CQ118" s="110"/>
      <c r="CR118" s="110"/>
      <c r="CS118" s="110"/>
      <c r="CT118" s="110"/>
      <c r="CU118" s="110"/>
      <c r="CV118" s="110"/>
      <c r="CW118" s="110"/>
      <c r="CX118" s="110"/>
      <c r="CY118" s="110"/>
      <c r="CZ118" s="110"/>
      <c r="DA118" s="110"/>
      <c r="DB118" s="110"/>
      <c r="DC118" s="110"/>
      <c r="DD118" s="110"/>
      <c r="DE118" s="110"/>
      <c r="DF118" s="110"/>
      <c r="DG118" s="110"/>
      <c r="DH118" s="110"/>
      <c r="DI118" s="110"/>
      <c r="DJ118" s="110"/>
      <c r="DK118" s="110"/>
      <c r="DL118" s="110"/>
      <c r="DM118" s="110"/>
      <c r="DN118" s="110"/>
      <c r="DO118" s="110"/>
      <c r="DP118" s="110"/>
      <c r="DQ118" s="110"/>
      <c r="DR118" s="110"/>
      <c r="DS118" s="110"/>
      <c r="DT118" s="110"/>
      <c r="DU118" s="110"/>
      <c r="DV118" s="110"/>
      <c r="DW118" s="110"/>
      <c r="DX118" s="110"/>
      <c r="DY118" s="110"/>
      <c r="DZ118" s="110"/>
      <c r="EA118" s="110">
        <v>100000</v>
      </c>
      <c r="EB118" s="110"/>
      <c r="EC118" s="110"/>
      <c r="ED118" s="110"/>
      <c r="EE118" s="110"/>
      <c r="EF118" s="110"/>
      <c r="EG118" s="110"/>
      <c r="EH118" s="110"/>
      <c r="EI118" s="110"/>
      <c r="EJ118" s="110"/>
      <c r="EK118" s="110"/>
      <c r="EL118" s="110"/>
      <c r="EM118" s="110"/>
      <c r="EN118" s="110"/>
      <c r="EO118" s="110"/>
      <c r="EP118" s="110"/>
      <c r="EQ118" s="110"/>
      <c r="ER118" s="110"/>
      <c r="ES118" s="110"/>
      <c r="ET118" s="110"/>
      <c r="EU118" s="110"/>
      <c r="EV118" s="110"/>
      <c r="EW118" s="110"/>
      <c r="EX118" s="110"/>
      <c r="EY118" s="110"/>
      <c r="EZ118" s="110"/>
      <c r="FA118" s="110"/>
      <c r="FB118" s="110"/>
      <c r="FC118" s="110"/>
      <c r="FD118" s="110"/>
      <c r="FE118" s="110"/>
      <c r="FF118" s="110"/>
      <c r="FG118" s="110"/>
      <c r="FH118" s="110"/>
      <c r="FI118" s="110"/>
      <c r="FJ118" s="110"/>
      <c r="FK118" s="110"/>
      <c r="FL118" s="110"/>
      <c r="FM118" s="110"/>
      <c r="FN118" s="110"/>
      <c r="FO118" s="110"/>
      <c r="FP118" s="110"/>
      <c r="FQ118" s="110"/>
      <c r="FR118" s="110"/>
      <c r="FS118" s="110"/>
      <c r="FT118" s="110"/>
      <c r="FU118" s="110"/>
      <c r="FV118" s="110"/>
      <c r="FW118" s="110"/>
      <c r="FX118" s="110"/>
      <c r="FY118" s="110"/>
      <c r="FZ118" s="110"/>
      <c r="GA118" s="110"/>
      <c r="GB118" s="110"/>
      <c r="GC118" s="110"/>
      <c r="GD118" s="110"/>
      <c r="GE118" s="110"/>
      <c r="GF118" s="110"/>
      <c r="GG118" s="110"/>
      <c r="GH118" s="110"/>
      <c r="GI118" s="110"/>
      <c r="GJ118" s="110"/>
      <c r="GK118" s="110"/>
      <c r="GL118" s="110"/>
      <c r="GM118" s="110"/>
      <c r="GN118" s="110"/>
      <c r="GO118" s="110"/>
      <c r="GP118" s="110"/>
      <c r="GQ118" s="110"/>
      <c r="GR118" s="110"/>
      <c r="GS118" s="110"/>
      <c r="GT118" s="110"/>
      <c r="GU118" s="110"/>
      <c r="GV118" s="110"/>
      <c r="GW118" s="110"/>
      <c r="GX118" s="110"/>
      <c r="GY118" s="110"/>
      <c r="GZ118" s="110"/>
      <c r="HA118" s="110"/>
      <c r="HB118" s="110"/>
      <c r="HC118" s="110"/>
      <c r="HD118" s="110"/>
      <c r="HE118" s="110"/>
      <c r="HF118" s="110"/>
      <c r="HG118" s="110"/>
      <c r="HH118" s="110"/>
      <c r="HI118" s="110"/>
      <c r="HJ118" s="110"/>
      <c r="HK118" s="110"/>
      <c r="HL118" s="110"/>
      <c r="HM118" s="110"/>
      <c r="HN118" s="110"/>
      <c r="HO118" s="110"/>
      <c r="HP118" s="110"/>
      <c r="HQ118" s="110"/>
      <c r="HR118" s="110"/>
      <c r="HS118" s="110"/>
      <c r="HT118" s="110"/>
      <c r="HU118" s="110"/>
      <c r="HV118" s="110"/>
      <c r="HW118" s="110"/>
      <c r="HX118" s="110"/>
      <c r="HY118" s="110"/>
      <c r="HZ118" s="110"/>
      <c r="IA118" s="110"/>
      <c r="IB118" s="110"/>
      <c r="IC118" s="110"/>
      <c r="ID118" s="110"/>
      <c r="IE118" s="110"/>
      <c r="IF118" s="110"/>
      <c r="IG118" s="110"/>
      <c r="IH118" s="110"/>
      <c r="II118" s="110"/>
      <c r="IJ118" s="110"/>
      <c r="IK118" s="110"/>
      <c r="IL118" s="110"/>
      <c r="IM118" s="110"/>
      <c r="IN118" s="110"/>
      <c r="IO118" s="110"/>
      <c r="IP118" s="110"/>
      <c r="IQ118" s="110"/>
      <c r="IR118" s="110"/>
      <c r="IS118" s="110"/>
      <c r="IT118" s="110"/>
      <c r="IU118" s="110"/>
      <c r="IV118" s="110"/>
      <c r="IW118" s="110"/>
      <c r="IX118" s="110"/>
      <c r="IY118" s="110"/>
      <c r="IZ118" s="110"/>
      <c r="JA118" s="110"/>
      <c r="JB118" s="110"/>
      <c r="JC118" s="110"/>
      <c r="JD118" s="110"/>
      <c r="JE118" s="110"/>
      <c r="JF118" s="110"/>
      <c r="JG118" s="110"/>
      <c r="JH118" s="110"/>
      <c r="JI118" s="107">
        <f t="shared" si="3"/>
        <v>100000</v>
      </c>
      <c r="JJ118" s="297">
        <v>3295</v>
      </c>
      <c r="JK118" s="112"/>
      <c r="JL118" s="112"/>
      <c r="JM118" s="1"/>
      <c r="JN118" s="1"/>
      <c r="JO118" s="1"/>
      <c r="JP118" s="1"/>
    </row>
    <row r="119" spans="1:276" x14ac:dyDescent="0.25">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c r="AI119" s="110"/>
      <c r="AJ119" s="110"/>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c r="BX119" s="110"/>
      <c r="BY119" s="110"/>
      <c r="BZ119" s="110"/>
      <c r="CA119" s="110"/>
      <c r="CB119" s="110"/>
      <c r="CC119" s="110"/>
      <c r="CD119" s="110"/>
      <c r="CE119" s="110"/>
      <c r="CF119" s="110"/>
      <c r="CG119" s="110"/>
      <c r="CH119" s="110"/>
      <c r="CI119" s="110"/>
      <c r="CJ119" s="110"/>
      <c r="CK119" s="110"/>
      <c r="CL119" s="110"/>
      <c r="CM119" s="110"/>
      <c r="CN119" s="110"/>
      <c r="CO119" s="110"/>
      <c r="CP119" s="110"/>
      <c r="CQ119" s="110"/>
      <c r="CR119" s="110"/>
      <c r="CS119" s="110"/>
      <c r="CT119" s="110"/>
      <c r="CU119" s="110"/>
      <c r="CV119" s="110"/>
      <c r="CW119" s="110"/>
      <c r="CX119" s="110"/>
      <c r="CY119" s="110"/>
      <c r="CZ119" s="110"/>
      <c r="DA119" s="110"/>
      <c r="DB119" s="110"/>
      <c r="DC119" s="110"/>
      <c r="DD119" s="110"/>
      <c r="DE119" s="110"/>
      <c r="DF119" s="110"/>
      <c r="DG119" s="110"/>
      <c r="DH119" s="110"/>
      <c r="DI119" s="110"/>
      <c r="DJ119" s="110"/>
      <c r="DK119" s="110"/>
      <c r="DL119" s="110"/>
      <c r="DM119" s="110"/>
      <c r="DN119" s="110"/>
      <c r="DO119" s="110"/>
      <c r="DP119" s="110"/>
      <c r="DQ119" s="110"/>
      <c r="DR119" s="110"/>
      <c r="DS119" s="110"/>
      <c r="DT119" s="110"/>
      <c r="DU119" s="110"/>
      <c r="DV119" s="110"/>
      <c r="DW119" s="110"/>
      <c r="DX119" s="110"/>
      <c r="DY119" s="110"/>
      <c r="DZ119" s="110"/>
      <c r="EA119" s="110"/>
      <c r="EB119" s="110"/>
      <c r="EC119" s="110"/>
      <c r="ED119" s="110"/>
      <c r="EE119" s="110"/>
      <c r="EF119" s="110"/>
      <c r="EG119" s="110"/>
      <c r="EH119" s="110"/>
      <c r="EI119" s="110"/>
      <c r="EJ119" s="110"/>
      <c r="EK119" s="110"/>
      <c r="EL119" s="110"/>
      <c r="EM119" s="110"/>
      <c r="EN119" s="110"/>
      <c r="EO119" s="110"/>
      <c r="EP119" s="110"/>
      <c r="EQ119" s="110"/>
      <c r="ER119" s="110"/>
      <c r="ES119" s="110"/>
      <c r="ET119" s="110"/>
      <c r="EU119" s="110"/>
      <c r="EV119" s="110"/>
      <c r="EW119" s="110"/>
      <c r="EX119" s="110"/>
      <c r="EY119" s="110"/>
      <c r="EZ119" s="110"/>
      <c r="FA119" s="110"/>
      <c r="FB119" s="110"/>
      <c r="FC119" s="110"/>
      <c r="FD119" s="110"/>
      <c r="FE119" s="110"/>
      <c r="FF119" s="110"/>
      <c r="FG119" s="110"/>
      <c r="FH119" s="110"/>
      <c r="FI119" s="110"/>
      <c r="FJ119" s="110">
        <v>121969.2</v>
      </c>
      <c r="FK119" s="110"/>
      <c r="FL119" s="110"/>
      <c r="FM119" s="110"/>
      <c r="FN119" s="110"/>
      <c r="FO119" s="110"/>
      <c r="FP119" s="110"/>
      <c r="FQ119" s="110"/>
      <c r="FR119" s="110"/>
      <c r="FS119" s="110"/>
      <c r="FT119" s="110"/>
      <c r="FU119" s="110"/>
      <c r="FV119" s="110"/>
      <c r="FW119" s="110"/>
      <c r="FX119" s="110"/>
      <c r="FY119" s="110"/>
      <c r="FZ119" s="110"/>
      <c r="GA119" s="110"/>
      <c r="GB119" s="110"/>
      <c r="GC119" s="110"/>
      <c r="GD119" s="110"/>
      <c r="GE119" s="110"/>
      <c r="GF119" s="110"/>
      <c r="GG119" s="110"/>
      <c r="GH119" s="110"/>
      <c r="GI119" s="110"/>
      <c r="GJ119" s="110"/>
      <c r="GK119" s="110"/>
      <c r="GL119" s="110"/>
      <c r="GM119" s="110"/>
      <c r="GN119" s="110"/>
      <c r="GO119" s="110"/>
      <c r="GP119" s="110"/>
      <c r="GQ119" s="110"/>
      <c r="GR119" s="110"/>
      <c r="GS119" s="110"/>
      <c r="GT119" s="110"/>
      <c r="GU119" s="110"/>
      <c r="GV119" s="110"/>
      <c r="GW119" s="110"/>
      <c r="GX119" s="110"/>
      <c r="GY119" s="110"/>
      <c r="GZ119" s="110"/>
      <c r="HA119" s="110"/>
      <c r="HB119" s="110"/>
      <c r="HC119" s="110"/>
      <c r="HD119" s="110"/>
      <c r="HE119" s="110"/>
      <c r="HF119" s="110"/>
      <c r="HG119" s="110"/>
      <c r="HH119" s="110"/>
      <c r="HI119" s="110"/>
      <c r="HJ119" s="110"/>
      <c r="HK119" s="110"/>
      <c r="HL119" s="110"/>
      <c r="HM119" s="110"/>
      <c r="HN119" s="110"/>
      <c r="HO119" s="110"/>
      <c r="HP119" s="110"/>
      <c r="HQ119" s="110"/>
      <c r="HR119" s="110"/>
      <c r="HS119" s="110"/>
      <c r="HT119" s="110"/>
      <c r="HU119" s="110"/>
      <c r="HV119" s="110"/>
      <c r="HW119" s="110"/>
      <c r="HX119" s="110"/>
      <c r="HY119" s="110"/>
      <c r="HZ119" s="110"/>
      <c r="IA119" s="110"/>
      <c r="IB119" s="110"/>
      <c r="IC119" s="110"/>
      <c r="ID119" s="110"/>
      <c r="IE119" s="110"/>
      <c r="IF119" s="110"/>
      <c r="IG119" s="110"/>
      <c r="IH119" s="110"/>
      <c r="II119" s="110"/>
      <c r="IJ119" s="110"/>
      <c r="IK119" s="110"/>
      <c r="IL119" s="110"/>
      <c r="IM119" s="110"/>
      <c r="IN119" s="110"/>
      <c r="IO119" s="110"/>
      <c r="IP119" s="110"/>
      <c r="IQ119" s="110"/>
      <c r="IR119" s="110"/>
      <c r="IS119" s="110"/>
      <c r="IT119" s="110"/>
      <c r="IU119" s="110"/>
      <c r="IV119" s="110"/>
      <c r="IW119" s="110"/>
      <c r="IX119" s="110"/>
      <c r="IY119" s="110"/>
      <c r="IZ119" s="110"/>
      <c r="JA119" s="110"/>
      <c r="JB119" s="110"/>
      <c r="JC119" s="110"/>
      <c r="JD119" s="110"/>
      <c r="JE119" s="110"/>
      <c r="JF119" s="110"/>
      <c r="JG119" s="110"/>
      <c r="JH119" s="110"/>
      <c r="JI119" s="107">
        <f t="shared" si="3"/>
        <v>121969.2</v>
      </c>
      <c r="JJ119" s="297">
        <v>3301</v>
      </c>
      <c r="JK119" s="112"/>
      <c r="JL119" s="112"/>
      <c r="JM119" s="1"/>
      <c r="JN119" s="1"/>
      <c r="JO119" s="1"/>
      <c r="JP119" s="1"/>
    </row>
    <row r="120" spans="1:276" x14ac:dyDescent="0.25">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c r="AI120" s="110"/>
      <c r="AJ120" s="110"/>
      <c r="AK120" s="110"/>
      <c r="AL120" s="110"/>
      <c r="AM120" s="110"/>
      <c r="AN120" s="110"/>
      <c r="AO120" s="110"/>
      <c r="AP120" s="110"/>
      <c r="AQ120" s="110"/>
      <c r="AR120" s="110"/>
      <c r="AS120" s="110"/>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c r="BX120" s="110"/>
      <c r="BY120" s="110"/>
      <c r="BZ120" s="110"/>
      <c r="CA120" s="110"/>
      <c r="CB120" s="110"/>
      <c r="CC120" s="110"/>
      <c r="CD120" s="110"/>
      <c r="CE120" s="110"/>
      <c r="CF120" s="110"/>
      <c r="CG120" s="110"/>
      <c r="CH120" s="110"/>
      <c r="CI120" s="110"/>
      <c r="CJ120" s="110"/>
      <c r="CK120" s="110"/>
      <c r="CL120" s="110"/>
      <c r="CM120" s="110"/>
      <c r="CN120" s="110"/>
      <c r="CO120" s="110"/>
      <c r="CP120" s="110"/>
      <c r="CQ120" s="110"/>
      <c r="CR120" s="110"/>
      <c r="CS120" s="110"/>
      <c r="CT120" s="110"/>
      <c r="CU120" s="110"/>
      <c r="CV120" s="110"/>
      <c r="CW120" s="110"/>
      <c r="CX120" s="110"/>
      <c r="CY120" s="110"/>
      <c r="CZ120" s="110"/>
      <c r="DA120" s="110"/>
      <c r="DB120" s="110"/>
      <c r="DC120" s="110"/>
      <c r="DD120" s="110"/>
      <c r="DE120" s="110"/>
      <c r="DF120" s="110"/>
      <c r="DG120" s="110"/>
      <c r="DH120" s="110"/>
      <c r="DI120" s="110"/>
      <c r="DJ120" s="110"/>
      <c r="DK120" s="110"/>
      <c r="DL120" s="110"/>
      <c r="DM120" s="110"/>
      <c r="DN120" s="110"/>
      <c r="DO120" s="110"/>
      <c r="DP120" s="110"/>
      <c r="DQ120" s="110"/>
      <c r="DR120" s="110"/>
      <c r="DS120" s="110"/>
      <c r="DT120" s="110"/>
      <c r="DU120" s="110"/>
      <c r="DV120" s="110"/>
      <c r="DW120" s="110"/>
      <c r="DX120" s="110"/>
      <c r="DY120" s="110"/>
      <c r="DZ120" s="110"/>
      <c r="EA120" s="110"/>
      <c r="EB120" s="110"/>
      <c r="EC120" s="110"/>
      <c r="ED120" s="110"/>
      <c r="EE120" s="110"/>
      <c r="EF120" s="110"/>
      <c r="EG120" s="110"/>
      <c r="EH120" s="110"/>
      <c r="EI120" s="110"/>
      <c r="EJ120" s="110"/>
      <c r="EK120" s="110"/>
      <c r="EL120" s="110"/>
      <c r="EM120" s="110"/>
      <c r="EN120" s="110"/>
      <c r="EO120" s="110"/>
      <c r="EP120" s="110"/>
      <c r="EQ120" s="110"/>
      <c r="ER120" s="110"/>
      <c r="ES120" s="110"/>
      <c r="ET120" s="110"/>
      <c r="EU120" s="110"/>
      <c r="EV120" s="110"/>
      <c r="EW120" s="110"/>
      <c r="EX120" s="110"/>
      <c r="EY120" s="110"/>
      <c r="EZ120" s="110"/>
      <c r="FA120" s="110"/>
      <c r="FB120" s="110"/>
      <c r="FC120" s="110"/>
      <c r="FD120" s="110"/>
      <c r="FE120" s="110"/>
      <c r="FF120" s="110"/>
      <c r="FG120" s="110"/>
      <c r="FH120" s="110"/>
      <c r="FI120" s="110"/>
      <c r="FJ120" s="110"/>
      <c r="FK120" s="110"/>
      <c r="FL120" s="110"/>
      <c r="FM120" s="110"/>
      <c r="FN120" s="110"/>
      <c r="FO120" s="110"/>
      <c r="FP120" s="110"/>
      <c r="FQ120" s="110"/>
      <c r="FR120" s="110"/>
      <c r="FS120" s="110"/>
      <c r="FT120" s="110"/>
      <c r="FU120" s="110"/>
      <c r="FV120" s="110"/>
      <c r="FW120" s="110"/>
      <c r="FX120" s="110"/>
      <c r="FY120" s="110"/>
      <c r="FZ120" s="110"/>
      <c r="GA120" s="110"/>
      <c r="GB120" s="110"/>
      <c r="GC120" s="110"/>
      <c r="GD120" s="110"/>
      <c r="GE120" s="110"/>
      <c r="GF120" s="110"/>
      <c r="GG120" s="110"/>
      <c r="GH120" s="110">
        <v>271400</v>
      </c>
      <c r="GI120" s="110"/>
      <c r="GJ120" s="110"/>
      <c r="GK120" s="110"/>
      <c r="GL120" s="110"/>
      <c r="GM120" s="110"/>
      <c r="GN120" s="110"/>
      <c r="GO120" s="110"/>
      <c r="GP120" s="110"/>
      <c r="GQ120" s="110"/>
      <c r="GR120" s="110"/>
      <c r="GS120" s="110"/>
      <c r="GT120" s="110"/>
      <c r="GU120" s="110"/>
      <c r="GV120" s="110"/>
      <c r="GW120" s="110"/>
      <c r="GX120" s="110"/>
      <c r="GY120" s="110"/>
      <c r="GZ120" s="110"/>
      <c r="HA120" s="110"/>
      <c r="HB120" s="110"/>
      <c r="HC120" s="110"/>
      <c r="HD120" s="110"/>
      <c r="HE120" s="110"/>
      <c r="HF120" s="110"/>
      <c r="HG120" s="110"/>
      <c r="HH120" s="110"/>
      <c r="HI120" s="110"/>
      <c r="HJ120" s="110"/>
      <c r="HK120" s="110"/>
      <c r="HL120" s="110"/>
      <c r="HM120" s="110"/>
      <c r="HN120" s="110"/>
      <c r="HO120" s="110"/>
      <c r="HP120" s="110"/>
      <c r="HQ120" s="110"/>
      <c r="HR120" s="110"/>
      <c r="HS120" s="110"/>
      <c r="HT120" s="110"/>
      <c r="HU120" s="110"/>
      <c r="HV120" s="110"/>
      <c r="HW120" s="110"/>
      <c r="HX120" s="110"/>
      <c r="HY120" s="110"/>
      <c r="HZ120" s="110"/>
      <c r="IA120" s="110"/>
      <c r="IB120" s="110"/>
      <c r="IC120" s="110"/>
      <c r="ID120" s="110"/>
      <c r="IE120" s="110"/>
      <c r="IF120" s="110"/>
      <c r="IG120" s="110"/>
      <c r="IH120" s="110"/>
      <c r="II120" s="110"/>
      <c r="IJ120" s="110"/>
      <c r="IK120" s="110"/>
      <c r="IL120" s="110"/>
      <c r="IM120" s="110"/>
      <c r="IN120" s="110"/>
      <c r="IO120" s="110"/>
      <c r="IP120" s="110"/>
      <c r="IQ120" s="110"/>
      <c r="IR120" s="110"/>
      <c r="IS120" s="110"/>
      <c r="IT120" s="110"/>
      <c r="IU120" s="110"/>
      <c r="IV120" s="110"/>
      <c r="IW120" s="110"/>
      <c r="IX120" s="110"/>
      <c r="IY120" s="110"/>
      <c r="IZ120" s="110"/>
      <c r="JA120" s="110"/>
      <c r="JB120" s="110"/>
      <c r="JC120" s="110"/>
      <c r="JD120" s="110"/>
      <c r="JE120" s="110"/>
      <c r="JF120" s="110"/>
      <c r="JG120" s="110"/>
      <c r="JH120" s="110"/>
      <c r="JI120" s="107">
        <f t="shared" si="3"/>
        <v>271400</v>
      </c>
      <c r="JJ120" s="297">
        <v>3307</v>
      </c>
      <c r="JK120" s="112"/>
      <c r="JL120" s="112"/>
      <c r="JM120" s="1"/>
      <c r="JN120" s="1"/>
      <c r="JO120" s="1"/>
      <c r="JP120" s="1"/>
    </row>
    <row r="121" spans="1:276" x14ac:dyDescent="0.25">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c r="BX121" s="110"/>
      <c r="BY121" s="110"/>
      <c r="BZ121" s="110"/>
      <c r="CA121" s="110"/>
      <c r="CB121" s="110"/>
      <c r="CC121" s="110"/>
      <c r="CD121" s="110"/>
      <c r="CE121" s="110"/>
      <c r="CF121" s="110"/>
      <c r="CG121" s="110"/>
      <c r="CH121" s="110"/>
      <c r="CI121" s="110"/>
      <c r="CJ121" s="110"/>
      <c r="CK121" s="110"/>
      <c r="CL121" s="110"/>
      <c r="CM121" s="110"/>
      <c r="CN121" s="110"/>
      <c r="CO121" s="110"/>
      <c r="CP121" s="110"/>
      <c r="CQ121" s="110"/>
      <c r="CR121" s="110"/>
      <c r="CS121" s="110"/>
      <c r="CT121" s="110"/>
      <c r="CU121" s="110"/>
      <c r="CV121" s="110"/>
      <c r="CW121" s="110"/>
      <c r="CX121" s="110"/>
      <c r="CY121" s="110"/>
      <c r="CZ121" s="110"/>
      <c r="DA121" s="110"/>
      <c r="DB121" s="110"/>
      <c r="DC121" s="110"/>
      <c r="DD121" s="110"/>
      <c r="DE121" s="110"/>
      <c r="DF121" s="110"/>
      <c r="DG121" s="110"/>
      <c r="DH121" s="110"/>
      <c r="DI121" s="110"/>
      <c r="DJ121" s="110"/>
      <c r="DK121" s="110"/>
      <c r="DL121" s="110"/>
      <c r="DM121" s="110"/>
      <c r="DN121" s="110"/>
      <c r="DO121" s="110"/>
      <c r="DP121" s="110"/>
      <c r="DQ121" s="110"/>
      <c r="DR121" s="110"/>
      <c r="DS121" s="110"/>
      <c r="DT121" s="110"/>
      <c r="DU121" s="110"/>
      <c r="DV121" s="110"/>
      <c r="DW121" s="110"/>
      <c r="DX121" s="110"/>
      <c r="DY121" s="110"/>
      <c r="DZ121" s="110"/>
      <c r="EA121" s="110"/>
      <c r="EB121" s="110"/>
      <c r="EC121" s="110"/>
      <c r="ED121" s="110"/>
      <c r="EE121" s="110"/>
      <c r="EF121" s="110"/>
      <c r="EG121" s="110"/>
      <c r="EH121" s="110"/>
      <c r="EI121" s="110"/>
      <c r="EJ121" s="110"/>
      <c r="EK121" s="110"/>
      <c r="EL121" s="110"/>
      <c r="EM121" s="110"/>
      <c r="EN121" s="110"/>
      <c r="EO121" s="110"/>
      <c r="EP121" s="110"/>
      <c r="EQ121" s="110"/>
      <c r="ER121" s="110"/>
      <c r="ES121" s="110"/>
      <c r="ET121" s="110"/>
      <c r="EU121" s="110"/>
      <c r="EV121" s="110"/>
      <c r="EW121" s="110"/>
      <c r="EX121" s="110"/>
      <c r="EY121" s="110"/>
      <c r="EZ121" s="110"/>
      <c r="FA121" s="110"/>
      <c r="FB121" s="110"/>
      <c r="FC121" s="110"/>
      <c r="FD121" s="110"/>
      <c r="FE121" s="110"/>
      <c r="FF121" s="110"/>
      <c r="FG121" s="110"/>
      <c r="FH121" s="110"/>
      <c r="FI121" s="110"/>
      <c r="FJ121" s="110">
        <v>174238</v>
      </c>
      <c r="FK121" s="110"/>
      <c r="FL121" s="110"/>
      <c r="FM121" s="110"/>
      <c r="FN121" s="110"/>
      <c r="FO121" s="110"/>
      <c r="FP121" s="110"/>
      <c r="FQ121" s="110"/>
      <c r="FR121" s="110"/>
      <c r="FS121" s="110"/>
      <c r="FT121" s="110"/>
      <c r="FU121" s="110"/>
      <c r="FV121" s="110"/>
      <c r="FW121" s="110"/>
      <c r="FX121" s="110"/>
      <c r="FY121" s="110"/>
      <c r="FZ121" s="110"/>
      <c r="GA121" s="110"/>
      <c r="GB121" s="110"/>
      <c r="GC121" s="110"/>
      <c r="GD121" s="110"/>
      <c r="GE121" s="110"/>
      <c r="GF121" s="110"/>
      <c r="GG121" s="110"/>
      <c r="GH121" s="110"/>
      <c r="GI121" s="110"/>
      <c r="GJ121" s="110"/>
      <c r="GK121" s="110"/>
      <c r="GL121" s="110"/>
      <c r="GM121" s="110"/>
      <c r="GN121" s="110"/>
      <c r="GO121" s="110"/>
      <c r="GP121" s="110"/>
      <c r="GQ121" s="110"/>
      <c r="GR121" s="110"/>
      <c r="GS121" s="110"/>
      <c r="GT121" s="110"/>
      <c r="GU121" s="110"/>
      <c r="GV121" s="110"/>
      <c r="GW121" s="110"/>
      <c r="GX121" s="110"/>
      <c r="GY121" s="110"/>
      <c r="GZ121" s="110"/>
      <c r="HA121" s="110"/>
      <c r="HB121" s="110"/>
      <c r="HC121" s="110"/>
      <c r="HD121" s="110"/>
      <c r="HE121" s="110"/>
      <c r="HF121" s="110"/>
      <c r="HG121" s="110"/>
      <c r="HH121" s="110"/>
      <c r="HI121" s="110"/>
      <c r="HJ121" s="110"/>
      <c r="HK121" s="110"/>
      <c r="HL121" s="110"/>
      <c r="HM121" s="110"/>
      <c r="HN121" s="110"/>
      <c r="HO121" s="110"/>
      <c r="HP121" s="110"/>
      <c r="HQ121" s="110"/>
      <c r="HR121" s="110"/>
      <c r="HS121" s="110"/>
      <c r="HT121" s="110"/>
      <c r="HU121" s="110"/>
      <c r="HV121" s="110"/>
      <c r="HW121" s="110"/>
      <c r="HX121" s="110"/>
      <c r="HY121" s="110"/>
      <c r="HZ121" s="110"/>
      <c r="IA121" s="110"/>
      <c r="IB121" s="110"/>
      <c r="IC121" s="110"/>
      <c r="ID121" s="110"/>
      <c r="IE121" s="110"/>
      <c r="IF121" s="110"/>
      <c r="IG121" s="110"/>
      <c r="IH121" s="110"/>
      <c r="II121" s="110"/>
      <c r="IJ121" s="110"/>
      <c r="IK121" s="110"/>
      <c r="IL121" s="110"/>
      <c r="IM121" s="110"/>
      <c r="IN121" s="110"/>
      <c r="IO121" s="110"/>
      <c r="IP121" s="110"/>
      <c r="IQ121" s="110"/>
      <c r="IR121" s="110"/>
      <c r="IS121" s="110"/>
      <c r="IT121" s="110"/>
      <c r="IU121" s="110"/>
      <c r="IV121" s="110"/>
      <c r="IW121" s="110"/>
      <c r="IX121" s="110"/>
      <c r="IY121" s="110"/>
      <c r="IZ121" s="110"/>
      <c r="JA121" s="110"/>
      <c r="JB121" s="110"/>
      <c r="JC121" s="110"/>
      <c r="JD121" s="110"/>
      <c r="JE121" s="110"/>
      <c r="JF121" s="110"/>
      <c r="JG121" s="110"/>
      <c r="JH121" s="110"/>
      <c r="JI121" s="107">
        <f t="shared" si="3"/>
        <v>174238</v>
      </c>
      <c r="JJ121" s="297">
        <v>3308</v>
      </c>
      <c r="JK121" s="112"/>
      <c r="JL121" s="112"/>
      <c r="JM121" s="1"/>
      <c r="JN121" s="1"/>
      <c r="JO121" s="1"/>
      <c r="JP121" s="1"/>
    </row>
    <row r="122" spans="1:276" x14ac:dyDescent="0.25">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c r="BM122" s="107"/>
      <c r="BN122" s="107"/>
      <c r="BO122" s="107"/>
      <c r="BP122" s="107"/>
      <c r="BQ122" s="107"/>
      <c r="BR122" s="107"/>
      <c r="BS122" s="107"/>
      <c r="BT122" s="107"/>
      <c r="BU122" s="107"/>
      <c r="BV122" s="107"/>
      <c r="BW122" s="107"/>
      <c r="BX122" s="107"/>
      <c r="BY122" s="107"/>
      <c r="BZ122" s="107"/>
      <c r="CA122" s="107"/>
      <c r="CB122" s="107"/>
      <c r="CC122" s="107"/>
      <c r="CD122" s="107"/>
      <c r="CE122" s="107"/>
      <c r="CF122" s="107"/>
      <c r="CG122" s="107"/>
      <c r="CH122" s="107"/>
      <c r="CI122" s="107"/>
      <c r="CJ122" s="107"/>
      <c r="CK122" s="107"/>
      <c r="CL122" s="107"/>
      <c r="CM122" s="107"/>
      <c r="CN122" s="107"/>
      <c r="CO122" s="107"/>
      <c r="CP122" s="107"/>
      <c r="CQ122" s="107"/>
      <c r="CR122" s="107"/>
      <c r="CS122" s="107"/>
      <c r="CT122" s="107"/>
      <c r="CU122" s="107"/>
      <c r="CV122" s="107"/>
      <c r="CW122" s="107"/>
      <c r="CX122" s="107"/>
      <c r="CY122" s="107"/>
      <c r="CZ122" s="107"/>
      <c r="DA122" s="107"/>
      <c r="DB122" s="107"/>
      <c r="DC122" s="107"/>
      <c r="DD122" s="107"/>
      <c r="DE122" s="107"/>
      <c r="DF122" s="107"/>
      <c r="DG122" s="107"/>
      <c r="DH122" s="107"/>
      <c r="DI122" s="107"/>
      <c r="DJ122" s="107"/>
      <c r="DK122" s="107"/>
      <c r="DL122" s="107"/>
      <c r="DM122" s="107"/>
      <c r="DN122" s="107"/>
      <c r="DO122" s="107"/>
      <c r="DP122" s="107"/>
      <c r="DQ122" s="107"/>
      <c r="DR122" s="107"/>
      <c r="DS122" s="107"/>
      <c r="DT122" s="107"/>
      <c r="DU122" s="107"/>
      <c r="DV122" s="107"/>
      <c r="DW122" s="107"/>
      <c r="DX122" s="107"/>
      <c r="DY122" s="107"/>
      <c r="DZ122" s="107"/>
      <c r="EA122" s="107">
        <v>136500</v>
      </c>
      <c r="EB122" s="107"/>
      <c r="EC122" s="107"/>
      <c r="ED122" s="107"/>
      <c r="EE122" s="107"/>
      <c r="EF122" s="107"/>
      <c r="EG122" s="107"/>
      <c r="EH122" s="107"/>
      <c r="EI122" s="107"/>
      <c r="EJ122" s="107"/>
      <c r="EK122" s="107"/>
      <c r="EL122" s="107"/>
      <c r="EM122" s="107"/>
      <c r="EN122" s="107"/>
      <c r="EO122" s="107"/>
      <c r="EP122" s="107"/>
      <c r="EQ122" s="107"/>
      <c r="ER122" s="107"/>
      <c r="ES122" s="107"/>
      <c r="ET122" s="107"/>
      <c r="EU122" s="107"/>
      <c r="EV122" s="107"/>
      <c r="EW122" s="107"/>
      <c r="EX122" s="107"/>
      <c r="EY122" s="107"/>
      <c r="EZ122" s="107"/>
      <c r="FA122" s="107"/>
      <c r="FB122" s="107"/>
      <c r="FC122" s="107"/>
      <c r="FD122" s="107"/>
      <c r="FE122" s="107"/>
      <c r="FF122" s="107"/>
      <c r="FG122" s="107"/>
      <c r="FH122" s="107"/>
      <c r="FI122" s="107"/>
      <c r="FJ122" s="107"/>
      <c r="FK122" s="107"/>
      <c r="FL122" s="107"/>
      <c r="FM122" s="107"/>
      <c r="FN122" s="107"/>
      <c r="FO122" s="107"/>
      <c r="FP122" s="107"/>
      <c r="FQ122" s="107"/>
      <c r="FR122" s="107"/>
      <c r="FS122" s="107"/>
      <c r="FT122" s="107"/>
      <c r="FU122" s="107"/>
      <c r="FV122" s="107"/>
      <c r="FW122" s="107"/>
      <c r="FX122" s="107"/>
      <c r="FY122" s="107"/>
      <c r="FZ122" s="107"/>
      <c r="GA122" s="107"/>
      <c r="GB122" s="107"/>
      <c r="GC122" s="107"/>
      <c r="GD122" s="107"/>
      <c r="GE122" s="107"/>
      <c r="GF122" s="107"/>
      <c r="GG122" s="107"/>
      <c r="GH122" s="107"/>
      <c r="GI122" s="107"/>
      <c r="GJ122" s="107"/>
      <c r="GK122" s="107"/>
      <c r="GL122" s="107"/>
      <c r="GM122" s="107"/>
      <c r="GN122" s="107"/>
      <c r="GO122" s="107"/>
      <c r="GP122" s="107"/>
      <c r="GQ122" s="107"/>
      <c r="GR122" s="107"/>
      <c r="GS122" s="107"/>
      <c r="GT122" s="107"/>
      <c r="GU122" s="107"/>
      <c r="GV122" s="107"/>
      <c r="GW122" s="107"/>
      <c r="GX122" s="107"/>
      <c r="GY122" s="107"/>
      <c r="GZ122" s="107"/>
      <c r="HA122" s="107"/>
      <c r="HB122" s="107"/>
      <c r="HC122" s="107"/>
      <c r="HD122" s="107"/>
      <c r="HE122" s="107"/>
      <c r="HF122" s="107"/>
      <c r="HG122" s="107"/>
      <c r="HH122" s="107"/>
      <c r="HI122" s="107"/>
      <c r="HJ122" s="107"/>
      <c r="HK122" s="107"/>
      <c r="HL122" s="107"/>
      <c r="HM122" s="107"/>
      <c r="HN122" s="107"/>
      <c r="HO122" s="107"/>
      <c r="HP122" s="107"/>
      <c r="HQ122" s="107"/>
      <c r="HR122" s="107"/>
      <c r="HS122" s="107"/>
      <c r="HT122" s="107"/>
      <c r="HU122" s="107"/>
      <c r="HV122" s="107"/>
      <c r="HW122" s="107"/>
      <c r="HX122" s="107"/>
      <c r="HY122" s="107"/>
      <c r="HZ122" s="107"/>
      <c r="IA122" s="107"/>
      <c r="IB122" s="107"/>
      <c r="IC122" s="107"/>
      <c r="ID122" s="107"/>
      <c r="IE122" s="107"/>
      <c r="IF122" s="107"/>
      <c r="IG122" s="107"/>
      <c r="IH122" s="107"/>
      <c r="II122" s="107"/>
      <c r="IJ122" s="107"/>
      <c r="IK122" s="107"/>
      <c r="IL122" s="107"/>
      <c r="IM122" s="107"/>
      <c r="IN122" s="107"/>
      <c r="IO122" s="107"/>
      <c r="IP122" s="107"/>
      <c r="IQ122" s="107"/>
      <c r="IR122" s="107"/>
      <c r="IS122" s="107"/>
      <c r="IT122" s="107"/>
      <c r="IU122" s="107"/>
      <c r="IV122" s="107"/>
      <c r="IW122" s="107"/>
      <c r="IX122" s="107"/>
      <c r="IY122" s="107"/>
      <c r="IZ122" s="107"/>
      <c r="JA122" s="107"/>
      <c r="JB122" s="107"/>
      <c r="JC122" s="107"/>
      <c r="JD122" s="107"/>
      <c r="JE122" s="107"/>
      <c r="JF122" s="107"/>
      <c r="JG122" s="107"/>
      <c r="JH122" s="107"/>
      <c r="JI122" s="107">
        <f t="shared" si="3"/>
        <v>136500</v>
      </c>
      <c r="JJ122" s="297">
        <v>3312</v>
      </c>
      <c r="JK122" s="112"/>
      <c r="JL122" s="112"/>
      <c r="JM122" s="110">
        <f>SUM(JM3:JM55)</f>
        <v>0</v>
      </c>
      <c r="JN122" s="110">
        <f>SUM(JN3:JN55)</f>
        <v>0</v>
      </c>
      <c r="JO122" s="110">
        <f>SUM(JO3:JO55)</f>
        <v>0</v>
      </c>
      <c r="JP122" s="110">
        <f>SUM(JP3:JP55)</f>
        <v>0</v>
      </c>
    </row>
    <row r="123" spans="1:276" x14ac:dyDescent="0.25">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c r="AX123" s="112"/>
      <c r="AY123" s="112"/>
      <c r="AZ123" s="112"/>
      <c r="BA123" s="112"/>
      <c r="BB123" s="112"/>
      <c r="BC123" s="112"/>
      <c r="BD123" s="112"/>
      <c r="BE123" s="112"/>
      <c r="BF123" s="112"/>
      <c r="BG123" s="112"/>
      <c r="BH123" s="112"/>
      <c r="BI123" s="112"/>
      <c r="BJ123" s="112"/>
      <c r="BK123" s="112"/>
      <c r="BL123" s="112"/>
      <c r="BM123" s="112"/>
      <c r="BN123" s="112"/>
      <c r="BO123" s="112"/>
      <c r="BP123" s="112"/>
      <c r="BQ123" s="112"/>
      <c r="BR123" s="112"/>
      <c r="BS123" s="112"/>
      <c r="BT123" s="112"/>
      <c r="BU123" s="112"/>
      <c r="BV123" s="112"/>
      <c r="BW123" s="112"/>
      <c r="BX123" s="112"/>
      <c r="BY123" s="112"/>
      <c r="BZ123" s="112"/>
      <c r="CA123" s="112"/>
      <c r="CB123" s="112"/>
      <c r="CC123" s="112"/>
      <c r="CD123" s="112"/>
      <c r="CE123" s="112"/>
      <c r="CF123" s="112"/>
      <c r="CG123" s="112"/>
      <c r="CH123" s="112"/>
      <c r="CI123" s="112"/>
      <c r="CJ123" s="112"/>
      <c r="CK123" s="112"/>
      <c r="CL123" s="112"/>
      <c r="CM123" s="112"/>
      <c r="CN123" s="112"/>
      <c r="CO123" s="112"/>
      <c r="CP123" s="112"/>
      <c r="CQ123" s="112"/>
      <c r="CR123" s="112"/>
      <c r="CS123" s="112"/>
      <c r="CT123" s="112"/>
      <c r="CU123" s="112"/>
      <c r="CV123" s="112"/>
      <c r="CW123" s="112"/>
      <c r="CX123" s="112"/>
      <c r="CY123" s="112"/>
      <c r="CZ123" s="112"/>
      <c r="DA123" s="112"/>
      <c r="DB123" s="112"/>
      <c r="DC123" s="112"/>
      <c r="DD123" s="112"/>
      <c r="DE123" s="112"/>
      <c r="DF123" s="112"/>
      <c r="DG123" s="112"/>
      <c r="DH123" s="112"/>
      <c r="DI123" s="112"/>
      <c r="DJ123" s="112"/>
      <c r="DK123" s="112"/>
      <c r="DL123" s="112"/>
      <c r="DM123" s="112"/>
      <c r="DN123" s="112"/>
      <c r="DO123" s="112"/>
      <c r="DP123" s="112"/>
      <c r="DQ123" s="112"/>
      <c r="DR123" s="112"/>
      <c r="DS123" s="112"/>
      <c r="DT123" s="112"/>
      <c r="DU123" s="112"/>
      <c r="DV123" s="112"/>
      <c r="DW123" s="112"/>
      <c r="DX123" s="112"/>
      <c r="DY123" s="112"/>
      <c r="DZ123" s="112"/>
      <c r="EA123" s="112">
        <v>96820</v>
      </c>
      <c r="EB123" s="112"/>
      <c r="EC123" s="112"/>
      <c r="ED123" s="112"/>
      <c r="EE123" s="112"/>
      <c r="EF123" s="112"/>
      <c r="EG123" s="112"/>
      <c r="EH123" s="112"/>
      <c r="EI123" s="112"/>
      <c r="EJ123" s="112"/>
      <c r="EK123" s="112"/>
      <c r="EL123" s="112"/>
      <c r="EM123" s="112"/>
      <c r="EN123" s="112"/>
      <c r="EO123" s="112"/>
      <c r="EP123" s="112"/>
      <c r="EQ123" s="112"/>
      <c r="ER123" s="112"/>
      <c r="ES123" s="112"/>
      <c r="ET123" s="112"/>
      <c r="EU123" s="112"/>
      <c r="EV123" s="112"/>
      <c r="EW123" s="112"/>
      <c r="EX123" s="112"/>
      <c r="EY123" s="112"/>
      <c r="EZ123" s="112"/>
      <c r="FA123" s="112"/>
      <c r="FB123" s="112"/>
      <c r="FC123" s="112"/>
      <c r="FD123" s="112"/>
      <c r="FE123" s="112"/>
      <c r="FF123" s="112"/>
      <c r="FG123" s="112"/>
      <c r="FH123" s="112"/>
      <c r="FI123" s="112"/>
      <c r="FJ123" s="112"/>
      <c r="FK123" s="112"/>
      <c r="FL123" s="112"/>
      <c r="FM123" s="112"/>
      <c r="FN123" s="112"/>
      <c r="FO123" s="112"/>
      <c r="FP123" s="112"/>
      <c r="FQ123" s="112"/>
      <c r="FR123" s="112"/>
      <c r="FS123" s="112"/>
      <c r="FT123" s="112">
        <v>160962.56</v>
      </c>
      <c r="FU123" s="112"/>
      <c r="FV123" s="112"/>
      <c r="FW123" s="112"/>
      <c r="FX123" s="112"/>
      <c r="FY123" s="112"/>
      <c r="FZ123" s="112"/>
      <c r="GA123" s="112"/>
      <c r="GB123" s="112"/>
      <c r="GC123" s="112"/>
      <c r="GD123" s="112"/>
      <c r="GE123" s="112"/>
      <c r="GF123" s="112"/>
      <c r="GG123" s="112"/>
      <c r="GH123" s="112"/>
      <c r="GI123" s="112"/>
      <c r="GJ123" s="112"/>
      <c r="GK123" s="112"/>
      <c r="GL123" s="112"/>
      <c r="GM123" s="112"/>
      <c r="GN123" s="112"/>
      <c r="GO123" s="112"/>
      <c r="GP123" s="112"/>
      <c r="GQ123" s="112"/>
      <c r="GR123" s="112"/>
      <c r="GS123" s="112"/>
      <c r="GT123" s="112"/>
      <c r="GU123" s="112"/>
      <c r="GV123" s="112"/>
      <c r="GW123" s="112"/>
      <c r="GX123" s="112"/>
      <c r="GY123" s="112"/>
      <c r="GZ123" s="112"/>
      <c r="HA123" s="112"/>
      <c r="HB123" s="112"/>
      <c r="HC123" s="112"/>
      <c r="HD123" s="112"/>
      <c r="HE123" s="112"/>
      <c r="HF123" s="112"/>
      <c r="HG123" s="112"/>
      <c r="HH123" s="112"/>
      <c r="HI123" s="112"/>
      <c r="HJ123" s="112"/>
      <c r="HK123" s="112"/>
      <c r="HL123" s="112"/>
      <c r="HM123" s="112"/>
      <c r="HN123" s="112"/>
      <c r="HO123" s="112"/>
      <c r="HP123" s="112"/>
      <c r="HQ123" s="112"/>
      <c r="HR123" s="112"/>
      <c r="HS123" s="112"/>
      <c r="HT123" s="112"/>
      <c r="HU123" s="112"/>
      <c r="HV123" s="112"/>
      <c r="HW123" s="112"/>
      <c r="HX123" s="112"/>
      <c r="HY123" s="112"/>
      <c r="HZ123" s="112"/>
      <c r="IA123" s="112"/>
      <c r="IB123" s="112"/>
      <c r="IC123" s="112"/>
      <c r="ID123" s="112"/>
      <c r="IE123" s="112"/>
      <c r="IF123" s="112"/>
      <c r="IG123" s="112"/>
      <c r="IH123" s="112"/>
      <c r="II123" s="112"/>
      <c r="IJ123" s="112"/>
      <c r="IK123" s="112"/>
      <c r="IL123" s="112"/>
      <c r="IM123" s="112"/>
      <c r="IN123" s="112"/>
      <c r="IO123" s="112"/>
      <c r="IP123" s="112"/>
      <c r="IQ123" s="112"/>
      <c r="IR123" s="112"/>
      <c r="IS123" s="112"/>
      <c r="IT123" s="112"/>
      <c r="IU123" s="112"/>
      <c r="IV123" s="112"/>
      <c r="IW123" s="112"/>
      <c r="IX123" s="112"/>
      <c r="IY123" s="112"/>
      <c r="IZ123" s="112"/>
      <c r="JA123" s="112"/>
      <c r="JB123" s="112"/>
      <c r="JC123" s="112"/>
      <c r="JD123" s="112"/>
      <c r="JE123" s="112"/>
      <c r="JF123" s="112"/>
      <c r="JG123" s="112"/>
      <c r="JH123" s="112"/>
      <c r="JI123" s="107">
        <f t="shared" si="3"/>
        <v>257782.56</v>
      </c>
      <c r="JJ123" s="297">
        <v>3316</v>
      </c>
      <c r="JK123" s="112"/>
      <c r="JL123" s="112"/>
      <c r="JM123" s="1"/>
      <c r="JN123" s="1"/>
      <c r="JO123" s="1"/>
      <c r="JP123" s="1"/>
    </row>
    <row r="124" spans="1:276" x14ac:dyDescent="0.25">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c r="AX124" s="112"/>
      <c r="AY124" s="112"/>
      <c r="AZ124" s="112"/>
      <c r="BA124" s="112"/>
      <c r="BB124" s="112"/>
      <c r="BC124" s="112"/>
      <c r="BD124" s="112"/>
      <c r="BE124" s="112"/>
      <c r="BF124" s="112"/>
      <c r="BG124" s="112"/>
      <c r="BH124" s="112"/>
      <c r="BI124" s="112"/>
      <c r="BJ124" s="112"/>
      <c r="BK124" s="112"/>
      <c r="BL124" s="112"/>
      <c r="BM124" s="112"/>
      <c r="BN124" s="112"/>
      <c r="BO124" s="112"/>
      <c r="BP124" s="112"/>
      <c r="BQ124" s="112"/>
      <c r="BR124" s="112"/>
      <c r="BS124" s="112"/>
      <c r="BT124" s="112"/>
      <c r="BU124" s="112"/>
      <c r="BV124" s="112"/>
      <c r="BW124" s="112"/>
      <c r="BX124" s="112"/>
      <c r="BY124" s="112"/>
      <c r="BZ124" s="112"/>
      <c r="CA124" s="112"/>
      <c r="CB124" s="112"/>
      <c r="CC124" s="112"/>
      <c r="CD124" s="112"/>
      <c r="CE124" s="112"/>
      <c r="CF124" s="112"/>
      <c r="CG124" s="112"/>
      <c r="CH124" s="112"/>
      <c r="CI124" s="112"/>
      <c r="CJ124" s="112"/>
      <c r="CK124" s="112"/>
      <c r="CL124" s="112"/>
      <c r="CM124" s="112"/>
      <c r="CN124" s="112"/>
      <c r="CO124" s="112"/>
      <c r="CP124" s="112"/>
      <c r="CQ124" s="112"/>
      <c r="CR124" s="112"/>
      <c r="CS124" s="112"/>
      <c r="CT124" s="112"/>
      <c r="CU124" s="112"/>
      <c r="CV124" s="112"/>
      <c r="CW124" s="112"/>
      <c r="CX124" s="112"/>
      <c r="CY124" s="112"/>
      <c r="CZ124" s="112"/>
      <c r="DA124" s="112"/>
      <c r="DB124" s="112"/>
      <c r="DC124" s="112"/>
      <c r="DD124" s="112"/>
      <c r="DE124" s="112"/>
      <c r="DF124" s="112"/>
      <c r="DG124" s="112"/>
      <c r="DH124" s="112"/>
      <c r="DI124" s="112"/>
      <c r="DJ124" s="112"/>
      <c r="DK124" s="112"/>
      <c r="DL124" s="112"/>
      <c r="DM124" s="112"/>
      <c r="DN124" s="112"/>
      <c r="DO124" s="112"/>
      <c r="DP124" s="112"/>
      <c r="DQ124" s="112"/>
      <c r="DR124" s="112"/>
      <c r="DS124" s="112"/>
      <c r="DT124" s="112"/>
      <c r="DU124" s="112"/>
      <c r="DV124" s="112"/>
      <c r="DW124" s="112"/>
      <c r="DX124" s="112"/>
      <c r="DY124" s="112"/>
      <c r="DZ124" s="112"/>
      <c r="EA124" s="112"/>
      <c r="EB124" s="112"/>
      <c r="EC124" s="112"/>
      <c r="ED124" s="112"/>
      <c r="EE124" s="112"/>
      <c r="EF124" s="112"/>
      <c r="EG124" s="112"/>
      <c r="EH124" s="112"/>
      <c r="EI124" s="112"/>
      <c r="EJ124" s="112"/>
      <c r="EK124" s="112"/>
      <c r="EL124" s="112"/>
      <c r="EM124" s="112"/>
      <c r="EN124" s="112"/>
      <c r="EO124" s="112"/>
      <c r="EP124" s="112"/>
      <c r="EQ124" s="112"/>
      <c r="ER124" s="112"/>
      <c r="ES124" s="112"/>
      <c r="ET124" s="112"/>
      <c r="EU124" s="112"/>
      <c r="EV124" s="112"/>
      <c r="EW124" s="112"/>
      <c r="EX124" s="112"/>
      <c r="EY124" s="112"/>
      <c r="EZ124" s="112"/>
      <c r="FA124" s="112"/>
      <c r="FB124" s="112"/>
      <c r="FC124" s="112"/>
      <c r="FD124" s="112"/>
      <c r="FE124" s="112"/>
      <c r="FF124" s="112"/>
      <c r="FG124" s="112"/>
      <c r="FH124" s="112"/>
      <c r="FI124" s="112"/>
      <c r="FJ124" s="112"/>
      <c r="FK124" s="112"/>
      <c r="FL124" s="112"/>
      <c r="FM124" s="112"/>
      <c r="FN124" s="112"/>
      <c r="FO124" s="112"/>
      <c r="FP124" s="112"/>
      <c r="FQ124" s="112"/>
      <c r="FR124" s="112"/>
      <c r="FS124" s="112"/>
      <c r="FT124" s="112">
        <v>93600</v>
      </c>
      <c r="FU124" s="112"/>
      <c r="FV124" s="112"/>
      <c r="FW124" s="112"/>
      <c r="FX124" s="112"/>
      <c r="FY124" s="112"/>
      <c r="FZ124" s="112"/>
      <c r="GA124" s="112"/>
      <c r="GB124" s="112"/>
      <c r="GC124" s="112"/>
      <c r="GD124" s="112"/>
      <c r="GE124" s="112"/>
      <c r="GF124" s="112"/>
      <c r="GG124" s="112"/>
      <c r="GH124" s="112"/>
      <c r="GI124" s="112"/>
      <c r="GJ124" s="112"/>
      <c r="GK124" s="112"/>
      <c r="GL124" s="112"/>
      <c r="GM124" s="112"/>
      <c r="GN124" s="112"/>
      <c r="GO124" s="112"/>
      <c r="GP124" s="112"/>
      <c r="GQ124" s="112"/>
      <c r="GR124" s="112"/>
      <c r="GS124" s="112"/>
      <c r="GT124" s="112"/>
      <c r="GU124" s="112"/>
      <c r="GV124" s="112"/>
      <c r="GW124" s="112"/>
      <c r="GX124" s="112"/>
      <c r="GY124" s="112"/>
      <c r="GZ124" s="112"/>
      <c r="HA124" s="112"/>
      <c r="HB124" s="112"/>
      <c r="HC124" s="112"/>
      <c r="HD124" s="112"/>
      <c r="HE124" s="112"/>
      <c r="HF124" s="112"/>
      <c r="HG124" s="112"/>
      <c r="HH124" s="112"/>
      <c r="HI124" s="112"/>
      <c r="HJ124" s="112"/>
      <c r="HK124" s="112"/>
      <c r="HL124" s="112"/>
      <c r="HM124" s="112"/>
      <c r="HN124" s="112"/>
      <c r="HO124" s="112"/>
      <c r="HP124" s="112"/>
      <c r="HQ124" s="112"/>
      <c r="HR124" s="112"/>
      <c r="HS124" s="112"/>
      <c r="HT124" s="112"/>
      <c r="HU124" s="112"/>
      <c r="HV124" s="112"/>
      <c r="HW124" s="112"/>
      <c r="HX124" s="112"/>
      <c r="HY124" s="112"/>
      <c r="HZ124" s="112"/>
      <c r="IA124" s="112"/>
      <c r="IB124" s="112"/>
      <c r="IC124" s="112"/>
      <c r="ID124" s="112"/>
      <c r="IE124" s="112"/>
      <c r="IF124" s="112"/>
      <c r="IG124" s="112"/>
      <c r="IH124" s="112"/>
      <c r="II124" s="112"/>
      <c r="IJ124" s="112"/>
      <c r="IK124" s="112"/>
      <c r="IL124" s="112"/>
      <c r="IM124" s="112"/>
      <c r="IN124" s="112"/>
      <c r="IO124" s="112"/>
      <c r="IP124" s="112"/>
      <c r="IQ124" s="112"/>
      <c r="IR124" s="112"/>
      <c r="IS124" s="112"/>
      <c r="IT124" s="112"/>
      <c r="IU124" s="112"/>
      <c r="IV124" s="112"/>
      <c r="IW124" s="112"/>
      <c r="IX124" s="112"/>
      <c r="IY124" s="112"/>
      <c r="IZ124" s="112"/>
      <c r="JA124" s="112"/>
      <c r="JB124" s="112"/>
      <c r="JC124" s="112"/>
      <c r="JD124" s="112"/>
      <c r="JE124" s="112"/>
      <c r="JF124" s="112"/>
      <c r="JG124" s="112"/>
      <c r="JH124" s="112"/>
      <c r="JI124" s="107">
        <f t="shared" si="3"/>
        <v>93600</v>
      </c>
      <c r="JJ124" s="297">
        <v>3323</v>
      </c>
      <c r="JK124" s="112"/>
      <c r="JL124" s="1"/>
      <c r="JM124" s="1"/>
      <c r="JN124" s="1"/>
      <c r="JO124" s="1"/>
      <c r="JP124" s="1"/>
    </row>
    <row r="125" spans="1:276" x14ac:dyDescent="0.25">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c r="AX125" s="112"/>
      <c r="AY125" s="112"/>
      <c r="AZ125" s="112"/>
      <c r="BA125" s="112"/>
      <c r="BB125" s="112"/>
      <c r="BC125" s="112"/>
      <c r="BD125" s="112"/>
      <c r="BE125" s="112"/>
      <c r="BF125" s="112"/>
      <c r="BG125" s="112"/>
      <c r="BH125" s="112"/>
      <c r="BI125" s="112"/>
      <c r="BJ125" s="112"/>
      <c r="BK125" s="112"/>
      <c r="BL125" s="112"/>
      <c r="BM125" s="112"/>
      <c r="BN125" s="112"/>
      <c r="BO125" s="112"/>
      <c r="BP125" s="112"/>
      <c r="BQ125" s="112"/>
      <c r="BR125" s="112"/>
      <c r="BS125" s="112"/>
      <c r="BT125" s="112"/>
      <c r="BU125" s="112"/>
      <c r="BV125" s="112"/>
      <c r="BW125" s="112"/>
      <c r="BX125" s="112"/>
      <c r="BY125" s="112"/>
      <c r="BZ125" s="112"/>
      <c r="CA125" s="112"/>
      <c r="CB125" s="112"/>
      <c r="CC125" s="112"/>
      <c r="CD125" s="112"/>
      <c r="CE125" s="112"/>
      <c r="CF125" s="112"/>
      <c r="CG125" s="112"/>
      <c r="CH125" s="112"/>
      <c r="CI125" s="112"/>
      <c r="CJ125" s="112"/>
      <c r="CK125" s="112"/>
      <c r="CL125" s="112"/>
      <c r="CM125" s="112"/>
      <c r="CN125" s="112"/>
      <c r="CO125" s="112"/>
      <c r="CP125" s="112"/>
      <c r="CQ125" s="112"/>
      <c r="CR125" s="112"/>
      <c r="CS125" s="112"/>
      <c r="CT125" s="112"/>
      <c r="CU125" s="112"/>
      <c r="CV125" s="112"/>
      <c r="CW125" s="112"/>
      <c r="CX125" s="112"/>
      <c r="CY125" s="112"/>
      <c r="CZ125" s="112"/>
      <c r="DA125" s="112"/>
      <c r="DB125" s="112"/>
      <c r="DC125" s="112"/>
      <c r="DD125" s="112"/>
      <c r="DE125" s="112"/>
      <c r="DF125" s="112"/>
      <c r="DG125" s="112"/>
      <c r="DH125" s="112"/>
      <c r="DI125" s="112"/>
      <c r="DJ125" s="112"/>
      <c r="DK125" s="112"/>
      <c r="DL125" s="112"/>
      <c r="DM125" s="112"/>
      <c r="DN125" s="112"/>
      <c r="DO125" s="112"/>
      <c r="DP125" s="112"/>
      <c r="DQ125" s="112"/>
      <c r="DR125" s="112"/>
      <c r="DS125" s="112"/>
      <c r="DT125" s="112"/>
      <c r="DU125" s="112"/>
      <c r="DV125" s="112">
        <v>584100</v>
      </c>
      <c r="DW125" s="112"/>
      <c r="DX125" s="112"/>
      <c r="DY125" s="112"/>
      <c r="DZ125" s="112"/>
      <c r="EA125" s="112"/>
      <c r="EB125" s="112"/>
      <c r="EC125" s="112"/>
      <c r="ED125" s="112"/>
      <c r="EE125" s="112"/>
      <c r="EF125" s="112"/>
      <c r="EG125" s="112"/>
      <c r="EH125" s="112"/>
      <c r="EI125" s="112"/>
      <c r="EJ125" s="112"/>
      <c r="EK125" s="112"/>
      <c r="EL125" s="112"/>
      <c r="EM125" s="112"/>
      <c r="EN125" s="112"/>
      <c r="EO125" s="112"/>
      <c r="EP125" s="112"/>
      <c r="EQ125" s="112"/>
      <c r="ER125" s="112"/>
      <c r="ES125" s="112"/>
      <c r="ET125" s="112"/>
      <c r="EU125" s="112"/>
      <c r="EV125" s="112"/>
      <c r="EW125" s="112"/>
      <c r="EX125" s="112"/>
      <c r="EY125" s="112"/>
      <c r="EZ125" s="112"/>
      <c r="FA125" s="112"/>
      <c r="FB125" s="112"/>
      <c r="FC125" s="112"/>
      <c r="FD125" s="112"/>
      <c r="FE125" s="112"/>
      <c r="FF125" s="112"/>
      <c r="FG125" s="112"/>
      <c r="FH125" s="112"/>
      <c r="FI125" s="112"/>
      <c r="FJ125" s="112"/>
      <c r="FK125" s="112"/>
      <c r="FL125" s="112"/>
      <c r="FM125" s="112"/>
      <c r="FN125" s="112"/>
      <c r="FO125" s="112"/>
      <c r="FP125" s="112"/>
      <c r="FQ125" s="112"/>
      <c r="FR125" s="112"/>
      <c r="FS125" s="112"/>
      <c r="FT125" s="112"/>
      <c r="FU125" s="112"/>
      <c r="FV125" s="112"/>
      <c r="FW125" s="112"/>
      <c r="FX125" s="112"/>
      <c r="FY125" s="112"/>
      <c r="FZ125" s="112"/>
      <c r="GA125" s="112"/>
      <c r="GB125" s="112"/>
      <c r="GC125" s="112"/>
      <c r="GD125" s="112"/>
      <c r="GE125" s="112"/>
      <c r="GF125" s="112"/>
      <c r="GG125" s="112"/>
      <c r="GH125" s="112"/>
      <c r="GI125" s="112"/>
      <c r="GJ125" s="112"/>
      <c r="GK125" s="112"/>
      <c r="GL125" s="112"/>
      <c r="GM125" s="112"/>
      <c r="GN125" s="112"/>
      <c r="GO125" s="112"/>
      <c r="GP125" s="112"/>
      <c r="GQ125" s="112"/>
      <c r="GR125" s="112"/>
      <c r="GS125" s="112"/>
      <c r="GT125" s="112"/>
      <c r="GU125" s="112"/>
      <c r="GV125" s="112"/>
      <c r="GW125" s="112"/>
      <c r="GX125" s="112"/>
      <c r="GY125" s="112"/>
      <c r="GZ125" s="112"/>
      <c r="HA125" s="112"/>
      <c r="HB125" s="112"/>
      <c r="HC125" s="112"/>
      <c r="HD125" s="112"/>
      <c r="HE125" s="112"/>
      <c r="HF125" s="112"/>
      <c r="HG125" s="112"/>
      <c r="HH125" s="112"/>
      <c r="HI125" s="112"/>
      <c r="HJ125" s="112"/>
      <c r="HK125" s="112"/>
      <c r="HL125" s="112"/>
      <c r="HM125" s="112"/>
      <c r="HN125" s="112"/>
      <c r="HO125" s="112"/>
      <c r="HP125" s="112"/>
      <c r="HQ125" s="112"/>
      <c r="HR125" s="112"/>
      <c r="HS125" s="112"/>
      <c r="HT125" s="112"/>
      <c r="HU125" s="112"/>
      <c r="HV125" s="112"/>
      <c r="HW125" s="112"/>
      <c r="HX125" s="112"/>
      <c r="HY125" s="112"/>
      <c r="HZ125" s="112"/>
      <c r="IA125" s="112"/>
      <c r="IB125" s="112"/>
      <c r="IC125" s="112"/>
      <c r="ID125" s="112"/>
      <c r="IE125" s="112"/>
      <c r="IF125" s="112"/>
      <c r="IG125" s="112"/>
      <c r="IH125" s="112"/>
      <c r="II125" s="112"/>
      <c r="IJ125" s="112"/>
      <c r="IK125" s="112"/>
      <c r="IL125" s="112"/>
      <c r="IM125" s="112"/>
      <c r="IN125" s="112"/>
      <c r="IO125" s="112"/>
      <c r="IP125" s="112"/>
      <c r="IQ125" s="112"/>
      <c r="IR125" s="112"/>
      <c r="IS125" s="112"/>
      <c r="IT125" s="112"/>
      <c r="IU125" s="112"/>
      <c r="IV125" s="112"/>
      <c r="IW125" s="112"/>
      <c r="IX125" s="112"/>
      <c r="IY125" s="112"/>
      <c r="IZ125" s="112"/>
      <c r="JA125" s="112"/>
      <c r="JB125" s="112"/>
      <c r="JC125" s="112"/>
      <c r="JD125" s="112"/>
      <c r="JE125" s="112"/>
      <c r="JF125" s="112"/>
      <c r="JG125" s="112"/>
      <c r="JH125" s="112"/>
      <c r="JI125" s="107">
        <f t="shared" si="3"/>
        <v>584100</v>
      </c>
      <c r="JJ125" s="297">
        <v>3324</v>
      </c>
      <c r="JK125" s="112"/>
      <c r="JL125" s="1"/>
      <c r="JM125" s="1"/>
      <c r="JN125" s="1"/>
      <c r="JO125" s="1"/>
      <c r="JP125" s="1"/>
    </row>
    <row r="126" spans="1:276" x14ac:dyDescent="0.25">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c r="AX126" s="112"/>
      <c r="AY126" s="112"/>
      <c r="AZ126" s="112"/>
      <c r="BA126" s="112"/>
      <c r="BB126" s="112"/>
      <c r="BC126" s="112"/>
      <c r="BD126" s="112"/>
      <c r="BE126" s="112"/>
      <c r="BF126" s="112"/>
      <c r="BG126" s="112"/>
      <c r="BH126" s="112"/>
      <c r="BI126" s="112"/>
      <c r="BJ126" s="112"/>
      <c r="BK126" s="112"/>
      <c r="BL126" s="112"/>
      <c r="BM126" s="112"/>
      <c r="BN126" s="112"/>
      <c r="BO126" s="112"/>
      <c r="BP126" s="112"/>
      <c r="BQ126" s="112"/>
      <c r="BR126" s="112"/>
      <c r="BS126" s="112"/>
      <c r="BT126" s="112"/>
      <c r="BU126" s="112"/>
      <c r="BV126" s="112"/>
      <c r="BW126" s="112"/>
      <c r="BX126" s="112"/>
      <c r="BY126" s="112"/>
      <c r="BZ126" s="112"/>
      <c r="CA126" s="112"/>
      <c r="CB126" s="112"/>
      <c r="CC126" s="112"/>
      <c r="CD126" s="112"/>
      <c r="CE126" s="112"/>
      <c r="CF126" s="112"/>
      <c r="CG126" s="112"/>
      <c r="CH126" s="112"/>
      <c r="CI126" s="112"/>
      <c r="CJ126" s="112"/>
      <c r="CK126" s="112"/>
      <c r="CL126" s="112"/>
      <c r="CM126" s="112"/>
      <c r="CN126" s="112"/>
      <c r="CO126" s="112"/>
      <c r="CP126" s="112"/>
      <c r="CQ126" s="112"/>
      <c r="CR126" s="112"/>
      <c r="CS126" s="112"/>
      <c r="CT126" s="112"/>
      <c r="CU126" s="112"/>
      <c r="CV126" s="112"/>
      <c r="CW126" s="112"/>
      <c r="CX126" s="112"/>
      <c r="CY126" s="112"/>
      <c r="CZ126" s="112"/>
      <c r="DA126" s="112"/>
      <c r="DB126" s="112"/>
      <c r="DC126" s="112"/>
      <c r="DD126" s="112"/>
      <c r="DE126" s="112"/>
      <c r="DF126" s="112"/>
      <c r="DG126" s="112"/>
      <c r="DH126" s="112"/>
      <c r="DI126" s="112"/>
      <c r="DJ126" s="112"/>
      <c r="DK126" s="112"/>
      <c r="DL126" s="112"/>
      <c r="DM126" s="112"/>
      <c r="DN126" s="112"/>
      <c r="DO126" s="112"/>
      <c r="DP126" s="112"/>
      <c r="DQ126" s="112"/>
      <c r="DR126" s="112"/>
      <c r="DS126" s="112"/>
      <c r="DT126" s="112"/>
      <c r="DU126" s="112"/>
      <c r="DV126" s="112"/>
      <c r="DW126" s="112"/>
      <c r="DX126" s="112"/>
      <c r="DY126" s="112"/>
      <c r="DZ126" s="112"/>
      <c r="EA126" s="112">
        <v>199000</v>
      </c>
      <c r="EB126" s="112"/>
      <c r="EC126" s="112"/>
      <c r="ED126" s="112"/>
      <c r="EE126" s="112"/>
      <c r="EF126" s="112"/>
      <c r="EG126" s="112"/>
      <c r="EH126" s="112"/>
      <c r="EI126" s="112"/>
      <c r="EJ126" s="112"/>
      <c r="EK126" s="112"/>
      <c r="EL126" s="112"/>
      <c r="EM126" s="112"/>
      <c r="EN126" s="112"/>
      <c r="EO126" s="112"/>
      <c r="EP126" s="112"/>
      <c r="EQ126" s="112"/>
      <c r="ER126" s="112"/>
      <c r="ES126" s="112"/>
      <c r="ET126" s="112"/>
      <c r="EU126" s="112"/>
      <c r="EV126" s="112"/>
      <c r="EW126" s="112"/>
      <c r="EX126" s="112"/>
      <c r="EY126" s="112"/>
      <c r="EZ126" s="112"/>
      <c r="FA126" s="112"/>
      <c r="FB126" s="112"/>
      <c r="FC126" s="112"/>
      <c r="FD126" s="112"/>
      <c r="FE126" s="112"/>
      <c r="FF126" s="112"/>
      <c r="FG126" s="112"/>
      <c r="FH126" s="112"/>
      <c r="FI126" s="112"/>
      <c r="FJ126" s="112"/>
      <c r="FK126" s="112"/>
      <c r="FL126" s="112"/>
      <c r="FM126" s="112"/>
      <c r="FN126" s="112"/>
      <c r="FO126" s="112"/>
      <c r="FP126" s="112"/>
      <c r="FQ126" s="112"/>
      <c r="FR126" s="112"/>
      <c r="FS126" s="112"/>
      <c r="FT126" s="112"/>
      <c r="FU126" s="112"/>
      <c r="FV126" s="112"/>
      <c r="FW126" s="112"/>
      <c r="FX126" s="112"/>
      <c r="FY126" s="112"/>
      <c r="FZ126" s="112"/>
      <c r="GA126" s="112"/>
      <c r="GB126" s="112"/>
      <c r="GC126" s="112"/>
      <c r="GD126" s="112"/>
      <c r="GE126" s="112"/>
      <c r="GF126" s="112"/>
      <c r="GG126" s="112"/>
      <c r="GH126" s="112"/>
      <c r="GI126" s="112"/>
      <c r="GJ126" s="112"/>
      <c r="GK126" s="112"/>
      <c r="GL126" s="112"/>
      <c r="GM126" s="112"/>
      <c r="GN126" s="112"/>
      <c r="GO126" s="112"/>
      <c r="GP126" s="112"/>
      <c r="GQ126" s="112"/>
      <c r="GR126" s="112"/>
      <c r="GS126" s="112"/>
      <c r="GT126" s="112"/>
      <c r="GU126" s="112"/>
      <c r="GV126" s="112"/>
      <c r="GW126" s="112"/>
      <c r="GX126" s="112"/>
      <c r="GY126" s="112"/>
      <c r="GZ126" s="112"/>
      <c r="HA126" s="112"/>
      <c r="HB126" s="112"/>
      <c r="HC126" s="112"/>
      <c r="HD126" s="112"/>
      <c r="HE126" s="112"/>
      <c r="HF126" s="112"/>
      <c r="HG126" s="112"/>
      <c r="HH126" s="112"/>
      <c r="HI126" s="112"/>
      <c r="HJ126" s="112"/>
      <c r="HK126" s="112"/>
      <c r="HL126" s="112"/>
      <c r="HM126" s="112"/>
      <c r="HN126" s="112"/>
      <c r="HO126" s="112"/>
      <c r="HP126" s="112"/>
      <c r="HQ126" s="112"/>
      <c r="HR126" s="112"/>
      <c r="HS126" s="112"/>
      <c r="HT126" s="112"/>
      <c r="HU126" s="112"/>
      <c r="HV126" s="112"/>
      <c r="HW126" s="112"/>
      <c r="HX126" s="112"/>
      <c r="HY126" s="112"/>
      <c r="HZ126" s="112"/>
      <c r="IA126" s="112"/>
      <c r="IB126" s="112"/>
      <c r="IC126" s="112"/>
      <c r="ID126" s="112"/>
      <c r="IE126" s="112"/>
      <c r="IF126" s="112"/>
      <c r="IG126" s="112"/>
      <c r="IH126" s="112"/>
      <c r="II126" s="112"/>
      <c r="IJ126" s="112"/>
      <c r="IK126" s="112"/>
      <c r="IL126" s="112"/>
      <c r="IM126" s="112"/>
      <c r="IN126" s="112"/>
      <c r="IO126" s="112"/>
      <c r="IP126" s="112"/>
      <c r="IQ126" s="112"/>
      <c r="IR126" s="112"/>
      <c r="IS126" s="112"/>
      <c r="IT126" s="112"/>
      <c r="IU126" s="112"/>
      <c r="IV126" s="112"/>
      <c r="IW126" s="112"/>
      <c r="IX126" s="112"/>
      <c r="IY126" s="112"/>
      <c r="IZ126" s="112"/>
      <c r="JA126" s="112"/>
      <c r="JB126" s="112"/>
      <c r="JC126" s="112"/>
      <c r="JD126" s="112"/>
      <c r="JE126" s="112"/>
      <c r="JF126" s="112"/>
      <c r="JG126" s="112"/>
      <c r="JH126" s="112"/>
      <c r="JI126" s="107">
        <f t="shared" si="3"/>
        <v>199000</v>
      </c>
      <c r="JJ126" s="297">
        <v>3329</v>
      </c>
      <c r="JK126" s="112"/>
      <c r="JL126" s="1"/>
      <c r="JM126" s="1"/>
      <c r="JN126" s="1"/>
      <c r="JO126" s="1"/>
      <c r="JP126" s="1"/>
    </row>
    <row r="127" spans="1:276" x14ac:dyDescent="0.25">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2"/>
      <c r="BU127" s="112"/>
      <c r="BV127" s="112"/>
      <c r="BW127" s="112"/>
      <c r="BX127" s="112"/>
      <c r="BY127" s="112"/>
      <c r="BZ127" s="112"/>
      <c r="CA127" s="112"/>
      <c r="CB127" s="112"/>
      <c r="CC127" s="112"/>
      <c r="CD127" s="112"/>
      <c r="CE127" s="112"/>
      <c r="CF127" s="112"/>
      <c r="CG127" s="112"/>
      <c r="CH127" s="112"/>
      <c r="CI127" s="112"/>
      <c r="CJ127" s="112"/>
      <c r="CK127" s="112"/>
      <c r="CL127" s="112"/>
      <c r="CM127" s="112"/>
      <c r="CN127" s="112"/>
      <c r="CO127" s="112"/>
      <c r="CP127" s="112"/>
      <c r="CQ127" s="112"/>
      <c r="CR127" s="112"/>
      <c r="CS127" s="112"/>
      <c r="CT127" s="112"/>
      <c r="CU127" s="112"/>
      <c r="CV127" s="112"/>
      <c r="CW127" s="112"/>
      <c r="CX127" s="112"/>
      <c r="CY127" s="112"/>
      <c r="CZ127" s="112"/>
      <c r="DA127" s="112"/>
      <c r="DB127" s="112"/>
      <c r="DC127" s="112"/>
      <c r="DD127" s="112"/>
      <c r="DE127" s="112"/>
      <c r="DF127" s="112"/>
      <c r="DG127" s="112"/>
      <c r="DH127" s="112"/>
      <c r="DI127" s="112"/>
      <c r="DJ127" s="112"/>
      <c r="DK127" s="112"/>
      <c r="DL127" s="112"/>
      <c r="DM127" s="112"/>
      <c r="DN127" s="112"/>
      <c r="DO127" s="112"/>
      <c r="DP127" s="112"/>
      <c r="DQ127" s="112"/>
      <c r="DR127" s="112"/>
      <c r="DS127" s="112"/>
      <c r="DT127" s="112"/>
      <c r="DU127" s="112"/>
      <c r="DV127" s="112"/>
      <c r="DW127" s="112"/>
      <c r="DX127" s="112"/>
      <c r="DY127" s="112"/>
      <c r="DZ127" s="112"/>
      <c r="EA127" s="112"/>
      <c r="EB127" s="112"/>
      <c r="EC127" s="112"/>
      <c r="ED127" s="112"/>
      <c r="EE127" s="112"/>
      <c r="EF127" s="112"/>
      <c r="EG127" s="112"/>
      <c r="EH127" s="112"/>
      <c r="EI127" s="112"/>
      <c r="EJ127" s="112"/>
      <c r="EK127" s="112"/>
      <c r="EL127" s="112"/>
      <c r="EM127" s="112"/>
      <c r="EN127" s="112"/>
      <c r="EO127" s="112"/>
      <c r="EP127" s="112"/>
      <c r="EQ127" s="112"/>
      <c r="ER127" s="112"/>
      <c r="ES127" s="112"/>
      <c r="ET127" s="112"/>
      <c r="EU127" s="112"/>
      <c r="EV127" s="112"/>
      <c r="EW127" s="112"/>
      <c r="EX127" s="112"/>
      <c r="EY127" s="112"/>
      <c r="EZ127" s="112"/>
      <c r="FA127" s="112"/>
      <c r="FB127" s="112"/>
      <c r="FC127" s="112"/>
      <c r="FD127" s="112"/>
      <c r="FE127" s="112"/>
      <c r="FF127" s="112"/>
      <c r="FG127" s="112"/>
      <c r="FH127" s="112"/>
      <c r="FI127" s="112"/>
      <c r="FJ127" s="112"/>
      <c r="FK127" s="112"/>
      <c r="FL127" s="112"/>
      <c r="FM127" s="112"/>
      <c r="FN127" s="112">
        <v>198598.72</v>
      </c>
      <c r="FO127" s="112"/>
      <c r="FP127" s="112"/>
      <c r="FQ127" s="112"/>
      <c r="FR127" s="112"/>
      <c r="FS127" s="112"/>
      <c r="FT127" s="112"/>
      <c r="FU127" s="112"/>
      <c r="FV127" s="112"/>
      <c r="FW127" s="112"/>
      <c r="FX127" s="112"/>
      <c r="FY127" s="112"/>
      <c r="FZ127" s="112">
        <v>15463.9</v>
      </c>
      <c r="GA127" s="112"/>
      <c r="GB127" s="112"/>
      <c r="GC127" s="112"/>
      <c r="GD127" s="112"/>
      <c r="GE127" s="112"/>
      <c r="GF127" s="112"/>
      <c r="GG127" s="112"/>
      <c r="GH127" s="112"/>
      <c r="GI127" s="112"/>
      <c r="GJ127" s="112"/>
      <c r="GK127" s="112"/>
      <c r="GL127" s="112"/>
      <c r="GM127" s="112"/>
      <c r="GN127" s="112"/>
      <c r="GO127" s="112"/>
      <c r="GP127" s="112"/>
      <c r="GQ127" s="112"/>
      <c r="GR127" s="112"/>
      <c r="GS127" s="112"/>
      <c r="GT127" s="112"/>
      <c r="GU127" s="112"/>
      <c r="GV127" s="112"/>
      <c r="GW127" s="112"/>
      <c r="GX127" s="112"/>
      <c r="GY127" s="112"/>
      <c r="GZ127" s="112"/>
      <c r="HA127" s="112"/>
      <c r="HB127" s="112"/>
      <c r="HC127" s="112"/>
      <c r="HD127" s="112"/>
      <c r="HE127" s="112"/>
      <c r="HF127" s="112"/>
      <c r="HG127" s="112"/>
      <c r="HH127" s="112"/>
      <c r="HI127" s="112"/>
      <c r="HJ127" s="112"/>
      <c r="HK127" s="112"/>
      <c r="HL127" s="112"/>
      <c r="HM127" s="112"/>
      <c r="HN127" s="112"/>
      <c r="HO127" s="112"/>
      <c r="HP127" s="112"/>
      <c r="HQ127" s="112"/>
      <c r="HR127" s="112"/>
      <c r="HS127" s="112"/>
      <c r="HT127" s="112"/>
      <c r="HU127" s="112"/>
      <c r="HV127" s="112"/>
      <c r="HW127" s="112"/>
      <c r="HX127" s="112"/>
      <c r="HY127" s="112"/>
      <c r="HZ127" s="112"/>
      <c r="IA127" s="112"/>
      <c r="IB127" s="112"/>
      <c r="IC127" s="112"/>
      <c r="ID127" s="112"/>
      <c r="IE127" s="112"/>
      <c r="IF127" s="112"/>
      <c r="IG127" s="112"/>
      <c r="IH127" s="112"/>
      <c r="II127" s="112"/>
      <c r="IJ127" s="112"/>
      <c r="IK127" s="112"/>
      <c r="IL127" s="112"/>
      <c r="IM127" s="112"/>
      <c r="IN127" s="112"/>
      <c r="IO127" s="112"/>
      <c r="IP127" s="112"/>
      <c r="IQ127" s="112"/>
      <c r="IR127" s="112"/>
      <c r="IS127" s="112"/>
      <c r="IT127" s="112"/>
      <c r="IU127" s="112"/>
      <c r="IV127" s="112"/>
      <c r="IW127" s="112"/>
      <c r="IX127" s="112"/>
      <c r="IY127" s="112"/>
      <c r="IZ127" s="112"/>
      <c r="JA127" s="112"/>
      <c r="JB127" s="112"/>
      <c r="JC127" s="112"/>
      <c r="JD127" s="112"/>
      <c r="JE127" s="112"/>
      <c r="JF127" s="112"/>
      <c r="JG127" s="112"/>
      <c r="JH127" s="112"/>
      <c r="JI127" s="107">
        <f t="shared" si="3"/>
        <v>214062.62</v>
      </c>
      <c r="JJ127" s="297">
        <v>3332</v>
      </c>
      <c r="JK127" s="112"/>
      <c r="JL127" s="1"/>
      <c r="JM127" s="1"/>
      <c r="JN127" s="1"/>
      <c r="JO127" s="1"/>
      <c r="JP127" s="1"/>
    </row>
    <row r="128" spans="1:276" x14ac:dyDescent="0.25">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c r="AX128" s="112"/>
      <c r="AY128" s="112"/>
      <c r="AZ128" s="112"/>
      <c r="BA128" s="112"/>
      <c r="BB128" s="112"/>
      <c r="BC128" s="112"/>
      <c r="BD128" s="112"/>
      <c r="BE128" s="112"/>
      <c r="BF128" s="112"/>
      <c r="BG128" s="112"/>
      <c r="BH128" s="112"/>
      <c r="BI128" s="112"/>
      <c r="BJ128" s="112"/>
      <c r="BK128" s="112"/>
      <c r="BL128" s="112"/>
      <c r="BM128" s="112"/>
      <c r="BN128" s="112"/>
      <c r="BO128" s="112"/>
      <c r="BP128" s="112"/>
      <c r="BQ128" s="112"/>
      <c r="BR128" s="112"/>
      <c r="BS128" s="112"/>
      <c r="BT128" s="112"/>
      <c r="BU128" s="112"/>
      <c r="BV128" s="112"/>
      <c r="BW128" s="112"/>
      <c r="BX128" s="112"/>
      <c r="BY128" s="112"/>
      <c r="BZ128" s="112"/>
      <c r="CA128" s="112"/>
      <c r="CB128" s="112"/>
      <c r="CC128" s="112"/>
      <c r="CD128" s="112"/>
      <c r="CE128" s="112"/>
      <c r="CF128" s="112"/>
      <c r="CG128" s="112"/>
      <c r="CH128" s="112"/>
      <c r="CI128" s="112"/>
      <c r="CJ128" s="112"/>
      <c r="CK128" s="112"/>
      <c r="CL128" s="112"/>
      <c r="CM128" s="112"/>
      <c r="CN128" s="112"/>
      <c r="CO128" s="112"/>
      <c r="CP128" s="112"/>
      <c r="CQ128" s="112"/>
      <c r="CR128" s="112"/>
      <c r="CS128" s="112"/>
      <c r="CT128" s="112"/>
      <c r="CU128" s="112"/>
      <c r="CV128" s="112"/>
      <c r="CW128" s="112"/>
      <c r="CX128" s="112"/>
      <c r="CY128" s="112"/>
      <c r="CZ128" s="112"/>
      <c r="DA128" s="112"/>
      <c r="DB128" s="112"/>
      <c r="DC128" s="112"/>
      <c r="DD128" s="112"/>
      <c r="DE128" s="112"/>
      <c r="DF128" s="112"/>
      <c r="DG128" s="112"/>
      <c r="DH128" s="112"/>
      <c r="DI128" s="112"/>
      <c r="DJ128" s="112"/>
      <c r="DK128" s="112"/>
      <c r="DL128" s="112"/>
      <c r="DM128" s="112"/>
      <c r="DN128" s="112"/>
      <c r="DO128" s="112"/>
      <c r="DP128" s="112"/>
      <c r="DQ128" s="112"/>
      <c r="DR128" s="112"/>
      <c r="DS128" s="112"/>
      <c r="DT128" s="112"/>
      <c r="DU128" s="112"/>
      <c r="DV128" s="112"/>
      <c r="DW128" s="112"/>
      <c r="DX128" s="112"/>
      <c r="DY128" s="112"/>
      <c r="DZ128" s="112"/>
      <c r="EA128" s="112">
        <v>150000</v>
      </c>
      <c r="EB128" s="112"/>
      <c r="EC128" s="112"/>
      <c r="ED128" s="112"/>
      <c r="EE128" s="112"/>
      <c r="EF128" s="112"/>
      <c r="EG128" s="112"/>
      <c r="EH128" s="112"/>
      <c r="EI128" s="112"/>
      <c r="EJ128" s="112"/>
      <c r="EK128" s="112"/>
      <c r="EL128" s="112"/>
      <c r="EM128" s="112"/>
      <c r="EN128" s="112"/>
      <c r="EO128" s="112"/>
      <c r="EP128" s="112"/>
      <c r="EQ128" s="112"/>
      <c r="ER128" s="112"/>
      <c r="ES128" s="112"/>
      <c r="ET128" s="112"/>
      <c r="EU128" s="112"/>
      <c r="EV128" s="112"/>
      <c r="EW128" s="112"/>
      <c r="EX128" s="112"/>
      <c r="EY128" s="112"/>
      <c r="EZ128" s="112"/>
      <c r="FA128" s="112"/>
      <c r="FB128" s="112"/>
      <c r="FC128" s="112"/>
      <c r="FD128" s="112"/>
      <c r="FE128" s="112"/>
      <c r="FF128" s="112"/>
      <c r="FG128" s="112"/>
      <c r="FH128" s="112"/>
      <c r="FI128" s="112"/>
      <c r="FJ128" s="112"/>
      <c r="FK128" s="112"/>
      <c r="FL128" s="112"/>
      <c r="FM128" s="112"/>
      <c r="FN128" s="112"/>
      <c r="FO128" s="112"/>
      <c r="FP128" s="112"/>
      <c r="FQ128" s="112"/>
      <c r="FR128" s="112"/>
      <c r="FS128" s="112"/>
      <c r="FT128" s="112"/>
      <c r="FU128" s="112"/>
      <c r="FV128" s="112"/>
      <c r="FW128" s="112"/>
      <c r="FX128" s="112"/>
      <c r="FY128" s="112"/>
      <c r="FZ128" s="112"/>
      <c r="GA128" s="112"/>
      <c r="GB128" s="112"/>
      <c r="GC128" s="112"/>
      <c r="GD128" s="112"/>
      <c r="GE128" s="112"/>
      <c r="GF128" s="112"/>
      <c r="GG128" s="112"/>
      <c r="GH128" s="112"/>
      <c r="GI128" s="112"/>
      <c r="GJ128" s="112"/>
      <c r="GK128" s="112"/>
      <c r="GL128" s="112"/>
      <c r="GM128" s="112"/>
      <c r="GN128" s="112"/>
      <c r="GO128" s="112"/>
      <c r="GP128" s="112"/>
      <c r="GQ128" s="112"/>
      <c r="GR128" s="112"/>
      <c r="GS128" s="112"/>
      <c r="GT128" s="112"/>
      <c r="GU128" s="112"/>
      <c r="GV128" s="112"/>
      <c r="GW128" s="112"/>
      <c r="GX128" s="112"/>
      <c r="GY128" s="112"/>
      <c r="GZ128" s="112"/>
      <c r="HA128" s="112"/>
      <c r="HB128" s="112"/>
      <c r="HC128" s="112"/>
      <c r="HD128" s="112"/>
      <c r="HE128" s="112"/>
      <c r="HF128" s="112"/>
      <c r="HG128" s="112"/>
      <c r="HH128" s="112"/>
      <c r="HI128" s="112"/>
      <c r="HJ128" s="112"/>
      <c r="HK128" s="112"/>
      <c r="HL128" s="112"/>
      <c r="HM128" s="112"/>
      <c r="HN128" s="112"/>
      <c r="HO128" s="112"/>
      <c r="HP128" s="112"/>
      <c r="HQ128" s="112"/>
      <c r="HR128" s="112"/>
      <c r="HS128" s="112"/>
      <c r="HT128" s="112"/>
      <c r="HU128" s="112"/>
      <c r="HV128" s="112"/>
      <c r="HW128" s="112"/>
      <c r="HX128" s="112"/>
      <c r="HY128" s="112"/>
      <c r="HZ128" s="112"/>
      <c r="IA128" s="112"/>
      <c r="IB128" s="112"/>
      <c r="IC128" s="112"/>
      <c r="ID128" s="112"/>
      <c r="IE128" s="112"/>
      <c r="IF128" s="112"/>
      <c r="IG128" s="112"/>
      <c r="IH128" s="112"/>
      <c r="II128" s="112"/>
      <c r="IJ128" s="112"/>
      <c r="IK128" s="112"/>
      <c r="IL128" s="112"/>
      <c r="IM128" s="112"/>
      <c r="IN128" s="112"/>
      <c r="IO128" s="112"/>
      <c r="IP128" s="112"/>
      <c r="IQ128" s="112"/>
      <c r="IR128" s="112"/>
      <c r="IS128" s="112"/>
      <c r="IT128" s="112"/>
      <c r="IU128" s="112"/>
      <c r="IV128" s="112"/>
      <c r="IW128" s="112"/>
      <c r="IX128" s="112"/>
      <c r="IY128" s="112"/>
      <c r="IZ128" s="112"/>
      <c r="JA128" s="112"/>
      <c r="JB128" s="112"/>
      <c r="JC128" s="112"/>
      <c r="JD128" s="112"/>
      <c r="JE128" s="112"/>
      <c r="JF128" s="112"/>
      <c r="JG128" s="112"/>
      <c r="JH128" s="112"/>
      <c r="JI128" s="107">
        <f t="shared" si="3"/>
        <v>150000</v>
      </c>
      <c r="JJ128" s="297">
        <v>3337</v>
      </c>
      <c r="JK128" s="112"/>
      <c r="JL128" s="1"/>
      <c r="JM128" s="1"/>
      <c r="JN128" s="1"/>
      <c r="JO128" s="1"/>
      <c r="JP128" s="1"/>
    </row>
    <row r="129" spans="1:276 1141:1141" x14ac:dyDescent="0.25">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c r="AX129" s="112"/>
      <c r="AY129" s="112"/>
      <c r="AZ129" s="112"/>
      <c r="BA129" s="112"/>
      <c r="BB129" s="112"/>
      <c r="BC129" s="112"/>
      <c r="BD129" s="112"/>
      <c r="BE129" s="112"/>
      <c r="BF129" s="112"/>
      <c r="BG129" s="112"/>
      <c r="BH129" s="112"/>
      <c r="BI129" s="112"/>
      <c r="BJ129" s="112"/>
      <c r="BK129" s="112"/>
      <c r="BL129" s="112"/>
      <c r="BM129" s="112"/>
      <c r="BN129" s="112"/>
      <c r="BO129" s="112"/>
      <c r="BP129" s="112"/>
      <c r="BQ129" s="112"/>
      <c r="BR129" s="112"/>
      <c r="BS129" s="112"/>
      <c r="BT129" s="112"/>
      <c r="BU129" s="112"/>
      <c r="BV129" s="112"/>
      <c r="BW129" s="112"/>
      <c r="BX129" s="112"/>
      <c r="BY129" s="112"/>
      <c r="BZ129" s="112"/>
      <c r="CA129" s="112"/>
      <c r="CB129" s="112"/>
      <c r="CC129" s="112"/>
      <c r="CD129" s="112"/>
      <c r="CE129" s="112"/>
      <c r="CF129" s="112"/>
      <c r="CG129" s="112"/>
      <c r="CH129" s="112"/>
      <c r="CI129" s="112"/>
      <c r="CJ129" s="112"/>
      <c r="CK129" s="112"/>
      <c r="CL129" s="112"/>
      <c r="CM129" s="112"/>
      <c r="CN129" s="112"/>
      <c r="CO129" s="112"/>
      <c r="CP129" s="112"/>
      <c r="CQ129" s="112"/>
      <c r="CR129" s="112"/>
      <c r="CS129" s="112"/>
      <c r="CT129" s="112"/>
      <c r="CU129" s="112"/>
      <c r="CV129" s="112"/>
      <c r="CW129" s="112"/>
      <c r="CX129" s="112"/>
      <c r="CY129" s="112"/>
      <c r="CZ129" s="112"/>
      <c r="DA129" s="112"/>
      <c r="DB129" s="112"/>
      <c r="DC129" s="112"/>
      <c r="DD129" s="112"/>
      <c r="DE129" s="112"/>
      <c r="DF129" s="112"/>
      <c r="DG129" s="112"/>
      <c r="DH129" s="112"/>
      <c r="DI129" s="112"/>
      <c r="DJ129" s="112"/>
      <c r="DK129" s="112"/>
      <c r="DL129" s="112"/>
      <c r="DM129" s="112"/>
      <c r="DN129" s="112"/>
      <c r="DO129" s="112"/>
      <c r="DP129" s="112"/>
      <c r="DQ129" s="112"/>
      <c r="DR129" s="112"/>
      <c r="DS129" s="112"/>
      <c r="DT129" s="112"/>
      <c r="DU129" s="112"/>
      <c r="DV129" s="112"/>
      <c r="DW129" s="112"/>
      <c r="DX129" s="112"/>
      <c r="DY129" s="112"/>
      <c r="DZ129" s="112"/>
      <c r="EA129" s="112"/>
      <c r="EB129" s="112"/>
      <c r="EC129" s="112"/>
      <c r="ED129" s="112"/>
      <c r="EE129" s="112"/>
      <c r="EF129" s="112"/>
      <c r="EG129" s="112"/>
      <c r="EH129" s="112"/>
      <c r="EI129" s="112"/>
      <c r="EJ129" s="112"/>
      <c r="EK129" s="112"/>
      <c r="EL129" s="112"/>
      <c r="EM129" s="112"/>
      <c r="EN129" s="112"/>
      <c r="EO129" s="112"/>
      <c r="EP129" s="112"/>
      <c r="EQ129" s="112"/>
      <c r="ER129" s="112"/>
      <c r="ES129" s="112"/>
      <c r="ET129" s="112"/>
      <c r="EU129" s="112"/>
      <c r="EV129" s="112"/>
      <c r="EW129" s="112"/>
      <c r="EX129" s="112"/>
      <c r="EY129" s="112"/>
      <c r="EZ129" s="112"/>
      <c r="FA129" s="112"/>
      <c r="FB129" s="112"/>
      <c r="FC129" s="112"/>
      <c r="FD129" s="112"/>
      <c r="FE129" s="112"/>
      <c r="FF129" s="112"/>
      <c r="FG129" s="112"/>
      <c r="FH129" s="112"/>
      <c r="FI129" s="112"/>
      <c r="FJ129" s="112"/>
      <c r="FK129" s="112"/>
      <c r="FL129" s="112"/>
      <c r="FM129" s="112"/>
      <c r="FN129" s="112"/>
      <c r="FO129" s="112"/>
      <c r="FP129" s="112"/>
      <c r="FQ129" s="112"/>
      <c r="FR129" s="112"/>
      <c r="FS129" s="112"/>
      <c r="FT129" s="112"/>
      <c r="FU129" s="112"/>
      <c r="FV129" s="112"/>
      <c r="FW129" s="112"/>
      <c r="FX129" s="112"/>
      <c r="FY129" s="112"/>
      <c r="FZ129" s="112"/>
      <c r="GA129" s="112"/>
      <c r="GB129" s="112"/>
      <c r="GC129" s="112"/>
      <c r="GD129" s="112"/>
      <c r="GE129" s="112"/>
      <c r="GF129" s="112"/>
      <c r="GG129" s="112"/>
      <c r="GH129" s="112"/>
      <c r="GI129" s="112"/>
      <c r="GJ129" s="112"/>
      <c r="GK129" s="112"/>
      <c r="GL129" s="112"/>
      <c r="GM129" s="112"/>
      <c r="GN129" s="112"/>
      <c r="GO129" s="112"/>
      <c r="GP129" s="112"/>
      <c r="GQ129" s="112">
        <v>232860.02</v>
      </c>
      <c r="GR129" s="112"/>
      <c r="GS129" s="112"/>
      <c r="GT129" s="112"/>
      <c r="GU129" s="112"/>
      <c r="GV129" s="112"/>
      <c r="GW129" s="112"/>
      <c r="GX129" s="112"/>
      <c r="GY129" s="112"/>
      <c r="GZ129" s="112"/>
      <c r="HA129" s="112"/>
      <c r="HB129" s="112"/>
      <c r="HC129" s="112"/>
      <c r="HD129" s="112"/>
      <c r="HE129" s="112"/>
      <c r="HF129" s="112"/>
      <c r="HG129" s="112"/>
      <c r="HH129" s="112"/>
      <c r="HI129" s="112"/>
      <c r="HJ129" s="112"/>
      <c r="HK129" s="112"/>
      <c r="HL129" s="112"/>
      <c r="HM129" s="112"/>
      <c r="HN129" s="112"/>
      <c r="HO129" s="112"/>
      <c r="HP129" s="112"/>
      <c r="HQ129" s="112"/>
      <c r="HR129" s="112"/>
      <c r="HS129" s="112"/>
      <c r="HT129" s="112"/>
      <c r="HU129" s="112"/>
      <c r="HV129" s="112"/>
      <c r="HW129" s="112"/>
      <c r="HX129" s="112"/>
      <c r="HY129" s="112"/>
      <c r="HZ129" s="112"/>
      <c r="IA129" s="112"/>
      <c r="IB129" s="112"/>
      <c r="IC129" s="112"/>
      <c r="ID129" s="112"/>
      <c r="IE129" s="112"/>
      <c r="IF129" s="112"/>
      <c r="IG129" s="112"/>
      <c r="IH129" s="112"/>
      <c r="II129" s="112"/>
      <c r="IJ129" s="112"/>
      <c r="IK129" s="112"/>
      <c r="IL129" s="112"/>
      <c r="IM129" s="112"/>
      <c r="IN129" s="112"/>
      <c r="IO129" s="112"/>
      <c r="IP129" s="112"/>
      <c r="IQ129" s="112"/>
      <c r="IR129" s="112"/>
      <c r="IS129" s="112"/>
      <c r="IT129" s="112"/>
      <c r="IU129" s="112"/>
      <c r="IV129" s="112"/>
      <c r="IW129" s="112"/>
      <c r="IX129" s="112"/>
      <c r="IY129" s="112"/>
      <c r="IZ129" s="112"/>
      <c r="JA129" s="112"/>
      <c r="JB129" s="112"/>
      <c r="JC129" s="112"/>
      <c r="JD129" s="112"/>
      <c r="JE129" s="112"/>
      <c r="JF129" s="112"/>
      <c r="JG129" s="112"/>
      <c r="JH129" s="112"/>
      <c r="JI129" s="107">
        <f t="shared" si="3"/>
        <v>232860.02</v>
      </c>
      <c r="JJ129" s="297">
        <v>3340</v>
      </c>
      <c r="JK129" s="112"/>
      <c r="JL129" s="1"/>
      <c r="JM129" s="1"/>
      <c r="JN129" s="1"/>
      <c r="JO129" s="1"/>
      <c r="JP129" s="1"/>
    </row>
    <row r="130" spans="1:276 1141:1141" x14ac:dyDescent="0.25">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112"/>
      <c r="BN130" s="112"/>
      <c r="BO130" s="112"/>
      <c r="BP130" s="112"/>
      <c r="BQ130" s="112"/>
      <c r="BR130" s="112"/>
      <c r="BS130" s="112"/>
      <c r="BT130" s="112"/>
      <c r="BU130" s="112"/>
      <c r="BV130" s="112"/>
      <c r="BW130" s="112"/>
      <c r="BX130" s="112"/>
      <c r="BY130" s="112"/>
      <c r="BZ130" s="112"/>
      <c r="CA130" s="112"/>
      <c r="CB130" s="112"/>
      <c r="CC130" s="112"/>
      <c r="CD130" s="112"/>
      <c r="CE130" s="112"/>
      <c r="CF130" s="112"/>
      <c r="CG130" s="112"/>
      <c r="CH130" s="112"/>
      <c r="CI130" s="112"/>
      <c r="CJ130" s="112"/>
      <c r="CK130" s="112"/>
      <c r="CL130" s="112"/>
      <c r="CM130" s="112"/>
      <c r="CN130" s="112"/>
      <c r="CO130" s="112"/>
      <c r="CP130" s="112"/>
      <c r="CQ130" s="112"/>
      <c r="CR130" s="112"/>
      <c r="CS130" s="112"/>
      <c r="CT130" s="112"/>
      <c r="CU130" s="112"/>
      <c r="CV130" s="112"/>
      <c r="CW130" s="112"/>
      <c r="CX130" s="112"/>
      <c r="CY130" s="112"/>
      <c r="CZ130" s="112"/>
      <c r="DA130" s="112"/>
      <c r="DB130" s="112"/>
      <c r="DC130" s="112"/>
      <c r="DD130" s="112"/>
      <c r="DE130" s="112"/>
      <c r="DF130" s="112"/>
      <c r="DG130" s="112"/>
      <c r="DH130" s="112"/>
      <c r="DI130" s="112"/>
      <c r="DJ130" s="112"/>
      <c r="DK130" s="112"/>
      <c r="DL130" s="112"/>
      <c r="DM130" s="112"/>
      <c r="DN130" s="112"/>
      <c r="DO130" s="112"/>
      <c r="DP130" s="112"/>
      <c r="DQ130" s="112"/>
      <c r="DR130" s="112"/>
      <c r="DS130" s="112"/>
      <c r="DT130" s="112"/>
      <c r="DU130" s="112"/>
      <c r="DV130" s="112"/>
      <c r="DW130" s="112"/>
      <c r="DX130" s="112"/>
      <c r="DY130" s="112"/>
      <c r="DZ130" s="112"/>
      <c r="EA130" s="112"/>
      <c r="EB130" s="112"/>
      <c r="EC130" s="112"/>
      <c r="ED130" s="112"/>
      <c r="EE130" s="112"/>
      <c r="EF130" s="112"/>
      <c r="EG130" s="112"/>
      <c r="EH130" s="112"/>
      <c r="EI130" s="112"/>
      <c r="EJ130" s="112"/>
      <c r="EK130" s="112"/>
      <c r="EL130" s="112"/>
      <c r="EM130" s="112"/>
      <c r="EN130" s="112"/>
      <c r="EO130" s="112"/>
      <c r="EP130" s="112"/>
      <c r="EQ130" s="112"/>
      <c r="ER130" s="112"/>
      <c r="ES130" s="112"/>
      <c r="ET130" s="112"/>
      <c r="EU130" s="112"/>
      <c r="EV130" s="112"/>
      <c r="EW130" s="112"/>
      <c r="EX130" s="112"/>
      <c r="EY130" s="112"/>
      <c r="EZ130" s="112"/>
      <c r="FA130" s="112"/>
      <c r="FB130" s="112"/>
      <c r="FC130" s="112"/>
      <c r="FD130" s="112"/>
      <c r="FE130" s="112"/>
      <c r="FF130" s="112"/>
      <c r="FG130" s="112"/>
      <c r="FH130" s="112"/>
      <c r="FI130" s="112"/>
      <c r="FJ130" s="112"/>
      <c r="FK130" s="112"/>
      <c r="FL130" s="112"/>
      <c r="FM130" s="112"/>
      <c r="FN130" s="112"/>
      <c r="FO130" s="112"/>
      <c r="FP130" s="112"/>
      <c r="FQ130" s="112">
        <v>53336</v>
      </c>
      <c r="FR130" s="112"/>
      <c r="FS130" s="112"/>
      <c r="FT130" s="112"/>
      <c r="FU130" s="112"/>
      <c r="FV130" s="112"/>
      <c r="FW130" s="112"/>
      <c r="FX130" s="112"/>
      <c r="FY130" s="112"/>
      <c r="FZ130" s="112"/>
      <c r="GA130" s="112"/>
      <c r="GB130" s="112"/>
      <c r="GC130" s="112"/>
      <c r="GD130" s="112"/>
      <c r="GE130" s="112"/>
      <c r="GF130" s="112"/>
      <c r="GG130" s="112"/>
      <c r="GH130" s="112"/>
      <c r="GI130" s="112"/>
      <c r="GJ130" s="112"/>
      <c r="GK130" s="112"/>
      <c r="GL130" s="112"/>
      <c r="GM130" s="112"/>
      <c r="GN130" s="112"/>
      <c r="GO130" s="112"/>
      <c r="GP130" s="112"/>
      <c r="GQ130" s="112"/>
      <c r="GR130" s="112"/>
      <c r="GS130" s="112"/>
      <c r="GT130" s="112"/>
      <c r="GU130" s="112"/>
      <c r="GV130" s="112"/>
      <c r="GW130" s="112"/>
      <c r="GX130" s="112"/>
      <c r="GY130" s="112"/>
      <c r="GZ130" s="112"/>
      <c r="HA130" s="112"/>
      <c r="HB130" s="112"/>
      <c r="HC130" s="112"/>
      <c r="HD130" s="112"/>
      <c r="HE130" s="112"/>
      <c r="HF130" s="112"/>
      <c r="HG130" s="112"/>
      <c r="HH130" s="112"/>
      <c r="HI130" s="112"/>
      <c r="HJ130" s="112"/>
      <c r="HK130" s="112"/>
      <c r="HL130" s="112"/>
      <c r="HM130" s="112"/>
      <c r="HN130" s="112"/>
      <c r="HO130" s="112"/>
      <c r="HP130" s="112"/>
      <c r="HQ130" s="112"/>
      <c r="HR130" s="112"/>
      <c r="HS130" s="112"/>
      <c r="HT130" s="112"/>
      <c r="HU130" s="112"/>
      <c r="HV130" s="112"/>
      <c r="HW130" s="112"/>
      <c r="HX130" s="112"/>
      <c r="HY130" s="112"/>
      <c r="HZ130" s="112"/>
      <c r="IA130" s="112"/>
      <c r="IB130" s="112"/>
      <c r="IC130" s="112"/>
      <c r="ID130" s="112"/>
      <c r="IE130" s="112"/>
      <c r="IF130" s="112"/>
      <c r="IG130" s="112"/>
      <c r="IH130" s="112"/>
      <c r="II130" s="112"/>
      <c r="IJ130" s="112"/>
      <c r="IK130" s="112"/>
      <c r="IL130" s="112"/>
      <c r="IM130" s="112"/>
      <c r="IN130" s="112"/>
      <c r="IO130" s="112"/>
      <c r="IP130" s="112"/>
      <c r="IQ130" s="112"/>
      <c r="IR130" s="112"/>
      <c r="IS130" s="112"/>
      <c r="IT130" s="112"/>
      <c r="IU130" s="112"/>
      <c r="IV130" s="112"/>
      <c r="IW130" s="112"/>
      <c r="IX130" s="112"/>
      <c r="IY130" s="112"/>
      <c r="IZ130" s="112"/>
      <c r="JA130" s="112"/>
      <c r="JB130" s="112"/>
      <c r="JC130" s="112"/>
      <c r="JD130" s="112"/>
      <c r="JE130" s="112"/>
      <c r="JF130" s="112"/>
      <c r="JG130" s="112"/>
      <c r="JH130" s="112"/>
      <c r="JI130" s="107">
        <f t="shared" si="3"/>
        <v>53336</v>
      </c>
      <c r="JJ130" s="297">
        <v>3347</v>
      </c>
      <c r="JK130" s="112"/>
      <c r="JL130" s="1"/>
      <c r="JM130" s="1"/>
      <c r="JN130" s="1"/>
      <c r="JO130" s="1"/>
      <c r="JP130" s="1"/>
    </row>
    <row r="131" spans="1:276 1141:1141" x14ac:dyDescent="0.25">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c r="AX131" s="112"/>
      <c r="AY131" s="112"/>
      <c r="AZ131" s="112"/>
      <c r="BA131" s="112"/>
      <c r="BB131" s="112"/>
      <c r="BC131" s="112"/>
      <c r="BD131" s="112"/>
      <c r="BE131" s="112"/>
      <c r="BF131" s="112"/>
      <c r="BG131" s="112"/>
      <c r="BH131" s="112"/>
      <c r="BI131" s="112"/>
      <c r="BJ131" s="112"/>
      <c r="BK131" s="112"/>
      <c r="BL131" s="112"/>
      <c r="BM131" s="112"/>
      <c r="BN131" s="112"/>
      <c r="BO131" s="112"/>
      <c r="BP131" s="112"/>
      <c r="BQ131" s="112"/>
      <c r="BR131" s="112"/>
      <c r="BS131" s="112"/>
      <c r="BT131" s="112"/>
      <c r="BU131" s="112"/>
      <c r="BV131" s="112"/>
      <c r="BW131" s="112"/>
      <c r="BX131" s="112"/>
      <c r="BY131" s="112"/>
      <c r="BZ131" s="112"/>
      <c r="CA131" s="112"/>
      <c r="CB131" s="112"/>
      <c r="CC131" s="112"/>
      <c r="CD131" s="112"/>
      <c r="CE131" s="112"/>
      <c r="CF131" s="112"/>
      <c r="CG131" s="112"/>
      <c r="CH131" s="112"/>
      <c r="CI131" s="112"/>
      <c r="CJ131" s="112"/>
      <c r="CK131" s="112"/>
      <c r="CL131" s="112"/>
      <c r="CM131" s="112"/>
      <c r="CN131" s="112"/>
      <c r="CO131" s="112"/>
      <c r="CP131" s="112"/>
      <c r="CQ131" s="112"/>
      <c r="CR131" s="112"/>
      <c r="CS131" s="112"/>
      <c r="CT131" s="112"/>
      <c r="CU131" s="112"/>
      <c r="CV131" s="112"/>
      <c r="CW131" s="112"/>
      <c r="CX131" s="112"/>
      <c r="CY131" s="112"/>
      <c r="CZ131" s="112"/>
      <c r="DA131" s="112"/>
      <c r="DB131" s="112"/>
      <c r="DC131" s="112"/>
      <c r="DD131" s="112"/>
      <c r="DE131" s="112"/>
      <c r="DF131" s="112"/>
      <c r="DG131" s="112"/>
      <c r="DH131" s="112"/>
      <c r="DI131" s="112"/>
      <c r="DJ131" s="112"/>
      <c r="DK131" s="112"/>
      <c r="DL131" s="112"/>
      <c r="DM131" s="112"/>
      <c r="DN131" s="112"/>
      <c r="DO131" s="112"/>
      <c r="DP131" s="112"/>
      <c r="DQ131" s="112"/>
      <c r="DR131" s="112"/>
      <c r="DS131" s="112"/>
      <c r="DT131" s="112"/>
      <c r="DU131" s="112"/>
      <c r="DV131" s="112"/>
      <c r="DW131" s="112"/>
      <c r="DX131" s="112"/>
      <c r="DY131" s="112"/>
      <c r="DZ131" s="112"/>
      <c r="EA131" s="112">
        <v>130194</v>
      </c>
      <c r="EB131" s="112"/>
      <c r="EC131" s="112"/>
      <c r="ED131" s="112"/>
      <c r="EE131" s="112"/>
      <c r="EF131" s="112"/>
      <c r="EG131" s="112"/>
      <c r="EH131" s="112"/>
      <c r="EI131" s="112"/>
      <c r="EJ131" s="112"/>
      <c r="EK131" s="112"/>
      <c r="EL131" s="112"/>
      <c r="EM131" s="112"/>
      <c r="EN131" s="112"/>
      <c r="EO131" s="112"/>
      <c r="EP131" s="112"/>
      <c r="EQ131" s="112"/>
      <c r="ER131" s="112"/>
      <c r="ES131" s="112"/>
      <c r="ET131" s="112"/>
      <c r="EU131" s="112"/>
      <c r="EV131" s="112"/>
      <c r="EW131" s="112"/>
      <c r="EX131" s="112"/>
      <c r="EY131" s="112"/>
      <c r="EZ131" s="112"/>
      <c r="FA131" s="112"/>
      <c r="FB131" s="112"/>
      <c r="FC131" s="112"/>
      <c r="FD131" s="112"/>
      <c r="FE131" s="112"/>
      <c r="FF131" s="112"/>
      <c r="FG131" s="112"/>
      <c r="FH131" s="112"/>
      <c r="FI131" s="112"/>
      <c r="FJ131" s="112"/>
      <c r="FK131" s="112"/>
      <c r="FL131" s="112"/>
      <c r="FM131" s="112"/>
      <c r="FN131" s="112"/>
      <c r="FO131" s="112"/>
      <c r="FP131" s="112"/>
      <c r="FQ131" s="112"/>
      <c r="FR131" s="112"/>
      <c r="FS131" s="112"/>
      <c r="FT131" s="112">
        <v>3300</v>
      </c>
      <c r="FU131" s="112"/>
      <c r="FV131" s="112"/>
      <c r="FW131" s="112"/>
      <c r="FX131" s="112"/>
      <c r="FY131" s="112"/>
      <c r="FZ131" s="112"/>
      <c r="GA131" s="112"/>
      <c r="GB131" s="112"/>
      <c r="GC131" s="112"/>
      <c r="GD131" s="112"/>
      <c r="GE131" s="112"/>
      <c r="GF131" s="112"/>
      <c r="GG131" s="112"/>
      <c r="GH131" s="112"/>
      <c r="GI131" s="112"/>
      <c r="GJ131" s="112"/>
      <c r="GK131" s="112"/>
      <c r="GL131" s="112"/>
      <c r="GM131" s="112"/>
      <c r="GN131" s="112"/>
      <c r="GO131" s="112"/>
      <c r="GP131" s="112"/>
      <c r="GQ131" s="112"/>
      <c r="GR131" s="112"/>
      <c r="GS131" s="112"/>
      <c r="GT131" s="112"/>
      <c r="GU131" s="112"/>
      <c r="GV131" s="112"/>
      <c r="GW131" s="112"/>
      <c r="GX131" s="112"/>
      <c r="GY131" s="112"/>
      <c r="GZ131" s="112"/>
      <c r="HA131" s="112"/>
      <c r="HB131" s="112"/>
      <c r="HC131" s="112"/>
      <c r="HD131" s="112"/>
      <c r="HE131" s="112"/>
      <c r="HF131" s="112"/>
      <c r="HG131" s="112"/>
      <c r="HH131" s="112"/>
      <c r="HI131" s="112"/>
      <c r="HJ131" s="112"/>
      <c r="HK131" s="112"/>
      <c r="HL131" s="112"/>
      <c r="HM131" s="112"/>
      <c r="HN131" s="112"/>
      <c r="HO131" s="112"/>
      <c r="HP131" s="112"/>
      <c r="HQ131" s="112"/>
      <c r="HR131" s="112"/>
      <c r="HS131" s="112"/>
      <c r="HT131" s="112"/>
      <c r="HU131" s="112"/>
      <c r="HV131" s="112"/>
      <c r="HW131" s="112"/>
      <c r="HX131" s="112"/>
      <c r="HY131" s="112"/>
      <c r="HZ131" s="112"/>
      <c r="IA131" s="112"/>
      <c r="IB131" s="112"/>
      <c r="IC131" s="112"/>
      <c r="ID131" s="112"/>
      <c r="IE131" s="112"/>
      <c r="IF131" s="112"/>
      <c r="IG131" s="112"/>
      <c r="IH131" s="112"/>
      <c r="II131" s="112"/>
      <c r="IJ131" s="112"/>
      <c r="IK131" s="112"/>
      <c r="IL131" s="112"/>
      <c r="IM131" s="112"/>
      <c r="IN131" s="112"/>
      <c r="IO131" s="112"/>
      <c r="IP131" s="112"/>
      <c r="IQ131" s="112"/>
      <c r="IR131" s="112"/>
      <c r="IS131" s="112"/>
      <c r="IT131" s="112"/>
      <c r="IU131" s="112"/>
      <c r="IV131" s="112"/>
      <c r="IW131" s="112"/>
      <c r="IX131" s="112"/>
      <c r="IY131" s="112"/>
      <c r="IZ131" s="112"/>
      <c r="JA131" s="112"/>
      <c r="JB131" s="112"/>
      <c r="JC131" s="112"/>
      <c r="JD131" s="112"/>
      <c r="JE131" s="112"/>
      <c r="JF131" s="112"/>
      <c r="JG131" s="112"/>
      <c r="JH131" s="112"/>
      <c r="JI131" s="107">
        <f t="shared" si="3"/>
        <v>133494</v>
      </c>
      <c r="JJ131" s="297">
        <v>3348</v>
      </c>
      <c r="JK131" s="112"/>
      <c r="JL131" s="1"/>
      <c r="JM131" s="1"/>
      <c r="JN131" s="1"/>
      <c r="JO131" s="1"/>
      <c r="JP131" s="1"/>
    </row>
    <row r="132" spans="1:276 1141:1141" x14ac:dyDescent="0.25">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c r="AX132" s="112"/>
      <c r="AY132" s="112"/>
      <c r="AZ132" s="112"/>
      <c r="BA132" s="112"/>
      <c r="BB132" s="112"/>
      <c r="BC132" s="112"/>
      <c r="BD132" s="112"/>
      <c r="BE132" s="112"/>
      <c r="BF132" s="112"/>
      <c r="BG132" s="112"/>
      <c r="BH132" s="112"/>
      <c r="BI132" s="112"/>
      <c r="BJ132" s="112"/>
      <c r="BK132" s="112"/>
      <c r="BL132" s="112"/>
      <c r="BM132" s="112"/>
      <c r="BN132" s="112"/>
      <c r="BO132" s="112"/>
      <c r="BP132" s="112"/>
      <c r="BQ132" s="112"/>
      <c r="BR132" s="112"/>
      <c r="BS132" s="112"/>
      <c r="BT132" s="112"/>
      <c r="BU132" s="112"/>
      <c r="BV132" s="112"/>
      <c r="BW132" s="112"/>
      <c r="BX132" s="112"/>
      <c r="BY132" s="112"/>
      <c r="BZ132" s="112"/>
      <c r="CA132" s="112"/>
      <c r="CB132" s="112"/>
      <c r="CC132" s="112"/>
      <c r="CD132" s="112"/>
      <c r="CE132" s="112"/>
      <c r="CF132" s="112"/>
      <c r="CG132" s="112"/>
      <c r="CH132" s="112"/>
      <c r="CI132" s="112"/>
      <c r="CJ132" s="112"/>
      <c r="CK132" s="112"/>
      <c r="CL132" s="112"/>
      <c r="CM132" s="112"/>
      <c r="CN132" s="112"/>
      <c r="CO132" s="112"/>
      <c r="CP132" s="112"/>
      <c r="CQ132" s="112"/>
      <c r="CR132" s="112"/>
      <c r="CS132" s="112"/>
      <c r="CT132" s="112"/>
      <c r="CU132" s="112"/>
      <c r="CV132" s="112"/>
      <c r="CW132" s="112"/>
      <c r="CX132" s="112"/>
      <c r="CY132" s="112"/>
      <c r="CZ132" s="112"/>
      <c r="DA132" s="112"/>
      <c r="DB132" s="112"/>
      <c r="DC132" s="112"/>
      <c r="DD132" s="112"/>
      <c r="DE132" s="112"/>
      <c r="DF132" s="112"/>
      <c r="DG132" s="112"/>
      <c r="DH132" s="112"/>
      <c r="DI132" s="112"/>
      <c r="DJ132" s="112"/>
      <c r="DK132" s="112"/>
      <c r="DL132" s="112"/>
      <c r="DM132" s="112"/>
      <c r="DN132" s="112"/>
      <c r="DO132" s="112"/>
      <c r="DP132" s="112"/>
      <c r="DQ132" s="112"/>
      <c r="DR132" s="112"/>
      <c r="DS132" s="112"/>
      <c r="DT132" s="112"/>
      <c r="DU132" s="112"/>
      <c r="DV132" s="112"/>
      <c r="DW132" s="112"/>
      <c r="DX132" s="112"/>
      <c r="DY132" s="112"/>
      <c r="DZ132" s="112"/>
      <c r="EA132" s="112"/>
      <c r="EB132" s="112"/>
      <c r="EC132" s="112"/>
      <c r="ED132" s="112"/>
      <c r="EE132" s="112"/>
      <c r="EF132" s="112"/>
      <c r="EG132" s="112"/>
      <c r="EH132" s="112"/>
      <c r="EI132" s="112"/>
      <c r="EJ132" s="112"/>
      <c r="EK132" s="112"/>
      <c r="EL132" s="112"/>
      <c r="EM132" s="112"/>
      <c r="EN132" s="112"/>
      <c r="EO132" s="112"/>
      <c r="EP132" s="112"/>
      <c r="EQ132" s="112"/>
      <c r="ER132" s="112"/>
      <c r="ES132" s="112"/>
      <c r="ET132" s="112"/>
      <c r="EU132" s="112"/>
      <c r="EV132" s="112"/>
      <c r="EW132" s="112"/>
      <c r="EX132" s="112"/>
      <c r="EY132" s="112"/>
      <c r="EZ132" s="112"/>
      <c r="FA132" s="112"/>
      <c r="FB132" s="112"/>
      <c r="FC132" s="112"/>
      <c r="FD132" s="112"/>
      <c r="FE132" s="112"/>
      <c r="FF132" s="112"/>
      <c r="FG132" s="112"/>
      <c r="FH132" s="112"/>
      <c r="FI132" s="112"/>
      <c r="FJ132" s="112"/>
      <c r="FK132" s="112"/>
      <c r="FL132" s="112"/>
      <c r="FM132" s="112"/>
      <c r="FN132" s="112"/>
      <c r="FO132" s="112"/>
      <c r="FP132" s="112"/>
      <c r="FQ132" s="112"/>
      <c r="FR132" s="112"/>
      <c r="FS132" s="112"/>
      <c r="FT132" s="112">
        <v>236000</v>
      </c>
      <c r="FU132" s="112"/>
      <c r="FV132" s="112"/>
      <c r="FW132" s="112"/>
      <c r="FX132" s="112"/>
      <c r="FY132" s="112"/>
      <c r="FZ132" s="112"/>
      <c r="GA132" s="112"/>
      <c r="GB132" s="112"/>
      <c r="GC132" s="112"/>
      <c r="GD132" s="112"/>
      <c r="GE132" s="112"/>
      <c r="GF132" s="112"/>
      <c r="GG132" s="112"/>
      <c r="GH132" s="112"/>
      <c r="GI132" s="112"/>
      <c r="GJ132" s="112"/>
      <c r="GK132" s="112"/>
      <c r="GL132" s="112"/>
      <c r="GM132" s="112"/>
      <c r="GN132" s="112"/>
      <c r="GO132" s="112"/>
      <c r="GP132" s="112"/>
      <c r="GQ132" s="112"/>
      <c r="GR132" s="112"/>
      <c r="GS132" s="112"/>
      <c r="GT132" s="112"/>
      <c r="GU132" s="112"/>
      <c r="GV132" s="112"/>
      <c r="GW132" s="112"/>
      <c r="GX132" s="112"/>
      <c r="GY132" s="112"/>
      <c r="GZ132" s="112"/>
      <c r="HA132" s="112"/>
      <c r="HB132" s="112"/>
      <c r="HC132" s="112"/>
      <c r="HD132" s="112"/>
      <c r="HE132" s="112"/>
      <c r="HF132" s="112"/>
      <c r="HG132" s="112"/>
      <c r="HH132" s="112"/>
      <c r="HI132" s="112"/>
      <c r="HJ132" s="112"/>
      <c r="HK132" s="112"/>
      <c r="HL132" s="112"/>
      <c r="HM132" s="112"/>
      <c r="HN132" s="112"/>
      <c r="HO132" s="112"/>
      <c r="HP132" s="112"/>
      <c r="HQ132" s="112"/>
      <c r="HR132" s="112"/>
      <c r="HS132" s="112"/>
      <c r="HT132" s="112"/>
      <c r="HU132" s="112"/>
      <c r="HV132" s="112"/>
      <c r="HW132" s="112"/>
      <c r="HX132" s="112"/>
      <c r="HY132" s="112"/>
      <c r="HZ132" s="112"/>
      <c r="IA132" s="112"/>
      <c r="IB132" s="112"/>
      <c r="IC132" s="112"/>
      <c r="ID132" s="112"/>
      <c r="IE132" s="112"/>
      <c r="IF132" s="112"/>
      <c r="IG132" s="112"/>
      <c r="IH132" s="112"/>
      <c r="II132" s="112"/>
      <c r="IJ132" s="112"/>
      <c r="IK132" s="112"/>
      <c r="IL132" s="112"/>
      <c r="IM132" s="112"/>
      <c r="IN132" s="112"/>
      <c r="IO132" s="112"/>
      <c r="IP132" s="112"/>
      <c r="IQ132" s="112"/>
      <c r="IR132" s="112"/>
      <c r="IS132" s="112"/>
      <c r="IT132" s="112"/>
      <c r="IU132" s="112"/>
      <c r="IV132" s="112"/>
      <c r="IW132" s="112"/>
      <c r="IX132" s="112"/>
      <c r="IY132" s="112"/>
      <c r="IZ132" s="112"/>
      <c r="JA132" s="112"/>
      <c r="JB132" s="112"/>
      <c r="JC132" s="112"/>
      <c r="JD132" s="112"/>
      <c r="JE132" s="112"/>
      <c r="JF132" s="112"/>
      <c r="JG132" s="112"/>
      <c r="JH132" s="112"/>
      <c r="JI132" s="107">
        <f t="shared" si="3"/>
        <v>236000</v>
      </c>
      <c r="JJ132" s="297">
        <v>3354</v>
      </c>
      <c r="JK132" s="112"/>
      <c r="JL132" s="1"/>
      <c r="JM132" s="1"/>
      <c r="JN132" s="1"/>
      <c r="JO132" s="1"/>
      <c r="JP132" s="1"/>
    </row>
    <row r="133" spans="1:276 1141:1141" x14ac:dyDescent="0.25">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c r="AX133" s="112"/>
      <c r="AY133" s="112"/>
      <c r="AZ133" s="112"/>
      <c r="BA133" s="112"/>
      <c r="BB133" s="112"/>
      <c r="BC133" s="112"/>
      <c r="BD133" s="112"/>
      <c r="BE133" s="112"/>
      <c r="BF133" s="112"/>
      <c r="BG133" s="112"/>
      <c r="BH133" s="112"/>
      <c r="BI133" s="112"/>
      <c r="BJ133" s="112"/>
      <c r="BK133" s="112"/>
      <c r="BL133" s="112"/>
      <c r="BM133" s="112"/>
      <c r="BN133" s="112"/>
      <c r="BO133" s="112"/>
      <c r="BP133" s="112"/>
      <c r="BQ133" s="112"/>
      <c r="BR133" s="112"/>
      <c r="BS133" s="112"/>
      <c r="BT133" s="112"/>
      <c r="BU133" s="112"/>
      <c r="BV133" s="112"/>
      <c r="BW133" s="112"/>
      <c r="BX133" s="112"/>
      <c r="BY133" s="112"/>
      <c r="BZ133" s="112"/>
      <c r="CA133" s="112"/>
      <c r="CB133" s="112"/>
      <c r="CC133" s="112"/>
      <c r="CD133" s="112"/>
      <c r="CE133" s="112"/>
      <c r="CF133" s="112"/>
      <c r="CG133" s="112"/>
      <c r="CH133" s="112"/>
      <c r="CI133" s="112"/>
      <c r="CJ133" s="112"/>
      <c r="CK133" s="112"/>
      <c r="CL133" s="112"/>
      <c r="CM133" s="112"/>
      <c r="CN133" s="112"/>
      <c r="CO133" s="112"/>
      <c r="CP133" s="112"/>
      <c r="CQ133" s="112"/>
      <c r="CR133" s="112"/>
      <c r="CS133" s="112"/>
      <c r="CT133" s="112"/>
      <c r="CU133" s="112"/>
      <c r="CV133" s="112"/>
      <c r="CW133" s="112"/>
      <c r="CX133" s="112"/>
      <c r="CY133" s="112"/>
      <c r="CZ133" s="112"/>
      <c r="DA133" s="112"/>
      <c r="DB133" s="112"/>
      <c r="DC133" s="112"/>
      <c r="DD133" s="112"/>
      <c r="DE133" s="112"/>
      <c r="DF133" s="112"/>
      <c r="DG133" s="112"/>
      <c r="DH133" s="112"/>
      <c r="DI133" s="112"/>
      <c r="DJ133" s="112"/>
      <c r="DK133" s="112"/>
      <c r="DL133" s="112"/>
      <c r="DM133" s="112"/>
      <c r="DN133" s="112"/>
      <c r="DO133" s="112"/>
      <c r="DP133" s="112"/>
      <c r="DQ133" s="112"/>
      <c r="DR133" s="112"/>
      <c r="DS133" s="112"/>
      <c r="DT133" s="112"/>
      <c r="DU133" s="112"/>
      <c r="DV133" s="112"/>
      <c r="DW133" s="112"/>
      <c r="DX133" s="112"/>
      <c r="DY133" s="112"/>
      <c r="DZ133" s="112"/>
      <c r="EA133" s="112">
        <v>96330</v>
      </c>
      <c r="EB133" s="112"/>
      <c r="EC133" s="112"/>
      <c r="ED133" s="112"/>
      <c r="EE133" s="112"/>
      <c r="EF133" s="112"/>
      <c r="EG133" s="112"/>
      <c r="EH133" s="112"/>
      <c r="EI133" s="112"/>
      <c r="EJ133" s="112"/>
      <c r="EK133" s="112"/>
      <c r="EL133" s="112"/>
      <c r="EM133" s="112"/>
      <c r="EN133" s="112"/>
      <c r="EO133" s="112"/>
      <c r="EP133" s="112"/>
      <c r="EQ133" s="112"/>
      <c r="ER133" s="112"/>
      <c r="ES133" s="112"/>
      <c r="ET133" s="112"/>
      <c r="EU133" s="112"/>
      <c r="EV133" s="112"/>
      <c r="EW133" s="112"/>
      <c r="EX133" s="112"/>
      <c r="EY133" s="112"/>
      <c r="EZ133" s="112"/>
      <c r="FA133" s="112"/>
      <c r="FB133" s="112"/>
      <c r="FC133" s="112"/>
      <c r="FD133" s="112"/>
      <c r="FE133" s="112"/>
      <c r="FF133" s="112"/>
      <c r="FG133" s="112"/>
      <c r="FH133" s="112"/>
      <c r="FI133" s="112"/>
      <c r="FJ133" s="112"/>
      <c r="FK133" s="112"/>
      <c r="FL133" s="112"/>
      <c r="FM133" s="112"/>
      <c r="FN133" s="112"/>
      <c r="FO133" s="112"/>
      <c r="FP133" s="112"/>
      <c r="FQ133" s="112"/>
      <c r="FR133" s="112"/>
      <c r="FS133" s="112"/>
      <c r="FT133" s="112"/>
      <c r="FU133" s="112"/>
      <c r="FV133" s="112"/>
      <c r="FW133" s="112"/>
      <c r="FX133" s="112"/>
      <c r="FY133" s="112"/>
      <c r="FZ133" s="112"/>
      <c r="GA133" s="112"/>
      <c r="GB133" s="112"/>
      <c r="GC133" s="112"/>
      <c r="GD133" s="112"/>
      <c r="GE133" s="112"/>
      <c r="GF133" s="112"/>
      <c r="GG133" s="112"/>
      <c r="GH133" s="112"/>
      <c r="GI133" s="112"/>
      <c r="GJ133" s="112"/>
      <c r="GK133" s="112"/>
      <c r="GL133" s="112"/>
      <c r="GM133" s="112"/>
      <c r="GN133" s="112"/>
      <c r="GO133" s="112"/>
      <c r="GP133" s="112"/>
      <c r="GQ133" s="112"/>
      <c r="GR133" s="112"/>
      <c r="GS133" s="112"/>
      <c r="GT133" s="112"/>
      <c r="GU133" s="112"/>
      <c r="GV133" s="112"/>
      <c r="GW133" s="112"/>
      <c r="GX133" s="112"/>
      <c r="GY133" s="112"/>
      <c r="GZ133" s="112"/>
      <c r="HA133" s="112"/>
      <c r="HB133" s="112"/>
      <c r="HC133" s="112"/>
      <c r="HD133" s="112"/>
      <c r="HE133" s="112"/>
      <c r="HF133" s="112"/>
      <c r="HG133" s="112"/>
      <c r="HH133" s="112"/>
      <c r="HI133" s="112"/>
      <c r="HJ133" s="112"/>
      <c r="HK133" s="112"/>
      <c r="HL133" s="112"/>
      <c r="HM133" s="112"/>
      <c r="HN133" s="112"/>
      <c r="HO133" s="112"/>
      <c r="HP133" s="112"/>
      <c r="HQ133" s="112"/>
      <c r="HR133" s="112"/>
      <c r="HS133" s="112"/>
      <c r="HT133" s="112"/>
      <c r="HU133" s="112"/>
      <c r="HV133" s="112"/>
      <c r="HW133" s="112"/>
      <c r="HX133" s="112"/>
      <c r="HY133" s="112"/>
      <c r="HZ133" s="112"/>
      <c r="IA133" s="112"/>
      <c r="IB133" s="112"/>
      <c r="IC133" s="112"/>
      <c r="ID133" s="112"/>
      <c r="IE133" s="112"/>
      <c r="IF133" s="112"/>
      <c r="IG133" s="112"/>
      <c r="IH133" s="112"/>
      <c r="II133" s="112"/>
      <c r="IJ133" s="112"/>
      <c r="IK133" s="112"/>
      <c r="IL133" s="112"/>
      <c r="IM133" s="112"/>
      <c r="IN133" s="112"/>
      <c r="IO133" s="112"/>
      <c r="IP133" s="112"/>
      <c r="IQ133" s="112"/>
      <c r="IR133" s="112"/>
      <c r="IS133" s="112"/>
      <c r="IT133" s="112"/>
      <c r="IU133" s="112"/>
      <c r="IV133" s="112"/>
      <c r="IW133" s="112"/>
      <c r="IX133" s="112"/>
      <c r="IY133" s="112"/>
      <c r="IZ133" s="112"/>
      <c r="JA133" s="112"/>
      <c r="JB133" s="112"/>
      <c r="JC133" s="112"/>
      <c r="JD133" s="112"/>
      <c r="JE133" s="112"/>
      <c r="JF133" s="112"/>
      <c r="JG133" s="112"/>
      <c r="JH133" s="112"/>
      <c r="JI133" s="107">
        <f t="shared" si="3"/>
        <v>96330</v>
      </c>
      <c r="JJ133" s="297">
        <v>3356</v>
      </c>
      <c r="JK133" s="112"/>
      <c r="JL133" s="1"/>
      <c r="JM133" s="1"/>
      <c r="JN133" s="1"/>
      <c r="JO133" s="1"/>
      <c r="JP133" s="1"/>
    </row>
    <row r="134" spans="1:276 1141:1141" x14ac:dyDescent="0.25">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c r="AX134" s="112"/>
      <c r="AY134" s="112"/>
      <c r="AZ134" s="112"/>
      <c r="BA134" s="112"/>
      <c r="BB134" s="112"/>
      <c r="BC134" s="112"/>
      <c r="BD134" s="112"/>
      <c r="BE134" s="112"/>
      <c r="BF134" s="112"/>
      <c r="BG134" s="112"/>
      <c r="BH134" s="112"/>
      <c r="BI134" s="112"/>
      <c r="BJ134" s="112"/>
      <c r="BK134" s="112"/>
      <c r="BL134" s="112"/>
      <c r="BM134" s="112"/>
      <c r="BN134" s="112"/>
      <c r="BO134" s="112"/>
      <c r="BP134" s="112"/>
      <c r="BQ134" s="112"/>
      <c r="BR134" s="112"/>
      <c r="BS134" s="112"/>
      <c r="BT134" s="112"/>
      <c r="BU134" s="112"/>
      <c r="BV134" s="112"/>
      <c r="BW134" s="112"/>
      <c r="BX134" s="112"/>
      <c r="BY134" s="112"/>
      <c r="BZ134" s="112"/>
      <c r="CA134" s="112"/>
      <c r="CB134" s="112"/>
      <c r="CC134" s="112"/>
      <c r="CD134" s="112"/>
      <c r="CE134" s="112"/>
      <c r="CF134" s="112"/>
      <c r="CG134" s="112"/>
      <c r="CH134" s="112"/>
      <c r="CI134" s="112"/>
      <c r="CJ134" s="112"/>
      <c r="CK134" s="112"/>
      <c r="CL134" s="112"/>
      <c r="CM134" s="112"/>
      <c r="CN134" s="112"/>
      <c r="CO134" s="112"/>
      <c r="CP134" s="112"/>
      <c r="CQ134" s="112"/>
      <c r="CR134" s="112"/>
      <c r="CS134" s="112"/>
      <c r="CT134" s="112"/>
      <c r="CU134" s="112"/>
      <c r="CV134" s="112"/>
      <c r="CW134" s="112"/>
      <c r="CX134" s="112"/>
      <c r="CY134" s="112"/>
      <c r="CZ134" s="112"/>
      <c r="DA134" s="112"/>
      <c r="DB134" s="112"/>
      <c r="DC134" s="112"/>
      <c r="DD134" s="112"/>
      <c r="DE134" s="112"/>
      <c r="DF134" s="112"/>
      <c r="DG134" s="112"/>
      <c r="DH134" s="112"/>
      <c r="DI134" s="112"/>
      <c r="DJ134" s="112"/>
      <c r="DK134" s="112"/>
      <c r="DL134" s="112"/>
      <c r="DM134" s="112"/>
      <c r="DN134" s="112"/>
      <c r="DO134" s="112"/>
      <c r="DP134" s="112"/>
      <c r="DQ134" s="112"/>
      <c r="DR134" s="112"/>
      <c r="DS134" s="112"/>
      <c r="DT134" s="112"/>
      <c r="DU134" s="112"/>
      <c r="DV134" s="112"/>
      <c r="DW134" s="112"/>
      <c r="DX134" s="112"/>
      <c r="DY134" s="112"/>
      <c r="DZ134" s="112"/>
      <c r="EA134" s="112"/>
      <c r="EB134" s="112"/>
      <c r="EC134" s="112"/>
      <c r="ED134" s="112"/>
      <c r="EE134" s="112"/>
      <c r="EF134" s="112"/>
      <c r="EG134" s="112"/>
      <c r="EH134" s="112"/>
      <c r="EI134" s="112"/>
      <c r="EJ134" s="112"/>
      <c r="EK134" s="112"/>
      <c r="EL134" s="112"/>
      <c r="EM134" s="112"/>
      <c r="EN134" s="112"/>
      <c r="EO134" s="112"/>
      <c r="EP134" s="112"/>
      <c r="EQ134" s="112"/>
      <c r="ER134" s="112"/>
      <c r="ES134" s="112"/>
      <c r="ET134" s="112"/>
      <c r="EU134" s="112"/>
      <c r="EV134" s="112"/>
      <c r="EW134" s="112"/>
      <c r="EX134" s="112"/>
      <c r="EY134" s="112"/>
      <c r="EZ134" s="112"/>
      <c r="FA134" s="112"/>
      <c r="FB134" s="112"/>
      <c r="FC134" s="112"/>
      <c r="FD134" s="112"/>
      <c r="FE134" s="112"/>
      <c r="FF134" s="112"/>
      <c r="FG134" s="112"/>
      <c r="FH134" s="112"/>
      <c r="FI134" s="112"/>
      <c r="FJ134" s="112"/>
      <c r="FK134" s="112"/>
      <c r="FL134" s="112"/>
      <c r="FM134" s="112"/>
      <c r="FN134" s="112"/>
      <c r="FO134" s="112"/>
      <c r="FP134" s="112"/>
      <c r="FQ134" s="112"/>
      <c r="FR134" s="112"/>
      <c r="FS134" s="112"/>
      <c r="FT134" s="112"/>
      <c r="FU134" s="112"/>
      <c r="FV134" s="112"/>
      <c r="FW134" s="112">
        <v>124823.94</v>
      </c>
      <c r="FX134" s="112"/>
      <c r="FY134" s="112"/>
      <c r="FZ134" s="112"/>
      <c r="GA134" s="112"/>
      <c r="GB134" s="112"/>
      <c r="GC134" s="112"/>
      <c r="GD134" s="112"/>
      <c r="GE134" s="112"/>
      <c r="GF134" s="112"/>
      <c r="GG134" s="112"/>
      <c r="GH134" s="112"/>
      <c r="GI134" s="112"/>
      <c r="GJ134" s="112"/>
      <c r="GK134" s="112"/>
      <c r="GL134" s="112"/>
      <c r="GM134" s="112"/>
      <c r="GN134" s="112"/>
      <c r="GO134" s="112"/>
      <c r="GP134" s="112"/>
      <c r="GQ134" s="112"/>
      <c r="GR134" s="112"/>
      <c r="GS134" s="112"/>
      <c r="GT134" s="112"/>
      <c r="GU134" s="112"/>
      <c r="GV134" s="112"/>
      <c r="GW134" s="112"/>
      <c r="GX134" s="112"/>
      <c r="GY134" s="112"/>
      <c r="GZ134" s="112"/>
      <c r="HA134" s="112"/>
      <c r="HB134" s="112"/>
      <c r="HC134" s="112"/>
      <c r="HD134" s="112"/>
      <c r="HE134" s="112"/>
      <c r="HF134" s="112"/>
      <c r="HG134" s="112"/>
      <c r="HH134" s="112"/>
      <c r="HI134" s="112"/>
      <c r="HJ134" s="112"/>
      <c r="HK134" s="112"/>
      <c r="HL134" s="112"/>
      <c r="HM134" s="112"/>
      <c r="HN134" s="112"/>
      <c r="HO134" s="112"/>
      <c r="HP134" s="112"/>
      <c r="HQ134" s="112"/>
      <c r="HR134" s="112"/>
      <c r="HS134" s="112"/>
      <c r="HT134" s="112"/>
      <c r="HU134" s="112"/>
      <c r="HV134" s="112"/>
      <c r="HW134" s="112"/>
      <c r="HX134" s="112"/>
      <c r="HY134" s="112"/>
      <c r="HZ134" s="112"/>
      <c r="IA134" s="112"/>
      <c r="IB134" s="112"/>
      <c r="IC134" s="112"/>
      <c r="ID134" s="112"/>
      <c r="IE134" s="112"/>
      <c r="IF134" s="112"/>
      <c r="IG134" s="112"/>
      <c r="IH134" s="112"/>
      <c r="II134" s="112"/>
      <c r="IJ134" s="112"/>
      <c r="IK134" s="112"/>
      <c r="IL134" s="112"/>
      <c r="IM134" s="112"/>
      <c r="IN134" s="112"/>
      <c r="IO134" s="112"/>
      <c r="IP134" s="112"/>
      <c r="IQ134" s="112"/>
      <c r="IR134" s="112"/>
      <c r="IS134" s="112"/>
      <c r="IT134" s="112"/>
      <c r="IU134" s="112"/>
      <c r="IV134" s="112"/>
      <c r="IW134" s="112"/>
      <c r="IX134" s="112"/>
      <c r="IY134" s="112"/>
      <c r="IZ134" s="112"/>
      <c r="JA134" s="112"/>
      <c r="JB134" s="112"/>
      <c r="JC134" s="112"/>
      <c r="JD134" s="112"/>
      <c r="JE134" s="112"/>
      <c r="JF134" s="112"/>
      <c r="JG134" s="112"/>
      <c r="JH134" s="112"/>
      <c r="JI134" s="107">
        <f t="shared" si="3"/>
        <v>124823.94</v>
      </c>
      <c r="JJ134" s="297">
        <v>3361</v>
      </c>
      <c r="JK134" s="112"/>
      <c r="JL134" s="1"/>
      <c r="JM134" s="1"/>
      <c r="JN134" s="1"/>
      <c r="JO134" s="1"/>
      <c r="JP134" s="1"/>
    </row>
    <row r="135" spans="1:276 1141:1141" x14ac:dyDescent="0.25">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2"/>
      <c r="BU135" s="112"/>
      <c r="BV135" s="112"/>
      <c r="BW135" s="112"/>
      <c r="BX135" s="112"/>
      <c r="BY135" s="112"/>
      <c r="BZ135" s="112"/>
      <c r="CA135" s="112"/>
      <c r="CB135" s="112"/>
      <c r="CC135" s="112"/>
      <c r="CD135" s="112"/>
      <c r="CE135" s="112"/>
      <c r="CF135" s="112"/>
      <c r="CG135" s="112"/>
      <c r="CH135" s="112"/>
      <c r="CI135" s="112"/>
      <c r="CJ135" s="112"/>
      <c r="CK135" s="112"/>
      <c r="CL135" s="112"/>
      <c r="CM135" s="112"/>
      <c r="CN135" s="112"/>
      <c r="CO135" s="112"/>
      <c r="CP135" s="112"/>
      <c r="CQ135" s="112"/>
      <c r="CR135" s="112"/>
      <c r="CS135" s="112"/>
      <c r="CT135" s="112"/>
      <c r="CU135" s="112"/>
      <c r="CV135" s="112"/>
      <c r="CW135" s="112"/>
      <c r="CX135" s="112"/>
      <c r="CY135" s="112"/>
      <c r="CZ135" s="112"/>
      <c r="DA135" s="112"/>
      <c r="DB135" s="112"/>
      <c r="DC135" s="112"/>
      <c r="DD135" s="112"/>
      <c r="DE135" s="112"/>
      <c r="DF135" s="112"/>
      <c r="DG135" s="112"/>
      <c r="DH135" s="112"/>
      <c r="DI135" s="112"/>
      <c r="DJ135" s="112"/>
      <c r="DK135" s="112"/>
      <c r="DL135" s="112"/>
      <c r="DM135" s="112"/>
      <c r="DN135" s="112"/>
      <c r="DO135" s="112"/>
      <c r="DP135" s="112"/>
      <c r="DQ135" s="112"/>
      <c r="DR135" s="112"/>
      <c r="DS135" s="112"/>
      <c r="DT135" s="112"/>
      <c r="DU135" s="112"/>
      <c r="DV135" s="112"/>
      <c r="DW135" s="112"/>
      <c r="DX135" s="112"/>
      <c r="DY135" s="112"/>
      <c r="DZ135" s="112"/>
      <c r="EA135" s="112"/>
      <c r="EB135" s="112"/>
      <c r="EC135" s="112"/>
      <c r="ED135" s="112"/>
      <c r="EE135" s="112"/>
      <c r="EF135" s="112"/>
      <c r="EG135" s="112"/>
      <c r="EH135" s="112"/>
      <c r="EI135" s="112"/>
      <c r="EJ135" s="112"/>
      <c r="EK135" s="112"/>
      <c r="EL135" s="112"/>
      <c r="EM135" s="112"/>
      <c r="EN135" s="112"/>
      <c r="EO135" s="112"/>
      <c r="EP135" s="112"/>
      <c r="EQ135" s="112"/>
      <c r="ER135" s="112"/>
      <c r="ES135" s="112"/>
      <c r="ET135" s="112"/>
      <c r="EU135" s="112"/>
      <c r="EV135" s="112"/>
      <c r="EW135" s="112"/>
      <c r="EX135" s="112"/>
      <c r="EY135" s="112"/>
      <c r="EZ135" s="112"/>
      <c r="FA135" s="112"/>
      <c r="FB135" s="112"/>
      <c r="FC135" s="112"/>
      <c r="FD135" s="112"/>
      <c r="FE135" s="112"/>
      <c r="FF135" s="112"/>
      <c r="FG135" s="112"/>
      <c r="FH135" s="112"/>
      <c r="FI135" s="112"/>
      <c r="FJ135" s="112"/>
      <c r="FK135" s="112"/>
      <c r="FL135" s="112"/>
      <c r="FM135" s="112"/>
      <c r="FN135" s="112"/>
      <c r="FO135" s="112"/>
      <c r="FP135" s="112"/>
      <c r="FQ135" s="112"/>
      <c r="FR135" s="112"/>
      <c r="FS135" s="112"/>
      <c r="FT135" s="112"/>
      <c r="FU135" s="112"/>
      <c r="FV135" s="112"/>
      <c r="FW135" s="112"/>
      <c r="FX135" s="112"/>
      <c r="FY135" s="112"/>
      <c r="FZ135" s="112"/>
      <c r="GA135" s="112"/>
      <c r="GB135" s="112"/>
      <c r="GC135" s="112"/>
      <c r="GD135" s="112"/>
      <c r="GE135" s="112"/>
      <c r="GF135" s="112"/>
      <c r="GG135" s="112"/>
      <c r="GH135" s="112"/>
      <c r="GI135" s="112"/>
      <c r="GJ135" s="112"/>
      <c r="GK135" s="112">
        <v>44840</v>
      </c>
      <c r="GL135" s="112"/>
      <c r="GM135" s="112"/>
      <c r="GN135" s="112"/>
      <c r="GO135" s="112"/>
      <c r="GP135" s="112"/>
      <c r="GQ135" s="112"/>
      <c r="GR135" s="112"/>
      <c r="GS135" s="112"/>
      <c r="GT135" s="112"/>
      <c r="GU135" s="112"/>
      <c r="GV135" s="112"/>
      <c r="GW135" s="112"/>
      <c r="GX135" s="112"/>
      <c r="GY135" s="112"/>
      <c r="GZ135" s="112"/>
      <c r="HA135" s="112"/>
      <c r="HB135" s="112"/>
      <c r="HC135" s="112"/>
      <c r="HD135" s="112"/>
      <c r="HE135" s="112"/>
      <c r="HF135" s="112"/>
      <c r="HG135" s="112"/>
      <c r="HH135" s="112"/>
      <c r="HI135" s="112"/>
      <c r="HJ135" s="112"/>
      <c r="HK135" s="112"/>
      <c r="HL135" s="112"/>
      <c r="HM135" s="112"/>
      <c r="HN135" s="112"/>
      <c r="HO135" s="112"/>
      <c r="HP135" s="112"/>
      <c r="HQ135" s="112"/>
      <c r="HR135" s="112"/>
      <c r="HS135" s="112"/>
      <c r="HT135" s="112"/>
      <c r="HU135" s="112"/>
      <c r="HV135" s="112"/>
      <c r="HW135" s="112"/>
      <c r="HX135" s="112"/>
      <c r="HY135" s="112"/>
      <c r="HZ135" s="112"/>
      <c r="IA135" s="112"/>
      <c r="IB135" s="112"/>
      <c r="IC135" s="112"/>
      <c r="ID135" s="112"/>
      <c r="IE135" s="112"/>
      <c r="IF135" s="112"/>
      <c r="IG135" s="112"/>
      <c r="IH135" s="112"/>
      <c r="II135" s="112"/>
      <c r="IJ135" s="112"/>
      <c r="IK135" s="112"/>
      <c r="IL135" s="112"/>
      <c r="IM135" s="112"/>
      <c r="IN135" s="112"/>
      <c r="IO135" s="112"/>
      <c r="IP135" s="112"/>
      <c r="IQ135" s="112"/>
      <c r="IR135" s="112"/>
      <c r="IS135" s="112"/>
      <c r="IT135" s="112"/>
      <c r="IU135" s="112"/>
      <c r="IV135" s="112"/>
      <c r="IW135" s="112"/>
      <c r="IX135" s="112"/>
      <c r="IY135" s="112"/>
      <c r="IZ135" s="112"/>
      <c r="JA135" s="112"/>
      <c r="JB135" s="112"/>
      <c r="JC135" s="112"/>
      <c r="JD135" s="112"/>
      <c r="JE135" s="112"/>
      <c r="JF135" s="112"/>
      <c r="JG135" s="112"/>
      <c r="JH135" s="112"/>
      <c r="JI135" s="107">
        <f t="shared" si="3"/>
        <v>44840</v>
      </c>
      <c r="JJ135" s="297">
        <v>3365</v>
      </c>
      <c r="JK135" s="112"/>
      <c r="JL135" s="1"/>
      <c r="JM135" s="1"/>
      <c r="JN135" s="1"/>
      <c r="JO135" s="1"/>
      <c r="JP135" s="1"/>
    </row>
    <row r="136" spans="1:276 1141:1141" x14ac:dyDescent="0.25">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c r="AX136" s="112"/>
      <c r="AY136" s="112"/>
      <c r="AZ136" s="112"/>
      <c r="BA136" s="112"/>
      <c r="BB136" s="112"/>
      <c r="BC136" s="112"/>
      <c r="BD136" s="112"/>
      <c r="BE136" s="112"/>
      <c r="BF136" s="112"/>
      <c r="BG136" s="112"/>
      <c r="BH136" s="112"/>
      <c r="BI136" s="112"/>
      <c r="BJ136" s="112"/>
      <c r="BK136" s="112"/>
      <c r="BL136" s="112"/>
      <c r="BM136" s="112"/>
      <c r="BN136" s="112"/>
      <c r="BO136" s="112"/>
      <c r="BP136" s="112"/>
      <c r="BQ136" s="112"/>
      <c r="BR136" s="112"/>
      <c r="BS136" s="112"/>
      <c r="BT136" s="112"/>
      <c r="BU136" s="112"/>
      <c r="BV136" s="112"/>
      <c r="BW136" s="112"/>
      <c r="BX136" s="112"/>
      <c r="BY136" s="112"/>
      <c r="BZ136" s="112"/>
      <c r="CA136" s="112"/>
      <c r="CB136" s="112"/>
      <c r="CC136" s="112"/>
      <c r="CD136" s="112"/>
      <c r="CE136" s="112"/>
      <c r="CF136" s="112"/>
      <c r="CG136" s="112"/>
      <c r="CH136" s="112"/>
      <c r="CI136" s="112"/>
      <c r="CJ136" s="112"/>
      <c r="CK136" s="112"/>
      <c r="CL136" s="112"/>
      <c r="CM136" s="112"/>
      <c r="CN136" s="112"/>
      <c r="CO136" s="112"/>
      <c r="CP136" s="112"/>
      <c r="CQ136" s="112"/>
      <c r="CR136" s="112"/>
      <c r="CS136" s="112"/>
      <c r="CT136" s="112"/>
      <c r="CU136" s="112"/>
      <c r="CV136" s="112"/>
      <c r="CW136" s="112"/>
      <c r="CX136" s="112"/>
      <c r="CY136" s="112"/>
      <c r="CZ136" s="112"/>
      <c r="DA136" s="112"/>
      <c r="DB136" s="112"/>
      <c r="DC136" s="112"/>
      <c r="DD136" s="112"/>
      <c r="DE136" s="112"/>
      <c r="DF136" s="112"/>
      <c r="DG136" s="112"/>
      <c r="DH136" s="112"/>
      <c r="DI136" s="112"/>
      <c r="DJ136" s="112"/>
      <c r="DK136" s="112"/>
      <c r="DL136" s="112"/>
      <c r="DM136" s="112"/>
      <c r="DN136" s="112"/>
      <c r="DO136" s="112"/>
      <c r="DP136" s="112"/>
      <c r="DQ136" s="112"/>
      <c r="DR136" s="112"/>
      <c r="DS136" s="112"/>
      <c r="DT136" s="112"/>
      <c r="DU136" s="112"/>
      <c r="DV136" s="112"/>
      <c r="DW136" s="112"/>
      <c r="DX136" s="112"/>
      <c r="DY136" s="112"/>
      <c r="DZ136" s="112"/>
      <c r="EA136" s="112"/>
      <c r="EB136" s="112"/>
      <c r="EC136" s="112"/>
      <c r="ED136" s="112"/>
      <c r="EE136" s="112"/>
      <c r="EF136" s="112"/>
      <c r="EG136" s="112"/>
      <c r="EH136" s="112"/>
      <c r="EI136" s="112"/>
      <c r="EJ136" s="112"/>
      <c r="EK136" s="112"/>
      <c r="EL136" s="112"/>
      <c r="EM136" s="112"/>
      <c r="EN136" s="112"/>
      <c r="EO136" s="112"/>
      <c r="EP136" s="112"/>
      <c r="EQ136" s="112"/>
      <c r="ER136" s="112"/>
      <c r="ES136" s="112"/>
      <c r="ET136" s="112"/>
      <c r="EU136" s="112"/>
      <c r="EV136" s="112"/>
      <c r="EW136" s="112"/>
      <c r="EX136" s="112"/>
      <c r="EY136" s="112"/>
      <c r="EZ136" s="112"/>
      <c r="FA136" s="112"/>
      <c r="FB136" s="112"/>
      <c r="FC136" s="112"/>
      <c r="FD136" s="112"/>
      <c r="FE136" s="112"/>
      <c r="FF136" s="112"/>
      <c r="FG136" s="112"/>
      <c r="FH136" s="112"/>
      <c r="FI136" s="112"/>
      <c r="FJ136" s="112"/>
      <c r="FK136" s="112"/>
      <c r="FL136" s="112"/>
      <c r="FM136" s="112"/>
      <c r="FN136" s="112"/>
      <c r="FO136" s="112"/>
      <c r="FP136" s="112"/>
      <c r="FQ136" s="112"/>
      <c r="FR136" s="112"/>
      <c r="FS136" s="112"/>
      <c r="FT136" s="112">
        <v>299769.59999999998</v>
      </c>
      <c r="FU136" s="112"/>
      <c r="FV136" s="112"/>
      <c r="FW136" s="112"/>
      <c r="FX136" s="112"/>
      <c r="FY136" s="112"/>
      <c r="FZ136" s="112"/>
      <c r="GA136" s="112"/>
      <c r="GB136" s="112"/>
      <c r="GC136" s="112"/>
      <c r="GD136" s="112"/>
      <c r="GE136" s="112"/>
      <c r="GF136" s="112"/>
      <c r="GG136" s="112"/>
      <c r="GH136" s="112"/>
      <c r="GI136" s="112"/>
      <c r="GJ136" s="112"/>
      <c r="GK136" s="112"/>
      <c r="GL136" s="112"/>
      <c r="GM136" s="112"/>
      <c r="GN136" s="112"/>
      <c r="GO136" s="112"/>
      <c r="GP136" s="112"/>
      <c r="GQ136" s="112"/>
      <c r="GR136" s="112"/>
      <c r="GS136" s="112"/>
      <c r="GT136" s="112"/>
      <c r="GU136" s="112"/>
      <c r="GV136" s="112"/>
      <c r="GW136" s="112"/>
      <c r="GX136" s="112"/>
      <c r="GY136" s="112"/>
      <c r="GZ136" s="112"/>
      <c r="HA136" s="112"/>
      <c r="HB136" s="112"/>
      <c r="HC136" s="112"/>
      <c r="HD136" s="112"/>
      <c r="HE136" s="112"/>
      <c r="HF136" s="112"/>
      <c r="HG136" s="112"/>
      <c r="HH136" s="112"/>
      <c r="HI136" s="112"/>
      <c r="HJ136" s="112"/>
      <c r="HK136" s="112"/>
      <c r="HL136" s="112"/>
      <c r="HM136" s="112"/>
      <c r="HN136" s="112"/>
      <c r="HO136" s="112"/>
      <c r="HP136" s="112"/>
      <c r="HQ136" s="112"/>
      <c r="HR136" s="112"/>
      <c r="HS136" s="112"/>
      <c r="HT136" s="112"/>
      <c r="HU136" s="112"/>
      <c r="HV136" s="112"/>
      <c r="HW136" s="112"/>
      <c r="HX136" s="112"/>
      <c r="HY136" s="112"/>
      <c r="HZ136" s="112"/>
      <c r="IA136" s="112"/>
      <c r="IB136" s="112"/>
      <c r="IC136" s="112"/>
      <c r="ID136" s="112"/>
      <c r="IE136" s="112"/>
      <c r="IF136" s="112"/>
      <c r="IG136" s="112"/>
      <c r="IH136" s="112"/>
      <c r="II136" s="112"/>
      <c r="IJ136" s="112"/>
      <c r="IK136" s="112"/>
      <c r="IL136" s="112"/>
      <c r="IM136" s="112"/>
      <c r="IN136" s="112"/>
      <c r="IO136" s="112"/>
      <c r="IP136" s="112"/>
      <c r="IQ136" s="112"/>
      <c r="IR136" s="112"/>
      <c r="IS136" s="112"/>
      <c r="IT136" s="112"/>
      <c r="IU136" s="112"/>
      <c r="IV136" s="112"/>
      <c r="IW136" s="112"/>
      <c r="IX136" s="112"/>
      <c r="IY136" s="112"/>
      <c r="IZ136" s="112"/>
      <c r="JA136" s="112"/>
      <c r="JB136" s="112"/>
      <c r="JC136" s="112"/>
      <c r="JD136" s="112"/>
      <c r="JE136" s="112"/>
      <c r="JF136" s="112"/>
      <c r="JG136" s="112"/>
      <c r="JH136" s="112"/>
      <c r="JI136" s="107">
        <f t="shared" si="3"/>
        <v>299769.59999999998</v>
      </c>
      <c r="JJ136" s="297">
        <v>3369</v>
      </c>
      <c r="JK136" s="112"/>
      <c r="JL136" s="1"/>
      <c r="JM136" s="1"/>
      <c r="JN136" s="1"/>
      <c r="JO136" s="1"/>
      <c r="JP136" s="1"/>
    </row>
    <row r="137" spans="1:276 1141:1141" x14ac:dyDescent="0.25">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c r="AX137" s="112"/>
      <c r="AY137" s="112"/>
      <c r="AZ137" s="112"/>
      <c r="BA137" s="112"/>
      <c r="BB137" s="112"/>
      <c r="BC137" s="112"/>
      <c r="BD137" s="112"/>
      <c r="BE137" s="112"/>
      <c r="BF137" s="112"/>
      <c r="BG137" s="112"/>
      <c r="BH137" s="112"/>
      <c r="BI137" s="112"/>
      <c r="BJ137" s="112"/>
      <c r="BK137" s="112"/>
      <c r="BL137" s="112"/>
      <c r="BM137" s="112"/>
      <c r="BN137" s="112"/>
      <c r="BO137" s="112"/>
      <c r="BP137" s="112"/>
      <c r="BQ137" s="112"/>
      <c r="BR137" s="112"/>
      <c r="BS137" s="112"/>
      <c r="BT137" s="112"/>
      <c r="BU137" s="112"/>
      <c r="BV137" s="112"/>
      <c r="BW137" s="112"/>
      <c r="BX137" s="112"/>
      <c r="BY137" s="112"/>
      <c r="BZ137" s="112"/>
      <c r="CA137" s="112"/>
      <c r="CB137" s="112"/>
      <c r="CC137" s="112"/>
      <c r="CD137" s="112"/>
      <c r="CE137" s="112"/>
      <c r="CF137" s="112"/>
      <c r="CG137" s="112"/>
      <c r="CH137" s="112"/>
      <c r="CI137" s="112"/>
      <c r="CJ137" s="112"/>
      <c r="CK137" s="112"/>
      <c r="CL137" s="112"/>
      <c r="CM137" s="112"/>
      <c r="CN137" s="112"/>
      <c r="CO137" s="112"/>
      <c r="CP137" s="112"/>
      <c r="CQ137" s="112"/>
      <c r="CR137" s="112"/>
      <c r="CS137" s="112"/>
      <c r="CT137" s="112"/>
      <c r="CU137" s="112"/>
      <c r="CV137" s="112"/>
      <c r="CW137" s="112"/>
      <c r="CX137" s="112"/>
      <c r="CY137" s="112"/>
      <c r="CZ137" s="112"/>
      <c r="DA137" s="112"/>
      <c r="DB137" s="112"/>
      <c r="DC137" s="112"/>
      <c r="DD137" s="112"/>
      <c r="DE137" s="112"/>
      <c r="DF137" s="112"/>
      <c r="DG137" s="112"/>
      <c r="DH137" s="112"/>
      <c r="DI137" s="112"/>
      <c r="DJ137" s="112"/>
      <c r="DK137" s="112">
        <v>702991.6</v>
      </c>
      <c r="DL137" s="112"/>
      <c r="DM137" s="112"/>
      <c r="DN137" s="112"/>
      <c r="DO137" s="112"/>
      <c r="DP137" s="112"/>
      <c r="DQ137" s="112"/>
      <c r="DR137" s="112"/>
      <c r="DS137" s="112"/>
      <c r="DT137" s="112"/>
      <c r="DU137" s="112"/>
      <c r="DV137" s="112">
        <v>18880</v>
      </c>
      <c r="DW137" s="112"/>
      <c r="DX137" s="112"/>
      <c r="DY137" s="112"/>
      <c r="DZ137" s="112"/>
      <c r="EA137" s="112"/>
      <c r="EB137" s="112"/>
      <c r="EC137" s="112"/>
      <c r="ED137" s="112"/>
      <c r="EE137" s="112"/>
      <c r="EF137" s="112"/>
      <c r="EG137" s="112"/>
      <c r="EH137" s="112"/>
      <c r="EI137" s="112"/>
      <c r="EJ137" s="112"/>
      <c r="EK137" s="112"/>
      <c r="EL137" s="112"/>
      <c r="EM137" s="112"/>
      <c r="EN137" s="112"/>
      <c r="EO137" s="112"/>
      <c r="EP137" s="112"/>
      <c r="EQ137" s="112"/>
      <c r="ER137" s="112"/>
      <c r="ES137" s="112"/>
      <c r="ET137" s="112"/>
      <c r="EU137" s="112"/>
      <c r="EV137" s="112"/>
      <c r="EW137" s="112"/>
      <c r="EX137" s="112"/>
      <c r="EY137" s="112"/>
      <c r="EZ137" s="112"/>
      <c r="FA137" s="112"/>
      <c r="FB137" s="112"/>
      <c r="FC137" s="112"/>
      <c r="FD137" s="112"/>
      <c r="FE137" s="112"/>
      <c r="FF137" s="112"/>
      <c r="FG137" s="112"/>
      <c r="FH137" s="112"/>
      <c r="FI137" s="112"/>
      <c r="FJ137" s="112"/>
      <c r="FK137" s="112"/>
      <c r="FL137" s="112"/>
      <c r="FM137" s="112"/>
      <c r="FN137" s="112"/>
      <c r="FO137" s="112"/>
      <c r="FP137" s="112"/>
      <c r="FQ137" s="112"/>
      <c r="FR137" s="112"/>
      <c r="FS137" s="112"/>
      <c r="FT137" s="112"/>
      <c r="FU137" s="112"/>
      <c r="FV137" s="112"/>
      <c r="FW137" s="112"/>
      <c r="FX137" s="112"/>
      <c r="FY137" s="112"/>
      <c r="FZ137" s="112"/>
      <c r="GA137" s="112"/>
      <c r="GB137" s="112">
        <v>9440</v>
      </c>
      <c r="GC137" s="112"/>
      <c r="GD137" s="112"/>
      <c r="GE137" s="112"/>
      <c r="GF137" s="112"/>
      <c r="GG137" s="112"/>
      <c r="GH137" s="112"/>
      <c r="GI137" s="112"/>
      <c r="GJ137" s="112"/>
      <c r="GK137" s="112"/>
      <c r="GL137" s="112"/>
      <c r="GM137" s="112"/>
      <c r="GN137" s="112"/>
      <c r="GO137" s="112"/>
      <c r="GP137" s="112"/>
      <c r="GQ137" s="112"/>
      <c r="GR137" s="112"/>
      <c r="GS137" s="112"/>
      <c r="GT137" s="112"/>
      <c r="GU137" s="112"/>
      <c r="GV137" s="112"/>
      <c r="GW137" s="112"/>
      <c r="GX137" s="112"/>
      <c r="GY137" s="112"/>
      <c r="GZ137" s="112"/>
      <c r="HA137" s="112"/>
      <c r="HB137" s="112"/>
      <c r="HC137" s="112"/>
      <c r="HD137" s="112"/>
      <c r="HE137" s="112"/>
      <c r="HF137" s="112"/>
      <c r="HG137" s="112"/>
      <c r="HH137" s="112"/>
      <c r="HI137" s="112"/>
      <c r="HJ137" s="112"/>
      <c r="HK137" s="112"/>
      <c r="HL137" s="112"/>
      <c r="HM137" s="112"/>
      <c r="HN137" s="112"/>
      <c r="HO137" s="112"/>
      <c r="HP137" s="112"/>
      <c r="HQ137" s="112"/>
      <c r="HR137" s="112"/>
      <c r="HS137" s="112"/>
      <c r="HT137" s="112"/>
      <c r="HU137" s="112"/>
      <c r="HV137" s="112"/>
      <c r="HW137" s="112"/>
      <c r="HX137" s="112"/>
      <c r="HY137" s="112"/>
      <c r="HZ137" s="112"/>
      <c r="IA137" s="112"/>
      <c r="IB137" s="112"/>
      <c r="IC137" s="112"/>
      <c r="ID137" s="112"/>
      <c r="IE137" s="112"/>
      <c r="IF137" s="112"/>
      <c r="IG137" s="112"/>
      <c r="IH137" s="112"/>
      <c r="II137" s="112"/>
      <c r="IJ137" s="112"/>
      <c r="IK137" s="112"/>
      <c r="IL137" s="112"/>
      <c r="IM137" s="112"/>
      <c r="IN137" s="112"/>
      <c r="IO137" s="112"/>
      <c r="IP137" s="112"/>
      <c r="IQ137" s="112"/>
      <c r="IR137" s="112"/>
      <c r="IS137" s="112"/>
      <c r="IT137" s="112"/>
      <c r="IU137" s="112"/>
      <c r="IV137" s="112"/>
      <c r="IW137" s="112"/>
      <c r="IX137" s="112"/>
      <c r="IY137" s="112"/>
      <c r="IZ137" s="112"/>
      <c r="JA137" s="112"/>
      <c r="JB137" s="112"/>
      <c r="JC137" s="112"/>
      <c r="JD137" s="112"/>
      <c r="JE137" s="112"/>
      <c r="JF137" s="112"/>
      <c r="JG137" s="112"/>
      <c r="JH137" s="112"/>
      <c r="JI137" s="107">
        <f t="shared" si="3"/>
        <v>731311.6</v>
      </c>
      <c r="JJ137" s="297">
        <v>3373</v>
      </c>
      <c r="JK137" s="112"/>
      <c r="JL137" s="1"/>
      <c r="JM137" s="1"/>
      <c r="JN137" s="1"/>
      <c r="JO137" s="1"/>
      <c r="JP137" s="1"/>
    </row>
    <row r="138" spans="1:276 1141:1141" s="127" customFormat="1" x14ac:dyDescent="0.25">
      <c r="A138" s="409">
        <f>SUM(A3:A137)</f>
        <v>57782790.159999996</v>
      </c>
      <c r="B138" s="409">
        <f t="shared" ref="B138:BM138" si="4">SUM(B3:B137)</f>
        <v>0</v>
      </c>
      <c r="C138" s="409">
        <f t="shared" si="4"/>
        <v>0</v>
      </c>
      <c r="D138" s="409">
        <f t="shared" si="4"/>
        <v>0</v>
      </c>
      <c r="E138" s="409">
        <f t="shared" si="4"/>
        <v>0</v>
      </c>
      <c r="F138" s="409">
        <f t="shared" si="4"/>
        <v>0</v>
      </c>
      <c r="G138" s="409">
        <f t="shared" si="4"/>
        <v>0</v>
      </c>
      <c r="H138" s="409">
        <f t="shared" si="4"/>
        <v>0</v>
      </c>
      <c r="I138" s="409">
        <f t="shared" si="4"/>
        <v>0</v>
      </c>
      <c r="J138" s="409">
        <f t="shared" si="4"/>
        <v>1130531.03</v>
      </c>
      <c r="K138" s="409">
        <f t="shared" si="4"/>
        <v>0</v>
      </c>
      <c r="L138" s="409">
        <f t="shared" si="4"/>
        <v>0</v>
      </c>
      <c r="M138" s="409">
        <f t="shared" si="4"/>
        <v>0</v>
      </c>
      <c r="N138" s="409">
        <f t="shared" si="4"/>
        <v>0</v>
      </c>
      <c r="O138" s="409">
        <f t="shared" si="4"/>
        <v>0</v>
      </c>
      <c r="P138" s="409">
        <f t="shared" si="4"/>
        <v>0</v>
      </c>
      <c r="Q138" s="409">
        <f t="shared" si="4"/>
        <v>12100</v>
      </c>
      <c r="R138" s="409">
        <f t="shared" si="4"/>
        <v>0</v>
      </c>
      <c r="S138" s="409">
        <f t="shared" si="4"/>
        <v>2707086.2</v>
      </c>
      <c r="T138" s="409">
        <f t="shared" si="4"/>
        <v>0</v>
      </c>
      <c r="U138" s="409">
        <f t="shared" si="4"/>
        <v>0</v>
      </c>
      <c r="V138" s="409">
        <f t="shared" si="4"/>
        <v>0</v>
      </c>
      <c r="W138" s="409">
        <f t="shared" si="4"/>
        <v>45000</v>
      </c>
      <c r="X138" s="409">
        <f t="shared" si="4"/>
        <v>0</v>
      </c>
      <c r="Y138" s="409">
        <f t="shared" si="4"/>
        <v>0</v>
      </c>
      <c r="Z138" s="409">
        <f t="shared" si="4"/>
        <v>306200</v>
      </c>
      <c r="AA138" s="409">
        <f t="shared" si="4"/>
        <v>0</v>
      </c>
      <c r="AB138" s="409">
        <f t="shared" si="4"/>
        <v>286593.99</v>
      </c>
      <c r="AC138" s="409">
        <f t="shared" si="4"/>
        <v>0</v>
      </c>
      <c r="AD138" s="409">
        <f t="shared" si="4"/>
        <v>0</v>
      </c>
      <c r="AE138" s="409">
        <f t="shared" si="4"/>
        <v>0</v>
      </c>
      <c r="AF138" s="409">
        <f t="shared" si="4"/>
        <v>0</v>
      </c>
      <c r="AG138" s="409">
        <f t="shared" si="4"/>
        <v>0</v>
      </c>
      <c r="AH138" s="409">
        <f t="shared" si="4"/>
        <v>0</v>
      </c>
      <c r="AI138" s="409">
        <f t="shared" si="4"/>
        <v>0</v>
      </c>
      <c r="AJ138" s="409">
        <f t="shared" si="4"/>
        <v>0</v>
      </c>
      <c r="AK138" s="409">
        <f t="shared" si="4"/>
        <v>4176955.17</v>
      </c>
      <c r="AL138" s="409">
        <f t="shared" si="4"/>
        <v>4182847.47</v>
      </c>
      <c r="AM138" s="409">
        <f t="shared" si="4"/>
        <v>705571.93</v>
      </c>
      <c r="AN138" s="409">
        <f t="shared" si="4"/>
        <v>0</v>
      </c>
      <c r="AO138" s="409">
        <f t="shared" si="4"/>
        <v>0</v>
      </c>
      <c r="AP138" s="409">
        <f t="shared" si="4"/>
        <v>0</v>
      </c>
      <c r="AQ138" s="409">
        <f t="shared" si="4"/>
        <v>0</v>
      </c>
      <c r="AR138" s="409">
        <f t="shared" si="4"/>
        <v>0</v>
      </c>
      <c r="AS138" s="409">
        <f t="shared" si="4"/>
        <v>0</v>
      </c>
      <c r="AT138" s="409">
        <f t="shared" si="4"/>
        <v>0</v>
      </c>
      <c r="AU138" s="409">
        <f t="shared" si="4"/>
        <v>0</v>
      </c>
      <c r="AV138" s="409">
        <f t="shared" si="4"/>
        <v>60535</v>
      </c>
      <c r="AW138" s="409">
        <f t="shared" si="4"/>
        <v>0</v>
      </c>
      <c r="AX138" s="409">
        <f t="shared" si="4"/>
        <v>0</v>
      </c>
      <c r="AY138" s="409">
        <f t="shared" si="4"/>
        <v>0</v>
      </c>
      <c r="AZ138" s="409">
        <f t="shared" si="4"/>
        <v>0</v>
      </c>
      <c r="BA138" s="409">
        <f t="shared" si="4"/>
        <v>0</v>
      </c>
      <c r="BB138" s="409">
        <f t="shared" si="4"/>
        <v>0</v>
      </c>
      <c r="BC138" s="409">
        <f t="shared" si="4"/>
        <v>0</v>
      </c>
      <c r="BD138" s="409">
        <f t="shared" si="4"/>
        <v>0</v>
      </c>
      <c r="BE138" s="409">
        <f t="shared" si="4"/>
        <v>0</v>
      </c>
      <c r="BF138" s="409">
        <f t="shared" si="4"/>
        <v>0</v>
      </c>
      <c r="BG138" s="409">
        <f t="shared" si="4"/>
        <v>0</v>
      </c>
      <c r="BH138" s="409">
        <f t="shared" si="4"/>
        <v>0</v>
      </c>
      <c r="BI138" s="409">
        <f t="shared" si="4"/>
        <v>0</v>
      </c>
      <c r="BJ138" s="409">
        <f t="shared" si="4"/>
        <v>0</v>
      </c>
      <c r="BK138" s="409">
        <f t="shared" si="4"/>
        <v>0</v>
      </c>
      <c r="BL138" s="409">
        <f t="shared" si="4"/>
        <v>0</v>
      </c>
      <c r="BM138" s="409">
        <f t="shared" si="4"/>
        <v>0</v>
      </c>
      <c r="BN138" s="409">
        <f t="shared" ref="BN138:DY138" si="5">SUM(BN3:BN137)</f>
        <v>0</v>
      </c>
      <c r="BO138" s="409">
        <f t="shared" si="5"/>
        <v>0</v>
      </c>
      <c r="BP138" s="409">
        <f t="shared" si="5"/>
        <v>0</v>
      </c>
      <c r="BQ138" s="409">
        <f t="shared" si="5"/>
        <v>0</v>
      </c>
      <c r="BR138" s="409">
        <f t="shared" si="5"/>
        <v>0</v>
      </c>
      <c r="BS138" s="409">
        <f t="shared" si="5"/>
        <v>0</v>
      </c>
      <c r="BT138" s="409">
        <f t="shared" si="5"/>
        <v>0</v>
      </c>
      <c r="BU138" s="409">
        <f t="shared" si="5"/>
        <v>0</v>
      </c>
      <c r="BV138" s="409">
        <f t="shared" si="5"/>
        <v>0</v>
      </c>
      <c r="BW138" s="409">
        <f t="shared" si="5"/>
        <v>1723516.78</v>
      </c>
      <c r="BX138" s="409">
        <f t="shared" si="5"/>
        <v>0</v>
      </c>
      <c r="BY138" s="409">
        <f t="shared" si="5"/>
        <v>0</v>
      </c>
      <c r="BZ138" s="409">
        <f t="shared" si="5"/>
        <v>0</v>
      </c>
      <c r="CA138" s="409">
        <f t="shared" si="5"/>
        <v>0</v>
      </c>
      <c r="CB138" s="409">
        <f t="shared" si="5"/>
        <v>0</v>
      </c>
      <c r="CC138" s="409">
        <f t="shared" si="5"/>
        <v>0</v>
      </c>
      <c r="CD138" s="409">
        <f t="shared" si="5"/>
        <v>0</v>
      </c>
      <c r="CE138" s="409">
        <f t="shared" si="5"/>
        <v>0</v>
      </c>
      <c r="CF138" s="409">
        <f t="shared" si="5"/>
        <v>875914</v>
      </c>
      <c r="CG138" s="409">
        <f t="shared" si="5"/>
        <v>0</v>
      </c>
      <c r="CH138" s="409">
        <f t="shared" si="5"/>
        <v>0</v>
      </c>
      <c r="CI138" s="409">
        <f t="shared" si="5"/>
        <v>0</v>
      </c>
      <c r="CJ138" s="409">
        <f t="shared" si="5"/>
        <v>849600</v>
      </c>
      <c r="CK138" s="409">
        <f t="shared" si="5"/>
        <v>0</v>
      </c>
      <c r="CL138" s="409">
        <f t="shared" si="5"/>
        <v>0</v>
      </c>
      <c r="CM138" s="409">
        <f t="shared" si="5"/>
        <v>0</v>
      </c>
      <c r="CN138" s="409">
        <f t="shared" si="5"/>
        <v>0</v>
      </c>
      <c r="CO138" s="409">
        <f t="shared" si="5"/>
        <v>0</v>
      </c>
      <c r="CP138" s="409">
        <f t="shared" si="5"/>
        <v>0</v>
      </c>
      <c r="CQ138" s="409">
        <f t="shared" si="5"/>
        <v>0</v>
      </c>
      <c r="CR138" s="409">
        <f t="shared" si="5"/>
        <v>0</v>
      </c>
      <c r="CS138" s="409">
        <f t="shared" si="5"/>
        <v>0</v>
      </c>
      <c r="CT138" s="409">
        <f t="shared" si="5"/>
        <v>0</v>
      </c>
      <c r="CU138" s="409">
        <f t="shared" si="5"/>
        <v>0</v>
      </c>
      <c r="CV138" s="409">
        <f t="shared" si="5"/>
        <v>0</v>
      </c>
      <c r="CW138" s="409">
        <f t="shared" si="5"/>
        <v>0</v>
      </c>
      <c r="CX138" s="409">
        <f t="shared" si="5"/>
        <v>0</v>
      </c>
      <c r="CY138" s="409">
        <f t="shared" si="5"/>
        <v>0</v>
      </c>
      <c r="CZ138" s="409">
        <f t="shared" si="5"/>
        <v>0</v>
      </c>
      <c r="DA138" s="409">
        <f t="shared" si="5"/>
        <v>0</v>
      </c>
      <c r="DB138" s="409">
        <f t="shared" si="5"/>
        <v>0</v>
      </c>
      <c r="DC138" s="409">
        <f t="shared" si="5"/>
        <v>0</v>
      </c>
      <c r="DD138" s="409">
        <f t="shared" si="5"/>
        <v>0</v>
      </c>
      <c r="DE138" s="409">
        <f t="shared" si="5"/>
        <v>0</v>
      </c>
      <c r="DF138" s="409">
        <f t="shared" si="5"/>
        <v>0</v>
      </c>
      <c r="DG138" s="409">
        <f t="shared" si="5"/>
        <v>0</v>
      </c>
      <c r="DH138" s="409">
        <f t="shared" si="5"/>
        <v>0</v>
      </c>
      <c r="DI138" s="409">
        <f t="shared" si="5"/>
        <v>0</v>
      </c>
      <c r="DJ138" s="409">
        <f t="shared" si="5"/>
        <v>0</v>
      </c>
      <c r="DK138" s="409">
        <f t="shared" si="5"/>
        <v>1633851.6</v>
      </c>
      <c r="DL138" s="409">
        <f t="shared" si="5"/>
        <v>0</v>
      </c>
      <c r="DM138" s="409">
        <f t="shared" si="5"/>
        <v>0</v>
      </c>
      <c r="DN138" s="409">
        <f t="shared" si="5"/>
        <v>0</v>
      </c>
      <c r="DO138" s="409">
        <f t="shared" si="5"/>
        <v>0</v>
      </c>
      <c r="DP138" s="409">
        <f t="shared" si="5"/>
        <v>153400.21</v>
      </c>
      <c r="DQ138" s="409">
        <f t="shared" si="5"/>
        <v>0</v>
      </c>
      <c r="DR138" s="409">
        <f t="shared" si="5"/>
        <v>0</v>
      </c>
      <c r="DS138" s="409">
        <f t="shared" si="5"/>
        <v>1365869.33</v>
      </c>
      <c r="DT138" s="409">
        <f t="shared" si="5"/>
        <v>211281.36</v>
      </c>
      <c r="DU138" s="409">
        <f t="shared" si="5"/>
        <v>281721.46000000002</v>
      </c>
      <c r="DV138" s="409">
        <f t="shared" si="5"/>
        <v>999625.2</v>
      </c>
      <c r="DW138" s="409">
        <f t="shared" si="5"/>
        <v>298540</v>
      </c>
      <c r="DX138" s="409">
        <f t="shared" si="5"/>
        <v>0</v>
      </c>
      <c r="DY138" s="409">
        <f t="shared" si="5"/>
        <v>0</v>
      </c>
      <c r="DZ138" s="409">
        <f t="shared" ref="DZ138:GK138" si="6">SUM(DZ3:DZ137)</f>
        <v>0</v>
      </c>
      <c r="EA138" s="409">
        <f t="shared" si="6"/>
        <v>6806505</v>
      </c>
      <c r="EB138" s="409">
        <f t="shared" si="6"/>
        <v>0</v>
      </c>
      <c r="EC138" s="409">
        <f t="shared" si="6"/>
        <v>0</v>
      </c>
      <c r="ED138" s="409">
        <f t="shared" si="6"/>
        <v>0</v>
      </c>
      <c r="EE138" s="409">
        <f t="shared" si="6"/>
        <v>0</v>
      </c>
      <c r="EF138" s="409">
        <f t="shared" si="6"/>
        <v>0</v>
      </c>
      <c r="EG138" s="409">
        <f t="shared" si="6"/>
        <v>655140.22</v>
      </c>
      <c r="EH138" s="409">
        <f t="shared" si="6"/>
        <v>0</v>
      </c>
      <c r="EI138" s="409">
        <f t="shared" si="6"/>
        <v>0</v>
      </c>
      <c r="EJ138" s="409">
        <f t="shared" si="6"/>
        <v>0</v>
      </c>
      <c r="EK138" s="409">
        <f t="shared" si="6"/>
        <v>0</v>
      </c>
      <c r="EL138" s="409">
        <f t="shared" si="6"/>
        <v>0</v>
      </c>
      <c r="EM138" s="409">
        <f t="shared" si="6"/>
        <v>0</v>
      </c>
      <c r="EN138" s="409">
        <f t="shared" si="6"/>
        <v>0</v>
      </c>
      <c r="EO138" s="409">
        <f t="shared" si="6"/>
        <v>0</v>
      </c>
      <c r="EP138" s="409">
        <f t="shared" si="6"/>
        <v>0</v>
      </c>
      <c r="EQ138" s="409">
        <f t="shared" si="6"/>
        <v>0</v>
      </c>
      <c r="ER138" s="409">
        <f t="shared" si="6"/>
        <v>0</v>
      </c>
      <c r="ES138" s="409">
        <f t="shared" si="6"/>
        <v>0</v>
      </c>
      <c r="ET138" s="409">
        <f t="shared" si="6"/>
        <v>0</v>
      </c>
      <c r="EU138" s="409">
        <f t="shared" si="6"/>
        <v>0</v>
      </c>
      <c r="EV138" s="409">
        <f t="shared" si="6"/>
        <v>0</v>
      </c>
      <c r="EW138" s="409">
        <f t="shared" si="6"/>
        <v>0</v>
      </c>
      <c r="EX138" s="409">
        <f t="shared" si="6"/>
        <v>0</v>
      </c>
      <c r="EY138" s="409">
        <f t="shared" si="6"/>
        <v>0</v>
      </c>
      <c r="EZ138" s="409">
        <f t="shared" si="6"/>
        <v>0</v>
      </c>
      <c r="FA138" s="409">
        <f t="shared" si="6"/>
        <v>0</v>
      </c>
      <c r="FB138" s="409">
        <f t="shared" si="6"/>
        <v>664800</v>
      </c>
      <c r="FC138" s="409">
        <f t="shared" si="6"/>
        <v>0</v>
      </c>
      <c r="FD138" s="409">
        <f t="shared" si="6"/>
        <v>0</v>
      </c>
      <c r="FE138" s="409">
        <f t="shared" si="6"/>
        <v>0</v>
      </c>
      <c r="FF138" s="409">
        <f t="shared" si="6"/>
        <v>0</v>
      </c>
      <c r="FG138" s="409">
        <f t="shared" si="6"/>
        <v>0</v>
      </c>
      <c r="FH138" s="409">
        <f t="shared" si="6"/>
        <v>0</v>
      </c>
      <c r="FI138" s="409">
        <f t="shared" si="6"/>
        <v>0</v>
      </c>
      <c r="FJ138" s="409">
        <f t="shared" si="6"/>
        <v>2934466.91</v>
      </c>
      <c r="FK138" s="409">
        <f t="shared" si="6"/>
        <v>0</v>
      </c>
      <c r="FL138" s="409">
        <f t="shared" si="6"/>
        <v>0</v>
      </c>
      <c r="FM138" s="409">
        <f t="shared" si="6"/>
        <v>0</v>
      </c>
      <c r="FN138" s="409">
        <f t="shared" si="6"/>
        <v>429269.83999999997</v>
      </c>
      <c r="FO138" s="409">
        <f t="shared" si="6"/>
        <v>0</v>
      </c>
      <c r="FP138" s="409">
        <f t="shared" si="6"/>
        <v>0</v>
      </c>
      <c r="FQ138" s="409">
        <f t="shared" si="6"/>
        <v>1249743.8999999999</v>
      </c>
      <c r="FR138" s="409">
        <f t="shared" si="6"/>
        <v>0</v>
      </c>
      <c r="FS138" s="409">
        <f t="shared" si="6"/>
        <v>102896</v>
      </c>
      <c r="FT138" s="409">
        <f t="shared" si="6"/>
        <v>6564715.8099999996</v>
      </c>
      <c r="FU138" s="409">
        <f t="shared" si="6"/>
        <v>45076</v>
      </c>
      <c r="FV138" s="409">
        <f t="shared" si="6"/>
        <v>54704.800000000003</v>
      </c>
      <c r="FW138" s="409">
        <f t="shared" si="6"/>
        <v>609323.98</v>
      </c>
      <c r="FX138" s="409">
        <f t="shared" si="6"/>
        <v>0</v>
      </c>
      <c r="FY138" s="409">
        <f t="shared" si="6"/>
        <v>809192.93</v>
      </c>
      <c r="FZ138" s="409">
        <f t="shared" si="6"/>
        <v>79105.78</v>
      </c>
      <c r="GA138" s="409">
        <f t="shared" si="6"/>
        <v>0</v>
      </c>
      <c r="GB138" s="409">
        <f t="shared" si="6"/>
        <v>196989.2</v>
      </c>
      <c r="GC138" s="409">
        <f t="shared" si="6"/>
        <v>0</v>
      </c>
      <c r="GD138" s="409">
        <f t="shared" si="6"/>
        <v>0</v>
      </c>
      <c r="GE138" s="409">
        <f t="shared" si="6"/>
        <v>0</v>
      </c>
      <c r="GF138" s="409">
        <f t="shared" si="6"/>
        <v>0</v>
      </c>
      <c r="GG138" s="409">
        <f t="shared" si="6"/>
        <v>0</v>
      </c>
      <c r="GH138" s="409">
        <f t="shared" si="6"/>
        <v>566439.29</v>
      </c>
      <c r="GI138" s="409">
        <f t="shared" si="6"/>
        <v>0</v>
      </c>
      <c r="GJ138" s="409">
        <f t="shared" si="6"/>
        <v>0</v>
      </c>
      <c r="GK138" s="409">
        <f t="shared" si="6"/>
        <v>341320.14</v>
      </c>
      <c r="GL138" s="409">
        <f t="shared" ref="GL138:IW138" si="7">SUM(GL3:GL137)</f>
        <v>1361144.96</v>
      </c>
      <c r="GM138" s="409">
        <f t="shared" si="7"/>
        <v>0</v>
      </c>
      <c r="GN138" s="409">
        <f t="shared" si="7"/>
        <v>0</v>
      </c>
      <c r="GO138" s="409">
        <f t="shared" si="7"/>
        <v>0</v>
      </c>
      <c r="GP138" s="409">
        <f t="shared" si="7"/>
        <v>0</v>
      </c>
      <c r="GQ138" s="409">
        <f t="shared" si="7"/>
        <v>4472659.0199999996</v>
      </c>
      <c r="GR138" s="409">
        <f t="shared" si="7"/>
        <v>515630.5</v>
      </c>
      <c r="GS138" s="409">
        <f t="shared" si="7"/>
        <v>0</v>
      </c>
      <c r="GT138" s="409">
        <f t="shared" si="7"/>
        <v>37217.199999999997</v>
      </c>
      <c r="GU138" s="409">
        <f t="shared" si="7"/>
        <v>0</v>
      </c>
      <c r="GV138" s="409">
        <f t="shared" si="7"/>
        <v>0</v>
      </c>
      <c r="GW138" s="409">
        <f t="shared" si="7"/>
        <v>0</v>
      </c>
      <c r="GX138" s="409">
        <f t="shared" si="7"/>
        <v>0</v>
      </c>
      <c r="GY138" s="409">
        <f t="shared" si="7"/>
        <v>0</v>
      </c>
      <c r="GZ138" s="409">
        <f t="shared" si="7"/>
        <v>0</v>
      </c>
      <c r="HA138" s="409">
        <f t="shared" si="7"/>
        <v>0</v>
      </c>
      <c r="HB138" s="409">
        <f t="shared" si="7"/>
        <v>0</v>
      </c>
      <c r="HC138" s="409">
        <f t="shared" si="7"/>
        <v>0</v>
      </c>
      <c r="HD138" s="409">
        <f t="shared" si="7"/>
        <v>0</v>
      </c>
      <c r="HE138" s="409">
        <f t="shared" si="7"/>
        <v>0</v>
      </c>
      <c r="HF138" s="409">
        <f t="shared" si="7"/>
        <v>232932</v>
      </c>
      <c r="HG138" s="409">
        <f t="shared" si="7"/>
        <v>0</v>
      </c>
      <c r="HH138" s="409">
        <f t="shared" si="7"/>
        <v>1700000</v>
      </c>
      <c r="HI138" s="409">
        <f t="shared" si="7"/>
        <v>0</v>
      </c>
      <c r="HJ138" s="409">
        <f t="shared" si="7"/>
        <v>73379.61</v>
      </c>
      <c r="HK138" s="409">
        <f t="shared" si="7"/>
        <v>0</v>
      </c>
      <c r="HL138" s="409">
        <f t="shared" si="7"/>
        <v>0</v>
      </c>
      <c r="HM138" s="409">
        <f t="shared" si="7"/>
        <v>0</v>
      </c>
      <c r="HN138" s="409">
        <f t="shared" si="7"/>
        <v>0</v>
      </c>
      <c r="HO138" s="409">
        <f t="shared" si="7"/>
        <v>0</v>
      </c>
      <c r="HP138" s="409">
        <f t="shared" si="7"/>
        <v>0</v>
      </c>
      <c r="HQ138" s="409">
        <f t="shared" si="7"/>
        <v>0</v>
      </c>
      <c r="HR138" s="409">
        <f t="shared" si="7"/>
        <v>0</v>
      </c>
      <c r="HS138" s="409">
        <f t="shared" si="7"/>
        <v>0</v>
      </c>
      <c r="HT138" s="409">
        <f t="shared" si="7"/>
        <v>0</v>
      </c>
      <c r="HU138" s="409">
        <f t="shared" si="7"/>
        <v>0</v>
      </c>
      <c r="HV138" s="409">
        <f t="shared" si="7"/>
        <v>0</v>
      </c>
      <c r="HW138" s="409">
        <f t="shared" si="7"/>
        <v>0</v>
      </c>
      <c r="HX138" s="409">
        <f t="shared" si="7"/>
        <v>0</v>
      </c>
      <c r="HY138" s="409">
        <f t="shared" si="7"/>
        <v>0</v>
      </c>
      <c r="HZ138" s="409">
        <f t="shared" si="7"/>
        <v>0</v>
      </c>
      <c r="IA138" s="409">
        <f t="shared" si="7"/>
        <v>0</v>
      </c>
      <c r="IB138" s="409">
        <f t="shared" si="7"/>
        <v>0</v>
      </c>
      <c r="IC138" s="409">
        <f t="shared" si="7"/>
        <v>0</v>
      </c>
      <c r="ID138" s="409">
        <f t="shared" si="7"/>
        <v>0</v>
      </c>
      <c r="IE138" s="409">
        <f t="shared" si="7"/>
        <v>0</v>
      </c>
      <c r="IF138" s="409">
        <f t="shared" si="7"/>
        <v>0</v>
      </c>
      <c r="IG138" s="409">
        <f t="shared" si="7"/>
        <v>0</v>
      </c>
      <c r="IH138" s="409">
        <f t="shared" si="7"/>
        <v>0</v>
      </c>
      <c r="II138" s="409">
        <f t="shared" si="7"/>
        <v>0</v>
      </c>
      <c r="IJ138" s="409">
        <f t="shared" si="7"/>
        <v>0</v>
      </c>
      <c r="IK138" s="409">
        <f t="shared" si="7"/>
        <v>0</v>
      </c>
      <c r="IL138" s="409">
        <f t="shared" si="7"/>
        <v>0</v>
      </c>
      <c r="IM138" s="409">
        <f t="shared" si="7"/>
        <v>0</v>
      </c>
      <c r="IN138" s="409">
        <f t="shared" si="7"/>
        <v>0</v>
      </c>
      <c r="IO138" s="409">
        <f t="shared" si="7"/>
        <v>0</v>
      </c>
      <c r="IP138" s="409">
        <f t="shared" si="7"/>
        <v>0</v>
      </c>
      <c r="IQ138" s="409">
        <f t="shared" si="7"/>
        <v>0</v>
      </c>
      <c r="IR138" s="409">
        <f t="shared" si="7"/>
        <v>0</v>
      </c>
      <c r="IS138" s="409">
        <f t="shared" si="7"/>
        <v>0</v>
      </c>
      <c r="IT138" s="409">
        <f t="shared" si="7"/>
        <v>0</v>
      </c>
      <c r="IU138" s="409">
        <f t="shared" si="7"/>
        <v>0</v>
      </c>
      <c r="IV138" s="409">
        <f t="shared" si="7"/>
        <v>0</v>
      </c>
      <c r="IW138" s="409">
        <f t="shared" si="7"/>
        <v>0</v>
      </c>
      <c r="IX138" s="409">
        <f t="shared" ref="IX138:JI138" si="8">SUM(IX3:IX137)</f>
        <v>0</v>
      </c>
      <c r="IY138" s="409">
        <f t="shared" si="8"/>
        <v>0</v>
      </c>
      <c r="IZ138" s="409">
        <f t="shared" si="8"/>
        <v>0</v>
      </c>
      <c r="JA138" s="409">
        <f t="shared" si="8"/>
        <v>0</v>
      </c>
      <c r="JB138" s="409">
        <f t="shared" si="8"/>
        <v>0</v>
      </c>
      <c r="JC138" s="409">
        <f t="shared" si="8"/>
        <v>0</v>
      </c>
      <c r="JD138" s="409">
        <f t="shared" si="8"/>
        <v>0</v>
      </c>
      <c r="JE138" s="409">
        <f t="shared" si="8"/>
        <v>0</v>
      </c>
      <c r="JF138" s="409">
        <f t="shared" si="8"/>
        <v>0</v>
      </c>
      <c r="JG138" s="409">
        <f t="shared" si="8"/>
        <v>0</v>
      </c>
      <c r="JH138" s="409">
        <f t="shared" si="8"/>
        <v>0</v>
      </c>
      <c r="JI138" s="411">
        <f t="shared" si="8"/>
        <v>110292183.97999999</v>
      </c>
      <c r="JJ138" s="380"/>
      <c r="JK138" s="265"/>
      <c r="AQW138" s="410"/>
    </row>
  </sheetData>
  <mergeCells count="1">
    <mergeCell ref="A1:JH1"/>
  </mergeCells>
  <pageMargins left="0.70866141732283472" right="0.70866141732283472" top="0.74803149606299213" bottom="0.74803149606299213" header="0.31496062992125984" footer="0.31496062992125984"/>
  <pageSetup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1"/>
  <sheetViews>
    <sheetView view="pageBreakPreview" topLeftCell="A4" zoomScale="80" zoomScaleNormal="90" zoomScaleSheetLayoutView="80" workbookViewId="0">
      <selection activeCell="I20" sqref="I20"/>
    </sheetView>
  </sheetViews>
  <sheetFormatPr baseColWidth="10" defaultColWidth="2.85546875" defaultRowHeight="12.75" x14ac:dyDescent="0.2"/>
  <cols>
    <col min="1" max="5" width="4.42578125" style="3" customWidth="1"/>
    <col min="6" max="6" width="42.140625" style="407" customWidth="1"/>
    <col min="7" max="7" width="18.28515625" style="3" customWidth="1"/>
    <col min="8" max="8" width="21.28515625" style="3" customWidth="1"/>
    <col min="9" max="9" width="15.5703125" style="3" customWidth="1"/>
    <col min="10" max="10" width="17.85546875" style="3" customWidth="1"/>
    <col min="11" max="11" width="11.42578125" style="3" customWidth="1"/>
    <col min="12" max="12" width="14.5703125" style="3" bestFit="1" customWidth="1"/>
    <col min="13" max="13" width="15" style="3" bestFit="1" customWidth="1"/>
    <col min="14" max="15" width="14.5703125" style="3" bestFit="1" customWidth="1"/>
    <col min="16" max="252" width="11.42578125" style="3" customWidth="1"/>
    <col min="253" max="253" width="3.28515625" style="3" customWidth="1"/>
    <col min="254" max="254" width="4.140625" style="3" customWidth="1"/>
    <col min="255" max="16384" width="2.85546875" style="3"/>
  </cols>
  <sheetData>
    <row r="1" spans="1:14" ht="15" x14ac:dyDescent="0.25">
      <c r="A1" s="82" t="s">
        <v>345</v>
      </c>
      <c r="B1" s="81"/>
      <c r="C1" s="81"/>
      <c r="D1" s="81"/>
      <c r="E1" s="81"/>
      <c r="F1" s="396"/>
      <c r="G1" s="81"/>
      <c r="H1" s="81"/>
      <c r="I1" s="80"/>
      <c r="J1" s="79"/>
    </row>
    <row r="2" spans="1:14" ht="23.25" x14ac:dyDescent="0.35">
      <c r="A2" s="434"/>
      <c r="B2" s="435"/>
      <c r="C2" s="435"/>
      <c r="D2" s="435"/>
      <c r="E2" s="435"/>
      <c r="F2" s="435"/>
      <c r="G2" s="435"/>
      <c r="H2" s="435"/>
      <c r="I2" s="78"/>
      <c r="J2" s="77"/>
    </row>
    <row r="3" spans="1:14" ht="26.25" x14ac:dyDescent="0.4">
      <c r="A3" s="436" t="s">
        <v>344</v>
      </c>
      <c r="B3" s="437"/>
      <c r="C3" s="437"/>
      <c r="D3" s="437"/>
      <c r="E3" s="437"/>
      <c r="F3" s="437"/>
      <c r="G3" s="437"/>
      <c r="H3" s="437"/>
      <c r="I3" s="437"/>
      <c r="J3" s="438"/>
    </row>
    <row r="4" spans="1:14" s="246" customFormat="1" ht="18.75" x14ac:dyDescent="0.3">
      <c r="A4" s="439" t="s">
        <v>420</v>
      </c>
      <c r="B4" s="440"/>
      <c r="C4" s="440"/>
      <c r="D4" s="440"/>
      <c r="E4" s="440"/>
      <c r="F4" s="440"/>
      <c r="G4" s="440"/>
      <c r="H4" s="440"/>
      <c r="I4" s="440"/>
      <c r="J4" s="441"/>
    </row>
    <row r="5" spans="1:14" ht="15" x14ac:dyDescent="0.25">
      <c r="A5" s="442" t="s">
        <v>343</v>
      </c>
      <c r="B5" s="443"/>
      <c r="C5" s="443"/>
      <c r="D5" s="443"/>
      <c r="E5" s="443"/>
      <c r="F5" s="443"/>
      <c r="G5" s="443"/>
      <c r="H5" s="443"/>
      <c r="I5" s="443"/>
      <c r="J5" s="444"/>
    </row>
    <row r="6" spans="1:14" ht="15.75" x14ac:dyDescent="0.25">
      <c r="A6" s="445" t="s">
        <v>657</v>
      </c>
      <c r="B6" s="446"/>
      <c r="C6" s="446"/>
      <c r="D6" s="446"/>
      <c r="E6" s="446"/>
      <c r="F6" s="446"/>
      <c r="G6" s="446"/>
      <c r="H6" s="446"/>
      <c r="I6" s="446"/>
      <c r="J6" s="447"/>
    </row>
    <row r="7" spans="1:14" ht="15.75" x14ac:dyDescent="0.25">
      <c r="A7" s="448" t="s">
        <v>984</v>
      </c>
      <c r="B7" s="449"/>
      <c r="C7" s="449"/>
      <c r="D7" s="449"/>
      <c r="E7" s="449"/>
      <c r="F7" s="449"/>
      <c r="G7" s="449"/>
      <c r="H7" s="449"/>
      <c r="I7" s="449"/>
      <c r="J7" s="450"/>
    </row>
    <row r="8" spans="1:14" ht="15.75" x14ac:dyDescent="0.25">
      <c r="A8" s="76"/>
      <c r="B8" s="75"/>
      <c r="C8" s="75" t="s">
        <v>342</v>
      </c>
      <c r="D8" s="75"/>
      <c r="E8" s="75"/>
      <c r="F8" s="397"/>
      <c r="G8" s="75"/>
      <c r="H8" s="75"/>
      <c r="I8" s="75"/>
      <c r="J8" s="74"/>
    </row>
    <row r="9" spans="1:14" ht="15.75" x14ac:dyDescent="0.25">
      <c r="A9" s="61"/>
      <c r="B9" s="60"/>
      <c r="C9" s="60"/>
      <c r="D9" s="60"/>
      <c r="E9" s="73" t="s">
        <v>341</v>
      </c>
      <c r="F9" s="398"/>
      <c r="G9" s="72"/>
      <c r="H9" s="72"/>
      <c r="I9" s="72"/>
      <c r="J9" s="48"/>
    </row>
    <row r="10" spans="1:14" ht="15.75" x14ac:dyDescent="0.25">
      <c r="A10" s="61"/>
      <c r="B10" s="60"/>
      <c r="C10" s="60"/>
      <c r="D10" s="60"/>
      <c r="E10" s="65" t="s">
        <v>339</v>
      </c>
      <c r="F10" s="398"/>
      <c r="G10" s="62"/>
      <c r="H10" s="69" t="s">
        <v>338</v>
      </c>
      <c r="I10" s="62"/>
      <c r="J10" s="48"/>
      <c r="L10" s="109" t="s">
        <v>382</v>
      </c>
    </row>
    <row r="11" spans="1:14" ht="15.75" x14ac:dyDescent="0.25">
      <c r="A11" s="61"/>
      <c r="B11" s="60"/>
      <c r="C11" s="60"/>
      <c r="D11" s="60"/>
      <c r="E11" s="65" t="s">
        <v>334</v>
      </c>
      <c r="F11" s="398"/>
      <c r="G11" s="62"/>
      <c r="H11" s="71"/>
      <c r="I11" s="66"/>
      <c r="J11" s="48"/>
    </row>
    <row r="12" spans="1:14" ht="15.75" x14ac:dyDescent="0.25">
      <c r="A12" s="61"/>
      <c r="B12" s="60"/>
      <c r="C12" s="60"/>
      <c r="D12" s="60"/>
      <c r="E12" s="65" t="s">
        <v>333</v>
      </c>
      <c r="F12" s="398"/>
      <c r="G12" s="68">
        <v>1771845.4899999984</v>
      </c>
      <c r="H12" s="67"/>
      <c r="I12" s="66"/>
      <c r="J12" s="48"/>
    </row>
    <row r="13" spans="1:14" ht="15.75" x14ac:dyDescent="0.25">
      <c r="A13" s="61"/>
      <c r="B13" s="60"/>
      <c r="C13" s="60"/>
      <c r="D13" s="60"/>
      <c r="E13" s="70" t="s">
        <v>340</v>
      </c>
      <c r="F13" s="398"/>
      <c r="G13" s="66"/>
      <c r="H13" s="66"/>
      <c r="I13" s="66"/>
      <c r="J13" s="48"/>
    </row>
    <row r="14" spans="1:14" ht="15.75" x14ac:dyDescent="0.25">
      <c r="A14" s="61"/>
      <c r="B14" s="60"/>
      <c r="C14" s="60"/>
      <c r="D14" s="60"/>
      <c r="E14" s="65" t="s">
        <v>339</v>
      </c>
      <c r="F14" s="398"/>
      <c r="G14" s="62"/>
      <c r="H14" s="69" t="s">
        <v>338</v>
      </c>
      <c r="I14" s="62">
        <f>+'INGR SEGUN ORIGEN'!E47</f>
        <v>834400</v>
      </c>
      <c r="J14" s="48"/>
      <c r="L14" s="3" t="s">
        <v>337</v>
      </c>
      <c r="M14" s="3" t="s">
        <v>336</v>
      </c>
      <c r="N14" s="3" t="s">
        <v>335</v>
      </c>
    </row>
    <row r="15" spans="1:14" ht="15.75" x14ac:dyDescent="0.25">
      <c r="A15" s="61"/>
      <c r="B15" s="60"/>
      <c r="C15" s="60"/>
      <c r="D15" s="60"/>
      <c r="E15" s="65" t="s">
        <v>334</v>
      </c>
      <c r="F15" s="398"/>
      <c r="G15" s="68">
        <f>12593841.17+3169632.08+84553321.83</f>
        <v>100316795.08</v>
      </c>
      <c r="H15" s="67" t="s">
        <v>325</v>
      </c>
      <c r="I15" s="62">
        <v>0</v>
      </c>
      <c r="J15" s="48"/>
      <c r="L15" s="3">
        <v>2.1</v>
      </c>
      <c r="M15" s="47">
        <f>G26</f>
        <v>0</v>
      </c>
      <c r="N15" s="47">
        <f>H26</f>
        <v>0</v>
      </c>
    </row>
    <row r="16" spans="1:14" ht="15.75" x14ac:dyDescent="0.25">
      <c r="A16" s="61"/>
      <c r="B16" s="60"/>
      <c r="C16" s="60"/>
      <c r="D16" s="60"/>
      <c r="E16" s="65" t="s">
        <v>333</v>
      </c>
      <c r="F16" s="398"/>
      <c r="G16" s="68">
        <f>+'INGR SEGUN ORIGEN'!E39</f>
        <v>10942138.619999999</v>
      </c>
      <c r="H16" s="67"/>
      <c r="I16" s="66"/>
      <c r="J16" s="48"/>
      <c r="L16" s="3">
        <v>2.2000000000000002</v>
      </c>
      <c r="M16" s="47">
        <f>G87</f>
        <v>0</v>
      </c>
      <c r="N16" s="47">
        <f>H87</f>
        <v>1213383.3500000001</v>
      </c>
    </row>
    <row r="17" spans="1:16" ht="15.75" x14ac:dyDescent="0.25">
      <c r="A17" s="61"/>
      <c r="B17" s="60"/>
      <c r="C17" s="60"/>
      <c r="D17" s="60"/>
      <c r="E17" s="65"/>
      <c r="F17" s="398"/>
      <c r="G17" s="64"/>
      <c r="H17" s="63" t="s">
        <v>332</v>
      </c>
      <c r="I17" s="62">
        <f>+G10+G11+G12+I10+G14+G15+G16+I14+I15</f>
        <v>113865179.19</v>
      </c>
      <c r="J17" s="48"/>
      <c r="L17" s="3">
        <v>2.2999999999999998</v>
      </c>
      <c r="M17" s="47">
        <f>'[1]CONS. FUENTES FINAN'!G212</f>
        <v>14433131.48</v>
      </c>
      <c r="N17" s="47">
        <f>'[1]CONS. FUENTES FINAN'!H212</f>
        <v>2432378.29</v>
      </c>
    </row>
    <row r="18" spans="1:16" ht="15.75" x14ac:dyDescent="0.25">
      <c r="A18" s="61"/>
      <c r="B18" s="60"/>
      <c r="C18" s="60"/>
      <c r="D18" s="60"/>
      <c r="E18" s="59"/>
      <c r="F18" s="399"/>
      <c r="G18" s="58"/>
      <c r="H18" s="58"/>
      <c r="I18" s="49"/>
      <c r="J18" s="48"/>
      <c r="L18" s="3">
        <v>2.4</v>
      </c>
      <c r="M18" s="47">
        <f>G330</f>
        <v>0</v>
      </c>
      <c r="N18" s="47">
        <f>H330</f>
        <v>23400</v>
      </c>
    </row>
    <row r="19" spans="1:16" ht="15.75" x14ac:dyDescent="0.25">
      <c r="A19" s="57"/>
      <c r="B19" s="55"/>
      <c r="C19" s="56"/>
      <c r="D19" s="55"/>
      <c r="E19" s="54"/>
      <c r="F19" s="400"/>
      <c r="G19" s="53"/>
      <c r="H19" s="53"/>
      <c r="I19" s="52"/>
      <c r="J19" s="51"/>
      <c r="L19" s="3">
        <v>2.6</v>
      </c>
      <c r="M19" s="47">
        <f>G336</f>
        <v>0</v>
      </c>
      <c r="N19" s="47">
        <f>H336</f>
        <v>3887510</v>
      </c>
    </row>
    <row r="20" spans="1:16" x14ac:dyDescent="0.2">
      <c r="A20" s="50"/>
      <c r="B20" s="49"/>
      <c r="C20" s="49"/>
      <c r="D20" s="49"/>
      <c r="E20" s="49"/>
      <c r="F20" s="398"/>
      <c r="G20" s="49"/>
      <c r="H20" s="49"/>
      <c r="I20" s="49"/>
      <c r="J20" s="48"/>
      <c r="L20" s="3">
        <v>2.7</v>
      </c>
      <c r="M20" s="47">
        <f>'[1]CONS. FUENTES FINAN'!G463</f>
        <v>0</v>
      </c>
      <c r="N20" s="47">
        <f>'[1]CONS. FUENTES FINAN'!H463</f>
        <v>0</v>
      </c>
    </row>
    <row r="21" spans="1:16" x14ac:dyDescent="0.2">
      <c r="A21" s="451">
        <v>1</v>
      </c>
      <c r="B21" s="451"/>
      <c r="C21" s="451"/>
      <c r="D21" s="451"/>
      <c r="E21" s="451"/>
      <c r="F21" s="401">
        <v>2</v>
      </c>
      <c r="G21" s="452">
        <v>3</v>
      </c>
      <c r="H21" s="453"/>
      <c r="I21" s="46">
        <v>4</v>
      </c>
      <c r="J21" s="46">
        <v>5</v>
      </c>
    </row>
    <row r="22" spans="1:16" ht="24" customHeight="1" x14ac:dyDescent="0.2">
      <c r="A22" s="454" t="s">
        <v>331</v>
      </c>
      <c r="B22" s="454"/>
      <c r="C22" s="454"/>
      <c r="D22" s="454"/>
      <c r="E22" s="454"/>
      <c r="F22" s="428" t="s">
        <v>330</v>
      </c>
      <c r="G22" s="431" t="s">
        <v>329</v>
      </c>
      <c r="H22" s="432"/>
      <c r="I22" s="423" t="s">
        <v>328</v>
      </c>
      <c r="J22" s="455" t="s">
        <v>72</v>
      </c>
    </row>
    <row r="23" spans="1:16" ht="29.25" customHeight="1" x14ac:dyDescent="0.2">
      <c r="A23" s="458" t="s">
        <v>76</v>
      </c>
      <c r="B23" s="458" t="s">
        <v>75</v>
      </c>
      <c r="C23" s="458" t="s">
        <v>74</v>
      </c>
      <c r="D23" s="458" t="s">
        <v>327</v>
      </c>
      <c r="E23" s="458" t="s">
        <v>73</v>
      </c>
      <c r="F23" s="429"/>
      <c r="G23" s="426" t="s">
        <v>423</v>
      </c>
      <c r="H23" s="426" t="s">
        <v>326</v>
      </c>
      <c r="I23" s="424"/>
      <c r="J23" s="456"/>
      <c r="L23" s="433"/>
      <c r="M23" s="433"/>
      <c r="N23" s="433"/>
      <c r="O23" s="433"/>
      <c r="P23" s="433"/>
    </row>
    <row r="24" spans="1:16" ht="18.75" customHeight="1" x14ac:dyDescent="0.2">
      <c r="A24" s="459"/>
      <c r="B24" s="459"/>
      <c r="C24" s="459"/>
      <c r="D24" s="459"/>
      <c r="E24" s="459"/>
      <c r="F24" s="430"/>
      <c r="G24" s="427"/>
      <c r="H24" s="427"/>
      <c r="I24" s="425"/>
      <c r="J24" s="457"/>
      <c r="L24" s="381"/>
      <c r="M24" s="381"/>
      <c r="N24" s="381"/>
      <c r="O24" s="381"/>
      <c r="P24" s="381"/>
    </row>
    <row r="25" spans="1:16" ht="13.5" thickBot="1" x14ac:dyDescent="0.25">
      <c r="A25" s="45">
        <v>2</v>
      </c>
      <c r="B25" s="44"/>
      <c r="C25" s="44"/>
      <c r="D25" s="44"/>
      <c r="E25" s="44"/>
      <c r="F25" s="402" t="s">
        <v>324</v>
      </c>
      <c r="G25" s="43">
        <f>+G26+G87+G212+G330+G336+G463</f>
        <v>0</v>
      </c>
      <c r="H25" s="43">
        <f>+H26+H87+H212+H330+H336+H463</f>
        <v>7556671.6400000006</v>
      </c>
      <c r="I25" s="43">
        <f>SUM(G25:H25)</f>
        <v>7556671.6400000006</v>
      </c>
      <c r="J25" s="42">
        <f>+J26+J87+J212+J330+J336+J463</f>
        <v>1</v>
      </c>
    </row>
    <row r="26" spans="1:16" ht="13.5" thickTop="1" x14ac:dyDescent="0.2">
      <c r="A26" s="41">
        <v>2</v>
      </c>
      <c r="B26" s="40">
        <v>1</v>
      </c>
      <c r="C26" s="40"/>
      <c r="D26" s="40"/>
      <c r="E26" s="40"/>
      <c r="F26" s="403" t="s">
        <v>323</v>
      </c>
      <c r="G26" s="39">
        <f>+G27+G51+G64+G71+G78</f>
        <v>0</v>
      </c>
      <c r="H26" s="39">
        <f>+H27+H51+H64+H71+H78</f>
        <v>0</v>
      </c>
      <c r="I26" s="39">
        <f t="shared" ref="I26:I88" si="0">SUM(G26:H26)</f>
        <v>0</v>
      </c>
      <c r="J26" s="19">
        <f>I26/$I$25</f>
        <v>0</v>
      </c>
    </row>
    <row r="27" spans="1:16" x14ac:dyDescent="0.2">
      <c r="A27" s="30">
        <v>2</v>
      </c>
      <c r="B27" s="22">
        <v>1</v>
      </c>
      <c r="C27" s="22">
        <v>1</v>
      </c>
      <c r="D27" s="22"/>
      <c r="E27" s="22"/>
      <c r="F27" s="34" t="s">
        <v>322</v>
      </c>
      <c r="G27" s="20">
        <f>+G28+G35+G42+G44+G46</f>
        <v>0</v>
      </c>
      <c r="H27" s="20">
        <f>+H28+H35+H42+H44+H46</f>
        <v>0</v>
      </c>
      <c r="I27" s="20">
        <f t="shared" si="0"/>
        <v>0</v>
      </c>
      <c r="J27" s="19">
        <f>I27/$I$25</f>
        <v>0</v>
      </c>
    </row>
    <row r="28" spans="1:16" x14ac:dyDescent="0.2">
      <c r="A28" s="16">
        <v>2</v>
      </c>
      <c r="B28" s="15">
        <v>1</v>
      </c>
      <c r="C28" s="15">
        <v>1</v>
      </c>
      <c r="D28" s="15">
        <v>1</v>
      </c>
      <c r="E28" s="15"/>
      <c r="F28" s="33" t="s">
        <v>321</v>
      </c>
      <c r="G28" s="12">
        <f>SUM(G29:G34)</f>
        <v>0</v>
      </c>
      <c r="H28" s="12">
        <f>SUM(H29:H34)</f>
        <v>0</v>
      </c>
      <c r="I28" s="12">
        <f t="shared" si="0"/>
        <v>0</v>
      </c>
      <c r="J28" s="274">
        <f>I28/$I$25</f>
        <v>0</v>
      </c>
    </row>
    <row r="29" spans="1:16" x14ac:dyDescent="0.2">
      <c r="A29" s="10">
        <v>2</v>
      </c>
      <c r="B29" s="9">
        <v>1</v>
      </c>
      <c r="C29" s="9">
        <v>1</v>
      </c>
      <c r="D29" s="9">
        <v>1</v>
      </c>
      <c r="E29" s="24" t="s">
        <v>44</v>
      </c>
      <c r="F29" s="32" t="s">
        <v>387</v>
      </c>
      <c r="G29" s="7">
        <f>'[1]CUENTA T FONDO 100'!A145</f>
        <v>0</v>
      </c>
      <c r="H29" s="7">
        <f>'[1]CUENTA T VS'!A96</f>
        <v>0</v>
      </c>
      <c r="I29" s="7">
        <f t="shared" si="0"/>
        <v>0</v>
      </c>
      <c r="J29" s="6">
        <f t="shared" ref="J29:J34" si="1">I29/$I$25</f>
        <v>0</v>
      </c>
    </row>
    <row r="30" spans="1:16" x14ac:dyDescent="0.2">
      <c r="A30" s="10">
        <v>2</v>
      </c>
      <c r="B30" s="9">
        <v>1</v>
      </c>
      <c r="C30" s="9">
        <v>1</v>
      </c>
      <c r="D30" s="9">
        <v>1</v>
      </c>
      <c r="E30" s="24" t="s">
        <v>43</v>
      </c>
      <c r="F30" s="8" t="s">
        <v>320</v>
      </c>
      <c r="G30" s="7">
        <f>'[1]CUENTA T FONDO 100'!B145</f>
        <v>0</v>
      </c>
      <c r="H30" s="7">
        <f>'[1]CUENTA T VS'!B96</f>
        <v>0</v>
      </c>
      <c r="I30" s="7">
        <f t="shared" si="0"/>
        <v>0</v>
      </c>
      <c r="J30" s="6">
        <f>I30/$I$25</f>
        <v>0</v>
      </c>
    </row>
    <row r="31" spans="1:16" x14ac:dyDescent="0.2">
      <c r="A31" s="10">
        <v>2</v>
      </c>
      <c r="B31" s="9">
        <v>1</v>
      </c>
      <c r="C31" s="9">
        <v>1</v>
      </c>
      <c r="D31" s="9">
        <v>1</v>
      </c>
      <c r="E31" s="24" t="s">
        <v>104</v>
      </c>
      <c r="F31" s="8" t="s">
        <v>319</v>
      </c>
      <c r="G31" s="7">
        <f>'[1]CUENTA T FONDO 100'!C145</f>
        <v>0</v>
      </c>
      <c r="H31" s="7">
        <f>'[1]CUENTA T VS'!C96</f>
        <v>0</v>
      </c>
      <c r="I31" s="7">
        <f t="shared" si="0"/>
        <v>0</v>
      </c>
      <c r="J31" s="6">
        <f t="shared" si="1"/>
        <v>0</v>
      </c>
    </row>
    <row r="32" spans="1:16" x14ac:dyDescent="0.2">
      <c r="A32" s="10">
        <v>2</v>
      </c>
      <c r="B32" s="9">
        <v>1</v>
      </c>
      <c r="C32" s="9">
        <v>1</v>
      </c>
      <c r="D32" s="9">
        <v>1</v>
      </c>
      <c r="E32" s="24" t="s">
        <v>172</v>
      </c>
      <c r="F32" s="8" t="s">
        <v>318</v>
      </c>
      <c r="G32" s="7">
        <f>'[1]CUENTA T FONDO 100'!D145</f>
        <v>0</v>
      </c>
      <c r="H32" s="7">
        <f>'[1]CUENTA T VS'!D96</f>
        <v>0</v>
      </c>
      <c r="I32" s="7">
        <f t="shared" si="0"/>
        <v>0</v>
      </c>
      <c r="J32" s="6">
        <f t="shared" si="1"/>
        <v>0</v>
      </c>
    </row>
    <row r="33" spans="1:10" x14ac:dyDescent="0.2">
      <c r="A33" s="10">
        <v>2</v>
      </c>
      <c r="B33" s="9">
        <v>1</v>
      </c>
      <c r="C33" s="9">
        <v>1</v>
      </c>
      <c r="D33" s="9">
        <v>1</v>
      </c>
      <c r="E33" s="24" t="s">
        <v>170</v>
      </c>
      <c r="F33" s="8" t="s">
        <v>317</v>
      </c>
      <c r="G33" s="7">
        <f>'[1]CUENTA T FONDO 100'!E145</f>
        <v>0</v>
      </c>
      <c r="H33" s="7">
        <f>'[1]CUENTA T VS'!E96</f>
        <v>0</v>
      </c>
      <c r="I33" s="7">
        <f t="shared" si="0"/>
        <v>0</v>
      </c>
      <c r="J33" s="6">
        <f t="shared" si="1"/>
        <v>0</v>
      </c>
    </row>
    <row r="34" spans="1:10" x14ac:dyDescent="0.2">
      <c r="A34" s="10">
        <v>2</v>
      </c>
      <c r="B34" s="9">
        <v>1</v>
      </c>
      <c r="C34" s="9">
        <v>1</v>
      </c>
      <c r="D34" s="9">
        <v>1</v>
      </c>
      <c r="E34" s="24" t="s">
        <v>61</v>
      </c>
      <c r="F34" s="8" t="s">
        <v>386</v>
      </c>
      <c r="G34" s="7">
        <f>'[1]CUENTA T FONDO 100'!F145</f>
        <v>0</v>
      </c>
      <c r="H34" s="7">
        <f>'[1]CUENTA T VS'!F96</f>
        <v>0</v>
      </c>
      <c r="I34" s="7">
        <f t="shared" si="0"/>
        <v>0</v>
      </c>
      <c r="J34" s="6">
        <f t="shared" si="1"/>
        <v>0</v>
      </c>
    </row>
    <row r="35" spans="1:10" ht="25.5" x14ac:dyDescent="0.2">
      <c r="A35" s="16">
        <v>2</v>
      </c>
      <c r="B35" s="15">
        <v>1</v>
      </c>
      <c r="C35" s="15">
        <v>1</v>
      </c>
      <c r="D35" s="15">
        <v>2</v>
      </c>
      <c r="E35" s="15"/>
      <c r="F35" s="13" t="s">
        <v>316</v>
      </c>
      <c r="G35" s="12">
        <f>SUM(G36:G41)</f>
        <v>0</v>
      </c>
      <c r="H35" s="12">
        <f>SUM(H36:H41)</f>
        <v>0</v>
      </c>
      <c r="I35" s="12">
        <f t="shared" si="0"/>
        <v>0</v>
      </c>
      <c r="J35" s="11"/>
    </row>
    <row r="36" spans="1:10" x14ac:dyDescent="0.2">
      <c r="A36" s="10">
        <v>2</v>
      </c>
      <c r="B36" s="9">
        <v>1</v>
      </c>
      <c r="C36" s="9">
        <v>1</v>
      </c>
      <c r="D36" s="9">
        <v>2</v>
      </c>
      <c r="E36" s="24" t="s">
        <v>104</v>
      </c>
      <c r="F36" s="8" t="s">
        <v>315</v>
      </c>
      <c r="G36" s="7">
        <f>'[1]CUENTA T FONDO 100'!G145</f>
        <v>0</v>
      </c>
      <c r="H36" s="7">
        <f>'[1]CUENTA T VS'!G96</f>
        <v>0</v>
      </c>
      <c r="I36" s="7">
        <f t="shared" si="0"/>
        <v>0</v>
      </c>
      <c r="J36" s="6">
        <f t="shared" ref="J36:J41" si="2">I36/$I$25</f>
        <v>0</v>
      </c>
    </row>
    <row r="37" spans="1:10" x14ac:dyDescent="0.2">
      <c r="A37" s="10">
        <v>2</v>
      </c>
      <c r="B37" s="9">
        <v>1</v>
      </c>
      <c r="C37" s="9">
        <v>1</v>
      </c>
      <c r="D37" s="9">
        <v>2</v>
      </c>
      <c r="E37" s="24" t="s">
        <v>170</v>
      </c>
      <c r="F37" s="8" t="s">
        <v>314</v>
      </c>
      <c r="G37" s="7">
        <f>'[1]CUENTA T FONDO 100'!H145</f>
        <v>0</v>
      </c>
      <c r="H37" s="7">
        <f>'[1]CUENTA T VS'!H96</f>
        <v>0</v>
      </c>
      <c r="I37" s="7">
        <f t="shared" si="0"/>
        <v>0</v>
      </c>
      <c r="J37" s="6">
        <f t="shared" si="2"/>
        <v>0</v>
      </c>
    </row>
    <row r="38" spans="1:10" x14ac:dyDescent="0.2">
      <c r="A38" s="10">
        <v>2</v>
      </c>
      <c r="B38" s="9">
        <v>1</v>
      </c>
      <c r="C38" s="9">
        <v>1</v>
      </c>
      <c r="D38" s="9">
        <v>2</v>
      </c>
      <c r="E38" s="24" t="s">
        <v>61</v>
      </c>
      <c r="F38" s="8" t="s">
        <v>313</v>
      </c>
      <c r="G38" s="7">
        <f>'[1]CUENTA T FONDO 100'!I145</f>
        <v>0</v>
      </c>
      <c r="H38" s="7">
        <f>'[1]CUENTA T VS'!I96</f>
        <v>0</v>
      </c>
      <c r="I38" s="7">
        <f t="shared" si="0"/>
        <v>0</v>
      </c>
      <c r="J38" s="6">
        <f t="shared" si="2"/>
        <v>0</v>
      </c>
    </row>
    <row r="39" spans="1:10" x14ac:dyDescent="0.2">
      <c r="A39" s="10">
        <v>2</v>
      </c>
      <c r="B39" s="9">
        <v>1</v>
      </c>
      <c r="C39" s="9">
        <v>1</v>
      </c>
      <c r="D39" s="9">
        <v>2</v>
      </c>
      <c r="E39" s="24" t="s">
        <v>234</v>
      </c>
      <c r="F39" s="8" t="s">
        <v>388</v>
      </c>
      <c r="G39" s="7">
        <f>'[1]CUENTA T FONDO 100'!J145</f>
        <v>0</v>
      </c>
      <c r="H39" s="7">
        <f>'[1]CUENTA T VS'!J96</f>
        <v>0</v>
      </c>
      <c r="I39" s="7">
        <f t="shared" si="0"/>
        <v>0</v>
      </c>
      <c r="J39" s="6">
        <f t="shared" si="2"/>
        <v>0</v>
      </c>
    </row>
    <row r="40" spans="1:10" x14ac:dyDescent="0.2">
      <c r="A40" s="10">
        <v>2</v>
      </c>
      <c r="B40" s="9">
        <v>1</v>
      </c>
      <c r="C40" s="9">
        <v>1</v>
      </c>
      <c r="D40" s="9">
        <v>2</v>
      </c>
      <c r="E40" s="24" t="s">
        <v>300</v>
      </c>
      <c r="F40" s="8" t="s">
        <v>383</v>
      </c>
      <c r="G40" s="7">
        <f>'[1]CUENTA T FONDO 100'!K145</f>
        <v>0</v>
      </c>
      <c r="H40" s="7">
        <f>'[1]CUENTA T VS'!K96</f>
        <v>0</v>
      </c>
      <c r="I40" s="7">
        <f t="shared" si="0"/>
        <v>0</v>
      </c>
      <c r="J40" s="6">
        <f t="shared" si="2"/>
        <v>0</v>
      </c>
    </row>
    <row r="41" spans="1:10" x14ac:dyDescent="0.2">
      <c r="A41" s="10">
        <v>2</v>
      </c>
      <c r="B41" s="9">
        <v>1</v>
      </c>
      <c r="C41" s="9">
        <v>1</v>
      </c>
      <c r="D41" s="9">
        <v>2</v>
      </c>
      <c r="E41" s="24" t="s">
        <v>380</v>
      </c>
      <c r="F41" s="8" t="s">
        <v>389</v>
      </c>
      <c r="G41" s="7">
        <f>'[1]CUENTA T FONDO 100'!L145</f>
        <v>0</v>
      </c>
      <c r="H41" s="7">
        <f>'[1]CUENTA T VS'!L96</f>
        <v>0</v>
      </c>
      <c r="I41" s="7">
        <f t="shared" si="0"/>
        <v>0</v>
      </c>
      <c r="J41" s="6">
        <f t="shared" si="2"/>
        <v>0</v>
      </c>
    </row>
    <row r="42" spans="1:10" x14ac:dyDescent="0.2">
      <c r="A42" s="16">
        <v>2</v>
      </c>
      <c r="B42" s="15">
        <v>1</v>
      </c>
      <c r="C42" s="15">
        <v>1</v>
      </c>
      <c r="D42" s="15">
        <v>3</v>
      </c>
      <c r="E42" s="15"/>
      <c r="F42" s="13" t="s">
        <v>312</v>
      </c>
      <c r="G42" s="12">
        <f>SUM(G43)</f>
        <v>0</v>
      </c>
      <c r="H42" s="12">
        <f>SUM(H43)</f>
        <v>0</v>
      </c>
      <c r="I42" s="12">
        <f t="shared" si="0"/>
        <v>0</v>
      </c>
      <c r="J42" s="11"/>
    </row>
    <row r="43" spans="1:10" x14ac:dyDescent="0.2">
      <c r="A43" s="10">
        <v>2</v>
      </c>
      <c r="B43" s="9">
        <v>1</v>
      </c>
      <c r="C43" s="9">
        <v>1</v>
      </c>
      <c r="D43" s="9">
        <v>3</v>
      </c>
      <c r="E43" s="24" t="s">
        <v>44</v>
      </c>
      <c r="F43" s="8" t="s">
        <v>312</v>
      </c>
      <c r="G43" s="7">
        <f>'[1]CUENTA T FONDO 100'!M145</f>
        <v>0</v>
      </c>
      <c r="H43" s="7">
        <f>'[1]CUENTA T VS'!M96</f>
        <v>0</v>
      </c>
      <c r="I43" s="7">
        <f t="shared" si="0"/>
        <v>0</v>
      </c>
      <c r="J43" s="6">
        <f>I43/$I$25</f>
        <v>0</v>
      </c>
    </row>
    <row r="44" spans="1:10" x14ac:dyDescent="0.2">
      <c r="A44" s="16">
        <v>2</v>
      </c>
      <c r="B44" s="15">
        <v>1</v>
      </c>
      <c r="C44" s="15">
        <v>1</v>
      </c>
      <c r="D44" s="15">
        <v>4</v>
      </c>
      <c r="E44" s="15"/>
      <c r="F44" s="13" t="s">
        <v>390</v>
      </c>
      <c r="G44" s="12">
        <f>SUM(G45)</f>
        <v>0</v>
      </c>
      <c r="H44" s="12">
        <f>SUM(H45)</f>
        <v>0</v>
      </c>
      <c r="I44" s="12">
        <f t="shared" si="0"/>
        <v>0</v>
      </c>
      <c r="J44" s="11"/>
    </row>
    <row r="45" spans="1:10" x14ac:dyDescent="0.2">
      <c r="A45" s="10">
        <v>2</v>
      </c>
      <c r="B45" s="9">
        <v>1</v>
      </c>
      <c r="C45" s="9">
        <v>1</v>
      </c>
      <c r="D45" s="9">
        <v>4</v>
      </c>
      <c r="E45" s="24" t="s">
        <v>44</v>
      </c>
      <c r="F45" s="8" t="s">
        <v>390</v>
      </c>
      <c r="G45" s="7">
        <f>'[1]CUENTA T FONDO 100'!N145</f>
        <v>0</v>
      </c>
      <c r="H45" s="7">
        <f>'[1]CUENTA T VS'!N96</f>
        <v>0</v>
      </c>
      <c r="I45" s="7">
        <f t="shared" si="0"/>
        <v>0</v>
      </c>
      <c r="J45" s="6">
        <f>I45/$I$25</f>
        <v>0</v>
      </c>
    </row>
    <row r="46" spans="1:10" x14ac:dyDescent="0.2">
      <c r="A46" s="16">
        <v>2</v>
      </c>
      <c r="B46" s="15">
        <v>1</v>
      </c>
      <c r="C46" s="15">
        <v>1</v>
      </c>
      <c r="D46" s="15">
        <v>5</v>
      </c>
      <c r="E46" s="15"/>
      <c r="F46" s="13" t="s">
        <v>391</v>
      </c>
      <c r="G46" s="12">
        <f>SUM(G47:G50)</f>
        <v>0</v>
      </c>
      <c r="H46" s="12">
        <f>SUM(H47:H50)</f>
        <v>0</v>
      </c>
      <c r="I46" s="12">
        <f t="shared" si="0"/>
        <v>0</v>
      </c>
      <c r="J46" s="11"/>
    </row>
    <row r="47" spans="1:10" x14ac:dyDescent="0.2">
      <c r="A47" s="10">
        <v>2</v>
      </c>
      <c r="B47" s="9">
        <v>1</v>
      </c>
      <c r="C47" s="9">
        <v>1</v>
      </c>
      <c r="D47" s="9">
        <v>5</v>
      </c>
      <c r="E47" s="24" t="s">
        <v>44</v>
      </c>
      <c r="F47" s="8" t="s">
        <v>391</v>
      </c>
      <c r="G47" s="7">
        <f>'[1]CUENTA T FONDO 100'!O145</f>
        <v>0</v>
      </c>
      <c r="H47" s="7">
        <f>'[1]CUENTA T VS'!O96</f>
        <v>0</v>
      </c>
      <c r="I47" s="7">
        <f t="shared" si="0"/>
        <v>0</v>
      </c>
      <c r="J47" s="6">
        <f>I47/$I$25</f>
        <v>0</v>
      </c>
    </row>
    <row r="48" spans="1:10" x14ac:dyDescent="0.2">
      <c r="A48" s="10">
        <v>2</v>
      </c>
      <c r="B48" s="9">
        <v>1</v>
      </c>
      <c r="C48" s="9">
        <v>1</v>
      </c>
      <c r="D48" s="9">
        <v>5</v>
      </c>
      <c r="E48" s="24" t="s">
        <v>43</v>
      </c>
      <c r="F48" s="8" t="s">
        <v>311</v>
      </c>
      <c r="G48" s="7">
        <f>'[1]CUENTA T FONDO 100'!P145</f>
        <v>0</v>
      </c>
      <c r="H48" s="7">
        <f>'[1]CUENTA T VS'!P96</f>
        <v>0</v>
      </c>
      <c r="I48" s="7">
        <f t="shared" si="0"/>
        <v>0</v>
      </c>
      <c r="J48" s="6">
        <f>I48/$I$25</f>
        <v>0</v>
      </c>
    </row>
    <row r="49" spans="1:10" x14ac:dyDescent="0.2">
      <c r="A49" s="10">
        <v>2</v>
      </c>
      <c r="B49" s="9">
        <v>1</v>
      </c>
      <c r="C49" s="9">
        <v>1</v>
      </c>
      <c r="D49" s="9">
        <v>5</v>
      </c>
      <c r="E49" s="24" t="s">
        <v>104</v>
      </c>
      <c r="F49" s="8" t="s">
        <v>310</v>
      </c>
      <c r="G49" s="7">
        <f>'[1]CUENTA T FONDO 100'!Q145</f>
        <v>0</v>
      </c>
      <c r="H49" s="7">
        <f>'[1]CUENTA T VS'!Q96</f>
        <v>0</v>
      </c>
      <c r="I49" s="7">
        <f t="shared" si="0"/>
        <v>0</v>
      </c>
      <c r="J49" s="6">
        <f>I49/$I$25</f>
        <v>0</v>
      </c>
    </row>
    <row r="50" spans="1:10" x14ac:dyDescent="0.2">
      <c r="A50" s="10">
        <v>2</v>
      </c>
      <c r="B50" s="9">
        <v>1</v>
      </c>
      <c r="C50" s="9">
        <v>1</v>
      </c>
      <c r="D50" s="9">
        <v>5</v>
      </c>
      <c r="E50" s="24" t="s">
        <v>172</v>
      </c>
      <c r="F50" s="8" t="s">
        <v>309</v>
      </c>
      <c r="G50" s="7">
        <f>'[1]CUENTA T FONDO 100'!R145</f>
        <v>0</v>
      </c>
      <c r="H50" s="7">
        <f>'[1]CUENTA T VS'!R96</f>
        <v>0</v>
      </c>
      <c r="I50" s="7">
        <f t="shared" si="0"/>
        <v>0</v>
      </c>
      <c r="J50" s="6">
        <f>I50/$I$25</f>
        <v>0</v>
      </c>
    </row>
    <row r="51" spans="1:10" x14ac:dyDescent="0.2">
      <c r="A51" s="30">
        <v>2</v>
      </c>
      <c r="B51" s="22">
        <v>1</v>
      </c>
      <c r="C51" s="22">
        <v>2</v>
      </c>
      <c r="D51" s="22"/>
      <c r="E51" s="22"/>
      <c r="F51" s="21" t="s">
        <v>308</v>
      </c>
      <c r="G51" s="20">
        <f>+G52+G54</f>
        <v>0</v>
      </c>
      <c r="H51" s="20">
        <f>+H52+H54</f>
        <v>0</v>
      </c>
      <c r="I51" s="20">
        <f t="shared" si="0"/>
        <v>0</v>
      </c>
      <c r="J51" s="19"/>
    </row>
    <row r="52" spans="1:10" x14ac:dyDescent="0.2">
      <c r="A52" s="16">
        <v>2</v>
      </c>
      <c r="B52" s="15">
        <v>1</v>
      </c>
      <c r="C52" s="15">
        <v>2</v>
      </c>
      <c r="D52" s="15">
        <v>1</v>
      </c>
      <c r="E52" s="15"/>
      <c r="F52" s="13" t="s">
        <v>307</v>
      </c>
      <c r="G52" s="12">
        <f>SUM(G53)</f>
        <v>0</v>
      </c>
      <c r="H52" s="12">
        <f>SUM(H53)</f>
        <v>0</v>
      </c>
      <c r="I52" s="12">
        <f t="shared" si="0"/>
        <v>0</v>
      </c>
      <c r="J52" s="11"/>
    </row>
    <row r="53" spans="1:10" x14ac:dyDescent="0.2">
      <c r="A53" s="10">
        <v>2</v>
      </c>
      <c r="B53" s="9">
        <v>1</v>
      </c>
      <c r="C53" s="9">
        <v>2</v>
      </c>
      <c r="D53" s="9">
        <v>1</v>
      </c>
      <c r="E53" s="24" t="s">
        <v>44</v>
      </c>
      <c r="F53" s="8" t="s">
        <v>307</v>
      </c>
      <c r="G53" s="7">
        <f>'[1]CUENTA T FONDO 100'!S145</f>
        <v>0</v>
      </c>
      <c r="H53" s="7">
        <f>'[1]CUENTA T VS'!S96</f>
        <v>0</v>
      </c>
      <c r="I53" s="7">
        <f t="shared" si="0"/>
        <v>0</v>
      </c>
      <c r="J53" s="6">
        <f>I53/$I$25</f>
        <v>0</v>
      </c>
    </row>
    <row r="54" spans="1:10" x14ac:dyDescent="0.2">
      <c r="A54" s="16">
        <v>2</v>
      </c>
      <c r="B54" s="15">
        <v>1</v>
      </c>
      <c r="C54" s="15">
        <v>2</v>
      </c>
      <c r="D54" s="15">
        <v>2</v>
      </c>
      <c r="E54" s="15"/>
      <c r="F54" s="13" t="s">
        <v>306</v>
      </c>
      <c r="G54" s="12">
        <f>SUM(G55:G63)</f>
        <v>0</v>
      </c>
      <c r="H54" s="12">
        <f>SUM(H55:H63)</f>
        <v>0</v>
      </c>
      <c r="I54" s="12">
        <f t="shared" si="0"/>
        <v>0</v>
      </c>
      <c r="J54" s="11"/>
    </row>
    <row r="55" spans="1:10" x14ac:dyDescent="0.2">
      <c r="A55" s="10">
        <v>2</v>
      </c>
      <c r="B55" s="9">
        <v>1</v>
      </c>
      <c r="C55" s="9">
        <v>2</v>
      </c>
      <c r="D55" s="9">
        <v>2</v>
      </c>
      <c r="E55" s="24" t="s">
        <v>44</v>
      </c>
      <c r="F55" s="8" t="s">
        <v>305</v>
      </c>
      <c r="G55" s="7">
        <f>'[1]CUENTA T FONDO 100'!T145</f>
        <v>0</v>
      </c>
      <c r="H55" s="7">
        <f>'[1]CUENTA T VS'!T96</f>
        <v>0</v>
      </c>
      <c r="I55" s="7">
        <f t="shared" si="0"/>
        <v>0</v>
      </c>
      <c r="J55" s="6">
        <f t="shared" ref="J55:J63" si="3">I55/$I$25</f>
        <v>0</v>
      </c>
    </row>
    <row r="56" spans="1:10" x14ac:dyDescent="0.2">
      <c r="A56" s="10">
        <v>2</v>
      </c>
      <c r="B56" s="9">
        <v>1</v>
      </c>
      <c r="C56" s="9">
        <v>2</v>
      </c>
      <c r="D56" s="9">
        <v>2</v>
      </c>
      <c r="E56" s="24" t="s">
        <v>104</v>
      </c>
      <c r="F56" s="8" t="s">
        <v>392</v>
      </c>
      <c r="G56" s="7">
        <f>'[1]CUENTA T FONDO 100'!U145</f>
        <v>0</v>
      </c>
      <c r="H56" s="7">
        <f>'[1]CUENTA T VS'!U96</f>
        <v>0</v>
      </c>
      <c r="I56" s="7">
        <f t="shared" si="0"/>
        <v>0</v>
      </c>
      <c r="J56" s="6">
        <f t="shared" si="3"/>
        <v>0</v>
      </c>
    </row>
    <row r="57" spans="1:10" x14ac:dyDescent="0.2">
      <c r="A57" s="10">
        <v>2</v>
      </c>
      <c r="B57" s="9">
        <v>1</v>
      </c>
      <c r="C57" s="9">
        <v>2</v>
      </c>
      <c r="D57" s="9">
        <v>2</v>
      </c>
      <c r="E57" s="24" t="s">
        <v>172</v>
      </c>
      <c r="F57" s="8" t="s">
        <v>304</v>
      </c>
      <c r="G57" s="7">
        <f>'[1]CUENTA T FONDO 100'!V145</f>
        <v>0</v>
      </c>
      <c r="H57" s="7">
        <f>'[1]CUENTA T VS'!V96</f>
        <v>0</v>
      </c>
      <c r="I57" s="7">
        <f t="shared" si="0"/>
        <v>0</v>
      </c>
      <c r="J57" s="6">
        <f t="shared" si="3"/>
        <v>0</v>
      </c>
    </row>
    <row r="58" spans="1:10" x14ac:dyDescent="0.2">
      <c r="A58" s="10">
        <v>2</v>
      </c>
      <c r="B58" s="9">
        <v>1</v>
      </c>
      <c r="C58" s="9">
        <v>2</v>
      </c>
      <c r="D58" s="9">
        <v>2</v>
      </c>
      <c r="E58" s="24" t="s">
        <v>170</v>
      </c>
      <c r="F58" s="8" t="s">
        <v>303</v>
      </c>
      <c r="G58" s="7">
        <f>'[1]CUENTA T FONDO 100'!W145</f>
        <v>0</v>
      </c>
      <c r="H58" s="7">
        <f>'[1]CUENTA T VS'!W96</f>
        <v>0</v>
      </c>
      <c r="I58" s="7">
        <f t="shared" si="0"/>
        <v>0</v>
      </c>
      <c r="J58" s="6">
        <f t="shared" si="3"/>
        <v>0</v>
      </c>
    </row>
    <row r="59" spans="1:10" x14ac:dyDescent="0.2">
      <c r="A59" s="10">
        <v>2</v>
      </c>
      <c r="B59" s="9">
        <v>1</v>
      </c>
      <c r="C59" s="9">
        <v>2</v>
      </c>
      <c r="D59" s="9">
        <v>2</v>
      </c>
      <c r="E59" s="24" t="s">
        <v>61</v>
      </c>
      <c r="F59" s="8" t="s">
        <v>379</v>
      </c>
      <c r="G59" s="7">
        <f>'[1]CUENTA T FONDO 100'!X145</f>
        <v>0</v>
      </c>
      <c r="H59" s="7">
        <f>'[1]CUENTA T VS'!X96</f>
        <v>0</v>
      </c>
      <c r="I59" s="7">
        <f t="shared" si="0"/>
        <v>0</v>
      </c>
      <c r="J59" s="6">
        <f t="shared" si="3"/>
        <v>0</v>
      </c>
    </row>
    <row r="60" spans="1:10" x14ac:dyDescent="0.2">
      <c r="A60" s="10">
        <v>2</v>
      </c>
      <c r="B60" s="9">
        <v>1</v>
      </c>
      <c r="C60" s="9">
        <v>2</v>
      </c>
      <c r="D60" s="9">
        <v>2</v>
      </c>
      <c r="E60" s="24" t="s">
        <v>60</v>
      </c>
      <c r="F60" s="8" t="s">
        <v>302</v>
      </c>
      <c r="G60" s="7">
        <f>'[1]CUENTA T FONDO 100'!Y145</f>
        <v>0</v>
      </c>
      <c r="H60" s="7">
        <f>'[1]CUENTA T VS'!Y96</f>
        <v>0</v>
      </c>
      <c r="I60" s="7">
        <f t="shared" si="0"/>
        <v>0</v>
      </c>
      <c r="J60" s="6">
        <f t="shared" si="3"/>
        <v>0</v>
      </c>
    </row>
    <row r="61" spans="1:10" x14ac:dyDescent="0.2">
      <c r="A61" s="10">
        <v>2</v>
      </c>
      <c r="B61" s="9">
        <v>1</v>
      </c>
      <c r="C61" s="9">
        <v>2</v>
      </c>
      <c r="D61" s="9">
        <v>2</v>
      </c>
      <c r="E61" s="24" t="s">
        <v>234</v>
      </c>
      <c r="F61" s="8" t="s">
        <v>301</v>
      </c>
      <c r="G61" s="7">
        <f>'[1]CUENTA T FONDO 100'!Z145</f>
        <v>0</v>
      </c>
      <c r="H61" s="7">
        <f>'[1]CUENTA T VS'!Z96</f>
        <v>0</v>
      </c>
      <c r="I61" s="7">
        <f t="shared" si="0"/>
        <v>0</v>
      </c>
      <c r="J61" s="6">
        <f t="shared" si="3"/>
        <v>0</v>
      </c>
    </row>
    <row r="62" spans="1:10" x14ac:dyDescent="0.2">
      <c r="A62" s="10">
        <v>2</v>
      </c>
      <c r="B62" s="9">
        <v>1</v>
      </c>
      <c r="C62" s="9">
        <v>2</v>
      </c>
      <c r="D62" s="9">
        <v>2</v>
      </c>
      <c r="E62" s="24" t="s">
        <v>300</v>
      </c>
      <c r="F62" s="8" t="s">
        <v>393</v>
      </c>
      <c r="G62" s="7">
        <f>'[1]CUENTA T FONDO 100'!AA145</f>
        <v>0</v>
      </c>
      <c r="H62" s="7">
        <f>'[1]CUENTA T VS'!AA96</f>
        <v>0</v>
      </c>
      <c r="I62" s="7">
        <f t="shared" si="0"/>
        <v>0</v>
      </c>
      <c r="J62" s="6">
        <f t="shared" si="3"/>
        <v>0</v>
      </c>
    </row>
    <row r="63" spans="1:10" x14ac:dyDescent="0.2">
      <c r="A63" s="10">
        <v>2</v>
      </c>
      <c r="B63" s="9">
        <v>1</v>
      </c>
      <c r="C63" s="9">
        <v>2</v>
      </c>
      <c r="D63" s="9">
        <v>2</v>
      </c>
      <c r="E63" s="9">
        <v>10</v>
      </c>
      <c r="F63" s="8" t="s">
        <v>394</v>
      </c>
      <c r="G63" s="7">
        <f>'[1]CUENTA T FONDO 100'!AB145</f>
        <v>0</v>
      </c>
      <c r="H63" s="7">
        <f>'[1]CUENTA T VS'!AB96</f>
        <v>0</v>
      </c>
      <c r="I63" s="7">
        <f t="shared" si="0"/>
        <v>0</v>
      </c>
      <c r="J63" s="6">
        <f t="shared" si="3"/>
        <v>0</v>
      </c>
    </row>
    <row r="64" spans="1:10" x14ac:dyDescent="0.2">
      <c r="A64" s="23">
        <v>2</v>
      </c>
      <c r="B64" s="22">
        <v>1</v>
      </c>
      <c r="C64" s="22">
        <v>3</v>
      </c>
      <c r="D64" s="22"/>
      <c r="E64" s="22"/>
      <c r="F64" s="37" t="s">
        <v>299</v>
      </c>
      <c r="G64" s="20">
        <f>+G65+G68</f>
        <v>0</v>
      </c>
      <c r="H64" s="20">
        <f>+H65+H68</f>
        <v>0</v>
      </c>
      <c r="I64" s="20">
        <f t="shared" si="0"/>
        <v>0</v>
      </c>
      <c r="J64" s="19"/>
    </row>
    <row r="65" spans="1:10" x14ac:dyDescent="0.2">
      <c r="A65" s="18">
        <v>2</v>
      </c>
      <c r="B65" s="15">
        <v>1</v>
      </c>
      <c r="C65" s="15">
        <v>3</v>
      </c>
      <c r="D65" s="15">
        <v>1</v>
      </c>
      <c r="E65" s="15"/>
      <c r="F65" s="404" t="s">
        <v>298</v>
      </c>
      <c r="G65" s="12">
        <f>SUM(G66:G67)</f>
        <v>0</v>
      </c>
      <c r="H65" s="12">
        <f>SUM(H66:H67)</f>
        <v>0</v>
      </c>
      <c r="I65" s="12">
        <f t="shared" si="0"/>
        <v>0</v>
      </c>
      <c r="J65" s="11"/>
    </row>
    <row r="66" spans="1:10" x14ac:dyDescent="0.2">
      <c r="A66" s="17">
        <v>2</v>
      </c>
      <c r="B66" s="9">
        <v>1</v>
      </c>
      <c r="C66" s="9">
        <v>3</v>
      </c>
      <c r="D66" s="9">
        <v>1</v>
      </c>
      <c r="E66" s="24" t="s">
        <v>44</v>
      </c>
      <c r="F66" s="36" t="s">
        <v>297</v>
      </c>
      <c r="G66" s="7">
        <f>'[1]CUENTA T FONDO 100'!AC145</f>
        <v>0</v>
      </c>
      <c r="H66" s="7">
        <f>'[1]CUENTA T VS'!AC96</f>
        <v>0</v>
      </c>
      <c r="I66" s="7">
        <f t="shared" si="0"/>
        <v>0</v>
      </c>
      <c r="J66" s="6">
        <f>I66/$I$25</f>
        <v>0</v>
      </c>
    </row>
    <row r="67" spans="1:10" x14ac:dyDescent="0.2">
      <c r="A67" s="17">
        <v>2</v>
      </c>
      <c r="B67" s="9">
        <v>1</v>
      </c>
      <c r="C67" s="9">
        <v>3</v>
      </c>
      <c r="D67" s="9">
        <v>1</v>
      </c>
      <c r="E67" s="24" t="s">
        <v>43</v>
      </c>
      <c r="F67" s="36" t="s">
        <v>296</v>
      </c>
      <c r="G67" s="7">
        <f>'[1]CUENTA T FONDO 100'!AD145</f>
        <v>0</v>
      </c>
      <c r="H67" s="7">
        <f>'[1]CUENTA T VS'!AD96</f>
        <v>0</v>
      </c>
      <c r="I67" s="7">
        <f t="shared" si="0"/>
        <v>0</v>
      </c>
      <c r="J67" s="6">
        <f>I67/$I$25</f>
        <v>0</v>
      </c>
    </row>
    <row r="68" spans="1:10" x14ac:dyDescent="0.2">
      <c r="A68" s="18">
        <v>2</v>
      </c>
      <c r="B68" s="15">
        <v>1</v>
      </c>
      <c r="C68" s="15">
        <v>3</v>
      </c>
      <c r="D68" s="15">
        <v>2</v>
      </c>
      <c r="E68" s="15"/>
      <c r="F68" s="404" t="s">
        <v>295</v>
      </c>
      <c r="G68" s="12">
        <f>SUM(G69:G70)</f>
        <v>0</v>
      </c>
      <c r="H68" s="12">
        <f>SUM(H69:H70)</f>
        <v>0</v>
      </c>
      <c r="I68" s="12">
        <f t="shared" si="0"/>
        <v>0</v>
      </c>
      <c r="J68" s="11"/>
    </row>
    <row r="69" spans="1:10" x14ac:dyDescent="0.2">
      <c r="A69" s="17">
        <v>2</v>
      </c>
      <c r="B69" s="9">
        <v>1</v>
      </c>
      <c r="C69" s="9">
        <v>3</v>
      </c>
      <c r="D69" s="9">
        <v>2</v>
      </c>
      <c r="E69" s="24" t="s">
        <v>44</v>
      </c>
      <c r="F69" s="36" t="s">
        <v>294</v>
      </c>
      <c r="G69" s="7">
        <f>'[1]CUENTA T FONDO 100'!AE145</f>
        <v>0</v>
      </c>
      <c r="H69" s="7">
        <f>'[1]CUENTA T VS'!AE96</f>
        <v>0</v>
      </c>
      <c r="I69" s="7">
        <f t="shared" si="0"/>
        <v>0</v>
      </c>
      <c r="J69" s="6">
        <f>I69/$I$25</f>
        <v>0</v>
      </c>
    </row>
    <row r="70" spans="1:10" x14ac:dyDescent="0.2">
      <c r="A70" s="17">
        <v>2</v>
      </c>
      <c r="B70" s="9">
        <v>1</v>
      </c>
      <c r="C70" s="9">
        <v>3</v>
      </c>
      <c r="D70" s="9">
        <v>2</v>
      </c>
      <c r="E70" s="24" t="s">
        <v>43</v>
      </c>
      <c r="F70" s="36" t="s">
        <v>293</v>
      </c>
      <c r="G70" s="7">
        <f>'[1]CUENTA T FONDO 100'!AF145</f>
        <v>0</v>
      </c>
      <c r="H70" s="7">
        <f>'[1]CUENTA T VS'!AF96</f>
        <v>0</v>
      </c>
      <c r="I70" s="7">
        <f t="shared" si="0"/>
        <v>0</v>
      </c>
      <c r="J70" s="6">
        <f>I70/$I$25</f>
        <v>0</v>
      </c>
    </row>
    <row r="71" spans="1:10" x14ac:dyDescent="0.2">
      <c r="A71" s="23">
        <v>2</v>
      </c>
      <c r="B71" s="22">
        <v>1</v>
      </c>
      <c r="C71" s="22">
        <v>4</v>
      </c>
      <c r="D71" s="22"/>
      <c r="E71" s="22"/>
      <c r="F71" s="37" t="s">
        <v>292</v>
      </c>
      <c r="G71" s="20">
        <f>+G72+G74</f>
        <v>0</v>
      </c>
      <c r="H71" s="20">
        <f>+H72+H74</f>
        <v>0</v>
      </c>
      <c r="I71" s="20">
        <f t="shared" si="0"/>
        <v>0</v>
      </c>
      <c r="J71" s="19"/>
    </row>
    <row r="72" spans="1:10" x14ac:dyDescent="0.2">
      <c r="A72" s="16">
        <v>2</v>
      </c>
      <c r="B72" s="15">
        <v>1</v>
      </c>
      <c r="C72" s="15">
        <v>4</v>
      </c>
      <c r="D72" s="15">
        <v>1</v>
      </c>
      <c r="E72" s="15"/>
      <c r="F72" s="13" t="s">
        <v>291</v>
      </c>
      <c r="G72" s="12">
        <f>SUM(G73)</f>
        <v>0</v>
      </c>
      <c r="H72" s="12">
        <f>SUM(H73)</f>
        <v>0</v>
      </c>
      <c r="I72" s="12">
        <f t="shared" si="0"/>
        <v>0</v>
      </c>
      <c r="J72" s="11"/>
    </row>
    <row r="73" spans="1:10" x14ac:dyDescent="0.2">
      <c r="A73" s="10">
        <v>2</v>
      </c>
      <c r="B73" s="9">
        <v>1</v>
      </c>
      <c r="C73" s="9">
        <v>4</v>
      </c>
      <c r="D73" s="9">
        <v>1</v>
      </c>
      <c r="E73" s="24" t="s">
        <v>44</v>
      </c>
      <c r="F73" s="8" t="s">
        <v>291</v>
      </c>
      <c r="G73" s="7">
        <f>'[1]CUENTA T FONDO 100'!AG145</f>
        <v>0</v>
      </c>
      <c r="H73" s="7">
        <f>'[1]CUENTA T VS'!AG96</f>
        <v>0</v>
      </c>
      <c r="I73" s="7">
        <f t="shared" si="0"/>
        <v>0</v>
      </c>
      <c r="J73" s="6">
        <f>I73/$I$25</f>
        <v>0</v>
      </c>
    </row>
    <row r="74" spans="1:10" x14ac:dyDescent="0.2">
      <c r="A74" s="16">
        <v>2</v>
      </c>
      <c r="B74" s="15">
        <v>1</v>
      </c>
      <c r="C74" s="15">
        <v>4</v>
      </c>
      <c r="D74" s="15">
        <v>2</v>
      </c>
      <c r="E74" s="15"/>
      <c r="F74" s="13" t="s">
        <v>290</v>
      </c>
      <c r="G74" s="12">
        <f>SUM(G75:G77)</f>
        <v>0</v>
      </c>
      <c r="H74" s="12">
        <f>SUM(H75:H77)</f>
        <v>0</v>
      </c>
      <c r="I74" s="12">
        <f t="shared" si="0"/>
        <v>0</v>
      </c>
      <c r="J74" s="11"/>
    </row>
    <row r="75" spans="1:10" x14ac:dyDescent="0.2">
      <c r="A75" s="10">
        <v>2</v>
      </c>
      <c r="B75" s="9">
        <v>1</v>
      </c>
      <c r="C75" s="9">
        <v>4</v>
      </c>
      <c r="D75" s="9">
        <v>2</v>
      </c>
      <c r="E75" s="24" t="s">
        <v>44</v>
      </c>
      <c r="F75" s="8" t="s">
        <v>289</v>
      </c>
      <c r="G75" s="7">
        <f>'[1]CUENTA T FONDO 100'!AH145</f>
        <v>0</v>
      </c>
      <c r="H75" s="7">
        <f>'[1]CUENTA T VS'!AH96</f>
        <v>0</v>
      </c>
      <c r="I75" s="7">
        <f t="shared" si="0"/>
        <v>0</v>
      </c>
      <c r="J75" s="6">
        <f>I75/$I$25</f>
        <v>0</v>
      </c>
    </row>
    <row r="76" spans="1:10" x14ac:dyDescent="0.2">
      <c r="A76" s="10">
        <v>2</v>
      </c>
      <c r="B76" s="9">
        <v>1</v>
      </c>
      <c r="C76" s="9">
        <v>4</v>
      </c>
      <c r="D76" s="9">
        <v>2</v>
      </c>
      <c r="E76" s="24" t="s">
        <v>43</v>
      </c>
      <c r="F76" s="8" t="s">
        <v>288</v>
      </c>
      <c r="G76" s="7">
        <f>'[1]CUENTA T FONDO 100'!AI145</f>
        <v>0</v>
      </c>
      <c r="H76" s="7">
        <f>'[1]CUENTA T VS'!AI96</f>
        <v>0</v>
      </c>
      <c r="I76" s="7">
        <f t="shared" si="0"/>
        <v>0</v>
      </c>
      <c r="J76" s="6">
        <f>I76/$I$25</f>
        <v>0</v>
      </c>
    </row>
    <row r="77" spans="1:10" x14ac:dyDescent="0.2">
      <c r="A77" s="10">
        <v>2</v>
      </c>
      <c r="B77" s="9">
        <v>1</v>
      </c>
      <c r="C77" s="9">
        <v>4</v>
      </c>
      <c r="D77" s="9">
        <v>2</v>
      </c>
      <c r="E77" s="24" t="s">
        <v>104</v>
      </c>
      <c r="F77" s="8" t="s">
        <v>287</v>
      </c>
      <c r="G77" s="7">
        <f>'[1]CUENTA T FONDO 100'!AJ145</f>
        <v>0</v>
      </c>
      <c r="H77" s="7">
        <f>'[1]CUENTA T VS'!AJ96</f>
        <v>0</v>
      </c>
      <c r="I77" s="7">
        <f t="shared" si="0"/>
        <v>0</v>
      </c>
      <c r="J77" s="6">
        <f>I77/$I$25</f>
        <v>0</v>
      </c>
    </row>
    <row r="78" spans="1:10" ht="25.5" x14ac:dyDescent="0.2">
      <c r="A78" s="23">
        <v>2</v>
      </c>
      <c r="B78" s="22">
        <v>1</v>
      </c>
      <c r="C78" s="22">
        <v>5</v>
      </c>
      <c r="D78" s="22"/>
      <c r="E78" s="22"/>
      <c r="F78" s="37" t="s">
        <v>286</v>
      </c>
      <c r="G78" s="20">
        <f>+G79+G81+G83+G85</f>
        <v>0</v>
      </c>
      <c r="H78" s="20">
        <f>+H79+H81+H83+H85</f>
        <v>0</v>
      </c>
      <c r="I78" s="20">
        <f t="shared" si="0"/>
        <v>0</v>
      </c>
      <c r="J78" s="19"/>
    </row>
    <row r="79" spans="1:10" x14ac:dyDescent="0.2">
      <c r="A79" s="16">
        <v>2</v>
      </c>
      <c r="B79" s="15">
        <v>1</v>
      </c>
      <c r="C79" s="15">
        <v>5</v>
      </c>
      <c r="D79" s="15">
        <v>1</v>
      </c>
      <c r="E79" s="15"/>
      <c r="F79" s="13" t="s">
        <v>285</v>
      </c>
      <c r="G79" s="12">
        <f>SUM(G80)</f>
        <v>0</v>
      </c>
      <c r="H79" s="12">
        <f>SUM(H80)</f>
        <v>0</v>
      </c>
      <c r="I79" s="12">
        <f t="shared" si="0"/>
        <v>0</v>
      </c>
      <c r="J79" s="11"/>
    </row>
    <row r="80" spans="1:10" x14ac:dyDescent="0.2">
      <c r="A80" s="10">
        <v>2</v>
      </c>
      <c r="B80" s="9">
        <v>1</v>
      </c>
      <c r="C80" s="9">
        <v>5</v>
      </c>
      <c r="D80" s="9">
        <v>1</v>
      </c>
      <c r="E80" s="24" t="s">
        <v>44</v>
      </c>
      <c r="F80" s="8" t="s">
        <v>285</v>
      </c>
      <c r="G80" s="7">
        <f>'[1]CUENTA T FONDO 100'!AK145</f>
        <v>0</v>
      </c>
      <c r="H80" s="7">
        <f>'[1]CUENTA T VS'!AK96</f>
        <v>0</v>
      </c>
      <c r="I80" s="7">
        <f t="shared" si="0"/>
        <v>0</v>
      </c>
      <c r="J80" s="6">
        <f>I80/$I$25</f>
        <v>0</v>
      </c>
    </row>
    <row r="81" spans="1:10" x14ac:dyDescent="0.2">
      <c r="A81" s="16">
        <v>2</v>
      </c>
      <c r="B81" s="15">
        <v>1</v>
      </c>
      <c r="C81" s="15">
        <v>5</v>
      </c>
      <c r="D81" s="15">
        <v>2</v>
      </c>
      <c r="E81" s="15"/>
      <c r="F81" s="13" t="s">
        <v>284</v>
      </c>
      <c r="G81" s="12">
        <f>SUM(G82)</f>
        <v>0</v>
      </c>
      <c r="H81" s="12">
        <f>SUM(H82)</f>
        <v>0</v>
      </c>
      <c r="I81" s="12">
        <f t="shared" si="0"/>
        <v>0</v>
      </c>
      <c r="J81" s="11"/>
    </row>
    <row r="82" spans="1:10" x14ac:dyDescent="0.2">
      <c r="A82" s="10">
        <v>2</v>
      </c>
      <c r="B82" s="9">
        <v>1</v>
      </c>
      <c r="C82" s="9">
        <v>5</v>
      </c>
      <c r="D82" s="9">
        <v>2</v>
      </c>
      <c r="E82" s="24" t="s">
        <v>44</v>
      </c>
      <c r="F82" s="8" t="s">
        <v>284</v>
      </c>
      <c r="G82" s="7">
        <f>'[1]CUENTA T FONDO 100'!AL145</f>
        <v>0</v>
      </c>
      <c r="H82" s="7">
        <f>'[1]CUENTA T VS'!AL96</f>
        <v>0</v>
      </c>
      <c r="I82" s="7">
        <f t="shared" si="0"/>
        <v>0</v>
      </c>
      <c r="J82" s="6">
        <f>I82/$I$25</f>
        <v>0</v>
      </c>
    </row>
    <row r="83" spans="1:10" x14ac:dyDescent="0.2">
      <c r="A83" s="16">
        <v>2</v>
      </c>
      <c r="B83" s="15">
        <v>1</v>
      </c>
      <c r="C83" s="15">
        <v>5</v>
      </c>
      <c r="D83" s="15">
        <v>3</v>
      </c>
      <c r="E83" s="15"/>
      <c r="F83" s="13" t="s">
        <v>283</v>
      </c>
      <c r="G83" s="12">
        <f>SUM(G84)</f>
        <v>0</v>
      </c>
      <c r="H83" s="12">
        <f>SUM(H84)</f>
        <v>0</v>
      </c>
      <c r="I83" s="12">
        <f t="shared" si="0"/>
        <v>0</v>
      </c>
      <c r="J83" s="11"/>
    </row>
    <row r="84" spans="1:10" x14ac:dyDescent="0.2">
      <c r="A84" s="10">
        <v>2</v>
      </c>
      <c r="B84" s="9">
        <v>1</v>
      </c>
      <c r="C84" s="9">
        <v>5</v>
      </c>
      <c r="D84" s="9">
        <v>3</v>
      </c>
      <c r="E84" s="24" t="s">
        <v>44</v>
      </c>
      <c r="F84" s="8" t="s">
        <v>283</v>
      </c>
      <c r="G84" s="7">
        <f>'[1]CUENTA T FONDO 100'!AM145</f>
        <v>0</v>
      </c>
      <c r="H84" s="7">
        <f>'[1]CUENTA T VS'!AM96</f>
        <v>0</v>
      </c>
      <c r="I84" s="7">
        <f t="shared" si="0"/>
        <v>0</v>
      </c>
      <c r="J84" s="6">
        <f>I84/$I$25</f>
        <v>0</v>
      </c>
    </row>
    <row r="85" spans="1:10" x14ac:dyDescent="0.2">
      <c r="A85" s="16">
        <v>2</v>
      </c>
      <c r="B85" s="15">
        <v>1</v>
      </c>
      <c r="C85" s="15">
        <v>5</v>
      </c>
      <c r="D85" s="15">
        <v>4</v>
      </c>
      <c r="E85" s="15"/>
      <c r="F85" s="13" t="s">
        <v>282</v>
      </c>
      <c r="G85" s="12">
        <f>SUM(G86)</f>
        <v>0</v>
      </c>
      <c r="H85" s="12">
        <f>SUM(H86)</f>
        <v>0</v>
      </c>
      <c r="I85" s="12">
        <f t="shared" si="0"/>
        <v>0</v>
      </c>
      <c r="J85" s="11"/>
    </row>
    <row r="86" spans="1:10" x14ac:dyDescent="0.2">
      <c r="A86" s="10">
        <v>2</v>
      </c>
      <c r="B86" s="9">
        <v>1</v>
      </c>
      <c r="C86" s="9">
        <v>5</v>
      </c>
      <c r="D86" s="9">
        <v>4</v>
      </c>
      <c r="E86" s="24" t="s">
        <v>44</v>
      </c>
      <c r="F86" s="8" t="s">
        <v>282</v>
      </c>
      <c r="G86" s="7">
        <f>'[1]CUENTA T FONDO 100'!AN145</f>
        <v>0</v>
      </c>
      <c r="H86" s="7">
        <f>'[1]CUENTA T VS'!AN96</f>
        <v>0</v>
      </c>
      <c r="I86" s="7">
        <f t="shared" si="0"/>
        <v>0</v>
      </c>
      <c r="J86" s="6">
        <f>I86/$I$25</f>
        <v>0</v>
      </c>
    </row>
    <row r="87" spans="1:10" x14ac:dyDescent="0.2">
      <c r="A87" s="23">
        <v>2</v>
      </c>
      <c r="B87" s="38">
        <v>2</v>
      </c>
      <c r="C87" s="22"/>
      <c r="D87" s="22"/>
      <c r="E87" s="22"/>
      <c r="F87" s="37" t="s">
        <v>281</v>
      </c>
      <c r="G87" s="20">
        <f>G88+G106+G111+G116+G125+G148+G157+G179+G208</f>
        <v>0</v>
      </c>
      <c r="H87" s="20">
        <f>H88+H106+H111+H116+H125+H148+H157+H179+H208</f>
        <v>1213383.3500000001</v>
      </c>
      <c r="I87" s="20">
        <f t="shared" si="0"/>
        <v>1213383.3500000001</v>
      </c>
      <c r="J87" s="19">
        <f>I87/$I$25</f>
        <v>0.1605711360511094</v>
      </c>
    </row>
    <row r="88" spans="1:10" x14ac:dyDescent="0.2">
      <c r="A88" s="23">
        <v>2</v>
      </c>
      <c r="B88" s="22">
        <v>2</v>
      </c>
      <c r="C88" s="22">
        <v>1</v>
      </c>
      <c r="D88" s="22"/>
      <c r="E88" s="22"/>
      <c r="F88" s="37" t="s">
        <v>280</v>
      </c>
      <c r="G88" s="20">
        <f>+G89+G91+G93+G95+G97+G99+G102+G104</f>
        <v>0</v>
      </c>
      <c r="H88" s="20">
        <f>+H89+H91+H93+H95+H97+H99+H102+H104</f>
        <v>259054.40000000002</v>
      </c>
      <c r="I88" s="20">
        <f t="shared" si="0"/>
        <v>259054.40000000002</v>
      </c>
      <c r="J88" s="19"/>
    </row>
    <row r="89" spans="1:10" x14ac:dyDescent="0.2">
      <c r="A89" s="18">
        <v>2</v>
      </c>
      <c r="B89" s="15">
        <v>2</v>
      </c>
      <c r="C89" s="15">
        <v>1</v>
      </c>
      <c r="D89" s="15">
        <v>1</v>
      </c>
      <c r="E89" s="15"/>
      <c r="F89" s="404" t="s">
        <v>279</v>
      </c>
      <c r="G89" s="12">
        <f>SUM(G90)</f>
        <v>0</v>
      </c>
      <c r="H89" s="12">
        <f>SUM(H90)</f>
        <v>0</v>
      </c>
      <c r="I89" s="12">
        <f t="shared" ref="I89:I152" si="4">SUM(G89:H89)</f>
        <v>0</v>
      </c>
      <c r="J89" s="11"/>
    </row>
    <row r="90" spans="1:10" x14ac:dyDescent="0.2">
      <c r="A90" s="17">
        <v>2</v>
      </c>
      <c r="B90" s="9">
        <v>2</v>
      </c>
      <c r="C90" s="9">
        <v>1</v>
      </c>
      <c r="D90" s="9">
        <v>1</v>
      </c>
      <c r="E90" s="24" t="s">
        <v>44</v>
      </c>
      <c r="F90" s="36" t="s">
        <v>279</v>
      </c>
      <c r="G90" s="7">
        <f>'[1]CUENTA T FONDO 100'!AO145</f>
        <v>0</v>
      </c>
      <c r="H90" s="7">
        <f>'[1]CUENTA T VS'!AO96</f>
        <v>0</v>
      </c>
      <c r="I90" s="7">
        <f t="shared" si="4"/>
        <v>0</v>
      </c>
      <c r="J90" s="6">
        <f>I90/$I$25</f>
        <v>0</v>
      </c>
    </row>
    <row r="91" spans="1:10" x14ac:dyDescent="0.2">
      <c r="A91" s="18">
        <v>2</v>
      </c>
      <c r="B91" s="15">
        <v>2</v>
      </c>
      <c r="C91" s="15">
        <v>1</v>
      </c>
      <c r="D91" s="15">
        <v>2</v>
      </c>
      <c r="E91" s="15"/>
      <c r="F91" s="404" t="s">
        <v>278</v>
      </c>
      <c r="G91" s="12">
        <f>SUM(G92)</f>
        <v>0</v>
      </c>
      <c r="H91" s="12">
        <f>SUM(H92)</f>
        <v>0</v>
      </c>
      <c r="I91" s="12">
        <f t="shared" si="4"/>
        <v>0</v>
      </c>
      <c r="J91" s="11"/>
    </row>
    <row r="92" spans="1:10" x14ac:dyDescent="0.2">
      <c r="A92" s="17">
        <v>2</v>
      </c>
      <c r="B92" s="9">
        <v>2</v>
      </c>
      <c r="C92" s="9">
        <v>1</v>
      </c>
      <c r="D92" s="9">
        <v>2</v>
      </c>
      <c r="E92" s="24" t="s">
        <v>44</v>
      </c>
      <c r="F92" s="36" t="s">
        <v>278</v>
      </c>
      <c r="G92" s="7">
        <f>'[1]CUENTA T FONDO 100'!AP145</f>
        <v>0</v>
      </c>
      <c r="H92" s="7">
        <f>'[1]CUENTA T VS'!AP96</f>
        <v>0</v>
      </c>
      <c r="I92" s="7">
        <f t="shared" si="4"/>
        <v>0</v>
      </c>
      <c r="J92" s="6">
        <f>I92/$I$25</f>
        <v>0</v>
      </c>
    </row>
    <row r="93" spans="1:10" x14ac:dyDescent="0.2">
      <c r="A93" s="18">
        <v>2</v>
      </c>
      <c r="B93" s="15">
        <v>2</v>
      </c>
      <c r="C93" s="15">
        <v>1</v>
      </c>
      <c r="D93" s="15">
        <v>3</v>
      </c>
      <c r="E93" s="15"/>
      <c r="F93" s="404" t="s">
        <v>71</v>
      </c>
      <c r="G93" s="12">
        <f>SUM(G94)</f>
        <v>0</v>
      </c>
      <c r="H93" s="12">
        <f>SUM(H94)</f>
        <v>259054.40000000002</v>
      </c>
      <c r="I93" s="12">
        <f t="shared" si="4"/>
        <v>259054.40000000002</v>
      </c>
      <c r="J93" s="11"/>
    </row>
    <row r="94" spans="1:10" x14ac:dyDescent="0.2">
      <c r="A94" s="17">
        <v>2</v>
      </c>
      <c r="B94" s="9">
        <v>2</v>
      </c>
      <c r="C94" s="9">
        <v>1</v>
      </c>
      <c r="D94" s="9">
        <v>3</v>
      </c>
      <c r="E94" s="24" t="s">
        <v>44</v>
      </c>
      <c r="F94" s="36" t="s">
        <v>71</v>
      </c>
      <c r="G94" s="7">
        <f>'[1]CUENTA T FONDO 100'!AQ145</f>
        <v>0</v>
      </c>
      <c r="H94" s="7">
        <f>'[1]CUENTA T VS'!AQ96</f>
        <v>259054.40000000002</v>
      </c>
      <c r="I94" s="7">
        <f t="shared" si="4"/>
        <v>259054.40000000002</v>
      </c>
      <c r="J94" s="6">
        <f>I94/$I$25</f>
        <v>3.4281547795293646E-2</v>
      </c>
    </row>
    <row r="95" spans="1:10" x14ac:dyDescent="0.2">
      <c r="A95" s="18">
        <v>2</v>
      </c>
      <c r="B95" s="15">
        <v>2</v>
      </c>
      <c r="C95" s="15">
        <v>1</v>
      </c>
      <c r="D95" s="15">
        <v>4</v>
      </c>
      <c r="E95" s="15"/>
      <c r="F95" s="404" t="s">
        <v>70</v>
      </c>
      <c r="G95" s="12">
        <f>SUM(G96)</f>
        <v>0</v>
      </c>
      <c r="H95" s="12">
        <f>SUM(H96)</f>
        <v>0</v>
      </c>
      <c r="I95" s="12">
        <f t="shared" si="4"/>
        <v>0</v>
      </c>
      <c r="J95" s="11"/>
    </row>
    <row r="96" spans="1:10" x14ac:dyDescent="0.2">
      <c r="A96" s="17">
        <v>2</v>
      </c>
      <c r="B96" s="9">
        <v>2</v>
      </c>
      <c r="C96" s="9">
        <v>1</v>
      </c>
      <c r="D96" s="9">
        <v>4</v>
      </c>
      <c r="E96" s="24" t="s">
        <v>44</v>
      </c>
      <c r="F96" s="36" t="s">
        <v>70</v>
      </c>
      <c r="G96" s="7">
        <f>'[1]CUENTA T FONDO 100'!AR145</f>
        <v>0</v>
      </c>
      <c r="H96" s="7">
        <f>'[1]CUENTA T VS'!AR96</f>
        <v>0</v>
      </c>
      <c r="I96" s="7">
        <f t="shared" si="4"/>
        <v>0</v>
      </c>
      <c r="J96" s="6">
        <f>I96/$I$25</f>
        <v>0</v>
      </c>
    </row>
    <row r="97" spans="1:10" x14ac:dyDescent="0.2">
      <c r="A97" s="18">
        <v>2</v>
      </c>
      <c r="B97" s="15">
        <v>2</v>
      </c>
      <c r="C97" s="15">
        <v>1</v>
      </c>
      <c r="D97" s="15">
        <v>5</v>
      </c>
      <c r="E97" s="15"/>
      <c r="F97" s="404" t="s">
        <v>277</v>
      </c>
      <c r="G97" s="12">
        <f>SUM(G98)</f>
        <v>0</v>
      </c>
      <c r="H97" s="12">
        <f>SUM(H98)</f>
        <v>0</v>
      </c>
      <c r="I97" s="12">
        <f t="shared" si="4"/>
        <v>0</v>
      </c>
      <c r="J97" s="11"/>
    </row>
    <row r="98" spans="1:10" x14ac:dyDescent="0.2">
      <c r="A98" s="17">
        <v>2</v>
      </c>
      <c r="B98" s="9">
        <v>2</v>
      </c>
      <c r="C98" s="9">
        <v>1</v>
      </c>
      <c r="D98" s="9">
        <v>5</v>
      </c>
      <c r="E98" s="24" t="s">
        <v>44</v>
      </c>
      <c r="F98" s="36" t="s">
        <v>277</v>
      </c>
      <c r="G98" s="7">
        <f>'[1]CUENTA T FONDO 100'!AS145</f>
        <v>0</v>
      </c>
      <c r="H98" s="7">
        <f>'[1]CUENTA T VS'!AS96</f>
        <v>0</v>
      </c>
      <c r="I98" s="7">
        <f t="shared" si="4"/>
        <v>0</v>
      </c>
      <c r="J98" s="6">
        <f>I98/$I$25</f>
        <v>0</v>
      </c>
    </row>
    <row r="99" spans="1:10" x14ac:dyDescent="0.2">
      <c r="A99" s="18">
        <v>2</v>
      </c>
      <c r="B99" s="15">
        <v>2</v>
      </c>
      <c r="C99" s="15">
        <v>1</v>
      </c>
      <c r="D99" s="15">
        <v>6</v>
      </c>
      <c r="E99" s="15"/>
      <c r="F99" s="404" t="s">
        <v>69</v>
      </c>
      <c r="G99" s="12">
        <f>SUM(G100:G101)</f>
        <v>0</v>
      </c>
      <c r="H99" s="12">
        <f>SUM(H100:H101)</f>
        <v>0</v>
      </c>
      <c r="I99" s="12">
        <f t="shared" si="4"/>
        <v>0</v>
      </c>
      <c r="J99" s="11"/>
    </row>
    <row r="100" spans="1:10" x14ac:dyDescent="0.2">
      <c r="A100" s="17">
        <v>2</v>
      </c>
      <c r="B100" s="9">
        <v>2</v>
      </c>
      <c r="C100" s="9">
        <v>1</v>
      </c>
      <c r="D100" s="9">
        <v>6</v>
      </c>
      <c r="E100" s="24" t="s">
        <v>44</v>
      </c>
      <c r="F100" s="36" t="s">
        <v>68</v>
      </c>
      <c r="G100" s="7">
        <f>'[1]CUENTA T FONDO 100'!AT145</f>
        <v>0</v>
      </c>
      <c r="H100" s="7">
        <f>'[1]CUENTA T VS'!AT96</f>
        <v>0</v>
      </c>
      <c r="I100" s="7">
        <f t="shared" si="4"/>
        <v>0</v>
      </c>
      <c r="J100" s="6">
        <f>I100/$I$25</f>
        <v>0</v>
      </c>
    </row>
    <row r="101" spans="1:10" x14ac:dyDescent="0.2">
      <c r="A101" s="17">
        <v>2</v>
      </c>
      <c r="B101" s="9">
        <v>2</v>
      </c>
      <c r="C101" s="9">
        <v>1</v>
      </c>
      <c r="D101" s="9">
        <v>6</v>
      </c>
      <c r="E101" s="24" t="s">
        <v>43</v>
      </c>
      <c r="F101" s="36" t="s">
        <v>276</v>
      </c>
      <c r="G101" s="7">
        <f>'[1]CUENTA T FONDO 100'!AU145</f>
        <v>0</v>
      </c>
      <c r="H101" s="7">
        <f>'[1]CUENTA T VS'!AU96</f>
        <v>0</v>
      </c>
      <c r="I101" s="7">
        <f t="shared" si="4"/>
        <v>0</v>
      </c>
      <c r="J101" s="6">
        <f>I101/$I$25</f>
        <v>0</v>
      </c>
    </row>
    <row r="102" spans="1:10" x14ac:dyDescent="0.2">
      <c r="A102" s="18">
        <v>2</v>
      </c>
      <c r="B102" s="15">
        <v>2</v>
      </c>
      <c r="C102" s="15">
        <v>1</v>
      </c>
      <c r="D102" s="15">
        <v>7</v>
      </c>
      <c r="E102" s="15"/>
      <c r="F102" s="404" t="s">
        <v>67</v>
      </c>
      <c r="G102" s="12">
        <f>SUM(G103)</f>
        <v>0</v>
      </c>
      <c r="H102" s="12">
        <f>SUM(H103)</f>
        <v>0</v>
      </c>
      <c r="I102" s="12">
        <f t="shared" si="4"/>
        <v>0</v>
      </c>
      <c r="J102" s="11"/>
    </row>
    <row r="103" spans="1:10" x14ac:dyDescent="0.2">
      <c r="A103" s="17">
        <v>2</v>
      </c>
      <c r="B103" s="9">
        <v>2</v>
      </c>
      <c r="C103" s="9">
        <v>1</v>
      </c>
      <c r="D103" s="9">
        <v>7</v>
      </c>
      <c r="E103" s="24" t="s">
        <v>44</v>
      </c>
      <c r="F103" s="36" t="s">
        <v>67</v>
      </c>
      <c r="G103" s="7">
        <f>'[1]CUENTA T FONDO 100'!AV145</f>
        <v>0</v>
      </c>
      <c r="H103" s="7">
        <f>'[1]CUENTA T VS'!AV96</f>
        <v>0</v>
      </c>
      <c r="I103" s="7">
        <f t="shared" si="4"/>
        <v>0</v>
      </c>
      <c r="J103" s="6">
        <f>I103/$I$25</f>
        <v>0</v>
      </c>
    </row>
    <row r="104" spans="1:10" x14ac:dyDescent="0.2">
      <c r="A104" s="18">
        <v>2</v>
      </c>
      <c r="B104" s="15">
        <v>2</v>
      </c>
      <c r="C104" s="15">
        <v>1</v>
      </c>
      <c r="D104" s="15">
        <v>8</v>
      </c>
      <c r="E104" s="15"/>
      <c r="F104" s="404" t="s">
        <v>66</v>
      </c>
      <c r="G104" s="12">
        <f>SUM(G105)</f>
        <v>0</v>
      </c>
      <c r="H104" s="12">
        <f>SUM(H105)</f>
        <v>0</v>
      </c>
      <c r="I104" s="12">
        <f t="shared" si="4"/>
        <v>0</v>
      </c>
      <c r="J104" s="11"/>
    </row>
    <row r="105" spans="1:10" x14ac:dyDescent="0.2">
      <c r="A105" s="17">
        <v>2</v>
      </c>
      <c r="B105" s="9">
        <v>2</v>
      </c>
      <c r="C105" s="9">
        <v>1</v>
      </c>
      <c r="D105" s="9">
        <v>8</v>
      </c>
      <c r="E105" s="24" t="s">
        <v>44</v>
      </c>
      <c r="F105" s="36" t="s">
        <v>66</v>
      </c>
      <c r="G105" s="7">
        <f>'[1]CUENTA T FONDO 100'!AW145</f>
        <v>0</v>
      </c>
      <c r="H105" s="7">
        <f>'[1]CUENTA T VS'!AW96</f>
        <v>0</v>
      </c>
      <c r="I105" s="7">
        <f t="shared" si="4"/>
        <v>0</v>
      </c>
      <c r="J105" s="6">
        <f>I105/$I$25</f>
        <v>0</v>
      </c>
    </row>
    <row r="106" spans="1:10" x14ac:dyDescent="0.2">
      <c r="A106" s="23">
        <v>2</v>
      </c>
      <c r="B106" s="22">
        <v>2</v>
      </c>
      <c r="C106" s="22">
        <v>2</v>
      </c>
      <c r="D106" s="22"/>
      <c r="E106" s="22"/>
      <c r="F106" s="37" t="s">
        <v>275</v>
      </c>
      <c r="G106" s="20">
        <f>+G107+G109</f>
        <v>0</v>
      </c>
      <c r="H106" s="20">
        <f>+H107+H109</f>
        <v>0</v>
      </c>
      <c r="I106" s="20">
        <f t="shared" si="4"/>
        <v>0</v>
      </c>
      <c r="J106" s="19"/>
    </row>
    <row r="107" spans="1:10" x14ac:dyDescent="0.2">
      <c r="A107" s="18">
        <v>2</v>
      </c>
      <c r="B107" s="15">
        <v>2</v>
      </c>
      <c r="C107" s="15">
        <v>2</v>
      </c>
      <c r="D107" s="15">
        <v>1</v>
      </c>
      <c r="E107" s="15"/>
      <c r="F107" s="404" t="s">
        <v>274</v>
      </c>
      <c r="G107" s="12">
        <f>SUM(G108)</f>
        <v>0</v>
      </c>
      <c r="H107" s="12">
        <f>SUM(H108)</f>
        <v>0</v>
      </c>
      <c r="I107" s="12">
        <f t="shared" si="4"/>
        <v>0</v>
      </c>
      <c r="J107" s="11"/>
    </row>
    <row r="108" spans="1:10" x14ac:dyDescent="0.2">
      <c r="A108" s="17">
        <v>2</v>
      </c>
      <c r="B108" s="9">
        <v>2</v>
      </c>
      <c r="C108" s="9">
        <v>2</v>
      </c>
      <c r="D108" s="9">
        <v>1</v>
      </c>
      <c r="E108" s="24" t="s">
        <v>44</v>
      </c>
      <c r="F108" s="36" t="s">
        <v>274</v>
      </c>
      <c r="G108" s="7">
        <f>'[1]CUENTA T FONDO 100'!AX145</f>
        <v>0</v>
      </c>
      <c r="H108" s="7">
        <f>'[1]CUENTA T VS'!AX96</f>
        <v>0</v>
      </c>
      <c r="I108" s="7">
        <f t="shared" si="4"/>
        <v>0</v>
      </c>
      <c r="J108" s="6">
        <f>I108/$I$25</f>
        <v>0</v>
      </c>
    </row>
    <row r="109" spans="1:10" x14ac:dyDescent="0.2">
      <c r="A109" s="18">
        <v>2</v>
      </c>
      <c r="B109" s="15">
        <v>2</v>
      </c>
      <c r="C109" s="15">
        <v>2</v>
      </c>
      <c r="D109" s="15">
        <v>2</v>
      </c>
      <c r="E109" s="15"/>
      <c r="F109" s="404" t="s">
        <v>273</v>
      </c>
      <c r="G109" s="12">
        <f>SUM(G110)</f>
        <v>0</v>
      </c>
      <c r="H109" s="12">
        <f>SUM(H110)</f>
        <v>0</v>
      </c>
      <c r="I109" s="12">
        <f t="shared" si="4"/>
        <v>0</v>
      </c>
      <c r="J109" s="11"/>
    </row>
    <row r="110" spans="1:10" x14ac:dyDescent="0.2">
      <c r="A110" s="17">
        <v>2</v>
      </c>
      <c r="B110" s="9">
        <v>2</v>
      </c>
      <c r="C110" s="9">
        <v>2</v>
      </c>
      <c r="D110" s="9">
        <v>2</v>
      </c>
      <c r="E110" s="24" t="s">
        <v>44</v>
      </c>
      <c r="F110" s="36" t="s">
        <v>273</v>
      </c>
      <c r="G110" s="7">
        <f>'[1]CUENTA T FONDO 100'!AY145</f>
        <v>0</v>
      </c>
      <c r="H110" s="7">
        <f>'[1]CUENTA T VS'!AY96</f>
        <v>0</v>
      </c>
      <c r="I110" s="7">
        <f t="shared" si="4"/>
        <v>0</v>
      </c>
      <c r="J110" s="6">
        <f>I110/$I$25</f>
        <v>0</v>
      </c>
    </row>
    <row r="111" spans="1:10" x14ac:dyDescent="0.2">
      <c r="A111" s="23">
        <v>2</v>
      </c>
      <c r="B111" s="22">
        <v>2</v>
      </c>
      <c r="C111" s="22">
        <v>3</v>
      </c>
      <c r="D111" s="22"/>
      <c r="E111" s="22"/>
      <c r="F111" s="37" t="s">
        <v>272</v>
      </c>
      <c r="G111" s="20">
        <f>+G112+G114</f>
        <v>0</v>
      </c>
      <c r="H111" s="20">
        <f>+H112+H114</f>
        <v>0</v>
      </c>
      <c r="I111" s="20">
        <f t="shared" si="4"/>
        <v>0</v>
      </c>
      <c r="J111" s="19"/>
    </row>
    <row r="112" spans="1:10" x14ac:dyDescent="0.2">
      <c r="A112" s="18">
        <v>2</v>
      </c>
      <c r="B112" s="15">
        <v>2</v>
      </c>
      <c r="C112" s="15">
        <v>3</v>
      </c>
      <c r="D112" s="15">
        <v>1</v>
      </c>
      <c r="E112" s="15"/>
      <c r="F112" s="404" t="s">
        <v>271</v>
      </c>
      <c r="G112" s="12">
        <f>SUM(G113)</f>
        <v>0</v>
      </c>
      <c r="H112" s="12">
        <f>SUM(H113)</f>
        <v>0</v>
      </c>
      <c r="I112" s="12">
        <f t="shared" si="4"/>
        <v>0</v>
      </c>
      <c r="J112" s="11"/>
    </row>
    <row r="113" spans="1:10" x14ac:dyDescent="0.2">
      <c r="A113" s="17">
        <v>2</v>
      </c>
      <c r="B113" s="9">
        <v>2</v>
      </c>
      <c r="C113" s="9">
        <v>3</v>
      </c>
      <c r="D113" s="9">
        <v>1</v>
      </c>
      <c r="E113" s="24" t="s">
        <v>44</v>
      </c>
      <c r="F113" s="36" t="s">
        <v>271</v>
      </c>
      <c r="G113" s="7">
        <f>'[1]CUENTA T FONDO 100'!AZ145</f>
        <v>0</v>
      </c>
      <c r="H113" s="7">
        <f>'[1]CUENTA T VS'!AZ96</f>
        <v>0</v>
      </c>
      <c r="I113" s="7">
        <f t="shared" si="4"/>
        <v>0</v>
      </c>
      <c r="J113" s="6">
        <f>I113/$I$25</f>
        <v>0</v>
      </c>
    </row>
    <row r="114" spans="1:10" x14ac:dyDescent="0.2">
      <c r="A114" s="18">
        <v>2</v>
      </c>
      <c r="B114" s="15">
        <v>2</v>
      </c>
      <c r="C114" s="15">
        <v>3</v>
      </c>
      <c r="D114" s="15">
        <v>2</v>
      </c>
      <c r="E114" s="15"/>
      <c r="F114" s="404" t="s">
        <v>65</v>
      </c>
      <c r="G114" s="12">
        <f>SUM(G115)</f>
        <v>0</v>
      </c>
      <c r="H114" s="12">
        <f>SUM(H115)</f>
        <v>0</v>
      </c>
      <c r="I114" s="12">
        <f t="shared" si="4"/>
        <v>0</v>
      </c>
      <c r="J114" s="11"/>
    </row>
    <row r="115" spans="1:10" x14ac:dyDescent="0.2">
      <c r="A115" s="17">
        <v>2</v>
      </c>
      <c r="B115" s="9">
        <v>2</v>
      </c>
      <c r="C115" s="9">
        <v>3</v>
      </c>
      <c r="D115" s="9">
        <v>2</v>
      </c>
      <c r="E115" s="24" t="s">
        <v>44</v>
      </c>
      <c r="F115" s="36" t="s">
        <v>65</v>
      </c>
      <c r="G115" s="7">
        <f>'[1]CUENTA T FONDO 100'!BA145</f>
        <v>0</v>
      </c>
      <c r="H115" s="7">
        <f>'[1]CUENTA T VS'!BA96</f>
        <v>0</v>
      </c>
      <c r="I115" s="7">
        <f t="shared" si="4"/>
        <v>0</v>
      </c>
      <c r="J115" s="6">
        <f>I115/$I$25</f>
        <v>0</v>
      </c>
    </row>
    <row r="116" spans="1:10" x14ac:dyDescent="0.2">
      <c r="A116" s="23">
        <v>2</v>
      </c>
      <c r="B116" s="22">
        <v>2</v>
      </c>
      <c r="C116" s="22">
        <v>4</v>
      </c>
      <c r="D116" s="22"/>
      <c r="E116" s="22"/>
      <c r="F116" s="37" t="s">
        <v>270</v>
      </c>
      <c r="G116" s="20">
        <f>+G117+G119+G121+G123</f>
        <v>0</v>
      </c>
      <c r="H116" s="20">
        <f>+H117+H119+H121+H123</f>
        <v>24000</v>
      </c>
      <c r="I116" s="20">
        <f t="shared" si="4"/>
        <v>24000</v>
      </c>
      <c r="J116" s="19"/>
    </row>
    <row r="117" spans="1:10" x14ac:dyDescent="0.2">
      <c r="A117" s="18">
        <v>2</v>
      </c>
      <c r="B117" s="15">
        <v>2</v>
      </c>
      <c r="C117" s="15">
        <v>4</v>
      </c>
      <c r="D117" s="15">
        <v>1</v>
      </c>
      <c r="E117" s="15"/>
      <c r="F117" s="404" t="s">
        <v>269</v>
      </c>
      <c r="G117" s="12">
        <f>SUM(G118)</f>
        <v>0</v>
      </c>
      <c r="H117" s="12">
        <f>SUM(H118)</f>
        <v>0</v>
      </c>
      <c r="I117" s="12">
        <f t="shared" si="4"/>
        <v>0</v>
      </c>
      <c r="J117" s="11"/>
    </row>
    <row r="118" spans="1:10" x14ac:dyDescent="0.2">
      <c r="A118" s="17">
        <v>2</v>
      </c>
      <c r="B118" s="9">
        <v>2</v>
      </c>
      <c r="C118" s="9">
        <v>4</v>
      </c>
      <c r="D118" s="9">
        <v>1</v>
      </c>
      <c r="E118" s="24" t="s">
        <v>44</v>
      </c>
      <c r="F118" s="36" t="s">
        <v>269</v>
      </c>
      <c r="G118" s="7">
        <f>'[1]CUENTA T FONDO 100'!BB145</f>
        <v>0</v>
      </c>
      <c r="H118" s="7">
        <f>'[1]CUENTA T VS'!BB96</f>
        <v>0</v>
      </c>
      <c r="I118" s="7">
        <f t="shared" si="4"/>
        <v>0</v>
      </c>
      <c r="J118" s="6">
        <f>I118/$I$25</f>
        <v>0</v>
      </c>
    </row>
    <row r="119" spans="1:10" x14ac:dyDescent="0.2">
      <c r="A119" s="18">
        <v>2</v>
      </c>
      <c r="B119" s="15">
        <v>2</v>
      </c>
      <c r="C119" s="15">
        <v>4</v>
      </c>
      <c r="D119" s="15">
        <v>2</v>
      </c>
      <c r="E119" s="15"/>
      <c r="F119" s="404" t="s">
        <v>64</v>
      </c>
      <c r="G119" s="12">
        <f>SUM(G120)</f>
        <v>0</v>
      </c>
      <c r="H119" s="12">
        <f>SUM(H120)</f>
        <v>24000</v>
      </c>
      <c r="I119" s="12">
        <f t="shared" si="4"/>
        <v>24000</v>
      </c>
      <c r="J119" s="11"/>
    </row>
    <row r="120" spans="1:10" x14ac:dyDescent="0.2">
      <c r="A120" s="17">
        <v>2</v>
      </c>
      <c r="B120" s="9">
        <v>2</v>
      </c>
      <c r="C120" s="9">
        <v>4</v>
      </c>
      <c r="D120" s="9">
        <v>2</v>
      </c>
      <c r="E120" s="24" t="s">
        <v>44</v>
      </c>
      <c r="F120" s="36" t="s">
        <v>64</v>
      </c>
      <c r="G120" s="7">
        <f>'[1]CUENTA T FONDO 100'!BC145</f>
        <v>0</v>
      </c>
      <c r="H120" s="7">
        <f>'[1]CUENTA T VS'!BC96</f>
        <v>24000</v>
      </c>
      <c r="I120" s="7">
        <f t="shared" si="4"/>
        <v>24000</v>
      </c>
      <c r="J120" s="6">
        <f>I120/$I$25</f>
        <v>3.1760014386439579E-3</v>
      </c>
    </row>
    <row r="121" spans="1:10" x14ac:dyDescent="0.2">
      <c r="A121" s="18">
        <v>2</v>
      </c>
      <c r="B121" s="15">
        <v>2</v>
      </c>
      <c r="C121" s="15">
        <v>4</v>
      </c>
      <c r="D121" s="15">
        <v>3</v>
      </c>
      <c r="E121" s="15"/>
      <c r="F121" s="404" t="s">
        <v>268</v>
      </c>
      <c r="G121" s="12">
        <f>SUM(G122)</f>
        <v>0</v>
      </c>
      <c r="H121" s="12">
        <f>SUM(H122)</f>
        <v>0</v>
      </c>
      <c r="I121" s="12">
        <f t="shared" si="4"/>
        <v>0</v>
      </c>
      <c r="J121" s="11"/>
    </row>
    <row r="122" spans="1:10" x14ac:dyDescent="0.2">
      <c r="A122" s="17">
        <v>2</v>
      </c>
      <c r="B122" s="9">
        <v>2</v>
      </c>
      <c r="C122" s="9">
        <v>4</v>
      </c>
      <c r="D122" s="9">
        <v>3</v>
      </c>
      <c r="E122" s="24" t="s">
        <v>44</v>
      </c>
      <c r="F122" s="36" t="s">
        <v>268</v>
      </c>
      <c r="G122" s="7">
        <f>'[1]CUENTA T FONDO 100'!BD145</f>
        <v>0</v>
      </c>
      <c r="H122" s="7">
        <f>'[1]CUENTA T VS'!BD96</f>
        <v>0</v>
      </c>
      <c r="I122" s="7">
        <f t="shared" si="4"/>
        <v>0</v>
      </c>
      <c r="J122" s="6">
        <f>I122/$I$25</f>
        <v>0</v>
      </c>
    </row>
    <row r="123" spans="1:10" x14ac:dyDescent="0.2">
      <c r="A123" s="18">
        <v>2</v>
      </c>
      <c r="B123" s="15">
        <v>2</v>
      </c>
      <c r="C123" s="15">
        <v>4</v>
      </c>
      <c r="D123" s="15">
        <v>4</v>
      </c>
      <c r="E123" s="15"/>
      <c r="F123" s="404" t="s">
        <v>267</v>
      </c>
      <c r="G123" s="12">
        <f>SUM(G124)</f>
        <v>0</v>
      </c>
      <c r="H123" s="12">
        <f>SUM(H124)</f>
        <v>0</v>
      </c>
      <c r="I123" s="12">
        <f t="shared" si="4"/>
        <v>0</v>
      </c>
      <c r="J123" s="11"/>
    </row>
    <row r="124" spans="1:10" x14ac:dyDescent="0.2">
      <c r="A124" s="17">
        <v>2</v>
      </c>
      <c r="B124" s="9">
        <v>2</v>
      </c>
      <c r="C124" s="9">
        <v>4</v>
      </c>
      <c r="D124" s="9">
        <v>4</v>
      </c>
      <c r="E124" s="24" t="s">
        <v>44</v>
      </c>
      <c r="F124" s="36" t="s">
        <v>267</v>
      </c>
      <c r="G124" s="7">
        <f>'[1]CUENTA T FONDO 100'!BE145</f>
        <v>0</v>
      </c>
      <c r="H124" s="7">
        <f>'[1]CUENTA T VS'!BE96</f>
        <v>0</v>
      </c>
      <c r="I124" s="7">
        <f t="shared" si="4"/>
        <v>0</v>
      </c>
      <c r="J124" s="6">
        <f>I124/$I$25</f>
        <v>0</v>
      </c>
    </row>
    <row r="125" spans="1:10" x14ac:dyDescent="0.2">
      <c r="A125" s="30">
        <v>2</v>
      </c>
      <c r="B125" s="22">
        <v>2</v>
      </c>
      <c r="C125" s="22">
        <v>5</v>
      </c>
      <c r="D125" s="22"/>
      <c r="E125" s="22"/>
      <c r="F125" s="37" t="s">
        <v>266</v>
      </c>
      <c r="G125" s="20">
        <f>+G126+G128+G130+G136+G138+G140+G142+G144+G146</f>
        <v>0</v>
      </c>
      <c r="H125" s="20">
        <f t="shared" ref="H125" si="5">+H126+H128+H130+H136+H138+H140+H142+H144+H146</f>
        <v>252960.9</v>
      </c>
      <c r="I125" s="20">
        <f t="shared" si="4"/>
        <v>252960.9</v>
      </c>
      <c r="J125" s="19"/>
    </row>
    <row r="126" spans="1:10" x14ac:dyDescent="0.2">
      <c r="A126" s="18">
        <v>2</v>
      </c>
      <c r="B126" s="15">
        <v>2</v>
      </c>
      <c r="C126" s="15">
        <v>5</v>
      </c>
      <c r="D126" s="15">
        <v>1</v>
      </c>
      <c r="E126" s="14"/>
      <c r="F126" s="404" t="s">
        <v>265</v>
      </c>
      <c r="G126" s="12">
        <f>SUM(G127)</f>
        <v>0</v>
      </c>
      <c r="H126" s="12">
        <f>SUM(H127)</f>
        <v>0</v>
      </c>
      <c r="I126" s="12">
        <f t="shared" si="4"/>
        <v>0</v>
      </c>
      <c r="J126" s="11"/>
    </row>
    <row r="127" spans="1:10" x14ac:dyDescent="0.2">
      <c r="A127" s="17">
        <v>2</v>
      </c>
      <c r="B127" s="9">
        <v>2</v>
      </c>
      <c r="C127" s="9">
        <v>5</v>
      </c>
      <c r="D127" s="9">
        <v>1</v>
      </c>
      <c r="E127" s="24" t="s">
        <v>44</v>
      </c>
      <c r="F127" s="36" t="s">
        <v>265</v>
      </c>
      <c r="G127" s="7">
        <f>'[1]CUENTA T FONDO 100'!BF145</f>
        <v>0</v>
      </c>
      <c r="H127" s="7">
        <f>'[1]CUENTA T VS'!BF96</f>
        <v>0</v>
      </c>
      <c r="I127" s="7">
        <f t="shared" si="4"/>
        <v>0</v>
      </c>
      <c r="J127" s="6">
        <f>I127/$I$25</f>
        <v>0</v>
      </c>
    </row>
    <row r="128" spans="1:10" x14ac:dyDescent="0.2">
      <c r="A128" s="18">
        <v>2</v>
      </c>
      <c r="B128" s="15">
        <v>2</v>
      </c>
      <c r="C128" s="15">
        <v>5</v>
      </c>
      <c r="D128" s="15">
        <v>2</v>
      </c>
      <c r="E128" s="14"/>
      <c r="F128" s="404" t="s">
        <v>264</v>
      </c>
      <c r="G128" s="12">
        <f>SUM(G129)</f>
        <v>0</v>
      </c>
      <c r="H128" s="12">
        <f>SUM(H129)</f>
        <v>0</v>
      </c>
      <c r="I128" s="12">
        <f t="shared" si="4"/>
        <v>0</v>
      </c>
      <c r="J128" s="11"/>
    </row>
    <row r="129" spans="1:10" x14ac:dyDescent="0.2">
      <c r="A129" s="17">
        <v>2</v>
      </c>
      <c r="B129" s="9">
        <v>2</v>
      </c>
      <c r="C129" s="9">
        <v>5</v>
      </c>
      <c r="D129" s="9">
        <v>2</v>
      </c>
      <c r="E129" s="24" t="s">
        <v>44</v>
      </c>
      <c r="F129" s="36" t="s">
        <v>395</v>
      </c>
      <c r="G129" s="7">
        <f>'[1]CUENTA T FONDO 100'!BG145</f>
        <v>0</v>
      </c>
      <c r="H129" s="7">
        <f>'[1]CUENTA T VS'!BG96</f>
        <v>0</v>
      </c>
      <c r="I129" s="7">
        <f t="shared" si="4"/>
        <v>0</v>
      </c>
      <c r="J129" s="6">
        <f>I129/$I$25</f>
        <v>0</v>
      </c>
    </row>
    <row r="130" spans="1:10" x14ac:dyDescent="0.2">
      <c r="A130" s="18">
        <v>2</v>
      </c>
      <c r="B130" s="15">
        <v>2</v>
      </c>
      <c r="C130" s="15">
        <v>5</v>
      </c>
      <c r="D130" s="15">
        <v>3</v>
      </c>
      <c r="E130" s="14"/>
      <c r="F130" s="404" t="s">
        <v>63</v>
      </c>
      <c r="G130" s="12">
        <f>SUM(G131:G135)</f>
        <v>0</v>
      </c>
      <c r="H130" s="12">
        <f>SUM(H131:H135)</f>
        <v>252960.9</v>
      </c>
      <c r="I130" s="12">
        <f t="shared" si="4"/>
        <v>252960.9</v>
      </c>
      <c r="J130" s="11"/>
    </row>
    <row r="131" spans="1:10" x14ac:dyDescent="0.2">
      <c r="A131" s="17">
        <v>2</v>
      </c>
      <c r="B131" s="9">
        <v>2</v>
      </c>
      <c r="C131" s="9">
        <v>5</v>
      </c>
      <c r="D131" s="9">
        <v>3</v>
      </c>
      <c r="E131" s="24" t="s">
        <v>44</v>
      </c>
      <c r="F131" s="36" t="s">
        <v>263</v>
      </c>
      <c r="G131" s="7">
        <f>'[1]CUENTA T FONDO 100'!BH145</f>
        <v>0</v>
      </c>
      <c r="H131" s="7">
        <f>'[1]CUENTA T VS'!BH96</f>
        <v>0</v>
      </c>
      <c r="I131" s="7">
        <f t="shared" si="4"/>
        <v>0</v>
      </c>
      <c r="J131" s="6">
        <f>I131/$I$25</f>
        <v>0</v>
      </c>
    </row>
    <row r="132" spans="1:10" ht="25.5" x14ac:dyDescent="0.2">
      <c r="A132" s="17">
        <v>2</v>
      </c>
      <c r="B132" s="9">
        <v>2</v>
      </c>
      <c r="C132" s="9">
        <v>5</v>
      </c>
      <c r="D132" s="9">
        <v>3</v>
      </c>
      <c r="E132" s="24" t="s">
        <v>43</v>
      </c>
      <c r="F132" s="36" t="s">
        <v>396</v>
      </c>
      <c r="G132" s="7">
        <f>'[1]CUENTA T FONDO 100'!BI145</f>
        <v>0</v>
      </c>
      <c r="H132" s="7">
        <f>'[1]CUENTA T VS'!BI96</f>
        <v>252960.9</v>
      </c>
      <c r="I132" s="7">
        <f t="shared" si="4"/>
        <v>252960.9</v>
      </c>
      <c r="J132" s="6">
        <f>I132/$I$25</f>
        <v>3.3475174263361267E-2</v>
      </c>
    </row>
    <row r="133" spans="1:10" x14ac:dyDescent="0.2">
      <c r="A133" s="17">
        <v>2</v>
      </c>
      <c r="B133" s="9">
        <v>2</v>
      </c>
      <c r="C133" s="9">
        <v>5</v>
      </c>
      <c r="D133" s="9">
        <v>3</v>
      </c>
      <c r="E133" s="24" t="s">
        <v>104</v>
      </c>
      <c r="F133" s="36" t="s">
        <v>262</v>
      </c>
      <c r="G133" s="7">
        <f>'[1]CUENTA T FONDO 100'!BJ145</f>
        <v>0</v>
      </c>
      <c r="H133" s="7">
        <f>'[1]CUENTA T VS'!BJ96</f>
        <v>0</v>
      </c>
      <c r="I133" s="7">
        <f t="shared" si="4"/>
        <v>0</v>
      </c>
      <c r="J133" s="6">
        <f>I133/$I$25</f>
        <v>0</v>
      </c>
    </row>
    <row r="134" spans="1:10" x14ac:dyDescent="0.2">
      <c r="A134" s="17">
        <v>2</v>
      </c>
      <c r="B134" s="9">
        <v>2</v>
      </c>
      <c r="C134" s="9">
        <v>5</v>
      </c>
      <c r="D134" s="9">
        <v>3</v>
      </c>
      <c r="E134" s="24" t="s">
        <v>172</v>
      </c>
      <c r="F134" s="36" t="s">
        <v>261</v>
      </c>
      <c r="G134" s="7">
        <f>'[1]CUENTA T FONDO 100'!BK145</f>
        <v>0</v>
      </c>
      <c r="H134" s="7">
        <f>'[1]CUENTA T VS'!BK96</f>
        <v>0</v>
      </c>
      <c r="I134" s="7">
        <f t="shared" si="4"/>
        <v>0</v>
      </c>
      <c r="J134" s="6">
        <f>I134/$I$25</f>
        <v>0</v>
      </c>
    </row>
    <row r="135" spans="1:10" x14ac:dyDescent="0.2">
      <c r="A135" s="17">
        <v>2</v>
      </c>
      <c r="B135" s="9">
        <v>2</v>
      </c>
      <c r="C135" s="9">
        <v>5</v>
      </c>
      <c r="D135" s="9">
        <v>3</v>
      </c>
      <c r="E135" s="24" t="s">
        <v>170</v>
      </c>
      <c r="F135" s="36" t="s">
        <v>260</v>
      </c>
      <c r="G135" s="7">
        <f>'[1]CUENTA T FONDO 100'!BL145</f>
        <v>0</v>
      </c>
      <c r="H135" s="7">
        <f>'[1]CUENTA T VS'!BL96</f>
        <v>0</v>
      </c>
      <c r="I135" s="7">
        <f t="shared" si="4"/>
        <v>0</v>
      </c>
      <c r="J135" s="6">
        <f>I135/$I$25</f>
        <v>0</v>
      </c>
    </row>
    <row r="136" spans="1:10" ht="25.5" x14ac:dyDescent="0.2">
      <c r="A136" s="18">
        <v>2</v>
      </c>
      <c r="B136" s="15">
        <v>2</v>
      </c>
      <c r="C136" s="15">
        <v>5</v>
      </c>
      <c r="D136" s="15">
        <v>4</v>
      </c>
      <c r="E136" s="14"/>
      <c r="F136" s="404" t="s">
        <v>259</v>
      </c>
      <c r="G136" s="12">
        <f>SUM(G137)</f>
        <v>0</v>
      </c>
      <c r="H136" s="12">
        <f>SUM(H137)</f>
        <v>0</v>
      </c>
      <c r="I136" s="12">
        <f t="shared" si="4"/>
        <v>0</v>
      </c>
      <c r="J136" s="11"/>
    </row>
    <row r="137" spans="1:10" ht="25.5" x14ac:dyDescent="0.2">
      <c r="A137" s="17">
        <v>2</v>
      </c>
      <c r="B137" s="9">
        <v>2</v>
      </c>
      <c r="C137" s="9">
        <v>5</v>
      </c>
      <c r="D137" s="9">
        <v>4</v>
      </c>
      <c r="E137" s="24" t="s">
        <v>44</v>
      </c>
      <c r="F137" s="36" t="s">
        <v>259</v>
      </c>
      <c r="G137" s="7">
        <f>'[1]CUENTA T FONDO 100'!BM145</f>
        <v>0</v>
      </c>
      <c r="H137" s="7">
        <f>'[1]CUENTA T VS'!BM96</f>
        <v>0</v>
      </c>
      <c r="I137" s="7">
        <f t="shared" si="4"/>
        <v>0</v>
      </c>
      <c r="J137" s="6">
        <f>I137/$I$25</f>
        <v>0</v>
      </c>
    </row>
    <row r="138" spans="1:10" x14ac:dyDescent="0.2">
      <c r="A138" s="18">
        <v>2</v>
      </c>
      <c r="B138" s="15">
        <v>2</v>
      </c>
      <c r="C138" s="15">
        <v>5</v>
      </c>
      <c r="D138" s="15">
        <v>5</v>
      </c>
      <c r="E138" s="14"/>
      <c r="F138" s="404" t="s">
        <v>258</v>
      </c>
      <c r="G138" s="12">
        <f>SUM(G139)</f>
        <v>0</v>
      </c>
      <c r="H138" s="12">
        <f>SUM(H139)</f>
        <v>0</v>
      </c>
      <c r="I138" s="12">
        <f t="shared" si="4"/>
        <v>0</v>
      </c>
      <c r="J138" s="11"/>
    </row>
    <row r="139" spans="1:10" x14ac:dyDescent="0.2">
      <c r="A139" s="17">
        <v>2</v>
      </c>
      <c r="B139" s="9">
        <v>2</v>
      </c>
      <c r="C139" s="9">
        <v>5</v>
      </c>
      <c r="D139" s="9">
        <v>5</v>
      </c>
      <c r="E139" s="24" t="s">
        <v>44</v>
      </c>
      <c r="F139" s="36" t="s">
        <v>258</v>
      </c>
      <c r="G139" s="7">
        <f>'[1]CUENTA T FONDO 100'!BN145</f>
        <v>0</v>
      </c>
      <c r="H139" s="7">
        <f>'[1]CUENTA T VS'!BN96</f>
        <v>0</v>
      </c>
      <c r="I139" s="7">
        <f t="shared" si="4"/>
        <v>0</v>
      </c>
      <c r="J139" s="6">
        <f>I139/$I$25</f>
        <v>0</v>
      </c>
    </row>
    <row r="140" spans="1:10" x14ac:dyDescent="0.2">
      <c r="A140" s="18">
        <v>2</v>
      </c>
      <c r="B140" s="15">
        <v>2</v>
      </c>
      <c r="C140" s="15">
        <v>5</v>
      </c>
      <c r="D140" s="15">
        <v>6</v>
      </c>
      <c r="E140" s="14"/>
      <c r="F140" s="404" t="s">
        <v>257</v>
      </c>
      <c r="G140" s="12">
        <f>SUM(G141)</f>
        <v>0</v>
      </c>
      <c r="H140" s="12">
        <f>SUM(H141)</f>
        <v>0</v>
      </c>
      <c r="I140" s="12">
        <f t="shared" si="4"/>
        <v>0</v>
      </c>
      <c r="J140" s="11"/>
    </row>
    <row r="141" spans="1:10" x14ac:dyDescent="0.2">
      <c r="A141" s="17">
        <v>2</v>
      </c>
      <c r="B141" s="9">
        <v>2</v>
      </c>
      <c r="C141" s="9">
        <v>5</v>
      </c>
      <c r="D141" s="9">
        <v>6</v>
      </c>
      <c r="E141" s="24" t="s">
        <v>44</v>
      </c>
      <c r="F141" s="36" t="s">
        <v>257</v>
      </c>
      <c r="G141" s="7">
        <f>'[1]CUENTA T FONDO 100'!BO145</f>
        <v>0</v>
      </c>
      <c r="H141" s="7">
        <f>'[1]CUENTA T VS'!BO96</f>
        <v>0</v>
      </c>
      <c r="I141" s="7">
        <f t="shared" si="4"/>
        <v>0</v>
      </c>
      <c r="J141" s="6">
        <f>I141/$I$25</f>
        <v>0</v>
      </c>
    </row>
    <row r="142" spans="1:10" ht="25.5" x14ac:dyDescent="0.2">
      <c r="A142" s="18">
        <v>2</v>
      </c>
      <c r="B142" s="15">
        <v>2</v>
      </c>
      <c r="C142" s="15">
        <v>5</v>
      </c>
      <c r="D142" s="15">
        <v>7</v>
      </c>
      <c r="E142" s="14"/>
      <c r="F142" s="404" t="s">
        <v>256</v>
      </c>
      <c r="G142" s="12">
        <f>SUM(G143)</f>
        <v>0</v>
      </c>
      <c r="H142" s="12">
        <f>SUM(H143)</f>
        <v>0</v>
      </c>
      <c r="I142" s="12">
        <f t="shared" si="4"/>
        <v>0</v>
      </c>
      <c r="J142" s="11"/>
    </row>
    <row r="143" spans="1:10" ht="25.5" x14ac:dyDescent="0.2">
      <c r="A143" s="17">
        <v>2</v>
      </c>
      <c r="B143" s="9">
        <v>2</v>
      </c>
      <c r="C143" s="9">
        <v>5</v>
      </c>
      <c r="D143" s="9">
        <v>7</v>
      </c>
      <c r="E143" s="24" t="s">
        <v>44</v>
      </c>
      <c r="F143" s="36" t="s">
        <v>256</v>
      </c>
      <c r="G143" s="7">
        <f>'[1]CUENTA T FONDO 100'!BP145</f>
        <v>0</v>
      </c>
      <c r="H143" s="7">
        <f>'[1]CUENTA T VS'!BP96</f>
        <v>0</v>
      </c>
      <c r="I143" s="7">
        <f t="shared" si="4"/>
        <v>0</v>
      </c>
      <c r="J143" s="6">
        <f>I143/$I$25</f>
        <v>0</v>
      </c>
    </row>
    <row r="144" spans="1:10" x14ac:dyDescent="0.2">
      <c r="A144" s="18">
        <v>2</v>
      </c>
      <c r="B144" s="15">
        <v>2</v>
      </c>
      <c r="C144" s="15">
        <v>5</v>
      </c>
      <c r="D144" s="15">
        <v>8</v>
      </c>
      <c r="E144" s="14"/>
      <c r="F144" s="404" t="s">
        <v>255</v>
      </c>
      <c r="G144" s="12">
        <f>SUM(G145)</f>
        <v>0</v>
      </c>
      <c r="H144" s="12">
        <f>SUM(H145)</f>
        <v>0</v>
      </c>
      <c r="I144" s="12">
        <f t="shared" si="4"/>
        <v>0</v>
      </c>
      <c r="J144" s="11"/>
    </row>
    <row r="145" spans="1:10" x14ac:dyDescent="0.2">
      <c r="A145" s="17">
        <v>2</v>
      </c>
      <c r="B145" s="9">
        <v>2</v>
      </c>
      <c r="C145" s="9">
        <v>5</v>
      </c>
      <c r="D145" s="9">
        <v>8</v>
      </c>
      <c r="E145" s="24" t="s">
        <v>44</v>
      </c>
      <c r="F145" s="36" t="s">
        <v>255</v>
      </c>
      <c r="G145" s="7">
        <f>'[1]CUENTA T FONDO 100'!BQ145</f>
        <v>0</v>
      </c>
      <c r="H145" s="7">
        <f>'[1]CUENTA T VS'!BQ96</f>
        <v>0</v>
      </c>
      <c r="I145" s="7">
        <f t="shared" si="4"/>
        <v>0</v>
      </c>
      <c r="J145" s="6">
        <f>I145/$I$25</f>
        <v>0</v>
      </c>
    </row>
    <row r="146" spans="1:10" x14ac:dyDescent="0.2">
      <c r="A146" s="18">
        <v>2</v>
      </c>
      <c r="B146" s="15">
        <v>2</v>
      </c>
      <c r="C146" s="15">
        <v>5</v>
      </c>
      <c r="D146" s="15">
        <v>9</v>
      </c>
      <c r="E146" s="14"/>
      <c r="F146" s="404" t="s">
        <v>397</v>
      </c>
      <c r="G146" s="12">
        <f>SUM(G147)</f>
        <v>0</v>
      </c>
      <c r="H146" s="12">
        <f>SUM(H147)</f>
        <v>0</v>
      </c>
      <c r="I146" s="12">
        <f t="shared" si="4"/>
        <v>0</v>
      </c>
      <c r="J146" s="11"/>
    </row>
    <row r="147" spans="1:10" x14ac:dyDescent="0.2">
      <c r="A147" s="17">
        <v>2</v>
      </c>
      <c r="B147" s="9">
        <v>2</v>
      </c>
      <c r="C147" s="9">
        <v>5</v>
      </c>
      <c r="D147" s="9">
        <v>9</v>
      </c>
      <c r="E147" s="24" t="s">
        <v>44</v>
      </c>
      <c r="F147" s="36" t="s">
        <v>398</v>
      </c>
      <c r="G147" s="7">
        <f>'[1]CUENTA T FONDO 100'!BR145</f>
        <v>0</v>
      </c>
      <c r="H147" s="7">
        <f>'[1]CUENTA T VS'!BR96</f>
        <v>0</v>
      </c>
      <c r="I147" s="7">
        <f t="shared" si="4"/>
        <v>0</v>
      </c>
      <c r="J147" s="6">
        <f>I147/$I$25</f>
        <v>0</v>
      </c>
    </row>
    <row r="148" spans="1:10" x14ac:dyDescent="0.2">
      <c r="A148" s="30">
        <v>2</v>
      </c>
      <c r="B148" s="22">
        <v>2</v>
      </c>
      <c r="C148" s="22">
        <v>6</v>
      </c>
      <c r="D148" s="22"/>
      <c r="E148" s="22"/>
      <c r="F148" s="37" t="s">
        <v>254</v>
      </c>
      <c r="G148" s="20">
        <f>+G149+G151+G153+G155</f>
        <v>0</v>
      </c>
      <c r="H148" s="20">
        <f>+H149+H151+H153+H155</f>
        <v>0</v>
      </c>
      <c r="I148" s="20">
        <f t="shared" si="4"/>
        <v>0</v>
      </c>
      <c r="J148" s="19"/>
    </row>
    <row r="149" spans="1:10" x14ac:dyDescent="0.2">
      <c r="A149" s="18">
        <v>2</v>
      </c>
      <c r="B149" s="15">
        <v>2</v>
      </c>
      <c r="C149" s="15">
        <v>6</v>
      </c>
      <c r="D149" s="15">
        <v>1</v>
      </c>
      <c r="E149" s="14"/>
      <c r="F149" s="404" t="s">
        <v>253</v>
      </c>
      <c r="G149" s="12">
        <f>SUM(G150)</f>
        <v>0</v>
      </c>
      <c r="H149" s="12">
        <f>SUM(H150)</f>
        <v>0</v>
      </c>
      <c r="I149" s="12">
        <f t="shared" si="4"/>
        <v>0</v>
      </c>
      <c r="J149" s="11"/>
    </row>
    <row r="150" spans="1:10" x14ac:dyDescent="0.2">
      <c r="A150" s="17">
        <v>2</v>
      </c>
      <c r="B150" s="9">
        <v>2</v>
      </c>
      <c r="C150" s="9">
        <v>6</v>
      </c>
      <c r="D150" s="9">
        <v>1</v>
      </c>
      <c r="E150" s="24" t="s">
        <v>44</v>
      </c>
      <c r="F150" s="36" t="s">
        <v>253</v>
      </c>
      <c r="G150" s="7">
        <f>'[1]CUENTA T FONDO 100'!BS145</f>
        <v>0</v>
      </c>
      <c r="H150" s="7">
        <f>'[1]CUENTA T VS'!BS96</f>
        <v>0</v>
      </c>
      <c r="I150" s="7">
        <f t="shared" si="4"/>
        <v>0</v>
      </c>
      <c r="J150" s="6">
        <f>I150/$I$25</f>
        <v>0</v>
      </c>
    </row>
    <row r="151" spans="1:10" x14ac:dyDescent="0.2">
      <c r="A151" s="18">
        <v>2</v>
      </c>
      <c r="B151" s="15">
        <v>2</v>
      </c>
      <c r="C151" s="15">
        <v>6</v>
      </c>
      <c r="D151" s="15">
        <v>2</v>
      </c>
      <c r="E151" s="15"/>
      <c r="F151" s="404" t="s">
        <v>62</v>
      </c>
      <c r="G151" s="12">
        <f>SUM(G152)</f>
        <v>0</v>
      </c>
      <c r="H151" s="12">
        <f>SUM(H152)</f>
        <v>0</v>
      </c>
      <c r="I151" s="12">
        <f t="shared" si="4"/>
        <v>0</v>
      </c>
      <c r="J151" s="11"/>
    </row>
    <row r="152" spans="1:10" x14ac:dyDescent="0.2">
      <c r="A152" s="17">
        <v>2</v>
      </c>
      <c r="B152" s="9">
        <v>2</v>
      </c>
      <c r="C152" s="9">
        <v>6</v>
      </c>
      <c r="D152" s="9">
        <v>2</v>
      </c>
      <c r="E152" s="24" t="s">
        <v>44</v>
      </c>
      <c r="F152" s="36" t="s">
        <v>62</v>
      </c>
      <c r="G152" s="7">
        <f>'[1]CUENTA T FONDO 100'!BT145</f>
        <v>0</v>
      </c>
      <c r="H152" s="7">
        <f>'[1]CUENTA T VS'!BT96</f>
        <v>0</v>
      </c>
      <c r="I152" s="7">
        <f t="shared" si="4"/>
        <v>0</v>
      </c>
      <c r="J152" s="6">
        <f>I152/$I$25</f>
        <v>0</v>
      </c>
    </row>
    <row r="153" spans="1:10" x14ac:dyDescent="0.2">
      <c r="A153" s="18">
        <v>2</v>
      </c>
      <c r="B153" s="15">
        <v>2</v>
      </c>
      <c r="C153" s="15">
        <v>6</v>
      </c>
      <c r="D153" s="15">
        <v>3</v>
      </c>
      <c r="E153" s="15"/>
      <c r="F153" s="404" t="s">
        <v>252</v>
      </c>
      <c r="G153" s="12">
        <f>SUM(G154)</f>
        <v>0</v>
      </c>
      <c r="H153" s="12">
        <f>SUM(H154)</f>
        <v>0</v>
      </c>
      <c r="I153" s="12">
        <f t="shared" ref="I153:I216" si="6">SUM(G153:H153)</f>
        <v>0</v>
      </c>
      <c r="J153" s="11"/>
    </row>
    <row r="154" spans="1:10" x14ac:dyDescent="0.2">
      <c r="A154" s="17">
        <v>2</v>
      </c>
      <c r="B154" s="9">
        <v>2</v>
      </c>
      <c r="C154" s="9">
        <v>6</v>
      </c>
      <c r="D154" s="9">
        <v>3</v>
      </c>
      <c r="E154" s="24" t="s">
        <v>44</v>
      </c>
      <c r="F154" s="36" t="s">
        <v>252</v>
      </c>
      <c r="G154" s="7">
        <f>'[1]CUENTA T FONDO 100'!BU145</f>
        <v>0</v>
      </c>
      <c r="H154" s="7">
        <f>'[1]CUENTA T VS'!BU96</f>
        <v>0</v>
      </c>
      <c r="I154" s="7">
        <f t="shared" si="6"/>
        <v>0</v>
      </c>
      <c r="J154" s="6">
        <f>I154/$I$25</f>
        <v>0</v>
      </c>
    </row>
    <row r="155" spans="1:10" x14ac:dyDescent="0.2">
      <c r="A155" s="18">
        <v>2</v>
      </c>
      <c r="B155" s="15">
        <v>2</v>
      </c>
      <c r="C155" s="15">
        <v>6</v>
      </c>
      <c r="D155" s="15">
        <v>4</v>
      </c>
      <c r="E155" s="15"/>
      <c r="F155" s="404" t="s">
        <v>251</v>
      </c>
      <c r="G155" s="12">
        <f>SUM(G156)</f>
        <v>0</v>
      </c>
      <c r="H155" s="12">
        <f>SUM(H156)</f>
        <v>0</v>
      </c>
      <c r="I155" s="12">
        <f t="shared" si="6"/>
        <v>0</v>
      </c>
      <c r="J155" s="11"/>
    </row>
    <row r="156" spans="1:10" x14ac:dyDescent="0.2">
      <c r="A156" s="17">
        <v>2</v>
      </c>
      <c r="B156" s="9">
        <v>2</v>
      </c>
      <c r="C156" s="9">
        <v>6</v>
      </c>
      <c r="D156" s="9">
        <v>4</v>
      </c>
      <c r="E156" s="24" t="s">
        <v>44</v>
      </c>
      <c r="F156" s="36" t="s">
        <v>251</v>
      </c>
      <c r="G156" s="7">
        <f>'[1]CUENTA T FONDO 100'!BV145</f>
        <v>0</v>
      </c>
      <c r="H156" s="7">
        <f>'[1]CUENTA T VS'!BV96</f>
        <v>0</v>
      </c>
      <c r="I156" s="7">
        <f t="shared" si="6"/>
        <v>0</v>
      </c>
      <c r="J156" s="6">
        <f>I156/$I$25</f>
        <v>0</v>
      </c>
    </row>
    <row r="157" spans="1:10" ht="25.5" x14ac:dyDescent="0.2">
      <c r="A157" s="30">
        <v>2</v>
      </c>
      <c r="B157" s="22">
        <v>2</v>
      </c>
      <c r="C157" s="22">
        <v>7</v>
      </c>
      <c r="D157" s="22"/>
      <c r="E157" s="29"/>
      <c r="F157" s="37" t="s">
        <v>250</v>
      </c>
      <c r="G157" s="20">
        <f>+G158+G167+G177</f>
        <v>0</v>
      </c>
      <c r="H157" s="20">
        <f>+H158+H167+H177</f>
        <v>472756.61</v>
      </c>
      <c r="I157" s="20">
        <f t="shared" si="6"/>
        <v>472756.61</v>
      </c>
      <c r="J157" s="19"/>
    </row>
    <row r="158" spans="1:10" x14ac:dyDescent="0.2">
      <c r="A158" s="18">
        <v>2</v>
      </c>
      <c r="B158" s="15">
        <v>2</v>
      </c>
      <c r="C158" s="15">
        <v>7</v>
      </c>
      <c r="D158" s="15">
        <v>1</v>
      </c>
      <c r="E158" s="15"/>
      <c r="F158" s="404" t="s">
        <v>249</v>
      </c>
      <c r="G158" s="12">
        <f>SUM(G159:G166)</f>
        <v>0</v>
      </c>
      <c r="H158" s="12">
        <f>SUM(H159:H166)</f>
        <v>472756.61</v>
      </c>
      <c r="I158" s="12">
        <f t="shared" si="6"/>
        <v>472756.61</v>
      </c>
      <c r="J158" s="11"/>
    </row>
    <row r="159" spans="1:10" x14ac:dyDescent="0.2">
      <c r="A159" s="10">
        <v>2</v>
      </c>
      <c r="B159" s="9">
        <v>2</v>
      </c>
      <c r="C159" s="9">
        <v>7</v>
      </c>
      <c r="D159" s="9">
        <v>1</v>
      </c>
      <c r="E159" s="24" t="s">
        <v>44</v>
      </c>
      <c r="F159" s="36" t="s">
        <v>248</v>
      </c>
      <c r="G159" s="7">
        <f>'[1]CUENTA T FONDO 100'!BW145</f>
        <v>0</v>
      </c>
      <c r="H159" s="7">
        <f>'[1]CUENTA T VS'!BW96</f>
        <v>257071.41999999998</v>
      </c>
      <c r="I159" s="7">
        <f t="shared" si="6"/>
        <v>257071.41999999998</v>
      </c>
      <c r="J159" s="6">
        <f t="shared" ref="J159:J166" si="7">I159/$I$25</f>
        <v>3.4019133323093545E-2</v>
      </c>
    </row>
    <row r="160" spans="1:10" ht="25.5" x14ac:dyDescent="0.2">
      <c r="A160" s="10">
        <v>2</v>
      </c>
      <c r="B160" s="9">
        <v>2</v>
      </c>
      <c r="C160" s="9">
        <v>7</v>
      </c>
      <c r="D160" s="9">
        <v>1</v>
      </c>
      <c r="E160" s="24" t="s">
        <v>43</v>
      </c>
      <c r="F160" s="36" t="s">
        <v>247</v>
      </c>
      <c r="G160" s="7">
        <f>'[1]CUENTA T FONDO 100'!BX145</f>
        <v>0</v>
      </c>
      <c r="H160" s="7">
        <f>'[1]CUENTA T VS'!BX96</f>
        <v>215685.19</v>
      </c>
      <c r="I160" s="7">
        <f t="shared" si="6"/>
        <v>215685.19</v>
      </c>
      <c r="J160" s="6">
        <f t="shared" si="7"/>
        <v>2.8542353072258143E-2</v>
      </c>
    </row>
    <row r="161" spans="1:10" x14ac:dyDescent="0.2">
      <c r="A161" s="10">
        <v>2</v>
      </c>
      <c r="B161" s="9">
        <v>2</v>
      </c>
      <c r="C161" s="9">
        <v>7</v>
      </c>
      <c r="D161" s="9">
        <v>1</v>
      </c>
      <c r="E161" s="24" t="s">
        <v>104</v>
      </c>
      <c r="F161" s="36" t="s">
        <v>246</v>
      </c>
      <c r="G161" s="7">
        <f>'[1]CUENTA T FONDO 100'!BY145</f>
        <v>0</v>
      </c>
      <c r="H161" s="7">
        <f>'[1]CUENTA T VS'!BY96</f>
        <v>0</v>
      </c>
      <c r="I161" s="7">
        <f t="shared" si="6"/>
        <v>0</v>
      </c>
      <c r="J161" s="6">
        <f t="shared" si="7"/>
        <v>0</v>
      </c>
    </row>
    <row r="162" spans="1:10" ht="25.5" x14ac:dyDescent="0.2">
      <c r="A162" s="10">
        <v>2</v>
      </c>
      <c r="B162" s="9">
        <v>2</v>
      </c>
      <c r="C162" s="9">
        <v>7</v>
      </c>
      <c r="D162" s="9">
        <v>1</v>
      </c>
      <c r="E162" s="24" t="s">
        <v>172</v>
      </c>
      <c r="F162" s="36" t="s">
        <v>245</v>
      </c>
      <c r="G162" s="7">
        <f>'[1]CUENTA T FONDO 100'!BZ145</f>
        <v>0</v>
      </c>
      <c r="H162" s="7">
        <f>'[1]CUENTA T VS'!BZ96</f>
        <v>0</v>
      </c>
      <c r="I162" s="7">
        <f t="shared" si="6"/>
        <v>0</v>
      </c>
      <c r="J162" s="6">
        <f t="shared" si="7"/>
        <v>0</v>
      </c>
    </row>
    <row r="163" spans="1:10" x14ac:dyDescent="0.2">
      <c r="A163" s="10">
        <v>2</v>
      </c>
      <c r="B163" s="9">
        <v>2</v>
      </c>
      <c r="C163" s="9">
        <v>7</v>
      </c>
      <c r="D163" s="9">
        <v>1</v>
      </c>
      <c r="E163" s="24" t="s">
        <v>170</v>
      </c>
      <c r="F163" s="36" t="s">
        <v>244</v>
      </c>
      <c r="G163" s="7">
        <f>'[1]CUENTA T FONDO 100'!CA145</f>
        <v>0</v>
      </c>
      <c r="H163" s="7">
        <f>'[1]CUENTA T VS'!CA96</f>
        <v>0</v>
      </c>
      <c r="I163" s="7">
        <f t="shared" si="6"/>
        <v>0</v>
      </c>
      <c r="J163" s="6">
        <f t="shared" si="7"/>
        <v>0</v>
      </c>
    </row>
    <row r="164" spans="1:10" x14ac:dyDescent="0.2">
      <c r="A164" s="10">
        <v>2</v>
      </c>
      <c r="B164" s="9">
        <v>2</v>
      </c>
      <c r="C164" s="9">
        <v>7</v>
      </c>
      <c r="D164" s="9">
        <v>1</v>
      </c>
      <c r="E164" s="24" t="s">
        <v>61</v>
      </c>
      <c r="F164" s="36" t="s">
        <v>243</v>
      </c>
      <c r="G164" s="7">
        <f>'[1]CUENTA T FONDO 100'!CB145</f>
        <v>0</v>
      </c>
      <c r="H164" s="7">
        <f>'[1]CUENTA T VS'!CB96</f>
        <v>0</v>
      </c>
      <c r="I164" s="7">
        <f t="shared" si="6"/>
        <v>0</v>
      </c>
      <c r="J164" s="6">
        <f t="shared" si="7"/>
        <v>0</v>
      </c>
    </row>
    <row r="165" spans="1:10" ht="25.5" x14ac:dyDescent="0.2">
      <c r="A165" s="10">
        <v>2</v>
      </c>
      <c r="B165" s="9">
        <v>2</v>
      </c>
      <c r="C165" s="9">
        <v>7</v>
      </c>
      <c r="D165" s="9">
        <v>1</v>
      </c>
      <c r="E165" s="24" t="s">
        <v>60</v>
      </c>
      <c r="F165" s="36" t="s">
        <v>399</v>
      </c>
      <c r="G165" s="7">
        <f>'[1]CUENTA T FONDO 100'!CC145</f>
        <v>0</v>
      </c>
      <c r="H165" s="7">
        <f>'[1]CUENTA T VS'!CC96</f>
        <v>0</v>
      </c>
      <c r="I165" s="7">
        <f t="shared" si="6"/>
        <v>0</v>
      </c>
      <c r="J165" s="6">
        <f t="shared" si="7"/>
        <v>0</v>
      </c>
    </row>
    <row r="166" spans="1:10" ht="25.5" x14ac:dyDescent="0.2">
      <c r="A166" s="10">
        <v>2</v>
      </c>
      <c r="B166" s="9">
        <v>2</v>
      </c>
      <c r="C166" s="9">
        <v>7</v>
      </c>
      <c r="D166" s="9">
        <v>1</v>
      </c>
      <c r="E166" s="24" t="s">
        <v>7</v>
      </c>
      <c r="F166" s="36" t="s">
        <v>242</v>
      </c>
      <c r="G166" s="7">
        <f>'[1]CUENTA T FONDO 100'!CD145</f>
        <v>0</v>
      </c>
      <c r="H166" s="7">
        <f>'[1]CUENTA T VS'!CD96</f>
        <v>0</v>
      </c>
      <c r="I166" s="7">
        <f t="shared" si="6"/>
        <v>0</v>
      </c>
      <c r="J166" s="6">
        <f t="shared" si="7"/>
        <v>0</v>
      </c>
    </row>
    <row r="167" spans="1:10" x14ac:dyDescent="0.2">
      <c r="A167" s="18">
        <v>2</v>
      </c>
      <c r="B167" s="15">
        <v>2</v>
      </c>
      <c r="C167" s="15">
        <v>7</v>
      </c>
      <c r="D167" s="15">
        <v>2</v>
      </c>
      <c r="E167" s="15"/>
      <c r="F167" s="404" t="s">
        <v>241</v>
      </c>
      <c r="G167" s="12">
        <f>SUM(G168:G176)</f>
        <v>0</v>
      </c>
      <c r="H167" s="12">
        <f>SUM(H168:H176)</f>
        <v>0</v>
      </c>
      <c r="I167" s="12">
        <f t="shared" si="6"/>
        <v>0</v>
      </c>
      <c r="J167" s="11"/>
    </row>
    <row r="168" spans="1:10" ht="25.5" x14ac:dyDescent="0.2">
      <c r="A168" s="10">
        <v>2</v>
      </c>
      <c r="B168" s="9">
        <v>2</v>
      </c>
      <c r="C168" s="9">
        <v>7</v>
      </c>
      <c r="D168" s="9">
        <v>2</v>
      </c>
      <c r="E168" s="24" t="s">
        <v>44</v>
      </c>
      <c r="F168" s="36" t="s">
        <v>240</v>
      </c>
      <c r="G168" s="7">
        <f>'[1]CUENTA T FONDO 100'!CE145</f>
        <v>0</v>
      </c>
      <c r="H168" s="7">
        <f>'[1]CUENTA T VS'!CE96</f>
        <v>0</v>
      </c>
      <c r="I168" s="7">
        <f t="shared" si="6"/>
        <v>0</v>
      </c>
      <c r="J168" s="6">
        <f t="shared" ref="J168:J176" si="8">I168/$I$25</f>
        <v>0</v>
      </c>
    </row>
    <row r="169" spans="1:10" ht="25.5" x14ac:dyDescent="0.2">
      <c r="A169" s="10">
        <v>2</v>
      </c>
      <c r="B169" s="9">
        <v>2</v>
      </c>
      <c r="C169" s="9">
        <v>7</v>
      </c>
      <c r="D169" s="9">
        <v>2</v>
      </c>
      <c r="E169" s="24" t="s">
        <v>43</v>
      </c>
      <c r="F169" s="36" t="s">
        <v>400</v>
      </c>
      <c r="G169" s="7">
        <f>'[1]CUENTA T FONDO 100'!CF145</f>
        <v>0</v>
      </c>
      <c r="H169" s="7">
        <f>'[1]CUENTA T VS'!CF96</f>
        <v>0</v>
      </c>
      <c r="I169" s="7">
        <f t="shared" si="6"/>
        <v>0</v>
      </c>
      <c r="J169" s="6">
        <f t="shared" si="8"/>
        <v>0</v>
      </c>
    </row>
    <row r="170" spans="1:10" ht="25.5" x14ac:dyDescent="0.2">
      <c r="A170" s="10">
        <v>2</v>
      </c>
      <c r="B170" s="9">
        <v>2</v>
      </c>
      <c r="C170" s="9">
        <v>7</v>
      </c>
      <c r="D170" s="9">
        <v>2</v>
      </c>
      <c r="E170" s="24" t="s">
        <v>104</v>
      </c>
      <c r="F170" s="36" t="s">
        <v>239</v>
      </c>
      <c r="G170" s="7">
        <f>'[1]CUENTA T FONDO 100'!CG145</f>
        <v>0</v>
      </c>
      <c r="H170" s="7">
        <f>'[1]CUENTA T VS'!CG96</f>
        <v>0</v>
      </c>
      <c r="I170" s="7">
        <f t="shared" si="6"/>
        <v>0</v>
      </c>
      <c r="J170" s="6">
        <f t="shared" si="8"/>
        <v>0</v>
      </c>
    </row>
    <row r="171" spans="1:10" ht="25.5" x14ac:dyDescent="0.2">
      <c r="A171" s="10">
        <v>2</v>
      </c>
      <c r="B171" s="9">
        <v>2</v>
      </c>
      <c r="C171" s="9">
        <v>7</v>
      </c>
      <c r="D171" s="9">
        <v>2</v>
      </c>
      <c r="E171" s="24" t="s">
        <v>172</v>
      </c>
      <c r="F171" s="36" t="s">
        <v>238</v>
      </c>
      <c r="G171" s="7">
        <f>'[1]CUENTA T FONDO 100'!CH145</f>
        <v>0</v>
      </c>
      <c r="H171" s="7">
        <f>'[1]CUENTA T VS'!CH96</f>
        <v>0</v>
      </c>
      <c r="I171" s="7">
        <f t="shared" si="6"/>
        <v>0</v>
      </c>
      <c r="J171" s="6">
        <f t="shared" si="8"/>
        <v>0</v>
      </c>
    </row>
    <row r="172" spans="1:10" ht="25.5" x14ac:dyDescent="0.2">
      <c r="A172" s="10">
        <v>2</v>
      </c>
      <c r="B172" s="9">
        <v>2</v>
      </c>
      <c r="C172" s="9">
        <v>7</v>
      </c>
      <c r="D172" s="9">
        <v>2</v>
      </c>
      <c r="E172" s="24" t="s">
        <v>170</v>
      </c>
      <c r="F172" s="36" t="s">
        <v>237</v>
      </c>
      <c r="G172" s="7">
        <f>'[1]CUENTA T FONDO 100'!CI145</f>
        <v>0</v>
      </c>
      <c r="H172" s="7">
        <f>'[1]CUENTA T VS'!CI96</f>
        <v>0</v>
      </c>
      <c r="I172" s="7">
        <f t="shared" si="6"/>
        <v>0</v>
      </c>
      <c r="J172" s="6">
        <f t="shared" si="8"/>
        <v>0</v>
      </c>
    </row>
    <row r="173" spans="1:10" ht="25.5" x14ac:dyDescent="0.2">
      <c r="A173" s="10">
        <v>2</v>
      </c>
      <c r="B173" s="9">
        <v>2</v>
      </c>
      <c r="C173" s="9">
        <v>7</v>
      </c>
      <c r="D173" s="9">
        <v>2</v>
      </c>
      <c r="E173" s="24" t="s">
        <v>61</v>
      </c>
      <c r="F173" s="32" t="s">
        <v>236</v>
      </c>
      <c r="G173" s="7">
        <f>'[1]CUENTA T FONDO 100'!CJ145</f>
        <v>0</v>
      </c>
      <c r="H173" s="7">
        <f>'[1]CUENTA T VS'!CJ96</f>
        <v>0</v>
      </c>
      <c r="I173" s="7">
        <f t="shared" si="6"/>
        <v>0</v>
      </c>
      <c r="J173" s="6">
        <f t="shared" si="8"/>
        <v>0</v>
      </c>
    </row>
    <row r="174" spans="1:10" ht="25.5" x14ac:dyDescent="0.2">
      <c r="A174" s="10">
        <v>2</v>
      </c>
      <c r="B174" s="9">
        <v>2</v>
      </c>
      <c r="C174" s="9">
        <v>7</v>
      </c>
      <c r="D174" s="9">
        <v>2</v>
      </c>
      <c r="E174" s="24" t="s">
        <v>60</v>
      </c>
      <c r="F174" s="32" t="s">
        <v>235</v>
      </c>
      <c r="G174" s="7">
        <f>'[1]CUENTA T FONDO 100'!CK145</f>
        <v>0</v>
      </c>
      <c r="H174" s="7">
        <f>'[1]CUENTA T VS'!CK96</f>
        <v>0</v>
      </c>
      <c r="I174" s="7">
        <f t="shared" si="6"/>
        <v>0</v>
      </c>
      <c r="J174" s="6">
        <f t="shared" si="8"/>
        <v>0</v>
      </c>
    </row>
    <row r="175" spans="1:10" ht="25.5" x14ac:dyDescent="0.2">
      <c r="A175" s="10">
        <v>2</v>
      </c>
      <c r="B175" s="9">
        <v>2</v>
      </c>
      <c r="C175" s="9">
        <v>7</v>
      </c>
      <c r="D175" s="9">
        <v>2</v>
      </c>
      <c r="E175" s="24" t="s">
        <v>234</v>
      </c>
      <c r="F175" s="32" t="s">
        <v>233</v>
      </c>
      <c r="G175" s="7">
        <f>'[1]CUENTA T FONDO 100'!CL145</f>
        <v>0</v>
      </c>
      <c r="H175" s="7">
        <f>'[1]CUENTA T VS'!CL96</f>
        <v>0</v>
      </c>
      <c r="I175" s="7">
        <f t="shared" si="6"/>
        <v>0</v>
      </c>
      <c r="J175" s="6">
        <f t="shared" si="8"/>
        <v>0</v>
      </c>
    </row>
    <row r="176" spans="1:10" ht="38.25" x14ac:dyDescent="0.2">
      <c r="A176" s="10">
        <v>2</v>
      </c>
      <c r="B176" s="9">
        <v>2</v>
      </c>
      <c r="C176" s="9">
        <v>7</v>
      </c>
      <c r="D176" s="9">
        <v>2</v>
      </c>
      <c r="E176" s="24" t="s">
        <v>7</v>
      </c>
      <c r="F176" s="32" t="s">
        <v>232</v>
      </c>
      <c r="G176" s="7">
        <f>'[1]CUENTA T FONDO 100'!CM145</f>
        <v>0</v>
      </c>
      <c r="H176" s="7">
        <f>'[1]CUENTA T VS'!CM96</f>
        <v>0</v>
      </c>
      <c r="I176" s="7">
        <f t="shared" si="6"/>
        <v>0</v>
      </c>
      <c r="J176" s="6">
        <f t="shared" si="8"/>
        <v>0</v>
      </c>
    </row>
    <row r="177" spans="1:10" x14ac:dyDescent="0.2">
      <c r="A177" s="16">
        <v>2</v>
      </c>
      <c r="B177" s="15">
        <v>2</v>
      </c>
      <c r="C177" s="15">
        <v>7</v>
      </c>
      <c r="D177" s="15">
        <v>3</v>
      </c>
      <c r="E177" s="14"/>
      <c r="F177" s="33" t="s">
        <v>231</v>
      </c>
      <c r="G177" s="12">
        <f>SUM(G178)</f>
        <v>0</v>
      </c>
      <c r="H177" s="12">
        <f>SUM(H178)</f>
        <v>0</v>
      </c>
      <c r="I177" s="12">
        <f t="shared" si="6"/>
        <v>0</v>
      </c>
      <c r="J177" s="11"/>
    </row>
    <row r="178" spans="1:10" x14ac:dyDescent="0.2">
      <c r="A178" s="10">
        <v>2</v>
      </c>
      <c r="B178" s="9">
        <v>2</v>
      </c>
      <c r="C178" s="9">
        <v>7</v>
      </c>
      <c r="D178" s="9">
        <v>3</v>
      </c>
      <c r="E178" s="24" t="s">
        <v>44</v>
      </c>
      <c r="F178" s="32" t="s">
        <v>231</v>
      </c>
      <c r="G178" s="7">
        <f>'[1]CUENTA T FONDO 100'!CN145</f>
        <v>0</v>
      </c>
      <c r="H178" s="7">
        <f>'[1]CUENTA T VS'!CN96</f>
        <v>0</v>
      </c>
      <c r="I178" s="7">
        <f t="shared" si="6"/>
        <v>0</v>
      </c>
      <c r="J178" s="6">
        <f>I178/$I$25</f>
        <v>0</v>
      </c>
    </row>
    <row r="179" spans="1:10" x14ac:dyDescent="0.2">
      <c r="A179" s="30">
        <v>2</v>
      </c>
      <c r="B179" s="22">
        <v>2</v>
      </c>
      <c r="C179" s="22">
        <v>8</v>
      </c>
      <c r="D179" s="22"/>
      <c r="E179" s="22"/>
      <c r="F179" s="34" t="s">
        <v>230</v>
      </c>
      <c r="G179" s="20">
        <f>+G180+G182+G184+G186+G188+G192+G197+G204</f>
        <v>0</v>
      </c>
      <c r="H179" s="20">
        <f>+H180+H182+H184+H186+H188+H192+H197+H204</f>
        <v>204611.44</v>
      </c>
      <c r="I179" s="20">
        <f t="shared" si="6"/>
        <v>204611.44</v>
      </c>
      <c r="J179" s="19"/>
    </row>
    <row r="180" spans="1:10" x14ac:dyDescent="0.2">
      <c r="A180" s="16">
        <v>2</v>
      </c>
      <c r="B180" s="15">
        <v>2</v>
      </c>
      <c r="C180" s="15">
        <v>8</v>
      </c>
      <c r="D180" s="15">
        <v>1</v>
      </c>
      <c r="E180" s="15"/>
      <c r="F180" s="33" t="s">
        <v>59</v>
      </c>
      <c r="G180" s="12">
        <f>SUM(G181)</f>
        <v>0</v>
      </c>
      <c r="H180" s="12">
        <f>SUM(H181)</f>
        <v>0</v>
      </c>
      <c r="I180" s="12">
        <f t="shared" si="6"/>
        <v>0</v>
      </c>
      <c r="J180" s="11"/>
    </row>
    <row r="181" spans="1:10" x14ac:dyDescent="0.2">
      <c r="A181" s="10">
        <v>2</v>
      </c>
      <c r="B181" s="9">
        <v>2</v>
      </c>
      <c r="C181" s="9">
        <v>8</v>
      </c>
      <c r="D181" s="9">
        <v>1</v>
      </c>
      <c r="E181" s="24" t="s">
        <v>44</v>
      </c>
      <c r="F181" s="32" t="s">
        <v>59</v>
      </c>
      <c r="G181" s="7">
        <f>'[1]CUENTA T FONDO 100'!CO145</f>
        <v>0</v>
      </c>
      <c r="H181" s="7">
        <f>'[1]CUENTA T VS'!CO96</f>
        <v>0</v>
      </c>
      <c r="I181" s="7">
        <f t="shared" si="6"/>
        <v>0</v>
      </c>
      <c r="J181" s="6">
        <f>I181/$I$25</f>
        <v>0</v>
      </c>
    </row>
    <row r="182" spans="1:10" x14ac:dyDescent="0.2">
      <c r="A182" s="16">
        <v>2</v>
      </c>
      <c r="B182" s="15">
        <v>2</v>
      </c>
      <c r="C182" s="15">
        <v>8</v>
      </c>
      <c r="D182" s="15">
        <v>2</v>
      </c>
      <c r="E182" s="15"/>
      <c r="F182" s="33" t="s">
        <v>58</v>
      </c>
      <c r="G182" s="12">
        <f>SUM(G183)</f>
        <v>0</v>
      </c>
      <c r="H182" s="12">
        <f>SUM(H183)</f>
        <v>11179.44</v>
      </c>
      <c r="I182" s="12">
        <f t="shared" si="6"/>
        <v>11179.44</v>
      </c>
      <c r="J182" s="11"/>
    </row>
    <row r="183" spans="1:10" x14ac:dyDescent="0.2">
      <c r="A183" s="10">
        <v>2</v>
      </c>
      <c r="B183" s="9">
        <v>2</v>
      </c>
      <c r="C183" s="9">
        <v>8</v>
      </c>
      <c r="D183" s="9">
        <v>2</v>
      </c>
      <c r="E183" s="24" t="s">
        <v>44</v>
      </c>
      <c r="F183" s="32" t="s">
        <v>58</v>
      </c>
      <c r="G183" s="7">
        <f>'[1]CUENTA T FONDO 100'!CP145</f>
        <v>0</v>
      </c>
      <c r="H183" s="7">
        <f>'[1]CUENTA T VS'!CP96</f>
        <v>11179.44</v>
      </c>
      <c r="I183" s="7">
        <f t="shared" si="6"/>
        <v>11179.44</v>
      </c>
      <c r="J183" s="6">
        <f>I183/$I$25</f>
        <v>1.4794132301347422E-3</v>
      </c>
    </row>
    <row r="184" spans="1:10" x14ac:dyDescent="0.2">
      <c r="A184" s="16">
        <v>2</v>
      </c>
      <c r="B184" s="15">
        <v>2</v>
      </c>
      <c r="C184" s="15">
        <v>8</v>
      </c>
      <c r="D184" s="15">
        <v>3</v>
      </c>
      <c r="E184" s="15"/>
      <c r="F184" s="33" t="s">
        <v>229</v>
      </c>
      <c r="G184" s="12">
        <f>SUM(G185)</f>
        <v>0</v>
      </c>
      <c r="H184" s="12">
        <f>SUM(H185)</f>
        <v>0</v>
      </c>
      <c r="I184" s="12">
        <f t="shared" si="6"/>
        <v>0</v>
      </c>
      <c r="J184" s="11"/>
    </row>
    <row r="185" spans="1:10" x14ac:dyDescent="0.2">
      <c r="A185" s="10">
        <v>2</v>
      </c>
      <c r="B185" s="9">
        <v>2</v>
      </c>
      <c r="C185" s="9">
        <v>8</v>
      </c>
      <c r="D185" s="9">
        <v>3</v>
      </c>
      <c r="E185" s="24" t="s">
        <v>44</v>
      </c>
      <c r="F185" s="32" t="s">
        <v>229</v>
      </c>
      <c r="G185" s="7">
        <f>'[1]CUENTA T FONDO 100'!CQ145</f>
        <v>0</v>
      </c>
      <c r="H185" s="7">
        <f>'[1]CUENTA T VS'!CQ96</f>
        <v>0</v>
      </c>
      <c r="I185" s="7">
        <f t="shared" si="6"/>
        <v>0</v>
      </c>
      <c r="J185" s="6">
        <f>I185/$I$25</f>
        <v>0</v>
      </c>
    </row>
    <row r="186" spans="1:10" x14ac:dyDescent="0.2">
      <c r="A186" s="16">
        <v>2</v>
      </c>
      <c r="B186" s="15">
        <v>2</v>
      </c>
      <c r="C186" s="15">
        <v>8</v>
      </c>
      <c r="D186" s="15">
        <v>4</v>
      </c>
      <c r="E186" s="15"/>
      <c r="F186" s="33" t="s">
        <v>57</v>
      </c>
      <c r="G186" s="12">
        <f>SUM(G187)</f>
        <v>0</v>
      </c>
      <c r="H186" s="12">
        <f>SUM(H187)</f>
        <v>0</v>
      </c>
      <c r="I186" s="12">
        <f t="shared" si="6"/>
        <v>0</v>
      </c>
      <c r="J186" s="11"/>
    </row>
    <row r="187" spans="1:10" x14ac:dyDescent="0.2">
      <c r="A187" s="10">
        <v>2</v>
      </c>
      <c r="B187" s="9">
        <v>2</v>
      </c>
      <c r="C187" s="9">
        <v>8</v>
      </c>
      <c r="D187" s="9">
        <v>4</v>
      </c>
      <c r="E187" s="24" t="s">
        <v>44</v>
      </c>
      <c r="F187" s="32" t="s">
        <v>57</v>
      </c>
      <c r="G187" s="7">
        <f>'[1]CUENTA T FONDO 100'!CR145</f>
        <v>0</v>
      </c>
      <c r="H187" s="7">
        <f>'[1]CUENTA T VS'!CR96</f>
        <v>0</v>
      </c>
      <c r="I187" s="7">
        <f t="shared" si="6"/>
        <v>0</v>
      </c>
      <c r="J187" s="6">
        <f>I187/$I$25</f>
        <v>0</v>
      </c>
    </row>
    <row r="188" spans="1:10" x14ac:dyDescent="0.2">
      <c r="A188" s="16">
        <v>2</v>
      </c>
      <c r="B188" s="15">
        <v>2</v>
      </c>
      <c r="C188" s="15">
        <v>8</v>
      </c>
      <c r="D188" s="15">
        <v>5</v>
      </c>
      <c r="E188" s="15"/>
      <c r="F188" s="33" t="s">
        <v>56</v>
      </c>
      <c r="G188" s="12">
        <f>SUM(G189:G191)</f>
        <v>0</v>
      </c>
      <c r="H188" s="12">
        <f>SUM(H189:H191)</f>
        <v>0</v>
      </c>
      <c r="I188" s="12">
        <f t="shared" si="6"/>
        <v>0</v>
      </c>
      <c r="J188" s="11"/>
    </row>
    <row r="189" spans="1:10" x14ac:dyDescent="0.2">
      <c r="A189" s="10">
        <v>2</v>
      </c>
      <c r="B189" s="9">
        <v>2</v>
      </c>
      <c r="C189" s="9">
        <v>8</v>
      </c>
      <c r="D189" s="9">
        <v>5</v>
      </c>
      <c r="E189" s="24" t="s">
        <v>44</v>
      </c>
      <c r="F189" s="32" t="s">
        <v>55</v>
      </c>
      <c r="G189" s="7">
        <f>'[1]CUENTA T FONDO 100'!CS145</f>
        <v>0</v>
      </c>
      <c r="H189" s="7">
        <f>'[1]CUENTA T VS'!CS96</f>
        <v>0</v>
      </c>
      <c r="I189" s="7">
        <f t="shared" si="6"/>
        <v>0</v>
      </c>
      <c r="J189" s="6">
        <f>I189/$I$25</f>
        <v>0</v>
      </c>
    </row>
    <row r="190" spans="1:10" x14ac:dyDescent="0.2">
      <c r="A190" s="10">
        <v>2</v>
      </c>
      <c r="B190" s="9">
        <v>2</v>
      </c>
      <c r="C190" s="9">
        <v>8</v>
      </c>
      <c r="D190" s="9">
        <v>5</v>
      </c>
      <c r="E190" s="24" t="s">
        <v>43</v>
      </c>
      <c r="F190" s="32" t="s">
        <v>54</v>
      </c>
      <c r="G190" s="7">
        <f>'[1]CUENTA T FONDO 100'!CT145</f>
        <v>0</v>
      </c>
      <c r="H190" s="7">
        <f>'[1]CUENTA T VS'!CT96</f>
        <v>0</v>
      </c>
      <c r="I190" s="7">
        <f t="shared" si="6"/>
        <v>0</v>
      </c>
      <c r="J190" s="6">
        <f>I190/$I$25</f>
        <v>0</v>
      </c>
    </row>
    <row r="191" spans="1:10" x14ac:dyDescent="0.2">
      <c r="A191" s="10">
        <v>2</v>
      </c>
      <c r="B191" s="9">
        <v>2</v>
      </c>
      <c r="C191" s="9">
        <v>8</v>
      </c>
      <c r="D191" s="9">
        <v>5</v>
      </c>
      <c r="E191" s="24" t="s">
        <v>104</v>
      </c>
      <c r="F191" s="32" t="s">
        <v>53</v>
      </c>
      <c r="G191" s="7">
        <f>'[1]CUENTA T FONDO 100'!CU145</f>
        <v>0</v>
      </c>
      <c r="H191" s="7">
        <f>'[1]CUENTA T VS'!CU96</f>
        <v>0</v>
      </c>
      <c r="I191" s="7">
        <f t="shared" si="6"/>
        <v>0</v>
      </c>
      <c r="J191" s="6">
        <f>I191/$I$25</f>
        <v>0</v>
      </c>
    </row>
    <row r="192" spans="1:10" x14ac:dyDescent="0.2">
      <c r="A192" s="16">
        <v>2</v>
      </c>
      <c r="B192" s="15">
        <v>2</v>
      </c>
      <c r="C192" s="15">
        <v>8</v>
      </c>
      <c r="D192" s="15">
        <v>6</v>
      </c>
      <c r="E192" s="15"/>
      <c r="F192" s="33" t="s">
        <v>52</v>
      </c>
      <c r="G192" s="12">
        <f>SUM(G193:G196)</f>
        <v>0</v>
      </c>
      <c r="H192" s="12">
        <f>SUM(H193:H196)</f>
        <v>0</v>
      </c>
      <c r="I192" s="12">
        <f t="shared" si="6"/>
        <v>0</v>
      </c>
      <c r="J192" s="11"/>
    </row>
    <row r="193" spans="1:10" x14ac:dyDescent="0.2">
      <c r="A193" s="10">
        <v>2</v>
      </c>
      <c r="B193" s="9">
        <v>2</v>
      </c>
      <c r="C193" s="9">
        <v>8</v>
      </c>
      <c r="D193" s="9">
        <v>6</v>
      </c>
      <c r="E193" s="24" t="s">
        <v>44</v>
      </c>
      <c r="F193" s="32" t="s">
        <v>228</v>
      </c>
      <c r="G193" s="7">
        <f>'[1]CUENTA T FONDO 100'!CV145</f>
        <v>0</v>
      </c>
      <c r="H193" s="7">
        <f>'[1]CUENTA T VS'!CV96</f>
        <v>0</v>
      </c>
      <c r="I193" s="7">
        <f t="shared" si="6"/>
        <v>0</v>
      </c>
      <c r="J193" s="6">
        <f>I193/$I$25</f>
        <v>0</v>
      </c>
    </row>
    <row r="194" spans="1:10" x14ac:dyDescent="0.2">
      <c r="A194" s="10">
        <v>2</v>
      </c>
      <c r="B194" s="9">
        <v>2</v>
      </c>
      <c r="C194" s="9">
        <v>8</v>
      </c>
      <c r="D194" s="9">
        <v>6</v>
      </c>
      <c r="E194" s="24" t="s">
        <v>43</v>
      </c>
      <c r="F194" s="32" t="s">
        <v>51</v>
      </c>
      <c r="G194" s="7">
        <f>'[1]CUENTA T FONDO 100'!CW145</f>
        <v>0</v>
      </c>
      <c r="H194" s="7">
        <f>'[1]CUENTA T VS'!CW96</f>
        <v>0</v>
      </c>
      <c r="I194" s="7">
        <f t="shared" si="6"/>
        <v>0</v>
      </c>
      <c r="J194" s="6">
        <f>I194/$I$25</f>
        <v>0</v>
      </c>
    </row>
    <row r="195" spans="1:10" x14ac:dyDescent="0.2">
      <c r="A195" s="10">
        <v>2</v>
      </c>
      <c r="B195" s="9">
        <v>2</v>
      </c>
      <c r="C195" s="9">
        <v>8</v>
      </c>
      <c r="D195" s="9">
        <v>6</v>
      </c>
      <c r="E195" s="24" t="s">
        <v>104</v>
      </c>
      <c r="F195" s="32" t="s">
        <v>227</v>
      </c>
      <c r="G195" s="7">
        <f>'[1]CUENTA T FONDO 100'!CX145</f>
        <v>0</v>
      </c>
      <c r="H195" s="7">
        <f>'[1]CUENTA T VS'!CX96</f>
        <v>0</v>
      </c>
      <c r="I195" s="7">
        <f t="shared" si="6"/>
        <v>0</v>
      </c>
      <c r="J195" s="6">
        <f>I195/$I$25</f>
        <v>0</v>
      </c>
    </row>
    <row r="196" spans="1:10" x14ac:dyDescent="0.2">
      <c r="A196" s="10">
        <v>2</v>
      </c>
      <c r="B196" s="9">
        <v>2</v>
      </c>
      <c r="C196" s="9">
        <v>8</v>
      </c>
      <c r="D196" s="9">
        <v>6</v>
      </c>
      <c r="E196" s="24" t="s">
        <v>172</v>
      </c>
      <c r="F196" s="32" t="s">
        <v>226</v>
      </c>
      <c r="G196" s="7">
        <f>'[1]CUENTA T FONDO 100'!CY145</f>
        <v>0</v>
      </c>
      <c r="H196" s="7">
        <f>'[1]CUENTA T VS'!CY96</f>
        <v>0</v>
      </c>
      <c r="I196" s="7">
        <f t="shared" si="6"/>
        <v>0</v>
      </c>
      <c r="J196" s="6">
        <f>I196/$I$25</f>
        <v>0</v>
      </c>
    </row>
    <row r="197" spans="1:10" x14ac:dyDescent="0.2">
      <c r="A197" s="16">
        <v>2</v>
      </c>
      <c r="B197" s="15">
        <v>2</v>
      </c>
      <c r="C197" s="15">
        <v>8</v>
      </c>
      <c r="D197" s="15">
        <v>7</v>
      </c>
      <c r="E197" s="15"/>
      <c r="F197" s="33" t="s">
        <v>225</v>
      </c>
      <c r="G197" s="12">
        <f>SUM(G198:G203)</f>
        <v>0</v>
      </c>
      <c r="H197" s="12">
        <f>SUM(H198:H203)</f>
        <v>193432</v>
      </c>
      <c r="I197" s="12">
        <f t="shared" si="6"/>
        <v>193432</v>
      </c>
      <c r="J197" s="11"/>
    </row>
    <row r="198" spans="1:10" x14ac:dyDescent="0.2">
      <c r="A198" s="10">
        <v>2</v>
      </c>
      <c r="B198" s="9">
        <v>2</v>
      </c>
      <c r="C198" s="9">
        <v>8</v>
      </c>
      <c r="D198" s="9">
        <v>7</v>
      </c>
      <c r="E198" s="24" t="s">
        <v>44</v>
      </c>
      <c r="F198" s="32" t="s">
        <v>224</v>
      </c>
      <c r="G198" s="7">
        <f>'[1]CUENTA T FONDO 100'!CZ145</f>
        <v>0</v>
      </c>
      <c r="H198" s="7">
        <f>'[1]CUENTA T VS'!CZ96</f>
        <v>0</v>
      </c>
      <c r="I198" s="7">
        <f t="shared" si="6"/>
        <v>0</v>
      </c>
      <c r="J198" s="6">
        <f t="shared" ref="J198:J203" si="9">I198/$I$25</f>
        <v>0</v>
      </c>
    </row>
    <row r="199" spans="1:10" x14ac:dyDescent="0.2">
      <c r="A199" s="10">
        <v>2</v>
      </c>
      <c r="B199" s="9">
        <v>2</v>
      </c>
      <c r="C199" s="9">
        <v>8</v>
      </c>
      <c r="D199" s="9">
        <v>7</v>
      </c>
      <c r="E199" s="24" t="s">
        <v>43</v>
      </c>
      <c r="F199" s="32" t="s">
        <v>223</v>
      </c>
      <c r="G199" s="7">
        <f>'[1]CUENTA T FONDO 100'!DA145</f>
        <v>0</v>
      </c>
      <c r="H199" s="7">
        <f>'[1]CUENTA T VS'!DA96</f>
        <v>0</v>
      </c>
      <c r="I199" s="7">
        <f t="shared" si="6"/>
        <v>0</v>
      </c>
      <c r="J199" s="6">
        <f t="shared" si="9"/>
        <v>0</v>
      </c>
    </row>
    <row r="200" spans="1:10" x14ac:dyDescent="0.2">
      <c r="A200" s="10">
        <v>2</v>
      </c>
      <c r="B200" s="9">
        <v>2</v>
      </c>
      <c r="C200" s="9">
        <v>8</v>
      </c>
      <c r="D200" s="9">
        <v>7</v>
      </c>
      <c r="E200" s="24" t="s">
        <v>104</v>
      </c>
      <c r="F200" s="32" t="s">
        <v>222</v>
      </c>
      <c r="G200" s="7">
        <f>'[1]CUENTA T FONDO 100'!DB145</f>
        <v>0</v>
      </c>
      <c r="H200" s="7">
        <f>'[1]CUENTA T VS'!DB96</f>
        <v>0</v>
      </c>
      <c r="I200" s="7">
        <f t="shared" si="6"/>
        <v>0</v>
      </c>
      <c r="J200" s="6">
        <f t="shared" si="9"/>
        <v>0</v>
      </c>
    </row>
    <row r="201" spans="1:10" x14ac:dyDescent="0.2">
      <c r="A201" s="10">
        <v>2</v>
      </c>
      <c r="B201" s="9">
        <v>2</v>
      </c>
      <c r="C201" s="9">
        <v>8</v>
      </c>
      <c r="D201" s="9">
        <v>7</v>
      </c>
      <c r="E201" s="24" t="s">
        <v>172</v>
      </c>
      <c r="F201" s="32" t="s">
        <v>221</v>
      </c>
      <c r="G201" s="7">
        <f>'[1]CUENTA T FONDO 100'!DC145</f>
        <v>0</v>
      </c>
      <c r="H201" s="7">
        <f>'[1]CUENTA T VS'!DC96</f>
        <v>0</v>
      </c>
      <c r="I201" s="7">
        <f t="shared" si="6"/>
        <v>0</v>
      </c>
      <c r="J201" s="6">
        <f t="shared" si="9"/>
        <v>0</v>
      </c>
    </row>
    <row r="202" spans="1:10" ht="25.5" x14ac:dyDescent="0.2">
      <c r="A202" s="10">
        <v>2</v>
      </c>
      <c r="B202" s="9">
        <v>2</v>
      </c>
      <c r="C202" s="9">
        <v>8</v>
      </c>
      <c r="D202" s="9">
        <v>7</v>
      </c>
      <c r="E202" s="24" t="s">
        <v>170</v>
      </c>
      <c r="F202" s="32" t="s">
        <v>220</v>
      </c>
      <c r="G202" s="7">
        <f>'[1]CUENTA T FONDO 100'!DD145</f>
        <v>0</v>
      </c>
      <c r="H202" s="7">
        <f>'[1]CUENTA T VS'!DD96</f>
        <v>48852</v>
      </c>
      <c r="I202" s="7">
        <f t="shared" si="6"/>
        <v>48852</v>
      </c>
      <c r="J202" s="6">
        <f t="shared" si="9"/>
        <v>6.4647509283597771E-3</v>
      </c>
    </row>
    <row r="203" spans="1:10" x14ac:dyDescent="0.2">
      <c r="A203" s="10">
        <v>2</v>
      </c>
      <c r="B203" s="9">
        <v>2</v>
      </c>
      <c r="C203" s="9">
        <v>8</v>
      </c>
      <c r="D203" s="9">
        <v>7</v>
      </c>
      <c r="E203" s="24" t="s">
        <v>61</v>
      </c>
      <c r="F203" s="32" t="s">
        <v>219</v>
      </c>
      <c r="G203" s="7">
        <f>'[1]CUENTA T FONDO 100'!DE145</f>
        <v>0</v>
      </c>
      <c r="H203" s="7">
        <f>'[1]CUENTA T VS'!DE96</f>
        <v>144580</v>
      </c>
      <c r="I203" s="7">
        <f t="shared" si="6"/>
        <v>144580</v>
      </c>
      <c r="J203" s="6">
        <f t="shared" si="9"/>
        <v>1.9132761999964311E-2</v>
      </c>
    </row>
    <row r="204" spans="1:10" x14ac:dyDescent="0.2">
      <c r="A204" s="16">
        <v>2</v>
      </c>
      <c r="B204" s="15">
        <v>2</v>
      </c>
      <c r="C204" s="15">
        <v>8</v>
      </c>
      <c r="D204" s="15">
        <v>8</v>
      </c>
      <c r="E204" s="15"/>
      <c r="F204" s="33" t="s">
        <v>50</v>
      </c>
      <c r="G204" s="12">
        <f>SUM(G205:G207)</f>
        <v>0</v>
      </c>
      <c r="H204" s="12">
        <f>SUM(H205:H207)</f>
        <v>0</v>
      </c>
      <c r="I204" s="12">
        <f t="shared" si="6"/>
        <v>0</v>
      </c>
      <c r="J204" s="11"/>
    </row>
    <row r="205" spans="1:10" x14ac:dyDescent="0.2">
      <c r="A205" s="10">
        <v>2</v>
      </c>
      <c r="B205" s="9">
        <v>2</v>
      </c>
      <c r="C205" s="9">
        <v>8</v>
      </c>
      <c r="D205" s="9">
        <v>8</v>
      </c>
      <c r="E205" s="24" t="s">
        <v>44</v>
      </c>
      <c r="F205" s="32" t="s">
        <v>49</v>
      </c>
      <c r="G205" s="7">
        <f>'[1]CUENTA T FONDO 100'!DF145</f>
        <v>0</v>
      </c>
      <c r="H205" s="7">
        <f>'[1]CUENTA T VS'!DF96</f>
        <v>0</v>
      </c>
      <c r="I205" s="7">
        <f t="shared" si="6"/>
        <v>0</v>
      </c>
      <c r="J205" s="6">
        <f>I205/$I$25</f>
        <v>0</v>
      </c>
    </row>
    <row r="206" spans="1:10" x14ac:dyDescent="0.2">
      <c r="A206" s="10">
        <v>2</v>
      </c>
      <c r="B206" s="9">
        <v>2</v>
      </c>
      <c r="C206" s="9">
        <v>8</v>
      </c>
      <c r="D206" s="9">
        <v>8</v>
      </c>
      <c r="E206" s="24" t="s">
        <v>43</v>
      </c>
      <c r="F206" s="32" t="s">
        <v>48</v>
      </c>
      <c r="G206" s="7">
        <f>'[1]CUENTA T FONDO 100'!DG145</f>
        <v>0</v>
      </c>
      <c r="H206" s="7">
        <f>'[1]CUENTA T VS'!DG96</f>
        <v>0</v>
      </c>
      <c r="I206" s="7">
        <f t="shared" si="6"/>
        <v>0</v>
      </c>
      <c r="J206" s="6">
        <f>I206/$I$25</f>
        <v>0</v>
      </c>
    </row>
    <row r="207" spans="1:10" x14ac:dyDescent="0.2">
      <c r="A207" s="10">
        <v>2</v>
      </c>
      <c r="B207" s="9">
        <v>2</v>
      </c>
      <c r="C207" s="9">
        <v>8</v>
      </c>
      <c r="D207" s="9">
        <v>8</v>
      </c>
      <c r="E207" s="24" t="s">
        <v>104</v>
      </c>
      <c r="F207" s="32" t="s">
        <v>47</v>
      </c>
      <c r="G207" s="7">
        <f>'[1]CUENTA T FONDO 100'!DH145</f>
        <v>0</v>
      </c>
      <c r="H207" s="7">
        <f>'[1]CUENTA T VS'!DH96</f>
        <v>0</v>
      </c>
      <c r="I207" s="7">
        <f t="shared" si="6"/>
        <v>0</v>
      </c>
      <c r="J207" s="6">
        <f>I207/$I$25</f>
        <v>0</v>
      </c>
    </row>
    <row r="208" spans="1:10" x14ac:dyDescent="0.2">
      <c r="A208" s="30">
        <v>2</v>
      </c>
      <c r="B208" s="22">
        <v>2</v>
      </c>
      <c r="C208" s="22">
        <v>9</v>
      </c>
      <c r="D208" s="22"/>
      <c r="E208" s="22"/>
      <c r="F208" s="34" t="s">
        <v>218</v>
      </c>
      <c r="G208" s="20">
        <f t="shared" ref="G208:H208" si="10">+G209</f>
        <v>0</v>
      </c>
      <c r="H208" s="20">
        <f t="shared" si="10"/>
        <v>0</v>
      </c>
      <c r="I208" s="20">
        <f t="shared" si="6"/>
        <v>0</v>
      </c>
      <c r="J208" s="19"/>
    </row>
    <row r="209" spans="1:10" x14ac:dyDescent="0.2">
      <c r="A209" s="16">
        <v>2</v>
      </c>
      <c r="B209" s="15">
        <v>2</v>
      </c>
      <c r="C209" s="15">
        <v>9</v>
      </c>
      <c r="D209" s="15">
        <v>2</v>
      </c>
      <c r="E209" s="15"/>
      <c r="F209" s="33" t="s">
        <v>46</v>
      </c>
      <c r="G209" s="12">
        <f>G210+G211</f>
        <v>0</v>
      </c>
      <c r="H209" s="12">
        <f t="shared" ref="H209" si="11">H210+H211</f>
        <v>0</v>
      </c>
      <c r="I209" s="12">
        <f t="shared" si="6"/>
        <v>0</v>
      </c>
      <c r="J209" s="11"/>
    </row>
    <row r="210" spans="1:10" x14ac:dyDescent="0.2">
      <c r="A210" s="10">
        <v>2</v>
      </c>
      <c r="B210" s="9">
        <v>2</v>
      </c>
      <c r="C210" s="9">
        <v>9</v>
      </c>
      <c r="D210" s="9">
        <v>2</v>
      </c>
      <c r="E210" s="24" t="s">
        <v>44</v>
      </c>
      <c r="F210" s="32" t="s">
        <v>384</v>
      </c>
      <c r="G210" s="7">
        <f>'[1]CUENTA T FONDO 100'!DI145</f>
        <v>0</v>
      </c>
      <c r="H210" s="7">
        <f>'[1]CUENTA T VS'!DI96</f>
        <v>0</v>
      </c>
      <c r="I210" s="7">
        <f t="shared" si="6"/>
        <v>0</v>
      </c>
      <c r="J210" s="6">
        <f>I210/$I$25</f>
        <v>0</v>
      </c>
    </row>
    <row r="211" spans="1:10" x14ac:dyDescent="0.2">
      <c r="A211" s="10">
        <v>2</v>
      </c>
      <c r="B211" s="9">
        <v>2</v>
      </c>
      <c r="C211" s="9">
        <v>9</v>
      </c>
      <c r="D211" s="9">
        <v>2</v>
      </c>
      <c r="E211" s="24" t="s">
        <v>104</v>
      </c>
      <c r="F211" s="32" t="s">
        <v>385</v>
      </c>
      <c r="G211" s="7">
        <f>'[1]CUENTA T FONDO 100'!DJ145</f>
        <v>0</v>
      </c>
      <c r="H211" s="7">
        <f>'[1]CUENTA T VS'!DJ96</f>
        <v>0</v>
      </c>
      <c r="I211" s="7">
        <f t="shared" si="6"/>
        <v>0</v>
      </c>
      <c r="J211" s="6">
        <f>I211/$I$25</f>
        <v>0</v>
      </c>
    </row>
    <row r="212" spans="1:10" x14ac:dyDescent="0.2">
      <c r="A212" s="23">
        <v>2</v>
      </c>
      <c r="B212" s="22">
        <v>3</v>
      </c>
      <c r="C212" s="22"/>
      <c r="D212" s="22"/>
      <c r="E212" s="22"/>
      <c r="F212" s="34" t="s">
        <v>217</v>
      </c>
      <c r="G212" s="20">
        <f>G213+G225+G232+G245+G250+G261+G286+G303+G308</f>
        <v>0</v>
      </c>
      <c r="H212" s="20">
        <f>H213+H225+H232+H245+H250+H261+H286+H303+H308</f>
        <v>2432378.29</v>
      </c>
      <c r="I212" s="20">
        <f t="shared" si="6"/>
        <v>2432378.29</v>
      </c>
      <c r="J212" s="19">
        <f>I212/$I$25</f>
        <v>0.32188487284859713</v>
      </c>
    </row>
    <row r="213" spans="1:10" x14ac:dyDescent="0.2">
      <c r="A213" s="23">
        <v>2</v>
      </c>
      <c r="B213" s="22">
        <v>3</v>
      </c>
      <c r="C213" s="22">
        <v>1</v>
      </c>
      <c r="D213" s="22"/>
      <c r="E213" s="22"/>
      <c r="F213" s="34" t="s">
        <v>216</v>
      </c>
      <c r="G213" s="20">
        <f>+G214+G217+G219+G223</f>
        <v>0</v>
      </c>
      <c r="H213" s="20">
        <f>+H214+H217+H219+H223</f>
        <v>300691.8</v>
      </c>
      <c r="I213" s="20">
        <f t="shared" si="6"/>
        <v>300691.8</v>
      </c>
      <c r="J213" s="19"/>
    </row>
    <row r="214" spans="1:10" x14ac:dyDescent="0.2">
      <c r="A214" s="18">
        <v>2</v>
      </c>
      <c r="B214" s="15">
        <v>3</v>
      </c>
      <c r="C214" s="15">
        <v>1</v>
      </c>
      <c r="D214" s="15">
        <v>1</v>
      </c>
      <c r="E214" s="14"/>
      <c r="F214" s="33" t="s">
        <v>45</v>
      </c>
      <c r="G214" s="12">
        <f>SUM(G215:G216)</f>
        <v>0</v>
      </c>
      <c r="H214" s="12">
        <f>SUM(H215:H216)</f>
        <v>300691.8</v>
      </c>
      <c r="I214" s="12">
        <f t="shared" si="6"/>
        <v>300691.8</v>
      </c>
      <c r="J214" s="11"/>
    </row>
    <row r="215" spans="1:10" x14ac:dyDescent="0.2">
      <c r="A215" s="17">
        <v>2</v>
      </c>
      <c r="B215" s="9">
        <v>3</v>
      </c>
      <c r="C215" s="9">
        <v>1</v>
      </c>
      <c r="D215" s="9">
        <v>1</v>
      </c>
      <c r="E215" s="24" t="s">
        <v>44</v>
      </c>
      <c r="F215" s="32" t="s">
        <v>45</v>
      </c>
      <c r="G215" s="7">
        <f>'[1]CUENTA T FONDO 100'!DK145</f>
        <v>0</v>
      </c>
      <c r="H215" s="7">
        <f>'[1]CUENTA T VS'!DK96</f>
        <v>300691.8</v>
      </c>
      <c r="I215" s="7">
        <f t="shared" si="6"/>
        <v>300691.8</v>
      </c>
      <c r="J215" s="6">
        <f>I215/$I$25</f>
        <v>3.9791566224518383E-2</v>
      </c>
    </row>
    <row r="216" spans="1:10" x14ac:dyDescent="0.2">
      <c r="A216" s="17">
        <v>2</v>
      </c>
      <c r="B216" s="9">
        <v>3</v>
      </c>
      <c r="C216" s="9">
        <v>1</v>
      </c>
      <c r="D216" s="9">
        <v>1</v>
      </c>
      <c r="E216" s="24" t="s">
        <v>43</v>
      </c>
      <c r="F216" s="32" t="s">
        <v>215</v>
      </c>
      <c r="G216" s="7">
        <f>'[1]CUENTA T FONDO 100'!DL145</f>
        <v>0</v>
      </c>
      <c r="H216" s="7">
        <f>'[1]CUENTA T VS'!DL96</f>
        <v>0</v>
      </c>
      <c r="I216" s="7">
        <f t="shared" si="6"/>
        <v>0</v>
      </c>
      <c r="J216" s="6">
        <f>I216/$I$25</f>
        <v>0</v>
      </c>
    </row>
    <row r="217" spans="1:10" x14ac:dyDescent="0.2">
      <c r="A217" s="18">
        <v>2</v>
      </c>
      <c r="B217" s="15">
        <v>3</v>
      </c>
      <c r="C217" s="15">
        <v>1</v>
      </c>
      <c r="D217" s="15">
        <v>2</v>
      </c>
      <c r="E217" s="14"/>
      <c r="F217" s="33" t="s">
        <v>214</v>
      </c>
      <c r="G217" s="12">
        <f>SUM(G218)</f>
        <v>0</v>
      </c>
      <c r="H217" s="12">
        <f>SUM(H218)</f>
        <v>0</v>
      </c>
      <c r="I217" s="12">
        <f t="shared" ref="I217:I280" si="12">SUM(G217:H217)</f>
        <v>0</v>
      </c>
      <c r="J217" s="11"/>
    </row>
    <row r="218" spans="1:10" x14ac:dyDescent="0.2">
      <c r="A218" s="17">
        <v>2</v>
      </c>
      <c r="B218" s="9">
        <v>3</v>
      </c>
      <c r="C218" s="9">
        <v>1</v>
      </c>
      <c r="D218" s="9">
        <v>2</v>
      </c>
      <c r="E218" s="24" t="s">
        <v>44</v>
      </c>
      <c r="F218" s="32" t="s">
        <v>214</v>
      </c>
      <c r="G218" s="7">
        <f>'[1]CUENTA T FONDO 100'!DM145</f>
        <v>0</v>
      </c>
      <c r="H218" s="7">
        <f>'[1]CUENTA T VS'!DM96</f>
        <v>0</v>
      </c>
      <c r="I218" s="7">
        <f t="shared" si="12"/>
        <v>0</v>
      </c>
      <c r="J218" s="6">
        <f>I218/$I$25</f>
        <v>0</v>
      </c>
    </row>
    <row r="219" spans="1:10" x14ac:dyDescent="0.2">
      <c r="A219" s="18">
        <v>2</v>
      </c>
      <c r="B219" s="15">
        <v>3</v>
      </c>
      <c r="C219" s="15">
        <v>1</v>
      </c>
      <c r="D219" s="15">
        <v>3</v>
      </c>
      <c r="E219" s="15"/>
      <c r="F219" s="33" t="s">
        <v>213</v>
      </c>
      <c r="G219" s="12">
        <f>SUM(G220:G222)</f>
        <v>0</v>
      </c>
      <c r="H219" s="12">
        <f>SUM(H220:H222)</f>
        <v>0</v>
      </c>
      <c r="I219" s="12">
        <f t="shared" si="12"/>
        <v>0</v>
      </c>
      <c r="J219" s="11"/>
    </row>
    <row r="220" spans="1:10" x14ac:dyDescent="0.2">
      <c r="A220" s="17">
        <v>2</v>
      </c>
      <c r="B220" s="9">
        <v>3</v>
      </c>
      <c r="C220" s="9">
        <v>1</v>
      </c>
      <c r="D220" s="9">
        <v>3</v>
      </c>
      <c r="E220" s="24" t="s">
        <v>44</v>
      </c>
      <c r="F220" s="32" t="s">
        <v>212</v>
      </c>
      <c r="G220" s="7">
        <f>'[1]CUENTA T FONDO 100'!DN145</f>
        <v>0</v>
      </c>
      <c r="H220" s="7">
        <f>'[1]CUENTA T VS'!DN96</f>
        <v>0</v>
      </c>
      <c r="I220" s="7">
        <f t="shared" si="12"/>
        <v>0</v>
      </c>
      <c r="J220" s="6">
        <f>I220/$I$25</f>
        <v>0</v>
      </c>
    </row>
    <row r="221" spans="1:10" x14ac:dyDescent="0.2">
      <c r="A221" s="17">
        <v>2</v>
      </c>
      <c r="B221" s="9">
        <v>3</v>
      </c>
      <c r="C221" s="9">
        <v>1</v>
      </c>
      <c r="D221" s="9">
        <v>3</v>
      </c>
      <c r="E221" s="24" t="s">
        <v>43</v>
      </c>
      <c r="F221" s="32" t="s">
        <v>211</v>
      </c>
      <c r="G221" s="7">
        <f>'[1]CUENTA T FONDO 100'!DO145</f>
        <v>0</v>
      </c>
      <c r="H221" s="7">
        <f>'[1]CUENTA T VS'!DO96</f>
        <v>0</v>
      </c>
      <c r="I221" s="7">
        <f t="shared" si="12"/>
        <v>0</v>
      </c>
      <c r="J221" s="6">
        <f>I221/$I$25</f>
        <v>0</v>
      </c>
    </row>
    <row r="222" spans="1:10" x14ac:dyDescent="0.2">
      <c r="A222" s="17">
        <v>2</v>
      </c>
      <c r="B222" s="9">
        <v>3</v>
      </c>
      <c r="C222" s="9">
        <v>1</v>
      </c>
      <c r="D222" s="9">
        <v>3</v>
      </c>
      <c r="E222" s="24" t="s">
        <v>104</v>
      </c>
      <c r="F222" s="32" t="s">
        <v>210</v>
      </c>
      <c r="G222" s="7">
        <f>'[1]CUENTA T FONDO 100'!DP145</f>
        <v>0</v>
      </c>
      <c r="H222" s="7">
        <f>'[1]CUENTA T VS'!DP96</f>
        <v>0</v>
      </c>
      <c r="I222" s="7">
        <f t="shared" si="12"/>
        <v>0</v>
      </c>
      <c r="J222" s="6">
        <f>I222/$I$25</f>
        <v>0</v>
      </c>
    </row>
    <row r="223" spans="1:10" x14ac:dyDescent="0.2">
      <c r="A223" s="18">
        <v>2</v>
      </c>
      <c r="B223" s="15">
        <v>3</v>
      </c>
      <c r="C223" s="15">
        <v>1</v>
      </c>
      <c r="D223" s="15">
        <v>4</v>
      </c>
      <c r="E223" s="15"/>
      <c r="F223" s="33" t="s">
        <v>209</v>
      </c>
      <c r="G223" s="12">
        <f>SUM(G224)</f>
        <v>0</v>
      </c>
      <c r="H223" s="12">
        <f>SUM(H224)</f>
        <v>0</v>
      </c>
      <c r="I223" s="12">
        <f t="shared" si="12"/>
        <v>0</v>
      </c>
      <c r="J223" s="11"/>
    </row>
    <row r="224" spans="1:10" x14ac:dyDescent="0.2">
      <c r="A224" s="17">
        <v>2</v>
      </c>
      <c r="B224" s="9">
        <v>3</v>
      </c>
      <c r="C224" s="9">
        <v>1</v>
      </c>
      <c r="D224" s="9">
        <v>4</v>
      </c>
      <c r="E224" s="24" t="s">
        <v>44</v>
      </c>
      <c r="F224" s="32" t="s">
        <v>209</v>
      </c>
      <c r="G224" s="7">
        <f>'[1]CUENTA T FONDO 100'!DQ145</f>
        <v>0</v>
      </c>
      <c r="H224" s="7">
        <f>'[1]CUENTA T VS'!DQ96</f>
        <v>0</v>
      </c>
      <c r="I224" s="7">
        <f t="shared" si="12"/>
        <v>0</v>
      </c>
      <c r="J224" s="6">
        <f>I224/$I$25</f>
        <v>0</v>
      </c>
    </row>
    <row r="225" spans="1:10" x14ac:dyDescent="0.2">
      <c r="A225" s="23">
        <v>2</v>
      </c>
      <c r="B225" s="22">
        <v>3</v>
      </c>
      <c r="C225" s="22">
        <v>2</v>
      </c>
      <c r="D225" s="22"/>
      <c r="E225" s="29"/>
      <c r="F225" s="34" t="s">
        <v>208</v>
      </c>
      <c r="G225" s="20">
        <f>+G226+G228+G230</f>
        <v>0</v>
      </c>
      <c r="H225" s="20">
        <f>+H226+H228+H230</f>
        <v>0</v>
      </c>
      <c r="I225" s="20">
        <f t="shared" si="12"/>
        <v>0</v>
      </c>
      <c r="J225" s="19"/>
    </row>
    <row r="226" spans="1:10" x14ac:dyDescent="0.2">
      <c r="A226" s="18">
        <v>2</v>
      </c>
      <c r="B226" s="15">
        <v>3</v>
      </c>
      <c r="C226" s="15">
        <v>2</v>
      </c>
      <c r="D226" s="15">
        <v>1</v>
      </c>
      <c r="E226" s="15"/>
      <c r="F226" s="33" t="s">
        <v>42</v>
      </c>
      <c r="G226" s="12">
        <f>SUM(G227)</f>
        <v>0</v>
      </c>
      <c r="H226" s="12">
        <f>SUM(H227)</f>
        <v>0</v>
      </c>
      <c r="I226" s="12">
        <f t="shared" si="12"/>
        <v>0</v>
      </c>
      <c r="J226" s="11"/>
    </row>
    <row r="227" spans="1:10" x14ac:dyDescent="0.2">
      <c r="A227" s="17">
        <v>2</v>
      </c>
      <c r="B227" s="9">
        <v>3</v>
      </c>
      <c r="C227" s="9">
        <v>2</v>
      </c>
      <c r="D227" s="9">
        <v>1</v>
      </c>
      <c r="E227" s="24" t="s">
        <v>44</v>
      </c>
      <c r="F227" s="32" t="s">
        <v>42</v>
      </c>
      <c r="G227" s="7">
        <f>'[1]CUENTA T FONDO 100'!DR145</f>
        <v>0</v>
      </c>
      <c r="H227" s="7">
        <f>'[1]CUENTA T VS'!DR96</f>
        <v>0</v>
      </c>
      <c r="I227" s="7">
        <f t="shared" si="12"/>
        <v>0</v>
      </c>
      <c r="J227" s="6">
        <f>I227/$I$25</f>
        <v>0</v>
      </c>
    </row>
    <row r="228" spans="1:10" x14ac:dyDescent="0.2">
      <c r="A228" s="18">
        <v>2</v>
      </c>
      <c r="B228" s="15">
        <v>3</v>
      </c>
      <c r="C228" s="15">
        <v>2</v>
      </c>
      <c r="D228" s="15">
        <v>2</v>
      </c>
      <c r="E228" s="15"/>
      <c r="F228" s="33" t="s">
        <v>41</v>
      </c>
      <c r="G228" s="12">
        <f>SUM(G229)</f>
        <v>0</v>
      </c>
      <c r="H228" s="12">
        <f>SUM(H229)</f>
        <v>0</v>
      </c>
      <c r="I228" s="12">
        <f t="shared" si="12"/>
        <v>0</v>
      </c>
      <c r="J228" s="11"/>
    </row>
    <row r="229" spans="1:10" x14ac:dyDescent="0.2">
      <c r="A229" s="17">
        <v>2</v>
      </c>
      <c r="B229" s="9">
        <v>3</v>
      </c>
      <c r="C229" s="9">
        <v>2</v>
      </c>
      <c r="D229" s="9">
        <v>2</v>
      </c>
      <c r="E229" s="24" t="s">
        <v>44</v>
      </c>
      <c r="F229" s="32" t="s">
        <v>41</v>
      </c>
      <c r="G229" s="7">
        <f>'[1]CUENTA T FONDO 100'!DS145</f>
        <v>0</v>
      </c>
      <c r="H229" s="7">
        <f>'[1]CUENTA T VS'!DS96</f>
        <v>0</v>
      </c>
      <c r="I229" s="7">
        <f t="shared" si="12"/>
        <v>0</v>
      </c>
      <c r="J229" s="6">
        <f>I229/$I$25</f>
        <v>0</v>
      </c>
    </row>
    <row r="230" spans="1:10" x14ac:dyDescent="0.2">
      <c r="A230" s="18">
        <v>2</v>
      </c>
      <c r="B230" s="15">
        <v>3</v>
      </c>
      <c r="C230" s="15">
        <v>2</v>
      </c>
      <c r="D230" s="15">
        <v>3</v>
      </c>
      <c r="E230" s="15"/>
      <c r="F230" s="33" t="s">
        <v>40</v>
      </c>
      <c r="G230" s="12">
        <f>SUM(G231)</f>
        <v>0</v>
      </c>
      <c r="H230" s="12">
        <f>SUM(H231)</f>
        <v>0</v>
      </c>
      <c r="I230" s="12">
        <f t="shared" si="12"/>
        <v>0</v>
      </c>
      <c r="J230" s="11"/>
    </row>
    <row r="231" spans="1:10" x14ac:dyDescent="0.2">
      <c r="A231" s="17">
        <v>2</v>
      </c>
      <c r="B231" s="9">
        <v>3</v>
      </c>
      <c r="C231" s="9">
        <v>2</v>
      </c>
      <c r="D231" s="9">
        <v>3</v>
      </c>
      <c r="E231" s="24" t="s">
        <v>44</v>
      </c>
      <c r="F231" s="32" t="s">
        <v>40</v>
      </c>
      <c r="G231" s="7">
        <f>'[1]CUENTA T FONDO 100'!DT145</f>
        <v>0</v>
      </c>
      <c r="H231" s="7">
        <f>'[1]CUENTA T VS'!DT96</f>
        <v>0</v>
      </c>
      <c r="I231" s="7">
        <f t="shared" si="12"/>
        <v>0</v>
      </c>
      <c r="J231" s="6">
        <f>I231/$I$25</f>
        <v>0</v>
      </c>
    </row>
    <row r="232" spans="1:10" x14ac:dyDescent="0.2">
      <c r="A232" s="23">
        <v>2</v>
      </c>
      <c r="B232" s="22">
        <v>3</v>
      </c>
      <c r="C232" s="22">
        <v>3</v>
      </c>
      <c r="D232" s="22"/>
      <c r="E232" s="29"/>
      <c r="F232" s="34" t="s">
        <v>207</v>
      </c>
      <c r="G232" s="20">
        <f>+G233+G235+G237+G239+G241+G243</f>
        <v>0</v>
      </c>
      <c r="H232" s="20">
        <f>+H233+H235+H237+H239+H241+H243</f>
        <v>107616</v>
      </c>
      <c r="I232" s="20">
        <f t="shared" si="12"/>
        <v>107616</v>
      </c>
      <c r="J232" s="19"/>
    </row>
    <row r="233" spans="1:10" x14ac:dyDescent="0.2">
      <c r="A233" s="18">
        <v>2</v>
      </c>
      <c r="B233" s="15">
        <v>3</v>
      </c>
      <c r="C233" s="15">
        <v>3</v>
      </c>
      <c r="D233" s="15">
        <v>1</v>
      </c>
      <c r="E233" s="15"/>
      <c r="F233" s="33" t="s">
        <v>39</v>
      </c>
      <c r="G233" s="12">
        <f>SUM(G234)</f>
        <v>0</v>
      </c>
      <c r="H233" s="12">
        <f>SUM(H234)</f>
        <v>0</v>
      </c>
      <c r="I233" s="12">
        <f t="shared" si="12"/>
        <v>0</v>
      </c>
      <c r="J233" s="11"/>
    </row>
    <row r="234" spans="1:10" x14ac:dyDescent="0.2">
      <c r="A234" s="17">
        <v>2</v>
      </c>
      <c r="B234" s="9">
        <v>3</v>
      </c>
      <c r="C234" s="9">
        <v>3</v>
      </c>
      <c r="D234" s="9">
        <v>1</v>
      </c>
      <c r="E234" s="24" t="s">
        <v>44</v>
      </c>
      <c r="F234" s="32" t="s">
        <v>39</v>
      </c>
      <c r="G234" s="7">
        <f>'[1]CUENTA T FONDO 100'!DU145</f>
        <v>0</v>
      </c>
      <c r="H234" s="7">
        <f>'[1]CUENTA T VS'!DU96</f>
        <v>0</v>
      </c>
      <c r="I234" s="7">
        <f t="shared" si="12"/>
        <v>0</v>
      </c>
      <c r="J234" s="6">
        <f>I234/$I$25</f>
        <v>0</v>
      </c>
    </row>
    <row r="235" spans="1:10" x14ac:dyDescent="0.2">
      <c r="A235" s="18">
        <v>2</v>
      </c>
      <c r="B235" s="15">
        <v>3</v>
      </c>
      <c r="C235" s="15">
        <v>3</v>
      </c>
      <c r="D235" s="15">
        <v>2</v>
      </c>
      <c r="E235" s="15"/>
      <c r="F235" s="33" t="s">
        <v>401</v>
      </c>
      <c r="G235" s="12">
        <f>SUM(G236)</f>
        <v>0</v>
      </c>
      <c r="H235" s="12">
        <f>SUM(H236)</f>
        <v>0</v>
      </c>
      <c r="I235" s="12">
        <f t="shared" si="12"/>
        <v>0</v>
      </c>
      <c r="J235" s="11"/>
    </row>
    <row r="236" spans="1:10" x14ac:dyDescent="0.2">
      <c r="A236" s="17">
        <v>2</v>
      </c>
      <c r="B236" s="9">
        <v>3</v>
      </c>
      <c r="C236" s="9">
        <v>3</v>
      </c>
      <c r="D236" s="9">
        <v>2</v>
      </c>
      <c r="E236" s="24" t="s">
        <v>44</v>
      </c>
      <c r="F236" s="32" t="s">
        <v>401</v>
      </c>
      <c r="G236" s="7">
        <f>'[1]CUENTA T FONDO 100'!DV145</f>
        <v>0</v>
      </c>
      <c r="H236" s="7">
        <f>'[1]CUENTA T VS'!DV96</f>
        <v>0</v>
      </c>
      <c r="I236" s="7">
        <f t="shared" si="12"/>
        <v>0</v>
      </c>
      <c r="J236" s="6">
        <f>I236/$I$25</f>
        <v>0</v>
      </c>
    </row>
    <row r="237" spans="1:10" x14ac:dyDescent="0.2">
      <c r="A237" s="18">
        <v>2</v>
      </c>
      <c r="B237" s="15">
        <v>3</v>
      </c>
      <c r="C237" s="15">
        <v>3</v>
      </c>
      <c r="D237" s="15">
        <v>3</v>
      </c>
      <c r="E237" s="15"/>
      <c r="F237" s="33" t="s">
        <v>38</v>
      </c>
      <c r="G237" s="12">
        <f>SUM(G238)</f>
        <v>0</v>
      </c>
      <c r="H237" s="12">
        <f>SUM(H238)</f>
        <v>107616</v>
      </c>
      <c r="I237" s="12">
        <f t="shared" si="12"/>
        <v>107616</v>
      </c>
      <c r="J237" s="11"/>
    </row>
    <row r="238" spans="1:10" x14ac:dyDescent="0.2">
      <c r="A238" s="17">
        <v>2</v>
      </c>
      <c r="B238" s="9">
        <v>3</v>
      </c>
      <c r="C238" s="9">
        <v>3</v>
      </c>
      <c r="D238" s="9">
        <v>3</v>
      </c>
      <c r="E238" s="24" t="s">
        <v>44</v>
      </c>
      <c r="F238" s="32" t="s">
        <v>38</v>
      </c>
      <c r="G238" s="7">
        <f>'[1]CUENTA T FONDO 100'!DW145</f>
        <v>0</v>
      </c>
      <c r="H238" s="7">
        <f>'[1]CUENTA T VS'!DW96</f>
        <v>107616</v>
      </c>
      <c r="I238" s="7">
        <f t="shared" si="12"/>
        <v>107616</v>
      </c>
      <c r="J238" s="6">
        <f>I238/$I$25</f>
        <v>1.4241190450879508E-2</v>
      </c>
    </row>
    <row r="239" spans="1:10" x14ac:dyDescent="0.2">
      <c r="A239" s="18">
        <v>2</v>
      </c>
      <c r="B239" s="15">
        <v>3</v>
      </c>
      <c r="C239" s="15">
        <v>3</v>
      </c>
      <c r="D239" s="15">
        <v>4</v>
      </c>
      <c r="E239" s="15"/>
      <c r="F239" s="33" t="s">
        <v>37</v>
      </c>
      <c r="G239" s="12">
        <f>SUM(G240)</f>
        <v>0</v>
      </c>
      <c r="H239" s="12">
        <f>SUM(H240)</f>
        <v>0</v>
      </c>
      <c r="I239" s="12">
        <f t="shared" si="12"/>
        <v>0</v>
      </c>
      <c r="J239" s="11"/>
    </row>
    <row r="240" spans="1:10" x14ac:dyDescent="0.2">
      <c r="A240" s="17">
        <v>2</v>
      </c>
      <c r="B240" s="9">
        <v>3</v>
      </c>
      <c r="C240" s="9">
        <v>3</v>
      </c>
      <c r="D240" s="9">
        <v>4</v>
      </c>
      <c r="E240" s="24" t="s">
        <v>44</v>
      </c>
      <c r="F240" s="32" t="s">
        <v>37</v>
      </c>
      <c r="G240" s="7">
        <f>'[1]CUENTA T FONDO 100'!DX145</f>
        <v>0</v>
      </c>
      <c r="H240" s="7">
        <f>'[1]CUENTA T VS'!DX96</f>
        <v>0</v>
      </c>
      <c r="I240" s="7">
        <f t="shared" si="12"/>
        <v>0</v>
      </c>
      <c r="J240" s="6">
        <f>I240/$I$25</f>
        <v>0</v>
      </c>
    </row>
    <row r="241" spans="1:10" x14ac:dyDescent="0.2">
      <c r="A241" s="18">
        <v>2</v>
      </c>
      <c r="B241" s="15">
        <v>3</v>
      </c>
      <c r="C241" s="15">
        <v>3</v>
      </c>
      <c r="D241" s="15">
        <v>5</v>
      </c>
      <c r="E241" s="15"/>
      <c r="F241" s="33" t="s">
        <v>206</v>
      </c>
      <c r="G241" s="12">
        <f>SUM(G242)</f>
        <v>0</v>
      </c>
      <c r="H241" s="12">
        <f>SUM(H242)</f>
        <v>0</v>
      </c>
      <c r="I241" s="12">
        <f t="shared" si="12"/>
        <v>0</v>
      </c>
      <c r="J241" s="11"/>
    </row>
    <row r="242" spans="1:10" x14ac:dyDescent="0.2">
      <c r="A242" s="17">
        <v>2</v>
      </c>
      <c r="B242" s="9">
        <v>3</v>
      </c>
      <c r="C242" s="9">
        <v>3</v>
      </c>
      <c r="D242" s="9">
        <v>5</v>
      </c>
      <c r="E242" s="24" t="s">
        <v>44</v>
      </c>
      <c r="F242" s="32" t="s">
        <v>206</v>
      </c>
      <c r="G242" s="7">
        <f>'[1]CUENTA T FONDO 100'!DY145</f>
        <v>0</v>
      </c>
      <c r="H242" s="7">
        <f>'[1]CUENTA T VS'!DY96</f>
        <v>0</v>
      </c>
      <c r="I242" s="7">
        <f t="shared" si="12"/>
        <v>0</v>
      </c>
      <c r="J242" s="6">
        <f>I242/$I$25</f>
        <v>0</v>
      </c>
    </row>
    <row r="243" spans="1:10" x14ac:dyDescent="0.2">
      <c r="A243" s="18">
        <v>2</v>
      </c>
      <c r="B243" s="15">
        <v>3</v>
      </c>
      <c r="C243" s="15">
        <v>3</v>
      </c>
      <c r="D243" s="15">
        <v>6</v>
      </c>
      <c r="E243" s="15"/>
      <c r="F243" s="33" t="s">
        <v>205</v>
      </c>
      <c r="G243" s="12">
        <f>SUM(G244)</f>
        <v>0</v>
      </c>
      <c r="H243" s="12">
        <f>SUM(H244)</f>
        <v>0</v>
      </c>
      <c r="I243" s="12">
        <f t="shared" si="12"/>
        <v>0</v>
      </c>
      <c r="J243" s="11"/>
    </row>
    <row r="244" spans="1:10" x14ac:dyDescent="0.2">
      <c r="A244" s="17">
        <v>2</v>
      </c>
      <c r="B244" s="9">
        <v>3</v>
      </c>
      <c r="C244" s="9">
        <v>3</v>
      </c>
      <c r="D244" s="9">
        <v>6</v>
      </c>
      <c r="E244" s="24" t="s">
        <v>44</v>
      </c>
      <c r="F244" s="32" t="s">
        <v>205</v>
      </c>
      <c r="G244" s="7">
        <f>'[1]CUENTA T FONDO 100'!DZ145</f>
        <v>0</v>
      </c>
      <c r="H244" s="7">
        <f>'[1]CUENTA T VS'!DZ96</f>
        <v>0</v>
      </c>
      <c r="I244" s="7">
        <f t="shared" si="12"/>
        <v>0</v>
      </c>
      <c r="J244" s="6">
        <f>I244/$I$25</f>
        <v>0</v>
      </c>
    </row>
    <row r="245" spans="1:10" x14ac:dyDescent="0.2">
      <c r="A245" s="23">
        <v>2</v>
      </c>
      <c r="B245" s="22">
        <v>3</v>
      </c>
      <c r="C245" s="22">
        <v>4</v>
      </c>
      <c r="D245" s="22"/>
      <c r="E245" s="29"/>
      <c r="F245" s="34" t="s">
        <v>204</v>
      </c>
      <c r="G245" s="20">
        <f>+G246+G248</f>
        <v>0</v>
      </c>
      <c r="H245" s="20">
        <f>+H246+H248</f>
        <v>0</v>
      </c>
      <c r="I245" s="20">
        <f t="shared" si="12"/>
        <v>0</v>
      </c>
      <c r="J245" s="19"/>
    </row>
    <row r="246" spans="1:10" x14ac:dyDescent="0.2">
      <c r="A246" s="18">
        <v>2</v>
      </c>
      <c r="B246" s="15">
        <v>3</v>
      </c>
      <c r="C246" s="15">
        <v>4</v>
      </c>
      <c r="D246" s="15">
        <v>1</v>
      </c>
      <c r="E246" s="15"/>
      <c r="F246" s="33" t="s">
        <v>36</v>
      </c>
      <c r="G246" s="12">
        <f>SUM(G247)</f>
        <v>0</v>
      </c>
      <c r="H246" s="12">
        <f>SUM(H247)</f>
        <v>0</v>
      </c>
      <c r="I246" s="12">
        <f t="shared" si="12"/>
        <v>0</v>
      </c>
      <c r="J246" s="11"/>
    </row>
    <row r="247" spans="1:10" x14ac:dyDescent="0.2">
      <c r="A247" s="17">
        <v>2</v>
      </c>
      <c r="B247" s="9">
        <v>3</v>
      </c>
      <c r="C247" s="9">
        <v>4</v>
      </c>
      <c r="D247" s="9">
        <v>1</v>
      </c>
      <c r="E247" s="24" t="s">
        <v>44</v>
      </c>
      <c r="F247" s="32" t="s">
        <v>36</v>
      </c>
      <c r="G247" s="7">
        <f>'[1]CUENTA T FONDO 100'!EA145</f>
        <v>0</v>
      </c>
      <c r="H247" s="7">
        <f>'[1]CUENTA T VS'!EA96</f>
        <v>0</v>
      </c>
      <c r="I247" s="7">
        <f t="shared" si="12"/>
        <v>0</v>
      </c>
      <c r="J247" s="6">
        <f>I247/$I$25</f>
        <v>0</v>
      </c>
    </row>
    <row r="248" spans="1:10" x14ac:dyDescent="0.2">
      <c r="A248" s="18">
        <v>2</v>
      </c>
      <c r="B248" s="15">
        <v>3</v>
      </c>
      <c r="C248" s="15">
        <v>4</v>
      </c>
      <c r="D248" s="15">
        <v>2</v>
      </c>
      <c r="E248" s="15"/>
      <c r="F248" s="33" t="s">
        <v>203</v>
      </c>
      <c r="G248" s="12">
        <f>SUM(G249)</f>
        <v>0</v>
      </c>
      <c r="H248" s="12">
        <f>SUM(H249)</f>
        <v>0</v>
      </c>
      <c r="I248" s="12">
        <f t="shared" si="12"/>
        <v>0</v>
      </c>
      <c r="J248" s="11"/>
    </row>
    <row r="249" spans="1:10" x14ac:dyDescent="0.2">
      <c r="A249" s="17">
        <v>2</v>
      </c>
      <c r="B249" s="9">
        <v>3</v>
      </c>
      <c r="C249" s="9">
        <v>4</v>
      </c>
      <c r="D249" s="9">
        <v>2</v>
      </c>
      <c r="E249" s="24" t="s">
        <v>44</v>
      </c>
      <c r="F249" s="32" t="s">
        <v>203</v>
      </c>
      <c r="G249" s="7">
        <f>'[1]CUENTA T FONDO 100'!EB145</f>
        <v>0</v>
      </c>
      <c r="H249" s="7">
        <f>'[1]CUENTA T VS'!EB96</f>
        <v>0</v>
      </c>
      <c r="I249" s="7">
        <f t="shared" si="12"/>
        <v>0</v>
      </c>
      <c r="J249" s="6">
        <f>I249/$I$25</f>
        <v>0</v>
      </c>
    </row>
    <row r="250" spans="1:10" x14ac:dyDescent="0.2">
      <c r="A250" s="23">
        <v>2</v>
      </c>
      <c r="B250" s="22">
        <v>3</v>
      </c>
      <c r="C250" s="22">
        <v>5</v>
      </c>
      <c r="D250" s="22"/>
      <c r="E250" s="29"/>
      <c r="F250" s="34" t="s">
        <v>202</v>
      </c>
      <c r="G250" s="20">
        <f>+G251+G253+G255+G257+G259</f>
        <v>0</v>
      </c>
      <c r="H250" s="20">
        <f>+H251+H253+H255+H257+H259</f>
        <v>249831.2</v>
      </c>
      <c r="I250" s="20">
        <f t="shared" si="12"/>
        <v>249831.2</v>
      </c>
      <c r="J250" s="19"/>
    </row>
    <row r="251" spans="1:10" x14ac:dyDescent="0.2">
      <c r="A251" s="18">
        <v>2</v>
      </c>
      <c r="B251" s="15">
        <v>3</v>
      </c>
      <c r="C251" s="15">
        <v>5</v>
      </c>
      <c r="D251" s="15">
        <v>1</v>
      </c>
      <c r="E251" s="15"/>
      <c r="F251" s="33" t="s">
        <v>35</v>
      </c>
      <c r="G251" s="12">
        <f>SUM(G252)</f>
        <v>0</v>
      </c>
      <c r="H251" s="12">
        <f>SUM(H252)</f>
        <v>0</v>
      </c>
      <c r="I251" s="12">
        <f t="shared" si="12"/>
        <v>0</v>
      </c>
      <c r="J251" s="11"/>
    </row>
    <row r="252" spans="1:10" x14ac:dyDescent="0.2">
      <c r="A252" s="17">
        <v>2</v>
      </c>
      <c r="B252" s="9">
        <v>3</v>
      </c>
      <c r="C252" s="9">
        <v>5</v>
      </c>
      <c r="D252" s="9">
        <v>1</v>
      </c>
      <c r="E252" s="24" t="s">
        <v>44</v>
      </c>
      <c r="F252" s="32" t="s">
        <v>35</v>
      </c>
      <c r="G252" s="7">
        <f>'[1]CUENTA T FONDO 100'!EC145</f>
        <v>0</v>
      </c>
      <c r="H252" s="7">
        <f>'[1]CUENTA T VS'!EC96</f>
        <v>0</v>
      </c>
      <c r="I252" s="7">
        <f t="shared" si="12"/>
        <v>0</v>
      </c>
      <c r="J252" s="6">
        <f>I252/$I$25</f>
        <v>0</v>
      </c>
    </row>
    <row r="253" spans="1:10" x14ac:dyDescent="0.2">
      <c r="A253" s="18">
        <v>2</v>
      </c>
      <c r="B253" s="15">
        <v>3</v>
      </c>
      <c r="C253" s="15">
        <v>5</v>
      </c>
      <c r="D253" s="15">
        <v>2</v>
      </c>
      <c r="E253" s="15"/>
      <c r="F253" s="33" t="s">
        <v>34</v>
      </c>
      <c r="G253" s="12">
        <f>SUM(G254)</f>
        <v>0</v>
      </c>
      <c r="H253" s="12">
        <f>SUM(H254)</f>
        <v>0</v>
      </c>
      <c r="I253" s="12">
        <f t="shared" si="12"/>
        <v>0</v>
      </c>
      <c r="J253" s="11"/>
    </row>
    <row r="254" spans="1:10" x14ac:dyDescent="0.2">
      <c r="A254" s="17">
        <v>2</v>
      </c>
      <c r="B254" s="9">
        <v>3</v>
      </c>
      <c r="C254" s="9">
        <v>5</v>
      </c>
      <c r="D254" s="9">
        <v>2</v>
      </c>
      <c r="E254" s="24" t="s">
        <v>44</v>
      </c>
      <c r="F254" s="32" t="s">
        <v>34</v>
      </c>
      <c r="G254" s="7">
        <f>'[1]CUENTA T FONDO 100'!ED145</f>
        <v>0</v>
      </c>
      <c r="H254" s="7">
        <f>'[1]CUENTA T VS'!ED96</f>
        <v>0</v>
      </c>
      <c r="I254" s="7">
        <f t="shared" si="12"/>
        <v>0</v>
      </c>
      <c r="J254" s="6">
        <f>I254/$I$25</f>
        <v>0</v>
      </c>
    </row>
    <row r="255" spans="1:10" x14ac:dyDescent="0.2">
      <c r="A255" s="18">
        <v>2</v>
      </c>
      <c r="B255" s="15">
        <v>3</v>
      </c>
      <c r="C255" s="15">
        <v>5</v>
      </c>
      <c r="D255" s="15">
        <v>3</v>
      </c>
      <c r="E255" s="15"/>
      <c r="F255" s="33" t="s">
        <v>33</v>
      </c>
      <c r="G255" s="12">
        <f>SUM(G256)</f>
        <v>0</v>
      </c>
      <c r="H255" s="12">
        <f>SUM(H256)</f>
        <v>0</v>
      </c>
      <c r="I255" s="12">
        <f t="shared" si="12"/>
        <v>0</v>
      </c>
      <c r="J255" s="11"/>
    </row>
    <row r="256" spans="1:10" x14ac:dyDescent="0.2">
      <c r="A256" s="17">
        <v>2</v>
      </c>
      <c r="B256" s="9">
        <v>3</v>
      </c>
      <c r="C256" s="9">
        <v>5</v>
      </c>
      <c r="D256" s="9">
        <v>3</v>
      </c>
      <c r="E256" s="24" t="s">
        <v>44</v>
      </c>
      <c r="F256" s="32" t="s">
        <v>33</v>
      </c>
      <c r="G256" s="7">
        <f>'[1]CUENTA T FONDO 100'!EE145</f>
        <v>0</v>
      </c>
      <c r="H256" s="7">
        <f>'[1]CUENTA T VS'!EE96</f>
        <v>0</v>
      </c>
      <c r="I256" s="7">
        <f t="shared" si="12"/>
        <v>0</v>
      </c>
      <c r="J256" s="6">
        <f>I256/$I$25</f>
        <v>0</v>
      </c>
    </row>
    <row r="257" spans="1:10" x14ac:dyDescent="0.2">
      <c r="A257" s="18">
        <v>2</v>
      </c>
      <c r="B257" s="15">
        <v>3</v>
      </c>
      <c r="C257" s="15">
        <v>5</v>
      </c>
      <c r="D257" s="15">
        <v>4</v>
      </c>
      <c r="E257" s="15"/>
      <c r="F257" s="33" t="s">
        <v>32</v>
      </c>
      <c r="G257" s="12">
        <f>SUM(G258)</f>
        <v>0</v>
      </c>
      <c r="H257" s="12">
        <f>SUM(H258)</f>
        <v>0</v>
      </c>
      <c r="I257" s="12">
        <f t="shared" si="12"/>
        <v>0</v>
      </c>
      <c r="J257" s="11"/>
    </row>
    <row r="258" spans="1:10" x14ac:dyDescent="0.2">
      <c r="A258" s="17">
        <v>2</v>
      </c>
      <c r="B258" s="9">
        <v>3</v>
      </c>
      <c r="C258" s="9">
        <v>5</v>
      </c>
      <c r="D258" s="9">
        <v>4</v>
      </c>
      <c r="E258" s="24" t="s">
        <v>44</v>
      </c>
      <c r="F258" s="32" t="s">
        <v>32</v>
      </c>
      <c r="G258" s="7">
        <f>'[1]CUENTA T FONDO 100'!EF145</f>
        <v>0</v>
      </c>
      <c r="H258" s="7">
        <f>'[1]CUENTA T VS'!EF96</f>
        <v>0</v>
      </c>
      <c r="I258" s="7">
        <f t="shared" si="12"/>
        <v>0</v>
      </c>
      <c r="J258" s="6">
        <f>I258/$I$25</f>
        <v>0</v>
      </c>
    </row>
    <row r="259" spans="1:10" x14ac:dyDescent="0.2">
      <c r="A259" s="18">
        <v>2</v>
      </c>
      <c r="B259" s="15">
        <v>3</v>
      </c>
      <c r="C259" s="15">
        <v>5</v>
      </c>
      <c r="D259" s="15">
        <v>5</v>
      </c>
      <c r="E259" s="15"/>
      <c r="F259" s="33" t="s">
        <v>31</v>
      </c>
      <c r="G259" s="12">
        <f>SUM(G260)</f>
        <v>0</v>
      </c>
      <c r="H259" s="12">
        <f>SUM(H260)</f>
        <v>249831.2</v>
      </c>
      <c r="I259" s="12">
        <f t="shared" si="12"/>
        <v>249831.2</v>
      </c>
      <c r="J259" s="11"/>
    </row>
    <row r="260" spans="1:10" x14ac:dyDescent="0.2">
      <c r="A260" s="17">
        <v>2</v>
      </c>
      <c r="B260" s="9">
        <v>3</v>
      </c>
      <c r="C260" s="9">
        <v>5</v>
      </c>
      <c r="D260" s="9">
        <v>5</v>
      </c>
      <c r="E260" s="24" t="s">
        <v>44</v>
      </c>
      <c r="F260" s="32" t="s">
        <v>31</v>
      </c>
      <c r="G260" s="7">
        <f>'[1]CUENTA T FONDO 100'!EG145</f>
        <v>0</v>
      </c>
      <c r="H260" s="7">
        <f>'[1]CUENTA T VS'!EG96</f>
        <v>249831.2</v>
      </c>
      <c r="I260" s="7">
        <f t="shared" si="12"/>
        <v>249831.2</v>
      </c>
      <c r="J260" s="6">
        <f>I260/$I$25</f>
        <v>3.3061010442422767E-2</v>
      </c>
    </row>
    <row r="261" spans="1:10" x14ac:dyDescent="0.2">
      <c r="A261" s="23">
        <v>2</v>
      </c>
      <c r="B261" s="22">
        <v>3</v>
      </c>
      <c r="C261" s="22">
        <v>6</v>
      </c>
      <c r="D261" s="22"/>
      <c r="E261" s="22"/>
      <c r="F261" s="34" t="s">
        <v>201</v>
      </c>
      <c r="G261" s="20">
        <f>+G262+G268+G272+G276+G284</f>
        <v>0</v>
      </c>
      <c r="H261" s="20">
        <f>+H262+H268+H272+H276+H284</f>
        <v>183732.33000000002</v>
      </c>
      <c r="I261" s="20">
        <f t="shared" si="12"/>
        <v>183732.33000000002</v>
      </c>
      <c r="J261" s="19"/>
    </row>
    <row r="262" spans="1:10" x14ac:dyDescent="0.2">
      <c r="A262" s="18">
        <v>2</v>
      </c>
      <c r="B262" s="15">
        <v>3</v>
      </c>
      <c r="C262" s="15">
        <v>6</v>
      </c>
      <c r="D262" s="15">
        <v>1</v>
      </c>
      <c r="E262" s="15"/>
      <c r="F262" s="33" t="s">
        <v>200</v>
      </c>
      <c r="G262" s="12">
        <f>SUM(G263:G267)</f>
        <v>0</v>
      </c>
      <c r="H262" s="12">
        <f>SUM(H263:H267)</f>
        <v>989.98</v>
      </c>
      <c r="I262" s="12">
        <f t="shared" si="12"/>
        <v>989.98</v>
      </c>
      <c r="J262" s="11"/>
    </row>
    <row r="263" spans="1:10" x14ac:dyDescent="0.2">
      <c r="A263" s="17">
        <v>2</v>
      </c>
      <c r="B263" s="9">
        <v>3</v>
      </c>
      <c r="C263" s="9">
        <v>6</v>
      </c>
      <c r="D263" s="9">
        <v>1</v>
      </c>
      <c r="E263" s="24" t="s">
        <v>44</v>
      </c>
      <c r="F263" s="32" t="s">
        <v>30</v>
      </c>
      <c r="G263" s="7">
        <f>'[1]CUENTA T FONDO 100'!EH145</f>
        <v>0</v>
      </c>
      <c r="H263" s="7">
        <f>'[1]CUENTA T VS'!EH96</f>
        <v>989.98</v>
      </c>
      <c r="I263" s="7">
        <f t="shared" si="12"/>
        <v>989.98</v>
      </c>
      <c r="J263" s="6">
        <f>I263/$I$25</f>
        <v>1.3100741267619773E-4</v>
      </c>
    </row>
    <row r="264" spans="1:10" x14ac:dyDescent="0.2">
      <c r="A264" s="17">
        <v>2</v>
      </c>
      <c r="B264" s="9">
        <v>3</v>
      </c>
      <c r="C264" s="9">
        <v>6</v>
      </c>
      <c r="D264" s="9">
        <v>1</v>
      </c>
      <c r="E264" s="24" t="s">
        <v>43</v>
      </c>
      <c r="F264" s="32" t="s">
        <v>29</v>
      </c>
      <c r="G264" s="7">
        <f>'[1]CUENTA T FONDO 100'!EI145</f>
        <v>0</v>
      </c>
      <c r="H264" s="7">
        <f>'[1]CUENTA T VS'!EI96</f>
        <v>0</v>
      </c>
      <c r="I264" s="7">
        <f t="shared" si="12"/>
        <v>0</v>
      </c>
      <c r="J264" s="6">
        <f>I264/$I$25</f>
        <v>0</v>
      </c>
    </row>
    <row r="265" spans="1:10" x14ac:dyDescent="0.2">
      <c r="A265" s="17">
        <v>2</v>
      </c>
      <c r="B265" s="9">
        <v>3</v>
      </c>
      <c r="C265" s="9">
        <v>6</v>
      </c>
      <c r="D265" s="9">
        <v>1</v>
      </c>
      <c r="E265" s="24" t="s">
        <v>104</v>
      </c>
      <c r="F265" s="32" t="s">
        <v>28</v>
      </c>
      <c r="G265" s="7">
        <f>'[1]CUENTA T FONDO 100'!EJ145</f>
        <v>0</v>
      </c>
      <c r="H265" s="7">
        <f>'[1]CUENTA T VS'!EJ96</f>
        <v>0</v>
      </c>
      <c r="I265" s="7">
        <f t="shared" si="12"/>
        <v>0</v>
      </c>
      <c r="J265" s="6">
        <f>I265/$I$25</f>
        <v>0</v>
      </c>
    </row>
    <row r="266" spans="1:10" x14ac:dyDescent="0.2">
      <c r="A266" s="17">
        <v>2</v>
      </c>
      <c r="B266" s="9">
        <v>3</v>
      </c>
      <c r="C266" s="9">
        <v>6</v>
      </c>
      <c r="D266" s="9">
        <v>1</v>
      </c>
      <c r="E266" s="24" t="s">
        <v>172</v>
      </c>
      <c r="F266" s="32" t="s">
        <v>27</v>
      </c>
      <c r="G266" s="7">
        <f>'[1]CUENTA T FONDO 100'!EK145</f>
        <v>0</v>
      </c>
      <c r="H266" s="7">
        <f>'[1]CUENTA T VS'!EK96</f>
        <v>0</v>
      </c>
      <c r="I266" s="7">
        <f t="shared" si="12"/>
        <v>0</v>
      </c>
      <c r="J266" s="6">
        <f>I266/$I$25</f>
        <v>0</v>
      </c>
    </row>
    <row r="267" spans="1:10" x14ac:dyDescent="0.2">
      <c r="A267" s="17">
        <v>2</v>
      </c>
      <c r="B267" s="9">
        <v>3</v>
      </c>
      <c r="C267" s="9">
        <v>6</v>
      </c>
      <c r="D267" s="9">
        <v>1</v>
      </c>
      <c r="E267" s="24" t="s">
        <v>170</v>
      </c>
      <c r="F267" s="32" t="s">
        <v>26</v>
      </c>
      <c r="G267" s="7">
        <f>'[1]CUENTA T FONDO 100'!EL145</f>
        <v>0</v>
      </c>
      <c r="H267" s="7">
        <f>'[1]CUENTA T VS'!EL96</f>
        <v>0</v>
      </c>
      <c r="I267" s="7">
        <f t="shared" si="12"/>
        <v>0</v>
      </c>
      <c r="J267" s="6">
        <f>I267/$I$25</f>
        <v>0</v>
      </c>
    </row>
    <row r="268" spans="1:10" x14ac:dyDescent="0.2">
      <c r="A268" s="18">
        <v>2</v>
      </c>
      <c r="B268" s="15">
        <v>3</v>
      </c>
      <c r="C268" s="15">
        <v>6</v>
      </c>
      <c r="D268" s="15">
        <v>2</v>
      </c>
      <c r="E268" s="15"/>
      <c r="F268" s="33" t="s">
        <v>25</v>
      </c>
      <c r="G268" s="12">
        <f>SUM(G269:G271)</f>
        <v>0</v>
      </c>
      <c r="H268" s="12">
        <f>SUM(H269:H271)</f>
        <v>123045.27</v>
      </c>
      <c r="I268" s="12">
        <f t="shared" si="12"/>
        <v>123045.27</v>
      </c>
      <c r="J268" s="11"/>
    </row>
    <row r="269" spans="1:10" x14ac:dyDescent="0.2">
      <c r="A269" s="17">
        <v>2</v>
      </c>
      <c r="B269" s="9">
        <v>3</v>
      </c>
      <c r="C269" s="9">
        <v>6</v>
      </c>
      <c r="D269" s="9">
        <v>2</v>
      </c>
      <c r="E269" s="24" t="s">
        <v>44</v>
      </c>
      <c r="F269" s="32" t="s">
        <v>24</v>
      </c>
      <c r="G269" s="7">
        <f>'[1]CUENTA T FONDO 100'!EM145</f>
        <v>0</v>
      </c>
      <c r="H269" s="7">
        <f>'[1]CUENTA T VS'!EM96</f>
        <v>0</v>
      </c>
      <c r="I269" s="7">
        <f t="shared" si="12"/>
        <v>0</v>
      </c>
      <c r="J269" s="6">
        <f>I269/$I$25</f>
        <v>0</v>
      </c>
    </row>
    <row r="270" spans="1:10" x14ac:dyDescent="0.2">
      <c r="A270" s="17">
        <v>2</v>
      </c>
      <c r="B270" s="9">
        <v>3</v>
      </c>
      <c r="C270" s="9">
        <v>6</v>
      </c>
      <c r="D270" s="9">
        <v>2</v>
      </c>
      <c r="E270" s="24" t="s">
        <v>43</v>
      </c>
      <c r="F270" s="32" t="s">
        <v>23</v>
      </c>
      <c r="G270" s="7">
        <f>'[1]CUENTA T FONDO 100'!EN145</f>
        <v>0</v>
      </c>
      <c r="H270" s="7">
        <f>'[1]CUENTA T VS'!EN96</f>
        <v>0</v>
      </c>
      <c r="I270" s="7">
        <f t="shared" si="12"/>
        <v>0</v>
      </c>
      <c r="J270" s="6">
        <f>I270/$I$25</f>
        <v>0</v>
      </c>
    </row>
    <row r="271" spans="1:10" x14ac:dyDescent="0.2">
      <c r="A271" s="17">
        <v>2</v>
      </c>
      <c r="B271" s="9">
        <v>3</v>
      </c>
      <c r="C271" s="9">
        <v>6</v>
      </c>
      <c r="D271" s="9">
        <v>2</v>
      </c>
      <c r="E271" s="24" t="s">
        <v>104</v>
      </c>
      <c r="F271" s="32" t="s">
        <v>22</v>
      </c>
      <c r="G271" s="7">
        <f>'[1]CUENTA T FONDO 100'!EO145</f>
        <v>0</v>
      </c>
      <c r="H271" s="7">
        <f>'[1]CUENTA T VS'!EO96</f>
        <v>123045.27</v>
      </c>
      <c r="I271" s="7">
        <f t="shared" si="12"/>
        <v>123045.27</v>
      </c>
      <c r="J271" s="6">
        <f>I271/$I$25</f>
        <v>1.6282998105763929E-2</v>
      </c>
    </row>
    <row r="272" spans="1:10" x14ac:dyDescent="0.2">
      <c r="A272" s="18">
        <v>2</v>
      </c>
      <c r="B272" s="15">
        <v>3</v>
      </c>
      <c r="C272" s="15">
        <v>6</v>
      </c>
      <c r="D272" s="15">
        <v>3</v>
      </c>
      <c r="E272" s="15"/>
      <c r="F272" s="33" t="s">
        <v>21</v>
      </c>
      <c r="G272" s="12">
        <f>SUM(G273:G275)</f>
        <v>0</v>
      </c>
      <c r="H272" s="12">
        <f>SUM(H273:H275)</f>
        <v>59697.08</v>
      </c>
      <c r="I272" s="12">
        <f t="shared" si="12"/>
        <v>59697.08</v>
      </c>
      <c r="J272" s="11"/>
    </row>
    <row r="273" spans="1:10" x14ac:dyDescent="0.2">
      <c r="A273" s="17">
        <v>2</v>
      </c>
      <c r="B273" s="9">
        <v>3</v>
      </c>
      <c r="C273" s="9">
        <v>6</v>
      </c>
      <c r="D273" s="9">
        <v>3</v>
      </c>
      <c r="E273" s="24" t="s">
        <v>172</v>
      </c>
      <c r="F273" s="32" t="s">
        <v>20</v>
      </c>
      <c r="G273" s="7">
        <f>'[1]CUENTA T FONDO 100'!EP145</f>
        <v>0</v>
      </c>
      <c r="H273" s="7">
        <f>'[1]CUENTA T VS'!EP96</f>
        <v>0</v>
      </c>
      <c r="I273" s="7">
        <f t="shared" si="12"/>
        <v>0</v>
      </c>
      <c r="J273" s="6">
        <f>I273/$I$25</f>
        <v>0</v>
      </c>
    </row>
    <row r="274" spans="1:10" x14ac:dyDescent="0.2">
      <c r="A274" s="17">
        <v>2</v>
      </c>
      <c r="B274" s="9">
        <v>3</v>
      </c>
      <c r="C274" s="9">
        <v>6</v>
      </c>
      <c r="D274" s="9">
        <v>3</v>
      </c>
      <c r="E274" s="24" t="s">
        <v>170</v>
      </c>
      <c r="F274" s="32" t="s">
        <v>19</v>
      </c>
      <c r="G274" s="7">
        <f>'[1]CUENTA T FONDO 100'!EQ145</f>
        <v>0</v>
      </c>
      <c r="H274" s="7">
        <f>'[1]CUENTA T VS'!EQ96</f>
        <v>0</v>
      </c>
      <c r="I274" s="7">
        <f t="shared" si="12"/>
        <v>0</v>
      </c>
      <c r="J274" s="6">
        <f>I274/$I$25</f>
        <v>0</v>
      </c>
    </row>
    <row r="275" spans="1:10" x14ac:dyDescent="0.2">
      <c r="A275" s="17">
        <v>2</v>
      </c>
      <c r="B275" s="9">
        <v>3</v>
      </c>
      <c r="C275" s="9">
        <v>6</v>
      </c>
      <c r="D275" s="9">
        <v>3</v>
      </c>
      <c r="E275" s="24" t="s">
        <v>61</v>
      </c>
      <c r="F275" s="32" t="s">
        <v>18</v>
      </c>
      <c r="G275" s="7">
        <f>'[1]CUENTA T FONDO 100'!ER145</f>
        <v>0</v>
      </c>
      <c r="H275" s="7">
        <f>'[1]CUENTA T VS'!ER96</f>
        <v>59697.08</v>
      </c>
      <c r="I275" s="7">
        <f t="shared" si="12"/>
        <v>59697.08</v>
      </c>
      <c r="J275" s="6">
        <f>I275/$I$25</f>
        <v>7.8999171651184773E-3</v>
      </c>
    </row>
    <row r="276" spans="1:10" x14ac:dyDescent="0.2">
      <c r="A276" s="18">
        <v>2</v>
      </c>
      <c r="B276" s="15">
        <v>3</v>
      </c>
      <c r="C276" s="15">
        <v>6</v>
      </c>
      <c r="D276" s="15">
        <v>4</v>
      </c>
      <c r="E276" s="15"/>
      <c r="F276" s="33" t="s">
        <v>17</v>
      </c>
      <c r="G276" s="12">
        <f>SUM(G277:G283)</f>
        <v>0</v>
      </c>
      <c r="H276" s="12">
        <f>SUM(H277:H283)</f>
        <v>0</v>
      </c>
      <c r="I276" s="12">
        <f t="shared" si="12"/>
        <v>0</v>
      </c>
      <c r="J276" s="11"/>
    </row>
    <row r="277" spans="1:10" x14ac:dyDescent="0.2">
      <c r="A277" s="17">
        <v>2</v>
      </c>
      <c r="B277" s="9">
        <v>3</v>
      </c>
      <c r="C277" s="9">
        <v>6</v>
      </c>
      <c r="D277" s="9">
        <v>4</v>
      </c>
      <c r="E277" s="24" t="s">
        <v>44</v>
      </c>
      <c r="F277" s="32" t="s">
        <v>16</v>
      </c>
      <c r="G277" s="7">
        <f>'[1]CUENTA T FONDO 100'!ES145</f>
        <v>0</v>
      </c>
      <c r="H277" s="7">
        <f>'[1]CUENTA T VS'!ES96</f>
        <v>0</v>
      </c>
      <c r="I277" s="7">
        <f t="shared" si="12"/>
        <v>0</v>
      </c>
      <c r="J277" s="6">
        <f t="shared" ref="J277:J283" si="13">I277/$I$25</f>
        <v>0</v>
      </c>
    </row>
    <row r="278" spans="1:10" x14ac:dyDescent="0.2">
      <c r="A278" s="17">
        <v>2</v>
      </c>
      <c r="B278" s="9">
        <v>3</v>
      </c>
      <c r="C278" s="9">
        <v>6</v>
      </c>
      <c r="D278" s="9">
        <v>4</v>
      </c>
      <c r="E278" s="24" t="s">
        <v>43</v>
      </c>
      <c r="F278" s="32" t="s">
        <v>199</v>
      </c>
      <c r="G278" s="7">
        <f>'[1]CUENTA T FONDO 100'!ET145</f>
        <v>0</v>
      </c>
      <c r="H278" s="7">
        <f>'[1]CUENTA T VS'!ET96</f>
        <v>0</v>
      </c>
      <c r="I278" s="7">
        <f t="shared" si="12"/>
        <v>0</v>
      </c>
      <c r="J278" s="6">
        <f t="shared" si="13"/>
        <v>0</v>
      </c>
    </row>
    <row r="279" spans="1:10" x14ac:dyDescent="0.2">
      <c r="A279" s="17">
        <v>2</v>
      </c>
      <c r="B279" s="9">
        <v>3</v>
      </c>
      <c r="C279" s="9">
        <v>6</v>
      </c>
      <c r="D279" s="9">
        <v>4</v>
      </c>
      <c r="E279" s="24" t="s">
        <v>104</v>
      </c>
      <c r="F279" s="32" t="s">
        <v>15</v>
      </c>
      <c r="G279" s="7">
        <f>'[1]CUENTA T FONDO 100'!EU145</f>
        <v>0</v>
      </c>
      <c r="H279" s="7">
        <f>'[1]CUENTA T VS'!EU96</f>
        <v>0</v>
      </c>
      <c r="I279" s="7">
        <f t="shared" si="12"/>
        <v>0</v>
      </c>
      <c r="J279" s="6">
        <f t="shared" si="13"/>
        <v>0</v>
      </c>
    </row>
    <row r="280" spans="1:10" x14ac:dyDescent="0.2">
      <c r="A280" s="17">
        <v>2</v>
      </c>
      <c r="B280" s="9">
        <v>3</v>
      </c>
      <c r="C280" s="9">
        <v>6</v>
      </c>
      <c r="D280" s="9">
        <v>4</v>
      </c>
      <c r="E280" s="24" t="s">
        <v>172</v>
      </c>
      <c r="F280" s="32" t="s">
        <v>198</v>
      </c>
      <c r="G280" s="7">
        <f>'[1]CUENTA T FONDO 100'!EV145</f>
        <v>0</v>
      </c>
      <c r="H280" s="7">
        <f>'[1]CUENTA T VS'!EV96</f>
        <v>0</v>
      </c>
      <c r="I280" s="7">
        <f t="shared" si="12"/>
        <v>0</v>
      </c>
      <c r="J280" s="6">
        <f t="shared" si="13"/>
        <v>0</v>
      </c>
    </row>
    <row r="281" spans="1:10" x14ac:dyDescent="0.2">
      <c r="A281" s="17">
        <v>2</v>
      </c>
      <c r="B281" s="9">
        <v>3</v>
      </c>
      <c r="C281" s="9">
        <v>6</v>
      </c>
      <c r="D281" s="9">
        <v>4</v>
      </c>
      <c r="E281" s="24" t="s">
        <v>170</v>
      </c>
      <c r="F281" s="32" t="s">
        <v>197</v>
      </c>
      <c r="G281" s="7">
        <f>'[1]CUENTA T FONDO 100'!EW145</f>
        <v>0</v>
      </c>
      <c r="H281" s="7">
        <f>'[1]CUENTA T VS'!EW96</f>
        <v>0</v>
      </c>
      <c r="I281" s="7">
        <f t="shared" ref="I281:I344" si="14">SUM(G281:H281)</f>
        <v>0</v>
      </c>
      <c r="J281" s="6">
        <f t="shared" si="13"/>
        <v>0</v>
      </c>
    </row>
    <row r="282" spans="1:10" x14ac:dyDescent="0.2">
      <c r="A282" s="17">
        <v>2</v>
      </c>
      <c r="B282" s="9">
        <v>3</v>
      </c>
      <c r="C282" s="9">
        <v>6</v>
      </c>
      <c r="D282" s="9">
        <v>4</v>
      </c>
      <c r="E282" s="24" t="s">
        <v>61</v>
      </c>
      <c r="F282" s="32" t="s">
        <v>196</v>
      </c>
      <c r="G282" s="7">
        <f>'[1]CUENTA T FONDO 100'!EX145</f>
        <v>0</v>
      </c>
      <c r="H282" s="7">
        <f>'[1]CUENTA T VS'!EX96</f>
        <v>0</v>
      </c>
      <c r="I282" s="7">
        <f t="shared" si="14"/>
        <v>0</v>
      </c>
      <c r="J282" s="6">
        <f t="shared" si="13"/>
        <v>0</v>
      </c>
    </row>
    <row r="283" spans="1:10" x14ac:dyDescent="0.2">
      <c r="A283" s="17">
        <v>2</v>
      </c>
      <c r="B283" s="9">
        <v>3</v>
      </c>
      <c r="C283" s="9">
        <v>6</v>
      </c>
      <c r="D283" s="9">
        <v>4</v>
      </c>
      <c r="E283" s="24" t="s">
        <v>60</v>
      </c>
      <c r="F283" s="32" t="s">
        <v>14</v>
      </c>
      <c r="G283" s="7">
        <f>'[1]CUENTA T FONDO 100'!EY145</f>
        <v>0</v>
      </c>
      <c r="H283" s="7">
        <f>'[1]CUENTA T VS'!EY96</f>
        <v>0</v>
      </c>
      <c r="I283" s="7">
        <f t="shared" si="14"/>
        <v>0</v>
      </c>
      <c r="J283" s="6">
        <f t="shared" si="13"/>
        <v>0</v>
      </c>
    </row>
    <row r="284" spans="1:10" x14ac:dyDescent="0.2">
      <c r="A284" s="18">
        <v>2</v>
      </c>
      <c r="B284" s="15">
        <v>3</v>
      </c>
      <c r="C284" s="15">
        <v>6</v>
      </c>
      <c r="D284" s="15">
        <v>9</v>
      </c>
      <c r="E284" s="15"/>
      <c r="F284" s="33" t="s">
        <v>195</v>
      </c>
      <c r="G284" s="12">
        <f>SUM(G285)</f>
        <v>0</v>
      </c>
      <c r="H284" s="12">
        <f>SUM(H285)</f>
        <v>0</v>
      </c>
      <c r="I284" s="12">
        <f t="shared" si="14"/>
        <v>0</v>
      </c>
      <c r="J284" s="11"/>
    </row>
    <row r="285" spans="1:10" x14ac:dyDescent="0.2">
      <c r="A285" s="17">
        <v>2</v>
      </c>
      <c r="B285" s="9">
        <v>3</v>
      </c>
      <c r="C285" s="9">
        <v>6</v>
      </c>
      <c r="D285" s="9">
        <v>9</v>
      </c>
      <c r="E285" s="24" t="s">
        <v>44</v>
      </c>
      <c r="F285" s="32" t="s">
        <v>402</v>
      </c>
      <c r="G285" s="7">
        <f>'[1]CUENTA T FONDO 100'!EZ145</f>
        <v>0</v>
      </c>
      <c r="H285" s="7">
        <f>'[1]CUENTA T VS'!EZ96</f>
        <v>0</v>
      </c>
      <c r="I285" s="7">
        <f t="shared" si="14"/>
        <v>0</v>
      </c>
      <c r="J285" s="6">
        <f>I285/$I$25</f>
        <v>0</v>
      </c>
    </row>
    <row r="286" spans="1:10" ht="25.5" x14ac:dyDescent="0.2">
      <c r="A286" s="30">
        <v>2</v>
      </c>
      <c r="B286" s="22">
        <v>3</v>
      </c>
      <c r="C286" s="22">
        <v>7</v>
      </c>
      <c r="D286" s="22"/>
      <c r="E286" s="22"/>
      <c r="F286" s="34" t="s">
        <v>194</v>
      </c>
      <c r="G286" s="20">
        <f>G287+G295</f>
        <v>0</v>
      </c>
      <c r="H286" s="20">
        <f>H287+H295</f>
        <v>1114592.73</v>
      </c>
      <c r="I286" s="20">
        <f t="shared" si="14"/>
        <v>1114592.73</v>
      </c>
      <c r="J286" s="19"/>
    </row>
    <row r="287" spans="1:10" x14ac:dyDescent="0.2">
      <c r="A287" s="18">
        <v>2</v>
      </c>
      <c r="B287" s="15">
        <v>3</v>
      </c>
      <c r="C287" s="15">
        <v>7</v>
      </c>
      <c r="D287" s="15">
        <v>1</v>
      </c>
      <c r="E287" s="15"/>
      <c r="F287" s="33" t="s">
        <v>13</v>
      </c>
      <c r="G287" s="12">
        <f>SUM(G288:G294)</f>
        <v>0</v>
      </c>
      <c r="H287" s="12">
        <f>SUM(H288:H294)</f>
        <v>195844.13</v>
      </c>
      <c r="I287" s="12">
        <f t="shared" si="14"/>
        <v>195844.13</v>
      </c>
      <c r="J287" s="11"/>
    </row>
    <row r="288" spans="1:10" x14ac:dyDescent="0.2">
      <c r="A288" s="17">
        <v>2</v>
      </c>
      <c r="B288" s="9">
        <v>3</v>
      </c>
      <c r="C288" s="9">
        <v>7</v>
      </c>
      <c r="D288" s="9">
        <v>1</v>
      </c>
      <c r="E288" s="24" t="s">
        <v>44</v>
      </c>
      <c r="F288" s="32" t="s">
        <v>12</v>
      </c>
      <c r="G288" s="7">
        <f>'[1]CUENTA T FONDO 100'!FA145</f>
        <v>0</v>
      </c>
      <c r="H288" s="7">
        <f>'[1]CUENTA T VS'!FA96</f>
        <v>172000</v>
      </c>
      <c r="I288" s="7">
        <f t="shared" si="14"/>
        <v>172000</v>
      </c>
      <c r="J288" s="6">
        <f t="shared" ref="J288:J294" si="15">I288/$I$25</f>
        <v>2.2761343643615033E-2</v>
      </c>
    </row>
    <row r="289" spans="1:10" x14ac:dyDescent="0.2">
      <c r="A289" s="17">
        <v>2</v>
      </c>
      <c r="B289" s="9">
        <v>3</v>
      </c>
      <c r="C289" s="9">
        <v>7</v>
      </c>
      <c r="D289" s="9">
        <v>1</v>
      </c>
      <c r="E289" s="24" t="s">
        <v>43</v>
      </c>
      <c r="F289" s="32" t="s">
        <v>11</v>
      </c>
      <c r="G289" s="7">
        <f>'[1]CUENTA T FONDO 100'!FB145</f>
        <v>0</v>
      </c>
      <c r="H289" s="7">
        <f>'[1]CUENTA T VS'!FB96</f>
        <v>0</v>
      </c>
      <c r="I289" s="7">
        <f t="shared" si="14"/>
        <v>0</v>
      </c>
      <c r="J289" s="6">
        <f t="shared" si="15"/>
        <v>0</v>
      </c>
    </row>
    <row r="290" spans="1:10" x14ac:dyDescent="0.2">
      <c r="A290" s="17">
        <v>2</v>
      </c>
      <c r="B290" s="9">
        <v>3</v>
      </c>
      <c r="C290" s="9">
        <v>7</v>
      </c>
      <c r="D290" s="9">
        <v>1</v>
      </c>
      <c r="E290" s="24" t="s">
        <v>104</v>
      </c>
      <c r="F290" s="32" t="s">
        <v>193</v>
      </c>
      <c r="G290" s="7">
        <f>'[1]CUENTA T FONDO 100'!FC145</f>
        <v>0</v>
      </c>
      <c r="H290" s="7">
        <f>'[1]CUENTA T VS'!FC96</f>
        <v>0</v>
      </c>
      <c r="I290" s="7">
        <f t="shared" si="14"/>
        <v>0</v>
      </c>
      <c r="J290" s="6">
        <f t="shared" si="15"/>
        <v>0</v>
      </c>
    </row>
    <row r="291" spans="1:10" x14ac:dyDescent="0.2">
      <c r="A291" s="17">
        <v>2</v>
      </c>
      <c r="B291" s="9">
        <v>3</v>
      </c>
      <c r="C291" s="9">
        <v>7</v>
      </c>
      <c r="D291" s="9">
        <v>1</v>
      </c>
      <c r="E291" s="24" t="s">
        <v>172</v>
      </c>
      <c r="F291" s="32" t="s">
        <v>10</v>
      </c>
      <c r="G291" s="7">
        <f>'[1]CUENTA T FONDO 100'!FD145</f>
        <v>0</v>
      </c>
      <c r="H291" s="7">
        <f>'[1]CUENTA T VS'!FD96</f>
        <v>23844.13</v>
      </c>
      <c r="I291" s="7">
        <f t="shared" si="14"/>
        <v>23844.13</v>
      </c>
      <c r="J291" s="6">
        <f t="shared" si="15"/>
        <v>3.1553746326338987E-3</v>
      </c>
    </row>
    <row r="292" spans="1:10" x14ac:dyDescent="0.2">
      <c r="A292" s="17">
        <v>2</v>
      </c>
      <c r="B292" s="9">
        <v>3</v>
      </c>
      <c r="C292" s="9">
        <v>7</v>
      </c>
      <c r="D292" s="9">
        <v>1</v>
      </c>
      <c r="E292" s="24" t="s">
        <v>170</v>
      </c>
      <c r="F292" s="32" t="s">
        <v>192</v>
      </c>
      <c r="G292" s="7">
        <f>'[1]CUENTA T FONDO 100'!FE145</f>
        <v>0</v>
      </c>
      <c r="H292" s="7">
        <f>'[1]CUENTA T VS'!FE96</f>
        <v>0</v>
      </c>
      <c r="I292" s="7">
        <f t="shared" si="14"/>
        <v>0</v>
      </c>
      <c r="J292" s="6">
        <f t="shared" si="15"/>
        <v>0</v>
      </c>
    </row>
    <row r="293" spans="1:10" x14ac:dyDescent="0.2">
      <c r="A293" s="17">
        <v>2</v>
      </c>
      <c r="B293" s="9">
        <v>3</v>
      </c>
      <c r="C293" s="9">
        <v>7</v>
      </c>
      <c r="D293" s="9">
        <v>1</v>
      </c>
      <c r="E293" s="24" t="s">
        <v>61</v>
      </c>
      <c r="F293" s="32" t="s">
        <v>9</v>
      </c>
      <c r="G293" s="7">
        <f>'[1]CUENTA T FONDO 100'!FF145</f>
        <v>0</v>
      </c>
      <c r="H293" s="7">
        <f>'[1]CUENTA T VS'!FF96</f>
        <v>0</v>
      </c>
      <c r="I293" s="7">
        <f t="shared" si="14"/>
        <v>0</v>
      </c>
      <c r="J293" s="6">
        <f t="shared" si="15"/>
        <v>0</v>
      </c>
    </row>
    <row r="294" spans="1:10" x14ac:dyDescent="0.2">
      <c r="A294" s="17">
        <v>2</v>
      </c>
      <c r="B294" s="9">
        <v>3</v>
      </c>
      <c r="C294" s="9">
        <v>7</v>
      </c>
      <c r="D294" s="9">
        <v>1</v>
      </c>
      <c r="E294" s="24" t="s">
        <v>60</v>
      </c>
      <c r="F294" s="32" t="s">
        <v>191</v>
      </c>
      <c r="G294" s="7">
        <f>'[1]CUENTA T FONDO 100'!FG145</f>
        <v>0</v>
      </c>
      <c r="H294" s="7">
        <f>'[1]CUENTA T VS'!FG96</f>
        <v>0</v>
      </c>
      <c r="I294" s="7">
        <f t="shared" si="14"/>
        <v>0</v>
      </c>
      <c r="J294" s="6">
        <f t="shared" si="15"/>
        <v>0</v>
      </c>
    </row>
    <row r="295" spans="1:10" x14ac:dyDescent="0.2">
      <c r="A295" s="18">
        <v>2</v>
      </c>
      <c r="B295" s="15">
        <v>3</v>
      </c>
      <c r="C295" s="15">
        <v>7</v>
      </c>
      <c r="D295" s="15">
        <v>2</v>
      </c>
      <c r="E295" s="15"/>
      <c r="F295" s="33" t="s">
        <v>8</v>
      </c>
      <c r="G295" s="12">
        <f>SUM(G296:G302)</f>
        <v>0</v>
      </c>
      <c r="H295" s="12">
        <f>SUM(H296:H302)</f>
        <v>918748.6</v>
      </c>
      <c r="I295" s="12">
        <f t="shared" si="14"/>
        <v>918748.6</v>
      </c>
      <c r="J295" s="11"/>
    </row>
    <row r="296" spans="1:10" x14ac:dyDescent="0.2">
      <c r="A296" s="17">
        <v>2</v>
      </c>
      <c r="B296" s="9">
        <v>3</v>
      </c>
      <c r="C296" s="9">
        <v>7</v>
      </c>
      <c r="D296" s="9">
        <v>2</v>
      </c>
      <c r="E296" s="24" t="s">
        <v>44</v>
      </c>
      <c r="F296" s="32" t="s">
        <v>190</v>
      </c>
      <c r="G296" s="7">
        <f>'[1]CUENTA T FONDO 100'!FH145</f>
        <v>0</v>
      </c>
      <c r="H296" s="7">
        <f>'[1]CUENTA T VS'!FH96</f>
        <v>0</v>
      </c>
      <c r="I296" s="7">
        <f t="shared" si="14"/>
        <v>0</v>
      </c>
      <c r="J296" s="6">
        <f t="shared" ref="J296:J302" si="16">I296/$I$25</f>
        <v>0</v>
      </c>
    </row>
    <row r="297" spans="1:10" x14ac:dyDescent="0.2">
      <c r="A297" s="17">
        <v>2</v>
      </c>
      <c r="B297" s="9">
        <v>3</v>
      </c>
      <c r="C297" s="9">
        <v>7</v>
      </c>
      <c r="D297" s="9">
        <v>2</v>
      </c>
      <c r="E297" s="24" t="s">
        <v>43</v>
      </c>
      <c r="F297" s="32" t="s">
        <v>189</v>
      </c>
      <c r="G297" s="7">
        <f>'[1]CUENTA T FONDO 100'!FI145</f>
        <v>0</v>
      </c>
      <c r="H297" s="7">
        <f>'[1]CUENTA T VS'!FI96</f>
        <v>0</v>
      </c>
      <c r="I297" s="7">
        <f t="shared" si="14"/>
        <v>0</v>
      </c>
      <c r="J297" s="6">
        <f t="shared" si="16"/>
        <v>0</v>
      </c>
    </row>
    <row r="298" spans="1:10" x14ac:dyDescent="0.2">
      <c r="A298" s="17">
        <v>2</v>
      </c>
      <c r="B298" s="9">
        <v>3</v>
      </c>
      <c r="C298" s="9">
        <v>7</v>
      </c>
      <c r="D298" s="9">
        <v>2</v>
      </c>
      <c r="E298" s="24" t="s">
        <v>104</v>
      </c>
      <c r="F298" s="32" t="s">
        <v>381</v>
      </c>
      <c r="G298" s="7">
        <f>'[1]CUENTA T FONDO 100'!FJ145</f>
        <v>0</v>
      </c>
      <c r="H298" s="7">
        <f>'[1]CUENTA T VS'!FJ96</f>
        <v>18975</v>
      </c>
      <c r="I298" s="7">
        <f t="shared" si="14"/>
        <v>18975</v>
      </c>
      <c r="J298" s="6">
        <f t="shared" si="16"/>
        <v>2.5110261374278794E-3</v>
      </c>
    </row>
    <row r="299" spans="1:10" x14ac:dyDescent="0.2">
      <c r="A299" s="17">
        <v>2</v>
      </c>
      <c r="B299" s="9">
        <v>3</v>
      </c>
      <c r="C299" s="9">
        <v>7</v>
      </c>
      <c r="D299" s="9">
        <v>2</v>
      </c>
      <c r="E299" s="24" t="s">
        <v>172</v>
      </c>
      <c r="F299" s="32" t="s">
        <v>188</v>
      </c>
      <c r="G299" s="7">
        <f>'[1]CUENTA T FONDO 100'!FK145</f>
        <v>0</v>
      </c>
      <c r="H299" s="7">
        <f>'[1]CUENTA T VS'!FK96</f>
        <v>0</v>
      </c>
      <c r="I299" s="7">
        <f t="shared" si="14"/>
        <v>0</v>
      </c>
      <c r="J299" s="6">
        <f t="shared" si="16"/>
        <v>0</v>
      </c>
    </row>
    <row r="300" spans="1:10" x14ac:dyDescent="0.2">
      <c r="A300" s="17">
        <v>2</v>
      </c>
      <c r="B300" s="9">
        <v>3</v>
      </c>
      <c r="C300" s="9">
        <v>7</v>
      </c>
      <c r="D300" s="9">
        <v>2</v>
      </c>
      <c r="E300" s="24" t="s">
        <v>170</v>
      </c>
      <c r="F300" s="32" t="s">
        <v>187</v>
      </c>
      <c r="G300" s="7">
        <f>'[1]CUENTA T FONDO 100'!FL145</f>
        <v>0</v>
      </c>
      <c r="H300" s="7">
        <f>'[1]CUENTA T VS'!FL96</f>
        <v>0</v>
      </c>
      <c r="I300" s="7">
        <f t="shared" si="14"/>
        <v>0</v>
      </c>
      <c r="J300" s="6">
        <f t="shared" si="16"/>
        <v>0</v>
      </c>
    </row>
    <row r="301" spans="1:10" ht="25.5" x14ac:dyDescent="0.2">
      <c r="A301" s="10">
        <v>2</v>
      </c>
      <c r="B301" s="9">
        <v>3</v>
      </c>
      <c r="C301" s="9">
        <v>7</v>
      </c>
      <c r="D301" s="9">
        <v>2</v>
      </c>
      <c r="E301" s="24" t="s">
        <v>61</v>
      </c>
      <c r="F301" s="35" t="s">
        <v>186</v>
      </c>
      <c r="G301" s="7">
        <f>'[1]CUENTA T FONDO 100'!FM145</f>
        <v>0</v>
      </c>
      <c r="H301" s="7">
        <f>'[1]CUENTA T VS'!FM96</f>
        <v>0</v>
      </c>
      <c r="I301" s="7">
        <f t="shared" si="14"/>
        <v>0</v>
      </c>
      <c r="J301" s="6">
        <f t="shared" si="16"/>
        <v>0</v>
      </c>
    </row>
    <row r="302" spans="1:10" x14ac:dyDescent="0.2">
      <c r="A302" s="10">
        <v>2</v>
      </c>
      <c r="B302" s="9">
        <v>3</v>
      </c>
      <c r="C302" s="9">
        <v>7</v>
      </c>
      <c r="D302" s="9">
        <v>2</v>
      </c>
      <c r="E302" s="24">
        <v>99</v>
      </c>
      <c r="F302" s="35" t="s">
        <v>6</v>
      </c>
      <c r="G302" s="7">
        <f>'[1]CUENTA T FONDO 100'!FN145</f>
        <v>0</v>
      </c>
      <c r="H302" s="7">
        <f>'[1]CUENTA T VS'!FN96</f>
        <v>899773.6</v>
      </c>
      <c r="I302" s="7">
        <f t="shared" si="14"/>
        <v>899773.6</v>
      </c>
      <c r="J302" s="6">
        <f t="shared" si="16"/>
        <v>0.11907009366891055</v>
      </c>
    </row>
    <row r="303" spans="1:10" ht="25.5" x14ac:dyDescent="0.2">
      <c r="A303" s="30">
        <v>2</v>
      </c>
      <c r="B303" s="22">
        <v>3</v>
      </c>
      <c r="C303" s="22">
        <v>8</v>
      </c>
      <c r="D303" s="22"/>
      <c r="E303" s="22"/>
      <c r="F303" s="34" t="s">
        <v>185</v>
      </c>
      <c r="G303" s="20">
        <f>+G304+G306</f>
        <v>0</v>
      </c>
      <c r="H303" s="20">
        <f>+H304+H306</f>
        <v>0</v>
      </c>
      <c r="I303" s="20">
        <f t="shared" si="14"/>
        <v>0</v>
      </c>
      <c r="J303" s="19"/>
    </row>
    <row r="304" spans="1:10" ht="25.5" x14ac:dyDescent="0.2">
      <c r="A304" s="16">
        <v>2</v>
      </c>
      <c r="B304" s="15">
        <v>3</v>
      </c>
      <c r="C304" s="15">
        <v>8</v>
      </c>
      <c r="D304" s="15">
        <v>1</v>
      </c>
      <c r="E304" s="15"/>
      <c r="F304" s="33" t="s">
        <v>184</v>
      </c>
      <c r="G304" s="12">
        <f>SUM(G305)</f>
        <v>0</v>
      </c>
      <c r="H304" s="12">
        <f>SUM(H305)</f>
        <v>0</v>
      </c>
      <c r="I304" s="12">
        <f t="shared" si="14"/>
        <v>0</v>
      </c>
      <c r="J304" s="11"/>
    </row>
    <row r="305" spans="1:10" ht="25.5" x14ac:dyDescent="0.2">
      <c r="A305" s="10">
        <v>2</v>
      </c>
      <c r="B305" s="9">
        <v>3</v>
      </c>
      <c r="C305" s="9">
        <v>8</v>
      </c>
      <c r="D305" s="9">
        <v>1</v>
      </c>
      <c r="E305" s="24" t="s">
        <v>44</v>
      </c>
      <c r="F305" s="32" t="s">
        <v>184</v>
      </c>
      <c r="G305" s="7">
        <f>'[1]CUENTA T FONDO 100'!FO145</f>
        <v>0</v>
      </c>
      <c r="H305" s="7">
        <f>'[1]CUENTA T VS'!FO96</f>
        <v>0</v>
      </c>
      <c r="I305" s="7">
        <f t="shared" si="14"/>
        <v>0</v>
      </c>
      <c r="J305" s="6">
        <f>I305/$I$25</f>
        <v>0</v>
      </c>
    </row>
    <row r="306" spans="1:10" ht="25.5" x14ac:dyDescent="0.2">
      <c r="A306" s="16">
        <v>2</v>
      </c>
      <c r="B306" s="15">
        <v>3</v>
      </c>
      <c r="C306" s="15">
        <v>8</v>
      </c>
      <c r="D306" s="15">
        <v>2</v>
      </c>
      <c r="E306" s="15"/>
      <c r="F306" s="33" t="s">
        <v>183</v>
      </c>
      <c r="G306" s="12">
        <f>SUM(G307)</f>
        <v>0</v>
      </c>
      <c r="H306" s="12">
        <f>SUM(H307)</f>
        <v>0</v>
      </c>
      <c r="I306" s="12">
        <f t="shared" si="14"/>
        <v>0</v>
      </c>
      <c r="J306" s="11"/>
    </row>
    <row r="307" spans="1:10" ht="25.5" x14ac:dyDescent="0.2">
      <c r="A307" s="10">
        <v>2</v>
      </c>
      <c r="B307" s="9">
        <v>3</v>
      </c>
      <c r="C307" s="9">
        <v>8</v>
      </c>
      <c r="D307" s="9">
        <v>2</v>
      </c>
      <c r="E307" s="24" t="s">
        <v>44</v>
      </c>
      <c r="F307" s="32" t="s">
        <v>183</v>
      </c>
      <c r="G307" s="7">
        <f>'[1]CUENTA T FONDO 100'!FP145</f>
        <v>0</v>
      </c>
      <c r="H307" s="7">
        <f>'[1]CUENTA T VS'!FP96</f>
        <v>0</v>
      </c>
      <c r="I307" s="7">
        <f t="shared" si="14"/>
        <v>0</v>
      </c>
      <c r="J307" s="6">
        <f>I307/$I$25</f>
        <v>0</v>
      </c>
    </row>
    <row r="308" spans="1:10" x14ac:dyDescent="0.2">
      <c r="A308" s="30">
        <v>2</v>
      </c>
      <c r="B308" s="22">
        <v>3</v>
      </c>
      <c r="C308" s="22">
        <v>9</v>
      </c>
      <c r="D308" s="22"/>
      <c r="E308" s="22"/>
      <c r="F308" s="34" t="s">
        <v>182</v>
      </c>
      <c r="G308" s="20">
        <f>+G309+G312+G314+G316+G318+G320+G322+G324+G327</f>
        <v>0</v>
      </c>
      <c r="H308" s="20">
        <f>+H309+H312+H314+H316+H318+H320+H322+H324+H327</f>
        <v>475914.23</v>
      </c>
      <c r="I308" s="20">
        <f t="shared" si="14"/>
        <v>475914.23</v>
      </c>
      <c r="J308" s="19"/>
    </row>
    <row r="309" spans="1:10" x14ac:dyDescent="0.2">
      <c r="A309" s="18">
        <v>2</v>
      </c>
      <c r="B309" s="15">
        <v>3</v>
      </c>
      <c r="C309" s="15">
        <v>9</v>
      </c>
      <c r="D309" s="15">
        <v>1</v>
      </c>
      <c r="E309" s="15"/>
      <c r="F309" s="33" t="s">
        <v>5</v>
      </c>
      <c r="G309" s="12">
        <f>SUM(G310:G311)</f>
        <v>0</v>
      </c>
      <c r="H309" s="12">
        <f>SUM(H310:H311)</f>
        <v>0</v>
      </c>
      <c r="I309" s="12">
        <f t="shared" si="14"/>
        <v>0</v>
      </c>
      <c r="J309" s="11"/>
    </row>
    <row r="310" spans="1:10" x14ac:dyDescent="0.2">
      <c r="A310" s="17">
        <v>2</v>
      </c>
      <c r="B310" s="9">
        <v>3</v>
      </c>
      <c r="C310" s="9">
        <v>9</v>
      </c>
      <c r="D310" s="9">
        <v>1</v>
      </c>
      <c r="E310" s="24" t="s">
        <v>44</v>
      </c>
      <c r="F310" s="32" t="s">
        <v>403</v>
      </c>
      <c r="G310" s="7">
        <f>'[1]CUENTA T FONDO 100'!FQ145</f>
        <v>0</v>
      </c>
      <c r="H310" s="7">
        <f>'[1]CUENTA T VS'!FQ96</f>
        <v>0</v>
      </c>
      <c r="I310" s="7">
        <f t="shared" si="14"/>
        <v>0</v>
      </c>
      <c r="J310" s="6">
        <f>I310/$I$25</f>
        <v>0</v>
      </c>
    </row>
    <row r="311" spans="1:10" x14ac:dyDescent="0.2">
      <c r="A311" s="17">
        <v>2</v>
      </c>
      <c r="B311" s="9">
        <v>3</v>
      </c>
      <c r="C311" s="9">
        <v>9</v>
      </c>
      <c r="D311" s="9">
        <v>1</v>
      </c>
      <c r="E311" s="24" t="s">
        <v>43</v>
      </c>
      <c r="F311" s="32" t="s">
        <v>404</v>
      </c>
      <c r="G311" s="7">
        <f>'[1]CUENTA T FONDO 100'!FR145</f>
        <v>0</v>
      </c>
      <c r="H311" s="7">
        <f>'[1]CUENTA T VS'!FR96</f>
        <v>0</v>
      </c>
      <c r="I311" s="7">
        <f t="shared" si="14"/>
        <v>0</v>
      </c>
      <c r="J311" s="6">
        <f>I311/$I$25</f>
        <v>0</v>
      </c>
    </row>
    <row r="312" spans="1:10" ht="25.5" x14ac:dyDescent="0.2">
      <c r="A312" s="18">
        <v>2</v>
      </c>
      <c r="B312" s="15">
        <v>3</v>
      </c>
      <c r="C312" s="15">
        <v>9</v>
      </c>
      <c r="D312" s="15">
        <v>2</v>
      </c>
      <c r="E312" s="15"/>
      <c r="F312" s="33" t="s">
        <v>406</v>
      </c>
      <c r="G312" s="12">
        <f>SUM(G313)</f>
        <v>0</v>
      </c>
      <c r="H312" s="12">
        <f>SUM(H313)</f>
        <v>0</v>
      </c>
      <c r="I312" s="12">
        <f t="shared" si="14"/>
        <v>0</v>
      </c>
      <c r="J312" s="11"/>
    </row>
    <row r="313" spans="1:10" ht="25.5" x14ac:dyDescent="0.2">
      <c r="A313" s="17">
        <v>2</v>
      </c>
      <c r="B313" s="9">
        <v>3</v>
      </c>
      <c r="C313" s="9">
        <v>9</v>
      </c>
      <c r="D313" s="9">
        <v>2</v>
      </c>
      <c r="E313" s="24" t="s">
        <v>44</v>
      </c>
      <c r="F313" s="32" t="s">
        <v>405</v>
      </c>
      <c r="G313" s="7">
        <f>'[1]CUENTA T FONDO 100'!FS145</f>
        <v>0</v>
      </c>
      <c r="H313" s="7">
        <f>'[1]CUENTA T VS'!FS96</f>
        <v>0</v>
      </c>
      <c r="I313" s="7">
        <f t="shared" si="14"/>
        <v>0</v>
      </c>
      <c r="J313" s="6">
        <f>I313/$I$25</f>
        <v>0</v>
      </c>
    </row>
    <row r="314" spans="1:10" x14ac:dyDescent="0.2">
      <c r="A314" s="18">
        <v>2</v>
      </c>
      <c r="B314" s="15">
        <v>3</v>
      </c>
      <c r="C314" s="15">
        <v>9</v>
      </c>
      <c r="D314" s="15">
        <v>3</v>
      </c>
      <c r="E314" s="15"/>
      <c r="F314" s="33" t="s">
        <v>181</v>
      </c>
      <c r="G314" s="12">
        <f>SUM(G315)</f>
        <v>0</v>
      </c>
      <c r="H314" s="12">
        <f>SUM(H315)</f>
        <v>419800</v>
      </c>
      <c r="I314" s="12">
        <f t="shared" si="14"/>
        <v>419800</v>
      </c>
      <c r="J314" s="11"/>
    </row>
    <row r="315" spans="1:10" x14ac:dyDescent="0.2">
      <c r="A315" s="17">
        <v>2</v>
      </c>
      <c r="B315" s="9">
        <v>3</v>
      </c>
      <c r="C315" s="9">
        <v>9</v>
      </c>
      <c r="D315" s="9">
        <v>3</v>
      </c>
      <c r="E315" s="24" t="s">
        <v>44</v>
      </c>
      <c r="F315" s="32" t="s">
        <v>181</v>
      </c>
      <c r="G315" s="7">
        <f>'[1]CUENTA T FONDO 100'!FT145</f>
        <v>0</v>
      </c>
      <c r="H315" s="7">
        <f>'[1]CUENTA T VS'!FT96</f>
        <v>419800</v>
      </c>
      <c r="I315" s="7">
        <f t="shared" si="14"/>
        <v>419800</v>
      </c>
      <c r="J315" s="6">
        <f>I315/$I$25</f>
        <v>5.5553558497613897E-2</v>
      </c>
    </row>
    <row r="316" spans="1:10" ht="25.5" x14ac:dyDescent="0.2">
      <c r="A316" s="18">
        <v>2</v>
      </c>
      <c r="B316" s="15">
        <v>3</v>
      </c>
      <c r="C316" s="15">
        <v>9</v>
      </c>
      <c r="D316" s="15">
        <v>4</v>
      </c>
      <c r="E316" s="15"/>
      <c r="F316" s="33" t="s">
        <v>180</v>
      </c>
      <c r="G316" s="12">
        <f>SUM(G317)</f>
        <v>0</v>
      </c>
      <c r="H316" s="12">
        <f>SUM(H317)</f>
        <v>0</v>
      </c>
      <c r="I316" s="12">
        <f t="shared" si="14"/>
        <v>0</v>
      </c>
      <c r="J316" s="11"/>
    </row>
    <row r="317" spans="1:10" ht="25.5" x14ac:dyDescent="0.2">
      <c r="A317" s="17">
        <v>2</v>
      </c>
      <c r="B317" s="9">
        <v>3</v>
      </c>
      <c r="C317" s="9">
        <v>9</v>
      </c>
      <c r="D317" s="9">
        <v>4</v>
      </c>
      <c r="E317" s="24" t="s">
        <v>44</v>
      </c>
      <c r="F317" s="32" t="s">
        <v>180</v>
      </c>
      <c r="G317" s="7">
        <f>'[1]CUENTA T FONDO 100'!FU145</f>
        <v>0</v>
      </c>
      <c r="H317" s="7">
        <f>'[1]CUENTA T VS'!FU96</f>
        <v>0</v>
      </c>
      <c r="I317" s="7">
        <f t="shared" si="14"/>
        <v>0</v>
      </c>
      <c r="J317" s="6">
        <f>I317/$I$25</f>
        <v>0</v>
      </c>
    </row>
    <row r="318" spans="1:10" x14ac:dyDescent="0.2">
      <c r="A318" s="18">
        <v>2</v>
      </c>
      <c r="B318" s="15">
        <v>3</v>
      </c>
      <c r="C318" s="15">
        <v>9</v>
      </c>
      <c r="D318" s="15">
        <v>5</v>
      </c>
      <c r="E318" s="15"/>
      <c r="F318" s="33" t="s">
        <v>4</v>
      </c>
      <c r="G318" s="12">
        <f>SUM(G319)</f>
        <v>0</v>
      </c>
      <c r="H318" s="12">
        <f>SUM(H319)</f>
        <v>0</v>
      </c>
      <c r="I318" s="12">
        <f t="shared" si="14"/>
        <v>0</v>
      </c>
      <c r="J318" s="11"/>
    </row>
    <row r="319" spans="1:10" x14ac:dyDescent="0.2">
      <c r="A319" s="17">
        <v>2</v>
      </c>
      <c r="B319" s="9">
        <v>3</v>
      </c>
      <c r="C319" s="9">
        <v>9</v>
      </c>
      <c r="D319" s="9">
        <v>5</v>
      </c>
      <c r="E319" s="24" t="s">
        <v>44</v>
      </c>
      <c r="F319" s="32" t="s">
        <v>4</v>
      </c>
      <c r="G319" s="7">
        <f>'[1]CUENTA T FONDO 100'!FV145</f>
        <v>0</v>
      </c>
      <c r="H319" s="7">
        <f>'[1]CUENTA T VS'!FV96</f>
        <v>0</v>
      </c>
      <c r="I319" s="7">
        <f t="shared" si="14"/>
        <v>0</v>
      </c>
      <c r="J319" s="6">
        <f>I319/$I$25</f>
        <v>0</v>
      </c>
    </row>
    <row r="320" spans="1:10" x14ac:dyDescent="0.2">
      <c r="A320" s="18">
        <v>2</v>
      </c>
      <c r="B320" s="15">
        <v>3</v>
      </c>
      <c r="C320" s="15">
        <v>9</v>
      </c>
      <c r="D320" s="15">
        <v>6</v>
      </c>
      <c r="E320" s="15"/>
      <c r="F320" s="33" t="s">
        <v>3</v>
      </c>
      <c r="G320" s="12">
        <f>SUM(G321)</f>
        <v>0</v>
      </c>
      <c r="H320" s="12">
        <f>SUM(H321)</f>
        <v>4050.01</v>
      </c>
      <c r="I320" s="12">
        <f t="shared" si="14"/>
        <v>4050.01</v>
      </c>
      <c r="J320" s="11"/>
    </row>
    <row r="321" spans="1:10" x14ac:dyDescent="0.2">
      <c r="A321" s="17">
        <v>2</v>
      </c>
      <c r="B321" s="9">
        <v>3</v>
      </c>
      <c r="C321" s="9">
        <v>9</v>
      </c>
      <c r="D321" s="9">
        <v>6</v>
      </c>
      <c r="E321" s="24" t="s">
        <v>44</v>
      </c>
      <c r="F321" s="32" t="s">
        <v>3</v>
      </c>
      <c r="G321" s="7">
        <f>'[1]CUENTA T FONDO 100'!FW145</f>
        <v>0</v>
      </c>
      <c r="H321" s="7">
        <f>'[1]CUENTA T VS'!FW96</f>
        <v>4050.01</v>
      </c>
      <c r="I321" s="7">
        <f t="shared" si="14"/>
        <v>4050.01</v>
      </c>
      <c r="J321" s="6">
        <f>I321/$I$25</f>
        <v>5.3595156610510074E-4</v>
      </c>
    </row>
    <row r="322" spans="1:10" x14ac:dyDescent="0.2">
      <c r="A322" s="18">
        <v>2</v>
      </c>
      <c r="B322" s="15">
        <v>3</v>
      </c>
      <c r="C322" s="15">
        <v>9</v>
      </c>
      <c r="D322" s="15">
        <v>7</v>
      </c>
      <c r="E322" s="15"/>
      <c r="F322" s="33" t="s">
        <v>179</v>
      </c>
      <c r="G322" s="12">
        <f>SUM(G323)</f>
        <v>0</v>
      </c>
      <c r="H322" s="12">
        <f>SUM(H323)</f>
        <v>0</v>
      </c>
      <c r="I322" s="12">
        <f t="shared" si="14"/>
        <v>0</v>
      </c>
      <c r="J322" s="11"/>
    </row>
    <row r="323" spans="1:10" x14ac:dyDescent="0.2">
      <c r="A323" s="17">
        <v>2</v>
      </c>
      <c r="B323" s="9">
        <v>3</v>
      </c>
      <c r="C323" s="9">
        <v>9</v>
      </c>
      <c r="D323" s="9">
        <v>7</v>
      </c>
      <c r="E323" s="24" t="s">
        <v>44</v>
      </c>
      <c r="F323" s="32" t="s">
        <v>179</v>
      </c>
      <c r="G323" s="7">
        <f>'[1]CUENTA T FONDO 100'!FX145</f>
        <v>0</v>
      </c>
      <c r="H323" s="7">
        <f>'[1]CUENTA T VS'!FX96</f>
        <v>0</v>
      </c>
      <c r="I323" s="7">
        <f t="shared" si="14"/>
        <v>0</v>
      </c>
      <c r="J323" s="6">
        <f>I323/$I$25</f>
        <v>0</v>
      </c>
    </row>
    <row r="324" spans="1:10" x14ac:dyDescent="0.2">
      <c r="A324" s="18">
        <v>2</v>
      </c>
      <c r="B324" s="15">
        <v>3</v>
      </c>
      <c r="C324" s="15">
        <v>9</v>
      </c>
      <c r="D324" s="15">
        <v>8</v>
      </c>
      <c r="E324" s="15"/>
      <c r="F324" s="33" t="s">
        <v>2</v>
      </c>
      <c r="G324" s="12">
        <f>SUM(G325:G326)</f>
        <v>0</v>
      </c>
      <c r="H324" s="12">
        <f>SUM(H325:H326)</f>
        <v>0</v>
      </c>
      <c r="I324" s="12">
        <f t="shared" si="14"/>
        <v>0</v>
      </c>
      <c r="J324" s="11"/>
    </row>
    <row r="325" spans="1:10" x14ac:dyDescent="0.2">
      <c r="A325" s="17">
        <v>2</v>
      </c>
      <c r="B325" s="9">
        <v>3</v>
      </c>
      <c r="C325" s="9">
        <v>9</v>
      </c>
      <c r="D325" s="9">
        <v>8</v>
      </c>
      <c r="E325" s="24" t="s">
        <v>44</v>
      </c>
      <c r="F325" s="32" t="s">
        <v>178</v>
      </c>
      <c r="G325" s="7">
        <f>'[1]CUENTA T FONDO 100'!FY145</f>
        <v>0</v>
      </c>
      <c r="H325" s="7">
        <f>'[1]CUENTA T VS'!FY96</f>
        <v>0</v>
      </c>
      <c r="I325" s="7">
        <f t="shared" si="14"/>
        <v>0</v>
      </c>
      <c r="J325" s="6">
        <f>I325/$I$25</f>
        <v>0</v>
      </c>
    </row>
    <row r="326" spans="1:10" x14ac:dyDescent="0.2">
      <c r="A326" s="17">
        <v>2</v>
      </c>
      <c r="B326" s="9">
        <v>3</v>
      </c>
      <c r="C326" s="9">
        <v>9</v>
      </c>
      <c r="D326" s="9">
        <v>8</v>
      </c>
      <c r="E326" s="24" t="s">
        <v>43</v>
      </c>
      <c r="F326" s="32" t="s">
        <v>177</v>
      </c>
      <c r="G326" s="7">
        <f>'[1]CUENTA T FONDO 100'!FZ145</f>
        <v>0</v>
      </c>
      <c r="H326" s="7">
        <f>'[1]CUENTA T VS'!FZ96</f>
        <v>0</v>
      </c>
      <c r="I326" s="7">
        <f t="shared" si="14"/>
        <v>0</v>
      </c>
      <c r="J326" s="6">
        <f>I326/$I$25</f>
        <v>0</v>
      </c>
    </row>
    <row r="327" spans="1:10" x14ac:dyDescent="0.2">
      <c r="A327" s="18">
        <v>2</v>
      </c>
      <c r="B327" s="15">
        <v>3</v>
      </c>
      <c r="C327" s="15">
        <v>9</v>
      </c>
      <c r="D327" s="15">
        <v>9</v>
      </c>
      <c r="E327" s="15"/>
      <c r="F327" s="33" t="s">
        <v>1</v>
      </c>
      <c r="G327" s="12">
        <f>SUM(G328:G329)</f>
        <v>0</v>
      </c>
      <c r="H327" s="12">
        <f>SUM(H328:H329)</f>
        <v>52064.22</v>
      </c>
      <c r="I327" s="12">
        <f t="shared" si="14"/>
        <v>52064.22</v>
      </c>
      <c r="J327" s="11"/>
    </row>
    <row r="328" spans="1:10" x14ac:dyDescent="0.2">
      <c r="A328" s="17">
        <v>2</v>
      </c>
      <c r="B328" s="9">
        <v>3</v>
      </c>
      <c r="C328" s="9">
        <v>9</v>
      </c>
      <c r="D328" s="9">
        <v>9</v>
      </c>
      <c r="E328" s="24" t="s">
        <v>44</v>
      </c>
      <c r="F328" s="32" t="s">
        <v>1</v>
      </c>
      <c r="G328" s="7">
        <f>'[1]CUENTA T FONDO 100'!GA145</f>
        <v>0</v>
      </c>
      <c r="H328" s="7">
        <f>'[1]CUENTA T VS'!GA96</f>
        <v>52064.22</v>
      </c>
      <c r="I328" s="7">
        <f t="shared" si="14"/>
        <v>52064.22</v>
      </c>
      <c r="J328" s="6">
        <f>I328/$I$25</f>
        <v>6.8898349009114809E-3</v>
      </c>
    </row>
    <row r="329" spans="1:10" x14ac:dyDescent="0.2">
      <c r="A329" s="17">
        <v>2</v>
      </c>
      <c r="B329" s="9">
        <v>3</v>
      </c>
      <c r="C329" s="9">
        <v>9</v>
      </c>
      <c r="D329" s="9">
        <v>9</v>
      </c>
      <c r="E329" s="24" t="s">
        <v>172</v>
      </c>
      <c r="F329" s="32" t="s">
        <v>407</v>
      </c>
      <c r="G329" s="7">
        <f>'[1]CUENTA T FONDO 100'!GB145</f>
        <v>0</v>
      </c>
      <c r="H329" s="7">
        <f>'[1]CUENTA T VS'!GB96</f>
        <v>0</v>
      </c>
      <c r="I329" s="7">
        <f t="shared" si="14"/>
        <v>0</v>
      </c>
      <c r="J329" s="6">
        <f>I329/$I$25</f>
        <v>0</v>
      </c>
    </row>
    <row r="330" spans="1:10" x14ac:dyDescent="0.2">
      <c r="A330" s="23">
        <v>2</v>
      </c>
      <c r="B330" s="22">
        <v>4</v>
      </c>
      <c r="C330" s="22">
        <v>1</v>
      </c>
      <c r="D330" s="22">
        <v>2</v>
      </c>
      <c r="E330" s="22"/>
      <c r="F330" s="21" t="s">
        <v>176</v>
      </c>
      <c r="G330" s="20">
        <f>G331+G332+G333+G334+G335</f>
        <v>0</v>
      </c>
      <c r="H330" s="20">
        <f>H331+H332+H333+H334+H335</f>
        <v>23400</v>
      </c>
      <c r="I330" s="20">
        <f t="shared" si="14"/>
        <v>23400</v>
      </c>
      <c r="J330" s="19">
        <f>+I330/I25</f>
        <v>3.096601402677859E-3</v>
      </c>
    </row>
    <row r="331" spans="1:10" ht="25.5" x14ac:dyDescent="0.2">
      <c r="A331" s="17">
        <v>2</v>
      </c>
      <c r="B331" s="9">
        <v>4</v>
      </c>
      <c r="C331" s="9">
        <v>1</v>
      </c>
      <c r="D331" s="9">
        <v>2</v>
      </c>
      <c r="E331" s="24" t="s">
        <v>44</v>
      </c>
      <c r="F331" s="32" t="s">
        <v>175</v>
      </c>
      <c r="G331" s="7">
        <f>'[1]CUENTA T FONDO 100'!GC145</f>
        <v>0</v>
      </c>
      <c r="H331" s="7">
        <f>'[1]CUENTA T VS'!GC96</f>
        <v>0</v>
      </c>
      <c r="I331" s="7">
        <f t="shared" si="14"/>
        <v>0</v>
      </c>
      <c r="J331" s="6">
        <f t="shared" ref="J331:J336" si="17">I331/$I$25</f>
        <v>0</v>
      </c>
    </row>
    <row r="332" spans="1:10" ht="25.5" x14ac:dyDescent="0.2">
      <c r="A332" s="17">
        <v>2</v>
      </c>
      <c r="B332" s="9">
        <v>4</v>
      </c>
      <c r="C332" s="9">
        <v>1</v>
      </c>
      <c r="D332" s="9">
        <v>2</v>
      </c>
      <c r="E332" s="24" t="s">
        <v>43</v>
      </c>
      <c r="F332" s="32" t="s">
        <v>174</v>
      </c>
      <c r="G332" s="7">
        <f>'[1]CUENTA T FONDO 100'!GD145</f>
        <v>0</v>
      </c>
      <c r="H332" s="7">
        <f>'[1]CUENTA T VS'!GD96</f>
        <v>23400</v>
      </c>
      <c r="I332" s="7">
        <f t="shared" si="14"/>
        <v>23400</v>
      </c>
      <c r="J332" s="6">
        <f t="shared" si="17"/>
        <v>3.096601402677859E-3</v>
      </c>
    </row>
    <row r="333" spans="1:10" x14ac:dyDescent="0.2">
      <c r="A333" s="17">
        <v>2</v>
      </c>
      <c r="B333" s="9">
        <v>4</v>
      </c>
      <c r="C333" s="9">
        <v>1</v>
      </c>
      <c r="D333" s="9">
        <v>2</v>
      </c>
      <c r="E333" s="24" t="s">
        <v>104</v>
      </c>
      <c r="F333" s="32" t="s">
        <v>173</v>
      </c>
      <c r="G333" s="7">
        <f>'[1]CUENTA T FONDO 100'!GE145</f>
        <v>0</v>
      </c>
      <c r="H333" s="7">
        <f>'[1]CUENTA T VS'!GE96</f>
        <v>0</v>
      </c>
      <c r="I333" s="7">
        <f t="shared" si="14"/>
        <v>0</v>
      </c>
      <c r="J333" s="6">
        <f t="shared" si="17"/>
        <v>0</v>
      </c>
    </row>
    <row r="334" spans="1:10" x14ac:dyDescent="0.2">
      <c r="A334" s="17">
        <v>2</v>
      </c>
      <c r="B334" s="9">
        <v>4</v>
      </c>
      <c r="C334" s="9">
        <v>1</v>
      </c>
      <c r="D334" s="9">
        <v>2</v>
      </c>
      <c r="E334" s="24" t="s">
        <v>172</v>
      </c>
      <c r="F334" s="32" t="s">
        <v>171</v>
      </c>
      <c r="G334" s="7">
        <f>'[1]CUENTA T FONDO 100'!GF145</f>
        <v>0</v>
      </c>
      <c r="H334" s="7">
        <f>'[1]CUENTA T VS'!GF96</f>
        <v>0</v>
      </c>
      <c r="I334" s="7">
        <f t="shared" si="14"/>
        <v>0</v>
      </c>
      <c r="J334" s="6">
        <f t="shared" si="17"/>
        <v>0</v>
      </c>
    </row>
    <row r="335" spans="1:10" x14ac:dyDescent="0.2">
      <c r="A335" s="17">
        <v>2</v>
      </c>
      <c r="B335" s="9">
        <v>4</v>
      </c>
      <c r="C335" s="9">
        <v>1</v>
      </c>
      <c r="D335" s="9">
        <v>2</v>
      </c>
      <c r="E335" s="24" t="s">
        <v>170</v>
      </c>
      <c r="F335" s="32" t="s">
        <v>169</v>
      </c>
      <c r="G335" s="7">
        <f>'[1]CUENTA T FONDO 100'!GG145</f>
        <v>0</v>
      </c>
      <c r="H335" s="7">
        <f>'[1]CUENTA T VS'!GG96</f>
        <v>0</v>
      </c>
      <c r="I335" s="7">
        <f t="shared" si="14"/>
        <v>0</v>
      </c>
      <c r="J335" s="6">
        <f t="shared" si="17"/>
        <v>0</v>
      </c>
    </row>
    <row r="336" spans="1:10" x14ac:dyDescent="0.2">
      <c r="A336" s="23">
        <v>2</v>
      </c>
      <c r="B336" s="22">
        <v>6</v>
      </c>
      <c r="C336" s="22"/>
      <c r="D336" s="22"/>
      <c r="E336" s="22"/>
      <c r="F336" s="21" t="s">
        <v>168</v>
      </c>
      <c r="G336" s="20">
        <f>G337+G348+G357+G366+G383+G400+G405+G424+G446</f>
        <v>0</v>
      </c>
      <c r="H336" s="20">
        <f>H337+H348+H357+H366+H383+H400+H405+H424+H446</f>
        <v>3887510</v>
      </c>
      <c r="I336" s="20">
        <f t="shared" si="14"/>
        <v>3887510</v>
      </c>
      <c r="J336" s="19">
        <f t="shared" si="17"/>
        <v>0.51444738969761561</v>
      </c>
    </row>
    <row r="337" spans="1:10" x14ac:dyDescent="0.2">
      <c r="A337" s="30">
        <v>2</v>
      </c>
      <c r="B337" s="22">
        <v>6</v>
      </c>
      <c r="C337" s="22">
        <v>1</v>
      </c>
      <c r="D337" s="22"/>
      <c r="E337" s="22"/>
      <c r="F337" s="21" t="s">
        <v>167</v>
      </c>
      <c r="G337" s="20">
        <f>+G338+G340+G342+G344+G346</f>
        <v>0</v>
      </c>
      <c r="H337" s="20">
        <f>+H338+H340+H342+H344+H346</f>
        <v>0</v>
      </c>
      <c r="I337" s="20">
        <f t="shared" si="14"/>
        <v>0</v>
      </c>
      <c r="J337" s="19"/>
    </row>
    <row r="338" spans="1:10" x14ac:dyDescent="0.2">
      <c r="A338" s="16">
        <v>2</v>
      </c>
      <c r="B338" s="15">
        <v>6</v>
      </c>
      <c r="C338" s="15">
        <v>1</v>
      </c>
      <c r="D338" s="15">
        <v>1</v>
      </c>
      <c r="E338" s="15"/>
      <c r="F338" s="13" t="s">
        <v>408</v>
      </c>
      <c r="G338" s="12">
        <f>SUM(G339)</f>
        <v>0</v>
      </c>
      <c r="H338" s="12">
        <f>SUM(H339)</f>
        <v>0</v>
      </c>
      <c r="I338" s="12">
        <f t="shared" si="14"/>
        <v>0</v>
      </c>
      <c r="J338" s="11"/>
    </row>
    <row r="339" spans="1:10" x14ac:dyDescent="0.2">
      <c r="A339" s="10">
        <v>2</v>
      </c>
      <c r="B339" s="9">
        <v>6</v>
      </c>
      <c r="C339" s="9">
        <v>1</v>
      </c>
      <c r="D339" s="9">
        <v>1</v>
      </c>
      <c r="E339" s="24" t="s">
        <v>44</v>
      </c>
      <c r="F339" s="8" t="s">
        <v>408</v>
      </c>
      <c r="G339" s="7">
        <f>'[1]CUENTA T FONDO 100'!GH145</f>
        <v>0</v>
      </c>
      <c r="H339" s="7">
        <f>'[1]CUENTA T VS'!GH96</f>
        <v>0</v>
      </c>
      <c r="I339" s="7">
        <f t="shared" si="14"/>
        <v>0</v>
      </c>
      <c r="J339" s="6">
        <f>I339/$I$25</f>
        <v>0</v>
      </c>
    </row>
    <row r="340" spans="1:10" ht="25.5" x14ac:dyDescent="0.2">
      <c r="A340" s="16">
        <v>2</v>
      </c>
      <c r="B340" s="15">
        <v>6</v>
      </c>
      <c r="C340" s="15">
        <v>1</v>
      </c>
      <c r="D340" s="15">
        <v>2</v>
      </c>
      <c r="E340" s="15"/>
      <c r="F340" s="13" t="s">
        <v>166</v>
      </c>
      <c r="G340" s="12">
        <f>SUM(G341)</f>
        <v>0</v>
      </c>
      <c r="H340" s="12">
        <f>SUM(H341)</f>
        <v>0</v>
      </c>
      <c r="I340" s="12">
        <f t="shared" si="14"/>
        <v>0</v>
      </c>
      <c r="J340" s="11"/>
    </row>
    <row r="341" spans="1:10" ht="25.5" x14ac:dyDescent="0.2">
      <c r="A341" s="10">
        <v>2</v>
      </c>
      <c r="B341" s="9">
        <v>6</v>
      </c>
      <c r="C341" s="9">
        <v>1</v>
      </c>
      <c r="D341" s="9">
        <v>2</v>
      </c>
      <c r="E341" s="24" t="s">
        <v>44</v>
      </c>
      <c r="F341" s="8" t="s">
        <v>166</v>
      </c>
      <c r="G341" s="7">
        <f>'[1]CUENTA T FONDO 100'!GI145</f>
        <v>0</v>
      </c>
      <c r="H341" s="7">
        <f>'[1]CUENTA T VS'!GI96</f>
        <v>0</v>
      </c>
      <c r="I341" s="7">
        <f t="shared" si="14"/>
        <v>0</v>
      </c>
      <c r="J341" s="6">
        <f>I341/$I$25</f>
        <v>0</v>
      </c>
    </row>
    <row r="342" spans="1:10" ht="25.5" x14ac:dyDescent="0.2">
      <c r="A342" s="16">
        <v>2</v>
      </c>
      <c r="B342" s="15">
        <v>6</v>
      </c>
      <c r="C342" s="15">
        <v>1</v>
      </c>
      <c r="D342" s="15">
        <v>3</v>
      </c>
      <c r="E342" s="15"/>
      <c r="F342" s="13" t="s">
        <v>409</v>
      </c>
      <c r="G342" s="12">
        <f>SUM(G343)</f>
        <v>0</v>
      </c>
      <c r="H342" s="12">
        <f>SUM(H343)</f>
        <v>0</v>
      </c>
      <c r="I342" s="12">
        <f t="shared" si="14"/>
        <v>0</v>
      </c>
      <c r="J342" s="11"/>
    </row>
    <row r="343" spans="1:10" ht="25.5" x14ac:dyDescent="0.2">
      <c r="A343" s="10">
        <v>2</v>
      </c>
      <c r="B343" s="9">
        <v>6</v>
      </c>
      <c r="C343" s="9">
        <v>1</v>
      </c>
      <c r="D343" s="9">
        <v>3</v>
      </c>
      <c r="E343" s="24" t="s">
        <v>44</v>
      </c>
      <c r="F343" s="8" t="s">
        <v>409</v>
      </c>
      <c r="G343" s="7">
        <f>'[1]CUENTA T FONDO 100'!GJ145</f>
        <v>0</v>
      </c>
      <c r="H343" s="7">
        <f>'[1]CUENTA T VS'!GJ96</f>
        <v>0</v>
      </c>
      <c r="I343" s="7">
        <f t="shared" si="14"/>
        <v>0</v>
      </c>
      <c r="J343" s="6">
        <f>I343/$I$25</f>
        <v>0</v>
      </c>
    </row>
    <row r="344" spans="1:10" x14ac:dyDescent="0.2">
      <c r="A344" s="16">
        <v>2</v>
      </c>
      <c r="B344" s="15">
        <v>6</v>
      </c>
      <c r="C344" s="15">
        <v>1</v>
      </c>
      <c r="D344" s="15">
        <v>4</v>
      </c>
      <c r="E344" s="15"/>
      <c r="F344" s="13" t="s">
        <v>165</v>
      </c>
      <c r="G344" s="12">
        <f>SUM(G345)</f>
        <v>0</v>
      </c>
      <c r="H344" s="12">
        <f>SUM(H345)</f>
        <v>0</v>
      </c>
      <c r="I344" s="12">
        <f t="shared" si="14"/>
        <v>0</v>
      </c>
      <c r="J344" s="11"/>
    </row>
    <row r="345" spans="1:10" x14ac:dyDescent="0.2">
      <c r="A345" s="10">
        <v>2</v>
      </c>
      <c r="B345" s="9">
        <v>6</v>
      </c>
      <c r="C345" s="9">
        <v>1</v>
      </c>
      <c r="D345" s="9">
        <v>4</v>
      </c>
      <c r="E345" s="24" t="s">
        <v>44</v>
      </c>
      <c r="F345" s="8" t="s">
        <v>165</v>
      </c>
      <c r="G345" s="7">
        <f>'[1]CUENTA T FONDO 100'!GK145</f>
        <v>0</v>
      </c>
      <c r="H345" s="7">
        <f>'[1]CUENTA T VS'!GK96</f>
        <v>0</v>
      </c>
      <c r="I345" s="7">
        <f t="shared" ref="I345:I408" si="18">SUM(G345:H345)</f>
        <v>0</v>
      </c>
      <c r="J345" s="6">
        <f>I345/$I$25</f>
        <v>0</v>
      </c>
    </row>
    <row r="346" spans="1:10" ht="25.5" x14ac:dyDescent="0.2">
      <c r="A346" s="16">
        <v>2</v>
      </c>
      <c r="B346" s="15">
        <v>6</v>
      </c>
      <c r="C346" s="15">
        <v>1</v>
      </c>
      <c r="D346" s="15">
        <v>9</v>
      </c>
      <c r="E346" s="15"/>
      <c r="F346" s="13" t="s">
        <v>164</v>
      </c>
      <c r="G346" s="12">
        <f>SUM(G347)</f>
        <v>0</v>
      </c>
      <c r="H346" s="12">
        <f>SUM(H347)</f>
        <v>0</v>
      </c>
      <c r="I346" s="12">
        <f t="shared" si="18"/>
        <v>0</v>
      </c>
      <c r="J346" s="11"/>
    </row>
    <row r="347" spans="1:10" ht="25.5" x14ac:dyDescent="0.2">
      <c r="A347" s="10">
        <v>2</v>
      </c>
      <c r="B347" s="9">
        <v>6</v>
      </c>
      <c r="C347" s="9">
        <v>1</v>
      </c>
      <c r="D347" s="9">
        <v>9</v>
      </c>
      <c r="E347" s="24" t="s">
        <v>44</v>
      </c>
      <c r="F347" s="8" t="s">
        <v>164</v>
      </c>
      <c r="G347" s="7">
        <f>'[1]CUENTA T FONDO 100'!GL145</f>
        <v>0</v>
      </c>
      <c r="H347" s="7">
        <f>'[1]CUENTA T VS'!GL96</f>
        <v>0</v>
      </c>
      <c r="I347" s="7">
        <f t="shared" si="18"/>
        <v>0</v>
      </c>
      <c r="J347" s="6">
        <f>I347/$I$25</f>
        <v>0</v>
      </c>
    </row>
    <row r="348" spans="1:10" ht="25.5" x14ac:dyDescent="0.2">
      <c r="A348" s="31">
        <v>2</v>
      </c>
      <c r="B348" s="31">
        <v>6</v>
      </c>
      <c r="C348" s="31">
        <v>2</v>
      </c>
      <c r="D348" s="31"/>
      <c r="E348" s="31"/>
      <c r="F348" s="405" t="s">
        <v>411</v>
      </c>
      <c r="G348" s="20">
        <f>+G349+G351+G353+G355</f>
        <v>0</v>
      </c>
      <c r="H348" s="20">
        <f>+H349+H351+H353+H355</f>
        <v>0</v>
      </c>
      <c r="I348" s="20">
        <f t="shared" si="18"/>
        <v>0</v>
      </c>
      <c r="J348" s="19"/>
    </row>
    <row r="349" spans="1:10" x14ac:dyDescent="0.2">
      <c r="A349" s="18">
        <v>2</v>
      </c>
      <c r="B349" s="15">
        <v>6</v>
      </c>
      <c r="C349" s="15">
        <v>2</v>
      </c>
      <c r="D349" s="15">
        <v>1</v>
      </c>
      <c r="E349" s="14"/>
      <c r="F349" s="13" t="s">
        <v>163</v>
      </c>
      <c r="G349" s="12">
        <f>SUM(G350)</f>
        <v>0</v>
      </c>
      <c r="H349" s="12">
        <f>SUM(H350)</f>
        <v>0</v>
      </c>
      <c r="I349" s="12">
        <f t="shared" si="18"/>
        <v>0</v>
      </c>
      <c r="J349" s="11"/>
    </row>
    <row r="350" spans="1:10" x14ac:dyDescent="0.2">
      <c r="A350" s="17">
        <v>2</v>
      </c>
      <c r="B350" s="9">
        <v>6</v>
      </c>
      <c r="C350" s="9">
        <v>2</v>
      </c>
      <c r="D350" s="9">
        <v>1</v>
      </c>
      <c r="E350" s="24" t="s">
        <v>44</v>
      </c>
      <c r="F350" s="8" t="s">
        <v>163</v>
      </c>
      <c r="G350" s="7">
        <f>'[1]CUENTA T FONDO 100'!GM145</f>
        <v>0</v>
      </c>
      <c r="H350" s="7">
        <f>'[1]CUENTA T VS'!GM96</f>
        <v>0</v>
      </c>
      <c r="I350" s="7">
        <f t="shared" si="18"/>
        <v>0</v>
      </c>
      <c r="J350" s="6">
        <f>I350/$I$25</f>
        <v>0</v>
      </c>
    </row>
    <row r="351" spans="1:10" x14ac:dyDescent="0.2">
      <c r="A351" s="18">
        <v>2</v>
      </c>
      <c r="B351" s="15">
        <v>6</v>
      </c>
      <c r="C351" s="15">
        <v>2</v>
      </c>
      <c r="D351" s="15">
        <v>2</v>
      </c>
      <c r="E351" s="14"/>
      <c r="F351" s="13" t="s">
        <v>162</v>
      </c>
      <c r="G351" s="12">
        <f>SUM(G352)</f>
        <v>0</v>
      </c>
      <c r="H351" s="12">
        <f>SUM(H352)</f>
        <v>0</v>
      </c>
      <c r="I351" s="12">
        <f t="shared" si="18"/>
        <v>0</v>
      </c>
      <c r="J351" s="11"/>
    </row>
    <row r="352" spans="1:10" x14ac:dyDescent="0.2">
      <c r="A352" s="17">
        <v>2</v>
      </c>
      <c r="B352" s="9">
        <v>6</v>
      </c>
      <c r="C352" s="9">
        <v>2</v>
      </c>
      <c r="D352" s="9">
        <v>2</v>
      </c>
      <c r="E352" s="24" t="s">
        <v>44</v>
      </c>
      <c r="F352" s="8" t="s">
        <v>162</v>
      </c>
      <c r="G352" s="7">
        <f>'[1]CUENTA T FONDO 100'!GN145</f>
        <v>0</v>
      </c>
      <c r="H352" s="7">
        <f>'[1]CUENTA T VS'!GN96</f>
        <v>0</v>
      </c>
      <c r="I352" s="7">
        <f t="shared" si="18"/>
        <v>0</v>
      </c>
      <c r="J352" s="6">
        <f>I352/$I$25</f>
        <v>0</v>
      </c>
    </row>
    <row r="353" spans="1:10" x14ac:dyDescent="0.2">
      <c r="A353" s="18">
        <v>2</v>
      </c>
      <c r="B353" s="15">
        <v>6</v>
      </c>
      <c r="C353" s="15">
        <v>2</v>
      </c>
      <c r="D353" s="15">
        <v>3</v>
      </c>
      <c r="E353" s="14"/>
      <c r="F353" s="13" t="s">
        <v>161</v>
      </c>
      <c r="G353" s="12">
        <f>SUM(G354)</f>
        <v>0</v>
      </c>
      <c r="H353" s="12">
        <f>SUM(H354)</f>
        <v>0</v>
      </c>
      <c r="I353" s="12">
        <f t="shared" si="18"/>
        <v>0</v>
      </c>
      <c r="J353" s="11"/>
    </row>
    <row r="354" spans="1:10" x14ac:dyDescent="0.2">
      <c r="A354" s="17">
        <v>2</v>
      </c>
      <c r="B354" s="9">
        <v>6</v>
      </c>
      <c r="C354" s="9">
        <v>2</v>
      </c>
      <c r="D354" s="9">
        <v>3</v>
      </c>
      <c r="E354" s="24" t="s">
        <v>44</v>
      </c>
      <c r="F354" s="8" t="s">
        <v>161</v>
      </c>
      <c r="G354" s="7">
        <f>'[1]CUENTA T FONDO 100'!GO145</f>
        <v>0</v>
      </c>
      <c r="H354" s="7">
        <f>'[1]CUENTA T VS'!GO96</f>
        <v>0</v>
      </c>
      <c r="I354" s="7">
        <f t="shared" si="18"/>
        <v>0</v>
      </c>
      <c r="J354" s="6">
        <f>I354/$I$25</f>
        <v>0</v>
      </c>
    </row>
    <row r="355" spans="1:10" x14ac:dyDescent="0.2">
      <c r="A355" s="18">
        <v>2</v>
      </c>
      <c r="B355" s="15">
        <v>6</v>
      </c>
      <c r="C355" s="15">
        <v>2</v>
      </c>
      <c r="D355" s="15">
        <v>4</v>
      </c>
      <c r="E355" s="14"/>
      <c r="F355" s="13" t="s">
        <v>410</v>
      </c>
      <c r="G355" s="12">
        <f>SUM(G356)</f>
        <v>0</v>
      </c>
      <c r="H355" s="12">
        <f>SUM(H356)</f>
        <v>0</v>
      </c>
      <c r="I355" s="12">
        <f t="shared" si="18"/>
        <v>0</v>
      </c>
      <c r="J355" s="11"/>
    </row>
    <row r="356" spans="1:10" x14ac:dyDescent="0.2">
      <c r="A356" s="17">
        <v>2</v>
      </c>
      <c r="B356" s="9">
        <v>6</v>
      </c>
      <c r="C356" s="9">
        <v>2</v>
      </c>
      <c r="D356" s="9">
        <v>4</v>
      </c>
      <c r="E356" s="24" t="s">
        <v>44</v>
      </c>
      <c r="F356" s="8" t="s">
        <v>410</v>
      </c>
      <c r="G356" s="7">
        <f>'[1]CUENTA T FONDO 100'!GP145</f>
        <v>0</v>
      </c>
      <c r="H356" s="7">
        <f>'[1]CUENTA T VS'!GP96</f>
        <v>0</v>
      </c>
      <c r="I356" s="7">
        <f t="shared" si="18"/>
        <v>0</v>
      </c>
      <c r="J356" s="6">
        <f>I356/$I$25</f>
        <v>0</v>
      </c>
    </row>
    <row r="357" spans="1:10" x14ac:dyDescent="0.2">
      <c r="A357" s="31">
        <v>2</v>
      </c>
      <c r="B357" s="31">
        <v>6</v>
      </c>
      <c r="C357" s="31">
        <v>3</v>
      </c>
      <c r="D357" s="31"/>
      <c r="E357" s="31"/>
      <c r="F357" s="405" t="s">
        <v>160</v>
      </c>
      <c r="G357" s="20">
        <f>+G358+G360+G362+G364</f>
        <v>0</v>
      </c>
      <c r="H357" s="20">
        <f>+H358+H360+H362+H364</f>
        <v>2075030</v>
      </c>
      <c r="I357" s="20">
        <f t="shared" si="18"/>
        <v>2075030</v>
      </c>
      <c r="J357" s="19"/>
    </row>
    <row r="358" spans="1:10" x14ac:dyDescent="0.2">
      <c r="A358" s="18">
        <v>2</v>
      </c>
      <c r="B358" s="15">
        <v>6</v>
      </c>
      <c r="C358" s="15">
        <v>3</v>
      </c>
      <c r="D358" s="15">
        <v>1</v>
      </c>
      <c r="E358" s="14"/>
      <c r="F358" s="13" t="s">
        <v>159</v>
      </c>
      <c r="G358" s="12">
        <f>SUM(G359)</f>
        <v>0</v>
      </c>
      <c r="H358" s="12">
        <f>SUM(H359)</f>
        <v>413000</v>
      </c>
      <c r="I358" s="12">
        <f t="shared" si="18"/>
        <v>413000</v>
      </c>
      <c r="J358" s="11"/>
    </row>
    <row r="359" spans="1:10" x14ac:dyDescent="0.2">
      <c r="A359" s="17">
        <v>2</v>
      </c>
      <c r="B359" s="9">
        <v>6</v>
      </c>
      <c r="C359" s="9">
        <v>3</v>
      </c>
      <c r="D359" s="9">
        <v>1</v>
      </c>
      <c r="E359" s="24" t="s">
        <v>44</v>
      </c>
      <c r="F359" s="8" t="s">
        <v>159</v>
      </c>
      <c r="G359" s="7">
        <f>'[1]CUENTA T FONDO 100'!GQ145</f>
        <v>0</v>
      </c>
      <c r="H359" s="7">
        <f>'[1]CUENTA T VS'!GQ96</f>
        <v>413000</v>
      </c>
      <c r="I359" s="7">
        <f t="shared" si="18"/>
        <v>413000</v>
      </c>
      <c r="J359" s="6">
        <f>I359/$I$25</f>
        <v>5.4653691423331444E-2</v>
      </c>
    </row>
    <row r="360" spans="1:10" x14ac:dyDescent="0.2">
      <c r="A360" s="18">
        <v>2</v>
      </c>
      <c r="B360" s="15">
        <v>6</v>
      </c>
      <c r="C360" s="15">
        <v>3</v>
      </c>
      <c r="D360" s="15">
        <v>2</v>
      </c>
      <c r="E360" s="14"/>
      <c r="F360" s="13" t="s">
        <v>158</v>
      </c>
      <c r="G360" s="12">
        <f>SUM(G361)</f>
        <v>0</v>
      </c>
      <c r="H360" s="12">
        <f>SUM(H361)</f>
        <v>1662030</v>
      </c>
      <c r="I360" s="12">
        <f t="shared" si="18"/>
        <v>1662030</v>
      </c>
      <c r="J360" s="11"/>
    </row>
    <row r="361" spans="1:10" x14ac:dyDescent="0.2">
      <c r="A361" s="17">
        <v>2</v>
      </c>
      <c r="B361" s="9">
        <v>6</v>
      </c>
      <c r="C361" s="9">
        <v>3</v>
      </c>
      <c r="D361" s="9">
        <v>2</v>
      </c>
      <c r="E361" s="24" t="s">
        <v>44</v>
      </c>
      <c r="F361" s="8" t="s">
        <v>158</v>
      </c>
      <c r="G361" s="7">
        <f>'[1]CUENTA T FONDO 100'!GR145</f>
        <v>0</v>
      </c>
      <c r="H361" s="7">
        <f>'[1]CUENTA T VS'!GR96</f>
        <v>1662030</v>
      </c>
      <c r="I361" s="7">
        <f t="shared" si="18"/>
        <v>1662030</v>
      </c>
      <c r="J361" s="6">
        <f>I361/$I$25</f>
        <v>0.21994206962789239</v>
      </c>
    </row>
    <row r="362" spans="1:10" x14ac:dyDescent="0.2">
      <c r="A362" s="18">
        <v>2</v>
      </c>
      <c r="B362" s="15">
        <v>6</v>
      </c>
      <c r="C362" s="15">
        <v>3</v>
      </c>
      <c r="D362" s="15">
        <v>3</v>
      </c>
      <c r="E362" s="14"/>
      <c r="F362" s="13" t="s">
        <v>157</v>
      </c>
      <c r="G362" s="12">
        <f>SUM(G363)</f>
        <v>0</v>
      </c>
      <c r="H362" s="12">
        <f>SUM(H363)</f>
        <v>0</v>
      </c>
      <c r="I362" s="12">
        <f t="shared" si="18"/>
        <v>0</v>
      </c>
      <c r="J362" s="11"/>
    </row>
    <row r="363" spans="1:10" x14ac:dyDescent="0.2">
      <c r="A363" s="17">
        <v>2</v>
      </c>
      <c r="B363" s="9">
        <v>6</v>
      </c>
      <c r="C363" s="9">
        <v>3</v>
      </c>
      <c r="D363" s="9">
        <v>3</v>
      </c>
      <c r="E363" s="24" t="s">
        <v>44</v>
      </c>
      <c r="F363" s="8" t="s">
        <v>157</v>
      </c>
      <c r="G363" s="7">
        <f>'[1]CUENTA T FONDO 100'!GS145</f>
        <v>0</v>
      </c>
      <c r="H363" s="7">
        <f>'[1]CUENTA T VS'!GS96</f>
        <v>0</v>
      </c>
      <c r="I363" s="7">
        <f t="shared" si="18"/>
        <v>0</v>
      </c>
      <c r="J363" s="6">
        <f>I363/$I$25</f>
        <v>0</v>
      </c>
    </row>
    <row r="364" spans="1:10" x14ac:dyDescent="0.2">
      <c r="A364" s="18">
        <v>2</v>
      </c>
      <c r="B364" s="15">
        <v>6</v>
      </c>
      <c r="C364" s="15">
        <v>3</v>
      </c>
      <c r="D364" s="15">
        <v>4</v>
      </c>
      <c r="E364" s="15"/>
      <c r="F364" s="13" t="s">
        <v>412</v>
      </c>
      <c r="G364" s="12">
        <f>+G365</f>
        <v>0</v>
      </c>
      <c r="H364" s="12">
        <f>+H365</f>
        <v>0</v>
      </c>
      <c r="I364" s="12">
        <f t="shared" si="18"/>
        <v>0</v>
      </c>
      <c r="J364" s="11"/>
    </row>
    <row r="365" spans="1:10" x14ac:dyDescent="0.2">
      <c r="A365" s="17">
        <v>2</v>
      </c>
      <c r="B365" s="9">
        <v>6</v>
      </c>
      <c r="C365" s="9">
        <v>3</v>
      </c>
      <c r="D365" s="9">
        <v>4</v>
      </c>
      <c r="E365" s="24" t="s">
        <v>44</v>
      </c>
      <c r="F365" s="8" t="s">
        <v>412</v>
      </c>
      <c r="G365" s="7">
        <f>'[1]CUENTA T FONDO 100'!GT145</f>
        <v>0</v>
      </c>
      <c r="H365" s="7">
        <f>'[1]CUENTA T VS'!GT96</f>
        <v>0</v>
      </c>
      <c r="I365" s="7">
        <f t="shared" si="18"/>
        <v>0</v>
      </c>
      <c r="J365" s="6">
        <f>I365/$I$25</f>
        <v>0</v>
      </c>
    </row>
    <row r="366" spans="1:10" ht="12.75" customHeight="1" x14ac:dyDescent="0.2">
      <c r="A366" s="30">
        <v>2</v>
      </c>
      <c r="B366" s="22">
        <v>6</v>
      </c>
      <c r="C366" s="22">
        <v>4</v>
      </c>
      <c r="D366" s="22"/>
      <c r="E366" s="29"/>
      <c r="F366" s="21" t="s">
        <v>156</v>
      </c>
      <c r="G366" s="20">
        <f>+G367+G369+G371+G373+G375+G377+G379+G381</f>
        <v>0</v>
      </c>
      <c r="H366" s="20">
        <f>+H367+H369+H371+H373+H375+H377+H379+H381</f>
        <v>0</v>
      </c>
      <c r="I366" s="20">
        <f t="shared" si="18"/>
        <v>0</v>
      </c>
      <c r="J366" s="19"/>
    </row>
    <row r="367" spans="1:10" x14ac:dyDescent="0.2">
      <c r="A367" s="18">
        <v>2</v>
      </c>
      <c r="B367" s="15">
        <v>6</v>
      </c>
      <c r="C367" s="15">
        <v>4</v>
      </c>
      <c r="D367" s="15">
        <v>1</v>
      </c>
      <c r="E367" s="15"/>
      <c r="F367" s="13" t="s">
        <v>155</v>
      </c>
      <c r="G367" s="12">
        <f>SUM(G368)</f>
        <v>0</v>
      </c>
      <c r="H367" s="12">
        <f>SUM(H368)</f>
        <v>0</v>
      </c>
      <c r="I367" s="12">
        <f t="shared" si="18"/>
        <v>0</v>
      </c>
      <c r="J367" s="11"/>
    </row>
    <row r="368" spans="1:10" x14ac:dyDescent="0.2">
      <c r="A368" s="17">
        <v>2</v>
      </c>
      <c r="B368" s="9">
        <v>6</v>
      </c>
      <c r="C368" s="9">
        <v>4</v>
      </c>
      <c r="D368" s="9">
        <v>1</v>
      </c>
      <c r="E368" s="24" t="s">
        <v>44</v>
      </c>
      <c r="F368" s="8" t="s">
        <v>155</v>
      </c>
      <c r="G368" s="7">
        <f>'[1]CUENTA T FONDO 100'!GU145</f>
        <v>0</v>
      </c>
      <c r="H368" s="7">
        <f>'[1]CUENTA T VS'!GU96</f>
        <v>0</v>
      </c>
      <c r="I368" s="7">
        <f t="shared" si="18"/>
        <v>0</v>
      </c>
      <c r="J368" s="6">
        <f>I368/$I$25</f>
        <v>0</v>
      </c>
    </row>
    <row r="369" spans="1:10" x14ac:dyDescent="0.2">
      <c r="A369" s="18">
        <v>2</v>
      </c>
      <c r="B369" s="15">
        <v>6</v>
      </c>
      <c r="C369" s="15">
        <v>4</v>
      </c>
      <c r="D369" s="15">
        <v>2</v>
      </c>
      <c r="E369" s="15"/>
      <c r="F369" s="13" t="s">
        <v>154</v>
      </c>
      <c r="G369" s="12">
        <f>SUM(G370)</f>
        <v>0</v>
      </c>
      <c r="H369" s="12">
        <f>SUM(H370)</f>
        <v>0</v>
      </c>
      <c r="I369" s="12">
        <f t="shared" si="18"/>
        <v>0</v>
      </c>
      <c r="J369" s="11"/>
    </row>
    <row r="370" spans="1:10" x14ac:dyDescent="0.2">
      <c r="A370" s="17">
        <v>2</v>
      </c>
      <c r="B370" s="9">
        <v>6</v>
      </c>
      <c r="C370" s="9">
        <v>4</v>
      </c>
      <c r="D370" s="9">
        <v>2</v>
      </c>
      <c r="E370" s="24" t="s">
        <v>44</v>
      </c>
      <c r="F370" s="8" t="s">
        <v>154</v>
      </c>
      <c r="G370" s="7">
        <f>'[1]CUENTA T FONDO 100'!GV145</f>
        <v>0</v>
      </c>
      <c r="H370" s="7">
        <f>'[1]CUENTA T VS'!GV96</f>
        <v>0</v>
      </c>
      <c r="I370" s="7">
        <f t="shared" si="18"/>
        <v>0</v>
      </c>
      <c r="J370" s="6">
        <f>I370/$I$25</f>
        <v>0</v>
      </c>
    </row>
    <row r="371" spans="1:10" x14ac:dyDescent="0.2">
      <c r="A371" s="18">
        <v>2</v>
      </c>
      <c r="B371" s="15">
        <v>6</v>
      </c>
      <c r="C371" s="15">
        <v>4</v>
      </c>
      <c r="D371" s="15">
        <v>3</v>
      </c>
      <c r="E371" s="15"/>
      <c r="F371" s="13" t="s">
        <v>153</v>
      </c>
      <c r="G371" s="12">
        <f>SUM(G372)</f>
        <v>0</v>
      </c>
      <c r="H371" s="12">
        <f>SUM(H372)</f>
        <v>0</v>
      </c>
      <c r="I371" s="12">
        <f t="shared" si="18"/>
        <v>0</v>
      </c>
      <c r="J371" s="11"/>
    </row>
    <row r="372" spans="1:10" x14ac:dyDescent="0.2">
      <c r="A372" s="17">
        <v>2</v>
      </c>
      <c r="B372" s="9">
        <v>6</v>
      </c>
      <c r="C372" s="9">
        <v>4</v>
      </c>
      <c r="D372" s="9">
        <v>3</v>
      </c>
      <c r="E372" s="24" t="s">
        <v>44</v>
      </c>
      <c r="F372" s="8" t="s">
        <v>153</v>
      </c>
      <c r="G372" s="7">
        <f>'[1]CUENTA T FONDO 100'!GW145</f>
        <v>0</v>
      </c>
      <c r="H372" s="7">
        <f>'[1]CUENTA T VS'!GX96</f>
        <v>0</v>
      </c>
      <c r="I372" s="7">
        <f t="shared" si="18"/>
        <v>0</v>
      </c>
      <c r="J372" s="6">
        <f>I372/$I$25</f>
        <v>0</v>
      </c>
    </row>
    <row r="373" spans="1:10" x14ac:dyDescent="0.2">
      <c r="A373" s="18">
        <v>2</v>
      </c>
      <c r="B373" s="15">
        <v>6</v>
      </c>
      <c r="C373" s="15">
        <v>4</v>
      </c>
      <c r="D373" s="15">
        <v>4</v>
      </c>
      <c r="E373" s="15"/>
      <c r="F373" s="13" t="s">
        <v>152</v>
      </c>
      <c r="G373" s="12">
        <f>SUM(G374)</f>
        <v>0</v>
      </c>
      <c r="H373" s="12">
        <f>SUM(H374)</f>
        <v>0</v>
      </c>
      <c r="I373" s="12">
        <f t="shared" si="18"/>
        <v>0</v>
      </c>
      <c r="J373" s="11"/>
    </row>
    <row r="374" spans="1:10" x14ac:dyDescent="0.2">
      <c r="A374" s="17">
        <v>2</v>
      </c>
      <c r="B374" s="9">
        <v>6</v>
      </c>
      <c r="C374" s="9">
        <v>4</v>
      </c>
      <c r="D374" s="9">
        <v>4</v>
      </c>
      <c r="E374" s="24" t="s">
        <v>44</v>
      </c>
      <c r="F374" s="8" t="s">
        <v>152</v>
      </c>
      <c r="G374" s="7">
        <f>'[1]CUENTA T FONDO 100'!GX145</f>
        <v>0</v>
      </c>
      <c r="H374" s="7">
        <f>'[1]CUENTA T VS'!GX96</f>
        <v>0</v>
      </c>
      <c r="I374" s="7">
        <f t="shared" si="18"/>
        <v>0</v>
      </c>
      <c r="J374" s="6">
        <f>I374/$I$25</f>
        <v>0</v>
      </c>
    </row>
    <row r="375" spans="1:10" x14ac:dyDescent="0.2">
      <c r="A375" s="18">
        <v>2</v>
      </c>
      <c r="B375" s="15">
        <v>6</v>
      </c>
      <c r="C375" s="15">
        <v>4</v>
      </c>
      <c r="D375" s="15">
        <v>5</v>
      </c>
      <c r="E375" s="15"/>
      <c r="F375" s="13" t="s">
        <v>151</v>
      </c>
      <c r="G375" s="12">
        <f>SUM(G376)</f>
        <v>0</v>
      </c>
      <c r="H375" s="12">
        <f>SUM(H376)</f>
        <v>0</v>
      </c>
      <c r="I375" s="12">
        <f t="shared" si="18"/>
        <v>0</v>
      </c>
      <c r="J375" s="11"/>
    </row>
    <row r="376" spans="1:10" x14ac:dyDescent="0.2">
      <c r="A376" s="17">
        <v>2</v>
      </c>
      <c r="B376" s="9">
        <v>6</v>
      </c>
      <c r="C376" s="9">
        <v>4</v>
      </c>
      <c r="D376" s="9">
        <v>5</v>
      </c>
      <c r="E376" s="24" t="s">
        <v>44</v>
      </c>
      <c r="F376" s="8" t="s">
        <v>151</v>
      </c>
      <c r="G376" s="7">
        <f>'[1]CUENTA T FONDO 100'!GY145</f>
        <v>0</v>
      </c>
      <c r="H376" s="7">
        <f>'[1]CUENTA T VS'!GY96</f>
        <v>0</v>
      </c>
      <c r="I376" s="7">
        <f t="shared" si="18"/>
        <v>0</v>
      </c>
      <c r="J376" s="6">
        <f>I376/$I$25</f>
        <v>0</v>
      </c>
    </row>
    <row r="377" spans="1:10" x14ac:dyDescent="0.2">
      <c r="A377" s="18">
        <v>2</v>
      </c>
      <c r="B377" s="15">
        <v>6</v>
      </c>
      <c r="C377" s="15">
        <v>4</v>
      </c>
      <c r="D377" s="15">
        <v>6</v>
      </c>
      <c r="E377" s="15"/>
      <c r="F377" s="13" t="s">
        <v>150</v>
      </c>
      <c r="G377" s="12">
        <f>SUM(G378)</f>
        <v>0</v>
      </c>
      <c r="H377" s="12">
        <f>SUM(H378)</f>
        <v>0</v>
      </c>
      <c r="I377" s="12">
        <f t="shared" si="18"/>
        <v>0</v>
      </c>
      <c r="J377" s="11"/>
    </row>
    <row r="378" spans="1:10" x14ac:dyDescent="0.2">
      <c r="A378" s="17">
        <v>2</v>
      </c>
      <c r="B378" s="9">
        <v>6</v>
      </c>
      <c r="C378" s="9">
        <v>4</v>
      </c>
      <c r="D378" s="9">
        <v>6</v>
      </c>
      <c r="E378" s="24" t="s">
        <v>44</v>
      </c>
      <c r="F378" s="8" t="s">
        <v>150</v>
      </c>
      <c r="G378" s="7">
        <f>'[1]CUENTA T FONDO 100'!GZ145</f>
        <v>0</v>
      </c>
      <c r="H378" s="7">
        <f>'[1]CUENTA T VS'!GZ96</f>
        <v>0</v>
      </c>
      <c r="I378" s="7">
        <f t="shared" si="18"/>
        <v>0</v>
      </c>
      <c r="J378" s="6">
        <f>I378/$I$25</f>
        <v>0</v>
      </c>
    </row>
    <row r="379" spans="1:10" x14ac:dyDescent="0.2">
      <c r="A379" s="18">
        <v>2</v>
      </c>
      <c r="B379" s="15">
        <v>6</v>
      </c>
      <c r="C379" s="15">
        <v>4</v>
      </c>
      <c r="D379" s="15">
        <v>7</v>
      </c>
      <c r="E379" s="15"/>
      <c r="F379" s="13" t="s">
        <v>149</v>
      </c>
      <c r="G379" s="12">
        <f>SUM(G380)</f>
        <v>0</v>
      </c>
      <c r="H379" s="12">
        <f>SUM(H380)</f>
        <v>0</v>
      </c>
      <c r="I379" s="12">
        <f t="shared" si="18"/>
        <v>0</v>
      </c>
      <c r="J379" s="11"/>
    </row>
    <row r="380" spans="1:10" x14ac:dyDescent="0.2">
      <c r="A380" s="17">
        <v>2</v>
      </c>
      <c r="B380" s="9">
        <v>6</v>
      </c>
      <c r="C380" s="9">
        <v>4</v>
      </c>
      <c r="D380" s="9">
        <v>7</v>
      </c>
      <c r="E380" s="24" t="s">
        <v>44</v>
      </c>
      <c r="F380" s="8" t="s">
        <v>149</v>
      </c>
      <c r="G380" s="7">
        <f>'[1]CUENTA T FONDO 100'!HA145</f>
        <v>0</v>
      </c>
      <c r="H380" s="7">
        <f>'[1]CUENTA T VS'!HA96</f>
        <v>0</v>
      </c>
      <c r="I380" s="7">
        <f t="shared" si="18"/>
        <v>0</v>
      </c>
      <c r="J380" s="6">
        <f>I380/$I$25</f>
        <v>0</v>
      </c>
    </row>
    <row r="381" spans="1:10" x14ac:dyDescent="0.2">
      <c r="A381" s="18">
        <v>2</v>
      </c>
      <c r="B381" s="15">
        <v>6</v>
      </c>
      <c r="C381" s="15">
        <v>4</v>
      </c>
      <c r="D381" s="15">
        <v>8</v>
      </c>
      <c r="E381" s="15"/>
      <c r="F381" s="13" t="s">
        <v>148</v>
      </c>
      <c r="G381" s="12">
        <f>SUM(G382)</f>
        <v>0</v>
      </c>
      <c r="H381" s="12">
        <f>SUM(H382)</f>
        <v>0</v>
      </c>
      <c r="I381" s="12">
        <f t="shared" si="18"/>
        <v>0</v>
      </c>
      <c r="J381" s="11"/>
    </row>
    <row r="382" spans="1:10" x14ac:dyDescent="0.2">
      <c r="A382" s="17">
        <v>2</v>
      </c>
      <c r="B382" s="9">
        <v>6</v>
      </c>
      <c r="C382" s="9">
        <v>4</v>
      </c>
      <c r="D382" s="9">
        <v>8</v>
      </c>
      <c r="E382" s="24" t="s">
        <v>44</v>
      </c>
      <c r="F382" s="8" t="s">
        <v>148</v>
      </c>
      <c r="G382" s="7">
        <f>'[1]CUENTA T FONDO 100'!HB145</f>
        <v>0</v>
      </c>
      <c r="H382" s="7">
        <f>'[1]CUENTA T VS'!HB96</f>
        <v>0</v>
      </c>
      <c r="I382" s="7">
        <f t="shared" si="18"/>
        <v>0</v>
      </c>
      <c r="J382" s="6">
        <f>I382/$I$25</f>
        <v>0</v>
      </c>
    </row>
    <row r="383" spans="1:10" x14ac:dyDescent="0.2">
      <c r="A383" s="30">
        <v>2</v>
      </c>
      <c r="B383" s="22">
        <v>6</v>
      </c>
      <c r="C383" s="22">
        <v>5</v>
      </c>
      <c r="D383" s="22"/>
      <c r="E383" s="29"/>
      <c r="F383" s="21" t="s">
        <v>147</v>
      </c>
      <c r="G383" s="20">
        <f>+G384+G386+G388+G390+G392+G394+G396+G398</f>
        <v>0</v>
      </c>
      <c r="H383" s="20">
        <f>+H384+H386+H388+H390+H392+H394+H396+H398</f>
        <v>1812480</v>
      </c>
      <c r="I383" s="20">
        <f t="shared" si="18"/>
        <v>1812480</v>
      </c>
      <c r="J383" s="19"/>
    </row>
    <row r="384" spans="1:10" x14ac:dyDescent="0.2">
      <c r="A384" s="16">
        <v>2</v>
      </c>
      <c r="B384" s="15">
        <v>6</v>
      </c>
      <c r="C384" s="15">
        <v>5</v>
      </c>
      <c r="D384" s="15">
        <v>1</v>
      </c>
      <c r="E384" s="15"/>
      <c r="F384" s="13" t="s">
        <v>146</v>
      </c>
      <c r="G384" s="12">
        <f>SUM(G385)</f>
        <v>0</v>
      </c>
      <c r="H384" s="12">
        <f>SUM(H385)</f>
        <v>0</v>
      </c>
      <c r="I384" s="12">
        <f t="shared" si="18"/>
        <v>0</v>
      </c>
      <c r="J384" s="11"/>
    </row>
    <row r="385" spans="1:10" x14ac:dyDescent="0.2">
      <c r="A385" s="10">
        <v>2</v>
      </c>
      <c r="B385" s="9">
        <v>6</v>
      </c>
      <c r="C385" s="9">
        <v>5</v>
      </c>
      <c r="D385" s="9">
        <v>1</v>
      </c>
      <c r="E385" s="24" t="s">
        <v>44</v>
      </c>
      <c r="F385" s="8" t="s">
        <v>146</v>
      </c>
      <c r="G385" s="7">
        <f>'[1]CUENTA T FONDO 100'!HC145</f>
        <v>0</v>
      </c>
      <c r="H385" s="7">
        <f>'[1]CUENTA T VS'!HC96</f>
        <v>0</v>
      </c>
      <c r="I385" s="7">
        <f t="shared" si="18"/>
        <v>0</v>
      </c>
      <c r="J385" s="6">
        <f>I385/$I$25</f>
        <v>0</v>
      </c>
    </row>
    <row r="386" spans="1:10" x14ac:dyDescent="0.2">
      <c r="A386" s="16">
        <v>2</v>
      </c>
      <c r="B386" s="15">
        <v>6</v>
      </c>
      <c r="C386" s="15">
        <v>5</v>
      </c>
      <c r="D386" s="15">
        <v>2</v>
      </c>
      <c r="E386" s="15"/>
      <c r="F386" s="13" t="s">
        <v>145</v>
      </c>
      <c r="G386" s="12">
        <f>SUM(G387)</f>
        <v>0</v>
      </c>
      <c r="H386" s="12">
        <f>SUM(H387)</f>
        <v>1770000</v>
      </c>
      <c r="I386" s="12">
        <f t="shared" si="18"/>
        <v>1770000</v>
      </c>
      <c r="J386" s="11"/>
    </row>
    <row r="387" spans="1:10" x14ac:dyDescent="0.2">
      <c r="A387" s="10">
        <v>2</v>
      </c>
      <c r="B387" s="9">
        <v>6</v>
      </c>
      <c r="C387" s="9">
        <v>5</v>
      </c>
      <c r="D387" s="9">
        <v>2</v>
      </c>
      <c r="E387" s="24" t="s">
        <v>44</v>
      </c>
      <c r="F387" s="8" t="s">
        <v>145</v>
      </c>
      <c r="G387" s="7">
        <f>'[1]CUENTA T FONDO 100'!HD145</f>
        <v>0</v>
      </c>
      <c r="H387" s="7">
        <f>'[1]CUENTA T VS'!HD96</f>
        <v>1770000</v>
      </c>
      <c r="I387" s="7">
        <f t="shared" si="18"/>
        <v>1770000</v>
      </c>
      <c r="J387" s="6">
        <f>I387/$I$25</f>
        <v>0.2342301060999919</v>
      </c>
    </row>
    <row r="388" spans="1:10" x14ac:dyDescent="0.2">
      <c r="A388" s="16">
        <v>2</v>
      </c>
      <c r="B388" s="15">
        <v>6</v>
      </c>
      <c r="C388" s="15">
        <v>5</v>
      </c>
      <c r="D388" s="15">
        <v>3</v>
      </c>
      <c r="E388" s="15"/>
      <c r="F388" s="13" t="s">
        <v>144</v>
      </c>
      <c r="G388" s="12">
        <f>SUM(G389)</f>
        <v>0</v>
      </c>
      <c r="H388" s="12">
        <f>SUM(H389)</f>
        <v>0</v>
      </c>
      <c r="I388" s="12">
        <f t="shared" si="18"/>
        <v>0</v>
      </c>
      <c r="J388" s="11"/>
    </row>
    <row r="389" spans="1:10" x14ac:dyDescent="0.2">
      <c r="A389" s="10">
        <v>2</v>
      </c>
      <c r="B389" s="9">
        <v>6</v>
      </c>
      <c r="C389" s="9">
        <v>5</v>
      </c>
      <c r="D389" s="9">
        <v>3</v>
      </c>
      <c r="E389" s="24" t="s">
        <v>44</v>
      </c>
      <c r="F389" s="8" t="s">
        <v>144</v>
      </c>
      <c r="G389" s="7">
        <f>'[1]CUENTA T FONDO 100'!HE145</f>
        <v>0</v>
      </c>
      <c r="H389" s="7">
        <f>'[1]CUENTA T VS'!HE96</f>
        <v>0</v>
      </c>
      <c r="I389" s="7">
        <f t="shared" si="18"/>
        <v>0</v>
      </c>
      <c r="J389" s="6">
        <f>I389/$I$25</f>
        <v>0</v>
      </c>
    </row>
    <row r="390" spans="1:10" x14ac:dyDescent="0.2">
      <c r="A390" s="16">
        <v>2</v>
      </c>
      <c r="B390" s="15">
        <v>6</v>
      </c>
      <c r="C390" s="15">
        <v>5</v>
      </c>
      <c r="D390" s="15">
        <v>4</v>
      </c>
      <c r="E390" s="15"/>
      <c r="F390" s="13" t="s">
        <v>413</v>
      </c>
      <c r="G390" s="12">
        <f>SUM(G391)</f>
        <v>0</v>
      </c>
      <c r="H390" s="12">
        <f>SUM(H391)</f>
        <v>0</v>
      </c>
      <c r="I390" s="12">
        <f t="shared" si="18"/>
        <v>0</v>
      </c>
      <c r="J390" s="11"/>
    </row>
    <row r="391" spans="1:10" x14ac:dyDescent="0.2">
      <c r="A391" s="10">
        <v>2</v>
      </c>
      <c r="B391" s="9">
        <v>6</v>
      </c>
      <c r="C391" s="9">
        <v>5</v>
      </c>
      <c r="D391" s="9">
        <v>4</v>
      </c>
      <c r="E391" s="24" t="s">
        <v>44</v>
      </c>
      <c r="F391" s="8" t="s">
        <v>413</v>
      </c>
      <c r="G391" s="7">
        <f>'[1]CUENTA T FONDO 100'!HF145</f>
        <v>0</v>
      </c>
      <c r="H391" s="7">
        <f>'[1]CUENTA T VS'!HF96</f>
        <v>0</v>
      </c>
      <c r="I391" s="7">
        <f t="shared" si="18"/>
        <v>0</v>
      </c>
      <c r="J391" s="6">
        <f>I391/$I$25</f>
        <v>0</v>
      </c>
    </row>
    <row r="392" spans="1:10" ht="25.5" x14ac:dyDescent="0.2">
      <c r="A392" s="16">
        <v>2</v>
      </c>
      <c r="B392" s="15">
        <v>6</v>
      </c>
      <c r="C392" s="15">
        <v>5</v>
      </c>
      <c r="D392" s="15">
        <v>5</v>
      </c>
      <c r="E392" s="15"/>
      <c r="F392" s="13" t="s">
        <v>143</v>
      </c>
      <c r="G392" s="12">
        <f>SUM(G393)</f>
        <v>0</v>
      </c>
      <c r="H392" s="12">
        <f>SUM(H393)</f>
        <v>0</v>
      </c>
      <c r="I392" s="12">
        <f t="shared" si="18"/>
        <v>0</v>
      </c>
      <c r="J392" s="11"/>
    </row>
    <row r="393" spans="1:10" ht="25.5" x14ac:dyDescent="0.2">
      <c r="A393" s="10">
        <v>2</v>
      </c>
      <c r="B393" s="9">
        <v>6</v>
      </c>
      <c r="C393" s="9">
        <v>5</v>
      </c>
      <c r="D393" s="9">
        <v>5</v>
      </c>
      <c r="E393" s="24" t="s">
        <v>44</v>
      </c>
      <c r="F393" s="8" t="s">
        <v>143</v>
      </c>
      <c r="G393" s="7">
        <f>'[1]CUENTA T FONDO 100'!HG145</f>
        <v>0</v>
      </c>
      <c r="H393" s="7">
        <f>'[1]CUENTA T VS'!HG96</f>
        <v>0</v>
      </c>
      <c r="I393" s="7">
        <f t="shared" si="18"/>
        <v>0</v>
      </c>
      <c r="J393" s="6">
        <f>I393/$I$25</f>
        <v>0</v>
      </c>
    </row>
    <row r="394" spans="1:10" x14ac:dyDescent="0.2">
      <c r="A394" s="16">
        <v>2</v>
      </c>
      <c r="B394" s="15">
        <v>6</v>
      </c>
      <c r="C394" s="15">
        <v>5</v>
      </c>
      <c r="D394" s="15">
        <v>6</v>
      </c>
      <c r="E394" s="15"/>
      <c r="F394" s="13" t="s">
        <v>414</v>
      </c>
      <c r="G394" s="12">
        <f>SUM(G395)</f>
        <v>0</v>
      </c>
      <c r="H394" s="12">
        <f>SUM(H395)</f>
        <v>42480</v>
      </c>
      <c r="I394" s="12">
        <f t="shared" si="18"/>
        <v>42480</v>
      </c>
      <c r="J394" s="11"/>
    </row>
    <row r="395" spans="1:10" x14ac:dyDescent="0.2">
      <c r="A395" s="10">
        <v>2</v>
      </c>
      <c r="B395" s="9">
        <v>6</v>
      </c>
      <c r="C395" s="9">
        <v>5</v>
      </c>
      <c r="D395" s="9">
        <v>6</v>
      </c>
      <c r="E395" s="24" t="s">
        <v>44</v>
      </c>
      <c r="F395" s="8" t="s">
        <v>414</v>
      </c>
      <c r="G395" s="7">
        <f>'[1]CUENTA T FONDO 100'!HH145</f>
        <v>0</v>
      </c>
      <c r="H395" s="7">
        <f>'[1]CUENTA T VS'!HH96</f>
        <v>42480</v>
      </c>
      <c r="I395" s="7">
        <f t="shared" si="18"/>
        <v>42480</v>
      </c>
      <c r="J395" s="6">
        <f>I395/$I$25</f>
        <v>5.6215225463998059E-3</v>
      </c>
    </row>
    <row r="396" spans="1:10" x14ac:dyDescent="0.2">
      <c r="A396" s="16">
        <v>2</v>
      </c>
      <c r="B396" s="15">
        <v>6</v>
      </c>
      <c r="C396" s="15">
        <v>5</v>
      </c>
      <c r="D396" s="15">
        <v>7</v>
      </c>
      <c r="E396" s="15"/>
      <c r="F396" s="13" t="s">
        <v>415</v>
      </c>
      <c r="G396" s="12">
        <f>SUM(G397)</f>
        <v>0</v>
      </c>
      <c r="H396" s="12">
        <f>SUM(H397)</f>
        <v>0</v>
      </c>
      <c r="I396" s="12">
        <f t="shared" si="18"/>
        <v>0</v>
      </c>
      <c r="J396" s="11"/>
    </row>
    <row r="397" spans="1:10" x14ac:dyDescent="0.2">
      <c r="A397" s="10">
        <v>2</v>
      </c>
      <c r="B397" s="9">
        <v>6</v>
      </c>
      <c r="C397" s="9">
        <v>5</v>
      </c>
      <c r="D397" s="9">
        <v>7</v>
      </c>
      <c r="E397" s="24" t="s">
        <v>44</v>
      </c>
      <c r="F397" s="8" t="s">
        <v>415</v>
      </c>
      <c r="G397" s="7">
        <f>'[1]CUENTA T FONDO 100'!HI145</f>
        <v>0</v>
      </c>
      <c r="H397" s="7">
        <f>'[1]CUENTA T VS'!HI96</f>
        <v>0</v>
      </c>
      <c r="I397" s="7">
        <f t="shared" si="18"/>
        <v>0</v>
      </c>
      <c r="J397" s="6">
        <f>I397/$I$25</f>
        <v>0</v>
      </c>
    </row>
    <row r="398" spans="1:10" x14ac:dyDescent="0.2">
      <c r="A398" s="16">
        <v>2</v>
      </c>
      <c r="B398" s="15">
        <v>6</v>
      </c>
      <c r="C398" s="15">
        <v>5</v>
      </c>
      <c r="D398" s="15">
        <v>8</v>
      </c>
      <c r="E398" s="15"/>
      <c r="F398" s="13" t="s">
        <v>142</v>
      </c>
      <c r="G398" s="12">
        <f>SUM(G399)</f>
        <v>0</v>
      </c>
      <c r="H398" s="12">
        <f>SUM(H399)</f>
        <v>0</v>
      </c>
      <c r="I398" s="12">
        <f t="shared" si="18"/>
        <v>0</v>
      </c>
      <c r="J398" s="11"/>
    </row>
    <row r="399" spans="1:10" x14ac:dyDescent="0.2">
      <c r="A399" s="10">
        <v>2</v>
      </c>
      <c r="B399" s="9">
        <v>6</v>
      </c>
      <c r="C399" s="9">
        <v>5</v>
      </c>
      <c r="D399" s="9">
        <v>8</v>
      </c>
      <c r="E399" s="24" t="s">
        <v>44</v>
      </c>
      <c r="F399" s="8" t="s">
        <v>142</v>
      </c>
      <c r="G399" s="7">
        <f>'[1]CUENTA T FONDO 100'!HJ145</f>
        <v>0</v>
      </c>
      <c r="H399" s="7">
        <f>'[1]CUENTA T VS'!HJ96</f>
        <v>0</v>
      </c>
      <c r="I399" s="7">
        <f t="shared" si="18"/>
        <v>0</v>
      </c>
      <c r="J399" s="6">
        <f>I399/$I$25</f>
        <v>0</v>
      </c>
    </row>
    <row r="400" spans="1:10" x14ac:dyDescent="0.2">
      <c r="A400" s="23">
        <v>2</v>
      </c>
      <c r="B400" s="22">
        <v>6</v>
      </c>
      <c r="C400" s="22">
        <v>6</v>
      </c>
      <c r="D400" s="22"/>
      <c r="E400" s="22"/>
      <c r="F400" s="21" t="s">
        <v>141</v>
      </c>
      <c r="G400" s="20">
        <f>+G401+G403</f>
        <v>0</v>
      </c>
      <c r="H400" s="20">
        <f>+H401+H403</f>
        <v>0</v>
      </c>
      <c r="I400" s="20">
        <f t="shared" si="18"/>
        <v>0</v>
      </c>
      <c r="J400" s="19">
        <f>I400/$I$25</f>
        <v>0</v>
      </c>
    </row>
    <row r="401" spans="1:10" x14ac:dyDescent="0.2">
      <c r="A401" s="18">
        <v>2</v>
      </c>
      <c r="B401" s="15">
        <v>6</v>
      </c>
      <c r="C401" s="15">
        <v>6</v>
      </c>
      <c r="D401" s="15">
        <v>1</v>
      </c>
      <c r="E401" s="14"/>
      <c r="F401" s="13" t="s">
        <v>140</v>
      </c>
      <c r="G401" s="12">
        <f>+G402</f>
        <v>0</v>
      </c>
      <c r="H401" s="12">
        <f>+H402</f>
        <v>0</v>
      </c>
      <c r="I401" s="12">
        <f t="shared" si="18"/>
        <v>0</v>
      </c>
      <c r="J401" s="11"/>
    </row>
    <row r="402" spans="1:10" x14ac:dyDescent="0.2">
      <c r="A402" s="17">
        <v>2</v>
      </c>
      <c r="B402" s="9">
        <v>6</v>
      </c>
      <c r="C402" s="9">
        <v>6</v>
      </c>
      <c r="D402" s="9">
        <v>1</v>
      </c>
      <c r="E402" s="9" t="s">
        <v>80</v>
      </c>
      <c r="F402" s="8" t="s">
        <v>140</v>
      </c>
      <c r="G402" s="7">
        <f>'[1]CUENTA T FONDO 100'!HK145</f>
        <v>0</v>
      </c>
      <c r="H402" s="7">
        <f>'[1]CUENTA T VS'!HK96</f>
        <v>0</v>
      </c>
      <c r="I402" s="7">
        <f t="shared" si="18"/>
        <v>0</v>
      </c>
      <c r="J402" s="6">
        <f>I402/$I$25</f>
        <v>0</v>
      </c>
    </row>
    <row r="403" spans="1:10" x14ac:dyDescent="0.2">
      <c r="A403" s="18">
        <v>2</v>
      </c>
      <c r="B403" s="15">
        <v>6</v>
      </c>
      <c r="C403" s="15">
        <v>6</v>
      </c>
      <c r="D403" s="15">
        <v>2</v>
      </c>
      <c r="E403" s="14"/>
      <c r="F403" s="13" t="s">
        <v>139</v>
      </c>
      <c r="G403" s="12">
        <f>+G404</f>
        <v>0</v>
      </c>
      <c r="H403" s="12">
        <f>+H404</f>
        <v>0</v>
      </c>
      <c r="I403" s="12">
        <f t="shared" si="18"/>
        <v>0</v>
      </c>
      <c r="J403" s="11"/>
    </row>
    <row r="404" spans="1:10" x14ac:dyDescent="0.2">
      <c r="A404" s="17">
        <v>2</v>
      </c>
      <c r="B404" s="9">
        <v>6</v>
      </c>
      <c r="C404" s="9">
        <v>6</v>
      </c>
      <c r="D404" s="9">
        <v>2</v>
      </c>
      <c r="E404" s="9" t="s">
        <v>80</v>
      </c>
      <c r="F404" s="8" t="s">
        <v>139</v>
      </c>
      <c r="G404" s="7">
        <f>'[1]CUENTA T FONDO 100'!HL145</f>
        <v>0</v>
      </c>
      <c r="H404" s="7">
        <f>'[1]CUENTA T VS'!HL96</f>
        <v>0</v>
      </c>
      <c r="I404" s="7">
        <f t="shared" si="18"/>
        <v>0</v>
      </c>
      <c r="J404" s="6">
        <f>I404/$I$25</f>
        <v>0</v>
      </c>
    </row>
    <row r="405" spans="1:10" x14ac:dyDescent="0.2">
      <c r="A405" s="30">
        <v>2</v>
      </c>
      <c r="B405" s="22">
        <v>6</v>
      </c>
      <c r="C405" s="22">
        <v>7</v>
      </c>
      <c r="D405" s="22"/>
      <c r="E405" s="29"/>
      <c r="F405" s="21" t="s">
        <v>138</v>
      </c>
      <c r="G405" s="20">
        <f>+G406+G408+G410+G412+G414+G416+G418+G420+G422</f>
        <v>0</v>
      </c>
      <c r="H405" s="20">
        <f>+H406+H408+H410+H412+H414+H416+H418+H420+H422</f>
        <v>0</v>
      </c>
      <c r="I405" s="20">
        <f t="shared" si="18"/>
        <v>0</v>
      </c>
      <c r="J405" s="19"/>
    </row>
    <row r="406" spans="1:10" x14ac:dyDescent="0.2">
      <c r="A406" s="16">
        <v>2</v>
      </c>
      <c r="B406" s="15">
        <v>6</v>
      </c>
      <c r="C406" s="15">
        <v>7</v>
      </c>
      <c r="D406" s="15">
        <v>1</v>
      </c>
      <c r="E406" s="15"/>
      <c r="F406" s="13" t="s">
        <v>137</v>
      </c>
      <c r="G406" s="12">
        <f>SUM(G407)</f>
        <v>0</v>
      </c>
      <c r="H406" s="12">
        <f>SUM(H407)</f>
        <v>0</v>
      </c>
      <c r="I406" s="12">
        <f t="shared" si="18"/>
        <v>0</v>
      </c>
      <c r="J406" s="11"/>
    </row>
    <row r="407" spans="1:10" x14ac:dyDescent="0.2">
      <c r="A407" s="10">
        <v>2</v>
      </c>
      <c r="B407" s="9">
        <v>6</v>
      </c>
      <c r="C407" s="9">
        <v>7</v>
      </c>
      <c r="D407" s="9">
        <v>1</v>
      </c>
      <c r="E407" s="24" t="s">
        <v>44</v>
      </c>
      <c r="F407" s="8" t="s">
        <v>137</v>
      </c>
      <c r="G407" s="7">
        <f>'[1]CUENTA T FONDO 100'!HM145</f>
        <v>0</v>
      </c>
      <c r="H407" s="7">
        <f>'[1]CUENTA T VS'!HM96</f>
        <v>0</v>
      </c>
      <c r="I407" s="7">
        <f t="shared" si="18"/>
        <v>0</v>
      </c>
      <c r="J407" s="6">
        <f>I407/$I$25</f>
        <v>0</v>
      </c>
    </row>
    <row r="408" spans="1:10" x14ac:dyDescent="0.2">
      <c r="A408" s="18">
        <v>2</v>
      </c>
      <c r="B408" s="15">
        <v>6</v>
      </c>
      <c r="C408" s="15">
        <v>7</v>
      </c>
      <c r="D408" s="15">
        <v>2</v>
      </c>
      <c r="E408" s="15"/>
      <c r="F408" s="13" t="s">
        <v>136</v>
      </c>
      <c r="G408" s="12">
        <f>SUM(G409)</f>
        <v>0</v>
      </c>
      <c r="H408" s="12">
        <f>SUM(H409)</f>
        <v>0</v>
      </c>
      <c r="I408" s="12">
        <f t="shared" si="18"/>
        <v>0</v>
      </c>
      <c r="J408" s="11"/>
    </row>
    <row r="409" spans="1:10" x14ac:dyDescent="0.2">
      <c r="A409" s="17">
        <v>2</v>
      </c>
      <c r="B409" s="9">
        <v>6</v>
      </c>
      <c r="C409" s="9">
        <v>7</v>
      </c>
      <c r="D409" s="9">
        <v>2</v>
      </c>
      <c r="E409" s="24" t="s">
        <v>44</v>
      </c>
      <c r="F409" s="8" t="s">
        <v>136</v>
      </c>
      <c r="G409" s="7">
        <f>'[1]CUENTA T FONDO 100'!HN145</f>
        <v>0</v>
      </c>
      <c r="H409" s="7">
        <f>'[1]CUENTA T VS'!HN96</f>
        <v>0</v>
      </c>
      <c r="I409" s="7">
        <f t="shared" ref="I409:I472" si="19">SUM(G409:H409)</f>
        <v>0</v>
      </c>
      <c r="J409" s="6">
        <f>I409/$I$25</f>
        <v>0</v>
      </c>
    </row>
    <row r="410" spans="1:10" x14ac:dyDescent="0.2">
      <c r="A410" s="18">
        <v>2</v>
      </c>
      <c r="B410" s="15">
        <v>6</v>
      </c>
      <c r="C410" s="15">
        <v>7</v>
      </c>
      <c r="D410" s="15">
        <v>3</v>
      </c>
      <c r="E410" s="15"/>
      <c r="F410" s="13" t="s">
        <v>135</v>
      </c>
      <c r="G410" s="12">
        <f>SUM(G411)</f>
        <v>0</v>
      </c>
      <c r="H410" s="12">
        <f>SUM(H411)</f>
        <v>0</v>
      </c>
      <c r="I410" s="12">
        <f t="shared" si="19"/>
        <v>0</v>
      </c>
      <c r="J410" s="11"/>
    </row>
    <row r="411" spans="1:10" x14ac:dyDescent="0.2">
      <c r="A411" s="17">
        <v>2</v>
      </c>
      <c r="B411" s="9">
        <v>6</v>
      </c>
      <c r="C411" s="9">
        <v>7</v>
      </c>
      <c r="D411" s="9">
        <v>3</v>
      </c>
      <c r="E411" s="24" t="s">
        <v>44</v>
      </c>
      <c r="F411" s="8" t="s">
        <v>135</v>
      </c>
      <c r="G411" s="7">
        <f>'[1]CUENTA T FONDO 100'!HO145</f>
        <v>0</v>
      </c>
      <c r="H411" s="7">
        <f>'[1]CUENTA T VS'!HO96</f>
        <v>0</v>
      </c>
      <c r="I411" s="7">
        <f t="shared" si="19"/>
        <v>0</v>
      </c>
      <c r="J411" s="6">
        <f>I411/$I$25</f>
        <v>0</v>
      </c>
    </row>
    <row r="412" spans="1:10" x14ac:dyDescent="0.2">
      <c r="A412" s="18">
        <v>2</v>
      </c>
      <c r="B412" s="15">
        <v>6</v>
      </c>
      <c r="C412" s="15">
        <v>7</v>
      </c>
      <c r="D412" s="15">
        <v>4</v>
      </c>
      <c r="E412" s="15"/>
      <c r="F412" s="13" t="s">
        <v>134</v>
      </c>
      <c r="G412" s="12">
        <f>SUM(G413)</f>
        <v>0</v>
      </c>
      <c r="H412" s="12">
        <f>SUM(H413)</f>
        <v>0</v>
      </c>
      <c r="I412" s="12">
        <f t="shared" si="19"/>
        <v>0</v>
      </c>
      <c r="J412" s="11"/>
    </row>
    <row r="413" spans="1:10" x14ac:dyDescent="0.2">
      <c r="A413" s="17">
        <v>2</v>
      </c>
      <c r="B413" s="9">
        <v>6</v>
      </c>
      <c r="C413" s="9">
        <v>7</v>
      </c>
      <c r="D413" s="9">
        <v>4</v>
      </c>
      <c r="E413" s="24" t="s">
        <v>44</v>
      </c>
      <c r="F413" s="8" t="s">
        <v>134</v>
      </c>
      <c r="G413" s="7">
        <f>'[1]CUENTA T FONDO 100'!HP145</f>
        <v>0</v>
      </c>
      <c r="H413" s="7">
        <f>'[1]CUENTA T VS'!HP96</f>
        <v>0</v>
      </c>
      <c r="I413" s="7">
        <f t="shared" si="19"/>
        <v>0</v>
      </c>
      <c r="J413" s="6">
        <f>I413/$I$25</f>
        <v>0</v>
      </c>
    </row>
    <row r="414" spans="1:10" x14ac:dyDescent="0.2">
      <c r="A414" s="18">
        <v>2</v>
      </c>
      <c r="B414" s="15">
        <v>6</v>
      </c>
      <c r="C414" s="15">
        <v>7</v>
      </c>
      <c r="D414" s="15">
        <v>5</v>
      </c>
      <c r="E414" s="15"/>
      <c r="F414" s="13" t="s">
        <v>133</v>
      </c>
      <c r="G414" s="12">
        <f>SUM(G415)</f>
        <v>0</v>
      </c>
      <c r="H414" s="12">
        <f>SUM(H415)</f>
        <v>0</v>
      </c>
      <c r="I414" s="12">
        <f t="shared" si="19"/>
        <v>0</v>
      </c>
      <c r="J414" s="11"/>
    </row>
    <row r="415" spans="1:10" x14ac:dyDescent="0.2">
      <c r="A415" s="17">
        <v>2</v>
      </c>
      <c r="B415" s="9">
        <v>6</v>
      </c>
      <c r="C415" s="9">
        <v>7</v>
      </c>
      <c r="D415" s="9">
        <v>5</v>
      </c>
      <c r="E415" s="24" t="s">
        <v>44</v>
      </c>
      <c r="F415" s="8" t="s">
        <v>133</v>
      </c>
      <c r="G415" s="7">
        <f>'[1]CUENTA T FONDO 100'!HQ145</f>
        <v>0</v>
      </c>
      <c r="H415" s="7">
        <f>'[1]CUENTA T VS'!HQ96</f>
        <v>0</v>
      </c>
      <c r="I415" s="7">
        <f t="shared" si="19"/>
        <v>0</v>
      </c>
      <c r="J415" s="6">
        <f>I415/$I$25</f>
        <v>0</v>
      </c>
    </row>
    <row r="416" spans="1:10" x14ac:dyDescent="0.2">
      <c r="A416" s="18">
        <v>2</v>
      </c>
      <c r="B416" s="15">
        <v>6</v>
      </c>
      <c r="C416" s="15">
        <v>7</v>
      </c>
      <c r="D416" s="15">
        <v>6</v>
      </c>
      <c r="E416" s="15"/>
      <c r="F416" s="13" t="s">
        <v>132</v>
      </c>
      <c r="G416" s="12">
        <f>SUM(G417)</f>
        <v>0</v>
      </c>
      <c r="H416" s="12">
        <f>SUM(H417)</f>
        <v>0</v>
      </c>
      <c r="I416" s="12">
        <f t="shared" si="19"/>
        <v>0</v>
      </c>
      <c r="J416" s="11"/>
    </row>
    <row r="417" spans="1:10" x14ac:dyDescent="0.2">
      <c r="A417" s="17">
        <v>2</v>
      </c>
      <c r="B417" s="9">
        <v>6</v>
      </c>
      <c r="C417" s="9">
        <v>7</v>
      </c>
      <c r="D417" s="9">
        <v>6</v>
      </c>
      <c r="E417" s="24" t="s">
        <v>44</v>
      </c>
      <c r="F417" s="8" t="s">
        <v>132</v>
      </c>
      <c r="G417" s="7">
        <f>'[1]CUENTA T FONDO 100'!HR145</f>
        <v>0</v>
      </c>
      <c r="H417" s="7">
        <f>'[1]CUENTA T VS'!HR96</f>
        <v>0</v>
      </c>
      <c r="I417" s="7">
        <f t="shared" si="19"/>
        <v>0</v>
      </c>
      <c r="J417" s="6">
        <f>I417/$I$25</f>
        <v>0</v>
      </c>
    </row>
    <row r="418" spans="1:10" x14ac:dyDescent="0.2">
      <c r="A418" s="18">
        <v>2</v>
      </c>
      <c r="B418" s="15">
        <v>6</v>
      </c>
      <c r="C418" s="15">
        <v>7</v>
      </c>
      <c r="D418" s="15">
        <v>7</v>
      </c>
      <c r="E418" s="15"/>
      <c r="F418" s="13" t="s">
        <v>131</v>
      </c>
      <c r="G418" s="12">
        <f>SUM(G419)</f>
        <v>0</v>
      </c>
      <c r="H418" s="12">
        <f>SUM(H419)</f>
        <v>0</v>
      </c>
      <c r="I418" s="12">
        <f t="shared" si="19"/>
        <v>0</v>
      </c>
      <c r="J418" s="11"/>
    </row>
    <row r="419" spans="1:10" x14ac:dyDescent="0.2">
      <c r="A419" s="17">
        <v>2</v>
      </c>
      <c r="B419" s="9">
        <v>6</v>
      </c>
      <c r="C419" s="9">
        <v>7</v>
      </c>
      <c r="D419" s="9">
        <v>7</v>
      </c>
      <c r="E419" s="24" t="s">
        <v>44</v>
      </c>
      <c r="F419" s="8" t="s">
        <v>131</v>
      </c>
      <c r="G419" s="7">
        <f>'[1]CUENTA T FONDO 100'!HS145</f>
        <v>0</v>
      </c>
      <c r="H419" s="7">
        <f>'[1]CUENTA T VS'!HS96</f>
        <v>0</v>
      </c>
      <c r="I419" s="7">
        <f t="shared" si="19"/>
        <v>0</v>
      </c>
      <c r="J419" s="6">
        <f>I419/$I$25</f>
        <v>0</v>
      </c>
    </row>
    <row r="420" spans="1:10" x14ac:dyDescent="0.2">
      <c r="A420" s="18">
        <v>2</v>
      </c>
      <c r="B420" s="15">
        <v>6</v>
      </c>
      <c r="C420" s="15">
        <v>7</v>
      </c>
      <c r="D420" s="15">
        <v>8</v>
      </c>
      <c r="E420" s="15"/>
      <c r="F420" s="13" t="s">
        <v>416</v>
      </c>
      <c r="G420" s="12">
        <f>SUM(G421)</f>
        <v>0</v>
      </c>
      <c r="H420" s="12">
        <f>SUM(H421)</f>
        <v>0</v>
      </c>
      <c r="I420" s="12">
        <f t="shared" si="19"/>
        <v>0</v>
      </c>
      <c r="J420" s="11"/>
    </row>
    <row r="421" spans="1:10" x14ac:dyDescent="0.2">
      <c r="A421" s="17">
        <v>2</v>
      </c>
      <c r="B421" s="9">
        <v>6</v>
      </c>
      <c r="C421" s="9">
        <v>7</v>
      </c>
      <c r="D421" s="9">
        <v>8</v>
      </c>
      <c r="E421" s="24" t="s">
        <v>44</v>
      </c>
      <c r="F421" s="8" t="s">
        <v>416</v>
      </c>
      <c r="G421" s="7">
        <f>'[1]CUENTA T FONDO 100'!HT145</f>
        <v>0</v>
      </c>
      <c r="H421" s="7">
        <f>'[1]CUENTA T VS'!HT96</f>
        <v>0</v>
      </c>
      <c r="I421" s="7">
        <f t="shared" si="19"/>
        <v>0</v>
      </c>
      <c r="J421" s="6">
        <f>I421/$I$25</f>
        <v>0</v>
      </c>
    </row>
    <row r="422" spans="1:10" ht="25.5" x14ac:dyDescent="0.2">
      <c r="A422" s="18">
        <v>2</v>
      </c>
      <c r="B422" s="15">
        <v>6</v>
      </c>
      <c r="C422" s="15">
        <v>7</v>
      </c>
      <c r="D422" s="15">
        <v>9</v>
      </c>
      <c r="E422" s="15"/>
      <c r="F422" s="13" t="s">
        <v>130</v>
      </c>
      <c r="G422" s="12">
        <f>SUM(G423)</f>
        <v>0</v>
      </c>
      <c r="H422" s="12">
        <f>SUM(H423)</f>
        <v>0</v>
      </c>
      <c r="I422" s="12">
        <f t="shared" si="19"/>
        <v>0</v>
      </c>
      <c r="J422" s="11"/>
    </row>
    <row r="423" spans="1:10" ht="25.5" x14ac:dyDescent="0.2">
      <c r="A423" s="17">
        <v>2</v>
      </c>
      <c r="B423" s="9">
        <v>6</v>
      </c>
      <c r="C423" s="9">
        <v>7</v>
      </c>
      <c r="D423" s="9">
        <v>9</v>
      </c>
      <c r="E423" s="24" t="s">
        <v>44</v>
      </c>
      <c r="F423" s="8" t="s">
        <v>130</v>
      </c>
      <c r="G423" s="7">
        <f>'[1]CUENTA T FONDO 100'!HU145</f>
        <v>0</v>
      </c>
      <c r="H423" s="7">
        <f>'[1]CUENTA T VS'!HU96</f>
        <v>0</v>
      </c>
      <c r="I423" s="7">
        <f t="shared" si="19"/>
        <v>0</v>
      </c>
      <c r="J423" s="6">
        <f>I423/$I$25</f>
        <v>0</v>
      </c>
    </row>
    <row r="424" spans="1:10" x14ac:dyDescent="0.2">
      <c r="A424" s="23">
        <v>2</v>
      </c>
      <c r="B424" s="22">
        <v>6</v>
      </c>
      <c r="C424" s="22">
        <v>8</v>
      </c>
      <c r="D424" s="22"/>
      <c r="E424" s="22"/>
      <c r="F424" s="21" t="s">
        <v>129</v>
      </c>
      <c r="G424" s="20">
        <f>G425+G427+G429+G432+G434+G436+G438+G440+G444</f>
        <v>0</v>
      </c>
      <c r="H424" s="20">
        <f>H425+H427+H429+H432+H434+H436+H438+H440+H444</f>
        <v>0</v>
      </c>
      <c r="I424" s="20">
        <f t="shared" si="19"/>
        <v>0</v>
      </c>
      <c r="J424" s="19"/>
    </row>
    <row r="425" spans="1:10" x14ac:dyDescent="0.2">
      <c r="A425" s="18">
        <v>2</v>
      </c>
      <c r="B425" s="15">
        <v>6</v>
      </c>
      <c r="C425" s="15">
        <v>8</v>
      </c>
      <c r="D425" s="15">
        <v>1</v>
      </c>
      <c r="E425" s="15"/>
      <c r="F425" s="13" t="s">
        <v>128</v>
      </c>
      <c r="G425" s="12">
        <f>+G426</f>
        <v>0</v>
      </c>
      <c r="H425" s="12">
        <f>+H426</f>
        <v>0</v>
      </c>
      <c r="I425" s="12">
        <f t="shared" si="19"/>
        <v>0</v>
      </c>
      <c r="J425" s="11"/>
    </row>
    <row r="426" spans="1:10" x14ac:dyDescent="0.2">
      <c r="A426" s="17">
        <v>2</v>
      </c>
      <c r="B426" s="9">
        <v>6</v>
      </c>
      <c r="C426" s="9">
        <v>8</v>
      </c>
      <c r="D426" s="9">
        <v>1</v>
      </c>
      <c r="E426" s="24" t="s">
        <v>44</v>
      </c>
      <c r="F426" s="8" t="s">
        <v>128</v>
      </c>
      <c r="G426" s="7">
        <f>'[1]CUENTA T FONDO 100'!HV145</f>
        <v>0</v>
      </c>
      <c r="H426" s="7">
        <f>'[1]CUENTA T VS'!HV96</f>
        <v>0</v>
      </c>
      <c r="I426" s="7">
        <f t="shared" si="19"/>
        <v>0</v>
      </c>
      <c r="J426" s="6">
        <f>I426/$I$25</f>
        <v>0</v>
      </c>
    </row>
    <row r="427" spans="1:10" x14ac:dyDescent="0.2">
      <c r="A427" s="18">
        <v>2</v>
      </c>
      <c r="B427" s="15">
        <v>6</v>
      </c>
      <c r="C427" s="15">
        <v>8</v>
      </c>
      <c r="D427" s="15">
        <v>2</v>
      </c>
      <c r="E427" s="15"/>
      <c r="F427" s="13" t="s">
        <v>127</v>
      </c>
      <c r="G427" s="12">
        <f>+G428</f>
        <v>0</v>
      </c>
      <c r="H427" s="12">
        <f>+H428</f>
        <v>0</v>
      </c>
      <c r="I427" s="12">
        <f t="shared" si="19"/>
        <v>0</v>
      </c>
      <c r="J427" s="11"/>
    </row>
    <row r="428" spans="1:10" x14ac:dyDescent="0.2">
      <c r="A428" s="17">
        <v>2</v>
      </c>
      <c r="B428" s="9">
        <v>6</v>
      </c>
      <c r="C428" s="9">
        <v>8</v>
      </c>
      <c r="D428" s="9">
        <v>2</v>
      </c>
      <c r="E428" s="24" t="s">
        <v>44</v>
      </c>
      <c r="F428" s="8" t="s">
        <v>127</v>
      </c>
      <c r="G428" s="7">
        <f>'[1]CUENTA T FONDO 100'!HW145</f>
        <v>0</v>
      </c>
      <c r="H428" s="7">
        <f>'[1]CUENTA T VS'!HW96</f>
        <v>0</v>
      </c>
      <c r="I428" s="7">
        <f t="shared" si="19"/>
        <v>0</v>
      </c>
      <c r="J428" s="6">
        <f>I428/$I$25</f>
        <v>0</v>
      </c>
    </row>
    <row r="429" spans="1:10" x14ac:dyDescent="0.2">
      <c r="A429" s="18">
        <v>2</v>
      </c>
      <c r="B429" s="15">
        <v>6</v>
      </c>
      <c r="C429" s="15">
        <v>8</v>
      </c>
      <c r="D429" s="15">
        <v>3</v>
      </c>
      <c r="E429" s="15"/>
      <c r="F429" s="13" t="s">
        <v>126</v>
      </c>
      <c r="G429" s="12">
        <f>SUM(G430:G431)</f>
        <v>0</v>
      </c>
      <c r="H429" s="12">
        <f>SUM(H430:H431)</f>
        <v>0</v>
      </c>
      <c r="I429" s="12">
        <f t="shared" si="19"/>
        <v>0</v>
      </c>
      <c r="J429" s="11"/>
    </row>
    <row r="430" spans="1:10" x14ac:dyDescent="0.2">
      <c r="A430" s="17">
        <v>2</v>
      </c>
      <c r="B430" s="9">
        <v>6</v>
      </c>
      <c r="C430" s="9">
        <v>8</v>
      </c>
      <c r="D430" s="9">
        <v>3</v>
      </c>
      <c r="E430" s="24" t="s">
        <v>44</v>
      </c>
      <c r="F430" s="8" t="s">
        <v>125</v>
      </c>
      <c r="G430" s="7">
        <f>'[1]CUENTA T FONDO 100'!HX145</f>
        <v>0</v>
      </c>
      <c r="H430" s="7">
        <f>'[1]CUENTA T VS'!HX96</f>
        <v>0</v>
      </c>
      <c r="I430" s="7">
        <f t="shared" si="19"/>
        <v>0</v>
      </c>
      <c r="J430" s="6">
        <f>I430/$I$25</f>
        <v>0</v>
      </c>
    </row>
    <row r="431" spans="1:10" x14ac:dyDescent="0.2">
      <c r="A431" s="17">
        <v>2</v>
      </c>
      <c r="B431" s="9">
        <v>6</v>
      </c>
      <c r="C431" s="9">
        <v>8</v>
      </c>
      <c r="D431" s="9">
        <v>3</v>
      </c>
      <c r="E431" s="24" t="s">
        <v>43</v>
      </c>
      <c r="F431" s="8" t="s">
        <v>124</v>
      </c>
      <c r="G431" s="7">
        <f>'[1]CUENTA T FONDO 100'!HY145</f>
        <v>0</v>
      </c>
      <c r="H431" s="7">
        <f>'[1]CUENTA T VS'!HY96</f>
        <v>0</v>
      </c>
      <c r="I431" s="7">
        <f t="shared" si="19"/>
        <v>0</v>
      </c>
      <c r="J431" s="6">
        <f>I431/$I$25</f>
        <v>0</v>
      </c>
    </row>
    <row r="432" spans="1:10" ht="12.75" customHeight="1" x14ac:dyDescent="0.2">
      <c r="A432" s="18">
        <v>2</v>
      </c>
      <c r="B432" s="15">
        <v>6</v>
      </c>
      <c r="C432" s="15">
        <v>8</v>
      </c>
      <c r="D432" s="15">
        <v>4</v>
      </c>
      <c r="E432" s="15"/>
      <c r="F432" s="13" t="s">
        <v>123</v>
      </c>
      <c r="G432" s="12">
        <f>+G433</f>
        <v>0</v>
      </c>
      <c r="H432" s="12">
        <f>+H433</f>
        <v>0</v>
      </c>
      <c r="I432" s="12">
        <f t="shared" si="19"/>
        <v>0</v>
      </c>
      <c r="J432" s="11"/>
    </row>
    <row r="433" spans="1:10" ht="12.75" customHeight="1" x14ac:dyDescent="0.2">
      <c r="A433" s="17">
        <v>2</v>
      </c>
      <c r="B433" s="9">
        <v>6</v>
      </c>
      <c r="C433" s="9">
        <v>8</v>
      </c>
      <c r="D433" s="9">
        <v>4</v>
      </c>
      <c r="E433" s="24" t="s">
        <v>44</v>
      </c>
      <c r="F433" s="8" t="s">
        <v>123</v>
      </c>
      <c r="G433" s="7">
        <f>'[1]CUENTA T FONDO 100'!HZ145</f>
        <v>0</v>
      </c>
      <c r="H433" s="7">
        <f>'[1]CUENTA T VS'!HZ96</f>
        <v>0</v>
      </c>
      <c r="I433" s="7">
        <f t="shared" si="19"/>
        <v>0</v>
      </c>
      <c r="J433" s="6">
        <f>I433/$I$25</f>
        <v>0</v>
      </c>
    </row>
    <row r="434" spans="1:10" x14ac:dyDescent="0.2">
      <c r="A434" s="18">
        <v>2</v>
      </c>
      <c r="B434" s="15">
        <v>6</v>
      </c>
      <c r="C434" s="15">
        <v>8</v>
      </c>
      <c r="D434" s="15">
        <v>5</v>
      </c>
      <c r="E434" s="15"/>
      <c r="F434" s="13" t="s">
        <v>122</v>
      </c>
      <c r="G434" s="12">
        <f>+G435</f>
        <v>0</v>
      </c>
      <c r="H434" s="12">
        <f>+H435</f>
        <v>0</v>
      </c>
      <c r="I434" s="12">
        <f t="shared" si="19"/>
        <v>0</v>
      </c>
      <c r="J434" s="11"/>
    </row>
    <row r="435" spans="1:10" x14ac:dyDescent="0.2">
      <c r="A435" s="17">
        <v>2</v>
      </c>
      <c r="B435" s="9">
        <v>6</v>
      </c>
      <c r="C435" s="9">
        <v>8</v>
      </c>
      <c r="D435" s="9">
        <v>5</v>
      </c>
      <c r="E435" s="24" t="s">
        <v>44</v>
      </c>
      <c r="F435" s="8" t="s">
        <v>122</v>
      </c>
      <c r="G435" s="7">
        <f>'[1]CUENTA T FONDO 100'!IA145</f>
        <v>0</v>
      </c>
      <c r="H435" s="7">
        <f>'[1]CUENTA T VS'!IA96</f>
        <v>0</v>
      </c>
      <c r="I435" s="7">
        <f t="shared" si="19"/>
        <v>0</v>
      </c>
      <c r="J435" s="6">
        <f>I435/$I$25</f>
        <v>0</v>
      </c>
    </row>
    <row r="436" spans="1:10" x14ac:dyDescent="0.2">
      <c r="A436" s="18">
        <v>2</v>
      </c>
      <c r="B436" s="15">
        <v>6</v>
      </c>
      <c r="C436" s="15">
        <v>8</v>
      </c>
      <c r="D436" s="15">
        <v>6</v>
      </c>
      <c r="E436" s="15"/>
      <c r="F436" s="13" t="s">
        <v>121</v>
      </c>
      <c r="G436" s="12">
        <f>+G437</f>
        <v>0</v>
      </c>
      <c r="H436" s="12">
        <f>+H437</f>
        <v>0</v>
      </c>
      <c r="I436" s="12">
        <f t="shared" si="19"/>
        <v>0</v>
      </c>
      <c r="J436" s="11"/>
    </row>
    <row r="437" spans="1:10" x14ac:dyDescent="0.2">
      <c r="A437" s="17">
        <v>2</v>
      </c>
      <c r="B437" s="9">
        <v>6</v>
      </c>
      <c r="C437" s="9">
        <v>8</v>
      </c>
      <c r="D437" s="9">
        <v>6</v>
      </c>
      <c r="E437" s="24" t="s">
        <v>44</v>
      </c>
      <c r="F437" s="8" t="s">
        <v>121</v>
      </c>
      <c r="G437" s="7">
        <f>'[1]CUENTA T FONDO 100'!IB145</f>
        <v>0</v>
      </c>
      <c r="H437" s="7">
        <f>'[1]CUENTA T VS'!IB96</f>
        <v>0</v>
      </c>
      <c r="I437" s="7">
        <f t="shared" si="19"/>
        <v>0</v>
      </c>
      <c r="J437" s="6">
        <f>I437/$I$25</f>
        <v>0</v>
      </c>
    </row>
    <row r="438" spans="1:10" x14ac:dyDescent="0.2">
      <c r="A438" s="18">
        <v>2</v>
      </c>
      <c r="B438" s="15">
        <v>6</v>
      </c>
      <c r="C438" s="15">
        <v>8</v>
      </c>
      <c r="D438" s="15">
        <v>7</v>
      </c>
      <c r="E438" s="15"/>
      <c r="F438" s="13" t="s">
        <v>120</v>
      </c>
      <c r="G438" s="12">
        <f>+G439</f>
        <v>0</v>
      </c>
      <c r="H438" s="12">
        <f>+H439</f>
        <v>0</v>
      </c>
      <c r="I438" s="12">
        <f t="shared" si="19"/>
        <v>0</v>
      </c>
      <c r="J438" s="11"/>
    </row>
    <row r="439" spans="1:10" x14ac:dyDescent="0.2">
      <c r="A439" s="17">
        <v>2</v>
      </c>
      <c r="B439" s="9">
        <v>6</v>
      </c>
      <c r="C439" s="9">
        <v>8</v>
      </c>
      <c r="D439" s="9">
        <v>7</v>
      </c>
      <c r="E439" s="24" t="s">
        <v>44</v>
      </c>
      <c r="F439" s="8" t="s">
        <v>120</v>
      </c>
      <c r="G439" s="7">
        <f>'[1]CUENTA T FONDO 100'!IC145</f>
        <v>0</v>
      </c>
      <c r="H439" s="7">
        <f>'[1]CUENTA T VS'!IC96</f>
        <v>0</v>
      </c>
      <c r="I439" s="7">
        <f t="shared" si="19"/>
        <v>0</v>
      </c>
      <c r="J439" s="6">
        <f>I439/$I$25</f>
        <v>0</v>
      </c>
    </row>
    <row r="440" spans="1:10" x14ac:dyDescent="0.2">
      <c r="A440" s="16">
        <v>2</v>
      </c>
      <c r="B440" s="15">
        <v>6</v>
      </c>
      <c r="C440" s="15">
        <v>8</v>
      </c>
      <c r="D440" s="15">
        <v>8</v>
      </c>
      <c r="E440" s="15"/>
      <c r="F440" s="13" t="s">
        <v>419</v>
      </c>
      <c r="G440" s="12">
        <f>SUM(G441:G443)</f>
        <v>0</v>
      </c>
      <c r="H440" s="12">
        <f>SUM(H441:H443)</f>
        <v>0</v>
      </c>
      <c r="I440" s="12">
        <f t="shared" si="19"/>
        <v>0</v>
      </c>
      <c r="J440" s="11"/>
    </row>
    <row r="441" spans="1:10" x14ac:dyDescent="0.2">
      <c r="A441" s="17">
        <v>2</v>
      </c>
      <c r="B441" s="9">
        <v>6</v>
      </c>
      <c r="C441" s="9">
        <v>8</v>
      </c>
      <c r="D441" s="9">
        <v>8</v>
      </c>
      <c r="E441" s="9" t="s">
        <v>119</v>
      </c>
      <c r="F441" s="8" t="s">
        <v>118</v>
      </c>
      <c r="G441" s="7">
        <f>'[1]CUENTA T FONDO 100'!ID145</f>
        <v>0</v>
      </c>
      <c r="H441" s="7">
        <f>'[1]CUENTA T VS'!ID96</f>
        <v>0</v>
      </c>
      <c r="I441" s="7">
        <f t="shared" si="19"/>
        <v>0</v>
      </c>
      <c r="J441" s="6">
        <f>I441/$I$25</f>
        <v>0</v>
      </c>
    </row>
    <row r="442" spans="1:10" x14ac:dyDescent="0.2">
      <c r="A442" s="17">
        <v>2</v>
      </c>
      <c r="B442" s="9">
        <v>6</v>
      </c>
      <c r="C442" s="9">
        <v>8</v>
      </c>
      <c r="D442" s="9">
        <v>8</v>
      </c>
      <c r="E442" s="9" t="s">
        <v>117</v>
      </c>
      <c r="F442" s="8" t="s">
        <v>116</v>
      </c>
      <c r="G442" s="7">
        <f>'[1]CUENTA T FONDO 100'!IE145</f>
        <v>0</v>
      </c>
      <c r="H442" s="7">
        <f>'[1]CUENTA T VS'!IE96</f>
        <v>0</v>
      </c>
      <c r="I442" s="7">
        <f t="shared" si="19"/>
        <v>0</v>
      </c>
      <c r="J442" s="6">
        <f>I442/$I$25</f>
        <v>0</v>
      </c>
    </row>
    <row r="443" spans="1:10" x14ac:dyDescent="0.2">
      <c r="A443" s="17">
        <v>2</v>
      </c>
      <c r="B443" s="9">
        <v>6</v>
      </c>
      <c r="C443" s="9">
        <v>8</v>
      </c>
      <c r="D443" s="9">
        <v>8</v>
      </c>
      <c r="E443" s="9" t="s">
        <v>115</v>
      </c>
      <c r="F443" s="8" t="s">
        <v>114</v>
      </c>
      <c r="G443" s="7">
        <f>'[1]CUENTA T FONDO 100'!IF145</f>
        <v>0</v>
      </c>
      <c r="H443" s="7">
        <f>'[1]CUENTA T VS'!IF96</f>
        <v>0</v>
      </c>
      <c r="I443" s="7">
        <f t="shared" si="19"/>
        <v>0</v>
      </c>
      <c r="J443" s="6">
        <f>I443/$I$25</f>
        <v>0</v>
      </c>
    </row>
    <row r="444" spans="1:10" x14ac:dyDescent="0.2">
      <c r="A444" s="18">
        <v>2</v>
      </c>
      <c r="B444" s="15">
        <v>6</v>
      </c>
      <c r="C444" s="15">
        <v>8</v>
      </c>
      <c r="D444" s="15">
        <v>9</v>
      </c>
      <c r="E444" s="15"/>
      <c r="F444" s="13" t="s">
        <v>113</v>
      </c>
      <c r="G444" s="12">
        <f>+G445</f>
        <v>0</v>
      </c>
      <c r="H444" s="12">
        <f>+H445</f>
        <v>0</v>
      </c>
      <c r="I444" s="12">
        <f t="shared" si="19"/>
        <v>0</v>
      </c>
      <c r="J444" s="11"/>
    </row>
    <row r="445" spans="1:10" x14ac:dyDescent="0.2">
      <c r="A445" s="17">
        <v>2</v>
      </c>
      <c r="B445" s="9">
        <v>6</v>
      </c>
      <c r="C445" s="9">
        <v>8</v>
      </c>
      <c r="D445" s="9">
        <v>9</v>
      </c>
      <c r="E445" s="9" t="s">
        <v>80</v>
      </c>
      <c r="F445" s="8" t="s">
        <v>113</v>
      </c>
      <c r="G445" s="7">
        <f>'[1]CUENTA T FONDO 100'!IG145</f>
        <v>0</v>
      </c>
      <c r="H445" s="7">
        <f>'[1]CUENTA T VS'!IG96</f>
        <v>0</v>
      </c>
      <c r="I445" s="7">
        <f t="shared" si="19"/>
        <v>0</v>
      </c>
      <c r="J445" s="6">
        <f>I445/$I$25</f>
        <v>0</v>
      </c>
    </row>
    <row r="446" spans="1:10" x14ac:dyDescent="0.2">
      <c r="A446" s="30">
        <v>2</v>
      </c>
      <c r="B446" s="22">
        <v>6</v>
      </c>
      <c r="C446" s="22">
        <v>9</v>
      </c>
      <c r="D446" s="22"/>
      <c r="E446" s="29"/>
      <c r="F446" s="21" t="s">
        <v>112</v>
      </c>
      <c r="G446" s="20">
        <f>+G447+G450+G453+G455+G457+G461</f>
        <v>0</v>
      </c>
      <c r="H446" s="20">
        <f>+H447+H450+H453+H455+H457+H461</f>
        <v>0</v>
      </c>
      <c r="I446" s="20">
        <f t="shared" si="19"/>
        <v>0</v>
      </c>
      <c r="J446" s="19"/>
    </row>
    <row r="447" spans="1:10" x14ac:dyDescent="0.2">
      <c r="A447" s="18">
        <v>2</v>
      </c>
      <c r="B447" s="15">
        <v>6</v>
      </c>
      <c r="C447" s="15">
        <v>9</v>
      </c>
      <c r="D447" s="15">
        <v>1</v>
      </c>
      <c r="E447" s="15"/>
      <c r="F447" s="13" t="s">
        <v>111</v>
      </c>
      <c r="G447" s="12">
        <f>+G448+G449</f>
        <v>0</v>
      </c>
      <c r="H447" s="12">
        <f t="shared" ref="H447" si="20">+H448+H449</f>
        <v>0</v>
      </c>
      <c r="I447" s="12">
        <f t="shared" si="19"/>
        <v>0</v>
      </c>
      <c r="J447" s="12"/>
    </row>
    <row r="448" spans="1:10" x14ac:dyDescent="0.2">
      <c r="A448" s="28">
        <v>2</v>
      </c>
      <c r="B448" s="27">
        <v>6</v>
      </c>
      <c r="C448" s="27">
        <v>9</v>
      </c>
      <c r="D448" s="27">
        <v>1</v>
      </c>
      <c r="E448" s="27" t="s">
        <v>44</v>
      </c>
      <c r="F448" s="26" t="s">
        <v>111</v>
      </c>
      <c r="G448" s="7">
        <f>'[1]CUENTA T FONDO 100'!IH145</f>
        <v>0</v>
      </c>
      <c r="H448" s="25">
        <f>'[1]CUENTA T VS'!IH96</f>
        <v>0</v>
      </c>
      <c r="I448" s="25">
        <f t="shared" si="19"/>
        <v>0</v>
      </c>
      <c r="J448" s="6">
        <f>I448/$I$25</f>
        <v>0</v>
      </c>
    </row>
    <row r="449" spans="1:10" x14ac:dyDescent="0.2">
      <c r="A449" s="28">
        <v>2</v>
      </c>
      <c r="B449" s="27">
        <v>6</v>
      </c>
      <c r="C449" s="27">
        <v>9</v>
      </c>
      <c r="D449" s="27">
        <v>1</v>
      </c>
      <c r="E449" s="27" t="s">
        <v>43</v>
      </c>
      <c r="F449" s="26" t="s">
        <v>417</v>
      </c>
      <c r="G449" s="7">
        <f>'[1]CUENTA T FONDO 100'!II145</f>
        <v>0</v>
      </c>
      <c r="H449" s="25">
        <f>'[1]CUENTA T VS'!II96</f>
        <v>0</v>
      </c>
      <c r="I449" s="25">
        <f t="shared" si="19"/>
        <v>0</v>
      </c>
      <c r="J449" s="6">
        <f>I449/$I$25</f>
        <v>0</v>
      </c>
    </row>
    <row r="450" spans="1:10" x14ac:dyDescent="0.2">
      <c r="A450" s="18">
        <v>2</v>
      </c>
      <c r="B450" s="15">
        <v>6</v>
      </c>
      <c r="C450" s="15">
        <v>9</v>
      </c>
      <c r="D450" s="15">
        <v>2</v>
      </c>
      <c r="E450" s="15"/>
      <c r="F450" s="13" t="s">
        <v>110</v>
      </c>
      <c r="G450" s="12">
        <f>SUM(G451:G452)</f>
        <v>0</v>
      </c>
      <c r="H450" s="12">
        <f t="shared" ref="H450" si="21">SUM(H451:H452)</f>
        <v>0</v>
      </c>
      <c r="I450" s="12">
        <f t="shared" si="19"/>
        <v>0</v>
      </c>
      <c r="J450" s="11"/>
    </row>
    <row r="451" spans="1:10" x14ac:dyDescent="0.2">
      <c r="A451" s="17">
        <v>2</v>
      </c>
      <c r="B451" s="9">
        <v>6</v>
      </c>
      <c r="C451" s="9">
        <v>9</v>
      </c>
      <c r="D451" s="9">
        <v>2</v>
      </c>
      <c r="E451" s="24" t="s">
        <v>44</v>
      </c>
      <c r="F451" s="8" t="s">
        <v>110</v>
      </c>
      <c r="G451" s="7">
        <f>'[1]CUENTA T FONDO 100'!IJ145</f>
        <v>0</v>
      </c>
      <c r="H451" s="7">
        <f>'[1]CUENTA T VS'!IJ96</f>
        <v>0</v>
      </c>
      <c r="I451" s="7">
        <f t="shared" si="19"/>
        <v>0</v>
      </c>
      <c r="J451" s="6">
        <f>I451/$I$25</f>
        <v>0</v>
      </c>
    </row>
    <row r="452" spans="1:10" x14ac:dyDescent="0.2">
      <c r="A452" s="17">
        <v>2</v>
      </c>
      <c r="B452" s="9">
        <v>6</v>
      </c>
      <c r="C452" s="9">
        <v>9</v>
      </c>
      <c r="D452" s="9">
        <v>2</v>
      </c>
      <c r="E452" s="24" t="s">
        <v>43</v>
      </c>
      <c r="F452" s="8" t="s">
        <v>418</v>
      </c>
      <c r="G452" s="7">
        <f>'[1]CUENTA T FONDO 100'!IK145</f>
        <v>0</v>
      </c>
      <c r="H452" s="7">
        <f>'[1]CUENTA T VS'!IK96</f>
        <v>0</v>
      </c>
      <c r="I452" s="7">
        <f t="shared" si="19"/>
        <v>0</v>
      </c>
      <c r="J452" s="6">
        <f>I452/$I$25</f>
        <v>0</v>
      </c>
    </row>
    <row r="453" spans="1:10" x14ac:dyDescent="0.2">
      <c r="A453" s="18">
        <v>2</v>
      </c>
      <c r="B453" s="15">
        <v>6</v>
      </c>
      <c r="C453" s="15">
        <v>9</v>
      </c>
      <c r="D453" s="15">
        <v>3</v>
      </c>
      <c r="E453" s="15"/>
      <c r="F453" s="13" t="s">
        <v>109</v>
      </c>
      <c r="G453" s="12">
        <f>SUM(G454)</f>
        <v>0</v>
      </c>
      <c r="H453" s="12">
        <f>SUM(H454)</f>
        <v>0</v>
      </c>
      <c r="I453" s="12">
        <f t="shared" si="19"/>
        <v>0</v>
      </c>
      <c r="J453" s="12"/>
    </row>
    <row r="454" spans="1:10" x14ac:dyDescent="0.2">
      <c r="A454" s="17">
        <v>2</v>
      </c>
      <c r="B454" s="9">
        <v>6</v>
      </c>
      <c r="C454" s="9">
        <v>9</v>
      </c>
      <c r="D454" s="9">
        <v>3</v>
      </c>
      <c r="E454" s="24" t="s">
        <v>44</v>
      </c>
      <c r="F454" s="8" t="s">
        <v>109</v>
      </c>
      <c r="G454" s="7">
        <f>'[1]CUENTA T FONDO 100'!IL145</f>
        <v>0</v>
      </c>
      <c r="H454" s="7">
        <f>'[1]CUENTA T VS'!IL96</f>
        <v>0</v>
      </c>
      <c r="I454" s="7">
        <f t="shared" si="19"/>
        <v>0</v>
      </c>
      <c r="J454" s="6">
        <f>I454/$I$25</f>
        <v>0</v>
      </c>
    </row>
    <row r="455" spans="1:10" x14ac:dyDescent="0.2">
      <c r="A455" s="18">
        <v>2</v>
      </c>
      <c r="B455" s="15">
        <v>6</v>
      </c>
      <c r="C455" s="15">
        <v>9</v>
      </c>
      <c r="D455" s="15">
        <v>4</v>
      </c>
      <c r="E455" s="15"/>
      <c r="F455" s="13" t="s">
        <v>108</v>
      </c>
      <c r="G455" s="12">
        <f>SUM(G456)</f>
        <v>0</v>
      </c>
      <c r="H455" s="12">
        <f>SUM(H456)</f>
        <v>0</v>
      </c>
      <c r="I455" s="12">
        <f t="shared" si="19"/>
        <v>0</v>
      </c>
      <c r="J455" s="11"/>
    </row>
    <row r="456" spans="1:10" x14ac:dyDescent="0.2">
      <c r="A456" s="17">
        <v>2</v>
      </c>
      <c r="B456" s="9">
        <v>6</v>
      </c>
      <c r="C456" s="9">
        <v>9</v>
      </c>
      <c r="D456" s="9">
        <v>4</v>
      </c>
      <c r="E456" s="24" t="s">
        <v>44</v>
      </c>
      <c r="F456" s="8" t="s">
        <v>108</v>
      </c>
      <c r="G456" s="7">
        <f>'[1]CUENTA T FONDO 100'!IM145</f>
        <v>0</v>
      </c>
      <c r="H456" s="7">
        <f>'[1]CUENTA T VS'!IM96</f>
        <v>0</v>
      </c>
      <c r="I456" s="7">
        <f t="shared" si="19"/>
        <v>0</v>
      </c>
      <c r="J456" s="6">
        <f>I456/$I$25</f>
        <v>0</v>
      </c>
    </row>
    <row r="457" spans="1:10" x14ac:dyDescent="0.2">
      <c r="A457" s="18">
        <v>2</v>
      </c>
      <c r="B457" s="15">
        <v>6</v>
      </c>
      <c r="C457" s="15">
        <v>9</v>
      </c>
      <c r="D457" s="15">
        <v>5</v>
      </c>
      <c r="E457" s="15"/>
      <c r="F457" s="13" t="s">
        <v>107</v>
      </c>
      <c r="G457" s="12">
        <f>SUM(G458:G460)</f>
        <v>0</v>
      </c>
      <c r="H457" s="12">
        <f>SUM(H458:H460)</f>
        <v>0</v>
      </c>
      <c r="I457" s="12">
        <f t="shared" si="19"/>
        <v>0</v>
      </c>
      <c r="J457" s="11"/>
    </row>
    <row r="458" spans="1:10" x14ac:dyDescent="0.2">
      <c r="A458" s="17">
        <v>2</v>
      </c>
      <c r="B458" s="9">
        <v>6</v>
      </c>
      <c r="C458" s="9">
        <v>9</v>
      </c>
      <c r="D458" s="9">
        <v>5</v>
      </c>
      <c r="E458" s="24" t="s">
        <v>44</v>
      </c>
      <c r="F458" s="8" t="s">
        <v>106</v>
      </c>
      <c r="G458" s="7">
        <f>'[1]CUENTA T FONDO 100'!IN145</f>
        <v>0</v>
      </c>
      <c r="H458" s="7">
        <f>'[1]CUENTA T VS'!IN96</f>
        <v>0</v>
      </c>
      <c r="I458" s="7">
        <f t="shared" si="19"/>
        <v>0</v>
      </c>
      <c r="J458" s="6">
        <f>I458/$I$25</f>
        <v>0</v>
      </c>
    </row>
    <row r="459" spans="1:10" ht="25.5" x14ac:dyDescent="0.2">
      <c r="A459" s="17">
        <v>2</v>
      </c>
      <c r="B459" s="9">
        <v>6</v>
      </c>
      <c r="C459" s="9">
        <v>9</v>
      </c>
      <c r="D459" s="9">
        <v>5</v>
      </c>
      <c r="E459" s="24" t="s">
        <v>43</v>
      </c>
      <c r="F459" s="8" t="s">
        <v>105</v>
      </c>
      <c r="G459" s="7">
        <f>'[1]CUENTA T FONDO 100'!IO145</f>
        <v>0</v>
      </c>
      <c r="H459" s="7">
        <f>'[1]CUENTA T VS'!IO96</f>
        <v>0</v>
      </c>
      <c r="I459" s="7">
        <f t="shared" si="19"/>
        <v>0</v>
      </c>
      <c r="J459" s="6">
        <f>I459/$I$25</f>
        <v>0</v>
      </c>
    </row>
    <row r="460" spans="1:10" x14ac:dyDescent="0.2">
      <c r="A460" s="17">
        <v>2</v>
      </c>
      <c r="B460" s="9">
        <v>6</v>
      </c>
      <c r="C460" s="9">
        <v>9</v>
      </c>
      <c r="D460" s="9">
        <v>5</v>
      </c>
      <c r="E460" s="24" t="s">
        <v>104</v>
      </c>
      <c r="F460" s="8" t="s">
        <v>103</v>
      </c>
      <c r="G460" s="7">
        <f>'[1]CUENTA T FONDO 100'!IP145</f>
        <v>0</v>
      </c>
      <c r="H460" s="7">
        <f>'[1]CUENTA T VS'!IP96</f>
        <v>0</v>
      </c>
      <c r="I460" s="7">
        <f t="shared" si="19"/>
        <v>0</v>
      </c>
      <c r="J460" s="6">
        <f>I460/$I$25</f>
        <v>0</v>
      </c>
    </row>
    <row r="461" spans="1:10" x14ac:dyDescent="0.2">
      <c r="A461" s="18">
        <v>2</v>
      </c>
      <c r="B461" s="15">
        <v>6</v>
      </c>
      <c r="C461" s="15">
        <v>9</v>
      </c>
      <c r="D461" s="15">
        <v>9</v>
      </c>
      <c r="E461" s="15"/>
      <c r="F461" s="13" t="s">
        <v>102</v>
      </c>
      <c r="G461" s="12">
        <f>SUM(G462)</f>
        <v>0</v>
      </c>
      <c r="H461" s="12">
        <f>SUM(H462)</f>
        <v>0</v>
      </c>
      <c r="I461" s="12">
        <f t="shared" si="19"/>
        <v>0</v>
      </c>
      <c r="J461" s="11"/>
    </row>
    <row r="462" spans="1:10" x14ac:dyDescent="0.2">
      <c r="A462" s="17">
        <v>2</v>
      </c>
      <c r="B462" s="9">
        <v>6</v>
      </c>
      <c r="C462" s="9">
        <v>9</v>
      </c>
      <c r="D462" s="9">
        <v>9</v>
      </c>
      <c r="E462" s="24" t="s">
        <v>44</v>
      </c>
      <c r="F462" s="8" t="s">
        <v>102</v>
      </c>
      <c r="G462" s="7">
        <f>'[1]CUENTA T FONDO 100'!IQ145</f>
        <v>0</v>
      </c>
      <c r="H462" s="7">
        <f>'[1]CUENTA T VS'!IQ96</f>
        <v>0</v>
      </c>
      <c r="I462" s="7">
        <f t="shared" si="19"/>
        <v>0</v>
      </c>
      <c r="J462" s="6">
        <f>I462/$I$25</f>
        <v>0</v>
      </c>
    </row>
    <row r="463" spans="1:10" x14ac:dyDescent="0.2">
      <c r="A463" s="23">
        <v>2</v>
      </c>
      <c r="B463" s="22">
        <v>7</v>
      </c>
      <c r="C463" s="22"/>
      <c r="D463" s="22"/>
      <c r="E463" s="22"/>
      <c r="F463" s="21" t="s">
        <v>101</v>
      </c>
      <c r="G463" s="20">
        <f>G464+G473+G492+G497</f>
        <v>0</v>
      </c>
      <c r="H463" s="20">
        <f>H464+H473+H492+H497</f>
        <v>0</v>
      </c>
      <c r="I463" s="20">
        <f t="shared" si="19"/>
        <v>0</v>
      </c>
      <c r="J463" s="19">
        <f>I463/$I$25</f>
        <v>0</v>
      </c>
    </row>
    <row r="464" spans="1:10" x14ac:dyDescent="0.2">
      <c r="A464" s="23">
        <v>2</v>
      </c>
      <c r="B464" s="22">
        <v>7</v>
      </c>
      <c r="C464" s="22">
        <v>1</v>
      </c>
      <c r="D464" s="22"/>
      <c r="E464" s="22"/>
      <c r="F464" s="21" t="s">
        <v>100</v>
      </c>
      <c r="G464" s="20">
        <f>+G465+G467+G469+G471</f>
        <v>0</v>
      </c>
      <c r="H464" s="20">
        <f>+H465+H467+H469+H471</f>
        <v>0</v>
      </c>
      <c r="I464" s="20">
        <f t="shared" si="19"/>
        <v>0</v>
      </c>
      <c r="J464" s="19"/>
    </row>
    <row r="465" spans="1:10" x14ac:dyDescent="0.2">
      <c r="A465" s="18">
        <v>2</v>
      </c>
      <c r="B465" s="15">
        <v>7</v>
      </c>
      <c r="C465" s="15">
        <v>1</v>
      </c>
      <c r="D465" s="15">
        <v>1</v>
      </c>
      <c r="E465" s="14"/>
      <c r="F465" s="13" t="s">
        <v>99</v>
      </c>
      <c r="G465" s="12">
        <f>+G466</f>
        <v>0</v>
      </c>
      <c r="H465" s="12">
        <f>+H466</f>
        <v>0</v>
      </c>
      <c r="I465" s="12">
        <f t="shared" si="19"/>
        <v>0</v>
      </c>
      <c r="J465" s="11"/>
    </row>
    <row r="466" spans="1:10" x14ac:dyDescent="0.2">
      <c r="A466" s="17">
        <v>2</v>
      </c>
      <c r="B466" s="9">
        <v>7</v>
      </c>
      <c r="C466" s="9">
        <v>1</v>
      </c>
      <c r="D466" s="9">
        <v>1</v>
      </c>
      <c r="E466" s="9" t="s">
        <v>80</v>
      </c>
      <c r="F466" s="8" t="s">
        <v>99</v>
      </c>
      <c r="G466" s="7">
        <f>'[1]CUENTA T FONDO 100'!IR145</f>
        <v>0</v>
      </c>
      <c r="H466" s="7">
        <f>'[1]CUENTA T VS'!IR96</f>
        <v>0</v>
      </c>
      <c r="I466" s="7">
        <f t="shared" si="19"/>
        <v>0</v>
      </c>
      <c r="J466" s="6">
        <f>I466/$I$25</f>
        <v>0</v>
      </c>
    </row>
    <row r="467" spans="1:10" x14ac:dyDescent="0.2">
      <c r="A467" s="18">
        <v>2</v>
      </c>
      <c r="B467" s="15">
        <v>7</v>
      </c>
      <c r="C467" s="15">
        <v>1</v>
      </c>
      <c r="D467" s="15">
        <v>2</v>
      </c>
      <c r="E467" s="14"/>
      <c r="F467" s="13" t="s">
        <v>98</v>
      </c>
      <c r="G467" s="12">
        <f>+G468</f>
        <v>0</v>
      </c>
      <c r="H467" s="12">
        <f>+H468</f>
        <v>0</v>
      </c>
      <c r="I467" s="12">
        <f t="shared" si="19"/>
        <v>0</v>
      </c>
      <c r="J467" s="11"/>
    </row>
    <row r="468" spans="1:10" x14ac:dyDescent="0.2">
      <c r="A468" s="17">
        <v>2</v>
      </c>
      <c r="B468" s="9">
        <v>7</v>
      </c>
      <c r="C468" s="9">
        <v>1</v>
      </c>
      <c r="D468" s="9">
        <v>2</v>
      </c>
      <c r="E468" s="9" t="s">
        <v>80</v>
      </c>
      <c r="F468" s="8" t="s">
        <v>98</v>
      </c>
      <c r="G468" s="7">
        <f>'[1]CUENTA T FONDO 100'!IS145</f>
        <v>0</v>
      </c>
      <c r="H468" s="7">
        <f>'[1]CUENTA T VS'!IS96</f>
        <v>0</v>
      </c>
      <c r="I468" s="7">
        <f t="shared" si="19"/>
        <v>0</v>
      </c>
      <c r="J468" s="6">
        <f>I468/$I$25</f>
        <v>0</v>
      </c>
    </row>
    <row r="469" spans="1:10" x14ac:dyDescent="0.2">
      <c r="A469" s="18">
        <v>2</v>
      </c>
      <c r="B469" s="15">
        <v>7</v>
      </c>
      <c r="C469" s="15">
        <v>1</v>
      </c>
      <c r="D469" s="15">
        <v>3</v>
      </c>
      <c r="E469" s="14"/>
      <c r="F469" s="13" t="s">
        <v>97</v>
      </c>
      <c r="G469" s="12">
        <f>+G470</f>
        <v>0</v>
      </c>
      <c r="H469" s="12">
        <f>+H470</f>
        <v>0</v>
      </c>
      <c r="I469" s="12">
        <f t="shared" si="19"/>
        <v>0</v>
      </c>
      <c r="J469" s="11"/>
    </row>
    <row r="470" spans="1:10" x14ac:dyDescent="0.2">
      <c r="A470" s="17">
        <v>2</v>
      </c>
      <c r="B470" s="9">
        <v>7</v>
      </c>
      <c r="C470" s="9">
        <v>1</v>
      </c>
      <c r="D470" s="9">
        <v>3</v>
      </c>
      <c r="E470" s="9" t="s">
        <v>80</v>
      </c>
      <c r="F470" s="8" t="s">
        <v>97</v>
      </c>
      <c r="G470" s="7">
        <f>'[1]CUENTA T FONDO 100'!IT145</f>
        <v>0</v>
      </c>
      <c r="H470" s="7">
        <f>'[1]CUENTA T VS'!IT96</f>
        <v>0</v>
      </c>
      <c r="I470" s="7">
        <f t="shared" si="19"/>
        <v>0</v>
      </c>
      <c r="J470" s="6">
        <f>I470/$I$25</f>
        <v>0</v>
      </c>
    </row>
    <row r="471" spans="1:10" x14ac:dyDescent="0.2">
      <c r="A471" s="18">
        <v>2</v>
      </c>
      <c r="B471" s="15">
        <v>7</v>
      </c>
      <c r="C471" s="15">
        <v>1</v>
      </c>
      <c r="D471" s="15">
        <v>4</v>
      </c>
      <c r="E471" s="14"/>
      <c r="F471" s="13" t="s">
        <v>96</v>
      </c>
      <c r="G471" s="12">
        <f>+G472</f>
        <v>0</v>
      </c>
      <c r="H471" s="12">
        <f>+H472</f>
        <v>0</v>
      </c>
      <c r="I471" s="12">
        <f t="shared" si="19"/>
        <v>0</v>
      </c>
      <c r="J471" s="11"/>
    </row>
    <row r="472" spans="1:10" x14ac:dyDescent="0.2">
      <c r="A472" s="17">
        <v>2</v>
      </c>
      <c r="B472" s="9">
        <v>7</v>
      </c>
      <c r="C472" s="9">
        <v>1</v>
      </c>
      <c r="D472" s="9">
        <v>4</v>
      </c>
      <c r="E472" s="9" t="s">
        <v>80</v>
      </c>
      <c r="F472" s="8" t="s">
        <v>96</v>
      </c>
      <c r="G472" s="7">
        <f>'[1]CUENTA T FONDO 100'!IU145</f>
        <v>0</v>
      </c>
      <c r="H472" s="7">
        <f>'[1]CUENTA T VS'!IU96</f>
        <v>0</v>
      </c>
      <c r="I472" s="7">
        <f t="shared" si="19"/>
        <v>0</v>
      </c>
      <c r="J472" s="6">
        <f>I472/$I$25</f>
        <v>0</v>
      </c>
    </row>
    <row r="473" spans="1:10" x14ac:dyDescent="0.2">
      <c r="A473" s="23">
        <v>2</v>
      </c>
      <c r="B473" s="22">
        <v>7</v>
      </c>
      <c r="C473" s="22">
        <v>2</v>
      </c>
      <c r="D473" s="22"/>
      <c r="E473" s="22"/>
      <c r="F473" s="21" t="s">
        <v>95</v>
      </c>
      <c r="G473" s="20">
        <f>+G474+G476+G478+G480+G482+G484+G486+G488+G490</f>
        <v>0</v>
      </c>
      <c r="H473" s="20">
        <f>+H474+H476+H478+H480+H482+H484+H486+H488+H490</f>
        <v>0</v>
      </c>
      <c r="I473" s="20">
        <f t="shared" ref="I473:I501" si="22">SUM(G473:H473)</f>
        <v>0</v>
      </c>
      <c r="J473" s="19"/>
    </row>
    <row r="474" spans="1:10" x14ac:dyDescent="0.2">
      <c r="A474" s="18">
        <v>2</v>
      </c>
      <c r="B474" s="15">
        <v>7</v>
      </c>
      <c r="C474" s="15">
        <v>2</v>
      </c>
      <c r="D474" s="15">
        <v>1</v>
      </c>
      <c r="E474" s="14"/>
      <c r="F474" s="13" t="s">
        <v>94</v>
      </c>
      <c r="G474" s="12">
        <f>+G475</f>
        <v>0</v>
      </c>
      <c r="H474" s="12">
        <f>+H475</f>
        <v>0</v>
      </c>
      <c r="I474" s="12">
        <f t="shared" si="22"/>
        <v>0</v>
      </c>
      <c r="J474" s="11"/>
    </row>
    <row r="475" spans="1:10" x14ac:dyDescent="0.2">
      <c r="A475" s="17">
        <v>2</v>
      </c>
      <c r="B475" s="9">
        <v>7</v>
      </c>
      <c r="C475" s="9">
        <v>2</v>
      </c>
      <c r="D475" s="9">
        <v>1</v>
      </c>
      <c r="E475" s="9" t="s">
        <v>80</v>
      </c>
      <c r="F475" s="8" t="s">
        <v>94</v>
      </c>
      <c r="G475" s="7">
        <f>'[1]CUENTA T FONDO 100'!IV145</f>
        <v>0</v>
      </c>
      <c r="H475" s="7">
        <f>'[1]CUENTA T VS'!IV96</f>
        <v>0</v>
      </c>
      <c r="I475" s="7">
        <f t="shared" si="22"/>
        <v>0</v>
      </c>
      <c r="J475" s="6">
        <f>I475/$I$25</f>
        <v>0</v>
      </c>
    </row>
    <row r="476" spans="1:10" x14ac:dyDescent="0.2">
      <c r="A476" s="18">
        <v>2</v>
      </c>
      <c r="B476" s="15">
        <v>7</v>
      </c>
      <c r="C476" s="15">
        <v>2</v>
      </c>
      <c r="D476" s="15">
        <v>2</v>
      </c>
      <c r="E476" s="14"/>
      <c r="F476" s="13" t="s">
        <v>93</v>
      </c>
      <c r="G476" s="12">
        <f>+G477</f>
        <v>0</v>
      </c>
      <c r="H476" s="12">
        <f>+H477</f>
        <v>0</v>
      </c>
      <c r="I476" s="12">
        <f t="shared" si="22"/>
        <v>0</v>
      </c>
      <c r="J476" s="11"/>
    </row>
    <row r="477" spans="1:10" x14ac:dyDescent="0.2">
      <c r="A477" s="17">
        <v>2</v>
      </c>
      <c r="B477" s="9">
        <v>7</v>
      </c>
      <c r="C477" s="9">
        <v>2</v>
      </c>
      <c r="D477" s="9">
        <v>2</v>
      </c>
      <c r="E477" s="9" t="s">
        <v>80</v>
      </c>
      <c r="F477" s="8" t="s">
        <v>93</v>
      </c>
      <c r="G477" s="7">
        <f>'[1]CUENTA T FONDO 100'!IW145</f>
        <v>0</v>
      </c>
      <c r="H477" s="7">
        <f>'[1]CUENTA T VS'!IW96</f>
        <v>0</v>
      </c>
      <c r="I477" s="7">
        <f t="shared" si="22"/>
        <v>0</v>
      </c>
      <c r="J477" s="6">
        <f>I477/$I$25</f>
        <v>0</v>
      </c>
    </row>
    <row r="478" spans="1:10" x14ac:dyDescent="0.2">
      <c r="A478" s="18">
        <v>2</v>
      </c>
      <c r="B478" s="15">
        <v>7</v>
      </c>
      <c r="C478" s="15">
        <v>2</v>
      </c>
      <c r="D478" s="15">
        <v>3</v>
      </c>
      <c r="E478" s="14"/>
      <c r="F478" s="13" t="s">
        <v>92</v>
      </c>
      <c r="G478" s="12">
        <f>+G479</f>
        <v>0</v>
      </c>
      <c r="H478" s="12">
        <f>+H479</f>
        <v>0</v>
      </c>
      <c r="I478" s="12">
        <f t="shared" si="22"/>
        <v>0</v>
      </c>
      <c r="J478" s="11"/>
    </row>
    <row r="479" spans="1:10" x14ac:dyDescent="0.2">
      <c r="A479" s="17">
        <v>2</v>
      </c>
      <c r="B479" s="9">
        <v>7</v>
      </c>
      <c r="C479" s="9">
        <v>2</v>
      </c>
      <c r="D479" s="9">
        <v>3</v>
      </c>
      <c r="E479" s="9" t="s">
        <v>80</v>
      </c>
      <c r="F479" s="8" t="s">
        <v>92</v>
      </c>
      <c r="G479" s="7">
        <f>'[1]CUENTA T FONDO 100'!IX145</f>
        <v>0</v>
      </c>
      <c r="H479" s="7">
        <f>'[1]CUENTA T VS'!IX96</f>
        <v>0</v>
      </c>
      <c r="I479" s="7">
        <f t="shared" si="22"/>
        <v>0</v>
      </c>
      <c r="J479" s="6">
        <f>I479/$I$25</f>
        <v>0</v>
      </c>
    </row>
    <row r="480" spans="1:10" x14ac:dyDescent="0.2">
      <c r="A480" s="18">
        <v>2</v>
      </c>
      <c r="B480" s="15">
        <v>7</v>
      </c>
      <c r="C480" s="15">
        <v>2</v>
      </c>
      <c r="D480" s="15">
        <v>4</v>
      </c>
      <c r="E480" s="14"/>
      <c r="F480" s="13" t="s">
        <v>91</v>
      </c>
      <c r="G480" s="12">
        <f>+G481</f>
        <v>0</v>
      </c>
      <c r="H480" s="12">
        <f>+H481</f>
        <v>0</v>
      </c>
      <c r="I480" s="12">
        <f t="shared" si="22"/>
        <v>0</v>
      </c>
      <c r="J480" s="11"/>
    </row>
    <row r="481" spans="1:10" x14ac:dyDescent="0.2">
      <c r="A481" s="17">
        <v>2</v>
      </c>
      <c r="B481" s="9">
        <v>7</v>
      </c>
      <c r="C481" s="9">
        <v>2</v>
      </c>
      <c r="D481" s="9">
        <v>4</v>
      </c>
      <c r="E481" s="9" t="s">
        <v>80</v>
      </c>
      <c r="F481" s="8" t="s">
        <v>91</v>
      </c>
      <c r="G481" s="7">
        <f>'[1]CUENTA T FONDO 100'!IY145</f>
        <v>0</v>
      </c>
      <c r="H481" s="7">
        <f>'[1]CUENTA T VS'!IY96</f>
        <v>0</v>
      </c>
      <c r="I481" s="7">
        <f t="shared" si="22"/>
        <v>0</v>
      </c>
      <c r="J481" s="6">
        <f>I481/$I$25</f>
        <v>0</v>
      </c>
    </row>
    <row r="482" spans="1:10" x14ac:dyDescent="0.2">
      <c r="A482" s="18">
        <v>2</v>
      </c>
      <c r="B482" s="15">
        <v>7</v>
      </c>
      <c r="C482" s="15">
        <v>2</v>
      </c>
      <c r="D482" s="15">
        <v>5</v>
      </c>
      <c r="E482" s="14"/>
      <c r="F482" s="13" t="s">
        <v>90</v>
      </c>
      <c r="G482" s="12">
        <f>+G483</f>
        <v>0</v>
      </c>
      <c r="H482" s="12">
        <f>+H483</f>
        <v>0</v>
      </c>
      <c r="I482" s="12">
        <f t="shared" si="22"/>
        <v>0</v>
      </c>
      <c r="J482" s="11"/>
    </row>
    <row r="483" spans="1:10" x14ac:dyDescent="0.2">
      <c r="A483" s="17">
        <v>2</v>
      </c>
      <c r="B483" s="9">
        <v>7</v>
      </c>
      <c r="C483" s="9">
        <v>2</v>
      </c>
      <c r="D483" s="9">
        <v>5</v>
      </c>
      <c r="E483" s="9" t="s">
        <v>80</v>
      </c>
      <c r="F483" s="8" t="s">
        <v>90</v>
      </c>
      <c r="G483" s="7">
        <f>'[1]CUENTA T FONDO 100'!IZ145</f>
        <v>0</v>
      </c>
      <c r="H483" s="7">
        <f>'[1]CUENTA T VS'!IZ96</f>
        <v>0</v>
      </c>
      <c r="I483" s="7">
        <f t="shared" si="22"/>
        <v>0</v>
      </c>
      <c r="J483" s="6">
        <f>I483/$I$25</f>
        <v>0</v>
      </c>
    </row>
    <row r="484" spans="1:10" x14ac:dyDescent="0.2">
      <c r="A484" s="18">
        <v>2</v>
      </c>
      <c r="B484" s="15">
        <v>7</v>
      </c>
      <c r="C484" s="15">
        <v>2</v>
      </c>
      <c r="D484" s="15">
        <v>6</v>
      </c>
      <c r="E484" s="14"/>
      <c r="F484" s="13" t="s">
        <v>89</v>
      </c>
      <c r="G484" s="12">
        <f>+G485</f>
        <v>0</v>
      </c>
      <c r="H484" s="12">
        <f>+H485</f>
        <v>0</v>
      </c>
      <c r="I484" s="12">
        <f t="shared" si="22"/>
        <v>0</v>
      </c>
      <c r="J484" s="11"/>
    </row>
    <row r="485" spans="1:10" x14ac:dyDescent="0.2">
      <c r="A485" s="17">
        <v>2</v>
      </c>
      <c r="B485" s="9">
        <v>7</v>
      </c>
      <c r="C485" s="9">
        <v>2</v>
      </c>
      <c r="D485" s="9">
        <v>6</v>
      </c>
      <c r="E485" s="9" t="s">
        <v>80</v>
      </c>
      <c r="F485" s="8" t="s">
        <v>89</v>
      </c>
      <c r="G485" s="7">
        <f>'[1]CUENTA T FONDO 100'!JA145</f>
        <v>0</v>
      </c>
      <c r="H485" s="7">
        <f>'[1]CUENTA T VS'!JA96</f>
        <v>0</v>
      </c>
      <c r="I485" s="7">
        <f t="shared" si="22"/>
        <v>0</v>
      </c>
      <c r="J485" s="6">
        <f>I485/$I$25</f>
        <v>0</v>
      </c>
    </row>
    <row r="486" spans="1:10" x14ac:dyDescent="0.2">
      <c r="A486" s="18">
        <v>2</v>
      </c>
      <c r="B486" s="15">
        <v>7</v>
      </c>
      <c r="C486" s="15">
        <v>2</v>
      </c>
      <c r="D486" s="15">
        <v>7</v>
      </c>
      <c r="E486" s="14"/>
      <c r="F486" s="13" t="s">
        <v>88</v>
      </c>
      <c r="G486" s="12">
        <f>+G487</f>
        <v>0</v>
      </c>
      <c r="H486" s="12">
        <f>+H487</f>
        <v>0</v>
      </c>
      <c r="I486" s="12">
        <f t="shared" si="22"/>
        <v>0</v>
      </c>
      <c r="J486" s="11"/>
    </row>
    <row r="487" spans="1:10" x14ac:dyDescent="0.2">
      <c r="A487" s="17">
        <v>2</v>
      </c>
      <c r="B487" s="9">
        <v>7</v>
      </c>
      <c r="C487" s="9">
        <v>2</v>
      </c>
      <c r="D487" s="9">
        <v>7</v>
      </c>
      <c r="E487" s="9" t="s">
        <v>80</v>
      </c>
      <c r="F487" s="8" t="s">
        <v>88</v>
      </c>
      <c r="G487" s="7">
        <f>'[1]CUENTA T FONDO 100'!JB145</f>
        <v>0</v>
      </c>
      <c r="H487" s="7">
        <f>'[1]CUENTA T VS'!JB96</f>
        <v>0</v>
      </c>
      <c r="I487" s="7">
        <f t="shared" si="22"/>
        <v>0</v>
      </c>
      <c r="J487" s="6">
        <f>I487/$I$25</f>
        <v>0</v>
      </c>
    </row>
    <row r="488" spans="1:10" x14ac:dyDescent="0.2">
      <c r="A488" s="18">
        <v>2</v>
      </c>
      <c r="B488" s="15">
        <v>7</v>
      </c>
      <c r="C488" s="15">
        <v>2</v>
      </c>
      <c r="D488" s="15">
        <v>8</v>
      </c>
      <c r="E488" s="14"/>
      <c r="F488" s="13" t="s">
        <v>87</v>
      </c>
      <c r="G488" s="12">
        <f>+G489</f>
        <v>0</v>
      </c>
      <c r="H488" s="12">
        <f>+H489</f>
        <v>0</v>
      </c>
      <c r="I488" s="12">
        <f t="shared" si="22"/>
        <v>0</v>
      </c>
      <c r="J488" s="11"/>
    </row>
    <row r="489" spans="1:10" x14ac:dyDescent="0.2">
      <c r="A489" s="17">
        <v>2</v>
      </c>
      <c r="B489" s="9">
        <v>7</v>
      </c>
      <c r="C489" s="9">
        <v>2</v>
      </c>
      <c r="D489" s="9">
        <v>8</v>
      </c>
      <c r="E489" s="9" t="s">
        <v>80</v>
      </c>
      <c r="F489" s="8" t="s">
        <v>87</v>
      </c>
      <c r="G489" s="7">
        <f>'[1]CUENTA T FONDO 100'!JC145</f>
        <v>0</v>
      </c>
      <c r="H489" s="7">
        <f>'[1]CUENTA T VS'!JC96</f>
        <v>0</v>
      </c>
      <c r="I489" s="7">
        <f t="shared" si="22"/>
        <v>0</v>
      </c>
      <c r="J489" s="6">
        <f>I489/$I$25</f>
        <v>0</v>
      </c>
    </row>
    <row r="490" spans="1:10" ht="25.5" x14ac:dyDescent="0.2">
      <c r="A490" s="18">
        <v>2</v>
      </c>
      <c r="B490" s="15">
        <v>7</v>
      </c>
      <c r="C490" s="15">
        <v>2</v>
      </c>
      <c r="D490" s="15">
        <v>9</v>
      </c>
      <c r="E490" s="14"/>
      <c r="F490" s="13" t="s">
        <v>86</v>
      </c>
      <c r="G490" s="12">
        <f>+G491</f>
        <v>0</v>
      </c>
      <c r="H490" s="12">
        <f>+H491</f>
        <v>0</v>
      </c>
      <c r="I490" s="12">
        <f t="shared" si="22"/>
        <v>0</v>
      </c>
      <c r="J490" s="11"/>
    </row>
    <row r="491" spans="1:10" ht="25.5" x14ac:dyDescent="0.2">
      <c r="A491" s="17">
        <v>2</v>
      </c>
      <c r="B491" s="9">
        <v>7</v>
      </c>
      <c r="C491" s="9">
        <v>2</v>
      </c>
      <c r="D491" s="9">
        <v>9</v>
      </c>
      <c r="E491" s="9" t="s">
        <v>80</v>
      </c>
      <c r="F491" s="8" t="s">
        <v>86</v>
      </c>
      <c r="G491" s="7">
        <f>'[1]CUENTA T FONDO 100'!JD145</f>
        <v>0</v>
      </c>
      <c r="H491" s="7">
        <f>'[1]CUENTA T VS'!JD96</f>
        <v>0</v>
      </c>
      <c r="I491" s="7">
        <f t="shared" si="22"/>
        <v>0</v>
      </c>
      <c r="J491" s="6">
        <f>I491/$I$25</f>
        <v>0</v>
      </c>
    </row>
    <row r="492" spans="1:10" x14ac:dyDescent="0.2">
      <c r="A492" s="23">
        <v>2</v>
      </c>
      <c r="B492" s="22">
        <v>7</v>
      </c>
      <c r="C492" s="22">
        <v>3</v>
      </c>
      <c r="D492" s="22"/>
      <c r="E492" s="22"/>
      <c r="F492" s="21" t="s">
        <v>85</v>
      </c>
      <c r="G492" s="20">
        <f>+G493+G495</f>
        <v>0</v>
      </c>
      <c r="H492" s="20">
        <f>+H493+H495</f>
        <v>0</v>
      </c>
      <c r="I492" s="20">
        <f t="shared" si="22"/>
        <v>0</v>
      </c>
      <c r="J492" s="19"/>
    </row>
    <row r="493" spans="1:10" ht="25.5" x14ac:dyDescent="0.2">
      <c r="A493" s="18">
        <v>2</v>
      </c>
      <c r="B493" s="15">
        <v>7</v>
      </c>
      <c r="C493" s="15">
        <v>3</v>
      </c>
      <c r="D493" s="15">
        <v>1</v>
      </c>
      <c r="E493" s="14"/>
      <c r="F493" s="13" t="s">
        <v>84</v>
      </c>
      <c r="G493" s="12">
        <f>+G494</f>
        <v>0</v>
      </c>
      <c r="H493" s="12">
        <f>+H494</f>
        <v>0</v>
      </c>
      <c r="I493" s="12">
        <f t="shared" si="22"/>
        <v>0</v>
      </c>
      <c r="J493" s="11"/>
    </row>
    <row r="494" spans="1:10" ht="25.5" x14ac:dyDescent="0.2">
      <c r="A494" s="17">
        <v>2</v>
      </c>
      <c r="B494" s="9">
        <v>7</v>
      </c>
      <c r="C494" s="9">
        <v>3</v>
      </c>
      <c r="D494" s="9">
        <v>1</v>
      </c>
      <c r="E494" s="9" t="s">
        <v>80</v>
      </c>
      <c r="F494" s="8" t="s">
        <v>84</v>
      </c>
      <c r="G494" s="7">
        <f>'[1]CUENTA T FONDO 100'!JE145</f>
        <v>0</v>
      </c>
      <c r="H494" s="7">
        <f>'[1]CUENTA T VS'!JE96</f>
        <v>0</v>
      </c>
      <c r="I494" s="7">
        <f t="shared" si="22"/>
        <v>0</v>
      </c>
      <c r="J494" s="6">
        <f>I494/$I$25</f>
        <v>0</v>
      </c>
    </row>
    <row r="495" spans="1:10" ht="25.5" x14ac:dyDescent="0.2">
      <c r="A495" s="18">
        <v>2</v>
      </c>
      <c r="B495" s="15">
        <v>7</v>
      </c>
      <c r="C495" s="15">
        <v>3</v>
      </c>
      <c r="D495" s="15">
        <v>2</v>
      </c>
      <c r="E495" s="14"/>
      <c r="F495" s="13" t="s">
        <v>83</v>
      </c>
      <c r="G495" s="12">
        <f>+G496</f>
        <v>0</v>
      </c>
      <c r="H495" s="12">
        <f>+H496</f>
        <v>0</v>
      </c>
      <c r="I495" s="12">
        <f t="shared" si="22"/>
        <v>0</v>
      </c>
      <c r="J495" s="11"/>
    </row>
    <row r="496" spans="1:10" ht="25.5" x14ac:dyDescent="0.2">
      <c r="A496" s="17">
        <v>2</v>
      </c>
      <c r="B496" s="9">
        <v>7</v>
      </c>
      <c r="C496" s="9">
        <v>3</v>
      </c>
      <c r="D496" s="9">
        <v>2</v>
      </c>
      <c r="E496" s="9" t="s">
        <v>80</v>
      </c>
      <c r="F496" s="8" t="s">
        <v>83</v>
      </c>
      <c r="G496" s="7">
        <f>'[1]CUENTA T FONDO 100'!JF145</f>
        <v>0</v>
      </c>
      <c r="H496" s="7">
        <f>'[1]CUENTA T VS'!JF96</f>
        <v>0</v>
      </c>
      <c r="I496" s="7">
        <f t="shared" si="22"/>
        <v>0</v>
      </c>
      <c r="J496" s="6">
        <f>I496/$I$25</f>
        <v>0</v>
      </c>
    </row>
    <row r="497" spans="1:10" ht="25.5" x14ac:dyDescent="0.2">
      <c r="A497" s="23">
        <v>2</v>
      </c>
      <c r="B497" s="22">
        <v>7</v>
      </c>
      <c r="C497" s="22">
        <v>4</v>
      </c>
      <c r="D497" s="22"/>
      <c r="E497" s="22"/>
      <c r="F497" s="21" t="s">
        <v>82</v>
      </c>
      <c r="G497" s="20">
        <f>+G498+G500</f>
        <v>0</v>
      </c>
      <c r="H497" s="20">
        <f>+H498+H500</f>
        <v>0</v>
      </c>
      <c r="I497" s="20">
        <f t="shared" si="22"/>
        <v>0</v>
      </c>
      <c r="J497" s="19"/>
    </row>
    <row r="498" spans="1:10" ht="25.5" x14ac:dyDescent="0.2">
      <c r="A498" s="18">
        <v>2</v>
      </c>
      <c r="B498" s="15">
        <v>7</v>
      </c>
      <c r="C498" s="15">
        <v>4</v>
      </c>
      <c r="D498" s="15">
        <v>1</v>
      </c>
      <c r="E498" s="14"/>
      <c r="F498" s="13" t="s">
        <v>81</v>
      </c>
      <c r="G498" s="12">
        <f>+G499</f>
        <v>0</v>
      </c>
      <c r="H498" s="12">
        <f>+H499</f>
        <v>0</v>
      </c>
      <c r="I498" s="12">
        <f t="shared" si="22"/>
        <v>0</v>
      </c>
      <c r="J498" s="11"/>
    </row>
    <row r="499" spans="1:10" ht="25.5" x14ac:dyDescent="0.2">
      <c r="A499" s="17">
        <v>2</v>
      </c>
      <c r="B499" s="9">
        <v>7</v>
      </c>
      <c r="C499" s="9">
        <v>4</v>
      </c>
      <c r="D499" s="9">
        <v>1</v>
      </c>
      <c r="E499" s="9" t="s">
        <v>80</v>
      </c>
      <c r="F499" s="8" t="s">
        <v>81</v>
      </c>
      <c r="G499" s="7">
        <f>'[1]CUENTA T FONDO 100'!JG145</f>
        <v>0</v>
      </c>
      <c r="H499" s="7">
        <f>'[1]CUENTA T VS'!JG96</f>
        <v>0</v>
      </c>
      <c r="I499" s="7">
        <f t="shared" si="22"/>
        <v>0</v>
      </c>
      <c r="J499" s="6">
        <f>I499/$I$25</f>
        <v>0</v>
      </c>
    </row>
    <row r="500" spans="1:10" ht="25.5" x14ac:dyDescent="0.2">
      <c r="A500" s="16">
        <v>2</v>
      </c>
      <c r="B500" s="15">
        <v>7</v>
      </c>
      <c r="C500" s="15">
        <v>4</v>
      </c>
      <c r="D500" s="15">
        <v>2</v>
      </c>
      <c r="E500" s="14"/>
      <c r="F500" s="13" t="s">
        <v>79</v>
      </c>
      <c r="G500" s="12">
        <f>+G501</f>
        <v>0</v>
      </c>
      <c r="H500" s="12">
        <f>+H501</f>
        <v>0</v>
      </c>
      <c r="I500" s="12">
        <f t="shared" si="22"/>
        <v>0</v>
      </c>
      <c r="J500" s="11"/>
    </row>
    <row r="501" spans="1:10" ht="25.5" x14ac:dyDescent="0.2">
      <c r="A501" s="10">
        <v>2</v>
      </c>
      <c r="B501" s="9">
        <v>7</v>
      </c>
      <c r="C501" s="9">
        <v>4</v>
      </c>
      <c r="D501" s="9">
        <v>2</v>
      </c>
      <c r="E501" s="9" t="s">
        <v>80</v>
      </c>
      <c r="F501" s="8" t="s">
        <v>79</v>
      </c>
      <c r="G501" s="7">
        <f>'[1]CUENTA T FONDO 100'!JH145</f>
        <v>0</v>
      </c>
      <c r="H501" s="7">
        <f>'[1]CUENTA T VS'!JH96</f>
        <v>0</v>
      </c>
      <c r="I501" s="7">
        <f t="shared" si="22"/>
        <v>0</v>
      </c>
      <c r="J501" s="6">
        <f>I501/$I$25</f>
        <v>0</v>
      </c>
    </row>
    <row r="502" spans="1:10" ht="15" x14ac:dyDescent="0.25">
      <c r="A502" s="4"/>
      <c r="B502" s="4"/>
      <c r="C502" s="4"/>
      <c r="D502" s="4"/>
      <c r="E502" s="4"/>
      <c r="F502" s="406"/>
      <c r="G502" s="4"/>
      <c r="H502" s="4"/>
      <c r="I502" s="4"/>
      <c r="J502" s="5"/>
    </row>
    <row r="503" spans="1:10" ht="15" x14ac:dyDescent="0.25">
      <c r="A503" s="4"/>
      <c r="B503" s="4"/>
      <c r="C503" s="4"/>
      <c r="D503" s="4"/>
      <c r="E503" s="4"/>
      <c r="F503" s="406"/>
      <c r="G503" s="4"/>
      <c r="H503" s="4"/>
      <c r="I503" s="4"/>
      <c r="J503" s="4"/>
    </row>
    <row r="504" spans="1:10" ht="15" x14ac:dyDescent="0.25">
      <c r="A504" s="4"/>
      <c r="B504" s="4"/>
      <c r="C504" s="4"/>
      <c r="D504" s="4"/>
      <c r="E504" s="4"/>
      <c r="F504" s="406"/>
      <c r="G504" s="4"/>
      <c r="H504" s="4"/>
      <c r="I504" s="4"/>
      <c r="J504" s="4"/>
    </row>
    <row r="505" spans="1:10" ht="15" x14ac:dyDescent="0.25">
      <c r="A505" s="4"/>
      <c r="B505" s="4"/>
      <c r="C505" s="4"/>
      <c r="D505" s="4"/>
      <c r="E505" s="4"/>
      <c r="F505" s="406"/>
      <c r="G505" s="4"/>
      <c r="H505" s="4"/>
      <c r="I505" s="4"/>
      <c r="J505" s="4"/>
    </row>
    <row r="506" spans="1:10" ht="15" x14ac:dyDescent="0.25">
      <c r="A506" s="4"/>
      <c r="B506" s="4"/>
      <c r="C506" s="4"/>
      <c r="D506" s="4"/>
      <c r="E506" s="4"/>
      <c r="F506" s="406"/>
      <c r="G506" s="4"/>
      <c r="H506" s="4"/>
      <c r="I506" s="4"/>
      <c r="J506" s="4"/>
    </row>
    <row r="507" spans="1:10" ht="15" x14ac:dyDescent="0.25">
      <c r="A507" s="4"/>
      <c r="B507" s="4"/>
      <c r="C507" s="4"/>
      <c r="D507" s="4"/>
      <c r="E507" s="4"/>
      <c r="F507" s="406"/>
      <c r="G507" s="4"/>
      <c r="H507" s="4"/>
      <c r="I507" s="4"/>
      <c r="J507" s="4"/>
    </row>
    <row r="508" spans="1:10" ht="15" x14ac:dyDescent="0.25">
      <c r="A508" s="4"/>
      <c r="B508" s="4"/>
      <c r="C508" s="4"/>
      <c r="D508" s="4"/>
      <c r="E508" s="4"/>
      <c r="F508" s="406"/>
      <c r="G508" s="4"/>
      <c r="H508" s="4"/>
      <c r="I508" s="4"/>
      <c r="J508" s="4"/>
    </row>
    <row r="509" spans="1:10" ht="15" x14ac:dyDescent="0.25">
      <c r="A509" s="4"/>
      <c r="B509" s="4"/>
      <c r="C509" s="4"/>
      <c r="D509" s="4"/>
      <c r="E509" s="4"/>
      <c r="F509" s="406"/>
      <c r="G509" s="4"/>
      <c r="H509" s="4"/>
      <c r="I509" s="4"/>
      <c r="J509" s="4"/>
    </row>
    <row r="510" spans="1:10" ht="15" x14ac:dyDescent="0.25">
      <c r="A510" s="4"/>
      <c r="B510" s="4"/>
      <c r="C510" s="4"/>
      <c r="D510" s="4"/>
      <c r="E510" s="4"/>
      <c r="F510" s="406"/>
      <c r="G510" s="4"/>
      <c r="H510" s="4"/>
      <c r="I510" s="4"/>
      <c r="J510" s="4"/>
    </row>
    <row r="511" spans="1:10" ht="15" x14ac:dyDescent="0.25">
      <c r="A511" s="4"/>
      <c r="B511" s="4"/>
      <c r="C511" s="4"/>
      <c r="D511" s="4"/>
      <c r="E511" s="4"/>
      <c r="F511" s="406"/>
      <c r="G511" s="4"/>
      <c r="H511" s="4"/>
      <c r="I511" s="4"/>
      <c r="J511" s="4"/>
    </row>
  </sheetData>
  <sheetProtection formatCells="0" formatColumns="0" formatRows="0" insertColumns="0" insertRows="0" insertHyperlinks="0" deleteColumns="0" deleteRows="0" sort="0" autoFilter="0" pivotTables="0"/>
  <protectedRanges>
    <protectedRange algorithmName="SHA-512" hashValue="ZAfGeYA5VbL0gG93akD1xexJu2rI3UXxHwEtGuh6c0glGlh5rE1RHQPZZ54q7AqVc1jO4jlchft9pel46vZT4g==" saltValue="JJI+A7ZZczdDIztssZc9Vg==" spinCount="100000" sqref="A9:J18 A6:J7" name="Rango1_10"/>
  </protectedRanges>
  <mergeCells count="21">
    <mergeCell ref="L23:P23"/>
    <mergeCell ref="A2:H2"/>
    <mergeCell ref="A3:J3"/>
    <mergeCell ref="A4:J4"/>
    <mergeCell ref="A5:J5"/>
    <mergeCell ref="A6:J6"/>
    <mergeCell ref="A7:J7"/>
    <mergeCell ref="A21:E21"/>
    <mergeCell ref="G21:H21"/>
    <mergeCell ref="A22:E22"/>
    <mergeCell ref="J22:J24"/>
    <mergeCell ref="A23:A24"/>
    <mergeCell ref="B23:B24"/>
    <mergeCell ref="C23:C24"/>
    <mergeCell ref="D23:D24"/>
    <mergeCell ref="E23:E24"/>
    <mergeCell ref="I22:I24"/>
    <mergeCell ref="G23:G24"/>
    <mergeCell ref="H23:H24"/>
    <mergeCell ref="F22:F24"/>
    <mergeCell ref="G22:H22"/>
  </mergeCells>
  <phoneticPr fontId="44" type="noConversion"/>
  <printOptions horizontalCentered="1"/>
  <pageMargins left="0.70866141732283472" right="0.70866141732283472" top="0.15748031496062992" bottom="0" header="0.11811023622047245" footer="0"/>
  <pageSetup scale="6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view="pageBreakPreview" zoomScale="60" zoomScaleNormal="90" workbookViewId="0">
      <selection activeCell="G20" sqref="G20"/>
    </sheetView>
  </sheetViews>
  <sheetFormatPr baseColWidth="10" defaultColWidth="11.42578125" defaultRowHeight="12.75" x14ac:dyDescent="0.2"/>
  <cols>
    <col min="1" max="1" width="64.42578125" style="3" customWidth="1"/>
    <col min="2" max="2" width="18.7109375" style="3" customWidth="1"/>
    <col min="3" max="3" width="18" style="3" customWidth="1"/>
    <col min="4" max="4" width="17.7109375" style="3" customWidth="1"/>
    <col min="5" max="5" width="21" style="3" customWidth="1"/>
    <col min="6" max="16384" width="11.42578125" style="3"/>
  </cols>
  <sheetData>
    <row r="1" spans="1:5" ht="33" x14ac:dyDescent="0.45">
      <c r="A1" s="460" t="s">
        <v>77</v>
      </c>
      <c r="B1" s="460"/>
      <c r="C1" s="460"/>
      <c r="D1" s="460"/>
      <c r="E1" s="460"/>
    </row>
    <row r="2" spans="1:5" ht="20.25" x14ac:dyDescent="0.3">
      <c r="A2" s="461" t="str">
        <f>'CONS. FUENTES FINAN'!A6</f>
        <v>HOSPITAL MATERNO INFANTIL SAN LORENZO DE LOS MINA</v>
      </c>
      <c r="B2" s="461"/>
      <c r="C2" s="461"/>
      <c r="D2" s="461"/>
      <c r="E2" s="461"/>
    </row>
    <row r="3" spans="1:5" ht="15.75" x14ac:dyDescent="0.25">
      <c r="A3" s="462" t="s">
        <v>424</v>
      </c>
      <c r="B3" s="462"/>
      <c r="C3" s="462"/>
      <c r="D3" s="462"/>
      <c r="E3" s="462"/>
    </row>
    <row r="4" spans="1:5" ht="15.75" x14ac:dyDescent="0.25">
      <c r="A4" s="462"/>
      <c r="B4" s="462"/>
      <c r="C4" s="462"/>
      <c r="D4" s="462"/>
      <c r="E4" s="462"/>
    </row>
    <row r="5" spans="1:5" ht="16.5" thickBot="1" x14ac:dyDescent="0.3">
      <c r="A5" s="105"/>
      <c r="B5" s="105"/>
      <c r="C5" s="105"/>
      <c r="D5" s="105"/>
      <c r="E5" s="105"/>
    </row>
    <row r="6" spans="1:5" x14ac:dyDescent="0.2">
      <c r="A6" s="463" t="s">
        <v>372</v>
      </c>
      <c r="B6" s="465" t="s">
        <v>638</v>
      </c>
      <c r="C6" s="467" t="s">
        <v>371</v>
      </c>
      <c r="D6" s="463" t="s">
        <v>328</v>
      </c>
      <c r="E6" s="463" t="s">
        <v>72</v>
      </c>
    </row>
    <row r="7" spans="1:5" ht="20.25" customHeight="1" thickBot="1" x14ac:dyDescent="0.25">
      <c r="A7" s="464"/>
      <c r="B7" s="466"/>
      <c r="C7" s="468"/>
      <c r="D7" s="464"/>
      <c r="E7" s="464"/>
    </row>
    <row r="8" spans="1:5" ht="20.25" x14ac:dyDescent="0.25">
      <c r="A8" s="101" t="s">
        <v>370</v>
      </c>
      <c r="B8" s="100"/>
      <c r="C8" s="100"/>
      <c r="D8" s="99"/>
      <c r="E8" s="98"/>
    </row>
    <row r="9" spans="1:5" ht="18.75" x14ac:dyDescent="0.3">
      <c r="A9" s="104" t="s">
        <v>369</v>
      </c>
      <c r="B9" s="93">
        <f>'CONS. FUENTES FINAN'!G245+'CONS. FUENTES FINAN'!G315</f>
        <v>0</v>
      </c>
      <c r="C9" s="93">
        <f>'CONS. FUENTES FINAN'!H245+'CONS. FUENTES FINAN'!H315</f>
        <v>419800</v>
      </c>
      <c r="D9" s="93">
        <f>SUM(B9:C9)</f>
        <v>419800</v>
      </c>
      <c r="E9" s="95">
        <f>+D9/D12</f>
        <v>0.3136232782283736</v>
      </c>
    </row>
    <row r="10" spans="1:5" ht="18.75" x14ac:dyDescent="0.3">
      <c r="A10" s="96" t="s">
        <v>368</v>
      </c>
      <c r="B10" s="93">
        <f>'CONS. FUENTES FINAN'!G302</f>
        <v>0</v>
      </c>
      <c r="C10" s="93">
        <f>'CONS. FUENTES FINAN'!H302</f>
        <v>899773.6</v>
      </c>
      <c r="D10" s="93">
        <f>SUM(B10:C10)</f>
        <v>899773.6</v>
      </c>
      <c r="E10" s="95">
        <f>+D10/D12</f>
        <v>0.67220091971259011</v>
      </c>
    </row>
    <row r="11" spans="1:5" ht="18.75" x14ac:dyDescent="0.3">
      <c r="A11" s="96" t="s">
        <v>367</v>
      </c>
      <c r="B11" s="93">
        <f>'CONS. FUENTES FINAN'!G296+'CONS. FUENTES FINAN'!G297+'CONS. FUENTES FINAN'!G298</f>
        <v>0</v>
      </c>
      <c r="C11" s="93">
        <f>'CONS. FUENTES FINAN'!H296+'CONS. FUENTES FINAN'!H297+'CONS. FUENTES FINAN'!H298</f>
        <v>18975</v>
      </c>
      <c r="D11" s="93">
        <f>SUM(B11:C11)</f>
        <v>18975</v>
      </c>
      <c r="E11" s="95">
        <f>+D11/D12</f>
        <v>1.4175802059036182E-2</v>
      </c>
    </row>
    <row r="12" spans="1:5" ht="18.75" x14ac:dyDescent="0.3">
      <c r="A12" s="103" t="s">
        <v>348</v>
      </c>
      <c r="B12" s="89">
        <f>SUM(B9:B11)</f>
        <v>0</v>
      </c>
      <c r="C12" s="89">
        <f>SUM(C9:C11)</f>
        <v>1338548.6000000001</v>
      </c>
      <c r="D12" s="89">
        <f>SUM(D9:D11)</f>
        <v>1338548.6000000001</v>
      </c>
      <c r="E12" s="102">
        <f>+D12/D39</f>
        <v>0.17713467830395238</v>
      </c>
    </row>
    <row r="13" spans="1:5" ht="20.25" x14ac:dyDescent="0.25">
      <c r="A13" s="101" t="s">
        <v>366</v>
      </c>
      <c r="B13" s="100"/>
      <c r="C13" s="100"/>
      <c r="D13" s="99"/>
      <c r="E13" s="98"/>
    </row>
    <row r="14" spans="1:5" ht="18.75" x14ac:dyDescent="0.3">
      <c r="A14" s="96" t="s">
        <v>365</v>
      </c>
      <c r="B14" s="93">
        <f>'CONS. FUENTES FINAN'!G157+'CONS. FUENTES FINAN'!G188+'CONS. FUENTES FINAN'!G223+'CONS. FUENTES FINAN'!G252+'CONS. FUENTES FINAN'!G254+'CONS. FUENTES FINAN'!G256+'CONS. FUENTES FINAN'!G258+'CONS. FUENTES FINAN'!G261+'CONS. FUENTES FINAN'!G292+'CONS. FUENTES FINAN'!G293+'CONS. FUENTES FINAN'!G299+'CONS. FUENTES FINAN'!G300+'CONS. FUENTES FINAN'!G301+'CONS. FUENTES FINAN'!G324</f>
        <v>0</v>
      </c>
      <c r="C14" s="93">
        <f>'CONS. FUENTES FINAN'!H157+'CONS. FUENTES FINAN'!H188+'CONS. FUENTES FINAN'!H223+'CONS. FUENTES FINAN'!H252+'CONS. FUENTES FINAN'!H254+'CONS. FUENTES FINAN'!H256+'CONS. FUENTES FINAN'!H258+'CONS. FUENTES FINAN'!H261+'CONS. FUENTES FINAN'!H292+'CONS. FUENTES FINAN'!H293+'CONS. FUENTES FINAN'!H299+'CONS. FUENTES FINAN'!H300+'CONS. FUENTES FINAN'!H301+'CONS. FUENTES FINAN'!H324</f>
        <v>656488.93999999994</v>
      </c>
      <c r="D14" s="92">
        <f>SUM(B14:C14)</f>
        <v>656488.93999999994</v>
      </c>
      <c r="E14" s="95">
        <f>+D14/D16</f>
        <v>0.99386862803472831</v>
      </c>
    </row>
    <row r="15" spans="1:5" ht="18.75" x14ac:dyDescent="0.3">
      <c r="A15" s="96" t="s">
        <v>364</v>
      </c>
      <c r="B15" s="93">
        <f>'CONS. FUENTES FINAN'!G320</f>
        <v>0</v>
      </c>
      <c r="C15" s="93">
        <f>'CONS. FUENTES FINAN'!H320</f>
        <v>4050.01</v>
      </c>
      <c r="D15" s="92">
        <f>SUM(B15:C15)</f>
        <v>4050.01</v>
      </c>
      <c r="E15" s="95">
        <f>+D15/D16</f>
        <v>6.1313719652716933E-3</v>
      </c>
    </row>
    <row r="16" spans="1:5" ht="18.75" x14ac:dyDescent="0.3">
      <c r="A16" s="103" t="s">
        <v>348</v>
      </c>
      <c r="B16" s="89">
        <f>SUM(B14:B15)</f>
        <v>0</v>
      </c>
      <c r="C16" s="89">
        <f>SUM(C14:C15)</f>
        <v>660538.94999999995</v>
      </c>
      <c r="D16" s="89">
        <f>SUM(D14:D15)</f>
        <v>660538.94999999995</v>
      </c>
      <c r="E16" s="102">
        <f>+D16/D39</f>
        <v>8.7411360645015396E-2</v>
      </c>
    </row>
    <row r="17" spans="1:5" ht="20.25" x14ac:dyDescent="0.25">
      <c r="A17" s="101" t="s">
        <v>363</v>
      </c>
      <c r="B17" s="100"/>
      <c r="C17" s="100"/>
      <c r="D17" s="99"/>
      <c r="E17" s="98"/>
    </row>
    <row r="18" spans="1:5" ht="18.75" x14ac:dyDescent="0.3">
      <c r="A18" s="97" t="s">
        <v>362</v>
      </c>
      <c r="B18" s="93">
        <f>'CONS. FUENTES FINAN'!G26</f>
        <v>0</v>
      </c>
      <c r="C18" s="93">
        <f>'CONS. FUENTES FINAN'!H26</f>
        <v>0</v>
      </c>
      <c r="D18" s="92">
        <f t="shared" ref="D18:D33" si="0">SUM(B18:C18)</f>
        <v>0</v>
      </c>
      <c r="E18" s="95">
        <f>+D18/D34</f>
        <v>0</v>
      </c>
    </row>
    <row r="19" spans="1:5" ht="18.75" x14ac:dyDescent="0.3">
      <c r="A19" s="96" t="s">
        <v>361</v>
      </c>
      <c r="B19" s="93">
        <f>'CONS. FUENTES FINAN'!G91+'CONS. FUENTES FINAN'!G93+'CONS. FUENTES FINAN'!G95+'CONS. FUENTES FINAN'!G97</f>
        <v>0</v>
      </c>
      <c r="C19" s="93">
        <f>'CONS. FUENTES FINAN'!H91+'CONS. FUENTES FINAN'!H93+'CONS. FUENTES FINAN'!H95+'CONS. FUENTES FINAN'!H97</f>
        <v>259054.40000000002</v>
      </c>
      <c r="D19" s="92">
        <f t="shared" si="0"/>
        <v>259054.40000000002</v>
      </c>
      <c r="E19" s="95">
        <f>+D19/D34</f>
        <v>0.15511551346802827</v>
      </c>
    </row>
    <row r="20" spans="1:5" ht="18.75" x14ac:dyDescent="0.3">
      <c r="A20" s="96" t="s">
        <v>422</v>
      </c>
      <c r="B20" s="92">
        <f>'CONS. FUENTES FINAN'!G99+'CONS. FUENTES FINAN'!G102+'CONS. FUENTES FINAN'!G104</f>
        <v>0</v>
      </c>
      <c r="C20" s="92">
        <f>'CONS. FUENTES FINAN'!H99+'CONS. FUENTES FINAN'!H102+'CONS. FUENTES FINAN'!H104</f>
        <v>0</v>
      </c>
      <c r="D20" s="92">
        <f t="shared" si="0"/>
        <v>0</v>
      </c>
      <c r="E20" s="95">
        <f>+D20/D34</f>
        <v>0</v>
      </c>
    </row>
    <row r="21" spans="1:5" ht="18.75" x14ac:dyDescent="0.3">
      <c r="A21" s="96" t="s">
        <v>360</v>
      </c>
      <c r="B21" s="92">
        <f>'CONS. FUENTES FINAN'!G111</f>
        <v>0</v>
      </c>
      <c r="C21" s="92">
        <f>'CONS. FUENTES FINAN'!H111</f>
        <v>0</v>
      </c>
      <c r="D21" s="92">
        <f t="shared" si="0"/>
        <v>0</v>
      </c>
      <c r="E21" s="95">
        <f>+D21/D34</f>
        <v>0</v>
      </c>
    </row>
    <row r="22" spans="1:5" ht="18.75" x14ac:dyDescent="0.3">
      <c r="A22" s="96" t="s">
        <v>359</v>
      </c>
      <c r="B22" s="92">
        <f>'CONS. FUENTES FINAN'!G116</f>
        <v>0</v>
      </c>
      <c r="C22" s="92">
        <f>'CONS. FUENTES FINAN'!H116</f>
        <v>24000</v>
      </c>
      <c r="D22" s="92">
        <f t="shared" si="0"/>
        <v>24000</v>
      </c>
      <c r="E22" s="95">
        <f>+D22/D34</f>
        <v>1.4370619928604486E-2</v>
      </c>
    </row>
    <row r="23" spans="1:5" ht="18.75" x14ac:dyDescent="0.3">
      <c r="A23" s="96" t="s">
        <v>358</v>
      </c>
      <c r="B23" s="92">
        <f>'CONS. FUENTES FINAN'!G125</f>
        <v>0</v>
      </c>
      <c r="C23" s="92">
        <f>'CONS. FUENTES FINAN'!H125</f>
        <v>252960.9</v>
      </c>
      <c r="D23" s="92">
        <f t="shared" si="0"/>
        <v>252960.9</v>
      </c>
      <c r="E23" s="95">
        <f>+D23/D34</f>
        <v>0.1514668729457386</v>
      </c>
    </row>
    <row r="24" spans="1:5" ht="18.75" x14ac:dyDescent="0.3">
      <c r="A24" s="96" t="s">
        <v>357</v>
      </c>
      <c r="B24" s="92">
        <f>'CONS. FUENTES FINAN'!G182</f>
        <v>0</v>
      </c>
      <c r="C24" s="92">
        <f>'CONS. FUENTES FINAN'!H182</f>
        <v>11179.44</v>
      </c>
      <c r="D24" s="92">
        <f t="shared" si="0"/>
        <v>11179.44</v>
      </c>
      <c r="E24" s="95">
        <f>+D24/D34</f>
        <v>6.6939784689432564E-3</v>
      </c>
    </row>
    <row r="25" spans="1:5" ht="18.75" x14ac:dyDescent="0.3">
      <c r="A25" s="96" t="s">
        <v>356</v>
      </c>
      <c r="B25" s="93">
        <f>'CONS. FUENTES FINAN'!G109+'CONS. FUENTES FINAN'!G312</f>
        <v>0</v>
      </c>
      <c r="C25" s="93">
        <f>'CONS. FUENTES FINAN'!H109+'CONS. FUENTES FINAN'!H312</f>
        <v>0</v>
      </c>
      <c r="D25" s="92">
        <f t="shared" si="0"/>
        <v>0</v>
      </c>
      <c r="E25" s="95">
        <f>+D25/D34</f>
        <v>0</v>
      </c>
    </row>
    <row r="26" spans="1:5" ht="18.75" x14ac:dyDescent="0.3">
      <c r="A26" s="96" t="s">
        <v>355</v>
      </c>
      <c r="B26" s="92">
        <f>'CONS. FUENTES FINAN'!G208+'CONS. FUENTES FINAN'!G214+'CONS. FUENTES FINAN'!G217+'CONS. FUENTES FINAN'!G219</f>
        <v>0</v>
      </c>
      <c r="C26" s="92">
        <f>'CONS. FUENTES FINAN'!H208+'CONS. FUENTES FINAN'!H214+'CONS. FUENTES FINAN'!H217+'CONS. FUENTES FINAN'!H219</f>
        <v>300691.8</v>
      </c>
      <c r="D26" s="92">
        <f t="shared" si="0"/>
        <v>300691.8</v>
      </c>
      <c r="E26" s="95">
        <f>+D26/D34</f>
        <v>0.18004698222699808</v>
      </c>
    </row>
    <row r="27" spans="1:5" ht="18.75" x14ac:dyDescent="0.3">
      <c r="A27" s="96" t="s">
        <v>354</v>
      </c>
      <c r="B27" s="92">
        <f>'CONS. FUENTES FINAN'!G232</f>
        <v>0</v>
      </c>
      <c r="C27" s="92">
        <f>'CONS. FUENTES FINAN'!H232</f>
        <v>107616</v>
      </c>
      <c r="D27" s="92">
        <f t="shared" si="0"/>
        <v>107616</v>
      </c>
      <c r="E27" s="95">
        <f>+D27/D34</f>
        <v>6.443785975986252E-2</v>
      </c>
    </row>
    <row r="28" spans="1:5" ht="18.75" x14ac:dyDescent="0.3">
      <c r="A28" s="96" t="s">
        <v>353</v>
      </c>
      <c r="B28" s="92">
        <f>'CONS. FUENTES FINAN'!G259</f>
        <v>0</v>
      </c>
      <c r="C28" s="92">
        <f>'CONS. FUENTES FINAN'!H259</f>
        <v>249831.2</v>
      </c>
      <c r="D28" s="92">
        <f t="shared" si="0"/>
        <v>249831.2</v>
      </c>
      <c r="E28" s="95">
        <f>+D28/D34</f>
        <v>0.14959288422946554</v>
      </c>
    </row>
    <row r="29" spans="1:5" ht="18.75" x14ac:dyDescent="0.3">
      <c r="A29" s="96" t="s">
        <v>352</v>
      </c>
      <c r="B29" s="92">
        <f>'CONS. FUENTES FINAN'!G288</f>
        <v>0</v>
      </c>
      <c r="C29" s="92">
        <f>'CONS. FUENTES FINAN'!H288</f>
        <v>172000</v>
      </c>
      <c r="D29" s="92">
        <f t="shared" si="0"/>
        <v>172000</v>
      </c>
      <c r="E29" s="95">
        <f>+D29/D34</f>
        <v>0.10298944282166549</v>
      </c>
    </row>
    <row r="30" spans="1:5" ht="18.75" x14ac:dyDescent="0.3">
      <c r="A30" s="96" t="s">
        <v>11</v>
      </c>
      <c r="B30" s="92">
        <f>'CONS. FUENTES FINAN'!G289+'CONS. FUENTES FINAN'!G290</f>
        <v>0</v>
      </c>
      <c r="C30" s="92">
        <f>'CONS. FUENTES FINAN'!H289+'CONS. FUENTES FINAN'!H290</f>
        <v>0</v>
      </c>
      <c r="D30" s="92">
        <f t="shared" si="0"/>
        <v>0</v>
      </c>
      <c r="E30" s="95">
        <f>+D30/D34</f>
        <v>0</v>
      </c>
    </row>
    <row r="31" spans="1:5" ht="18.75" x14ac:dyDescent="0.3">
      <c r="A31" s="96" t="s">
        <v>351</v>
      </c>
      <c r="B31" s="92">
        <f>'CONS. FUENTES FINAN'!G291+'CONS. FUENTES FINAN'!G294</f>
        <v>0</v>
      </c>
      <c r="C31" s="92">
        <f>'CONS. FUENTES FINAN'!H291+'CONS. FUENTES FINAN'!H294</f>
        <v>23844.13</v>
      </c>
      <c r="D31" s="92">
        <f t="shared" si="0"/>
        <v>23844.13</v>
      </c>
      <c r="E31" s="95">
        <f>+D31/D34</f>
        <v>1.4277288739926505E-2</v>
      </c>
    </row>
    <row r="32" spans="1:5" ht="18.75" x14ac:dyDescent="0.3">
      <c r="A32" s="96" t="s">
        <v>350</v>
      </c>
      <c r="B32" s="92">
        <f>'CONS. FUENTES FINAN'!G309</f>
        <v>0</v>
      </c>
      <c r="C32" s="92">
        <f>'CONS. FUENTES FINAN'!H309</f>
        <v>0</v>
      </c>
      <c r="D32" s="92">
        <f t="shared" si="0"/>
        <v>0</v>
      </c>
      <c r="E32" s="95">
        <f>+D32/D34</f>
        <v>0</v>
      </c>
    </row>
    <row r="33" spans="1:5" ht="18.75" x14ac:dyDescent="0.3">
      <c r="A33" s="94" t="s">
        <v>349</v>
      </c>
      <c r="B33" s="93">
        <f>'CONS. FUENTES FINAN'!G89+'CONS. FUENTES FINAN'!G107+'CONS. FUENTES FINAN'!G148+'CONS. FUENTES FINAN'!G180+'CONS. FUENTES FINAN'!G184+'CONS. FUENTES FINAN'!G186+'CONS. FUENTES FINAN'!G192+'CONS. FUENTES FINAN'!G197+'CONS. FUENTES FINAN'!G204+'CONS. FUENTES FINAN'!G225+'CONS. FUENTES FINAN'!G303+'CONS. FUENTES FINAN'!G316+'CONS. FUENTES FINAN'!G318+'CONS. FUENTES FINAN'!G322+'CONS. FUENTES FINAN'!G327+'CONS. FUENTES FINAN'!G330</f>
        <v>0</v>
      </c>
      <c r="C33" s="93">
        <f>'CONS. FUENTES FINAN'!H89+'CONS. FUENTES FINAN'!H107+'CONS. FUENTES FINAN'!H148+'CONS. FUENTES FINAN'!H180+'CONS. FUENTES FINAN'!H184+'CONS. FUENTES FINAN'!H186+'CONS. FUENTES FINAN'!H192+'CONS. FUENTES FINAN'!H197+'CONS. FUENTES FINAN'!H204+'CONS. FUENTES FINAN'!H225+'CONS. FUENTES FINAN'!H303+'CONS. FUENTES FINAN'!H316+'CONS. FUENTES FINAN'!H318+'CONS. FUENTES FINAN'!H322+'CONS. FUENTES FINAN'!H327+'CONS. FUENTES FINAN'!H330</f>
        <v>268896.21999999997</v>
      </c>
      <c r="D33" s="92">
        <f t="shared" si="0"/>
        <v>268896.21999999997</v>
      </c>
      <c r="E33" s="95">
        <f>+D33/D34</f>
        <v>0.16100855741076733</v>
      </c>
    </row>
    <row r="34" spans="1:5" ht="18.75" x14ac:dyDescent="0.3">
      <c r="A34" s="103" t="s">
        <v>348</v>
      </c>
      <c r="B34" s="89">
        <f>SUM(B17:B33)</f>
        <v>0</v>
      </c>
      <c r="C34" s="89">
        <f>SUM(C17:C33)</f>
        <v>1670074.0899999999</v>
      </c>
      <c r="D34" s="89">
        <f t="shared" ref="D34" si="1">SUM(D17:D33)</f>
        <v>1670074.0899999999</v>
      </c>
      <c r="E34" s="102">
        <f>+D34/D39</f>
        <v>0.22100657135341664</v>
      </c>
    </row>
    <row r="35" spans="1:5" ht="20.25" x14ac:dyDescent="0.25">
      <c r="A35" s="101" t="s">
        <v>421</v>
      </c>
      <c r="B35" s="100"/>
      <c r="C35" s="100"/>
      <c r="D35" s="99"/>
      <c r="E35" s="98"/>
    </row>
    <row r="36" spans="1:5" ht="18.75" x14ac:dyDescent="0.3">
      <c r="A36" s="97" t="s">
        <v>168</v>
      </c>
      <c r="B36" s="93">
        <f>'CONS. FUENTES FINAN'!G336</f>
        <v>0</v>
      </c>
      <c r="C36" s="93">
        <f>'CONS. FUENTES FINAN'!H336</f>
        <v>3887510</v>
      </c>
      <c r="D36" s="93">
        <f>SUM(B36:C36)</f>
        <v>3887510</v>
      </c>
      <c r="E36" s="91">
        <f>+D36/D38</f>
        <v>1</v>
      </c>
    </row>
    <row r="37" spans="1:5" ht="19.5" thickBot="1" x14ac:dyDescent="0.35">
      <c r="A37" s="113" t="s">
        <v>101</v>
      </c>
      <c r="B37" s="114">
        <f>'CONS. FUENTES FINAN'!G463</f>
        <v>0</v>
      </c>
      <c r="C37" s="114">
        <f>'CONS. FUENTES FINAN'!H463</f>
        <v>0</v>
      </c>
      <c r="D37" s="114">
        <f>SUM(B37:C37)</f>
        <v>0</v>
      </c>
      <c r="E37" s="91">
        <f>+D37/D38</f>
        <v>0</v>
      </c>
    </row>
    <row r="38" spans="1:5" ht="16.5" thickBot="1" x14ac:dyDescent="0.3">
      <c r="A38" s="90" t="s">
        <v>348</v>
      </c>
      <c r="B38" s="115">
        <f>SUM(B36:B37)</f>
        <v>0</v>
      </c>
      <c r="C38" s="116">
        <f t="shared" ref="C38:D38" si="2">SUM(C36:C37)</f>
        <v>3887510</v>
      </c>
      <c r="D38" s="116">
        <f t="shared" si="2"/>
        <v>3887510</v>
      </c>
      <c r="E38" s="88">
        <f>+D38/D39</f>
        <v>0.51444738969761561</v>
      </c>
    </row>
    <row r="39" spans="1:5" ht="19.5" thickBot="1" x14ac:dyDescent="0.35">
      <c r="A39" s="86" t="s">
        <v>347</v>
      </c>
      <c r="B39" s="87">
        <f>+B12+B16+B34+B38</f>
        <v>0</v>
      </c>
      <c r="C39" s="87">
        <f>+C12+C16+C34+C38</f>
        <v>7556671.6399999997</v>
      </c>
      <c r="D39" s="87">
        <f t="shared" ref="D39" si="3">+D12+D16+D34+D38</f>
        <v>7556671.6399999997</v>
      </c>
      <c r="E39" s="84">
        <f>+E12+E16+E34+E38</f>
        <v>1</v>
      </c>
    </row>
    <row r="40" spans="1:5" ht="19.5" thickBot="1" x14ac:dyDescent="0.35">
      <c r="A40" s="86" t="s">
        <v>346</v>
      </c>
      <c r="B40" s="85">
        <f>+B39/D39</f>
        <v>0</v>
      </c>
      <c r="C40" s="85">
        <f>+C39/D39</f>
        <v>1</v>
      </c>
      <c r="D40" s="85">
        <f>+B40+C40</f>
        <v>1</v>
      </c>
      <c r="E40" s="84"/>
    </row>
    <row r="42" spans="1:5" ht="26.25" x14ac:dyDescent="0.4">
      <c r="A42" s="83"/>
    </row>
    <row r="43" spans="1:5" ht="26.25" x14ac:dyDescent="0.4">
      <c r="A43" s="83"/>
    </row>
  </sheetData>
  <mergeCells count="9">
    <mergeCell ref="A1:E1"/>
    <mergeCell ref="A2:E2"/>
    <mergeCell ref="A3:E3"/>
    <mergeCell ref="A4:E4"/>
    <mergeCell ref="A6:A7"/>
    <mergeCell ref="B6:B7"/>
    <mergeCell ref="C6:C7"/>
    <mergeCell ref="D6:D7"/>
    <mergeCell ref="E6:E7"/>
  </mergeCells>
  <pageMargins left="0.7" right="0.7" top="0.75" bottom="0.75" header="0.3" footer="0.3"/>
  <pageSetup scale="6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3"/>
  <sheetViews>
    <sheetView view="pageBreakPreview" topLeftCell="B22" zoomScale="60" zoomScaleNormal="90" workbookViewId="0">
      <selection activeCell="C32" sqref="C32"/>
    </sheetView>
  </sheetViews>
  <sheetFormatPr baseColWidth="10" defaultColWidth="9.140625" defaultRowHeight="15" x14ac:dyDescent="0.25"/>
  <cols>
    <col min="1" max="1" width="84.42578125" customWidth="1"/>
    <col min="2" max="2" width="25.140625" customWidth="1"/>
    <col min="3" max="4" width="20.140625" bestFit="1" customWidth="1"/>
    <col min="5" max="5" width="13.85546875" customWidth="1"/>
    <col min="6" max="6" width="15.85546875" customWidth="1"/>
    <col min="7" max="7" width="18.42578125" bestFit="1" customWidth="1"/>
    <col min="8" max="8" width="19.42578125" bestFit="1" customWidth="1"/>
    <col min="9" max="9" width="18.42578125" bestFit="1" customWidth="1"/>
    <col min="10" max="11" width="15.85546875" customWidth="1"/>
    <col min="12" max="12" width="22" bestFit="1" customWidth="1"/>
    <col min="13" max="13" width="20.5703125" bestFit="1" customWidth="1"/>
    <col min="14" max="14" width="20.140625" bestFit="1" customWidth="1"/>
    <col min="15" max="15" width="15.85546875" customWidth="1"/>
  </cols>
  <sheetData>
    <row r="1" spans="1:15" ht="18.75" x14ac:dyDescent="0.25">
      <c r="A1" s="469" t="s">
        <v>531</v>
      </c>
      <c r="B1" s="469"/>
      <c r="C1" s="469"/>
      <c r="D1" s="469"/>
      <c r="E1" s="469"/>
      <c r="F1" s="469"/>
      <c r="G1" s="469"/>
      <c r="H1" s="469"/>
      <c r="I1" s="469"/>
      <c r="J1" s="469"/>
      <c r="K1" s="469"/>
      <c r="L1" s="469"/>
      <c r="M1" s="469"/>
      <c r="N1" s="469"/>
      <c r="O1" s="469"/>
    </row>
    <row r="2" spans="1:15" ht="18.75" x14ac:dyDescent="0.25">
      <c r="A2" s="469" t="s">
        <v>657</v>
      </c>
      <c r="B2" s="469"/>
      <c r="C2" s="469"/>
      <c r="D2" s="469"/>
      <c r="E2" s="469"/>
      <c r="F2" s="469"/>
      <c r="G2" s="469"/>
      <c r="H2" s="469"/>
      <c r="I2" s="469"/>
      <c r="J2" s="469"/>
      <c r="K2" s="469"/>
      <c r="L2" s="469"/>
      <c r="M2" s="469"/>
      <c r="N2" s="469"/>
      <c r="O2" s="469"/>
    </row>
    <row r="3" spans="1:15" ht="18.75" customHeight="1" x14ac:dyDescent="0.25">
      <c r="A3" s="470" t="s">
        <v>639</v>
      </c>
      <c r="B3" s="470"/>
      <c r="C3" s="470"/>
      <c r="D3" s="470"/>
      <c r="E3" s="470"/>
      <c r="F3" s="470"/>
      <c r="G3" s="470"/>
      <c r="H3" s="470"/>
      <c r="I3" s="470"/>
      <c r="J3" s="470"/>
      <c r="K3" s="470"/>
      <c r="L3" s="470"/>
      <c r="M3" s="470"/>
      <c r="N3" s="470"/>
      <c r="O3" s="470"/>
    </row>
    <row r="4" spans="1:15" x14ac:dyDescent="0.25">
      <c r="A4" s="471" t="s">
        <v>529</v>
      </c>
      <c r="B4" s="471"/>
      <c r="C4" s="471"/>
      <c r="D4" s="471"/>
      <c r="E4" s="471"/>
      <c r="F4" s="471"/>
      <c r="G4" s="471"/>
      <c r="H4" s="471"/>
      <c r="I4" s="471"/>
      <c r="J4" s="471"/>
      <c r="K4" s="471"/>
      <c r="L4" s="471"/>
      <c r="M4" s="471"/>
      <c r="N4" s="471"/>
      <c r="O4" s="471"/>
    </row>
    <row r="5" spans="1:15" x14ac:dyDescent="0.25">
      <c r="L5" s="126"/>
      <c r="M5" s="126"/>
      <c r="N5" s="126"/>
      <c r="O5" s="126"/>
    </row>
    <row r="6" spans="1:15" ht="48" customHeight="1" x14ac:dyDescent="0.25">
      <c r="A6" s="146" t="s">
        <v>528</v>
      </c>
      <c r="B6" s="472" t="s">
        <v>532</v>
      </c>
      <c r="C6" s="473"/>
      <c r="D6" s="473"/>
      <c r="E6" s="473"/>
      <c r="F6" s="474"/>
      <c r="G6" s="477" t="s">
        <v>533</v>
      </c>
      <c r="H6" s="477"/>
      <c r="I6" s="477"/>
      <c r="J6" s="477"/>
      <c r="K6" s="474"/>
      <c r="L6" s="478" t="s">
        <v>534</v>
      </c>
      <c r="M6" s="479"/>
      <c r="N6" s="479"/>
      <c r="O6" s="480"/>
    </row>
    <row r="7" spans="1:15" x14ac:dyDescent="0.25">
      <c r="A7" s="135" t="s">
        <v>514</v>
      </c>
      <c r="B7" s="147" t="s">
        <v>535</v>
      </c>
      <c r="C7" s="147" t="s">
        <v>536</v>
      </c>
      <c r="D7" s="147" t="s">
        <v>537</v>
      </c>
      <c r="E7" s="147" t="s">
        <v>538</v>
      </c>
      <c r="F7" s="475"/>
      <c r="G7" s="147" t="s">
        <v>535</v>
      </c>
      <c r="H7" s="147" t="s">
        <v>536</v>
      </c>
      <c r="I7" s="147" t="s">
        <v>537</v>
      </c>
      <c r="J7" s="147" t="s">
        <v>538</v>
      </c>
      <c r="K7" s="475"/>
      <c r="L7" s="147" t="s">
        <v>535</v>
      </c>
      <c r="M7" s="147" t="s">
        <v>536</v>
      </c>
      <c r="N7" s="147" t="s">
        <v>537</v>
      </c>
      <c r="O7" s="147" t="s">
        <v>538</v>
      </c>
    </row>
    <row r="8" spans="1:15" x14ac:dyDescent="0.25">
      <c r="A8" s="139" t="s">
        <v>513</v>
      </c>
      <c r="B8" s="148">
        <f>SUM(B9:B13)</f>
        <v>198560735.68000001</v>
      </c>
      <c r="C8" s="148">
        <f t="shared" ref="C8:D8" si="0">SUM(C9:C13)</f>
        <v>199770321.81</v>
      </c>
      <c r="D8" s="148">
        <f t="shared" si="0"/>
        <v>71335675.949999988</v>
      </c>
      <c r="E8" s="148">
        <f>SUM(E9:E13)</f>
        <v>0</v>
      </c>
      <c r="F8" s="475"/>
      <c r="G8" s="148">
        <f>SUM(G9:G13)</f>
        <v>5231553.59</v>
      </c>
      <c r="H8" s="148">
        <f>SUM(H9:H13)</f>
        <v>0</v>
      </c>
      <c r="I8" s="148">
        <f t="shared" ref="I8:J8" si="1">SUM(I9:I13)</f>
        <v>0</v>
      </c>
      <c r="J8" s="148">
        <f t="shared" si="1"/>
        <v>0</v>
      </c>
      <c r="K8" s="475"/>
      <c r="L8" s="149">
        <f>SUM(B8+G8)</f>
        <v>203792289.27000001</v>
      </c>
      <c r="M8" s="149">
        <f t="shared" ref="M8:O8" si="2">SUM(C8+H8)</f>
        <v>199770321.81</v>
      </c>
      <c r="N8" s="149">
        <f t="shared" si="2"/>
        <v>71335675.949999988</v>
      </c>
      <c r="O8" s="149">
        <f t="shared" si="2"/>
        <v>0</v>
      </c>
    </row>
    <row r="9" spans="1:15" x14ac:dyDescent="0.25">
      <c r="A9" s="133" t="s">
        <v>512</v>
      </c>
      <c r="B9" s="150">
        <f>SUM('TRANSFERENCIA CORRIENTE'!C10:E10)</f>
        <v>163945204.59</v>
      </c>
      <c r="C9" s="150">
        <f>SUM('TRANSFERENCIA CORRIENTE'!F10:H10)</f>
        <v>164084780.69</v>
      </c>
      <c r="D9" s="150">
        <f>SUM('TRANSFERENCIA CORRIENTE'!I10:K10)</f>
        <v>58925421.189999998</v>
      </c>
      <c r="E9" s="150">
        <f>SUM('TRANSFERENCIA CORRIENTE'!L10:N10)</f>
        <v>0</v>
      </c>
      <c r="F9" s="475"/>
      <c r="G9" s="150">
        <f>SUM(VS!C10:E10)</f>
        <v>0</v>
      </c>
      <c r="H9" s="150">
        <f>SUM(VS!F10:H10)</f>
        <v>0</v>
      </c>
      <c r="I9" s="150">
        <f>SUM(VS!I10:K10)</f>
        <v>0</v>
      </c>
      <c r="J9" s="151">
        <f>SUM(VS!L10:N10)</f>
        <v>0</v>
      </c>
      <c r="K9" s="475"/>
      <c r="L9" s="152">
        <f>SUM(B9+G9)</f>
        <v>163945204.59</v>
      </c>
      <c r="M9" s="152">
        <f>SUM(C9+H9)</f>
        <v>164084780.69</v>
      </c>
      <c r="N9" s="152">
        <f>SUM(D9+I9)</f>
        <v>58925421.189999998</v>
      </c>
      <c r="O9" s="152">
        <f>SUM(E9+J9)</f>
        <v>0</v>
      </c>
    </row>
    <row r="10" spans="1:15" x14ac:dyDescent="0.25">
      <c r="A10" s="133" t="s">
        <v>511</v>
      </c>
      <c r="B10" s="150">
        <f>SUM('TRANSFERENCIA CORRIENTE'!C11:E11)</f>
        <v>9594398.8000000007</v>
      </c>
      <c r="C10" s="150">
        <f>SUM('TRANSFERENCIA CORRIENTE'!F11:H11)</f>
        <v>10535798.949999999</v>
      </c>
      <c r="D10" s="150">
        <f>SUM('TRANSFERENCIA CORRIENTE'!I11:K11)</f>
        <v>3344880.19</v>
      </c>
      <c r="E10" s="150">
        <f>SUM('TRANSFERENCIA CORRIENTE'!L11:N11)</f>
        <v>0</v>
      </c>
      <c r="F10" s="475"/>
      <c r="G10" s="150">
        <f>SUM(VS!C11:E11)</f>
        <v>5231553.59</v>
      </c>
      <c r="H10" s="150">
        <f>SUM(VS!F11:H11)</f>
        <v>0</v>
      </c>
      <c r="I10" s="150">
        <f>SUM(VS!I11:K11)</f>
        <v>0</v>
      </c>
      <c r="J10" s="151">
        <f>SUM(VS!L11:N11)</f>
        <v>0</v>
      </c>
      <c r="K10" s="475"/>
      <c r="L10" s="152">
        <f t="shared" ref="L10:L13" si="3">SUM(B10+G10)</f>
        <v>14825952.390000001</v>
      </c>
      <c r="M10" s="152">
        <f>SUM(C10+H10)</f>
        <v>10535798.949999999</v>
      </c>
      <c r="N10" s="152">
        <f t="shared" ref="N10:O13" si="4">SUM(D10+I10)</f>
        <v>3344880.19</v>
      </c>
      <c r="O10" s="152">
        <f t="shared" si="4"/>
        <v>0</v>
      </c>
    </row>
    <row r="11" spans="1:15" x14ac:dyDescent="0.25">
      <c r="A11" s="133" t="s">
        <v>510</v>
      </c>
      <c r="B11" s="150">
        <f>SUM('TRANSFERENCIA CORRIENTE'!C12:E12)</f>
        <v>0</v>
      </c>
      <c r="C11" s="150">
        <f>SUM('TRANSFERENCIA CORRIENTE'!F12:H12)</f>
        <v>0</v>
      </c>
      <c r="D11" s="150">
        <f>SUM('TRANSFERENCIA CORRIENTE'!I12:K12)</f>
        <v>0</v>
      </c>
      <c r="E11" s="150">
        <f>SUM('TRANSFERENCIA CORRIENTE'!L12:N12)</f>
        <v>0</v>
      </c>
      <c r="F11" s="475"/>
      <c r="G11" s="150">
        <f>SUM(VS!C12:E12)</f>
        <v>0</v>
      </c>
      <c r="H11" s="150">
        <f>SUM(VS!F12:H12)</f>
        <v>0</v>
      </c>
      <c r="I11" s="150">
        <f>SUM(VS!I12:K12)</f>
        <v>0</v>
      </c>
      <c r="J11" s="151">
        <f>SUM(VS!L12:N12)</f>
        <v>0</v>
      </c>
      <c r="K11" s="475"/>
      <c r="L11" s="152">
        <f t="shared" si="3"/>
        <v>0</v>
      </c>
      <c r="M11" s="152">
        <f>SUM(C11+H11)</f>
        <v>0</v>
      </c>
      <c r="N11" s="152">
        <f t="shared" si="4"/>
        <v>0</v>
      </c>
      <c r="O11" s="152">
        <f t="shared" si="4"/>
        <v>0</v>
      </c>
    </row>
    <row r="12" spans="1:15" x14ac:dyDescent="0.25">
      <c r="A12" s="133" t="s">
        <v>509</v>
      </c>
      <c r="B12" s="150">
        <f>SUM('TRANSFERENCIA CORRIENTE'!C13:E13)</f>
        <v>0</v>
      </c>
      <c r="C12" s="150">
        <f>SUM('TRANSFERENCIA CORRIENTE'!F13:H13)</f>
        <v>0</v>
      </c>
      <c r="D12" s="150">
        <f>SUM('TRANSFERENCIA CORRIENTE'!I13:K13)</f>
        <v>0</v>
      </c>
      <c r="E12" s="150">
        <f>SUM('TRANSFERENCIA CORRIENTE'!L13:N13)</f>
        <v>0</v>
      </c>
      <c r="F12" s="475"/>
      <c r="G12" s="150">
        <f>SUM(VS!C13:E13)</f>
        <v>0</v>
      </c>
      <c r="H12" s="150">
        <f>SUM(VS!F13:H13)</f>
        <v>0</v>
      </c>
      <c r="I12" s="150">
        <f>SUM(VS!I13:K13)</f>
        <v>0</v>
      </c>
      <c r="J12" s="151">
        <f>SUM(VS!L13:N13)</f>
        <v>0</v>
      </c>
      <c r="K12" s="475"/>
      <c r="L12" s="152">
        <f t="shared" si="3"/>
        <v>0</v>
      </c>
      <c r="M12" s="152">
        <f>SUM(C12+H12)</f>
        <v>0</v>
      </c>
      <c r="N12" s="152">
        <f t="shared" si="4"/>
        <v>0</v>
      </c>
      <c r="O12" s="152">
        <f t="shared" si="4"/>
        <v>0</v>
      </c>
    </row>
    <row r="13" spans="1:15" x14ac:dyDescent="0.25">
      <c r="A13" s="133" t="s">
        <v>508</v>
      </c>
      <c r="B13" s="150">
        <f>SUM('TRANSFERENCIA CORRIENTE'!C14:E14)</f>
        <v>25021132.289999999</v>
      </c>
      <c r="C13" s="150">
        <f>SUM('TRANSFERENCIA CORRIENTE'!F14:H14)</f>
        <v>25149742.170000002</v>
      </c>
      <c r="D13" s="150">
        <f>SUM('TRANSFERENCIA CORRIENTE'!I14:K14)</f>
        <v>9065374.5700000003</v>
      </c>
      <c r="E13" s="150">
        <f>SUM('TRANSFERENCIA CORRIENTE'!L14:N14)</f>
        <v>0</v>
      </c>
      <c r="F13" s="475"/>
      <c r="G13" s="150">
        <f>SUM(VS!C14:E14)</f>
        <v>0</v>
      </c>
      <c r="H13" s="150">
        <f>SUM(VS!F14:H14)</f>
        <v>0</v>
      </c>
      <c r="I13" s="150">
        <f>SUM(VS!I14:K14)</f>
        <v>0</v>
      </c>
      <c r="J13" s="151">
        <f>SUM(VS!L14:N14)</f>
        <v>0</v>
      </c>
      <c r="K13" s="475"/>
      <c r="L13" s="152">
        <f t="shared" si="3"/>
        <v>25021132.289999999</v>
      </c>
      <c r="M13" s="152">
        <f>SUM(C13+H13)</f>
        <v>25149742.170000002</v>
      </c>
      <c r="N13" s="152">
        <f t="shared" si="4"/>
        <v>9065374.5700000003</v>
      </c>
      <c r="O13" s="152">
        <f t="shared" si="4"/>
        <v>0</v>
      </c>
    </row>
    <row r="14" spans="1:15" s="153" customFormat="1" x14ac:dyDescent="0.25">
      <c r="A14" s="139" t="s">
        <v>507</v>
      </c>
      <c r="B14" s="148">
        <f>SUM(B15:B23)</f>
        <v>9308364.879999999</v>
      </c>
      <c r="C14" s="148">
        <f t="shared" ref="C14:E14" si="5">SUM(C15:C23)</f>
        <v>10131818.199999999</v>
      </c>
      <c r="D14" s="148">
        <f t="shared" si="5"/>
        <v>0</v>
      </c>
      <c r="E14" s="148">
        <f t="shared" si="5"/>
        <v>0</v>
      </c>
      <c r="F14" s="475"/>
      <c r="G14" s="148">
        <f>SUM(G15:G23)</f>
        <v>8306683.8499999996</v>
      </c>
      <c r="H14" s="148">
        <f t="shared" ref="H14:J14" si="6">SUM(H15:H23)</f>
        <v>7239413.7899999991</v>
      </c>
      <c r="I14" s="148">
        <f t="shared" si="6"/>
        <v>5012155.75</v>
      </c>
      <c r="J14" s="148">
        <f t="shared" si="6"/>
        <v>0</v>
      </c>
      <c r="K14" s="475"/>
      <c r="L14" s="149">
        <f>SUM(B14+G14)</f>
        <v>17615048.729999997</v>
      </c>
      <c r="M14" s="149">
        <f t="shared" ref="M14:O29" si="7">SUM(C14+H14)</f>
        <v>17371231.989999998</v>
      </c>
      <c r="N14" s="149">
        <f t="shared" si="7"/>
        <v>5012155.75</v>
      </c>
      <c r="O14" s="149">
        <f t="shared" si="7"/>
        <v>0</v>
      </c>
    </row>
    <row r="15" spans="1:15" x14ac:dyDescent="0.25">
      <c r="A15" s="133" t="s">
        <v>506</v>
      </c>
      <c r="B15" s="150">
        <f>SUM('TRANSFERENCIA CORRIENTE'!C16:E16)</f>
        <v>2020024.3</v>
      </c>
      <c r="C15" s="150">
        <f>SUM('TRANSFERENCIA CORRIENTE'!F16:H16)</f>
        <v>181605</v>
      </c>
      <c r="D15" s="150">
        <f>SUM('TRANSFERENCIA CORRIENTE'!J16:L16)</f>
        <v>0</v>
      </c>
      <c r="E15" s="150">
        <f>SUM('TRANSFERENCIA CORRIENTE'!L16:N16)</f>
        <v>0</v>
      </c>
      <c r="F15" s="475"/>
      <c r="G15" s="150">
        <f>SUM(VS!C16:E16)</f>
        <v>2341561.92</v>
      </c>
      <c r="H15" s="150">
        <f>SUM(VS!F16:H16)</f>
        <v>2348580.7199999997</v>
      </c>
      <c r="I15" s="150">
        <f>SUM(VS!I16:K16)</f>
        <v>1781904.05</v>
      </c>
      <c r="J15" s="151">
        <f>SUM(VS!L16:N16)</f>
        <v>0</v>
      </c>
      <c r="K15" s="475"/>
      <c r="L15" s="152">
        <f t="shared" ref="L15:L23" si="8">SUM(B15+G15)</f>
        <v>4361586.22</v>
      </c>
      <c r="M15" s="152">
        <f t="shared" si="7"/>
        <v>2530185.7199999997</v>
      </c>
      <c r="N15" s="152">
        <f t="shared" si="7"/>
        <v>1781904.05</v>
      </c>
      <c r="O15" s="152">
        <f t="shared" si="7"/>
        <v>0</v>
      </c>
    </row>
    <row r="16" spans="1:15" x14ac:dyDescent="0.25">
      <c r="A16" s="133" t="s">
        <v>505</v>
      </c>
      <c r="B16" s="150">
        <f>SUM('TRANSFERENCIA CORRIENTE'!C17:E17)</f>
        <v>324206.83</v>
      </c>
      <c r="C16" s="150">
        <f>SUM('TRANSFERENCIA CORRIENTE'!F17:H17)</f>
        <v>351993.82999999996</v>
      </c>
      <c r="D16" s="150">
        <f>SUM('TRANSFERENCIA CORRIENTE'!J17:L17)</f>
        <v>0</v>
      </c>
      <c r="E16" s="150">
        <f>SUM('TRANSFERENCIA CORRIENTE'!L17:N17)</f>
        <v>0</v>
      </c>
      <c r="F16" s="475"/>
      <c r="G16" s="150">
        <f>SUM(VS!C17:E17)</f>
        <v>0</v>
      </c>
      <c r="H16" s="150">
        <f>SUM(VS!F17:H17)</f>
        <v>310139.40000000002</v>
      </c>
      <c r="I16" s="150">
        <f>SUM(VS!I17:K17)</f>
        <v>581445</v>
      </c>
      <c r="J16" s="151">
        <f>SUM(VS!L17:N17)</f>
        <v>0</v>
      </c>
      <c r="K16" s="475"/>
      <c r="L16" s="152">
        <f t="shared" si="8"/>
        <v>324206.83</v>
      </c>
      <c r="M16" s="152">
        <f t="shared" si="7"/>
        <v>662133.23</v>
      </c>
      <c r="N16" s="152">
        <f t="shared" si="7"/>
        <v>581445</v>
      </c>
      <c r="O16" s="152">
        <f t="shared" si="7"/>
        <v>0</v>
      </c>
    </row>
    <row r="17" spans="1:15" x14ac:dyDescent="0.25">
      <c r="A17" s="133" t="s">
        <v>504</v>
      </c>
      <c r="B17" s="150">
        <f>SUM('TRANSFERENCIA CORRIENTE'!C18:E18)</f>
        <v>0</v>
      </c>
      <c r="C17" s="150">
        <f>SUM('TRANSFERENCIA CORRIENTE'!F18:H18)</f>
        <v>0</v>
      </c>
      <c r="D17" s="150">
        <f>SUM('TRANSFERENCIA CORRIENTE'!J18:L18)</f>
        <v>0</v>
      </c>
      <c r="E17" s="150">
        <f>SUM('TRANSFERENCIA CORRIENTE'!L18:N18)</f>
        <v>0</v>
      </c>
      <c r="F17" s="475"/>
      <c r="G17" s="150">
        <f>SUM(VS!C18:E18)</f>
        <v>0</v>
      </c>
      <c r="H17" s="150">
        <f>SUM(VS!F18:H18)</f>
        <v>0</v>
      </c>
      <c r="I17" s="150">
        <f>SUM(VS!I18:K18)</f>
        <v>0</v>
      </c>
      <c r="J17" s="151">
        <f>SUM(VS!L18:N18)</f>
        <v>0</v>
      </c>
      <c r="K17" s="475"/>
      <c r="L17" s="152">
        <f t="shared" si="8"/>
        <v>0</v>
      </c>
      <c r="M17" s="152">
        <f t="shared" si="7"/>
        <v>0</v>
      </c>
      <c r="N17" s="152">
        <f t="shared" si="7"/>
        <v>0</v>
      </c>
      <c r="O17" s="152">
        <f t="shared" si="7"/>
        <v>0</v>
      </c>
    </row>
    <row r="18" spans="1:15" x14ac:dyDescent="0.25">
      <c r="A18" s="133" t="s">
        <v>503</v>
      </c>
      <c r="B18" s="150">
        <f>SUM('TRANSFERENCIA CORRIENTE'!C19:E19)</f>
        <v>0</v>
      </c>
      <c r="C18" s="150">
        <f>SUM('TRANSFERENCIA CORRIENTE'!F19:H19)</f>
        <v>0</v>
      </c>
      <c r="D18" s="150">
        <f>SUM('TRANSFERENCIA CORRIENTE'!J19:L19)</f>
        <v>0</v>
      </c>
      <c r="E18" s="150">
        <f>SUM('TRANSFERENCIA CORRIENTE'!L19:N19)</f>
        <v>0</v>
      </c>
      <c r="F18" s="475"/>
      <c r="G18" s="150">
        <f>SUM(VS!C19:E19)</f>
        <v>56000</v>
      </c>
      <c r="H18" s="150">
        <f>SUM(VS!F19:H19)</f>
        <v>96000</v>
      </c>
      <c r="I18" s="150">
        <f>SUM(VS!I19:K19)</f>
        <v>8000</v>
      </c>
      <c r="J18" s="151">
        <f>SUM(VS!L19:N19)</f>
        <v>0</v>
      </c>
      <c r="K18" s="475"/>
      <c r="L18" s="152">
        <f t="shared" si="8"/>
        <v>56000</v>
      </c>
      <c r="M18" s="152">
        <f t="shared" si="7"/>
        <v>96000</v>
      </c>
      <c r="N18" s="152">
        <f t="shared" si="7"/>
        <v>8000</v>
      </c>
      <c r="O18" s="152">
        <f t="shared" si="7"/>
        <v>0</v>
      </c>
    </row>
    <row r="19" spans="1:15" x14ac:dyDescent="0.25">
      <c r="A19" s="133" t="s">
        <v>502</v>
      </c>
      <c r="B19" s="150">
        <f>SUM('TRANSFERENCIA CORRIENTE'!C20:E20)</f>
        <v>0</v>
      </c>
      <c r="C19" s="150">
        <f>SUM('TRANSFERENCIA CORRIENTE'!F20:H20)</f>
        <v>150000</v>
      </c>
      <c r="D19" s="150">
        <f>SUM('TRANSFERENCIA CORRIENTE'!J20:L20)</f>
        <v>0</v>
      </c>
      <c r="E19" s="150">
        <f>SUM('TRANSFERENCIA CORRIENTE'!L20:N20)</f>
        <v>0</v>
      </c>
      <c r="F19" s="475"/>
      <c r="G19" s="150">
        <f>SUM(VS!C20:E20)</f>
        <v>519625.15</v>
      </c>
      <c r="H19" s="150">
        <f>SUM(VS!F20:H20)</f>
        <v>759170.42</v>
      </c>
      <c r="I19" s="150">
        <f>SUM(VS!I20:K20)</f>
        <v>298861.53999999998</v>
      </c>
      <c r="J19" s="151">
        <f>SUM(VS!L20:N20)</f>
        <v>0</v>
      </c>
      <c r="K19" s="475"/>
      <c r="L19" s="152">
        <f t="shared" si="8"/>
        <v>519625.15</v>
      </c>
      <c r="M19" s="152">
        <f t="shared" si="7"/>
        <v>909170.42</v>
      </c>
      <c r="N19" s="152">
        <f t="shared" si="7"/>
        <v>298861.53999999998</v>
      </c>
      <c r="O19" s="152">
        <f t="shared" si="7"/>
        <v>0</v>
      </c>
    </row>
    <row r="20" spans="1:15" x14ac:dyDescent="0.25">
      <c r="A20" s="133" t="s">
        <v>501</v>
      </c>
      <c r="B20" s="150">
        <f>SUM('TRANSFERENCIA CORRIENTE'!C21:E21)</f>
        <v>0</v>
      </c>
      <c r="C20" s="150">
        <f>SUM('TRANSFERENCIA CORRIENTE'!F21:H21)</f>
        <v>0</v>
      </c>
      <c r="D20" s="150">
        <f>SUM('TRANSFERENCIA CORRIENTE'!J21:L21)</f>
        <v>0</v>
      </c>
      <c r="E20" s="150">
        <f>SUM('TRANSFERENCIA CORRIENTE'!L21:N21)</f>
        <v>0</v>
      </c>
      <c r="F20" s="475"/>
      <c r="G20" s="150">
        <f>SUM(VS!C21:E21)</f>
        <v>0</v>
      </c>
      <c r="H20" s="150">
        <f>SUM(VS!F21:H21)</f>
        <v>0</v>
      </c>
      <c r="I20" s="150">
        <f>SUM(VS!I21:K21)</f>
        <v>0</v>
      </c>
      <c r="J20" s="151">
        <f>SUM(VS!L21:N21)</f>
        <v>0</v>
      </c>
      <c r="K20" s="475"/>
      <c r="L20" s="152">
        <f t="shared" si="8"/>
        <v>0</v>
      </c>
      <c r="M20" s="152">
        <f t="shared" si="7"/>
        <v>0</v>
      </c>
      <c r="N20" s="152">
        <f t="shared" si="7"/>
        <v>0</v>
      </c>
      <c r="O20" s="152">
        <f t="shared" si="7"/>
        <v>0</v>
      </c>
    </row>
    <row r="21" spans="1:15" ht="30" x14ac:dyDescent="0.25">
      <c r="A21" s="133" t="s">
        <v>500</v>
      </c>
      <c r="B21" s="150">
        <f>SUM('TRANSFERENCIA CORRIENTE'!C22:E22)</f>
        <v>6474433.75</v>
      </c>
      <c r="C21" s="150">
        <f>SUM('TRANSFERENCIA CORRIENTE'!F22:H22)</f>
        <v>5611474.3300000001</v>
      </c>
      <c r="D21" s="150">
        <f>SUM('TRANSFERENCIA CORRIENTE'!J22:L22)</f>
        <v>0</v>
      </c>
      <c r="E21" s="150">
        <f>SUM('TRANSFERENCIA CORRIENTE'!L22:N22)</f>
        <v>0</v>
      </c>
      <c r="F21" s="475"/>
      <c r="G21" s="150">
        <f>SUM(VS!C22:E22)</f>
        <v>4556850.12</v>
      </c>
      <c r="H21" s="150">
        <f>SUM(VS!F22:H22)</f>
        <v>1040817.5700000001</v>
      </c>
      <c r="I21" s="150">
        <f>SUM(VS!I22:K22)</f>
        <v>1632573.28</v>
      </c>
      <c r="J21" s="151">
        <f>SUM(VS!L22:N22)</f>
        <v>0</v>
      </c>
      <c r="K21" s="475"/>
      <c r="L21" s="152">
        <f t="shared" si="8"/>
        <v>11031283.870000001</v>
      </c>
      <c r="M21" s="152">
        <f t="shared" si="7"/>
        <v>6652291.9000000004</v>
      </c>
      <c r="N21" s="152">
        <f t="shared" si="7"/>
        <v>1632573.28</v>
      </c>
      <c r="O21" s="152">
        <f>SUM(E21+J21)</f>
        <v>0</v>
      </c>
    </row>
    <row r="22" spans="1:15" x14ac:dyDescent="0.25">
      <c r="A22" s="133" t="s">
        <v>499</v>
      </c>
      <c r="B22" s="150">
        <f>SUM('TRANSFERENCIA CORRIENTE'!C23:E23)</f>
        <v>489700</v>
      </c>
      <c r="C22" s="150">
        <f>SUM('TRANSFERENCIA CORRIENTE'!F23:H23)</f>
        <v>413000</v>
      </c>
      <c r="D22" s="150">
        <f>SUM('TRANSFERENCIA CORRIENTE'!J23:L23)</f>
        <v>0</v>
      </c>
      <c r="E22" s="150">
        <f>SUM('TRANSFERENCIA CORRIENTE'!L23:N23)</f>
        <v>0</v>
      </c>
      <c r="F22" s="475"/>
      <c r="G22" s="150">
        <f>SUM(VS!C23:E23)</f>
        <v>832646.66</v>
      </c>
      <c r="H22" s="150">
        <f>SUM(VS!F23:H23)</f>
        <v>1774418.2799999998</v>
      </c>
      <c r="I22" s="150">
        <f>SUM(VS!I23:K23)</f>
        <v>709371.88</v>
      </c>
      <c r="J22" s="151">
        <f>SUM(VS!L23:N23)</f>
        <v>0</v>
      </c>
      <c r="K22" s="475"/>
      <c r="L22" s="152">
        <f t="shared" si="8"/>
        <v>1322346.6600000001</v>
      </c>
      <c r="M22" s="152">
        <f t="shared" si="7"/>
        <v>2187418.2799999998</v>
      </c>
      <c r="N22" s="152">
        <f t="shared" si="7"/>
        <v>709371.88</v>
      </c>
      <c r="O22" s="152">
        <f t="shared" si="7"/>
        <v>0</v>
      </c>
    </row>
    <row r="23" spans="1:15" x14ac:dyDescent="0.25">
      <c r="A23" s="133" t="s">
        <v>498</v>
      </c>
      <c r="B23" s="150">
        <f>SUM('TRANSFERENCIA CORRIENTE'!C24:E24)</f>
        <v>0</v>
      </c>
      <c r="C23" s="150">
        <f>SUM('TRANSFERENCIA CORRIENTE'!F24:H24)</f>
        <v>3423745.04</v>
      </c>
      <c r="D23" s="150">
        <f>SUM('TRANSFERENCIA CORRIENTE'!J24:L24)</f>
        <v>0</v>
      </c>
      <c r="E23" s="150">
        <f>SUM('TRANSFERENCIA CORRIENTE'!L24:N24)</f>
        <v>0</v>
      </c>
      <c r="F23" s="475"/>
      <c r="G23" s="150">
        <f>SUM(VS!C24:E24)</f>
        <v>0</v>
      </c>
      <c r="H23" s="150">
        <f>SUM(VS!F24:H24)</f>
        <v>910287.4</v>
      </c>
      <c r="I23" s="150">
        <f>SUM(VS!I24:K24)</f>
        <v>0</v>
      </c>
      <c r="J23" s="151">
        <f>SUM(VS!L24:N24)</f>
        <v>0</v>
      </c>
      <c r="K23" s="475"/>
      <c r="L23" s="152">
        <f t="shared" si="8"/>
        <v>0</v>
      </c>
      <c r="M23" s="152">
        <f t="shared" si="7"/>
        <v>4334032.4400000004</v>
      </c>
      <c r="N23" s="152">
        <f t="shared" si="7"/>
        <v>0</v>
      </c>
      <c r="O23" s="152">
        <f t="shared" si="7"/>
        <v>0</v>
      </c>
    </row>
    <row r="24" spans="1:15" s="153" customFormat="1" x14ac:dyDescent="0.25">
      <c r="A24" s="139" t="s">
        <v>497</v>
      </c>
      <c r="B24" s="148">
        <f>SUM(B25:B33)</f>
        <v>46153283.390000001</v>
      </c>
      <c r="C24" s="148">
        <f t="shared" ref="C24:E24" si="9">SUM(C25:C33)</f>
        <v>52385650.660000004</v>
      </c>
      <c r="D24" s="148">
        <f t="shared" si="9"/>
        <v>38552153.909999996</v>
      </c>
      <c r="E24" s="148">
        <f t="shared" si="9"/>
        <v>0</v>
      </c>
      <c r="F24" s="475"/>
      <c r="G24" s="148">
        <f t="shared" ref="G24:J24" si="10">SUM(G25:G33)</f>
        <v>7292547.2799999993</v>
      </c>
      <c r="H24" s="148">
        <f t="shared" si="10"/>
        <v>6552680.6099999994</v>
      </c>
      <c r="I24" s="148">
        <f t="shared" si="10"/>
        <v>3444623.87</v>
      </c>
      <c r="J24" s="148">
        <f t="shared" si="10"/>
        <v>0</v>
      </c>
      <c r="K24" s="475"/>
      <c r="L24" s="149">
        <f>SUM(B24+G24)</f>
        <v>53445830.670000002</v>
      </c>
      <c r="M24" s="149">
        <f t="shared" si="7"/>
        <v>58938331.270000003</v>
      </c>
      <c r="N24" s="149">
        <f t="shared" si="7"/>
        <v>41996777.779999994</v>
      </c>
      <c r="O24" s="149">
        <f t="shared" si="7"/>
        <v>0</v>
      </c>
    </row>
    <row r="25" spans="1:15" x14ac:dyDescent="0.25">
      <c r="A25" s="133" t="s">
        <v>496</v>
      </c>
      <c r="B25" s="150">
        <f>SUM('TRANSFERENCIA CORRIENTE'!C26:E26)</f>
        <v>3713897.2399999998</v>
      </c>
      <c r="C25" s="150">
        <f>SUM('TRANSFERENCIA CORRIENTE'!F26:H26)</f>
        <v>4866999.25</v>
      </c>
      <c r="D25" s="150">
        <f>SUM('TRANSFERENCIA CORRIENTE'!I23:K23)</f>
        <v>0</v>
      </c>
      <c r="E25" s="150">
        <f>SUM('TRANSFERENCIA CORRIENTE'!L26:N26)</f>
        <v>0</v>
      </c>
      <c r="F25" s="475"/>
      <c r="G25" s="150">
        <f>SUM(VS!C26:E26)</f>
        <v>1500755.8</v>
      </c>
      <c r="H25" s="150">
        <f>SUM(VS!F26:H26)</f>
        <v>663230</v>
      </c>
      <c r="I25" s="150">
        <f>SUM(VS!I26:K26)</f>
        <v>360730</v>
      </c>
      <c r="J25" s="151">
        <f>SUM(VS!L26:N26)</f>
        <v>0</v>
      </c>
      <c r="K25" s="475"/>
      <c r="L25" s="152">
        <f t="shared" ref="L25:O40" si="11">SUM(B25+G25)</f>
        <v>5214653.04</v>
      </c>
      <c r="M25" s="152">
        <f t="shared" si="7"/>
        <v>5530229.25</v>
      </c>
      <c r="N25" s="152">
        <f t="shared" si="7"/>
        <v>360730</v>
      </c>
      <c r="O25" s="152">
        <f t="shared" si="7"/>
        <v>0</v>
      </c>
    </row>
    <row r="26" spans="1:15" x14ac:dyDescent="0.25">
      <c r="A26" s="133" t="s">
        <v>495</v>
      </c>
      <c r="B26" s="150">
        <f>SUM('TRANSFERENCIA CORRIENTE'!C27:E27)</f>
        <v>61630.73</v>
      </c>
      <c r="C26" s="150">
        <f>SUM('TRANSFERENCIA CORRIENTE'!F27:H27)</f>
        <v>2375399.4299999997</v>
      </c>
      <c r="D26" s="150">
        <f>SUM('TRANSFERENCIA CORRIENTE'!I24:K24)</f>
        <v>0</v>
      </c>
      <c r="E26" s="150">
        <f>SUM('TRANSFERENCIA CORRIENTE'!L27:N27)</f>
        <v>0</v>
      </c>
      <c r="F26" s="475"/>
      <c r="G26" s="150">
        <f>SUM(VS!C27:E27)</f>
        <v>0</v>
      </c>
      <c r="H26" s="150">
        <f>SUM(VS!F27:H27)</f>
        <v>346306.4</v>
      </c>
      <c r="I26" s="150">
        <f>SUM(VS!I27:K27)</f>
        <v>0</v>
      </c>
      <c r="J26" s="151">
        <f>SUM(VS!L27:N27)</f>
        <v>0</v>
      </c>
      <c r="K26" s="475"/>
      <c r="L26" s="152">
        <f t="shared" si="11"/>
        <v>61630.73</v>
      </c>
      <c r="M26" s="152">
        <f t="shared" si="7"/>
        <v>2721705.8299999996</v>
      </c>
      <c r="N26" s="152">
        <f t="shared" si="7"/>
        <v>0</v>
      </c>
      <c r="O26" s="152">
        <f t="shared" si="7"/>
        <v>0</v>
      </c>
    </row>
    <row r="27" spans="1:15" x14ac:dyDescent="0.25">
      <c r="A27" s="133" t="s">
        <v>494</v>
      </c>
      <c r="B27" s="150">
        <f>SUM('TRANSFERENCIA CORRIENTE'!C28:E28)</f>
        <v>1826911.8399999999</v>
      </c>
      <c r="C27" s="150">
        <f>SUM('TRANSFERENCIA CORRIENTE'!F28:H28)</f>
        <v>2991695.71</v>
      </c>
      <c r="D27" s="150">
        <f>SUM('TRANSFERENCIA CORRIENTE'!I25:K25)</f>
        <v>26146219.530000001</v>
      </c>
      <c r="E27" s="150">
        <f>SUM('TRANSFERENCIA CORRIENTE'!L28:N28)</f>
        <v>0</v>
      </c>
      <c r="F27" s="475"/>
      <c r="G27" s="150">
        <f>SUM(VS!C28:E28)</f>
        <v>251163</v>
      </c>
      <c r="H27" s="150">
        <f>SUM(VS!F28:H28)</f>
        <v>803989</v>
      </c>
      <c r="I27" s="150">
        <f>SUM(VS!I28:K28)</f>
        <v>26550</v>
      </c>
      <c r="J27" s="151">
        <f>SUM(VS!L28:N28)</f>
        <v>0</v>
      </c>
      <c r="K27" s="475"/>
      <c r="L27" s="152">
        <f t="shared" si="11"/>
        <v>2078074.8399999999</v>
      </c>
      <c r="M27" s="152">
        <f t="shared" si="7"/>
        <v>3795684.71</v>
      </c>
      <c r="N27" s="152">
        <f t="shared" si="7"/>
        <v>26172769.530000001</v>
      </c>
      <c r="O27" s="152">
        <f t="shared" si="7"/>
        <v>0</v>
      </c>
    </row>
    <row r="28" spans="1:15" x14ac:dyDescent="0.25">
      <c r="A28" s="133" t="s">
        <v>493</v>
      </c>
      <c r="B28" s="150">
        <f>SUM('TRANSFERENCIA CORRIENTE'!C29:E29)</f>
        <v>10797335.800000001</v>
      </c>
      <c r="C28" s="150">
        <f>SUM('TRANSFERENCIA CORRIENTE'!F29:H29)</f>
        <v>12009356.6</v>
      </c>
      <c r="D28" s="150">
        <f>SUM('TRANSFERENCIA CORRIENTE'!I26:K26)</f>
        <v>1787251.81</v>
      </c>
      <c r="E28" s="150">
        <f>SUM('TRANSFERENCIA CORRIENTE'!L29:N29)</f>
        <v>0</v>
      </c>
      <c r="F28" s="475"/>
      <c r="G28" s="150">
        <f>SUM(VS!C29:E29)</f>
        <v>558000</v>
      </c>
      <c r="H28" s="150">
        <f>SUM(VS!F29:H29)</f>
        <v>402220.76</v>
      </c>
      <c r="I28" s="150">
        <f>SUM(VS!I29:K29)</f>
        <v>152800</v>
      </c>
      <c r="J28" s="151">
        <f>SUM(VS!L29:N29)</f>
        <v>0</v>
      </c>
      <c r="K28" s="475"/>
      <c r="L28" s="152">
        <f t="shared" si="11"/>
        <v>11355335.800000001</v>
      </c>
      <c r="M28" s="152">
        <f t="shared" si="7"/>
        <v>12411577.359999999</v>
      </c>
      <c r="N28" s="152">
        <f t="shared" si="7"/>
        <v>1940051.81</v>
      </c>
      <c r="O28" s="152">
        <f t="shared" si="7"/>
        <v>0</v>
      </c>
    </row>
    <row r="29" spans="1:15" x14ac:dyDescent="0.25">
      <c r="A29" s="133" t="s">
        <v>492</v>
      </c>
      <c r="B29" s="150">
        <f>SUM('TRANSFERENCIA CORRIENTE'!C30:E30)</f>
        <v>334708.95</v>
      </c>
      <c r="C29" s="150">
        <f>SUM('TRANSFERENCIA CORRIENTE'!F30:H30)</f>
        <v>1024240.4299999999</v>
      </c>
      <c r="D29" s="150">
        <f>SUM('TRANSFERENCIA CORRIENTE'!I27:K27)</f>
        <v>1577150.69</v>
      </c>
      <c r="E29" s="150">
        <f>SUM('TRANSFERENCIA CORRIENTE'!L30:N30)</f>
        <v>0</v>
      </c>
      <c r="F29" s="475"/>
      <c r="G29" s="150">
        <f>SUM(VS!C30:E30)</f>
        <v>567494.87</v>
      </c>
      <c r="H29" s="150">
        <f>SUM(VS!F30:H30)</f>
        <v>0</v>
      </c>
      <c r="I29" s="150">
        <f>SUM(VS!I30:K30)</f>
        <v>77390.009999999995</v>
      </c>
      <c r="J29" s="151">
        <f>SUM(VS!L30:N30)</f>
        <v>0</v>
      </c>
      <c r="K29" s="475"/>
      <c r="L29" s="152">
        <f t="shared" si="11"/>
        <v>902203.82000000007</v>
      </c>
      <c r="M29" s="152">
        <f t="shared" si="7"/>
        <v>1024240.4299999999</v>
      </c>
      <c r="N29" s="152">
        <f t="shared" si="7"/>
        <v>1654540.7</v>
      </c>
      <c r="O29" s="152">
        <f t="shared" si="7"/>
        <v>0</v>
      </c>
    </row>
    <row r="30" spans="1:15" x14ac:dyDescent="0.25">
      <c r="A30" s="133" t="s">
        <v>491</v>
      </c>
      <c r="B30" s="150">
        <f>SUM('TRANSFERENCIA CORRIENTE'!C31:E31)</f>
        <v>11630.98</v>
      </c>
      <c r="C30" s="150">
        <f>SUM('TRANSFERENCIA CORRIENTE'!F31:H31)</f>
        <v>667620.59</v>
      </c>
      <c r="D30" s="150">
        <f>SUM('TRANSFERENCIA CORRIENTE'!I28:K28)</f>
        <v>1579886.66</v>
      </c>
      <c r="E30" s="150">
        <f>SUM('TRANSFERENCIA CORRIENTE'!L31:N31)</f>
        <v>0</v>
      </c>
      <c r="F30" s="475"/>
      <c r="G30" s="150">
        <f>SUM(VS!C31:E31)</f>
        <v>293957.3</v>
      </c>
      <c r="H30" s="150">
        <f>SUM(VS!F31:H31)</f>
        <v>0</v>
      </c>
      <c r="I30" s="150">
        <f>SUM(VS!I31:K31)</f>
        <v>24157.95</v>
      </c>
      <c r="J30" s="151">
        <f>SUM(VS!L31:N31)</f>
        <v>0</v>
      </c>
      <c r="K30" s="475"/>
      <c r="L30" s="152">
        <f t="shared" si="11"/>
        <v>305588.27999999997</v>
      </c>
      <c r="M30" s="152">
        <f t="shared" si="11"/>
        <v>667620.59</v>
      </c>
      <c r="N30" s="152">
        <f t="shared" si="11"/>
        <v>1604044.6099999999</v>
      </c>
      <c r="O30" s="152">
        <f t="shared" si="11"/>
        <v>0</v>
      </c>
    </row>
    <row r="31" spans="1:15" x14ac:dyDescent="0.25">
      <c r="A31" s="133" t="s">
        <v>490</v>
      </c>
      <c r="B31" s="150">
        <f>SUM('TRANSFERENCIA CORRIENTE'!C32:E32)</f>
        <v>8910101.959999999</v>
      </c>
      <c r="C31" s="150">
        <f>SUM('TRANSFERENCIA CORRIENTE'!F32:H32)</f>
        <v>10068979.180000002</v>
      </c>
      <c r="D31" s="150">
        <f>SUM('TRANSFERENCIA CORRIENTE'!I29:K29)</f>
        <v>6806505</v>
      </c>
      <c r="E31" s="150">
        <f>SUM('TRANSFERENCIA CORRIENTE'!L32:N32)</f>
        <v>0</v>
      </c>
      <c r="F31" s="475"/>
      <c r="G31" s="150">
        <f>SUM(VS!C32:E32)</f>
        <v>1660334.56</v>
      </c>
      <c r="H31" s="150">
        <f>SUM(VS!F32:H32)</f>
        <v>1500202</v>
      </c>
      <c r="I31" s="150">
        <f>SUM(VS!I32:K32)</f>
        <v>1044515</v>
      </c>
      <c r="J31" s="151">
        <f>SUM(VS!L32:N32)</f>
        <v>0</v>
      </c>
      <c r="K31" s="475"/>
      <c r="L31" s="152">
        <f t="shared" si="11"/>
        <v>10570436.52</v>
      </c>
      <c r="M31" s="152">
        <f t="shared" si="11"/>
        <v>11569181.180000002</v>
      </c>
      <c r="N31" s="152">
        <f t="shared" si="11"/>
        <v>7851020</v>
      </c>
      <c r="O31" s="152">
        <f t="shared" si="11"/>
        <v>0</v>
      </c>
    </row>
    <row r="32" spans="1:15" x14ac:dyDescent="0.25">
      <c r="A32" s="133" t="s">
        <v>489</v>
      </c>
      <c r="B32" s="150">
        <f>SUM('TRANSFERENCIA CORRIENTE'!C33:E33)</f>
        <v>0</v>
      </c>
      <c r="C32" s="150">
        <f>SUM('TRANSFERENCIA CORRIENTE'!F33:H33)</f>
        <v>0</v>
      </c>
      <c r="D32" s="150">
        <f>SUM('TRANSFERENCIA CORRIENTE'!I30:K30)</f>
        <v>655140.22</v>
      </c>
      <c r="E32" s="150">
        <f>SUM('TRANSFERENCIA CORRIENTE'!L33:N33)</f>
        <v>0</v>
      </c>
      <c r="F32" s="475"/>
      <c r="G32" s="150">
        <f>SUM(VS!C33:E33)</f>
        <v>0</v>
      </c>
      <c r="H32" s="150">
        <f>SUM(VS!F33:H33)</f>
        <v>0</v>
      </c>
      <c r="I32" s="150">
        <f>SUM(VS!I33:K33)</f>
        <v>0</v>
      </c>
      <c r="J32" s="151">
        <f>SUM(VS!L33:N33)</f>
        <v>0</v>
      </c>
      <c r="K32" s="475"/>
      <c r="L32" s="152">
        <f t="shared" si="11"/>
        <v>0</v>
      </c>
      <c r="M32" s="152">
        <f t="shared" si="11"/>
        <v>0</v>
      </c>
      <c r="N32" s="152">
        <f t="shared" si="11"/>
        <v>655140.22</v>
      </c>
      <c r="O32" s="152">
        <f t="shared" si="11"/>
        <v>0</v>
      </c>
    </row>
    <row r="33" spans="1:15" x14ac:dyDescent="0.25">
      <c r="A33" s="133" t="s">
        <v>488</v>
      </c>
      <c r="B33" s="150">
        <f>SUM('TRANSFERENCIA CORRIENTE'!C34:E34)</f>
        <v>20497065.890000001</v>
      </c>
      <c r="C33" s="150">
        <f>SUM('TRANSFERENCIA CORRIENTE'!F34:H34)</f>
        <v>18381359.469999999</v>
      </c>
      <c r="D33" s="150">
        <f>SUM('TRANSFERENCIA CORRIENTE'!I31:K31)</f>
        <v>0</v>
      </c>
      <c r="E33" s="150">
        <f>SUM('TRANSFERENCIA CORRIENTE'!L34:N34)</f>
        <v>0</v>
      </c>
      <c r="F33" s="475"/>
      <c r="G33" s="150">
        <f>SUM(VS!C34:E34)</f>
        <v>2460841.75</v>
      </c>
      <c r="H33" s="150">
        <f>SUM(VS!F34:H34)</f>
        <v>2836732.4499999997</v>
      </c>
      <c r="I33" s="150">
        <f>SUM(VS!I34:K34)</f>
        <v>1758480.91</v>
      </c>
      <c r="J33" s="151">
        <f>SUM(VS!L34:N34)</f>
        <v>0</v>
      </c>
      <c r="K33" s="475"/>
      <c r="L33" s="152">
        <f t="shared" si="11"/>
        <v>22957907.640000001</v>
      </c>
      <c r="M33" s="152">
        <f t="shared" si="11"/>
        <v>21218091.919999998</v>
      </c>
      <c r="N33" s="152">
        <f t="shared" si="11"/>
        <v>1758480.91</v>
      </c>
      <c r="O33" s="152">
        <f t="shared" si="11"/>
        <v>0</v>
      </c>
    </row>
    <row r="34" spans="1:15" s="153" customFormat="1" x14ac:dyDescent="0.25">
      <c r="A34" s="139" t="s">
        <v>487</v>
      </c>
      <c r="B34" s="148">
        <f>SUM(B35:B41)</f>
        <v>0</v>
      </c>
      <c r="C34" s="148">
        <f t="shared" ref="C34:E34" si="12">SUM(C35:C41)</f>
        <v>0</v>
      </c>
      <c r="D34" s="148">
        <f t="shared" si="12"/>
        <v>0</v>
      </c>
      <c r="E34" s="148">
        <f t="shared" si="12"/>
        <v>0</v>
      </c>
      <c r="F34" s="475"/>
      <c r="G34" s="148">
        <f>SUM(G35:G41)</f>
        <v>287786.7</v>
      </c>
      <c r="H34" s="148">
        <f t="shared" ref="H34:J34" si="13">SUM(H35:H41)</f>
        <v>1223981</v>
      </c>
      <c r="I34" s="148">
        <f t="shared" si="13"/>
        <v>67571</v>
      </c>
      <c r="J34" s="148">
        <f t="shared" si="13"/>
        <v>0</v>
      </c>
      <c r="K34" s="475"/>
      <c r="L34" s="149">
        <f t="shared" si="11"/>
        <v>287786.7</v>
      </c>
      <c r="M34" s="149">
        <f t="shared" si="11"/>
        <v>1223981</v>
      </c>
      <c r="N34" s="149">
        <f t="shared" si="11"/>
        <v>67571</v>
      </c>
      <c r="O34" s="149">
        <f t="shared" si="11"/>
        <v>0</v>
      </c>
    </row>
    <row r="35" spans="1:15" x14ac:dyDescent="0.25">
      <c r="A35" s="133" t="s">
        <v>486</v>
      </c>
      <c r="B35" s="150">
        <f>SUM('TRANSFERENCIA CORRIENTE'!C36:E36)</f>
        <v>0</v>
      </c>
      <c r="C35" s="150">
        <f>SUM('TRANSFERENCIA CORRIENTE'!F36:H36)</f>
        <v>0</v>
      </c>
      <c r="D35" s="150">
        <f>SUM('TRANSFERENCIA CORRIENTE'!I36:K36)</f>
        <v>0</v>
      </c>
      <c r="E35" s="150">
        <f>SUM('TRANSFERENCIA CORRIENTE'!L36:N36)</f>
        <v>0</v>
      </c>
      <c r="F35" s="475"/>
      <c r="G35" s="150">
        <f>SUM(VS!C36:E36)</f>
        <v>287786.7</v>
      </c>
      <c r="H35" s="150">
        <f>SUM(VS!F36:H36)</f>
        <v>1163981</v>
      </c>
      <c r="I35" s="150">
        <f>SUM(VS!I36:K36)</f>
        <v>67571</v>
      </c>
      <c r="J35" s="151">
        <f>SUM(VS!L36:N36)</f>
        <v>0</v>
      </c>
      <c r="K35" s="475"/>
      <c r="L35" s="152">
        <f t="shared" si="11"/>
        <v>287786.7</v>
      </c>
      <c r="M35" s="152">
        <f t="shared" si="11"/>
        <v>1163981</v>
      </c>
      <c r="N35" s="152">
        <f t="shared" si="11"/>
        <v>67571</v>
      </c>
      <c r="O35" s="152">
        <f t="shared" si="11"/>
        <v>0</v>
      </c>
    </row>
    <row r="36" spans="1:15" x14ac:dyDescent="0.25">
      <c r="A36" s="133" t="s">
        <v>485</v>
      </c>
      <c r="B36" s="150">
        <f>SUM('TRANSFERENCIA CORRIENTE'!C37:E37)</f>
        <v>0</v>
      </c>
      <c r="C36" s="150">
        <f>SUM('TRANSFERENCIA CORRIENTE'!F37:H37)</f>
        <v>0</v>
      </c>
      <c r="D36" s="150">
        <f>SUM('TRANSFERENCIA CORRIENTE'!I37:K37)</f>
        <v>0</v>
      </c>
      <c r="E36" s="150">
        <f>SUM('TRANSFERENCIA CORRIENTE'!L37:N37)</f>
        <v>0</v>
      </c>
      <c r="F36" s="475"/>
      <c r="G36" s="150">
        <f>SUM(VS!C37:E37)</f>
        <v>0</v>
      </c>
      <c r="H36" s="150">
        <f>SUM(VS!F37:H37)</f>
        <v>60000</v>
      </c>
      <c r="I36" s="150">
        <f>SUM(VS!I37:K37)</f>
        <v>0</v>
      </c>
      <c r="J36" s="151">
        <f>SUM(VS!L37:N37)</f>
        <v>0</v>
      </c>
      <c r="K36" s="475"/>
      <c r="L36" s="152">
        <f t="shared" si="11"/>
        <v>0</v>
      </c>
      <c r="M36" s="152">
        <f t="shared" si="11"/>
        <v>60000</v>
      </c>
      <c r="N36" s="152">
        <f t="shared" si="11"/>
        <v>0</v>
      </c>
      <c r="O36" s="152">
        <f t="shared" si="11"/>
        <v>0</v>
      </c>
    </row>
    <row r="37" spans="1:15" x14ac:dyDescent="0.25">
      <c r="A37" s="133" t="s">
        <v>484</v>
      </c>
      <c r="B37" s="150">
        <f>SUM('TRANSFERENCIA CORRIENTE'!C38:E38)</f>
        <v>0</v>
      </c>
      <c r="C37" s="150">
        <f>SUM('TRANSFERENCIA CORRIENTE'!F38:H38)</f>
        <v>0</v>
      </c>
      <c r="D37" s="150">
        <f>SUM('TRANSFERENCIA CORRIENTE'!I38:K38)</f>
        <v>0</v>
      </c>
      <c r="E37" s="150">
        <f>SUM('TRANSFERENCIA CORRIENTE'!L38:N38)</f>
        <v>0</v>
      </c>
      <c r="F37" s="475"/>
      <c r="G37" s="150">
        <f>SUM(VS!C38:E38)</f>
        <v>0</v>
      </c>
      <c r="H37" s="150">
        <f>SUM(VS!F38:H38)</f>
        <v>0</v>
      </c>
      <c r="I37" s="150">
        <f>SUM(VS!I38:K38)</f>
        <v>0</v>
      </c>
      <c r="J37" s="151">
        <f>SUM(VS!L38:N38)</f>
        <v>0</v>
      </c>
      <c r="K37" s="475"/>
      <c r="L37" s="152">
        <f t="shared" si="11"/>
        <v>0</v>
      </c>
      <c r="M37" s="152">
        <f t="shared" si="11"/>
        <v>0</v>
      </c>
      <c r="N37" s="152">
        <f t="shared" si="11"/>
        <v>0</v>
      </c>
      <c r="O37" s="152">
        <f t="shared" si="11"/>
        <v>0</v>
      </c>
    </row>
    <row r="38" spans="1:15" x14ac:dyDescent="0.25">
      <c r="A38" s="133" t="s">
        <v>483</v>
      </c>
      <c r="B38" s="150">
        <f>SUM('TRANSFERENCIA CORRIENTE'!C39:E39)</f>
        <v>0</v>
      </c>
      <c r="C38" s="150">
        <f>SUM('TRANSFERENCIA CORRIENTE'!F39:H39)</f>
        <v>0</v>
      </c>
      <c r="D38" s="150">
        <f>SUM('TRANSFERENCIA CORRIENTE'!I39:K39)</f>
        <v>0</v>
      </c>
      <c r="E38" s="150">
        <f>SUM('TRANSFERENCIA CORRIENTE'!L39:N39)</f>
        <v>0</v>
      </c>
      <c r="F38" s="475"/>
      <c r="G38" s="150">
        <f>SUM(VS!C39:E39)</f>
        <v>0</v>
      </c>
      <c r="H38" s="150">
        <f>SUM(VS!F39:H39)</f>
        <v>0</v>
      </c>
      <c r="I38" s="150">
        <f>SUM(VS!I39:K39)</f>
        <v>0</v>
      </c>
      <c r="J38" s="151">
        <f>SUM(VS!L39:N39)</f>
        <v>0</v>
      </c>
      <c r="K38" s="475"/>
      <c r="L38" s="152">
        <f t="shared" si="11"/>
        <v>0</v>
      </c>
      <c r="M38" s="152">
        <f t="shared" si="11"/>
        <v>0</v>
      </c>
      <c r="N38" s="152">
        <f t="shared" si="11"/>
        <v>0</v>
      </c>
      <c r="O38" s="152">
        <f t="shared" si="11"/>
        <v>0</v>
      </c>
    </row>
    <row r="39" spans="1:15" x14ac:dyDescent="0.25">
      <c r="A39" s="133" t="s">
        <v>482</v>
      </c>
      <c r="B39" s="150">
        <f>SUM('TRANSFERENCIA CORRIENTE'!C40:E40)</f>
        <v>0</v>
      </c>
      <c r="C39" s="150">
        <f>SUM('TRANSFERENCIA CORRIENTE'!F40:H40)</f>
        <v>0</v>
      </c>
      <c r="D39" s="150">
        <f>SUM('TRANSFERENCIA CORRIENTE'!I40:K40)</f>
        <v>0</v>
      </c>
      <c r="E39" s="150">
        <f>SUM('TRANSFERENCIA CORRIENTE'!L40:N40)</f>
        <v>0</v>
      </c>
      <c r="F39" s="475"/>
      <c r="G39" s="150">
        <f>SUM(VS!C40:E40)</f>
        <v>0</v>
      </c>
      <c r="H39" s="150">
        <f>SUM(VS!F40:H40)</f>
        <v>0</v>
      </c>
      <c r="I39" s="150">
        <f>SUM(VS!I40:K40)</f>
        <v>0</v>
      </c>
      <c r="J39" s="151">
        <f>SUM(VS!L40:N40)</f>
        <v>0</v>
      </c>
      <c r="K39" s="475"/>
      <c r="L39" s="152">
        <f t="shared" si="11"/>
        <v>0</v>
      </c>
      <c r="M39" s="152">
        <f t="shared" si="11"/>
        <v>0</v>
      </c>
      <c r="N39" s="152">
        <f t="shared" si="11"/>
        <v>0</v>
      </c>
      <c r="O39" s="152">
        <f t="shared" si="11"/>
        <v>0</v>
      </c>
    </row>
    <row r="40" spans="1:15" x14ac:dyDescent="0.25">
      <c r="A40" s="133" t="s">
        <v>481</v>
      </c>
      <c r="B40" s="150">
        <f>SUM('TRANSFERENCIA CORRIENTE'!C41:E41)</f>
        <v>0</v>
      </c>
      <c r="C40" s="150">
        <f>SUM('TRANSFERENCIA CORRIENTE'!F41:H41)</f>
        <v>0</v>
      </c>
      <c r="D40" s="150">
        <f>SUM('TRANSFERENCIA CORRIENTE'!I41:K41)</f>
        <v>0</v>
      </c>
      <c r="E40" s="150">
        <f>SUM('TRANSFERENCIA CORRIENTE'!L41:N41)</f>
        <v>0</v>
      </c>
      <c r="F40" s="475"/>
      <c r="G40" s="150">
        <f>SUM(VS!C41:E41)</f>
        <v>0</v>
      </c>
      <c r="H40" s="150">
        <f>SUM(VS!F41:H41)</f>
        <v>0</v>
      </c>
      <c r="I40" s="150">
        <f>SUM(VS!I41:K41)</f>
        <v>0</v>
      </c>
      <c r="J40" s="151">
        <f>SUM(VS!L41:N41)</f>
        <v>0</v>
      </c>
      <c r="K40" s="475"/>
      <c r="L40" s="152">
        <f t="shared" si="11"/>
        <v>0</v>
      </c>
      <c r="M40" s="152">
        <f t="shared" si="11"/>
        <v>0</v>
      </c>
      <c r="N40" s="152">
        <f t="shared" si="11"/>
        <v>0</v>
      </c>
      <c r="O40" s="152">
        <f t="shared" si="11"/>
        <v>0</v>
      </c>
    </row>
    <row r="41" spans="1:15" x14ac:dyDescent="0.25">
      <c r="A41" s="133" t="s">
        <v>480</v>
      </c>
      <c r="B41" s="150">
        <f>SUM('TRANSFERENCIA CORRIENTE'!C42:E42)</f>
        <v>0</v>
      </c>
      <c r="C41" s="150">
        <f>SUM('TRANSFERENCIA CORRIENTE'!F42:H42)</f>
        <v>0</v>
      </c>
      <c r="D41" s="150">
        <f>SUM('TRANSFERENCIA CORRIENTE'!I42:K42)</f>
        <v>0</v>
      </c>
      <c r="E41" s="150">
        <f>SUM('TRANSFERENCIA CORRIENTE'!L42:N42)</f>
        <v>0</v>
      </c>
      <c r="F41" s="475"/>
      <c r="G41" s="150">
        <f>SUM(VS!C42:E42)</f>
        <v>0</v>
      </c>
      <c r="H41" s="150">
        <f>SUM(VS!F42:H42)</f>
        <v>0</v>
      </c>
      <c r="I41" s="150">
        <f>SUM(VS!I42:K42)</f>
        <v>0</v>
      </c>
      <c r="J41" s="151">
        <f>SUM(VS!L42:N42)</f>
        <v>0</v>
      </c>
      <c r="K41" s="475"/>
      <c r="L41" s="152">
        <f t="shared" ref="L41:O56" si="14">SUM(B41+G41)</f>
        <v>0</v>
      </c>
      <c r="M41" s="152">
        <f t="shared" si="14"/>
        <v>0</v>
      </c>
      <c r="N41" s="152">
        <f t="shared" si="14"/>
        <v>0</v>
      </c>
      <c r="O41" s="152">
        <f t="shared" si="14"/>
        <v>0</v>
      </c>
    </row>
    <row r="42" spans="1:15" x14ac:dyDescent="0.25">
      <c r="A42" s="139" t="s">
        <v>479</v>
      </c>
      <c r="B42" s="148">
        <f>SUM(B43:B49)</f>
        <v>0</v>
      </c>
      <c r="C42" s="148">
        <f t="shared" ref="C42:E42" si="15">SUM(C43:C49)</f>
        <v>0</v>
      </c>
      <c r="D42" s="148">
        <f t="shared" si="15"/>
        <v>0</v>
      </c>
      <c r="E42" s="148">
        <f t="shared" si="15"/>
        <v>0</v>
      </c>
      <c r="F42" s="475"/>
      <c r="G42" s="148">
        <f>SUM(G43:G49)</f>
        <v>0</v>
      </c>
      <c r="H42" s="148">
        <f t="shared" ref="H42:J42" si="16">SUM(H43:H49)</f>
        <v>0</v>
      </c>
      <c r="I42" s="148">
        <f t="shared" si="16"/>
        <v>0</v>
      </c>
      <c r="J42" s="148">
        <f t="shared" si="16"/>
        <v>0</v>
      </c>
      <c r="K42" s="475"/>
      <c r="L42" s="149">
        <f>SUM(B42+G42)</f>
        <v>0</v>
      </c>
      <c r="M42" s="149">
        <f t="shared" si="14"/>
        <v>0</v>
      </c>
      <c r="N42" s="149">
        <f>SUM(D42+I42)</f>
        <v>0</v>
      </c>
      <c r="O42" s="149">
        <f>SUM(E42+J42)</f>
        <v>0</v>
      </c>
    </row>
    <row r="43" spans="1:15" x14ac:dyDescent="0.25">
      <c r="A43" s="133" t="s">
        <v>478</v>
      </c>
      <c r="B43" s="150">
        <f>SUM('TRANSFERENCIA CORRIENTE'!C44:E44)</f>
        <v>0</v>
      </c>
      <c r="C43" s="150">
        <f>SUM('TRANSFERENCIA CORRIENTE'!F44:H44)</f>
        <v>0</v>
      </c>
      <c r="D43" s="150">
        <f>SUM('TRANSFERENCIA CORRIENTE'!I44:K44)</f>
        <v>0</v>
      </c>
      <c r="E43" s="150">
        <f>SUM('TRANSFERENCIA CORRIENTE'!L44:N44)</f>
        <v>0</v>
      </c>
      <c r="F43" s="475"/>
      <c r="G43" s="150">
        <f>SUM(VS!C44:E44)</f>
        <v>0</v>
      </c>
      <c r="H43" s="150">
        <f>SUM(VS!F44:H44)</f>
        <v>0</v>
      </c>
      <c r="I43" s="150">
        <f>SUM(VS!I44:K44)</f>
        <v>0</v>
      </c>
      <c r="J43" s="151">
        <f>SUM(VS!L44:N44)</f>
        <v>0</v>
      </c>
      <c r="K43" s="475"/>
      <c r="L43" s="152">
        <f t="shared" ref="L43:L49" si="17">SUM(B43+G43)</f>
        <v>0</v>
      </c>
      <c r="M43" s="152">
        <f t="shared" si="14"/>
        <v>0</v>
      </c>
      <c r="N43" s="152">
        <f t="shared" si="14"/>
        <v>0</v>
      </c>
      <c r="O43" s="152">
        <f t="shared" si="14"/>
        <v>0</v>
      </c>
    </row>
    <row r="44" spans="1:15" x14ac:dyDescent="0.25">
      <c r="A44" s="133" t="s">
        <v>477</v>
      </c>
      <c r="B44" s="150">
        <f>SUM('TRANSFERENCIA CORRIENTE'!C45:E45)</f>
        <v>0</v>
      </c>
      <c r="C44" s="150">
        <f>SUM('TRANSFERENCIA CORRIENTE'!F45:H45)</f>
        <v>0</v>
      </c>
      <c r="D44" s="150">
        <f>SUM('TRANSFERENCIA CORRIENTE'!I45:K45)</f>
        <v>0</v>
      </c>
      <c r="E44" s="150">
        <f>SUM('TRANSFERENCIA CORRIENTE'!L45:N45)</f>
        <v>0</v>
      </c>
      <c r="F44" s="475"/>
      <c r="G44" s="150">
        <f>SUM(VS!C45:E45)</f>
        <v>0</v>
      </c>
      <c r="H44" s="150">
        <f>SUM(VS!F45:H45)</f>
        <v>0</v>
      </c>
      <c r="I44" s="150">
        <f>SUM(VS!I45:K45)</f>
        <v>0</v>
      </c>
      <c r="J44" s="151">
        <f>SUM(VS!L45:N45)</f>
        <v>0</v>
      </c>
      <c r="K44" s="475"/>
      <c r="L44" s="152">
        <f t="shared" si="17"/>
        <v>0</v>
      </c>
      <c r="M44" s="152">
        <f t="shared" si="14"/>
        <v>0</v>
      </c>
      <c r="N44" s="152">
        <f t="shared" si="14"/>
        <v>0</v>
      </c>
      <c r="O44" s="152">
        <f t="shared" si="14"/>
        <v>0</v>
      </c>
    </row>
    <row r="45" spans="1:15" x14ac:dyDescent="0.25">
      <c r="A45" s="133" t="s">
        <v>476</v>
      </c>
      <c r="B45" s="150">
        <f>SUM('TRANSFERENCIA CORRIENTE'!C46:E46)</f>
        <v>0</v>
      </c>
      <c r="C45" s="150">
        <f>SUM('TRANSFERENCIA CORRIENTE'!F46:H46)</f>
        <v>0</v>
      </c>
      <c r="D45" s="150">
        <f>SUM('TRANSFERENCIA CORRIENTE'!I46:K46)</f>
        <v>0</v>
      </c>
      <c r="E45" s="150">
        <f>SUM('TRANSFERENCIA CORRIENTE'!L46:N46)</f>
        <v>0</v>
      </c>
      <c r="F45" s="475"/>
      <c r="G45" s="150">
        <f>SUM(VS!C46:E46)</f>
        <v>0</v>
      </c>
      <c r="H45" s="150">
        <f>SUM(VS!F46:H46)</f>
        <v>0</v>
      </c>
      <c r="I45" s="150">
        <f>SUM(VS!I46:K46)</f>
        <v>0</v>
      </c>
      <c r="J45" s="151">
        <f>SUM(VS!L46:N46)</f>
        <v>0</v>
      </c>
      <c r="K45" s="475"/>
      <c r="L45" s="152">
        <f t="shared" si="17"/>
        <v>0</v>
      </c>
      <c r="M45" s="152">
        <f t="shared" si="14"/>
        <v>0</v>
      </c>
      <c r="N45" s="152">
        <f t="shared" si="14"/>
        <v>0</v>
      </c>
      <c r="O45" s="152">
        <f t="shared" si="14"/>
        <v>0</v>
      </c>
    </row>
    <row r="46" spans="1:15" x14ac:dyDescent="0.25">
      <c r="A46" s="133" t="s">
        <v>475</v>
      </c>
      <c r="B46" s="150">
        <f>SUM('TRANSFERENCIA CORRIENTE'!C47:E47)</f>
        <v>0</v>
      </c>
      <c r="C46" s="150">
        <f>SUM('TRANSFERENCIA CORRIENTE'!F47:H47)</f>
        <v>0</v>
      </c>
      <c r="D46" s="150">
        <f>SUM('TRANSFERENCIA CORRIENTE'!I47:K47)</f>
        <v>0</v>
      </c>
      <c r="E46" s="150">
        <f>SUM('TRANSFERENCIA CORRIENTE'!L47:N47)</f>
        <v>0</v>
      </c>
      <c r="F46" s="475"/>
      <c r="G46" s="150">
        <f>SUM(VS!C47:E47)</f>
        <v>0</v>
      </c>
      <c r="H46" s="150">
        <f>SUM(VS!F47:H47)</f>
        <v>0</v>
      </c>
      <c r="I46" s="150">
        <f>SUM(VS!I47:K47)</f>
        <v>0</v>
      </c>
      <c r="J46" s="151">
        <f>SUM(VS!L47:N47)</f>
        <v>0</v>
      </c>
      <c r="K46" s="475"/>
      <c r="L46" s="152">
        <f t="shared" si="17"/>
        <v>0</v>
      </c>
      <c r="M46" s="152">
        <f t="shared" si="14"/>
        <v>0</v>
      </c>
      <c r="N46" s="152">
        <f t="shared" si="14"/>
        <v>0</v>
      </c>
      <c r="O46" s="152">
        <f t="shared" si="14"/>
        <v>0</v>
      </c>
    </row>
    <row r="47" spans="1:15" x14ac:dyDescent="0.25">
      <c r="A47" s="133" t="s">
        <v>474</v>
      </c>
      <c r="B47" s="150">
        <f>SUM('TRANSFERENCIA CORRIENTE'!C48:E48)</f>
        <v>0</v>
      </c>
      <c r="C47" s="150">
        <f>SUM('TRANSFERENCIA CORRIENTE'!F48:H48)</f>
        <v>0</v>
      </c>
      <c r="D47" s="150">
        <f>SUM('TRANSFERENCIA CORRIENTE'!I48:K48)</f>
        <v>0</v>
      </c>
      <c r="E47" s="150">
        <f>SUM('TRANSFERENCIA CORRIENTE'!L48:N48)</f>
        <v>0</v>
      </c>
      <c r="F47" s="475"/>
      <c r="G47" s="150">
        <f>SUM(VS!C48:E48)</f>
        <v>0</v>
      </c>
      <c r="H47" s="150">
        <f>SUM(VS!F48:H48)</f>
        <v>0</v>
      </c>
      <c r="I47" s="150">
        <f>SUM(VS!I48:K48)</f>
        <v>0</v>
      </c>
      <c r="J47" s="151">
        <f>SUM(VS!L48:N48)</f>
        <v>0</v>
      </c>
      <c r="K47" s="475"/>
      <c r="L47" s="152">
        <f t="shared" si="17"/>
        <v>0</v>
      </c>
      <c r="M47" s="152">
        <f t="shared" si="14"/>
        <v>0</v>
      </c>
      <c r="N47" s="152">
        <f t="shared" si="14"/>
        <v>0</v>
      </c>
      <c r="O47" s="152">
        <f t="shared" si="14"/>
        <v>0</v>
      </c>
    </row>
    <row r="48" spans="1:15" x14ac:dyDescent="0.25">
      <c r="A48" s="133" t="s">
        <v>473</v>
      </c>
      <c r="B48" s="150">
        <f>SUM('TRANSFERENCIA CORRIENTE'!C49:E49)</f>
        <v>0</v>
      </c>
      <c r="C48" s="150">
        <f>SUM('TRANSFERENCIA CORRIENTE'!F49:H49)</f>
        <v>0</v>
      </c>
      <c r="D48" s="150">
        <f>SUM('TRANSFERENCIA CORRIENTE'!I49:K49)</f>
        <v>0</v>
      </c>
      <c r="E48" s="150">
        <f>SUM('TRANSFERENCIA CORRIENTE'!L49:N49)</f>
        <v>0</v>
      </c>
      <c r="F48" s="475"/>
      <c r="G48" s="150">
        <f>SUM(VS!C49:E49)</f>
        <v>0</v>
      </c>
      <c r="H48" s="150">
        <f>SUM(VS!F49:H49)</f>
        <v>0</v>
      </c>
      <c r="I48" s="150">
        <f>SUM(VS!I49:K49)</f>
        <v>0</v>
      </c>
      <c r="J48" s="151">
        <f>SUM(VS!L49:N49)</f>
        <v>0</v>
      </c>
      <c r="K48" s="475"/>
      <c r="L48" s="152">
        <f t="shared" si="17"/>
        <v>0</v>
      </c>
      <c r="M48" s="152">
        <f t="shared" si="14"/>
        <v>0</v>
      </c>
      <c r="N48" s="152">
        <f t="shared" si="14"/>
        <v>0</v>
      </c>
      <c r="O48" s="152">
        <f t="shared" si="14"/>
        <v>0</v>
      </c>
    </row>
    <row r="49" spans="1:15" x14ac:dyDescent="0.25">
      <c r="A49" s="133" t="s">
        <v>472</v>
      </c>
      <c r="B49" s="150">
        <f>SUM('TRANSFERENCIA CORRIENTE'!C50:E50)</f>
        <v>0</v>
      </c>
      <c r="C49" s="150">
        <f>SUM('TRANSFERENCIA CORRIENTE'!F50:H50)</f>
        <v>0</v>
      </c>
      <c r="D49" s="150">
        <f>SUM('TRANSFERENCIA CORRIENTE'!I50:K50)</f>
        <v>0</v>
      </c>
      <c r="E49" s="150">
        <f>SUM('TRANSFERENCIA CORRIENTE'!L50:N50)</f>
        <v>0</v>
      </c>
      <c r="F49" s="475"/>
      <c r="G49" s="150">
        <f>SUM(VS!C50:E50)</f>
        <v>0</v>
      </c>
      <c r="H49" s="150">
        <f>SUM(VS!F50:H50)</f>
        <v>0</v>
      </c>
      <c r="I49" s="150">
        <f>SUM(VS!I50:K50)</f>
        <v>0</v>
      </c>
      <c r="J49" s="151">
        <f>SUM(VS!L50:N50)</f>
        <v>0</v>
      </c>
      <c r="K49" s="475"/>
      <c r="L49" s="152">
        <f t="shared" si="17"/>
        <v>0</v>
      </c>
      <c r="M49" s="152">
        <f t="shared" si="14"/>
        <v>0</v>
      </c>
      <c r="N49" s="152">
        <f t="shared" si="14"/>
        <v>0</v>
      </c>
      <c r="O49" s="152">
        <f t="shared" si="14"/>
        <v>0</v>
      </c>
    </row>
    <row r="50" spans="1:15" s="153" customFormat="1" x14ac:dyDescent="0.25">
      <c r="A50" s="139" t="s">
        <v>471</v>
      </c>
      <c r="B50" s="148">
        <f>SUM(B51:B59)</f>
        <v>17857866.620000001</v>
      </c>
      <c r="C50" s="148">
        <f t="shared" ref="C50:E50" si="18">SUM(C51:C59)</f>
        <v>14943854.869999999</v>
      </c>
      <c r="D50" s="148">
        <f t="shared" si="18"/>
        <v>9300722.7199999988</v>
      </c>
      <c r="E50" s="148">
        <f t="shared" si="18"/>
        <v>0</v>
      </c>
      <c r="F50" s="475"/>
      <c r="G50" s="148">
        <f t="shared" ref="G50:J50" si="19">SUM(G51:G59)</f>
        <v>5076044.21</v>
      </c>
      <c r="H50" s="148">
        <f t="shared" si="19"/>
        <v>5383431.1500000004</v>
      </c>
      <c r="I50" s="148">
        <f t="shared" si="19"/>
        <v>730510.01</v>
      </c>
      <c r="J50" s="148">
        <f t="shared" si="19"/>
        <v>0</v>
      </c>
      <c r="K50" s="475"/>
      <c r="L50" s="149">
        <f>SUM(B50+G50)</f>
        <v>22933910.830000002</v>
      </c>
      <c r="M50" s="149">
        <f t="shared" si="14"/>
        <v>20327286.02</v>
      </c>
      <c r="N50" s="149">
        <f t="shared" si="14"/>
        <v>10031232.729999999</v>
      </c>
      <c r="O50" s="149">
        <f t="shared" si="14"/>
        <v>0</v>
      </c>
    </row>
    <row r="51" spans="1:15" x14ac:dyDescent="0.25">
      <c r="A51" s="133" t="s">
        <v>470</v>
      </c>
      <c r="B51" s="150">
        <f>SUM('TRANSFERENCIA CORRIENTE'!C52:E52)</f>
        <v>1110625.8599999999</v>
      </c>
      <c r="C51" s="150">
        <f>SUM('TRANSFERENCIA CORRIENTE'!F52:H52)</f>
        <v>3586435.0700000003</v>
      </c>
      <c r="D51" s="150">
        <f>SUM('TRANSFERENCIA CORRIENTE'!I52:K52)</f>
        <v>2268904.39</v>
      </c>
      <c r="E51" s="150">
        <f>SUM('TRANSFERENCIA CORRIENTE'!L52:N52)</f>
        <v>0</v>
      </c>
      <c r="F51" s="475"/>
      <c r="G51" s="150">
        <f>SUM(VS!C52:E52)</f>
        <v>0</v>
      </c>
      <c r="H51" s="150">
        <f>SUM(VS!F52:H52)</f>
        <v>7995.01</v>
      </c>
      <c r="I51" s="150">
        <f>SUM(VS!I52:K52)</f>
        <v>0</v>
      </c>
      <c r="J51" s="151">
        <f>SUM(VS!L52:N52)</f>
        <v>0</v>
      </c>
      <c r="K51" s="475"/>
      <c r="L51" s="152">
        <f t="shared" ref="L51:O66" si="20">SUM(B51+G51)</f>
        <v>1110625.8599999999</v>
      </c>
      <c r="M51" s="152">
        <f t="shared" si="14"/>
        <v>3594430.08</v>
      </c>
      <c r="N51" s="152">
        <f t="shared" si="14"/>
        <v>2268904.39</v>
      </c>
      <c r="O51" s="152">
        <f t="shared" si="14"/>
        <v>0</v>
      </c>
    </row>
    <row r="52" spans="1:15" x14ac:dyDescent="0.25">
      <c r="A52" s="133" t="s">
        <v>469</v>
      </c>
      <c r="B52" s="150">
        <f>SUM('TRANSFERENCIA CORRIENTE'!C53:E53)</f>
        <v>0</v>
      </c>
      <c r="C52" s="150">
        <f>SUM('TRANSFERENCIA CORRIENTE'!F53:H53)</f>
        <v>182926.74</v>
      </c>
      <c r="D52" s="150">
        <f>SUM('TRANSFERENCIA CORRIENTE'!I53:K53)</f>
        <v>0</v>
      </c>
      <c r="E52" s="150">
        <f>SUM('TRANSFERENCIA CORRIENTE'!L53:N53)</f>
        <v>0</v>
      </c>
      <c r="F52" s="475"/>
      <c r="G52" s="150">
        <f>SUM(VS!C53:E53)</f>
        <v>0</v>
      </c>
      <c r="H52" s="150">
        <f>SUM(VS!F53:H53)</f>
        <v>1399834</v>
      </c>
      <c r="I52" s="150">
        <f>SUM(VS!I53:K53)</f>
        <v>389046</v>
      </c>
      <c r="J52" s="151">
        <f>SUM(VS!L53:N53)</f>
        <v>0</v>
      </c>
      <c r="K52" s="475"/>
      <c r="L52" s="152">
        <f t="shared" si="20"/>
        <v>0</v>
      </c>
      <c r="M52" s="152">
        <f t="shared" si="14"/>
        <v>1582760.74</v>
      </c>
      <c r="N52" s="152">
        <f t="shared" si="14"/>
        <v>389046</v>
      </c>
      <c r="O52" s="152">
        <f t="shared" si="14"/>
        <v>0</v>
      </c>
    </row>
    <row r="53" spans="1:15" x14ac:dyDescent="0.25">
      <c r="A53" s="133" t="s">
        <v>468</v>
      </c>
      <c r="B53" s="150">
        <f>SUM('TRANSFERENCIA CORRIENTE'!C54:E54)</f>
        <v>16744040.790000001</v>
      </c>
      <c r="C53" s="150">
        <f>SUM('TRANSFERENCIA CORRIENTE'!F54:H54)</f>
        <v>6663622.5700000003</v>
      </c>
      <c r="D53" s="150">
        <f>SUM('TRANSFERENCIA CORRIENTE'!I54:K54)</f>
        <v>5025506.72</v>
      </c>
      <c r="E53" s="150">
        <f>SUM('TRANSFERENCIA CORRIENTE'!L54:N54)</f>
        <v>0</v>
      </c>
      <c r="F53" s="475"/>
      <c r="G53" s="150">
        <f>SUM(VS!C54:E54)</f>
        <v>2963024.84</v>
      </c>
      <c r="H53" s="150">
        <f>SUM(VS!F54:H54)</f>
        <v>3975602.14</v>
      </c>
      <c r="I53" s="150">
        <f>SUM(VS!I54:K54)</f>
        <v>0</v>
      </c>
      <c r="J53" s="151">
        <f>SUM(VS!L54:N54)</f>
        <v>0</v>
      </c>
      <c r="K53" s="475"/>
      <c r="L53" s="152">
        <f t="shared" si="20"/>
        <v>19707065.630000003</v>
      </c>
      <c r="M53" s="152">
        <f t="shared" si="14"/>
        <v>10639224.710000001</v>
      </c>
      <c r="N53" s="152">
        <f t="shared" si="14"/>
        <v>5025506.72</v>
      </c>
      <c r="O53" s="152">
        <f t="shared" si="14"/>
        <v>0</v>
      </c>
    </row>
    <row r="54" spans="1:15" x14ac:dyDescent="0.25">
      <c r="A54" s="133" t="s">
        <v>467</v>
      </c>
      <c r="B54" s="150">
        <f>SUM('TRANSFERENCIA CORRIENTE'!C55:E55)</f>
        <v>0</v>
      </c>
      <c r="C54" s="150">
        <f>SUM('TRANSFERENCIA CORRIENTE'!F55:H55)</f>
        <v>0</v>
      </c>
      <c r="D54" s="150">
        <f>SUM('TRANSFERENCIA CORRIENTE'!I55:K55)</f>
        <v>0</v>
      </c>
      <c r="E54" s="150">
        <f>SUM('TRANSFERENCIA CORRIENTE'!L55:N55)</f>
        <v>0</v>
      </c>
      <c r="F54" s="475"/>
      <c r="G54" s="150">
        <f>SUM(VS!C55:E55)</f>
        <v>107609.37</v>
      </c>
      <c r="H54" s="150">
        <f>SUM(VS!F55:H55)</f>
        <v>0</v>
      </c>
      <c r="I54" s="150">
        <f>SUM(VS!I55:K55)</f>
        <v>0</v>
      </c>
      <c r="J54" s="151">
        <f>SUM(VS!L55:N55)</f>
        <v>0</v>
      </c>
      <c r="K54" s="475"/>
      <c r="L54" s="152">
        <f t="shared" si="20"/>
        <v>107609.37</v>
      </c>
      <c r="M54" s="152">
        <f t="shared" si="14"/>
        <v>0</v>
      </c>
      <c r="N54" s="152">
        <f t="shared" si="14"/>
        <v>0</v>
      </c>
      <c r="O54" s="152">
        <f t="shared" si="14"/>
        <v>0</v>
      </c>
    </row>
    <row r="55" spans="1:15" x14ac:dyDescent="0.25">
      <c r="A55" s="133" t="s">
        <v>466</v>
      </c>
      <c r="B55" s="150">
        <f>SUM('TRANSFERENCIA CORRIENTE'!C56:E56)</f>
        <v>3199.97</v>
      </c>
      <c r="C55" s="150">
        <f>SUM('TRANSFERENCIA CORRIENTE'!F56:H56)</f>
        <v>4165309.55</v>
      </c>
      <c r="D55" s="150">
        <f>SUM('TRANSFERENCIA CORRIENTE'!I56:K56)</f>
        <v>2006311.61</v>
      </c>
      <c r="E55" s="150">
        <f>SUM('TRANSFERENCIA CORRIENTE'!L56:N56)</f>
        <v>0</v>
      </c>
      <c r="F55" s="475"/>
      <c r="G55" s="150">
        <f>SUM(VS!C56:E56)</f>
        <v>2005410</v>
      </c>
      <c r="H55" s="150">
        <f>SUM(VS!F56:H56)</f>
        <v>0</v>
      </c>
      <c r="I55" s="150">
        <f>SUM(VS!I56:K56)</f>
        <v>282700.01</v>
      </c>
      <c r="J55" s="151">
        <f>SUM(VS!L56:N56)</f>
        <v>0</v>
      </c>
      <c r="K55" s="475"/>
      <c r="L55" s="152">
        <f t="shared" si="20"/>
        <v>2008609.97</v>
      </c>
      <c r="M55" s="152">
        <f t="shared" si="14"/>
        <v>4165309.55</v>
      </c>
      <c r="N55" s="152">
        <f t="shared" si="14"/>
        <v>2289011.62</v>
      </c>
      <c r="O55" s="152">
        <f t="shared" si="14"/>
        <v>0</v>
      </c>
    </row>
    <row r="56" spans="1:15" x14ac:dyDescent="0.25">
      <c r="A56" s="133" t="s">
        <v>465</v>
      </c>
      <c r="B56" s="150">
        <f>SUM('TRANSFERENCIA CORRIENTE'!C57:E57)</f>
        <v>0</v>
      </c>
      <c r="C56" s="150">
        <f>SUM('TRANSFERENCIA CORRIENTE'!F57:H57)</f>
        <v>0</v>
      </c>
      <c r="D56" s="150">
        <f>SUM('TRANSFERENCIA CORRIENTE'!I57:K57)</f>
        <v>0</v>
      </c>
      <c r="E56" s="150">
        <f>SUM('TRANSFERENCIA CORRIENTE'!L57:N57)</f>
        <v>0</v>
      </c>
      <c r="F56" s="475"/>
      <c r="G56" s="150">
        <f>SUM(VS!C57:E57)</f>
        <v>0</v>
      </c>
      <c r="H56" s="150">
        <f>SUM(VS!F57:H57)</f>
        <v>0</v>
      </c>
      <c r="I56" s="150">
        <f>SUM(VS!I57:K57)</f>
        <v>58764</v>
      </c>
      <c r="J56" s="151">
        <f>SUM(VS!L57:N57)</f>
        <v>0</v>
      </c>
      <c r="K56" s="475"/>
      <c r="L56" s="152">
        <f t="shared" si="20"/>
        <v>0</v>
      </c>
      <c r="M56" s="152">
        <f t="shared" si="14"/>
        <v>0</v>
      </c>
      <c r="N56" s="152">
        <f t="shared" si="14"/>
        <v>58764</v>
      </c>
      <c r="O56" s="152">
        <f t="shared" si="14"/>
        <v>0</v>
      </c>
    </row>
    <row r="57" spans="1:15" x14ac:dyDescent="0.25">
      <c r="A57" s="133" t="s">
        <v>464</v>
      </c>
      <c r="B57" s="150">
        <f>SUM('TRANSFERENCIA CORRIENTE'!C58:E58)</f>
        <v>0</v>
      </c>
      <c r="C57" s="150">
        <f>SUM('TRANSFERENCIA CORRIENTE'!F58:H58)</f>
        <v>0</v>
      </c>
      <c r="D57" s="150">
        <f>SUM('TRANSFERENCIA CORRIENTE'!I58:K58)</f>
        <v>0</v>
      </c>
      <c r="E57" s="150">
        <f>SUM('TRANSFERENCIA CORRIENTE'!L58:N58)</f>
        <v>0</v>
      </c>
      <c r="F57" s="475"/>
      <c r="G57" s="150">
        <f>SUM(VS!C58:E58)</f>
        <v>0</v>
      </c>
      <c r="H57" s="150">
        <f>SUM(VS!F58:H58)</f>
        <v>0</v>
      </c>
      <c r="I57" s="150">
        <f>SUM(VS!I58:K58)</f>
        <v>0</v>
      </c>
      <c r="J57" s="151">
        <f>SUM(VS!L58:N58)</f>
        <v>0</v>
      </c>
      <c r="K57" s="475"/>
      <c r="L57" s="152">
        <f t="shared" si="20"/>
        <v>0</v>
      </c>
      <c r="M57" s="152">
        <f t="shared" si="20"/>
        <v>0</v>
      </c>
      <c r="N57" s="152">
        <f t="shared" si="20"/>
        <v>0</v>
      </c>
      <c r="O57" s="152">
        <f t="shared" si="20"/>
        <v>0</v>
      </c>
    </row>
    <row r="58" spans="1:15" x14ac:dyDescent="0.25">
      <c r="A58" s="133" t="s">
        <v>463</v>
      </c>
      <c r="B58" s="150">
        <f>SUM('TRANSFERENCIA CORRIENTE'!C59:E59)</f>
        <v>0</v>
      </c>
      <c r="C58" s="150">
        <f>SUM('TRANSFERENCIA CORRIENTE'!F59:H59)</f>
        <v>0</v>
      </c>
      <c r="D58" s="150">
        <f>SUM('TRANSFERENCIA CORRIENTE'!I59:K59)</f>
        <v>0</v>
      </c>
      <c r="E58" s="150">
        <f>SUM('TRANSFERENCIA CORRIENTE'!L59:N59)</f>
        <v>0</v>
      </c>
      <c r="F58" s="475"/>
      <c r="G58" s="150">
        <f>SUM(VS!C59:E59)</f>
        <v>0</v>
      </c>
      <c r="H58" s="150">
        <f>SUM(VS!F59:H59)</f>
        <v>0</v>
      </c>
      <c r="I58" s="150">
        <f>SUM(VS!I59:K59)</f>
        <v>0</v>
      </c>
      <c r="J58" s="151">
        <f>SUM(VS!L59:N59)</f>
        <v>0</v>
      </c>
      <c r="K58" s="475"/>
      <c r="L58" s="152">
        <f t="shared" si="20"/>
        <v>0</v>
      </c>
      <c r="M58" s="152">
        <f t="shared" si="20"/>
        <v>0</v>
      </c>
      <c r="N58" s="152">
        <f t="shared" si="20"/>
        <v>0</v>
      </c>
      <c r="O58" s="152">
        <f t="shared" si="20"/>
        <v>0</v>
      </c>
    </row>
    <row r="59" spans="1:15" x14ac:dyDescent="0.25">
      <c r="A59" s="133" t="s">
        <v>462</v>
      </c>
      <c r="B59" s="150">
        <f>SUM('TRANSFERENCIA CORRIENTE'!C60:E60)</f>
        <v>0</v>
      </c>
      <c r="C59" s="150">
        <f>SUM('TRANSFERENCIA CORRIENTE'!F60:H60)</f>
        <v>345560.94</v>
      </c>
      <c r="D59" s="150">
        <f>SUM('TRANSFERENCIA CORRIENTE'!I60:K60)</f>
        <v>0</v>
      </c>
      <c r="E59" s="150">
        <f>SUM('TRANSFERENCIA CORRIENTE'!L60:N60)</f>
        <v>0</v>
      </c>
      <c r="F59" s="475"/>
      <c r="G59" s="150">
        <f>SUM(VS!C60:E60)</f>
        <v>0</v>
      </c>
      <c r="H59" s="150">
        <f>SUM(VS!F60:H60)</f>
        <v>0</v>
      </c>
      <c r="I59" s="150">
        <f>SUM(VS!I60:K60)</f>
        <v>0</v>
      </c>
      <c r="J59" s="151">
        <f>SUM(VS!L60:N60)</f>
        <v>0</v>
      </c>
      <c r="K59" s="475"/>
      <c r="L59" s="152">
        <f t="shared" si="20"/>
        <v>0</v>
      </c>
      <c r="M59" s="152">
        <f t="shared" si="20"/>
        <v>345560.94</v>
      </c>
      <c r="N59" s="152">
        <f t="shared" si="20"/>
        <v>0</v>
      </c>
      <c r="O59" s="152">
        <f t="shared" si="20"/>
        <v>0</v>
      </c>
    </row>
    <row r="60" spans="1:15" s="153" customFormat="1" x14ac:dyDescent="0.25">
      <c r="A60" s="139" t="s">
        <v>461</v>
      </c>
      <c r="B60" s="148">
        <f>SUM(B61:B64)</f>
        <v>0</v>
      </c>
      <c r="C60" s="148">
        <f t="shared" ref="C60:E60" si="21">SUM(C61:C64)</f>
        <v>0</v>
      </c>
      <c r="D60" s="148">
        <f t="shared" si="21"/>
        <v>0</v>
      </c>
      <c r="E60" s="148">
        <f t="shared" si="21"/>
        <v>0</v>
      </c>
      <c r="F60" s="475"/>
      <c r="G60" s="148">
        <f t="shared" ref="G60:J60" si="22">SUM(G61:G64)</f>
        <v>0</v>
      </c>
      <c r="H60" s="148">
        <f t="shared" si="22"/>
        <v>0</v>
      </c>
      <c r="I60" s="148">
        <f t="shared" si="22"/>
        <v>0</v>
      </c>
      <c r="J60" s="148">
        <f t="shared" si="22"/>
        <v>0</v>
      </c>
      <c r="K60" s="475"/>
      <c r="L60" s="154">
        <f>SUM(B60+G60)</f>
        <v>0</v>
      </c>
      <c r="M60" s="154">
        <f t="shared" si="20"/>
        <v>0</v>
      </c>
      <c r="N60" s="154">
        <f t="shared" si="20"/>
        <v>0</v>
      </c>
      <c r="O60" s="154">
        <f t="shared" si="20"/>
        <v>0</v>
      </c>
    </row>
    <row r="61" spans="1:15" x14ac:dyDescent="0.25">
      <c r="A61" s="133" t="s">
        <v>460</v>
      </c>
      <c r="B61" s="150">
        <f>SUM('TRANSFERENCIA CORRIENTE'!C62:E62)</f>
        <v>0</v>
      </c>
      <c r="C61" s="150">
        <f>SUM('TRANSFERENCIA CORRIENTE'!F62:H62)</f>
        <v>0</v>
      </c>
      <c r="D61" s="150">
        <f>SUM('TRANSFERENCIA CORRIENTE'!I62:K62)</f>
        <v>0</v>
      </c>
      <c r="E61" s="150">
        <f>SUM('TRANSFERENCIA CORRIENTE'!L62:N62)</f>
        <v>0</v>
      </c>
      <c r="F61" s="475"/>
      <c r="G61" s="150">
        <f>SUM(VS!C62:E62)</f>
        <v>0</v>
      </c>
      <c r="H61" s="150">
        <f>SUM(VS!F62:H62)</f>
        <v>0</v>
      </c>
      <c r="I61" s="150">
        <f>SUM(VS!I62:K62)</f>
        <v>0</v>
      </c>
      <c r="J61" s="151">
        <f>SUM(VS!L62:N62)</f>
        <v>0</v>
      </c>
      <c r="K61" s="475"/>
      <c r="L61" s="152">
        <f t="shared" ref="L61:L64" si="23">SUM(B61+G61)</f>
        <v>0</v>
      </c>
      <c r="M61" s="152">
        <f t="shared" si="20"/>
        <v>0</v>
      </c>
      <c r="N61" s="152">
        <f t="shared" si="20"/>
        <v>0</v>
      </c>
      <c r="O61" s="152">
        <f t="shared" si="20"/>
        <v>0</v>
      </c>
    </row>
    <row r="62" spans="1:15" x14ac:dyDescent="0.25">
      <c r="A62" s="133" t="s">
        <v>459</v>
      </c>
      <c r="B62" s="150">
        <f>SUM('TRANSFERENCIA CORRIENTE'!C63:E63)</f>
        <v>0</v>
      </c>
      <c r="C62" s="150">
        <f>SUM('TRANSFERENCIA CORRIENTE'!F63:H63)</f>
        <v>0</v>
      </c>
      <c r="D62" s="150">
        <f>SUM('TRANSFERENCIA CORRIENTE'!I63:K63)</f>
        <v>0</v>
      </c>
      <c r="E62" s="150">
        <f>SUM('TRANSFERENCIA CORRIENTE'!L63:N63)</f>
        <v>0</v>
      </c>
      <c r="F62" s="475"/>
      <c r="G62" s="150">
        <f>SUM(VS!C63:E63)</f>
        <v>0</v>
      </c>
      <c r="H62" s="150">
        <f>SUM(VS!F63:H63)</f>
        <v>0</v>
      </c>
      <c r="I62" s="150">
        <f>SUM(VS!I63:K63)</f>
        <v>0</v>
      </c>
      <c r="J62" s="151">
        <f>SUM(VS!L63:N63)</f>
        <v>0</v>
      </c>
      <c r="K62" s="475"/>
      <c r="L62" s="152">
        <f t="shared" si="23"/>
        <v>0</v>
      </c>
      <c r="M62" s="152">
        <f t="shared" si="20"/>
        <v>0</v>
      </c>
      <c r="N62" s="152">
        <f t="shared" si="20"/>
        <v>0</v>
      </c>
      <c r="O62" s="152">
        <f t="shared" si="20"/>
        <v>0</v>
      </c>
    </row>
    <row r="63" spans="1:15" x14ac:dyDescent="0.25">
      <c r="A63" s="133" t="s">
        <v>458</v>
      </c>
      <c r="B63" s="150">
        <f>SUM('TRANSFERENCIA CORRIENTE'!C64:E64)</f>
        <v>0</v>
      </c>
      <c r="C63" s="150">
        <f>SUM('TRANSFERENCIA CORRIENTE'!F64:H64)</f>
        <v>0</v>
      </c>
      <c r="D63" s="150">
        <f>SUM('TRANSFERENCIA CORRIENTE'!I64:K64)</f>
        <v>0</v>
      </c>
      <c r="E63" s="150">
        <f>SUM('TRANSFERENCIA CORRIENTE'!L64:N64)</f>
        <v>0</v>
      </c>
      <c r="F63" s="475"/>
      <c r="G63" s="150">
        <f>SUM(VS!C64:E64)</f>
        <v>0</v>
      </c>
      <c r="H63" s="150">
        <f>SUM(VS!F64:H64)</f>
        <v>0</v>
      </c>
      <c r="I63" s="150">
        <f>SUM(VS!I64:K64)</f>
        <v>0</v>
      </c>
      <c r="J63" s="151">
        <f>SUM(VS!L64:N64)</f>
        <v>0</v>
      </c>
      <c r="K63" s="475"/>
      <c r="L63" s="152">
        <f t="shared" si="23"/>
        <v>0</v>
      </c>
      <c r="M63" s="152">
        <f t="shared" si="20"/>
        <v>0</v>
      </c>
      <c r="N63" s="152">
        <f t="shared" si="20"/>
        <v>0</v>
      </c>
      <c r="O63" s="152">
        <f t="shared" si="20"/>
        <v>0</v>
      </c>
    </row>
    <row r="64" spans="1:15" ht="30" x14ac:dyDescent="0.25">
      <c r="A64" s="133" t="s">
        <v>457</v>
      </c>
      <c r="B64" s="150">
        <f>SUM('TRANSFERENCIA CORRIENTE'!C65:E65)</f>
        <v>0</v>
      </c>
      <c r="C64" s="150">
        <f>SUM('TRANSFERENCIA CORRIENTE'!F65:H65)</f>
        <v>0</v>
      </c>
      <c r="D64" s="150">
        <f>SUM('TRANSFERENCIA CORRIENTE'!I65:K65)</f>
        <v>0</v>
      </c>
      <c r="E64" s="150">
        <f>SUM('TRANSFERENCIA CORRIENTE'!L65:N65)</f>
        <v>0</v>
      </c>
      <c r="F64" s="475"/>
      <c r="G64" s="150">
        <f>SUM(VS!C65:E65)</f>
        <v>0</v>
      </c>
      <c r="H64" s="150">
        <f>SUM(VS!F65:H65)</f>
        <v>0</v>
      </c>
      <c r="I64" s="150">
        <f>SUM(VS!I65:K65)</f>
        <v>0</v>
      </c>
      <c r="J64" s="151">
        <f>SUM(VS!L65:N65)</f>
        <v>0</v>
      </c>
      <c r="K64" s="475"/>
      <c r="L64" s="152">
        <f t="shared" si="23"/>
        <v>0</v>
      </c>
      <c r="M64" s="152">
        <f t="shared" si="20"/>
        <v>0</v>
      </c>
      <c r="N64" s="152">
        <f t="shared" si="20"/>
        <v>0</v>
      </c>
      <c r="O64" s="152">
        <f t="shared" si="20"/>
        <v>0</v>
      </c>
    </row>
    <row r="65" spans="1:15" s="153" customFormat="1" x14ac:dyDescent="0.25">
      <c r="A65" s="139" t="s">
        <v>456</v>
      </c>
      <c r="B65" s="148">
        <f>SUM(B66:B67)</f>
        <v>0</v>
      </c>
      <c r="C65" s="148">
        <f t="shared" ref="C65:E65" si="24">SUM(C66:C67)</f>
        <v>0</v>
      </c>
      <c r="D65" s="148">
        <f t="shared" si="24"/>
        <v>0</v>
      </c>
      <c r="E65" s="148">
        <f t="shared" si="24"/>
        <v>0</v>
      </c>
      <c r="F65" s="475"/>
      <c r="G65" s="148">
        <f t="shared" ref="G65:J65" si="25">SUM(G66:G67)</f>
        <v>0</v>
      </c>
      <c r="H65" s="148">
        <f t="shared" si="25"/>
        <v>0</v>
      </c>
      <c r="I65" s="148">
        <f t="shared" si="25"/>
        <v>0</v>
      </c>
      <c r="J65" s="148">
        <f t="shared" si="25"/>
        <v>0</v>
      </c>
      <c r="K65" s="475"/>
      <c r="L65" s="154">
        <f>SUM(B65+G65)</f>
        <v>0</v>
      </c>
      <c r="M65" s="154">
        <f t="shared" si="20"/>
        <v>0</v>
      </c>
      <c r="N65" s="154">
        <f t="shared" si="20"/>
        <v>0</v>
      </c>
      <c r="O65" s="154">
        <f t="shared" si="20"/>
        <v>0</v>
      </c>
    </row>
    <row r="66" spans="1:15" x14ac:dyDescent="0.25">
      <c r="A66" s="133" t="s">
        <v>455</v>
      </c>
      <c r="B66" s="150">
        <f>SUM('TRANSFERENCIA CORRIENTE'!C67:E67)</f>
        <v>0</v>
      </c>
      <c r="C66" s="150">
        <f>SUM('TRANSFERENCIA CORRIENTE'!F67:H67)</f>
        <v>0</v>
      </c>
      <c r="D66" s="150">
        <f>SUM('TRANSFERENCIA CORRIENTE'!I67:K67)</f>
        <v>0</v>
      </c>
      <c r="E66" s="150">
        <f>SUM('TRANSFERENCIA CORRIENTE'!L67:N67)</f>
        <v>0</v>
      </c>
      <c r="F66" s="475"/>
      <c r="G66" s="150">
        <f>SUM(VS!C67:E67)</f>
        <v>0</v>
      </c>
      <c r="H66" s="150">
        <f>SUM(VS!F67:H67)</f>
        <v>0</v>
      </c>
      <c r="I66" s="150">
        <f>SUM(VS!I67:K67)</f>
        <v>0</v>
      </c>
      <c r="J66" s="151">
        <f>SUM(VS!L67:N67)</f>
        <v>0</v>
      </c>
      <c r="K66" s="475"/>
      <c r="L66" s="152">
        <f t="shared" ref="L66:L67" si="26">SUM(B66+G66)</f>
        <v>0</v>
      </c>
      <c r="M66" s="152">
        <f>SUM(C66+H66)</f>
        <v>0</v>
      </c>
      <c r="N66" s="152">
        <f t="shared" si="20"/>
        <v>0</v>
      </c>
      <c r="O66" s="152">
        <f t="shared" si="20"/>
        <v>0</v>
      </c>
    </row>
    <row r="67" spans="1:15" x14ac:dyDescent="0.25">
      <c r="A67" s="133" t="s">
        <v>454</v>
      </c>
      <c r="B67" s="150">
        <f>SUM('TRANSFERENCIA CORRIENTE'!C68:E68)</f>
        <v>0</v>
      </c>
      <c r="C67" s="150">
        <f>SUM('TRANSFERENCIA CORRIENTE'!F68:H68)</f>
        <v>0</v>
      </c>
      <c r="D67" s="150">
        <f>SUM('TRANSFERENCIA CORRIENTE'!I68:K68)</f>
        <v>0</v>
      </c>
      <c r="E67" s="150">
        <f>SUM('TRANSFERENCIA CORRIENTE'!L68:N68)</f>
        <v>0</v>
      </c>
      <c r="F67" s="475"/>
      <c r="G67" s="150">
        <f>SUM(VS!C68:E68)</f>
        <v>0</v>
      </c>
      <c r="H67" s="150">
        <f>SUM(VS!F68:H68)</f>
        <v>0</v>
      </c>
      <c r="I67" s="150">
        <f>SUM(VS!I68:K68)</f>
        <v>0</v>
      </c>
      <c r="J67" s="151">
        <f>SUM(VS!L68:N68)</f>
        <v>0</v>
      </c>
      <c r="K67" s="475"/>
      <c r="L67" s="152">
        <f t="shared" si="26"/>
        <v>0</v>
      </c>
      <c r="M67" s="152">
        <f>SUM(C67+H67)</f>
        <v>0</v>
      </c>
      <c r="N67" s="152">
        <f t="shared" ref="N67:O67" si="27">SUM(D67+I67)</f>
        <v>0</v>
      </c>
      <c r="O67" s="152">
        <f t="shared" si="27"/>
        <v>0</v>
      </c>
    </row>
    <row r="68" spans="1:15" s="153" customFormat="1" x14ac:dyDescent="0.25">
      <c r="A68" s="139" t="s">
        <v>453</v>
      </c>
      <c r="B68" s="148">
        <f>SUM(B69:B71)</f>
        <v>0</v>
      </c>
      <c r="C68" s="148">
        <f t="shared" ref="C68:E68" si="28">SUM(C69:C71)</f>
        <v>0</v>
      </c>
      <c r="D68" s="148">
        <f t="shared" si="28"/>
        <v>0</v>
      </c>
      <c r="E68" s="148">
        <f t="shared" si="28"/>
        <v>0</v>
      </c>
      <c r="F68" s="475"/>
      <c r="G68" s="148">
        <f t="shared" ref="G68:J68" si="29">SUM(G69:G71)</f>
        <v>0</v>
      </c>
      <c r="H68" s="148">
        <f t="shared" si="29"/>
        <v>0</v>
      </c>
      <c r="I68" s="148">
        <f t="shared" si="29"/>
        <v>0</v>
      </c>
      <c r="J68" s="148">
        <f t="shared" si="29"/>
        <v>0</v>
      </c>
      <c r="K68" s="475"/>
      <c r="L68" s="154">
        <f>SUM(B68+G68)</f>
        <v>0</v>
      </c>
      <c r="M68" s="154">
        <f t="shared" ref="M68:O82" si="30">SUM(C68+H68)</f>
        <v>0</v>
      </c>
      <c r="N68" s="154">
        <f t="shared" si="30"/>
        <v>0</v>
      </c>
      <c r="O68" s="154">
        <f t="shared" si="30"/>
        <v>0</v>
      </c>
    </row>
    <row r="69" spans="1:15" x14ac:dyDescent="0.25">
      <c r="A69" s="133" t="s">
        <v>452</v>
      </c>
      <c r="B69" s="150">
        <f>SUM('TRANSFERENCIA CORRIENTE'!C70:E70)</f>
        <v>0</v>
      </c>
      <c r="C69" s="150">
        <f>SUM('TRANSFERENCIA CORRIENTE'!F70:H70)</f>
        <v>0</v>
      </c>
      <c r="D69" s="150">
        <f>SUM('TRANSFERENCIA CORRIENTE'!I70:K70)</f>
        <v>0</v>
      </c>
      <c r="E69" s="150">
        <f>SUM('TRANSFERENCIA CORRIENTE'!L70:N70)</f>
        <v>0</v>
      </c>
      <c r="F69" s="475"/>
      <c r="G69" s="150">
        <f>SUM(VS!C70:E70)</f>
        <v>0</v>
      </c>
      <c r="H69" s="150">
        <f>SUM(VS!F70:H70)</f>
        <v>0</v>
      </c>
      <c r="I69" s="150">
        <f>SUM(VS!I70:K70)</f>
        <v>0</v>
      </c>
      <c r="J69" s="151">
        <f>SUM(VS!L70:N70)</f>
        <v>0</v>
      </c>
      <c r="K69" s="475"/>
      <c r="L69" s="152">
        <f t="shared" ref="L69:L71" si="31">SUM(B69+G69)</f>
        <v>0</v>
      </c>
      <c r="M69" s="152">
        <f t="shared" si="30"/>
        <v>0</v>
      </c>
      <c r="N69" s="152">
        <f t="shared" si="30"/>
        <v>0</v>
      </c>
      <c r="O69" s="152">
        <f t="shared" si="30"/>
        <v>0</v>
      </c>
    </row>
    <row r="70" spans="1:15" x14ac:dyDescent="0.25">
      <c r="A70" s="133" t="s">
        <v>451</v>
      </c>
      <c r="B70" s="150">
        <f>SUM('TRANSFERENCIA CORRIENTE'!C71:E71)</f>
        <v>0</v>
      </c>
      <c r="C70" s="150">
        <f>SUM('TRANSFERENCIA CORRIENTE'!F71:H71)</f>
        <v>0</v>
      </c>
      <c r="D70" s="150">
        <f>SUM('TRANSFERENCIA CORRIENTE'!I71:K71)</f>
        <v>0</v>
      </c>
      <c r="E70" s="150">
        <f>SUM('TRANSFERENCIA CORRIENTE'!L71:N71)</f>
        <v>0</v>
      </c>
      <c r="F70" s="475"/>
      <c r="G70" s="150">
        <f>SUM(VS!C71:E71)</f>
        <v>0</v>
      </c>
      <c r="H70" s="150">
        <f>SUM(VS!F71:H71)</f>
        <v>0</v>
      </c>
      <c r="I70" s="150">
        <f>SUM(VS!I71:K71)</f>
        <v>0</v>
      </c>
      <c r="J70" s="151">
        <f>SUM(VS!L71:N71)</f>
        <v>0</v>
      </c>
      <c r="K70" s="475"/>
      <c r="L70" s="152">
        <f t="shared" si="31"/>
        <v>0</v>
      </c>
      <c r="M70" s="152">
        <f t="shared" si="30"/>
        <v>0</v>
      </c>
      <c r="N70" s="152">
        <f t="shared" si="30"/>
        <v>0</v>
      </c>
      <c r="O70" s="152">
        <f t="shared" si="30"/>
        <v>0</v>
      </c>
    </row>
    <row r="71" spans="1:15" x14ac:dyDescent="0.25">
      <c r="A71" s="133" t="s">
        <v>450</v>
      </c>
      <c r="B71" s="150">
        <f>SUM('TRANSFERENCIA CORRIENTE'!C72:E72)</f>
        <v>0</v>
      </c>
      <c r="C71" s="150">
        <f>SUM('TRANSFERENCIA CORRIENTE'!F72:H72)</f>
        <v>0</v>
      </c>
      <c r="D71" s="150">
        <f>SUM('TRANSFERENCIA CORRIENTE'!I72:K72)</f>
        <v>0</v>
      </c>
      <c r="E71" s="150">
        <f>SUM('TRANSFERENCIA CORRIENTE'!L72:N72)</f>
        <v>0</v>
      </c>
      <c r="F71" s="475"/>
      <c r="G71" s="150"/>
      <c r="H71" s="150">
        <f>SUM(VS!F72:H72)</f>
        <v>0</v>
      </c>
      <c r="I71" s="150">
        <f>SUM(VS!I72:K72)</f>
        <v>0</v>
      </c>
      <c r="J71" s="151">
        <f>SUM(VS!L72:N72)</f>
        <v>0</v>
      </c>
      <c r="K71" s="475"/>
      <c r="L71" s="152">
        <f t="shared" si="31"/>
        <v>0</v>
      </c>
      <c r="M71" s="152">
        <f t="shared" si="30"/>
        <v>0</v>
      </c>
      <c r="N71" s="152">
        <f t="shared" si="30"/>
        <v>0</v>
      </c>
      <c r="O71" s="152">
        <f t="shared" si="30"/>
        <v>0</v>
      </c>
    </row>
    <row r="72" spans="1:15" s="153" customFormat="1" x14ac:dyDescent="0.25">
      <c r="A72" s="139" t="s">
        <v>449</v>
      </c>
      <c r="B72" s="148">
        <f>+B8+B14+B24+B34+B42+B50+B60+B65+B68</f>
        <v>271880250.56999999</v>
      </c>
      <c r="C72" s="148">
        <f t="shared" ref="C72:E72" si="32">+C8+C14+C24+C34+C42+C50+C60+C65+C68</f>
        <v>277231645.53999996</v>
      </c>
      <c r="D72" s="148">
        <f t="shared" si="32"/>
        <v>119188552.57999998</v>
      </c>
      <c r="E72" s="148">
        <f t="shared" si="32"/>
        <v>0</v>
      </c>
      <c r="F72" s="475"/>
      <c r="G72" s="148">
        <f>+G8+G14+G24+G34+G42+G50+G60+G65+G68</f>
        <v>26194615.629999999</v>
      </c>
      <c r="H72" s="148">
        <f t="shared" ref="H72:J72" si="33">+H8+H14+H24+H34+H42+H50+H60+H65+H68</f>
        <v>20399506.549999997</v>
      </c>
      <c r="I72" s="148">
        <f t="shared" si="33"/>
        <v>9254860.6300000008</v>
      </c>
      <c r="J72" s="148">
        <f t="shared" si="33"/>
        <v>0</v>
      </c>
      <c r="K72" s="475"/>
      <c r="L72" s="154">
        <f>SUM(B72+G72)</f>
        <v>298074866.19999999</v>
      </c>
      <c r="M72" s="154">
        <f t="shared" si="30"/>
        <v>297631152.08999997</v>
      </c>
      <c r="N72" s="154">
        <f t="shared" si="30"/>
        <v>128443413.20999998</v>
      </c>
      <c r="O72" s="154">
        <f t="shared" si="30"/>
        <v>0</v>
      </c>
    </row>
    <row r="73" spans="1:15" x14ac:dyDescent="0.25">
      <c r="A73" s="135" t="s">
        <v>448</v>
      </c>
      <c r="B73" s="150">
        <f>SUM('TRANSFERENCIA CORRIENTE'!C74:E74)</f>
        <v>0</v>
      </c>
      <c r="C73" s="150">
        <f>SUM('TRANSFERENCIA CORRIENTE'!F74:H74)</f>
        <v>0</v>
      </c>
      <c r="D73" s="150">
        <f>SUM('TRANSFERENCIA CORRIENTE'!I74:K74)</f>
        <v>0</v>
      </c>
      <c r="E73" s="150">
        <f>SUM('TRANSFERENCIA CORRIENTE'!L74:N74)</f>
        <v>0</v>
      </c>
      <c r="F73" s="475"/>
      <c r="G73" s="150">
        <f>SUM(VS!C74:E74)</f>
        <v>0</v>
      </c>
      <c r="H73" s="150">
        <f>SUM(VS!F74:H74)</f>
        <v>0</v>
      </c>
      <c r="I73" s="150">
        <f>SUM(VS!I74:K74)</f>
        <v>0</v>
      </c>
      <c r="J73" s="151">
        <f>SUM(VS!L74:N74)</f>
        <v>0</v>
      </c>
      <c r="K73" s="475"/>
      <c r="L73" s="152">
        <f t="shared" ref="L73:L81" si="34">SUM(B73+G73)</f>
        <v>0</v>
      </c>
      <c r="M73" s="152">
        <f t="shared" si="30"/>
        <v>0</v>
      </c>
      <c r="N73" s="152">
        <f t="shared" si="30"/>
        <v>0</v>
      </c>
      <c r="O73" s="152">
        <f t="shared" si="30"/>
        <v>0</v>
      </c>
    </row>
    <row r="74" spans="1:15" x14ac:dyDescent="0.25">
      <c r="A74" s="135" t="s">
        <v>447</v>
      </c>
      <c r="B74" s="150">
        <f>SUM('TRANSFERENCIA CORRIENTE'!C75:E75)</f>
        <v>0</v>
      </c>
      <c r="C74" s="150">
        <f>SUM('TRANSFERENCIA CORRIENTE'!F75:H75)</f>
        <v>0</v>
      </c>
      <c r="D74" s="150">
        <f>SUM('TRANSFERENCIA CORRIENTE'!I75:K75)</f>
        <v>0</v>
      </c>
      <c r="E74" s="150">
        <f>SUM('TRANSFERENCIA CORRIENTE'!L75:N75)</f>
        <v>0</v>
      </c>
      <c r="F74" s="475"/>
      <c r="G74" s="150">
        <f>SUM(VS!C75:E75)</f>
        <v>0</v>
      </c>
      <c r="H74" s="150">
        <f>SUM(VS!F75:H75)</f>
        <v>0</v>
      </c>
      <c r="I74" s="150">
        <f>SUM(VS!I75:K75)</f>
        <v>0</v>
      </c>
      <c r="J74" s="151">
        <f>SUM(VS!L75:N75)</f>
        <v>0</v>
      </c>
      <c r="K74" s="475"/>
      <c r="L74" s="152">
        <f t="shared" si="34"/>
        <v>0</v>
      </c>
      <c r="M74" s="152">
        <f t="shared" si="30"/>
        <v>0</v>
      </c>
      <c r="N74" s="152">
        <f t="shared" si="30"/>
        <v>0</v>
      </c>
      <c r="O74" s="152">
        <f t="shared" si="30"/>
        <v>0</v>
      </c>
    </row>
    <row r="75" spans="1:15" x14ac:dyDescent="0.25">
      <c r="A75" s="133" t="s">
        <v>446</v>
      </c>
      <c r="B75" s="150">
        <f>SUM('TRANSFERENCIA CORRIENTE'!C76:E76)</f>
        <v>0</v>
      </c>
      <c r="C75" s="150">
        <f>SUM('TRANSFERENCIA CORRIENTE'!F76:H76)</f>
        <v>0</v>
      </c>
      <c r="D75" s="150">
        <f>SUM('TRANSFERENCIA CORRIENTE'!I76:K76)</f>
        <v>0</v>
      </c>
      <c r="E75" s="150">
        <f>SUM('TRANSFERENCIA CORRIENTE'!L76:N76)</f>
        <v>0</v>
      </c>
      <c r="F75" s="475"/>
      <c r="G75" s="150">
        <f>SUM(VS!C76:E76)</f>
        <v>0</v>
      </c>
      <c r="H75" s="150">
        <f>SUM(VS!F76:H76)</f>
        <v>0</v>
      </c>
      <c r="I75" s="150">
        <f>SUM(VS!I76:K76)</f>
        <v>0</v>
      </c>
      <c r="J75" s="151">
        <f>SUM(VS!L76:N76)</f>
        <v>0</v>
      </c>
      <c r="K75" s="475"/>
      <c r="L75" s="152">
        <f t="shared" si="34"/>
        <v>0</v>
      </c>
      <c r="M75" s="152">
        <f t="shared" si="30"/>
        <v>0</v>
      </c>
      <c r="N75" s="152">
        <f t="shared" si="30"/>
        <v>0</v>
      </c>
      <c r="O75" s="152">
        <f t="shared" si="30"/>
        <v>0</v>
      </c>
    </row>
    <row r="76" spans="1:15" x14ac:dyDescent="0.25">
      <c r="A76" s="133" t="s">
        <v>445</v>
      </c>
      <c r="B76" s="150">
        <f>SUM('TRANSFERENCIA CORRIENTE'!C77:E77)</f>
        <v>0</v>
      </c>
      <c r="C76" s="150">
        <f>SUM('TRANSFERENCIA CORRIENTE'!F77:H77)</f>
        <v>0</v>
      </c>
      <c r="D76" s="150">
        <f>SUM('TRANSFERENCIA CORRIENTE'!I77:K77)</f>
        <v>0</v>
      </c>
      <c r="E76" s="150">
        <f>SUM('TRANSFERENCIA CORRIENTE'!L77:N77)</f>
        <v>0</v>
      </c>
      <c r="F76" s="475"/>
      <c r="G76" s="150">
        <f>SUM(VS!C77:E77)</f>
        <v>0</v>
      </c>
      <c r="H76" s="150">
        <f>SUM(VS!F77:H77)</f>
        <v>0</v>
      </c>
      <c r="I76" s="150">
        <f>SUM(VS!I77:K77)</f>
        <v>0</v>
      </c>
      <c r="J76" s="151">
        <f>SUM(VS!L77:N77)</f>
        <v>0</v>
      </c>
      <c r="K76" s="475"/>
      <c r="L76" s="152">
        <f t="shared" si="34"/>
        <v>0</v>
      </c>
      <c r="M76" s="152">
        <f t="shared" si="30"/>
        <v>0</v>
      </c>
      <c r="N76" s="152">
        <f t="shared" si="30"/>
        <v>0</v>
      </c>
      <c r="O76" s="152">
        <f t="shared" si="30"/>
        <v>0</v>
      </c>
    </row>
    <row r="77" spans="1:15" x14ac:dyDescent="0.25">
      <c r="A77" s="135" t="s">
        <v>444</v>
      </c>
      <c r="B77" s="150">
        <f>SUM('TRANSFERENCIA CORRIENTE'!C78:E78)</f>
        <v>0</v>
      </c>
      <c r="C77" s="150">
        <f>SUM('TRANSFERENCIA CORRIENTE'!F78:H78)</f>
        <v>0</v>
      </c>
      <c r="D77" s="150">
        <f>SUM('TRANSFERENCIA CORRIENTE'!I78:K78)</f>
        <v>0</v>
      </c>
      <c r="E77" s="150">
        <f>SUM('TRANSFERENCIA CORRIENTE'!L78:N78)</f>
        <v>0</v>
      </c>
      <c r="F77" s="475"/>
      <c r="G77" s="150">
        <f>SUM(VS!C78:E78)</f>
        <v>0</v>
      </c>
      <c r="H77" s="150">
        <f>SUM(VS!F78:H78)</f>
        <v>0</v>
      </c>
      <c r="I77" s="150">
        <f>SUM(VS!I78:K78)</f>
        <v>0</v>
      </c>
      <c r="J77" s="151">
        <f>SUM(VS!L78:N78)</f>
        <v>0</v>
      </c>
      <c r="K77" s="475"/>
      <c r="L77" s="152">
        <f t="shared" si="34"/>
        <v>0</v>
      </c>
      <c r="M77" s="152">
        <f t="shared" si="30"/>
        <v>0</v>
      </c>
      <c r="N77" s="152">
        <f t="shared" si="30"/>
        <v>0</v>
      </c>
      <c r="O77" s="152">
        <f t="shared" si="30"/>
        <v>0</v>
      </c>
    </row>
    <row r="78" spans="1:15" x14ac:dyDescent="0.25">
      <c r="A78" s="133" t="s">
        <v>443</v>
      </c>
      <c r="B78" s="150">
        <f>SUM('TRANSFERENCIA CORRIENTE'!C79:E79)</f>
        <v>0</v>
      </c>
      <c r="C78" s="150">
        <f>SUM('TRANSFERENCIA CORRIENTE'!F79:H79)</f>
        <v>0</v>
      </c>
      <c r="D78" s="150">
        <f>SUM('TRANSFERENCIA CORRIENTE'!I79:K79)</f>
        <v>0</v>
      </c>
      <c r="E78" s="150">
        <f>SUM('TRANSFERENCIA CORRIENTE'!L79:N79)</f>
        <v>0</v>
      </c>
      <c r="F78" s="475"/>
      <c r="G78" s="150">
        <f>SUM(VS!C79:E79)</f>
        <v>0</v>
      </c>
      <c r="H78" s="150">
        <f>SUM(VS!F79:H79)</f>
        <v>0</v>
      </c>
      <c r="I78" s="150">
        <f>SUM(VS!I79:K79)</f>
        <v>0</v>
      </c>
      <c r="J78" s="151">
        <f>SUM(VS!L79:N79)</f>
        <v>0</v>
      </c>
      <c r="K78" s="475"/>
      <c r="L78" s="152">
        <f t="shared" si="34"/>
        <v>0</v>
      </c>
      <c r="M78" s="152">
        <f t="shared" si="30"/>
        <v>0</v>
      </c>
      <c r="N78" s="152">
        <f t="shared" si="30"/>
        <v>0</v>
      </c>
      <c r="O78" s="152">
        <f t="shared" si="30"/>
        <v>0</v>
      </c>
    </row>
    <row r="79" spans="1:15" x14ac:dyDescent="0.25">
      <c r="A79" s="133" t="s">
        <v>442</v>
      </c>
      <c r="B79" s="150">
        <f>SUM('TRANSFERENCIA CORRIENTE'!C80:E80)</f>
        <v>0</v>
      </c>
      <c r="C79" s="150">
        <f>SUM('TRANSFERENCIA CORRIENTE'!F80:H80)</f>
        <v>0</v>
      </c>
      <c r="D79" s="150">
        <f>SUM('TRANSFERENCIA CORRIENTE'!I80:K80)</f>
        <v>0</v>
      </c>
      <c r="E79" s="150">
        <f>SUM('TRANSFERENCIA CORRIENTE'!L80:N80)</f>
        <v>0</v>
      </c>
      <c r="F79" s="475"/>
      <c r="G79" s="150">
        <f>SUM(VS!C80:E80)</f>
        <v>0</v>
      </c>
      <c r="H79" s="150">
        <f>SUM(VS!F80:H80)</f>
        <v>0</v>
      </c>
      <c r="I79" s="150">
        <f>SUM(VS!I80:K80)</f>
        <v>0</v>
      </c>
      <c r="J79" s="151">
        <f>SUM(VS!L80:N80)</f>
        <v>0</v>
      </c>
      <c r="K79" s="475"/>
      <c r="L79" s="152">
        <f t="shared" si="34"/>
        <v>0</v>
      </c>
      <c r="M79" s="152">
        <f t="shared" si="30"/>
        <v>0</v>
      </c>
      <c r="N79" s="152">
        <f t="shared" si="30"/>
        <v>0</v>
      </c>
      <c r="O79" s="152">
        <f t="shared" si="30"/>
        <v>0</v>
      </c>
    </row>
    <row r="80" spans="1:15" x14ac:dyDescent="0.25">
      <c r="A80" s="135" t="s">
        <v>441</v>
      </c>
      <c r="B80" s="150">
        <f>SUM('TRANSFERENCIA CORRIENTE'!C81:E81)</f>
        <v>0</v>
      </c>
      <c r="C80" s="150">
        <f>SUM('TRANSFERENCIA CORRIENTE'!F81:H81)</f>
        <v>0</v>
      </c>
      <c r="D80" s="150">
        <f>SUM('TRANSFERENCIA CORRIENTE'!I81:K81)</f>
        <v>0</v>
      </c>
      <c r="E80" s="150">
        <f>SUM('TRANSFERENCIA CORRIENTE'!L81:N81)</f>
        <v>0</v>
      </c>
      <c r="F80" s="475"/>
      <c r="G80" s="150">
        <f>SUM(VS!C81:E81)</f>
        <v>0</v>
      </c>
      <c r="H80" s="150">
        <f>SUM(VS!F81:H81)</f>
        <v>0</v>
      </c>
      <c r="I80" s="150">
        <f>SUM(VS!I81:K81)</f>
        <v>0</v>
      </c>
      <c r="J80" s="151">
        <f>SUM(VS!L81:N81)</f>
        <v>0</v>
      </c>
      <c r="K80" s="475"/>
      <c r="L80" s="152">
        <f t="shared" si="34"/>
        <v>0</v>
      </c>
      <c r="M80" s="152">
        <f t="shared" si="30"/>
        <v>0</v>
      </c>
      <c r="N80" s="152">
        <f t="shared" si="30"/>
        <v>0</v>
      </c>
      <c r="O80" s="152">
        <f t="shared" si="30"/>
        <v>0</v>
      </c>
    </row>
    <row r="81" spans="1:15" x14ac:dyDescent="0.25">
      <c r="A81" s="133" t="s">
        <v>440</v>
      </c>
      <c r="B81" s="150">
        <f>SUM('TRANSFERENCIA CORRIENTE'!C82:E82)</f>
        <v>0</v>
      </c>
      <c r="C81" s="150">
        <f>SUM('TRANSFERENCIA CORRIENTE'!F82:H82)</f>
        <v>0</v>
      </c>
      <c r="D81" s="150">
        <f>SUM('TRANSFERENCIA CORRIENTE'!I82:K82)</f>
        <v>0</v>
      </c>
      <c r="E81" s="150">
        <f>SUM('TRANSFERENCIA CORRIENTE'!L82:N82)</f>
        <v>0</v>
      </c>
      <c r="F81" s="475"/>
      <c r="G81" s="150">
        <f>SUM(VS!C82:E82)</f>
        <v>0</v>
      </c>
      <c r="H81" s="150">
        <f>SUM(VS!F82:H82)</f>
        <v>0</v>
      </c>
      <c r="I81" s="150">
        <f>SUM(VS!I82:K82)</f>
        <v>0</v>
      </c>
      <c r="J81" s="151">
        <f>SUM(VS!L82:N82)</f>
        <v>0</v>
      </c>
      <c r="K81" s="475"/>
      <c r="L81" s="152">
        <f t="shared" si="34"/>
        <v>0</v>
      </c>
      <c r="M81" s="152">
        <f t="shared" si="30"/>
        <v>0</v>
      </c>
      <c r="N81" s="152">
        <f t="shared" si="30"/>
        <v>0</v>
      </c>
      <c r="O81" s="152">
        <f t="shared" si="30"/>
        <v>0</v>
      </c>
    </row>
    <row r="82" spans="1:15" s="153" customFormat="1" x14ac:dyDescent="0.25">
      <c r="A82" s="139" t="s">
        <v>439</v>
      </c>
      <c r="B82" s="148">
        <f>SUM(B83)</f>
        <v>271880250.56999999</v>
      </c>
      <c r="C82" s="148">
        <f t="shared" ref="C82:E82" si="35">SUM(C83)</f>
        <v>277231645.53999996</v>
      </c>
      <c r="D82" s="148">
        <f t="shared" si="35"/>
        <v>110292183.97999999</v>
      </c>
      <c r="E82" s="148">
        <f t="shared" si="35"/>
        <v>0</v>
      </c>
      <c r="F82" s="475"/>
      <c r="G82" s="148">
        <f>SUM(G83)</f>
        <v>26194615.629999999</v>
      </c>
      <c r="H82" s="148">
        <f t="shared" ref="H82:J82" si="36">SUM(H83)</f>
        <v>20399506.550000001</v>
      </c>
      <c r="I82" s="148">
        <f t="shared" si="36"/>
        <v>9254860.6300000008</v>
      </c>
      <c r="J82" s="148">
        <f t="shared" si="36"/>
        <v>0</v>
      </c>
      <c r="K82" s="475"/>
      <c r="L82" s="154">
        <f>SUM(B82+G82)</f>
        <v>298074866.19999999</v>
      </c>
      <c r="M82" s="154">
        <f t="shared" si="30"/>
        <v>297631152.08999997</v>
      </c>
      <c r="N82" s="154">
        <f t="shared" si="30"/>
        <v>119547044.60999998</v>
      </c>
      <c r="O82" s="154">
        <f t="shared" si="30"/>
        <v>0</v>
      </c>
    </row>
    <row r="83" spans="1:15" ht="15.75" x14ac:dyDescent="0.25">
      <c r="A83" s="155" t="s">
        <v>438</v>
      </c>
      <c r="B83" s="150">
        <f>SUM('TRANSFERENCIA CORRIENTE'!C85:E85)</f>
        <v>271880250.56999999</v>
      </c>
      <c r="C83" s="150">
        <f>SUM('TRANSFERENCIA CORRIENTE'!F85:H85)</f>
        <v>277231645.53999996</v>
      </c>
      <c r="D83" s="150">
        <f>SUM('TRANSFERENCIA CORRIENTE'!I85:K85)</f>
        <v>110292183.97999999</v>
      </c>
      <c r="E83" s="150">
        <f>SUM('TRANSFERENCIA CORRIENTE'!L85:N85)</f>
        <v>0</v>
      </c>
      <c r="F83" s="476"/>
      <c r="G83" s="150">
        <f>SUM(VS!C85:E85)</f>
        <v>26194615.629999999</v>
      </c>
      <c r="H83" s="150">
        <f>SUM(VS!F85:H85)</f>
        <v>20399506.550000001</v>
      </c>
      <c r="I83" s="150">
        <f>SUM(VS!I85:K85)</f>
        <v>9254860.6300000008</v>
      </c>
      <c r="J83" s="150">
        <f>SUM(VS!L85:N85)</f>
        <v>0</v>
      </c>
      <c r="K83" s="476"/>
      <c r="L83" s="152">
        <f>SUM(B83+G83)</f>
        <v>298074866.19999999</v>
      </c>
      <c r="M83" s="152">
        <f>SUM(C83+H83)</f>
        <v>297631152.08999997</v>
      </c>
      <c r="N83" s="152">
        <f>SUM(D83+I83)</f>
        <v>119547044.60999998</v>
      </c>
      <c r="O83" s="152">
        <f>SUM(E83+J83)</f>
        <v>0</v>
      </c>
    </row>
  </sheetData>
  <mergeCells count="9">
    <mergeCell ref="A1:O1"/>
    <mergeCell ref="A2:O2"/>
    <mergeCell ref="A3:O3"/>
    <mergeCell ref="A4:O4"/>
    <mergeCell ref="B6:E6"/>
    <mergeCell ref="F6:F83"/>
    <mergeCell ref="G6:J6"/>
    <mergeCell ref="K6:K83"/>
    <mergeCell ref="L6:O6"/>
  </mergeCells>
  <pageMargins left="0.7" right="0.7" top="0.75" bottom="0.75" header="0.3" footer="0.3"/>
  <pageSetup scale="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
  <sheetViews>
    <sheetView view="pageBreakPreview" zoomScale="96" zoomScaleNormal="90" zoomScaleSheetLayoutView="96" workbookViewId="0">
      <selection activeCell="E81" sqref="E81"/>
    </sheetView>
  </sheetViews>
  <sheetFormatPr baseColWidth="10" defaultColWidth="9.140625" defaultRowHeight="15" x14ac:dyDescent="0.25"/>
  <cols>
    <col min="1" max="1" width="50.85546875" bestFit="1" customWidth="1"/>
    <col min="2" max="2" width="15.42578125" bestFit="1" customWidth="1"/>
    <col min="3" max="4" width="14.140625" bestFit="1" customWidth="1"/>
    <col min="5" max="5" width="15.140625" bestFit="1" customWidth="1"/>
    <col min="6" max="8" width="14.140625" bestFit="1" customWidth="1"/>
    <col min="9" max="9" width="15.140625" bestFit="1" customWidth="1"/>
    <col min="10" max="10" width="11.5703125" bestFit="1" customWidth="1"/>
    <col min="11" max="11" width="12.42578125" bestFit="1" customWidth="1"/>
    <col min="12" max="12" width="11.5703125" bestFit="1" customWidth="1"/>
    <col min="13" max="13" width="11.85546875" customWidth="1"/>
    <col min="14" max="14" width="12.7109375" bestFit="1" customWidth="1"/>
  </cols>
  <sheetData>
    <row r="1" spans="1:14" ht="18.75" x14ac:dyDescent="0.25">
      <c r="A1" s="469" t="s">
        <v>77</v>
      </c>
      <c r="B1" s="469"/>
      <c r="C1" s="469"/>
      <c r="D1" s="469"/>
      <c r="E1" s="469"/>
      <c r="F1" s="469"/>
      <c r="G1" s="469"/>
      <c r="H1" s="469"/>
      <c r="I1" s="469"/>
      <c r="J1" s="469"/>
      <c r="K1" s="469"/>
      <c r="L1" s="469"/>
      <c r="M1" s="469"/>
      <c r="N1" s="469"/>
    </row>
    <row r="2" spans="1:14" ht="18.75" x14ac:dyDescent="0.25">
      <c r="A2" s="469" t="s">
        <v>657</v>
      </c>
      <c r="B2" s="469"/>
      <c r="C2" s="469"/>
      <c r="D2" s="469"/>
      <c r="E2" s="469"/>
      <c r="F2" s="469"/>
      <c r="G2" s="469"/>
      <c r="H2" s="469"/>
      <c r="I2" s="469"/>
      <c r="J2" s="469"/>
      <c r="K2" s="469"/>
      <c r="L2" s="469"/>
      <c r="M2" s="469"/>
      <c r="N2" s="469"/>
    </row>
    <row r="3" spans="1:14" ht="18.75" x14ac:dyDescent="0.25">
      <c r="A3" s="469" t="s">
        <v>530</v>
      </c>
      <c r="B3" s="469"/>
      <c r="C3" s="469"/>
      <c r="D3" s="469"/>
      <c r="E3" s="469"/>
      <c r="F3" s="469"/>
      <c r="G3" s="469"/>
      <c r="H3" s="469"/>
      <c r="I3" s="469"/>
      <c r="J3" s="469"/>
      <c r="K3" s="469"/>
      <c r="L3" s="469"/>
      <c r="M3" s="469"/>
      <c r="N3" s="469"/>
    </row>
    <row r="4" spans="1:14" ht="15.75" x14ac:dyDescent="0.25">
      <c r="A4" s="470" t="s">
        <v>640</v>
      </c>
      <c r="B4" s="470"/>
      <c r="C4" s="470"/>
      <c r="D4" s="470"/>
      <c r="E4" s="470"/>
      <c r="F4" s="470"/>
      <c r="G4" s="470"/>
      <c r="H4" s="470"/>
      <c r="I4" s="470"/>
      <c r="J4" s="470"/>
      <c r="K4" s="470"/>
      <c r="L4" s="470"/>
      <c r="M4" s="470"/>
      <c r="N4" s="470"/>
    </row>
    <row r="5" spans="1:14" x14ac:dyDescent="0.25">
      <c r="A5" s="471" t="s">
        <v>529</v>
      </c>
      <c r="B5" s="471"/>
      <c r="C5" s="471"/>
      <c r="D5" s="471"/>
      <c r="E5" s="471"/>
      <c r="F5" s="471"/>
      <c r="G5" s="471"/>
      <c r="H5" s="471"/>
      <c r="I5" s="471"/>
      <c r="J5" s="471"/>
      <c r="K5" s="471"/>
      <c r="L5" s="471"/>
      <c r="M5" s="471"/>
      <c r="N5" s="471"/>
    </row>
    <row r="7" spans="1:14" ht="15.75" x14ac:dyDescent="0.25">
      <c r="A7" s="142" t="s">
        <v>528</v>
      </c>
      <c r="B7" s="141" t="s">
        <v>527</v>
      </c>
      <c r="C7" s="141" t="s">
        <v>526</v>
      </c>
      <c r="D7" s="141" t="s">
        <v>525</v>
      </c>
      <c r="E7" s="141" t="s">
        <v>524</v>
      </c>
      <c r="F7" s="141" t="s">
        <v>523</v>
      </c>
      <c r="G7" s="141" t="s">
        <v>522</v>
      </c>
      <c r="H7" s="141" t="s">
        <v>521</v>
      </c>
      <c r="I7" s="141" t="s">
        <v>520</v>
      </c>
      <c r="J7" s="141" t="s">
        <v>519</v>
      </c>
      <c r="K7" s="141" t="s">
        <v>518</v>
      </c>
      <c r="L7" s="141" t="s">
        <v>517</v>
      </c>
      <c r="M7" s="141" t="s">
        <v>516</v>
      </c>
      <c r="N7" s="141" t="s">
        <v>515</v>
      </c>
    </row>
    <row r="8" spans="1:14" x14ac:dyDescent="0.25">
      <c r="A8" s="135" t="s">
        <v>514</v>
      </c>
      <c r="B8" s="140"/>
      <c r="C8" s="140"/>
      <c r="D8" s="140"/>
      <c r="E8" s="140"/>
      <c r="F8" s="140"/>
      <c r="G8" s="140"/>
      <c r="H8" s="140"/>
      <c r="I8" s="140"/>
      <c r="J8" s="140"/>
      <c r="K8" s="140"/>
      <c r="L8" s="140"/>
      <c r="M8" s="140"/>
      <c r="N8" s="140"/>
    </row>
    <row r="9" spans="1:14" x14ac:dyDescent="0.25">
      <c r="A9" s="139" t="s">
        <v>513</v>
      </c>
      <c r="B9" s="291">
        <f t="shared" ref="B9:B40" si="0">SUM(C9:N9)</f>
        <v>469666733.44</v>
      </c>
      <c r="C9" s="137">
        <f t="shared" ref="C9:N9" si="1">SUM(C10:C14)</f>
        <v>65091179.920000002</v>
      </c>
      <c r="D9" s="137">
        <f t="shared" si="1"/>
        <v>67131935.939999998</v>
      </c>
      <c r="E9" s="137">
        <f t="shared" si="1"/>
        <v>66337619.82</v>
      </c>
      <c r="F9" s="137">
        <f t="shared" si="1"/>
        <v>66556155.68</v>
      </c>
      <c r="G9" s="137">
        <f t="shared" si="1"/>
        <v>66630550.850000001</v>
      </c>
      <c r="H9" s="137">
        <f t="shared" si="1"/>
        <v>66583615.279999994</v>
      </c>
      <c r="I9" s="137">
        <f t="shared" si="1"/>
        <v>71335675.949999988</v>
      </c>
      <c r="J9" s="137">
        <f t="shared" si="1"/>
        <v>0</v>
      </c>
      <c r="K9" s="137">
        <f t="shared" si="1"/>
        <v>0</v>
      </c>
      <c r="L9" s="137">
        <f t="shared" si="1"/>
        <v>0</v>
      </c>
      <c r="M9" s="137">
        <f t="shared" si="1"/>
        <v>0</v>
      </c>
      <c r="N9" s="137">
        <f t="shared" si="1"/>
        <v>0</v>
      </c>
    </row>
    <row r="10" spans="1:14" x14ac:dyDescent="0.25">
      <c r="A10" s="133" t="s">
        <v>512</v>
      </c>
      <c r="B10" s="136">
        <f t="shared" si="0"/>
        <v>386955406.46999997</v>
      </c>
      <c r="C10" s="132">
        <v>53640338.710000001</v>
      </c>
      <c r="D10" s="132">
        <v>55586128.810000002</v>
      </c>
      <c r="E10" s="132">
        <v>54718737.07</v>
      </c>
      <c r="F10" s="132">
        <v>54771097.32</v>
      </c>
      <c r="G10" s="132">
        <v>54445140.43</v>
      </c>
      <c r="H10" s="132">
        <v>54868542.939999998</v>
      </c>
      <c r="I10" s="132">
        <v>58925421.189999998</v>
      </c>
      <c r="J10" s="132"/>
      <c r="K10" s="132"/>
      <c r="L10" s="132"/>
      <c r="M10" s="132"/>
      <c r="N10" s="132"/>
    </row>
    <row r="11" spans="1:14" x14ac:dyDescent="0.25">
      <c r="A11" s="133" t="s">
        <v>511</v>
      </c>
      <c r="B11" s="136">
        <f t="shared" si="0"/>
        <v>23475077.940000001</v>
      </c>
      <c r="C11" s="132">
        <v>3196999.6</v>
      </c>
      <c r="D11" s="132">
        <v>3197999.6</v>
      </c>
      <c r="E11" s="132">
        <v>3199399.6</v>
      </c>
      <c r="F11" s="132">
        <v>3384964.48</v>
      </c>
      <c r="G11" s="132">
        <v>3807608.31</v>
      </c>
      <c r="H11" s="132">
        <v>3343226.16</v>
      </c>
      <c r="I11" s="132">
        <v>3344880.19</v>
      </c>
      <c r="J11" s="132"/>
      <c r="K11" s="132"/>
      <c r="L11" s="132"/>
      <c r="M11" s="132"/>
      <c r="N11" s="132"/>
    </row>
    <row r="12" spans="1:14" x14ac:dyDescent="0.25">
      <c r="A12" s="133" t="s">
        <v>510</v>
      </c>
      <c r="B12" s="136">
        <f t="shared" si="0"/>
        <v>0</v>
      </c>
      <c r="C12" s="132"/>
      <c r="D12" s="132"/>
      <c r="E12" s="132"/>
      <c r="F12" s="132"/>
      <c r="G12" s="132"/>
      <c r="H12" s="132"/>
      <c r="I12" s="132"/>
      <c r="J12" s="132"/>
      <c r="K12" s="132"/>
      <c r="L12" s="132"/>
      <c r="M12" s="132"/>
      <c r="N12" s="132"/>
    </row>
    <row r="13" spans="1:14" x14ac:dyDescent="0.25">
      <c r="A13" s="133" t="s">
        <v>509</v>
      </c>
      <c r="B13" s="136">
        <f t="shared" si="0"/>
        <v>0</v>
      </c>
      <c r="C13" s="132"/>
      <c r="D13" s="132"/>
      <c r="E13" s="132"/>
      <c r="F13" s="132"/>
      <c r="G13" s="132"/>
      <c r="H13" s="132"/>
      <c r="I13" s="132"/>
      <c r="J13" s="132"/>
      <c r="K13" s="132"/>
      <c r="L13" s="132"/>
      <c r="M13" s="132"/>
      <c r="N13" s="132"/>
    </row>
    <row r="14" spans="1:14" x14ac:dyDescent="0.25">
      <c r="A14" s="133" t="s">
        <v>508</v>
      </c>
      <c r="B14" s="136">
        <f t="shared" si="0"/>
        <v>59236249.030000001</v>
      </c>
      <c r="C14" s="132">
        <v>8253841.6100000003</v>
      </c>
      <c r="D14" s="132">
        <v>8347807.5300000003</v>
      </c>
      <c r="E14" s="132">
        <v>8419483.1500000004</v>
      </c>
      <c r="F14" s="132">
        <v>8400093.8800000008</v>
      </c>
      <c r="G14" s="132">
        <v>8377802.1100000003</v>
      </c>
      <c r="H14" s="132">
        <v>8371846.1799999997</v>
      </c>
      <c r="I14" s="132">
        <v>9065374.5700000003</v>
      </c>
      <c r="J14" s="132"/>
      <c r="K14" s="132"/>
      <c r="L14" s="132"/>
      <c r="M14" s="132"/>
      <c r="N14" s="132"/>
    </row>
    <row r="15" spans="1:14" x14ac:dyDescent="0.25">
      <c r="A15" s="139" t="s">
        <v>507</v>
      </c>
      <c r="B15" s="138">
        <f t="shared" si="0"/>
        <v>22949748.860000003</v>
      </c>
      <c r="C15" s="137">
        <f t="shared" ref="C15:N15" si="2">SUM(C16:C24)</f>
        <v>0</v>
      </c>
      <c r="D15" s="137">
        <f t="shared" si="2"/>
        <v>1336968.6400000001</v>
      </c>
      <c r="E15" s="137">
        <f t="shared" si="2"/>
        <v>7971396.2400000002</v>
      </c>
      <c r="F15" s="137">
        <f t="shared" si="2"/>
        <v>210535</v>
      </c>
      <c r="G15" s="137">
        <f t="shared" si="2"/>
        <v>1680824.82</v>
      </c>
      <c r="H15" s="137">
        <f t="shared" si="2"/>
        <v>8240458.3799999999</v>
      </c>
      <c r="I15" s="137">
        <f t="shared" si="2"/>
        <v>3509565.78</v>
      </c>
      <c r="J15" s="137">
        <f t="shared" si="2"/>
        <v>0</v>
      </c>
      <c r="K15" s="137">
        <f t="shared" si="2"/>
        <v>0</v>
      </c>
      <c r="L15" s="137">
        <f t="shared" si="2"/>
        <v>0</v>
      </c>
      <c r="M15" s="137">
        <f t="shared" si="2"/>
        <v>0</v>
      </c>
      <c r="N15" s="137">
        <f t="shared" si="2"/>
        <v>0</v>
      </c>
    </row>
    <row r="16" spans="1:14" x14ac:dyDescent="0.25">
      <c r="A16" s="133" t="s">
        <v>506</v>
      </c>
      <c r="B16" s="136">
        <f t="shared" si="0"/>
        <v>2262164.2999999998</v>
      </c>
      <c r="C16" s="132"/>
      <c r="D16" s="132"/>
      <c r="E16" s="132">
        <v>2020024.3</v>
      </c>
      <c r="F16" s="132">
        <v>60535</v>
      </c>
      <c r="G16" s="132">
        <v>60535</v>
      </c>
      <c r="H16" s="132">
        <v>60535</v>
      </c>
      <c r="I16" s="132">
        <v>60535</v>
      </c>
      <c r="J16" s="132"/>
      <c r="K16" s="132"/>
      <c r="L16" s="132"/>
      <c r="M16" s="132"/>
      <c r="N16" s="132"/>
    </row>
    <row r="17" spans="1:14" x14ac:dyDescent="0.25">
      <c r="A17" s="133" t="s">
        <v>505</v>
      </c>
      <c r="B17" s="136">
        <f t="shared" si="0"/>
        <v>676200.66</v>
      </c>
      <c r="C17" s="132"/>
      <c r="D17" s="132">
        <v>324206.83</v>
      </c>
      <c r="E17" s="132"/>
      <c r="F17" s="132"/>
      <c r="G17" s="132">
        <v>32889.839999999997</v>
      </c>
      <c r="H17" s="132">
        <v>319103.99</v>
      </c>
      <c r="I17" s="132"/>
      <c r="J17" s="132"/>
      <c r="K17" s="132"/>
      <c r="L17" s="132"/>
      <c r="M17" s="132"/>
      <c r="N17" s="132"/>
    </row>
    <row r="18" spans="1:14" x14ac:dyDescent="0.25">
      <c r="A18" s="133" t="s">
        <v>504</v>
      </c>
      <c r="B18" s="136">
        <f t="shared" si="0"/>
        <v>0</v>
      </c>
      <c r="C18" s="132"/>
      <c r="D18" s="132"/>
      <c r="E18" s="132"/>
      <c r="F18" s="132"/>
      <c r="G18" s="132"/>
      <c r="H18" s="132"/>
      <c r="I18" s="132"/>
      <c r="J18" s="132"/>
      <c r="K18" s="132"/>
      <c r="L18" s="132"/>
      <c r="M18" s="132"/>
      <c r="N18" s="132"/>
    </row>
    <row r="19" spans="1:14" x14ac:dyDescent="0.25">
      <c r="A19" s="133" t="s">
        <v>503</v>
      </c>
      <c r="B19" s="136">
        <f t="shared" si="0"/>
        <v>0</v>
      </c>
      <c r="C19" s="132"/>
      <c r="D19" s="132"/>
      <c r="E19" s="132"/>
      <c r="F19" s="132"/>
      <c r="G19" s="132"/>
      <c r="H19" s="132"/>
      <c r="I19" s="132"/>
      <c r="J19" s="132"/>
      <c r="K19" s="132"/>
      <c r="L19" s="132"/>
      <c r="M19" s="132"/>
      <c r="N19" s="132"/>
    </row>
    <row r="20" spans="1:14" x14ac:dyDescent="0.25">
      <c r="A20" s="133" t="s">
        <v>502</v>
      </c>
      <c r="B20" s="136">
        <f t="shared" si="0"/>
        <v>150000</v>
      </c>
      <c r="C20" s="132"/>
      <c r="D20" s="132"/>
      <c r="E20" s="132"/>
      <c r="F20" s="132">
        <v>150000</v>
      </c>
      <c r="G20" s="132"/>
      <c r="H20" s="132"/>
      <c r="I20" s="132"/>
      <c r="J20" s="132"/>
      <c r="K20" s="132"/>
      <c r="L20" s="132"/>
      <c r="M20" s="132"/>
      <c r="N20" s="132"/>
    </row>
    <row r="21" spans="1:14" x14ac:dyDescent="0.25">
      <c r="A21" s="133" t="s">
        <v>501</v>
      </c>
      <c r="B21" s="136">
        <f t="shared" si="0"/>
        <v>0</v>
      </c>
      <c r="C21" s="132"/>
      <c r="D21" s="132"/>
      <c r="E21" s="132"/>
      <c r="F21" s="132"/>
      <c r="G21" s="132"/>
      <c r="H21" s="132"/>
      <c r="I21" s="132"/>
      <c r="J21" s="132"/>
      <c r="K21" s="132"/>
      <c r="L21" s="132"/>
      <c r="M21" s="132"/>
      <c r="N21" s="132"/>
    </row>
    <row r="22" spans="1:14" ht="45" x14ac:dyDescent="0.25">
      <c r="A22" s="133" t="s">
        <v>500</v>
      </c>
      <c r="B22" s="136">
        <f t="shared" si="0"/>
        <v>15534938.859999999</v>
      </c>
      <c r="C22" s="132"/>
      <c r="D22" s="132">
        <v>523061.81</v>
      </c>
      <c r="E22" s="132">
        <v>5951371.9400000004</v>
      </c>
      <c r="F22" s="132"/>
      <c r="G22" s="132">
        <v>1174399.98</v>
      </c>
      <c r="H22" s="132">
        <v>4437074.3499999996</v>
      </c>
      <c r="I22" s="132">
        <v>3449030.78</v>
      </c>
      <c r="J22" s="132"/>
      <c r="K22" s="132"/>
      <c r="L22" s="132"/>
      <c r="M22" s="132"/>
      <c r="N22" s="132"/>
    </row>
    <row r="23" spans="1:14" ht="30" x14ac:dyDescent="0.25">
      <c r="A23" s="133" t="s">
        <v>499</v>
      </c>
      <c r="B23" s="136">
        <f t="shared" si="0"/>
        <v>902700</v>
      </c>
      <c r="C23" s="132"/>
      <c r="D23" s="132">
        <v>489700</v>
      </c>
      <c r="E23" s="132"/>
      <c r="F23" s="132"/>
      <c r="G23" s="132">
        <v>413000</v>
      </c>
      <c r="H23" s="132"/>
      <c r="I23" s="132"/>
      <c r="J23" s="132"/>
      <c r="K23" s="132"/>
      <c r="L23" s="132"/>
      <c r="M23" s="132"/>
      <c r="N23" s="132"/>
    </row>
    <row r="24" spans="1:14" x14ac:dyDescent="0.25">
      <c r="A24" s="133" t="s">
        <v>498</v>
      </c>
      <c r="B24" s="136">
        <f t="shared" si="0"/>
        <v>3423745.04</v>
      </c>
      <c r="C24" s="132"/>
      <c r="D24" s="132"/>
      <c r="E24" s="132"/>
      <c r="F24" s="132"/>
      <c r="G24" s="132"/>
      <c r="H24" s="132">
        <v>3423745.04</v>
      </c>
      <c r="I24" s="132"/>
      <c r="J24" s="132"/>
      <c r="K24" s="132"/>
      <c r="L24" s="132"/>
      <c r="M24" s="132"/>
      <c r="N24" s="132"/>
    </row>
    <row r="25" spans="1:14" x14ac:dyDescent="0.25">
      <c r="A25" s="139" t="s">
        <v>497</v>
      </c>
      <c r="B25" s="138">
        <f t="shared" si="0"/>
        <v>124685153.58</v>
      </c>
      <c r="C25" s="137">
        <f t="shared" ref="C25:N25" si="3">SUM(C26:C34)</f>
        <v>4970600.3900000006</v>
      </c>
      <c r="D25" s="137">
        <f t="shared" si="3"/>
        <v>14433131.48</v>
      </c>
      <c r="E25" s="137">
        <f t="shared" si="3"/>
        <v>26749551.519999996</v>
      </c>
      <c r="F25" s="137">
        <f t="shared" si="3"/>
        <v>20368607.43</v>
      </c>
      <c r="G25" s="137">
        <f t="shared" si="3"/>
        <v>16608512.82</v>
      </c>
      <c r="H25" s="137">
        <f t="shared" si="3"/>
        <v>15408530.41</v>
      </c>
      <c r="I25" s="137">
        <f t="shared" si="3"/>
        <v>26146219.530000001</v>
      </c>
      <c r="J25" s="137">
        <f t="shared" si="3"/>
        <v>0</v>
      </c>
      <c r="K25" s="137">
        <f t="shared" si="3"/>
        <v>0</v>
      </c>
      <c r="L25" s="137">
        <f t="shared" si="3"/>
        <v>0</v>
      </c>
      <c r="M25" s="137">
        <f t="shared" si="3"/>
        <v>0</v>
      </c>
      <c r="N25" s="137">
        <f t="shared" si="3"/>
        <v>0</v>
      </c>
    </row>
    <row r="26" spans="1:14" x14ac:dyDescent="0.25">
      <c r="A26" s="133" t="s">
        <v>496</v>
      </c>
      <c r="B26" s="136"/>
      <c r="C26" s="132"/>
      <c r="D26" s="132">
        <v>591460.4</v>
      </c>
      <c r="E26" s="132">
        <v>3122436.84</v>
      </c>
      <c r="F26" s="132">
        <v>812515</v>
      </c>
      <c r="G26" s="132">
        <v>1657538</v>
      </c>
      <c r="H26" s="132">
        <v>2396946.25</v>
      </c>
      <c r="I26" s="132">
        <v>1787251.81</v>
      </c>
      <c r="J26" s="132"/>
      <c r="K26" s="132"/>
      <c r="L26" s="132"/>
      <c r="M26" s="132"/>
      <c r="N26" s="132"/>
    </row>
    <row r="27" spans="1:14" x14ac:dyDescent="0.25">
      <c r="A27" s="133" t="s">
        <v>495</v>
      </c>
      <c r="B27" s="136"/>
      <c r="C27" s="132"/>
      <c r="D27" s="132">
        <v>61630.73</v>
      </c>
      <c r="E27" s="132"/>
      <c r="F27" s="132">
        <v>1562980.47</v>
      </c>
      <c r="G27" s="132"/>
      <c r="H27" s="132">
        <v>812418.96</v>
      </c>
      <c r="I27" s="132">
        <v>1577150.69</v>
      </c>
      <c r="J27" s="132"/>
      <c r="K27" s="132"/>
      <c r="L27" s="132"/>
      <c r="M27" s="132"/>
      <c r="N27" s="132"/>
    </row>
    <row r="28" spans="1:14" x14ac:dyDescent="0.25">
      <c r="A28" s="133" t="s">
        <v>494</v>
      </c>
      <c r="B28" s="136"/>
      <c r="C28" s="132"/>
      <c r="D28" s="132">
        <v>352366.67</v>
      </c>
      <c r="E28" s="132">
        <v>1474545.17</v>
      </c>
      <c r="F28" s="132">
        <v>1510942.21</v>
      </c>
      <c r="G28" s="132">
        <v>765138.96</v>
      </c>
      <c r="H28" s="132">
        <v>715614.54</v>
      </c>
      <c r="I28" s="132">
        <v>1579886.66</v>
      </c>
      <c r="J28" s="132"/>
      <c r="K28" s="132"/>
      <c r="L28" s="132"/>
      <c r="M28" s="132"/>
      <c r="N28" s="132"/>
    </row>
    <row r="29" spans="1:14" x14ac:dyDescent="0.25">
      <c r="A29" s="133" t="s">
        <v>493</v>
      </c>
      <c r="B29" s="136"/>
      <c r="C29" s="132">
        <v>1862880</v>
      </c>
      <c r="D29" s="132">
        <v>2014526.8</v>
      </c>
      <c r="E29" s="132">
        <v>6919929</v>
      </c>
      <c r="F29" s="132">
        <v>6349109</v>
      </c>
      <c r="G29" s="132">
        <v>2637285.6</v>
      </c>
      <c r="H29" s="132">
        <v>3022962</v>
      </c>
      <c r="I29" s="132">
        <v>6806505</v>
      </c>
      <c r="J29" s="132"/>
      <c r="K29" s="132"/>
      <c r="L29" s="132"/>
      <c r="M29" s="132"/>
      <c r="N29" s="132"/>
    </row>
    <row r="30" spans="1:14" x14ac:dyDescent="0.25">
      <c r="A30" s="133" t="s">
        <v>492</v>
      </c>
      <c r="B30" s="136"/>
      <c r="C30" s="132"/>
      <c r="D30" s="132"/>
      <c r="E30" s="132">
        <v>334708.95</v>
      </c>
      <c r="F30" s="132">
        <v>506546.35</v>
      </c>
      <c r="G30" s="132">
        <v>384413.08</v>
      </c>
      <c r="H30" s="132">
        <v>133281</v>
      </c>
      <c r="I30" s="132">
        <v>655140.22</v>
      </c>
      <c r="J30" s="132"/>
      <c r="K30" s="132"/>
      <c r="L30" s="132"/>
      <c r="M30" s="132"/>
      <c r="N30" s="132"/>
    </row>
    <row r="31" spans="1:14" ht="30" x14ac:dyDescent="0.25">
      <c r="A31" s="133" t="s">
        <v>491</v>
      </c>
      <c r="B31" s="136"/>
      <c r="C31" s="132"/>
      <c r="D31" s="132">
        <v>11630.98</v>
      </c>
      <c r="E31" s="132"/>
      <c r="F31" s="132">
        <v>351015.88</v>
      </c>
      <c r="G31" s="132">
        <v>215177.81</v>
      </c>
      <c r="H31" s="132">
        <v>101426.9</v>
      </c>
      <c r="I31" s="132"/>
      <c r="J31" s="132"/>
      <c r="K31" s="132"/>
      <c r="L31" s="132"/>
      <c r="M31" s="132"/>
      <c r="N31" s="132"/>
    </row>
    <row r="32" spans="1:14" ht="30" x14ac:dyDescent="0.25">
      <c r="A32" s="133" t="s">
        <v>490</v>
      </c>
      <c r="B32" s="136"/>
      <c r="C32" s="132">
        <v>1844663.41</v>
      </c>
      <c r="D32" s="132">
        <v>3902915.53</v>
      </c>
      <c r="E32" s="132">
        <v>3162523.02</v>
      </c>
      <c r="F32" s="132">
        <v>2759191.89</v>
      </c>
      <c r="G32" s="132">
        <v>4409677.4800000004</v>
      </c>
      <c r="H32" s="132">
        <v>2900109.81</v>
      </c>
      <c r="I32" s="132">
        <v>4028536.75</v>
      </c>
      <c r="J32" s="132"/>
      <c r="K32" s="132"/>
      <c r="L32" s="132"/>
      <c r="M32" s="132"/>
      <c r="N32" s="132"/>
    </row>
    <row r="33" spans="1:14" ht="30" x14ac:dyDescent="0.25">
      <c r="A33" s="133" t="s">
        <v>489</v>
      </c>
      <c r="B33" s="136"/>
      <c r="C33" s="132"/>
      <c r="D33" s="132"/>
      <c r="E33" s="132"/>
      <c r="F33" s="132"/>
      <c r="G33" s="132"/>
      <c r="H33" s="132"/>
      <c r="I33" s="132"/>
      <c r="J33" s="132"/>
      <c r="K33" s="132"/>
      <c r="L33" s="132"/>
      <c r="M33" s="132"/>
      <c r="N33" s="132"/>
    </row>
    <row r="34" spans="1:14" x14ac:dyDescent="0.25">
      <c r="A34" s="133" t="s">
        <v>488</v>
      </c>
      <c r="B34" s="136"/>
      <c r="C34" s="132">
        <v>1263056.98</v>
      </c>
      <c r="D34" s="132">
        <v>7498600.3700000001</v>
      </c>
      <c r="E34" s="132">
        <v>11735408.539999999</v>
      </c>
      <c r="F34" s="132">
        <v>6516306.6299999999</v>
      </c>
      <c r="G34" s="132">
        <v>6539281.8899999997</v>
      </c>
      <c r="H34" s="132">
        <v>5325770.95</v>
      </c>
      <c r="I34" s="132">
        <v>9711748.4000000004</v>
      </c>
      <c r="J34" s="132"/>
      <c r="K34" s="132"/>
      <c r="L34" s="132"/>
      <c r="M34" s="132"/>
      <c r="N34" s="132"/>
    </row>
    <row r="35" spans="1:14" x14ac:dyDescent="0.25">
      <c r="A35" s="139" t="s">
        <v>487</v>
      </c>
      <c r="B35" s="138">
        <f t="shared" si="0"/>
        <v>0</v>
      </c>
      <c r="C35" s="137">
        <f t="shared" ref="C35:N35" si="4">SUM(C36:C42)</f>
        <v>0</v>
      </c>
      <c r="D35" s="137">
        <f t="shared" si="4"/>
        <v>0</v>
      </c>
      <c r="E35" s="137">
        <f t="shared" si="4"/>
        <v>0</v>
      </c>
      <c r="F35" s="137">
        <f t="shared" si="4"/>
        <v>0</v>
      </c>
      <c r="G35" s="137">
        <f t="shared" si="4"/>
        <v>0</v>
      </c>
      <c r="H35" s="137">
        <f t="shared" si="4"/>
        <v>0</v>
      </c>
      <c r="I35" s="137">
        <f t="shared" si="4"/>
        <v>0</v>
      </c>
      <c r="J35" s="137">
        <f t="shared" si="4"/>
        <v>0</v>
      </c>
      <c r="K35" s="137">
        <f t="shared" si="4"/>
        <v>0</v>
      </c>
      <c r="L35" s="137">
        <f t="shared" si="4"/>
        <v>0</v>
      </c>
      <c r="M35" s="137">
        <f t="shared" si="4"/>
        <v>0</v>
      </c>
      <c r="N35" s="137">
        <f t="shared" si="4"/>
        <v>0</v>
      </c>
    </row>
    <row r="36" spans="1:14" ht="30" x14ac:dyDescent="0.25">
      <c r="A36" s="133" t="s">
        <v>486</v>
      </c>
      <c r="B36" s="136">
        <f t="shared" si="0"/>
        <v>0</v>
      </c>
      <c r="C36" s="132"/>
      <c r="D36" s="132"/>
      <c r="E36" s="132"/>
      <c r="F36" s="132"/>
      <c r="G36" s="132"/>
      <c r="H36" s="132"/>
      <c r="I36" s="132"/>
      <c r="J36" s="132"/>
      <c r="K36" s="132"/>
      <c r="L36" s="132"/>
      <c r="M36" s="132"/>
      <c r="N36" s="132"/>
    </row>
    <row r="37" spans="1:14" ht="30" x14ac:dyDescent="0.25">
      <c r="A37" s="133" t="s">
        <v>485</v>
      </c>
      <c r="B37" s="136">
        <f t="shared" si="0"/>
        <v>0</v>
      </c>
      <c r="C37" s="132"/>
      <c r="D37" s="132"/>
      <c r="E37" s="132"/>
      <c r="F37" s="132"/>
      <c r="G37" s="132"/>
      <c r="H37" s="132"/>
      <c r="I37" s="132"/>
      <c r="J37" s="132"/>
      <c r="K37" s="132"/>
      <c r="L37" s="132"/>
      <c r="M37" s="132"/>
      <c r="N37" s="132"/>
    </row>
    <row r="38" spans="1:14" ht="30" x14ac:dyDescent="0.25">
      <c r="A38" s="133" t="s">
        <v>484</v>
      </c>
      <c r="B38" s="136">
        <f t="shared" si="0"/>
        <v>0</v>
      </c>
      <c r="C38" s="132"/>
      <c r="D38" s="132"/>
      <c r="E38" s="132"/>
      <c r="F38" s="132"/>
      <c r="G38" s="132"/>
      <c r="H38" s="132"/>
      <c r="I38" s="132"/>
      <c r="J38" s="132"/>
      <c r="K38" s="132"/>
      <c r="L38" s="132"/>
      <c r="M38" s="132"/>
      <c r="N38" s="132"/>
    </row>
    <row r="39" spans="1:14" ht="30" x14ac:dyDescent="0.25">
      <c r="A39" s="133" t="s">
        <v>483</v>
      </c>
      <c r="B39" s="136">
        <f t="shared" si="0"/>
        <v>0</v>
      </c>
      <c r="C39" s="132"/>
      <c r="D39" s="132"/>
      <c r="E39" s="132"/>
      <c r="F39" s="132"/>
      <c r="G39" s="132"/>
      <c r="H39" s="132"/>
      <c r="I39" s="132"/>
      <c r="J39" s="132"/>
      <c r="K39" s="132"/>
      <c r="L39" s="132"/>
      <c r="M39" s="132"/>
      <c r="N39" s="132"/>
    </row>
    <row r="40" spans="1:14" ht="30" x14ac:dyDescent="0.25">
      <c r="A40" s="133" t="s">
        <v>482</v>
      </c>
      <c r="B40" s="136">
        <f t="shared" si="0"/>
        <v>0</v>
      </c>
      <c r="C40" s="132"/>
      <c r="D40" s="132"/>
      <c r="E40" s="132"/>
      <c r="F40" s="132"/>
      <c r="G40" s="132"/>
      <c r="H40" s="132"/>
      <c r="I40" s="132"/>
      <c r="J40" s="132"/>
      <c r="K40" s="132"/>
      <c r="L40" s="132"/>
      <c r="M40" s="132"/>
      <c r="N40" s="132"/>
    </row>
    <row r="41" spans="1:14" ht="30" x14ac:dyDescent="0.25">
      <c r="A41" s="133" t="s">
        <v>481</v>
      </c>
      <c r="B41" s="136">
        <f t="shared" ref="B41:B72" si="5">SUM(C41:N41)</f>
        <v>0</v>
      </c>
      <c r="C41" s="132"/>
      <c r="D41" s="132"/>
      <c r="E41" s="132"/>
      <c r="F41" s="132"/>
      <c r="G41" s="132"/>
      <c r="H41" s="132"/>
      <c r="I41" s="132"/>
      <c r="J41" s="132"/>
      <c r="K41" s="132"/>
      <c r="L41" s="132"/>
      <c r="M41" s="132"/>
      <c r="N41" s="132"/>
    </row>
    <row r="42" spans="1:14" ht="30" x14ac:dyDescent="0.25">
      <c r="A42" s="133" t="s">
        <v>480</v>
      </c>
      <c r="B42" s="136">
        <f t="shared" si="5"/>
        <v>0</v>
      </c>
      <c r="C42" s="132"/>
      <c r="D42" s="132"/>
      <c r="E42" s="132"/>
      <c r="F42" s="132"/>
      <c r="G42" s="132"/>
      <c r="H42" s="132"/>
      <c r="I42" s="132"/>
      <c r="J42" s="132"/>
      <c r="K42" s="132"/>
      <c r="L42" s="132"/>
      <c r="M42" s="132"/>
      <c r="N42" s="132"/>
    </row>
    <row r="43" spans="1:14" x14ac:dyDescent="0.25">
      <c r="A43" s="139" t="s">
        <v>479</v>
      </c>
      <c r="B43" s="138">
        <f t="shared" si="5"/>
        <v>0</v>
      </c>
      <c r="C43" s="137">
        <f t="shared" ref="C43:N43" si="6">SUM(C44:C50)</f>
        <v>0</v>
      </c>
      <c r="D43" s="137">
        <f t="shared" si="6"/>
        <v>0</v>
      </c>
      <c r="E43" s="137">
        <f t="shared" si="6"/>
        <v>0</v>
      </c>
      <c r="F43" s="137">
        <f t="shared" si="6"/>
        <v>0</v>
      </c>
      <c r="G43" s="137">
        <f t="shared" si="6"/>
        <v>0</v>
      </c>
      <c r="H43" s="137">
        <f t="shared" si="6"/>
        <v>0</v>
      </c>
      <c r="I43" s="137">
        <f t="shared" si="6"/>
        <v>0</v>
      </c>
      <c r="J43" s="137">
        <f t="shared" si="6"/>
        <v>0</v>
      </c>
      <c r="K43" s="137">
        <f t="shared" si="6"/>
        <v>0</v>
      </c>
      <c r="L43" s="137">
        <f t="shared" si="6"/>
        <v>0</v>
      </c>
      <c r="M43" s="137">
        <f t="shared" si="6"/>
        <v>0</v>
      </c>
      <c r="N43" s="137">
        <f t="shared" si="6"/>
        <v>0</v>
      </c>
    </row>
    <row r="44" spans="1:14" ht="30" x14ac:dyDescent="0.25">
      <c r="A44" s="133" t="s">
        <v>478</v>
      </c>
      <c r="B44" s="136">
        <f t="shared" si="5"/>
        <v>0</v>
      </c>
      <c r="C44" s="132"/>
      <c r="D44" s="132"/>
      <c r="E44" s="132"/>
      <c r="F44" s="132"/>
      <c r="G44" s="132"/>
      <c r="H44" s="132"/>
      <c r="I44" s="132"/>
      <c r="J44" s="132"/>
      <c r="K44" s="132"/>
      <c r="L44" s="132"/>
      <c r="M44" s="132"/>
      <c r="N44" s="132"/>
    </row>
    <row r="45" spans="1:14" ht="30" x14ac:dyDescent="0.25">
      <c r="A45" s="133" t="s">
        <v>477</v>
      </c>
      <c r="B45" s="136">
        <f t="shared" si="5"/>
        <v>0</v>
      </c>
      <c r="C45" s="132"/>
      <c r="D45" s="132"/>
      <c r="E45" s="132"/>
      <c r="F45" s="132"/>
      <c r="G45" s="132"/>
      <c r="H45" s="132"/>
      <c r="I45" s="132"/>
      <c r="J45" s="132"/>
      <c r="K45" s="132"/>
      <c r="L45" s="132"/>
      <c r="M45" s="132"/>
      <c r="N45" s="132"/>
    </row>
    <row r="46" spans="1:14" ht="30" x14ac:dyDescent="0.25">
      <c r="A46" s="133" t="s">
        <v>476</v>
      </c>
      <c r="B46" s="136">
        <f t="shared" si="5"/>
        <v>0</v>
      </c>
      <c r="C46" s="132"/>
      <c r="D46" s="132"/>
      <c r="E46" s="132"/>
      <c r="F46" s="132"/>
      <c r="G46" s="132"/>
      <c r="H46" s="132"/>
      <c r="I46" s="132"/>
      <c r="J46" s="132"/>
      <c r="K46" s="132"/>
      <c r="L46" s="132"/>
      <c r="M46" s="132"/>
      <c r="N46" s="132"/>
    </row>
    <row r="47" spans="1:14" ht="30" x14ac:dyDescent="0.25">
      <c r="A47" s="133" t="s">
        <v>475</v>
      </c>
      <c r="B47" s="136">
        <f t="shared" si="5"/>
        <v>0</v>
      </c>
      <c r="C47" s="132"/>
      <c r="D47" s="132"/>
      <c r="E47" s="132"/>
      <c r="F47" s="132"/>
      <c r="G47" s="132"/>
      <c r="H47" s="132"/>
      <c r="I47" s="132"/>
      <c r="J47" s="132"/>
      <c r="K47" s="132"/>
      <c r="L47" s="132"/>
      <c r="M47" s="132"/>
      <c r="N47" s="132"/>
    </row>
    <row r="48" spans="1:14" ht="30" x14ac:dyDescent="0.25">
      <c r="A48" s="133" t="s">
        <v>474</v>
      </c>
      <c r="B48" s="136">
        <f t="shared" si="5"/>
        <v>0</v>
      </c>
      <c r="C48" s="132"/>
      <c r="D48" s="132"/>
      <c r="E48" s="132"/>
      <c r="F48" s="132"/>
      <c r="G48" s="132"/>
      <c r="H48" s="132"/>
      <c r="I48" s="132"/>
      <c r="J48" s="132"/>
      <c r="K48" s="132"/>
      <c r="L48" s="132"/>
      <c r="M48" s="132"/>
      <c r="N48" s="132"/>
    </row>
    <row r="49" spans="1:14" ht="30" x14ac:dyDescent="0.25">
      <c r="A49" s="133" t="s">
        <v>473</v>
      </c>
      <c r="B49" s="136">
        <f t="shared" si="5"/>
        <v>0</v>
      </c>
      <c r="C49" s="132"/>
      <c r="D49" s="132"/>
      <c r="E49" s="132"/>
      <c r="F49" s="132"/>
      <c r="G49" s="132"/>
      <c r="H49" s="132"/>
      <c r="I49" s="132"/>
      <c r="J49" s="132"/>
      <c r="K49" s="132"/>
      <c r="L49" s="132"/>
      <c r="M49" s="132"/>
      <c r="N49" s="132"/>
    </row>
    <row r="50" spans="1:14" ht="30" x14ac:dyDescent="0.25">
      <c r="A50" s="133" t="s">
        <v>472</v>
      </c>
      <c r="B50" s="136">
        <f t="shared" si="5"/>
        <v>0</v>
      </c>
      <c r="C50" s="132"/>
      <c r="D50" s="132"/>
      <c r="E50" s="132"/>
      <c r="F50" s="132"/>
      <c r="G50" s="132"/>
      <c r="H50" s="132"/>
      <c r="I50" s="132"/>
      <c r="J50" s="132"/>
      <c r="K50" s="132"/>
      <c r="L50" s="132"/>
      <c r="M50" s="132"/>
      <c r="N50" s="132"/>
    </row>
    <row r="51" spans="1:14" x14ac:dyDescent="0.25">
      <c r="A51" s="139" t="s">
        <v>471</v>
      </c>
      <c r="B51" s="138">
        <f t="shared" si="5"/>
        <v>42102444.210000001</v>
      </c>
      <c r="C51" s="137">
        <f t="shared" ref="C51:N51" si="7">SUM(C52:C60)</f>
        <v>0</v>
      </c>
      <c r="D51" s="137">
        <f t="shared" si="7"/>
        <v>6461017.2600000007</v>
      </c>
      <c r="E51" s="137">
        <f t="shared" si="7"/>
        <v>11396849.360000001</v>
      </c>
      <c r="F51" s="137">
        <f t="shared" si="7"/>
        <v>4665041.3900000006</v>
      </c>
      <c r="G51" s="137">
        <f t="shared" si="7"/>
        <v>6580673.1400000006</v>
      </c>
      <c r="H51" s="137">
        <f t="shared" si="7"/>
        <v>3698140.34</v>
      </c>
      <c r="I51" s="137">
        <f t="shared" si="7"/>
        <v>9300722.7199999988</v>
      </c>
      <c r="J51" s="137">
        <f t="shared" si="7"/>
        <v>0</v>
      </c>
      <c r="K51" s="137">
        <f t="shared" si="7"/>
        <v>0</v>
      </c>
      <c r="L51" s="137">
        <f t="shared" si="7"/>
        <v>0</v>
      </c>
      <c r="M51" s="137">
        <f t="shared" si="7"/>
        <v>0</v>
      </c>
      <c r="N51" s="137">
        <f t="shared" si="7"/>
        <v>0</v>
      </c>
    </row>
    <row r="52" spans="1:14" x14ac:dyDescent="0.25">
      <c r="A52" s="133" t="s">
        <v>470</v>
      </c>
      <c r="B52" s="136">
        <f t="shared" si="5"/>
        <v>6965965.3200000003</v>
      </c>
      <c r="C52" s="132"/>
      <c r="D52" s="132">
        <v>432420.86</v>
      </c>
      <c r="E52" s="132">
        <v>678205</v>
      </c>
      <c r="F52" s="132">
        <v>1812434.48</v>
      </c>
      <c r="G52" s="132">
        <v>231484.25</v>
      </c>
      <c r="H52" s="132">
        <v>1542516.34</v>
      </c>
      <c r="I52" s="132">
        <v>2268904.39</v>
      </c>
      <c r="J52" s="132"/>
      <c r="K52" s="132"/>
      <c r="L52" s="132"/>
      <c r="M52" s="132"/>
      <c r="N52" s="132"/>
    </row>
    <row r="53" spans="1:14" ht="30" x14ac:dyDescent="0.25">
      <c r="A53" s="133" t="s">
        <v>469</v>
      </c>
      <c r="B53" s="136">
        <f t="shared" si="5"/>
        <v>182926.74</v>
      </c>
      <c r="C53" s="132"/>
      <c r="D53" s="132"/>
      <c r="E53" s="132"/>
      <c r="F53" s="132"/>
      <c r="G53" s="132">
        <v>182926.74</v>
      </c>
      <c r="H53" s="132"/>
      <c r="I53" s="132"/>
      <c r="J53" s="132"/>
      <c r="K53" s="132"/>
      <c r="L53" s="132"/>
      <c r="M53" s="132"/>
      <c r="N53" s="132"/>
    </row>
    <row r="54" spans="1:14" ht="30" x14ac:dyDescent="0.25">
      <c r="A54" s="133" t="s">
        <v>468</v>
      </c>
      <c r="B54" s="136">
        <f t="shared" si="5"/>
        <v>28433170.080000002</v>
      </c>
      <c r="C54" s="132"/>
      <c r="D54" s="132">
        <v>6028596.4000000004</v>
      </c>
      <c r="E54" s="132">
        <v>10715444.390000001</v>
      </c>
      <c r="F54" s="132">
        <v>2635786.91</v>
      </c>
      <c r="G54" s="132">
        <v>2285211.66</v>
      </c>
      <c r="H54" s="132">
        <v>1742624</v>
      </c>
      <c r="I54" s="132">
        <v>5025506.72</v>
      </c>
      <c r="J54" s="132"/>
      <c r="K54" s="132"/>
      <c r="L54" s="132"/>
      <c r="M54" s="132"/>
      <c r="N54" s="132"/>
    </row>
    <row r="55" spans="1:14" ht="30" x14ac:dyDescent="0.25">
      <c r="A55" s="133" t="s">
        <v>467</v>
      </c>
      <c r="B55" s="136">
        <f t="shared" si="5"/>
        <v>0</v>
      </c>
      <c r="C55" s="132"/>
      <c r="D55" s="132"/>
      <c r="E55" s="132"/>
      <c r="F55" s="132"/>
      <c r="G55" s="132"/>
      <c r="H55" s="132"/>
      <c r="I55" s="132"/>
      <c r="J55" s="132"/>
      <c r="K55" s="132"/>
      <c r="L55" s="132"/>
      <c r="M55" s="132"/>
      <c r="N55" s="132"/>
    </row>
    <row r="56" spans="1:14" ht="30" x14ac:dyDescent="0.25">
      <c r="A56" s="133" t="s">
        <v>466</v>
      </c>
      <c r="B56" s="136">
        <f t="shared" si="5"/>
        <v>6174821.1299999999</v>
      </c>
      <c r="C56" s="132"/>
      <c r="D56" s="132"/>
      <c r="E56" s="132">
        <v>3199.97</v>
      </c>
      <c r="F56" s="132">
        <v>216820</v>
      </c>
      <c r="G56" s="132">
        <v>3535489.55</v>
      </c>
      <c r="H56" s="132">
        <v>413000</v>
      </c>
      <c r="I56" s="132">
        <v>2006311.61</v>
      </c>
      <c r="J56" s="132"/>
      <c r="K56" s="132"/>
      <c r="L56" s="132"/>
      <c r="M56" s="132"/>
      <c r="N56" s="132"/>
    </row>
    <row r="57" spans="1:14" x14ac:dyDescent="0.25">
      <c r="A57" s="133" t="s">
        <v>465</v>
      </c>
      <c r="B57" s="136">
        <f t="shared" si="5"/>
        <v>0</v>
      </c>
      <c r="C57" s="132"/>
      <c r="D57" s="132"/>
      <c r="E57" s="132"/>
      <c r="F57" s="132"/>
      <c r="G57" s="132"/>
      <c r="H57" s="132"/>
      <c r="I57" s="132"/>
      <c r="J57" s="132"/>
      <c r="K57" s="132"/>
      <c r="L57" s="132"/>
      <c r="M57" s="132"/>
      <c r="N57" s="132"/>
    </row>
    <row r="58" spans="1:14" x14ac:dyDescent="0.25">
      <c r="A58" s="133" t="s">
        <v>464</v>
      </c>
      <c r="B58" s="136">
        <f t="shared" si="5"/>
        <v>0</v>
      </c>
      <c r="C58" s="132"/>
      <c r="D58" s="132"/>
      <c r="E58" s="132"/>
      <c r="F58" s="132"/>
      <c r="G58" s="132"/>
      <c r="H58" s="132"/>
      <c r="I58" s="132"/>
      <c r="J58" s="132"/>
      <c r="K58" s="132"/>
      <c r="L58" s="132"/>
      <c r="M58" s="132"/>
      <c r="N58" s="132"/>
    </row>
    <row r="59" spans="1:14" x14ac:dyDescent="0.25">
      <c r="A59" s="133" t="s">
        <v>463</v>
      </c>
      <c r="B59" s="136">
        <f t="shared" si="5"/>
        <v>0</v>
      </c>
      <c r="C59" s="132"/>
      <c r="D59" s="132"/>
      <c r="E59" s="132"/>
      <c r="F59" s="132"/>
      <c r="G59" s="132"/>
      <c r="H59" s="132"/>
      <c r="I59" s="132"/>
      <c r="J59" s="132"/>
      <c r="K59" s="132"/>
      <c r="L59" s="132"/>
      <c r="M59" s="132"/>
      <c r="N59" s="132"/>
    </row>
    <row r="60" spans="1:14" ht="30" x14ac:dyDescent="0.25">
      <c r="A60" s="133" t="s">
        <v>462</v>
      </c>
      <c r="B60" s="136">
        <f t="shared" si="5"/>
        <v>345560.94</v>
      </c>
      <c r="C60" s="132"/>
      <c r="D60" s="132"/>
      <c r="E60" s="132"/>
      <c r="F60" s="132"/>
      <c r="G60" s="132">
        <v>345560.94</v>
      </c>
      <c r="H60" s="132"/>
      <c r="I60" s="132"/>
      <c r="J60" s="132"/>
      <c r="K60" s="132"/>
      <c r="L60" s="132"/>
      <c r="M60" s="132"/>
      <c r="N60" s="132"/>
    </row>
    <row r="61" spans="1:14" x14ac:dyDescent="0.25">
      <c r="A61" s="139" t="s">
        <v>461</v>
      </c>
      <c r="B61" s="138">
        <f t="shared" si="5"/>
        <v>0</v>
      </c>
      <c r="C61" s="137">
        <f t="shared" ref="C61:N61" si="8">SUM(C62:C65)</f>
        <v>0</v>
      </c>
      <c r="D61" s="137">
        <f t="shared" si="8"/>
        <v>0</v>
      </c>
      <c r="E61" s="137">
        <f t="shared" si="8"/>
        <v>0</v>
      </c>
      <c r="F61" s="137">
        <f t="shared" si="8"/>
        <v>0</v>
      </c>
      <c r="G61" s="137">
        <f t="shared" si="8"/>
        <v>0</v>
      </c>
      <c r="H61" s="137">
        <f t="shared" si="8"/>
        <v>0</v>
      </c>
      <c r="I61" s="137">
        <f t="shared" si="8"/>
        <v>0</v>
      </c>
      <c r="J61" s="137">
        <f t="shared" si="8"/>
        <v>0</v>
      </c>
      <c r="K61" s="137">
        <f t="shared" si="8"/>
        <v>0</v>
      </c>
      <c r="L61" s="137">
        <f t="shared" si="8"/>
        <v>0</v>
      </c>
      <c r="M61" s="137">
        <f t="shared" si="8"/>
        <v>0</v>
      </c>
      <c r="N61" s="137">
        <f t="shared" si="8"/>
        <v>0</v>
      </c>
    </row>
    <row r="62" spans="1:14" x14ac:dyDescent="0.25">
      <c r="A62" s="133" t="s">
        <v>460</v>
      </c>
      <c r="B62" s="136">
        <f t="shared" si="5"/>
        <v>0</v>
      </c>
      <c r="C62" s="132"/>
      <c r="D62" s="132"/>
      <c r="E62" s="132"/>
      <c r="F62" s="132"/>
      <c r="G62" s="132"/>
      <c r="H62" s="132"/>
      <c r="I62" s="132"/>
      <c r="J62" s="132"/>
      <c r="K62" s="132"/>
      <c r="L62" s="132"/>
      <c r="M62" s="132"/>
      <c r="N62" s="132"/>
    </row>
    <row r="63" spans="1:14" x14ac:dyDescent="0.25">
      <c r="A63" s="133" t="s">
        <v>459</v>
      </c>
      <c r="B63" s="136">
        <f t="shared" si="5"/>
        <v>0</v>
      </c>
      <c r="C63" s="132"/>
      <c r="D63" s="132"/>
      <c r="E63" s="132"/>
      <c r="F63" s="132"/>
      <c r="G63" s="132"/>
      <c r="H63" s="132"/>
      <c r="I63" s="132"/>
      <c r="J63" s="132"/>
      <c r="K63" s="132"/>
      <c r="L63" s="132"/>
      <c r="M63" s="132"/>
      <c r="N63" s="132"/>
    </row>
    <row r="64" spans="1:14" ht="30" x14ac:dyDescent="0.25">
      <c r="A64" s="133" t="s">
        <v>458</v>
      </c>
      <c r="B64" s="136">
        <f t="shared" si="5"/>
        <v>0</v>
      </c>
      <c r="C64" s="132"/>
      <c r="D64" s="132"/>
      <c r="E64" s="132"/>
      <c r="F64" s="132"/>
      <c r="G64" s="132"/>
      <c r="H64" s="132"/>
      <c r="I64" s="132"/>
      <c r="J64" s="132"/>
      <c r="K64" s="132"/>
      <c r="L64" s="132"/>
      <c r="M64" s="132"/>
      <c r="N64" s="132"/>
    </row>
    <row r="65" spans="1:14" ht="30" x14ac:dyDescent="0.25">
      <c r="A65" s="133" t="s">
        <v>457</v>
      </c>
      <c r="B65" s="136">
        <f t="shared" si="5"/>
        <v>0</v>
      </c>
      <c r="C65" s="132"/>
      <c r="D65" s="132"/>
      <c r="E65" s="132"/>
      <c r="F65" s="132"/>
      <c r="G65" s="132"/>
      <c r="H65" s="132"/>
      <c r="I65" s="132"/>
      <c r="J65" s="132"/>
      <c r="K65" s="132"/>
      <c r="L65" s="132"/>
      <c r="M65" s="132"/>
      <c r="N65" s="132"/>
    </row>
    <row r="66" spans="1:14" ht="30" x14ac:dyDescent="0.25">
      <c r="A66" s="139" t="s">
        <v>456</v>
      </c>
      <c r="B66" s="138">
        <f t="shared" si="5"/>
        <v>0</v>
      </c>
      <c r="C66" s="137">
        <f t="shared" ref="C66:N66" si="9">SUM(C67:C68)</f>
        <v>0</v>
      </c>
      <c r="D66" s="137">
        <f t="shared" si="9"/>
        <v>0</v>
      </c>
      <c r="E66" s="137">
        <f t="shared" si="9"/>
        <v>0</v>
      </c>
      <c r="F66" s="137">
        <f t="shared" si="9"/>
        <v>0</v>
      </c>
      <c r="G66" s="137">
        <f t="shared" si="9"/>
        <v>0</v>
      </c>
      <c r="H66" s="137">
        <f t="shared" si="9"/>
        <v>0</v>
      </c>
      <c r="I66" s="137">
        <f t="shared" si="9"/>
        <v>0</v>
      </c>
      <c r="J66" s="137">
        <f t="shared" si="9"/>
        <v>0</v>
      </c>
      <c r="K66" s="137">
        <f t="shared" si="9"/>
        <v>0</v>
      </c>
      <c r="L66" s="137">
        <f t="shared" si="9"/>
        <v>0</v>
      </c>
      <c r="M66" s="137">
        <f t="shared" si="9"/>
        <v>0</v>
      </c>
      <c r="N66" s="137">
        <f t="shared" si="9"/>
        <v>0</v>
      </c>
    </row>
    <row r="67" spans="1:14" x14ac:dyDescent="0.25">
      <c r="A67" s="133" t="s">
        <v>455</v>
      </c>
      <c r="B67" s="136">
        <f t="shared" si="5"/>
        <v>0</v>
      </c>
      <c r="C67" s="132"/>
      <c r="D67" s="132"/>
      <c r="E67" s="132"/>
      <c r="F67" s="132"/>
      <c r="G67" s="132"/>
      <c r="H67" s="132"/>
      <c r="I67" s="132"/>
      <c r="J67" s="132"/>
      <c r="K67" s="132"/>
      <c r="L67" s="132"/>
      <c r="M67" s="132"/>
      <c r="N67" s="132"/>
    </row>
    <row r="68" spans="1:14" ht="30" x14ac:dyDescent="0.25">
      <c r="A68" s="133" t="s">
        <v>454</v>
      </c>
      <c r="B68" s="136">
        <f t="shared" si="5"/>
        <v>0</v>
      </c>
      <c r="C68" s="132"/>
      <c r="D68" s="132"/>
      <c r="E68" s="132"/>
      <c r="F68" s="132"/>
      <c r="G68" s="132"/>
      <c r="H68" s="132"/>
      <c r="I68" s="132"/>
      <c r="J68" s="132"/>
      <c r="K68" s="132"/>
      <c r="L68" s="132"/>
      <c r="M68" s="132"/>
      <c r="N68" s="132"/>
    </row>
    <row r="69" spans="1:14" x14ac:dyDescent="0.25">
      <c r="A69" s="139" t="s">
        <v>453</v>
      </c>
      <c r="B69" s="138">
        <f t="shared" si="5"/>
        <v>0</v>
      </c>
      <c r="C69" s="137">
        <f t="shared" ref="C69:N69" si="10">SUM(C70:C72)</f>
        <v>0</v>
      </c>
      <c r="D69" s="137">
        <f t="shared" si="10"/>
        <v>0</v>
      </c>
      <c r="E69" s="137">
        <f t="shared" si="10"/>
        <v>0</v>
      </c>
      <c r="F69" s="137">
        <f t="shared" si="10"/>
        <v>0</v>
      </c>
      <c r="G69" s="137">
        <f t="shared" si="10"/>
        <v>0</v>
      </c>
      <c r="H69" s="137">
        <f t="shared" si="10"/>
        <v>0</v>
      </c>
      <c r="I69" s="137">
        <f t="shared" si="10"/>
        <v>0</v>
      </c>
      <c r="J69" s="137">
        <f t="shared" si="10"/>
        <v>0</v>
      </c>
      <c r="K69" s="137">
        <f t="shared" si="10"/>
        <v>0</v>
      </c>
      <c r="L69" s="137">
        <f t="shared" si="10"/>
        <v>0</v>
      </c>
      <c r="M69" s="137">
        <f t="shared" si="10"/>
        <v>0</v>
      </c>
      <c r="N69" s="137">
        <f t="shared" si="10"/>
        <v>0</v>
      </c>
    </row>
    <row r="70" spans="1:14" x14ac:dyDescent="0.25">
      <c r="A70" s="133" t="s">
        <v>452</v>
      </c>
      <c r="B70" s="136">
        <f t="shared" si="5"/>
        <v>0</v>
      </c>
      <c r="C70" s="132"/>
      <c r="D70" s="132"/>
      <c r="E70" s="132"/>
      <c r="F70" s="132"/>
      <c r="G70" s="132"/>
      <c r="H70" s="132"/>
      <c r="I70" s="132"/>
      <c r="J70" s="132"/>
      <c r="K70" s="132"/>
      <c r="L70" s="132"/>
      <c r="M70" s="132"/>
      <c r="N70" s="132"/>
    </row>
    <row r="71" spans="1:14" x14ac:dyDescent="0.25">
      <c r="A71" s="133" t="s">
        <v>451</v>
      </c>
      <c r="B71" s="136">
        <f t="shared" si="5"/>
        <v>0</v>
      </c>
      <c r="C71" s="132"/>
      <c r="D71" s="132"/>
      <c r="E71" s="132"/>
      <c r="F71" s="132"/>
      <c r="G71" s="132"/>
      <c r="H71" s="132"/>
      <c r="I71" s="132"/>
      <c r="J71" s="132"/>
      <c r="K71" s="132"/>
      <c r="L71" s="132"/>
      <c r="M71" s="132"/>
      <c r="N71" s="132"/>
    </row>
    <row r="72" spans="1:14" ht="30" x14ac:dyDescent="0.25">
      <c r="A72" s="133" t="s">
        <v>450</v>
      </c>
      <c r="B72" s="136">
        <f t="shared" si="5"/>
        <v>0</v>
      </c>
      <c r="C72" s="132"/>
      <c r="D72" s="132"/>
      <c r="E72" s="132"/>
      <c r="F72" s="132"/>
      <c r="G72" s="132"/>
      <c r="H72" s="132"/>
      <c r="I72" s="132"/>
      <c r="J72" s="132"/>
      <c r="K72" s="132"/>
      <c r="L72" s="132"/>
      <c r="M72" s="132"/>
      <c r="N72" s="132"/>
    </row>
    <row r="73" spans="1:14" x14ac:dyDescent="0.25">
      <c r="A73" s="131" t="s">
        <v>449</v>
      </c>
      <c r="B73" s="130">
        <f t="shared" ref="B73:N73" si="11">B9+B15+B25+B35+B43+B51+B61+B66+B69</f>
        <v>659404080.09000003</v>
      </c>
      <c r="C73" s="130">
        <f t="shared" si="11"/>
        <v>70061780.310000002</v>
      </c>
      <c r="D73" s="130">
        <f t="shared" si="11"/>
        <v>89363053.320000008</v>
      </c>
      <c r="E73" s="130">
        <f t="shared" si="11"/>
        <v>112455416.94</v>
      </c>
      <c r="F73" s="130">
        <f t="shared" si="11"/>
        <v>91800339.5</v>
      </c>
      <c r="G73" s="130">
        <f t="shared" si="11"/>
        <v>91500561.63000001</v>
      </c>
      <c r="H73" s="130">
        <f t="shared" si="11"/>
        <v>93930744.409999996</v>
      </c>
      <c r="I73" s="130">
        <f t="shared" si="11"/>
        <v>110292183.97999999</v>
      </c>
      <c r="J73" s="130">
        <f t="shared" si="11"/>
        <v>0</v>
      </c>
      <c r="K73" s="130">
        <f t="shared" si="11"/>
        <v>0</v>
      </c>
      <c r="L73" s="130">
        <f t="shared" si="11"/>
        <v>0</v>
      </c>
      <c r="M73" s="130">
        <f t="shared" si="11"/>
        <v>0</v>
      </c>
      <c r="N73" s="130">
        <f t="shared" si="11"/>
        <v>0</v>
      </c>
    </row>
    <row r="74" spans="1:14" x14ac:dyDescent="0.25">
      <c r="A74" s="135" t="s">
        <v>448</v>
      </c>
      <c r="B74" s="134"/>
      <c r="C74" s="134"/>
      <c r="D74" s="134"/>
      <c r="E74" s="134"/>
      <c r="F74" s="134"/>
      <c r="G74" s="134"/>
      <c r="H74" s="134"/>
      <c r="I74" s="134"/>
      <c r="J74" s="134"/>
      <c r="K74" s="134"/>
      <c r="L74" s="134"/>
      <c r="M74" s="134"/>
      <c r="N74" s="134"/>
    </row>
    <row r="75" spans="1:14" x14ac:dyDescent="0.25">
      <c r="A75" s="135" t="s">
        <v>447</v>
      </c>
      <c r="B75" s="112"/>
      <c r="C75" s="134"/>
      <c r="D75" s="112"/>
      <c r="E75" s="112"/>
      <c r="F75" s="112"/>
      <c r="G75" s="112"/>
      <c r="H75" s="112"/>
      <c r="I75" s="112"/>
      <c r="J75" s="112"/>
      <c r="K75" s="112"/>
      <c r="L75" s="112"/>
      <c r="M75" s="112"/>
      <c r="N75" s="112"/>
    </row>
    <row r="76" spans="1:14" ht="30" x14ac:dyDescent="0.25">
      <c r="A76" s="133" t="s">
        <v>446</v>
      </c>
      <c r="B76" s="112"/>
      <c r="C76" s="132"/>
      <c r="D76" s="112"/>
      <c r="E76" s="112"/>
      <c r="F76" s="112"/>
      <c r="G76" s="112"/>
      <c r="H76" s="112"/>
      <c r="I76" s="112"/>
      <c r="J76" s="112"/>
      <c r="K76" s="112"/>
      <c r="L76" s="112"/>
      <c r="M76" s="112"/>
      <c r="N76" s="112"/>
    </row>
    <row r="77" spans="1:14" ht="30" x14ac:dyDescent="0.25">
      <c r="A77" s="133" t="s">
        <v>445</v>
      </c>
      <c r="B77" s="112"/>
      <c r="C77" s="132"/>
      <c r="D77" s="112"/>
      <c r="E77" s="112"/>
      <c r="F77" s="112"/>
      <c r="G77" s="112"/>
      <c r="H77" s="112"/>
      <c r="I77" s="112"/>
      <c r="J77" s="112"/>
      <c r="K77" s="112"/>
      <c r="L77" s="112"/>
      <c r="M77" s="112"/>
      <c r="N77" s="112"/>
    </row>
    <row r="78" spans="1:14" x14ac:dyDescent="0.25">
      <c r="A78" s="135" t="s">
        <v>444</v>
      </c>
      <c r="B78" s="112"/>
      <c r="C78" s="134"/>
      <c r="D78" s="112"/>
      <c r="E78" s="112"/>
      <c r="F78" s="112"/>
      <c r="G78" s="112"/>
      <c r="H78" s="112"/>
      <c r="I78" s="112"/>
      <c r="J78" s="112"/>
      <c r="K78" s="112"/>
      <c r="L78" s="112"/>
      <c r="M78" s="112"/>
      <c r="N78" s="112"/>
    </row>
    <row r="79" spans="1:14" x14ac:dyDescent="0.25">
      <c r="A79" s="133" t="s">
        <v>443</v>
      </c>
      <c r="B79" s="112"/>
      <c r="C79" s="132"/>
      <c r="D79" s="112"/>
      <c r="E79" s="112"/>
      <c r="F79" s="112"/>
      <c r="G79" s="112"/>
      <c r="H79" s="112"/>
      <c r="I79" s="112"/>
      <c r="J79" s="112"/>
      <c r="K79" s="112"/>
      <c r="L79" s="112"/>
      <c r="M79" s="112"/>
      <c r="N79" s="112"/>
    </row>
    <row r="80" spans="1:14" x14ac:dyDescent="0.25">
      <c r="A80" s="133" t="s">
        <v>442</v>
      </c>
      <c r="B80" s="112"/>
      <c r="C80" s="132"/>
      <c r="D80" s="112"/>
      <c r="E80" s="112"/>
      <c r="F80" s="112"/>
      <c r="G80" s="112"/>
      <c r="H80" s="112"/>
      <c r="I80" s="112"/>
      <c r="J80" s="112"/>
      <c r="K80" s="112"/>
      <c r="L80" s="112"/>
      <c r="M80" s="112"/>
      <c r="N80" s="112"/>
    </row>
    <row r="81" spans="1:14" x14ac:dyDescent="0.25">
      <c r="A81" s="135" t="s">
        <v>441</v>
      </c>
      <c r="B81" s="112"/>
      <c r="C81" s="134"/>
      <c r="D81" s="112"/>
      <c r="E81" s="112"/>
      <c r="F81" s="112"/>
      <c r="G81" s="112"/>
      <c r="H81" s="112"/>
      <c r="I81" s="112"/>
      <c r="J81" s="112"/>
      <c r="K81" s="112"/>
      <c r="L81" s="112"/>
      <c r="M81" s="112"/>
      <c r="N81" s="112"/>
    </row>
    <row r="82" spans="1:14" ht="30" x14ac:dyDescent="0.25">
      <c r="A82" s="133" t="s">
        <v>440</v>
      </c>
      <c r="B82" s="112"/>
      <c r="C82" s="132"/>
      <c r="D82" s="112"/>
      <c r="E82" s="112"/>
      <c r="F82" s="112"/>
      <c r="G82" s="112"/>
      <c r="H82" s="112"/>
      <c r="I82" s="112"/>
      <c r="J82" s="112"/>
      <c r="K82" s="112"/>
      <c r="L82" s="112"/>
      <c r="M82" s="112"/>
      <c r="N82" s="112"/>
    </row>
    <row r="83" spans="1:14" x14ac:dyDescent="0.25">
      <c r="A83" s="131" t="s">
        <v>439</v>
      </c>
      <c r="B83" s="130"/>
      <c r="C83" s="130"/>
      <c r="D83" s="130"/>
      <c r="E83" s="130"/>
      <c r="F83" s="130"/>
      <c r="G83" s="130"/>
      <c r="H83" s="130"/>
      <c r="I83" s="130"/>
      <c r="J83" s="130"/>
      <c r="K83" s="130"/>
      <c r="L83" s="130"/>
      <c r="M83" s="130"/>
      <c r="N83" s="130"/>
    </row>
    <row r="84" spans="1:14" x14ac:dyDescent="0.25">
      <c r="A84" s="1"/>
      <c r="B84" s="112"/>
      <c r="C84" s="112"/>
      <c r="D84" s="112"/>
      <c r="E84" s="112"/>
      <c r="F84" s="112"/>
      <c r="G84" s="112"/>
      <c r="H84" s="112"/>
      <c r="I84" s="112"/>
      <c r="J84" s="112"/>
      <c r="K84" s="112"/>
      <c r="L84" s="112"/>
      <c r="M84" s="112"/>
      <c r="N84" s="112"/>
    </row>
    <row r="85" spans="1:14" ht="15.75" x14ac:dyDescent="0.25">
      <c r="A85" s="129" t="s">
        <v>438</v>
      </c>
      <c r="B85" s="128">
        <f>+B83+B73</f>
        <v>659404080.09000003</v>
      </c>
      <c r="C85" s="128">
        <f t="shared" ref="C85" si="12">+C83+C73</f>
        <v>70061780.310000002</v>
      </c>
      <c r="D85" s="128">
        <f>+D83+D73</f>
        <v>89363053.320000008</v>
      </c>
      <c r="E85" s="128">
        <f t="shared" ref="E85:N85" si="13">+E83+E73</f>
        <v>112455416.94</v>
      </c>
      <c r="F85" s="128">
        <f t="shared" si="13"/>
        <v>91800339.5</v>
      </c>
      <c r="G85" s="128">
        <f t="shared" si="13"/>
        <v>91500561.63000001</v>
      </c>
      <c r="H85" s="128">
        <f t="shared" si="13"/>
        <v>93930744.409999996</v>
      </c>
      <c r="I85" s="128">
        <f t="shared" si="13"/>
        <v>110292183.97999999</v>
      </c>
      <c r="J85" s="128">
        <f t="shared" si="13"/>
        <v>0</v>
      </c>
      <c r="K85" s="128">
        <f t="shared" si="13"/>
        <v>0</v>
      </c>
      <c r="L85" s="128">
        <f t="shared" si="13"/>
        <v>0</v>
      </c>
      <c r="M85" s="128">
        <f t="shared" si="13"/>
        <v>0</v>
      </c>
      <c r="N85" s="128">
        <f t="shared" si="13"/>
        <v>0</v>
      </c>
    </row>
    <row r="86" spans="1:14" x14ac:dyDescent="0.25">
      <c r="A86" t="s">
        <v>437</v>
      </c>
      <c r="B86" s="211"/>
    </row>
    <row r="87" spans="1:14" x14ac:dyDescent="0.25">
      <c r="A87" t="s">
        <v>816</v>
      </c>
    </row>
    <row r="88" spans="1:14" x14ac:dyDescent="0.25">
      <c r="A88" t="s">
        <v>1502</v>
      </c>
    </row>
  </sheetData>
  <mergeCells count="5">
    <mergeCell ref="A1:N1"/>
    <mergeCell ref="A2:N2"/>
    <mergeCell ref="A3:N3"/>
    <mergeCell ref="A4:N4"/>
    <mergeCell ref="A5:N5"/>
  </mergeCells>
  <pageMargins left="0.70866141732283472" right="0.70866141732283472" top="0.35433070866141736" bottom="0.35433070866141736" header="0.31496062992125984" footer="0.31496062992125984"/>
  <pageSetup scale="5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
  <sheetViews>
    <sheetView topLeftCell="A71" zoomScale="90" zoomScaleNormal="90" zoomScaleSheetLayoutView="82" workbookViewId="0">
      <selection activeCell="A89" sqref="A89"/>
    </sheetView>
  </sheetViews>
  <sheetFormatPr baseColWidth="10" defaultColWidth="9.140625" defaultRowHeight="15" x14ac:dyDescent="0.25"/>
  <cols>
    <col min="1" max="1" width="55.5703125" bestFit="1" customWidth="1"/>
    <col min="2" max="2" width="14.85546875" style="171" bestFit="1" customWidth="1"/>
    <col min="3" max="4" width="13.42578125" style="171" bestFit="1" customWidth="1"/>
    <col min="5" max="5" width="14.5703125" bestFit="1" customWidth="1"/>
    <col min="6" max="9" width="13.42578125" bestFit="1" customWidth="1"/>
    <col min="10" max="10" width="11.5703125" bestFit="1" customWidth="1"/>
    <col min="11" max="11" width="12.42578125" bestFit="1" customWidth="1"/>
    <col min="12" max="12" width="11.5703125" bestFit="1" customWidth="1"/>
    <col min="13" max="13" width="11.85546875" customWidth="1"/>
    <col min="14" max="14" width="12.7109375" bestFit="1" customWidth="1"/>
  </cols>
  <sheetData>
    <row r="1" spans="1:14" ht="18.75" x14ac:dyDescent="0.25">
      <c r="A1" s="469" t="s">
        <v>77</v>
      </c>
      <c r="B1" s="469"/>
      <c r="C1" s="469"/>
      <c r="D1" s="469"/>
      <c r="E1" s="469"/>
      <c r="F1" s="469"/>
      <c r="G1" s="469"/>
      <c r="H1" s="469"/>
      <c r="I1" s="469"/>
      <c r="J1" s="469"/>
      <c r="K1" s="469"/>
      <c r="L1" s="469"/>
      <c r="M1" s="469"/>
      <c r="N1" s="469"/>
    </row>
    <row r="2" spans="1:14" ht="18.75" x14ac:dyDescent="0.25">
      <c r="A2" s="469" t="s">
        <v>657</v>
      </c>
      <c r="B2" s="469"/>
      <c r="C2" s="469"/>
      <c r="D2" s="469"/>
      <c r="E2" s="469"/>
      <c r="F2" s="469"/>
      <c r="G2" s="469"/>
      <c r="H2" s="469"/>
      <c r="I2" s="469"/>
      <c r="J2" s="469"/>
      <c r="K2" s="469"/>
      <c r="L2" s="469"/>
      <c r="M2" s="469"/>
      <c r="N2" s="469"/>
    </row>
    <row r="3" spans="1:14" ht="18.75" x14ac:dyDescent="0.25">
      <c r="A3" s="469" t="s">
        <v>530</v>
      </c>
      <c r="B3" s="469"/>
      <c r="C3" s="469"/>
      <c r="D3" s="469"/>
      <c r="E3" s="469"/>
      <c r="F3" s="469"/>
      <c r="G3" s="469"/>
      <c r="H3" s="469"/>
      <c r="I3" s="469"/>
      <c r="J3" s="469"/>
      <c r="K3" s="469"/>
      <c r="L3" s="469"/>
      <c r="M3" s="469"/>
      <c r="N3" s="469"/>
    </row>
    <row r="4" spans="1:14" ht="15.75" x14ac:dyDescent="0.25">
      <c r="A4" s="470" t="s">
        <v>698</v>
      </c>
      <c r="B4" s="470"/>
      <c r="C4" s="470"/>
      <c r="D4" s="470"/>
      <c r="E4" s="470"/>
      <c r="F4" s="470"/>
      <c r="G4" s="470"/>
      <c r="H4" s="470"/>
      <c r="I4" s="470"/>
      <c r="J4" s="470"/>
      <c r="K4" s="470"/>
      <c r="L4" s="470"/>
      <c r="M4" s="470"/>
      <c r="N4" s="470"/>
    </row>
    <row r="5" spans="1:14" x14ac:dyDescent="0.25">
      <c r="A5" s="471" t="s">
        <v>529</v>
      </c>
      <c r="B5" s="471"/>
      <c r="C5" s="471"/>
      <c r="D5" s="471"/>
      <c r="E5" s="471"/>
      <c r="F5" s="471"/>
      <c r="G5" s="471"/>
      <c r="H5" s="471"/>
      <c r="I5" s="471"/>
      <c r="J5" s="471"/>
      <c r="K5" s="471"/>
      <c r="L5" s="471"/>
      <c r="M5" s="471"/>
      <c r="N5" s="471"/>
    </row>
    <row r="7" spans="1:14" ht="15.75" x14ac:dyDescent="0.25">
      <c r="A7" s="142" t="s">
        <v>528</v>
      </c>
      <c r="B7" s="292" t="s">
        <v>527</v>
      </c>
      <c r="C7" s="292" t="s">
        <v>526</v>
      </c>
      <c r="D7" s="292" t="s">
        <v>525</v>
      </c>
      <c r="E7" s="141" t="s">
        <v>524</v>
      </c>
      <c r="F7" s="141" t="s">
        <v>523</v>
      </c>
      <c r="G7" s="141" t="s">
        <v>522</v>
      </c>
      <c r="H7" s="141" t="s">
        <v>521</v>
      </c>
      <c r="I7" s="141" t="s">
        <v>520</v>
      </c>
      <c r="J7" s="141" t="s">
        <v>519</v>
      </c>
      <c r="K7" s="141" t="s">
        <v>518</v>
      </c>
      <c r="L7" s="141" t="s">
        <v>517</v>
      </c>
      <c r="M7" s="141" t="s">
        <v>516</v>
      </c>
      <c r="N7" s="141" t="s">
        <v>515</v>
      </c>
    </row>
    <row r="8" spans="1:14" x14ac:dyDescent="0.25">
      <c r="A8" s="135" t="s">
        <v>514</v>
      </c>
      <c r="B8" s="140"/>
      <c r="C8" s="140"/>
      <c r="D8" s="140"/>
      <c r="E8" s="140"/>
      <c r="F8" s="140"/>
      <c r="G8" s="140"/>
      <c r="H8" s="140"/>
      <c r="I8" s="140"/>
      <c r="J8" s="140"/>
      <c r="K8" s="140"/>
      <c r="L8" s="140"/>
      <c r="M8" s="140"/>
      <c r="N8" s="140"/>
    </row>
    <row r="9" spans="1:14" x14ac:dyDescent="0.25">
      <c r="A9" s="139" t="s">
        <v>513</v>
      </c>
      <c r="B9" s="138">
        <f>SUM(C9:N9)</f>
        <v>5231553.59</v>
      </c>
      <c r="C9" s="137">
        <f>SUM(C10:C14)</f>
        <v>0</v>
      </c>
      <c r="D9" s="137">
        <f t="shared" ref="D9:N9" si="0">SUM(D10:D14)</f>
        <v>0</v>
      </c>
      <c r="E9" s="137">
        <f t="shared" si="0"/>
        <v>5231553.59</v>
      </c>
      <c r="F9" s="137">
        <f t="shared" si="0"/>
        <v>0</v>
      </c>
      <c r="G9" s="137">
        <f t="shared" si="0"/>
        <v>0</v>
      </c>
      <c r="H9" s="137">
        <f t="shared" si="0"/>
        <v>0</v>
      </c>
      <c r="I9" s="137">
        <f t="shared" si="0"/>
        <v>0</v>
      </c>
      <c r="J9" s="137">
        <f t="shared" si="0"/>
        <v>0</v>
      </c>
      <c r="K9" s="137">
        <f t="shared" si="0"/>
        <v>0</v>
      </c>
      <c r="L9" s="137">
        <f t="shared" si="0"/>
        <v>0</v>
      </c>
      <c r="M9" s="137">
        <f t="shared" si="0"/>
        <v>0</v>
      </c>
      <c r="N9" s="137">
        <f t="shared" si="0"/>
        <v>0</v>
      </c>
    </row>
    <row r="10" spans="1:14" x14ac:dyDescent="0.25">
      <c r="A10" s="133" t="s">
        <v>512</v>
      </c>
      <c r="B10" s="136">
        <f>SUM(C10:N10)</f>
        <v>0</v>
      </c>
      <c r="C10" s="132"/>
      <c r="D10" s="132"/>
      <c r="E10" s="132"/>
      <c r="F10" s="132"/>
      <c r="G10" s="132"/>
      <c r="H10" s="132"/>
      <c r="I10" s="132"/>
      <c r="J10" s="132"/>
      <c r="K10" s="132"/>
      <c r="L10" s="132"/>
      <c r="M10" s="132"/>
      <c r="N10" s="132"/>
    </row>
    <row r="11" spans="1:14" x14ac:dyDescent="0.25">
      <c r="A11" s="133" t="s">
        <v>511</v>
      </c>
      <c r="B11" s="136">
        <f t="shared" ref="B11:B14" si="1">SUM(C11:N11)</f>
        <v>5231553.59</v>
      </c>
      <c r="C11" s="132"/>
      <c r="D11" s="132"/>
      <c r="E11" s="132">
        <v>5231553.59</v>
      </c>
      <c r="F11" s="132"/>
      <c r="G11" s="132"/>
      <c r="H11" s="132"/>
      <c r="I11" s="132"/>
      <c r="J11" s="132"/>
      <c r="K11" s="132"/>
      <c r="L11" s="132"/>
      <c r="M11" s="132"/>
      <c r="N11" s="132"/>
    </row>
    <row r="12" spans="1:14" x14ac:dyDescent="0.25">
      <c r="A12" s="133" t="s">
        <v>510</v>
      </c>
      <c r="B12" s="136">
        <f t="shared" si="1"/>
        <v>0</v>
      </c>
      <c r="C12" s="132"/>
      <c r="D12" s="132"/>
      <c r="E12" s="132"/>
      <c r="F12" s="132"/>
      <c r="G12" s="132"/>
      <c r="H12" s="132"/>
      <c r="I12" s="132"/>
      <c r="J12" s="132"/>
      <c r="K12" s="132"/>
      <c r="L12" s="132"/>
      <c r="M12" s="132"/>
      <c r="N12" s="132"/>
    </row>
    <row r="13" spans="1:14" x14ac:dyDescent="0.25">
      <c r="A13" s="133" t="s">
        <v>509</v>
      </c>
      <c r="B13" s="136">
        <f t="shared" si="1"/>
        <v>0</v>
      </c>
      <c r="C13" s="132"/>
      <c r="D13" s="132"/>
      <c r="E13" s="132"/>
      <c r="F13" s="132"/>
      <c r="G13" s="132"/>
      <c r="H13" s="132"/>
      <c r="I13" s="132"/>
      <c r="J13" s="132"/>
      <c r="K13" s="132"/>
      <c r="L13" s="132"/>
      <c r="M13" s="132"/>
      <c r="N13" s="132"/>
    </row>
    <row r="14" spans="1:14" x14ac:dyDescent="0.25">
      <c r="A14" s="133" t="s">
        <v>508</v>
      </c>
      <c r="B14" s="136">
        <f t="shared" si="1"/>
        <v>0</v>
      </c>
      <c r="C14" s="132"/>
      <c r="D14" s="132"/>
      <c r="E14" s="132"/>
      <c r="F14" s="132"/>
      <c r="G14" s="132"/>
      <c r="H14" s="132"/>
      <c r="I14" s="132"/>
      <c r="J14" s="132"/>
      <c r="K14" s="132"/>
      <c r="L14" s="132"/>
      <c r="M14" s="132"/>
      <c r="N14" s="132"/>
    </row>
    <row r="15" spans="1:14" x14ac:dyDescent="0.25">
      <c r="A15" s="139" t="s">
        <v>507</v>
      </c>
      <c r="B15" s="138">
        <f>SUM(C15:N15)</f>
        <v>20558253.390000001</v>
      </c>
      <c r="C15" s="137">
        <f>SUM(C16:C24)</f>
        <v>2733844.2800000003</v>
      </c>
      <c r="D15" s="137">
        <f t="shared" ref="D15:N15" si="2">SUM(D16:D24)</f>
        <v>1213383.3500000001</v>
      </c>
      <c r="E15" s="137">
        <f t="shared" si="2"/>
        <v>4359456.22</v>
      </c>
      <c r="F15" s="137">
        <f t="shared" si="2"/>
        <v>1256712.0899999999</v>
      </c>
      <c r="G15" s="137">
        <f t="shared" si="2"/>
        <v>2044062.6</v>
      </c>
      <c r="H15" s="137">
        <f t="shared" si="2"/>
        <v>3938639.0999999996</v>
      </c>
      <c r="I15" s="137">
        <f t="shared" si="2"/>
        <v>5012155.75</v>
      </c>
      <c r="J15" s="137">
        <f t="shared" si="2"/>
        <v>0</v>
      </c>
      <c r="K15" s="137">
        <f t="shared" si="2"/>
        <v>0</v>
      </c>
      <c r="L15" s="137">
        <f t="shared" si="2"/>
        <v>0</v>
      </c>
      <c r="M15" s="137">
        <f t="shared" si="2"/>
        <v>0</v>
      </c>
      <c r="N15" s="137">
        <f t="shared" si="2"/>
        <v>0</v>
      </c>
    </row>
    <row r="16" spans="1:14" x14ac:dyDescent="0.25">
      <c r="A16" s="133" t="s">
        <v>506</v>
      </c>
      <c r="B16" s="136">
        <f t="shared" ref="B16:B24" si="3">SUM(C16:N16)</f>
        <v>6472046.6899999995</v>
      </c>
      <c r="C16" s="132">
        <v>351316.33</v>
      </c>
      <c r="D16" s="132">
        <v>259054.4</v>
      </c>
      <c r="E16" s="132">
        <v>1731191.19</v>
      </c>
      <c r="F16" s="132">
        <v>285608.3</v>
      </c>
      <c r="G16" s="132">
        <v>1098463.42</v>
      </c>
      <c r="H16" s="132">
        <v>964509</v>
      </c>
      <c r="I16" s="132">
        <v>1781904.05</v>
      </c>
      <c r="J16" s="132"/>
      <c r="K16" s="132"/>
      <c r="L16" s="132"/>
      <c r="M16" s="132"/>
      <c r="N16" s="132"/>
    </row>
    <row r="17" spans="1:14" x14ac:dyDescent="0.25">
      <c r="A17" s="133" t="s">
        <v>505</v>
      </c>
      <c r="B17" s="136">
        <f>SUM(C17:N17)</f>
        <v>891584.4</v>
      </c>
      <c r="C17" s="132"/>
      <c r="D17" s="132"/>
      <c r="E17" s="132"/>
      <c r="F17" s="132"/>
      <c r="G17" s="132"/>
      <c r="H17" s="132">
        <v>310139.40000000002</v>
      </c>
      <c r="I17" s="132">
        <v>581445</v>
      </c>
      <c r="J17" s="132"/>
      <c r="K17" s="132"/>
      <c r="L17" s="132"/>
      <c r="M17" s="132"/>
      <c r="N17" s="132"/>
    </row>
    <row r="18" spans="1:14" x14ac:dyDescent="0.25">
      <c r="A18" s="133" t="s">
        <v>504</v>
      </c>
      <c r="B18" s="136">
        <f t="shared" si="3"/>
        <v>0</v>
      </c>
      <c r="C18" s="132"/>
      <c r="D18" s="132"/>
      <c r="E18" s="132"/>
      <c r="F18" s="132"/>
      <c r="G18" s="132"/>
      <c r="H18" s="132"/>
      <c r="I18" s="132"/>
      <c r="J18" s="132"/>
      <c r="K18" s="132"/>
      <c r="L18" s="132"/>
      <c r="M18" s="132"/>
      <c r="N18" s="132"/>
    </row>
    <row r="19" spans="1:14" ht="18" customHeight="1" x14ac:dyDescent="0.25">
      <c r="A19" s="133" t="s">
        <v>503</v>
      </c>
      <c r="B19" s="136">
        <f t="shared" si="3"/>
        <v>160000</v>
      </c>
      <c r="C19" s="132"/>
      <c r="D19" s="132">
        <v>24000</v>
      </c>
      <c r="E19" s="132">
        <v>32000</v>
      </c>
      <c r="F19" s="132"/>
      <c r="G19" s="132">
        <v>76000</v>
      </c>
      <c r="H19" s="132">
        <v>20000</v>
      </c>
      <c r="I19" s="132">
        <v>8000</v>
      </c>
      <c r="J19" s="132"/>
      <c r="K19" s="132"/>
      <c r="L19" s="132"/>
      <c r="M19" s="132"/>
      <c r="N19" s="132"/>
    </row>
    <row r="20" spans="1:14" x14ac:dyDescent="0.25">
      <c r="A20" s="133" t="s">
        <v>502</v>
      </c>
      <c r="B20" s="136">
        <f t="shared" si="3"/>
        <v>1577657.11</v>
      </c>
      <c r="C20" s="132">
        <v>266664.25</v>
      </c>
      <c r="D20" s="132">
        <v>252960.9</v>
      </c>
      <c r="E20" s="132"/>
      <c r="F20" s="132">
        <v>229519.78</v>
      </c>
      <c r="G20" s="132">
        <v>529650.64</v>
      </c>
      <c r="H20" s="132"/>
      <c r="I20" s="132">
        <v>298861.53999999998</v>
      </c>
      <c r="J20" s="132"/>
      <c r="K20" s="132"/>
      <c r="L20" s="132"/>
      <c r="M20" s="132"/>
      <c r="N20" s="132"/>
    </row>
    <row r="21" spans="1:14" x14ac:dyDescent="0.25">
      <c r="A21" s="133" t="s">
        <v>501</v>
      </c>
      <c r="B21" s="136">
        <f t="shared" si="3"/>
        <v>0</v>
      </c>
      <c r="C21" s="132"/>
      <c r="D21" s="132"/>
      <c r="E21" s="132"/>
      <c r="F21" s="132"/>
      <c r="G21" s="132"/>
      <c r="H21" s="132"/>
      <c r="I21" s="132"/>
      <c r="J21" s="132"/>
      <c r="K21" s="132"/>
      <c r="L21" s="132"/>
      <c r="M21" s="132"/>
      <c r="N21" s="132"/>
    </row>
    <row r="22" spans="1:14" ht="30" x14ac:dyDescent="0.25">
      <c r="A22" s="133" t="s">
        <v>500</v>
      </c>
      <c r="B22" s="136">
        <f t="shared" si="3"/>
        <v>7230240.9700000007</v>
      </c>
      <c r="C22" s="132">
        <v>2064518.35</v>
      </c>
      <c r="D22" s="132">
        <f>215685.19+42142.86+18061.22+33714.29+21673.47+18061.22+115591.83+7826.53</f>
        <v>472756.61000000004</v>
      </c>
      <c r="E22" s="132">
        <v>2019575.16</v>
      </c>
      <c r="F22" s="132">
        <v>199877.53</v>
      </c>
      <c r="G22" s="132">
        <v>205899.14</v>
      </c>
      <c r="H22" s="132">
        <v>635040.9</v>
      </c>
      <c r="I22" s="132">
        <v>1632573.28</v>
      </c>
      <c r="J22" s="132"/>
      <c r="K22" s="132"/>
      <c r="L22" s="132"/>
      <c r="M22" s="132"/>
      <c r="N22" s="132"/>
    </row>
    <row r="23" spans="1:14" ht="30" x14ac:dyDescent="0.25">
      <c r="A23" s="133" t="s">
        <v>499</v>
      </c>
      <c r="B23" s="136">
        <f t="shared" si="3"/>
        <v>3316436.82</v>
      </c>
      <c r="C23" s="132">
        <v>51345.35</v>
      </c>
      <c r="D23" s="132">
        <f>193432+11179.44</f>
        <v>204611.44</v>
      </c>
      <c r="E23" s="132">
        <v>576689.87</v>
      </c>
      <c r="F23" s="132">
        <f>524513+17193.48</f>
        <v>541706.48</v>
      </c>
      <c r="G23" s="132">
        <v>134049.4</v>
      </c>
      <c r="H23" s="132">
        <v>1098662.3999999999</v>
      </c>
      <c r="I23" s="132">
        <v>709371.88</v>
      </c>
      <c r="J23" s="132"/>
      <c r="K23" s="132"/>
      <c r="L23" s="132"/>
      <c r="M23" s="132"/>
      <c r="N23" s="132"/>
    </row>
    <row r="24" spans="1:14" x14ac:dyDescent="0.25">
      <c r="A24" s="133" t="s">
        <v>498</v>
      </c>
      <c r="B24" s="136">
        <f t="shared" si="3"/>
        <v>910287.4</v>
      </c>
      <c r="C24" s="132"/>
      <c r="D24" s="132"/>
      <c r="E24" s="132"/>
      <c r="F24" s="132"/>
      <c r="G24" s="132"/>
      <c r="H24" s="132">
        <v>910287.4</v>
      </c>
      <c r="I24" s="132"/>
      <c r="J24" s="132"/>
      <c r="K24" s="132"/>
      <c r="L24" s="132"/>
      <c r="M24" s="132"/>
      <c r="N24" s="132"/>
    </row>
    <row r="25" spans="1:14" x14ac:dyDescent="0.25">
      <c r="A25" s="139" t="s">
        <v>497</v>
      </c>
      <c r="B25" s="138">
        <f>SUM(C25:N25)</f>
        <v>17289851.759999998</v>
      </c>
      <c r="C25" s="137">
        <f>SUM(C26:C34)</f>
        <v>3062630.67</v>
      </c>
      <c r="D25" s="137">
        <f t="shared" ref="D25:M25" si="4">SUM(D26:D34)</f>
        <v>2432378.29</v>
      </c>
      <c r="E25" s="137">
        <f t="shared" si="4"/>
        <v>1797538.3199999998</v>
      </c>
      <c r="F25" s="137">
        <f t="shared" si="4"/>
        <v>2995765.1999999997</v>
      </c>
      <c r="G25" s="137">
        <f t="shared" si="4"/>
        <v>2557401.6</v>
      </c>
      <c r="H25" s="137">
        <f t="shared" si="4"/>
        <v>999513.81</v>
      </c>
      <c r="I25" s="137">
        <f t="shared" si="4"/>
        <v>3444623.87</v>
      </c>
      <c r="J25" s="137">
        <f t="shared" si="4"/>
        <v>0</v>
      </c>
      <c r="K25" s="137">
        <f t="shared" si="4"/>
        <v>0</v>
      </c>
      <c r="L25" s="137">
        <f t="shared" si="4"/>
        <v>0</v>
      </c>
      <c r="M25" s="137">
        <f t="shared" si="4"/>
        <v>0</v>
      </c>
      <c r="N25" s="137">
        <f>SUM(N26:N34)</f>
        <v>0</v>
      </c>
    </row>
    <row r="26" spans="1:14" x14ac:dyDescent="0.25">
      <c r="A26" s="133" t="s">
        <v>496</v>
      </c>
      <c r="B26" s="136">
        <f t="shared" ref="B26:B34" si="5">SUM(C26:N26)</f>
        <v>2524715.7999999998</v>
      </c>
      <c r="C26" s="132">
        <v>541265</v>
      </c>
      <c r="D26" s="132">
        <v>300691.8</v>
      </c>
      <c r="E26" s="132">
        <v>658799</v>
      </c>
      <c r="F26" s="132">
        <v>94850</v>
      </c>
      <c r="G26" s="132">
        <v>355075</v>
      </c>
      <c r="H26" s="132">
        <v>213305</v>
      </c>
      <c r="I26" s="132">
        <v>360730</v>
      </c>
      <c r="J26" s="132"/>
      <c r="K26" s="132"/>
      <c r="L26" s="132"/>
      <c r="M26" s="132"/>
      <c r="N26" s="132"/>
    </row>
    <row r="27" spans="1:14" x14ac:dyDescent="0.25">
      <c r="A27" s="133" t="s">
        <v>495</v>
      </c>
      <c r="B27" s="136">
        <f t="shared" si="5"/>
        <v>346306.4</v>
      </c>
      <c r="C27" s="132"/>
      <c r="D27" s="132"/>
      <c r="E27" s="132"/>
      <c r="F27" s="132"/>
      <c r="G27" s="132">
        <v>141128</v>
      </c>
      <c r="H27" s="132">
        <v>205178.4</v>
      </c>
      <c r="I27" s="132"/>
      <c r="J27" s="132"/>
      <c r="K27" s="132"/>
      <c r="L27" s="132"/>
      <c r="M27" s="132"/>
      <c r="N27" s="132"/>
    </row>
    <row r="28" spans="1:14" x14ac:dyDescent="0.25">
      <c r="A28" s="133" t="s">
        <v>494</v>
      </c>
      <c r="B28" s="136">
        <f t="shared" si="5"/>
        <v>1081702</v>
      </c>
      <c r="C28" s="132">
        <v>85550</v>
      </c>
      <c r="D28" s="132">
        <v>107616</v>
      </c>
      <c r="E28" s="132">
        <v>57997</v>
      </c>
      <c r="F28" s="132">
        <v>196824</v>
      </c>
      <c r="G28" s="132">
        <v>607165</v>
      </c>
      <c r="H28" s="132"/>
      <c r="I28" s="132">
        <v>26550</v>
      </c>
      <c r="J28" s="132"/>
      <c r="K28" s="132"/>
      <c r="L28" s="132"/>
      <c r="M28" s="132"/>
      <c r="N28" s="132"/>
    </row>
    <row r="29" spans="1:14" x14ac:dyDescent="0.25">
      <c r="A29" s="133" t="s">
        <v>493</v>
      </c>
      <c r="B29" s="136">
        <f t="shared" si="5"/>
        <v>1113020.76</v>
      </c>
      <c r="C29" s="132">
        <v>308000</v>
      </c>
      <c r="D29" s="132"/>
      <c r="E29" s="132">
        <v>250000</v>
      </c>
      <c r="F29" s="132">
        <v>92000</v>
      </c>
      <c r="G29" s="132">
        <v>130100</v>
      </c>
      <c r="H29" s="132">
        <v>180120.76</v>
      </c>
      <c r="I29" s="132">
        <v>152800</v>
      </c>
      <c r="J29" s="132"/>
      <c r="K29" s="132"/>
      <c r="L29" s="132"/>
      <c r="M29" s="132"/>
      <c r="N29" s="132"/>
    </row>
    <row r="30" spans="1:14" x14ac:dyDescent="0.25">
      <c r="A30" s="133" t="s">
        <v>492</v>
      </c>
      <c r="B30" s="136">
        <f t="shared" si="5"/>
        <v>644884.88</v>
      </c>
      <c r="C30" s="132"/>
      <c r="D30" s="132">
        <v>249831.2</v>
      </c>
      <c r="E30" s="132">
        <v>317663.67</v>
      </c>
      <c r="F30" s="132"/>
      <c r="G30" s="132"/>
      <c r="H30" s="132"/>
      <c r="I30" s="132">
        <v>77390.009999999995</v>
      </c>
      <c r="J30" s="132"/>
      <c r="K30" s="132"/>
      <c r="L30" s="132"/>
      <c r="M30" s="132"/>
      <c r="N30" s="132"/>
    </row>
    <row r="31" spans="1:14" ht="30" x14ac:dyDescent="0.25">
      <c r="A31" s="133" t="s">
        <v>491</v>
      </c>
      <c r="B31" s="136">
        <f t="shared" si="5"/>
        <v>318115.25</v>
      </c>
      <c r="C31" s="132"/>
      <c r="D31" s="132">
        <v>183732.33</v>
      </c>
      <c r="E31" s="132">
        <v>110224.97</v>
      </c>
      <c r="F31" s="132"/>
      <c r="G31" s="132"/>
      <c r="H31" s="132"/>
      <c r="I31" s="132">
        <v>24157.95</v>
      </c>
      <c r="J31" s="132"/>
      <c r="K31" s="132"/>
      <c r="L31" s="132"/>
      <c r="M31" s="132"/>
      <c r="N31" s="132"/>
    </row>
    <row r="32" spans="1:14" ht="30" x14ac:dyDescent="0.25">
      <c r="A32" s="133" t="s">
        <v>490</v>
      </c>
      <c r="B32" s="136">
        <f t="shared" si="5"/>
        <v>4205051.5600000005</v>
      </c>
      <c r="C32" s="132">
        <v>228412.84</v>
      </c>
      <c r="D32" s="132">
        <v>1114592.73</v>
      </c>
      <c r="E32" s="132">
        <v>317328.99</v>
      </c>
      <c r="F32" s="132">
        <v>226537</v>
      </c>
      <c r="G32" s="132">
        <v>1065923</v>
      </c>
      <c r="H32" s="132">
        <v>207742</v>
      </c>
      <c r="I32" s="132">
        <v>1044515</v>
      </c>
      <c r="J32" s="132"/>
      <c r="K32" s="132"/>
      <c r="L32" s="132"/>
      <c r="M32" s="132"/>
      <c r="N32" s="132"/>
    </row>
    <row r="33" spans="1:14" ht="30" x14ac:dyDescent="0.25">
      <c r="A33" s="133" t="s">
        <v>489</v>
      </c>
      <c r="B33" s="136">
        <f t="shared" si="5"/>
        <v>0</v>
      </c>
      <c r="C33" s="132"/>
      <c r="D33" s="132"/>
      <c r="E33" s="132"/>
      <c r="F33" s="132"/>
      <c r="G33" s="132"/>
      <c r="H33" s="132"/>
      <c r="I33" s="132"/>
      <c r="J33" s="132"/>
      <c r="K33" s="132"/>
      <c r="L33" s="132"/>
      <c r="M33" s="132"/>
      <c r="N33" s="132"/>
    </row>
    <row r="34" spans="1:14" x14ac:dyDescent="0.25">
      <c r="A34" s="133" t="s">
        <v>488</v>
      </c>
      <c r="B34" s="136">
        <f t="shared" si="5"/>
        <v>7056055.1099999994</v>
      </c>
      <c r="C34" s="132">
        <v>1899402.83</v>
      </c>
      <c r="D34" s="132">
        <f>423850.01+52064.22</f>
        <v>475914.23</v>
      </c>
      <c r="E34" s="132">
        <v>85524.69</v>
      </c>
      <c r="F34" s="132">
        <f>2330135.61+55418.59</f>
        <v>2385554.1999999997</v>
      </c>
      <c r="G34" s="132">
        <v>258010.6</v>
      </c>
      <c r="H34" s="132">
        <v>193167.65</v>
      </c>
      <c r="I34" s="132">
        <v>1758480.91</v>
      </c>
      <c r="J34" s="132"/>
      <c r="K34" s="132"/>
      <c r="L34" s="132"/>
      <c r="M34" s="132"/>
      <c r="N34" s="132"/>
    </row>
    <row r="35" spans="1:14" x14ac:dyDescent="0.25">
      <c r="A35" s="139" t="s">
        <v>487</v>
      </c>
      <c r="B35" s="138">
        <f>SUM(C35:N35)</f>
        <v>1579338.7</v>
      </c>
      <c r="C35" s="137">
        <f>SUM(C36:C42)</f>
        <v>136966.70000000001</v>
      </c>
      <c r="D35" s="137">
        <f t="shared" ref="D35:N35" si="6">SUM(D36:D42)</f>
        <v>23400</v>
      </c>
      <c r="E35" s="137">
        <f t="shared" si="6"/>
        <v>127420</v>
      </c>
      <c r="F35" s="137">
        <f t="shared" si="6"/>
        <v>624573</v>
      </c>
      <c r="G35" s="137">
        <f t="shared" si="6"/>
        <v>480808</v>
      </c>
      <c r="H35" s="137">
        <f t="shared" si="6"/>
        <v>118600</v>
      </c>
      <c r="I35" s="137">
        <f t="shared" si="6"/>
        <v>67571</v>
      </c>
      <c r="J35" s="137">
        <f t="shared" si="6"/>
        <v>0</v>
      </c>
      <c r="K35" s="137">
        <f t="shared" si="6"/>
        <v>0</v>
      </c>
      <c r="L35" s="137">
        <f t="shared" si="6"/>
        <v>0</v>
      </c>
      <c r="M35" s="137">
        <f t="shared" si="6"/>
        <v>0</v>
      </c>
      <c r="N35" s="137">
        <f t="shared" si="6"/>
        <v>0</v>
      </c>
    </row>
    <row r="36" spans="1:14" x14ac:dyDescent="0.25">
      <c r="A36" s="133" t="s">
        <v>486</v>
      </c>
      <c r="B36" s="136">
        <f>SUM(C36:N36)</f>
        <v>1519338.7</v>
      </c>
      <c r="C36" s="132">
        <v>136966.70000000001</v>
      </c>
      <c r="D36" s="132">
        <v>23400</v>
      </c>
      <c r="E36" s="132">
        <v>127420</v>
      </c>
      <c r="F36" s="132">
        <v>624573</v>
      </c>
      <c r="G36" s="132">
        <v>480808</v>
      </c>
      <c r="H36" s="132">
        <v>58600</v>
      </c>
      <c r="I36" s="132">
        <v>67571</v>
      </c>
      <c r="J36" s="132"/>
      <c r="K36" s="132"/>
      <c r="L36" s="132"/>
      <c r="M36" s="132"/>
      <c r="N36" s="132"/>
    </row>
    <row r="37" spans="1:14" ht="30" x14ac:dyDescent="0.25">
      <c r="A37" s="133" t="s">
        <v>485</v>
      </c>
      <c r="B37" s="136">
        <f t="shared" ref="B37:B42" si="7">SUM(C37:N37)</f>
        <v>60000</v>
      </c>
      <c r="C37" s="132"/>
      <c r="D37" s="132"/>
      <c r="E37" s="132"/>
      <c r="F37" s="132"/>
      <c r="G37" s="132"/>
      <c r="H37" s="132">
        <v>60000</v>
      </c>
      <c r="I37" s="132"/>
      <c r="J37" s="132"/>
      <c r="K37" s="132"/>
      <c r="L37" s="132"/>
      <c r="M37" s="132"/>
      <c r="N37" s="132"/>
    </row>
    <row r="38" spans="1:14" ht="30" x14ac:dyDescent="0.25">
      <c r="A38" s="133" t="s">
        <v>484</v>
      </c>
      <c r="B38" s="136">
        <f t="shared" si="7"/>
        <v>0</v>
      </c>
      <c r="C38" s="132"/>
      <c r="D38" s="132"/>
      <c r="E38" s="132"/>
      <c r="F38" s="132"/>
      <c r="G38" s="132"/>
      <c r="H38" s="132"/>
      <c r="I38" s="132"/>
      <c r="J38" s="132"/>
      <c r="K38" s="132"/>
      <c r="L38" s="132"/>
      <c r="M38" s="132"/>
      <c r="N38" s="132"/>
    </row>
    <row r="39" spans="1:14" ht="30" x14ac:dyDescent="0.25">
      <c r="A39" s="133" t="s">
        <v>483</v>
      </c>
      <c r="B39" s="136">
        <f t="shared" si="7"/>
        <v>0</v>
      </c>
      <c r="C39" s="132"/>
      <c r="D39" s="132"/>
      <c r="E39" s="132"/>
      <c r="F39" s="132"/>
      <c r="G39" s="132"/>
      <c r="H39" s="132"/>
      <c r="I39" s="132"/>
      <c r="J39" s="132"/>
      <c r="K39" s="132"/>
      <c r="L39" s="132"/>
      <c r="M39" s="132"/>
      <c r="N39" s="132"/>
    </row>
    <row r="40" spans="1:14" ht="30" x14ac:dyDescent="0.25">
      <c r="A40" s="133" t="s">
        <v>482</v>
      </c>
      <c r="B40" s="136">
        <f t="shared" si="7"/>
        <v>0</v>
      </c>
      <c r="C40" s="132"/>
      <c r="D40" s="132"/>
      <c r="E40" s="132"/>
      <c r="F40" s="132"/>
      <c r="G40" s="132"/>
      <c r="H40" s="132"/>
      <c r="I40" s="132"/>
      <c r="J40" s="132"/>
      <c r="K40" s="132"/>
      <c r="L40" s="132"/>
      <c r="M40" s="132"/>
      <c r="N40" s="132"/>
    </row>
    <row r="41" spans="1:14" x14ac:dyDescent="0.25">
      <c r="A41" s="133" t="s">
        <v>481</v>
      </c>
      <c r="B41" s="136">
        <f t="shared" si="7"/>
        <v>0</v>
      </c>
      <c r="C41" s="132"/>
      <c r="D41" s="132"/>
      <c r="E41" s="132"/>
      <c r="F41" s="132"/>
      <c r="G41" s="132"/>
      <c r="H41" s="132"/>
      <c r="I41" s="132"/>
      <c r="J41" s="132"/>
      <c r="K41" s="132"/>
      <c r="L41" s="132"/>
      <c r="M41" s="132"/>
      <c r="N41" s="132"/>
    </row>
    <row r="42" spans="1:14" ht="30" x14ac:dyDescent="0.25">
      <c r="A42" s="133" t="s">
        <v>480</v>
      </c>
      <c r="B42" s="136">
        <f t="shared" si="7"/>
        <v>0</v>
      </c>
      <c r="C42" s="132"/>
      <c r="D42" s="132"/>
      <c r="E42" s="132"/>
      <c r="F42" s="132"/>
      <c r="G42" s="132"/>
      <c r="H42" s="132"/>
      <c r="I42" s="132"/>
      <c r="J42" s="132"/>
      <c r="K42" s="132"/>
      <c r="L42" s="132"/>
      <c r="M42" s="132"/>
      <c r="N42" s="132"/>
    </row>
    <row r="43" spans="1:14" x14ac:dyDescent="0.25">
      <c r="A43" s="139" t="s">
        <v>479</v>
      </c>
      <c r="B43" s="138">
        <f>SUM(C43:N43)</f>
        <v>0</v>
      </c>
      <c r="C43" s="137">
        <f>SUM(C44:C50)</f>
        <v>0</v>
      </c>
      <c r="D43" s="137">
        <f t="shared" ref="D43:N43" si="8">SUM(D44:D50)</f>
        <v>0</v>
      </c>
      <c r="E43" s="137">
        <f t="shared" si="8"/>
        <v>0</v>
      </c>
      <c r="F43" s="137">
        <f t="shared" si="8"/>
        <v>0</v>
      </c>
      <c r="G43" s="137">
        <f t="shared" si="8"/>
        <v>0</v>
      </c>
      <c r="H43" s="137">
        <f t="shared" si="8"/>
        <v>0</v>
      </c>
      <c r="I43" s="137">
        <f t="shared" si="8"/>
        <v>0</v>
      </c>
      <c r="J43" s="137">
        <f t="shared" si="8"/>
        <v>0</v>
      </c>
      <c r="K43" s="137">
        <f t="shared" si="8"/>
        <v>0</v>
      </c>
      <c r="L43" s="137">
        <f t="shared" si="8"/>
        <v>0</v>
      </c>
      <c r="M43" s="137">
        <f t="shared" si="8"/>
        <v>0</v>
      </c>
      <c r="N43" s="137">
        <f t="shared" si="8"/>
        <v>0</v>
      </c>
    </row>
    <row r="44" spans="1:14" x14ac:dyDescent="0.25">
      <c r="A44" s="133" t="s">
        <v>478</v>
      </c>
      <c r="B44" s="136">
        <f t="shared" ref="B44:B49" si="9">SUM(C44:N44)</f>
        <v>0</v>
      </c>
      <c r="C44" s="132"/>
      <c r="D44" s="132"/>
      <c r="E44" s="132"/>
      <c r="F44" s="132"/>
      <c r="G44" s="132"/>
      <c r="H44" s="132"/>
      <c r="I44" s="132"/>
      <c r="J44" s="132"/>
      <c r="K44" s="132"/>
      <c r="L44" s="132"/>
      <c r="M44" s="132"/>
      <c r="N44" s="132"/>
    </row>
    <row r="45" spans="1:14" ht="30" x14ac:dyDescent="0.25">
      <c r="A45" s="133" t="s">
        <v>477</v>
      </c>
      <c r="B45" s="136">
        <f t="shared" si="9"/>
        <v>0</v>
      </c>
      <c r="C45" s="132"/>
      <c r="D45" s="132"/>
      <c r="E45" s="132"/>
      <c r="F45" s="132"/>
      <c r="G45" s="132"/>
      <c r="H45" s="132"/>
      <c r="I45" s="132"/>
      <c r="J45" s="132"/>
      <c r="K45" s="132"/>
      <c r="L45" s="132"/>
      <c r="M45" s="132"/>
      <c r="N45" s="132"/>
    </row>
    <row r="46" spans="1:14" ht="30" x14ac:dyDescent="0.25">
      <c r="A46" s="133" t="s">
        <v>476</v>
      </c>
      <c r="B46" s="136">
        <f t="shared" si="9"/>
        <v>0</v>
      </c>
      <c r="C46" s="132"/>
      <c r="D46" s="132"/>
      <c r="E46" s="132"/>
      <c r="F46" s="132"/>
      <c r="G46" s="132"/>
      <c r="H46" s="132"/>
      <c r="I46" s="132"/>
      <c r="J46" s="132"/>
      <c r="K46" s="132"/>
      <c r="L46" s="132"/>
      <c r="M46" s="132"/>
      <c r="N46" s="132"/>
    </row>
    <row r="47" spans="1:14" ht="30" x14ac:dyDescent="0.25">
      <c r="A47" s="133" t="s">
        <v>475</v>
      </c>
      <c r="B47" s="136">
        <f t="shared" si="9"/>
        <v>0</v>
      </c>
      <c r="C47" s="132"/>
      <c r="D47" s="132"/>
      <c r="E47" s="132"/>
      <c r="F47" s="132"/>
      <c r="G47" s="132"/>
      <c r="H47" s="132"/>
      <c r="I47" s="132"/>
      <c r="J47" s="132"/>
      <c r="K47" s="132"/>
      <c r="L47" s="132"/>
      <c r="M47" s="132"/>
      <c r="N47" s="132"/>
    </row>
    <row r="48" spans="1:14" ht="30" x14ac:dyDescent="0.25">
      <c r="A48" s="133" t="s">
        <v>474</v>
      </c>
      <c r="B48" s="136">
        <f t="shared" si="9"/>
        <v>0</v>
      </c>
      <c r="C48" s="132"/>
      <c r="D48" s="132"/>
      <c r="E48" s="132"/>
      <c r="F48" s="132"/>
      <c r="G48" s="132"/>
      <c r="H48" s="132"/>
      <c r="I48" s="132"/>
      <c r="J48" s="132"/>
      <c r="K48" s="132"/>
      <c r="L48" s="132"/>
      <c r="M48" s="132"/>
      <c r="N48" s="132"/>
    </row>
    <row r="49" spans="1:14" x14ac:dyDescent="0.25">
      <c r="A49" s="133" t="s">
        <v>473</v>
      </c>
      <c r="B49" s="136">
        <f t="shared" si="9"/>
        <v>0</v>
      </c>
      <c r="C49" s="132"/>
      <c r="D49" s="132"/>
      <c r="E49" s="132"/>
      <c r="F49" s="132"/>
      <c r="G49" s="132"/>
      <c r="H49" s="132"/>
      <c r="I49" s="132"/>
      <c r="J49" s="132"/>
      <c r="K49" s="132"/>
      <c r="L49" s="132"/>
      <c r="M49" s="132"/>
      <c r="N49" s="132"/>
    </row>
    <row r="50" spans="1:14" ht="30" x14ac:dyDescent="0.25">
      <c r="A50" s="133" t="s">
        <v>472</v>
      </c>
      <c r="B50" s="136">
        <f>SUM(C50:N50)</f>
        <v>0</v>
      </c>
      <c r="C50" s="132"/>
      <c r="D50" s="132"/>
      <c r="E50" s="132"/>
      <c r="F50" s="132"/>
      <c r="G50" s="132"/>
      <c r="H50" s="132"/>
      <c r="I50" s="132"/>
      <c r="J50" s="132"/>
      <c r="K50" s="132"/>
      <c r="L50" s="132"/>
      <c r="M50" s="132"/>
      <c r="N50" s="132"/>
    </row>
    <row r="51" spans="1:14" x14ac:dyDescent="0.25">
      <c r="A51" s="139" t="s">
        <v>471</v>
      </c>
      <c r="B51" s="138">
        <f>SUM(C51:N51)</f>
        <v>11189985.369999999</v>
      </c>
      <c r="C51" s="137">
        <f>SUM(C52:C60)</f>
        <v>887994.84</v>
      </c>
      <c r="D51" s="137">
        <f t="shared" ref="D51:N51" si="10">SUM(D52:D60)</f>
        <v>3887510</v>
      </c>
      <c r="E51" s="137">
        <f t="shared" si="10"/>
        <v>300539.37</v>
      </c>
      <c r="F51" s="137">
        <f t="shared" si="10"/>
        <v>0</v>
      </c>
      <c r="G51" s="137">
        <f t="shared" si="10"/>
        <v>3927042.19</v>
      </c>
      <c r="H51" s="137">
        <f t="shared" si="10"/>
        <v>1456388.96</v>
      </c>
      <c r="I51" s="137">
        <f t="shared" si="10"/>
        <v>730510.01</v>
      </c>
      <c r="J51" s="137">
        <f t="shared" si="10"/>
        <v>0</v>
      </c>
      <c r="K51" s="137">
        <f t="shared" si="10"/>
        <v>0</v>
      </c>
      <c r="L51" s="137">
        <f t="shared" si="10"/>
        <v>0</v>
      </c>
      <c r="M51" s="137">
        <f t="shared" si="10"/>
        <v>0</v>
      </c>
      <c r="N51" s="137">
        <f t="shared" si="10"/>
        <v>0</v>
      </c>
    </row>
    <row r="52" spans="1:14" x14ac:dyDescent="0.25">
      <c r="A52" s="133" t="s">
        <v>470</v>
      </c>
      <c r="B52" s="136">
        <f t="shared" ref="B52:B60" si="11">SUM(C52:N52)</f>
        <v>7995.01</v>
      </c>
      <c r="C52" s="132"/>
      <c r="D52" s="132"/>
      <c r="E52" s="132"/>
      <c r="F52" s="132"/>
      <c r="G52" s="132"/>
      <c r="H52" s="132">
        <v>7995.01</v>
      </c>
      <c r="I52" s="132"/>
      <c r="J52" s="132"/>
      <c r="K52" s="132"/>
      <c r="L52" s="132"/>
      <c r="M52" s="132"/>
      <c r="N52" s="132"/>
    </row>
    <row r="53" spans="1:14" ht="30" x14ac:dyDescent="0.25">
      <c r="A53" s="133" t="s">
        <v>469</v>
      </c>
      <c r="B53" s="136">
        <f t="shared" si="11"/>
        <v>1788880</v>
      </c>
      <c r="C53" s="132"/>
      <c r="D53" s="132"/>
      <c r="E53" s="132"/>
      <c r="F53" s="132"/>
      <c r="G53" s="132"/>
      <c r="H53" s="132">
        <v>1399834</v>
      </c>
      <c r="I53" s="132">
        <v>389046</v>
      </c>
      <c r="J53" s="132"/>
      <c r="K53" s="132"/>
      <c r="L53" s="132"/>
      <c r="M53" s="132"/>
      <c r="N53" s="132"/>
    </row>
    <row r="54" spans="1:14" ht="30" x14ac:dyDescent="0.25">
      <c r="A54" s="133" t="s">
        <v>468</v>
      </c>
      <c r="B54" s="136">
        <f t="shared" si="11"/>
        <v>6938626.9799999995</v>
      </c>
      <c r="C54" s="132">
        <v>887994.84</v>
      </c>
      <c r="D54" s="132">
        <v>2075030</v>
      </c>
      <c r="E54" s="132"/>
      <c r="F54" s="132"/>
      <c r="G54" s="132">
        <v>3927042.19</v>
      </c>
      <c r="H54" s="132">
        <v>48559.95</v>
      </c>
      <c r="I54" s="132"/>
      <c r="J54" s="132"/>
      <c r="K54" s="132"/>
      <c r="L54" s="132"/>
      <c r="M54" s="132"/>
      <c r="N54" s="132"/>
    </row>
    <row r="55" spans="1:14" ht="30" x14ac:dyDescent="0.25">
      <c r="A55" s="133" t="s">
        <v>467</v>
      </c>
      <c r="B55" s="136">
        <f t="shared" si="11"/>
        <v>107609.37</v>
      </c>
      <c r="C55" s="132"/>
      <c r="D55" s="132"/>
      <c r="E55" s="132">
        <v>107609.37</v>
      </c>
      <c r="F55" s="132"/>
      <c r="G55" s="132"/>
      <c r="H55" s="132"/>
      <c r="I55" s="132"/>
      <c r="J55" s="132"/>
      <c r="K55" s="132"/>
      <c r="L55" s="132"/>
      <c r="M55" s="132"/>
      <c r="N55" s="132"/>
    </row>
    <row r="56" spans="1:14" x14ac:dyDescent="0.25">
      <c r="A56" s="133" t="s">
        <v>466</v>
      </c>
      <c r="B56" s="136">
        <f t="shared" si="11"/>
        <v>2288110.0099999998</v>
      </c>
      <c r="C56" s="132"/>
      <c r="D56" s="132">
        <v>1812480</v>
      </c>
      <c r="E56" s="132">
        <v>192930</v>
      </c>
      <c r="F56" s="132"/>
      <c r="G56" s="132"/>
      <c r="H56" s="132"/>
      <c r="I56" s="132">
        <v>282700.01</v>
      </c>
      <c r="J56" s="132"/>
      <c r="K56" s="132"/>
      <c r="L56" s="132"/>
      <c r="M56" s="132"/>
      <c r="N56" s="132"/>
    </row>
    <row r="57" spans="1:14" x14ac:dyDescent="0.25">
      <c r="A57" s="133" t="s">
        <v>465</v>
      </c>
      <c r="B57" s="136">
        <f>SUM(C57:N57)</f>
        <v>58764</v>
      </c>
      <c r="C57" s="132"/>
      <c r="D57" s="132"/>
      <c r="E57" s="132"/>
      <c r="F57" s="132"/>
      <c r="G57" s="132"/>
      <c r="H57" s="132"/>
      <c r="I57" s="132">
        <v>58764</v>
      </c>
      <c r="J57" s="132"/>
      <c r="K57" s="132"/>
      <c r="L57" s="132"/>
      <c r="M57" s="132"/>
      <c r="N57" s="132"/>
    </row>
    <row r="58" spans="1:14" x14ac:dyDescent="0.25">
      <c r="A58" s="133" t="s">
        <v>464</v>
      </c>
      <c r="B58" s="136">
        <f t="shared" si="11"/>
        <v>0</v>
      </c>
      <c r="C58" s="132"/>
      <c r="D58" s="132"/>
      <c r="E58" s="132"/>
      <c r="F58" s="132"/>
      <c r="G58" s="132"/>
      <c r="H58" s="132"/>
      <c r="I58" s="132"/>
      <c r="J58" s="132"/>
      <c r="K58" s="132"/>
      <c r="L58" s="132"/>
      <c r="M58" s="132"/>
      <c r="N58" s="132"/>
    </row>
    <row r="59" spans="1:14" x14ac:dyDescent="0.25">
      <c r="A59" s="133" t="s">
        <v>463</v>
      </c>
      <c r="B59" s="136">
        <f t="shared" si="11"/>
        <v>0</v>
      </c>
      <c r="C59" s="132"/>
      <c r="D59" s="132"/>
      <c r="E59" s="132"/>
      <c r="F59" s="132"/>
      <c r="G59" s="132"/>
      <c r="H59" s="132"/>
      <c r="I59" s="132"/>
      <c r="J59" s="132"/>
      <c r="K59" s="132"/>
      <c r="L59" s="132"/>
      <c r="M59" s="132"/>
      <c r="N59" s="132"/>
    </row>
    <row r="60" spans="1:14" ht="30" x14ac:dyDescent="0.25">
      <c r="A60" s="133" t="s">
        <v>462</v>
      </c>
      <c r="B60" s="136">
        <f t="shared" si="11"/>
        <v>0</v>
      </c>
      <c r="C60" s="132"/>
      <c r="D60" s="132"/>
      <c r="E60" s="132"/>
      <c r="F60" s="132"/>
      <c r="G60" s="132"/>
      <c r="H60" s="132"/>
      <c r="I60" s="132"/>
      <c r="J60" s="132"/>
      <c r="K60" s="132"/>
      <c r="L60" s="132"/>
      <c r="M60" s="132"/>
      <c r="N60" s="132"/>
    </row>
    <row r="61" spans="1:14" x14ac:dyDescent="0.25">
      <c r="A61" s="139" t="s">
        <v>461</v>
      </c>
      <c r="B61" s="138">
        <f>SUM(C61:N61)</f>
        <v>0</v>
      </c>
      <c r="C61" s="137">
        <f>SUM(C62:C65)</f>
        <v>0</v>
      </c>
      <c r="D61" s="137">
        <f t="shared" ref="D61:N61" si="12">SUM(D62:D65)</f>
        <v>0</v>
      </c>
      <c r="E61" s="137">
        <f t="shared" si="12"/>
        <v>0</v>
      </c>
      <c r="F61" s="137">
        <f t="shared" si="12"/>
        <v>0</v>
      </c>
      <c r="G61" s="137">
        <f t="shared" si="12"/>
        <v>0</v>
      </c>
      <c r="H61" s="137">
        <f t="shared" si="12"/>
        <v>0</v>
      </c>
      <c r="I61" s="137">
        <f t="shared" si="12"/>
        <v>0</v>
      </c>
      <c r="J61" s="137">
        <f t="shared" si="12"/>
        <v>0</v>
      </c>
      <c r="K61" s="137">
        <f t="shared" si="12"/>
        <v>0</v>
      </c>
      <c r="L61" s="137">
        <f t="shared" si="12"/>
        <v>0</v>
      </c>
      <c r="M61" s="137">
        <f t="shared" si="12"/>
        <v>0</v>
      </c>
      <c r="N61" s="137">
        <f t="shared" si="12"/>
        <v>0</v>
      </c>
    </row>
    <row r="62" spans="1:14" x14ac:dyDescent="0.25">
      <c r="A62" s="133" t="s">
        <v>460</v>
      </c>
      <c r="B62" s="136">
        <f t="shared" ref="B62:B65" si="13">SUM(C62:N62)</f>
        <v>0</v>
      </c>
      <c r="C62" s="132"/>
      <c r="D62" s="132"/>
      <c r="E62" s="132"/>
      <c r="F62" s="132"/>
      <c r="G62" s="132"/>
      <c r="H62" s="132"/>
      <c r="I62" s="132"/>
      <c r="J62" s="132"/>
      <c r="K62" s="132"/>
      <c r="L62" s="132"/>
      <c r="M62" s="132"/>
      <c r="N62" s="132"/>
    </row>
    <row r="63" spans="1:14" x14ac:dyDescent="0.25">
      <c r="A63" s="133" t="s">
        <v>459</v>
      </c>
      <c r="B63" s="136">
        <f t="shared" si="13"/>
        <v>0</v>
      </c>
      <c r="C63" s="132"/>
      <c r="D63" s="132"/>
      <c r="E63" s="132"/>
      <c r="F63" s="132"/>
      <c r="G63" s="132"/>
      <c r="H63" s="132"/>
      <c r="I63" s="132"/>
      <c r="J63" s="132"/>
      <c r="K63" s="132"/>
      <c r="L63" s="132"/>
      <c r="M63" s="132"/>
      <c r="N63" s="132"/>
    </row>
    <row r="64" spans="1:14" x14ac:dyDescent="0.25">
      <c r="A64" s="133" t="s">
        <v>458</v>
      </c>
      <c r="B64" s="136">
        <f t="shared" si="13"/>
        <v>0</v>
      </c>
      <c r="C64" s="132"/>
      <c r="D64" s="132"/>
      <c r="E64" s="132"/>
      <c r="F64" s="132"/>
      <c r="G64" s="132"/>
      <c r="H64" s="132"/>
      <c r="I64" s="132"/>
      <c r="J64" s="132"/>
      <c r="K64" s="132"/>
      <c r="L64" s="132"/>
      <c r="M64" s="132"/>
      <c r="N64" s="132"/>
    </row>
    <row r="65" spans="1:14" ht="30" x14ac:dyDescent="0.25">
      <c r="A65" s="133" t="s">
        <v>457</v>
      </c>
      <c r="B65" s="136">
        <f t="shared" si="13"/>
        <v>0</v>
      </c>
      <c r="C65" s="132"/>
      <c r="D65" s="132"/>
      <c r="E65" s="132"/>
      <c r="F65" s="132"/>
      <c r="G65" s="132"/>
      <c r="H65" s="132"/>
      <c r="I65" s="132"/>
      <c r="J65" s="132"/>
      <c r="K65" s="132"/>
      <c r="L65" s="132"/>
      <c r="M65" s="132"/>
      <c r="N65" s="132"/>
    </row>
    <row r="66" spans="1:14" ht="30" x14ac:dyDescent="0.25">
      <c r="A66" s="139" t="s">
        <v>456</v>
      </c>
      <c r="B66" s="138">
        <f>SUM(C66:N66)</f>
        <v>0</v>
      </c>
      <c r="C66" s="137">
        <f>SUM(C67:C68)</f>
        <v>0</v>
      </c>
      <c r="D66" s="137">
        <f t="shared" ref="D66:N66" si="14">SUM(D67:D68)</f>
        <v>0</v>
      </c>
      <c r="E66" s="137">
        <f t="shared" si="14"/>
        <v>0</v>
      </c>
      <c r="F66" s="137">
        <f t="shared" si="14"/>
        <v>0</v>
      </c>
      <c r="G66" s="137">
        <f t="shared" si="14"/>
        <v>0</v>
      </c>
      <c r="H66" s="137">
        <f t="shared" si="14"/>
        <v>0</v>
      </c>
      <c r="I66" s="137">
        <f t="shared" si="14"/>
        <v>0</v>
      </c>
      <c r="J66" s="137">
        <f t="shared" si="14"/>
        <v>0</v>
      </c>
      <c r="K66" s="137">
        <f t="shared" si="14"/>
        <v>0</v>
      </c>
      <c r="L66" s="137">
        <f t="shared" si="14"/>
        <v>0</v>
      </c>
      <c r="M66" s="137">
        <f t="shared" si="14"/>
        <v>0</v>
      </c>
      <c r="N66" s="137">
        <f t="shared" si="14"/>
        <v>0</v>
      </c>
    </row>
    <row r="67" spans="1:14" x14ac:dyDescent="0.25">
      <c r="A67" s="133" t="s">
        <v>455</v>
      </c>
      <c r="B67" s="136">
        <f t="shared" ref="B67:B68" si="15">SUM(C67:N67)</f>
        <v>0</v>
      </c>
      <c r="C67" s="132"/>
      <c r="D67" s="132"/>
      <c r="E67" s="132"/>
      <c r="F67" s="132"/>
      <c r="G67" s="132"/>
      <c r="H67" s="132"/>
      <c r="I67" s="132"/>
      <c r="J67" s="132"/>
      <c r="K67" s="132"/>
      <c r="L67" s="132"/>
      <c r="M67" s="132"/>
      <c r="N67" s="132"/>
    </row>
    <row r="68" spans="1:14" ht="30" x14ac:dyDescent="0.25">
      <c r="A68" s="133" t="s">
        <v>454</v>
      </c>
      <c r="B68" s="136">
        <f t="shared" si="15"/>
        <v>0</v>
      </c>
      <c r="C68" s="132"/>
      <c r="D68" s="132"/>
      <c r="E68" s="132"/>
      <c r="F68" s="132"/>
      <c r="G68" s="132"/>
      <c r="H68" s="132"/>
      <c r="I68" s="132"/>
      <c r="J68" s="132"/>
      <c r="K68" s="132"/>
      <c r="L68" s="132"/>
      <c r="M68" s="132"/>
      <c r="N68" s="132"/>
    </row>
    <row r="69" spans="1:14" x14ac:dyDescent="0.25">
      <c r="A69" s="139" t="s">
        <v>453</v>
      </c>
      <c r="B69" s="138">
        <f>SUM(C69:N69)</f>
        <v>0</v>
      </c>
      <c r="C69" s="137">
        <f>SUM(C70:C72)</f>
        <v>0</v>
      </c>
      <c r="D69" s="137">
        <f t="shared" ref="D69:N69" si="16">SUM(D70:D72)</f>
        <v>0</v>
      </c>
      <c r="E69" s="137">
        <f t="shared" si="16"/>
        <v>0</v>
      </c>
      <c r="F69" s="137">
        <f t="shared" si="16"/>
        <v>0</v>
      </c>
      <c r="G69" s="137">
        <f t="shared" si="16"/>
        <v>0</v>
      </c>
      <c r="H69" s="137">
        <f t="shared" si="16"/>
        <v>0</v>
      </c>
      <c r="I69" s="137">
        <f t="shared" si="16"/>
        <v>0</v>
      </c>
      <c r="J69" s="137">
        <f t="shared" si="16"/>
        <v>0</v>
      </c>
      <c r="K69" s="137">
        <f t="shared" si="16"/>
        <v>0</v>
      </c>
      <c r="L69" s="137">
        <f t="shared" si="16"/>
        <v>0</v>
      </c>
      <c r="M69" s="137">
        <f t="shared" si="16"/>
        <v>0</v>
      </c>
      <c r="N69" s="137">
        <f t="shared" si="16"/>
        <v>0</v>
      </c>
    </row>
    <row r="70" spans="1:14" x14ac:dyDescent="0.25">
      <c r="A70" s="133" t="s">
        <v>452</v>
      </c>
      <c r="B70" s="136">
        <f t="shared" ref="B70:B72" si="17">SUM(C70:N70)</f>
        <v>0</v>
      </c>
      <c r="C70" s="132"/>
      <c r="D70" s="132"/>
      <c r="E70" s="132"/>
      <c r="F70" s="132"/>
      <c r="G70" s="132"/>
      <c r="H70" s="132"/>
      <c r="I70" s="132"/>
      <c r="J70" s="132"/>
      <c r="K70" s="132"/>
      <c r="L70" s="132"/>
      <c r="M70" s="132"/>
      <c r="N70" s="132"/>
    </row>
    <row r="71" spans="1:14" x14ac:dyDescent="0.25">
      <c r="A71" s="133" t="s">
        <v>451</v>
      </c>
      <c r="B71" s="136">
        <f t="shared" si="17"/>
        <v>0</v>
      </c>
      <c r="C71" s="132"/>
      <c r="D71" s="132"/>
      <c r="E71" s="132"/>
      <c r="F71" s="132"/>
      <c r="G71" s="132"/>
      <c r="H71" s="132"/>
      <c r="I71" s="132"/>
      <c r="J71" s="132"/>
      <c r="K71" s="132"/>
      <c r="L71" s="132"/>
      <c r="M71" s="132"/>
      <c r="N71" s="132"/>
    </row>
    <row r="72" spans="1:14" ht="30" x14ac:dyDescent="0.25">
      <c r="A72" s="133" t="s">
        <v>450</v>
      </c>
      <c r="B72" s="136">
        <f t="shared" si="17"/>
        <v>0</v>
      </c>
      <c r="C72" s="132"/>
      <c r="D72" s="132"/>
      <c r="E72" s="132"/>
      <c r="F72" s="132"/>
      <c r="G72" s="132"/>
      <c r="H72" s="132"/>
      <c r="I72" s="132"/>
      <c r="J72" s="132"/>
      <c r="K72" s="132"/>
      <c r="L72" s="132"/>
      <c r="M72" s="132"/>
      <c r="N72" s="132"/>
    </row>
    <row r="73" spans="1:14" x14ac:dyDescent="0.25">
      <c r="A73" s="131" t="s">
        <v>449</v>
      </c>
      <c r="B73" s="130">
        <f>B9+B15+B25+B35+B43+B51+B61+B66+B69</f>
        <v>55848982.809999995</v>
      </c>
      <c r="C73" s="130">
        <f t="shared" ref="C73:N73" si="18">C9+C15+C25+C35+C43+C51+C61+C66+C69</f>
        <v>6821436.4900000002</v>
      </c>
      <c r="D73" s="130">
        <f t="shared" si="18"/>
        <v>7556671.6400000006</v>
      </c>
      <c r="E73" s="130">
        <f t="shared" si="18"/>
        <v>11816507.499999998</v>
      </c>
      <c r="F73" s="130">
        <f t="shared" si="18"/>
        <v>4877050.2899999991</v>
      </c>
      <c r="G73" s="130">
        <f t="shared" si="18"/>
        <v>9009314.3900000006</v>
      </c>
      <c r="H73" s="130">
        <f t="shared" si="18"/>
        <v>6513141.8700000001</v>
      </c>
      <c r="I73" s="130">
        <f t="shared" si="18"/>
        <v>9254860.6300000008</v>
      </c>
      <c r="J73" s="130">
        <f t="shared" si="18"/>
        <v>0</v>
      </c>
      <c r="K73" s="130">
        <f t="shared" si="18"/>
        <v>0</v>
      </c>
      <c r="L73" s="130">
        <f t="shared" si="18"/>
        <v>0</v>
      </c>
      <c r="M73" s="130">
        <f t="shared" si="18"/>
        <v>0</v>
      </c>
      <c r="N73" s="130">
        <f t="shared" si="18"/>
        <v>0</v>
      </c>
    </row>
    <row r="74" spans="1:14" x14ac:dyDescent="0.25">
      <c r="A74" s="135" t="s">
        <v>448</v>
      </c>
      <c r="B74" s="134"/>
      <c r="C74" s="134"/>
      <c r="D74" s="134"/>
      <c r="E74" s="143"/>
      <c r="F74" s="143"/>
      <c r="G74" s="143"/>
      <c r="H74" s="143"/>
      <c r="I74" s="143"/>
      <c r="J74" s="143"/>
      <c r="K74" s="143"/>
      <c r="L74" s="143"/>
      <c r="M74" s="143"/>
      <c r="N74" s="143"/>
    </row>
    <row r="75" spans="1:14" x14ac:dyDescent="0.25">
      <c r="A75" s="135" t="s">
        <v>447</v>
      </c>
      <c r="B75" s="112"/>
      <c r="C75" s="134"/>
      <c r="D75" s="112"/>
      <c r="E75" s="1"/>
      <c r="F75" s="1"/>
      <c r="G75" s="1"/>
      <c r="H75" s="1"/>
      <c r="I75" s="1"/>
      <c r="J75" s="1"/>
      <c r="K75" s="1"/>
      <c r="L75" s="1"/>
      <c r="M75" s="1"/>
      <c r="N75" s="1"/>
    </row>
    <row r="76" spans="1:14" ht="30" x14ac:dyDescent="0.25">
      <c r="A76" s="133" t="s">
        <v>446</v>
      </c>
      <c r="B76" s="112"/>
      <c r="C76" s="132"/>
      <c r="D76" s="112"/>
      <c r="E76" s="1"/>
      <c r="F76" s="1"/>
      <c r="G76" s="1"/>
      <c r="H76" s="1"/>
      <c r="I76" s="1"/>
      <c r="J76" s="1"/>
      <c r="K76" s="1"/>
      <c r="L76" s="1"/>
      <c r="M76" s="1"/>
      <c r="N76" s="1"/>
    </row>
    <row r="77" spans="1:14" ht="30" x14ac:dyDescent="0.25">
      <c r="A77" s="133" t="s">
        <v>445</v>
      </c>
      <c r="B77" s="112"/>
      <c r="C77" s="132"/>
      <c r="D77" s="112"/>
      <c r="E77" s="1"/>
      <c r="F77" s="1"/>
      <c r="G77" s="1"/>
      <c r="H77" s="1"/>
      <c r="I77" s="1"/>
      <c r="J77" s="1"/>
      <c r="K77" s="1"/>
      <c r="L77" s="1"/>
      <c r="M77" s="1"/>
      <c r="N77" s="1"/>
    </row>
    <row r="78" spans="1:14" x14ac:dyDescent="0.25">
      <c r="A78" s="135" t="s">
        <v>444</v>
      </c>
      <c r="B78" s="112"/>
      <c r="C78" s="134"/>
      <c r="D78" s="112"/>
      <c r="E78" s="1"/>
      <c r="F78" s="1"/>
      <c r="G78" s="1"/>
      <c r="H78" s="1"/>
      <c r="I78" s="1"/>
      <c r="J78" s="1"/>
      <c r="K78" s="1"/>
      <c r="L78" s="1"/>
      <c r="M78" s="1"/>
      <c r="N78" s="1"/>
    </row>
    <row r="79" spans="1:14" x14ac:dyDescent="0.25">
      <c r="A79" s="133" t="s">
        <v>443</v>
      </c>
      <c r="B79" s="112"/>
      <c r="C79" s="132"/>
      <c r="D79" s="112"/>
      <c r="E79" s="1"/>
      <c r="F79" s="1"/>
      <c r="G79" s="1"/>
      <c r="H79" s="1"/>
      <c r="I79" s="1"/>
      <c r="J79" s="1"/>
      <c r="K79" s="1"/>
      <c r="L79" s="1"/>
      <c r="M79" s="1"/>
      <c r="N79" s="1"/>
    </row>
    <row r="80" spans="1:14" x14ac:dyDescent="0.25">
      <c r="A80" s="133" t="s">
        <v>442</v>
      </c>
      <c r="B80" s="112"/>
      <c r="C80" s="132"/>
      <c r="D80" s="112"/>
      <c r="E80" s="1"/>
      <c r="F80" s="1"/>
      <c r="G80" s="1"/>
      <c r="H80" s="1"/>
      <c r="I80" s="1"/>
      <c r="J80" s="1"/>
      <c r="K80" s="1"/>
      <c r="L80" s="1"/>
      <c r="M80" s="1"/>
      <c r="N80" s="1"/>
    </row>
    <row r="81" spans="1:14" x14ac:dyDescent="0.25">
      <c r="A81" s="135" t="s">
        <v>441</v>
      </c>
      <c r="B81" s="112"/>
      <c r="C81" s="134"/>
      <c r="D81" s="112"/>
      <c r="E81" s="1"/>
      <c r="F81" s="1"/>
      <c r="G81" s="1"/>
      <c r="H81" s="1"/>
      <c r="I81" s="1"/>
      <c r="J81" s="1"/>
      <c r="K81" s="1"/>
      <c r="L81" s="1"/>
      <c r="M81" s="1"/>
      <c r="N81" s="1"/>
    </row>
    <row r="82" spans="1:14" x14ac:dyDescent="0.25">
      <c r="A82" s="133" t="s">
        <v>440</v>
      </c>
      <c r="B82" s="112"/>
      <c r="C82" s="132"/>
      <c r="D82" s="112"/>
      <c r="E82" s="1"/>
      <c r="F82" s="1"/>
      <c r="G82" s="1"/>
      <c r="H82" s="1"/>
      <c r="I82" s="1"/>
      <c r="J82" s="1"/>
      <c r="K82" s="1"/>
      <c r="L82" s="1"/>
      <c r="M82" s="1"/>
      <c r="N82" s="1"/>
    </row>
    <row r="83" spans="1:14" x14ac:dyDescent="0.25">
      <c r="A83" s="131" t="s">
        <v>439</v>
      </c>
      <c r="B83" s="130"/>
      <c r="C83" s="130"/>
      <c r="D83" s="130"/>
      <c r="E83" s="144"/>
      <c r="F83" s="144"/>
      <c r="G83" s="144"/>
      <c r="H83" s="144"/>
      <c r="I83" s="144"/>
      <c r="J83" s="144"/>
      <c r="K83" s="144"/>
      <c r="L83" s="144"/>
      <c r="M83" s="144"/>
      <c r="N83" s="144"/>
    </row>
    <row r="84" spans="1:14" x14ac:dyDescent="0.25">
      <c r="A84" s="1"/>
      <c r="B84" s="112"/>
      <c r="C84" s="112"/>
      <c r="D84" s="112"/>
      <c r="E84" s="1"/>
      <c r="F84" s="1"/>
      <c r="G84" s="1"/>
      <c r="H84" s="1"/>
      <c r="I84" s="1"/>
      <c r="J84" s="1"/>
      <c r="K84" s="1"/>
      <c r="L84" s="1"/>
      <c r="M84" s="1"/>
      <c r="N84" s="1"/>
    </row>
    <row r="85" spans="1:14" ht="15.75" x14ac:dyDescent="0.25">
      <c r="A85" s="129" t="s">
        <v>438</v>
      </c>
      <c r="B85" s="128">
        <f>+B83+B73</f>
        <v>55848982.809999995</v>
      </c>
      <c r="C85" s="128">
        <f t="shared" ref="C85" si="19">+C83+C73</f>
        <v>6821436.4900000002</v>
      </c>
      <c r="D85" s="128">
        <f t="shared" ref="D85:I85" si="20">+D83+D73</f>
        <v>7556671.6400000006</v>
      </c>
      <c r="E85" s="128">
        <f t="shared" si="20"/>
        <v>11816507.499999998</v>
      </c>
      <c r="F85" s="128">
        <f t="shared" si="20"/>
        <v>4877050.2899999991</v>
      </c>
      <c r="G85" s="128">
        <f t="shared" si="20"/>
        <v>9009314.3900000006</v>
      </c>
      <c r="H85" s="128">
        <f t="shared" si="20"/>
        <v>6513141.8700000001</v>
      </c>
      <c r="I85" s="128">
        <f t="shared" si="20"/>
        <v>9254860.6300000008</v>
      </c>
      <c r="J85" s="145"/>
      <c r="K85" s="145"/>
      <c r="L85" s="145"/>
      <c r="M85" s="145"/>
      <c r="N85" s="145"/>
    </row>
    <row r="86" spans="1:14" x14ac:dyDescent="0.25">
      <c r="A86" t="s">
        <v>437</v>
      </c>
    </row>
    <row r="87" spans="1:14" x14ac:dyDescent="0.25">
      <c r="A87" t="s">
        <v>816</v>
      </c>
      <c r="E87" s="211"/>
    </row>
    <row r="88" spans="1:14" x14ac:dyDescent="0.25">
      <c r="A88" t="s">
        <v>1502</v>
      </c>
    </row>
  </sheetData>
  <mergeCells count="5">
    <mergeCell ref="A1:N1"/>
    <mergeCell ref="A2:N2"/>
    <mergeCell ref="A3:N3"/>
    <mergeCell ref="A4:N4"/>
    <mergeCell ref="A5:N5"/>
  </mergeCells>
  <pageMargins left="0.70866141732283472" right="0.70866141732283472" top="0.74803149606299213" bottom="0.74803149606299213" header="0.31496062992125984" footer="0.31496062992125984"/>
  <pageSetup scale="5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9"/>
  <sheetViews>
    <sheetView topLeftCell="A5" zoomScale="90" zoomScaleNormal="90" workbookViewId="0">
      <selection activeCell="D26" sqref="D25:D26"/>
    </sheetView>
  </sheetViews>
  <sheetFormatPr baseColWidth="10" defaultRowHeight="15" x14ac:dyDescent="0.25"/>
  <cols>
    <col min="1" max="1" width="5.42578125" customWidth="1"/>
    <col min="2" max="2" width="61.5703125" customWidth="1"/>
    <col min="3" max="3" width="30.85546875" customWidth="1"/>
    <col min="4" max="4" width="12.5703125" bestFit="1" customWidth="1"/>
    <col min="5" max="5" width="20.85546875" bestFit="1" customWidth="1"/>
    <col min="6" max="6" width="23.28515625" customWidth="1"/>
    <col min="7" max="7" width="15.42578125" customWidth="1"/>
    <col min="8" max="8" width="16.85546875" customWidth="1"/>
    <col min="9" max="9" width="14.85546875" bestFit="1" customWidth="1"/>
  </cols>
  <sheetData>
    <row r="4" spans="2:9" ht="18.75" x14ac:dyDescent="0.3">
      <c r="B4" s="419" t="s">
        <v>539</v>
      </c>
      <c r="C4" s="419"/>
      <c r="D4" s="419"/>
      <c r="E4" s="419"/>
      <c r="F4" s="419"/>
      <c r="G4" s="419"/>
      <c r="H4" s="419"/>
    </row>
    <row r="5" spans="2:9" ht="18.75" x14ac:dyDescent="0.3">
      <c r="B5" s="419" t="s">
        <v>658</v>
      </c>
      <c r="C5" s="419"/>
      <c r="D5" s="419"/>
      <c r="E5" s="419"/>
      <c r="F5" s="419"/>
      <c r="G5" s="419"/>
      <c r="H5" s="419"/>
    </row>
    <row r="6" spans="2:9" ht="18.75" x14ac:dyDescent="0.3">
      <c r="B6" s="419" t="s">
        <v>1501</v>
      </c>
      <c r="C6" s="419"/>
      <c r="D6" s="419"/>
      <c r="E6" s="419"/>
      <c r="F6" s="419"/>
      <c r="G6" s="419"/>
      <c r="H6" s="419"/>
    </row>
    <row r="7" spans="2:9" ht="19.5" thickBot="1" x14ac:dyDescent="0.35">
      <c r="B7" s="488" t="s">
        <v>657</v>
      </c>
      <c r="C7" s="488"/>
      <c r="D7" s="488"/>
      <c r="E7" s="488"/>
      <c r="F7" s="488"/>
      <c r="G7" s="488"/>
      <c r="H7" s="488"/>
    </row>
    <row r="8" spans="2:9" ht="15.75" x14ac:dyDescent="0.25">
      <c r="B8" s="156" t="s">
        <v>540</v>
      </c>
      <c r="C8" s="489" t="s">
        <v>541</v>
      </c>
      <c r="D8" s="490"/>
      <c r="E8" s="277" t="s">
        <v>542</v>
      </c>
      <c r="F8" s="278" t="s">
        <v>543</v>
      </c>
      <c r="G8" s="279" t="s">
        <v>544</v>
      </c>
      <c r="H8" s="280" t="s">
        <v>545</v>
      </c>
    </row>
    <row r="9" spans="2:9" ht="15.75" x14ac:dyDescent="0.25">
      <c r="B9" s="481" t="s">
        <v>436</v>
      </c>
      <c r="C9" s="483" t="s">
        <v>546</v>
      </c>
      <c r="D9" s="484"/>
      <c r="E9" s="281"/>
      <c r="F9" s="485" t="s">
        <v>547</v>
      </c>
      <c r="G9" s="486"/>
      <c r="H9" s="487"/>
    </row>
    <row r="10" spans="2:9" ht="31.5" x14ac:dyDescent="0.25">
      <c r="B10" s="482"/>
      <c r="C10" s="281" t="s">
        <v>548</v>
      </c>
      <c r="D10" s="281" t="s">
        <v>549</v>
      </c>
      <c r="E10" s="281" t="s">
        <v>435</v>
      </c>
      <c r="F10" s="282" t="s">
        <v>550</v>
      </c>
      <c r="G10" s="157" t="s">
        <v>551</v>
      </c>
      <c r="H10" s="158" t="s">
        <v>552</v>
      </c>
    </row>
    <row r="11" spans="2:9" x14ac:dyDescent="0.25">
      <c r="B11" s="160" t="s">
        <v>659</v>
      </c>
      <c r="C11" s="283"/>
      <c r="D11" s="166"/>
      <c r="E11" s="112"/>
      <c r="F11" s="2"/>
      <c r="G11" s="2"/>
      <c r="H11" s="159"/>
    </row>
    <row r="12" spans="2:9" x14ac:dyDescent="0.25">
      <c r="B12" s="160" t="s">
        <v>553</v>
      </c>
      <c r="C12" s="273">
        <v>44470</v>
      </c>
      <c r="D12" s="273">
        <v>45808</v>
      </c>
      <c r="E12" s="112">
        <f>6455721.37+191917.63+545919.42+146780.59+231604.06+289366.65+335354.64+387110.47+660164.03+254405.37+295100.71+268154.84+476725.77+301006.83+418780.67+471731.75+276884.63+183994.68+296760.59+288708.77+391617.11</f>
        <v>13167810.579999998</v>
      </c>
      <c r="F12" s="2"/>
      <c r="G12" s="2"/>
      <c r="H12" s="159"/>
      <c r="I12" s="171"/>
    </row>
    <row r="13" spans="2:9" x14ac:dyDescent="0.25">
      <c r="B13" s="160" t="s">
        <v>554</v>
      </c>
      <c r="C13" s="273">
        <v>45505</v>
      </c>
      <c r="D13" s="273">
        <v>45808</v>
      </c>
      <c r="E13" s="284">
        <f>4432093.625+933892.46+332731.24+782528.07-5231553.59+751870.91+363151.11+1094213.86</f>
        <v>3458927.6850000005</v>
      </c>
      <c r="F13" s="285"/>
      <c r="G13" s="2"/>
      <c r="H13" s="159"/>
      <c r="I13" s="171"/>
    </row>
    <row r="14" spans="2:9" x14ac:dyDescent="0.25">
      <c r="B14" s="160" t="s">
        <v>555</v>
      </c>
      <c r="C14" s="166"/>
      <c r="D14" s="166"/>
      <c r="E14" s="284"/>
      <c r="F14" s="2"/>
      <c r="G14" s="2"/>
      <c r="H14" s="159"/>
      <c r="I14" s="171"/>
    </row>
    <row r="15" spans="2:9" x14ac:dyDescent="0.25">
      <c r="B15" s="160" t="s">
        <v>556</v>
      </c>
      <c r="C15" s="166"/>
      <c r="D15" s="166"/>
      <c r="E15" s="284"/>
      <c r="F15" s="286"/>
      <c r="G15" s="2"/>
      <c r="H15" s="159"/>
    </row>
    <row r="16" spans="2:9" x14ac:dyDescent="0.25">
      <c r="B16" s="160" t="s">
        <v>557</v>
      </c>
      <c r="C16" s="166"/>
      <c r="D16" s="273"/>
      <c r="E16" s="284"/>
      <c r="F16" s="2"/>
      <c r="G16" s="2"/>
      <c r="H16" s="159"/>
    </row>
    <row r="17" spans="2:8" x14ac:dyDescent="0.25">
      <c r="B17" s="160" t="s">
        <v>558</v>
      </c>
      <c r="C17" s="166"/>
      <c r="D17" s="166"/>
      <c r="E17" s="284"/>
      <c r="F17" s="2"/>
      <c r="G17" s="2"/>
      <c r="H17" s="159"/>
    </row>
    <row r="18" spans="2:8" x14ac:dyDescent="0.25">
      <c r="B18" s="160" t="s">
        <v>559</v>
      </c>
      <c r="C18" s="1"/>
      <c r="D18" s="1"/>
      <c r="E18" s="1"/>
      <c r="F18" s="1"/>
      <c r="G18" s="1"/>
      <c r="H18" s="161"/>
    </row>
    <row r="19" spans="2:8" ht="15.75" thickBot="1" x14ac:dyDescent="0.3">
      <c r="B19" s="287" t="s">
        <v>328</v>
      </c>
      <c r="C19" s="288"/>
      <c r="D19" s="288"/>
      <c r="E19" s="289">
        <f>SUM(E12:E18)+E11</f>
        <v>16626738.264999999</v>
      </c>
      <c r="F19" s="289"/>
      <c r="G19" s="289"/>
      <c r="H19" s="290"/>
    </row>
    <row r="20" spans="2:8" ht="18" customHeight="1" x14ac:dyDescent="0.25"/>
    <row r="21" spans="2:8" ht="15.75" x14ac:dyDescent="0.25">
      <c r="B21" s="162" t="s">
        <v>560</v>
      </c>
    </row>
    <row r="23" spans="2:8" x14ac:dyDescent="0.25">
      <c r="F23" s="171"/>
    </row>
    <row r="25" spans="2:8" x14ac:dyDescent="0.25">
      <c r="B25" s="418" t="s">
        <v>561</v>
      </c>
      <c r="C25" s="418"/>
      <c r="E25" s="418" t="s">
        <v>562</v>
      </c>
      <c r="F25" s="418"/>
      <c r="G25" s="418"/>
      <c r="H25" s="418"/>
    </row>
    <row r="28" spans="2:8" x14ac:dyDescent="0.25">
      <c r="B28" s="491"/>
      <c r="C28" s="491"/>
      <c r="E28" s="491"/>
      <c r="F28" s="491"/>
      <c r="G28" s="491"/>
      <c r="H28" s="491"/>
    </row>
    <row r="29" spans="2:8" x14ac:dyDescent="0.25">
      <c r="B29" s="492"/>
      <c r="C29" s="492"/>
      <c r="E29" s="492"/>
      <c r="F29" s="492"/>
    </row>
  </sheetData>
  <mergeCells count="14">
    <mergeCell ref="B25:C25"/>
    <mergeCell ref="E25:H25"/>
    <mergeCell ref="B28:C28"/>
    <mergeCell ref="E28:H28"/>
    <mergeCell ref="B29:C29"/>
    <mergeCell ref="E29:F29"/>
    <mergeCell ref="B9:B10"/>
    <mergeCell ref="C9:D9"/>
    <mergeCell ref="F9:H9"/>
    <mergeCell ref="B4:H4"/>
    <mergeCell ref="B5:H5"/>
    <mergeCell ref="B6:H6"/>
    <mergeCell ref="B7:H7"/>
    <mergeCell ref="C8:D8"/>
  </mergeCells>
  <pageMargins left="0.7" right="0.7" top="0.75" bottom="0.75" header="0.3" footer="0.3"/>
  <pageSetup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66"/>
  <sheetViews>
    <sheetView tabSelected="1" view="pageBreakPreview" zoomScale="95" zoomScaleNormal="100" zoomScaleSheetLayoutView="95" workbookViewId="0">
      <selection activeCell="A6" sqref="A6:E48"/>
    </sheetView>
  </sheetViews>
  <sheetFormatPr baseColWidth="10" defaultRowHeight="15" x14ac:dyDescent="0.25"/>
  <cols>
    <col min="1" max="1" width="23.140625" bestFit="1" customWidth="1"/>
    <col min="2" max="2" width="27" customWidth="1"/>
    <col min="3" max="3" width="25.85546875" style="336" bestFit="1" customWidth="1"/>
    <col min="4" max="4" width="20.140625" hidden="1" customWidth="1"/>
    <col min="5" max="5" width="25.85546875" style="171" customWidth="1"/>
    <col min="6" max="6" width="16.28515625" style="171" bestFit="1" customWidth="1"/>
  </cols>
  <sheetData>
    <row r="3" spans="1:6" ht="23.25" x14ac:dyDescent="0.35">
      <c r="A3" s="505" t="s">
        <v>563</v>
      </c>
      <c r="B3" s="505"/>
      <c r="C3" s="505"/>
      <c r="D3" s="505"/>
      <c r="E3" s="505"/>
    </row>
    <row r="4" spans="1:6" ht="18.75" x14ac:dyDescent="0.3">
      <c r="A4" s="419" t="s">
        <v>564</v>
      </c>
      <c r="B4" s="419"/>
      <c r="C4" s="419"/>
      <c r="D4" s="419"/>
      <c r="E4" s="419"/>
    </row>
    <row r="5" spans="1:6" ht="18.75" x14ac:dyDescent="0.3">
      <c r="A5" s="300"/>
      <c r="B5" s="300"/>
      <c r="C5" s="341"/>
      <c r="D5" s="300"/>
      <c r="E5" s="266"/>
    </row>
    <row r="6" spans="1:6" x14ac:dyDescent="0.25">
      <c r="A6" s="506" t="s">
        <v>565</v>
      </c>
      <c r="B6" s="506"/>
      <c r="C6" s="506"/>
      <c r="D6" s="506"/>
      <c r="E6" s="506"/>
    </row>
    <row r="7" spans="1:6" ht="15.75" thickBot="1" x14ac:dyDescent="0.3">
      <c r="A7" s="507" t="s">
        <v>1086</v>
      </c>
      <c r="B7" s="507"/>
      <c r="C7" s="507"/>
      <c r="D7" s="507"/>
      <c r="E7" s="507"/>
    </row>
    <row r="8" spans="1:6" ht="30" x14ac:dyDescent="0.25">
      <c r="A8" s="163" t="s">
        <v>686</v>
      </c>
      <c r="B8" s="164" t="s">
        <v>566</v>
      </c>
      <c r="C8" s="165" t="s">
        <v>567</v>
      </c>
      <c r="D8" s="165" t="s">
        <v>568</v>
      </c>
      <c r="E8" s="267" t="s">
        <v>676</v>
      </c>
    </row>
    <row r="9" spans="1:6" s="119" customFormat="1" x14ac:dyDescent="0.25">
      <c r="A9" s="509" t="s">
        <v>569</v>
      </c>
      <c r="B9" s="264" t="s">
        <v>641</v>
      </c>
      <c r="C9" s="342"/>
      <c r="D9" s="247"/>
      <c r="E9" s="268">
        <f>79621891.83+4931430</f>
        <v>84553321.829999998</v>
      </c>
      <c r="F9" s="323"/>
    </row>
    <row r="10" spans="1:6" x14ac:dyDescent="0.25">
      <c r="A10" s="510"/>
      <c r="B10" s="304" t="s">
        <v>687</v>
      </c>
      <c r="C10" s="343"/>
      <c r="D10" s="305"/>
      <c r="E10" s="311">
        <v>12593841.17</v>
      </c>
    </row>
    <row r="11" spans="1:6" x14ac:dyDescent="0.25">
      <c r="A11" s="511"/>
      <c r="B11" s="304" t="s">
        <v>688</v>
      </c>
      <c r="C11" s="343"/>
      <c r="D11" s="305"/>
      <c r="E11" s="311">
        <v>3169632.08</v>
      </c>
    </row>
    <row r="12" spans="1:6" x14ac:dyDescent="0.25">
      <c r="A12" s="508" t="s">
        <v>570</v>
      </c>
      <c r="B12" s="508"/>
      <c r="C12" s="344"/>
      <c r="D12" s="167"/>
      <c r="E12" s="269">
        <f>SUM(E9:E11)</f>
        <v>100316795.08</v>
      </c>
    </row>
    <row r="13" spans="1:6" s="329" customFormat="1" x14ac:dyDescent="0.25">
      <c r="A13" s="493" t="s">
        <v>1503</v>
      </c>
      <c r="B13" s="384" t="s">
        <v>1497</v>
      </c>
      <c r="C13" s="385">
        <v>45860</v>
      </c>
      <c r="D13" s="306"/>
      <c r="E13" s="408">
        <v>4943.3999999999996</v>
      </c>
      <c r="F13" s="331"/>
    </row>
    <row r="14" spans="1:6" s="329" customFormat="1" x14ac:dyDescent="0.25">
      <c r="A14" s="494"/>
      <c r="B14" s="384" t="s">
        <v>692</v>
      </c>
      <c r="C14" s="385">
        <v>45840</v>
      </c>
      <c r="D14" s="306"/>
      <c r="E14" s="408">
        <v>125937.38</v>
      </c>
      <c r="F14" s="331"/>
    </row>
    <row r="15" spans="1:6" s="329" customFormat="1" x14ac:dyDescent="0.25">
      <c r="A15" s="494"/>
      <c r="B15" s="384" t="s">
        <v>1499</v>
      </c>
      <c r="C15" s="385">
        <v>45840</v>
      </c>
      <c r="D15" s="306"/>
      <c r="E15" s="408">
        <v>176215.29</v>
      </c>
      <c r="F15" s="331"/>
    </row>
    <row r="16" spans="1:6" s="329" customFormat="1" x14ac:dyDescent="0.25">
      <c r="A16" s="494"/>
      <c r="B16" s="384" t="s">
        <v>610</v>
      </c>
      <c r="C16" s="385">
        <v>45860</v>
      </c>
      <c r="D16" s="306"/>
      <c r="E16" s="408">
        <v>48385.69</v>
      </c>
      <c r="F16" s="331"/>
    </row>
    <row r="17" spans="1:6" s="329" customFormat="1" x14ac:dyDescent="0.25">
      <c r="A17" s="494"/>
      <c r="B17" s="384" t="s">
        <v>691</v>
      </c>
      <c r="C17" s="385">
        <v>45860</v>
      </c>
      <c r="D17" s="306"/>
      <c r="E17" s="408">
        <v>313059.93</v>
      </c>
      <c r="F17" s="331"/>
    </row>
    <row r="18" spans="1:6" s="329" customFormat="1" x14ac:dyDescent="0.25">
      <c r="A18" s="494"/>
      <c r="B18" s="384" t="s">
        <v>1498</v>
      </c>
      <c r="C18" s="385">
        <v>45860</v>
      </c>
      <c r="D18" s="306"/>
      <c r="E18" s="408">
        <v>395386.07</v>
      </c>
      <c r="F18" s="331"/>
    </row>
    <row r="19" spans="1:6" s="329" customFormat="1" x14ac:dyDescent="0.25">
      <c r="A19" s="494"/>
      <c r="B19" s="384" t="s">
        <v>689</v>
      </c>
      <c r="C19" s="385">
        <v>45867</v>
      </c>
      <c r="D19" s="306"/>
      <c r="E19" s="408">
        <v>649331.98</v>
      </c>
      <c r="F19" s="331"/>
    </row>
    <row r="20" spans="1:6" s="329" customFormat="1" x14ac:dyDescent="0.25">
      <c r="A20" s="494"/>
      <c r="B20" s="384" t="s">
        <v>710</v>
      </c>
      <c r="C20" s="385">
        <v>45856</v>
      </c>
      <c r="D20" s="306"/>
      <c r="E20" s="408">
        <v>7867.11</v>
      </c>
      <c r="F20" s="331"/>
    </row>
    <row r="21" spans="1:6" s="329" customFormat="1" x14ac:dyDescent="0.25">
      <c r="A21" s="494"/>
      <c r="B21" s="384" t="s">
        <v>710</v>
      </c>
      <c r="C21" s="385">
        <v>45856</v>
      </c>
      <c r="D21" s="306"/>
      <c r="E21" s="408">
        <v>9031.14</v>
      </c>
      <c r="F21" s="331"/>
    </row>
    <row r="22" spans="1:6" s="329" customFormat="1" x14ac:dyDescent="0.25">
      <c r="A22" s="494"/>
      <c r="B22" s="384" t="s">
        <v>710</v>
      </c>
      <c r="C22" s="385">
        <v>45856</v>
      </c>
      <c r="D22" s="306"/>
      <c r="E22" s="408">
        <v>24398.12</v>
      </c>
      <c r="F22" s="331"/>
    </row>
    <row r="23" spans="1:6" s="329" customFormat="1" x14ac:dyDescent="0.25">
      <c r="A23" s="494"/>
      <c r="B23" s="384" t="s">
        <v>710</v>
      </c>
      <c r="C23" s="385">
        <v>45856</v>
      </c>
      <c r="D23" s="306"/>
      <c r="E23" s="408">
        <v>47703.199999999997</v>
      </c>
      <c r="F23" s="331"/>
    </row>
    <row r="24" spans="1:6" x14ac:dyDescent="0.25">
      <c r="A24" s="494"/>
      <c r="B24" s="306" t="s">
        <v>710</v>
      </c>
      <c r="C24" s="385">
        <v>45856</v>
      </c>
      <c r="D24" s="305"/>
      <c r="E24" s="408">
        <v>48122.400000000001</v>
      </c>
    </row>
    <row r="25" spans="1:6" x14ac:dyDescent="0.25">
      <c r="A25" s="494"/>
      <c r="B25" s="306" t="s">
        <v>690</v>
      </c>
      <c r="C25" s="385">
        <v>45869</v>
      </c>
      <c r="D25" s="305"/>
      <c r="E25" s="408">
        <v>86993.18</v>
      </c>
    </row>
    <row r="26" spans="1:6" x14ac:dyDescent="0.25">
      <c r="A26" s="494"/>
      <c r="B26" s="306" t="s">
        <v>1083</v>
      </c>
      <c r="C26" s="385">
        <v>45855</v>
      </c>
      <c r="D26" s="305"/>
      <c r="E26" s="408">
        <v>111902.77</v>
      </c>
    </row>
    <row r="27" spans="1:6" x14ac:dyDescent="0.25">
      <c r="A27" s="494"/>
      <c r="B27" s="306" t="s">
        <v>710</v>
      </c>
      <c r="C27" s="385">
        <v>45856</v>
      </c>
      <c r="D27" s="305"/>
      <c r="E27" s="408">
        <v>117128.56</v>
      </c>
    </row>
    <row r="28" spans="1:6" s="119" customFormat="1" x14ac:dyDescent="0.25">
      <c r="A28" s="494"/>
      <c r="B28" s="306" t="s">
        <v>710</v>
      </c>
      <c r="C28" s="385">
        <v>45856</v>
      </c>
      <c r="D28" s="305"/>
      <c r="E28" s="408">
        <v>187255.14</v>
      </c>
      <c r="F28" s="323"/>
    </row>
    <row r="29" spans="1:6" x14ac:dyDescent="0.25">
      <c r="A29" s="494"/>
      <c r="B29" s="317" t="s">
        <v>1083</v>
      </c>
      <c r="C29" s="385">
        <v>45839</v>
      </c>
      <c r="D29" s="306"/>
      <c r="E29" s="408">
        <v>6784.54</v>
      </c>
    </row>
    <row r="30" spans="1:6" x14ac:dyDescent="0.25">
      <c r="A30" s="494"/>
      <c r="B30" s="317" t="s">
        <v>715</v>
      </c>
      <c r="C30" s="385">
        <v>45839</v>
      </c>
      <c r="D30" s="306"/>
      <c r="E30" s="408">
        <v>18134.86</v>
      </c>
    </row>
    <row r="31" spans="1:6" x14ac:dyDescent="0.25">
      <c r="A31" s="494"/>
      <c r="B31" s="317" t="s">
        <v>1498</v>
      </c>
      <c r="C31" s="385">
        <v>45867</v>
      </c>
      <c r="D31" s="306"/>
      <c r="E31" s="408">
        <v>48652.639999999999</v>
      </c>
    </row>
    <row r="32" spans="1:6" x14ac:dyDescent="0.25">
      <c r="A32" s="494"/>
      <c r="B32" s="306" t="s">
        <v>1084</v>
      </c>
      <c r="C32" s="385">
        <v>45840</v>
      </c>
      <c r="D32" s="306"/>
      <c r="E32" s="408">
        <v>50000</v>
      </c>
    </row>
    <row r="33" spans="1:5" x14ac:dyDescent="0.25">
      <c r="A33" s="494"/>
      <c r="B33" s="317" t="s">
        <v>699</v>
      </c>
      <c r="C33" s="385">
        <v>45863</v>
      </c>
      <c r="D33" s="306"/>
      <c r="E33" s="408">
        <v>63128.33</v>
      </c>
    </row>
    <row r="34" spans="1:5" x14ac:dyDescent="0.25">
      <c r="A34" s="494"/>
      <c r="B34" s="317" t="s">
        <v>699</v>
      </c>
      <c r="C34" s="385">
        <v>45852</v>
      </c>
      <c r="D34" s="306"/>
      <c r="E34" s="408">
        <v>237194.17</v>
      </c>
    </row>
    <row r="35" spans="1:5" x14ac:dyDescent="0.25">
      <c r="A35" s="494"/>
      <c r="B35" s="317" t="s">
        <v>1085</v>
      </c>
      <c r="C35" s="385">
        <v>45855</v>
      </c>
      <c r="D35" s="306"/>
      <c r="E35" s="408">
        <v>417359.58</v>
      </c>
    </row>
    <row r="36" spans="1:5" x14ac:dyDescent="0.25">
      <c r="A36" s="494"/>
      <c r="B36" s="317" t="s">
        <v>712</v>
      </c>
      <c r="C36" s="385">
        <v>45845</v>
      </c>
      <c r="D36" s="306"/>
      <c r="E36" s="408">
        <v>2432528.0099999998</v>
      </c>
    </row>
    <row r="37" spans="1:5" x14ac:dyDescent="0.25">
      <c r="A37" s="494"/>
      <c r="B37" s="317" t="s">
        <v>711</v>
      </c>
      <c r="C37" s="385">
        <v>45840</v>
      </c>
      <c r="D37" s="306"/>
      <c r="E37" s="408">
        <v>5296295.1399999997</v>
      </c>
    </row>
    <row r="38" spans="1:5" x14ac:dyDescent="0.25">
      <c r="A38" s="495"/>
      <c r="B38" s="317" t="s">
        <v>715</v>
      </c>
      <c r="C38" s="385">
        <v>45868</v>
      </c>
      <c r="D38" s="306"/>
      <c r="E38" s="408">
        <v>18399.990000000002</v>
      </c>
    </row>
    <row r="39" spans="1:5" x14ac:dyDescent="0.25">
      <c r="A39" s="496" t="s">
        <v>570</v>
      </c>
      <c r="B39" s="497"/>
      <c r="C39" s="344"/>
      <c r="D39" s="167"/>
      <c r="E39" s="269">
        <f>SUM(E13:E38)</f>
        <v>10942138.619999999</v>
      </c>
    </row>
    <row r="40" spans="1:5" ht="29.25" customHeight="1" x14ac:dyDescent="0.25">
      <c r="A40" s="498" t="s">
        <v>693</v>
      </c>
      <c r="B40" s="1" t="s">
        <v>579</v>
      </c>
      <c r="C40" s="345"/>
      <c r="D40" s="330"/>
      <c r="E40" s="312"/>
    </row>
    <row r="41" spans="1:5" ht="45" x14ac:dyDescent="0.25">
      <c r="A41" s="499"/>
      <c r="B41" s="307" t="s">
        <v>677</v>
      </c>
      <c r="C41" s="346" t="s">
        <v>1087</v>
      </c>
      <c r="D41" s="308"/>
      <c r="E41" s="312">
        <f>272050+2650</f>
        <v>274700</v>
      </c>
    </row>
    <row r="42" spans="1:5" ht="15.75" x14ac:dyDescent="0.25">
      <c r="A42" s="499"/>
      <c r="B42" s="309" t="s">
        <v>580</v>
      </c>
      <c r="C42" s="310"/>
      <c r="D42" s="308"/>
      <c r="E42" s="312"/>
    </row>
    <row r="43" spans="1:5" ht="18.75" customHeight="1" x14ac:dyDescent="0.25">
      <c r="A43" s="499"/>
      <c r="B43" s="310" t="s">
        <v>678</v>
      </c>
      <c r="C43" s="310"/>
      <c r="D43" s="308"/>
      <c r="E43" s="312"/>
    </row>
    <row r="44" spans="1:5" ht="60" x14ac:dyDescent="0.25">
      <c r="A44" s="499"/>
      <c r="B44" s="310" t="s">
        <v>581</v>
      </c>
      <c r="C44" s="346"/>
      <c r="D44" s="308"/>
      <c r="E44" s="313"/>
    </row>
    <row r="45" spans="1:5" s="329" customFormat="1" ht="31.5" x14ac:dyDescent="0.25">
      <c r="A45" s="499"/>
      <c r="B45" s="327" t="s">
        <v>716</v>
      </c>
      <c r="C45" s="346" t="s">
        <v>1087</v>
      </c>
      <c r="D45" s="305"/>
      <c r="E45" s="328">
        <v>559700</v>
      </c>
    </row>
    <row r="46" spans="1:5" ht="60" x14ac:dyDescent="0.25">
      <c r="A46" s="500"/>
      <c r="B46" s="307" t="s">
        <v>819</v>
      </c>
      <c r="C46" s="346"/>
      <c r="D46" s="308"/>
      <c r="E46" s="313"/>
    </row>
    <row r="47" spans="1:5" x14ac:dyDescent="0.25">
      <c r="A47" s="496" t="s">
        <v>570</v>
      </c>
      <c r="B47" s="497"/>
      <c r="C47" s="344"/>
      <c r="D47" s="167"/>
      <c r="E47" s="269">
        <f>SUM(E40:E46)</f>
        <v>834400</v>
      </c>
    </row>
    <row r="48" spans="1:5" x14ac:dyDescent="0.25">
      <c r="A48" s="501" t="s">
        <v>582</v>
      </c>
      <c r="B48" s="502"/>
      <c r="C48" s="347"/>
      <c r="D48" s="168"/>
      <c r="E48" s="270">
        <f>E39+E47+E12</f>
        <v>112093333.7</v>
      </c>
    </row>
    <row r="49" spans="1:5" x14ac:dyDescent="0.25">
      <c r="A49" s="169"/>
      <c r="B49" s="169"/>
      <c r="C49" s="348"/>
      <c r="D49" s="170"/>
      <c r="E49" s="271"/>
    </row>
    <row r="50" spans="1:5" x14ac:dyDescent="0.25">
      <c r="A50" s="169"/>
      <c r="B50" s="169"/>
      <c r="C50" s="348"/>
      <c r="D50" s="170"/>
      <c r="E50" s="271"/>
    </row>
    <row r="51" spans="1:5" ht="15" customHeight="1" x14ac:dyDescent="0.25">
      <c r="A51" s="504" t="s">
        <v>758</v>
      </c>
      <c r="B51" s="504"/>
      <c r="C51" s="504"/>
      <c r="D51" s="504"/>
      <c r="E51" s="504"/>
    </row>
    <row r="52" spans="1:5" x14ac:dyDescent="0.25">
      <c r="A52" s="504"/>
      <c r="B52" s="504"/>
      <c r="C52" s="504"/>
      <c r="D52" s="504"/>
      <c r="E52" s="504"/>
    </row>
    <row r="54" spans="1:5" x14ac:dyDescent="0.25">
      <c r="A54" s="503" t="s">
        <v>1500</v>
      </c>
      <c r="B54" s="503"/>
      <c r="C54" s="503"/>
      <c r="D54" s="503"/>
      <c r="E54" s="503"/>
    </row>
    <row r="56" spans="1:5" x14ac:dyDescent="0.25">
      <c r="A56" s="302" t="s">
        <v>679</v>
      </c>
      <c r="B56" s="302" t="s">
        <v>680</v>
      </c>
      <c r="C56" s="349" t="s">
        <v>681</v>
      </c>
      <c r="D56" s="303" t="s">
        <v>682</v>
      </c>
      <c r="E56" s="314"/>
    </row>
    <row r="57" spans="1:5" x14ac:dyDescent="0.25">
      <c r="A57" s="111" t="s">
        <v>694</v>
      </c>
      <c r="B57" s="315"/>
      <c r="C57" s="350"/>
      <c r="D57" s="136"/>
      <c r="E57" s="265"/>
    </row>
    <row r="58" spans="1:5" x14ac:dyDescent="0.25">
      <c r="A58" s="111"/>
      <c r="B58" s="111"/>
      <c r="C58" s="333"/>
      <c r="D58" s="111"/>
      <c r="E58" s="272"/>
    </row>
    <row r="59" spans="1:5" x14ac:dyDescent="0.25">
      <c r="A59" s="111"/>
      <c r="B59" s="111"/>
      <c r="C59" s="333"/>
      <c r="D59" s="111"/>
      <c r="E59" s="272"/>
    </row>
    <row r="60" spans="1:5" x14ac:dyDescent="0.25">
      <c r="A60" s="316"/>
      <c r="B60" s="316"/>
      <c r="C60" s="351"/>
      <c r="D60" s="316"/>
      <c r="E60" s="272"/>
    </row>
    <row r="61" spans="1:5" x14ac:dyDescent="0.25">
      <c r="A61" s="316"/>
      <c r="B61" s="316"/>
      <c r="C61" s="351"/>
      <c r="D61" s="316"/>
      <c r="E61" s="272"/>
    </row>
    <row r="62" spans="1:5" x14ac:dyDescent="0.25">
      <c r="A62" s="316"/>
      <c r="B62" s="316"/>
      <c r="C62" s="351"/>
      <c r="D62" s="316"/>
      <c r="E62" s="272"/>
    </row>
    <row r="63" spans="1:5" x14ac:dyDescent="0.25">
      <c r="A63" s="418" t="s">
        <v>561</v>
      </c>
      <c r="B63" s="418"/>
      <c r="D63" s="418" t="s">
        <v>562</v>
      </c>
      <c r="E63" s="418"/>
    </row>
    <row r="64" spans="1:5" x14ac:dyDescent="0.25">
      <c r="A64" s="127"/>
      <c r="B64" s="127" t="s">
        <v>683</v>
      </c>
      <c r="D64" t="s">
        <v>684</v>
      </c>
    </row>
    <row r="65" spans="1:5" x14ac:dyDescent="0.25">
      <c r="A65" s="418" t="s">
        <v>583</v>
      </c>
      <c r="B65" s="418"/>
      <c r="C65" s="418"/>
      <c r="D65" s="418"/>
      <c r="E65" s="418"/>
    </row>
    <row r="66" spans="1:5" x14ac:dyDescent="0.25">
      <c r="A66" s="299"/>
      <c r="B66" s="418" t="s">
        <v>685</v>
      </c>
      <c r="C66" s="418"/>
      <c r="D66" s="418"/>
      <c r="E66" s="418"/>
    </row>
  </sheetData>
  <mergeCells count="17">
    <mergeCell ref="A51:E52"/>
    <mergeCell ref="A3:E3"/>
    <mergeCell ref="A4:E4"/>
    <mergeCell ref="A6:E6"/>
    <mergeCell ref="A7:E7"/>
    <mergeCell ref="A12:B12"/>
    <mergeCell ref="A9:A11"/>
    <mergeCell ref="A54:E54"/>
    <mergeCell ref="A65:E65"/>
    <mergeCell ref="B66:E66"/>
    <mergeCell ref="A63:B63"/>
    <mergeCell ref="D63:E63"/>
    <mergeCell ref="A13:A38"/>
    <mergeCell ref="A39:B39"/>
    <mergeCell ref="A47:B47"/>
    <mergeCell ref="A40:A46"/>
    <mergeCell ref="A48:B48"/>
  </mergeCells>
  <pageMargins left="0.7" right="0.7" top="0.75" bottom="0.75" header="0.3" footer="0.3"/>
  <pageSetup scale="5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Views>
    <sheetView view="pageBreakPreview" topLeftCell="H1" zoomScale="98" zoomScaleNormal="90" zoomScaleSheetLayoutView="98" workbookViewId="0">
      <pane ySplit="6" topLeftCell="A44" activePane="bottomLeft" state="frozen"/>
      <selection activeCell="F1" sqref="F1"/>
      <selection pane="bottomLeft" activeCell="K52" sqref="K52"/>
    </sheetView>
  </sheetViews>
  <sheetFormatPr baseColWidth="10" defaultColWidth="23.5703125" defaultRowHeight="15" x14ac:dyDescent="0.25"/>
  <cols>
    <col min="1" max="1" width="18" bestFit="1" customWidth="1"/>
    <col min="2" max="2" width="53.7109375" bestFit="1" customWidth="1"/>
    <col min="3" max="3" width="22.42578125" style="261" bestFit="1" customWidth="1"/>
    <col min="4" max="4" width="24.5703125" style="171" bestFit="1" customWidth="1"/>
    <col min="5" max="5" width="19.5703125" bestFit="1" customWidth="1"/>
    <col min="6" max="8" width="20.28515625" bestFit="1" customWidth="1"/>
    <col min="9" max="9" width="20" bestFit="1" customWidth="1"/>
    <col min="10" max="10" width="19.28515625" bestFit="1" customWidth="1"/>
    <col min="11" max="11" width="21.28515625" bestFit="1" customWidth="1"/>
    <col min="12" max="12" width="17.42578125" bestFit="1" customWidth="1"/>
    <col min="13" max="13" width="16.42578125" bestFit="1" customWidth="1"/>
    <col min="14" max="16" width="16.42578125" customWidth="1"/>
  </cols>
  <sheetData>
    <row r="1" spans="1:17" ht="22.5" x14ac:dyDescent="0.3">
      <c r="A1" s="512" t="s">
        <v>629</v>
      </c>
      <c r="B1" s="512"/>
      <c r="C1" s="512"/>
      <c r="D1" s="512"/>
      <c r="E1" s="512"/>
      <c r="F1" s="512"/>
      <c r="G1" s="512"/>
      <c r="H1" s="512"/>
      <c r="I1" s="512"/>
      <c r="J1" s="512"/>
      <c r="K1" s="512"/>
      <c r="L1" s="512"/>
      <c r="M1" s="512"/>
      <c r="N1" s="512"/>
      <c r="O1" s="512"/>
      <c r="P1" s="512"/>
      <c r="Q1" s="512"/>
    </row>
    <row r="2" spans="1:17" ht="15.75" x14ac:dyDescent="0.25">
      <c r="A2" s="513" t="s">
        <v>637</v>
      </c>
      <c r="B2" s="513"/>
      <c r="C2" s="513"/>
      <c r="D2" s="513"/>
      <c r="E2" s="513"/>
      <c r="F2" s="513"/>
      <c r="G2" s="513"/>
      <c r="H2" s="513"/>
      <c r="I2" s="513"/>
      <c r="J2" s="513"/>
      <c r="K2" s="513"/>
      <c r="L2" s="513"/>
      <c r="M2" s="513"/>
      <c r="N2" s="513"/>
      <c r="O2" s="513"/>
      <c r="P2" s="513"/>
      <c r="Q2" s="513"/>
    </row>
    <row r="3" spans="1:17" ht="15.75" x14ac:dyDescent="0.25">
      <c r="A3" s="513" t="s">
        <v>630</v>
      </c>
      <c r="B3" s="513"/>
      <c r="C3" s="513"/>
      <c r="D3" s="513"/>
      <c r="E3" s="513"/>
      <c r="F3" s="513"/>
      <c r="G3" s="513"/>
      <c r="H3" s="513"/>
      <c r="I3" s="513"/>
      <c r="J3" s="513"/>
      <c r="K3" s="513"/>
      <c r="L3" s="513"/>
      <c r="M3" s="513"/>
      <c r="N3" s="513"/>
      <c r="O3" s="513"/>
      <c r="P3" s="513"/>
      <c r="Q3" s="513"/>
    </row>
    <row r="4" spans="1:17" x14ac:dyDescent="0.25">
      <c r="A4" s="117" t="s">
        <v>427</v>
      </c>
      <c r="B4" s="294" t="s">
        <v>657</v>
      </c>
      <c r="D4" s="265" t="s">
        <v>672</v>
      </c>
      <c r="E4" s="293">
        <v>45839</v>
      </c>
    </row>
    <row r="6" spans="1:17" s="239" customFormat="1" x14ac:dyDescent="0.25">
      <c r="A6" s="237" t="s">
        <v>631</v>
      </c>
      <c r="B6" s="238" t="s">
        <v>632</v>
      </c>
      <c r="C6" s="324" t="s">
        <v>697</v>
      </c>
      <c r="D6" s="319" t="s">
        <v>696</v>
      </c>
      <c r="E6" s="237" t="s">
        <v>642</v>
      </c>
      <c r="F6" s="237" t="s">
        <v>633</v>
      </c>
      <c r="G6" s="237" t="s">
        <v>634</v>
      </c>
      <c r="H6" s="237" t="s">
        <v>643</v>
      </c>
      <c r="I6" s="237" t="s">
        <v>644</v>
      </c>
      <c r="J6" s="237" t="s">
        <v>660</v>
      </c>
      <c r="K6" s="237" t="s">
        <v>661</v>
      </c>
      <c r="L6" s="237" t="s">
        <v>695</v>
      </c>
      <c r="M6" s="237" t="s">
        <v>720</v>
      </c>
      <c r="N6" s="237" t="s">
        <v>706</v>
      </c>
      <c r="O6" s="237" t="s">
        <v>818</v>
      </c>
      <c r="P6" s="237" t="s">
        <v>1111</v>
      </c>
      <c r="Q6" s="237" t="s">
        <v>635</v>
      </c>
    </row>
    <row r="7" spans="1:17" x14ac:dyDescent="0.25">
      <c r="A7" s="2">
        <v>1</v>
      </c>
      <c r="B7" s="241" t="s">
        <v>1097</v>
      </c>
      <c r="C7" s="325"/>
      <c r="D7" s="386" t="s">
        <v>733</v>
      </c>
      <c r="E7" s="240"/>
      <c r="F7" s="240"/>
      <c r="G7" s="240"/>
      <c r="H7" s="318">
        <v>11375</v>
      </c>
      <c r="I7" s="240"/>
      <c r="J7" s="318"/>
      <c r="K7" s="240"/>
      <c r="L7" s="240"/>
      <c r="M7" s="240"/>
      <c r="N7" s="240"/>
      <c r="O7" s="240"/>
      <c r="P7" s="240"/>
      <c r="Q7" s="240">
        <f>SUM(F7:P7)</f>
        <v>11375</v>
      </c>
    </row>
    <row r="8" spans="1:17" x14ac:dyDescent="0.25">
      <c r="A8" s="2">
        <f t="shared" ref="A8:A46" si="0">+A7+1</f>
        <v>2</v>
      </c>
      <c r="B8" s="241" t="s">
        <v>1097</v>
      </c>
      <c r="C8" s="325"/>
      <c r="D8" s="386" t="s">
        <v>733</v>
      </c>
      <c r="E8" s="240"/>
      <c r="F8" s="240"/>
      <c r="G8" s="240"/>
      <c r="H8" s="318">
        <v>94965</v>
      </c>
      <c r="I8" s="240"/>
      <c r="J8" s="318"/>
      <c r="K8" s="318"/>
      <c r="L8" s="240"/>
      <c r="M8" s="240"/>
      <c r="N8" s="240"/>
      <c r="O8" s="240"/>
      <c r="P8" s="240"/>
      <c r="Q8" s="240">
        <f t="shared" ref="Q8:Q51" si="1">SUM(F8:P8)</f>
        <v>94965</v>
      </c>
    </row>
    <row r="9" spans="1:17" x14ac:dyDescent="0.25">
      <c r="A9" s="2">
        <f t="shared" si="0"/>
        <v>3</v>
      </c>
      <c r="B9" s="242" t="s">
        <v>1110</v>
      </c>
      <c r="C9" s="325"/>
      <c r="D9" s="386" t="s">
        <v>733</v>
      </c>
      <c r="E9" s="240"/>
      <c r="F9" s="240"/>
      <c r="G9" s="240"/>
      <c r="H9" s="318">
        <v>224775</v>
      </c>
      <c r="I9" s="240"/>
      <c r="J9" s="240"/>
      <c r="K9" s="240"/>
      <c r="L9" s="240"/>
      <c r="M9" s="318"/>
      <c r="N9" s="318"/>
      <c r="O9" s="240"/>
      <c r="P9" s="240"/>
      <c r="Q9" s="240">
        <f t="shared" si="1"/>
        <v>224775</v>
      </c>
    </row>
    <row r="10" spans="1:17" x14ac:dyDescent="0.25">
      <c r="A10" s="2">
        <f t="shared" si="0"/>
        <v>4</v>
      </c>
      <c r="B10" s="241" t="s">
        <v>1095</v>
      </c>
      <c r="C10" s="325"/>
      <c r="D10" s="386" t="s">
        <v>733</v>
      </c>
      <c r="E10" s="240"/>
      <c r="F10" s="240"/>
      <c r="G10" s="240"/>
      <c r="H10" s="318">
        <v>287920</v>
      </c>
      <c r="I10" s="318"/>
      <c r="J10" s="240"/>
      <c r="K10" s="240"/>
      <c r="L10" s="240"/>
      <c r="M10" s="240"/>
      <c r="N10" s="240"/>
      <c r="O10" s="240"/>
      <c r="P10" s="240"/>
      <c r="Q10" s="240">
        <f t="shared" si="1"/>
        <v>287920</v>
      </c>
    </row>
    <row r="11" spans="1:17" x14ac:dyDescent="0.25">
      <c r="A11" s="2">
        <f t="shared" si="0"/>
        <v>5</v>
      </c>
      <c r="B11" s="241" t="s">
        <v>1093</v>
      </c>
      <c r="C11" s="325"/>
      <c r="D11" s="386" t="s">
        <v>733</v>
      </c>
      <c r="E11" s="240"/>
      <c r="F11" s="240"/>
      <c r="G11" s="240"/>
      <c r="H11" s="318">
        <v>220483.05</v>
      </c>
      <c r="I11" s="240"/>
      <c r="J11" s="240"/>
      <c r="K11" s="240"/>
      <c r="L11" s="240"/>
      <c r="M11" s="240"/>
      <c r="N11" s="240"/>
      <c r="O11" s="240"/>
      <c r="P11" s="240"/>
      <c r="Q11" s="240">
        <f t="shared" si="1"/>
        <v>220483.05</v>
      </c>
    </row>
    <row r="12" spans="1:17" x14ac:dyDescent="0.25">
      <c r="A12" s="2">
        <f t="shared" si="0"/>
        <v>6</v>
      </c>
      <c r="B12" s="241" t="s">
        <v>1090</v>
      </c>
      <c r="C12" s="325"/>
      <c r="D12" s="386" t="s">
        <v>733</v>
      </c>
      <c r="E12" s="240"/>
      <c r="F12" s="240"/>
      <c r="G12" s="240"/>
      <c r="H12" s="318">
        <v>4182</v>
      </c>
      <c r="I12" s="240"/>
      <c r="J12" s="240"/>
      <c r="K12" s="240"/>
      <c r="L12" s="240"/>
      <c r="M12" s="240"/>
      <c r="N12" s="240"/>
      <c r="O12" s="240"/>
      <c r="P12" s="240"/>
      <c r="Q12" s="240">
        <f t="shared" si="1"/>
        <v>4182</v>
      </c>
    </row>
    <row r="13" spans="1:17" x14ac:dyDescent="0.25">
      <c r="A13" s="2">
        <f t="shared" si="0"/>
        <v>7</v>
      </c>
      <c r="B13" s="241" t="s">
        <v>1109</v>
      </c>
      <c r="C13" s="325"/>
      <c r="D13" s="386" t="s">
        <v>733</v>
      </c>
      <c r="E13" s="240"/>
      <c r="F13" s="240"/>
      <c r="G13" s="240"/>
      <c r="H13" s="318">
        <v>58382.86</v>
      </c>
      <c r="I13" s="240"/>
      <c r="J13" s="240"/>
      <c r="K13" s="240"/>
      <c r="L13" s="240"/>
      <c r="M13" s="318"/>
      <c r="N13" s="318"/>
      <c r="O13" s="240"/>
      <c r="P13" s="240"/>
      <c r="Q13" s="240">
        <f t="shared" si="1"/>
        <v>58382.86</v>
      </c>
    </row>
    <row r="14" spans="1:17" x14ac:dyDescent="0.25">
      <c r="A14" s="2">
        <f t="shared" si="0"/>
        <v>8</v>
      </c>
      <c r="B14" s="241" t="s">
        <v>1102</v>
      </c>
      <c r="C14" s="325"/>
      <c r="D14" s="386" t="s">
        <v>733</v>
      </c>
      <c r="E14" s="240"/>
      <c r="F14" s="240"/>
      <c r="G14" s="240"/>
      <c r="H14" s="318">
        <v>213260</v>
      </c>
      <c r="I14" s="240"/>
      <c r="J14" s="240"/>
      <c r="K14" s="240"/>
      <c r="L14" s="240"/>
      <c r="M14" s="318"/>
      <c r="N14" s="318"/>
      <c r="O14" s="240"/>
      <c r="P14" s="240"/>
      <c r="Q14" s="240">
        <f t="shared" si="1"/>
        <v>213260</v>
      </c>
    </row>
    <row r="15" spans="1:17" x14ac:dyDescent="0.25">
      <c r="A15" s="2">
        <f t="shared" si="0"/>
        <v>9</v>
      </c>
      <c r="B15" s="241" t="s">
        <v>1092</v>
      </c>
      <c r="C15" s="325"/>
      <c r="D15" s="386" t="s">
        <v>733</v>
      </c>
      <c r="E15" s="240"/>
      <c r="F15" s="240"/>
      <c r="G15" s="240"/>
      <c r="H15" s="318">
        <v>400</v>
      </c>
      <c r="I15" s="240"/>
      <c r="J15" s="240"/>
      <c r="K15" s="240"/>
      <c r="L15" s="240"/>
      <c r="M15" s="240"/>
      <c r="N15" s="240"/>
      <c r="O15" s="240"/>
      <c r="P15" s="240"/>
      <c r="Q15" s="240">
        <f t="shared" si="1"/>
        <v>400</v>
      </c>
    </row>
    <row r="16" spans="1:17" x14ac:dyDescent="0.25">
      <c r="A16" s="2">
        <f t="shared" si="0"/>
        <v>10</v>
      </c>
      <c r="B16" s="241" t="s">
        <v>1100</v>
      </c>
      <c r="C16" s="325"/>
      <c r="D16" s="386" t="s">
        <v>733</v>
      </c>
      <c r="E16" s="240"/>
      <c r="F16" s="240"/>
      <c r="G16" s="240"/>
      <c r="H16" s="240"/>
      <c r="I16" s="318">
        <v>48852</v>
      </c>
      <c r="J16" s="240"/>
      <c r="K16" s="240"/>
      <c r="L16" s="318"/>
      <c r="M16" s="240"/>
      <c r="N16" s="240"/>
      <c r="O16" s="240"/>
      <c r="P16" s="240"/>
      <c r="Q16" s="240">
        <f t="shared" si="1"/>
        <v>48852</v>
      </c>
    </row>
    <row r="17" spans="1:17" x14ac:dyDescent="0.25">
      <c r="A17" s="2">
        <f t="shared" si="0"/>
        <v>11</v>
      </c>
      <c r="B17" s="241" t="s">
        <v>1100</v>
      </c>
      <c r="C17" s="326"/>
      <c r="D17" s="386" t="s">
        <v>733</v>
      </c>
      <c r="E17" s="240"/>
      <c r="F17" s="240"/>
      <c r="G17" s="240"/>
      <c r="H17" s="240"/>
      <c r="I17" s="318">
        <v>48852</v>
      </c>
      <c r="J17" s="240"/>
      <c r="K17" s="240"/>
      <c r="L17" s="318"/>
      <c r="M17" s="240"/>
      <c r="N17" s="240"/>
      <c r="O17" s="240"/>
      <c r="P17" s="240"/>
      <c r="Q17" s="240">
        <f t="shared" si="1"/>
        <v>48852</v>
      </c>
    </row>
    <row r="18" spans="1:17" x14ac:dyDescent="0.25">
      <c r="A18" s="2">
        <f t="shared" si="0"/>
        <v>12</v>
      </c>
      <c r="B18" s="241" t="s">
        <v>668</v>
      </c>
      <c r="C18" s="325"/>
      <c r="D18" s="386" t="s">
        <v>733</v>
      </c>
      <c r="E18" s="240"/>
      <c r="F18" s="240"/>
      <c r="G18" s="240"/>
      <c r="H18" s="240"/>
      <c r="I18" s="318">
        <v>162462.39999999999</v>
      </c>
      <c r="J18" s="240"/>
      <c r="K18" s="240"/>
      <c r="L18" s="318"/>
      <c r="M18" s="240"/>
      <c r="N18" s="240"/>
      <c r="O18" s="240"/>
      <c r="P18" s="240"/>
      <c r="Q18" s="240">
        <f t="shared" si="1"/>
        <v>162462.39999999999</v>
      </c>
    </row>
    <row r="19" spans="1:17" x14ac:dyDescent="0.25">
      <c r="A19" s="2">
        <f t="shared" si="0"/>
        <v>13</v>
      </c>
      <c r="B19" s="241" t="s">
        <v>1100</v>
      </c>
      <c r="C19" s="325"/>
      <c r="D19" s="386" t="s">
        <v>733</v>
      </c>
      <c r="E19" s="240"/>
      <c r="F19" s="240"/>
      <c r="G19" s="240"/>
      <c r="H19" s="240"/>
      <c r="I19" s="318">
        <v>48852</v>
      </c>
      <c r="J19" s="240"/>
      <c r="K19" s="240"/>
      <c r="L19" s="318"/>
      <c r="M19" s="240"/>
      <c r="N19" s="240"/>
      <c r="O19" s="240"/>
      <c r="P19" s="240"/>
      <c r="Q19" s="240">
        <f t="shared" si="1"/>
        <v>48852</v>
      </c>
    </row>
    <row r="20" spans="1:17" x14ac:dyDescent="0.25">
      <c r="A20" s="2">
        <f t="shared" si="0"/>
        <v>14</v>
      </c>
      <c r="B20" s="241" t="s">
        <v>1100</v>
      </c>
      <c r="C20" s="325"/>
      <c r="D20" s="386" t="s">
        <v>733</v>
      </c>
      <c r="E20" s="240"/>
      <c r="F20" s="240"/>
      <c r="G20" s="240"/>
      <c r="H20" s="240"/>
      <c r="I20" s="318">
        <v>48852</v>
      </c>
      <c r="J20" s="240"/>
      <c r="K20" s="240"/>
      <c r="L20" s="240"/>
      <c r="M20" s="318"/>
      <c r="N20" s="318"/>
      <c r="O20" s="240"/>
      <c r="P20" s="240"/>
      <c r="Q20" s="240">
        <f t="shared" si="1"/>
        <v>48852</v>
      </c>
    </row>
    <row r="21" spans="1:17" x14ac:dyDescent="0.25">
      <c r="A21" s="2">
        <f t="shared" si="0"/>
        <v>15</v>
      </c>
      <c r="B21" s="241" t="s">
        <v>1108</v>
      </c>
      <c r="C21" s="325"/>
      <c r="D21" s="386" t="s">
        <v>733</v>
      </c>
      <c r="E21" s="240"/>
      <c r="F21" s="240"/>
      <c r="G21" s="240"/>
      <c r="H21" s="240"/>
      <c r="I21" s="318">
        <v>112271.1</v>
      </c>
      <c r="J21" s="240"/>
      <c r="K21" s="240"/>
      <c r="L21" s="240"/>
      <c r="M21" s="318"/>
      <c r="N21" s="318"/>
      <c r="O21" s="240"/>
      <c r="P21" s="240"/>
      <c r="Q21" s="240">
        <f t="shared" si="1"/>
        <v>112271.1</v>
      </c>
    </row>
    <row r="22" spans="1:17" x14ac:dyDescent="0.25">
      <c r="A22" s="2">
        <f t="shared" si="0"/>
        <v>16</v>
      </c>
      <c r="B22" s="241" t="s">
        <v>671</v>
      </c>
      <c r="C22" s="325"/>
      <c r="D22" s="386" t="s">
        <v>733</v>
      </c>
      <c r="E22" s="240"/>
      <c r="F22" s="240"/>
      <c r="G22" s="240"/>
      <c r="H22" s="240"/>
      <c r="I22" s="318">
        <v>56168</v>
      </c>
      <c r="J22" s="240"/>
      <c r="K22" s="240"/>
      <c r="L22" s="240"/>
      <c r="M22" s="240"/>
      <c r="N22" s="240"/>
      <c r="O22" s="240"/>
      <c r="P22" s="240"/>
      <c r="Q22" s="240">
        <f t="shared" si="1"/>
        <v>56168</v>
      </c>
    </row>
    <row r="23" spans="1:17" x14ac:dyDescent="0.25">
      <c r="A23" s="2">
        <f t="shared" si="0"/>
        <v>17</v>
      </c>
      <c r="B23" s="241" t="s">
        <v>1099</v>
      </c>
      <c r="C23" s="325"/>
      <c r="D23" s="386" t="s">
        <v>733</v>
      </c>
      <c r="E23" s="240"/>
      <c r="F23" s="240"/>
      <c r="G23" s="240"/>
      <c r="H23" s="240"/>
      <c r="I23" s="318">
        <v>16520</v>
      </c>
      <c r="J23" s="240"/>
      <c r="K23" s="240"/>
      <c r="L23" s="318"/>
      <c r="M23" s="240"/>
      <c r="N23" s="240"/>
      <c r="O23" s="240"/>
      <c r="P23" s="240"/>
      <c r="Q23" s="240">
        <f t="shared" si="1"/>
        <v>16520</v>
      </c>
    </row>
    <row r="24" spans="1:17" x14ac:dyDescent="0.25">
      <c r="A24" s="2">
        <f t="shared" si="0"/>
        <v>18</v>
      </c>
      <c r="B24" s="241" t="s">
        <v>668</v>
      </c>
      <c r="C24" s="325"/>
      <c r="D24" s="386" t="s">
        <v>733</v>
      </c>
      <c r="E24" s="240"/>
      <c r="F24" s="240"/>
      <c r="G24" s="240"/>
      <c r="H24" s="240"/>
      <c r="I24" s="240"/>
      <c r="J24" s="240"/>
      <c r="K24" s="318">
        <v>137691.84</v>
      </c>
      <c r="L24" s="318"/>
      <c r="M24" s="240"/>
      <c r="N24" s="240"/>
      <c r="O24" s="240"/>
      <c r="P24" s="240"/>
      <c r="Q24" s="240">
        <f t="shared" si="1"/>
        <v>137691.84</v>
      </c>
    </row>
    <row r="25" spans="1:17" x14ac:dyDescent="0.25">
      <c r="A25" s="2">
        <f t="shared" si="0"/>
        <v>19</v>
      </c>
      <c r="B25" s="241" t="s">
        <v>1088</v>
      </c>
      <c r="C25" s="325"/>
      <c r="D25" s="386" t="s">
        <v>733</v>
      </c>
      <c r="E25" s="240"/>
      <c r="F25" s="240"/>
      <c r="G25" s="240"/>
      <c r="H25" s="240"/>
      <c r="I25" s="240"/>
      <c r="J25" s="240"/>
      <c r="K25" s="240"/>
      <c r="L25" s="318">
        <v>9500</v>
      </c>
      <c r="M25" s="240"/>
      <c r="N25" s="240"/>
      <c r="O25" s="240"/>
      <c r="P25" s="240"/>
      <c r="Q25" s="240">
        <f t="shared" si="1"/>
        <v>9500</v>
      </c>
    </row>
    <row r="26" spans="1:17" x14ac:dyDescent="0.25">
      <c r="A26" s="2">
        <f t="shared" si="0"/>
        <v>20</v>
      </c>
      <c r="B26" s="241" t="s">
        <v>1094</v>
      </c>
      <c r="C26" s="325"/>
      <c r="D26" s="386" t="s">
        <v>733</v>
      </c>
      <c r="E26" s="240"/>
      <c r="F26" s="240"/>
      <c r="G26" s="240"/>
      <c r="H26" s="240"/>
      <c r="I26" s="240"/>
      <c r="J26" s="240"/>
      <c r="K26" s="240"/>
      <c r="L26" s="240"/>
      <c r="M26" s="318">
        <v>13900</v>
      </c>
      <c r="N26" s="240"/>
      <c r="O26" s="240"/>
      <c r="P26" s="240"/>
      <c r="Q26" s="240">
        <f t="shared" si="1"/>
        <v>13900</v>
      </c>
    </row>
    <row r="27" spans="1:17" x14ac:dyDescent="0.25">
      <c r="A27" s="2">
        <f t="shared" si="0"/>
        <v>21</v>
      </c>
      <c r="B27" s="241" t="s">
        <v>1094</v>
      </c>
      <c r="C27" s="325"/>
      <c r="D27" s="386" t="s">
        <v>733</v>
      </c>
      <c r="E27" s="240"/>
      <c r="F27" s="240"/>
      <c r="G27" s="240"/>
      <c r="H27" s="240"/>
      <c r="I27" s="318"/>
      <c r="J27" s="240"/>
      <c r="K27" s="240"/>
      <c r="L27" s="240"/>
      <c r="M27" s="240"/>
      <c r="N27" s="318">
        <v>18500</v>
      </c>
      <c r="O27" s="240"/>
      <c r="P27" s="240"/>
      <c r="Q27" s="240">
        <f t="shared" si="1"/>
        <v>18500</v>
      </c>
    </row>
    <row r="28" spans="1:17" x14ac:dyDescent="0.25">
      <c r="A28" s="2">
        <f t="shared" si="0"/>
        <v>22</v>
      </c>
      <c r="B28" s="241" t="s">
        <v>1094</v>
      </c>
      <c r="C28" s="325"/>
      <c r="D28" s="386" t="s">
        <v>733</v>
      </c>
      <c r="E28" s="240"/>
      <c r="F28" s="240"/>
      <c r="G28" s="240"/>
      <c r="H28" s="240"/>
      <c r="I28" s="318"/>
      <c r="J28" s="240"/>
      <c r="K28" s="240"/>
      <c r="L28" s="240"/>
      <c r="M28" s="240"/>
      <c r="N28" s="240"/>
      <c r="O28" s="318">
        <v>23625</v>
      </c>
      <c r="P28" s="318"/>
      <c r="Q28" s="240">
        <f t="shared" si="1"/>
        <v>23625</v>
      </c>
    </row>
    <row r="29" spans="1:17" x14ac:dyDescent="0.25">
      <c r="A29" s="2">
        <f t="shared" si="0"/>
        <v>23</v>
      </c>
      <c r="B29" s="241" t="s">
        <v>1091</v>
      </c>
      <c r="C29" s="325"/>
      <c r="D29" s="386" t="s">
        <v>733</v>
      </c>
      <c r="E29" s="240"/>
      <c r="F29" s="240"/>
      <c r="G29" s="240"/>
      <c r="H29" s="240"/>
      <c r="I29" s="240"/>
      <c r="J29" s="240"/>
      <c r="K29" s="240"/>
      <c r="L29" s="240"/>
      <c r="M29" s="240"/>
      <c r="N29" s="240"/>
      <c r="O29" s="318">
        <v>1200</v>
      </c>
      <c r="P29" s="318"/>
      <c r="Q29" s="240">
        <f t="shared" si="1"/>
        <v>1200</v>
      </c>
    </row>
    <row r="30" spans="1:17" x14ac:dyDescent="0.25">
      <c r="A30" s="2">
        <f t="shared" si="0"/>
        <v>24</v>
      </c>
      <c r="B30" s="241" t="s">
        <v>1088</v>
      </c>
      <c r="C30" s="325"/>
      <c r="D30" s="386" t="s">
        <v>733</v>
      </c>
      <c r="E30" s="240"/>
      <c r="F30" s="240"/>
      <c r="G30" s="240"/>
      <c r="H30" s="240"/>
      <c r="I30" s="240"/>
      <c r="J30" s="240"/>
      <c r="K30" s="240"/>
      <c r="L30" s="240"/>
      <c r="M30" s="240"/>
      <c r="N30" s="240"/>
      <c r="O30" s="318">
        <v>2700</v>
      </c>
      <c r="P30" s="318"/>
      <c r="Q30" s="240">
        <f t="shared" si="1"/>
        <v>2700</v>
      </c>
    </row>
    <row r="31" spans="1:17" x14ac:dyDescent="0.25">
      <c r="A31" s="2">
        <f t="shared" si="0"/>
        <v>25</v>
      </c>
      <c r="B31" s="241" t="s">
        <v>1088</v>
      </c>
      <c r="C31" s="325"/>
      <c r="D31" s="386" t="s">
        <v>733</v>
      </c>
      <c r="E31" s="240"/>
      <c r="F31" s="240"/>
      <c r="G31" s="240"/>
      <c r="H31" s="240"/>
      <c r="I31" s="240"/>
      <c r="J31" s="240"/>
      <c r="K31" s="240"/>
      <c r="L31" s="240"/>
      <c r="M31" s="240"/>
      <c r="N31" s="240"/>
      <c r="O31" s="318">
        <v>3900</v>
      </c>
      <c r="P31" s="318"/>
      <c r="Q31" s="240">
        <f t="shared" si="1"/>
        <v>3900</v>
      </c>
    </row>
    <row r="32" spans="1:17" x14ac:dyDescent="0.25">
      <c r="A32" s="2">
        <f t="shared" si="0"/>
        <v>26</v>
      </c>
      <c r="B32" s="241" t="s">
        <v>1088</v>
      </c>
      <c r="C32" s="325"/>
      <c r="D32" s="386" t="s">
        <v>733</v>
      </c>
      <c r="E32" s="240"/>
      <c r="F32" s="240"/>
      <c r="G32" s="240"/>
      <c r="H32" s="240"/>
      <c r="I32" s="240"/>
      <c r="J32" s="240"/>
      <c r="K32" s="240"/>
      <c r="L32" s="240"/>
      <c r="M32" s="240"/>
      <c r="N32" s="240"/>
      <c r="O32" s="318">
        <v>9060</v>
      </c>
      <c r="P32" s="318"/>
      <c r="Q32" s="240">
        <f t="shared" si="1"/>
        <v>9060</v>
      </c>
    </row>
    <row r="33" spans="1:17" x14ac:dyDescent="0.25">
      <c r="A33" s="2">
        <f t="shared" si="0"/>
        <v>27</v>
      </c>
      <c r="B33" s="241" t="s">
        <v>1088</v>
      </c>
      <c r="C33" s="325"/>
      <c r="D33" s="386" t="s">
        <v>733</v>
      </c>
      <c r="E33" s="240"/>
      <c r="F33" s="240"/>
      <c r="G33" s="240"/>
      <c r="H33" s="240"/>
      <c r="I33" s="240"/>
      <c r="J33" s="240"/>
      <c r="K33" s="240"/>
      <c r="L33" s="240"/>
      <c r="M33" s="240"/>
      <c r="N33" s="240"/>
      <c r="O33" s="318">
        <v>9120</v>
      </c>
      <c r="P33" s="318"/>
      <c r="Q33" s="240">
        <f t="shared" si="1"/>
        <v>9120</v>
      </c>
    </row>
    <row r="34" spans="1:17" x14ac:dyDescent="0.25">
      <c r="A34" s="2">
        <f t="shared" si="0"/>
        <v>28</v>
      </c>
      <c r="B34" s="241" t="s">
        <v>1088</v>
      </c>
      <c r="C34" s="325"/>
      <c r="D34" s="386" t="s">
        <v>733</v>
      </c>
      <c r="E34" s="240"/>
      <c r="F34" s="240"/>
      <c r="G34" s="240"/>
      <c r="H34" s="240"/>
      <c r="I34" s="240"/>
      <c r="J34" s="240"/>
      <c r="K34" s="240"/>
      <c r="L34" s="240"/>
      <c r="M34" s="240"/>
      <c r="N34" s="240"/>
      <c r="O34" s="318">
        <v>15750</v>
      </c>
      <c r="P34" s="318"/>
      <c r="Q34" s="240">
        <f t="shared" si="1"/>
        <v>15750</v>
      </c>
    </row>
    <row r="35" spans="1:17" x14ac:dyDescent="0.25">
      <c r="A35" s="2">
        <f t="shared" si="0"/>
        <v>29</v>
      </c>
      <c r="B35" s="241" t="s">
        <v>1091</v>
      </c>
      <c r="C35" s="325"/>
      <c r="D35" s="386" t="s">
        <v>733</v>
      </c>
      <c r="E35" s="240"/>
      <c r="F35" s="240"/>
      <c r="G35" s="240"/>
      <c r="H35" s="240"/>
      <c r="I35" s="240"/>
      <c r="J35" s="240"/>
      <c r="K35" s="240"/>
      <c r="L35" s="240"/>
      <c r="M35" s="240"/>
      <c r="N35" s="240"/>
      <c r="O35" s="318">
        <v>1200</v>
      </c>
      <c r="P35" s="318"/>
      <c r="Q35" s="240">
        <f t="shared" si="1"/>
        <v>1200</v>
      </c>
    </row>
    <row r="36" spans="1:17" x14ac:dyDescent="0.25">
      <c r="A36" s="2">
        <f t="shared" si="0"/>
        <v>30</v>
      </c>
      <c r="B36" s="241" t="s">
        <v>1101</v>
      </c>
      <c r="C36" s="325"/>
      <c r="D36" s="386" t="s">
        <v>733</v>
      </c>
      <c r="E36" s="240"/>
      <c r="F36" s="240"/>
      <c r="G36" s="240"/>
      <c r="H36" s="240"/>
      <c r="I36" s="240"/>
      <c r="J36" s="240"/>
      <c r="K36" s="240"/>
      <c r="L36" s="240"/>
      <c r="M36" s="318"/>
      <c r="N36" s="318"/>
      <c r="O36" s="318">
        <v>469640</v>
      </c>
      <c r="P36" s="318"/>
      <c r="Q36" s="240">
        <f t="shared" si="1"/>
        <v>469640</v>
      </c>
    </row>
    <row r="37" spans="1:17" x14ac:dyDescent="0.25">
      <c r="A37" s="2">
        <f t="shared" si="0"/>
        <v>31</v>
      </c>
      <c r="B37" s="241" t="s">
        <v>1089</v>
      </c>
      <c r="C37" s="325"/>
      <c r="D37" s="386" t="s">
        <v>733</v>
      </c>
      <c r="E37" s="240"/>
      <c r="F37" s="240"/>
      <c r="G37" s="240"/>
      <c r="H37" s="240"/>
      <c r="I37" s="240"/>
      <c r="J37" s="240"/>
      <c r="K37" s="240"/>
      <c r="L37" s="240"/>
      <c r="M37" s="240"/>
      <c r="N37" s="240"/>
      <c r="O37" s="318">
        <v>40000</v>
      </c>
      <c r="P37" s="318"/>
      <c r="Q37" s="240">
        <f t="shared" si="1"/>
        <v>40000</v>
      </c>
    </row>
    <row r="38" spans="1:17" x14ac:dyDescent="0.25">
      <c r="A38" s="2">
        <f t="shared" si="0"/>
        <v>32</v>
      </c>
      <c r="B38" s="241" t="s">
        <v>1106</v>
      </c>
      <c r="C38" s="325"/>
      <c r="D38" s="386" t="s">
        <v>733</v>
      </c>
      <c r="E38" s="240"/>
      <c r="F38" s="240"/>
      <c r="G38" s="240"/>
      <c r="H38" s="240"/>
      <c r="I38" s="240"/>
      <c r="J38" s="240"/>
      <c r="K38" s="240"/>
      <c r="L38" s="240"/>
      <c r="M38" s="318"/>
      <c r="N38" s="318"/>
      <c r="O38" s="318">
        <v>165375</v>
      </c>
      <c r="P38" s="318"/>
      <c r="Q38" s="240">
        <f t="shared" si="1"/>
        <v>165375</v>
      </c>
    </row>
    <row r="39" spans="1:17" x14ac:dyDescent="0.25">
      <c r="A39" s="2">
        <f t="shared" si="0"/>
        <v>33</v>
      </c>
      <c r="B39" s="241" t="s">
        <v>1091</v>
      </c>
      <c r="C39" s="325"/>
      <c r="D39" s="386" t="s">
        <v>733</v>
      </c>
      <c r="E39" s="240"/>
      <c r="F39" s="240"/>
      <c r="G39" s="240"/>
      <c r="H39" s="240"/>
      <c r="I39" s="240"/>
      <c r="J39" s="240"/>
      <c r="K39" s="240"/>
      <c r="L39" s="240"/>
      <c r="M39" s="240"/>
      <c r="N39" s="240"/>
      <c r="O39" s="318">
        <v>1200</v>
      </c>
      <c r="P39" s="318"/>
      <c r="Q39" s="240">
        <f t="shared" si="1"/>
        <v>1200</v>
      </c>
    </row>
    <row r="40" spans="1:17" x14ac:dyDescent="0.25">
      <c r="A40" s="2">
        <f t="shared" si="0"/>
        <v>34</v>
      </c>
      <c r="B40" s="241" t="s">
        <v>1091</v>
      </c>
      <c r="C40" s="325"/>
      <c r="D40" s="386" t="s">
        <v>733</v>
      </c>
      <c r="E40" s="240"/>
      <c r="F40" s="240"/>
      <c r="G40" s="240"/>
      <c r="H40" s="240"/>
      <c r="I40" s="240"/>
      <c r="J40" s="240"/>
      <c r="K40" s="240"/>
      <c r="L40" s="240"/>
      <c r="M40" s="240"/>
      <c r="N40" s="240"/>
      <c r="O40" s="318">
        <v>1200</v>
      </c>
      <c r="P40" s="318"/>
      <c r="Q40" s="240">
        <f t="shared" si="1"/>
        <v>1200</v>
      </c>
    </row>
    <row r="41" spans="1:17" x14ac:dyDescent="0.25">
      <c r="A41" s="2">
        <f t="shared" si="0"/>
        <v>35</v>
      </c>
      <c r="B41" s="241" t="s">
        <v>1091</v>
      </c>
      <c r="C41" s="325"/>
      <c r="D41" s="386" t="s">
        <v>733</v>
      </c>
      <c r="E41" s="240"/>
      <c r="F41" s="240"/>
      <c r="G41" s="240"/>
      <c r="H41" s="240"/>
      <c r="I41" s="240"/>
      <c r="J41" s="240"/>
      <c r="K41" s="240"/>
      <c r="L41" s="240"/>
      <c r="M41" s="240"/>
      <c r="N41" s="240"/>
      <c r="O41" s="240"/>
      <c r="P41" s="318">
        <v>1200</v>
      </c>
      <c r="Q41" s="240">
        <f t="shared" si="1"/>
        <v>1200</v>
      </c>
    </row>
    <row r="42" spans="1:17" x14ac:dyDescent="0.25">
      <c r="A42" s="2">
        <f t="shared" si="0"/>
        <v>36</v>
      </c>
      <c r="B42" s="241" t="s">
        <v>1094</v>
      </c>
      <c r="C42" s="325"/>
      <c r="D42" s="386" t="s">
        <v>733</v>
      </c>
      <c r="E42" s="240"/>
      <c r="F42" s="240"/>
      <c r="G42" s="240"/>
      <c r="H42" s="240"/>
      <c r="I42" s="318"/>
      <c r="J42" s="240"/>
      <c r="K42" s="240"/>
      <c r="L42" s="240"/>
      <c r="M42" s="240"/>
      <c r="N42" s="240"/>
      <c r="O42" s="240"/>
      <c r="P42" s="318">
        <v>16100</v>
      </c>
      <c r="Q42" s="240">
        <f t="shared" si="1"/>
        <v>16100</v>
      </c>
    </row>
    <row r="43" spans="1:17" x14ac:dyDescent="0.25">
      <c r="A43" s="2">
        <f t="shared" si="0"/>
        <v>37</v>
      </c>
      <c r="B43" s="241" t="s">
        <v>1103</v>
      </c>
      <c r="C43" s="325"/>
      <c r="D43" s="386" t="s">
        <v>733</v>
      </c>
      <c r="E43" s="240"/>
      <c r="F43" s="240"/>
      <c r="G43" s="240"/>
      <c r="H43" s="240"/>
      <c r="I43" s="240"/>
      <c r="J43" s="240"/>
      <c r="K43" s="240"/>
      <c r="L43" s="240"/>
      <c r="M43" s="318"/>
      <c r="N43" s="318"/>
      <c r="O43" s="240"/>
      <c r="P43" s="318">
        <v>141600</v>
      </c>
      <c r="Q43" s="240">
        <f t="shared" si="1"/>
        <v>141600</v>
      </c>
    </row>
    <row r="44" spans="1:17" x14ac:dyDescent="0.25">
      <c r="A44" s="2">
        <f t="shared" si="0"/>
        <v>38</v>
      </c>
      <c r="B44" s="243" t="s">
        <v>1098</v>
      </c>
      <c r="C44" s="325"/>
      <c r="D44" s="386" t="s">
        <v>733</v>
      </c>
      <c r="E44" s="240"/>
      <c r="F44" s="240"/>
      <c r="G44" s="240"/>
      <c r="H44" s="240"/>
      <c r="I44" s="240"/>
      <c r="J44" s="240"/>
      <c r="K44" s="240"/>
      <c r="L44" s="318"/>
      <c r="M44" s="240"/>
      <c r="N44" s="240"/>
      <c r="O44" s="240"/>
      <c r="P44" s="318">
        <v>197673.60000000001</v>
      </c>
      <c r="Q44" s="240">
        <f t="shared" si="1"/>
        <v>197673.60000000001</v>
      </c>
    </row>
    <row r="45" spans="1:17" x14ac:dyDescent="0.25">
      <c r="A45" s="2">
        <f t="shared" si="0"/>
        <v>39</v>
      </c>
      <c r="B45" s="241" t="s">
        <v>1091</v>
      </c>
      <c r="C45" s="325"/>
      <c r="D45" s="386" t="s">
        <v>733</v>
      </c>
      <c r="E45" s="240"/>
      <c r="F45" s="240"/>
      <c r="G45" s="240"/>
      <c r="H45" s="240"/>
      <c r="I45" s="240"/>
      <c r="J45" s="240"/>
      <c r="K45" s="240"/>
      <c r="L45" s="240"/>
      <c r="M45" s="240"/>
      <c r="N45" s="240"/>
      <c r="O45" s="240"/>
      <c r="P45" s="318">
        <v>1200</v>
      </c>
      <c r="Q45" s="240">
        <f t="shared" si="1"/>
        <v>1200</v>
      </c>
    </row>
    <row r="46" spans="1:17" x14ac:dyDescent="0.25">
      <c r="A46" s="2">
        <f t="shared" si="0"/>
        <v>40</v>
      </c>
      <c r="B46" s="241" t="s">
        <v>1104</v>
      </c>
      <c r="C46" s="325"/>
      <c r="D46" s="386" t="s">
        <v>733</v>
      </c>
      <c r="E46" s="240"/>
      <c r="F46" s="240"/>
      <c r="G46" s="240"/>
      <c r="H46" s="240"/>
      <c r="I46" s="240"/>
      <c r="J46" s="240"/>
      <c r="K46" s="240"/>
      <c r="L46" s="240"/>
      <c r="M46" s="318"/>
      <c r="N46" s="318"/>
      <c r="O46" s="240"/>
      <c r="P46" s="318">
        <v>171247.5</v>
      </c>
      <c r="Q46" s="240">
        <f t="shared" si="1"/>
        <v>171247.5</v>
      </c>
    </row>
    <row r="47" spans="1:17" x14ac:dyDescent="0.25">
      <c r="A47" s="2">
        <v>1</v>
      </c>
      <c r="B47" s="241" t="s">
        <v>766</v>
      </c>
      <c r="C47" s="325"/>
      <c r="D47" s="386" t="s">
        <v>733</v>
      </c>
      <c r="E47" s="240"/>
      <c r="F47" s="240"/>
      <c r="G47" s="240"/>
      <c r="H47" s="240"/>
      <c r="I47" s="240"/>
      <c r="J47" s="240"/>
      <c r="K47" s="240"/>
      <c r="L47" s="240"/>
      <c r="M47" s="240"/>
      <c r="N47" s="240"/>
      <c r="O47" s="240"/>
      <c r="P47" s="318">
        <v>336559.6</v>
      </c>
      <c r="Q47" s="240">
        <f t="shared" si="1"/>
        <v>336559.6</v>
      </c>
    </row>
    <row r="48" spans="1:17" x14ac:dyDescent="0.25">
      <c r="A48" s="2">
        <f>+A47+1</f>
        <v>2</v>
      </c>
      <c r="B48" s="241" t="s">
        <v>668</v>
      </c>
      <c r="C48" s="325"/>
      <c r="D48" s="386" t="s">
        <v>733</v>
      </c>
      <c r="E48" s="240"/>
      <c r="F48" s="240"/>
      <c r="G48" s="240"/>
      <c r="H48" s="240"/>
      <c r="I48" s="240"/>
      <c r="J48" s="240"/>
      <c r="K48" s="240"/>
      <c r="L48" s="318"/>
      <c r="M48" s="240"/>
      <c r="N48" s="240"/>
      <c r="O48" s="240"/>
      <c r="P48" s="318">
        <v>199998.2</v>
      </c>
      <c r="Q48" s="240">
        <f t="shared" si="1"/>
        <v>199998.2</v>
      </c>
    </row>
    <row r="49" spans="1:17" x14ac:dyDescent="0.25">
      <c r="A49" s="2">
        <f>+A48+1</f>
        <v>3</v>
      </c>
      <c r="B49" s="241" t="s">
        <v>1105</v>
      </c>
      <c r="C49" s="325"/>
      <c r="D49" s="386" t="s">
        <v>733</v>
      </c>
      <c r="E49" s="240"/>
      <c r="F49" s="240"/>
      <c r="G49" s="240"/>
      <c r="H49" s="240"/>
      <c r="I49" s="240"/>
      <c r="J49" s="240"/>
      <c r="K49" s="240"/>
      <c r="L49" s="240"/>
      <c r="M49" s="318"/>
      <c r="N49" s="318"/>
      <c r="O49" s="240"/>
      <c r="P49" s="318">
        <v>254828.6</v>
      </c>
      <c r="Q49" s="240">
        <f t="shared" si="1"/>
        <v>254828.6</v>
      </c>
    </row>
    <row r="50" spans="1:17" x14ac:dyDescent="0.25">
      <c r="A50" s="2">
        <f>+A49+1</f>
        <v>4</v>
      </c>
      <c r="B50" s="241" t="s">
        <v>1107</v>
      </c>
      <c r="C50" s="325" t="s">
        <v>1112</v>
      </c>
      <c r="D50" s="386" t="s">
        <v>733</v>
      </c>
      <c r="E50" s="240"/>
      <c r="F50" s="240"/>
      <c r="G50" s="240"/>
      <c r="H50" s="240"/>
      <c r="I50" s="240"/>
      <c r="J50" s="240"/>
      <c r="K50" s="240"/>
      <c r="L50" s="240"/>
      <c r="M50" s="318"/>
      <c r="N50" s="318"/>
      <c r="O50" s="240"/>
      <c r="P50" s="318">
        <v>24000</v>
      </c>
      <c r="Q50" s="240">
        <f t="shared" si="1"/>
        <v>24000</v>
      </c>
    </row>
    <row r="51" spans="1:17" x14ac:dyDescent="0.25">
      <c r="A51" s="2">
        <f>+A50+1</f>
        <v>5</v>
      </c>
      <c r="B51" s="241" t="s">
        <v>1096</v>
      </c>
      <c r="C51" s="325"/>
      <c r="D51" s="386" t="s">
        <v>733</v>
      </c>
      <c r="E51" s="240"/>
      <c r="F51" s="240"/>
      <c r="G51" s="240"/>
      <c r="H51" s="240"/>
      <c r="I51" s="318"/>
      <c r="J51" s="240"/>
      <c r="K51" s="240"/>
      <c r="L51" s="240"/>
      <c r="M51" s="240"/>
      <c r="N51" s="240"/>
      <c r="O51" s="240"/>
      <c r="P51" s="318">
        <v>272019.5</v>
      </c>
      <c r="Q51" s="240">
        <f t="shared" si="1"/>
        <v>272019.5</v>
      </c>
    </row>
    <row r="52" spans="1:17" x14ac:dyDescent="0.25">
      <c r="A52" s="514" t="s">
        <v>636</v>
      </c>
      <c r="B52" s="515"/>
      <c r="C52" s="515"/>
      <c r="D52" s="515"/>
      <c r="E52" s="244">
        <f t="shared" ref="E52:Q52" si="2">SUM(E7:E51)</f>
        <v>0</v>
      </c>
      <c r="F52" s="244">
        <f t="shared" si="2"/>
        <v>0</v>
      </c>
      <c r="G52" s="244">
        <f t="shared" si="2"/>
        <v>0</v>
      </c>
      <c r="H52" s="244">
        <f t="shared" si="2"/>
        <v>1115742.9100000001</v>
      </c>
      <c r="I52" s="244">
        <f t="shared" si="2"/>
        <v>542829.5</v>
      </c>
      <c r="J52" s="244">
        <f t="shared" si="2"/>
        <v>0</v>
      </c>
      <c r="K52" s="244">
        <f t="shared" si="2"/>
        <v>137691.84</v>
      </c>
      <c r="L52" s="244">
        <f t="shared" si="2"/>
        <v>9500</v>
      </c>
      <c r="M52" s="244">
        <f t="shared" si="2"/>
        <v>13900</v>
      </c>
      <c r="N52" s="244">
        <f t="shared" si="2"/>
        <v>18500</v>
      </c>
      <c r="O52" s="244">
        <f t="shared" si="2"/>
        <v>743970</v>
      </c>
      <c r="P52" s="244">
        <f t="shared" si="2"/>
        <v>1616427</v>
      </c>
      <c r="Q52" s="245">
        <f t="shared" si="2"/>
        <v>4198561.25</v>
      </c>
    </row>
    <row r="53" spans="1:17" x14ac:dyDescent="0.25">
      <c r="Q53" s="295"/>
    </row>
    <row r="55" spans="1:17" x14ac:dyDescent="0.25">
      <c r="Q55" s="211"/>
    </row>
    <row r="56" spans="1:17" x14ac:dyDescent="0.25">
      <c r="Q56" s="211"/>
    </row>
  </sheetData>
  <sortState ref="A7:P51">
    <sortCondition ref="C7:C51"/>
  </sortState>
  <mergeCells count="4">
    <mergeCell ref="A1:Q1"/>
    <mergeCell ref="A2:Q2"/>
    <mergeCell ref="A3:Q3"/>
    <mergeCell ref="A52:D52"/>
  </mergeCells>
  <pageMargins left="0.7" right="0.7" top="0.75" bottom="0.75" header="0.3" footer="0.3"/>
  <pageSetup scale="3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topLeftCell="A67" zoomScaleNormal="100" workbookViewId="0">
      <selection activeCell="E81" sqref="E81"/>
    </sheetView>
  </sheetViews>
  <sheetFormatPr baseColWidth="10" defaultRowHeight="15" x14ac:dyDescent="0.25"/>
  <cols>
    <col min="1" max="1" width="15.140625" style="171" bestFit="1" customWidth="1"/>
    <col min="2" max="2" width="27.5703125" style="171" bestFit="1" customWidth="1"/>
    <col min="3" max="3" width="6" style="171" customWidth="1"/>
    <col min="4" max="4" width="14.140625" style="171" bestFit="1" customWidth="1"/>
    <col min="5" max="5" width="28.5703125" style="171" bestFit="1" customWidth="1"/>
    <col min="6" max="6" width="0" hidden="1" customWidth="1"/>
    <col min="7" max="7" width="13" style="171" bestFit="1" customWidth="1"/>
    <col min="8" max="8" width="32.7109375" bestFit="1" customWidth="1"/>
  </cols>
  <sheetData>
    <row r="1" spans="1:8" x14ac:dyDescent="0.25">
      <c r="D1" s="171">
        <v>11550</v>
      </c>
      <c r="E1" s="171" t="s">
        <v>708</v>
      </c>
    </row>
    <row r="2" spans="1:8" x14ac:dyDescent="0.25">
      <c r="A2" s="171">
        <v>155606.87</v>
      </c>
      <c r="B2" s="171" t="s">
        <v>690</v>
      </c>
      <c r="D2" s="171">
        <v>3000</v>
      </c>
      <c r="E2" s="171" t="s">
        <v>708</v>
      </c>
      <c r="G2" s="171">
        <v>150000</v>
      </c>
      <c r="H2" t="s">
        <v>705</v>
      </c>
    </row>
    <row r="3" spans="1:8" x14ac:dyDescent="0.25">
      <c r="A3" s="171">
        <v>3199661.24</v>
      </c>
      <c r="B3" s="171" t="s">
        <v>711</v>
      </c>
      <c r="D3" s="171">
        <v>4000</v>
      </c>
      <c r="E3" s="171" t="s">
        <v>708</v>
      </c>
      <c r="G3" s="171">
        <v>15000</v>
      </c>
      <c r="H3" t="s">
        <v>707</v>
      </c>
    </row>
    <row r="4" spans="1:8" x14ac:dyDescent="0.25">
      <c r="A4" s="171">
        <v>50000</v>
      </c>
      <c r="B4" s="171" t="s">
        <v>711</v>
      </c>
      <c r="D4" s="171">
        <v>4000</v>
      </c>
      <c r="E4" s="171" t="s">
        <v>708</v>
      </c>
      <c r="G4" s="171">
        <f>SUM(G2:G3)</f>
        <v>165000</v>
      </c>
    </row>
    <row r="5" spans="1:8" x14ac:dyDescent="0.25">
      <c r="A5" s="171">
        <v>12182.4</v>
      </c>
      <c r="B5" s="171" t="s">
        <v>615</v>
      </c>
      <c r="D5" s="171">
        <v>4000</v>
      </c>
      <c r="E5" s="171" t="s">
        <v>708</v>
      </c>
    </row>
    <row r="6" spans="1:8" x14ac:dyDescent="0.25">
      <c r="A6" s="171">
        <v>84594.85</v>
      </c>
      <c r="B6" s="171" t="s">
        <v>692</v>
      </c>
      <c r="D6" s="171">
        <v>8000</v>
      </c>
      <c r="E6" s="171" t="s">
        <v>708</v>
      </c>
    </row>
    <row r="7" spans="1:8" x14ac:dyDescent="0.25">
      <c r="A7" s="171">
        <v>13000</v>
      </c>
      <c r="B7" s="171" t="s">
        <v>714</v>
      </c>
      <c r="D7" s="171">
        <v>3200</v>
      </c>
      <c r="E7" s="171" t="s">
        <v>708</v>
      </c>
    </row>
    <row r="8" spans="1:8" x14ac:dyDescent="0.25">
      <c r="A8" s="171">
        <v>79987.570000000007</v>
      </c>
      <c r="B8" s="171" t="s">
        <v>715</v>
      </c>
      <c r="D8" s="171">
        <v>4000</v>
      </c>
      <c r="E8" s="171" t="s">
        <v>708</v>
      </c>
    </row>
    <row r="9" spans="1:8" x14ac:dyDescent="0.25">
      <c r="A9" s="171">
        <v>2588374.06</v>
      </c>
      <c r="B9" s="171" t="s">
        <v>712</v>
      </c>
      <c r="D9" s="171">
        <v>4000</v>
      </c>
      <c r="E9" s="171" t="s">
        <v>708</v>
      </c>
    </row>
    <row r="10" spans="1:8" x14ac:dyDescent="0.25">
      <c r="A10" s="171">
        <v>61607.99</v>
      </c>
      <c r="B10" s="171" t="s">
        <v>616</v>
      </c>
      <c r="D10" s="171">
        <v>3500</v>
      </c>
      <c r="E10" s="171" t="s">
        <v>708</v>
      </c>
    </row>
    <row r="11" spans="1:8" x14ac:dyDescent="0.25">
      <c r="A11" s="171">
        <v>54068.800000000003</v>
      </c>
      <c r="B11" s="171" t="s">
        <v>710</v>
      </c>
      <c r="D11" s="171">
        <v>2100</v>
      </c>
      <c r="E11" s="171" t="s">
        <v>708</v>
      </c>
    </row>
    <row r="12" spans="1:8" x14ac:dyDescent="0.25">
      <c r="A12" s="171">
        <v>12721.54</v>
      </c>
      <c r="B12" s="171" t="s">
        <v>710</v>
      </c>
      <c r="D12" s="171">
        <v>3500</v>
      </c>
      <c r="E12" s="171" t="s">
        <v>708</v>
      </c>
    </row>
    <row r="13" spans="1:8" x14ac:dyDescent="0.25">
      <c r="A13" s="171">
        <v>375966.29</v>
      </c>
      <c r="B13" s="171" t="s">
        <v>710</v>
      </c>
      <c r="D13" s="171">
        <v>4000</v>
      </c>
      <c r="E13" s="171" t="s">
        <v>708</v>
      </c>
    </row>
    <row r="14" spans="1:8" x14ac:dyDescent="0.25">
      <c r="A14" s="171">
        <v>304098.74</v>
      </c>
      <c r="B14" s="171" t="s">
        <v>691</v>
      </c>
      <c r="D14" s="171">
        <v>4000</v>
      </c>
      <c r="E14" s="171" t="s">
        <v>708</v>
      </c>
    </row>
    <row r="15" spans="1:8" x14ac:dyDescent="0.25">
      <c r="A15" s="171">
        <v>32863.839999999997</v>
      </c>
      <c r="B15" s="171" t="s">
        <v>713</v>
      </c>
      <c r="D15" s="171">
        <v>7100</v>
      </c>
      <c r="E15" s="171" t="s">
        <v>708</v>
      </c>
    </row>
    <row r="16" spans="1:8" x14ac:dyDescent="0.25">
      <c r="A16" s="171">
        <v>493974.92</v>
      </c>
      <c r="B16" s="171" t="s">
        <v>689</v>
      </c>
      <c r="D16" s="171">
        <v>23600</v>
      </c>
      <c r="E16" s="171" t="s">
        <v>708</v>
      </c>
    </row>
    <row r="17" spans="1:5" x14ac:dyDescent="0.25">
      <c r="A17" s="171">
        <f>SUM(A2:A16)</f>
        <v>7518709.1100000003</v>
      </c>
      <c r="D17" s="171">
        <v>31300</v>
      </c>
      <c r="E17" s="171" t="s">
        <v>708</v>
      </c>
    </row>
    <row r="18" spans="1:5" x14ac:dyDescent="0.25">
      <c r="D18" s="171">
        <v>22000</v>
      </c>
    </row>
    <row r="19" spans="1:5" x14ac:dyDescent="0.25">
      <c r="D19" s="171">
        <v>13900</v>
      </c>
    </row>
    <row r="20" spans="1:5" x14ac:dyDescent="0.25">
      <c r="D20" s="171">
        <f>SUM(D1:D19)</f>
        <v>160750</v>
      </c>
    </row>
    <row r="22" spans="1:5" x14ac:dyDescent="0.25">
      <c r="D22" s="171">
        <v>1000</v>
      </c>
      <c r="E22" s="171" t="s">
        <v>709</v>
      </c>
    </row>
    <row r="23" spans="1:5" x14ac:dyDescent="0.25">
      <c r="D23" s="171">
        <v>1500</v>
      </c>
    </row>
    <row r="24" spans="1:5" x14ac:dyDescent="0.25">
      <c r="D24" s="171">
        <v>1800</v>
      </c>
      <c r="E24" s="171" t="s">
        <v>709</v>
      </c>
    </row>
    <row r="25" spans="1:5" x14ac:dyDescent="0.25">
      <c r="D25" s="171">
        <v>2000</v>
      </c>
    </row>
    <row r="26" spans="1:5" x14ac:dyDescent="0.25">
      <c r="D26" s="171">
        <v>2000</v>
      </c>
    </row>
    <row r="27" spans="1:5" x14ac:dyDescent="0.25">
      <c r="D27" s="171">
        <v>2000</v>
      </c>
    </row>
    <row r="28" spans="1:5" x14ac:dyDescent="0.25">
      <c r="D28" s="171">
        <v>2000</v>
      </c>
    </row>
    <row r="29" spans="1:5" x14ac:dyDescent="0.25">
      <c r="D29" s="171">
        <v>2000</v>
      </c>
    </row>
    <row r="30" spans="1:5" x14ac:dyDescent="0.25">
      <c r="D30" s="171">
        <v>2000</v>
      </c>
    </row>
    <row r="31" spans="1:5" x14ac:dyDescent="0.25">
      <c r="D31" s="171">
        <v>2000</v>
      </c>
    </row>
    <row r="32" spans="1:5" x14ac:dyDescent="0.25">
      <c r="D32" s="171">
        <v>2000</v>
      </c>
    </row>
    <row r="33" spans="4:5" x14ac:dyDescent="0.25">
      <c r="D33" s="171">
        <v>2000</v>
      </c>
    </row>
    <row r="34" spans="4:5" x14ac:dyDescent="0.25">
      <c r="D34" s="171">
        <v>2000</v>
      </c>
    </row>
    <row r="35" spans="4:5" x14ac:dyDescent="0.25">
      <c r="D35" s="171">
        <v>2000</v>
      </c>
    </row>
    <row r="36" spans="4:5" x14ac:dyDescent="0.25">
      <c r="D36" s="171">
        <v>2000</v>
      </c>
    </row>
    <row r="37" spans="4:5" x14ac:dyDescent="0.25">
      <c r="D37" s="171">
        <v>2500</v>
      </c>
    </row>
    <row r="38" spans="4:5" x14ac:dyDescent="0.25">
      <c r="D38" s="171">
        <v>2500</v>
      </c>
      <c r="E38" s="171" t="s">
        <v>709</v>
      </c>
    </row>
    <row r="39" spans="4:5" x14ac:dyDescent="0.25">
      <c r="D39" s="171">
        <v>2800</v>
      </c>
      <c r="E39" s="171" t="s">
        <v>709</v>
      </c>
    </row>
    <row r="40" spans="4:5" x14ac:dyDescent="0.25">
      <c r="D40" s="171">
        <v>2900</v>
      </c>
      <c r="E40" s="171" t="s">
        <v>709</v>
      </c>
    </row>
    <row r="41" spans="4:5" x14ac:dyDescent="0.25">
      <c r="D41" s="171">
        <v>3000</v>
      </c>
    </row>
    <row r="42" spans="4:5" x14ac:dyDescent="0.25">
      <c r="D42" s="171">
        <v>3000</v>
      </c>
    </row>
    <row r="43" spans="4:5" x14ac:dyDescent="0.25">
      <c r="D43" s="171">
        <v>3000</v>
      </c>
    </row>
    <row r="44" spans="4:5" x14ac:dyDescent="0.25">
      <c r="D44" s="171">
        <v>3000</v>
      </c>
    </row>
    <row r="45" spans="4:5" x14ac:dyDescent="0.25">
      <c r="D45" s="171">
        <v>3000</v>
      </c>
    </row>
    <row r="46" spans="4:5" x14ac:dyDescent="0.25">
      <c r="D46" s="171">
        <v>3000</v>
      </c>
    </row>
    <row r="47" spans="4:5" x14ac:dyDescent="0.25">
      <c r="D47" s="171">
        <v>3000</v>
      </c>
    </row>
    <row r="48" spans="4:5" x14ac:dyDescent="0.25">
      <c r="D48" s="171">
        <v>3100</v>
      </c>
      <c r="E48" s="171" t="s">
        <v>709</v>
      </c>
    </row>
    <row r="49" spans="4:5" x14ac:dyDescent="0.25">
      <c r="D49" s="171">
        <v>3500</v>
      </c>
    </row>
    <row r="50" spans="4:5" x14ac:dyDescent="0.25">
      <c r="D50" s="171">
        <v>3500</v>
      </c>
    </row>
    <row r="51" spans="4:5" x14ac:dyDescent="0.25">
      <c r="D51" s="171">
        <v>3700</v>
      </c>
      <c r="E51" s="171" t="s">
        <v>709</v>
      </c>
    </row>
    <row r="52" spans="4:5" x14ac:dyDescent="0.25">
      <c r="D52" s="171">
        <v>3700</v>
      </c>
      <c r="E52" s="171" t="s">
        <v>709</v>
      </c>
    </row>
    <row r="53" spans="4:5" x14ac:dyDescent="0.25">
      <c r="D53" s="171">
        <v>4100</v>
      </c>
      <c r="E53" s="171" t="s">
        <v>709</v>
      </c>
    </row>
    <row r="54" spans="4:5" x14ac:dyDescent="0.25">
      <c r="D54" s="171">
        <v>4400</v>
      </c>
      <c r="E54" s="171" t="s">
        <v>709</v>
      </c>
    </row>
    <row r="55" spans="4:5" x14ac:dyDescent="0.25">
      <c r="D55" s="171">
        <v>4600</v>
      </c>
      <c r="E55" s="171" t="s">
        <v>709</v>
      </c>
    </row>
    <row r="56" spans="4:5" x14ac:dyDescent="0.25">
      <c r="D56" s="171">
        <v>4600</v>
      </c>
      <c r="E56" s="171" t="s">
        <v>709</v>
      </c>
    </row>
    <row r="57" spans="4:5" x14ac:dyDescent="0.25">
      <c r="D57" s="171">
        <v>4700</v>
      </c>
      <c r="E57" s="171" t="s">
        <v>709</v>
      </c>
    </row>
    <row r="58" spans="4:5" x14ac:dyDescent="0.25">
      <c r="D58" s="171">
        <v>4900</v>
      </c>
      <c r="E58" s="171" t="s">
        <v>709</v>
      </c>
    </row>
    <row r="59" spans="4:5" x14ac:dyDescent="0.25">
      <c r="D59" s="171">
        <v>5000</v>
      </c>
    </row>
    <row r="60" spans="4:5" x14ac:dyDescent="0.25">
      <c r="D60" s="171">
        <v>5400</v>
      </c>
      <c r="E60" s="171" t="s">
        <v>709</v>
      </c>
    </row>
    <row r="61" spans="4:5" x14ac:dyDescent="0.25">
      <c r="D61" s="171">
        <v>5400</v>
      </c>
      <c r="E61" s="171" t="s">
        <v>709</v>
      </c>
    </row>
    <row r="62" spans="4:5" x14ac:dyDescent="0.25">
      <c r="D62" s="171">
        <v>5500</v>
      </c>
      <c r="E62" s="171" t="s">
        <v>709</v>
      </c>
    </row>
    <row r="63" spans="4:5" x14ac:dyDescent="0.25">
      <c r="D63" s="171">
        <v>5600</v>
      </c>
      <c r="E63" s="171" t="s">
        <v>709</v>
      </c>
    </row>
    <row r="64" spans="4:5" x14ac:dyDescent="0.25">
      <c r="D64" s="171">
        <v>5750</v>
      </c>
      <c r="E64" s="171" t="s">
        <v>709</v>
      </c>
    </row>
    <row r="65" spans="4:5" x14ac:dyDescent="0.25">
      <c r="D65" s="171">
        <v>5800</v>
      </c>
      <c r="E65" s="171" t="s">
        <v>709</v>
      </c>
    </row>
    <row r="66" spans="4:5" x14ac:dyDescent="0.25">
      <c r="D66" s="171">
        <v>5800</v>
      </c>
    </row>
    <row r="67" spans="4:5" x14ac:dyDescent="0.25">
      <c r="D67" s="171">
        <v>6000</v>
      </c>
      <c r="E67" s="171" t="s">
        <v>709</v>
      </c>
    </row>
    <row r="68" spans="4:5" x14ac:dyDescent="0.25">
      <c r="D68" s="171">
        <v>6200</v>
      </c>
      <c r="E68" s="171" t="s">
        <v>709</v>
      </c>
    </row>
    <row r="69" spans="4:5" x14ac:dyDescent="0.25">
      <c r="D69" s="171">
        <v>7000</v>
      </c>
    </row>
    <row r="70" spans="4:5" x14ac:dyDescent="0.25">
      <c r="D70" s="171">
        <v>7100</v>
      </c>
      <c r="E70" s="171" t="s">
        <v>709</v>
      </c>
    </row>
    <row r="71" spans="4:5" x14ac:dyDescent="0.25">
      <c r="D71" s="171">
        <v>7500</v>
      </c>
      <c r="E71" s="171" t="s">
        <v>709</v>
      </c>
    </row>
    <row r="72" spans="4:5" x14ac:dyDescent="0.25">
      <c r="D72" s="171">
        <v>8800</v>
      </c>
      <c r="E72" s="171" t="s">
        <v>709</v>
      </c>
    </row>
    <row r="73" spans="4:5" x14ac:dyDescent="0.25">
      <c r="D73" s="171">
        <v>9100</v>
      </c>
      <c r="E73" s="171" t="s">
        <v>709</v>
      </c>
    </row>
    <row r="74" spans="4:5" x14ac:dyDescent="0.25">
      <c r="D74" s="171">
        <v>10100</v>
      </c>
      <c r="E74" s="171" t="s">
        <v>709</v>
      </c>
    </row>
    <row r="75" spans="4:5" x14ac:dyDescent="0.25">
      <c r="D75" s="171">
        <v>11600</v>
      </c>
      <c r="E75" s="171" t="s">
        <v>709</v>
      </c>
    </row>
    <row r="76" spans="4:5" x14ac:dyDescent="0.25">
      <c r="D76" s="171">
        <v>11900</v>
      </c>
      <c r="E76" s="171" t="s">
        <v>709</v>
      </c>
    </row>
    <row r="77" spans="4:5" x14ac:dyDescent="0.25">
      <c r="D77" s="171">
        <v>14200</v>
      </c>
      <c r="E77" s="171" t="s">
        <v>709</v>
      </c>
    </row>
    <row r="80" spans="4:5" x14ac:dyDescent="0.25">
      <c r="D80" s="171">
        <f>SUM(D22:D79)</f>
        <v>248550</v>
      </c>
    </row>
    <row r="81" spans="4:4" x14ac:dyDescent="0.25">
      <c r="D81" s="171">
        <f>+D80+D20</f>
        <v>409300</v>
      </c>
    </row>
    <row r="82" spans="4:4" x14ac:dyDescent="0.25">
      <c r="D82" s="171">
        <f>+D80+D20+A17+G4</f>
        <v>8093009.1100000003</v>
      </c>
    </row>
    <row r="83" spans="4:4" x14ac:dyDescent="0.25">
      <c r="D83" s="171">
        <v>8093009.1100000003</v>
      </c>
    </row>
    <row r="84" spans="4:4" x14ac:dyDescent="0.25">
      <c r="D84" s="171">
        <f>+D82-D83</f>
        <v>0</v>
      </c>
    </row>
  </sheetData>
  <sortState ref="D17:E77">
    <sortCondition ref="D17:D77"/>
  </sortState>
  <pageMargins left="0.7" right="0.7" top="0.75" bottom="0.75" header="0.3" footer="0.3"/>
  <pageSetup scale="61"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69"/>
  <sheetViews>
    <sheetView view="pageBreakPreview" zoomScale="89" zoomScaleNormal="100" zoomScaleSheetLayoutView="89" workbookViewId="0">
      <selection activeCell="C8" sqref="C8:D8"/>
    </sheetView>
  </sheetViews>
  <sheetFormatPr baseColWidth="10" defaultRowHeight="15" x14ac:dyDescent="0.25"/>
  <cols>
    <col min="1" max="1" width="26.28515625" bestFit="1" customWidth="1"/>
    <col min="2" max="2" width="40.28515625" bestFit="1" customWidth="1"/>
    <col min="3" max="3" width="28.42578125" customWidth="1"/>
    <col min="4" max="14" width="20.42578125" bestFit="1" customWidth="1"/>
    <col min="15" max="15" width="20.42578125" style="329" bestFit="1" customWidth="1"/>
    <col min="16" max="16" width="22" bestFit="1" customWidth="1"/>
    <col min="17" max="17" width="15.42578125" bestFit="1" customWidth="1"/>
    <col min="18" max="18" width="13.28515625" bestFit="1" customWidth="1"/>
    <col min="19" max="19" width="15.42578125" bestFit="1" customWidth="1"/>
    <col min="20" max="20" width="13.28515625" bestFit="1" customWidth="1"/>
    <col min="21" max="21" width="15.42578125" bestFit="1" customWidth="1"/>
    <col min="22" max="22" width="13.28515625" bestFit="1" customWidth="1"/>
    <col min="23" max="23" width="15.42578125" bestFit="1" customWidth="1"/>
    <col min="24" max="24" width="13.28515625" bestFit="1" customWidth="1"/>
    <col min="25" max="25" width="15.42578125" bestFit="1" customWidth="1"/>
    <col min="26" max="26" width="13.28515625" bestFit="1" customWidth="1"/>
  </cols>
  <sheetData>
    <row r="1" spans="1:26" x14ac:dyDescent="0.25">
      <c r="A1" s="118"/>
      <c r="J1" s="171"/>
      <c r="M1" s="171"/>
    </row>
    <row r="2" spans="1:26" ht="28.5" x14ac:dyDescent="0.45">
      <c r="A2" s="519" t="s">
        <v>584</v>
      </c>
      <c r="B2" s="519"/>
      <c r="C2" s="519"/>
      <c r="D2" s="519"/>
      <c r="E2" s="519"/>
      <c r="F2" s="519"/>
      <c r="G2" s="519"/>
      <c r="H2" s="519"/>
      <c r="I2" s="519"/>
      <c r="J2" s="519"/>
      <c r="K2" s="519"/>
      <c r="L2" s="172"/>
      <c r="M2" s="171"/>
    </row>
    <row r="3" spans="1:26" ht="23.25" x14ac:dyDescent="0.35">
      <c r="A3" s="520" t="s">
        <v>585</v>
      </c>
      <c r="B3" s="520"/>
      <c r="C3" s="520"/>
      <c r="D3" s="520"/>
      <c r="E3" s="520"/>
      <c r="F3" s="520"/>
      <c r="G3" s="520"/>
      <c r="H3" s="520"/>
      <c r="I3" s="520"/>
      <c r="J3" s="520"/>
      <c r="K3" s="520"/>
      <c r="L3" s="172"/>
      <c r="M3" s="171"/>
    </row>
    <row r="4" spans="1:26" ht="18.75" x14ac:dyDescent="0.3">
      <c r="A4" s="521" t="s">
        <v>586</v>
      </c>
      <c r="B4" s="521"/>
      <c r="C4" s="521"/>
      <c r="D4" s="521"/>
      <c r="E4" s="521"/>
      <c r="F4" s="521"/>
      <c r="G4" s="521"/>
      <c r="H4" s="521"/>
      <c r="I4" s="521"/>
      <c r="J4" s="521"/>
      <c r="K4" s="521"/>
      <c r="L4" s="172"/>
      <c r="M4" s="171"/>
    </row>
    <row r="5" spans="1:26" x14ac:dyDescent="0.25">
      <c r="A5" s="118"/>
      <c r="E5" s="522" t="s">
        <v>587</v>
      </c>
      <c r="F5" s="471"/>
      <c r="J5" s="171"/>
      <c r="M5" s="171"/>
    </row>
    <row r="6" spans="1:26" ht="23.25" x14ac:dyDescent="0.35">
      <c r="A6" s="173" t="s">
        <v>588</v>
      </c>
      <c r="B6" s="173"/>
      <c r="C6" s="173" t="s">
        <v>657</v>
      </c>
      <c r="D6" s="173"/>
      <c r="E6" s="173"/>
      <c r="F6" s="173"/>
      <c r="G6" s="173"/>
      <c r="H6" s="173"/>
      <c r="I6" s="173"/>
      <c r="J6" s="174"/>
      <c r="K6" s="175"/>
      <c r="L6" s="176"/>
      <c r="M6" s="177"/>
      <c r="N6" s="178"/>
      <c r="O6" s="412"/>
      <c r="P6" s="178"/>
      <c r="Q6" s="178"/>
      <c r="R6" s="178"/>
      <c r="S6" s="178"/>
      <c r="T6" s="178"/>
      <c r="U6" s="178"/>
      <c r="V6" s="178"/>
      <c r="W6" s="178"/>
      <c r="X6" s="178"/>
      <c r="Y6" s="178"/>
      <c r="Z6" s="179"/>
    </row>
    <row r="7" spans="1:26" ht="15.75" thickBot="1" x14ac:dyDescent="0.3">
      <c r="A7" s="180"/>
      <c r="B7" s="181"/>
      <c r="C7" s="181"/>
      <c r="D7" s="181"/>
      <c r="E7" s="181"/>
      <c r="F7" s="181"/>
      <c r="G7" s="181"/>
      <c r="H7" s="181"/>
      <c r="I7" s="181"/>
      <c r="J7" s="182"/>
      <c r="K7" s="181"/>
      <c r="L7" s="181"/>
      <c r="M7" s="171"/>
    </row>
    <row r="8" spans="1:26" ht="18.75" x14ac:dyDescent="0.25">
      <c r="A8" s="523" t="s">
        <v>566</v>
      </c>
      <c r="B8" s="524"/>
      <c r="C8" s="525" t="s">
        <v>589</v>
      </c>
      <c r="D8" s="526"/>
      <c r="E8" s="516" t="s">
        <v>590</v>
      </c>
      <c r="F8" s="516"/>
      <c r="G8" s="516" t="s">
        <v>591</v>
      </c>
      <c r="H8" s="516"/>
      <c r="I8" s="516" t="s">
        <v>592</v>
      </c>
      <c r="J8" s="516"/>
      <c r="K8" s="516" t="s">
        <v>593</v>
      </c>
      <c r="L8" s="516"/>
      <c r="M8" s="516" t="s">
        <v>594</v>
      </c>
      <c r="N8" s="516"/>
      <c r="O8" s="516" t="s">
        <v>595</v>
      </c>
      <c r="P8" s="516"/>
      <c r="Q8" s="516" t="s">
        <v>596</v>
      </c>
      <c r="R8" s="516"/>
      <c r="S8" s="516" t="s">
        <v>597</v>
      </c>
      <c r="T8" s="516"/>
      <c r="U8" s="516" t="s">
        <v>598</v>
      </c>
      <c r="V8" s="516"/>
      <c r="W8" s="516" t="s">
        <v>599</v>
      </c>
      <c r="X8" s="516"/>
      <c r="Y8" s="516" t="s">
        <v>600</v>
      </c>
      <c r="Z8" s="516"/>
    </row>
    <row r="9" spans="1:26" ht="18.75" x14ac:dyDescent="0.25">
      <c r="A9" s="183"/>
      <c r="B9" s="183"/>
      <c r="C9" s="248" t="s">
        <v>601</v>
      </c>
      <c r="D9" s="248" t="s">
        <v>602</v>
      </c>
      <c r="E9" s="184" t="s">
        <v>601</v>
      </c>
      <c r="F9" s="184" t="s">
        <v>602</v>
      </c>
      <c r="G9" s="184" t="s">
        <v>601</v>
      </c>
      <c r="H9" s="184" t="s">
        <v>602</v>
      </c>
      <c r="I9" s="184" t="s">
        <v>601</v>
      </c>
      <c r="J9" s="185" t="s">
        <v>602</v>
      </c>
      <c r="K9" s="184" t="s">
        <v>601</v>
      </c>
      <c r="L9" s="184" t="s">
        <v>602</v>
      </c>
      <c r="M9" s="185" t="s">
        <v>601</v>
      </c>
      <c r="N9" s="184" t="s">
        <v>602</v>
      </c>
      <c r="O9" s="413" t="s">
        <v>601</v>
      </c>
      <c r="P9" s="184" t="s">
        <v>602</v>
      </c>
      <c r="Q9" s="184" t="s">
        <v>601</v>
      </c>
      <c r="R9" s="184" t="s">
        <v>602</v>
      </c>
      <c r="S9" s="184" t="s">
        <v>601</v>
      </c>
      <c r="T9" s="184" t="s">
        <v>602</v>
      </c>
      <c r="U9" s="184" t="s">
        <v>601</v>
      </c>
      <c r="V9" s="184" t="s">
        <v>602</v>
      </c>
      <c r="W9" s="184" t="s">
        <v>601</v>
      </c>
      <c r="X9" s="184" t="s">
        <v>602</v>
      </c>
      <c r="Y9" s="184" t="s">
        <v>601</v>
      </c>
      <c r="Z9" s="184" t="s">
        <v>602</v>
      </c>
    </row>
    <row r="10" spans="1:26" ht="18.75" x14ac:dyDescent="0.3">
      <c r="A10" s="186">
        <v>1</v>
      </c>
      <c r="B10" s="187" t="s">
        <v>603</v>
      </c>
      <c r="C10" s="188">
        <v>4027257.33</v>
      </c>
      <c r="D10" s="188">
        <v>4833111.5</v>
      </c>
      <c r="E10" s="189">
        <v>4840265.29</v>
      </c>
      <c r="F10" s="189">
        <v>5841673.1500000004</v>
      </c>
      <c r="G10" s="189">
        <f>13000+3146909.72</f>
        <v>3159909.72</v>
      </c>
      <c r="H10" s="189">
        <f>4595181.39+50000</f>
        <v>4645181.3899999997</v>
      </c>
      <c r="I10" s="190">
        <f>6959.16+1939523.55</f>
        <v>1946482.71</v>
      </c>
      <c r="J10" s="189">
        <f>100000+2942930.33+10949.64</f>
        <v>3053879.97</v>
      </c>
      <c r="K10" s="190">
        <v>3199661.24</v>
      </c>
      <c r="L10" s="189">
        <f>3199661.24+50000</f>
        <v>3249661.24</v>
      </c>
      <c r="M10" s="189">
        <v>5356651.46</v>
      </c>
      <c r="N10" s="189"/>
      <c r="O10" s="191">
        <v>4812753.51</v>
      </c>
      <c r="P10" s="191">
        <f>50000+5296295.14</f>
        <v>5346295.1399999997</v>
      </c>
      <c r="Q10" s="191"/>
      <c r="R10" s="191"/>
      <c r="S10" s="191"/>
      <c r="T10" s="191"/>
      <c r="U10" s="190"/>
      <c r="V10" s="190"/>
      <c r="W10" s="190"/>
      <c r="X10" s="190"/>
      <c r="Y10" s="190"/>
      <c r="Z10" s="192"/>
    </row>
    <row r="11" spans="1:26" ht="18.75" x14ac:dyDescent="0.3">
      <c r="A11" s="186">
        <v>2</v>
      </c>
      <c r="B11" s="187" t="s">
        <v>604</v>
      </c>
      <c r="C11" s="188">
        <v>1094583.75</v>
      </c>
      <c r="D11" s="188"/>
      <c r="E11" s="189">
        <v>2417181.13</v>
      </c>
      <c r="F11" s="189">
        <v>2152926.5099999998</v>
      </c>
      <c r="G11" s="189">
        <v>2645113.9</v>
      </c>
      <c r="H11" s="189">
        <v>1041144.31</v>
      </c>
      <c r="I11" s="190">
        <v>3267715.24</v>
      </c>
      <c r="J11" s="189">
        <v>2326714.9500000002</v>
      </c>
      <c r="K11" s="190">
        <v>2490193.7200000002</v>
      </c>
      <c r="L11" s="189">
        <v>2588374.06</v>
      </c>
      <c r="M11" s="189">
        <v>1240459.8799999999</v>
      </c>
      <c r="N11" s="189">
        <v>2927464.43</v>
      </c>
      <c r="O11" s="191">
        <v>2661675.0099999998</v>
      </c>
      <c r="P11" s="191">
        <v>2432528.0099999998</v>
      </c>
      <c r="Q11" s="191"/>
      <c r="R11" s="191"/>
      <c r="S11" s="191"/>
      <c r="T11" s="191"/>
      <c r="U11" s="190"/>
      <c r="V11" s="190"/>
      <c r="W11" s="190"/>
      <c r="X11" s="190"/>
      <c r="Y11" s="190"/>
      <c r="Z11" s="192"/>
    </row>
    <row r="12" spans="1:26" ht="18.75" x14ac:dyDescent="0.3">
      <c r="A12" s="186">
        <f>+A11+1</f>
        <v>3</v>
      </c>
      <c r="B12" s="187" t="s">
        <v>605</v>
      </c>
      <c r="C12" s="188">
        <v>0</v>
      </c>
      <c r="D12" s="188">
        <v>0</v>
      </c>
      <c r="E12" s="189">
        <v>10985.64</v>
      </c>
      <c r="F12" s="189"/>
      <c r="G12" s="189">
        <v>0</v>
      </c>
      <c r="H12" s="189"/>
      <c r="I12" s="189"/>
      <c r="J12" s="189"/>
      <c r="K12" s="190">
        <v>2134.86</v>
      </c>
      <c r="L12" s="189">
        <v>13000</v>
      </c>
      <c r="M12" s="189">
        <v>30812.76</v>
      </c>
      <c r="N12" s="189"/>
      <c r="O12" s="191">
        <v>21145.63</v>
      </c>
      <c r="P12" s="191"/>
      <c r="Q12" s="191"/>
      <c r="R12" s="191"/>
      <c r="S12" s="191"/>
      <c r="T12" s="191"/>
      <c r="U12" s="190"/>
      <c r="V12" s="190"/>
      <c r="W12" s="190"/>
      <c r="X12" s="190"/>
      <c r="Y12" s="190"/>
      <c r="Z12" s="190"/>
    </row>
    <row r="13" spans="1:26" ht="18.75" x14ac:dyDescent="0.3">
      <c r="A13" s="186">
        <f>+A12+1</f>
        <v>4</v>
      </c>
      <c r="B13" s="187" t="s">
        <v>759</v>
      </c>
      <c r="C13" s="188"/>
      <c r="D13" s="188"/>
      <c r="E13" s="189"/>
      <c r="F13" s="189"/>
      <c r="G13" s="189"/>
      <c r="H13" s="189"/>
      <c r="I13" s="189"/>
      <c r="J13" s="189"/>
      <c r="K13" s="190"/>
      <c r="L13" s="189"/>
      <c r="M13" s="189">
        <v>2580</v>
      </c>
      <c r="N13" s="189"/>
      <c r="O13" s="191"/>
      <c r="P13" s="191"/>
      <c r="Q13" s="191"/>
      <c r="R13" s="191"/>
      <c r="S13" s="191"/>
      <c r="T13" s="191"/>
      <c r="U13" s="190"/>
      <c r="V13" s="190"/>
      <c r="W13" s="190"/>
      <c r="X13" s="190"/>
      <c r="Y13" s="190"/>
      <c r="Z13" s="190"/>
    </row>
    <row r="14" spans="1:26" ht="18.75" x14ac:dyDescent="0.3">
      <c r="A14" s="517" t="s">
        <v>606</v>
      </c>
      <c r="B14" s="517"/>
      <c r="C14" s="193">
        <f t="shared" ref="C14:Z14" si="0">SUM(C10:C12)</f>
        <v>5121841.08</v>
      </c>
      <c r="D14" s="193">
        <f t="shared" si="0"/>
        <v>4833111.5</v>
      </c>
      <c r="E14" s="194">
        <f t="shared" si="0"/>
        <v>7268432.0599999996</v>
      </c>
      <c r="F14" s="194">
        <f t="shared" si="0"/>
        <v>7994599.6600000001</v>
      </c>
      <c r="G14" s="194">
        <f t="shared" si="0"/>
        <v>5805023.6200000001</v>
      </c>
      <c r="H14" s="194">
        <f t="shared" si="0"/>
        <v>5686325.6999999993</v>
      </c>
      <c r="I14" s="194">
        <f t="shared" si="0"/>
        <v>5214197.95</v>
      </c>
      <c r="J14" s="195">
        <f t="shared" si="0"/>
        <v>5380594.9199999999</v>
      </c>
      <c r="K14" s="196">
        <f t="shared" si="0"/>
        <v>5691989.8200000012</v>
      </c>
      <c r="L14" s="194">
        <f t="shared" si="0"/>
        <v>5851035.3000000007</v>
      </c>
      <c r="M14" s="195">
        <f>SUM(M10:M13)</f>
        <v>6630504.0999999996</v>
      </c>
      <c r="N14" s="194">
        <f t="shared" si="0"/>
        <v>2927464.43</v>
      </c>
      <c r="O14" s="414">
        <f t="shared" si="0"/>
        <v>7495574.1499999994</v>
      </c>
      <c r="P14" s="196">
        <f t="shared" si="0"/>
        <v>7778823.1499999994</v>
      </c>
      <c r="Q14" s="196">
        <f t="shared" si="0"/>
        <v>0</v>
      </c>
      <c r="R14" s="196">
        <f t="shared" si="0"/>
        <v>0</v>
      </c>
      <c r="S14" s="196">
        <f t="shared" si="0"/>
        <v>0</v>
      </c>
      <c r="T14" s="196">
        <f t="shared" si="0"/>
        <v>0</v>
      </c>
      <c r="U14" s="196">
        <f t="shared" si="0"/>
        <v>0</v>
      </c>
      <c r="V14" s="196">
        <f t="shared" si="0"/>
        <v>0</v>
      </c>
      <c r="W14" s="196">
        <f t="shared" si="0"/>
        <v>0</v>
      </c>
      <c r="X14" s="196">
        <f t="shared" si="0"/>
        <v>0</v>
      </c>
      <c r="Y14" s="196">
        <f t="shared" si="0"/>
        <v>0</v>
      </c>
      <c r="Z14" s="196">
        <f t="shared" si="0"/>
        <v>0</v>
      </c>
    </row>
    <row r="15" spans="1:26" ht="18.75" x14ac:dyDescent="0.3">
      <c r="A15" s="186">
        <v>5</v>
      </c>
      <c r="B15" s="187" t="s">
        <v>607</v>
      </c>
      <c r="C15" s="188">
        <v>211714.57</v>
      </c>
      <c r="D15" s="197">
        <v>206908.45</v>
      </c>
      <c r="E15" s="189">
        <f>65463.45+12918.96+311477.59</f>
        <v>389860</v>
      </c>
      <c r="F15" s="189"/>
      <c r="G15" s="189">
        <f>53140.7+6743.06+130031.72</f>
        <v>189915.47999999998</v>
      </c>
      <c r="H15" s="189">
        <f>16298.76+15397.47+30434.4+65463.45+12863.4+155572.92+309977.48+504</f>
        <v>606511.88</v>
      </c>
      <c r="I15" s="190">
        <f>54068.8+12721.58+382067.66</f>
        <v>448858.04</v>
      </c>
      <c r="J15" s="189">
        <f>51140.7+129754.16+6696.74</f>
        <v>187591.59999999998</v>
      </c>
      <c r="K15" s="190">
        <f>47703.2+8425.36+117128.56</f>
        <v>173257.12</v>
      </c>
      <c r="L15" s="189">
        <f>54068.8+12721.54+375966.29</f>
        <v>442756.63</v>
      </c>
      <c r="M15" s="189">
        <f>48122.4+9299.44+217424.9</f>
        <v>274846.74</v>
      </c>
      <c r="N15" s="198"/>
      <c r="O15" s="190">
        <f>58784.4+11340.11+195826.12</f>
        <v>265950.63</v>
      </c>
      <c r="P15" s="190">
        <f>7867.11+9031.14+24398.12+47703.2+48122.4+117128.56+187255.14</f>
        <v>441505.67000000004</v>
      </c>
      <c r="Q15" s="190"/>
      <c r="R15" s="190"/>
      <c r="S15" s="190"/>
      <c r="T15" s="190"/>
      <c r="U15" s="190"/>
      <c r="V15" s="190"/>
      <c r="W15" s="190"/>
      <c r="X15" s="190"/>
      <c r="Y15" s="190"/>
      <c r="Z15" s="190"/>
    </row>
    <row r="16" spans="1:26" ht="18.75" x14ac:dyDescent="0.3">
      <c r="A16" s="186">
        <f>+A15+1</f>
        <v>6</v>
      </c>
      <c r="B16" s="187" t="s">
        <v>608</v>
      </c>
      <c r="C16" s="188"/>
      <c r="D16" s="188"/>
      <c r="E16" s="189"/>
      <c r="F16" s="189"/>
      <c r="G16" s="189"/>
      <c r="H16" s="189"/>
      <c r="I16" s="190"/>
      <c r="J16" s="189"/>
      <c r="K16" s="190"/>
      <c r="L16" s="198"/>
      <c r="M16" s="189"/>
      <c r="N16" s="189"/>
      <c r="O16" s="190"/>
      <c r="P16" s="190"/>
      <c r="Q16" s="190"/>
      <c r="R16" s="190"/>
      <c r="S16" s="190"/>
      <c r="T16" s="190"/>
      <c r="U16" s="190"/>
      <c r="V16" s="190"/>
      <c r="W16" s="190"/>
      <c r="X16" s="190"/>
      <c r="Y16" s="190"/>
      <c r="Z16" s="190"/>
    </row>
    <row r="17" spans="1:26" ht="18.75" x14ac:dyDescent="0.3">
      <c r="A17" s="186">
        <f t="shared" ref="A17:A36" si="1">+A16+1</f>
        <v>7</v>
      </c>
      <c r="B17" s="187" t="s">
        <v>609</v>
      </c>
      <c r="C17" s="188">
        <v>275352.44</v>
      </c>
      <c r="D17" s="188">
        <v>156983.54999999999</v>
      </c>
      <c r="E17" s="189">
        <v>222716.34</v>
      </c>
      <c r="F17" s="189">
        <v>272552.44</v>
      </c>
      <c r="G17" s="189">
        <v>73918.679999999993</v>
      </c>
      <c r="H17" s="189">
        <v>222620.34</v>
      </c>
      <c r="I17" s="190"/>
      <c r="J17" s="189">
        <v>73057.08</v>
      </c>
      <c r="K17" s="189"/>
      <c r="L17" s="189"/>
      <c r="M17" s="189">
        <v>443337.56</v>
      </c>
      <c r="N17" s="189"/>
      <c r="O17" s="189"/>
      <c r="P17" s="189">
        <v>417359.58</v>
      </c>
      <c r="Q17" s="189"/>
      <c r="R17" s="189"/>
      <c r="S17" s="189"/>
      <c r="T17" s="189"/>
      <c r="U17" s="189"/>
      <c r="V17" s="189"/>
      <c r="W17" s="189"/>
      <c r="X17" s="189"/>
      <c r="Y17" s="189"/>
      <c r="Z17" s="189"/>
    </row>
    <row r="18" spans="1:26" ht="18.75" x14ac:dyDescent="0.3">
      <c r="A18" s="186">
        <f t="shared" si="1"/>
        <v>8</v>
      </c>
      <c r="B18" s="187" t="s">
        <v>575</v>
      </c>
      <c r="C18" s="188">
        <v>7848.94</v>
      </c>
      <c r="D18" s="188">
        <v>55135.74</v>
      </c>
      <c r="E18" s="189">
        <v>14338.35</v>
      </c>
      <c r="F18" s="189">
        <v>7848.94</v>
      </c>
      <c r="G18" s="189">
        <v>162551.53</v>
      </c>
      <c r="H18" s="189">
        <v>14338.35</v>
      </c>
      <c r="I18" s="190">
        <v>37897.65</v>
      </c>
      <c r="J18" s="189">
        <v>19489.759999999998</v>
      </c>
      <c r="K18" s="189">
        <v>45390.42</v>
      </c>
      <c r="L18" s="189">
        <v>155606.87</v>
      </c>
      <c r="M18" s="189">
        <v>166835.63</v>
      </c>
      <c r="N18" s="189">
        <f>35073.61+44140.42</f>
        <v>79214.03</v>
      </c>
      <c r="O18" s="189">
        <v>19360.439999999999</v>
      </c>
      <c r="P18" s="189">
        <v>86993.18</v>
      </c>
      <c r="Q18" s="189"/>
      <c r="R18" s="189"/>
      <c r="S18" s="189"/>
      <c r="T18" s="189"/>
      <c r="U18" s="190"/>
      <c r="V18" s="190"/>
      <c r="W18" s="190"/>
      <c r="X18" s="190"/>
      <c r="Y18" s="190"/>
      <c r="Z18" s="190"/>
    </row>
    <row r="19" spans="1:26" ht="18.75" x14ac:dyDescent="0.3">
      <c r="A19" s="186">
        <f t="shared" si="1"/>
        <v>9</v>
      </c>
      <c r="B19" s="187" t="s">
        <v>576</v>
      </c>
      <c r="C19" s="188"/>
      <c r="D19" s="188"/>
      <c r="E19" s="189"/>
      <c r="F19" s="189"/>
      <c r="G19" s="189"/>
      <c r="H19" s="189"/>
      <c r="I19" s="190"/>
      <c r="J19" s="189"/>
      <c r="K19" s="189"/>
      <c r="L19" s="189"/>
      <c r="M19" s="189"/>
      <c r="N19" s="189"/>
      <c r="O19" s="189"/>
      <c r="P19" s="189"/>
      <c r="Q19" s="189"/>
      <c r="R19" s="189"/>
      <c r="S19" s="189"/>
      <c r="T19" s="189"/>
      <c r="U19" s="190"/>
      <c r="V19" s="190"/>
      <c r="W19" s="199"/>
      <c r="X19" s="199"/>
      <c r="Y19" s="190"/>
      <c r="Z19" s="190"/>
    </row>
    <row r="20" spans="1:26" ht="18.75" x14ac:dyDescent="0.3">
      <c r="A20" s="186">
        <f t="shared" si="1"/>
        <v>10</v>
      </c>
      <c r="B20" s="187" t="s">
        <v>610</v>
      </c>
      <c r="C20" s="188">
        <v>44770.98</v>
      </c>
      <c r="D20" s="188"/>
      <c r="E20" s="189">
        <v>16720.82</v>
      </c>
      <c r="F20" s="189">
        <v>97648.3</v>
      </c>
      <c r="G20" s="189">
        <v>83376.61</v>
      </c>
      <c r="H20" s="189">
        <v>34117.68</v>
      </c>
      <c r="I20" s="190">
        <v>77617.279999999999</v>
      </c>
      <c r="J20" s="189">
        <v>97704.2</v>
      </c>
      <c r="K20" s="189">
        <v>29761.8</v>
      </c>
      <c r="L20" s="189"/>
      <c r="M20" s="189">
        <v>50732.77</v>
      </c>
      <c r="N20" s="189">
        <v>102719.16</v>
      </c>
      <c r="O20" s="189">
        <v>38168.82</v>
      </c>
      <c r="P20" s="189">
        <v>48385.69</v>
      </c>
      <c r="Q20" s="189"/>
      <c r="R20" s="189"/>
      <c r="S20" s="189"/>
      <c r="T20" s="189"/>
      <c r="U20" s="190"/>
      <c r="V20" s="190"/>
      <c r="W20" s="190"/>
      <c r="X20" s="190"/>
      <c r="Y20" s="190"/>
      <c r="Z20" s="190"/>
    </row>
    <row r="21" spans="1:26" ht="18.75" x14ac:dyDescent="0.3">
      <c r="A21" s="186">
        <f t="shared" si="1"/>
        <v>11</v>
      </c>
      <c r="B21" s="187" t="s">
        <v>611</v>
      </c>
      <c r="C21" s="188"/>
      <c r="D21" s="188"/>
      <c r="E21" s="189"/>
      <c r="F21" s="189"/>
      <c r="G21" s="189"/>
      <c r="H21" s="189"/>
      <c r="I21" s="190"/>
      <c r="J21" s="189"/>
      <c r="K21" s="189"/>
      <c r="L21" s="189"/>
      <c r="M21" s="189"/>
      <c r="N21" s="189"/>
      <c r="O21" s="189"/>
      <c r="P21" s="189"/>
      <c r="Q21" s="189"/>
      <c r="R21" s="189"/>
      <c r="S21" s="189"/>
      <c r="T21" s="189"/>
      <c r="U21" s="190"/>
      <c r="V21" s="190"/>
      <c r="W21" s="190"/>
      <c r="X21" s="190"/>
      <c r="Y21" s="190"/>
      <c r="Z21" s="190"/>
    </row>
    <row r="22" spans="1:26" ht="18.75" x14ac:dyDescent="0.3">
      <c r="A22" s="186">
        <f t="shared" si="1"/>
        <v>12</v>
      </c>
      <c r="B22" s="187" t="s">
        <v>612</v>
      </c>
      <c r="C22" s="188">
        <v>7193.05</v>
      </c>
      <c r="D22" s="188">
        <v>15993.02</v>
      </c>
      <c r="E22" s="189">
        <v>28868.13</v>
      </c>
      <c r="F22" s="189">
        <v>9531.6</v>
      </c>
      <c r="G22" s="189">
        <v>10657.5</v>
      </c>
      <c r="H22" s="189">
        <v>77169.399999999994</v>
      </c>
      <c r="I22" s="190">
        <v>27941.11</v>
      </c>
      <c r="J22" s="189">
        <f>28868.13+6393.05</f>
        <v>35261.18</v>
      </c>
      <c r="K22" s="189">
        <v>99169.27</v>
      </c>
      <c r="L22" s="189"/>
      <c r="M22" s="189">
        <v>36644.9</v>
      </c>
      <c r="N22" s="189">
        <v>8860.1</v>
      </c>
      <c r="O22" s="189">
        <v>19740.54</v>
      </c>
      <c r="P22" s="189"/>
      <c r="Q22" s="189"/>
      <c r="R22" s="189"/>
      <c r="S22" s="189"/>
      <c r="T22" s="189"/>
      <c r="U22" s="200"/>
      <c r="V22" s="190"/>
      <c r="W22" s="190"/>
      <c r="X22" s="190"/>
      <c r="Y22" s="190"/>
      <c r="Z22" s="190"/>
    </row>
    <row r="23" spans="1:26" ht="18.75" x14ac:dyDescent="0.3">
      <c r="A23" s="186">
        <f t="shared" si="1"/>
        <v>13</v>
      </c>
      <c r="B23" s="187" t="s">
        <v>578</v>
      </c>
      <c r="C23" s="188">
        <v>269639.73</v>
      </c>
      <c r="D23" s="188">
        <v>234503.89</v>
      </c>
      <c r="E23" s="189">
        <v>617068.65</v>
      </c>
      <c r="F23" s="189"/>
      <c r="G23" s="189">
        <v>366095.18</v>
      </c>
      <c r="H23" s="189">
        <v>356314.76</v>
      </c>
      <c r="I23" s="190">
        <v>395799.78</v>
      </c>
      <c r="J23" s="189">
        <v>388735.9</v>
      </c>
      <c r="K23" s="189">
        <v>525599.56000000006</v>
      </c>
      <c r="L23" s="189">
        <v>493974.92</v>
      </c>
      <c r="M23" s="189">
        <v>236054.2</v>
      </c>
      <c r="N23" s="189">
        <v>213364.69</v>
      </c>
      <c r="O23" s="189">
        <v>651828.66</v>
      </c>
      <c r="P23" s="189">
        <v>649331.98</v>
      </c>
      <c r="Q23" s="189"/>
      <c r="R23" s="189"/>
      <c r="S23" s="189"/>
      <c r="T23" s="189"/>
      <c r="U23" s="190"/>
      <c r="V23" s="190"/>
      <c r="W23" s="190"/>
      <c r="X23" s="190"/>
      <c r="Y23" s="190"/>
      <c r="Z23" s="190"/>
    </row>
    <row r="24" spans="1:26" ht="18.75" x14ac:dyDescent="0.3">
      <c r="A24" s="186">
        <f t="shared" si="1"/>
        <v>14</v>
      </c>
      <c r="B24" s="187" t="s">
        <v>572</v>
      </c>
      <c r="C24" s="188">
        <v>69588.33</v>
      </c>
      <c r="D24" s="188"/>
      <c r="E24" s="189">
        <v>122630.62</v>
      </c>
      <c r="F24" s="189">
        <v>8262.07</v>
      </c>
      <c r="G24" s="189">
        <v>43770.8</v>
      </c>
      <c r="H24" s="189">
        <v>212345.21</v>
      </c>
      <c r="I24" s="190">
        <v>55860.67</v>
      </c>
      <c r="J24" s="189"/>
      <c r="K24" s="189">
        <v>109234.31</v>
      </c>
      <c r="L24" s="189"/>
      <c r="M24" s="189">
        <v>229878</v>
      </c>
      <c r="N24" s="189"/>
      <c r="O24" s="189">
        <v>216887.67</v>
      </c>
      <c r="P24" s="189"/>
      <c r="Q24" s="189"/>
      <c r="R24" s="189"/>
      <c r="S24" s="189"/>
      <c r="T24" s="189"/>
      <c r="U24" s="190"/>
      <c r="V24" s="190"/>
      <c r="W24" s="190"/>
      <c r="X24" s="190"/>
      <c r="Y24" s="190"/>
      <c r="Z24" s="190"/>
    </row>
    <row r="25" spans="1:26" ht="18.75" x14ac:dyDescent="0.3">
      <c r="A25" s="186">
        <f t="shared" si="1"/>
        <v>15</v>
      </c>
      <c r="B25" s="187" t="s">
        <v>571</v>
      </c>
      <c r="C25" s="188"/>
      <c r="D25" s="188"/>
      <c r="E25" s="189"/>
      <c r="F25" s="189"/>
      <c r="G25" s="189"/>
      <c r="H25" s="189"/>
      <c r="I25" s="190"/>
      <c r="J25" s="189"/>
      <c r="K25" s="189"/>
      <c r="L25" s="189"/>
      <c r="M25" s="189"/>
      <c r="N25" s="189"/>
      <c r="O25" s="189"/>
      <c r="P25" s="189"/>
      <c r="Q25" s="189"/>
      <c r="R25" s="189"/>
      <c r="S25" s="189"/>
      <c r="T25" s="189"/>
      <c r="U25" s="190"/>
      <c r="V25" s="190"/>
      <c r="W25" s="190"/>
      <c r="X25" s="190"/>
      <c r="Y25" s="190"/>
      <c r="Z25" s="190"/>
    </row>
    <row r="26" spans="1:26" ht="18.75" x14ac:dyDescent="0.3">
      <c r="A26" s="186">
        <f t="shared" si="1"/>
        <v>16</v>
      </c>
      <c r="B26" s="187" t="s">
        <v>613</v>
      </c>
      <c r="C26" s="188"/>
      <c r="D26" s="188"/>
      <c r="E26" s="189"/>
      <c r="F26" s="189"/>
      <c r="G26" s="189"/>
      <c r="H26" s="189"/>
      <c r="I26" s="190"/>
      <c r="J26" s="189"/>
      <c r="K26" s="189"/>
      <c r="L26" s="189"/>
      <c r="M26" s="189"/>
      <c r="N26" s="189"/>
      <c r="O26" s="189"/>
      <c r="P26" s="189"/>
      <c r="Q26" s="189"/>
      <c r="R26" s="189"/>
      <c r="S26" s="189"/>
      <c r="T26" s="189"/>
      <c r="U26" s="190"/>
      <c r="V26" s="190"/>
      <c r="W26" s="190"/>
      <c r="X26" s="190"/>
      <c r="Y26" s="190"/>
      <c r="Z26" s="190"/>
    </row>
    <row r="27" spans="1:26" ht="18.75" x14ac:dyDescent="0.3">
      <c r="A27" s="186">
        <f t="shared" si="1"/>
        <v>17</v>
      </c>
      <c r="B27" s="187" t="s">
        <v>614</v>
      </c>
      <c r="C27" s="188">
        <v>1396</v>
      </c>
      <c r="D27" s="188"/>
      <c r="E27" s="189">
        <v>20821.36</v>
      </c>
      <c r="F27" s="189">
        <v>31949.94</v>
      </c>
      <c r="G27" s="189">
        <v>80842.17</v>
      </c>
      <c r="H27" s="189">
        <v>1396</v>
      </c>
      <c r="I27" s="190">
        <v>32922.74</v>
      </c>
      <c r="J27" s="189"/>
      <c r="K27" s="189">
        <v>3500</v>
      </c>
      <c r="L27" s="189">
        <v>32863.839999999997</v>
      </c>
      <c r="M27" s="189">
        <v>41032.92</v>
      </c>
      <c r="N27" s="189"/>
      <c r="O27" s="189">
        <v>11961.97</v>
      </c>
      <c r="P27" s="189"/>
      <c r="Q27" s="189"/>
      <c r="R27" s="189"/>
      <c r="S27" s="189"/>
      <c r="T27" s="189"/>
      <c r="U27" s="190"/>
      <c r="V27" s="190"/>
      <c r="W27" s="190"/>
      <c r="X27" s="190"/>
      <c r="Y27" s="190"/>
      <c r="Z27" s="190"/>
    </row>
    <row r="28" spans="1:26" ht="18.75" x14ac:dyDescent="0.3">
      <c r="A28" s="186">
        <f t="shared" si="1"/>
        <v>18</v>
      </c>
      <c r="B28" s="187" t="s">
        <v>615</v>
      </c>
      <c r="C28" s="188">
        <v>4869.5200000000004</v>
      </c>
      <c r="D28" s="188">
        <v>6475.14</v>
      </c>
      <c r="E28" s="189">
        <v>102975.46</v>
      </c>
      <c r="F28" s="189">
        <v>4869.5200000000004</v>
      </c>
      <c r="G28" s="189">
        <v>6619.63</v>
      </c>
      <c r="H28" s="189">
        <v>102672.34</v>
      </c>
      <c r="I28" s="190">
        <v>12257.4</v>
      </c>
      <c r="J28" s="189">
        <v>6619.63</v>
      </c>
      <c r="K28" s="189">
        <v>111906.17</v>
      </c>
      <c r="L28" s="189">
        <v>12182.4</v>
      </c>
      <c r="M28" s="189">
        <v>7768.47</v>
      </c>
      <c r="N28" s="189"/>
      <c r="O28" s="189">
        <v>11676.13</v>
      </c>
      <c r="P28" s="189">
        <f>111902.77+6784.54</f>
        <v>118687.31</v>
      </c>
      <c r="Q28" s="189"/>
      <c r="R28" s="189"/>
      <c r="S28" s="189"/>
      <c r="T28" s="189"/>
      <c r="U28" s="190"/>
      <c r="V28" s="190"/>
      <c r="W28" s="190"/>
      <c r="X28" s="190"/>
      <c r="Y28" s="190"/>
      <c r="Z28" s="190"/>
    </row>
    <row r="29" spans="1:26" ht="18.75" x14ac:dyDescent="0.3">
      <c r="A29" s="186">
        <f t="shared" si="1"/>
        <v>19</v>
      </c>
      <c r="B29" s="187" t="s">
        <v>574</v>
      </c>
      <c r="C29" s="188">
        <v>76159.34</v>
      </c>
      <c r="D29" s="188"/>
      <c r="E29" s="189">
        <v>186957.88</v>
      </c>
      <c r="F29" s="189"/>
      <c r="G29" s="189">
        <v>136798.59</v>
      </c>
      <c r="H29" s="189"/>
      <c r="I29" s="190">
        <v>83229.31</v>
      </c>
      <c r="J29" s="189"/>
      <c r="K29" s="189">
        <v>9976.34</v>
      </c>
      <c r="L29" s="189"/>
      <c r="M29" s="189">
        <v>108970.25</v>
      </c>
      <c r="N29" s="189"/>
      <c r="O29" s="189">
        <v>49885.59</v>
      </c>
      <c r="P29" s="189">
        <f>395386.07+48652.64</f>
        <v>444038.71</v>
      </c>
      <c r="Q29" s="189"/>
      <c r="R29" s="189"/>
      <c r="S29" s="189"/>
      <c r="T29" s="189"/>
      <c r="U29" s="190"/>
      <c r="V29" s="190"/>
      <c r="W29" s="190"/>
      <c r="X29" s="190"/>
      <c r="Y29" s="190"/>
      <c r="Z29" s="190"/>
    </row>
    <row r="30" spans="1:26" ht="18.75" x14ac:dyDescent="0.3">
      <c r="A30" s="186">
        <f t="shared" si="1"/>
        <v>20</v>
      </c>
      <c r="B30" s="187" t="s">
        <v>577</v>
      </c>
      <c r="C30" s="188">
        <v>75131.09</v>
      </c>
      <c r="D30" s="188">
        <v>71992.2</v>
      </c>
      <c r="E30" s="189">
        <v>146560.32000000001</v>
      </c>
      <c r="F30" s="189"/>
      <c r="G30" s="189">
        <v>85258.31</v>
      </c>
      <c r="H30" s="189">
        <v>237322.18</v>
      </c>
      <c r="I30" s="190">
        <v>119188.62</v>
      </c>
      <c r="J30" s="189">
        <v>146560.32000000001</v>
      </c>
      <c r="K30" s="189">
        <v>58287.88</v>
      </c>
      <c r="L30" s="189">
        <v>84594.85</v>
      </c>
      <c r="M30" s="189">
        <v>97214.78</v>
      </c>
      <c r="N30" s="189"/>
      <c r="O30" s="189">
        <v>108900.79</v>
      </c>
      <c r="P30" s="189">
        <v>125937.38</v>
      </c>
      <c r="Q30" s="189"/>
      <c r="R30" s="189"/>
      <c r="S30" s="189"/>
      <c r="T30" s="189"/>
      <c r="U30" s="190"/>
      <c r="V30" s="190"/>
      <c r="W30" s="190"/>
      <c r="X30" s="190"/>
      <c r="Y30" s="190"/>
      <c r="Z30" s="190"/>
    </row>
    <row r="31" spans="1:26" ht="18.75" x14ac:dyDescent="0.3">
      <c r="A31" s="186">
        <f t="shared" si="1"/>
        <v>21</v>
      </c>
      <c r="B31" s="187" t="s">
        <v>616</v>
      </c>
      <c r="C31" s="188">
        <v>273646.7</v>
      </c>
      <c r="D31" s="188">
        <v>273646.7</v>
      </c>
      <c r="E31" s="189">
        <v>41285.9</v>
      </c>
      <c r="F31" s="189">
        <v>41071.9</v>
      </c>
      <c r="G31" s="189">
        <v>22435.77</v>
      </c>
      <c r="H31" s="189">
        <v>11220.43</v>
      </c>
      <c r="I31" s="190">
        <v>61608.05</v>
      </c>
      <c r="J31" s="189">
        <v>22435.77</v>
      </c>
      <c r="K31" s="189">
        <v>31245</v>
      </c>
      <c r="L31" s="189">
        <v>61607.99</v>
      </c>
      <c r="M31" s="189">
        <v>237194.17</v>
      </c>
      <c r="N31" s="189">
        <v>31240</v>
      </c>
      <c r="O31" s="189">
        <v>63128.33</v>
      </c>
      <c r="P31" s="189">
        <f>63128.33+237194.17</f>
        <v>300322.5</v>
      </c>
      <c r="Q31" s="189"/>
      <c r="R31" s="189"/>
      <c r="S31" s="189"/>
      <c r="T31" s="189"/>
      <c r="U31" s="190"/>
      <c r="V31" s="190"/>
      <c r="W31" s="190"/>
      <c r="X31" s="190"/>
      <c r="Y31" s="190"/>
      <c r="Z31" s="190"/>
    </row>
    <row r="32" spans="1:26" ht="18.75" x14ac:dyDescent="0.3">
      <c r="A32" s="186">
        <f t="shared" si="1"/>
        <v>22</v>
      </c>
      <c r="B32" s="187" t="s">
        <v>617</v>
      </c>
      <c r="C32" s="188">
        <v>48081.02</v>
      </c>
      <c r="D32" s="188">
        <v>48081.02</v>
      </c>
      <c r="E32" s="189">
        <v>217047.26</v>
      </c>
      <c r="F32" s="189"/>
      <c r="G32" s="189">
        <v>79962.77</v>
      </c>
      <c r="H32" s="189"/>
      <c r="I32" s="190">
        <v>61346.15</v>
      </c>
      <c r="J32" s="189"/>
      <c r="K32" s="189">
        <v>57351.74</v>
      </c>
      <c r="L32" s="189">
        <v>79987.570000000007</v>
      </c>
      <c r="M32" s="189">
        <v>10000</v>
      </c>
      <c r="N32" s="189"/>
      <c r="O32" s="189">
        <v>18399.990000000002</v>
      </c>
      <c r="P32" s="189">
        <f>18134.86+18399.99</f>
        <v>36534.850000000006</v>
      </c>
      <c r="Q32" s="189"/>
      <c r="R32" s="189"/>
      <c r="S32" s="189"/>
      <c r="T32" s="189"/>
      <c r="U32" s="190"/>
      <c r="V32" s="190"/>
      <c r="W32" s="191"/>
      <c r="X32" s="191"/>
      <c r="Y32" s="190"/>
      <c r="Z32" s="190"/>
    </row>
    <row r="33" spans="1:26" ht="18.75" x14ac:dyDescent="0.3">
      <c r="A33" s="186">
        <f t="shared" si="1"/>
        <v>23</v>
      </c>
      <c r="B33" s="187" t="s">
        <v>573</v>
      </c>
      <c r="C33" s="188">
        <v>28637.51</v>
      </c>
      <c r="D33" s="188"/>
      <c r="E33" s="189">
        <v>92478.63</v>
      </c>
      <c r="F33" s="189"/>
      <c r="G33" s="189">
        <v>2821.24</v>
      </c>
      <c r="H33" s="189"/>
      <c r="I33" s="190">
        <v>1604</v>
      </c>
      <c r="J33" s="189"/>
      <c r="K33" s="189">
        <v>3360</v>
      </c>
      <c r="L33" s="189"/>
      <c r="M33" s="189">
        <v>3319.22</v>
      </c>
      <c r="N33" s="189"/>
      <c r="O33" s="189">
        <v>4368.41</v>
      </c>
      <c r="P33" s="189">
        <f>4943.4+176215.29</f>
        <v>181158.69</v>
      </c>
      <c r="Q33" s="189"/>
      <c r="R33" s="189"/>
      <c r="S33" s="189"/>
      <c r="T33" s="189"/>
      <c r="U33" s="190"/>
      <c r="V33" s="190"/>
      <c r="W33" s="191"/>
      <c r="X33" s="191"/>
      <c r="Y33" s="190"/>
      <c r="Z33" s="190"/>
    </row>
    <row r="34" spans="1:26" ht="18.75" x14ac:dyDescent="0.3">
      <c r="A34" s="186">
        <f t="shared" si="1"/>
        <v>24</v>
      </c>
      <c r="B34" s="187" t="s">
        <v>618</v>
      </c>
      <c r="C34" s="188"/>
      <c r="D34" s="188"/>
      <c r="E34" s="189"/>
      <c r="F34" s="189"/>
      <c r="G34" s="189"/>
      <c r="H34" s="189"/>
      <c r="I34" s="190"/>
      <c r="J34" s="189"/>
      <c r="K34" s="189"/>
      <c r="L34" s="189"/>
      <c r="M34" s="189"/>
      <c r="N34" s="189"/>
      <c r="O34" s="189"/>
      <c r="P34" s="189"/>
      <c r="Q34" s="189"/>
      <c r="R34" s="189"/>
      <c r="S34" s="189"/>
      <c r="T34" s="189"/>
      <c r="U34" s="190"/>
      <c r="V34" s="190"/>
      <c r="W34" s="201"/>
      <c r="X34" s="201"/>
      <c r="Y34" s="190"/>
      <c r="Z34" s="190"/>
    </row>
    <row r="35" spans="1:26" ht="18.75" x14ac:dyDescent="0.3">
      <c r="A35" s="186">
        <f t="shared" si="1"/>
        <v>25</v>
      </c>
      <c r="B35" s="187" t="s">
        <v>619</v>
      </c>
      <c r="C35" s="188"/>
      <c r="D35" s="188"/>
      <c r="E35" s="189"/>
      <c r="F35" s="189"/>
      <c r="G35" s="189"/>
      <c r="H35" s="189"/>
      <c r="I35" s="190"/>
      <c r="J35" s="189"/>
      <c r="K35" s="189"/>
      <c r="L35" s="189"/>
      <c r="M35" s="189"/>
      <c r="N35" s="189"/>
      <c r="O35" s="189"/>
      <c r="P35" s="189"/>
      <c r="Q35" s="189"/>
      <c r="R35" s="189"/>
      <c r="S35" s="189"/>
      <c r="T35" s="189"/>
      <c r="U35" s="190"/>
      <c r="V35" s="190"/>
      <c r="W35" s="201"/>
      <c r="X35" s="201"/>
      <c r="Y35" s="190"/>
      <c r="Z35" s="190"/>
    </row>
    <row r="36" spans="1:26" ht="18.75" x14ac:dyDescent="0.3">
      <c r="A36" s="186">
        <f t="shared" si="1"/>
        <v>26</v>
      </c>
      <c r="B36" s="187" t="s">
        <v>620</v>
      </c>
      <c r="C36" s="188">
        <v>259154.57</v>
      </c>
      <c r="D36" s="188"/>
      <c r="E36" s="189">
        <v>439967.13</v>
      </c>
      <c r="F36" s="189">
        <v>870590.25</v>
      </c>
      <c r="G36" s="189">
        <v>404678.83</v>
      </c>
      <c r="H36" s="189">
        <v>262926.38</v>
      </c>
      <c r="I36" s="190">
        <v>432554.37</v>
      </c>
      <c r="J36" s="189">
        <v>534014.43000000005</v>
      </c>
      <c r="K36" s="189">
        <v>317521.34000000003</v>
      </c>
      <c r="L36" s="189">
        <v>304098.74</v>
      </c>
      <c r="M36" s="189">
        <v>374483.12</v>
      </c>
      <c r="N36" s="189">
        <v>268649.03000000003</v>
      </c>
      <c r="O36" s="189">
        <v>442825.83</v>
      </c>
      <c r="P36" s="189">
        <v>313059.93</v>
      </c>
      <c r="Q36" s="189"/>
      <c r="R36" s="189"/>
      <c r="S36" s="189"/>
      <c r="T36" s="189"/>
      <c r="U36" s="190"/>
      <c r="V36" s="190"/>
      <c r="W36" s="202"/>
      <c r="X36" s="202"/>
      <c r="Y36" s="190"/>
      <c r="Z36" s="190"/>
    </row>
    <row r="37" spans="1:26" ht="18.75" x14ac:dyDescent="0.3">
      <c r="A37" s="186"/>
      <c r="B37" s="187" t="s">
        <v>717</v>
      </c>
      <c r="C37" s="188"/>
      <c r="D37" s="188"/>
      <c r="E37" s="189"/>
      <c r="F37" s="189"/>
      <c r="G37" s="189"/>
      <c r="H37" s="189"/>
      <c r="I37" s="190"/>
      <c r="J37" s="189"/>
      <c r="K37" s="189">
        <v>80323.320000000007</v>
      </c>
      <c r="L37" s="189"/>
      <c r="M37" s="189">
        <v>436800</v>
      </c>
      <c r="N37" s="189">
        <v>423700</v>
      </c>
      <c r="O37" s="189"/>
      <c r="P37" s="189"/>
      <c r="Q37" s="189"/>
      <c r="R37" s="189"/>
      <c r="S37" s="189"/>
      <c r="T37" s="189"/>
      <c r="U37" s="190"/>
      <c r="V37" s="190"/>
      <c r="W37" s="202"/>
      <c r="X37" s="202"/>
      <c r="Y37" s="190"/>
      <c r="Z37" s="190"/>
    </row>
    <row r="38" spans="1:26" ht="18.75" x14ac:dyDescent="0.3">
      <c r="A38" s="517" t="s">
        <v>621</v>
      </c>
      <c r="B38" s="517"/>
      <c r="C38" s="193">
        <f t="shared" ref="C38:F38" si="2">SUM(C15:C36)</f>
        <v>1653183.79</v>
      </c>
      <c r="D38" s="193">
        <f t="shared" si="2"/>
        <v>1069719.71</v>
      </c>
      <c r="E38" s="193">
        <f t="shared" si="2"/>
        <v>2660296.85</v>
      </c>
      <c r="F38" s="193">
        <f t="shared" si="2"/>
        <v>1344324.96</v>
      </c>
      <c r="G38" s="193">
        <f t="shared" ref="G38:Z38" si="3">SUM(G15:G36)</f>
        <v>1749703.0900000003</v>
      </c>
      <c r="H38" s="193">
        <f t="shared" si="3"/>
        <v>2138954.9500000002</v>
      </c>
      <c r="I38" s="194">
        <f t="shared" si="3"/>
        <v>1848685.17</v>
      </c>
      <c r="J38" s="195">
        <f t="shared" si="3"/>
        <v>1511469.87</v>
      </c>
      <c r="K38" s="196">
        <f>SUM(K15:K37)</f>
        <v>1655884.27</v>
      </c>
      <c r="L38" s="194">
        <f t="shared" si="3"/>
        <v>1667673.81</v>
      </c>
      <c r="M38" s="194">
        <f>SUM(M15:M37)</f>
        <v>2755112.73</v>
      </c>
      <c r="N38" s="194">
        <f>SUM(N15:N37)</f>
        <v>1127747.01</v>
      </c>
      <c r="O38" s="414">
        <f>SUM(O15:O36)</f>
        <v>1923083.8</v>
      </c>
      <c r="P38" s="196">
        <f t="shared" si="3"/>
        <v>3163315.47</v>
      </c>
      <c r="Q38" s="196">
        <f t="shared" si="3"/>
        <v>0</v>
      </c>
      <c r="R38" s="196">
        <f t="shared" si="3"/>
        <v>0</v>
      </c>
      <c r="S38" s="196">
        <f t="shared" si="3"/>
        <v>0</v>
      </c>
      <c r="T38" s="196">
        <f t="shared" si="3"/>
        <v>0</v>
      </c>
      <c r="U38" s="196">
        <f t="shared" si="3"/>
        <v>0</v>
      </c>
      <c r="V38" s="196">
        <f t="shared" si="3"/>
        <v>0</v>
      </c>
      <c r="W38" s="196">
        <f t="shared" si="3"/>
        <v>0</v>
      </c>
      <c r="X38" s="196">
        <f t="shared" si="3"/>
        <v>0</v>
      </c>
      <c r="Y38" s="196">
        <f t="shared" si="3"/>
        <v>0</v>
      </c>
      <c r="Z38" s="196">
        <f t="shared" si="3"/>
        <v>0</v>
      </c>
    </row>
    <row r="39" spans="1:26" ht="18.75" x14ac:dyDescent="0.25">
      <c r="A39" s="518" t="s">
        <v>534</v>
      </c>
      <c r="B39" s="518"/>
      <c r="C39" s="203">
        <f t="shared" ref="C39:Z39" si="4">C14+C38</f>
        <v>6775024.8700000001</v>
      </c>
      <c r="D39" s="203">
        <f t="shared" si="4"/>
        <v>5902831.21</v>
      </c>
      <c r="E39" s="203">
        <f t="shared" si="4"/>
        <v>9928728.9100000001</v>
      </c>
      <c r="F39" s="203">
        <f t="shared" si="4"/>
        <v>9338924.620000001</v>
      </c>
      <c r="G39" s="203">
        <f t="shared" si="4"/>
        <v>7554726.7100000009</v>
      </c>
      <c r="H39" s="203">
        <f t="shared" si="4"/>
        <v>7825280.6499999994</v>
      </c>
      <c r="I39" s="203">
        <f t="shared" si="4"/>
        <v>7062883.1200000001</v>
      </c>
      <c r="J39" s="185">
        <f t="shared" si="4"/>
        <v>6892064.79</v>
      </c>
      <c r="K39" s="203">
        <f t="shared" si="4"/>
        <v>7347874.0900000017</v>
      </c>
      <c r="L39" s="203">
        <f t="shared" si="4"/>
        <v>7518709.1100000013</v>
      </c>
      <c r="M39" s="185">
        <f t="shared" si="4"/>
        <v>9385616.8300000001</v>
      </c>
      <c r="N39" s="203">
        <f t="shared" si="4"/>
        <v>4055211.4400000004</v>
      </c>
      <c r="O39" s="203">
        <f>O14+O38</f>
        <v>9418657.9499999993</v>
      </c>
      <c r="P39" s="203">
        <f t="shared" si="4"/>
        <v>10942138.619999999</v>
      </c>
      <c r="Q39" s="203">
        <f t="shared" si="4"/>
        <v>0</v>
      </c>
      <c r="R39" s="203">
        <f t="shared" si="4"/>
        <v>0</v>
      </c>
      <c r="S39" s="203">
        <f t="shared" si="4"/>
        <v>0</v>
      </c>
      <c r="T39" s="203">
        <f t="shared" si="4"/>
        <v>0</v>
      </c>
      <c r="U39" s="203">
        <f t="shared" si="4"/>
        <v>0</v>
      </c>
      <c r="V39" s="203">
        <f t="shared" si="4"/>
        <v>0</v>
      </c>
      <c r="W39" s="203">
        <f t="shared" si="4"/>
        <v>0</v>
      </c>
      <c r="X39" s="203">
        <f t="shared" si="4"/>
        <v>0</v>
      </c>
      <c r="Y39" s="203">
        <f t="shared" si="4"/>
        <v>0</v>
      </c>
      <c r="Z39" s="203">
        <f t="shared" si="4"/>
        <v>0</v>
      </c>
    </row>
    <row r="40" spans="1:26" ht="18.75" x14ac:dyDescent="0.25">
      <c r="A40" s="204"/>
      <c r="B40" s="204"/>
      <c r="C40" s="205"/>
      <c r="D40" s="205"/>
      <c r="E40" s="205"/>
      <c r="F40" s="205"/>
      <c r="G40" s="205"/>
      <c r="H40" s="205"/>
      <c r="I40" s="205"/>
      <c r="J40" s="206"/>
      <c r="K40" s="205"/>
      <c r="L40" s="205"/>
      <c r="M40" s="206"/>
      <c r="N40" s="205"/>
      <c r="O40" s="415"/>
      <c r="P40" s="205"/>
      <c r="Q40" s="205"/>
      <c r="R40" s="205"/>
      <c r="S40" s="205"/>
      <c r="T40" s="205"/>
      <c r="U40" s="205"/>
      <c r="V40" s="205"/>
      <c r="W40" s="205"/>
      <c r="X40" s="205"/>
      <c r="Y40" s="205"/>
      <c r="Z40" s="205"/>
    </row>
    <row r="41" spans="1:26" ht="18.75" x14ac:dyDescent="0.3">
      <c r="A41" s="207" t="s">
        <v>622</v>
      </c>
      <c r="C41" s="208"/>
      <c r="D41" s="208"/>
      <c r="E41" s="172"/>
      <c r="F41" s="208"/>
      <c r="G41" s="172"/>
      <c r="H41" s="172"/>
      <c r="I41" s="172"/>
      <c r="J41" s="209"/>
      <c r="K41" s="172"/>
      <c r="L41" s="210"/>
      <c r="M41" s="171" t="s">
        <v>587</v>
      </c>
      <c r="W41" s="211"/>
      <c r="Y41" s="211"/>
    </row>
    <row r="42" spans="1:26" ht="18.75" x14ac:dyDescent="0.3">
      <c r="A42" s="212" t="s">
        <v>623</v>
      </c>
      <c r="B42" s="127"/>
      <c r="C42" s="208"/>
      <c r="D42" s="208"/>
      <c r="E42" s="213"/>
      <c r="F42" s="208"/>
      <c r="G42" s="172"/>
      <c r="H42" s="172"/>
      <c r="I42" s="172"/>
      <c r="J42" s="209"/>
      <c r="K42" s="172"/>
      <c r="L42" s="210"/>
      <c r="M42" s="171"/>
    </row>
    <row r="43" spans="1:26" ht="18.75" x14ac:dyDescent="0.25">
      <c r="B43" s="214"/>
      <c r="C43" s="215"/>
      <c r="D43" s="215"/>
      <c r="E43" s="215"/>
      <c r="F43" s="215"/>
      <c r="G43" s="215"/>
      <c r="H43" s="215"/>
      <c r="I43" s="215"/>
      <c r="J43" s="216"/>
      <c r="K43" s="215"/>
      <c r="L43" s="214"/>
      <c r="M43" s="171"/>
    </row>
    <row r="44" spans="1:26" ht="18.75" x14ac:dyDescent="0.3">
      <c r="B44" s="217"/>
      <c r="C44" s="218"/>
      <c r="D44" s="218"/>
      <c r="E44" s="218"/>
      <c r="F44" s="219"/>
      <c r="G44" s="220"/>
      <c r="H44" s="220"/>
      <c r="I44" s="220"/>
      <c r="J44" s="221"/>
      <c r="K44" s="220"/>
      <c r="L44" s="217"/>
      <c r="M44" s="171"/>
    </row>
    <row r="45" spans="1:26" ht="18.75" x14ac:dyDescent="0.3">
      <c r="B45" s="217"/>
      <c r="C45" s="218"/>
      <c r="D45" s="218"/>
      <c r="E45" s="218"/>
      <c r="F45" s="219"/>
      <c r="G45" s="220"/>
      <c r="H45" s="220"/>
      <c r="I45" s="220"/>
      <c r="J45" s="221"/>
      <c r="K45" s="220"/>
      <c r="L45" s="217"/>
      <c r="M45" s="171"/>
    </row>
    <row r="46" spans="1:26" ht="18.75" x14ac:dyDescent="0.3">
      <c r="B46" s="217"/>
      <c r="C46" s="218"/>
      <c r="D46" s="218"/>
      <c r="E46" s="218"/>
      <c r="F46" s="219"/>
      <c r="G46" s="220"/>
      <c r="H46" s="220"/>
      <c r="I46" s="220"/>
      <c r="J46" s="221"/>
      <c r="K46" s="220"/>
      <c r="L46" s="217"/>
      <c r="M46" s="171"/>
    </row>
    <row r="47" spans="1:26" ht="18.75" x14ac:dyDescent="0.3">
      <c r="B47" s="217"/>
      <c r="C47" s="218"/>
      <c r="D47" s="218"/>
      <c r="E47" s="218"/>
      <c r="F47" s="219"/>
      <c r="G47" s="220"/>
      <c r="H47" s="220"/>
      <c r="I47" s="220"/>
      <c r="J47" s="221"/>
      <c r="K47" s="220"/>
      <c r="L47" s="217"/>
      <c r="M47" s="171"/>
    </row>
    <row r="48" spans="1:26" ht="18.75" x14ac:dyDescent="0.3">
      <c r="B48" s="217"/>
      <c r="C48" s="218"/>
      <c r="D48" s="218"/>
      <c r="E48" s="218"/>
      <c r="F48" s="219"/>
      <c r="G48" s="220"/>
      <c r="H48" s="220"/>
      <c r="I48" s="220"/>
      <c r="J48" s="221"/>
      <c r="K48" s="220"/>
      <c r="L48" s="217"/>
      <c r="M48" s="171"/>
    </row>
    <row r="49" spans="2:13" ht="18.75" x14ac:dyDescent="0.3">
      <c r="B49" s="217"/>
      <c r="C49" s="218"/>
      <c r="D49" s="218"/>
      <c r="E49" s="218"/>
      <c r="F49" s="219"/>
      <c r="G49" s="220"/>
      <c r="H49" s="220"/>
      <c r="I49" s="220"/>
      <c r="J49" s="221"/>
      <c r="K49" s="220"/>
      <c r="L49" s="217"/>
      <c r="M49" s="171"/>
    </row>
    <row r="50" spans="2:13" ht="18.75" x14ac:dyDescent="0.3">
      <c r="B50" s="217"/>
      <c r="C50" s="218"/>
      <c r="D50" s="218"/>
      <c r="E50" s="218"/>
      <c r="F50" s="219"/>
      <c r="G50" s="220"/>
      <c r="H50" s="220"/>
      <c r="I50" s="220"/>
      <c r="J50" s="221"/>
      <c r="K50" s="220"/>
      <c r="L50" s="217"/>
      <c r="M50" s="171"/>
    </row>
    <row r="51" spans="2:13" ht="18.75" x14ac:dyDescent="0.3">
      <c r="B51" s="217"/>
      <c r="C51" s="218"/>
      <c r="D51" s="218"/>
      <c r="E51" s="218"/>
      <c r="F51" s="219"/>
      <c r="G51" s="220"/>
      <c r="H51" s="220"/>
      <c r="I51" s="220"/>
      <c r="J51" s="221"/>
      <c r="K51" s="220"/>
      <c r="L51" s="217"/>
      <c r="M51" s="171"/>
    </row>
    <row r="52" spans="2:13" ht="18.75" x14ac:dyDescent="0.3">
      <c r="B52" s="217"/>
      <c r="C52" s="218"/>
      <c r="D52" s="218"/>
      <c r="E52" s="218"/>
      <c r="F52" s="219"/>
      <c r="G52" s="220"/>
      <c r="H52" s="220"/>
      <c r="I52" s="220"/>
      <c r="J52" s="221"/>
      <c r="K52" s="220"/>
      <c r="L52" s="217"/>
      <c r="M52" s="171"/>
    </row>
    <row r="53" spans="2:13" ht="18.75" x14ac:dyDescent="0.3">
      <c r="B53" s="217"/>
      <c r="C53" s="218"/>
      <c r="D53" s="218"/>
      <c r="E53" s="218"/>
      <c r="F53" s="219"/>
      <c r="G53" s="220"/>
      <c r="H53" s="220"/>
      <c r="I53" s="220"/>
      <c r="J53" s="221"/>
      <c r="K53" s="220"/>
      <c r="L53" s="217"/>
      <c r="M53" s="171"/>
    </row>
    <row r="54" spans="2:13" ht="18.75" x14ac:dyDescent="0.3">
      <c r="B54" s="217"/>
      <c r="C54" s="218"/>
      <c r="D54" s="218"/>
      <c r="E54" s="218"/>
      <c r="F54" s="219"/>
      <c r="G54" s="220"/>
      <c r="H54" s="220"/>
      <c r="I54" s="220"/>
      <c r="J54" s="221"/>
      <c r="K54" s="220"/>
      <c r="L54" s="217"/>
      <c r="M54" s="171"/>
    </row>
    <row r="55" spans="2:13" ht="18.75" x14ac:dyDescent="0.3">
      <c r="B55" s="217"/>
      <c r="C55" s="218"/>
      <c r="D55" s="218"/>
      <c r="E55" s="218"/>
      <c r="F55" s="219"/>
      <c r="G55" s="220"/>
      <c r="H55" s="220"/>
      <c r="I55" s="220"/>
      <c r="J55" s="221"/>
      <c r="K55" s="220"/>
      <c r="L55" s="217"/>
      <c r="M55" s="171"/>
    </row>
    <row r="56" spans="2:13" ht="18.75" x14ac:dyDescent="0.3">
      <c r="B56" s="222"/>
      <c r="C56" s="223"/>
      <c r="D56" s="223"/>
      <c r="E56" s="223"/>
      <c r="F56" s="223"/>
      <c r="G56" s="172"/>
      <c r="H56" s="172"/>
      <c r="I56" s="172"/>
      <c r="J56" s="209"/>
      <c r="K56" s="172"/>
      <c r="L56" s="222"/>
      <c r="M56" s="171"/>
    </row>
    <row r="57" spans="2:13" ht="18.75" x14ac:dyDescent="0.3">
      <c r="B57" s="224"/>
      <c r="C57" s="172"/>
      <c r="D57" s="172"/>
      <c r="E57" s="172"/>
      <c r="F57" s="172"/>
      <c r="G57" s="172"/>
      <c r="H57" s="172"/>
      <c r="I57" s="172"/>
      <c r="J57" s="209"/>
      <c r="K57" s="172"/>
      <c r="L57" s="224"/>
      <c r="M57" s="171"/>
    </row>
    <row r="58" spans="2:13" ht="18.75" x14ac:dyDescent="0.25">
      <c r="B58" s="214"/>
      <c r="C58" s="215"/>
      <c r="D58" s="215"/>
      <c r="E58" s="215"/>
      <c r="F58" s="215"/>
      <c r="G58" s="215"/>
      <c r="H58" s="215"/>
      <c r="I58" s="215"/>
      <c r="J58" s="216"/>
      <c r="K58" s="215"/>
      <c r="L58" s="214"/>
      <c r="M58" s="171"/>
    </row>
    <row r="59" spans="2:13" ht="18.75" x14ac:dyDescent="0.3">
      <c r="B59" s="210"/>
      <c r="C59" s="208"/>
      <c r="D59" s="208"/>
      <c r="E59" s="172"/>
      <c r="F59" s="208"/>
      <c r="G59" s="172"/>
      <c r="H59" s="172"/>
      <c r="I59" s="172"/>
      <c r="J59" s="209"/>
      <c r="K59" s="172"/>
      <c r="L59" s="210"/>
      <c r="M59" s="171"/>
    </row>
    <row r="60" spans="2:13" ht="18.75" x14ac:dyDescent="0.3">
      <c r="B60" s="210"/>
      <c r="C60" s="208"/>
      <c r="D60" s="208"/>
      <c r="E60" s="172"/>
      <c r="F60" s="208"/>
      <c r="G60" s="172"/>
      <c r="H60" s="172"/>
      <c r="I60" s="172"/>
      <c r="J60" s="209"/>
      <c r="K60" s="172"/>
      <c r="L60" s="210"/>
      <c r="M60" s="171"/>
    </row>
    <row r="61" spans="2:13" ht="18.75" x14ac:dyDescent="0.3">
      <c r="B61" s="210"/>
      <c r="C61" s="208"/>
      <c r="D61" s="208"/>
      <c r="E61" s="172"/>
      <c r="F61" s="208"/>
      <c r="G61" s="172"/>
      <c r="H61" s="172"/>
      <c r="I61" s="172"/>
      <c r="J61" s="209"/>
      <c r="K61" s="172"/>
      <c r="L61" s="210"/>
      <c r="M61" s="171"/>
    </row>
    <row r="62" spans="2:13" ht="18.75" x14ac:dyDescent="0.3">
      <c r="B62" s="210" t="s">
        <v>587</v>
      </c>
      <c r="C62" s="208"/>
      <c r="D62" s="208"/>
      <c r="E62" s="172"/>
      <c r="F62" s="208"/>
      <c r="G62" s="172"/>
      <c r="H62" s="172"/>
      <c r="I62" s="172"/>
      <c r="J62" s="209"/>
      <c r="K62" s="172"/>
      <c r="L62" s="210"/>
      <c r="M62" s="171"/>
    </row>
    <row r="63" spans="2:13" ht="18.75" x14ac:dyDescent="0.3">
      <c r="B63" s="210"/>
      <c r="C63" s="208"/>
      <c r="D63" s="208"/>
      <c r="E63" s="172"/>
      <c r="F63" s="208"/>
      <c r="G63" s="172"/>
      <c r="H63" s="172"/>
      <c r="I63" s="172"/>
      <c r="J63" s="209"/>
      <c r="K63" s="172"/>
      <c r="L63" s="210"/>
      <c r="M63" s="171"/>
    </row>
    <row r="64" spans="2:13" ht="18.75" x14ac:dyDescent="0.3">
      <c r="B64" s="210"/>
      <c r="C64" s="208"/>
      <c r="D64" s="208"/>
      <c r="E64" s="172"/>
      <c r="F64" s="208"/>
      <c r="G64" s="172"/>
      <c r="H64" s="172"/>
      <c r="I64" s="172"/>
      <c r="J64" s="209"/>
      <c r="K64" s="172"/>
      <c r="L64" s="210"/>
      <c r="M64" s="171"/>
    </row>
    <row r="65" spans="2:13" ht="18.75" x14ac:dyDescent="0.3">
      <c r="B65" s="210"/>
      <c r="C65" s="208"/>
      <c r="D65" s="208"/>
      <c r="E65" s="172"/>
      <c r="F65" s="208"/>
      <c r="G65" s="172"/>
      <c r="H65" s="172"/>
      <c r="I65" s="172"/>
      <c r="J65" s="209"/>
      <c r="K65" s="172"/>
      <c r="L65" s="210"/>
      <c r="M65" s="171"/>
    </row>
    <row r="66" spans="2:13" ht="18.75" x14ac:dyDescent="0.3">
      <c r="B66" s="224"/>
      <c r="C66" s="172"/>
      <c r="D66" s="172"/>
      <c r="E66" s="172"/>
      <c r="F66" s="172"/>
      <c r="G66" s="172"/>
      <c r="H66" s="172"/>
      <c r="I66" s="172"/>
      <c r="J66" s="209"/>
      <c r="K66" s="172"/>
      <c r="L66" s="224"/>
      <c r="M66" s="171"/>
    </row>
    <row r="67" spans="2:13" ht="18.75" x14ac:dyDescent="0.3">
      <c r="B67" s="224"/>
      <c r="C67" s="172"/>
      <c r="D67" s="172"/>
      <c r="E67" s="172"/>
      <c r="F67" s="172"/>
      <c r="G67" s="172"/>
      <c r="H67" s="172"/>
      <c r="I67" s="172"/>
      <c r="J67" s="209"/>
      <c r="K67" s="172"/>
      <c r="L67" s="224"/>
      <c r="M67" s="171"/>
    </row>
    <row r="68" spans="2:13" ht="18.75" x14ac:dyDescent="0.3">
      <c r="B68" s="224"/>
      <c r="C68" s="172"/>
      <c r="D68" s="172"/>
      <c r="E68" s="172"/>
      <c r="F68" s="172"/>
      <c r="G68" s="172"/>
      <c r="H68" s="172"/>
      <c r="I68" s="172"/>
      <c r="J68" s="209"/>
      <c r="K68" s="172"/>
      <c r="L68" s="224"/>
      <c r="M68" s="171"/>
    </row>
    <row r="69" spans="2:13" ht="18.75" x14ac:dyDescent="0.3">
      <c r="B69" s="224"/>
      <c r="C69" s="172"/>
      <c r="D69" s="172"/>
      <c r="E69" s="172"/>
      <c r="F69" s="172"/>
      <c r="G69" s="172"/>
      <c r="H69" s="172"/>
      <c r="I69" s="172"/>
      <c r="J69" s="209"/>
      <c r="K69" s="172"/>
      <c r="L69" s="224"/>
      <c r="M69" s="171"/>
    </row>
  </sheetData>
  <mergeCells count="20">
    <mergeCell ref="A2:K2"/>
    <mergeCell ref="A3:K3"/>
    <mergeCell ref="A4:K4"/>
    <mergeCell ref="E5:F5"/>
    <mergeCell ref="A8:B8"/>
    <mergeCell ref="C8:D8"/>
    <mergeCell ref="E8:F8"/>
    <mergeCell ref="G8:H8"/>
    <mergeCell ref="I8:J8"/>
    <mergeCell ref="K8:L8"/>
    <mergeCell ref="Y8:Z8"/>
    <mergeCell ref="A14:B14"/>
    <mergeCell ref="A38:B38"/>
    <mergeCell ref="A39:B39"/>
    <mergeCell ref="M8:N8"/>
    <mergeCell ref="O8:P8"/>
    <mergeCell ref="Q8:R8"/>
    <mergeCell ref="S8:T8"/>
    <mergeCell ref="U8:V8"/>
    <mergeCell ref="W8:X8"/>
  </mergeCells>
  <pageMargins left="0.7" right="0.7" top="0.75" bottom="0.75" header="0.3" footer="0.3"/>
  <pageSetup scale="98" orientation="portrait" r:id="rId1"/>
  <rowBreaks count="1" manualBreakCount="1">
    <brk id="39" max="16383" man="1"/>
  </rowBreaks>
  <colBreaks count="1" manualBreakCount="1">
    <brk id="11" max="61" man="1"/>
  </col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F12" sqref="F12"/>
    </sheetView>
  </sheetViews>
  <sheetFormatPr baseColWidth="10" defaultRowHeight="15" x14ac:dyDescent="0.25"/>
  <cols>
    <col min="1" max="1" width="27.7109375" customWidth="1"/>
    <col min="2" max="2" width="17.5703125" customWidth="1"/>
    <col min="3" max="3" width="17.85546875" bestFit="1" customWidth="1"/>
    <col min="4" max="4" width="18.5703125" customWidth="1"/>
    <col min="5" max="5" width="20.140625" customWidth="1"/>
  </cols>
  <sheetData>
    <row r="1" spans="1:6" ht="22.5" x14ac:dyDescent="0.3">
      <c r="A1" s="512" t="s">
        <v>624</v>
      </c>
      <c r="B1" s="512"/>
      <c r="C1" s="512"/>
      <c r="D1" s="512"/>
      <c r="E1" s="512"/>
      <c r="F1" s="512"/>
    </row>
    <row r="2" spans="1:6" ht="22.5" x14ac:dyDescent="0.3">
      <c r="A2" s="527" t="s">
        <v>564</v>
      </c>
      <c r="B2" s="527"/>
      <c r="C2" s="527"/>
      <c r="D2" s="527"/>
      <c r="E2" s="527"/>
    </row>
    <row r="3" spans="1:6" ht="22.5" x14ac:dyDescent="0.3">
      <c r="A3" s="528" t="s">
        <v>625</v>
      </c>
      <c r="B3" s="528"/>
      <c r="C3" s="528"/>
      <c r="D3" s="528"/>
      <c r="E3" s="528"/>
    </row>
    <row r="4" spans="1:6" ht="18.75" x14ac:dyDescent="0.25">
      <c r="A4" s="225" t="s">
        <v>626</v>
      </c>
      <c r="B4" s="225" t="s">
        <v>627</v>
      </c>
      <c r="C4" s="225" t="s">
        <v>602</v>
      </c>
      <c r="D4" s="225" t="s">
        <v>628</v>
      </c>
      <c r="E4" s="225" t="s">
        <v>72</v>
      </c>
    </row>
    <row r="5" spans="1:6" ht="15.75" x14ac:dyDescent="0.25">
      <c r="A5" s="226" t="s">
        <v>645</v>
      </c>
      <c r="B5" s="227">
        <v>6775024.8700000001</v>
      </c>
      <c r="C5" s="228">
        <v>5902831.21</v>
      </c>
      <c r="D5" s="228">
        <v>102835</v>
      </c>
      <c r="E5" s="275">
        <f t="shared" ref="E5:E11" si="0">+D5/C5</f>
        <v>1.7421301125091802E-2</v>
      </c>
    </row>
    <row r="6" spans="1:6" ht="15.75" x14ac:dyDescent="0.25">
      <c r="A6" s="226" t="s">
        <v>646</v>
      </c>
      <c r="B6" s="229">
        <v>9928728.9100000001</v>
      </c>
      <c r="C6" s="228">
        <v>9338924.6199999992</v>
      </c>
      <c r="D6" s="229">
        <f>147829.22+68679.07+4547.79</f>
        <v>221056.08000000002</v>
      </c>
      <c r="E6" s="275">
        <f t="shared" si="0"/>
        <v>2.3670399858094156E-2</v>
      </c>
    </row>
    <row r="7" spans="1:6" ht="15.75" x14ac:dyDescent="0.25">
      <c r="A7" s="226" t="s">
        <v>524</v>
      </c>
      <c r="B7" s="229">
        <v>7643032.2199999997</v>
      </c>
      <c r="C7" s="228">
        <v>7825280.6500000004</v>
      </c>
      <c r="D7" s="229">
        <v>99442.51</v>
      </c>
      <c r="E7" s="275">
        <f t="shared" si="0"/>
        <v>1.2707852209747902E-2</v>
      </c>
    </row>
    <row r="8" spans="1:6" ht="15.75" x14ac:dyDescent="0.25">
      <c r="A8" s="226" t="s">
        <v>523</v>
      </c>
      <c r="B8" s="229">
        <v>6994829.1200000001</v>
      </c>
      <c r="C8" s="229">
        <v>6892064.790000001</v>
      </c>
      <c r="D8" s="229">
        <v>68054</v>
      </c>
      <c r="E8" s="275">
        <f t="shared" si="0"/>
        <v>9.8742542436255874E-3</v>
      </c>
    </row>
    <row r="9" spans="1:6" ht="15.75" x14ac:dyDescent="0.25">
      <c r="A9" s="226" t="s">
        <v>522</v>
      </c>
      <c r="B9" s="231">
        <v>7347874.0899999999</v>
      </c>
      <c r="C9" s="231">
        <v>7518709.1100000013</v>
      </c>
      <c r="D9" s="229">
        <f>47721.02+68532.2</f>
        <v>116253.22</v>
      </c>
      <c r="E9" s="275">
        <f t="shared" si="0"/>
        <v>1.5461858983928689E-2</v>
      </c>
    </row>
    <row r="10" spans="1:6" ht="15.75" x14ac:dyDescent="0.25">
      <c r="A10" s="226" t="s">
        <v>521</v>
      </c>
      <c r="B10" s="231">
        <v>9385616.4299999997</v>
      </c>
      <c r="C10" s="231">
        <v>4055211.4400000004</v>
      </c>
      <c r="D10" s="229">
        <v>67756.320000000007</v>
      </c>
      <c r="E10" s="275">
        <f t="shared" si="0"/>
        <v>1.6708455527537178E-2</v>
      </c>
    </row>
    <row r="11" spans="1:6" ht="15.75" x14ac:dyDescent="0.25">
      <c r="A11" s="226" t="s">
        <v>520</v>
      </c>
      <c r="B11" s="231">
        <v>9418657.9499999993</v>
      </c>
      <c r="C11" s="231">
        <v>10942138.619999999</v>
      </c>
      <c r="D11" s="229">
        <v>116253.22</v>
      </c>
      <c r="E11" s="275">
        <f t="shared" si="0"/>
        <v>1.0624360011991879E-2</v>
      </c>
    </row>
    <row r="12" spans="1:6" ht="15.75" x14ac:dyDescent="0.25">
      <c r="A12" s="226" t="s">
        <v>519</v>
      </c>
      <c r="B12" s="231"/>
      <c r="C12" s="231"/>
      <c r="D12" s="229"/>
      <c r="E12" s="230"/>
    </row>
    <row r="13" spans="1:6" ht="15.75" x14ac:dyDescent="0.25">
      <c r="A13" s="226" t="s">
        <v>518</v>
      </c>
      <c r="B13" s="231"/>
      <c r="C13" s="231"/>
      <c r="D13" s="229"/>
      <c r="E13" s="230"/>
    </row>
    <row r="14" spans="1:6" ht="15.75" x14ac:dyDescent="0.25">
      <c r="A14" s="226" t="s">
        <v>647</v>
      </c>
      <c r="B14" s="231"/>
      <c r="C14" s="231"/>
      <c r="D14" s="229"/>
      <c r="E14" s="230"/>
    </row>
    <row r="15" spans="1:6" ht="15.75" x14ac:dyDescent="0.25">
      <c r="A15" s="226" t="s">
        <v>516</v>
      </c>
      <c r="B15" s="231"/>
      <c r="C15" s="231"/>
      <c r="D15" s="229"/>
      <c r="E15" s="230"/>
    </row>
    <row r="16" spans="1:6" ht="15.75" x14ac:dyDescent="0.25">
      <c r="A16" s="226" t="s">
        <v>515</v>
      </c>
      <c r="B16" s="231"/>
      <c r="C16" s="231"/>
      <c r="D16" s="229"/>
      <c r="E16" s="230"/>
    </row>
    <row r="17" spans="1:5" ht="18.75" x14ac:dyDescent="0.3">
      <c r="A17" s="232" t="s">
        <v>348</v>
      </c>
      <c r="B17" s="233">
        <f>SUM(B5:B13)</f>
        <v>57493763.590000004</v>
      </c>
      <c r="C17" s="233">
        <f>SUM(C5:C13)</f>
        <v>52475160.43999999</v>
      </c>
      <c r="D17" s="233">
        <f>SUM(D5:D13)</f>
        <v>791650.35000000009</v>
      </c>
      <c r="E17" s="276">
        <f>+D17/C17</f>
        <v>1.5086192083303333E-2</v>
      </c>
    </row>
    <row r="18" spans="1:5" ht="15.75" x14ac:dyDescent="0.25">
      <c r="A18" s="234"/>
      <c r="B18" s="235"/>
      <c r="C18" s="235"/>
      <c r="D18" s="235"/>
      <c r="E18" s="236"/>
    </row>
    <row r="19" spans="1:5" ht="15.75" x14ac:dyDescent="0.25">
      <c r="A19" s="207" t="s">
        <v>622</v>
      </c>
      <c r="B19" s="235"/>
      <c r="C19" s="235"/>
      <c r="D19" s="235"/>
      <c r="E19" s="236"/>
    </row>
    <row r="20" spans="1:5" ht="15.75" x14ac:dyDescent="0.25">
      <c r="A20" s="212" t="s">
        <v>623</v>
      </c>
      <c r="B20" s="235"/>
      <c r="C20" s="235"/>
      <c r="D20" s="235"/>
      <c r="E20" s="236"/>
    </row>
  </sheetData>
  <mergeCells count="3">
    <mergeCell ref="A1:F1"/>
    <mergeCell ref="A2:E2"/>
    <mergeCell ref="A3:E3"/>
  </mergeCells>
  <phoneticPr fontId="44" type="noConversion"/>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E461BEBD7864249BC2DAFCF9B0D2171" ma:contentTypeVersion="18" ma:contentTypeDescription="Create a new document." ma:contentTypeScope="" ma:versionID="0418eb84561f3acecd0bb14054beae6f">
  <xsd:schema xmlns:xsd="http://www.w3.org/2001/XMLSchema" xmlns:xs="http://www.w3.org/2001/XMLSchema" xmlns:p="http://schemas.microsoft.com/office/2006/metadata/properties" xmlns:ns1="http://schemas.microsoft.com/sharepoint/v3" xmlns:ns3="07c79e06-4b95-4bd7-9f70-1708916ba346" xmlns:ns4="66a0fbff-63c5-42e0-aeb3-a526626be49b" targetNamespace="http://schemas.microsoft.com/office/2006/metadata/properties" ma:root="true" ma:fieldsID="1d40ef237af0aaa82bdf647cdff22c06" ns1:_="" ns3:_="" ns4:_="">
    <xsd:import namespace="http://schemas.microsoft.com/sharepoint/v3"/>
    <xsd:import namespace="07c79e06-4b95-4bd7-9f70-1708916ba346"/>
    <xsd:import namespace="66a0fbff-63c5-42e0-aeb3-a526626be4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_activity" minOccurs="0"/>
                <xsd:element ref="ns3:MediaServiceObjectDetectorVersions" minOccurs="0"/>
                <xsd:element ref="ns3:MediaLengthInSeconds" minOccurs="0"/>
                <xsd:element ref="ns1:_ip_UnifiedCompliancePolicyProperties" minOccurs="0"/>
                <xsd:element ref="ns1:_ip_UnifiedCompliancePolicyUIAc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c79e06-4b95-4bd7-9f70-1708916ba3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a0fbff-63c5-42e0-aeb3-a526626be4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07c79e06-4b95-4bd7-9f70-1708916ba346"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B2E94C1-626A-4224-9E7A-67B5210E3548}">
  <ds:schemaRefs>
    <ds:schemaRef ds:uri="http://schemas.microsoft.com/sharepoint/v3/contenttype/forms"/>
  </ds:schemaRefs>
</ds:datastoreItem>
</file>

<file path=customXml/itemProps2.xml><?xml version="1.0" encoding="utf-8"?>
<ds:datastoreItem xmlns:ds="http://schemas.openxmlformats.org/officeDocument/2006/customXml" ds:itemID="{99D16FF3-4C7A-43B0-81F3-BFC2D81C5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7c79e06-4b95-4bd7-9f70-1708916ba346"/>
    <ds:schemaRef ds:uri="66a0fbff-63c5-42e0-aeb3-a526626be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2CB089-94A8-429F-A92D-B88DDF68251D}">
  <ds:schemaRefs>
    <ds:schemaRef ds:uri="http://purl.org/dc/terms/"/>
    <ds:schemaRef ds:uri="http://purl.org/dc/dcmitype/"/>
    <ds:schemaRef ds:uri="http://schemas.microsoft.com/office/2006/metadata/properties"/>
    <ds:schemaRef ds:uri="66a0fbff-63c5-42e0-aeb3-a526626be49b"/>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07c79e06-4b95-4bd7-9f70-1708916ba346"/>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4</vt:i4>
      </vt:variant>
    </vt:vector>
  </HeadingPairs>
  <TitlesOfParts>
    <vt:vector size="19" baseType="lpstr">
      <vt:lpstr>RELACION DE PAGOS EMITIDOS</vt:lpstr>
      <vt:lpstr>RELACION ORDENES DE COMPRAS</vt:lpstr>
      <vt:lpstr>CUENTA T VS</vt:lpstr>
      <vt:lpstr>CUENTA T FONDO 100</vt:lpstr>
      <vt:lpstr>CONS. FUENTES FINAN</vt:lpstr>
      <vt:lpstr>GASTOS X ATENCION</vt:lpstr>
      <vt:lpstr>PLANTILLA PRESUPUESTO</vt:lpstr>
      <vt:lpstr>TRANSFERENCIA CORRIENTE</vt:lpstr>
      <vt:lpstr>VS</vt:lpstr>
      <vt:lpstr>OBLIGACIONES PENDIENTES</vt:lpstr>
      <vt:lpstr>INGR SEGUN ORIGEN</vt:lpstr>
      <vt:lpstr>DEUDA</vt:lpstr>
      <vt:lpstr>Hoja1</vt:lpstr>
      <vt:lpstr>INGRESOS POR A.R.S</vt:lpstr>
      <vt:lpstr>GLOSA</vt:lpstr>
      <vt:lpstr>'CONS. FUENTES FINAN'!Área_de_impresión</vt:lpstr>
      <vt:lpstr>DEUDA!Área_de_impresión</vt:lpstr>
      <vt:lpstr>'INGR SEGUN ORIGEN'!Área_de_impresión</vt:lpstr>
      <vt:lpstr>'RELACION DE PAGOS EMITIDOS'!Área_de_impresión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Mayelin Mendez</dc:creator>
  <cp:lastModifiedBy>contabilidad</cp:lastModifiedBy>
  <cp:lastPrinted>2025-08-05T17:49:32Z</cp:lastPrinted>
  <dcterms:created xsi:type="dcterms:W3CDTF">2021-03-19T19:51:23Z</dcterms:created>
  <dcterms:modified xsi:type="dcterms:W3CDTF">2025-09-12T12:51:24Z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0x0101005E461BEBD7864249BC2DAFCF9B0D2171</vt:lpwstr>
  </property>
</Properties>
</file>
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NOVIEMBRE 2025\"/>
    </mc:Choice>
  </mc:AlternateContent>
  <xr:revisionPtr revIDLastSave="0" documentId="13_ncr:1_{EE24386B-4112-42AC-BBEA-3C572B11B273}" xr6:coauthVersionLast="47" xr6:coauthVersionMax="47" xr10:uidLastSave="{00000000-0000-0000-0000-000000000000}"/>
  <bookViews>
    <workbookView xWindow="-120" yWindow="-120" windowWidth="24240" windowHeight="13140" tabRatio="878" xr2:uid="{00000000-000D-0000-FFFF-FFFF00000000}"/>
  </bookViews>
  <sheets>
    <sheet name="RELACION DE PAGOS EMITIDOS" sheetId="14" r:id="rId1"/>
    <sheet name="RELACION ORDENES DE COMPRAS" sheetId="15" r:id="rId2"/>
    <sheet name="CONS. FUENTES FINAN" sheetId="4" r:id="rId3"/>
    <sheet name="CUENTA T FONDO 100" sheetId="13" r:id="rId4"/>
    <sheet name="CUENTA T VS" sheetId="1" r:id="rId5"/>
    <sheet name="GASTOS X ATENCION" sheetId="6" r:id="rId6"/>
    <sheet name="PLANTILLA PRESUPUESTO" sheetId="18" r:id="rId7"/>
    <sheet name="Sheet2" sheetId="27" state="hidden" r:id="rId8"/>
    <sheet name="TRANSFERENCIA CORRIENTE" sheetId="16" r:id="rId9"/>
    <sheet name="VS" sheetId="17" r:id="rId10"/>
    <sheet name="OBLIGACIONES PENDIENTES" sheetId="19" r:id="rId11"/>
    <sheet name="INGR SEGUN ORIGEN" sheetId="25" r:id="rId12"/>
    <sheet name="Sheet1" sheetId="26" state="hidden" r:id="rId13"/>
    <sheet name="DEUDA" sheetId="23" r:id="rId14"/>
    <sheet name="INGRESOS POR A.R.S" sheetId="21" r:id="rId15"/>
    <sheet name="GLOSA" sheetId="22" r:id="rId16"/>
  </sheets>
  <definedNames>
    <definedName name="_xlnm._FilterDatabase" localSheetId="2" hidden="1">'CONS. FUENTES FINAN'!$A$27:$J$501</definedName>
    <definedName name="_Hlk211416489" localSheetId="0">'RELACION DE PAGOS EMITIDOS'!#REF!</definedName>
    <definedName name="_xlnm.Print_Area" localSheetId="2">'CONS. FUENTES FINAN'!$A$1:$J$501</definedName>
    <definedName name="_xlnm.Print_Area" localSheetId="15">GLOSA!$A$1:$E$20</definedName>
    <definedName name="_xlnm.Print_Area" localSheetId="11">'INGR SEGUN ORIGEN'!$A$1:$E$63</definedName>
    <definedName name="_xlnm.Print_Area" localSheetId="0">'RELACION DE PAGOS EMITIDOS'!$A$1:$H$135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7" i="23" l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J46" i="23" l="1"/>
  <c r="K46" i="23" l="1"/>
  <c r="L46" i="23"/>
  <c r="M46" i="23"/>
  <c r="N46" i="23"/>
  <c r="O46" i="23"/>
  <c r="P46" i="23"/>
  <c r="Q46" i="23"/>
  <c r="R46" i="23"/>
  <c r="S46" i="23"/>
  <c r="T46" i="23"/>
  <c r="U46" i="23"/>
  <c r="V46" i="23"/>
  <c r="W7" i="23"/>
  <c r="W8" i="23"/>
  <c r="W9" i="23"/>
  <c r="W10" i="23"/>
  <c r="W11" i="23"/>
  <c r="W12" i="23"/>
  <c r="W13" i="23"/>
  <c r="W14" i="23"/>
  <c r="W15" i="23"/>
  <c r="W16" i="23"/>
  <c r="W17" i="23"/>
  <c r="W18" i="23"/>
  <c r="W19" i="23"/>
  <c r="W20" i="23"/>
  <c r="W21" i="23"/>
  <c r="W22" i="23"/>
  <c r="W23" i="23"/>
  <c r="W24" i="23"/>
  <c r="W25" i="23"/>
  <c r="W26" i="23"/>
  <c r="W27" i="23"/>
  <c r="W28" i="23"/>
  <c r="W29" i="23"/>
  <c r="W30" i="23"/>
  <c r="W31" i="23"/>
  <c r="W32" i="23"/>
  <c r="W33" i="23"/>
  <c r="W34" i="23"/>
  <c r="W35" i="23"/>
  <c r="W36" i="23"/>
  <c r="W37" i="23"/>
  <c r="W38" i="23"/>
  <c r="W39" i="23"/>
  <c r="W40" i="23"/>
  <c r="W41" i="23"/>
  <c r="W42" i="23"/>
  <c r="W43" i="23"/>
  <c r="W44" i="23"/>
  <c r="W45" i="23"/>
  <c r="W6" i="23"/>
  <c r="W46" i="23" l="1"/>
  <c r="G16" i="4"/>
  <c r="E9" i="25"/>
  <c r="E15" i="22"/>
  <c r="X38" i="21"/>
  <c r="X15" i="21"/>
  <c r="X10" i="21"/>
  <c r="D12" i="19"/>
  <c r="D13" i="19"/>
  <c r="E42" i="25"/>
  <c r="E35" i="25"/>
  <c r="W14" i="21" l="1"/>
  <c r="W38" i="21"/>
  <c r="W15" i="21"/>
  <c r="C85" i="17" l="1"/>
  <c r="D85" i="17"/>
  <c r="E85" i="17"/>
  <c r="F85" i="17"/>
  <c r="G85" i="17"/>
  <c r="H85" i="17"/>
  <c r="I85" i="17"/>
  <c r="J85" i="17"/>
  <c r="K85" i="17"/>
  <c r="L85" i="17"/>
  <c r="M85" i="17"/>
  <c r="N85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B73" i="17"/>
  <c r="B9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B51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B35" i="17"/>
  <c r="C25" i="17"/>
  <c r="D25" i="17"/>
  <c r="E25" i="17"/>
  <c r="F25" i="17"/>
  <c r="G25" i="17"/>
  <c r="H25" i="17"/>
  <c r="I25" i="17"/>
  <c r="J25" i="17"/>
  <c r="K25" i="17"/>
  <c r="L25" i="17"/>
  <c r="M25" i="17"/>
  <c r="B25" i="17"/>
  <c r="B16" i="17"/>
  <c r="B17" i="17"/>
  <c r="B18" i="17"/>
  <c r="B19" i="17"/>
  <c r="B20" i="17"/>
  <c r="B21" i="17"/>
  <c r="B22" i="17"/>
  <c r="B23" i="17"/>
  <c r="B24" i="17"/>
  <c r="B15" i="17"/>
  <c r="M69" i="17"/>
  <c r="M66" i="17"/>
  <c r="M61" i="17"/>
  <c r="M9" i="17"/>
  <c r="M15" i="17"/>
  <c r="C73" i="16"/>
  <c r="D73" i="16"/>
  <c r="E73" i="16"/>
  <c r="F73" i="16"/>
  <c r="G73" i="16"/>
  <c r="H73" i="16"/>
  <c r="I73" i="16"/>
  <c r="J73" i="16"/>
  <c r="K73" i="16"/>
  <c r="L73" i="16"/>
  <c r="M73" i="16"/>
  <c r="N73" i="16"/>
  <c r="B52" i="16"/>
  <c r="B53" i="16"/>
  <c r="B54" i="16"/>
  <c r="B55" i="16"/>
  <c r="B56" i="16"/>
  <c r="B57" i="16"/>
  <c r="B58" i="16"/>
  <c r="B59" i="16"/>
  <c r="B60" i="16"/>
  <c r="B51" i="16"/>
  <c r="E51" i="16"/>
  <c r="F51" i="16"/>
  <c r="G51" i="16"/>
  <c r="H51" i="16"/>
  <c r="I51" i="16"/>
  <c r="J51" i="16"/>
  <c r="K51" i="16"/>
  <c r="L51" i="16"/>
  <c r="M51" i="16"/>
  <c r="N51" i="16"/>
  <c r="D51" i="16"/>
  <c r="B25" i="16"/>
  <c r="B26" i="16"/>
  <c r="B10" i="16"/>
  <c r="B24" i="16"/>
  <c r="B23" i="16"/>
  <c r="B22" i="16"/>
  <c r="B21" i="16"/>
  <c r="B20" i="16"/>
  <c r="B19" i="16"/>
  <c r="B18" i="16"/>
  <c r="B17" i="16"/>
  <c r="B16" i="16"/>
  <c r="B34" i="16"/>
  <c r="B33" i="16"/>
  <c r="B32" i="16"/>
  <c r="B31" i="16"/>
  <c r="B30" i="16"/>
  <c r="B29" i="16"/>
  <c r="B28" i="16"/>
  <c r="B27" i="16"/>
  <c r="D25" i="16"/>
  <c r="E25" i="16"/>
  <c r="F25" i="16"/>
  <c r="G25" i="16"/>
  <c r="H25" i="16"/>
  <c r="I25" i="16"/>
  <c r="J25" i="16"/>
  <c r="K25" i="16"/>
  <c r="L25" i="16"/>
  <c r="M25" i="16"/>
  <c r="N25" i="16"/>
  <c r="C25" i="16"/>
  <c r="B15" i="16"/>
  <c r="B11" i="16"/>
  <c r="B12" i="16"/>
  <c r="B13" i="16"/>
  <c r="B14" i="16"/>
  <c r="M15" i="16"/>
  <c r="M9" i="16"/>
  <c r="C134" i="14"/>
  <c r="C132" i="14"/>
  <c r="G128" i="14"/>
  <c r="JI80" i="13"/>
  <c r="JI58" i="1"/>
  <c r="JL5" i="1"/>
  <c r="JL6" i="1"/>
  <c r="JL7" i="1"/>
  <c r="JL8" i="1"/>
  <c r="JL9" i="1"/>
  <c r="JL10" i="1"/>
  <c r="JL11" i="1"/>
  <c r="JL12" i="1"/>
  <c r="JL13" i="1"/>
  <c r="JL14" i="1"/>
  <c r="JL15" i="1"/>
  <c r="JL16" i="1"/>
  <c r="JL17" i="1"/>
  <c r="JL18" i="1"/>
  <c r="JL19" i="1"/>
  <c r="JL20" i="1"/>
  <c r="JL21" i="1"/>
  <c r="JL22" i="1"/>
  <c r="JL23" i="1"/>
  <c r="JL24" i="1"/>
  <c r="JL25" i="1"/>
  <c r="JL26" i="1"/>
  <c r="JL27" i="1"/>
  <c r="JL29" i="1"/>
  <c r="JL30" i="1"/>
  <c r="JL31" i="1"/>
  <c r="JL32" i="1"/>
  <c r="JL33" i="1"/>
  <c r="JL34" i="1"/>
  <c r="JL35" i="1"/>
  <c r="JL36" i="1"/>
  <c r="JL37" i="1"/>
  <c r="JL38" i="1"/>
  <c r="JL39" i="1"/>
  <c r="JL40" i="1"/>
  <c r="JL41" i="1"/>
  <c r="JL42" i="1"/>
  <c r="JL43" i="1"/>
  <c r="JL44" i="1"/>
  <c r="JL45" i="1"/>
  <c r="JL46" i="1"/>
  <c r="JL47" i="1"/>
  <c r="JL48" i="1"/>
  <c r="JL49" i="1"/>
  <c r="JL50" i="1"/>
  <c r="JL51" i="1"/>
  <c r="JL52" i="1"/>
  <c r="JL53" i="1"/>
  <c r="JL54" i="1"/>
  <c r="JL55" i="1"/>
  <c r="JL56" i="1"/>
  <c r="JL3" i="1"/>
  <c r="JI4" i="1"/>
  <c r="JL4" i="1" s="1"/>
  <c r="JI5" i="1"/>
  <c r="JI6" i="1"/>
  <c r="JI7" i="1"/>
  <c r="JI8" i="1"/>
  <c r="JI9" i="1"/>
  <c r="JI10" i="1"/>
  <c r="JI11" i="1"/>
  <c r="JI12" i="1"/>
  <c r="JI13" i="1"/>
  <c r="JI14" i="1"/>
  <c r="JI15" i="1"/>
  <c r="JI16" i="1"/>
  <c r="JI17" i="1"/>
  <c r="JI18" i="1"/>
  <c r="JI19" i="1"/>
  <c r="JI20" i="1"/>
  <c r="JI21" i="1"/>
  <c r="JI22" i="1"/>
  <c r="JI23" i="1"/>
  <c r="JI24" i="1"/>
  <c r="JI25" i="1"/>
  <c r="JI26" i="1"/>
  <c r="JI27" i="1"/>
  <c r="JI28" i="1"/>
  <c r="JL28" i="1" s="1"/>
  <c r="JI29" i="1"/>
  <c r="JI30" i="1"/>
  <c r="JI31" i="1"/>
  <c r="JI32" i="1"/>
  <c r="JI33" i="1"/>
  <c r="JI34" i="1"/>
  <c r="JI35" i="1"/>
  <c r="JI36" i="1"/>
  <c r="JI37" i="1"/>
  <c r="JI38" i="1"/>
  <c r="JI39" i="1"/>
  <c r="JI40" i="1"/>
  <c r="JI41" i="1"/>
  <c r="JI42" i="1"/>
  <c r="JI43" i="1"/>
  <c r="JI44" i="1"/>
  <c r="JI45" i="1"/>
  <c r="JI46" i="1"/>
  <c r="JI3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EU58" i="1"/>
  <c r="EV58" i="1"/>
  <c r="EW58" i="1"/>
  <c r="EX58" i="1"/>
  <c r="EY58" i="1"/>
  <c r="EZ58" i="1"/>
  <c r="FA58" i="1"/>
  <c r="FB58" i="1"/>
  <c r="FC58" i="1"/>
  <c r="FD58" i="1"/>
  <c r="FE58" i="1"/>
  <c r="FF58" i="1"/>
  <c r="FG58" i="1"/>
  <c r="FH58" i="1"/>
  <c r="FI58" i="1"/>
  <c r="FJ58" i="1"/>
  <c r="FK58" i="1"/>
  <c r="FL58" i="1"/>
  <c r="FM58" i="1"/>
  <c r="FN58" i="1"/>
  <c r="FO58" i="1"/>
  <c r="FP58" i="1"/>
  <c r="FQ58" i="1"/>
  <c r="FR58" i="1"/>
  <c r="FS58" i="1"/>
  <c r="FT58" i="1"/>
  <c r="FU58" i="1"/>
  <c r="FV58" i="1"/>
  <c r="FW58" i="1"/>
  <c r="FX58" i="1"/>
  <c r="FY58" i="1"/>
  <c r="FZ58" i="1"/>
  <c r="GA58" i="1"/>
  <c r="GB58" i="1"/>
  <c r="GC58" i="1"/>
  <c r="GD58" i="1"/>
  <c r="GE58" i="1"/>
  <c r="GF58" i="1"/>
  <c r="GG58" i="1"/>
  <c r="GH58" i="1"/>
  <c r="GI58" i="1"/>
  <c r="GJ58" i="1"/>
  <c r="GK58" i="1"/>
  <c r="GL58" i="1"/>
  <c r="GM58" i="1"/>
  <c r="GN58" i="1"/>
  <c r="GO58" i="1"/>
  <c r="GP58" i="1"/>
  <c r="GQ58" i="1"/>
  <c r="GR58" i="1"/>
  <c r="GS58" i="1"/>
  <c r="GT58" i="1"/>
  <c r="GU58" i="1"/>
  <c r="GV58" i="1"/>
  <c r="GW58" i="1"/>
  <c r="GX58" i="1"/>
  <c r="GY58" i="1"/>
  <c r="GZ58" i="1"/>
  <c r="HA58" i="1"/>
  <c r="HB58" i="1"/>
  <c r="HC58" i="1"/>
  <c r="HD58" i="1"/>
  <c r="HE58" i="1"/>
  <c r="HF58" i="1"/>
  <c r="HG58" i="1"/>
  <c r="HH58" i="1"/>
  <c r="HI58" i="1"/>
  <c r="HJ58" i="1"/>
  <c r="HK58" i="1"/>
  <c r="HL58" i="1"/>
  <c r="HM58" i="1"/>
  <c r="HN58" i="1"/>
  <c r="HO58" i="1"/>
  <c r="HP58" i="1"/>
  <c r="HQ58" i="1"/>
  <c r="HR58" i="1"/>
  <c r="HS58" i="1"/>
  <c r="HT58" i="1"/>
  <c r="HU58" i="1"/>
  <c r="HV58" i="1"/>
  <c r="HW58" i="1"/>
  <c r="HX58" i="1"/>
  <c r="HY58" i="1"/>
  <c r="HZ58" i="1"/>
  <c r="IA58" i="1"/>
  <c r="IB58" i="1"/>
  <c r="IC58" i="1"/>
  <c r="ID58" i="1"/>
  <c r="IE58" i="1"/>
  <c r="IF58" i="1"/>
  <c r="IG58" i="1"/>
  <c r="IH58" i="1"/>
  <c r="II58" i="1"/>
  <c r="IJ58" i="1"/>
  <c r="IK58" i="1"/>
  <c r="IL58" i="1"/>
  <c r="IM58" i="1"/>
  <c r="IN58" i="1"/>
  <c r="IO58" i="1"/>
  <c r="IP58" i="1"/>
  <c r="IQ58" i="1"/>
  <c r="IR58" i="1"/>
  <c r="IS58" i="1"/>
  <c r="IT58" i="1"/>
  <c r="IU58" i="1"/>
  <c r="IV58" i="1"/>
  <c r="IW58" i="1"/>
  <c r="IX58" i="1"/>
  <c r="IY58" i="1"/>
  <c r="IZ58" i="1"/>
  <c r="JA58" i="1"/>
  <c r="JB58" i="1"/>
  <c r="JC58" i="1"/>
  <c r="JD58" i="1"/>
  <c r="JE58" i="1"/>
  <c r="JF58" i="1"/>
  <c r="JG58" i="1"/>
  <c r="JH58" i="1"/>
  <c r="A58" i="1"/>
  <c r="JI79" i="13"/>
  <c r="B80" i="13"/>
  <c r="C80" i="13"/>
  <c r="D80" i="13"/>
  <c r="E80" i="13"/>
  <c r="F80" i="13"/>
  <c r="G80" i="13"/>
  <c r="H80" i="13"/>
  <c r="I80" i="13"/>
  <c r="J80" i="13"/>
  <c r="K80" i="13"/>
  <c r="L80" i="13"/>
  <c r="M80" i="13"/>
  <c r="N80" i="13"/>
  <c r="O80" i="13"/>
  <c r="P80" i="13"/>
  <c r="Q80" i="13"/>
  <c r="R80" i="13"/>
  <c r="S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AJ80" i="13"/>
  <c r="AK80" i="13"/>
  <c r="AL80" i="13"/>
  <c r="AM80" i="13"/>
  <c r="AN80" i="13"/>
  <c r="AO80" i="13"/>
  <c r="AP80" i="13"/>
  <c r="AQ80" i="13"/>
  <c r="AR80" i="13"/>
  <c r="AS80" i="13"/>
  <c r="AT80" i="13"/>
  <c r="AU80" i="13"/>
  <c r="AV80" i="13"/>
  <c r="AW80" i="13"/>
  <c r="AX80" i="13"/>
  <c r="AY80" i="13"/>
  <c r="AZ80" i="13"/>
  <c r="BA80" i="13"/>
  <c r="BB80" i="13"/>
  <c r="BC80" i="13"/>
  <c r="BD80" i="13"/>
  <c r="BE80" i="13"/>
  <c r="BF80" i="13"/>
  <c r="BG80" i="13"/>
  <c r="BH80" i="13"/>
  <c r="BI80" i="13"/>
  <c r="BJ80" i="13"/>
  <c r="BK80" i="13"/>
  <c r="BL80" i="13"/>
  <c r="BM80" i="13"/>
  <c r="BN80" i="13"/>
  <c r="BO80" i="13"/>
  <c r="BP80" i="13"/>
  <c r="BQ80" i="13"/>
  <c r="BR80" i="13"/>
  <c r="BS80" i="13"/>
  <c r="BT80" i="13"/>
  <c r="BU80" i="13"/>
  <c r="BV80" i="13"/>
  <c r="BW80" i="13"/>
  <c r="BX80" i="13"/>
  <c r="BY80" i="13"/>
  <c r="BZ80" i="13"/>
  <c r="CA80" i="13"/>
  <c r="CB80" i="13"/>
  <c r="CC80" i="13"/>
  <c r="CD80" i="13"/>
  <c r="CE80" i="13"/>
  <c r="CF80" i="13"/>
  <c r="CG80" i="13"/>
  <c r="CH80" i="13"/>
  <c r="CI80" i="13"/>
  <c r="CJ80" i="13"/>
  <c r="CK80" i="13"/>
  <c r="CL80" i="13"/>
  <c r="CM80" i="13"/>
  <c r="CN80" i="13"/>
  <c r="CO80" i="13"/>
  <c r="CP80" i="13"/>
  <c r="CQ80" i="13"/>
  <c r="CR80" i="13"/>
  <c r="CS80" i="13"/>
  <c r="CT80" i="13"/>
  <c r="CU80" i="13"/>
  <c r="CV80" i="13"/>
  <c r="CW80" i="13"/>
  <c r="CX80" i="13"/>
  <c r="CY80" i="13"/>
  <c r="CZ80" i="13"/>
  <c r="DA80" i="13"/>
  <c r="DB80" i="13"/>
  <c r="DC80" i="13"/>
  <c r="DD80" i="13"/>
  <c r="DE80" i="13"/>
  <c r="DF80" i="13"/>
  <c r="DG80" i="13"/>
  <c r="DH80" i="13"/>
  <c r="DI80" i="13"/>
  <c r="DJ80" i="13"/>
  <c r="DK80" i="13"/>
  <c r="DL80" i="13"/>
  <c r="DM80" i="13"/>
  <c r="DN80" i="13"/>
  <c r="DO80" i="13"/>
  <c r="DP80" i="13"/>
  <c r="DQ80" i="13"/>
  <c r="DR80" i="13"/>
  <c r="DS80" i="13"/>
  <c r="DT80" i="13"/>
  <c r="DU80" i="13"/>
  <c r="DV80" i="13"/>
  <c r="DW80" i="13"/>
  <c r="DX80" i="13"/>
  <c r="DY80" i="13"/>
  <c r="DZ80" i="13"/>
  <c r="EA80" i="13"/>
  <c r="EB80" i="13"/>
  <c r="EC80" i="13"/>
  <c r="ED80" i="13"/>
  <c r="EE80" i="13"/>
  <c r="EF80" i="13"/>
  <c r="EG80" i="13"/>
  <c r="EH80" i="13"/>
  <c r="EI80" i="13"/>
  <c r="EJ80" i="13"/>
  <c r="EK80" i="13"/>
  <c r="EL80" i="13"/>
  <c r="EM80" i="13"/>
  <c r="EN80" i="13"/>
  <c r="EO80" i="13"/>
  <c r="EP80" i="13"/>
  <c r="EQ80" i="13"/>
  <c r="ER80" i="13"/>
  <c r="ES80" i="13"/>
  <c r="ET80" i="13"/>
  <c r="EU80" i="13"/>
  <c r="EV80" i="13"/>
  <c r="EW80" i="13"/>
  <c r="EX80" i="13"/>
  <c r="EY80" i="13"/>
  <c r="EZ80" i="13"/>
  <c r="FA80" i="13"/>
  <c r="FB80" i="13"/>
  <c r="FC80" i="13"/>
  <c r="FD80" i="13"/>
  <c r="FE80" i="13"/>
  <c r="FF80" i="13"/>
  <c r="FG80" i="13"/>
  <c r="FH80" i="13"/>
  <c r="FI80" i="13"/>
  <c r="FJ80" i="13"/>
  <c r="FK80" i="13"/>
  <c r="FL80" i="13"/>
  <c r="FM80" i="13"/>
  <c r="FN80" i="13"/>
  <c r="FO80" i="13"/>
  <c r="FP80" i="13"/>
  <c r="FQ80" i="13"/>
  <c r="FR80" i="13"/>
  <c r="FS80" i="13"/>
  <c r="FT80" i="13"/>
  <c r="FU80" i="13"/>
  <c r="FV80" i="13"/>
  <c r="FW80" i="13"/>
  <c r="FX80" i="13"/>
  <c r="FY80" i="13"/>
  <c r="FZ80" i="13"/>
  <c r="GA80" i="13"/>
  <c r="GB80" i="13"/>
  <c r="GC80" i="13"/>
  <c r="GD80" i="13"/>
  <c r="GE80" i="13"/>
  <c r="GF80" i="13"/>
  <c r="GG80" i="13"/>
  <c r="GH80" i="13"/>
  <c r="GI80" i="13"/>
  <c r="GJ80" i="13"/>
  <c r="GK80" i="13"/>
  <c r="GL80" i="13"/>
  <c r="GM80" i="13"/>
  <c r="GN80" i="13"/>
  <c r="GO80" i="13"/>
  <c r="GP80" i="13"/>
  <c r="GQ80" i="13"/>
  <c r="GR80" i="13"/>
  <c r="GS80" i="13"/>
  <c r="GT80" i="13"/>
  <c r="GU80" i="13"/>
  <c r="GV80" i="13"/>
  <c r="GW80" i="13"/>
  <c r="GX80" i="13"/>
  <c r="GY80" i="13"/>
  <c r="GZ80" i="13"/>
  <c r="HA80" i="13"/>
  <c r="HB80" i="13"/>
  <c r="HC80" i="13"/>
  <c r="HD80" i="13"/>
  <c r="HE80" i="13"/>
  <c r="HF80" i="13"/>
  <c r="HG80" i="13"/>
  <c r="HH80" i="13"/>
  <c r="HI80" i="13"/>
  <c r="HJ80" i="13"/>
  <c r="HK80" i="13"/>
  <c r="HL80" i="13"/>
  <c r="HM80" i="13"/>
  <c r="HN80" i="13"/>
  <c r="HO80" i="13"/>
  <c r="HP80" i="13"/>
  <c r="HQ80" i="13"/>
  <c r="HR80" i="13"/>
  <c r="HS80" i="13"/>
  <c r="HT80" i="13"/>
  <c r="HU80" i="13"/>
  <c r="HV80" i="13"/>
  <c r="HW80" i="13"/>
  <c r="HX80" i="13"/>
  <c r="HY80" i="13"/>
  <c r="HZ80" i="13"/>
  <c r="IA80" i="13"/>
  <c r="IB80" i="13"/>
  <c r="IC80" i="13"/>
  <c r="ID80" i="13"/>
  <c r="IE80" i="13"/>
  <c r="IF80" i="13"/>
  <c r="IG80" i="13"/>
  <c r="IH80" i="13"/>
  <c r="II80" i="13"/>
  <c r="IJ80" i="13"/>
  <c r="IK80" i="13"/>
  <c r="IL80" i="13"/>
  <c r="IM80" i="13"/>
  <c r="IN80" i="13"/>
  <c r="IO80" i="13"/>
  <c r="IP80" i="13"/>
  <c r="IQ80" i="13"/>
  <c r="IR80" i="13"/>
  <c r="IS80" i="13"/>
  <c r="IT80" i="13"/>
  <c r="IU80" i="13"/>
  <c r="IV80" i="13"/>
  <c r="IW80" i="13"/>
  <c r="IX80" i="13"/>
  <c r="IY80" i="13"/>
  <c r="IZ80" i="13"/>
  <c r="JA80" i="13"/>
  <c r="JB80" i="13"/>
  <c r="JC80" i="13"/>
  <c r="JD80" i="13"/>
  <c r="JE80" i="13"/>
  <c r="JF80" i="13"/>
  <c r="JG80" i="13"/>
  <c r="JH80" i="13"/>
  <c r="A80" i="13"/>
  <c r="AB57" i="13"/>
  <c r="B9" i="16" l="1"/>
  <c r="B73" i="16" s="1"/>
  <c r="C133" i="14" l="1"/>
  <c r="C135" i="14" s="1"/>
  <c r="C36" i="14"/>
  <c r="C37" i="14" s="1"/>
  <c r="C38" i="14" s="1"/>
  <c r="I46" i="23" l="1"/>
  <c r="H46" i="23"/>
  <c r="G46" i="23"/>
  <c r="F46" i="23"/>
  <c r="E46" i="23"/>
  <c r="A21" i="23"/>
  <c r="A22" i="23" s="1"/>
  <c r="A23" i="23" s="1"/>
  <c r="A24" i="23" s="1"/>
  <c r="A25" i="23" s="1"/>
  <c r="A26" i="23" s="1"/>
  <c r="W47" i="23" l="1"/>
  <c r="L85" i="16"/>
  <c r="M85" i="16"/>
  <c r="N85" i="16"/>
  <c r="B85" i="16"/>
  <c r="C85" i="16"/>
  <c r="D85" i="16"/>
  <c r="E85" i="16"/>
  <c r="F85" i="16"/>
  <c r="G85" i="16"/>
  <c r="H85" i="16"/>
  <c r="I85" i="16"/>
  <c r="L15" i="17"/>
  <c r="L15" i="16"/>
  <c r="L9" i="16"/>
  <c r="H128" i="14"/>
  <c r="JK58" i="1" l="1"/>
  <c r="JI47" i="1"/>
  <c r="JI48" i="1"/>
  <c r="JI49" i="1"/>
  <c r="JI50" i="1"/>
  <c r="JI51" i="1"/>
  <c r="JI52" i="1"/>
  <c r="JI53" i="1"/>
  <c r="JI54" i="1"/>
  <c r="JI55" i="1"/>
  <c r="JI56" i="1"/>
  <c r="JI57" i="1"/>
  <c r="JI60" i="1"/>
  <c r="JI61" i="1"/>
  <c r="JI62" i="1"/>
  <c r="JI63" i="1"/>
  <c r="JI64" i="1"/>
  <c r="JI65" i="1"/>
  <c r="JI66" i="1"/>
  <c r="JI67" i="1"/>
  <c r="JI68" i="1"/>
  <c r="JI69" i="1"/>
  <c r="JI70" i="1"/>
  <c r="JI71" i="1"/>
  <c r="JI72" i="1"/>
  <c r="JI73" i="1"/>
  <c r="JI74" i="1"/>
  <c r="C17" i="22" l="1"/>
  <c r="D17" i="22"/>
  <c r="B17" i="22"/>
  <c r="E6" i="22"/>
  <c r="E7" i="22"/>
  <c r="E8" i="22"/>
  <c r="E9" i="22"/>
  <c r="E10" i="22"/>
  <c r="E11" i="22"/>
  <c r="E12" i="22"/>
  <c r="E13" i="22"/>
  <c r="E14" i="22"/>
  <c r="E5" i="22"/>
  <c r="U38" i="21"/>
  <c r="U39" i="21" s="1"/>
  <c r="U15" i="21"/>
  <c r="E17" i="22" l="1"/>
  <c r="V24" i="21"/>
  <c r="V28" i="21"/>
  <c r="K85" i="16" l="1"/>
  <c r="J85" i="16"/>
  <c r="B10" i="17"/>
  <c r="B11" i="17"/>
  <c r="B12" i="17"/>
  <c r="B13" i="17"/>
  <c r="B14" i="17"/>
  <c r="B26" i="17"/>
  <c r="B27" i="17"/>
  <c r="B28" i="17"/>
  <c r="B29" i="17"/>
  <c r="B30" i="17"/>
  <c r="B31" i="17"/>
  <c r="B32" i="17"/>
  <c r="B33" i="17"/>
  <c r="B34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4" i="17"/>
  <c r="B75" i="17"/>
  <c r="B76" i="17"/>
  <c r="B77" i="17"/>
  <c r="B78" i="17"/>
  <c r="B79" i="17"/>
  <c r="B80" i="17"/>
  <c r="B81" i="17"/>
  <c r="B82" i="17"/>
  <c r="B83" i="17"/>
  <c r="B84" i="17"/>
  <c r="K61" i="17"/>
  <c r="K43" i="17"/>
  <c r="K15" i="17"/>
  <c r="K9" i="17"/>
  <c r="K43" i="16" l="1"/>
  <c r="K35" i="16"/>
  <c r="K9" i="16"/>
  <c r="K15" i="16"/>
  <c r="B85" i="17" l="1"/>
  <c r="T14" i="21"/>
  <c r="T39" i="21" s="1"/>
  <c r="U14" i="21"/>
  <c r="V14" i="21"/>
  <c r="X14" i="21"/>
  <c r="Y14" i="21"/>
  <c r="Z14" i="21"/>
  <c r="Y39" i="21"/>
  <c r="Z39" i="21"/>
  <c r="T38" i="21"/>
  <c r="V38" i="21"/>
  <c r="Y38" i="21"/>
  <c r="Z38" i="21"/>
  <c r="T15" i="21"/>
  <c r="T11" i="21"/>
  <c r="S39" i="21"/>
  <c r="S14" i="21"/>
  <c r="S38" i="21"/>
  <c r="S15" i="21"/>
  <c r="X39" i="21" l="1"/>
  <c r="W39" i="21"/>
  <c r="V39" i="21"/>
  <c r="B56" i="25"/>
  <c r="C56" i="25"/>
  <c r="D56" i="25" l="1"/>
  <c r="B31" i="26"/>
  <c r="A33" i="26"/>
  <c r="A31" i="26"/>
  <c r="E12" i="25"/>
  <c r="G15" i="4" s="1"/>
  <c r="E43" i="25" l="1"/>
  <c r="A96" i="13"/>
  <c r="JI57" i="13" l="1"/>
  <c r="JI58" i="13"/>
  <c r="JI59" i="13"/>
  <c r="JI60" i="13"/>
  <c r="JI61" i="13"/>
  <c r="JI62" i="13"/>
  <c r="JI63" i="13"/>
  <c r="JI64" i="13"/>
  <c r="JI65" i="13"/>
  <c r="JI66" i="13"/>
  <c r="JI67" i="13"/>
  <c r="JI68" i="13"/>
  <c r="JI69" i="13"/>
  <c r="JI70" i="13"/>
  <c r="JI71" i="13"/>
  <c r="JI72" i="13"/>
  <c r="JI73" i="13"/>
  <c r="JI74" i="13"/>
  <c r="JI75" i="13"/>
  <c r="JI76" i="13"/>
  <c r="JI77" i="13"/>
  <c r="JI78" i="13"/>
  <c r="J83" i="18" l="1"/>
  <c r="I83" i="18"/>
  <c r="H83" i="18"/>
  <c r="G83" i="18"/>
  <c r="G82" i="18" s="1"/>
  <c r="J81" i="18"/>
  <c r="I81" i="18"/>
  <c r="H81" i="18"/>
  <c r="G81" i="18"/>
  <c r="J80" i="18"/>
  <c r="I80" i="18"/>
  <c r="H80" i="18"/>
  <c r="M80" i="18" s="1"/>
  <c r="G80" i="18"/>
  <c r="J79" i="18"/>
  <c r="I79" i="18"/>
  <c r="H79" i="18"/>
  <c r="G79" i="18"/>
  <c r="J78" i="18"/>
  <c r="O78" i="18" s="1"/>
  <c r="I78" i="18"/>
  <c r="H78" i="18"/>
  <c r="G78" i="18"/>
  <c r="J77" i="18"/>
  <c r="I77" i="18"/>
  <c r="H77" i="18"/>
  <c r="G77" i="18"/>
  <c r="J76" i="18"/>
  <c r="I76" i="18"/>
  <c r="H76" i="18"/>
  <c r="G76" i="18"/>
  <c r="J75" i="18"/>
  <c r="O75" i="18" s="1"/>
  <c r="I75" i="18"/>
  <c r="H75" i="18"/>
  <c r="G75" i="18"/>
  <c r="J74" i="18"/>
  <c r="I74" i="18"/>
  <c r="H74" i="18"/>
  <c r="G74" i="18"/>
  <c r="J73" i="18"/>
  <c r="I73" i="18"/>
  <c r="H73" i="18"/>
  <c r="G73" i="18"/>
  <c r="J71" i="18"/>
  <c r="I71" i="18"/>
  <c r="H71" i="18"/>
  <c r="J70" i="18"/>
  <c r="I70" i="18"/>
  <c r="H70" i="18"/>
  <c r="M70" i="18" s="1"/>
  <c r="J69" i="18"/>
  <c r="O69" i="18" s="1"/>
  <c r="I69" i="18"/>
  <c r="H69" i="18"/>
  <c r="G70" i="18"/>
  <c r="G69" i="18"/>
  <c r="J67" i="18"/>
  <c r="I67" i="18"/>
  <c r="H67" i="18"/>
  <c r="G67" i="18"/>
  <c r="J66" i="18"/>
  <c r="I66" i="18"/>
  <c r="H66" i="18"/>
  <c r="H65" i="18" s="1"/>
  <c r="G66" i="18"/>
  <c r="L66" i="18" s="1"/>
  <c r="J64" i="18"/>
  <c r="I64" i="18"/>
  <c r="H64" i="18"/>
  <c r="G64" i="18"/>
  <c r="J63" i="18"/>
  <c r="I63" i="18"/>
  <c r="H63" i="18"/>
  <c r="G63" i="18"/>
  <c r="J62" i="18"/>
  <c r="I62" i="18"/>
  <c r="H62" i="18"/>
  <c r="H60" i="18" s="1"/>
  <c r="G62" i="18"/>
  <c r="J61" i="18"/>
  <c r="I61" i="18"/>
  <c r="H61" i="18"/>
  <c r="G61" i="18"/>
  <c r="J59" i="18"/>
  <c r="O59" i="18" s="1"/>
  <c r="I59" i="18"/>
  <c r="H59" i="18"/>
  <c r="G59" i="18"/>
  <c r="J58" i="18"/>
  <c r="I58" i="18"/>
  <c r="H58" i="18"/>
  <c r="M58" i="18" s="1"/>
  <c r="G58" i="18"/>
  <c r="J57" i="18"/>
  <c r="I57" i="18"/>
  <c r="H57" i="18"/>
  <c r="G57" i="18"/>
  <c r="J56" i="18"/>
  <c r="O56" i="18" s="1"/>
  <c r="I56" i="18"/>
  <c r="H56" i="18"/>
  <c r="G56" i="18"/>
  <c r="J55" i="18"/>
  <c r="I55" i="18"/>
  <c r="H55" i="18"/>
  <c r="M55" i="18" s="1"/>
  <c r="G55" i="18"/>
  <c r="J54" i="18"/>
  <c r="I54" i="18"/>
  <c r="H54" i="18"/>
  <c r="G54" i="18"/>
  <c r="J53" i="18"/>
  <c r="I53" i="18"/>
  <c r="H53" i="18"/>
  <c r="G53" i="18"/>
  <c r="J52" i="18"/>
  <c r="I52" i="18"/>
  <c r="H52" i="18"/>
  <c r="M52" i="18" s="1"/>
  <c r="G52" i="18"/>
  <c r="J51" i="18"/>
  <c r="I51" i="18"/>
  <c r="H51" i="18"/>
  <c r="G51" i="18"/>
  <c r="J49" i="18"/>
  <c r="O49" i="18" s="1"/>
  <c r="I49" i="18"/>
  <c r="H49" i="18"/>
  <c r="G49" i="18"/>
  <c r="J48" i="18"/>
  <c r="I48" i="18"/>
  <c r="H48" i="18"/>
  <c r="M48" i="18" s="1"/>
  <c r="G48" i="18"/>
  <c r="J47" i="18"/>
  <c r="I47" i="18"/>
  <c r="H47" i="18"/>
  <c r="G47" i="18"/>
  <c r="J46" i="18"/>
  <c r="I46" i="18"/>
  <c r="N46" i="18" s="1"/>
  <c r="H46" i="18"/>
  <c r="G46" i="18"/>
  <c r="J45" i="18"/>
  <c r="I45" i="18"/>
  <c r="H45" i="18"/>
  <c r="H42" i="18" s="1"/>
  <c r="G45" i="18"/>
  <c r="J44" i="18"/>
  <c r="I44" i="18"/>
  <c r="H44" i="18"/>
  <c r="G44" i="18"/>
  <c r="J43" i="18"/>
  <c r="I43" i="18"/>
  <c r="H43" i="18"/>
  <c r="G43" i="18"/>
  <c r="J41" i="18"/>
  <c r="I41" i="18"/>
  <c r="H41" i="18"/>
  <c r="M41" i="18" s="1"/>
  <c r="G41" i="18"/>
  <c r="J40" i="18"/>
  <c r="I40" i="18"/>
  <c r="H40" i="18"/>
  <c r="G40" i="18"/>
  <c r="J39" i="18"/>
  <c r="I39" i="18"/>
  <c r="N39" i="18" s="1"/>
  <c r="H39" i="18"/>
  <c r="G39" i="18"/>
  <c r="J38" i="18"/>
  <c r="I38" i="18"/>
  <c r="H38" i="18"/>
  <c r="M38" i="18" s="1"/>
  <c r="G38" i="18"/>
  <c r="J37" i="18"/>
  <c r="I37" i="18"/>
  <c r="H37" i="18"/>
  <c r="G37" i="18"/>
  <c r="J36" i="18"/>
  <c r="I36" i="18"/>
  <c r="H36" i="18"/>
  <c r="G36" i="18"/>
  <c r="G34" i="18" s="1"/>
  <c r="J35" i="18"/>
  <c r="I35" i="18"/>
  <c r="H35" i="18"/>
  <c r="M35" i="18" s="1"/>
  <c r="G35" i="18"/>
  <c r="J33" i="18"/>
  <c r="I33" i="18"/>
  <c r="H33" i="18"/>
  <c r="G33" i="18"/>
  <c r="J32" i="18"/>
  <c r="O32" i="18" s="1"/>
  <c r="I32" i="18"/>
  <c r="H32" i="18"/>
  <c r="G32" i="18"/>
  <c r="J31" i="18"/>
  <c r="I31" i="18"/>
  <c r="H31" i="18"/>
  <c r="M31" i="18" s="1"/>
  <c r="G31" i="18"/>
  <c r="J30" i="18"/>
  <c r="I30" i="18"/>
  <c r="H30" i="18"/>
  <c r="G30" i="18"/>
  <c r="J29" i="18"/>
  <c r="I29" i="18"/>
  <c r="H29" i="18"/>
  <c r="G29" i="18"/>
  <c r="J28" i="18"/>
  <c r="I28" i="18"/>
  <c r="H28" i="18"/>
  <c r="M28" i="18" s="1"/>
  <c r="G28" i="18"/>
  <c r="J27" i="18"/>
  <c r="I27" i="18"/>
  <c r="H27" i="18"/>
  <c r="G27" i="18"/>
  <c r="J26" i="18"/>
  <c r="I26" i="18"/>
  <c r="H26" i="18"/>
  <c r="G26" i="18"/>
  <c r="G24" i="18" s="1"/>
  <c r="J25" i="18"/>
  <c r="I25" i="18"/>
  <c r="H25" i="18"/>
  <c r="H24" i="18" s="1"/>
  <c r="G25" i="18"/>
  <c r="J23" i="18"/>
  <c r="I23" i="18"/>
  <c r="H23" i="18"/>
  <c r="G23" i="18"/>
  <c r="J22" i="18"/>
  <c r="I22" i="18"/>
  <c r="H22" i="18"/>
  <c r="G22" i="18"/>
  <c r="J21" i="18"/>
  <c r="I21" i="18"/>
  <c r="H21" i="18"/>
  <c r="M21" i="18" s="1"/>
  <c r="G21" i="18"/>
  <c r="J20" i="18"/>
  <c r="I20" i="18"/>
  <c r="H20" i="18"/>
  <c r="G20" i="18"/>
  <c r="J19" i="18"/>
  <c r="I19" i="18"/>
  <c r="H19" i="18"/>
  <c r="G19" i="18"/>
  <c r="J18" i="18"/>
  <c r="I18" i="18"/>
  <c r="H18" i="18"/>
  <c r="M18" i="18" s="1"/>
  <c r="G18" i="18"/>
  <c r="J17" i="18"/>
  <c r="I17" i="18"/>
  <c r="H17" i="18"/>
  <c r="G17" i="18"/>
  <c r="J16" i="18"/>
  <c r="I16" i="18"/>
  <c r="H16" i="18"/>
  <c r="G16" i="18"/>
  <c r="J15" i="18"/>
  <c r="I15" i="18"/>
  <c r="H15" i="18"/>
  <c r="M15" i="18" s="1"/>
  <c r="G15" i="18"/>
  <c r="J13" i="18"/>
  <c r="I13" i="18"/>
  <c r="H13" i="18"/>
  <c r="G13" i="18"/>
  <c r="J12" i="18"/>
  <c r="I12" i="18"/>
  <c r="N12" i="18" s="1"/>
  <c r="H12" i="18"/>
  <c r="G12" i="18"/>
  <c r="J11" i="18"/>
  <c r="I11" i="18"/>
  <c r="H11" i="18"/>
  <c r="M11" i="18" s="1"/>
  <c r="G11" i="18"/>
  <c r="J10" i="18"/>
  <c r="I10" i="18"/>
  <c r="H10" i="18"/>
  <c r="G10" i="18"/>
  <c r="J9" i="18"/>
  <c r="I9" i="18"/>
  <c r="H9" i="18"/>
  <c r="G9" i="18"/>
  <c r="G8" i="18" s="1"/>
  <c r="E83" i="18"/>
  <c r="D83" i="18"/>
  <c r="D82" i="18" s="1"/>
  <c r="C83" i="18"/>
  <c r="M83" i="18" s="1"/>
  <c r="B83" i="18"/>
  <c r="B82" i="18" s="1"/>
  <c r="E81" i="18"/>
  <c r="D81" i="18"/>
  <c r="C81" i="18"/>
  <c r="B81" i="18"/>
  <c r="E80" i="18"/>
  <c r="O80" i="18" s="1"/>
  <c r="D80" i="18"/>
  <c r="N80" i="18" s="1"/>
  <c r="C80" i="18"/>
  <c r="B80" i="18"/>
  <c r="E79" i="18"/>
  <c r="D79" i="18"/>
  <c r="C79" i="18"/>
  <c r="M79" i="18" s="1"/>
  <c r="B79" i="18"/>
  <c r="E78" i="18"/>
  <c r="D78" i="18"/>
  <c r="C78" i="18"/>
  <c r="M78" i="18" s="1"/>
  <c r="B78" i="18"/>
  <c r="E77" i="18"/>
  <c r="D77" i="18"/>
  <c r="C77" i="18"/>
  <c r="B77" i="18"/>
  <c r="E76" i="18"/>
  <c r="D76" i="18"/>
  <c r="C76" i="18"/>
  <c r="M76" i="18" s="1"/>
  <c r="B76" i="18"/>
  <c r="E75" i="18"/>
  <c r="D75" i="18"/>
  <c r="C75" i="18"/>
  <c r="B75" i="18"/>
  <c r="E74" i="18"/>
  <c r="D74" i="18"/>
  <c r="C74" i="18"/>
  <c r="B74" i="18"/>
  <c r="E73" i="18"/>
  <c r="D73" i="18"/>
  <c r="C73" i="18"/>
  <c r="M73" i="18" s="1"/>
  <c r="B73" i="18"/>
  <c r="E71" i="18"/>
  <c r="D71" i="18"/>
  <c r="C71" i="18"/>
  <c r="B71" i="18"/>
  <c r="E70" i="18"/>
  <c r="D70" i="18"/>
  <c r="D68" i="18" s="1"/>
  <c r="C70" i="18"/>
  <c r="B70" i="18"/>
  <c r="E69" i="18"/>
  <c r="D69" i="18"/>
  <c r="N69" i="18" s="1"/>
  <c r="C69" i="18"/>
  <c r="C68" i="18" s="1"/>
  <c r="B69" i="18"/>
  <c r="E67" i="18"/>
  <c r="D67" i="18"/>
  <c r="C67" i="18"/>
  <c r="M67" i="18" s="1"/>
  <c r="B67" i="18"/>
  <c r="E66" i="18"/>
  <c r="O66" i="18" s="1"/>
  <c r="D66" i="18"/>
  <c r="C66" i="18"/>
  <c r="B66" i="18"/>
  <c r="E64" i="18"/>
  <c r="O64" i="18" s="1"/>
  <c r="D64" i="18"/>
  <c r="C64" i="18"/>
  <c r="M64" i="18" s="1"/>
  <c r="B64" i="18"/>
  <c r="E63" i="18"/>
  <c r="D63" i="18"/>
  <c r="C63" i="18"/>
  <c r="M63" i="18" s="1"/>
  <c r="B63" i="18"/>
  <c r="E62" i="18"/>
  <c r="D62" i="18"/>
  <c r="C62" i="18"/>
  <c r="B62" i="18"/>
  <c r="L62" i="18" s="1"/>
  <c r="E61" i="18"/>
  <c r="E60" i="18" s="1"/>
  <c r="D61" i="18"/>
  <c r="C61" i="18"/>
  <c r="M61" i="18" s="1"/>
  <c r="B61" i="18"/>
  <c r="L61" i="18" s="1"/>
  <c r="E59" i="18"/>
  <c r="D59" i="18"/>
  <c r="C59" i="18"/>
  <c r="M59" i="18" s="1"/>
  <c r="B59" i="18"/>
  <c r="E58" i="18"/>
  <c r="D58" i="18"/>
  <c r="C58" i="18"/>
  <c r="B58" i="18"/>
  <c r="L58" i="18" s="1"/>
  <c r="E57" i="18"/>
  <c r="D57" i="18"/>
  <c r="C57" i="18"/>
  <c r="B57" i="18"/>
  <c r="L57" i="18" s="1"/>
  <c r="E56" i="18"/>
  <c r="D56" i="18"/>
  <c r="C56" i="18"/>
  <c r="B56" i="18"/>
  <c r="E55" i="18"/>
  <c r="D55" i="18"/>
  <c r="C55" i="18"/>
  <c r="B55" i="18"/>
  <c r="L55" i="18" s="1"/>
  <c r="E54" i="18"/>
  <c r="D54" i="18"/>
  <c r="C54" i="18"/>
  <c r="M54" i="18" s="1"/>
  <c r="B54" i="18"/>
  <c r="L54" i="18" s="1"/>
  <c r="E53" i="18"/>
  <c r="D53" i="18"/>
  <c r="C53" i="18"/>
  <c r="B53" i="18"/>
  <c r="E52" i="18"/>
  <c r="D52" i="18"/>
  <c r="C52" i="18"/>
  <c r="B52" i="18"/>
  <c r="L52" i="18" s="1"/>
  <c r="E51" i="18"/>
  <c r="D51" i="18"/>
  <c r="C51" i="18"/>
  <c r="M51" i="18" s="1"/>
  <c r="B51" i="18"/>
  <c r="L51" i="18" s="1"/>
  <c r="E49" i="18"/>
  <c r="D49" i="18"/>
  <c r="C49" i="18"/>
  <c r="M49" i="18" s="1"/>
  <c r="B49" i="18"/>
  <c r="E48" i="18"/>
  <c r="D48" i="18"/>
  <c r="C48" i="18"/>
  <c r="B48" i="18"/>
  <c r="E47" i="18"/>
  <c r="D47" i="18"/>
  <c r="C47" i="18"/>
  <c r="M47" i="18" s="1"/>
  <c r="B47" i="18"/>
  <c r="E46" i="18"/>
  <c r="D46" i="18"/>
  <c r="C46" i="18"/>
  <c r="M46" i="18" s="1"/>
  <c r="B46" i="18"/>
  <c r="E45" i="18"/>
  <c r="O45" i="18" s="1"/>
  <c r="D45" i="18"/>
  <c r="N45" i="18" s="1"/>
  <c r="C45" i="18"/>
  <c r="B45" i="18"/>
  <c r="E44" i="18"/>
  <c r="D44" i="18"/>
  <c r="C44" i="18"/>
  <c r="M44" i="18" s="1"/>
  <c r="B44" i="18"/>
  <c r="E43" i="18"/>
  <c r="D43" i="18"/>
  <c r="C43" i="18"/>
  <c r="B43" i="18"/>
  <c r="E41" i="18"/>
  <c r="D41" i="18"/>
  <c r="C41" i="18"/>
  <c r="B41" i="18"/>
  <c r="L41" i="18" s="1"/>
  <c r="E40" i="18"/>
  <c r="D40" i="18"/>
  <c r="C40" i="18"/>
  <c r="M40" i="18" s="1"/>
  <c r="B40" i="18"/>
  <c r="E39" i="18"/>
  <c r="D39" i="18"/>
  <c r="C39" i="18"/>
  <c r="M39" i="18" s="1"/>
  <c r="B39" i="18"/>
  <c r="E38" i="18"/>
  <c r="O38" i="18" s="1"/>
  <c r="D38" i="18"/>
  <c r="C38" i="18"/>
  <c r="B38" i="18"/>
  <c r="L38" i="18" s="1"/>
  <c r="E37" i="18"/>
  <c r="O37" i="18" s="1"/>
  <c r="D37" i="18"/>
  <c r="C37" i="18"/>
  <c r="M37" i="18" s="1"/>
  <c r="B37" i="18"/>
  <c r="L37" i="18" s="1"/>
  <c r="E36" i="18"/>
  <c r="D36" i="18"/>
  <c r="C36" i="18"/>
  <c r="C34" i="18" s="1"/>
  <c r="B36" i="18"/>
  <c r="E35" i="18"/>
  <c r="D35" i="18"/>
  <c r="D34" i="18" s="1"/>
  <c r="C35" i="18"/>
  <c r="B35" i="18"/>
  <c r="E33" i="18"/>
  <c r="D33" i="18"/>
  <c r="C33" i="18"/>
  <c r="M33" i="18" s="1"/>
  <c r="B33" i="18"/>
  <c r="L33" i="18" s="1"/>
  <c r="E32" i="18"/>
  <c r="D32" i="18"/>
  <c r="C32" i="18"/>
  <c r="B32" i="18"/>
  <c r="E31" i="18"/>
  <c r="D31" i="18"/>
  <c r="C31" i="18"/>
  <c r="B31" i="18"/>
  <c r="L31" i="18" s="1"/>
  <c r="E30" i="18"/>
  <c r="D30" i="18"/>
  <c r="C30" i="18"/>
  <c r="M30" i="18" s="1"/>
  <c r="B30" i="18"/>
  <c r="L30" i="18" s="1"/>
  <c r="E29" i="18"/>
  <c r="O29" i="18" s="1"/>
  <c r="D29" i="18"/>
  <c r="C29" i="18"/>
  <c r="M29" i="18" s="1"/>
  <c r="B29" i="18"/>
  <c r="E28" i="18"/>
  <c r="D28" i="18"/>
  <c r="C28" i="18"/>
  <c r="B28" i="18"/>
  <c r="L28" i="18" s="1"/>
  <c r="E27" i="18"/>
  <c r="O27" i="18" s="1"/>
  <c r="D27" i="18"/>
  <c r="C27" i="18"/>
  <c r="M27" i="18" s="1"/>
  <c r="B27" i="18"/>
  <c r="L27" i="18" s="1"/>
  <c r="E26" i="18"/>
  <c r="D26" i="18"/>
  <c r="C26" i="18"/>
  <c r="M26" i="18" s="1"/>
  <c r="B26" i="18"/>
  <c r="E25" i="18"/>
  <c r="D25" i="18"/>
  <c r="C25" i="18"/>
  <c r="B25" i="18"/>
  <c r="L25" i="18" s="1"/>
  <c r="E23" i="18"/>
  <c r="O23" i="18" s="1"/>
  <c r="D23" i="18"/>
  <c r="C23" i="18"/>
  <c r="M23" i="18" s="1"/>
  <c r="B23" i="18"/>
  <c r="E22" i="18"/>
  <c r="O22" i="18" s="1"/>
  <c r="D22" i="18"/>
  <c r="C22" i="18"/>
  <c r="B22" i="18"/>
  <c r="E21" i="18"/>
  <c r="D21" i="18"/>
  <c r="C21" i="18"/>
  <c r="B21" i="18"/>
  <c r="E20" i="18"/>
  <c r="D20" i="18"/>
  <c r="C20" i="18"/>
  <c r="M20" i="18" s="1"/>
  <c r="B20" i="18"/>
  <c r="E19" i="18"/>
  <c r="D19" i="18"/>
  <c r="N19" i="18" s="1"/>
  <c r="C19" i="18"/>
  <c r="B19" i="18"/>
  <c r="E18" i="18"/>
  <c r="D18" i="18"/>
  <c r="C18" i="18"/>
  <c r="B18" i="18"/>
  <c r="E17" i="18"/>
  <c r="D17" i="18"/>
  <c r="C17" i="18"/>
  <c r="M17" i="18" s="1"/>
  <c r="B17" i="18"/>
  <c r="E16" i="18"/>
  <c r="D16" i="18"/>
  <c r="C16" i="18"/>
  <c r="B16" i="18"/>
  <c r="E15" i="18"/>
  <c r="D15" i="18"/>
  <c r="C15" i="18"/>
  <c r="B15" i="18"/>
  <c r="L15" i="18" s="1"/>
  <c r="E13" i="18"/>
  <c r="O13" i="18" s="1"/>
  <c r="D13" i="18"/>
  <c r="C13" i="18"/>
  <c r="B13" i="18"/>
  <c r="L13" i="18" s="1"/>
  <c r="E12" i="18"/>
  <c r="D12" i="18"/>
  <c r="C12" i="18"/>
  <c r="B12" i="18"/>
  <c r="E11" i="18"/>
  <c r="O11" i="18" s="1"/>
  <c r="D11" i="18"/>
  <c r="C11" i="18"/>
  <c r="B11" i="18"/>
  <c r="E10" i="18"/>
  <c r="O10" i="18" s="1"/>
  <c r="D10" i="18"/>
  <c r="C10" i="18"/>
  <c r="M10" i="18" s="1"/>
  <c r="B10" i="18"/>
  <c r="E9" i="18"/>
  <c r="O9" i="18" s="1"/>
  <c r="D9" i="18"/>
  <c r="C9" i="18"/>
  <c r="M9" i="18" s="1"/>
  <c r="B9" i="18"/>
  <c r="J82" i="18"/>
  <c r="I82" i="18"/>
  <c r="H82" i="18"/>
  <c r="O81" i="18"/>
  <c r="N81" i="18"/>
  <c r="O79" i="18"/>
  <c r="N78" i="18"/>
  <c r="M77" i="18"/>
  <c r="N76" i="18"/>
  <c r="N75" i="18"/>
  <c r="M75" i="18"/>
  <c r="M74" i="18"/>
  <c r="O73" i="18"/>
  <c r="O71" i="18"/>
  <c r="L71" i="18"/>
  <c r="L70" i="18"/>
  <c r="E68" i="18"/>
  <c r="B68" i="18"/>
  <c r="O67" i="18"/>
  <c r="N67" i="18"/>
  <c r="J65" i="18"/>
  <c r="D65" i="18"/>
  <c r="B65" i="18"/>
  <c r="O63" i="18"/>
  <c r="N63" i="18"/>
  <c r="O62" i="18"/>
  <c r="O61" i="18"/>
  <c r="J60" i="18"/>
  <c r="N59" i="18"/>
  <c r="N58" i="18"/>
  <c r="O57" i="18"/>
  <c r="N56" i="18"/>
  <c r="O54" i="18"/>
  <c r="N49" i="18"/>
  <c r="O47" i="18"/>
  <c r="O46" i="18"/>
  <c r="M45" i="18"/>
  <c r="J42" i="18"/>
  <c r="E42" i="18"/>
  <c r="O43" i="18"/>
  <c r="N43" i="18"/>
  <c r="M43" i="18"/>
  <c r="L43" i="18"/>
  <c r="D42" i="18"/>
  <c r="O40" i="18"/>
  <c r="O39" i="18"/>
  <c r="E34" i="18"/>
  <c r="N36" i="18"/>
  <c r="L35" i="18"/>
  <c r="B34" i="18"/>
  <c r="N32" i="18"/>
  <c r="M32" i="18"/>
  <c r="N26" i="18"/>
  <c r="M22" i="18"/>
  <c r="N20" i="18"/>
  <c r="M19" i="18"/>
  <c r="N16" i="18"/>
  <c r="M16" i="18"/>
  <c r="G14" i="18"/>
  <c r="N9" i="18"/>
  <c r="J8" i="18"/>
  <c r="J24" i="18" l="1"/>
  <c r="O28" i="18"/>
  <c r="O25" i="18"/>
  <c r="O21" i="18"/>
  <c r="N83" i="18"/>
  <c r="O55" i="18"/>
  <c r="O53" i="18"/>
  <c r="J50" i="18"/>
  <c r="O51" i="18"/>
  <c r="O33" i="18"/>
  <c r="O30" i="18"/>
  <c r="O20" i="18"/>
  <c r="J14" i="18"/>
  <c r="O14" i="18" s="1"/>
  <c r="O17" i="18"/>
  <c r="E50" i="18"/>
  <c r="O26" i="18"/>
  <c r="O19" i="18"/>
  <c r="E14" i="18"/>
  <c r="E8" i="18"/>
  <c r="N29" i="18"/>
  <c r="N22" i="18"/>
  <c r="M36" i="18"/>
  <c r="N74" i="18"/>
  <c r="N77" i="18"/>
  <c r="D60" i="18"/>
  <c r="N11" i="18"/>
  <c r="N15" i="18"/>
  <c r="N18" i="18"/>
  <c r="N21" i="18"/>
  <c r="N25" i="18"/>
  <c r="N28" i="18"/>
  <c r="N31" i="18"/>
  <c r="N35" i="18"/>
  <c r="N38" i="18"/>
  <c r="N41" i="18"/>
  <c r="N48" i="18"/>
  <c r="N52" i="18"/>
  <c r="N55" i="18"/>
  <c r="N66" i="18"/>
  <c r="N70" i="18"/>
  <c r="O74" i="18"/>
  <c r="O77" i="18"/>
  <c r="O15" i="18"/>
  <c r="O18" i="18"/>
  <c r="O31" i="18"/>
  <c r="O41" i="18"/>
  <c r="O48" i="18"/>
  <c r="O58" i="18"/>
  <c r="M71" i="18"/>
  <c r="M81" i="18"/>
  <c r="L73" i="18"/>
  <c r="B8" i="18"/>
  <c r="C24" i="18"/>
  <c r="N61" i="18"/>
  <c r="O76" i="18"/>
  <c r="O12" i="18"/>
  <c r="O60" i="18"/>
  <c r="N10" i="18"/>
  <c r="N13" i="18"/>
  <c r="N17" i="18"/>
  <c r="N23" i="18"/>
  <c r="N30" i="18"/>
  <c r="N33" i="18"/>
  <c r="N37" i="18"/>
  <c r="N40" i="18"/>
  <c r="N44" i="18"/>
  <c r="N47" i="18"/>
  <c r="N51" i="18"/>
  <c r="N54" i="18"/>
  <c r="N64" i="18"/>
  <c r="N73" i="18"/>
  <c r="N79" i="18"/>
  <c r="I42" i="18"/>
  <c r="I60" i="18"/>
  <c r="J34" i="18"/>
  <c r="J68" i="18"/>
  <c r="O68" i="18" s="1"/>
  <c r="G65" i="18"/>
  <c r="L22" i="18"/>
  <c r="L26" i="18"/>
  <c r="L29" i="18"/>
  <c r="L36" i="18"/>
  <c r="L53" i="18"/>
  <c r="L56" i="18"/>
  <c r="L59" i="18"/>
  <c r="L63" i="18"/>
  <c r="D8" i="18"/>
  <c r="I24" i="18"/>
  <c r="H34" i="18"/>
  <c r="M62" i="18"/>
  <c r="I65" i="18"/>
  <c r="H68" i="18"/>
  <c r="M68" i="18" s="1"/>
  <c r="C8" i="18"/>
  <c r="C72" i="18" s="1"/>
  <c r="C14" i="18"/>
  <c r="I34" i="18"/>
  <c r="C50" i="18"/>
  <c r="N62" i="18"/>
  <c r="I68" i="18"/>
  <c r="N68" i="18" s="1"/>
  <c r="L12" i="18"/>
  <c r="L16" i="18"/>
  <c r="L19" i="18"/>
  <c r="L46" i="18"/>
  <c r="L49" i="18"/>
  <c r="I8" i="18"/>
  <c r="I72" i="18" s="1"/>
  <c r="D14" i="18"/>
  <c r="M25" i="18"/>
  <c r="D50" i="18"/>
  <c r="M69" i="18"/>
  <c r="M66" i="18"/>
  <c r="M12" i="18"/>
  <c r="M53" i="18"/>
  <c r="M56" i="18"/>
  <c r="N71" i="18"/>
  <c r="H50" i="18"/>
  <c r="M50" i="18" s="1"/>
  <c r="C60" i="18"/>
  <c r="M60" i="18" s="1"/>
  <c r="C82" i="18"/>
  <c r="M82" i="18" s="1"/>
  <c r="N53" i="18"/>
  <c r="H14" i="18"/>
  <c r="I50" i="18"/>
  <c r="I14" i="18"/>
  <c r="L10" i="18"/>
  <c r="L17" i="18"/>
  <c r="L20" i="18"/>
  <c r="L23" i="18"/>
  <c r="G42" i="18"/>
  <c r="L47" i="18"/>
  <c r="C42" i="18"/>
  <c r="M13" i="18"/>
  <c r="M57" i="18"/>
  <c r="N57" i="18"/>
  <c r="O42" i="18"/>
  <c r="L74" i="18"/>
  <c r="B42" i="18"/>
  <c r="L42" i="18" s="1"/>
  <c r="L11" i="18"/>
  <c r="L18" i="18"/>
  <c r="L21" i="18"/>
  <c r="L45" i="18"/>
  <c r="L48" i="18"/>
  <c r="G50" i="18"/>
  <c r="G60" i="18"/>
  <c r="O83" i="18"/>
  <c r="N82" i="18"/>
  <c r="L82" i="18"/>
  <c r="L75" i="18"/>
  <c r="L76" i="18"/>
  <c r="L77" i="18"/>
  <c r="L78" i="18"/>
  <c r="L79" i="18"/>
  <c r="L80" i="18"/>
  <c r="L81" i="18"/>
  <c r="O70" i="18"/>
  <c r="G68" i="18"/>
  <c r="L68" i="18" s="1"/>
  <c r="L69" i="18"/>
  <c r="L67" i="18"/>
  <c r="L65" i="18"/>
  <c r="N65" i="18"/>
  <c r="N60" i="18"/>
  <c r="L64" i="18"/>
  <c r="L44" i="18"/>
  <c r="N42" i="18"/>
  <c r="M42" i="18"/>
  <c r="L39" i="18"/>
  <c r="L40" i="18"/>
  <c r="O35" i="18"/>
  <c r="L34" i="18"/>
  <c r="O34" i="18"/>
  <c r="M34" i="18"/>
  <c r="N34" i="18"/>
  <c r="L32" i="18"/>
  <c r="M24" i="18"/>
  <c r="O8" i="18"/>
  <c r="H8" i="18"/>
  <c r="E82" i="18"/>
  <c r="O82" i="18" s="1"/>
  <c r="C65" i="18"/>
  <c r="M65" i="18" s="1"/>
  <c r="B60" i="18"/>
  <c r="B50" i="18"/>
  <c r="L50" i="18" s="1"/>
  <c r="E24" i="18"/>
  <c r="O24" i="18" s="1"/>
  <c r="D24" i="18"/>
  <c r="B24" i="18"/>
  <c r="L24" i="18" s="1"/>
  <c r="B14" i="18"/>
  <c r="L14" i="18" s="1"/>
  <c r="L9" i="18"/>
  <c r="O16" i="18"/>
  <c r="O36" i="18"/>
  <c r="O44" i="18"/>
  <c r="O52" i="18"/>
  <c r="E65" i="18"/>
  <c r="O65" i="18" s="1"/>
  <c r="L83" i="18"/>
  <c r="L8" i="18"/>
  <c r="O50" i="18" l="1"/>
  <c r="J72" i="18"/>
  <c r="N24" i="18"/>
  <c r="N14" i="18"/>
  <c r="N50" i="18"/>
  <c r="N8" i="18"/>
  <c r="L60" i="18"/>
  <c r="M14" i="18"/>
  <c r="H72" i="18"/>
  <c r="G72" i="18"/>
  <c r="M72" i="18"/>
  <c r="M8" i="18"/>
  <c r="N27" i="18"/>
  <c r="E72" i="18"/>
  <c r="D72" i="18"/>
  <c r="N72" i="18" s="1"/>
  <c r="B72" i="18"/>
  <c r="O72" i="18" l="1"/>
  <c r="L72" i="18"/>
  <c r="A2" i="6"/>
  <c r="JH96" i="13" l="1"/>
  <c r="JG96" i="13"/>
  <c r="JF96" i="13"/>
  <c r="JE96" i="13"/>
  <c r="JD96" i="13"/>
  <c r="JC96" i="13"/>
  <c r="JB96" i="13"/>
  <c r="JA96" i="13"/>
  <c r="IZ96" i="13"/>
  <c r="IY96" i="13"/>
  <c r="IX96" i="13"/>
  <c r="IX97" i="13" s="1"/>
  <c r="G479" i="4" s="1"/>
  <c r="IW96" i="13"/>
  <c r="IV96" i="13"/>
  <c r="IU96" i="13"/>
  <c r="IT96" i="13"/>
  <c r="IS96" i="13"/>
  <c r="IR96" i="13"/>
  <c r="IQ96" i="13"/>
  <c r="IP96" i="13"/>
  <c r="IO96" i="13"/>
  <c r="IN96" i="13"/>
  <c r="IM96" i="13"/>
  <c r="IL96" i="13"/>
  <c r="IL97" i="13" s="1"/>
  <c r="G454" i="4" s="1"/>
  <c r="IK96" i="13"/>
  <c r="IJ96" i="13"/>
  <c r="II96" i="13"/>
  <c r="IH96" i="13"/>
  <c r="IG96" i="13"/>
  <c r="IF96" i="13"/>
  <c r="IE96" i="13"/>
  <c r="ID96" i="13"/>
  <c r="IC96" i="13"/>
  <c r="IB96" i="13"/>
  <c r="IA96" i="13"/>
  <c r="HZ96" i="13"/>
  <c r="HZ97" i="13" s="1"/>
  <c r="G433" i="4" s="1"/>
  <c r="HY96" i="13"/>
  <c r="HX96" i="13"/>
  <c r="HW96" i="13"/>
  <c r="HV96" i="13"/>
  <c r="HU96" i="13"/>
  <c r="HT96" i="13"/>
  <c r="HS96" i="13"/>
  <c r="HR96" i="13"/>
  <c r="HQ96" i="13"/>
  <c r="HP96" i="13"/>
  <c r="HO96" i="13"/>
  <c r="HN96" i="13"/>
  <c r="HN97" i="13" s="1"/>
  <c r="G409" i="4" s="1"/>
  <c r="HM96" i="13"/>
  <c r="HL96" i="13"/>
  <c r="HK96" i="13"/>
  <c r="HJ96" i="13"/>
  <c r="HI96" i="13"/>
  <c r="HH96" i="13"/>
  <c r="HG96" i="13"/>
  <c r="HF96" i="13"/>
  <c r="HE96" i="13"/>
  <c r="HD96" i="13"/>
  <c r="HC96" i="13"/>
  <c r="HB96" i="13"/>
  <c r="HB97" i="13" s="1"/>
  <c r="G382" i="4" s="1"/>
  <c r="HA96" i="13"/>
  <c r="GZ96" i="13"/>
  <c r="GY96" i="13"/>
  <c r="GX96" i="13"/>
  <c r="GW96" i="13"/>
  <c r="GV96" i="13"/>
  <c r="GU96" i="13"/>
  <c r="GT96" i="13"/>
  <c r="GS96" i="13"/>
  <c r="GR96" i="13"/>
  <c r="GQ96" i="13"/>
  <c r="GP96" i="13"/>
  <c r="GP97" i="13" s="1"/>
  <c r="G356" i="4" s="1"/>
  <c r="GO96" i="13"/>
  <c r="GN96" i="13"/>
  <c r="GM96" i="13"/>
  <c r="GL96" i="13"/>
  <c r="GK96" i="13"/>
  <c r="GJ96" i="13"/>
  <c r="GI96" i="13"/>
  <c r="GH96" i="13"/>
  <c r="GG96" i="13"/>
  <c r="GF96" i="13"/>
  <c r="GE96" i="13"/>
  <c r="GD96" i="13"/>
  <c r="GD97" i="13" s="1"/>
  <c r="G332" i="4" s="1"/>
  <c r="GC96" i="13"/>
  <c r="GB96" i="13"/>
  <c r="GA96" i="13"/>
  <c r="FZ96" i="13"/>
  <c r="FY96" i="13"/>
  <c r="FX96" i="13"/>
  <c r="FW96" i="13"/>
  <c r="FV96" i="13"/>
  <c r="FU96" i="13"/>
  <c r="FT96" i="13"/>
  <c r="FS96" i="13"/>
  <c r="FR96" i="13"/>
  <c r="FR97" i="13" s="1"/>
  <c r="G311" i="4" s="1"/>
  <c r="FQ96" i="13"/>
  <c r="FP96" i="13"/>
  <c r="FO96" i="13"/>
  <c r="FN96" i="13"/>
  <c r="FM96" i="13"/>
  <c r="FL96" i="13"/>
  <c r="FK96" i="13"/>
  <c r="FJ96" i="13"/>
  <c r="FI96" i="13"/>
  <c r="FH96" i="13"/>
  <c r="FG96" i="13"/>
  <c r="FF96" i="13"/>
  <c r="FF97" i="13" s="1"/>
  <c r="G293" i="4" s="1"/>
  <c r="FE96" i="13"/>
  <c r="FD96" i="13"/>
  <c r="FC96" i="13"/>
  <c r="FB96" i="13"/>
  <c r="FA96" i="13"/>
  <c r="EZ96" i="13"/>
  <c r="EY96" i="13"/>
  <c r="EX96" i="13"/>
  <c r="EW96" i="13"/>
  <c r="EV96" i="13"/>
  <c r="EU96" i="13"/>
  <c r="ET96" i="13"/>
  <c r="ET97" i="13" s="1"/>
  <c r="G278" i="4" s="1"/>
  <c r="ES96" i="13"/>
  <c r="ER96" i="13"/>
  <c r="EQ96" i="13"/>
  <c r="EP96" i="13"/>
  <c r="EO96" i="13"/>
  <c r="EN96" i="13"/>
  <c r="EM96" i="13"/>
  <c r="EL96" i="13"/>
  <c r="EK96" i="13"/>
  <c r="EJ96" i="13"/>
  <c r="EI96" i="13"/>
  <c r="EH96" i="13"/>
  <c r="EH97" i="13" s="1"/>
  <c r="G263" i="4" s="1"/>
  <c r="EG96" i="13"/>
  <c r="EF96" i="13"/>
  <c r="EE96" i="13"/>
  <c r="ED96" i="13"/>
  <c r="EC96" i="13"/>
  <c r="EB96" i="13"/>
  <c r="EA96" i="13"/>
  <c r="DZ96" i="13"/>
  <c r="DY96" i="13"/>
  <c r="DX96" i="13"/>
  <c r="DW96" i="13"/>
  <c r="DV96" i="13"/>
  <c r="DV97" i="13" s="1"/>
  <c r="G236" i="4" s="1"/>
  <c r="DU96" i="13"/>
  <c r="DT96" i="13"/>
  <c r="DS96" i="13"/>
  <c r="DR96" i="13"/>
  <c r="DQ96" i="13"/>
  <c r="DP96" i="13"/>
  <c r="DO96" i="13"/>
  <c r="DN96" i="13"/>
  <c r="DM96" i="13"/>
  <c r="DL96" i="13"/>
  <c r="DK96" i="13"/>
  <c r="DJ96" i="13"/>
  <c r="DJ97" i="13" s="1"/>
  <c r="G211" i="4" s="1"/>
  <c r="DI96" i="13"/>
  <c r="DH96" i="13"/>
  <c r="DG96" i="13"/>
  <c r="DF96" i="13"/>
  <c r="DE96" i="13"/>
  <c r="DD96" i="13"/>
  <c r="DC96" i="13"/>
  <c r="DB96" i="13"/>
  <c r="DA96" i="13"/>
  <c r="CZ96" i="13"/>
  <c r="CY96" i="13"/>
  <c r="CX96" i="13"/>
  <c r="CX97" i="13" s="1"/>
  <c r="G195" i="4" s="1"/>
  <c r="CW96" i="13"/>
  <c r="CV96" i="13"/>
  <c r="CU96" i="13"/>
  <c r="CT96" i="13"/>
  <c r="CS96" i="13"/>
  <c r="CR96" i="13"/>
  <c r="CQ96" i="13"/>
  <c r="CP96" i="13"/>
  <c r="CO96" i="13"/>
  <c r="CN96" i="13"/>
  <c r="CM96" i="13"/>
  <c r="CL96" i="13"/>
  <c r="CL97" i="13" s="1"/>
  <c r="G175" i="4" s="1"/>
  <c r="CK96" i="13"/>
  <c r="CJ96" i="13"/>
  <c r="CI96" i="13"/>
  <c r="CH96" i="13"/>
  <c r="CG96" i="13"/>
  <c r="CF96" i="13"/>
  <c r="CE96" i="13"/>
  <c r="CD96" i="13"/>
  <c r="CC96" i="13"/>
  <c r="CB96" i="13"/>
  <c r="CA96" i="13"/>
  <c r="BZ96" i="13"/>
  <c r="BZ97" i="13" s="1"/>
  <c r="G162" i="4" s="1"/>
  <c r="BY96" i="13"/>
  <c r="BX96" i="13"/>
  <c r="BW96" i="13"/>
  <c r="BV96" i="13"/>
  <c r="BU96" i="13"/>
  <c r="BT96" i="13"/>
  <c r="BS96" i="13"/>
  <c r="BR96" i="13"/>
  <c r="BQ96" i="13"/>
  <c r="BP96" i="13"/>
  <c r="BO96" i="13"/>
  <c r="BN96" i="13"/>
  <c r="BN97" i="13" s="1"/>
  <c r="G139" i="4" s="1"/>
  <c r="BM96" i="13"/>
  <c r="BL96" i="13"/>
  <c r="BK96" i="13"/>
  <c r="BJ96" i="13"/>
  <c r="BI96" i="13"/>
  <c r="BH96" i="13"/>
  <c r="BG96" i="13"/>
  <c r="BF96" i="13"/>
  <c r="BE96" i="13"/>
  <c r="BD96" i="13"/>
  <c r="BC96" i="13"/>
  <c r="BB96" i="13"/>
  <c r="BB97" i="13" s="1"/>
  <c r="G118" i="4" s="1"/>
  <c r="BA96" i="13"/>
  <c r="AZ96" i="13"/>
  <c r="AY96" i="13"/>
  <c r="AX96" i="13"/>
  <c r="AW96" i="13"/>
  <c r="AV96" i="13"/>
  <c r="AV97" i="13" s="1"/>
  <c r="G103" i="4" s="1"/>
  <c r="AU96" i="13"/>
  <c r="AT96" i="13"/>
  <c r="AS96" i="13"/>
  <c r="AR96" i="13"/>
  <c r="AQ96" i="13"/>
  <c r="AP96" i="13"/>
  <c r="AP97" i="13" s="1"/>
  <c r="G92" i="4" s="1"/>
  <c r="AO96" i="13"/>
  <c r="AN96" i="13"/>
  <c r="AM96" i="13"/>
  <c r="AL96" i="13"/>
  <c r="AK96" i="13"/>
  <c r="AJ96" i="13"/>
  <c r="AJ97" i="13" s="1"/>
  <c r="G77" i="4" s="1"/>
  <c r="AI96" i="13"/>
  <c r="AH96" i="13"/>
  <c r="AG96" i="13"/>
  <c r="AF96" i="13"/>
  <c r="AE96" i="13"/>
  <c r="AD96" i="13"/>
  <c r="AD97" i="13" s="1"/>
  <c r="G67" i="4" s="1"/>
  <c r="AC96" i="13"/>
  <c r="AB96" i="13"/>
  <c r="AA96" i="13"/>
  <c r="Z96" i="13"/>
  <c r="Y96" i="13"/>
  <c r="X96" i="13"/>
  <c r="W96" i="13"/>
  <c r="V96" i="13"/>
  <c r="U96" i="13"/>
  <c r="T96" i="13"/>
  <c r="S96" i="13"/>
  <c r="R96" i="13"/>
  <c r="R97" i="13" s="1"/>
  <c r="G50" i="4" s="1"/>
  <c r="Q96" i="13"/>
  <c r="P96" i="13"/>
  <c r="O96" i="13"/>
  <c r="N96" i="13"/>
  <c r="M96" i="13"/>
  <c r="L96" i="13"/>
  <c r="K96" i="13"/>
  <c r="J96" i="13"/>
  <c r="I96" i="13"/>
  <c r="H96" i="13"/>
  <c r="G96" i="13"/>
  <c r="F96" i="13"/>
  <c r="F97" i="13" s="1"/>
  <c r="G34" i="4" s="1"/>
  <c r="E96" i="13"/>
  <c r="D96" i="13"/>
  <c r="C96" i="13"/>
  <c r="B96" i="13"/>
  <c r="JI95" i="13"/>
  <c r="JI94" i="13"/>
  <c r="JI93" i="13"/>
  <c r="JI92" i="13"/>
  <c r="JI91" i="13"/>
  <c r="JI90" i="13"/>
  <c r="JI89" i="13"/>
  <c r="JI88" i="13"/>
  <c r="JI87" i="13"/>
  <c r="JI86" i="13"/>
  <c r="JI85" i="13"/>
  <c r="JI84" i="13"/>
  <c r="JI83" i="13"/>
  <c r="JI82" i="13"/>
  <c r="JP80" i="13"/>
  <c r="JN80" i="13"/>
  <c r="JM81" i="13"/>
  <c r="JK81" i="13"/>
  <c r="JH97" i="13"/>
  <c r="G501" i="4" s="1"/>
  <c r="JG97" i="13"/>
  <c r="G499" i="4" s="1"/>
  <c r="JF97" i="13"/>
  <c r="G496" i="4" s="1"/>
  <c r="JE97" i="13"/>
  <c r="G494" i="4" s="1"/>
  <c r="JD97" i="13"/>
  <c r="G491" i="4" s="1"/>
  <c r="JB97" i="13"/>
  <c r="G487" i="4" s="1"/>
  <c r="IZ97" i="13"/>
  <c r="G483" i="4" s="1"/>
  <c r="IV97" i="13"/>
  <c r="G475" i="4" s="1"/>
  <c r="IU97" i="13"/>
  <c r="G472" i="4" s="1"/>
  <c r="IT97" i="13"/>
  <c r="G470" i="4" s="1"/>
  <c r="IS97" i="13"/>
  <c r="G468" i="4" s="1"/>
  <c r="IR97" i="13"/>
  <c r="G466" i="4" s="1"/>
  <c r="IP97" i="13"/>
  <c r="G460" i="4" s="1"/>
  <c r="IN97" i="13"/>
  <c r="G458" i="4" s="1"/>
  <c r="IJ97" i="13"/>
  <c r="G451" i="4" s="1"/>
  <c r="II97" i="13"/>
  <c r="G449" i="4" s="1"/>
  <c r="IH97" i="13"/>
  <c r="G448" i="4" s="1"/>
  <c r="IG97" i="13"/>
  <c r="G445" i="4" s="1"/>
  <c r="IF97" i="13"/>
  <c r="G443" i="4" s="1"/>
  <c r="ID97" i="13"/>
  <c r="G441" i="4" s="1"/>
  <c r="IB97" i="13"/>
  <c r="G437" i="4" s="1"/>
  <c r="HX97" i="13"/>
  <c r="G430" i="4" s="1"/>
  <c r="HW97" i="13"/>
  <c r="G428" i="4" s="1"/>
  <c r="HV97" i="13"/>
  <c r="G426" i="4" s="1"/>
  <c r="HU97" i="13"/>
  <c r="G423" i="4" s="1"/>
  <c r="HT97" i="13"/>
  <c r="G421" i="4" s="1"/>
  <c r="HR97" i="13"/>
  <c r="G417" i="4" s="1"/>
  <c r="HP97" i="13"/>
  <c r="G413" i="4" s="1"/>
  <c r="HL97" i="13"/>
  <c r="G404" i="4" s="1"/>
  <c r="HK97" i="13"/>
  <c r="G402" i="4" s="1"/>
  <c r="HJ97" i="13"/>
  <c r="G399" i="4" s="1"/>
  <c r="HI97" i="13"/>
  <c r="G397" i="4" s="1"/>
  <c r="HH97" i="13"/>
  <c r="G395" i="4" s="1"/>
  <c r="HF97" i="13"/>
  <c r="G391" i="4" s="1"/>
  <c r="HD97" i="13"/>
  <c r="G387" i="4" s="1"/>
  <c r="GZ97" i="13"/>
  <c r="G378" i="4" s="1"/>
  <c r="GY97" i="13"/>
  <c r="G376" i="4" s="1"/>
  <c r="GX97" i="13"/>
  <c r="G374" i="4" s="1"/>
  <c r="GW97" i="13"/>
  <c r="G372" i="4" s="1"/>
  <c r="GV97" i="13"/>
  <c r="G370" i="4" s="1"/>
  <c r="GT97" i="13"/>
  <c r="G365" i="4" s="1"/>
  <c r="GR97" i="13"/>
  <c r="G361" i="4" s="1"/>
  <c r="GN97" i="13"/>
  <c r="G352" i="4" s="1"/>
  <c r="GM97" i="13"/>
  <c r="G350" i="4" s="1"/>
  <c r="GL97" i="13"/>
  <c r="G347" i="4" s="1"/>
  <c r="GK97" i="13"/>
  <c r="G345" i="4" s="1"/>
  <c r="GJ97" i="13"/>
  <c r="G343" i="4" s="1"/>
  <c r="GH97" i="13"/>
  <c r="G339" i="4" s="1"/>
  <c r="GF97" i="13"/>
  <c r="G334" i="4" s="1"/>
  <c r="GB97" i="13"/>
  <c r="G329" i="4" s="1"/>
  <c r="GA97" i="13"/>
  <c r="G328" i="4" s="1"/>
  <c r="FZ97" i="13"/>
  <c r="G326" i="4" s="1"/>
  <c r="FY97" i="13"/>
  <c r="G325" i="4" s="1"/>
  <c r="FX97" i="13"/>
  <c r="G323" i="4" s="1"/>
  <c r="FV97" i="13"/>
  <c r="G319" i="4" s="1"/>
  <c r="FT97" i="13"/>
  <c r="G315" i="4" s="1"/>
  <c r="FP97" i="13"/>
  <c r="G307" i="4" s="1"/>
  <c r="FO97" i="13"/>
  <c r="G305" i="4" s="1"/>
  <c r="FN97" i="13"/>
  <c r="G302" i="4" s="1"/>
  <c r="B10" i="6" s="1"/>
  <c r="FM97" i="13"/>
  <c r="G301" i="4" s="1"/>
  <c r="FL97" i="13"/>
  <c r="G300" i="4" s="1"/>
  <c r="FJ97" i="13"/>
  <c r="G298" i="4" s="1"/>
  <c r="FH97" i="13"/>
  <c r="G296" i="4" s="1"/>
  <c r="FD97" i="13"/>
  <c r="G291" i="4" s="1"/>
  <c r="FC97" i="13"/>
  <c r="G290" i="4" s="1"/>
  <c r="FB97" i="13"/>
  <c r="G289" i="4" s="1"/>
  <c r="FA97" i="13"/>
  <c r="G288" i="4" s="1"/>
  <c r="B29" i="6" s="1"/>
  <c r="EZ97" i="13"/>
  <c r="G285" i="4" s="1"/>
  <c r="EX97" i="13"/>
  <c r="G282" i="4" s="1"/>
  <c r="EV97" i="13"/>
  <c r="G280" i="4" s="1"/>
  <c r="ER97" i="13"/>
  <c r="G275" i="4" s="1"/>
  <c r="EQ97" i="13"/>
  <c r="G274" i="4" s="1"/>
  <c r="EP97" i="13"/>
  <c r="G273" i="4" s="1"/>
  <c r="EO97" i="13"/>
  <c r="G271" i="4" s="1"/>
  <c r="EN97" i="13"/>
  <c r="G270" i="4" s="1"/>
  <c r="EL97" i="13"/>
  <c r="G267" i="4" s="1"/>
  <c r="EJ97" i="13"/>
  <c r="G265" i="4" s="1"/>
  <c r="EF97" i="13"/>
  <c r="G258" i="4" s="1"/>
  <c r="EE97" i="13"/>
  <c r="G256" i="4" s="1"/>
  <c r="ED97" i="13"/>
  <c r="G254" i="4" s="1"/>
  <c r="EC97" i="13"/>
  <c r="G252" i="4" s="1"/>
  <c r="EB97" i="13"/>
  <c r="G249" i="4" s="1"/>
  <c r="DZ97" i="13"/>
  <c r="G244" i="4" s="1"/>
  <c r="DX97" i="13"/>
  <c r="G240" i="4" s="1"/>
  <c r="DT97" i="13"/>
  <c r="G231" i="4" s="1"/>
  <c r="DS97" i="13"/>
  <c r="G229" i="4" s="1"/>
  <c r="DR97" i="13"/>
  <c r="G227" i="4" s="1"/>
  <c r="DQ97" i="13"/>
  <c r="G224" i="4" s="1"/>
  <c r="DP97" i="13"/>
  <c r="G222" i="4" s="1"/>
  <c r="DN97" i="13"/>
  <c r="G220" i="4" s="1"/>
  <c r="DL97" i="13"/>
  <c r="G216" i="4" s="1"/>
  <c r="DH97" i="13"/>
  <c r="G207" i="4" s="1"/>
  <c r="DG97" i="13"/>
  <c r="G206" i="4" s="1"/>
  <c r="DF97" i="13"/>
  <c r="G205" i="4" s="1"/>
  <c r="DE97" i="13"/>
  <c r="G203" i="4" s="1"/>
  <c r="DD97" i="13"/>
  <c r="G202" i="4" s="1"/>
  <c r="DB97" i="13"/>
  <c r="G200" i="4" s="1"/>
  <c r="CZ97" i="13"/>
  <c r="G198" i="4" s="1"/>
  <c r="CV97" i="13"/>
  <c r="G193" i="4" s="1"/>
  <c r="CU97" i="13"/>
  <c r="G191" i="4" s="1"/>
  <c r="CT97" i="13"/>
  <c r="G190" i="4" s="1"/>
  <c r="CS97" i="13"/>
  <c r="G189" i="4" s="1"/>
  <c r="CR97" i="13"/>
  <c r="G187" i="4" s="1"/>
  <c r="CP97" i="13"/>
  <c r="G183" i="4" s="1"/>
  <c r="CN97" i="13"/>
  <c r="G178" i="4" s="1"/>
  <c r="CJ97" i="13"/>
  <c r="G173" i="4" s="1"/>
  <c r="CI97" i="13"/>
  <c r="G172" i="4" s="1"/>
  <c r="CH97" i="13"/>
  <c r="G171" i="4" s="1"/>
  <c r="CG97" i="13"/>
  <c r="G170" i="4" s="1"/>
  <c r="CF97" i="13"/>
  <c r="G169" i="4" s="1"/>
  <c r="CD97" i="13"/>
  <c r="G166" i="4" s="1"/>
  <c r="CB97" i="13"/>
  <c r="G164" i="4" s="1"/>
  <c r="BX97" i="13"/>
  <c r="G160" i="4" s="1"/>
  <c r="BW97" i="13"/>
  <c r="G159" i="4" s="1"/>
  <c r="BV97" i="13"/>
  <c r="G156" i="4" s="1"/>
  <c r="BU97" i="13"/>
  <c r="G154" i="4" s="1"/>
  <c r="BT97" i="13"/>
  <c r="G152" i="4" s="1"/>
  <c r="BR97" i="13"/>
  <c r="G147" i="4" s="1"/>
  <c r="BP97" i="13"/>
  <c r="G143" i="4" s="1"/>
  <c r="BL97" i="13"/>
  <c r="G135" i="4" s="1"/>
  <c r="BK97" i="13"/>
  <c r="G134" i="4" s="1"/>
  <c r="BJ97" i="13"/>
  <c r="G133" i="4" s="1"/>
  <c r="BI97" i="13"/>
  <c r="G132" i="4" s="1"/>
  <c r="BH97" i="13"/>
  <c r="G131" i="4" s="1"/>
  <c r="BF97" i="13"/>
  <c r="G127" i="4" s="1"/>
  <c r="BD97" i="13"/>
  <c r="G122" i="4" s="1"/>
  <c r="AZ97" i="13"/>
  <c r="G113" i="4" s="1"/>
  <c r="AY97" i="13"/>
  <c r="G110" i="4" s="1"/>
  <c r="AX97" i="13"/>
  <c r="G108" i="4" s="1"/>
  <c r="AW97" i="13"/>
  <c r="G105" i="4" s="1"/>
  <c r="AT97" i="13"/>
  <c r="G100" i="4" s="1"/>
  <c r="AR97" i="13"/>
  <c r="G96" i="4" s="1"/>
  <c r="AN97" i="13"/>
  <c r="G86" i="4" s="1"/>
  <c r="AM97" i="13"/>
  <c r="G84" i="4" s="1"/>
  <c r="AL97" i="13"/>
  <c r="G82" i="4" s="1"/>
  <c r="AK97" i="13"/>
  <c r="G80" i="4" s="1"/>
  <c r="AH97" i="13"/>
  <c r="G75" i="4" s="1"/>
  <c r="AF97" i="13"/>
  <c r="G70" i="4" s="1"/>
  <c r="AB97" i="13"/>
  <c r="G63" i="4" s="1"/>
  <c r="AA97" i="13"/>
  <c r="G62" i="4" s="1"/>
  <c r="Z97" i="13"/>
  <c r="G61" i="4" s="1"/>
  <c r="Y97" i="13"/>
  <c r="G60" i="4" s="1"/>
  <c r="X97" i="13"/>
  <c r="G59" i="4" s="1"/>
  <c r="V97" i="13"/>
  <c r="G57" i="4" s="1"/>
  <c r="T97" i="13"/>
  <c r="G55" i="4" s="1"/>
  <c r="P97" i="13"/>
  <c r="G48" i="4" s="1"/>
  <c r="O97" i="13"/>
  <c r="G47" i="4" s="1"/>
  <c r="N97" i="13"/>
  <c r="G45" i="4" s="1"/>
  <c r="M97" i="13"/>
  <c r="G43" i="4" s="1"/>
  <c r="L97" i="13"/>
  <c r="G41" i="4" s="1"/>
  <c r="J97" i="13"/>
  <c r="G39" i="4" s="1"/>
  <c r="H97" i="13"/>
  <c r="G37" i="4" s="1"/>
  <c r="D97" i="13"/>
  <c r="G32" i="4" s="1"/>
  <c r="C97" i="13"/>
  <c r="G31" i="4" s="1"/>
  <c r="B97" i="13"/>
  <c r="G30" i="4" s="1"/>
  <c r="A97" i="13"/>
  <c r="G29" i="4" s="1"/>
  <c r="JI56" i="13"/>
  <c r="JI55" i="13"/>
  <c r="JI54" i="13"/>
  <c r="JI53" i="13"/>
  <c r="JI52" i="13"/>
  <c r="JI51" i="13"/>
  <c r="JI50" i="13"/>
  <c r="JI49" i="13"/>
  <c r="JI48" i="13"/>
  <c r="JI47" i="13"/>
  <c r="JI46" i="13"/>
  <c r="JI45" i="13"/>
  <c r="JI44" i="13"/>
  <c r="JI43" i="13"/>
  <c r="JI42" i="13"/>
  <c r="JI41" i="13"/>
  <c r="JI40" i="13"/>
  <c r="JI39" i="13"/>
  <c r="JI38" i="13"/>
  <c r="JI37" i="13"/>
  <c r="JI36" i="13"/>
  <c r="JI35" i="13"/>
  <c r="JI34" i="13"/>
  <c r="JI33" i="13"/>
  <c r="JI32" i="13"/>
  <c r="JI31" i="13"/>
  <c r="JI30" i="13"/>
  <c r="JI29" i="13"/>
  <c r="JI28" i="13"/>
  <c r="JI27" i="13"/>
  <c r="JI26" i="13"/>
  <c r="JI25" i="13"/>
  <c r="JI24" i="13"/>
  <c r="JI23" i="13"/>
  <c r="JI22" i="13"/>
  <c r="JI21" i="13"/>
  <c r="JI20" i="13"/>
  <c r="JI19" i="13"/>
  <c r="JI18" i="13"/>
  <c r="JI17" i="13"/>
  <c r="JI16" i="13"/>
  <c r="JI15" i="13"/>
  <c r="JI14" i="13"/>
  <c r="JI13" i="13"/>
  <c r="JI12" i="13"/>
  <c r="JI11" i="13"/>
  <c r="JI10" i="13"/>
  <c r="JI9" i="13"/>
  <c r="JI8" i="13"/>
  <c r="JI7" i="13"/>
  <c r="JI6" i="13"/>
  <c r="JI5" i="13"/>
  <c r="JI4" i="13"/>
  <c r="JO3" i="13"/>
  <c r="JO80" i="13" s="1"/>
  <c r="JI3" i="13"/>
  <c r="JL81" i="13" l="1"/>
  <c r="E97" i="13"/>
  <c r="G33" i="4" s="1"/>
  <c r="Q97" i="13"/>
  <c r="G49" i="4" s="1"/>
  <c r="AC97" i="13"/>
  <c r="G66" i="4" s="1"/>
  <c r="AO97" i="13"/>
  <c r="G90" i="4" s="1"/>
  <c r="BA97" i="13"/>
  <c r="G115" i="4" s="1"/>
  <c r="BM97" i="13"/>
  <c r="G137" i="4" s="1"/>
  <c r="BY97" i="13"/>
  <c r="G161" i="4" s="1"/>
  <c r="CK97" i="13"/>
  <c r="G174" i="4" s="1"/>
  <c r="CW97" i="13"/>
  <c r="G194" i="4" s="1"/>
  <c r="DI97" i="13"/>
  <c r="G210" i="4" s="1"/>
  <c r="DU97" i="13"/>
  <c r="G234" i="4" s="1"/>
  <c r="EG97" i="13"/>
  <c r="G260" i="4" s="1"/>
  <c r="ES97" i="13"/>
  <c r="G277" i="4" s="1"/>
  <c r="FE97" i="13"/>
  <c r="G292" i="4" s="1"/>
  <c r="FQ97" i="13"/>
  <c r="G310" i="4" s="1"/>
  <c r="GC97" i="13"/>
  <c r="G331" i="4" s="1"/>
  <c r="GO97" i="13"/>
  <c r="G354" i="4" s="1"/>
  <c r="HA97" i="13"/>
  <c r="G380" i="4" s="1"/>
  <c r="HM97" i="13"/>
  <c r="G407" i="4" s="1"/>
  <c r="HY97" i="13"/>
  <c r="G431" i="4" s="1"/>
  <c r="IK97" i="13"/>
  <c r="G452" i="4" s="1"/>
  <c r="IW97" i="13"/>
  <c r="G477" i="4" s="1"/>
  <c r="G97" i="13"/>
  <c r="G36" i="4" s="1"/>
  <c r="S97" i="13"/>
  <c r="G53" i="4" s="1"/>
  <c r="AE97" i="13"/>
  <c r="G69" i="4" s="1"/>
  <c r="AQ97" i="13"/>
  <c r="G94" i="4" s="1"/>
  <c r="BC97" i="13"/>
  <c r="G120" i="4" s="1"/>
  <c r="BO97" i="13"/>
  <c r="G141" i="4" s="1"/>
  <c r="CA97" i="13"/>
  <c r="G163" i="4" s="1"/>
  <c r="CM97" i="13"/>
  <c r="G176" i="4" s="1"/>
  <c r="CY97" i="13"/>
  <c r="G196" i="4" s="1"/>
  <c r="DK97" i="13"/>
  <c r="G215" i="4" s="1"/>
  <c r="DW97" i="13"/>
  <c r="G238" i="4" s="1"/>
  <c r="EI97" i="13"/>
  <c r="G264" i="4" s="1"/>
  <c r="EU97" i="13"/>
  <c r="G279" i="4" s="1"/>
  <c r="FG97" i="13"/>
  <c r="G294" i="4" s="1"/>
  <c r="B31" i="6" s="1"/>
  <c r="FS97" i="13"/>
  <c r="G313" i="4" s="1"/>
  <c r="GE97" i="13"/>
  <c r="G333" i="4" s="1"/>
  <c r="GQ97" i="13"/>
  <c r="G359" i="4" s="1"/>
  <c r="HC97" i="13"/>
  <c r="G385" i="4" s="1"/>
  <c r="HO97" i="13"/>
  <c r="G411" i="4" s="1"/>
  <c r="IA97" i="13"/>
  <c r="G435" i="4" s="1"/>
  <c r="IM97" i="13"/>
  <c r="G456" i="4" s="1"/>
  <c r="IY97" i="13"/>
  <c r="G481" i="4" s="1"/>
  <c r="I97" i="13"/>
  <c r="G38" i="4" s="1"/>
  <c r="U97" i="13"/>
  <c r="G56" i="4" s="1"/>
  <c r="AG97" i="13"/>
  <c r="G73" i="4" s="1"/>
  <c r="AS97" i="13"/>
  <c r="G98" i="4" s="1"/>
  <c r="BE97" i="13"/>
  <c r="G124" i="4" s="1"/>
  <c r="BQ97" i="13"/>
  <c r="G145" i="4" s="1"/>
  <c r="CC97" i="13"/>
  <c r="G165" i="4" s="1"/>
  <c r="CO97" i="13"/>
  <c r="G181" i="4" s="1"/>
  <c r="DA97" i="13"/>
  <c r="G199" i="4" s="1"/>
  <c r="DM97" i="13"/>
  <c r="G218" i="4" s="1"/>
  <c r="DY97" i="13"/>
  <c r="G242" i="4" s="1"/>
  <c r="EK97" i="13"/>
  <c r="G266" i="4" s="1"/>
  <c r="EW97" i="13"/>
  <c r="G281" i="4" s="1"/>
  <c r="FI97" i="13"/>
  <c r="G297" i="4" s="1"/>
  <c r="B11" i="6" s="1"/>
  <c r="FU97" i="13"/>
  <c r="G317" i="4" s="1"/>
  <c r="GG97" i="13"/>
  <c r="G335" i="4" s="1"/>
  <c r="GS97" i="13"/>
  <c r="G363" i="4" s="1"/>
  <c r="HE97" i="13"/>
  <c r="G389" i="4" s="1"/>
  <c r="HQ97" i="13"/>
  <c r="G415" i="4" s="1"/>
  <c r="IC97" i="13"/>
  <c r="G439" i="4" s="1"/>
  <c r="IO97" i="13"/>
  <c r="G459" i="4" s="1"/>
  <c r="JA97" i="13"/>
  <c r="G485" i="4" s="1"/>
  <c r="K97" i="13"/>
  <c r="G40" i="4" s="1"/>
  <c r="W97" i="13"/>
  <c r="G58" i="4" s="1"/>
  <c r="AI97" i="13"/>
  <c r="G76" i="4" s="1"/>
  <c r="AU97" i="13"/>
  <c r="G101" i="4" s="1"/>
  <c r="BG97" i="13"/>
  <c r="G129" i="4" s="1"/>
  <c r="BS97" i="13"/>
  <c r="G150" i="4" s="1"/>
  <c r="CE97" i="13"/>
  <c r="G168" i="4" s="1"/>
  <c r="CQ97" i="13"/>
  <c r="G185" i="4" s="1"/>
  <c r="DC97" i="13"/>
  <c r="G201" i="4" s="1"/>
  <c r="DO97" i="13"/>
  <c r="G221" i="4" s="1"/>
  <c r="EA97" i="13"/>
  <c r="G247" i="4" s="1"/>
  <c r="EM97" i="13"/>
  <c r="G269" i="4" s="1"/>
  <c r="EY97" i="13"/>
  <c r="G283" i="4" s="1"/>
  <c r="FK97" i="13"/>
  <c r="G299" i="4" s="1"/>
  <c r="FW97" i="13"/>
  <c r="G321" i="4" s="1"/>
  <c r="GI97" i="13"/>
  <c r="G341" i="4" s="1"/>
  <c r="GU97" i="13"/>
  <c r="G368" i="4" s="1"/>
  <c r="HG97" i="13"/>
  <c r="G393" i="4" s="1"/>
  <c r="HS97" i="13"/>
  <c r="G419" i="4" s="1"/>
  <c r="IE97" i="13"/>
  <c r="G442" i="4" s="1"/>
  <c r="IQ97" i="13"/>
  <c r="G462" i="4" s="1"/>
  <c r="JC97" i="13"/>
  <c r="G489" i="4" s="1"/>
  <c r="JI96" i="13"/>
  <c r="B30" i="6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I74" i="1"/>
  <c r="DJ74" i="1"/>
  <c r="DK74" i="1"/>
  <c r="DL74" i="1"/>
  <c r="DM74" i="1"/>
  <c r="DN74" i="1"/>
  <c r="DO74" i="1"/>
  <c r="DP74" i="1"/>
  <c r="DQ74" i="1"/>
  <c r="DR74" i="1"/>
  <c r="DS74" i="1"/>
  <c r="DT74" i="1"/>
  <c r="DU74" i="1"/>
  <c r="DV74" i="1"/>
  <c r="DW74" i="1"/>
  <c r="DX74" i="1"/>
  <c r="DY74" i="1"/>
  <c r="DZ74" i="1"/>
  <c r="EA74" i="1"/>
  <c r="EB74" i="1"/>
  <c r="EC74" i="1"/>
  <c r="ED74" i="1"/>
  <c r="EE74" i="1"/>
  <c r="EF74" i="1"/>
  <c r="EG74" i="1"/>
  <c r="EH74" i="1"/>
  <c r="EI74" i="1"/>
  <c r="EJ74" i="1"/>
  <c r="EK74" i="1"/>
  <c r="EL74" i="1"/>
  <c r="EM74" i="1"/>
  <c r="EN74" i="1"/>
  <c r="EO74" i="1"/>
  <c r="EP74" i="1"/>
  <c r="EQ74" i="1"/>
  <c r="ER74" i="1"/>
  <c r="ES74" i="1"/>
  <c r="ET74" i="1"/>
  <c r="EU74" i="1"/>
  <c r="EV74" i="1"/>
  <c r="EW74" i="1"/>
  <c r="EX74" i="1"/>
  <c r="EY74" i="1"/>
  <c r="EZ74" i="1"/>
  <c r="FA74" i="1"/>
  <c r="FB74" i="1"/>
  <c r="FC74" i="1"/>
  <c r="FD74" i="1"/>
  <c r="FE74" i="1"/>
  <c r="FF74" i="1"/>
  <c r="FG74" i="1"/>
  <c r="FH74" i="1"/>
  <c r="FI74" i="1"/>
  <c r="FJ74" i="1"/>
  <c r="FK74" i="1"/>
  <c r="FL74" i="1"/>
  <c r="FM74" i="1"/>
  <c r="FN74" i="1"/>
  <c r="FO74" i="1"/>
  <c r="FP74" i="1"/>
  <c r="FQ74" i="1"/>
  <c r="FR74" i="1"/>
  <c r="FS74" i="1"/>
  <c r="FT74" i="1"/>
  <c r="FU74" i="1"/>
  <c r="FV74" i="1"/>
  <c r="FW74" i="1"/>
  <c r="FX74" i="1"/>
  <c r="FY74" i="1"/>
  <c r="FZ74" i="1"/>
  <c r="GA74" i="1"/>
  <c r="GB74" i="1"/>
  <c r="GC74" i="1"/>
  <c r="GD74" i="1"/>
  <c r="GE74" i="1"/>
  <c r="GF74" i="1"/>
  <c r="GG74" i="1"/>
  <c r="GH74" i="1"/>
  <c r="GI74" i="1"/>
  <c r="GJ74" i="1"/>
  <c r="GK74" i="1"/>
  <c r="GL74" i="1"/>
  <c r="GM74" i="1"/>
  <c r="GN74" i="1"/>
  <c r="GO74" i="1"/>
  <c r="GP74" i="1"/>
  <c r="GQ74" i="1"/>
  <c r="GR74" i="1"/>
  <c r="GS74" i="1"/>
  <c r="GT74" i="1"/>
  <c r="GU74" i="1"/>
  <c r="GV74" i="1"/>
  <c r="GW74" i="1"/>
  <c r="GX74" i="1"/>
  <c r="GY74" i="1"/>
  <c r="GZ74" i="1"/>
  <c r="HA74" i="1"/>
  <c r="HB74" i="1"/>
  <c r="HC74" i="1"/>
  <c r="HD74" i="1"/>
  <c r="HE74" i="1"/>
  <c r="HF74" i="1"/>
  <c r="HG74" i="1"/>
  <c r="HH74" i="1"/>
  <c r="HI74" i="1"/>
  <c r="HJ74" i="1"/>
  <c r="HK74" i="1"/>
  <c r="HL74" i="1"/>
  <c r="HM74" i="1"/>
  <c r="HN74" i="1"/>
  <c r="HO74" i="1"/>
  <c r="HP74" i="1"/>
  <c r="HQ74" i="1"/>
  <c r="HR74" i="1"/>
  <c r="HS74" i="1"/>
  <c r="HT74" i="1"/>
  <c r="HU74" i="1"/>
  <c r="HV74" i="1"/>
  <c r="HW74" i="1"/>
  <c r="HX74" i="1"/>
  <c r="HY74" i="1"/>
  <c r="HZ74" i="1"/>
  <c r="IA74" i="1"/>
  <c r="IB74" i="1"/>
  <c r="IC74" i="1"/>
  <c r="ID74" i="1"/>
  <c r="IE74" i="1"/>
  <c r="IF74" i="1"/>
  <c r="IG74" i="1"/>
  <c r="IH74" i="1"/>
  <c r="II74" i="1"/>
  <c r="IJ74" i="1"/>
  <c r="IK74" i="1"/>
  <c r="IL74" i="1"/>
  <c r="IM74" i="1"/>
  <c r="IN74" i="1"/>
  <c r="IO74" i="1"/>
  <c r="IP74" i="1"/>
  <c r="IQ74" i="1"/>
  <c r="IR74" i="1"/>
  <c r="IS74" i="1"/>
  <c r="IT74" i="1"/>
  <c r="IU74" i="1"/>
  <c r="IV74" i="1"/>
  <c r="IW74" i="1"/>
  <c r="IX74" i="1"/>
  <c r="IY74" i="1"/>
  <c r="IZ74" i="1"/>
  <c r="JA74" i="1"/>
  <c r="JB74" i="1"/>
  <c r="JC74" i="1"/>
  <c r="JD74" i="1"/>
  <c r="JE74" i="1"/>
  <c r="JF74" i="1"/>
  <c r="JG74" i="1"/>
  <c r="JH74" i="1"/>
  <c r="A74" i="1"/>
  <c r="B75" i="1"/>
  <c r="C75" i="1"/>
  <c r="D75" i="1"/>
  <c r="E75" i="1"/>
  <c r="F75" i="1"/>
  <c r="G75" i="1"/>
  <c r="H75" i="1"/>
  <c r="K75" i="1"/>
  <c r="L75" i="1"/>
  <c r="M75" i="1"/>
  <c r="N75" i="1"/>
  <c r="O75" i="1"/>
  <c r="P75" i="1"/>
  <c r="Q75" i="1"/>
  <c r="R75" i="1"/>
  <c r="S75" i="1"/>
  <c r="T75" i="1"/>
  <c r="W75" i="1"/>
  <c r="X75" i="1"/>
  <c r="Y75" i="1"/>
  <c r="Z75" i="1"/>
  <c r="AA75" i="1"/>
  <c r="AB75" i="1"/>
  <c r="AC75" i="1"/>
  <c r="AD75" i="1"/>
  <c r="AE75" i="1"/>
  <c r="AF75" i="1"/>
  <c r="AI75" i="1"/>
  <c r="H76" i="4" s="1"/>
  <c r="AJ75" i="1"/>
  <c r="AK75" i="1"/>
  <c r="AL75" i="1"/>
  <c r="AM75" i="1"/>
  <c r="AN75" i="1"/>
  <c r="AO75" i="1"/>
  <c r="AP75" i="1"/>
  <c r="AQ75" i="1"/>
  <c r="AR75" i="1"/>
  <c r="AU75" i="1"/>
  <c r="AV75" i="1"/>
  <c r="AW75" i="1"/>
  <c r="AX75" i="1"/>
  <c r="AY75" i="1"/>
  <c r="AZ75" i="1"/>
  <c r="BA75" i="1"/>
  <c r="BB75" i="1"/>
  <c r="BC75" i="1"/>
  <c r="BD75" i="1"/>
  <c r="BG75" i="1"/>
  <c r="BH75" i="1"/>
  <c r="BI75" i="1"/>
  <c r="BJ75" i="1"/>
  <c r="BK75" i="1"/>
  <c r="BL75" i="1"/>
  <c r="BM75" i="1"/>
  <c r="BN75" i="1"/>
  <c r="BO75" i="1"/>
  <c r="BP75" i="1"/>
  <c r="BS75" i="1"/>
  <c r="BT75" i="1"/>
  <c r="BU75" i="1"/>
  <c r="BV75" i="1"/>
  <c r="BW75" i="1"/>
  <c r="BX75" i="1"/>
  <c r="BY75" i="1"/>
  <c r="BZ75" i="1"/>
  <c r="CA75" i="1"/>
  <c r="CB75" i="1"/>
  <c r="CE75" i="1"/>
  <c r="CF75" i="1"/>
  <c r="CG75" i="1"/>
  <c r="CH75" i="1"/>
  <c r="CI75" i="1"/>
  <c r="CJ75" i="1"/>
  <c r="CK75" i="1"/>
  <c r="CL75" i="1"/>
  <c r="CM75" i="1"/>
  <c r="CN75" i="1"/>
  <c r="CQ75" i="1"/>
  <c r="CR75" i="1"/>
  <c r="CS75" i="1"/>
  <c r="CT75" i="1"/>
  <c r="CU75" i="1"/>
  <c r="CV75" i="1"/>
  <c r="CW75" i="1"/>
  <c r="CX75" i="1"/>
  <c r="CY75" i="1"/>
  <c r="CZ75" i="1"/>
  <c r="DC75" i="1"/>
  <c r="DD75" i="1"/>
  <c r="DE75" i="1"/>
  <c r="DF75" i="1"/>
  <c r="DG75" i="1"/>
  <c r="DH75" i="1"/>
  <c r="DI75" i="1"/>
  <c r="DJ75" i="1"/>
  <c r="DK75" i="1"/>
  <c r="DL75" i="1"/>
  <c r="DO75" i="1"/>
  <c r="DP75" i="1"/>
  <c r="DQ75" i="1"/>
  <c r="DR75" i="1"/>
  <c r="DS75" i="1"/>
  <c r="DT75" i="1"/>
  <c r="DU75" i="1"/>
  <c r="DV75" i="1"/>
  <c r="DW75" i="1"/>
  <c r="DX75" i="1"/>
  <c r="EA75" i="1"/>
  <c r="EB75" i="1"/>
  <c r="EC75" i="1"/>
  <c r="ED75" i="1"/>
  <c r="EE75" i="1"/>
  <c r="EF75" i="1"/>
  <c r="EG75" i="1"/>
  <c r="EH75" i="1"/>
  <c r="EI75" i="1"/>
  <c r="EJ75" i="1"/>
  <c r="EM75" i="1"/>
  <c r="EN75" i="1"/>
  <c r="EO75" i="1"/>
  <c r="EP75" i="1"/>
  <c r="EQ75" i="1"/>
  <c r="ER75" i="1"/>
  <c r="ES75" i="1"/>
  <c r="ET75" i="1"/>
  <c r="EU75" i="1"/>
  <c r="EV75" i="1"/>
  <c r="EY75" i="1"/>
  <c r="EZ75" i="1"/>
  <c r="FA75" i="1"/>
  <c r="FB75" i="1"/>
  <c r="FC75" i="1"/>
  <c r="FE75" i="1"/>
  <c r="FF75" i="1"/>
  <c r="FG75" i="1"/>
  <c r="FH75" i="1"/>
  <c r="FK75" i="1"/>
  <c r="FL75" i="1"/>
  <c r="FM75" i="1"/>
  <c r="FN75" i="1"/>
  <c r="FO75" i="1"/>
  <c r="FP75" i="1"/>
  <c r="FQ75" i="1"/>
  <c r="FR75" i="1"/>
  <c r="FS75" i="1"/>
  <c r="FT75" i="1"/>
  <c r="FW75" i="1"/>
  <c r="FX75" i="1"/>
  <c r="FY75" i="1"/>
  <c r="FZ75" i="1"/>
  <c r="GA75" i="1"/>
  <c r="GB75" i="1"/>
  <c r="GC75" i="1"/>
  <c r="GD75" i="1"/>
  <c r="GE75" i="1"/>
  <c r="GF75" i="1"/>
  <c r="GI75" i="1"/>
  <c r="GJ75" i="1"/>
  <c r="GK75" i="1"/>
  <c r="GL75" i="1"/>
  <c r="GM75" i="1"/>
  <c r="GN75" i="1"/>
  <c r="GO75" i="1"/>
  <c r="GP75" i="1"/>
  <c r="GQ75" i="1"/>
  <c r="GR75" i="1"/>
  <c r="GU75" i="1"/>
  <c r="GV75" i="1"/>
  <c r="GW75" i="1"/>
  <c r="GX75" i="1"/>
  <c r="GY75" i="1"/>
  <c r="GZ75" i="1"/>
  <c r="HA75" i="1"/>
  <c r="HB75" i="1"/>
  <c r="HC75" i="1"/>
  <c r="HD75" i="1"/>
  <c r="HG75" i="1"/>
  <c r="HH75" i="1"/>
  <c r="HI75" i="1"/>
  <c r="HJ75" i="1"/>
  <c r="HK75" i="1"/>
  <c r="HL75" i="1"/>
  <c r="HM75" i="1"/>
  <c r="HN75" i="1"/>
  <c r="HO75" i="1"/>
  <c r="HP75" i="1"/>
  <c r="HS75" i="1"/>
  <c r="HT75" i="1"/>
  <c r="HU75" i="1"/>
  <c r="HV75" i="1"/>
  <c r="HW75" i="1"/>
  <c r="HX75" i="1"/>
  <c r="HY75" i="1"/>
  <c r="HZ75" i="1"/>
  <c r="IA75" i="1"/>
  <c r="IB75" i="1"/>
  <c r="IE75" i="1"/>
  <c r="IF75" i="1"/>
  <c r="IG75" i="1"/>
  <c r="IH75" i="1"/>
  <c r="II75" i="1"/>
  <c r="IJ75" i="1"/>
  <c r="IK75" i="1"/>
  <c r="IL75" i="1"/>
  <c r="IM75" i="1"/>
  <c r="IN75" i="1"/>
  <c r="IQ75" i="1"/>
  <c r="IR75" i="1"/>
  <c r="IS75" i="1"/>
  <c r="IT75" i="1"/>
  <c r="IU75" i="1"/>
  <c r="IV75" i="1"/>
  <c r="IW75" i="1"/>
  <c r="IX75" i="1"/>
  <c r="IY75" i="1"/>
  <c r="IZ75" i="1"/>
  <c r="JC75" i="1"/>
  <c r="JD75" i="1"/>
  <c r="JE75" i="1"/>
  <c r="JF75" i="1"/>
  <c r="JG75" i="1"/>
  <c r="JH75" i="1"/>
  <c r="A75" i="1"/>
  <c r="JL57" i="1"/>
  <c r="JL58" i="1" s="1"/>
  <c r="FD75" i="1" l="1"/>
  <c r="JB75" i="1"/>
  <c r="IP75" i="1"/>
  <c r="ID75" i="1"/>
  <c r="HR75" i="1"/>
  <c r="HF75" i="1"/>
  <c r="GT75" i="1"/>
  <c r="GH75" i="1"/>
  <c r="FV75" i="1"/>
  <c r="FJ75" i="1"/>
  <c r="EX75" i="1"/>
  <c r="EL75" i="1"/>
  <c r="DZ75" i="1"/>
  <c r="DN75" i="1"/>
  <c r="DB75" i="1"/>
  <c r="CP75" i="1"/>
  <c r="CD75" i="1"/>
  <c r="BR75" i="1"/>
  <c r="BF75" i="1"/>
  <c r="AT75" i="1"/>
  <c r="AH75" i="1"/>
  <c r="H75" i="4" s="1"/>
  <c r="V75" i="1"/>
  <c r="J75" i="1"/>
  <c r="JA75" i="1"/>
  <c r="IO75" i="1"/>
  <c r="IC75" i="1"/>
  <c r="HQ75" i="1"/>
  <c r="HE75" i="1"/>
  <c r="GS75" i="1"/>
  <c r="GG75" i="1"/>
  <c r="FU75" i="1"/>
  <c r="FI75" i="1"/>
  <c r="EW75" i="1"/>
  <c r="EK75" i="1"/>
  <c r="DY75" i="1"/>
  <c r="DM75" i="1"/>
  <c r="DA75" i="1"/>
  <c r="CO75" i="1"/>
  <c r="CC75" i="1"/>
  <c r="BQ75" i="1"/>
  <c r="BE75" i="1"/>
  <c r="AS75" i="1"/>
  <c r="AG75" i="1"/>
  <c r="U75" i="1"/>
  <c r="I75" i="1"/>
  <c r="JI97" i="13"/>
  <c r="G450" i="4"/>
  <c r="G447" i="4"/>
  <c r="H452" i="4"/>
  <c r="I452" i="4" s="1"/>
  <c r="H449" i="4"/>
  <c r="I449" i="4" s="1"/>
  <c r="H329" i="4"/>
  <c r="JI75" i="1" l="1"/>
  <c r="I329" i="4"/>
  <c r="H147" i="4"/>
  <c r="H146" i="4" s="1"/>
  <c r="G146" i="4" l="1"/>
  <c r="I146" i="4" s="1"/>
  <c r="H311" i="4"/>
  <c r="I311" i="4" s="1"/>
  <c r="G177" i="4"/>
  <c r="I147" i="4" l="1"/>
  <c r="H211" i="4"/>
  <c r="I211" i="4" l="1"/>
  <c r="G35" i="4"/>
  <c r="JO58" i="1"/>
  <c r="JM58" i="1"/>
  <c r="JN58" i="1"/>
  <c r="JP58" i="1"/>
  <c r="H33" i="4"/>
  <c r="H37" i="4"/>
  <c r="H57" i="4"/>
  <c r="H100" i="4"/>
  <c r="H127" i="4"/>
  <c r="H126" i="4" s="1"/>
  <c r="H150" i="4"/>
  <c r="H149" i="4" s="1"/>
  <c r="H168" i="4"/>
  <c r="H185" i="4"/>
  <c r="H184" i="4" s="1"/>
  <c r="H201" i="4"/>
  <c r="H222" i="4"/>
  <c r="I222" i="4" s="1"/>
  <c r="H249" i="4"/>
  <c r="H248" i="4" s="1"/>
  <c r="H270" i="4"/>
  <c r="H285" i="4"/>
  <c r="I285" i="4" s="1"/>
  <c r="H300" i="4"/>
  <c r="H325" i="4"/>
  <c r="H335" i="4"/>
  <c r="I335" i="4" s="1"/>
  <c r="H347" i="4"/>
  <c r="H346" i="4" s="1"/>
  <c r="H363" i="4"/>
  <c r="I363" i="4" s="1"/>
  <c r="H389" i="4"/>
  <c r="H399" i="4"/>
  <c r="H415" i="4"/>
  <c r="I415" i="4" s="1"/>
  <c r="H426" i="4"/>
  <c r="H425" i="4" s="1"/>
  <c r="H439" i="4"/>
  <c r="H438" i="4" s="1"/>
  <c r="H460" i="4"/>
  <c r="I460" i="4" s="1"/>
  <c r="H487" i="4"/>
  <c r="H486" i="4" s="1"/>
  <c r="H501" i="4"/>
  <c r="I501" i="4" s="1"/>
  <c r="I17" i="4"/>
  <c r="G28" i="4"/>
  <c r="G42" i="4"/>
  <c r="G44" i="4"/>
  <c r="G46" i="4"/>
  <c r="G52" i="4"/>
  <c r="G54" i="4"/>
  <c r="G65" i="4"/>
  <c r="G68" i="4"/>
  <c r="G72" i="4"/>
  <c r="G74" i="4"/>
  <c r="G79" i="4"/>
  <c r="G81" i="4"/>
  <c r="G83" i="4"/>
  <c r="G85" i="4"/>
  <c r="G128" i="4"/>
  <c r="G138" i="4"/>
  <c r="G140" i="4"/>
  <c r="G142" i="4"/>
  <c r="G153" i="4"/>
  <c r="G155" i="4"/>
  <c r="G217" i="4"/>
  <c r="G223" i="4"/>
  <c r="G248" i="4"/>
  <c r="G284" i="4"/>
  <c r="G304" i="4"/>
  <c r="G306" i="4"/>
  <c r="G316" i="4"/>
  <c r="G322" i="4"/>
  <c r="G330" i="4"/>
  <c r="G338" i="4"/>
  <c r="G340" i="4"/>
  <c r="G342" i="4"/>
  <c r="G344" i="4"/>
  <c r="G346" i="4"/>
  <c r="G349" i="4"/>
  <c r="G351" i="4"/>
  <c r="G353" i="4"/>
  <c r="G355" i="4"/>
  <c r="G358" i="4"/>
  <c r="G360" i="4"/>
  <c r="G362" i="4"/>
  <c r="G364" i="4"/>
  <c r="G367" i="4"/>
  <c r="G369" i="4"/>
  <c r="G371" i="4"/>
  <c r="G373" i="4"/>
  <c r="G375" i="4"/>
  <c r="G377" i="4"/>
  <c r="G379" i="4"/>
  <c r="G381" i="4"/>
  <c r="G384" i="4"/>
  <c r="G386" i="4"/>
  <c r="G388" i="4"/>
  <c r="G390" i="4"/>
  <c r="G392" i="4"/>
  <c r="G394" i="4"/>
  <c r="G396" i="4"/>
  <c r="G398" i="4"/>
  <c r="G401" i="4"/>
  <c r="G403" i="4"/>
  <c r="G406" i="4"/>
  <c r="G408" i="4"/>
  <c r="G410" i="4"/>
  <c r="G412" i="4"/>
  <c r="G414" i="4"/>
  <c r="G416" i="4"/>
  <c r="G418" i="4"/>
  <c r="G420" i="4"/>
  <c r="G422" i="4"/>
  <c r="G425" i="4"/>
  <c r="G427" i="4"/>
  <c r="G429" i="4"/>
  <c r="G432" i="4"/>
  <c r="G434" i="4"/>
  <c r="G436" i="4"/>
  <c r="G438" i="4"/>
  <c r="G440" i="4"/>
  <c r="G444" i="4"/>
  <c r="G453" i="4"/>
  <c r="G455" i="4"/>
  <c r="G457" i="4"/>
  <c r="G461" i="4"/>
  <c r="G465" i="4"/>
  <c r="G467" i="4"/>
  <c r="G469" i="4"/>
  <c r="G471" i="4"/>
  <c r="G474" i="4"/>
  <c r="G476" i="4"/>
  <c r="G478" i="4"/>
  <c r="G480" i="4"/>
  <c r="G482" i="4"/>
  <c r="G484" i="4"/>
  <c r="G486" i="4"/>
  <c r="G488" i="4"/>
  <c r="G490" i="4"/>
  <c r="G493" i="4"/>
  <c r="G495" i="4"/>
  <c r="G498" i="4"/>
  <c r="G500" i="4"/>
  <c r="H92" i="4" l="1"/>
  <c r="H32" i="4"/>
  <c r="I32" i="4" s="1"/>
  <c r="H315" i="4"/>
  <c r="H314" i="4" s="1"/>
  <c r="H294" i="4"/>
  <c r="I294" i="4" s="1"/>
  <c r="H279" i="4"/>
  <c r="H264" i="4"/>
  <c r="H238" i="4"/>
  <c r="H237" i="4" s="1"/>
  <c r="H215" i="4"/>
  <c r="H195" i="4"/>
  <c r="H175" i="4"/>
  <c r="H162" i="4"/>
  <c r="I162" i="4" s="1"/>
  <c r="H137" i="4"/>
  <c r="H136" i="4" s="1"/>
  <c r="H115" i="4"/>
  <c r="H114" i="4" s="1"/>
  <c r="H90" i="4"/>
  <c r="H89" i="4" s="1"/>
  <c r="H66" i="4"/>
  <c r="I66" i="4" s="1"/>
  <c r="H49" i="4"/>
  <c r="I49" i="4" s="1"/>
  <c r="I168" i="4"/>
  <c r="H499" i="4"/>
  <c r="H498" i="4" s="1"/>
  <c r="I498" i="4" s="1"/>
  <c r="H472" i="4"/>
  <c r="H445" i="4"/>
  <c r="H444" i="4" s="1"/>
  <c r="I444" i="4" s="1"/>
  <c r="G114" i="4"/>
  <c r="I114" i="4" s="1"/>
  <c r="G228" i="4"/>
  <c r="G102" i="4"/>
  <c r="G235" i="4"/>
  <c r="G149" i="4"/>
  <c r="I149" i="4" s="1"/>
  <c r="I270" i="4"/>
  <c r="G214" i="4"/>
  <c r="G243" i="4"/>
  <c r="G186" i="4"/>
  <c r="H496" i="4"/>
  <c r="I496" i="4" s="1"/>
  <c r="H470" i="4"/>
  <c r="I470" i="4" s="1"/>
  <c r="H443" i="4"/>
  <c r="I443" i="4" s="1"/>
  <c r="H423" i="4"/>
  <c r="I423" i="4" s="1"/>
  <c r="H397" i="4"/>
  <c r="H396" i="4" s="1"/>
  <c r="I396" i="4" s="1"/>
  <c r="H345" i="4"/>
  <c r="I345" i="4" s="1"/>
  <c r="H323" i="4"/>
  <c r="H322" i="4" s="1"/>
  <c r="I322" i="4" s="1"/>
  <c r="H299" i="4"/>
  <c r="I299" i="4" s="1"/>
  <c r="H283" i="4"/>
  <c r="H269" i="4"/>
  <c r="H247" i="4"/>
  <c r="H246" i="4" s="1"/>
  <c r="H245" i="4" s="1"/>
  <c r="H221" i="4"/>
  <c r="H200" i="4"/>
  <c r="I200" i="4" s="1"/>
  <c r="H183" i="4"/>
  <c r="H166" i="4"/>
  <c r="H145" i="4"/>
  <c r="H124" i="4"/>
  <c r="H123" i="4" s="1"/>
  <c r="H98" i="4"/>
  <c r="H97" i="4" s="1"/>
  <c r="I75" i="4"/>
  <c r="H56" i="4"/>
  <c r="I56" i="4" s="1"/>
  <c r="H40" i="4"/>
  <c r="I40" i="4" s="1"/>
  <c r="G303" i="4"/>
  <c r="H459" i="4"/>
  <c r="I459" i="4" s="1"/>
  <c r="H413" i="4"/>
  <c r="I413" i="4" s="1"/>
  <c r="H361" i="4"/>
  <c r="H360" i="4" s="1"/>
  <c r="I360" i="4" s="1"/>
  <c r="H334" i="4"/>
  <c r="I334" i="4" s="1"/>
  <c r="H313" i="4"/>
  <c r="H312" i="4" s="1"/>
  <c r="H293" i="4"/>
  <c r="H278" i="4"/>
  <c r="I278" i="4" s="1"/>
  <c r="H263" i="4"/>
  <c r="H236" i="4"/>
  <c r="H235" i="4" s="1"/>
  <c r="H210" i="4"/>
  <c r="H209" i="4" s="1"/>
  <c r="H208" i="4" s="1"/>
  <c r="H194" i="4"/>
  <c r="H174" i="4"/>
  <c r="H161" i="4"/>
  <c r="I161" i="4" s="1"/>
  <c r="H135" i="4"/>
  <c r="H113" i="4"/>
  <c r="H112" i="4" s="1"/>
  <c r="H86" i="4"/>
  <c r="H85" i="4" s="1"/>
  <c r="I85" i="4" s="1"/>
  <c r="H63" i="4"/>
  <c r="I63" i="4" s="1"/>
  <c r="H48" i="4"/>
  <c r="I48" i="4" s="1"/>
  <c r="H437" i="4"/>
  <c r="I437" i="4" s="1"/>
  <c r="H387" i="4"/>
  <c r="H386" i="4" s="1"/>
  <c r="I386" i="4" s="1"/>
  <c r="H483" i="4"/>
  <c r="I483" i="4" s="1"/>
  <c r="H475" i="4"/>
  <c r="H474" i="4" s="1"/>
  <c r="H458" i="4"/>
  <c r="I458" i="4" s="1"/>
  <c r="H448" i="4"/>
  <c r="H435" i="4"/>
  <c r="I435" i="4" s="1"/>
  <c r="H428" i="4"/>
  <c r="H427" i="4" s="1"/>
  <c r="I427" i="4" s="1"/>
  <c r="H411" i="4"/>
  <c r="H410" i="4" s="1"/>
  <c r="I410" i="4" s="1"/>
  <c r="H402" i="4"/>
  <c r="I402" i="4" s="1"/>
  <c r="H385" i="4"/>
  <c r="H384" i="4" s="1"/>
  <c r="H376" i="4"/>
  <c r="I376" i="4" s="1"/>
  <c r="H359" i="4"/>
  <c r="I359" i="4" s="1"/>
  <c r="H350" i="4"/>
  <c r="I350" i="4" s="1"/>
  <c r="H333" i="4"/>
  <c r="I333" i="4" s="1"/>
  <c r="H326" i="4"/>
  <c r="H324" i="4" s="1"/>
  <c r="H310" i="4"/>
  <c r="H309" i="4" s="1"/>
  <c r="C32" i="6" s="1"/>
  <c r="H301" i="4"/>
  <c r="H292" i="4"/>
  <c r="H288" i="4"/>
  <c r="C29" i="6" s="1"/>
  <c r="H277" i="4"/>
  <c r="H271" i="4"/>
  <c r="H260" i="4"/>
  <c r="H259" i="4" s="1"/>
  <c r="C28" i="6" s="1"/>
  <c r="H252" i="4"/>
  <c r="H251" i="4" s="1"/>
  <c r="H234" i="4"/>
  <c r="H233" i="4" s="1"/>
  <c r="H224" i="4"/>
  <c r="I224" i="4" s="1"/>
  <c r="H207" i="4"/>
  <c r="H202" i="4"/>
  <c r="I202" i="4" s="1"/>
  <c r="H193" i="4"/>
  <c r="H187" i="4"/>
  <c r="H173" i="4"/>
  <c r="H169" i="4"/>
  <c r="H160" i="4"/>
  <c r="I160" i="4" s="1"/>
  <c r="H152" i="4"/>
  <c r="H151" i="4" s="1"/>
  <c r="H134" i="4"/>
  <c r="H129" i="4"/>
  <c r="H128" i="4" s="1"/>
  <c r="I128" i="4" s="1"/>
  <c r="H110" i="4"/>
  <c r="H109" i="4" s="1"/>
  <c r="H101" i="4"/>
  <c r="I101" i="4" s="1"/>
  <c r="H84" i="4"/>
  <c r="I84" i="4" s="1"/>
  <c r="H62" i="4"/>
  <c r="I62" i="4" s="1"/>
  <c r="H58" i="4"/>
  <c r="I58" i="4" s="1"/>
  <c r="H47" i="4"/>
  <c r="H38" i="4"/>
  <c r="I38" i="4" s="1"/>
  <c r="H34" i="4"/>
  <c r="I34" i="4" s="1"/>
  <c r="H485" i="4"/>
  <c r="I485" i="4" s="1"/>
  <c r="H41" i="4"/>
  <c r="I41" i="4" s="1"/>
  <c r="G71" i="4"/>
  <c r="G400" i="4"/>
  <c r="G497" i="4"/>
  <c r="G348" i="4"/>
  <c r="G383" i="4"/>
  <c r="G366" i="4"/>
  <c r="G446" i="4"/>
  <c r="G27" i="4"/>
  <c r="G464" i="4"/>
  <c r="G424" i="4"/>
  <c r="H494" i="4"/>
  <c r="H481" i="4"/>
  <c r="H480" i="4" s="1"/>
  <c r="I480" i="4" s="1"/>
  <c r="H468" i="4"/>
  <c r="H467" i="4" s="1"/>
  <c r="I467" i="4" s="1"/>
  <c r="H456" i="4"/>
  <c r="H442" i="4"/>
  <c r="I442" i="4" s="1"/>
  <c r="H433" i="4"/>
  <c r="H421" i="4"/>
  <c r="H420" i="4" s="1"/>
  <c r="I420" i="4" s="1"/>
  <c r="H409" i="4"/>
  <c r="H395" i="4"/>
  <c r="H394" i="4" s="1"/>
  <c r="I394" i="4" s="1"/>
  <c r="H382" i="4"/>
  <c r="H370" i="4"/>
  <c r="H369" i="4" s="1"/>
  <c r="I369" i="4" s="1"/>
  <c r="H356" i="4"/>
  <c r="H343" i="4"/>
  <c r="H332" i="4"/>
  <c r="I332" i="4" s="1"/>
  <c r="H321" i="4"/>
  <c r="H320" i="4" s="1"/>
  <c r="C15" i="6" s="1"/>
  <c r="H307" i="4"/>
  <c r="H306" i="4" s="1"/>
  <c r="I306" i="4" s="1"/>
  <c r="H298" i="4"/>
  <c r="H291" i="4"/>
  <c r="H282" i="4"/>
  <c r="I282" i="4" s="1"/>
  <c r="H275" i="4"/>
  <c r="H267" i="4"/>
  <c r="H258" i="4"/>
  <c r="H257" i="4" s="1"/>
  <c r="H244" i="4"/>
  <c r="H243" i="4" s="1"/>
  <c r="H231" i="4"/>
  <c r="H230" i="4" s="1"/>
  <c r="H220" i="4"/>
  <c r="H206" i="4"/>
  <c r="H199" i="4"/>
  <c r="H191" i="4"/>
  <c r="H181" i="4"/>
  <c r="H180" i="4" s="1"/>
  <c r="H172" i="4"/>
  <c r="H165" i="4"/>
  <c r="H159" i="4"/>
  <c r="H143" i="4"/>
  <c r="H142" i="4" s="1"/>
  <c r="I142" i="4" s="1"/>
  <c r="H133" i="4"/>
  <c r="H122" i="4"/>
  <c r="H121" i="4" s="1"/>
  <c r="H108" i="4"/>
  <c r="H107" i="4" s="1"/>
  <c r="H96" i="4"/>
  <c r="H95" i="4" s="1"/>
  <c r="H82" i="4"/>
  <c r="H81" i="4" s="1"/>
  <c r="H70" i="4"/>
  <c r="I70" i="4" s="1"/>
  <c r="H61" i="4"/>
  <c r="I61" i="4" s="1"/>
  <c r="H55" i="4"/>
  <c r="H45" i="4"/>
  <c r="H36" i="4"/>
  <c r="H31" i="4"/>
  <c r="I31" i="4" s="1"/>
  <c r="I249" i="4"/>
  <c r="H280" i="4"/>
  <c r="I280" i="4" s="1"/>
  <c r="I426" i="4"/>
  <c r="I486" i="4"/>
  <c r="H362" i="4"/>
  <c r="I362" i="4" s="1"/>
  <c r="G473" i="4"/>
  <c r="H414" i="4"/>
  <c r="I414" i="4" s="1"/>
  <c r="I347" i="4"/>
  <c r="H491" i="4"/>
  <c r="I491" i="4" s="1"/>
  <c r="H479" i="4"/>
  <c r="I479" i="4" s="1"/>
  <c r="H466" i="4"/>
  <c r="H465" i="4" s="1"/>
  <c r="H454" i="4"/>
  <c r="H453" i="4" s="1"/>
  <c r="I453" i="4" s="1"/>
  <c r="H441" i="4"/>
  <c r="I441" i="4" s="1"/>
  <c r="H431" i="4"/>
  <c r="I431" i="4" s="1"/>
  <c r="H419" i="4"/>
  <c r="I419" i="4" s="1"/>
  <c r="H407" i="4"/>
  <c r="H406" i="4" s="1"/>
  <c r="I406" i="4" s="1"/>
  <c r="H393" i="4"/>
  <c r="H392" i="4" s="1"/>
  <c r="I392" i="4" s="1"/>
  <c r="H380" i="4"/>
  <c r="I380" i="4" s="1"/>
  <c r="H368" i="4"/>
  <c r="I368" i="4" s="1"/>
  <c r="H354" i="4"/>
  <c r="H353" i="4" s="1"/>
  <c r="I353" i="4" s="1"/>
  <c r="H341" i="4"/>
  <c r="H340" i="4" s="1"/>
  <c r="I340" i="4" s="1"/>
  <c r="H331" i="4"/>
  <c r="I331" i="4" s="1"/>
  <c r="H319" i="4"/>
  <c r="H318" i="4" s="1"/>
  <c r="H305" i="4"/>
  <c r="I305" i="4" s="1"/>
  <c r="H297" i="4"/>
  <c r="H290" i="4"/>
  <c r="I290" i="4" s="1"/>
  <c r="H281" i="4"/>
  <c r="I281" i="4" s="1"/>
  <c r="H274" i="4"/>
  <c r="H266" i="4"/>
  <c r="H256" i="4"/>
  <c r="H255" i="4" s="1"/>
  <c r="H242" i="4"/>
  <c r="H241" i="4" s="1"/>
  <c r="H229" i="4"/>
  <c r="H228" i="4" s="1"/>
  <c r="H218" i="4"/>
  <c r="H217" i="4" s="1"/>
  <c r="I217" i="4" s="1"/>
  <c r="H205" i="4"/>
  <c r="H198" i="4"/>
  <c r="H190" i="4"/>
  <c r="H178" i="4"/>
  <c r="H171" i="4"/>
  <c r="H164" i="4"/>
  <c r="H156" i="4"/>
  <c r="H155" i="4" s="1"/>
  <c r="I155" i="4" s="1"/>
  <c r="H141" i="4"/>
  <c r="H140" i="4" s="1"/>
  <c r="I140" i="4" s="1"/>
  <c r="H132" i="4"/>
  <c r="H120" i="4"/>
  <c r="H119" i="4" s="1"/>
  <c r="H105" i="4"/>
  <c r="H104" i="4" s="1"/>
  <c r="H94" i="4"/>
  <c r="H80" i="4"/>
  <c r="H79" i="4" s="1"/>
  <c r="H69" i="4"/>
  <c r="H60" i="4"/>
  <c r="I60" i="4" s="1"/>
  <c r="H53" i="4"/>
  <c r="H43" i="4"/>
  <c r="H30" i="4"/>
  <c r="I30" i="4" s="1"/>
  <c r="H489" i="4"/>
  <c r="H477" i="4"/>
  <c r="H462" i="4"/>
  <c r="H461" i="4" s="1"/>
  <c r="I461" i="4" s="1"/>
  <c r="H451" i="4"/>
  <c r="H450" i="4" s="1"/>
  <c r="H430" i="4"/>
  <c r="I430" i="4" s="1"/>
  <c r="H417" i="4"/>
  <c r="H416" i="4" s="1"/>
  <c r="I416" i="4" s="1"/>
  <c r="H404" i="4"/>
  <c r="H391" i="4"/>
  <c r="I391" i="4" s="1"/>
  <c r="H378" i="4"/>
  <c r="H365" i="4"/>
  <c r="I365" i="4" s="1"/>
  <c r="H352" i="4"/>
  <c r="H339" i="4"/>
  <c r="I339" i="4" s="1"/>
  <c r="H328" i="4"/>
  <c r="H327" i="4" s="1"/>
  <c r="H317" i="4"/>
  <c r="H302" i="4"/>
  <c r="C10" i="6" s="1"/>
  <c r="H296" i="4"/>
  <c r="H289" i="4"/>
  <c r="H273" i="4"/>
  <c r="H265" i="4"/>
  <c r="H254" i="4"/>
  <c r="H253" i="4" s="1"/>
  <c r="H240" i="4"/>
  <c r="H239" i="4" s="1"/>
  <c r="H227" i="4"/>
  <c r="H226" i="4" s="1"/>
  <c r="H216" i="4"/>
  <c r="I216" i="4" s="1"/>
  <c r="H203" i="4"/>
  <c r="H196" i="4"/>
  <c r="I196" i="4" s="1"/>
  <c r="H189" i="4"/>
  <c r="H176" i="4"/>
  <c r="H170" i="4"/>
  <c r="I170" i="4" s="1"/>
  <c r="H163" i="4"/>
  <c r="I163" i="4" s="1"/>
  <c r="H154" i="4"/>
  <c r="H153" i="4" s="1"/>
  <c r="H139" i="4"/>
  <c r="H131" i="4"/>
  <c r="H118" i="4"/>
  <c r="H117" i="4" s="1"/>
  <c r="H103" i="4"/>
  <c r="H102" i="4" s="1"/>
  <c r="H77" i="4"/>
  <c r="I77" i="4" s="1"/>
  <c r="H67" i="4"/>
  <c r="H59" i="4"/>
  <c r="I59" i="4" s="1"/>
  <c r="H50" i="4"/>
  <c r="I50" i="4" s="1"/>
  <c r="H39" i="4"/>
  <c r="I39" i="4" s="1"/>
  <c r="H284" i="4"/>
  <c r="I284" i="4" s="1"/>
  <c r="I37" i="4"/>
  <c r="I76" i="4"/>
  <c r="I57" i="4"/>
  <c r="I33" i="4"/>
  <c r="I300" i="4"/>
  <c r="G182" i="4"/>
  <c r="B24" i="6" s="1"/>
  <c r="G107" i="4"/>
  <c r="I472" i="4"/>
  <c r="H471" i="4"/>
  <c r="I471" i="4" s="1"/>
  <c r="I389" i="4"/>
  <c r="H388" i="4"/>
  <c r="I388" i="4" s="1"/>
  <c r="H91" i="4"/>
  <c r="I399" i="4"/>
  <c r="H398" i="4"/>
  <c r="I398" i="4" s="1"/>
  <c r="H372" i="4"/>
  <c r="H374" i="4"/>
  <c r="I439" i="4"/>
  <c r="I195" i="4"/>
  <c r="I487" i="4"/>
  <c r="H73" i="4"/>
  <c r="H500" i="4"/>
  <c r="I500" i="4" s="1"/>
  <c r="I425" i="4"/>
  <c r="H29" i="4"/>
  <c r="I438" i="4"/>
  <c r="G337" i="4"/>
  <c r="G405" i="4"/>
  <c r="G357" i="4"/>
  <c r="G492" i="4"/>
  <c r="M18" i="4"/>
  <c r="I346" i="4"/>
  <c r="I248" i="4"/>
  <c r="G51" i="4"/>
  <c r="G78" i="4"/>
  <c r="G64" i="4"/>
  <c r="I499" i="4" l="1"/>
  <c r="C31" i="6"/>
  <c r="C30" i="6"/>
  <c r="C25" i="6"/>
  <c r="I173" i="4"/>
  <c r="I445" i="4"/>
  <c r="H295" i="4"/>
  <c r="I175" i="4"/>
  <c r="H225" i="4"/>
  <c r="I187" i="4"/>
  <c r="I269" i="4"/>
  <c r="I267" i="4"/>
  <c r="I194" i="4"/>
  <c r="G312" i="4"/>
  <c r="I312" i="4" s="1"/>
  <c r="I291" i="4"/>
  <c r="I279" i="4"/>
  <c r="H167" i="4"/>
  <c r="C9" i="6"/>
  <c r="I53" i="4"/>
  <c r="H52" i="4"/>
  <c r="I52" i="4" s="1"/>
  <c r="H177" i="4"/>
  <c r="I177" i="4" s="1"/>
  <c r="H158" i="4"/>
  <c r="H192" i="4"/>
  <c r="I384" i="4"/>
  <c r="H116" i="4"/>
  <c r="C22" i="6" s="1"/>
  <c r="H35" i="4"/>
  <c r="I35" i="4" s="1"/>
  <c r="I474" i="4"/>
  <c r="H182" i="4"/>
  <c r="C24" i="6" s="1"/>
  <c r="I29" i="4"/>
  <c r="H28" i="4"/>
  <c r="H130" i="4"/>
  <c r="H188" i="4"/>
  <c r="H197" i="4"/>
  <c r="H44" i="4"/>
  <c r="I44" i="4" s="1"/>
  <c r="H106" i="4"/>
  <c r="H276" i="4"/>
  <c r="H111" i="4"/>
  <c r="C21" i="6" s="1"/>
  <c r="I79" i="4"/>
  <c r="I55" i="4"/>
  <c r="H54" i="4"/>
  <c r="I54" i="4" s="1"/>
  <c r="H287" i="4"/>
  <c r="H65" i="4"/>
  <c r="I47" i="4"/>
  <c r="H46" i="4"/>
  <c r="I46" i="4" s="1"/>
  <c r="H232" i="4"/>
  <c r="C27" i="6" s="1"/>
  <c r="H42" i="4"/>
  <c r="I42" i="4" s="1"/>
  <c r="H250" i="4"/>
  <c r="I264" i="4"/>
  <c r="I448" i="4"/>
  <c r="H447" i="4"/>
  <c r="I447" i="4" s="1"/>
  <c r="I198" i="4"/>
  <c r="I113" i="4"/>
  <c r="G89" i="4"/>
  <c r="H83" i="4"/>
  <c r="I83" i="4" s="1"/>
  <c r="I323" i="4"/>
  <c r="G99" i="4"/>
  <c r="I115" i="4"/>
  <c r="I133" i="4"/>
  <c r="G192" i="4"/>
  <c r="I228" i="4"/>
  <c r="I235" i="4"/>
  <c r="G184" i="4"/>
  <c r="I258" i="4"/>
  <c r="I203" i="4"/>
  <c r="I207" i="4"/>
  <c r="I201" i="4"/>
  <c r="I242" i="4"/>
  <c r="G91" i="4"/>
  <c r="G320" i="4"/>
  <c r="I190" i="4"/>
  <c r="I275" i="4"/>
  <c r="I301" i="4"/>
  <c r="I199" i="4"/>
  <c r="G151" i="4"/>
  <c r="G148" i="4" s="1"/>
  <c r="I221" i="4"/>
  <c r="I238" i="4"/>
  <c r="G314" i="4"/>
  <c r="I314" i="4" s="1"/>
  <c r="G167" i="4"/>
  <c r="I171" i="4"/>
  <c r="I159" i="4"/>
  <c r="G219" i="4"/>
  <c r="G213" i="4" s="1"/>
  <c r="G119" i="4"/>
  <c r="I119" i="4" s="1"/>
  <c r="I236" i="4"/>
  <c r="G246" i="4"/>
  <c r="G245" i="4" s="1"/>
  <c r="I288" i="4"/>
  <c r="G104" i="4"/>
  <c r="I104" i="4" s="1"/>
  <c r="G180" i="4"/>
  <c r="I180" i="4" s="1"/>
  <c r="I265" i="4"/>
  <c r="G253" i="4"/>
  <c r="I253" i="4" s="1"/>
  <c r="I273" i="4"/>
  <c r="G188" i="4"/>
  <c r="I191" i="4"/>
  <c r="G230" i="4"/>
  <c r="I230" i="4" s="1"/>
  <c r="G95" i="4"/>
  <c r="I95" i="4" s="1"/>
  <c r="H144" i="4"/>
  <c r="I205" i="4"/>
  <c r="I45" i="4"/>
  <c r="I428" i="4"/>
  <c r="I166" i="4"/>
  <c r="I326" i="4"/>
  <c r="H223" i="4"/>
  <c r="I223" i="4" s="1"/>
  <c r="H422" i="4"/>
  <c r="I422" i="4" s="1"/>
  <c r="H412" i="4"/>
  <c r="I412" i="4" s="1"/>
  <c r="I277" i="4"/>
  <c r="I150" i="4"/>
  <c r="G126" i="4"/>
  <c r="G97" i="4"/>
  <c r="I97" i="4" s="1"/>
  <c r="I124" i="4"/>
  <c r="G262" i="4"/>
  <c r="I385" i="4"/>
  <c r="I129" i="4"/>
  <c r="I296" i="4"/>
  <c r="C11" i="6"/>
  <c r="H268" i="4"/>
  <c r="G109" i="4"/>
  <c r="I174" i="4"/>
  <c r="I297" i="4"/>
  <c r="G251" i="4"/>
  <c r="I251" i="4" s="1"/>
  <c r="G233" i="4"/>
  <c r="I233" i="4" s="1"/>
  <c r="I260" i="4"/>
  <c r="G324" i="4"/>
  <c r="I324" i="4" s="1"/>
  <c r="I393" i="4"/>
  <c r="I397" i="4"/>
  <c r="I475" i="4"/>
  <c r="H482" i="4"/>
  <c r="I482" i="4" s="1"/>
  <c r="I293" i="4"/>
  <c r="I176" i="4"/>
  <c r="H495" i="4"/>
  <c r="I495" i="4" s="1"/>
  <c r="I215" i="4"/>
  <c r="I131" i="4"/>
  <c r="I165" i="4"/>
  <c r="H219" i="4"/>
  <c r="H344" i="4"/>
  <c r="I344" i="4" s="1"/>
  <c r="I283" i="4"/>
  <c r="I292" i="4"/>
  <c r="I164" i="4"/>
  <c r="I263" i="4"/>
  <c r="I135" i="4"/>
  <c r="G276" i="4"/>
  <c r="G268" i="4"/>
  <c r="G130" i="4"/>
  <c r="H457" i="4"/>
  <c r="I457" i="4" s="1"/>
  <c r="G144" i="4"/>
  <c r="I189" i="4"/>
  <c r="I132" i="4"/>
  <c r="H434" i="4"/>
  <c r="I434" i="4" s="1"/>
  <c r="G136" i="4"/>
  <c r="I136" i="4" s="1"/>
  <c r="G117" i="4"/>
  <c r="I117" i="4" s="1"/>
  <c r="G309" i="4"/>
  <c r="B32" i="6" s="1"/>
  <c r="I172" i="4"/>
  <c r="I36" i="4"/>
  <c r="H375" i="4"/>
  <c r="I375" i="4" s="1"/>
  <c r="H401" i="4"/>
  <c r="I401" i="4" s="1"/>
  <c r="I325" i="4"/>
  <c r="H469" i="4"/>
  <c r="I469" i="4" s="1"/>
  <c r="I271" i="4"/>
  <c r="I86" i="4"/>
  <c r="H484" i="4"/>
  <c r="I484" i="4" s="1"/>
  <c r="H349" i="4"/>
  <c r="I349" i="4" s="1"/>
  <c r="I454" i="4"/>
  <c r="I421" i="4"/>
  <c r="I411" i="4"/>
  <c r="H436" i="4"/>
  <c r="I436" i="4" s="1"/>
  <c r="I370" i="4"/>
  <c r="H99" i="4"/>
  <c r="C20" i="6" s="1"/>
  <c r="I341" i="4"/>
  <c r="I361" i="4"/>
  <c r="I387" i="4"/>
  <c r="H186" i="4"/>
  <c r="I186" i="4" s="1"/>
  <c r="H358" i="4"/>
  <c r="I358" i="4" s="1"/>
  <c r="I243" i="4"/>
  <c r="I468" i="4"/>
  <c r="I244" i="4"/>
  <c r="I298" i="4"/>
  <c r="I354" i="4"/>
  <c r="I107" i="4"/>
  <c r="I417" i="4"/>
  <c r="I462" i="4"/>
  <c r="I143" i="4"/>
  <c r="I395" i="4"/>
  <c r="G463" i="4"/>
  <c r="H262" i="4"/>
  <c r="I178" i="4"/>
  <c r="I220" i="4"/>
  <c r="H68" i="4"/>
  <c r="I68" i="4" s="1"/>
  <c r="H338" i="4"/>
  <c r="I481" i="4"/>
  <c r="I81" i="4"/>
  <c r="I206" i="4"/>
  <c r="I382" i="4"/>
  <c r="H381" i="4"/>
  <c r="I381" i="4" s="1"/>
  <c r="I456" i="4"/>
  <c r="H455" i="4"/>
  <c r="I455" i="4" s="1"/>
  <c r="H497" i="4"/>
  <c r="I497" i="4" s="1"/>
  <c r="I307" i="4"/>
  <c r="H429" i="4"/>
  <c r="I429" i="4" s="1"/>
  <c r="I266" i="4"/>
  <c r="I82" i="4"/>
  <c r="H408" i="4"/>
  <c r="I408" i="4" s="1"/>
  <c r="I409" i="4"/>
  <c r="I141" i="4"/>
  <c r="I343" i="4"/>
  <c r="H342" i="4"/>
  <c r="I342" i="4" s="1"/>
  <c r="I494" i="4"/>
  <c r="H493" i="4"/>
  <c r="H214" i="4"/>
  <c r="I466" i="4"/>
  <c r="I69" i="4"/>
  <c r="H490" i="4"/>
  <c r="I490" i="4" s="1"/>
  <c r="I356" i="4"/>
  <c r="H355" i="4"/>
  <c r="I355" i="4" s="1"/>
  <c r="I433" i="4"/>
  <c r="H432" i="4"/>
  <c r="I432" i="4" s="1"/>
  <c r="G93" i="4"/>
  <c r="G239" i="4"/>
  <c r="I239" i="4" s="1"/>
  <c r="I183" i="4"/>
  <c r="I256" i="4"/>
  <c r="I193" i="4"/>
  <c r="I102" i="4"/>
  <c r="H367" i="4"/>
  <c r="I156" i="4"/>
  <c r="H204" i="4"/>
  <c r="I80" i="4"/>
  <c r="D30" i="6"/>
  <c r="I229" i="4"/>
  <c r="I407" i="4"/>
  <c r="H478" i="4"/>
  <c r="I478" i="4" s="1"/>
  <c r="I103" i="4"/>
  <c r="H93" i="4"/>
  <c r="C19" i="6" s="1"/>
  <c r="I43" i="4"/>
  <c r="H390" i="4"/>
  <c r="I390" i="4" s="1"/>
  <c r="H364" i="4"/>
  <c r="I134" i="4"/>
  <c r="H418" i="4"/>
  <c r="H330" i="4"/>
  <c r="I218" i="4"/>
  <c r="H440" i="4"/>
  <c r="I440" i="4" s="1"/>
  <c r="I274" i="4"/>
  <c r="I153" i="4"/>
  <c r="H148" i="4"/>
  <c r="I465" i="4"/>
  <c r="H488" i="4"/>
  <c r="I488" i="4" s="1"/>
  <c r="I489" i="4"/>
  <c r="I154" i="4"/>
  <c r="H351" i="4"/>
  <c r="I351" i="4" s="1"/>
  <c r="I352" i="4"/>
  <c r="I67" i="4"/>
  <c r="H304" i="4"/>
  <c r="H272" i="4"/>
  <c r="H379" i="4"/>
  <c r="I379" i="4" s="1"/>
  <c r="H377" i="4"/>
  <c r="I377" i="4" s="1"/>
  <c r="I378" i="4"/>
  <c r="I450" i="4"/>
  <c r="I451" i="4"/>
  <c r="I317" i="4"/>
  <c r="H316" i="4"/>
  <c r="H308" i="4" s="1"/>
  <c r="I139" i="4"/>
  <c r="H138" i="4"/>
  <c r="I138" i="4" s="1"/>
  <c r="H403" i="4"/>
  <c r="I403" i="4" s="1"/>
  <c r="I404" i="4"/>
  <c r="H476" i="4"/>
  <c r="I476" i="4" s="1"/>
  <c r="I477" i="4"/>
  <c r="I108" i="4"/>
  <c r="G204" i="4"/>
  <c r="I289" i="4"/>
  <c r="G121" i="4"/>
  <c r="G272" i="4"/>
  <c r="G112" i="4"/>
  <c r="H74" i="4"/>
  <c r="I74" i="4" s="1"/>
  <c r="I73" i="4"/>
  <c r="H72" i="4"/>
  <c r="H373" i="4"/>
  <c r="I373" i="4" s="1"/>
  <c r="I374" i="4"/>
  <c r="I372" i="4"/>
  <c r="H371" i="4"/>
  <c r="G336" i="4"/>
  <c r="B36" i="6" s="1"/>
  <c r="G26" i="4"/>
  <c r="B18" i="6" s="1"/>
  <c r="I28" i="4" l="1"/>
  <c r="H27" i="4"/>
  <c r="C26" i="6"/>
  <c r="C12" i="6"/>
  <c r="B20" i="6"/>
  <c r="D20" i="6" s="1"/>
  <c r="I89" i="4"/>
  <c r="I320" i="4"/>
  <c r="B15" i="6"/>
  <c r="D15" i="6" s="1"/>
  <c r="I109" i="4"/>
  <c r="B25" i="6"/>
  <c r="I91" i="4"/>
  <c r="B19" i="6"/>
  <c r="D19" i="6" s="1"/>
  <c r="I245" i="4"/>
  <c r="B9" i="6"/>
  <c r="M20" i="4"/>
  <c r="B37" i="6"/>
  <c r="B38" i="6" s="1"/>
  <c r="H213" i="4"/>
  <c r="I90" i="4"/>
  <c r="I313" i="4"/>
  <c r="D9" i="6"/>
  <c r="H78" i="4"/>
  <c r="I78" i="4" s="1"/>
  <c r="I100" i="4"/>
  <c r="H383" i="4"/>
  <c r="I383" i="4" s="1"/>
  <c r="I144" i="4"/>
  <c r="H179" i="4"/>
  <c r="H64" i="4"/>
  <c r="I64" i="4" s="1"/>
  <c r="H71" i="4"/>
  <c r="I367" i="4"/>
  <c r="H366" i="4"/>
  <c r="I182" i="4"/>
  <c r="I27" i="4"/>
  <c r="H157" i="4"/>
  <c r="I65" i="4"/>
  <c r="H261" i="4"/>
  <c r="D24" i="6"/>
  <c r="H51" i="4"/>
  <c r="I51" i="4" s="1"/>
  <c r="I338" i="4"/>
  <c r="H337" i="4"/>
  <c r="I337" i="4" s="1"/>
  <c r="I214" i="4"/>
  <c r="H88" i="4"/>
  <c r="H473" i="4"/>
  <c r="I473" i="4" s="1"/>
  <c r="I99" i="4"/>
  <c r="H446" i="4"/>
  <c r="I446" i="4" s="1"/>
  <c r="G125" i="4"/>
  <c r="B23" i="6" s="1"/>
  <c r="G327" i="4"/>
  <c r="I327" i="4" s="1"/>
  <c r="H125" i="4"/>
  <c r="C23" i="6" s="1"/>
  <c r="I192" i="4"/>
  <c r="I151" i="4"/>
  <c r="G257" i="4"/>
  <c r="I257" i="4" s="1"/>
  <c r="G241" i="4"/>
  <c r="I241" i="4" s="1"/>
  <c r="G237" i="4"/>
  <c r="I237" i="4" s="1"/>
  <c r="I309" i="4"/>
  <c r="I92" i="4"/>
  <c r="D32" i="6"/>
  <c r="I185" i="4"/>
  <c r="I321" i="4"/>
  <c r="D31" i="6"/>
  <c r="I169" i="4"/>
  <c r="G197" i="4"/>
  <c r="I197" i="4" s="1"/>
  <c r="I152" i="4"/>
  <c r="I148" i="4"/>
  <c r="G158" i="4"/>
  <c r="G157" i="4" s="1"/>
  <c r="I246" i="4"/>
  <c r="I315" i="4"/>
  <c r="D29" i="6"/>
  <c r="I96" i="4"/>
  <c r="I181" i="4"/>
  <c r="I254" i="4"/>
  <c r="I120" i="4"/>
  <c r="I247" i="4"/>
  <c r="G259" i="4"/>
  <c r="I219" i="4"/>
  <c r="I145" i="4"/>
  <c r="I328" i="4"/>
  <c r="I126" i="4"/>
  <c r="I105" i="4"/>
  <c r="I188" i="4"/>
  <c r="I231" i="4"/>
  <c r="I262" i="4"/>
  <c r="G123" i="4"/>
  <c r="I123" i="4" s="1"/>
  <c r="I98" i="4"/>
  <c r="G261" i="4"/>
  <c r="I252" i="4"/>
  <c r="G106" i="4"/>
  <c r="I106" i="4" s="1"/>
  <c r="I234" i="4"/>
  <c r="I127" i="4"/>
  <c r="I110" i="4"/>
  <c r="H464" i="4"/>
  <c r="I464" i="4" s="1"/>
  <c r="I268" i="4"/>
  <c r="I310" i="4"/>
  <c r="D10" i="6"/>
  <c r="I118" i="4"/>
  <c r="I276" i="4"/>
  <c r="I137" i="4"/>
  <c r="H357" i="4"/>
  <c r="G209" i="4"/>
  <c r="I210" i="4"/>
  <c r="H286" i="4"/>
  <c r="I167" i="4"/>
  <c r="H405" i="4"/>
  <c r="I405" i="4" s="1"/>
  <c r="I93" i="4"/>
  <c r="I493" i="4"/>
  <c r="H492" i="4"/>
  <c r="I492" i="4" s="1"/>
  <c r="H348" i="4"/>
  <c r="I348" i="4" s="1"/>
  <c r="I240" i="4"/>
  <c r="G226" i="4"/>
  <c r="I227" i="4"/>
  <c r="I94" i="4"/>
  <c r="G88" i="4"/>
  <c r="G255" i="4"/>
  <c r="I255" i="4" s="1"/>
  <c r="I272" i="4"/>
  <c r="I121" i="4"/>
  <c r="I364" i="4"/>
  <c r="I418" i="4"/>
  <c r="G287" i="4"/>
  <c r="I287" i="4" s="1"/>
  <c r="I204" i="4"/>
  <c r="H424" i="4"/>
  <c r="I424" i="4" s="1"/>
  <c r="I130" i="4"/>
  <c r="N18" i="4"/>
  <c r="I330" i="4"/>
  <c r="I304" i="4"/>
  <c r="H303" i="4"/>
  <c r="I303" i="4" s="1"/>
  <c r="I316" i="4"/>
  <c r="H400" i="4"/>
  <c r="I400" i="4" s="1"/>
  <c r="I122" i="4"/>
  <c r="I112" i="4"/>
  <c r="G111" i="4"/>
  <c r="I184" i="4"/>
  <c r="I72" i="4"/>
  <c r="I371" i="4"/>
  <c r="I319" i="4"/>
  <c r="G318" i="4"/>
  <c r="M15" i="4"/>
  <c r="M19" i="4"/>
  <c r="B14" i="6" l="1"/>
  <c r="C33" i="6"/>
  <c r="I111" i="4"/>
  <c r="B21" i="6"/>
  <c r="D21" i="6" s="1"/>
  <c r="I259" i="4"/>
  <c r="B28" i="6"/>
  <c r="D28" i="6" s="1"/>
  <c r="C14" i="6"/>
  <c r="H26" i="4"/>
  <c r="I125" i="4"/>
  <c r="G232" i="4"/>
  <c r="G179" i="4"/>
  <c r="I179" i="4" s="1"/>
  <c r="I158" i="4"/>
  <c r="I261" i="4"/>
  <c r="G116" i="4"/>
  <c r="D23" i="6"/>
  <c r="I157" i="4"/>
  <c r="I357" i="4"/>
  <c r="G208" i="4"/>
  <c r="I209" i="4"/>
  <c r="H463" i="4"/>
  <c r="I213" i="4"/>
  <c r="D25" i="6"/>
  <c r="G225" i="4"/>
  <c r="I225" i="4" s="1"/>
  <c r="I226" i="4"/>
  <c r="G250" i="4"/>
  <c r="I250" i="4" s="1"/>
  <c r="H87" i="4"/>
  <c r="N16" i="4" s="1"/>
  <c r="I88" i="4"/>
  <c r="H212" i="4"/>
  <c r="N17" i="4" s="1"/>
  <c r="I302" i="4"/>
  <c r="G295" i="4"/>
  <c r="D11" i="6"/>
  <c r="B12" i="6"/>
  <c r="H336" i="4"/>
  <c r="C36" i="6" s="1"/>
  <c r="I366" i="4"/>
  <c r="I71" i="4"/>
  <c r="I318" i="4"/>
  <c r="G308" i="4"/>
  <c r="B33" i="6" l="1"/>
  <c r="D33" i="6" s="1"/>
  <c r="I232" i="4"/>
  <c r="B27" i="6"/>
  <c r="D27" i="6" s="1"/>
  <c r="I116" i="4"/>
  <c r="B22" i="6"/>
  <c r="I208" i="4"/>
  <c r="B26" i="6"/>
  <c r="D26" i="6" s="1"/>
  <c r="D36" i="6"/>
  <c r="N20" i="4"/>
  <c r="C37" i="6"/>
  <c r="D37" i="6" s="1"/>
  <c r="D14" i="6"/>
  <c r="D16" i="6" s="1"/>
  <c r="E15" i="6" s="1"/>
  <c r="B16" i="6"/>
  <c r="G87" i="4"/>
  <c r="M16" i="4" s="1"/>
  <c r="I463" i="4"/>
  <c r="C16" i="6"/>
  <c r="I295" i="4"/>
  <c r="G286" i="4"/>
  <c r="I286" i="4" s="1"/>
  <c r="D12" i="6"/>
  <c r="E9" i="6" s="1"/>
  <c r="C18" i="6"/>
  <c r="C34" i="6" s="1"/>
  <c r="I26" i="4"/>
  <c r="N15" i="4"/>
  <c r="H25" i="4"/>
  <c r="N19" i="4"/>
  <c r="I336" i="4"/>
  <c r="I308" i="4"/>
  <c r="C38" i="6" l="1"/>
  <c r="C39" i="6" s="1"/>
  <c r="D22" i="6"/>
  <c r="B34" i="6"/>
  <c r="B39" i="6" s="1"/>
  <c r="D38" i="6"/>
  <c r="E14" i="6"/>
  <c r="I87" i="4"/>
  <c r="E10" i="6"/>
  <c r="G212" i="4"/>
  <c r="M17" i="4" s="1"/>
  <c r="E11" i="6"/>
  <c r="D18" i="6"/>
  <c r="D34" i="6" l="1"/>
  <c r="E26" i="6" s="1"/>
  <c r="G25" i="4"/>
  <c r="I25" i="4" s="1"/>
  <c r="I212" i="4"/>
  <c r="E28" i="6" l="1"/>
  <c r="D39" i="6"/>
  <c r="E38" i="6" s="1"/>
  <c r="E25" i="6"/>
  <c r="E31" i="6"/>
  <c r="E33" i="6"/>
  <c r="E21" i="6"/>
  <c r="E27" i="6"/>
  <c r="E29" i="6"/>
  <c r="E20" i="6"/>
  <c r="E32" i="6"/>
  <c r="E30" i="6"/>
  <c r="E18" i="6"/>
  <c r="E23" i="6"/>
  <c r="E22" i="6"/>
  <c r="E19" i="6"/>
  <c r="E24" i="6"/>
  <c r="E36" i="6"/>
  <c r="E37" i="6"/>
  <c r="J449" i="4"/>
  <c r="J452" i="4"/>
  <c r="J311" i="4"/>
  <c r="J329" i="4"/>
  <c r="J211" i="4"/>
  <c r="J147" i="4"/>
  <c r="J40" i="4"/>
  <c r="J445" i="4"/>
  <c r="J41" i="4"/>
  <c r="J221" i="4"/>
  <c r="J459" i="4"/>
  <c r="J133" i="4"/>
  <c r="J265" i="4"/>
  <c r="J395" i="4"/>
  <c r="J238" i="4"/>
  <c r="J448" i="4"/>
  <c r="J150" i="4"/>
  <c r="J172" i="4"/>
  <c r="J341" i="4"/>
  <c r="J141" i="4"/>
  <c r="J431" i="4"/>
  <c r="J256" i="4"/>
  <c r="J385" i="4"/>
  <c r="J400" i="4"/>
  <c r="J174" i="4"/>
  <c r="J168" i="4"/>
  <c r="J275" i="4"/>
  <c r="J231" i="4"/>
  <c r="J31" i="4"/>
  <c r="J100" i="4"/>
  <c r="J294" i="4"/>
  <c r="J242" i="4"/>
  <c r="J115" i="4"/>
  <c r="J451" i="4"/>
  <c r="J43" i="4"/>
  <c r="J160" i="4"/>
  <c r="J59" i="4"/>
  <c r="J343" i="4"/>
  <c r="J249" i="4"/>
  <c r="J96" i="4"/>
  <c r="J118" i="4"/>
  <c r="J441" i="4"/>
  <c r="J426" i="4"/>
  <c r="J48" i="4"/>
  <c r="J374" i="4"/>
  <c r="J274" i="4"/>
  <c r="J67" i="4"/>
  <c r="J491" i="4"/>
  <c r="J86" i="4"/>
  <c r="J220" i="4"/>
  <c r="J162" i="4"/>
  <c r="J137" i="4"/>
  <c r="J56" i="4"/>
  <c r="J331" i="4"/>
  <c r="J485" i="4"/>
  <c r="J77" i="4"/>
  <c r="J185" i="4"/>
  <c r="J288" i="4"/>
  <c r="J413" i="4"/>
  <c r="J376" i="4"/>
  <c r="J315" i="4"/>
  <c r="J207" i="4"/>
  <c r="J156" i="4"/>
  <c r="J336" i="4"/>
  <c r="J393" i="4"/>
  <c r="J200" i="4"/>
  <c r="J193" i="4"/>
  <c r="J494" i="4"/>
  <c r="J382" i="4"/>
  <c r="J298" i="4"/>
  <c r="J411" i="4"/>
  <c r="J187" i="4"/>
  <c r="J173" i="4"/>
  <c r="J84" i="4"/>
  <c r="J266" i="4"/>
  <c r="J496" i="4"/>
  <c r="J407" i="4"/>
  <c r="J454" i="4"/>
  <c r="J122" i="4"/>
  <c r="J240" i="4"/>
  <c r="J397" i="4"/>
  <c r="J421" i="4"/>
  <c r="J260" i="4"/>
  <c r="J161" i="4"/>
  <c r="J387" i="4"/>
  <c r="J29" i="4"/>
  <c r="J310" i="4"/>
  <c r="J439" i="4"/>
  <c r="J181" i="4"/>
  <c r="J124" i="4"/>
  <c r="J218" i="4"/>
  <c r="J433" i="4"/>
  <c r="J479" i="4"/>
  <c r="J34" i="4"/>
  <c r="J350" i="4"/>
  <c r="J58" i="4"/>
  <c r="J273" i="4"/>
  <c r="J73" i="4"/>
  <c r="J399" i="4"/>
  <c r="J176" i="4"/>
  <c r="J466" i="4"/>
  <c r="J321" i="4"/>
  <c r="J169" i="4"/>
  <c r="J335" i="4"/>
  <c r="J90" i="4"/>
  <c r="J307" i="4"/>
  <c r="J224" i="4"/>
  <c r="J212" i="4"/>
  <c r="J278" i="4"/>
  <c r="J202" i="4"/>
  <c r="J489" i="4"/>
  <c r="J263" i="4"/>
  <c r="J332" i="4"/>
  <c r="J199" i="4"/>
  <c r="J201" i="4"/>
  <c r="J183" i="4"/>
  <c r="J98" i="4"/>
  <c r="J468" i="4"/>
  <c r="J110" i="4"/>
  <c r="J189" i="4"/>
  <c r="J252" i="4"/>
  <c r="J391" i="4"/>
  <c r="J222" i="4"/>
  <c r="J361" i="4"/>
  <c r="J325" i="4"/>
  <c r="J76" i="4"/>
  <c r="J32" i="4"/>
  <c r="J456" i="4"/>
  <c r="J269" i="4"/>
  <c r="J258" i="4"/>
  <c r="J216" i="4"/>
  <c r="J129" i="4"/>
  <c r="J254" i="4"/>
  <c r="J428" i="4"/>
  <c r="J302" i="4"/>
  <c r="J460" i="4"/>
  <c r="J92" i="4"/>
  <c r="J244" i="4"/>
  <c r="J50" i="4"/>
  <c r="J205" i="4"/>
  <c r="J290" i="4"/>
  <c r="J305" i="4"/>
  <c r="J280" i="4"/>
  <c r="J49" i="4"/>
  <c r="J247" i="4"/>
  <c r="J75" i="4"/>
  <c r="J236" i="4"/>
  <c r="J94" i="4"/>
  <c r="J299" i="4"/>
  <c r="J47" i="4"/>
  <c r="J108" i="4"/>
  <c r="J296" i="4"/>
  <c r="J330" i="4"/>
  <c r="J359" i="4"/>
  <c r="J402" i="4"/>
  <c r="J55" i="4"/>
  <c r="J409" i="4"/>
  <c r="J170" i="4"/>
  <c r="J164" i="4"/>
  <c r="J33" i="4"/>
  <c r="J191" i="4"/>
  <c r="J194" i="4"/>
  <c r="J437" i="4"/>
  <c r="J198" i="4"/>
  <c r="J458" i="4"/>
  <c r="J152" i="4"/>
  <c r="J134" i="4"/>
  <c r="J61" i="4"/>
  <c r="J69" i="4"/>
  <c r="J368" i="4"/>
  <c r="J463" i="4"/>
  <c r="J57" i="4"/>
  <c r="J82" i="4"/>
  <c r="J70" i="4"/>
  <c r="J264" i="4"/>
  <c r="J483" i="4"/>
  <c r="J354" i="4"/>
  <c r="J175" i="4"/>
  <c r="J38" i="4"/>
  <c r="J80" i="4"/>
  <c r="J487" i="4"/>
  <c r="J267" i="4"/>
  <c r="J443" i="4"/>
  <c r="J63" i="4"/>
  <c r="J334" i="4"/>
  <c r="J292" i="4"/>
  <c r="J339" i="4"/>
  <c r="J347" i="4"/>
  <c r="J60" i="4"/>
  <c r="J363" i="4"/>
  <c r="J380" i="4"/>
  <c r="J285" i="4"/>
  <c r="J165" i="4"/>
  <c r="J301" i="4"/>
  <c r="J430" i="4"/>
  <c r="J300" i="4"/>
  <c r="J289" i="4"/>
  <c r="J135" i="4"/>
  <c r="J62" i="4"/>
  <c r="J101" i="4"/>
  <c r="J139" i="4"/>
  <c r="J326" i="4"/>
  <c r="J282" i="4"/>
  <c r="J36" i="4"/>
  <c r="J66" i="4"/>
  <c r="J352" i="4"/>
  <c r="J234" i="4"/>
  <c r="J365" i="4"/>
  <c r="J378" i="4"/>
  <c r="J404" i="4"/>
  <c r="J370" i="4"/>
  <c r="J328" i="4"/>
  <c r="J499" i="4"/>
  <c r="J281" i="4"/>
  <c r="J103" i="4"/>
  <c r="J190" i="4"/>
  <c r="J227" i="4"/>
  <c r="J313" i="4"/>
  <c r="J127" i="4"/>
  <c r="J215" i="4"/>
  <c r="J419" i="4"/>
  <c r="J210" i="4"/>
  <c r="J53" i="4"/>
  <c r="J113" i="4"/>
  <c r="J39" i="4"/>
  <c r="J423" i="4"/>
  <c r="J229" i="4"/>
  <c r="J442" i="4"/>
  <c r="J26" i="4"/>
  <c r="J291" i="4"/>
  <c r="J462" i="4"/>
  <c r="J203" i="4"/>
  <c r="J333" i="4"/>
  <c r="J159" i="4"/>
  <c r="J501" i="4"/>
  <c r="J163" i="4"/>
  <c r="J435" i="4"/>
  <c r="J171" i="4"/>
  <c r="J37" i="4"/>
  <c r="J372" i="4"/>
  <c r="J195" i="4"/>
  <c r="J317" i="4"/>
  <c r="J389" i="4"/>
  <c r="J45" i="4"/>
  <c r="J293" i="4"/>
  <c r="J277" i="4"/>
  <c r="J145" i="4"/>
  <c r="J196" i="4"/>
  <c r="J319" i="4"/>
  <c r="J132" i="4"/>
  <c r="J270" i="4"/>
  <c r="J131" i="4"/>
  <c r="J105" i="4"/>
  <c r="J297" i="4"/>
  <c r="J345" i="4"/>
  <c r="J166" i="4"/>
  <c r="J283" i="4"/>
  <c r="J481" i="4"/>
  <c r="J120" i="4"/>
  <c r="J206" i="4"/>
  <c r="J279" i="4"/>
  <c r="J356" i="4"/>
  <c r="J472" i="4"/>
  <c r="J154" i="4"/>
  <c r="J30" i="4"/>
  <c r="J477" i="4"/>
  <c r="J271" i="4"/>
  <c r="J417" i="4"/>
  <c r="J178" i="4"/>
  <c r="J475" i="4"/>
  <c r="J470" i="4"/>
  <c r="J143" i="4"/>
  <c r="J87" i="4"/>
  <c r="J415" i="4"/>
  <c r="J323" i="4"/>
  <c r="E16" i="6" l="1"/>
  <c r="E34" i="6"/>
  <c r="J25" i="4"/>
  <c r="C40" i="6"/>
  <c r="E12" i="6"/>
  <c r="B40" i="6"/>
  <c r="E39" i="6" l="1"/>
  <c r="D4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tc={83937EEF-014E-4ADD-8DB1-68A82781D008}</author>
  </authors>
  <commentList>
    <comment ref="J9" authorId="0" shapeId="0" xr:uid="{9ECDAB3F-65C8-4DFF-BFAE-73180C85CDA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proceso. Publicado. Desierto. 
Adjudicado y Celebrado. Cancelado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Libanesa Feliz</author>
  </authors>
  <commentList>
    <comment ref="C9" authorId="0" shapeId="0" xr:uid="{F02A3F13-5CB2-4334-B940-B24E69A94014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D9" authorId="0" shapeId="0" xr:uid="{01656516-5F52-4403-A40D-32FBB3EF09F3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E9" authorId="0" shapeId="0" xr:uid="{5E1257A1-C183-409F-A47E-F95080501DEA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F9" authorId="0" shapeId="0" xr:uid="{3A124828-E3C1-48E2-B034-64B565AF3474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G9" authorId="0" shapeId="0" xr:uid="{DE98A363-A96F-48B9-BA1F-61E327573941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H9" authorId="0" shapeId="0" xr:uid="{14A68CD1-1612-4DBE-97E1-D782418730BC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I9" authorId="0" shapeId="0" xr:uid="{697DF205-6BEF-451D-989C-1D502CD142B3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J9" authorId="0" shapeId="0" xr:uid="{E6C912A1-0423-4AB1-AA57-6A81483F8C7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K9" authorId="0" shapeId="0" xr:uid="{D702904F-F89B-49BC-B54C-51C03B0BD14C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L9" authorId="0" shapeId="0" xr:uid="{739402DC-BE1B-4AFB-84A3-B8E52623B973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M9" authorId="0" shapeId="0" xr:uid="{0416BA56-BF24-4CE9-9987-8118172DBA2F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N9" authorId="0" shapeId="0" xr:uid="{191C2BF0-6F4E-42AF-AFA3-D31B952769AE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O9" authorId="0" shapeId="0" xr:uid="{9939DAA4-2682-476E-AAB4-F34EDC26D45A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P9" authorId="0" shapeId="0" xr:uid="{58B019FC-1EF3-4F8B-B3BF-6A3411FF4BF9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Q9" authorId="0" shapeId="0" xr:uid="{D5917503-9C5F-4874-B27D-527049B03605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R9" authorId="0" shapeId="0" xr:uid="{EE424643-7E9C-40CA-B73F-43CE495A2044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S9" authorId="0" shapeId="0" xr:uid="{FA838393-43B2-47FA-8646-70F6E6EC307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T9" authorId="0" shapeId="0" xr:uid="{EC689D68-BADD-49C5-B934-CF8198B57DBC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U9" authorId="0" shapeId="0" xr:uid="{6E679887-9AE6-4929-ABCD-4BDDAA57B04D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V9" authorId="0" shapeId="0" xr:uid="{AD41F104-C8A0-49EB-9CA7-B16DF7D7E7ED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W9" authorId="0" shapeId="0" xr:uid="{C0F63B75-6AD3-420D-9752-AF66ACC8D4BF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X9" authorId="0" shapeId="0" xr:uid="{85F590EA-3C8B-4614-9153-2E3790798084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Y9" authorId="0" shapeId="0" xr:uid="{CA515D77-CC34-4EC2-9A48-932D9D85EBAE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Z9" authorId="0" shapeId="0" xr:uid="{83207460-FC8C-41DC-811B-3155F149DA86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</commentList>
</comments>
</file>

<file path=xl/sharedStrings.xml><?xml version="1.0" encoding="utf-8"?>
<sst xmlns="http://schemas.openxmlformats.org/spreadsheetml/2006/main" count="1817" uniqueCount="961">
  <si>
    <t>Totales</t>
  </si>
  <si>
    <t>Productos y útiles varios n.i.p.</t>
  </si>
  <si>
    <t>Repuestos y accesorios menores</t>
  </si>
  <si>
    <t>Productos eléctricos y afines</t>
  </si>
  <si>
    <t>Útiles de cocina y comedor</t>
  </si>
  <si>
    <t>Material para limpieza</t>
  </si>
  <si>
    <t>Otros Productos Quimicos y Conexos</t>
  </si>
  <si>
    <t>99</t>
  </si>
  <si>
    <t>Productos químicos y conexos</t>
  </si>
  <si>
    <t>Lubricantes</t>
  </si>
  <si>
    <t>Gas GLP</t>
  </si>
  <si>
    <t>Gasoil</t>
  </si>
  <si>
    <t>Gasolina</t>
  </si>
  <si>
    <t>Combustibles y lubricantes</t>
  </si>
  <si>
    <t>Otros minerales</t>
  </si>
  <si>
    <t>Carbón mineral</t>
  </si>
  <si>
    <t>Minerales metalíferos</t>
  </si>
  <si>
    <t>Minerales</t>
  </si>
  <si>
    <t>Accesorios de metal</t>
  </si>
  <si>
    <t>Productos de hojalata</t>
  </si>
  <si>
    <t>Herramientas menores</t>
  </si>
  <si>
    <t>Productos metálicos y sus derivados</t>
  </si>
  <si>
    <t>Productos de porcelana</t>
  </si>
  <si>
    <t>Productos de loza</t>
  </si>
  <si>
    <t>Productos de vidrio</t>
  </si>
  <si>
    <t>Productos de vidrio, loza y porcelana</t>
  </si>
  <si>
    <t>Productos de arcilla y derivados</t>
  </si>
  <si>
    <t>Productos de yeso</t>
  </si>
  <si>
    <t>Productos de asbestos</t>
  </si>
  <si>
    <t>Productos de cal</t>
  </si>
  <si>
    <t>Productos de cemento</t>
  </si>
  <si>
    <t>Artículos de plástico</t>
  </si>
  <si>
    <t>Artículos de caucho</t>
  </si>
  <si>
    <t>Llantas y neumáticos</t>
  </si>
  <si>
    <t>Artículos de cuero</t>
  </si>
  <si>
    <t>Cueros y pieles</t>
  </si>
  <si>
    <t>Productos medicinales para uso humano</t>
  </si>
  <si>
    <t>Libros, revistas y periódicos</t>
  </si>
  <si>
    <t>Productos de artes gráficas</t>
  </si>
  <si>
    <t>Papel de escritorio</t>
  </si>
  <si>
    <t>Prendas de vestir</t>
  </si>
  <si>
    <t>Acabados textiles</t>
  </si>
  <si>
    <t>Hilados y telas</t>
  </si>
  <si>
    <t>02</t>
  </si>
  <si>
    <t>01</t>
  </si>
  <si>
    <t>Alimentos y bebidas para personas</t>
  </si>
  <si>
    <t>Servicios de alimentación</t>
  </si>
  <si>
    <t>Tasas</t>
  </si>
  <si>
    <t>Derechos</t>
  </si>
  <si>
    <t>Impuestos</t>
  </si>
  <si>
    <t>Impuestos, derechos y tasas</t>
  </si>
  <si>
    <t>Festividades</t>
  </si>
  <si>
    <t>Organización de eventos y festividades</t>
  </si>
  <si>
    <t>Limpieza e higiene</t>
  </si>
  <si>
    <t>Lavandería</t>
  </si>
  <si>
    <t>Fumigación</t>
  </si>
  <si>
    <t>Fumigación, lavandería, limpieza e higiene</t>
  </si>
  <si>
    <t>Servicios funerarios y gastos conexos</t>
  </si>
  <si>
    <t>Comisiones y gastos bancarios</t>
  </si>
  <si>
    <t>Gastos judiciales</t>
  </si>
  <si>
    <t>07</t>
  </si>
  <si>
    <t>06</t>
  </si>
  <si>
    <t>Seguro de bienes muebles</t>
  </si>
  <si>
    <t>Alquileres de maquinarias y equipos</t>
  </si>
  <si>
    <t>Fletes</t>
  </si>
  <si>
    <t>Viáticos fuera del país</t>
  </si>
  <si>
    <t>Recolección de residuos sólidos</t>
  </si>
  <si>
    <t>Agua</t>
  </si>
  <si>
    <t>Energía eléctrica</t>
  </si>
  <si>
    <t>Electricidad</t>
  </si>
  <si>
    <t>Telefax y correos</t>
  </si>
  <si>
    <t>Teléfono local</t>
  </si>
  <si>
    <t>%</t>
  </si>
  <si>
    <t>Auxiliar</t>
  </si>
  <si>
    <t>Cuenta</t>
  </si>
  <si>
    <t>Objeto</t>
  </si>
  <si>
    <t>Tipo</t>
  </si>
  <si>
    <t>SERVICIO NACIONAL DE SALUD</t>
  </si>
  <si>
    <t>D E S G L O S E    D E    L A S    C U E N T A S</t>
  </si>
  <si>
    <t>1% a ser asignado durante el ejercicio para inversión por calamidad pública</t>
  </si>
  <si>
    <t>`01</t>
  </si>
  <si>
    <t>5% a ser asignado durante el ejercicio para inversión</t>
  </si>
  <si>
    <t>Gastos a Ser Asignados Durante el Ejercicio para Inversión (Art. 32 Y 33 Ley 423-06)</t>
  </si>
  <si>
    <t>Construcciones en bienes de uso privado concesionados</t>
  </si>
  <si>
    <t>Construcciones en bienes de uso público concesionados</t>
  </si>
  <si>
    <t>Construcciones En Bienes Concesionados</t>
  </si>
  <si>
    <t>Obras en plantas industriales, hidrocarburos y minas</t>
  </si>
  <si>
    <t>Obras en cementerios</t>
  </si>
  <si>
    <t>Obras urbanísticas</t>
  </si>
  <si>
    <t>Infraestructura y plantaciones agrícolas</t>
  </si>
  <si>
    <t>Infraestructura marítima y aérea</t>
  </si>
  <si>
    <t>Infraestructura terrestre y obras anexas</t>
  </si>
  <si>
    <t>Obras de telecomunicaciones</t>
  </si>
  <si>
    <t>Obras de Energía</t>
  </si>
  <si>
    <t>Obras Hidráulicas Y Sanitarias</t>
  </si>
  <si>
    <t>Infraestructura</t>
  </si>
  <si>
    <t>Mejoras de tierras y terrenos</t>
  </si>
  <si>
    <t>Obras para edificación de otras estructuras</t>
  </si>
  <si>
    <t>Obras para edificación no residencial</t>
  </si>
  <si>
    <t>Obras para edificación residencial (viviendas)</t>
  </si>
  <si>
    <t>Obras En Edificaciones</t>
  </si>
  <si>
    <t>Obras</t>
  </si>
  <si>
    <t>Otras estructuras</t>
  </si>
  <si>
    <t>Objetos del patrimonio culyural</t>
  </si>
  <si>
    <t>03</t>
  </si>
  <si>
    <t>Antiguedades, bienes artisticos y otros objetos de arte</t>
  </si>
  <si>
    <t>Metales y piedras preciosas</t>
  </si>
  <si>
    <t>Objetos de valor</t>
  </si>
  <si>
    <t>Tierras</t>
  </si>
  <si>
    <t>Terrenos</t>
  </si>
  <si>
    <t>Edificios no residenciales</t>
  </si>
  <si>
    <t>Edificios residenciales (viviendas)</t>
  </si>
  <si>
    <t>Bienes Inmuebles</t>
  </si>
  <si>
    <t>Otros activos intangibles</t>
  </si>
  <si>
    <t>Comerciales</t>
  </si>
  <si>
    <t>`04</t>
  </si>
  <si>
    <t>Industriales</t>
  </si>
  <si>
    <t>`03</t>
  </si>
  <si>
    <t>Intelectuales</t>
  </si>
  <si>
    <t>`02</t>
  </si>
  <si>
    <t>Concesiones</t>
  </si>
  <si>
    <t>Marcas y patentes</t>
  </si>
  <si>
    <t>Estudios de preinversión</t>
  </si>
  <si>
    <t>Originales para esparcimiento, literarios o artísticos</t>
  </si>
  <si>
    <t>Base de datos</t>
  </si>
  <si>
    <t>Programas de informática</t>
  </si>
  <si>
    <t>Programas de informática y base de datos</t>
  </si>
  <si>
    <t>Exploración y evaluación minera</t>
  </si>
  <si>
    <t>Investigación y desarrollo</t>
  </si>
  <si>
    <t>Bienes Intangibles</t>
  </si>
  <si>
    <t>Árboles, cultivos y plantas que generan productos recurrentes</t>
  </si>
  <si>
    <t>Especies menores y de zoológico</t>
  </si>
  <si>
    <t>Equinos</t>
  </si>
  <si>
    <t>Peces y acuicultura</t>
  </si>
  <si>
    <t>Ovinos y caprinos</t>
  </si>
  <si>
    <t>Aves</t>
  </si>
  <si>
    <t>Porcinos</t>
  </si>
  <si>
    <t>Bovinos</t>
  </si>
  <si>
    <t>Activos Biológicos Cultivables</t>
  </si>
  <si>
    <t>Equipos de Seguridad</t>
  </si>
  <si>
    <t>Equipos De Defensa</t>
  </si>
  <si>
    <t>Equipos De Defensa Y Seguridad</t>
  </si>
  <si>
    <t>Otros equipos</t>
  </si>
  <si>
    <t>Equipo de comunicación, telecomunicaciones y señalamiento</t>
  </si>
  <si>
    <t>Maquinaria y equipo de construcción</t>
  </si>
  <si>
    <t>Maquinaria y equipo industrial</t>
  </si>
  <si>
    <t>Maquinaria y equipo agropecuario</t>
  </si>
  <si>
    <t>Maquinaria, Otros Equipos y Herramientas</t>
  </si>
  <si>
    <t>Otros equipos de transporte</t>
  </si>
  <si>
    <t>Equipo de elevación</t>
  </si>
  <si>
    <t>Equipo de tracción</t>
  </si>
  <si>
    <t>Embarcaciones</t>
  </si>
  <si>
    <t>Equipo ferroviario</t>
  </si>
  <si>
    <t>Equipo aeronáutico</t>
  </si>
  <si>
    <t>Carrocerías y remolques</t>
  </si>
  <si>
    <t>Automóviles y camiones</t>
  </si>
  <si>
    <t>Vehículos y Equipo de Transporte, Tracción y Elevación</t>
  </si>
  <si>
    <t>Equipo veterinario</t>
  </si>
  <si>
    <t>Instrumental médico y de laboratorio</t>
  </si>
  <si>
    <t>Equipo médico y de laboratorio</t>
  </si>
  <si>
    <t>Equipo e Instrumental, Científico Y Laboratorio</t>
  </si>
  <si>
    <t>Cámaras fotográficas y de video</t>
  </si>
  <si>
    <t>Aparatos deportivos</t>
  </si>
  <si>
    <t>Equipos y aparatos audiovisuales</t>
  </si>
  <si>
    <t>Otros mobiliarios y equipos no identificados precedentemente</t>
  </si>
  <si>
    <t>Electrodomésticos</t>
  </si>
  <si>
    <t>Muebles de alojamiento, excepto de oficina y estantería</t>
  </si>
  <si>
    <t>Mobiliario Y Equipo</t>
  </si>
  <si>
    <t>Bienes Muebles, Inmuebles e Intangibles</t>
  </si>
  <si>
    <t>Subsidios para viviendas económicas</t>
  </si>
  <si>
    <t>05</t>
  </si>
  <si>
    <t>Subsidio obreros portuarios Ley 199-02</t>
  </si>
  <si>
    <t>04</t>
  </si>
  <si>
    <t>Programa de repitencia escolar</t>
  </si>
  <si>
    <t>Ayudas y donaciones ocasionales a hogares y personas</t>
  </si>
  <si>
    <t>Ayudas y donaciones programadas a hogares y personas</t>
  </si>
  <si>
    <t>Ayudas y donaciones a personas</t>
  </si>
  <si>
    <t xml:space="preserve">Accesorios     </t>
  </si>
  <si>
    <t xml:space="preserve">Repuestos   </t>
  </si>
  <si>
    <t>Productos y útiles veterinarios</t>
  </si>
  <si>
    <t>Útiles destinados a actividades deportivas y recreativas</t>
  </si>
  <si>
    <t>Útiles menores médico quirúrgicos</t>
  </si>
  <si>
    <t>Productos y Útiles Varios</t>
  </si>
  <si>
    <t>1% a ser asignados durante el ej. para gastos corrientes por calamidad pública</t>
  </si>
  <si>
    <t>5% a ser asignados durante el ejercicio para gastos corrientes</t>
  </si>
  <si>
    <t>Gastos a ser Asignados Durante el Ejercicio (ART. 32 Y 33 Ley 423-06)</t>
  </si>
  <si>
    <t>Pinturas, Lacas, Barnices, Diluyentes y Absorbentes para Pintura</t>
  </si>
  <si>
    <t>Insecticidas, Fumigantes y Otros</t>
  </si>
  <si>
    <t>Abonos y Fertilizantes</t>
  </si>
  <si>
    <t>Productos Fotoquímicos</t>
  </si>
  <si>
    <t>Productos explosivos y Pirotecnia</t>
  </si>
  <si>
    <t>Gas Natural</t>
  </si>
  <si>
    <t>Aceites y Grasas</t>
  </si>
  <si>
    <t>Kerosén</t>
  </si>
  <si>
    <t>Combustibles, Lubricantes, Productos Químicos y Conexos</t>
  </si>
  <si>
    <t>Otros Productos Minerales no metálicos</t>
  </si>
  <si>
    <t>Productos abrasivos</t>
  </si>
  <si>
    <t>Productos aislantes</t>
  </si>
  <si>
    <t>Piedra, arcilla y arena</t>
  </si>
  <si>
    <t>Petróleo crudo</t>
  </si>
  <si>
    <t>Productos de cemento, cal, asbesto, yeso y arcilla</t>
  </si>
  <si>
    <t>Productos de Minerales, Metálicos y No Metálicos</t>
  </si>
  <si>
    <t>Productos de Cuero, Caucho y Plásticos</t>
  </si>
  <si>
    <t>Productos medicinales para uso veterinario</t>
  </si>
  <si>
    <t>Productos Farmacéuticos</t>
  </si>
  <si>
    <t>Especies timbrados y valoradas</t>
  </si>
  <si>
    <t>Textos de enseñanza</t>
  </si>
  <si>
    <t>Productos de Papel, Cartón e Impresos</t>
  </si>
  <si>
    <t>Textiles y Vestuarios</t>
  </si>
  <si>
    <t>Madera, corcho y sus manufacturas</t>
  </si>
  <si>
    <t>Productos forestales</t>
  </si>
  <si>
    <t>Productos agrícolas</t>
  </si>
  <si>
    <t>Productos pecuarios</t>
  </si>
  <si>
    <t>Productos agroforestales y pecuarios</t>
  </si>
  <si>
    <t>Alimentos para animales</t>
  </si>
  <si>
    <t>Desayuno escolar</t>
  </si>
  <si>
    <t>Alimentos y Productos Agroforestales</t>
  </si>
  <si>
    <t>Materiales y Suministros</t>
  </si>
  <si>
    <t>Otras Contrataciones de Servicios</t>
  </si>
  <si>
    <t>Otros servicios técnicos profesionales</t>
  </si>
  <si>
    <t>Servicios de informática y sistemas computarizados</t>
  </si>
  <si>
    <t>Servicios de capacitación</t>
  </si>
  <si>
    <t>Servicios de contabilidad y auditoria</t>
  </si>
  <si>
    <t>Servicios jurídicos</t>
  </si>
  <si>
    <t>Estudios, investigaciones y análisis de factibilidad</t>
  </si>
  <si>
    <t>Servicios Técnicos y Profesionales</t>
  </si>
  <si>
    <t>Actuaciones artísticas</t>
  </si>
  <si>
    <t>Actuaciones deportivas</t>
  </si>
  <si>
    <t>Eventos generales</t>
  </si>
  <si>
    <t>Servicios sanitarios médicos y veterinarios</t>
  </si>
  <si>
    <t>Otros Servicios No Personales</t>
  </si>
  <si>
    <t>Instalaciones temporales</t>
  </si>
  <si>
    <t>Otros servicios de mantenimiento y reparacion de maquinaria y equipos, no identificados anteriormente</t>
  </si>
  <si>
    <t>Servicios de Mant. Reparacion, desmonte e instalacion</t>
  </si>
  <si>
    <t>08</t>
  </si>
  <si>
    <t xml:space="preserve">Mant. Y reparacion de equipos industriales y produccion </t>
  </si>
  <si>
    <t>Mantenimiento y reparación de equipos de transporte, tracción y elevación</t>
  </si>
  <si>
    <t>Mantenimiento y reparación de equipo de comunicación</t>
  </si>
  <si>
    <t>Mantenimiento y reparación de equipos sanitarios y de laboratorio</t>
  </si>
  <si>
    <t>Mantenimiento y reparación de equipo educacional</t>
  </si>
  <si>
    <t>Mantenimiento y reparación de equipo de oficina y muebles</t>
  </si>
  <si>
    <t>Reparaciones de maquinarias y equipos</t>
  </si>
  <si>
    <t>Otros mantenimientos, reparaciones y sus derivados, no identificados precedentemente</t>
  </si>
  <si>
    <t>Instalaciones eléctricas</t>
  </si>
  <si>
    <t>Obras en bienes de dominio público</t>
  </si>
  <si>
    <t>Mantenimiento y reparación de obras civiles en instalaciones varias</t>
  </si>
  <si>
    <t>Limpieza, desmalezamiento de tierras y terrenos</t>
  </si>
  <si>
    <t>Servicios especiales de mantenimiento y reparación</t>
  </si>
  <si>
    <t>Obras menores en edificaciones</t>
  </si>
  <si>
    <t>Obras Menores</t>
  </si>
  <si>
    <t>Servicios de Conservación, Reparaciones Menores e Instalaciones Temporales</t>
  </si>
  <si>
    <t>Seguros de la producción agrícola</t>
  </si>
  <si>
    <t>Seguros de personas</t>
  </si>
  <si>
    <t>Seguro de bienes inmuebles e infraestructura</t>
  </si>
  <si>
    <t>Seguros</t>
  </si>
  <si>
    <t>Otros alquileres</t>
  </si>
  <si>
    <t>Alquileres de equipos de construcción y movimiento de tierras</t>
  </si>
  <si>
    <t>Alquileres de terrenos</t>
  </si>
  <si>
    <t>Alquiler de tierras</t>
  </si>
  <si>
    <t>Alquileres de equipos de transporte, tracción y elevación</t>
  </si>
  <si>
    <t>Alquiler de equipos sanitarios y de laboratorios</t>
  </si>
  <si>
    <t>Alquiler de equipo de oficina y muebles</t>
  </si>
  <si>
    <t>Alquiler de equipo de comunicación</t>
  </si>
  <si>
    <t>Alquiler de equipo educacional</t>
  </si>
  <si>
    <t>Alquileres de equipos de producción</t>
  </si>
  <si>
    <t>Alquileres y rentas de edificios y locales</t>
  </si>
  <si>
    <t>Alquileres y Rentas</t>
  </si>
  <si>
    <t>Peaje</t>
  </si>
  <si>
    <t>Almacenaje</t>
  </si>
  <si>
    <t>Pasajes</t>
  </si>
  <si>
    <t>Transporte y Almacenaje</t>
  </si>
  <si>
    <t>Viáticos dentro del país</t>
  </si>
  <si>
    <t>Viáticos</t>
  </si>
  <si>
    <t>Impresión y encuadernación</t>
  </si>
  <si>
    <t>Publicidad y propaganda</t>
  </si>
  <si>
    <t>Publicidad Impresión y Encuadernación</t>
  </si>
  <si>
    <t>Electricidad no cortable</t>
  </si>
  <si>
    <t>Servicio de Internet y televisión por cable</t>
  </si>
  <si>
    <t>Servicios telefónico de larga distancia</t>
  </si>
  <si>
    <t>Radiocomunicación</t>
  </si>
  <si>
    <t>Servicios Básicos</t>
  </si>
  <si>
    <t>Servicios No Personales</t>
  </si>
  <si>
    <t>Contribuciones al plan de retiro complementario</t>
  </si>
  <si>
    <t>Contribuciones al seguro de riesgo laboral</t>
  </si>
  <si>
    <t>Contribuciones al seguro de pensiones</t>
  </si>
  <si>
    <t>Contribuciones al seguro de salud</t>
  </si>
  <si>
    <t>Contribuciones a la Seguridad Social y Riesgo Laboral</t>
  </si>
  <si>
    <t>Gratificaciones por aniversario de institución</t>
  </si>
  <si>
    <t>Gratificaciones por pasantías</t>
  </si>
  <si>
    <t>Bono escolar</t>
  </si>
  <si>
    <t>Otras Gratificaciones y Bonificaciones</t>
  </si>
  <si>
    <t>Bonificaciones</t>
  </si>
  <si>
    <t>Gratificaciones y Bonificaciones</t>
  </si>
  <si>
    <t>Gastos de representación en el exterior</t>
  </si>
  <si>
    <t>Gastos de representación en el país</t>
  </si>
  <si>
    <t>Gastos de representación</t>
  </si>
  <si>
    <t>Dietas en el exterior</t>
  </si>
  <si>
    <t>Dietas en el país</t>
  </si>
  <si>
    <t>Dietas</t>
  </si>
  <si>
    <t>Dietas y Gastos de Representación</t>
  </si>
  <si>
    <t>09</t>
  </si>
  <si>
    <t>Compensaciones especiales</t>
  </si>
  <si>
    <t>Compensación por distancia</t>
  </si>
  <si>
    <t>Compensación servicios de Seguridad</t>
  </si>
  <si>
    <t>Prima de transporte</t>
  </si>
  <si>
    <t>Compensación por gastos de alimentación</t>
  </si>
  <si>
    <t>Compensación</t>
  </si>
  <si>
    <t>Primas por antigüedad</t>
  </si>
  <si>
    <t>Sobresueldos</t>
  </si>
  <si>
    <t>Proporción de vacaciones no disfrutadas</t>
  </si>
  <si>
    <t>Prestación laboral por desvinculación</t>
  </si>
  <si>
    <t>Pago de porcentaje por desvinculación de cargo</t>
  </si>
  <si>
    <t>Sueldos al personal fijo en trámite de pensiones</t>
  </si>
  <si>
    <t xml:space="preserve"> Jornales</t>
  </si>
  <si>
    <t>Sueldo al personal nominal en período probatorio</t>
  </si>
  <si>
    <t>Suplencias</t>
  </si>
  <si>
    <t>Remuneraciones al personal con carácter transitorio</t>
  </si>
  <si>
    <t>Incentivos y escalafón</t>
  </si>
  <si>
    <t>Nuevas plazas maestros</t>
  </si>
  <si>
    <t>Ascensos a militares</t>
  </si>
  <si>
    <t>Sueldos a médicos</t>
  </si>
  <si>
    <t>Remuneraciones al personal fijo</t>
  </si>
  <si>
    <t>Remuneraciones</t>
  </si>
  <si>
    <t>Servicios Personales</t>
  </si>
  <si>
    <t>Gastos</t>
  </si>
  <si>
    <t>Aportes Nomina SNS</t>
  </si>
  <si>
    <t>Venta de Servicios/    Otros Aportes</t>
  </si>
  <si>
    <t>Sub-Cuenta</t>
  </si>
  <si>
    <t>TOTAL</t>
  </si>
  <si>
    <t xml:space="preserve">Distribución del Gasto por Fuente de Financiamiento </t>
  </si>
  <si>
    <t>Descripción Gasto por Cuenta</t>
  </si>
  <si>
    <t>Código Presupuestario</t>
  </si>
  <si>
    <t>TOTAL INGRESOS RDS</t>
  </si>
  <si>
    <t>Venta de Servicios</t>
  </si>
  <si>
    <t>Transferencias Corrientes</t>
  </si>
  <si>
    <t>VS</t>
  </si>
  <si>
    <t>FR</t>
  </si>
  <si>
    <t>OBJETAL</t>
  </si>
  <si>
    <t>Otros Aportes</t>
  </si>
  <si>
    <t>Anticipo Financiero</t>
  </si>
  <si>
    <t>2.- Ingresos por Fuente / Cuenta</t>
  </si>
  <si>
    <t>1.- Balance Inicial / Fuente:</t>
  </si>
  <si>
    <t>Ingresos Generales:</t>
  </si>
  <si>
    <t>Consolidado de Ingresos y Gastos por Fuente de Financiamiento</t>
  </si>
  <si>
    <t>Servicio Nacional de Salud</t>
  </si>
  <si>
    <t>Form. No.6 SRS</t>
  </si>
  <si>
    <t>Porciento</t>
  </si>
  <si>
    <t>Total General</t>
  </si>
  <si>
    <t>Total</t>
  </si>
  <si>
    <t>Otros  Egresos y Gastos</t>
  </si>
  <si>
    <t>Materiales de Limpieza e Higiene</t>
  </si>
  <si>
    <t>GLP</t>
  </si>
  <si>
    <t xml:space="preserve">Gasolina </t>
  </si>
  <si>
    <t>Articulos de Plasticos</t>
  </si>
  <si>
    <t>Productos de papel, carton e impesos</t>
  </si>
  <si>
    <t xml:space="preserve">Alimentos y Bebidas para Personas </t>
  </si>
  <si>
    <t xml:space="preserve">Materiales de Oficina, Impresión y Encuadernación  </t>
  </si>
  <si>
    <t xml:space="preserve">Comisiones y Gastos Bancarios </t>
  </si>
  <si>
    <t xml:space="preserve">Alquileres </t>
  </si>
  <si>
    <t>Transporte y almacenaje</t>
  </si>
  <si>
    <t xml:space="preserve">Viáticos </t>
  </si>
  <si>
    <t>Servicio Telefónico</t>
  </si>
  <si>
    <t xml:space="preserve">Servicios Personales </t>
  </si>
  <si>
    <t>Gastos Administrativos</t>
  </si>
  <si>
    <t xml:space="preserve">Productos Eléctricos y Afines </t>
  </si>
  <si>
    <t>Reparación y Mantenimiento Maquinaria y Eq.</t>
  </si>
  <si>
    <t>Mantenimiento de Equipos</t>
  </si>
  <si>
    <t>Reactivos e Insumos de Laboratorio</t>
  </si>
  <si>
    <t>Oxigeno</t>
  </si>
  <si>
    <t>Medicamentos e Insumos Médicos</t>
  </si>
  <si>
    <t>Atención Directa</t>
  </si>
  <si>
    <t xml:space="preserve"> VENTA SERVICIOS</t>
  </si>
  <si>
    <t>DETALLE</t>
  </si>
  <si>
    <t>RETENCION</t>
  </si>
  <si>
    <t>FECHA</t>
  </si>
  <si>
    <t>TRANSF NO.</t>
  </si>
  <si>
    <t>VALOR</t>
  </si>
  <si>
    <t>AÑOS ANTERIORES</t>
  </si>
  <si>
    <t>Proveedor Informal</t>
  </si>
  <si>
    <t>Incentivo por Rendimieto Individual</t>
  </si>
  <si>
    <t>11</t>
  </si>
  <si>
    <t>Productos Químicos de uso Personal y Laboratorio</t>
  </si>
  <si>
    <t>Contraseña: 0001</t>
  </si>
  <si>
    <t>Personal de carácter eventual</t>
  </si>
  <si>
    <t xml:space="preserve">Servicios de alimentación </t>
  </si>
  <si>
    <t>Servicios de catering</t>
  </si>
  <si>
    <t>Nuevas plazas a médicos</t>
  </si>
  <si>
    <t xml:space="preserve"> Sueldos a empleados fijos</t>
  </si>
  <si>
    <t>Empleados temporales</t>
  </si>
  <si>
    <t>Interinato</t>
  </si>
  <si>
    <t>Sueldo anual no. 13</t>
  </si>
  <si>
    <t>Prestaciones económinas</t>
  </si>
  <si>
    <t>Pago de horas extraordinarias</t>
  </si>
  <si>
    <t>Bono por desempeño a servidores de carrera</t>
  </si>
  <si>
    <t>Compensacion por cumplimiento de indicadores</t>
  </si>
  <si>
    <t>Alquileres de equipos electricos (plantas)</t>
  </si>
  <si>
    <t>Alquiler de equipo de tecnologia y almacenamiento de datos</t>
  </si>
  <si>
    <t>Derechos de uso</t>
  </si>
  <si>
    <t>Licencias informaticas</t>
  </si>
  <si>
    <t>Mantenimiento, reparacion, servicios de pintura y sus derivados</t>
  </si>
  <si>
    <t>Mantenimiento y rep. de equipo de tecnologia e informatica</t>
  </si>
  <si>
    <t>Papel y cartón</t>
  </si>
  <si>
    <t>Otros productos no metálicos</t>
  </si>
  <si>
    <t>Útiles y materiales de limpieza e higiene</t>
  </si>
  <si>
    <t>Útiles y materiales de limpieza e higiene personal</t>
  </si>
  <si>
    <t>Útiles y materiales de escritorio, oficina e informática</t>
  </si>
  <si>
    <t>Útiles de escritorio, oficina, informática, escolares y de enseñanza</t>
  </si>
  <si>
    <t>Productos y útiles e defensa y seguridad</t>
  </si>
  <si>
    <t>Muebles, equipos de oficina y estantería</t>
  </si>
  <si>
    <t>Equipo de tecnologia de la informacion y comunicación</t>
  </si>
  <si>
    <t>Mobiliario y equipo educacional y recreativo</t>
  </si>
  <si>
    <t>Mobiliario y Eq. de Audio, Audiovisual, Recreativo y Educacional</t>
  </si>
  <si>
    <t>Equipo e instrumentos de medición científica</t>
  </si>
  <si>
    <t>Sistemas y equipos de climatización</t>
  </si>
  <si>
    <t>Equipo de generación eléctrica y a fines</t>
  </si>
  <si>
    <t>Máquinas-herramientas</t>
  </si>
  <si>
    <t>Otros activos que generan producción recurrente</t>
  </si>
  <si>
    <t>Adquisición de mejoras residenciales</t>
  </si>
  <si>
    <t>Adquisición de mejoras no residenciales</t>
  </si>
  <si>
    <t>Licencias intelectuales, industriales y comerciales</t>
  </si>
  <si>
    <t>Dirección de Fizcalización</t>
  </si>
  <si>
    <t>Gastos Inversion y Capital</t>
  </si>
  <si>
    <t>Servicios Basicos (electricidad, agua y residuos solidos)</t>
  </si>
  <si>
    <t>Fondo 100</t>
  </si>
  <si>
    <t>RESUMEN COMPARATIVO DE GASTOS ESPECIFICOS FONDO 100 Y VENTA DE SERVICIOS</t>
  </si>
  <si>
    <t>DIRECCION DE FISCALIZACION Y CONTROL</t>
  </si>
  <si>
    <t xml:space="preserve"> LIBRAMIENTO</t>
  </si>
  <si>
    <t>TRANSFERENCIA</t>
  </si>
  <si>
    <t>CHEQUE</t>
  </si>
  <si>
    <t>BENEFICIARIO</t>
  </si>
  <si>
    <t xml:space="preserve">NO.FACTURAS </t>
  </si>
  <si>
    <t>VALOR DE  FACTURA</t>
  </si>
  <si>
    <t>VALOR PAGADO</t>
  </si>
  <si>
    <t>MONTO</t>
  </si>
  <si>
    <t>TIPO</t>
  </si>
  <si>
    <t>Valor</t>
  </si>
  <si>
    <t>No. Cta. Objetal del Gasto</t>
  </si>
  <si>
    <t>Rubro</t>
  </si>
  <si>
    <t>Beneficiario</t>
  </si>
  <si>
    <t>Fuente. Financ      (FR-VS)</t>
  </si>
  <si>
    <t>No. De Factura Fiscal NCF</t>
  </si>
  <si>
    <t>Fecha</t>
  </si>
  <si>
    <t>Fuente: [fuente]</t>
  </si>
  <si>
    <t>TOTAL GASTOS Y APLICACIONES FINANCIERAS</t>
  </si>
  <si>
    <t>TOTAL APLICACIONES FINANCIERAS</t>
  </si>
  <si>
    <t>4.3.5 - DISMINUCIÓN DEPÓSITOS FONDOS DE TERCEROS</t>
  </si>
  <si>
    <t>4.3 - DISMINUCIÓN DE FONDOS DE TERCEROS</t>
  </si>
  <si>
    <t>4.2.2 - DISMINUCIÓN DE PASIVOS NO CORRIENTES</t>
  </si>
  <si>
    <t>4.2.1 - DISMINUCIÓN DE PASIVOS CORRIENTES</t>
  </si>
  <si>
    <t>4.2 - DISMINUCIÓN DE PASIVOS</t>
  </si>
  <si>
    <t>4.1.2 - INCREMENTO DE ACTIVOS FINANCIEROS NO CORRIENTES</t>
  </si>
  <si>
    <t>4.1.1 - INCREMENTO DE ACTIVOS FINANCIEROS CORRIENTES</t>
  </si>
  <si>
    <t>4.1 - INCREMENTO DE ACTIVOS FINANCIEROS</t>
  </si>
  <si>
    <t>4 - APLICACIONES FINANCIERAS</t>
  </si>
  <si>
    <t>Total Gastos</t>
  </si>
  <si>
    <t>2.9.4 - COMISIONES Y OTROS GASTOS BANCARIOS DE LA DEUDA PÚBLICA</t>
  </si>
  <si>
    <t>2.9.2 - INTERESES DE LA DEUDA PUBLICA EXTERNA</t>
  </si>
  <si>
    <t>2.9.1 - INTERESES DE LA DEUDA PÚBLICA INTERNA</t>
  </si>
  <si>
    <t>2.9 - GASTOS FINANCIEROS</t>
  </si>
  <si>
    <t>2.8.2 - ADQUISICIÓN DE TÍTULOS VALORES REPRESENTATIVOS DE DEUDA</t>
  </si>
  <si>
    <t>2.8.1 - CONCESIÓN DE PRESTAMOS</t>
  </si>
  <si>
    <t>2.8 - ADQUISICION DE ACTIVOS FINANCIEROS CON FINES DE POLÍTICA</t>
  </si>
  <si>
    <t>2.7.4 - GASTOS QUE SE ASIGNARÁN DURANTE EL EJERCICIO PARA INVERSIÓN (ART. 32 Y 33 LEY 423-06)</t>
  </si>
  <si>
    <t>2.7.3 - CONSTRUCCIONES EN BIENES CONCESIONADOS</t>
  </si>
  <si>
    <t>2.7.2 - INFRAESTRUCTURA</t>
  </si>
  <si>
    <t>2.7.1 - OBRAS EN EDIFICACIONES</t>
  </si>
  <si>
    <t>2.7 - OBRAS</t>
  </si>
  <si>
    <t>2.6.9 - EDIFICIOS, ESTRUCTURAS, TIERRAS, TERRENOS Y OBJETOS DE VALOR</t>
  </si>
  <si>
    <t>2.6.8 - BIENES INTANGIBLES</t>
  </si>
  <si>
    <t>2.6.7 - ACTIVOS BIÓLOGICOS CULTIVABLES</t>
  </si>
  <si>
    <t>2.6.6 - EQUIPOS DE DEFENSA Y SEGURIDAD</t>
  </si>
  <si>
    <t>2.6.5 - MAQUINARIA, OTROS EQUIPOS Y HERRAMIENTAS</t>
  </si>
  <si>
    <t>2.6.4 - VEHÍCULOS Y EQUIPO DE TRANSPORTE, TRACCIÓN Y ELEVACIÓN</t>
  </si>
  <si>
    <t>2.6.3 - EQUIPO E INSTRUMENTAL, CIENTÍFICO Y LABORATORIO</t>
  </si>
  <si>
    <t>2.6.2 - MOBILIARIO Y EQUIPO EDUCACIONAL Y RECREATIVO</t>
  </si>
  <si>
    <t>2.6.1 - MOBILIARIO Y EQUIPO</t>
  </si>
  <si>
    <t>2.6 - BIENES MUEBLES, INMUEBLES E INTANGIBLES</t>
  </si>
  <si>
    <t>2.5.9 - TRANSFERENCIAS DE CAPITAL A OTRAS INSTITUCIONES PÚBLICAS</t>
  </si>
  <si>
    <t>2.5.6 - TRANSFERENCIAS DE CAPITAL AL SECTOR EXTERNO</t>
  </si>
  <si>
    <t>2.5.5 - TRANSFERENCIAS DE CAPITAL A INSTITUCIONES PÚBLICAS FINANCIERAS</t>
  </si>
  <si>
    <t>2.5.4 - TRANSFERENCIAS DE CAPITAL  A EMPRESAS PÚBLICAS NO FINANCIERAS</t>
  </si>
  <si>
    <t>2.5.3 - TRANSFERENCIAS DE CAPITAL A GOBIERNOS GENERALES LOCALES</t>
  </si>
  <si>
    <t>2.5.2 - TRANSFERENCIAS DE CAPITAL AL GOBIERNO GENERAL  NACIONAL</t>
  </si>
  <si>
    <t>2.5.1 - TRANSFERENCIAS DE CAPITAL AL SECTOR PRIVADO</t>
  </si>
  <si>
    <t>2.5 - TRANSFERENCIAS DE CAPITAL</t>
  </si>
  <si>
    <t>2.4.9 - TRANSFERENCIAS CORRIENTES A OTRAS INSTITUCIONES PÚBLICAS</t>
  </si>
  <si>
    <t>2.4.7 - TRANSFERENCIAS CORRIENTES AL SECTOR EXTERNO</t>
  </si>
  <si>
    <t>2.4.5 - TRANSFERENCIAS CORRIENTES A INSTITUCIONES PÚBLICAS FINANCIERAS</t>
  </si>
  <si>
    <t>2.4.4 - TRANSFERENCIAS CORRIENTES A EMPRESAS PÚBLICAS NO FINANCIERAS</t>
  </si>
  <si>
    <t>2.4.3 - TRANSFERENCIAS CORRIENTES A GOBIERNOS GENERALES LOCALES</t>
  </si>
  <si>
    <t>2.4.2 - TRANSFERENCIAS CORRIENTES AL  GOBIERNO GENERAL NACIONAL</t>
  </si>
  <si>
    <t>2.4.1 - TRANSFERENCIAS CORRIENTES AL SECTOR PRIVADO</t>
  </si>
  <si>
    <t>2.4 - TRANSFERENCIAS CORRIENTES</t>
  </si>
  <si>
    <t>2.3.9 - PRODUCTOS Y ÚTILES VARIOS</t>
  </si>
  <si>
    <t>2.3.8 - GASTOS QUE SE ASIGNARÁN DURANTE EL EJERCICIO (ART. 32 Y 33 LEY 423-06)</t>
  </si>
  <si>
    <t>2.3.7 - COMBUSTIBLES, LUBRICANTES, PRODUCTOS QUÍMICOS Y CONEXOS</t>
  </si>
  <si>
    <t>2.3.6 - PRODUCTOS DE MINERALES, METÁLICOS Y NO METÁLICOS</t>
  </si>
  <si>
    <t>2.3.5 - PRODUCTOS DE CUERO, CAUCHO Y PLÁSTICO</t>
  </si>
  <si>
    <t>2.3.4 - PRODUCTOS FARMACÉUTICOS</t>
  </si>
  <si>
    <t>2.3.3 - PRODUCTOS DE PAPEL, CARTÓN E IMPRESOS</t>
  </si>
  <si>
    <t>2.3.2 - TEXTILES Y VESTUARIOS</t>
  </si>
  <si>
    <t>2.3.1 - ALIMENTOS Y PRODUCTOS AGROFORESTALES</t>
  </si>
  <si>
    <t>2.3 - MATERIALES Y SUMINISTROS</t>
  </si>
  <si>
    <t>2.2.9 - OTRAS CONTRATACIONES DE SERVICIOS</t>
  </si>
  <si>
    <t>2.2.8 - OTROS SERVICIOS NO INCLUIDOS EN CONCEPTOS ANTERIORES</t>
  </si>
  <si>
    <t>2.2.7 - SERVICIOS DE CONSERVACIÓN, REPARACIONES MENORES E INSTALACIONES TEMPORALES</t>
  </si>
  <si>
    <t>2.2.6 - SEGUROS</t>
  </si>
  <si>
    <t>2.2.5 - ALQUILERES Y RENTAS</t>
  </si>
  <si>
    <t>2.2.4 - TRANSPORTE Y ALMACENAJE</t>
  </si>
  <si>
    <t>2.2.3 - VIÁTICOS</t>
  </si>
  <si>
    <t>2.2.2 - PUBLICIDAD, IMPRESIÓN Y ENCUADERNACIÓN</t>
  </si>
  <si>
    <t>2.2.1 - SERVICIOS BÁSICOS</t>
  </si>
  <si>
    <t>2.2 - CONTRATACIÓN DE SERVICIOS</t>
  </si>
  <si>
    <t>2.1.5 - CONTRIBUCIONES A LA SEGURIDAD SOCIAL</t>
  </si>
  <si>
    <t>2.1.4 - GRATIFICACIONES Y BONIFICACIONES</t>
  </si>
  <si>
    <t>2.1.3 - DIETAS Y GASTOS DE REPRESENTACIÓN</t>
  </si>
  <si>
    <t>2.1.2 - SOBRESUELDOS</t>
  </si>
  <si>
    <t>2.1.1 - REMUNERACIONES</t>
  </si>
  <si>
    <t>2.1 - REMUNERACIONES Y CONTRIBUCIONES</t>
  </si>
  <si>
    <t>2 - GASTOS</t>
  </si>
  <si>
    <t>Diciembre</t>
  </si>
  <si>
    <t>Noviembre</t>
  </si>
  <si>
    <t xml:space="preserve">Octubre </t>
  </si>
  <si>
    <t>Septiembre</t>
  </si>
  <si>
    <t>Agosto</t>
  </si>
  <si>
    <t>Julio</t>
  </si>
  <si>
    <t>Junio</t>
  </si>
  <si>
    <t>Mayo</t>
  </si>
  <si>
    <t>Abril</t>
  </si>
  <si>
    <t>Marzo</t>
  </si>
  <si>
    <t xml:space="preserve">Febrero </t>
  </si>
  <si>
    <t xml:space="preserve">Enero </t>
  </si>
  <si>
    <t xml:space="preserve">Total </t>
  </si>
  <si>
    <t>Detalle</t>
  </si>
  <si>
    <t>En RD$</t>
  </si>
  <si>
    <t>REGION</t>
  </si>
  <si>
    <t>NOMBRE DEL ESTABLECIMIENTO</t>
  </si>
  <si>
    <t xml:space="preserve">SERVICIO NACIONAL DE SALUD </t>
  </si>
  <si>
    <t>FONDO REPONIBLE</t>
  </si>
  <si>
    <t>VENTA SEVICIOS/OTROS APORTES</t>
  </si>
  <si>
    <t xml:space="preserve">TOTAL </t>
  </si>
  <si>
    <t>1ro</t>
  </si>
  <si>
    <t>2do</t>
  </si>
  <si>
    <t>3ro</t>
  </si>
  <si>
    <t>4to</t>
  </si>
  <si>
    <t>SERVICIO REGIONAL DE SALUD</t>
  </si>
  <si>
    <t>A</t>
  </si>
  <si>
    <t>B</t>
  </si>
  <si>
    <t>C</t>
  </si>
  <si>
    <t>D</t>
  </si>
  <si>
    <t>E</t>
  </si>
  <si>
    <t>F</t>
  </si>
  <si>
    <t>PERÍODO</t>
  </si>
  <si>
    <t>STATUS PRESTAMO</t>
  </si>
  <si>
    <t>DESDE</t>
  </si>
  <si>
    <t>HASTA</t>
  </si>
  <si>
    <t>MONTO ORIGEN</t>
  </si>
  <si>
    <t>MONTO AMORTIZADO</t>
  </si>
  <si>
    <t>BALANCE PENDIENTE</t>
  </si>
  <si>
    <t>RETENCIONES DE IMPUESTOS (DGII)</t>
  </si>
  <si>
    <t>APROVISIONAMIENTOS DE INCENTIVOS</t>
  </si>
  <si>
    <t xml:space="preserve">SEGURIDAD SOCIAL </t>
  </si>
  <si>
    <t>APROVISIONAMIENTO DE REGALIA PASCUAL</t>
  </si>
  <si>
    <t>PRESTACIONES LABORALES</t>
  </si>
  <si>
    <t>VIATICOS</t>
  </si>
  <si>
    <t>PRÉSTAMOS Y/O ANTICIPOS FINANCIEROS OTORGADOS POR SENASA</t>
  </si>
  <si>
    <r>
      <rPr>
        <b/>
        <sz val="12"/>
        <color theme="1"/>
        <rFont val="Calibri"/>
        <family val="2"/>
        <scheme val="minor"/>
      </rPr>
      <t>Nota</t>
    </r>
    <r>
      <rPr>
        <sz val="12"/>
        <color theme="1"/>
        <rFont val="Calibri"/>
        <family val="2"/>
        <scheme val="minor"/>
      </rPr>
      <t>. En el caso de las columnas D, E y F, solo aplican para llenado de los préstamos otogados por SENASA.</t>
    </r>
  </si>
  <si>
    <t xml:space="preserve">Preparado por: </t>
  </si>
  <si>
    <t xml:space="preserve">Revisado por: </t>
  </si>
  <si>
    <t xml:space="preserve">                                                                                        ___________________________________________</t>
  </si>
  <si>
    <t xml:space="preserve">Servicio Nacional de Salud </t>
  </si>
  <si>
    <t xml:space="preserve">Dirección de Fiscalización </t>
  </si>
  <si>
    <t xml:space="preserve">Comportamiento de Ingresos percibidos Segregados según Origen </t>
  </si>
  <si>
    <t>origen</t>
  </si>
  <si>
    <t>ARS</t>
  </si>
  <si>
    <t xml:space="preserve">Fecha deposito </t>
  </si>
  <si>
    <t xml:space="preserve">No. De Documento de referencia </t>
  </si>
  <si>
    <t xml:space="preserve">valor de Transferencia o Cheque </t>
  </si>
  <si>
    <t>INGRESOS</t>
  </si>
  <si>
    <t xml:space="preserve">Sub-Total </t>
  </si>
  <si>
    <t xml:space="preserve">Venta de Servicio </t>
  </si>
  <si>
    <t>SUBSIDIADO</t>
  </si>
  <si>
    <t>SALUD SEGURA</t>
  </si>
  <si>
    <t>APS</t>
  </si>
  <si>
    <t>SIMAG</t>
  </si>
  <si>
    <t>GMA</t>
  </si>
  <si>
    <t>YUNEN</t>
  </si>
  <si>
    <t>UNIVERSAL</t>
  </si>
  <si>
    <t>MONUMENTAL</t>
  </si>
  <si>
    <t>FUTURO</t>
  </si>
  <si>
    <t xml:space="preserve">Cafetería </t>
  </si>
  <si>
    <t>Alquiler de espacios internos a terceros</t>
  </si>
  <si>
    <t>Aportes provenientes de convenios Institucionales</t>
  </si>
  <si>
    <t>INGRESOS POR SERVICIOS PACIENTES PRIVADOS Y DIFERENCIAS POR SEGUROS MEDICOS</t>
  </si>
  <si>
    <t xml:space="preserve">Total General </t>
  </si>
  <si>
    <t xml:space="preserve">Aprobado por:  </t>
  </si>
  <si>
    <t xml:space="preserve">Servicio Nacional De Salud </t>
  </si>
  <si>
    <t xml:space="preserve">Dirección de Fiscalizacion </t>
  </si>
  <si>
    <t>Ingresos Por Facturación ARS</t>
  </si>
  <si>
    <t xml:space="preserve"> </t>
  </si>
  <si>
    <t>Establecimiento: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</si>
  <si>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</si>
  <si>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</si>
  <si>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</si>
  <si>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</si>
  <si>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</si>
  <si>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</si>
  <si>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</si>
  <si>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</si>
  <si>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</si>
  <si>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</si>
  <si>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</si>
  <si>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</si>
  <si>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Facturado </t>
  </si>
  <si>
    <t xml:space="preserve">Recibido </t>
  </si>
  <si>
    <t>SENASA SUBSIDIADO</t>
  </si>
  <si>
    <t>SENASA CONTRIBUTIVO</t>
  </si>
  <si>
    <t>SENASA  JUB. Y PENS.</t>
  </si>
  <si>
    <t>Total SeNaSa</t>
  </si>
  <si>
    <t>PALIC SALUD</t>
  </si>
  <si>
    <t xml:space="preserve">ARL </t>
  </si>
  <si>
    <t>RENACER</t>
  </si>
  <si>
    <t>ARS HUMANO</t>
  </si>
  <si>
    <t xml:space="preserve">ARS PLANSALUD BANCO CENTRAL </t>
  </si>
  <si>
    <t xml:space="preserve">SEMMA </t>
  </si>
  <si>
    <t>CONSTITUCION</t>
  </si>
  <si>
    <t>META SALUD</t>
  </si>
  <si>
    <t>ASEMAP</t>
  </si>
  <si>
    <t>CMD</t>
  </si>
  <si>
    <t>RESERVAS</t>
  </si>
  <si>
    <t>SEMUNASED</t>
  </si>
  <si>
    <t>SERVICIOS MEDICOS UASD</t>
  </si>
  <si>
    <t xml:space="preserve">PRIMERA ARS HUMANO </t>
  </si>
  <si>
    <t>Total ARS PRIVADAS</t>
  </si>
  <si>
    <t>Preparado por:</t>
  </si>
  <si>
    <t xml:space="preserve">Licda. </t>
  </si>
  <si>
    <t xml:space="preserve">              Servicio Nacional de Salud                              </t>
  </si>
  <si>
    <t>Glosa /mes</t>
  </si>
  <si>
    <t>Establecimientos</t>
  </si>
  <si>
    <t>Facturado</t>
  </si>
  <si>
    <t>Glosado</t>
  </si>
  <si>
    <t>DIRECCION DE FISCALIZACION</t>
  </si>
  <si>
    <t>FONDO 100</t>
  </si>
  <si>
    <t>CONSOLIDADO GASTOS EJECUCION FINANCIERA 2025</t>
  </si>
  <si>
    <t>Ejecución de Gastos  Fondo (100) 2025</t>
  </si>
  <si>
    <t>FONDO 100(2.1)</t>
  </si>
  <si>
    <t>Enero</t>
  </si>
  <si>
    <t>Febrero</t>
  </si>
  <si>
    <t>Octubre</t>
  </si>
  <si>
    <t>Odontologia (facturacion servicios no contemplado en Plan Basico)</t>
  </si>
  <si>
    <t>________________________________</t>
  </si>
  <si>
    <t>___________________________________</t>
  </si>
  <si>
    <t>____________________________________</t>
  </si>
  <si>
    <t>Balance Conciliado</t>
  </si>
  <si>
    <t>Balance en Banco</t>
  </si>
  <si>
    <t>Balance en libro</t>
  </si>
  <si>
    <t>Cuenta Núm.</t>
  </si>
  <si>
    <t>HOSPITAL MATERNO INFANTIL SAN LORENZO DE LOS MINA</t>
  </si>
  <si>
    <t>ESTABLECIMIENTO: HOSPITAL MATERNO INFANTIL SAN LORENZO DE LOS MINA</t>
  </si>
  <si>
    <t>CARLOS RAFAEL DE PAULA ROSSO</t>
  </si>
  <si>
    <t>Corporacion Medica A.G., SRL</t>
  </si>
  <si>
    <t>Abrias Novo Group SRL</t>
  </si>
  <si>
    <t>Lambda Diagnósticos, SRL</t>
  </si>
  <si>
    <t>Farmaco Internacional, SRL</t>
  </si>
  <si>
    <t>Diucam Group SRL</t>
  </si>
  <si>
    <t>Osiris &amp; Co, SA</t>
  </si>
  <si>
    <t>Medequip, SRL</t>
  </si>
  <si>
    <t>Ciencia Tecnología y Consultas, SRL</t>
  </si>
  <si>
    <t>Suplimed, SRL</t>
  </si>
  <si>
    <t>RESUMEN DE GASTOS</t>
  </si>
  <si>
    <t>PAGOS A PROVEEDORES</t>
  </si>
  <si>
    <t>CAJA CHICA</t>
  </si>
  <si>
    <t>NOMINA</t>
  </si>
  <si>
    <t>OTROS GASTOS</t>
  </si>
  <si>
    <t>TOTAL GENERAL</t>
  </si>
  <si>
    <t>Bio Nuclear, SA</t>
  </si>
  <si>
    <t>Antares Pharma, SRL</t>
  </si>
  <si>
    <t>Macrotech Farmacéutica, SRL</t>
  </si>
  <si>
    <t>Destreza Comercial, SRL</t>
  </si>
  <si>
    <t>SENASA LARIMAR</t>
  </si>
  <si>
    <t>EXTRANJEROS</t>
  </si>
  <si>
    <t>Ejecución de Gastos  VENTA SERVICIOS  2025</t>
  </si>
  <si>
    <t>Fecha de registro: hasta el [01] de [01] del [2025]</t>
  </si>
  <si>
    <t>#  Orden de Compra o Servicios</t>
  </si>
  <si>
    <t># DE EXPEDIENTE(PROCESO CELEBRADO)</t>
  </si>
  <si>
    <t>Status del proceso</t>
  </si>
  <si>
    <t>solo observar cuando se presentas esos procesos</t>
  </si>
  <si>
    <t>Grupo Xeron Medic SRL</t>
  </si>
  <si>
    <t>Bio Nova, SRL</t>
  </si>
  <si>
    <t>RYS SOLUCIONES E INVERSIONES INTEGRALES, SRL</t>
  </si>
  <si>
    <t>Gestoria Administrativa Ynuñez S.R.L</t>
  </si>
  <si>
    <t>Bello-Lab, SRL</t>
  </si>
  <si>
    <t>BAAM &amp; Asociados, SRL</t>
  </si>
  <si>
    <t>Medina N Solutions, SRL</t>
  </si>
  <si>
    <t>FONDO 100 (2.3)</t>
  </si>
  <si>
    <t>FONDO 100 (2.6)</t>
  </si>
  <si>
    <t>Otros (INGRESOS EXTRANJEROS )</t>
  </si>
  <si>
    <t>ARS ASEMAP</t>
  </si>
  <si>
    <t>ARS CMD</t>
  </si>
  <si>
    <t>ARS FUTURO</t>
  </si>
  <si>
    <t>010-390450-6</t>
  </si>
  <si>
    <t>DIRECCIÓN DE FISCALIZACIÓN Y CONTROL</t>
  </si>
  <si>
    <t>PROMESE CAL</t>
  </si>
  <si>
    <t>010-026900-0</t>
  </si>
  <si>
    <t>602-500900-0</t>
  </si>
  <si>
    <t>999-510700-0</t>
  </si>
  <si>
    <t>GA INTERPRISE IMPORT, SRL</t>
  </si>
  <si>
    <t>D, CORA INDUSTRIAL, S.R.L</t>
  </si>
  <si>
    <t xml:space="preserve">J. JIREH EQUIPOS MEDICOS SRL </t>
  </si>
  <si>
    <t xml:space="preserve">FARMACIA RUTH </t>
  </si>
  <si>
    <t>Ciencia Tecnología y Consultas, SRL (CIENTEC)</t>
  </si>
  <si>
    <t>Insocorp, S.R.L.</t>
  </si>
  <si>
    <t>Agua Planeta Azul, SA</t>
  </si>
  <si>
    <t>SUPLIMED,SRL</t>
  </si>
  <si>
    <t>Gestiones Sanitarias &amp; Ambientales, SRL (GSA)</t>
  </si>
  <si>
    <t>28 DE FEBRERO 2025</t>
  </si>
  <si>
    <t>31 DE MARZO 2025</t>
  </si>
  <si>
    <t>30 DE ABRIL 2025</t>
  </si>
  <si>
    <t>31 DE MAYO 2025</t>
  </si>
  <si>
    <t>30 DE JUNIO 2025</t>
  </si>
  <si>
    <t>31 DE JULIO 2025</t>
  </si>
  <si>
    <t>30 DE SEPTIEMBRE 2025</t>
  </si>
  <si>
    <t>31 DE AGOSTO 2025</t>
  </si>
  <si>
    <t>.</t>
  </si>
  <si>
    <t xml:space="preserve">CEM CARIBBEAN EQUIPMENT MEDICAL </t>
  </si>
  <si>
    <t>31 DE OCTUBRE 2025</t>
  </si>
  <si>
    <t xml:space="preserve">RELACIÓN DE ORDENES DE COMPRAS DE BIENES Y SERVICIOS EFECTUADAS. </t>
  </si>
  <si>
    <r>
      <t xml:space="preserve">                          </t>
    </r>
    <r>
      <rPr>
        <b/>
        <sz val="14"/>
        <color theme="1"/>
        <rFont val="Calibri"/>
        <family val="2"/>
        <scheme val="minor"/>
      </rPr>
      <t xml:space="preserve">ESTABLECIMIENTO: HOSPITAL MATERNO INFANTIL SAN LORENZO DE LOS MINA                         </t>
    </r>
    <r>
      <rPr>
        <b/>
        <sz val="12"/>
        <color theme="1"/>
        <rFont val="Calibri"/>
        <family val="2"/>
        <scheme val="minor"/>
      </rPr>
      <t>REGION OZAMA</t>
    </r>
  </si>
  <si>
    <t>Express Service Conserg Exsercon, SRL</t>
  </si>
  <si>
    <t>Compra-Med, SRL</t>
  </si>
  <si>
    <t>Jocace, SA</t>
  </si>
  <si>
    <t>Farnasa, SRL</t>
  </si>
  <si>
    <t>OCTUBRE 2025</t>
  </si>
  <si>
    <t>ARS PRIMERA HUMANO</t>
  </si>
  <si>
    <t>Sub-Total INGR. POR FACT DE SERV. DE INSTITUCIONES</t>
  </si>
  <si>
    <t>AYUNTAMIENTO SANTO DOMINGO ESTE</t>
  </si>
  <si>
    <t xml:space="preserve">IV BIODESINFECCION SRL </t>
  </si>
  <si>
    <t>TROPIGAS DOMINICANA SRL</t>
  </si>
  <si>
    <t>NULO</t>
  </si>
  <si>
    <t>Deuda Autogestion</t>
  </si>
  <si>
    <t xml:space="preserve">Reporte clasificacion de deuda por proveedor y por periodos. </t>
  </si>
  <si>
    <t>Nombre del Establecimiento: HOSPITAL MATERNO INFANTIL SAN LORENZO DE LOS MINA</t>
  </si>
  <si>
    <t>No.</t>
  </si>
  <si>
    <t>Proveedor</t>
  </si>
  <si>
    <t>PERIODOS</t>
  </si>
  <si>
    <t>Concepto de Compras</t>
  </si>
  <si>
    <t>Fuente Financiamiento</t>
  </si>
  <si>
    <r>
      <rPr>
        <b/>
        <sz val="11"/>
        <color rgb="FF000000"/>
        <rFont val="Aptos Narrow"/>
        <family val="2"/>
      </rPr>
      <t>≤</t>
    </r>
    <r>
      <rPr>
        <b/>
        <sz val="11"/>
        <color rgb="FF000000"/>
        <rFont val="Calibri"/>
        <family val="2"/>
      </rPr>
      <t>2014</t>
    </r>
  </si>
  <si>
    <t>2015-2019</t>
  </si>
  <si>
    <t>31 DE ENERO 2025</t>
  </si>
  <si>
    <t>VS/FG</t>
  </si>
  <si>
    <t>LUZ ESTHER BATISTA PEREZ</t>
  </si>
  <si>
    <t>PAGO NCF B1500001309, ADQUISICION DE FUNDAS PLASTICAS SEGÚN O/C HSLM-2025-01031.</t>
  </si>
  <si>
    <t>PLANETA AZUL S.A</t>
  </si>
  <si>
    <t>PAGO NCF E45000013058 ADQUISICION DE BOTELLAS DE AGUA SEGÚN O/C HSLM-2025-00322.</t>
  </si>
  <si>
    <t>PAGO NCF E450000012562 ADQUISICION DE BOTELLAS DE AGUA SEGÚN O/C HSLM-2025-01004</t>
  </si>
  <si>
    <t xml:space="preserve">SUPER LAPTOP BROWSING SRL </t>
  </si>
  <si>
    <t>PAGO NCF B1500000184 ADQUISICION DE UPS SEGÚN O/C HSLM-2025-01090</t>
  </si>
  <si>
    <t>BAAM &amp; ASOCIADOS SRL</t>
  </si>
  <si>
    <t>PAGO NCF B1500000096 ADQUISICION E INSTALACION DE CONTROL DE SALIDA PUERTA PRINCIPAL SEGÚN O/C HSLM-2025-01038</t>
  </si>
  <si>
    <t xml:space="preserve">BAAM &amp; ASOCIADOS SRL </t>
  </si>
  <si>
    <t>PAGO NCF B1500000197 ADQUISICION BARRERAS DE CONTROL EN LAS ENTRADAS PRINCIPALES DE LOS PARQUEOS SEGÚN O/C HSLM-2025-01037</t>
  </si>
  <si>
    <t>G&amp;M GELMAT COMERCIAL SRL</t>
  </si>
  <si>
    <t>PAGO NCF B1500000199 ADQUISICION DE CAJAS PARA EQUIPO ELECTRICO  SEGÚN O/C HSLM-2025-01071.</t>
  </si>
  <si>
    <t>PAGO NCF B1500000305 SERVICIO DE DESINFECION SEGÚN O/C HSLM-2025-01089</t>
  </si>
  <si>
    <t>PAGO NCF E45000000005518 POR ADQUISICION DE GAS LICUADO DE PETROLEO SEGÚN O/ C HSLM-2025-00730</t>
  </si>
  <si>
    <t>PAGO NCF B1500056795 POR SERVICIO DE RECOGIDA DE DESECHOS SOLIDOS EN EL MES DE NOVIEMBRE 2025</t>
  </si>
  <si>
    <t>LEFP CONSULTORES SRL</t>
  </si>
  <si>
    <t>PAGO NCF B1500000346, B15000000348 SERVICIO DE MANTENIMIENTO Y SOPORTE DE SGA, SEGÚN O/C HSLM-2024-00709.</t>
  </si>
  <si>
    <t xml:space="preserve">PRODUCTOS TECNOLOGICOS E INDUSTRIALES JARDIN DEL EDEN EIRL </t>
  </si>
  <si>
    <t>PAGO NCF B1500000135, B1500000130 ADQUISICION DE DETERGENTE PARA LAVANDERIA, SEGÚN O/C HSLM-2025-00918.</t>
  </si>
  <si>
    <t>INSOCORP SRL</t>
  </si>
  <si>
    <t>PAGO NCF B1500000242, ADQUISICION DE NEUROSCOPIO, SEGÚN O/C HSLM-2025-00948.</t>
  </si>
  <si>
    <t>LABORATORIO CLINICO LCDA PATRIA M RIVAS SRL</t>
  </si>
  <si>
    <t>PAGO NCF E450000000161, POR SERVICIO DE ESTUDIOS ESPECIALIZADOS, SEGÚN O/C HSLM-2025-00312.</t>
  </si>
  <si>
    <t xml:space="preserve">PLANETA AZUL S,A </t>
  </si>
  <si>
    <t>PAGO NCF E450000018862, E450000018865, E450000020092, E450000020096, E450000020100. POR ADQUISICION DE BOTELLONES DE AGUA, SEGÚN O/C HSLM-2025-00587.</t>
  </si>
  <si>
    <t xml:space="preserve">AMMB IMPORTACION SRL </t>
  </si>
  <si>
    <t>PAGO NCF B1500000127 ADQUISICION DE MEDICAMENTOS SEGÚN O/C HSLM-2025-01185</t>
  </si>
  <si>
    <t>KHRIS AUS PHARMACY SRL</t>
  </si>
  <si>
    <t>PAGO NCF B1500000176 ADQUISICION DE GASA COMPRESA SEGÚN O/C HSLM-2025-01186.</t>
  </si>
  <si>
    <t xml:space="preserve">INVERSIONES FH SRL </t>
  </si>
  <si>
    <t>PAGO NCF B1500001564 ADQUISICION DE TICKETS DE COMBUSTIBLE SEGÚN O/C HSLM-2025-01130.</t>
  </si>
  <si>
    <t xml:space="preserve">PRODUCTOS CANO SRL  </t>
  </si>
  <si>
    <t>PAGO NCF B1500001436 ADQUISICION DE PAN AGUA SEGÚN O/C HSLM-2025-01050.</t>
  </si>
  <si>
    <t>PAPELERIA E IMPRESOS CRISHOAN, SRL</t>
  </si>
  <si>
    <t>Dumas Pharmaceuticals, S.R.L.</t>
  </si>
  <si>
    <t>I M D MEDIC INTER C POR A</t>
  </si>
  <si>
    <t>AMMB Importacion, SRL</t>
  </si>
  <si>
    <t>CEM Caribbean Equipment Medical, SRL</t>
  </si>
  <si>
    <t>Insocorp, SRL</t>
  </si>
  <si>
    <t>CRISTINA ROSARIO ROSARIO</t>
  </si>
  <si>
    <t>Morami, SRL</t>
  </si>
  <si>
    <t>HOSPITAL MATERNO INFANTIL SAN LORENZO DE LOS MINAS</t>
  </si>
  <si>
    <t>Food Caraballo &amp; Núñez, SRL</t>
  </si>
  <si>
    <t>Kinzhal Imports, SRL</t>
  </si>
  <si>
    <t>CORPORACION DEL ACUEDUCTO Y ALCANTARILLADO DE SANTO DOMINGO</t>
  </si>
  <si>
    <t>BAUCOMER, SRL</t>
  </si>
  <si>
    <t>Soluciones de Servicios y Técnicas Altadis, SRL</t>
  </si>
  <si>
    <t>PAGO FACTURA NCF B1500000303 POR ADQUISICION DE UTIL MEDICO SEGUN O/C HSLM-2025-01062.</t>
  </si>
  <si>
    <t>PAGO FACTURA NCF B1500000310 POR ADQUISICION DE UTIL MEDICO SEGUN O/C HSLM-2025-01082.</t>
  </si>
  <si>
    <t>PAGO FACTURA NCF B1500000312 POR ADQUISICION DE UTIL MEDICO SEGUN O/C HSLM-2025-01095.</t>
  </si>
  <si>
    <t>PAGO DE FACT NCF NO. E450000008409 Y E450000008443, POR ADQUISICION DE CONTROLES EQAS, SEGUN ORDEN DE COMPRA HSLM-2025-01021</t>
  </si>
  <si>
    <t>PAGO DE FACT NCF NO. B1500000005, POR ADQUISICION DE REACTIVOS, SEGUN ORDEN DE COMPRA HSLM-2025-00968</t>
  </si>
  <si>
    <t>PAGO DE FACT NCF NO B1500001792, POR ADQUISICION DE IMPRESOS, SEGUN ORDEN DE COMPRA HSLM-2025-01097</t>
  </si>
  <si>
    <t>PAGO DE FACT NCF NO. E450000000118, POR ADQUISICION DE UTIL MEDICO, SEGUN ORDEN DE COMPRA HSLM-2025-00894</t>
  </si>
  <si>
    <t>PAGO DE FACT NCF B1500000079 POR ADQUISICION DE MEDICAMENTOS SEGUN O/C HSLM-2025-01083.</t>
  </si>
  <si>
    <t>PAGO DE FACT NCF NO. B1500001442, POR ADQUISICION DE UTIL MEDICO, SEGUN ORDEN DE COMPRA HSLM-2025-00946</t>
  </si>
  <si>
    <t>PAGO DE FACT NCF B1500000957 POR ADQUISICION DE MEDICAMENTOS SEGUN O/C HSLM-2025-01074.</t>
  </si>
  <si>
    <t>PAGO DE FACT NCF B1500000146 POR ADQUISICION DE UTILES MEDICOS SEGUN O/C HSLM-2025-01086.</t>
  </si>
  <si>
    <t>PAGO DE FACT NCF NO. E450000000122, POR ADQUISICION DE UTIL MEDICO, SEGUN ORDEN DE COMPRA HSLM-2025-01105</t>
  </si>
  <si>
    <t>PAGO DE FACT NCF NO. E450000000120, POR ADQUISICION DE UTIL MEDICO, SEGUN ORDEN DE COMPRA HSLM-2025-00894</t>
  </si>
  <si>
    <t>PAGO DE FACT NCF B1500000011 POR ADQUISICION DE MEDICAMENTOS SEGUN O/C HSLM-2025-01093</t>
  </si>
  <si>
    <t>PAGO DE FACT NCF NO. B1500000372, POR ADQUISICION DE UTIL MEDICO, SEGUN ORDEN DE COMPRA HSLM-2025-01077</t>
  </si>
  <si>
    <t>PAGO DE FACT NCF B1500000570 POR ADQUISICION DE UTILES MEDICOS SEGUN O/C HSLM-2025-01066.</t>
  </si>
  <si>
    <t>PAGO DE FACT NCF B1500000248 POR ADQUISICION DE GERDEX SEGUN O/C HSLM-2025-01092.</t>
  </si>
  <si>
    <t>PAGO DE FACT NCF NO B1500001115, POR ADQUISICION DE UTIL MEDICO, SEGUN ORDEN DE COMPRA HSLM-2025-00980</t>
  </si>
  <si>
    <t>PAGO DE FACT NCF NO B1500000154, POR ADQUISICION DE MOBILIARIO, SEGUN ORDEN DE COMPRA HSLM-2025-00741</t>
  </si>
  <si>
    <t>PAGO FACTURA NCF B1500000125 POR ADQUISICION DE MEDICAMENTOS SEGUN O/C HSLM-2025-001096.</t>
  </si>
  <si>
    <t>PAGO DE FACT NCF NO B1500000154, POR ADQUISICION DE MOBILIARIO, SEGUN ORDEN DE COMPRA HSLM-2025-00741 (COMPLETIVO LIBRAMIENTO 5005)</t>
  </si>
  <si>
    <t>PAGO DE FACT NCF NO. B1500001591, POR ADQUISICION DE VENTILADOR ADULTO/PEDIATRICO/NEONATAL, SEGUN ORDEN DE COMPRA HSLM-2025-01094</t>
  </si>
  <si>
    <t>PAGO DE FACT NCF NO. B1500000056, POR ADQUISICION DE MEDIDOR DE TEMPERATURA Y AIRE ACONDICIONADO, SEGUN ORDEN DE COMPRA HSLM-2025-01065</t>
  </si>
  <si>
    <t>PAGO FACTURA NCF B1500000141 POR ADQUISICION DE UTILES MEDICOS SEGUN O/C HSLM-2025-01059</t>
  </si>
  <si>
    <t>PAGO DE FACT NCF NO. B1500000056, POR ADQUISICION DE MEDIDOR DE TEMPERATURA Y AIRE ACONDICIONADO, SEGUN ORDEN DE COMPRA HSLM-2025-01065 (COMPLETIVO DEL LIBRAMIENTO 5031)</t>
  </si>
  <si>
    <t>PAGO DE FACT NCF B1500000239  POR ADQUISICION DE CABLE MONOPOLAR DE ELCTRO CIRUGIA SEGUN O/C HSLM-2025-00731.</t>
  </si>
  <si>
    <t>PAGO DE FACT NCF NO. B1500000379, POR ADQUISICION DE ROLLOS DE LABELS TIPO ZEBRA 2X1, SEGUN ORDEN DE COMPRA HSLM-2025-01033</t>
  </si>
  <si>
    <t>PAGO DE FACT NCF NO. E450000000231, POR ADQUISICION DE MEDICAMENTOS, SEGUN ORDEN DE COMPRA HSLM-2025-01110</t>
  </si>
  <si>
    <t>PAGO DE FACT NCF B1500000147 POR ADQUISICION DE UTILES MEDICOS SEGUN O/C HSLM-2025-01098.</t>
  </si>
  <si>
    <t>PAGO DE FACT NCF B1500001459 POR ADQUISICION DE MEDICAMENTOS Y UTILES MEDICOS SEGUN O/C HSLM-2025-01016.</t>
  </si>
  <si>
    <t>PAGO E FACT NCF B1500001788 POR ADQUISICION DE MOBILIARIO DE OFICINA Y TELEVISOR SEGUN O/C HSLM-2025-01058.</t>
  </si>
  <si>
    <t>HOSANLORE. PAGO DE INDEMNIZACION EX EMPLEADOS OCTUBRE 2025</t>
  </si>
  <si>
    <t>HOSANLORE.NOMINA PAGO DE VACACIONES NO DISFRUTADAS EX EMPLEADOS OCTUBRE 2025</t>
  </si>
  <si>
    <t>PAGO DE FACT NCF E450000000343 POR ADQUISICION DE UTILES MEDICOS SEGUN O/C HSLM-2025-01102.</t>
  </si>
  <si>
    <t>PAGO DE FACT NCF B1500001308 POR ADQUISICION DE FUNDAS PLSTICAS SEGUN O/C HSLM-2025-01031.</t>
  </si>
  <si>
    <t>PAGO DE FACT NCF B1500000154 POR ADQUISICION DE ALIMENTOS SEGUN O/C HSLM-2025-01006.</t>
  </si>
  <si>
    <t>PAGO DE FACT NCF E450000000056 POR ADQUISICION DE VENTILADOR EVOLUTION SEGUN O/C HSLM-2025-01138.</t>
  </si>
  <si>
    <t>PAGO FACTURA NCF B1500000007 POR ADQUISICION DE TELAS SEGUN O/C HSLM-2025-00841.</t>
  </si>
  <si>
    <t>PAGO FACTURA NCF B1500008029 POR REPARACION DE LAMPARAS STAF FAX SEGUN O/C HSLM-2025-00997.</t>
  </si>
  <si>
    <t>PAGO DE FACT NCF E450000018469 POR SERVICIO DE AGUA CORRESPONDIENTE AL MES DE NOVIEMBRE 2025.</t>
  </si>
  <si>
    <t>PAGO FACTURA NCF B1500000746 POR ADQUISICION DE MEDICAMENTOS SEGUN O/C HSLM-2025-01158.</t>
  </si>
  <si>
    <t>PAGO DE FACT NCF B1500000080 POR ADQUISICION DE ESTERILIZADOR ELECTRICO 24 LITROS SEGUN O/C HSLM-2025-01039.</t>
  </si>
  <si>
    <t>PAGO DE FACT NCF B1500008061 POR ADQUISICION DE REACTIVOS E INSUMOS DE LIMPIEZA SEGUN O/C HSLM-2025-01049.</t>
  </si>
  <si>
    <t>HOSANLORE.NOMINA SUELDO REGALIA TEMPORAL INACTIVOS DICIEMBRE 2025</t>
  </si>
  <si>
    <t>HOSANLORE.NOMINA SUELDO REGALIA TEMPORAL ACTIVO DICIEMBRE 2025</t>
  </si>
  <si>
    <t>HOSANLORE.NOMINA SUELDO REGALIA FIJO INACTIVO DICIEMBRE 2025</t>
  </si>
  <si>
    <t>HOSANLOREN. NOMINA SUELDO REGALIA FIJO ACTIVO DICIEMBRE 2025</t>
  </si>
  <si>
    <t>HOSANLORE.NOMINA SUELDO REGALIA PERSONAL DE VIGILANCIA ACTIVO DICIEMBRE 2025</t>
  </si>
  <si>
    <t>PAGO FACTURA NCF B1500000082 POR ADQUISICION DE MEDICAMENTOS SEGUN O/C HSLM-2025-01154.</t>
  </si>
  <si>
    <t>PAGO DE FACT NCF NO B1500000130, POR SERVICIO DE ADECUACION, UNIDAD INTEGRAL ADOLESCENTE SEGUNDA ETAPA, SEGUNDO NIVEL, SEGUN ORDEN DE COMPRA HSLM-2025-00392</t>
  </si>
  <si>
    <t>PAGO DE FACT NCF NO B1500001800, POR ADQUISICION DE PAPEL DE BAÑO, SEGUN ORDEN DE COMPRA HSLM-2025-01117</t>
  </si>
  <si>
    <t>PAGO DE FACT NCF NO B1500000320, POR ADQUISICION DE FALDOS DE PAPEL TOALLA, SEGUN ORDEN DE COMPRA HSLM-2025-01123</t>
  </si>
  <si>
    <t>PAGO DE FACT NCF NO B1500000481, POR ADQUISICION DE IMPRESOS, SEGUN ORDEN DE COMPRA HSLM-2025-01100</t>
  </si>
  <si>
    <t>HOSANLORE.NOMINA SUELDO PERSONAL DE VIGILANCIA NOVIEMBRE 2025</t>
  </si>
  <si>
    <t>HOSANLORE.NOMINA SUELDO TEMPORAL NOVIEMBRE 2025</t>
  </si>
  <si>
    <t>HOSANLORE.NOMINA SUELDOS FIJOS NOVIEMBRE 2025</t>
  </si>
  <si>
    <t>PAGO FACTURA NCF B1500001479 POR ADQUISICION DE MEDICAMENTOS Y UTILES MEDICOS SEGUN O/C HSLM-2025-01112.</t>
  </si>
  <si>
    <t>PAGO FACTURA NCF B1500000102 POR ADQUISICION E INSTALACION DE ANTENA UHF HIKVISION SEGUN O/C HSLM-2025-01111.</t>
  </si>
  <si>
    <t>PAGO FACTURA NCF B1500000383 POR ADQUISICION DE MEDICAMENTOS SEGUN O/C HSLM-2025-01143.</t>
  </si>
  <si>
    <t>PAGO FACTURA NCF  B1500000153 POR ADQUISICION DE UTIL MEDICO SEGUN O/C HSLM-2025-01146.</t>
  </si>
  <si>
    <t>PAGO DE FACT NCF B1500000085 POR ADQUISICION DE BALANZA PARA ADULTO C/ TALLIMETRO SEGUN O/C HSLM-2025-01142.</t>
  </si>
  <si>
    <t>PAGO FACTURA NCF B1500000381 POR ADQUISICION DE SERVILLETAS SEGUN O/C HSLM-2025-01035.</t>
  </si>
  <si>
    <t>PAGO FACTURA NCF B1500000043 POR ADQUISICION DE TOALLAS DESINFECTANTES SEGUN O/C HSLM-2025-01115.</t>
  </si>
  <si>
    <t>PAGO FACTURA NCF B1500000751 POR ADQUISICION DE MEDICAMENTOS SEGUN O/C HSLM-2025-01204.</t>
  </si>
  <si>
    <t>03/11/2025</t>
  </si>
  <si>
    <t>04/11/2025</t>
  </si>
  <si>
    <t>05/11/2025</t>
  </si>
  <si>
    <t>06/11/2025</t>
  </si>
  <si>
    <t>07/11/2025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</si>
  <si>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</si>
  <si>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</si>
  <si>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</si>
  <si>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</si>
  <si>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</si>
  <si>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</si>
  <si>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</si>
  <si>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21/11/2025</t>
  </si>
  <si>
    <t>P&amp;D RECYCLING SRL</t>
  </si>
  <si>
    <t>PAGO NCF B1500000320 SERVICIO DE RECOGIDA DE DESECHOS BIOMEDICOS SEGÚN O/C HSLM-2025-01044.</t>
  </si>
  <si>
    <t>PAGO NCF B1500000071 REPARACION DE CUARTO FRIO AREA DE COCINA DE 4 TONELADAS SEGÚN O/C HSLM-2025-01099</t>
  </si>
  <si>
    <t>PAGOS CORRESPONDIENTES AL MES : NOVIEMBRE 2025</t>
  </si>
  <si>
    <t>RELACION DE PAGOS EMITIDOS DURANTE EL MES DE NOVIEMBRE 2025</t>
  </si>
  <si>
    <t>PAGO NCF B1500000301 ADQUISICION DE MEDICAMENTOS SEGÚN O/C HSLM-2025-00954</t>
  </si>
  <si>
    <t>LEANSAN PHARMAS SRL</t>
  </si>
  <si>
    <t>Lilian Yomayra Encarnación de Matos</t>
  </si>
  <si>
    <t>Pago de regencia de drogas controladas del Hospital perteneciente al mes de octubre 2025.</t>
  </si>
  <si>
    <t>2 Beneficiarios</t>
  </si>
  <si>
    <t>BIO NOVA, SRL</t>
  </si>
  <si>
    <t>Inversiones Yaye S.R.L</t>
  </si>
  <si>
    <t>Pago de Fact NCF No. B1500001799, por adquisicion de impresos, segun orden de compra HSLM-2025-01119</t>
  </si>
  <si>
    <t>Pago de fact NCF No. B1500000246, por adquisicion de laringoscopio adultos y pediatricos, segun orden de compra HSLM-2025-01057</t>
  </si>
  <si>
    <t>Pago de fact NCF No. B1500000159, por adquisicion de  gel lubricante y sonografia, segun orden de compra HSLM-2025-01156</t>
  </si>
  <si>
    <t>Pago de Fact NCF No E450000000332, por servicio de nefrologia (terapia renal), segun orden de compra HSLM-2025-01079</t>
  </si>
  <si>
    <t>Pago de Fact NCF No. B1500001607, por adquisicion de reactivos, segun orden de orden de compra HSLM-2025-01137</t>
  </si>
  <si>
    <t>Pago de Fact NCF No B1500000244, por adquisicion de Histeroscopio, segun orden de compra HSLM-2025-00755</t>
  </si>
  <si>
    <t>Pago de Fact NCF No B1500001362, por adquisicion de util medico, segun orden de compra HSLM-2025-01195</t>
  </si>
  <si>
    <t>PAGO DE FACT NCF B1500000243 POR ADQUISICION DE VENTRICULOSPIO SEGUN O/C HSLM-2025-00961.</t>
  </si>
  <si>
    <t>PAGO DE FACT NCF B1500000245 POR ADQUISICION DE CABLE DE ELECTROCARDIOGRAMA SEGUN O/C HSLM-2025-01128.</t>
  </si>
  <si>
    <t>PAGO DE FACT NCF B1500018134 POR ADQUISICION DE DILUENTE DE 20 LITROS SEGUN O/C HSLM-2025-01014.</t>
  </si>
  <si>
    <t>PAGO DE FACT NCF B1500001608 POR ADQUISICION DE REACTIVOS SEGUN O/C HSLM-2025-00809.</t>
  </si>
  <si>
    <t>PAGO DE FACT NCF B1500000139 POR ADQUISICION DE PAPEL DE TOALLA Y PAPEL DE BAÑO SEGUN O/C HSLM-2025-00814.</t>
  </si>
  <si>
    <t>PAGO DE FACT NCF B1500000166 POR ADQUISICION DE PUERTA POLIMETAL BLANCA SEGUN O/C HSLM-2025-01076.</t>
  </si>
  <si>
    <t>24/11/2025</t>
  </si>
  <si>
    <t>25/11/2025</t>
  </si>
  <si>
    <t>27/11/2025</t>
  </si>
  <si>
    <t>TONER DEPOT MULTISERVICIOS EORG SRL</t>
  </si>
  <si>
    <t>PAGO NCF E450000000424, POR SERVICIO DE IMPRESIÓN EN EL MES DE OCTUBRE 2025 SEGÚN O/C HSLM-2025-00725</t>
  </si>
  <si>
    <t>OFITOP, SRL</t>
  </si>
  <si>
    <t>PAGO DE FACT NCF NO. B1500000024, POR ADQUISICION DE MUEBLES DE OFICINA PARA SER UTILIZADO EN LA READECUACION DEL CONSULTORIO DE OFTALMOLOGIA, SEGÚN ORDEN DE COMPRA HSLM-2025-01042</t>
  </si>
  <si>
    <t>PAGO DE FACT NCF NO. B1500000021, POR ELABORCION DE LETRERO TIPO SEÑALIZACION EN ACRILICO ROTULADO EN VINIL 30X30, SEGÚN ORDEN DE COMPRA HSLM-2025-01026</t>
  </si>
  <si>
    <t>PAGO DE FACT NCF NO. B1500000019, POR ADQUISICION DE MOBILIARIOS, SEGÚN ORDEN DE COMPRA HSLM-2025-01041</t>
  </si>
  <si>
    <t>DELMIRA GARCIA</t>
  </si>
  <si>
    <t>RUDDY SEGURA</t>
  </si>
  <si>
    <t>ALEXANDER MENDEZ CONTRERAS</t>
  </si>
  <si>
    <t>NELSON YNFANTE VELAZQUEZ</t>
  </si>
  <si>
    <t>FREDDY OSCAR RODRIGUEZ RIVAS</t>
  </si>
  <si>
    <t>OVIDIO DE JESUS DURAN CLEMENTE</t>
  </si>
  <si>
    <t xml:space="preserve"> FARMACO QUIMICA NACIONAL,</t>
  </si>
  <si>
    <t>HOSPAL MEDICA SRL</t>
  </si>
  <si>
    <t>COMISIONES BANCARIAS</t>
  </si>
  <si>
    <t>COMISION NACIONAL DE ENERGIA</t>
  </si>
  <si>
    <t>SERVICIO DE LICENCIA OPERACIONAL RADIODIAGNOSTICA PARA EL HOSPITAL</t>
  </si>
  <si>
    <t xml:space="preserve">  PAGO FACTURA  NCF B1500000127</t>
  </si>
  <si>
    <t xml:space="preserve">ADQUISICION DE VALCULA HIDROCEFALICA, </t>
  </si>
  <si>
    <t>ADQUISICION DE VALCULA HIDROCEFALICA, ORDEN DE SEVICIO 2025-01222</t>
  </si>
  <si>
    <t>Fecha de imputación: hasta el [30] de [11] del [2025]</t>
  </si>
  <si>
    <t>Dado a los 30 dias del mes de noviembre  del año 2025</t>
  </si>
  <si>
    <t>SUBSIDIADO (odontologia)</t>
  </si>
  <si>
    <t>SEMMA</t>
  </si>
  <si>
    <t>ARS RENACER</t>
  </si>
  <si>
    <t>ARS META SALUD</t>
  </si>
  <si>
    <t>ARS MAPHRE</t>
  </si>
  <si>
    <t>ARS SENASA PENSIONADO</t>
  </si>
  <si>
    <t>CONTRIBUTIVO</t>
  </si>
  <si>
    <t>DEL 01 AL 30 DE NOVIEMBRE 2025</t>
  </si>
  <si>
    <t>DETALLE OBLIGACIONES CONTRAÍDAS PENDIENTES AL 30 DE NOVIEMBRE 2025</t>
  </si>
  <si>
    <r>
      <t xml:space="preserve">Establecimiento:      HOSPITAL MATERNO INFANTIL SAN LORENZO DE LOS MINA   Mes:  NOVIEMBRE  . Año:  </t>
    </r>
    <r>
      <rPr>
        <b/>
        <u/>
        <sz val="11"/>
        <color theme="1"/>
        <rFont val="Calibri"/>
        <family val="2"/>
        <scheme val="minor"/>
      </rPr>
      <t>2025</t>
    </r>
    <r>
      <rPr>
        <b/>
        <sz val="11"/>
        <color theme="1"/>
        <rFont val="Calibri"/>
        <family val="2"/>
        <scheme val="minor"/>
      </rPr>
      <t xml:space="preserve">           SRS: I</t>
    </r>
  </si>
  <si>
    <t>Bajo las funciones que nos asisten certificamos que el valor de los ingresos percibidos al  30/11/2025 correspondieron a un monto de RD$165,577,587.02</t>
  </si>
  <si>
    <t>EN PROCESO POR EL AREA DE COMPRAS</t>
  </si>
  <si>
    <t>Hospifar, SRL</t>
  </si>
  <si>
    <t>Adler Amicis Valdez Marmolejos</t>
  </si>
  <si>
    <t>Air Liquide Dominicana, SAS</t>
  </si>
  <si>
    <t xml:space="preserve">A&amp;S Importadora Medicas, SRL </t>
  </si>
  <si>
    <t xml:space="preserve">VANGUARDIA SALUD SRL </t>
  </si>
  <si>
    <t xml:space="preserve">DISTRIBUIDORA BRITO CONTRERAS SRL </t>
  </si>
  <si>
    <t>TROPIGAS.</t>
  </si>
  <si>
    <t>Ameriline Pharmaceutical, SRL</t>
  </si>
  <si>
    <t xml:space="preserve">TONER DEPOT MULTISERVICIOS EORG </t>
  </si>
  <si>
    <t>Ventas Diversas Farmaceuticas, SRL (VENDIFAR)</t>
  </si>
  <si>
    <t xml:space="preserve">LINAMED SRL </t>
  </si>
  <si>
    <t>30 DE NOVIEMBRE 2025</t>
  </si>
  <si>
    <t>OBSERVACIONES</t>
  </si>
  <si>
    <t xml:space="preserve">IMPUESTOS </t>
  </si>
  <si>
    <t>PROBLEMAS CON LA ORDEN</t>
  </si>
  <si>
    <t>EN ESPERA DE MODIFICACION PRESUPUESTARIA</t>
  </si>
  <si>
    <t>PROBLEMAS CON EL COMPROBANTE, EN ESPERA DEL PROVEEDOR PARA EL CAMBIO DE NCF</t>
  </si>
  <si>
    <t>REPOSICION DEL FONDO DE CAJA CHICA DESDE RECIBO 40668 HASTA EL RECIBO 40702</t>
  </si>
  <si>
    <t>PAGO NCF B1100000080 SERVICIO DE LIMPIEZA Y CLORIFICACION DE CISTERNA DE ESTE HOSPITAL</t>
  </si>
  <si>
    <t>PAGO NCF B1100000081 SERVICIO DE JARDINERIA PARA AREAS VERDES DE ESTE HOSPITAL.</t>
  </si>
  <si>
    <t>PAGO NCF B1100000082 SERVICIO DE PINTURA DE LAS AREAS DE EMERGENCIA Y PEDIATRIA  DE ESTE HOSPITAL</t>
  </si>
  <si>
    <t>COLABORACION DE CAVACION DE HOYO Y CERTIFICACION DE ACTAS EN EL MES DE NOVIEMBRE 2025</t>
  </si>
  <si>
    <t>PAGO POR SERVICIO DE TRANSPORTE DE LA AMBULANCIA CORRESPONDIENTE AL MES DE NOVIEMBRE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</si>
</sst>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[Red]#,##0.00"/>
    <numFmt numFmtId="165" formatCode="_(* #,##0_);_(* \(#,##0\);_(* &quot;-&quot;??_);_(@_)"/>
    <numFmt numFmtId="166" formatCode="dd/mm/yyyy;@"/>
  </numFmts>
  <fonts count="7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Baskerville Old Face"/>
      <family val="1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Baskerville Old Face"/>
      <family val="1"/>
    </font>
    <font>
      <b/>
      <sz val="10"/>
      <color indexed="8"/>
      <name val="Baskerville Old Face"/>
      <family val="1"/>
    </font>
    <font>
      <b/>
      <strike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mbria"/>
      <family val="1"/>
    </font>
    <font>
      <b/>
      <sz val="8"/>
      <name val="Cambria"/>
      <family val="1"/>
    </font>
    <font>
      <b/>
      <sz val="9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00CC"/>
      <name val="Calibri"/>
      <family val="2"/>
      <scheme val="minor"/>
    </font>
    <font>
      <b/>
      <sz val="20"/>
      <color rgb="FF0000CC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8"/>
      <color rgb="FF0000CC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2"/>
      <color theme="0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6"/>
      <color theme="1"/>
      <name val="Times New Roman"/>
      <family val="1"/>
    </font>
    <font>
      <b/>
      <sz val="26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name val="Comic Sans MS"/>
      <family val="4"/>
    </font>
    <font>
      <sz val="9"/>
      <name val="Comic Sans MS"/>
      <family val="4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2"/>
      <name val="Calibri Light"/>
      <family val="1"/>
      <scheme val="major"/>
    </font>
    <font>
      <sz val="14"/>
      <name val="Calibri Light"/>
      <family val="1"/>
      <scheme val="major"/>
    </font>
    <font>
      <sz val="18"/>
      <name val="Calibri Light"/>
      <family val="1"/>
      <scheme val="major"/>
    </font>
    <font>
      <b/>
      <sz val="14"/>
      <name val="Calibri Light"/>
      <family val="2"/>
      <scheme val="major"/>
    </font>
    <font>
      <b/>
      <sz val="18"/>
      <name val="Times New Roman"/>
      <family val="1"/>
    </font>
    <font>
      <b/>
      <sz val="18"/>
      <name val="Calibri Light"/>
      <family val="1"/>
      <scheme val="major"/>
    </font>
    <font>
      <sz val="18"/>
      <color theme="1"/>
      <name val="Calibri"/>
      <family val="2"/>
      <scheme val="minor"/>
    </font>
    <font>
      <b/>
      <sz val="14"/>
      <name val="Calibri Light"/>
      <family val="1"/>
      <scheme val="major"/>
    </font>
    <font>
      <sz val="10"/>
      <color theme="1"/>
      <name val="Calibri"/>
      <family val="2"/>
      <scheme val="minor"/>
    </font>
    <font>
      <sz val="14"/>
      <name val="Calibri Light"/>
      <family val="2"/>
      <scheme val="major"/>
    </font>
    <font>
      <sz val="14"/>
      <color rgb="FFFF0000"/>
      <name val="Calibri Light"/>
      <family val="1"/>
      <scheme val="major"/>
    </font>
    <font>
      <sz val="14"/>
      <color indexed="81"/>
      <name val="Tahoma"/>
      <family val="2"/>
    </font>
    <font>
      <b/>
      <sz val="18"/>
      <color theme="1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0"/>
      <color indexed="8"/>
      <name val="MS Sans Serif"/>
      <family val="2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 Light"/>
      <family val="1"/>
      <scheme val="major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7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</cellStyleXfs>
  <cellXfs count="5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1"/>
    <xf numFmtId="0" fontId="3" fillId="0" borderId="0" xfId="1" applyFont="1"/>
    <xf numFmtId="9" fontId="3" fillId="0" borderId="0" xfId="1" applyNumberFormat="1" applyFont="1"/>
    <xf numFmtId="9" fontId="4" fillId="3" borderId="1" xfId="2" applyFont="1" applyFill="1" applyBorder="1" applyAlignment="1">
      <alignment vertical="top"/>
    </xf>
    <xf numFmtId="164" fontId="4" fillId="2" borderId="1" xfId="4" applyNumberFormat="1" applyFont="1" applyFill="1" applyBorder="1" applyAlignment="1">
      <alignment vertical="top"/>
    </xf>
    <xf numFmtId="0" fontId="4" fillId="2" borderId="1" xfId="1" applyFont="1" applyFill="1" applyBorder="1" applyAlignment="1">
      <alignment vertical="top" wrapText="1"/>
    </xf>
    <xf numFmtId="0" fontId="4" fillId="2" borderId="1" xfId="5" applyFont="1" applyFill="1" applyBorder="1" applyAlignment="1">
      <alignment horizontal="center" vertical="top"/>
    </xf>
    <xf numFmtId="0" fontId="4" fillId="2" borderId="1" xfId="5" applyFont="1" applyFill="1" applyBorder="1" applyAlignment="1">
      <alignment vertical="top"/>
    </xf>
    <xf numFmtId="9" fontId="4" fillId="4" borderId="1" xfId="2" applyFont="1" applyFill="1" applyBorder="1" applyAlignment="1">
      <alignment vertical="top"/>
    </xf>
    <xf numFmtId="164" fontId="4" fillId="4" borderId="1" xfId="4" applyNumberFormat="1" applyFont="1" applyFill="1" applyBorder="1" applyAlignment="1">
      <alignment vertical="top"/>
    </xf>
    <xf numFmtId="0" fontId="4" fillId="4" borderId="1" xfId="1" applyFont="1" applyFill="1" applyBorder="1" applyAlignment="1">
      <alignment vertical="top" wrapText="1"/>
    </xf>
    <xf numFmtId="0" fontId="6" fillId="4" borderId="1" xfId="5" applyFont="1" applyFill="1" applyBorder="1" applyAlignment="1">
      <alignment horizontal="center" vertical="top"/>
    </xf>
    <xf numFmtId="0" fontId="4" fillId="4" borderId="1" xfId="5" applyFont="1" applyFill="1" applyBorder="1" applyAlignment="1">
      <alignment horizontal="center" vertical="top"/>
    </xf>
    <xf numFmtId="0" fontId="4" fillId="4" borderId="1" xfId="5" applyFont="1" applyFill="1" applyBorder="1" applyAlignment="1">
      <alignment vertical="top"/>
    </xf>
    <xf numFmtId="0" fontId="4" fillId="2" borderId="1" xfId="5" applyFont="1" applyFill="1" applyBorder="1"/>
    <xf numFmtId="0" fontId="4" fillId="4" borderId="1" xfId="5" applyFont="1" applyFill="1" applyBorder="1"/>
    <xf numFmtId="9" fontId="6" fillId="5" borderId="1" xfId="2" applyFont="1" applyFill="1" applyBorder="1" applyAlignment="1">
      <alignment vertical="top"/>
    </xf>
    <xf numFmtId="164" fontId="6" fillId="5" borderId="1" xfId="4" applyNumberFormat="1" applyFont="1" applyFill="1" applyBorder="1" applyAlignment="1">
      <alignment vertical="top"/>
    </xf>
    <xf numFmtId="0" fontId="6" fillId="5" borderId="1" xfId="1" applyFont="1" applyFill="1" applyBorder="1" applyAlignment="1">
      <alignment vertical="top" wrapText="1"/>
    </xf>
    <xf numFmtId="0" fontId="6" fillId="5" borderId="1" xfId="5" applyFont="1" applyFill="1" applyBorder="1" applyAlignment="1">
      <alignment horizontal="center" vertical="top"/>
    </xf>
    <xf numFmtId="0" fontId="6" fillId="5" borderId="1" xfId="5" applyFont="1" applyFill="1" applyBorder="1"/>
    <xf numFmtId="0" fontId="4" fillId="2" borderId="1" xfId="5" quotePrefix="1" applyFont="1" applyFill="1" applyBorder="1" applyAlignment="1">
      <alignment horizontal="center" vertical="top"/>
    </xf>
    <xf numFmtId="164" fontId="4" fillId="0" borderId="1" xfId="4" applyNumberFormat="1" applyFont="1" applyFill="1" applyBorder="1" applyAlignment="1">
      <alignment vertical="top"/>
    </xf>
    <xf numFmtId="0" fontId="4" fillId="0" borderId="1" xfId="1" applyFont="1" applyBorder="1" applyAlignment="1">
      <alignment vertical="top" wrapText="1"/>
    </xf>
    <xf numFmtId="0" fontId="4" fillId="0" borderId="1" xfId="5" applyFont="1" applyBorder="1" applyAlignment="1">
      <alignment horizontal="center" vertical="top"/>
    </xf>
    <xf numFmtId="0" fontId="4" fillId="0" borderId="1" xfId="5" applyFont="1" applyBorder="1"/>
    <xf numFmtId="0" fontId="4" fillId="5" borderId="1" xfId="5" applyFont="1" applyFill="1" applyBorder="1" applyAlignment="1">
      <alignment horizontal="center" vertical="top"/>
    </xf>
    <xf numFmtId="0" fontId="6" fillId="5" borderId="1" xfId="5" applyFont="1" applyFill="1" applyBorder="1" applyAlignment="1">
      <alignment vertical="top"/>
    </xf>
    <xf numFmtId="0" fontId="6" fillId="5" borderId="1" xfId="5" applyFont="1" applyFill="1" applyBorder="1" applyAlignment="1">
      <alignment horizontal="left" vertical="top"/>
    </xf>
    <xf numFmtId="0" fontId="6" fillId="5" borderId="1" xfId="5" applyFont="1" applyFill="1" applyBorder="1" applyAlignment="1">
      <alignment horizontal="right" vertical="top"/>
    </xf>
    <xf numFmtId="0" fontId="4" fillId="2" borderId="1" xfId="5" applyFont="1" applyFill="1" applyBorder="1" applyAlignment="1">
      <alignment vertical="top" wrapText="1"/>
    </xf>
    <xf numFmtId="0" fontId="4" fillId="4" borderId="1" xfId="5" applyFont="1" applyFill="1" applyBorder="1" applyAlignment="1">
      <alignment vertical="top" wrapText="1"/>
    </xf>
    <xf numFmtId="0" fontId="6" fillId="5" borderId="1" xfId="5" applyFont="1" applyFill="1" applyBorder="1" applyAlignment="1">
      <alignment vertical="top" wrapText="1"/>
    </xf>
    <xf numFmtId="0" fontId="4" fillId="2" borderId="1" xfId="5" applyFont="1" applyFill="1" applyBorder="1" applyAlignment="1">
      <alignment horizontal="justify" vertical="top" wrapText="1"/>
    </xf>
    <xf numFmtId="0" fontId="4" fillId="2" borderId="1" xfId="1" applyFont="1" applyFill="1" applyBorder="1" applyAlignment="1">
      <alignment wrapText="1"/>
    </xf>
    <xf numFmtId="0" fontId="4" fillId="4" borderId="1" xfId="1" applyFont="1" applyFill="1" applyBorder="1"/>
    <xf numFmtId="0" fontId="6" fillId="5" borderId="1" xfId="1" applyFont="1" applyFill="1" applyBorder="1" applyAlignment="1">
      <alignment wrapText="1"/>
    </xf>
    <xf numFmtId="0" fontId="4" fillId="2" borderId="1" xfId="1" applyFont="1" applyFill="1" applyBorder="1"/>
    <xf numFmtId="0" fontId="6" fillId="5" borderId="1" xfId="1" applyFont="1" applyFill="1" applyBorder="1"/>
    <xf numFmtId="0" fontId="6" fillId="5" borderId="1" xfId="5" applyFont="1" applyFill="1" applyBorder="1" applyAlignment="1">
      <alignment horizontal="center"/>
    </xf>
    <xf numFmtId="0" fontId="4" fillId="2" borderId="1" xfId="1" applyFont="1" applyFill="1" applyBorder="1" applyAlignment="1">
      <alignment vertical="top"/>
    </xf>
    <xf numFmtId="0" fontId="4" fillId="4" borderId="1" xfId="1" applyFont="1" applyFill="1" applyBorder="1" applyAlignment="1">
      <alignment vertical="top"/>
    </xf>
    <xf numFmtId="0" fontId="6" fillId="5" borderId="1" xfId="1" applyFont="1" applyFill="1" applyBorder="1" applyAlignment="1">
      <alignment vertical="top"/>
    </xf>
    <xf numFmtId="164" fontId="6" fillId="5" borderId="14" xfId="4" applyNumberFormat="1" applyFont="1" applyFill="1" applyBorder="1" applyAlignment="1">
      <alignment vertical="top"/>
    </xf>
    <xf numFmtId="0" fontId="6" fillId="5" borderId="14" xfId="5" applyFont="1" applyFill="1" applyBorder="1" applyAlignment="1">
      <alignment vertical="top"/>
    </xf>
    <xf numFmtId="0" fontId="6" fillId="5" borderId="14" xfId="5" applyFont="1" applyFill="1" applyBorder="1" applyAlignment="1">
      <alignment horizontal="center" vertical="top"/>
    </xf>
    <xf numFmtId="0" fontId="7" fillId="5" borderId="14" xfId="5" applyFont="1" applyFill="1" applyBorder="1" applyAlignment="1">
      <alignment vertical="top"/>
    </xf>
    <xf numFmtId="9" fontId="8" fillId="6" borderId="2" xfId="2" applyFont="1" applyFill="1" applyBorder="1" applyAlignment="1">
      <alignment vertical="top"/>
    </xf>
    <xf numFmtId="164" fontId="8" fillId="6" borderId="12" xfId="4" applyNumberFormat="1" applyFont="1" applyFill="1" applyBorder="1" applyAlignment="1">
      <alignment vertical="top"/>
    </xf>
    <xf numFmtId="0" fontId="8" fillId="6" borderId="12" xfId="5" applyFont="1" applyFill="1" applyBorder="1" applyAlignment="1">
      <alignment vertical="top"/>
    </xf>
    <xf numFmtId="0" fontId="8" fillId="6" borderId="12" xfId="5" applyFont="1" applyFill="1" applyBorder="1" applyAlignment="1">
      <alignment horizontal="center" vertical="top"/>
    </xf>
    <xf numFmtId="0" fontId="9" fillId="6" borderId="12" xfId="5" applyFont="1" applyFill="1" applyBorder="1" applyAlignment="1">
      <alignment vertical="top"/>
    </xf>
    <xf numFmtId="0" fontId="2" fillId="0" borderId="0" xfId="1" applyAlignment="1">
      <alignment horizontal="center"/>
    </xf>
    <xf numFmtId="0" fontId="15" fillId="8" borderId="1" xfId="5" applyFont="1" applyFill="1" applyBorder="1" applyAlignment="1">
      <alignment horizontal="center"/>
    </xf>
    <xf numFmtId="0" fontId="11" fillId="8" borderId="1" xfId="5" applyFont="1" applyFill="1" applyBorder="1" applyAlignment="1">
      <alignment horizontal="center"/>
    </xf>
    <xf numFmtId="164" fontId="2" fillId="0" borderId="0" xfId="1" applyNumberFormat="1"/>
    <xf numFmtId="0" fontId="6" fillId="3" borderId="15" xfId="1" applyFont="1" applyFill="1" applyBorder="1" applyAlignment="1">
      <alignment horizontal="center"/>
    </xf>
    <xf numFmtId="0" fontId="6" fillId="3" borderId="0" xfId="1" applyFont="1" applyFill="1" applyAlignment="1">
      <alignment horizontal="center"/>
    </xf>
    <xf numFmtId="0" fontId="6" fillId="3" borderId="13" xfId="1" applyFont="1" applyFill="1" applyBorder="1" applyAlignment="1">
      <alignment horizontal="center"/>
    </xf>
    <xf numFmtId="4" fontId="7" fillId="9" borderId="0" xfId="1" applyNumberFormat="1" applyFont="1" applyFill="1"/>
    <xf numFmtId="4" fontId="16" fillId="9" borderId="0" xfId="1" applyNumberFormat="1" applyFont="1" applyFill="1"/>
    <xf numFmtId="4" fontId="17" fillId="9" borderId="0" xfId="1" applyNumberFormat="1" applyFont="1" applyFill="1"/>
    <xf numFmtId="0" fontId="16" fillId="9" borderId="0" xfId="1" applyFont="1" applyFill="1"/>
    <xf numFmtId="0" fontId="17" fillId="9" borderId="0" xfId="1" applyFont="1" applyFill="1"/>
    <xf numFmtId="4" fontId="17" fillId="9" borderId="0" xfId="1" applyNumberFormat="1" applyFont="1" applyFill="1" applyAlignment="1">
      <alignment horizontal="left"/>
    </xf>
    <xf numFmtId="0" fontId="16" fillId="9" borderId="13" xfId="1" applyFont="1" applyFill="1" applyBorder="1"/>
    <xf numFmtId="4" fontId="18" fillId="2" borderId="0" xfId="1" applyNumberFormat="1" applyFont="1" applyFill="1" applyAlignment="1">
      <alignment horizontal="center"/>
    </xf>
    <xf numFmtId="4" fontId="6" fillId="2" borderId="0" xfId="1" applyNumberFormat="1" applyFont="1" applyFill="1" applyAlignment="1">
      <alignment horizontal="center"/>
    </xf>
    <xf numFmtId="4" fontId="17" fillId="2" borderId="0" xfId="1" applyNumberFormat="1" applyFont="1" applyFill="1" applyAlignment="1">
      <alignment horizontal="left" indent="11"/>
    </xf>
    <xf numFmtId="0" fontId="16" fillId="2" borderId="0" xfId="1" applyFont="1" applyFill="1"/>
    <xf numFmtId="0" fontId="16" fillId="2" borderId="13" xfId="1" applyFont="1" applyFill="1" applyBorder="1"/>
    <xf numFmtId="4" fontId="18" fillId="2" borderId="16" xfId="1" applyNumberFormat="1" applyFont="1" applyFill="1" applyBorder="1"/>
    <xf numFmtId="43" fontId="6" fillId="0" borderId="0" xfId="4" applyFont="1" applyBorder="1" applyAlignment="1">
      <alignment horizontal="left"/>
    </xf>
    <xf numFmtId="4" fontId="18" fillId="2" borderId="17" xfId="1" applyNumberFormat="1" applyFont="1" applyFill="1" applyBorder="1"/>
    <xf numFmtId="4" fontId="6" fillId="2" borderId="0" xfId="1" applyNumberFormat="1" applyFont="1" applyFill="1" applyAlignment="1">
      <alignment horizontal="left" indent="11"/>
    </xf>
    <xf numFmtId="4" fontId="18" fillId="2" borderId="0" xfId="1" applyNumberFormat="1" applyFont="1" applyFill="1"/>
    <xf numFmtId="4" fontId="6" fillId="2" borderId="0" xfId="1" applyNumberFormat="1" applyFont="1" applyFill="1" applyAlignment="1">
      <alignment horizontal="left" indent="2"/>
    </xf>
    <xf numFmtId="4" fontId="18" fillId="2" borderId="4" xfId="1" applyNumberFormat="1" applyFont="1" applyFill="1" applyBorder="1"/>
    <xf numFmtId="4" fontId="7" fillId="2" borderId="0" xfId="1" applyNumberFormat="1" applyFont="1" applyFill="1" applyAlignment="1">
      <alignment horizontal="left" indent="2"/>
    </xf>
    <xf numFmtId="4" fontId="6" fillId="2" borderId="0" xfId="1" applyNumberFormat="1" applyFont="1" applyFill="1" applyAlignment="1">
      <alignment horizontal="left" indent="3"/>
    </xf>
    <xf numFmtId="4" fontId="19" fillId="2" borderId="0" xfId="1" applyNumberFormat="1" applyFont="1" applyFill="1" applyAlignment="1">
      <alignment horizontal="left" indent="2"/>
    </xf>
    <xf numFmtId="0" fontId="18" fillId="2" borderId="0" xfId="1" applyFont="1" applyFill="1"/>
    <xf numFmtId="0" fontId="6" fillId="2" borderId="0" xfId="1" applyFont="1" applyFill="1" applyAlignment="1">
      <alignment horizontal="left" indent="3"/>
    </xf>
    <xf numFmtId="0" fontId="17" fillId="9" borderId="15" xfId="1" applyFont="1" applyFill="1" applyBorder="1" applyAlignment="1">
      <alignment horizontal="left"/>
    </xf>
    <xf numFmtId="0" fontId="17" fillId="9" borderId="0" xfId="1" applyFont="1" applyFill="1" applyAlignment="1">
      <alignment horizontal="left"/>
    </xf>
    <xf numFmtId="0" fontId="17" fillId="9" borderId="13" xfId="1" applyFont="1" applyFill="1" applyBorder="1" applyAlignment="1">
      <alignment horizontal="left"/>
    </xf>
    <xf numFmtId="0" fontId="23" fillId="3" borderId="15" xfId="1" applyFont="1" applyFill="1" applyBorder="1"/>
    <xf numFmtId="0" fontId="23" fillId="3" borderId="0" xfId="1" applyFont="1" applyFill="1"/>
    <xf numFmtId="0" fontId="23" fillId="3" borderId="10" xfId="1" applyFont="1" applyFill="1" applyBorder="1"/>
    <xf numFmtId="0" fontId="23" fillId="3" borderId="17" xfId="1" applyFont="1" applyFill="1" applyBorder="1"/>
    <xf numFmtId="0" fontId="4" fillId="3" borderId="17" xfId="1" applyFont="1" applyFill="1" applyBorder="1"/>
    <xf numFmtId="0" fontId="4" fillId="3" borderId="11" xfId="1" applyFont="1" applyFill="1" applyBorder="1"/>
    <xf numFmtId="0" fontId="25" fillId="0" borderId="0" xfId="1" applyFont="1"/>
    <xf numFmtId="9" fontId="26" fillId="5" borderId="8" xfId="1" applyNumberFormat="1" applyFont="1" applyFill="1" applyBorder="1" applyAlignment="1">
      <alignment horizontal="center"/>
    </xf>
    <xf numFmtId="9" fontId="26" fillId="5" borderId="8" xfId="2" applyFont="1" applyFill="1" applyBorder="1"/>
    <xf numFmtId="0" fontId="27" fillId="5" borderId="9" xfId="1" applyFont="1" applyFill="1" applyBorder="1" applyAlignment="1">
      <alignment horizontal="center"/>
    </xf>
    <xf numFmtId="4" fontId="26" fillId="5" borderId="8" xfId="1" applyNumberFormat="1" applyFont="1" applyFill="1" applyBorder="1"/>
    <xf numFmtId="9" fontId="26" fillId="10" borderId="8" xfId="1" applyNumberFormat="1" applyFont="1" applyFill="1" applyBorder="1" applyAlignment="1">
      <alignment horizontal="center"/>
    </xf>
    <xf numFmtId="4" fontId="26" fillId="10" borderId="1" xfId="1" applyNumberFormat="1" applyFont="1" applyFill="1" applyBorder="1"/>
    <xf numFmtId="0" fontId="26" fillId="10" borderId="9" xfId="1" applyFont="1" applyFill="1" applyBorder="1" applyAlignment="1">
      <alignment horizontal="center"/>
    </xf>
    <xf numFmtId="9" fontId="28" fillId="0" borderId="18" xfId="2" applyFont="1" applyBorder="1" applyAlignment="1">
      <alignment horizontal="center"/>
    </xf>
    <xf numFmtId="4" fontId="28" fillId="0" borderId="5" xfId="1" applyNumberFormat="1" applyFont="1" applyBorder="1"/>
    <xf numFmtId="4" fontId="28" fillId="0" borderId="1" xfId="1" applyNumberFormat="1" applyFont="1" applyBorder="1"/>
    <xf numFmtId="0" fontId="29" fillId="0" borderId="19" xfId="1" applyFont="1" applyBorder="1" applyAlignment="1">
      <alignment horizontal="left"/>
    </xf>
    <xf numFmtId="9" fontId="28" fillId="0" borderId="20" xfId="2" applyFont="1" applyBorder="1" applyAlignment="1">
      <alignment horizontal="center"/>
    </xf>
    <xf numFmtId="0" fontId="30" fillId="0" borderId="21" xfId="1" applyFont="1" applyBorder="1" applyAlignment="1">
      <alignment horizontal="left"/>
    </xf>
    <xf numFmtId="0" fontId="29" fillId="0" borderId="22" xfId="1" applyFont="1" applyBorder="1" applyAlignment="1">
      <alignment horizontal="left"/>
    </xf>
    <xf numFmtId="0" fontId="31" fillId="11" borderId="23" xfId="1" applyFont="1" applyFill="1" applyBorder="1" applyAlignment="1">
      <alignment horizontal="center" vertical="center"/>
    </xf>
    <xf numFmtId="0" fontId="31" fillId="11" borderId="0" xfId="1" applyFont="1" applyFill="1" applyAlignment="1">
      <alignment horizontal="center" vertical="center"/>
    </xf>
    <xf numFmtId="0" fontId="31" fillId="11" borderId="0" xfId="1" applyFont="1" applyFill="1" applyAlignment="1">
      <alignment horizontal="center" wrapText="1"/>
    </xf>
    <xf numFmtId="0" fontId="32" fillId="11" borderId="24" xfId="1" applyFont="1" applyFill="1" applyBorder="1" applyAlignment="1">
      <alignment horizontal="left" vertical="center"/>
    </xf>
    <xf numFmtId="9" fontId="26" fillId="10" borderId="20" xfId="2" applyFont="1" applyFill="1" applyBorder="1" applyAlignment="1">
      <alignment horizontal="center"/>
    </xf>
    <xf numFmtId="0" fontId="33" fillId="10" borderId="22" xfId="1" applyFont="1" applyFill="1" applyBorder="1" applyAlignment="1">
      <alignment horizontal="center"/>
    </xf>
    <xf numFmtId="0" fontId="30" fillId="0" borderId="22" xfId="1" applyFont="1" applyBorder="1" applyAlignment="1">
      <alignment horizontal="left"/>
    </xf>
    <xf numFmtId="0" fontId="26" fillId="0" borderId="0" xfId="1" applyFont="1" applyAlignment="1">
      <alignment horizontal="center"/>
    </xf>
    <xf numFmtId="0" fontId="39" fillId="0" borderId="1" xfId="0" applyFont="1" applyBorder="1" applyAlignment="1">
      <alignment horizontal="center"/>
    </xf>
    <xf numFmtId="43" fontId="0" fillId="0" borderId="1" xfId="6" applyFont="1" applyBorder="1" applyAlignment="1">
      <alignment horizontal="right"/>
    </xf>
    <xf numFmtId="0" fontId="40" fillId="0" borderId="1" xfId="0" applyFont="1" applyBorder="1" applyAlignment="1">
      <alignment horizontal="center"/>
    </xf>
    <xf numFmtId="0" fontId="42" fillId="0" borderId="0" xfId="1" applyFont="1"/>
    <xf numFmtId="43" fontId="0" fillId="0" borderId="1" xfId="6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43" fillId="0" borderId="1" xfId="0" applyFont="1" applyBorder="1" applyAlignment="1">
      <alignment horizontal="center"/>
    </xf>
    <xf numFmtId="43" fontId="0" fillId="0" borderId="1" xfId="6" applyFont="1" applyBorder="1"/>
    <xf numFmtId="0" fontId="29" fillId="0" borderId="29" xfId="1" applyFont="1" applyBorder="1" applyAlignment="1">
      <alignment horizontal="left"/>
    </xf>
    <xf numFmtId="4" fontId="28" fillId="0" borderId="2" xfId="1" applyNumberFormat="1" applyFont="1" applyBorder="1"/>
    <xf numFmtId="4" fontId="26" fillId="10" borderId="30" xfId="1" applyNumberFormat="1" applyFont="1" applyFill="1" applyBorder="1"/>
    <xf numFmtId="4" fontId="26" fillId="10" borderId="31" xfId="1" applyNumberFormat="1" applyFont="1" applyFill="1" applyBorder="1"/>
    <xf numFmtId="0" fontId="43" fillId="0" borderId="0" xfId="0" applyFont="1" applyAlignment="1">
      <alignment horizontal="center"/>
    </xf>
    <xf numFmtId="0" fontId="0" fillId="3" borderId="0" xfId="0" applyFill="1"/>
    <xf numFmtId="0" fontId="46" fillId="14" borderId="1" xfId="0" applyFont="1" applyFill="1" applyBorder="1" applyAlignment="1">
      <alignment horizontal="center" vertical="center" wrapText="1"/>
    </xf>
    <xf numFmtId="0" fontId="46" fillId="14" borderId="1" xfId="0" applyFont="1" applyFill="1" applyBorder="1" applyAlignment="1">
      <alignment horizontal="left" vertical="center" wrapText="1"/>
    </xf>
    <xf numFmtId="43" fontId="46" fillId="14" borderId="1" xfId="6" applyFont="1" applyFill="1" applyBorder="1" applyAlignment="1">
      <alignment horizontal="center" vertical="center" wrapText="1"/>
    </xf>
    <xf numFmtId="14" fontId="47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43" fontId="47" fillId="0" borderId="1" xfId="6" applyFont="1" applyFill="1" applyBorder="1"/>
    <xf numFmtId="43" fontId="47" fillId="0" borderId="1" xfId="6" applyFont="1" applyBorder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8" fillId="0" borderId="1" xfId="0" applyFont="1" applyBorder="1"/>
    <xf numFmtId="0" fontId="43" fillId="0" borderId="0" xfId="0" applyFont="1"/>
    <xf numFmtId="0" fontId="0" fillId="0" borderId="1" xfId="0" applyBorder="1" applyAlignment="1">
      <alignment wrapText="1"/>
    </xf>
    <xf numFmtId="0" fontId="40" fillId="0" borderId="0" xfId="0" applyFont="1" applyAlignment="1">
      <alignment horizontal="center"/>
    </xf>
    <xf numFmtId="43" fontId="43" fillId="16" borderId="1" xfId="6" applyFont="1" applyFill="1" applyBorder="1" applyAlignment="1">
      <alignment horizontal="center" vertical="center" wrapText="1"/>
    </xf>
    <xf numFmtId="0" fontId="39" fillId="16" borderId="1" xfId="0" applyFont="1" applyFill="1" applyBorder="1" applyAlignment="1">
      <alignment horizontal="left" vertical="center" wrapText="1"/>
    </xf>
    <xf numFmtId="43" fontId="43" fillId="17" borderId="1" xfId="6" applyFont="1" applyFill="1" applyBorder="1" applyAlignment="1">
      <alignment horizontal="center" vertical="center" wrapText="1"/>
    </xf>
    <xf numFmtId="0" fontId="43" fillId="17" borderId="1" xfId="0" applyFont="1" applyFill="1" applyBorder="1" applyAlignment="1">
      <alignment horizontal="left" vertical="center" wrapText="1"/>
    </xf>
    <xf numFmtId="43" fontId="0" fillId="0" borderId="1" xfId="6" applyFont="1" applyBorder="1" applyAlignment="1">
      <alignment vertical="center" wrapText="1"/>
    </xf>
    <xf numFmtId="0" fontId="0" fillId="0" borderId="1" xfId="0" applyBorder="1" applyAlignment="1">
      <alignment horizontal="left" vertical="center" wrapText="1" indent="2"/>
    </xf>
    <xf numFmtId="43" fontId="43" fillId="0" borderId="1" xfId="6" applyFont="1" applyBorder="1" applyAlignment="1">
      <alignment vertical="center" wrapText="1"/>
    </xf>
    <xf numFmtId="0" fontId="43" fillId="0" borderId="1" xfId="0" applyFont="1" applyBorder="1" applyAlignment="1">
      <alignment horizontal="left" vertical="center" wrapText="1"/>
    </xf>
    <xf numFmtId="43" fontId="43" fillId="0" borderId="1" xfId="6" applyFont="1" applyBorder="1"/>
    <xf numFmtId="43" fontId="43" fillId="18" borderId="1" xfId="6" applyFont="1" applyFill="1" applyBorder="1" applyAlignment="1">
      <alignment wrapText="1"/>
    </xf>
    <xf numFmtId="43" fontId="0" fillId="18" borderId="1" xfId="6" applyFont="1" applyFill="1" applyBorder="1"/>
    <xf numFmtId="0" fontId="43" fillId="18" borderId="1" xfId="0" applyFont="1" applyFill="1" applyBorder="1" applyAlignment="1">
      <alignment horizontal="left" vertical="center" wrapText="1"/>
    </xf>
    <xf numFmtId="43" fontId="43" fillId="0" borderId="1" xfId="6" applyFont="1" applyBorder="1" applyAlignment="1">
      <alignment horizontal="left" vertical="center" wrapText="1"/>
    </xf>
    <xf numFmtId="0" fontId="39" fillId="16" borderId="1" xfId="0" applyFont="1" applyFill="1" applyBorder="1" applyAlignment="1">
      <alignment horizontal="center" vertical="center" wrapText="1"/>
    </xf>
    <xf numFmtId="0" fontId="39" fillId="16" borderId="1" xfId="0" applyFont="1" applyFill="1" applyBorder="1" applyAlignment="1">
      <alignment vertical="center" wrapText="1"/>
    </xf>
    <xf numFmtId="165" fontId="43" fillId="0" borderId="1" xfId="0" applyNumberFormat="1" applyFont="1" applyBorder="1" applyAlignment="1">
      <alignment vertical="center" wrapText="1"/>
    </xf>
    <xf numFmtId="165" fontId="43" fillId="17" borderId="1" xfId="0" applyNumberFormat="1" applyFont="1" applyFill="1" applyBorder="1" applyAlignment="1">
      <alignment horizontal="center" vertical="center" wrapText="1"/>
    </xf>
    <xf numFmtId="43" fontId="43" fillId="0" borderId="1" xfId="6" applyFont="1" applyFill="1" applyBorder="1" applyAlignment="1">
      <alignment horizontal="left" vertical="center" wrapText="1"/>
    </xf>
    <xf numFmtId="43" fontId="43" fillId="18" borderId="1" xfId="6" applyFont="1" applyFill="1" applyBorder="1" applyAlignment="1">
      <alignment horizontal="right" wrapText="1"/>
    </xf>
    <xf numFmtId="43" fontId="43" fillId="18" borderId="1" xfId="0" applyNumberFormat="1" applyFont="1" applyFill="1" applyBorder="1"/>
    <xf numFmtId="43" fontId="43" fillId="0" borderId="1" xfId="6" applyFont="1" applyFill="1" applyBorder="1" applyAlignment="1">
      <alignment horizontal="right" wrapText="1"/>
    </xf>
    <xf numFmtId="43" fontId="43" fillId="0" borderId="1" xfId="6" applyFont="1" applyFill="1" applyBorder="1" applyAlignment="1">
      <alignment horizontal="right"/>
    </xf>
    <xf numFmtId="43" fontId="0" fillId="0" borderId="1" xfId="0" applyNumberFormat="1" applyBorder="1"/>
    <xf numFmtId="0" fontId="0" fillId="18" borderId="0" xfId="0" applyFill="1"/>
    <xf numFmtId="43" fontId="43" fillId="18" borderId="1" xfId="6" applyFont="1" applyFill="1" applyBorder="1" applyAlignment="1">
      <alignment vertical="center" wrapText="1"/>
    </xf>
    <xf numFmtId="0" fontId="39" fillId="0" borderId="1" xfId="0" applyFont="1" applyBorder="1" applyAlignment="1">
      <alignment horizontal="left" vertical="center" wrapText="1"/>
    </xf>
    <xf numFmtId="0" fontId="39" fillId="18" borderId="33" xfId="0" applyFont="1" applyFill="1" applyBorder="1" applyAlignment="1">
      <alignment horizontal="center"/>
    </xf>
    <xf numFmtId="0" fontId="39" fillId="11" borderId="1" xfId="0" applyFont="1" applyFill="1" applyBorder="1" applyAlignment="1">
      <alignment wrapText="1"/>
    </xf>
    <xf numFmtId="0" fontId="39" fillId="11" borderId="20" xfId="0" applyFont="1" applyFill="1" applyBorder="1" applyAlignment="1">
      <alignment wrapText="1"/>
    </xf>
    <xf numFmtId="0" fontId="0" fillId="0" borderId="20" xfId="0" applyBorder="1" applyAlignment="1">
      <alignment horizontal="center"/>
    </xf>
    <xf numFmtId="0" fontId="0" fillId="0" borderId="22" xfId="0" applyBorder="1"/>
    <xf numFmtId="0" fontId="0" fillId="0" borderId="20" xfId="0" applyBorder="1"/>
    <xf numFmtId="0" fontId="49" fillId="0" borderId="0" xfId="0" applyFont="1"/>
    <xf numFmtId="0" fontId="45" fillId="0" borderId="0" xfId="0" applyFont="1"/>
    <xf numFmtId="14" fontId="0" fillId="0" borderId="1" xfId="0" applyNumberFormat="1" applyBorder="1"/>
    <xf numFmtId="44" fontId="0" fillId="0" borderId="0" xfId="0" applyNumberFormat="1"/>
    <xf numFmtId="0" fontId="43" fillId="22" borderId="0" xfId="0" applyFont="1" applyFill="1" applyAlignment="1">
      <alignment horizontal="center" vertical="center" wrapText="1"/>
    </xf>
    <xf numFmtId="0" fontId="0" fillId="22" borderId="0" xfId="0" applyFill="1"/>
    <xf numFmtId="43" fontId="43" fillId="22" borderId="0" xfId="0" applyNumberFormat="1" applyFont="1" applyFill="1"/>
    <xf numFmtId="43" fontId="0" fillId="0" borderId="0" xfId="6" applyFont="1"/>
    <xf numFmtId="0" fontId="53" fillId="0" borderId="0" xfId="5" applyFont="1"/>
    <xf numFmtId="0" fontId="56" fillId="0" borderId="0" xfId="5" applyFont="1"/>
    <xf numFmtId="43" fontId="56" fillId="0" borderId="0" xfId="6" applyFont="1" applyFill="1" applyAlignment="1"/>
    <xf numFmtId="0" fontId="57" fillId="0" borderId="0" xfId="5" applyFont="1"/>
    <xf numFmtId="0" fontId="57" fillId="0" borderId="0" xfId="5" applyFont="1" applyAlignment="1">
      <alignment horizontal="left"/>
    </xf>
    <xf numFmtId="43" fontId="58" fillId="0" borderId="0" xfId="6" applyFont="1"/>
    <xf numFmtId="0" fontId="58" fillId="0" borderId="0" xfId="0" applyFont="1"/>
    <xf numFmtId="43" fontId="58" fillId="0" borderId="0" xfId="0" applyNumberFormat="1" applyFont="1"/>
    <xf numFmtId="0" fontId="1" fillId="0" borderId="0" xfId="5" applyAlignment="1">
      <alignment horizontal="center"/>
    </xf>
    <xf numFmtId="0" fontId="1" fillId="0" borderId="0" xfId="5"/>
    <xf numFmtId="43" fontId="2" fillId="0" borderId="0" xfId="6" applyFont="1"/>
    <xf numFmtId="0" fontId="59" fillId="23" borderId="1" xfId="5" applyFont="1" applyFill="1" applyBorder="1" applyAlignment="1">
      <alignment horizontal="center" vertical="center"/>
    </xf>
    <xf numFmtId="43" fontId="59" fillId="24" borderId="1" xfId="6" applyFont="1" applyFill="1" applyBorder="1" applyAlignment="1">
      <alignment horizontal="center" vertical="center"/>
    </xf>
    <xf numFmtId="0" fontId="53" fillId="0" borderId="1" xfId="5" applyFont="1" applyBorder="1" applyAlignment="1">
      <alignment horizontal="center"/>
    </xf>
    <xf numFmtId="0" fontId="53" fillId="0" borderId="1" xfId="5" applyFont="1" applyBorder="1" applyAlignment="1">
      <alignment horizontal="left" vertical="center"/>
    </xf>
    <xf numFmtId="43" fontId="53" fillId="0" borderId="1" xfId="6" applyFont="1" applyFill="1" applyBorder="1" applyAlignment="1">
      <alignment vertical="center"/>
    </xf>
    <xf numFmtId="43" fontId="53" fillId="0" borderId="1" xfId="6" applyFont="1" applyFill="1" applyBorder="1" applyAlignment="1">
      <alignment horizontal="left" vertical="center"/>
    </xf>
    <xf numFmtId="43" fontId="53" fillId="0" borderId="1" xfId="10" applyFont="1" applyFill="1" applyBorder="1" applyAlignment="1"/>
    <xf numFmtId="43" fontId="53" fillId="0" borderId="1" xfId="6" applyFont="1" applyFill="1" applyBorder="1" applyAlignment="1"/>
    <xf numFmtId="43" fontId="60" fillId="3" borderId="1" xfId="6" applyFont="1" applyFill="1" applyBorder="1" applyAlignment="1">
      <alignment horizontal="center" wrapText="1"/>
    </xf>
    <xf numFmtId="43" fontId="59" fillId="21" borderId="1" xfId="5" applyNumberFormat="1" applyFont="1" applyFill="1" applyBorder="1" applyAlignment="1">
      <alignment vertical="center"/>
    </xf>
    <xf numFmtId="43" fontId="59" fillId="21" borderId="1" xfId="5" applyNumberFormat="1" applyFont="1" applyFill="1" applyBorder="1" applyAlignment="1">
      <alignment horizontal="center" vertical="center"/>
    </xf>
    <xf numFmtId="43" fontId="59" fillId="21" borderId="1" xfId="6" applyFont="1" applyFill="1" applyBorder="1" applyAlignment="1">
      <alignment horizontal="center" vertical="center"/>
    </xf>
    <xf numFmtId="43" fontId="59" fillId="21" borderId="1" xfId="10" applyFont="1" applyFill="1" applyBorder="1" applyAlignment="1"/>
    <xf numFmtId="43" fontId="53" fillId="0" borderId="1" xfId="5" applyNumberFormat="1" applyFont="1" applyBorder="1" applyAlignment="1">
      <alignment vertical="center"/>
    </xf>
    <xf numFmtId="43" fontId="53" fillId="0" borderId="1" xfId="5" applyNumberFormat="1" applyFont="1" applyBorder="1" applyAlignment="1">
      <alignment horizontal="left" vertical="center"/>
    </xf>
    <xf numFmtId="43" fontId="61" fillId="0" borderId="1" xfId="10" applyFont="1" applyFill="1" applyBorder="1" applyAlignment="1">
      <alignment horizontal="center"/>
    </xf>
    <xf numFmtId="43" fontId="59" fillId="0" borderId="1" xfId="6" applyFont="1" applyFill="1" applyBorder="1" applyAlignment="1">
      <alignment horizontal="center"/>
    </xf>
    <xf numFmtId="43" fontId="61" fillId="0" borderId="1" xfId="6" applyFont="1" applyFill="1" applyBorder="1" applyAlignment="1">
      <alignment horizontal="center"/>
    </xf>
    <xf numFmtId="43" fontId="59" fillId="24" borderId="1" xfId="5" applyNumberFormat="1" applyFont="1" applyFill="1" applyBorder="1" applyAlignment="1">
      <alignment horizontal="center" vertical="center"/>
    </xf>
    <xf numFmtId="0" fontId="59" fillId="3" borderId="0" xfId="5" applyFont="1" applyFill="1" applyAlignment="1">
      <alignment horizontal="center" vertical="center"/>
    </xf>
    <xf numFmtId="43" fontId="59" fillId="3" borderId="0" xfId="5" applyNumberFormat="1" applyFont="1" applyFill="1" applyAlignment="1">
      <alignment horizontal="center" vertical="center"/>
    </xf>
    <xf numFmtId="43" fontId="59" fillId="3" borderId="0" xfId="6" applyFont="1" applyFill="1" applyBorder="1" applyAlignment="1">
      <alignment horizontal="center" vertical="center"/>
    </xf>
    <xf numFmtId="0" fontId="28" fillId="0" borderId="0" xfId="0" applyFont="1" applyAlignment="1">
      <alignment horizontal="left"/>
    </xf>
    <xf numFmtId="43" fontId="53" fillId="0" borderId="0" xfId="10" applyFont="1" applyFill="1" applyBorder="1" applyAlignment="1"/>
    <xf numFmtId="43" fontId="53" fillId="0" borderId="0" xfId="6" applyFont="1" applyFill="1" applyBorder="1" applyAlignment="1"/>
    <xf numFmtId="17" fontId="53" fillId="0" borderId="0" xfId="5" applyNumberFormat="1" applyFont="1" applyAlignment="1">
      <alignment horizontal="left"/>
    </xf>
    <xf numFmtId="43" fontId="0" fillId="0" borderId="0" xfId="0" applyNumberFormat="1"/>
    <xf numFmtId="0" fontId="26" fillId="0" borderId="0" xfId="0" applyFont="1" applyAlignment="1">
      <alignment horizontal="left"/>
    </xf>
    <xf numFmtId="43" fontId="53" fillId="0" borderId="0" xfId="5" applyNumberFormat="1" applyFont="1"/>
    <xf numFmtId="0" fontId="59" fillId="0" borderId="0" xfId="5" applyFont="1" applyAlignment="1">
      <alignment horizontal="left" vertical="center"/>
    </xf>
    <xf numFmtId="0" fontId="59" fillId="0" borderId="0" xfId="5" applyFont="1" applyAlignment="1">
      <alignment horizontal="center" vertical="center"/>
    </xf>
    <xf numFmtId="43" fontId="59" fillId="0" borderId="0" xfId="6" applyFont="1" applyFill="1" applyBorder="1" applyAlignment="1">
      <alignment horizontal="center" vertical="center"/>
    </xf>
    <xf numFmtId="17" fontId="62" fillId="0" borderId="0" xfId="5" applyNumberFormat="1" applyFont="1" applyAlignment="1">
      <alignment horizontal="left"/>
    </xf>
    <xf numFmtId="43" fontId="62" fillId="0" borderId="0" xfId="10" applyFont="1" applyFill="1" applyBorder="1" applyAlignment="1"/>
    <xf numFmtId="43" fontId="62" fillId="0" borderId="0" xfId="5" applyNumberFormat="1" applyFont="1"/>
    <xf numFmtId="0" fontId="62" fillId="0" borderId="0" xfId="5" applyFont="1"/>
    <xf numFmtId="43" fontId="62" fillId="0" borderId="0" xfId="6" applyFont="1" applyFill="1" applyBorder="1" applyAlignment="1"/>
    <xf numFmtId="0" fontId="59" fillId="0" borderId="0" xfId="5" applyFont="1" applyAlignment="1">
      <alignment horizontal="left"/>
    </xf>
    <xf numFmtId="43" fontId="59" fillId="0" borderId="0" xfId="5" applyNumberFormat="1" applyFont="1"/>
    <xf numFmtId="0" fontId="53" fillId="0" borderId="0" xfId="5" applyFont="1" applyAlignment="1">
      <alignment horizontal="left"/>
    </xf>
    <xf numFmtId="0" fontId="33" fillId="24" borderId="2" xfId="5" applyFont="1" applyFill="1" applyBorder="1" applyAlignment="1">
      <alignment horizontal="center" vertical="center" wrapText="1"/>
    </xf>
    <xf numFmtId="0" fontId="65" fillId="3" borderId="1" xfId="0" applyFont="1" applyFill="1" applyBorder="1" applyAlignment="1">
      <alignment horizontal="left" vertical="center" wrapText="1" readingOrder="1"/>
    </xf>
    <xf numFmtId="4" fontId="38" fillId="0" borderId="1" xfId="10" applyNumberFormat="1" applyFont="1" applyBorder="1" applyAlignment="1">
      <alignment horizontal="center"/>
    </xf>
    <xf numFmtId="4" fontId="38" fillId="3" borderId="1" xfId="3" applyNumberFormat="1" applyFont="1" applyFill="1" applyBorder="1" applyAlignment="1">
      <alignment horizontal="center" vertical="center" wrapText="1"/>
    </xf>
    <xf numFmtId="4" fontId="38" fillId="3" borderId="1" xfId="3" applyNumberFormat="1" applyFont="1" applyFill="1" applyBorder="1" applyAlignment="1">
      <alignment horizontal="center" vertical="center"/>
    </xf>
    <xf numFmtId="9" fontId="38" fillId="3" borderId="1" xfId="9" applyFont="1" applyFill="1" applyBorder="1" applyAlignment="1">
      <alignment horizontal="right" vertical="center"/>
    </xf>
    <xf numFmtId="4" fontId="38" fillId="0" borderId="1" xfId="3" applyNumberFormat="1" applyFont="1" applyBorder="1" applyAlignment="1">
      <alignment horizontal="center" vertical="center"/>
    </xf>
    <xf numFmtId="0" fontId="33" fillId="24" borderId="1" xfId="5" applyFont="1" applyFill="1" applyBorder="1" applyAlignment="1">
      <alignment horizontal="center" wrapText="1"/>
    </xf>
    <xf numFmtId="4" fontId="33" fillId="24" borderId="1" xfId="3" applyNumberFormat="1" applyFont="1" applyFill="1" applyBorder="1" applyAlignment="1">
      <alignment horizontal="right" vertical="center"/>
    </xf>
    <xf numFmtId="0" fontId="65" fillId="3" borderId="0" xfId="5" applyFont="1" applyFill="1" applyAlignment="1">
      <alignment horizontal="center"/>
    </xf>
    <xf numFmtId="3" fontId="65" fillId="3" borderId="0" xfId="5" applyNumberFormat="1" applyFont="1" applyFill="1" applyAlignment="1">
      <alignment horizontal="center" vertical="center"/>
    </xf>
    <xf numFmtId="0" fontId="66" fillId="0" borderId="0" xfId="0" applyFont="1"/>
    <xf numFmtId="0" fontId="2" fillId="3" borderId="0" xfId="1" applyFill="1"/>
    <xf numFmtId="44" fontId="0" fillId="3" borderId="0" xfId="0" applyNumberFormat="1" applyFill="1"/>
    <xf numFmtId="0" fontId="68" fillId="0" borderId="0" xfId="0" applyFont="1"/>
    <xf numFmtId="0" fontId="68" fillId="25" borderId="5" xfId="0" applyFont="1" applyFill="1" applyBorder="1"/>
    <xf numFmtId="0" fontId="68" fillId="25" borderId="1" xfId="0" applyFont="1" applyFill="1" applyBorder="1" applyAlignment="1">
      <alignment horizontal="center"/>
    </xf>
    <xf numFmtId="43" fontId="46" fillId="14" borderId="1" xfId="6" applyFont="1" applyFill="1" applyBorder="1" applyAlignment="1">
      <alignment horizontal="left" vertical="center" wrapText="1"/>
    </xf>
    <xf numFmtId="1" fontId="47" fillId="0" borderId="1" xfId="0" applyNumberFormat="1" applyFont="1" applyBorder="1" applyAlignment="1">
      <alignment horizontal="left" wrapText="1"/>
    </xf>
    <xf numFmtId="0" fontId="0" fillId="0" borderId="0" xfId="0" applyAlignment="1">
      <alignment horizontal="left" wrapText="1"/>
    </xf>
    <xf numFmtId="1" fontId="47" fillId="0" borderId="1" xfId="1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4" fontId="0" fillId="0" borderId="1" xfId="0" applyNumberFormat="1" applyBorder="1"/>
    <xf numFmtId="0" fontId="47" fillId="0" borderId="1" xfId="0" applyFont="1" applyFill="1" applyBorder="1" applyAlignment="1">
      <alignment horizontal="center"/>
    </xf>
    <xf numFmtId="1" fontId="47" fillId="0" borderId="1" xfId="1" applyNumberFormat="1" applyFont="1" applyFill="1" applyBorder="1" applyAlignment="1">
      <alignment horizontal="left" vertical="center" wrapText="1"/>
    </xf>
    <xf numFmtId="1" fontId="47" fillId="0" borderId="1" xfId="0" applyNumberFormat="1" applyFont="1" applyFill="1" applyBorder="1" applyAlignment="1">
      <alignment horizontal="left" wrapText="1"/>
    </xf>
    <xf numFmtId="0" fontId="4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3" fillId="0" borderId="16" xfId="0" applyFont="1" applyBorder="1" applyAlignment="1">
      <alignment horizontal="center"/>
    </xf>
    <xf numFmtId="0" fontId="43" fillId="0" borderId="0" xfId="0" applyFont="1" applyAlignment="1">
      <alignment horizontal="center" wrapText="1"/>
    </xf>
    <xf numFmtId="0" fontId="59" fillId="24" borderId="1" xfId="5" applyFont="1" applyFill="1" applyBorder="1" applyAlignment="1">
      <alignment horizontal="center" vertical="center"/>
    </xf>
    <xf numFmtId="0" fontId="47" fillId="0" borderId="1" xfId="0" applyNumberFormat="1" applyFont="1" applyBorder="1" applyAlignment="1">
      <alignment horizontal="center"/>
    </xf>
    <xf numFmtId="14" fontId="47" fillId="0" borderId="1" xfId="0" applyNumberFormat="1" applyFont="1" applyFill="1" applyBorder="1" applyAlignment="1">
      <alignment horizontal="center"/>
    </xf>
    <xf numFmtId="43" fontId="43" fillId="0" borderId="1" xfId="0" applyNumberFormat="1" applyFont="1" applyBorder="1"/>
    <xf numFmtId="43" fontId="59" fillId="0" borderId="1" xfId="10" applyFont="1" applyFill="1" applyBorder="1" applyAlignment="1"/>
    <xf numFmtId="43" fontId="59" fillId="0" borderId="0" xfId="5" applyNumberFormat="1" applyFont="1" applyAlignment="1">
      <alignment horizontal="center" vertical="center"/>
    </xf>
    <xf numFmtId="10" fontId="38" fillId="3" borderId="1" xfId="9" applyNumberFormat="1" applyFont="1" applyFill="1" applyBorder="1" applyAlignment="1">
      <alignment horizontal="right" vertical="center"/>
    </xf>
    <xf numFmtId="10" fontId="33" fillId="24" borderId="1" xfId="9" applyNumberFormat="1" applyFont="1" applyFill="1" applyBorder="1" applyAlignment="1">
      <alignment horizontal="center" vertical="center"/>
    </xf>
    <xf numFmtId="43" fontId="39" fillId="16" borderId="1" xfId="6" applyFont="1" applyFill="1" applyBorder="1" applyAlignment="1">
      <alignment horizontal="center" vertical="center" wrapText="1"/>
    </xf>
    <xf numFmtId="43" fontId="43" fillId="18" borderId="1" xfId="6" applyFont="1" applyFill="1" applyBorder="1"/>
    <xf numFmtId="43" fontId="1" fillId="0" borderId="1" xfId="6" applyFont="1" applyBorder="1"/>
    <xf numFmtId="0" fontId="43" fillId="0" borderId="1" xfId="0" applyFont="1" applyBorder="1" applyAlignment="1">
      <alignment horizontal="center" wrapText="1"/>
    </xf>
    <xf numFmtId="166" fontId="0" fillId="0" borderId="1" xfId="0" applyNumberFormat="1" applyBorder="1"/>
    <xf numFmtId="166" fontId="0" fillId="0" borderId="1" xfId="0" applyNumberFormat="1" applyBorder="1" applyAlignment="1">
      <alignment horizontal="right"/>
    </xf>
    <xf numFmtId="43" fontId="51" fillId="0" borderId="1" xfId="6" applyFont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39" fillId="18" borderId="27" xfId="0" applyFont="1" applyFill="1" applyBorder="1" applyAlignment="1">
      <alignment horizontal="center"/>
    </xf>
    <xf numFmtId="0" fontId="39" fillId="11" borderId="42" xfId="0" applyFont="1" applyFill="1" applyBorder="1" applyAlignment="1">
      <alignment horizontal="center"/>
    </xf>
    <xf numFmtId="0" fontId="39" fillId="11" borderId="38" xfId="0" applyFont="1" applyFill="1" applyBorder="1" applyAlignment="1">
      <alignment horizontal="center"/>
    </xf>
    <xf numFmtId="0" fontId="39" fillId="11" borderId="43" xfId="0" applyFont="1" applyFill="1" applyBorder="1" applyAlignment="1">
      <alignment horizontal="center"/>
    </xf>
    <xf numFmtId="0" fontId="39" fillId="18" borderId="1" xfId="0" applyFont="1" applyFill="1" applyBorder="1" applyAlignment="1">
      <alignment horizontal="center"/>
    </xf>
    <xf numFmtId="0" fontId="39" fillId="11" borderId="1" xfId="0" applyFont="1" applyFill="1" applyBorder="1"/>
    <xf numFmtId="14" fontId="0" fillId="0" borderId="1" xfId="0" applyNumberFormat="1" applyBorder="1" applyAlignment="1">
      <alignment horizontal="right"/>
    </xf>
    <xf numFmtId="43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43" fillId="0" borderId="34" xfId="0" applyFont="1" applyBorder="1"/>
    <xf numFmtId="0" fontId="43" fillId="0" borderId="46" xfId="0" applyFont="1" applyBorder="1"/>
    <xf numFmtId="44" fontId="43" fillId="0" borderId="46" xfId="8" applyFont="1" applyBorder="1"/>
    <xf numFmtId="44" fontId="43" fillId="0" borderId="35" xfId="8" applyFont="1" applyBorder="1"/>
    <xf numFmtId="43" fontId="1" fillId="0" borderId="1" xfId="6" applyFont="1" applyBorder="1" applyAlignment="1">
      <alignment horizontal="center"/>
    </xf>
    <xf numFmtId="43" fontId="43" fillId="0" borderId="1" xfId="0" applyNumberFormat="1" applyFont="1" applyBorder="1" applyAlignment="1">
      <alignment horizontal="center"/>
    </xf>
    <xf numFmtId="14" fontId="47" fillId="14" borderId="1" xfId="0" applyNumberFormat="1" applyFont="1" applyFill="1" applyBorder="1" applyAlignment="1">
      <alignment horizontal="center" vertical="center" wrapText="1"/>
    </xf>
    <xf numFmtId="0" fontId="0" fillId="0" borderId="0" xfId="0" applyFont="1"/>
    <xf numFmtId="0" fontId="69" fillId="20" borderId="37" xfId="0" applyFont="1" applyFill="1" applyBorder="1" applyAlignment="1">
      <alignment horizontal="center" vertical="center"/>
    </xf>
    <xf numFmtId="0" fontId="69" fillId="20" borderId="38" xfId="0" applyFont="1" applyFill="1" applyBorder="1" applyAlignment="1">
      <alignment horizontal="center" vertical="center"/>
    </xf>
    <xf numFmtId="0" fontId="69" fillId="20" borderId="38" xfId="0" applyFont="1" applyFill="1" applyBorder="1" applyAlignment="1">
      <alignment horizontal="center" vertical="center" wrapText="1"/>
    </xf>
    <xf numFmtId="0" fontId="48" fillId="3" borderId="2" xfId="0" applyFont="1" applyFill="1" applyBorder="1" applyAlignment="1">
      <alignment vertical="center" wrapText="1"/>
    </xf>
    <xf numFmtId="14" fontId="48" fillId="3" borderId="1" xfId="0" applyNumberFormat="1" applyFont="1" applyFill="1" applyBorder="1"/>
    <xf numFmtId="1" fontId="48" fillId="3" borderId="1" xfId="0" applyNumberFormat="1" applyFont="1" applyFill="1" applyBorder="1"/>
    <xf numFmtId="44" fontId="48" fillId="3" borderId="1" xfId="8" applyFont="1" applyFill="1" applyBorder="1"/>
    <xf numFmtId="0" fontId="48" fillId="21" borderId="1" xfId="0" applyFont="1" applyFill="1" applyBorder="1"/>
    <xf numFmtId="44" fontId="69" fillId="21" borderId="1" xfId="8" applyFont="1" applyFill="1" applyBorder="1"/>
    <xf numFmtId="166" fontId="48" fillId="0" borderId="1" xfId="0" applyNumberFormat="1" applyFont="1" applyBorder="1" applyAlignment="1">
      <alignment horizontal="right"/>
    </xf>
    <xf numFmtId="1" fontId="48" fillId="0" borderId="7" xfId="0" applyNumberFormat="1" applyFont="1" applyBorder="1"/>
    <xf numFmtId="43" fontId="48" fillId="0" borderId="1" xfId="6" applyFont="1" applyBorder="1"/>
    <xf numFmtId="1" fontId="48" fillId="0" borderId="1" xfId="0" applyNumberFormat="1" applyFont="1" applyBorder="1"/>
    <xf numFmtId="0" fontId="48" fillId="0" borderId="2" xfId="0" applyFont="1" applyFill="1" applyBorder="1" applyAlignment="1">
      <alignment wrapText="1"/>
    </xf>
    <xf numFmtId="44" fontId="48" fillId="0" borderId="1" xfId="8" applyFont="1" applyFill="1" applyBorder="1" applyAlignment="1">
      <alignment wrapText="1"/>
    </xf>
    <xf numFmtId="1" fontId="48" fillId="0" borderId="1" xfId="0" applyNumberFormat="1" applyFont="1" applyFill="1" applyBorder="1"/>
    <xf numFmtId="44" fontId="48" fillId="0" borderId="1" xfId="8" applyFont="1" applyFill="1" applyBorder="1"/>
    <xf numFmtId="0" fontId="48" fillId="0" borderId="1" xfId="0" applyFont="1" applyFill="1" applyBorder="1"/>
    <xf numFmtId="0" fontId="48" fillId="0" borderId="1" xfId="0" applyFont="1" applyFill="1" applyBorder="1" applyAlignment="1">
      <alignment wrapText="1"/>
    </xf>
    <xf numFmtId="0" fontId="69" fillId="0" borderId="13" xfId="0" applyFont="1" applyBorder="1" applyAlignment="1">
      <alignment horizontal="center" vertical="center" wrapText="1"/>
    </xf>
    <xf numFmtId="14" fontId="70" fillId="0" borderId="1" xfId="5" applyNumberFormat="1" applyFont="1" applyFill="1" applyBorder="1" applyAlignment="1">
      <alignment wrapText="1"/>
    </xf>
    <xf numFmtId="44" fontId="70" fillId="0" borderId="1" xfId="8" applyFont="1" applyFill="1" applyBorder="1"/>
    <xf numFmtId="0" fontId="48" fillId="0" borderId="2" xfId="0" applyFont="1" applyBorder="1"/>
    <xf numFmtId="44" fontId="70" fillId="3" borderId="1" xfId="8" applyFont="1" applyFill="1" applyBorder="1"/>
    <xf numFmtId="0" fontId="48" fillId="22" borderId="1" xfId="0" applyFont="1" applyFill="1" applyBorder="1"/>
    <xf numFmtId="44" fontId="69" fillId="22" borderId="1" xfId="8" applyFont="1" applyFill="1" applyBorder="1"/>
    <xf numFmtId="0" fontId="48" fillId="0" borderId="1" xfId="0" applyFont="1" applyBorder="1" applyAlignment="1">
      <alignment vertical="center" wrapText="1"/>
    </xf>
    <xf numFmtId="0" fontId="39" fillId="0" borderId="15" xfId="0" applyFont="1" applyBorder="1" applyAlignment="1">
      <alignment horizontal="center" wrapText="1"/>
    </xf>
    <xf numFmtId="0" fontId="47" fillId="0" borderId="1" xfId="0" applyNumberFormat="1" applyFont="1" applyFill="1" applyBorder="1" applyAlignment="1">
      <alignment horizontal="center"/>
    </xf>
    <xf numFmtId="0" fontId="44" fillId="0" borderId="1" xfId="0" applyFont="1" applyFill="1" applyBorder="1" applyAlignment="1">
      <alignment vertical="center" wrapText="1"/>
    </xf>
    <xf numFmtId="166" fontId="48" fillId="0" borderId="1" xfId="0" applyNumberFormat="1" applyFont="1" applyFill="1" applyBorder="1" applyAlignment="1">
      <alignment horizontal="right"/>
    </xf>
    <xf numFmtId="43" fontId="48" fillId="0" borderId="1" xfId="6" applyFont="1" applyFill="1" applyBorder="1"/>
    <xf numFmtId="43" fontId="43" fillId="15" borderId="1" xfId="6" applyFont="1" applyFill="1" applyBorder="1" applyAlignment="1"/>
    <xf numFmtId="43" fontId="43" fillId="15" borderId="1" xfId="0" applyNumberFormat="1" applyFont="1" applyFill="1" applyBorder="1" applyAlignment="1"/>
    <xf numFmtId="0" fontId="72" fillId="14" borderId="50" xfId="0" applyFont="1" applyFill="1" applyBorder="1" applyAlignment="1">
      <alignment horizontal="center"/>
    </xf>
    <xf numFmtId="0" fontId="72" fillId="0" borderId="53" xfId="0" applyFont="1" applyBorder="1" applyAlignment="1">
      <alignment horizontal="center"/>
    </xf>
    <xf numFmtId="0" fontId="72" fillId="14" borderId="55" xfId="0" applyFont="1" applyFill="1" applyBorder="1" applyAlignment="1">
      <alignment horizontal="center"/>
    </xf>
    <xf numFmtId="0" fontId="38" fillId="3" borderId="1" xfId="0" applyFont="1" applyFill="1" applyBorder="1" applyAlignment="1">
      <alignment wrapText="1"/>
    </xf>
    <xf numFmtId="0" fontId="38" fillId="3" borderId="1" xfId="0" applyFont="1" applyFill="1" applyBorder="1"/>
    <xf numFmtId="0" fontId="38" fillId="3" borderId="2" xfId="0" applyFont="1" applyFill="1" applyBorder="1" applyAlignment="1">
      <alignment wrapText="1"/>
    </xf>
    <xf numFmtId="0" fontId="74" fillId="0" borderId="1" xfId="0" applyFont="1" applyBorder="1" applyAlignment="1">
      <alignment horizontal="center"/>
    </xf>
    <xf numFmtId="0" fontId="38" fillId="3" borderId="1" xfId="0" applyFont="1" applyFill="1" applyBorder="1" applyAlignment="1">
      <alignment horizontal="left"/>
    </xf>
    <xf numFmtId="4" fontId="74" fillId="0" borderId="1" xfId="0" applyNumberFormat="1" applyFont="1" applyBorder="1"/>
    <xf numFmtId="0" fontId="72" fillId="0" borderId="57" xfId="0" applyFont="1" applyBorder="1" applyAlignment="1">
      <alignment horizontal="right"/>
    </xf>
    <xf numFmtId="14" fontId="47" fillId="0" borderId="1" xfId="0" applyNumberFormat="1" applyFont="1" applyFill="1" applyBorder="1" applyAlignment="1">
      <alignment horizontal="center" vertical="center" wrapText="1"/>
    </xf>
    <xf numFmtId="0" fontId="46" fillId="0" borderId="1" xfId="0" applyFont="1" applyFill="1" applyBorder="1" applyAlignment="1">
      <alignment horizontal="center" vertical="center" wrapText="1"/>
    </xf>
    <xf numFmtId="0" fontId="47" fillId="0" borderId="1" xfId="0" applyFont="1" applyFill="1" applyBorder="1" applyAlignment="1">
      <alignment horizontal="center" vertical="center" wrapText="1"/>
    </xf>
    <xf numFmtId="0" fontId="47" fillId="0" borderId="1" xfId="0" applyFont="1" applyFill="1" applyBorder="1" applyAlignment="1">
      <alignment horizontal="left" vertical="center" wrapText="1"/>
    </xf>
    <xf numFmtId="43" fontId="47" fillId="0" borderId="1" xfId="6" applyFont="1" applyFill="1" applyBorder="1" applyAlignment="1">
      <alignment horizontal="left" vertical="center" wrapText="1"/>
    </xf>
    <xf numFmtId="43" fontId="47" fillId="0" borderId="1" xfId="6" applyFont="1" applyFill="1" applyBorder="1" applyAlignment="1">
      <alignment horizontal="center" vertical="center" wrapText="1"/>
    </xf>
    <xf numFmtId="0" fontId="47" fillId="0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39" fillId="0" borderId="16" xfId="0" applyFont="1" applyBorder="1" applyAlignment="1">
      <alignment horizontal="center"/>
    </xf>
    <xf numFmtId="0" fontId="39" fillId="18" borderId="1" xfId="0" applyFont="1" applyFill="1" applyBorder="1" applyAlignment="1">
      <alignment horizontal="center" vertical="center" wrapText="1"/>
    </xf>
    <xf numFmtId="0" fontId="69" fillId="0" borderId="7" xfId="0" applyFont="1" applyBorder="1" applyAlignment="1">
      <alignment horizontal="center" vertical="center" wrapText="1"/>
    </xf>
    <xf numFmtId="0" fontId="72" fillId="0" borderId="57" xfId="0" applyFont="1" applyBorder="1" applyAlignment="1">
      <alignment horizontal="right"/>
    </xf>
    <xf numFmtId="0" fontId="72" fillId="14" borderId="49" xfId="0" applyFont="1" applyFill="1" applyBorder="1" applyAlignment="1">
      <alignment horizontal="center"/>
    </xf>
    <xf numFmtId="0" fontId="72" fillId="14" borderId="55" xfId="0" applyFont="1" applyFill="1" applyBorder="1" applyAlignment="1">
      <alignment horizontal="center"/>
    </xf>
    <xf numFmtId="4" fontId="47" fillId="0" borderId="1" xfId="6" applyNumberFormat="1" applyFont="1" applyFill="1" applyBorder="1"/>
    <xf numFmtId="0" fontId="0" fillId="0" borderId="1" xfId="6" applyNumberFormat="1" applyFont="1" applyBorder="1"/>
    <xf numFmtId="43" fontId="43" fillId="0" borderId="1" xfId="6" applyFont="1" applyFill="1" applyBorder="1"/>
    <xf numFmtId="43" fontId="43" fillId="0" borderId="1" xfId="6" applyFont="1" applyFill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48" fillId="0" borderId="1" xfId="0" applyFont="1" applyFill="1" applyBorder="1" applyAlignment="1">
      <alignment vertical="center" wrapText="1"/>
    </xf>
    <xf numFmtId="0" fontId="39" fillId="0" borderId="1" xfId="0" applyFont="1" applyBorder="1" applyAlignment="1">
      <alignment horizontal="left"/>
    </xf>
    <xf numFmtId="0" fontId="39" fillId="0" borderId="1" xfId="0" applyFont="1" applyBorder="1" applyAlignment="1">
      <alignment horizontal="center" wrapText="1"/>
    </xf>
    <xf numFmtId="43" fontId="74" fillId="0" borderId="1" xfId="6" applyFont="1" applyBorder="1"/>
    <xf numFmtId="0" fontId="74" fillId="0" borderId="50" xfId="0" applyFont="1" applyBorder="1" applyAlignment="1">
      <alignment horizontal="center"/>
    </xf>
    <xf numFmtId="0" fontId="73" fillId="14" borderId="49" xfId="0" applyFont="1" applyFill="1" applyBorder="1" applyAlignment="1">
      <alignment horizontal="center"/>
    </xf>
    <xf numFmtId="0" fontId="72" fillId="14" borderId="55" xfId="0" applyFont="1" applyFill="1" applyBorder="1" applyAlignment="1">
      <alignment horizontal="center" wrapText="1"/>
    </xf>
    <xf numFmtId="4" fontId="74" fillId="0" borderId="1" xfId="0" applyNumberFormat="1" applyFont="1" applyBorder="1" applyAlignment="1">
      <alignment horizontal="center"/>
    </xf>
    <xf numFmtId="4" fontId="72" fillId="0" borderId="1" xfId="0" applyNumberFormat="1" applyFont="1" applyBorder="1" applyAlignment="1">
      <alignment horizontal="center"/>
    </xf>
    <xf numFmtId="4" fontId="74" fillId="0" borderId="2" xfId="0" applyNumberFormat="1" applyFont="1" applyBorder="1" applyAlignment="1">
      <alignment horizontal="right"/>
    </xf>
    <xf numFmtId="43" fontId="74" fillId="0" borderId="2" xfId="6" applyFont="1" applyBorder="1" applyAlignment="1">
      <alignment horizontal="right"/>
    </xf>
    <xf numFmtId="4" fontId="74" fillId="0" borderId="2" xfId="0" applyNumberFormat="1" applyFont="1" applyBorder="1" applyAlignment="1">
      <alignment horizontal="center"/>
    </xf>
    <xf numFmtId="4" fontId="75" fillId="23" borderId="54" xfId="0" applyNumberFormat="1" applyFont="1" applyFill="1" applyBorder="1" applyAlignment="1">
      <alignment horizontal="center"/>
    </xf>
    <xf numFmtId="0" fontId="74" fillId="0" borderId="1" xfId="0" applyFont="1" applyBorder="1"/>
    <xf numFmtId="43" fontId="72" fillId="0" borderId="1" xfId="6" applyFont="1" applyBorder="1"/>
    <xf numFmtId="0" fontId="0" fillId="3" borderId="0" xfId="0" applyFill="1" applyAlignment="1">
      <alignment wrapText="1"/>
    </xf>
    <xf numFmtId="0" fontId="72" fillId="14" borderId="58" xfId="0" applyFont="1" applyFill="1" applyBorder="1" applyAlignment="1">
      <alignment horizontal="center" wrapText="1"/>
    </xf>
    <xf numFmtId="0" fontId="72" fillId="14" borderId="49" xfId="0" applyFont="1" applyFill="1" applyBorder="1" applyAlignment="1">
      <alignment horizontal="center" wrapText="1"/>
    </xf>
    <xf numFmtId="4" fontId="74" fillId="0" borderId="2" xfId="0" applyNumberFormat="1" applyFont="1" applyBorder="1" applyAlignment="1">
      <alignment horizontal="right" wrapText="1"/>
    </xf>
    <xf numFmtId="4" fontId="74" fillId="0" borderId="1" xfId="0" applyNumberFormat="1" applyFont="1" applyBorder="1" applyAlignment="1">
      <alignment wrapText="1"/>
    </xf>
    <xf numFmtId="43" fontId="72" fillId="0" borderId="1" xfId="6" applyFont="1" applyBorder="1" applyAlignment="1">
      <alignment wrapText="1"/>
    </xf>
    <xf numFmtId="0" fontId="43" fillId="0" borderId="5" xfId="0" applyFont="1" applyBorder="1" applyAlignment="1">
      <alignment horizontal="left"/>
    </xf>
    <xf numFmtId="0" fontId="43" fillId="0" borderId="3" xfId="0" applyFont="1" applyBorder="1" applyAlignment="1">
      <alignment horizontal="left"/>
    </xf>
    <xf numFmtId="0" fontId="43" fillId="0" borderId="5" xfId="0" applyFont="1" applyBorder="1" applyAlignment="1">
      <alignment horizontal="center"/>
    </xf>
    <xf numFmtId="0" fontId="43" fillId="0" borderId="4" xfId="0" applyFont="1" applyBorder="1" applyAlignment="1">
      <alignment horizontal="center"/>
    </xf>
    <xf numFmtId="0" fontId="43" fillId="0" borderId="3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43" fillId="0" borderId="0" xfId="0" applyFont="1" applyAlignment="1">
      <alignment horizontal="center"/>
    </xf>
    <xf numFmtId="0" fontId="43" fillId="1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3" fillId="3" borderId="16" xfId="0" applyFont="1" applyFill="1" applyBorder="1" applyAlignment="1">
      <alignment horizontal="center"/>
    </xf>
    <xf numFmtId="0" fontId="43" fillId="15" borderId="1" xfId="0" applyFont="1" applyFill="1" applyBorder="1" applyAlignment="1">
      <alignment horizontal="center"/>
    </xf>
    <xf numFmtId="17" fontId="39" fillId="26" borderId="4" xfId="0" applyNumberFormat="1" applyFont="1" applyFill="1" applyBorder="1" applyAlignment="1">
      <alignment horizontal="center"/>
    </xf>
    <xf numFmtId="0" fontId="39" fillId="26" borderId="4" xfId="0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0" fontId="39" fillId="0" borderId="16" xfId="0" applyFont="1" applyBorder="1" applyAlignment="1">
      <alignment horizontal="center"/>
    </xf>
    <xf numFmtId="0" fontId="2" fillId="0" borderId="0" xfId="1" applyAlignment="1">
      <alignment horizontal="center"/>
    </xf>
    <xf numFmtId="0" fontId="24" fillId="3" borderId="13" xfId="1" applyFont="1" applyFill="1" applyBorder="1" applyAlignment="1">
      <alignment horizontal="center"/>
    </xf>
    <xf numFmtId="0" fontId="24" fillId="3" borderId="0" xfId="1" applyFont="1" applyFill="1" applyAlignment="1">
      <alignment horizontal="center"/>
    </xf>
    <xf numFmtId="0" fontId="22" fillId="3" borderId="13" xfId="1" applyFont="1" applyFill="1" applyBorder="1" applyAlignment="1">
      <alignment horizontal="center"/>
    </xf>
    <xf numFmtId="0" fontId="22" fillId="3" borderId="0" xfId="1" applyFont="1" applyFill="1" applyAlignment="1">
      <alignment horizontal="center"/>
    </xf>
    <xf numFmtId="0" fontId="22" fillId="3" borderId="15" xfId="1" applyFont="1" applyFill="1" applyBorder="1" applyAlignment="1">
      <alignment horizontal="center"/>
    </xf>
    <xf numFmtId="0" fontId="21" fillId="3" borderId="13" xfId="1" applyFont="1" applyFill="1" applyBorder="1" applyAlignment="1">
      <alignment horizontal="center"/>
    </xf>
    <xf numFmtId="0" fontId="21" fillId="3" borderId="0" xfId="1" applyFont="1" applyFill="1" applyAlignment="1">
      <alignment horizontal="center"/>
    </xf>
    <xf numFmtId="0" fontId="21" fillId="3" borderId="15" xfId="1" applyFont="1" applyFill="1" applyBorder="1" applyAlignment="1">
      <alignment horizontal="center"/>
    </xf>
    <xf numFmtId="0" fontId="20" fillId="3" borderId="13" xfId="1" applyFont="1" applyFill="1" applyBorder="1" applyAlignment="1">
      <alignment horizontal="center"/>
    </xf>
    <xf numFmtId="0" fontId="20" fillId="3" borderId="0" xfId="1" applyFont="1" applyFill="1" applyAlignment="1">
      <alignment horizontal="center"/>
    </xf>
    <xf numFmtId="0" fontId="20" fillId="3" borderId="15" xfId="1" applyFont="1" applyFill="1" applyBorder="1" applyAlignment="1">
      <alignment horizontal="center"/>
    </xf>
    <xf numFmtId="0" fontId="17" fillId="2" borderId="13" xfId="1" applyFont="1" applyFill="1" applyBorder="1" applyAlignment="1">
      <alignment horizontal="center"/>
    </xf>
    <xf numFmtId="0" fontId="17" fillId="2" borderId="0" xfId="1" applyFont="1" applyFill="1" applyAlignment="1">
      <alignment horizontal="center"/>
    </xf>
    <xf numFmtId="0" fontId="17" fillId="2" borderId="15" xfId="1" applyFont="1" applyFill="1" applyBorder="1" applyAlignment="1">
      <alignment horizontal="center"/>
    </xf>
    <xf numFmtId="49" fontId="17" fillId="2" borderId="13" xfId="1" applyNumberFormat="1" applyFont="1" applyFill="1" applyBorder="1" applyAlignment="1">
      <alignment horizontal="center"/>
    </xf>
    <xf numFmtId="49" fontId="17" fillId="2" borderId="0" xfId="1" applyNumberFormat="1" applyFont="1" applyFill="1" applyAlignment="1">
      <alignment horizontal="center"/>
    </xf>
    <xf numFmtId="49" fontId="17" fillId="2" borderId="15" xfId="1" applyNumberFormat="1" applyFont="1" applyFill="1" applyBorder="1" applyAlignment="1">
      <alignment horizontal="center"/>
    </xf>
    <xf numFmtId="0" fontId="11" fillId="8" borderId="1" xfId="5" applyFont="1" applyFill="1" applyBorder="1" applyAlignment="1">
      <alignment horizontal="center"/>
    </xf>
    <xf numFmtId="0" fontId="15" fillId="8" borderId="5" xfId="5" applyFont="1" applyFill="1" applyBorder="1" applyAlignment="1">
      <alignment horizontal="center"/>
    </xf>
    <xf numFmtId="0" fontId="15" fillId="8" borderId="4" xfId="5" applyFont="1" applyFill="1" applyBorder="1" applyAlignment="1">
      <alignment horizontal="center"/>
    </xf>
    <xf numFmtId="0" fontId="14" fillId="7" borderId="1" xfId="1" applyFont="1" applyFill="1" applyBorder="1" applyAlignment="1">
      <alignment horizontal="center" vertical="center"/>
    </xf>
    <xf numFmtId="9" fontId="10" fillId="7" borderId="2" xfId="2" applyFont="1" applyFill="1" applyBorder="1" applyAlignment="1">
      <alignment horizontal="center" vertical="center"/>
    </xf>
    <xf numFmtId="9" fontId="10" fillId="7" borderId="7" xfId="2" applyFont="1" applyFill="1" applyBorder="1" applyAlignment="1">
      <alignment horizontal="center" vertical="center"/>
    </xf>
    <xf numFmtId="9" fontId="10" fillId="7" borderId="6" xfId="2" applyFont="1" applyFill="1" applyBorder="1" applyAlignment="1">
      <alignment horizontal="center" vertical="center"/>
    </xf>
    <xf numFmtId="0" fontId="11" fillId="7" borderId="2" xfId="5" applyFont="1" applyFill="1" applyBorder="1" applyAlignment="1">
      <alignment horizontal="center" vertical="center" textRotation="90"/>
    </xf>
    <xf numFmtId="0" fontId="11" fillId="7" borderId="6" xfId="5" applyFont="1" applyFill="1" applyBorder="1" applyAlignment="1">
      <alignment horizontal="center" vertical="center" textRotation="90"/>
    </xf>
    <xf numFmtId="0" fontId="11" fillId="7" borderId="2" xfId="5" applyFont="1" applyFill="1" applyBorder="1" applyAlignment="1">
      <alignment horizontal="center" vertical="center" wrapText="1"/>
    </xf>
    <xf numFmtId="0" fontId="11" fillId="7" borderId="7" xfId="5" applyFont="1" applyFill="1" applyBorder="1" applyAlignment="1">
      <alignment horizontal="center" vertical="center" wrapText="1"/>
    </xf>
    <xf numFmtId="0" fontId="11" fillId="7" borderId="6" xfId="5" applyFont="1" applyFill="1" applyBorder="1" applyAlignment="1">
      <alignment horizontal="center" vertical="center" wrapText="1"/>
    </xf>
    <xf numFmtId="0" fontId="17" fillId="7" borderId="6" xfId="1" applyFont="1" applyFill="1" applyBorder="1" applyAlignment="1">
      <alignment horizontal="center" vertical="center" wrapText="1"/>
    </xf>
    <xf numFmtId="0" fontId="17" fillId="7" borderId="1" xfId="1" applyFont="1" applyFill="1" applyBorder="1" applyAlignment="1">
      <alignment horizontal="center" vertical="center" wrapText="1"/>
    </xf>
    <xf numFmtId="0" fontId="13" fillId="7" borderId="2" xfId="1" applyFont="1" applyFill="1" applyBorder="1" applyAlignment="1">
      <alignment horizontal="center" vertical="center"/>
    </xf>
    <xf numFmtId="0" fontId="13" fillId="7" borderId="7" xfId="1" applyFont="1" applyFill="1" applyBorder="1" applyAlignment="1">
      <alignment horizontal="center" vertical="center"/>
    </xf>
    <xf numFmtId="0" fontId="13" fillId="7" borderId="6" xfId="1" applyFont="1" applyFill="1" applyBorder="1" applyAlignment="1">
      <alignment horizontal="center" vertical="center"/>
    </xf>
    <xf numFmtId="0" fontId="12" fillId="7" borderId="5" xfId="1" applyFont="1" applyFill="1" applyBorder="1" applyAlignment="1">
      <alignment horizontal="center" vertical="center" wrapText="1"/>
    </xf>
    <xf numFmtId="0" fontId="12" fillId="7" borderId="4" xfId="1" applyFont="1" applyFill="1" applyBorder="1" applyAlignment="1">
      <alignment horizontal="center" vertical="center" wrapText="1"/>
    </xf>
    <xf numFmtId="0" fontId="41" fillId="0" borderId="16" xfId="0" applyFont="1" applyBorder="1" applyAlignment="1">
      <alignment horizontal="center"/>
    </xf>
    <xf numFmtId="0" fontId="35" fillId="0" borderId="0" xfId="1" applyFont="1" applyAlignment="1">
      <alignment horizontal="center"/>
    </xf>
    <xf numFmtId="0" fontId="34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0" fontId="31" fillId="12" borderId="27" xfId="1" applyFont="1" applyFill="1" applyBorder="1" applyAlignment="1">
      <alignment horizontal="center" vertical="center"/>
    </xf>
    <xf numFmtId="0" fontId="31" fillId="12" borderId="25" xfId="1" applyFont="1" applyFill="1" applyBorder="1" applyAlignment="1">
      <alignment horizontal="center" vertical="center"/>
    </xf>
    <xf numFmtId="0" fontId="31" fillId="12" borderId="28" xfId="1" applyFont="1" applyFill="1" applyBorder="1" applyAlignment="1">
      <alignment horizontal="center" wrapText="1"/>
    </xf>
    <xf numFmtId="0" fontId="31" fillId="12" borderId="26" xfId="1" applyFont="1" applyFill="1" applyBorder="1" applyAlignment="1">
      <alignment horizontal="center" wrapText="1"/>
    </xf>
    <xf numFmtId="0" fontId="31" fillId="12" borderId="27" xfId="1" applyFont="1" applyFill="1" applyBorder="1" applyAlignment="1">
      <alignment horizontal="center" wrapText="1"/>
    </xf>
    <xf numFmtId="0" fontId="31" fillId="12" borderId="25" xfId="1" applyFont="1" applyFill="1" applyBorder="1" applyAlignment="1">
      <alignment horizontal="center" wrapText="1"/>
    </xf>
    <xf numFmtId="0" fontId="40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18" borderId="5" xfId="0" applyFont="1" applyFill="1" applyBorder="1" applyAlignment="1">
      <alignment horizontal="center" vertical="center" wrapText="1"/>
    </xf>
    <xf numFmtId="0" fontId="39" fillId="18" borderId="4" xfId="0" applyFont="1" applyFill="1" applyBorder="1" applyAlignment="1">
      <alignment horizontal="center" vertical="center" wrapText="1"/>
    </xf>
    <xf numFmtId="0" fontId="39" fillId="19" borderId="2" xfId="0" applyFont="1" applyFill="1" applyBorder="1" applyAlignment="1">
      <alignment horizontal="center" vertical="center" wrapText="1"/>
    </xf>
    <xf numFmtId="0" fontId="39" fillId="19" borderId="7" xfId="0" applyFont="1" applyFill="1" applyBorder="1" applyAlignment="1">
      <alignment horizontal="center" vertical="center" wrapText="1"/>
    </xf>
    <xf numFmtId="0" fontId="39" fillId="19" borderId="6" xfId="0" applyFont="1" applyFill="1" applyBorder="1" applyAlignment="1">
      <alignment horizontal="center" vertical="center" wrapText="1"/>
    </xf>
    <xf numFmtId="0" fontId="39" fillId="18" borderId="1" xfId="0" applyFont="1" applyFill="1" applyBorder="1" applyAlignment="1">
      <alignment horizontal="center" vertical="center" wrapText="1"/>
    </xf>
    <xf numFmtId="0" fontId="43" fillId="18" borderId="5" xfId="0" applyFont="1" applyFill="1" applyBorder="1" applyAlignment="1">
      <alignment horizontal="center"/>
    </xf>
    <xf numFmtId="0" fontId="43" fillId="18" borderId="4" xfId="0" applyFont="1" applyFill="1" applyBorder="1" applyAlignment="1">
      <alignment horizontal="center"/>
    </xf>
    <xf numFmtId="0" fontId="43" fillId="18" borderId="3" xfId="0" applyFont="1" applyFill="1" applyBorder="1" applyAlignment="1">
      <alignment horizontal="center"/>
    </xf>
    <xf numFmtId="0" fontId="40" fillId="0" borderId="32" xfId="0" applyFont="1" applyBorder="1" applyAlignment="1">
      <alignment horizontal="center"/>
    </xf>
    <xf numFmtId="0" fontId="39" fillId="18" borderId="40" xfId="0" applyFont="1" applyFill="1" applyBorder="1" applyAlignment="1">
      <alignment horizontal="center"/>
    </xf>
    <xf numFmtId="0" fontId="39" fillId="18" borderId="41" xfId="0" applyFont="1" applyFill="1" applyBorder="1" applyAlignment="1">
      <alignment horizontal="center"/>
    </xf>
    <xf numFmtId="0" fontId="43" fillId="0" borderId="16" xfId="0" applyFont="1" applyBorder="1" applyAlignment="1">
      <alignment horizontal="center"/>
    </xf>
    <xf numFmtId="0" fontId="43" fillId="0" borderId="0" xfId="0" applyFont="1" applyAlignment="1">
      <alignment horizontal="center" wrapText="1"/>
    </xf>
    <xf numFmtId="0" fontId="39" fillId="18" borderId="29" xfId="0" applyFont="1" applyFill="1" applyBorder="1" applyAlignment="1">
      <alignment horizontal="center"/>
    </xf>
    <xf numFmtId="0" fontId="39" fillId="18" borderId="45" xfId="0" applyFont="1" applyFill="1" applyBorder="1" applyAlignment="1">
      <alignment horizontal="center"/>
    </xf>
    <xf numFmtId="0" fontId="39" fillId="18" borderId="5" xfId="0" applyFont="1" applyFill="1" applyBorder="1" applyAlignment="1">
      <alignment horizontal="center"/>
    </xf>
    <xf numFmtId="0" fontId="39" fillId="18" borderId="3" xfId="0" applyFont="1" applyFill="1" applyBorder="1" applyAlignment="1">
      <alignment horizontal="center"/>
    </xf>
    <xf numFmtId="0" fontId="39" fillId="11" borderId="5" xfId="0" applyFont="1" applyFill="1" applyBorder="1" applyAlignment="1">
      <alignment horizontal="center"/>
    </xf>
    <xf numFmtId="0" fontId="39" fillId="11" borderId="4" xfId="0" applyFont="1" applyFill="1" applyBorder="1" applyAlignment="1">
      <alignment horizontal="center"/>
    </xf>
    <xf numFmtId="0" fontId="39" fillId="11" borderId="44" xfId="0" applyFont="1" applyFill="1" applyBorder="1" applyAlignment="1">
      <alignment horizontal="center"/>
    </xf>
    <xf numFmtId="0" fontId="43" fillId="0" borderId="17" xfId="0" applyFont="1" applyBorder="1" applyAlignment="1">
      <alignment horizontal="center" wrapText="1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vertical="top" wrapText="1"/>
    </xf>
    <xf numFmtId="0" fontId="41" fillId="0" borderId="0" xfId="0" applyFont="1" applyAlignment="1">
      <alignment horizontal="center"/>
    </xf>
    <xf numFmtId="0" fontId="43" fillId="20" borderId="1" xfId="0" applyFont="1" applyFill="1" applyBorder="1" applyAlignment="1">
      <alignment horizontal="center"/>
    </xf>
    <xf numFmtId="0" fontId="43" fillId="0" borderId="36" xfId="0" applyFont="1" applyBorder="1" applyAlignment="1">
      <alignment horizontal="left"/>
    </xf>
    <xf numFmtId="0" fontId="69" fillId="21" borderId="1" xfId="0" applyFont="1" applyFill="1" applyBorder="1" applyAlignment="1">
      <alignment horizontal="center" vertical="center" wrapText="1"/>
    </xf>
    <xf numFmtId="0" fontId="69" fillId="0" borderId="2" xfId="0" applyFont="1" applyBorder="1" applyAlignment="1">
      <alignment horizontal="center" vertical="center" wrapText="1"/>
    </xf>
    <xf numFmtId="0" fontId="69" fillId="0" borderId="7" xfId="0" applyFont="1" applyBorder="1" applyAlignment="1">
      <alignment horizontal="center" vertical="center" wrapText="1"/>
    </xf>
    <xf numFmtId="0" fontId="69" fillId="21" borderId="5" xfId="0" applyFont="1" applyFill="1" applyBorder="1" applyAlignment="1">
      <alignment horizontal="center" vertical="center" wrapText="1"/>
    </xf>
    <xf numFmtId="0" fontId="69" fillId="21" borderId="3" xfId="0" applyFont="1" applyFill="1" applyBorder="1" applyAlignment="1">
      <alignment horizontal="center" vertical="center" wrapText="1"/>
    </xf>
    <xf numFmtId="0" fontId="69" fillId="22" borderId="5" xfId="0" applyFont="1" applyFill="1" applyBorder="1" applyAlignment="1">
      <alignment horizontal="center" vertical="center" wrapText="1"/>
    </xf>
    <xf numFmtId="0" fontId="69" fillId="22" borderId="3" xfId="0" applyFont="1" applyFill="1" applyBorder="1" applyAlignment="1">
      <alignment horizontal="center" vertical="center" wrapText="1"/>
    </xf>
    <xf numFmtId="0" fontId="69" fillId="3" borderId="2" xfId="0" applyFont="1" applyFill="1" applyBorder="1" applyAlignment="1">
      <alignment horizontal="center" vertical="center"/>
    </xf>
    <xf numFmtId="0" fontId="69" fillId="3" borderId="7" xfId="0" applyFont="1" applyFill="1" applyBorder="1" applyAlignment="1">
      <alignment horizontal="center" vertical="center"/>
    </xf>
    <xf numFmtId="0" fontId="69" fillId="3" borderId="6" xfId="0" applyFont="1" applyFill="1" applyBorder="1" applyAlignment="1">
      <alignment horizontal="center" vertical="center"/>
    </xf>
    <xf numFmtId="0" fontId="72" fillId="0" borderId="56" xfId="0" applyFont="1" applyBorder="1" applyAlignment="1">
      <alignment horizontal="left"/>
    </xf>
    <xf numFmtId="0" fontId="72" fillId="0" borderId="47" xfId="0" applyFont="1" applyBorder="1" applyAlignment="1">
      <alignment horizontal="left"/>
    </xf>
    <xf numFmtId="0" fontId="72" fillId="0" borderId="57" xfId="0" applyFont="1" applyBorder="1" applyAlignment="1">
      <alignment horizontal="left"/>
    </xf>
    <xf numFmtId="0" fontId="71" fillId="0" borderId="0" xfId="0" applyFont="1" applyAlignment="1">
      <alignment horizontal="center"/>
    </xf>
    <xf numFmtId="0" fontId="72" fillId="3" borderId="47" xfId="0" applyFont="1" applyFill="1" applyBorder="1" applyAlignment="1">
      <alignment horizontal="center"/>
    </xf>
    <xf numFmtId="0" fontId="72" fillId="0" borderId="48" xfId="0" applyFont="1" applyFill="1" applyBorder="1" applyAlignment="1">
      <alignment horizontal="center"/>
    </xf>
    <xf numFmtId="0" fontId="72" fillId="0" borderId="49" xfId="0" applyFont="1" applyBorder="1" applyAlignment="1">
      <alignment horizontal="center"/>
    </xf>
    <xf numFmtId="0" fontId="72" fillId="0" borderId="54" xfId="0" applyFont="1" applyBorder="1" applyAlignment="1">
      <alignment horizontal="center"/>
    </xf>
    <xf numFmtId="0" fontId="72" fillId="14" borderId="49" xfId="0" applyFont="1" applyFill="1" applyBorder="1" applyAlignment="1">
      <alignment horizontal="center"/>
    </xf>
    <xf numFmtId="0" fontId="72" fillId="14" borderId="55" xfId="0" applyFont="1" applyFill="1" applyBorder="1" applyAlignment="1">
      <alignment horizontal="center"/>
    </xf>
    <xf numFmtId="0" fontId="72" fillId="0" borderId="51" xfId="0" applyFont="1" applyBorder="1" applyAlignment="1">
      <alignment horizontal="center"/>
    </xf>
    <xf numFmtId="0" fontId="72" fillId="0" borderId="48" xfId="0" applyFont="1" applyBorder="1" applyAlignment="1">
      <alignment horizontal="center"/>
    </xf>
    <xf numFmtId="0" fontId="72" fillId="0" borderId="52" xfId="0" applyFont="1" applyBorder="1" applyAlignment="1">
      <alignment horizontal="center"/>
    </xf>
    <xf numFmtId="0" fontId="59" fillId="21" borderId="1" xfId="5" applyFont="1" applyFill="1" applyBorder="1" applyAlignment="1">
      <alignment horizontal="center" vertical="center"/>
    </xf>
    <xf numFmtId="0" fontId="59" fillId="24" borderId="1" xfId="5" applyFont="1" applyFill="1" applyBorder="1" applyAlignment="1">
      <alignment horizontal="center" vertical="center"/>
    </xf>
    <xf numFmtId="0" fontId="52" fillId="0" borderId="0" xfId="5" applyFont="1" applyAlignment="1">
      <alignment horizontal="center"/>
    </xf>
    <xf numFmtId="0" fontId="54" fillId="0" borderId="0" xfId="5" applyFont="1" applyAlignment="1">
      <alignment horizontal="center"/>
    </xf>
    <xf numFmtId="0" fontId="55" fillId="0" borderId="0" xfId="5" applyFont="1" applyAlignment="1">
      <alignment horizontal="center"/>
    </xf>
    <xf numFmtId="17" fontId="0" fillId="0" borderId="0" xfId="0" applyNumberFormat="1" applyAlignment="1">
      <alignment horizontal="center"/>
    </xf>
    <xf numFmtId="0" fontId="59" fillId="23" borderId="28" xfId="5" applyFont="1" applyFill="1" applyBorder="1" applyAlignment="1">
      <alignment horizontal="center" vertical="center"/>
    </xf>
    <xf numFmtId="0" fontId="59" fillId="23" borderId="39" xfId="5" applyFont="1" applyFill="1" applyBorder="1" applyAlignment="1">
      <alignment horizontal="center" vertical="center"/>
    </xf>
    <xf numFmtId="0" fontId="59" fillId="24" borderId="40" xfId="5" applyFont="1" applyFill="1" applyBorder="1" applyAlignment="1">
      <alignment horizontal="center" vertical="center"/>
    </xf>
    <xf numFmtId="0" fontId="59" fillId="24" borderId="41" xfId="5" applyFont="1" applyFill="1" applyBorder="1" applyAlignment="1">
      <alignment horizontal="center" vertical="center"/>
    </xf>
    <xf numFmtId="0" fontId="59" fillId="24" borderId="39" xfId="5" applyFont="1" applyFill="1" applyBorder="1" applyAlignment="1">
      <alignment horizontal="center" vertical="center"/>
    </xf>
    <xf numFmtId="0" fontId="64" fillId="0" borderId="0" xfId="0" applyFont="1" applyAlignment="1">
      <alignment horizontal="center"/>
    </xf>
    <xf numFmtId="0" fontId="56" fillId="0" borderId="0" xfId="5" applyFont="1" applyAlignment="1">
      <alignment horizontal="center" wrapText="1"/>
    </xf>
    <xf numFmtId="0" fontId="56" fillId="0" borderId="0" xfId="5" applyFont="1" applyAlignment="1">
      <alignment horizontal="center"/>
    </xf>
  </cellXfs>
  <cellStyles count="17">
    <cellStyle name="Millares" xfId="6" builtinId="3"/>
    <cellStyle name="Millares 2" xfId="3" xr:uid="{00000000-0005-0000-0000-000001000000}"/>
    <cellStyle name="Millares 2 2" xfId="4" xr:uid="{00000000-0005-0000-0000-000002000000}"/>
    <cellStyle name="Millares 2 4" xfId="10" xr:uid="{00000000-0005-0000-0000-000003000000}"/>
    <cellStyle name="Millares 3" xfId="7" xr:uid="{00000000-0005-0000-0000-000004000000}"/>
    <cellStyle name="Moneda" xfId="8" builtinId="4"/>
    <cellStyle name="Normal" xfId="0" builtinId="0"/>
    <cellStyle name="Normal 10" xfId="13" xr:uid="{00000000-0005-0000-0000-000007000000}"/>
    <cellStyle name="Normal 11" xfId="14" xr:uid="{00000000-0005-0000-0000-000008000000}"/>
    <cellStyle name="Normal 12 3" xfId="16" xr:uid="{00000000-0005-0000-0000-000009000000}"/>
    <cellStyle name="Normal 17" xfId="11" xr:uid="{00000000-0005-0000-0000-00000A000000}"/>
    <cellStyle name="Normal 2" xfId="1" xr:uid="{00000000-0005-0000-0000-00000B000000}"/>
    <cellStyle name="Normal 2 2" xfId="5" xr:uid="{00000000-0005-0000-0000-00000C000000}"/>
    <cellStyle name="Normal 2 4" xfId="12" xr:uid="{00000000-0005-0000-0000-00000D000000}"/>
    <cellStyle name="Normal 9" xfId="15" xr:uid="{00000000-0005-0000-0000-00000E000000}"/>
    <cellStyle name="Porcentaje" xfId="9" builtinId="5"/>
    <cellStyle name="Porcentaje 2" xfId="2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704850</xdr:colOff>
      <xdr:row>0</xdr:row>
      <xdr:rowOff>57150</xdr:rowOff>
    </xdr:from>
    <xdr:to>
      <xdr:col>5</xdr:col>
      <xdr:colOff>17212</xdr:colOff>
      <xdr:row>3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40DEE7-31C4-4FFD-BD64-78D50EEAB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2550" y="57150"/>
          <a:ext cx="156661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398992</xdr:colOff>
      <xdr:row>0</xdr:row>
      <xdr:rowOff>185208</xdr:rowOff>
    </xdr:from>
    <xdr:ext cx="1304925" cy="456142"/>
    <xdr:pic>
      <xdr:nvPicPr>
        <xdr:cNvPr id="3" name="Imagen 2">
          <a:extLst>
            <a:ext uri="{FF2B5EF4-FFF2-40B4-BE49-F238E27FC236}">
              <a16:creationId xmlns:a16="http://schemas.microsoft.com/office/drawing/2014/main" id="{D4D4F5AB-B93F-4377-995B-F99898662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185208"/>
          <a:ext cx="1304925" cy="456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52917</xdr:rowOff>
    </xdr:from>
    <xdr:to>
      <xdr:col>0</xdr:col>
      <xdr:colOff>2296583</xdr:colOff>
      <xdr:row>5</xdr:row>
      <xdr:rowOff>46567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22184B-713C-4575-B9C7-A17EAD78FF3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750"/>
          <a:ext cx="2296583" cy="628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135"/>
  <sheetViews>
    <sheetView tabSelected="1" view="pageBreakPreview" topLeftCell="A39" zoomScale="90" zoomScaleNormal="90" zoomScaleSheetLayoutView="90" workbookViewId="0">
      <selection activeCell="F48" sqref="F48"/>
    </sheetView>
  </sheetViews>
  <sheetFormatPr baseColWidth="10" defaultColWidth="11.42578125" defaultRowHeight="15" x14ac:dyDescent="0.25"/>
  <cols>
    <col min="1" max="1" width="11.42578125" style="298"/>
    <col min="2" max="2" width="17.7109375" customWidth="1"/>
    <col min="3" max="3" width="18.85546875" customWidth="1"/>
    <col min="4" max="4" width="15.5703125" bestFit="1" customWidth="1"/>
    <col min="5" max="5" width="33.85546875" style="255" customWidth="1"/>
    <col min="6" max="6" width="56.28515625" style="255" customWidth="1"/>
    <col min="7" max="7" width="20.42578125" style="184" bestFit="1" customWidth="1"/>
    <col min="8" max="8" width="16.42578125" customWidth="1"/>
  </cols>
  <sheetData>
    <row r="5" spans="1:8" x14ac:dyDescent="0.25">
      <c r="A5" s="390" t="s">
        <v>425</v>
      </c>
      <c r="B5" s="390"/>
      <c r="C5" s="390"/>
      <c r="D5" s="390"/>
      <c r="E5" s="390"/>
      <c r="F5" s="390"/>
      <c r="G5" s="390"/>
      <c r="H5" s="390"/>
    </row>
    <row r="6" spans="1:8" x14ac:dyDescent="0.25">
      <c r="A6" s="391" t="s">
        <v>880</v>
      </c>
      <c r="B6" s="391"/>
      <c r="C6" s="391"/>
      <c r="D6" s="391"/>
      <c r="E6" s="391"/>
      <c r="F6" s="391"/>
      <c r="G6" s="391"/>
      <c r="H6" s="391"/>
    </row>
    <row r="7" spans="1:8" x14ac:dyDescent="0.25">
      <c r="A7" s="392" t="s">
        <v>658</v>
      </c>
      <c r="B7" s="392"/>
      <c r="C7" s="392"/>
      <c r="D7" s="392"/>
      <c r="E7" s="392"/>
      <c r="F7" s="392"/>
      <c r="G7" s="392"/>
      <c r="H7" s="392"/>
    </row>
    <row r="9" spans="1:8" s="131" customFormat="1" x14ac:dyDescent="0.25">
      <c r="A9" s="393" t="s">
        <v>879</v>
      </c>
      <c r="B9" s="393"/>
      <c r="C9" s="393"/>
      <c r="D9" s="393"/>
      <c r="E9" s="393"/>
      <c r="F9" s="393"/>
      <c r="G9" s="393"/>
      <c r="H9" s="393"/>
    </row>
    <row r="10" spans="1:8" ht="27" x14ac:dyDescent="0.25">
      <c r="A10" s="297" t="s">
        <v>374</v>
      </c>
      <c r="B10" s="132" t="s">
        <v>426</v>
      </c>
      <c r="C10" s="132" t="s">
        <v>427</v>
      </c>
      <c r="D10" s="132" t="s">
        <v>428</v>
      </c>
      <c r="E10" s="133" t="s">
        <v>429</v>
      </c>
      <c r="F10" s="253" t="s">
        <v>430</v>
      </c>
      <c r="G10" s="134" t="s">
        <v>431</v>
      </c>
      <c r="H10" s="134" t="s">
        <v>432</v>
      </c>
    </row>
    <row r="11" spans="1:8" ht="28.5" x14ac:dyDescent="0.25">
      <c r="A11" s="343">
        <v>45964</v>
      </c>
      <c r="B11" s="344"/>
      <c r="C11" s="349">
        <v>372</v>
      </c>
      <c r="D11" s="345"/>
      <c r="E11" s="346" t="s">
        <v>876</v>
      </c>
      <c r="F11" s="347" t="s">
        <v>877</v>
      </c>
      <c r="G11" s="348">
        <v>720000</v>
      </c>
      <c r="H11" s="348">
        <v>684000</v>
      </c>
    </row>
    <row r="12" spans="1:8" ht="28.5" x14ac:dyDescent="0.3">
      <c r="A12" s="135">
        <v>45965</v>
      </c>
      <c r="B12" s="267"/>
      <c r="C12" s="1">
        <v>373</v>
      </c>
      <c r="D12" s="136"/>
      <c r="E12" s="256" t="s">
        <v>659</v>
      </c>
      <c r="F12" s="254" t="s">
        <v>878</v>
      </c>
      <c r="G12" s="137">
        <v>361378.54</v>
      </c>
      <c r="H12" s="138">
        <v>346065.89</v>
      </c>
    </row>
    <row r="13" spans="1:8" ht="28.5" x14ac:dyDescent="0.3">
      <c r="A13" s="268">
        <v>45967</v>
      </c>
      <c r="B13" s="267"/>
      <c r="C13" s="1">
        <v>379</v>
      </c>
      <c r="D13" s="136"/>
      <c r="E13" s="254" t="s">
        <v>751</v>
      </c>
      <c r="F13" s="254" t="s">
        <v>752</v>
      </c>
      <c r="G13" s="137">
        <v>158061</v>
      </c>
      <c r="H13" s="138">
        <v>151363.5</v>
      </c>
    </row>
    <row r="14" spans="1:8" ht="28.5" x14ac:dyDescent="0.3">
      <c r="A14" s="268">
        <v>45974</v>
      </c>
      <c r="B14" s="267"/>
      <c r="C14" s="1">
        <v>380</v>
      </c>
      <c r="D14" s="136"/>
      <c r="E14" s="256" t="s">
        <v>753</v>
      </c>
      <c r="F14" s="254" t="s">
        <v>754</v>
      </c>
      <c r="G14" s="137">
        <v>15000</v>
      </c>
      <c r="H14" s="138">
        <v>15000</v>
      </c>
    </row>
    <row r="15" spans="1:8" ht="28.5" x14ac:dyDescent="0.3">
      <c r="A15" s="268">
        <v>45974</v>
      </c>
      <c r="B15" s="267"/>
      <c r="C15" s="1">
        <v>381</v>
      </c>
      <c r="D15" s="136"/>
      <c r="E15" s="256" t="s">
        <v>753</v>
      </c>
      <c r="F15" s="254" t="s">
        <v>755</v>
      </c>
      <c r="G15" s="137">
        <v>14000</v>
      </c>
      <c r="H15" s="138">
        <v>14000</v>
      </c>
    </row>
    <row r="16" spans="1:8" ht="28.5" x14ac:dyDescent="0.3">
      <c r="A16" s="268">
        <v>45974</v>
      </c>
      <c r="B16" s="267"/>
      <c r="C16" s="1">
        <v>382</v>
      </c>
      <c r="D16" s="136"/>
      <c r="E16" s="256" t="s">
        <v>756</v>
      </c>
      <c r="F16" s="254" t="s">
        <v>757</v>
      </c>
      <c r="G16" s="137">
        <v>413000</v>
      </c>
      <c r="H16" s="138">
        <v>395500</v>
      </c>
    </row>
    <row r="17" spans="1:8" ht="42.75" x14ac:dyDescent="0.3">
      <c r="A17" s="268">
        <v>45974</v>
      </c>
      <c r="B17" s="267"/>
      <c r="C17" s="1">
        <v>383</v>
      </c>
      <c r="D17" s="136"/>
      <c r="E17" s="256" t="s">
        <v>758</v>
      </c>
      <c r="F17" s="254" t="s">
        <v>759</v>
      </c>
      <c r="G17" s="137">
        <v>175173.19</v>
      </c>
      <c r="H17" s="138">
        <v>166414.53</v>
      </c>
    </row>
    <row r="18" spans="1:8" ht="42.75" x14ac:dyDescent="0.3">
      <c r="A18" s="268">
        <v>45974</v>
      </c>
      <c r="B18" s="267"/>
      <c r="C18" s="1">
        <v>384</v>
      </c>
      <c r="D18" s="136"/>
      <c r="E18" s="256" t="s">
        <v>760</v>
      </c>
      <c r="F18" s="254" t="s">
        <v>761</v>
      </c>
      <c r="G18" s="137">
        <v>244226.81</v>
      </c>
      <c r="H18" s="138">
        <v>233878.22</v>
      </c>
    </row>
    <row r="19" spans="1:8" ht="28.5" x14ac:dyDescent="0.3">
      <c r="A19" s="268">
        <v>45974</v>
      </c>
      <c r="B19" s="267"/>
      <c r="C19" s="1">
        <v>385</v>
      </c>
      <c r="D19" s="136"/>
      <c r="E19" s="256" t="s">
        <v>762</v>
      </c>
      <c r="F19" s="254" t="s">
        <v>763</v>
      </c>
      <c r="G19" s="137">
        <v>41819.199999999997</v>
      </c>
      <c r="H19" s="138">
        <v>40047.199999999997</v>
      </c>
    </row>
    <row r="20" spans="1:8" ht="15.75" x14ac:dyDescent="0.3">
      <c r="A20" s="268">
        <v>45974</v>
      </c>
      <c r="B20" s="267"/>
      <c r="C20" s="1">
        <v>386</v>
      </c>
      <c r="D20" s="136"/>
      <c r="E20" s="256" t="s">
        <v>738</v>
      </c>
      <c r="F20" s="254" t="s">
        <v>738</v>
      </c>
      <c r="G20" s="137">
        <v>0</v>
      </c>
      <c r="H20" s="137">
        <v>0</v>
      </c>
    </row>
    <row r="21" spans="1:8" ht="28.5" x14ac:dyDescent="0.3">
      <c r="A21" s="268">
        <v>45974</v>
      </c>
      <c r="B21" s="267"/>
      <c r="C21" s="1">
        <v>387</v>
      </c>
      <c r="D21" s="136"/>
      <c r="E21" s="256" t="s">
        <v>736</v>
      </c>
      <c r="F21" s="254" t="s">
        <v>764</v>
      </c>
      <c r="G21" s="137">
        <v>185260</v>
      </c>
      <c r="H21" s="138">
        <v>177410</v>
      </c>
    </row>
    <row r="22" spans="1:8" ht="28.5" x14ac:dyDescent="0.3">
      <c r="A22" s="268">
        <v>45974</v>
      </c>
      <c r="B22" s="267"/>
      <c r="C22" s="1">
        <v>388</v>
      </c>
      <c r="D22" s="136"/>
      <c r="E22" s="256" t="s">
        <v>737</v>
      </c>
      <c r="F22" s="254" t="s">
        <v>765</v>
      </c>
      <c r="G22" s="137">
        <v>21952</v>
      </c>
      <c r="H22" s="138">
        <v>21952</v>
      </c>
    </row>
    <row r="23" spans="1:8" ht="30.75" x14ac:dyDescent="0.3">
      <c r="A23" s="268">
        <v>45974</v>
      </c>
      <c r="B23" s="267"/>
      <c r="C23" s="1">
        <v>389</v>
      </c>
      <c r="D23" s="136"/>
      <c r="E23" s="256" t="s">
        <v>735</v>
      </c>
      <c r="F23" s="143" t="s">
        <v>766</v>
      </c>
      <c r="G23" s="137">
        <v>25000</v>
      </c>
      <c r="H23" s="137">
        <v>25000</v>
      </c>
    </row>
    <row r="24" spans="1:8" ht="42.75" x14ac:dyDescent="0.3">
      <c r="A24" s="268">
        <v>45974</v>
      </c>
      <c r="B24" s="267"/>
      <c r="C24" s="1">
        <v>390</v>
      </c>
      <c r="D24" s="136"/>
      <c r="E24" s="256" t="s">
        <v>767</v>
      </c>
      <c r="F24" s="254" t="s">
        <v>768</v>
      </c>
      <c r="G24" s="137">
        <v>244260</v>
      </c>
      <c r="H24" s="138">
        <v>233910</v>
      </c>
    </row>
    <row r="25" spans="1:8" ht="42.75" x14ac:dyDescent="0.3">
      <c r="A25" s="268">
        <v>45975</v>
      </c>
      <c r="B25" s="267"/>
      <c r="C25" s="1">
        <v>391</v>
      </c>
      <c r="D25" s="136"/>
      <c r="E25" s="256" t="s">
        <v>769</v>
      </c>
      <c r="F25" s="254" t="s">
        <v>770</v>
      </c>
      <c r="G25" s="137">
        <v>140797.6</v>
      </c>
      <c r="H25" s="138">
        <v>134831.6</v>
      </c>
    </row>
    <row r="26" spans="1:8" ht="28.5" x14ac:dyDescent="0.3">
      <c r="A26" s="268">
        <v>45975</v>
      </c>
      <c r="B26" s="267"/>
      <c r="C26" s="1">
        <v>392</v>
      </c>
      <c r="D26" s="136"/>
      <c r="E26" s="256" t="s">
        <v>771</v>
      </c>
      <c r="F26" s="254" t="s">
        <v>772</v>
      </c>
      <c r="G26" s="137">
        <v>1899800</v>
      </c>
      <c r="H26" s="138">
        <v>1819300</v>
      </c>
    </row>
    <row r="27" spans="1:8" ht="28.5" x14ac:dyDescent="0.3">
      <c r="A27" s="268">
        <v>45978</v>
      </c>
      <c r="B27" s="267"/>
      <c r="C27" s="1">
        <v>393</v>
      </c>
      <c r="D27" s="136"/>
      <c r="E27" s="256" t="s">
        <v>773</v>
      </c>
      <c r="F27" s="254" t="s">
        <v>774</v>
      </c>
      <c r="G27" s="137">
        <v>16520</v>
      </c>
      <c r="H27" s="138">
        <v>16520</v>
      </c>
    </row>
    <row r="28" spans="1:8" ht="42.75" x14ac:dyDescent="0.3">
      <c r="A28" s="268">
        <v>45979</v>
      </c>
      <c r="B28" s="267"/>
      <c r="C28" s="1">
        <v>394</v>
      </c>
      <c r="D28" s="136"/>
      <c r="E28" s="256" t="s">
        <v>775</v>
      </c>
      <c r="F28" s="254" t="s">
        <v>776</v>
      </c>
      <c r="G28" s="137">
        <v>41400</v>
      </c>
      <c r="H28" s="138">
        <v>41400</v>
      </c>
    </row>
    <row r="29" spans="1:8" ht="28.5" x14ac:dyDescent="0.3">
      <c r="A29" s="268">
        <v>45980</v>
      </c>
      <c r="B29" s="267"/>
      <c r="C29" s="1">
        <v>395</v>
      </c>
      <c r="D29" s="136"/>
      <c r="E29" s="256" t="s">
        <v>777</v>
      </c>
      <c r="F29" s="254" t="s">
        <v>778</v>
      </c>
      <c r="G29" s="137">
        <v>270000</v>
      </c>
      <c r="H29" s="138">
        <v>256500</v>
      </c>
    </row>
    <row r="30" spans="1:8" ht="28.5" x14ac:dyDescent="0.3">
      <c r="A30" s="268">
        <v>45980</v>
      </c>
      <c r="B30" s="267"/>
      <c r="C30" s="1">
        <v>396</v>
      </c>
      <c r="D30" s="136"/>
      <c r="E30" s="256" t="s">
        <v>779</v>
      </c>
      <c r="F30" s="254" t="s">
        <v>780</v>
      </c>
      <c r="G30" s="137">
        <v>262500</v>
      </c>
      <c r="H30" s="138">
        <v>249375</v>
      </c>
    </row>
    <row r="31" spans="1:8" ht="28.5" x14ac:dyDescent="0.3">
      <c r="A31" s="268">
        <v>45981</v>
      </c>
      <c r="B31" s="267"/>
      <c r="C31" s="1">
        <v>397</v>
      </c>
      <c r="D31" s="136"/>
      <c r="E31" s="256" t="s">
        <v>781</v>
      </c>
      <c r="F31" s="254" t="s">
        <v>782</v>
      </c>
      <c r="G31" s="137">
        <v>172000</v>
      </c>
      <c r="H31" s="138">
        <v>170573.26</v>
      </c>
    </row>
    <row r="32" spans="1:8" ht="28.5" x14ac:dyDescent="0.3">
      <c r="A32" s="268">
        <v>45982</v>
      </c>
      <c r="B32" s="327"/>
      <c r="C32" s="1">
        <v>398</v>
      </c>
      <c r="D32" s="259"/>
      <c r="E32" s="260" t="s">
        <v>783</v>
      </c>
      <c r="F32" s="261" t="s">
        <v>784</v>
      </c>
      <c r="G32" s="137">
        <v>92925</v>
      </c>
      <c r="H32" s="137">
        <v>88278.75</v>
      </c>
    </row>
    <row r="33" spans="1:8" ht="28.5" x14ac:dyDescent="0.3">
      <c r="A33" s="268">
        <v>45982</v>
      </c>
      <c r="B33" s="327"/>
      <c r="C33" s="1">
        <v>399</v>
      </c>
      <c r="D33" s="259"/>
      <c r="E33" s="260" t="s">
        <v>883</v>
      </c>
      <c r="F33" s="261" t="s">
        <v>884</v>
      </c>
      <c r="G33" s="137">
        <v>10000</v>
      </c>
      <c r="H33" s="137">
        <v>10000</v>
      </c>
    </row>
    <row r="34" spans="1:8" ht="28.5" x14ac:dyDescent="0.3">
      <c r="A34" s="268">
        <v>45986</v>
      </c>
      <c r="B34" s="327"/>
      <c r="C34" s="1">
        <v>400</v>
      </c>
      <c r="D34" s="259"/>
      <c r="E34" s="260" t="s">
        <v>882</v>
      </c>
      <c r="F34" s="261" t="s">
        <v>881</v>
      </c>
      <c r="G34" s="137">
        <v>114300</v>
      </c>
      <c r="H34" s="137">
        <v>108585</v>
      </c>
    </row>
    <row r="35" spans="1:8" ht="28.5" x14ac:dyDescent="0.3">
      <c r="A35" s="268">
        <v>45989</v>
      </c>
      <c r="B35" s="327"/>
      <c r="C35" s="1">
        <v>401</v>
      </c>
      <c r="D35" s="259"/>
      <c r="E35" s="260" t="s">
        <v>904</v>
      </c>
      <c r="F35" s="261" t="s">
        <v>905</v>
      </c>
      <c r="G35" s="137">
        <v>298561.91999999998</v>
      </c>
      <c r="H35" s="137">
        <v>272247.99</v>
      </c>
    </row>
    <row r="36" spans="1:8" ht="57" x14ac:dyDescent="0.3">
      <c r="A36" s="268">
        <v>45989</v>
      </c>
      <c r="B36" s="327"/>
      <c r="C36" s="1">
        <f>+C35+1</f>
        <v>402</v>
      </c>
      <c r="D36" s="259"/>
      <c r="E36" s="260" t="s">
        <v>906</v>
      </c>
      <c r="F36" s="261" t="s">
        <v>907</v>
      </c>
      <c r="G36" s="137">
        <v>182234.7</v>
      </c>
      <c r="H36" s="137">
        <v>174512.67</v>
      </c>
    </row>
    <row r="37" spans="1:8" ht="42.75" x14ac:dyDescent="0.3">
      <c r="A37" s="268">
        <v>45989</v>
      </c>
      <c r="B37" s="327"/>
      <c r="C37" s="1">
        <f t="shared" ref="C37:C38" si="0">+C36+1</f>
        <v>403</v>
      </c>
      <c r="D37" s="259"/>
      <c r="E37" s="260" t="s">
        <v>906</v>
      </c>
      <c r="F37" s="261" t="s">
        <v>908</v>
      </c>
      <c r="G37" s="137">
        <v>221258.85</v>
      </c>
      <c r="H37" s="137">
        <v>211883.48</v>
      </c>
    </row>
    <row r="38" spans="1:8" ht="28.5" x14ac:dyDescent="0.3">
      <c r="A38" s="268">
        <v>45989</v>
      </c>
      <c r="B38" s="327"/>
      <c r="C38" s="1">
        <f t="shared" si="0"/>
        <v>404</v>
      </c>
      <c r="D38" s="259"/>
      <c r="E38" s="260" t="s">
        <v>906</v>
      </c>
      <c r="F38" s="261" t="s">
        <v>909</v>
      </c>
      <c r="G38" s="137">
        <v>260210.02</v>
      </c>
      <c r="H38" s="137">
        <v>249184.17</v>
      </c>
    </row>
    <row r="39" spans="1:8" ht="15.75" x14ac:dyDescent="0.3">
      <c r="A39" s="268">
        <v>45989</v>
      </c>
      <c r="B39" s="327"/>
      <c r="C39" s="1">
        <v>405</v>
      </c>
      <c r="D39" s="259"/>
      <c r="E39" s="260" t="s">
        <v>916</v>
      </c>
      <c r="F39" s="261" t="s">
        <v>922</v>
      </c>
      <c r="G39" s="357">
        <v>30444</v>
      </c>
      <c r="H39" s="357">
        <v>30444</v>
      </c>
    </row>
    <row r="40" spans="1:8" ht="28.5" x14ac:dyDescent="0.3">
      <c r="A40" s="268">
        <v>45989</v>
      </c>
      <c r="B40" s="327"/>
      <c r="C40" s="1">
        <v>406</v>
      </c>
      <c r="D40" s="259"/>
      <c r="E40" s="260" t="s">
        <v>917</v>
      </c>
      <c r="F40" s="261" t="s">
        <v>923</v>
      </c>
      <c r="G40" s="357">
        <v>34220</v>
      </c>
      <c r="H40" s="357">
        <v>34220</v>
      </c>
    </row>
    <row r="41" spans="1:8" ht="15.75" x14ac:dyDescent="0.3">
      <c r="A41" s="268">
        <v>45989</v>
      </c>
      <c r="B41" s="327"/>
      <c r="C41" s="1">
        <v>407</v>
      </c>
      <c r="D41" s="259"/>
      <c r="E41" s="260" t="s">
        <v>668</v>
      </c>
      <c r="F41" s="261" t="s">
        <v>921</v>
      </c>
      <c r="G41" s="357">
        <v>195000</v>
      </c>
      <c r="H41" s="357">
        <v>195000</v>
      </c>
    </row>
    <row r="42" spans="1:8" ht="28.5" x14ac:dyDescent="0.3">
      <c r="A42" s="268">
        <v>45989</v>
      </c>
      <c r="B42" s="327"/>
      <c r="C42" s="1">
        <v>408</v>
      </c>
      <c r="D42" s="259"/>
      <c r="E42" s="260" t="s">
        <v>919</v>
      </c>
      <c r="F42" s="261" t="s">
        <v>920</v>
      </c>
      <c r="G42" s="357">
        <v>13260</v>
      </c>
      <c r="H42" s="357">
        <v>13260</v>
      </c>
    </row>
    <row r="43" spans="1:8" ht="15.75" x14ac:dyDescent="0.3">
      <c r="A43" s="268">
        <v>45972</v>
      </c>
      <c r="B43" s="327"/>
      <c r="C43" s="1"/>
      <c r="D43" s="259">
        <v>37317</v>
      </c>
      <c r="E43" s="260" t="s">
        <v>738</v>
      </c>
      <c r="F43" s="261" t="s">
        <v>738</v>
      </c>
      <c r="G43" s="137">
        <v>0</v>
      </c>
      <c r="H43" s="137">
        <v>0</v>
      </c>
    </row>
    <row r="44" spans="1:8" ht="28.5" x14ac:dyDescent="0.3">
      <c r="A44" s="268">
        <v>45981</v>
      </c>
      <c r="B44" s="327"/>
      <c r="C44" s="1"/>
      <c r="D44" s="259">
        <v>37318</v>
      </c>
      <c r="E44" s="260" t="s">
        <v>910</v>
      </c>
      <c r="F44" s="261" t="s">
        <v>955</v>
      </c>
      <c r="G44" s="137">
        <v>56945.15</v>
      </c>
      <c r="H44" s="137">
        <v>56945.15</v>
      </c>
    </row>
    <row r="45" spans="1:8" ht="28.5" x14ac:dyDescent="0.3">
      <c r="A45" s="268">
        <v>45981</v>
      </c>
      <c r="B45" s="327"/>
      <c r="C45" s="1"/>
      <c r="D45" s="259">
        <v>37319</v>
      </c>
      <c r="E45" s="260" t="s">
        <v>911</v>
      </c>
      <c r="F45" s="261" t="s">
        <v>956</v>
      </c>
      <c r="G45" s="137">
        <v>21673.47</v>
      </c>
      <c r="H45" s="137">
        <v>18000</v>
      </c>
    </row>
    <row r="46" spans="1:8" ht="28.5" x14ac:dyDescent="0.3">
      <c r="A46" s="268">
        <v>45981</v>
      </c>
      <c r="B46" s="327"/>
      <c r="C46" s="1"/>
      <c r="D46" s="259">
        <v>37320</v>
      </c>
      <c r="E46" s="260" t="s">
        <v>912</v>
      </c>
      <c r="F46" s="261" t="s">
        <v>957</v>
      </c>
      <c r="G46" s="137">
        <v>18061.22</v>
      </c>
      <c r="H46" s="137">
        <v>15000</v>
      </c>
    </row>
    <row r="47" spans="1:8" ht="28.5" x14ac:dyDescent="0.3">
      <c r="A47" s="268">
        <v>45981</v>
      </c>
      <c r="B47" s="327"/>
      <c r="C47" s="1"/>
      <c r="D47" s="259">
        <v>37321</v>
      </c>
      <c r="E47" s="260" t="s">
        <v>913</v>
      </c>
      <c r="F47" s="261" t="s">
        <v>958</v>
      </c>
      <c r="G47" s="137">
        <v>18061.22</v>
      </c>
      <c r="H47" s="137">
        <v>15000</v>
      </c>
    </row>
    <row r="48" spans="1:8" ht="28.5" x14ac:dyDescent="0.3">
      <c r="A48" s="268">
        <v>45981</v>
      </c>
      <c r="B48" s="327"/>
      <c r="C48" s="1"/>
      <c r="D48" s="259">
        <v>37322</v>
      </c>
      <c r="E48" s="260" t="s">
        <v>914</v>
      </c>
      <c r="F48" s="261" t="s">
        <v>959</v>
      </c>
      <c r="G48" s="137">
        <v>3600</v>
      </c>
      <c r="H48" s="137">
        <v>3600</v>
      </c>
    </row>
    <row r="49" spans="1:8" ht="28.5" x14ac:dyDescent="0.3">
      <c r="A49" s="268">
        <v>45982</v>
      </c>
      <c r="B49" s="327"/>
      <c r="C49" s="1"/>
      <c r="D49" s="259">
        <v>37323</v>
      </c>
      <c r="E49" s="260" t="s">
        <v>915</v>
      </c>
      <c r="F49" s="261" t="s">
        <v>960</v>
      </c>
      <c r="G49" s="137">
        <v>20000</v>
      </c>
      <c r="H49" s="137">
        <v>20000</v>
      </c>
    </row>
    <row r="50" spans="1:8" ht="15.75" x14ac:dyDescent="0.3">
      <c r="A50" s="268">
        <v>45991</v>
      </c>
      <c r="B50" s="327"/>
      <c r="C50" s="1"/>
      <c r="D50" s="259"/>
      <c r="E50" s="260" t="s">
        <v>918</v>
      </c>
      <c r="F50" s="261" t="s">
        <v>918</v>
      </c>
      <c r="G50" s="137">
        <v>14087.239999999996</v>
      </c>
      <c r="H50" s="137">
        <v>14087.239999999996</v>
      </c>
    </row>
    <row r="51" spans="1:8" ht="28.5" x14ac:dyDescent="0.3">
      <c r="A51" s="268" t="s">
        <v>863</v>
      </c>
      <c r="B51" s="267">
        <v>4930</v>
      </c>
      <c r="C51" s="1"/>
      <c r="D51" s="136"/>
      <c r="E51" s="256" t="s">
        <v>687</v>
      </c>
      <c r="F51" s="254" t="s">
        <v>799</v>
      </c>
      <c r="G51" s="137">
        <v>272108</v>
      </c>
      <c r="H51" s="138"/>
    </row>
    <row r="52" spans="1:8" ht="28.5" x14ac:dyDescent="0.3">
      <c r="A52" s="268" t="s">
        <v>863</v>
      </c>
      <c r="B52" s="267">
        <v>4934</v>
      </c>
      <c r="C52" s="1"/>
      <c r="D52" s="136"/>
      <c r="E52" s="256" t="s">
        <v>687</v>
      </c>
      <c r="F52" s="254" t="s">
        <v>800</v>
      </c>
      <c r="G52" s="137">
        <v>252331.2</v>
      </c>
      <c r="H52" s="138"/>
    </row>
    <row r="53" spans="1:8" ht="28.5" x14ac:dyDescent="0.3">
      <c r="A53" s="268" t="s">
        <v>863</v>
      </c>
      <c r="B53" s="267">
        <v>4938</v>
      </c>
      <c r="C53" s="1"/>
      <c r="D53" s="136"/>
      <c r="E53" s="256" t="s">
        <v>687</v>
      </c>
      <c r="F53" s="254" t="s">
        <v>801</v>
      </c>
      <c r="G53" s="137">
        <v>224294.39999999999</v>
      </c>
      <c r="H53" s="138"/>
    </row>
    <row r="54" spans="1:8" ht="42.75" x14ac:dyDescent="0.3">
      <c r="A54" s="268" t="s">
        <v>863</v>
      </c>
      <c r="B54" s="267">
        <v>4942</v>
      </c>
      <c r="C54" s="1"/>
      <c r="D54" s="136"/>
      <c r="E54" s="256" t="s">
        <v>675</v>
      </c>
      <c r="F54" s="254" t="s">
        <v>802</v>
      </c>
      <c r="G54" s="137">
        <v>17504.5</v>
      </c>
      <c r="H54" s="138"/>
    </row>
    <row r="55" spans="1:8" ht="28.5" x14ac:dyDescent="0.3">
      <c r="A55" s="268" t="s">
        <v>863</v>
      </c>
      <c r="B55" s="267">
        <v>4953</v>
      </c>
      <c r="C55" s="1"/>
      <c r="D55" s="136"/>
      <c r="E55" s="256" t="s">
        <v>785</v>
      </c>
      <c r="F55" s="254" t="s">
        <v>804</v>
      </c>
      <c r="G55" s="137">
        <v>271695</v>
      </c>
      <c r="H55" s="138"/>
    </row>
    <row r="56" spans="1:8" ht="42.75" x14ac:dyDescent="0.3">
      <c r="A56" s="268" t="s">
        <v>863</v>
      </c>
      <c r="B56" s="267">
        <v>4960</v>
      </c>
      <c r="C56" s="1"/>
      <c r="D56" s="136"/>
      <c r="E56" s="256" t="s">
        <v>663</v>
      </c>
      <c r="F56" s="254" t="s">
        <v>805</v>
      </c>
      <c r="G56" s="137">
        <v>138591</v>
      </c>
      <c r="H56" s="138"/>
    </row>
    <row r="57" spans="1:8" ht="28.5" x14ac:dyDescent="0.3">
      <c r="A57" s="268" t="s">
        <v>863</v>
      </c>
      <c r="B57" s="267">
        <v>4961</v>
      </c>
      <c r="C57" s="1"/>
      <c r="D57" s="136"/>
      <c r="E57" s="256" t="s">
        <v>678</v>
      </c>
      <c r="F57" s="254" t="s">
        <v>806</v>
      </c>
      <c r="G57" s="137">
        <v>71400</v>
      </c>
      <c r="H57" s="137"/>
    </row>
    <row r="58" spans="1:8" ht="28.5" x14ac:dyDescent="0.3">
      <c r="A58" s="268" t="s">
        <v>863</v>
      </c>
      <c r="B58" s="267">
        <v>4965</v>
      </c>
      <c r="C58" s="1"/>
      <c r="D58" s="136"/>
      <c r="E58" s="256" t="s">
        <v>786</v>
      </c>
      <c r="F58" s="254" t="s">
        <v>807</v>
      </c>
      <c r="G58" s="137">
        <v>255284.8</v>
      </c>
      <c r="H58" s="138"/>
    </row>
    <row r="59" spans="1:8" ht="28.5" x14ac:dyDescent="0.3">
      <c r="A59" s="268" t="s">
        <v>863</v>
      </c>
      <c r="B59" s="267">
        <v>4969</v>
      </c>
      <c r="C59" s="1"/>
      <c r="D59" s="136"/>
      <c r="E59" s="256" t="s">
        <v>731</v>
      </c>
      <c r="F59" s="254" t="s">
        <v>808</v>
      </c>
      <c r="G59" s="137">
        <v>87500</v>
      </c>
      <c r="H59" s="138"/>
    </row>
    <row r="60" spans="1:8" ht="30.75" x14ac:dyDescent="0.3">
      <c r="A60" s="268" t="s">
        <v>863</v>
      </c>
      <c r="B60" s="267">
        <v>4974</v>
      </c>
      <c r="C60" s="1"/>
      <c r="D60" s="136"/>
      <c r="E60" s="257" t="s">
        <v>660</v>
      </c>
      <c r="F60" s="257" t="s">
        <v>809</v>
      </c>
      <c r="G60" s="125">
        <v>247800</v>
      </c>
      <c r="H60" s="258"/>
    </row>
    <row r="61" spans="1:8" ht="42.75" x14ac:dyDescent="0.3">
      <c r="A61" s="268" t="s">
        <v>863</v>
      </c>
      <c r="B61" s="267">
        <v>4977</v>
      </c>
      <c r="C61" s="1"/>
      <c r="D61" s="136"/>
      <c r="E61" s="256" t="s">
        <v>663</v>
      </c>
      <c r="F61" s="254" t="s">
        <v>810</v>
      </c>
      <c r="G61" s="137">
        <v>101786</v>
      </c>
      <c r="H61" s="138"/>
    </row>
    <row r="62" spans="1:8" ht="42.75" x14ac:dyDescent="0.3">
      <c r="A62" s="268" t="s">
        <v>863</v>
      </c>
      <c r="B62" s="267">
        <v>4981</v>
      </c>
      <c r="C62" s="1"/>
      <c r="D62" s="136"/>
      <c r="E62" s="256" t="s">
        <v>663</v>
      </c>
      <c r="F62" s="254" t="s">
        <v>811</v>
      </c>
      <c r="G62" s="137">
        <v>138591</v>
      </c>
      <c r="H62" s="138"/>
    </row>
    <row r="63" spans="1:8" ht="28.5" x14ac:dyDescent="0.3">
      <c r="A63" s="268" t="s">
        <v>863</v>
      </c>
      <c r="B63" s="267">
        <v>4988</v>
      </c>
      <c r="C63" s="1"/>
      <c r="D63" s="136"/>
      <c r="E63" s="256" t="s">
        <v>676</v>
      </c>
      <c r="F63" s="254" t="s">
        <v>812</v>
      </c>
      <c r="G63" s="137">
        <v>97435</v>
      </c>
      <c r="H63" s="138"/>
    </row>
    <row r="64" spans="1:8" ht="28.5" x14ac:dyDescent="0.3">
      <c r="A64" s="268" t="s">
        <v>863</v>
      </c>
      <c r="B64" s="267">
        <v>4989</v>
      </c>
      <c r="C64" s="1"/>
      <c r="D64" s="136"/>
      <c r="E64" s="256" t="s">
        <v>729</v>
      </c>
      <c r="F64" s="254" t="s">
        <v>813</v>
      </c>
      <c r="G64" s="137">
        <v>1513350</v>
      </c>
      <c r="H64" s="138"/>
    </row>
    <row r="65" spans="1:8" ht="28.5" x14ac:dyDescent="0.3">
      <c r="A65" s="268" t="s">
        <v>863</v>
      </c>
      <c r="B65" s="267">
        <v>4993</v>
      </c>
      <c r="C65" s="1"/>
      <c r="D65" s="136"/>
      <c r="E65" s="256" t="s">
        <v>730</v>
      </c>
      <c r="F65" s="254" t="s">
        <v>814</v>
      </c>
      <c r="G65" s="137">
        <v>96946.880000000005</v>
      </c>
      <c r="H65" s="138"/>
    </row>
    <row r="66" spans="1:8" ht="28.5" x14ac:dyDescent="0.3">
      <c r="A66" s="268" t="s">
        <v>863</v>
      </c>
      <c r="B66" s="267">
        <v>4997</v>
      </c>
      <c r="C66" s="1"/>
      <c r="D66" s="136"/>
      <c r="E66" s="256" t="s">
        <v>787</v>
      </c>
      <c r="F66" s="254" t="s">
        <v>815</v>
      </c>
      <c r="G66" s="137">
        <v>80000</v>
      </c>
      <c r="H66" s="138"/>
    </row>
    <row r="67" spans="1:8" ht="28.5" x14ac:dyDescent="0.3">
      <c r="A67" s="268" t="s">
        <v>864</v>
      </c>
      <c r="B67" s="267">
        <v>5001</v>
      </c>
      <c r="C67" s="1"/>
      <c r="D67" s="136"/>
      <c r="E67" s="256" t="s">
        <v>691</v>
      </c>
      <c r="F67" s="254" t="s">
        <v>816</v>
      </c>
      <c r="G67" s="137">
        <v>272294</v>
      </c>
      <c r="H67" s="138"/>
    </row>
    <row r="68" spans="1:8" ht="28.5" x14ac:dyDescent="0.3">
      <c r="A68" s="268" t="s">
        <v>864</v>
      </c>
      <c r="B68" s="267">
        <v>5014</v>
      </c>
      <c r="C68" s="1"/>
      <c r="D68" s="136"/>
      <c r="E68" s="256" t="s">
        <v>661</v>
      </c>
      <c r="F68" s="254" t="s">
        <v>817</v>
      </c>
      <c r="G68" s="137">
        <v>49016.18</v>
      </c>
      <c r="H68" s="138"/>
    </row>
    <row r="69" spans="1:8" ht="28.5" x14ac:dyDescent="0.3">
      <c r="A69" s="268" t="s">
        <v>864</v>
      </c>
      <c r="B69" s="267">
        <v>5016</v>
      </c>
      <c r="C69" s="1"/>
      <c r="D69" s="136"/>
      <c r="E69" s="256" t="s">
        <v>788</v>
      </c>
      <c r="F69" s="254" t="s">
        <v>818</v>
      </c>
      <c r="G69" s="137">
        <v>260000</v>
      </c>
      <c r="H69" s="138"/>
    </row>
    <row r="70" spans="1:8" ht="42.75" x14ac:dyDescent="0.3">
      <c r="A70" s="268" t="s">
        <v>864</v>
      </c>
      <c r="B70" s="267">
        <v>5021</v>
      </c>
      <c r="C70" s="1"/>
      <c r="D70" s="136"/>
      <c r="E70" s="256" t="s">
        <v>661</v>
      </c>
      <c r="F70" s="254" t="s">
        <v>819</v>
      </c>
      <c r="G70" s="137">
        <v>31507.02</v>
      </c>
      <c r="H70" s="138"/>
    </row>
    <row r="71" spans="1:8" ht="42.75" x14ac:dyDescent="0.3">
      <c r="A71" s="268" t="s">
        <v>864</v>
      </c>
      <c r="B71" s="267">
        <v>5026</v>
      </c>
      <c r="C71" s="1"/>
      <c r="D71" s="136"/>
      <c r="E71" s="256" t="s">
        <v>789</v>
      </c>
      <c r="F71" s="254" t="s">
        <v>820</v>
      </c>
      <c r="G71" s="137">
        <v>1791000</v>
      </c>
      <c r="H71" s="138"/>
    </row>
    <row r="72" spans="1:8" ht="42.75" x14ac:dyDescent="0.3">
      <c r="A72" s="268" t="s">
        <v>864</v>
      </c>
      <c r="B72" s="267">
        <v>5031</v>
      </c>
      <c r="C72" s="1"/>
      <c r="D72" s="136"/>
      <c r="E72" s="256" t="s">
        <v>693</v>
      </c>
      <c r="F72" s="254" t="s">
        <v>821</v>
      </c>
      <c r="G72" s="137">
        <v>42057.86</v>
      </c>
      <c r="H72" s="138"/>
    </row>
    <row r="73" spans="1:8" ht="28.5" x14ac:dyDescent="0.3">
      <c r="A73" s="268" t="s">
        <v>864</v>
      </c>
      <c r="B73" s="267">
        <v>5032</v>
      </c>
      <c r="C73" s="1"/>
      <c r="D73" s="136"/>
      <c r="E73" s="256" t="s">
        <v>660</v>
      </c>
      <c r="F73" s="254" t="s">
        <v>822</v>
      </c>
      <c r="G73" s="137">
        <v>247800</v>
      </c>
      <c r="H73" s="138"/>
    </row>
    <row r="74" spans="1:8" ht="57" x14ac:dyDescent="0.3">
      <c r="A74" s="268" t="s">
        <v>864</v>
      </c>
      <c r="B74" s="267">
        <v>5040</v>
      </c>
      <c r="C74" s="1"/>
      <c r="D74" s="136"/>
      <c r="E74" s="256" t="s">
        <v>693</v>
      </c>
      <c r="F74" s="254" t="s">
        <v>823</v>
      </c>
      <c r="G74" s="137">
        <v>22585.200000000001</v>
      </c>
      <c r="H74" s="138"/>
    </row>
    <row r="75" spans="1:8" ht="42.75" x14ac:dyDescent="0.3">
      <c r="A75" s="268" t="s">
        <v>864</v>
      </c>
      <c r="B75" s="267">
        <v>5041</v>
      </c>
      <c r="C75" s="1"/>
      <c r="D75" s="136"/>
      <c r="E75" s="256" t="s">
        <v>790</v>
      </c>
      <c r="F75" s="254" t="s">
        <v>824</v>
      </c>
      <c r="G75" s="137">
        <v>59000</v>
      </c>
      <c r="H75" s="138"/>
    </row>
    <row r="76" spans="1:8" ht="42.75" x14ac:dyDescent="0.3">
      <c r="A76" s="268" t="s">
        <v>864</v>
      </c>
      <c r="B76" s="267">
        <v>5045</v>
      </c>
      <c r="C76" s="1"/>
      <c r="D76" s="136"/>
      <c r="E76" s="256" t="s">
        <v>791</v>
      </c>
      <c r="F76" s="254" t="s">
        <v>825</v>
      </c>
      <c r="G76" s="137">
        <v>225498</v>
      </c>
      <c r="H76" s="138"/>
    </row>
    <row r="77" spans="1:8" ht="42.75" x14ac:dyDescent="0.3">
      <c r="A77" s="268" t="s">
        <v>864</v>
      </c>
      <c r="B77" s="267">
        <v>5049</v>
      </c>
      <c r="C77" s="1"/>
      <c r="D77" s="136"/>
      <c r="E77" s="256" t="s">
        <v>792</v>
      </c>
      <c r="F77" s="254" t="s">
        <v>826</v>
      </c>
      <c r="G77" s="137">
        <v>192000</v>
      </c>
      <c r="H77" s="138"/>
    </row>
    <row r="78" spans="1:8" ht="28.5" x14ac:dyDescent="0.3">
      <c r="A78" s="268" t="s">
        <v>864</v>
      </c>
      <c r="B78" s="267">
        <v>5054</v>
      </c>
      <c r="C78" s="1"/>
      <c r="D78" s="136"/>
      <c r="E78" s="256" t="s">
        <v>660</v>
      </c>
      <c r="F78" s="254" t="s">
        <v>827</v>
      </c>
      <c r="G78" s="137">
        <v>54000</v>
      </c>
      <c r="H78" s="138"/>
    </row>
    <row r="79" spans="1:8" ht="42.75" x14ac:dyDescent="0.3">
      <c r="A79" s="268" t="s">
        <v>864</v>
      </c>
      <c r="B79" s="267">
        <v>5058</v>
      </c>
      <c r="C79" s="1"/>
      <c r="D79" s="136"/>
      <c r="E79" s="256" t="s">
        <v>786</v>
      </c>
      <c r="F79" s="254" t="s">
        <v>828</v>
      </c>
      <c r="G79" s="137">
        <v>48599.6</v>
      </c>
      <c r="H79" s="138"/>
    </row>
    <row r="80" spans="1:8" ht="42.75" x14ac:dyDescent="0.3">
      <c r="A80" s="268" t="s">
        <v>865</v>
      </c>
      <c r="B80" s="267">
        <v>5072</v>
      </c>
      <c r="C80" s="1"/>
      <c r="D80" s="136"/>
      <c r="E80" s="256" t="s">
        <v>785</v>
      </c>
      <c r="F80" s="254" t="s">
        <v>829</v>
      </c>
      <c r="G80" s="137">
        <v>97114</v>
      </c>
      <c r="H80" s="138"/>
    </row>
    <row r="81" spans="1:8" ht="28.5" x14ac:dyDescent="0.3">
      <c r="A81" s="135" t="s">
        <v>866</v>
      </c>
      <c r="B81" s="267">
        <v>5074</v>
      </c>
      <c r="C81" s="1"/>
      <c r="D81" s="136"/>
      <c r="E81" s="256" t="s">
        <v>793</v>
      </c>
      <c r="F81" s="254" t="s">
        <v>830</v>
      </c>
      <c r="G81" s="137">
        <v>51000</v>
      </c>
      <c r="H81" s="138"/>
    </row>
    <row r="82" spans="1:8" ht="28.5" x14ac:dyDescent="0.3">
      <c r="A82" s="135" t="s">
        <v>866</v>
      </c>
      <c r="B82" s="267">
        <v>5076</v>
      </c>
      <c r="C82" s="1"/>
      <c r="D82" s="136"/>
      <c r="E82" s="256" t="s">
        <v>793</v>
      </c>
      <c r="F82" s="254" t="s">
        <v>831</v>
      </c>
      <c r="G82" s="137">
        <v>479819.29</v>
      </c>
      <c r="H82" s="138"/>
    </row>
    <row r="83" spans="1:8" ht="28.5" x14ac:dyDescent="0.3">
      <c r="A83" s="135" t="s">
        <v>866</v>
      </c>
      <c r="B83" s="267">
        <v>5082</v>
      </c>
      <c r="C83" s="1"/>
      <c r="D83" s="136"/>
      <c r="E83" s="256" t="s">
        <v>668</v>
      </c>
      <c r="F83" s="254" t="s">
        <v>832</v>
      </c>
      <c r="G83" s="137">
        <v>102987.84</v>
      </c>
      <c r="H83" s="138"/>
    </row>
    <row r="84" spans="1:8" ht="28.5" x14ac:dyDescent="0.3">
      <c r="A84" s="135" t="s">
        <v>866</v>
      </c>
      <c r="B84" s="267">
        <v>5086</v>
      </c>
      <c r="C84" s="1"/>
      <c r="D84" s="136"/>
      <c r="E84" s="256" t="s">
        <v>751</v>
      </c>
      <c r="F84" s="254" t="s">
        <v>833</v>
      </c>
      <c r="G84" s="137">
        <v>1207966</v>
      </c>
      <c r="H84" s="138"/>
    </row>
    <row r="85" spans="1:8" ht="28.5" x14ac:dyDescent="0.3">
      <c r="A85" s="135" t="s">
        <v>866</v>
      </c>
      <c r="B85" s="267">
        <v>5090</v>
      </c>
      <c r="C85" s="1"/>
      <c r="D85" s="136"/>
      <c r="E85" s="256" t="s">
        <v>794</v>
      </c>
      <c r="F85" s="254" t="s">
        <v>834</v>
      </c>
      <c r="G85" s="137">
        <v>292565.2</v>
      </c>
      <c r="H85" s="138"/>
    </row>
    <row r="86" spans="1:8" ht="28.5" x14ac:dyDescent="0.3">
      <c r="A86" s="135" t="s">
        <v>867</v>
      </c>
      <c r="B86" s="267">
        <v>5101</v>
      </c>
      <c r="C86" s="1"/>
      <c r="D86" s="136"/>
      <c r="E86" s="256" t="s">
        <v>665</v>
      </c>
      <c r="F86" s="254" t="s">
        <v>835</v>
      </c>
      <c r="G86" s="137">
        <v>1500000.66</v>
      </c>
      <c r="H86" s="138"/>
    </row>
    <row r="87" spans="1:8" ht="28.5" x14ac:dyDescent="0.3">
      <c r="A87" s="135" t="s">
        <v>867</v>
      </c>
      <c r="B87" s="267">
        <v>5105</v>
      </c>
      <c r="C87" s="1"/>
      <c r="D87" s="136"/>
      <c r="E87" s="256" t="s">
        <v>795</v>
      </c>
      <c r="F87" s="254" t="s">
        <v>836</v>
      </c>
      <c r="G87" s="137">
        <v>557734.03</v>
      </c>
      <c r="H87" s="138"/>
    </row>
    <row r="88" spans="1:8" ht="28.5" x14ac:dyDescent="0.3">
      <c r="A88" s="135" t="s">
        <v>868</v>
      </c>
      <c r="B88" s="267">
        <v>5125</v>
      </c>
      <c r="C88" s="1"/>
      <c r="D88" s="136"/>
      <c r="E88" s="256" t="s">
        <v>667</v>
      </c>
      <c r="F88" s="254" t="s">
        <v>837</v>
      </c>
      <c r="G88" s="137">
        <v>5691.23</v>
      </c>
      <c r="H88" s="138"/>
    </row>
    <row r="89" spans="1:8" ht="42.75" x14ac:dyDescent="0.3">
      <c r="A89" s="135" t="s">
        <v>869</v>
      </c>
      <c r="B89" s="267">
        <v>5145</v>
      </c>
      <c r="C89" s="1"/>
      <c r="D89" s="136"/>
      <c r="E89" s="256" t="s">
        <v>796</v>
      </c>
      <c r="F89" s="254" t="s">
        <v>838</v>
      </c>
      <c r="G89" s="137">
        <v>60535</v>
      </c>
      <c r="H89" s="138"/>
    </row>
    <row r="90" spans="1:8" ht="28.5" x14ac:dyDescent="0.3">
      <c r="A90" s="135" t="s">
        <v>869</v>
      </c>
      <c r="B90" s="267">
        <v>5149</v>
      </c>
      <c r="C90" s="1"/>
      <c r="D90" s="136"/>
      <c r="E90" s="256" t="s">
        <v>797</v>
      </c>
      <c r="F90" s="254" t="s">
        <v>839</v>
      </c>
      <c r="G90" s="137">
        <v>1155000</v>
      </c>
      <c r="H90" s="138"/>
    </row>
    <row r="91" spans="1:8" ht="42.75" x14ac:dyDescent="0.3">
      <c r="A91" s="135" t="s">
        <v>870</v>
      </c>
      <c r="B91" s="267">
        <v>5158</v>
      </c>
      <c r="C91" s="1"/>
      <c r="D91" s="136"/>
      <c r="E91" s="256" t="s">
        <v>666</v>
      </c>
      <c r="F91" s="254" t="s">
        <v>840</v>
      </c>
      <c r="G91" s="137">
        <v>191750</v>
      </c>
      <c r="H91" s="138"/>
    </row>
    <row r="92" spans="1:8" ht="42.75" x14ac:dyDescent="0.3">
      <c r="A92" s="135" t="s">
        <v>870</v>
      </c>
      <c r="B92" s="267">
        <v>5162</v>
      </c>
      <c r="C92" s="1"/>
      <c r="D92" s="136"/>
      <c r="E92" s="256" t="s">
        <v>667</v>
      </c>
      <c r="F92" s="254" t="s">
        <v>841</v>
      </c>
      <c r="G92" s="137">
        <v>839009.12</v>
      </c>
      <c r="H92" s="138"/>
    </row>
    <row r="93" spans="1:8" ht="28.5" x14ac:dyDescent="0.3">
      <c r="A93" s="135" t="s">
        <v>871</v>
      </c>
      <c r="B93" s="267">
        <v>5170</v>
      </c>
      <c r="C93" s="1"/>
      <c r="D93" s="136"/>
      <c r="E93" s="256" t="s">
        <v>793</v>
      </c>
      <c r="F93" s="254" t="s">
        <v>842</v>
      </c>
      <c r="G93" s="137">
        <v>9000</v>
      </c>
      <c r="H93" s="138"/>
    </row>
    <row r="94" spans="1:8" ht="28.5" x14ac:dyDescent="0.3">
      <c r="A94" s="135" t="s">
        <v>871</v>
      </c>
      <c r="B94" s="267">
        <v>5172</v>
      </c>
      <c r="C94" s="1"/>
      <c r="D94" s="136"/>
      <c r="E94" s="256" t="s">
        <v>793</v>
      </c>
      <c r="F94" s="254" t="s">
        <v>843</v>
      </c>
      <c r="G94" s="137">
        <v>1132781.02</v>
      </c>
      <c r="H94" s="138"/>
    </row>
    <row r="95" spans="1:8" ht="28.5" x14ac:dyDescent="0.3">
      <c r="A95" s="135" t="s">
        <v>871</v>
      </c>
      <c r="B95" s="267">
        <v>5174</v>
      </c>
      <c r="C95" s="1"/>
      <c r="D95" s="136"/>
      <c r="E95" s="256" t="s">
        <v>793</v>
      </c>
      <c r="F95" s="254" t="s">
        <v>844</v>
      </c>
      <c r="G95" s="137">
        <v>1229710.47</v>
      </c>
      <c r="H95" s="138"/>
    </row>
    <row r="96" spans="1:8" ht="28.5" x14ac:dyDescent="0.3">
      <c r="A96" s="135" t="s">
        <v>871</v>
      </c>
      <c r="B96" s="267">
        <v>5176</v>
      </c>
      <c r="C96" s="1"/>
      <c r="D96" s="136"/>
      <c r="E96" s="256" t="s">
        <v>793</v>
      </c>
      <c r="F96" s="254" t="s">
        <v>845</v>
      </c>
      <c r="G96" s="137">
        <v>57796367.210000001</v>
      </c>
      <c r="H96" s="138"/>
    </row>
    <row r="97" spans="1:8" ht="28.5" x14ac:dyDescent="0.3">
      <c r="A97" s="135" t="s">
        <v>871</v>
      </c>
      <c r="B97" s="267">
        <v>5178</v>
      </c>
      <c r="C97" s="1"/>
      <c r="D97" s="136"/>
      <c r="E97" s="256" t="s">
        <v>793</v>
      </c>
      <c r="F97" s="254" t="s">
        <v>846</v>
      </c>
      <c r="G97" s="137">
        <v>45000</v>
      </c>
      <c r="H97" s="138"/>
    </row>
    <row r="98" spans="1:8" ht="28.5" x14ac:dyDescent="0.3">
      <c r="A98" s="135" t="s">
        <v>871</v>
      </c>
      <c r="B98" s="267">
        <v>5184</v>
      </c>
      <c r="C98" s="1"/>
      <c r="D98" s="136"/>
      <c r="E98" s="256" t="s">
        <v>678</v>
      </c>
      <c r="F98" s="254" t="s">
        <v>847</v>
      </c>
      <c r="G98" s="137">
        <v>240000</v>
      </c>
      <c r="H98" s="138"/>
    </row>
    <row r="99" spans="1:8" ht="57" x14ac:dyDescent="0.3">
      <c r="A99" s="135" t="s">
        <v>872</v>
      </c>
      <c r="B99" s="267">
        <v>5190</v>
      </c>
      <c r="C99" s="1"/>
      <c r="D99" s="136"/>
      <c r="E99" s="256" t="s">
        <v>798</v>
      </c>
      <c r="F99" s="254" t="s">
        <v>848</v>
      </c>
      <c r="G99" s="137">
        <v>1575209.38</v>
      </c>
      <c r="H99" s="138"/>
    </row>
    <row r="100" spans="1:8" ht="28.5" x14ac:dyDescent="0.3">
      <c r="A100" s="135" t="s">
        <v>872</v>
      </c>
      <c r="B100" s="267">
        <v>5197</v>
      </c>
      <c r="C100" s="1"/>
      <c r="D100" s="136"/>
      <c r="E100" s="256" t="s">
        <v>785</v>
      </c>
      <c r="F100" s="254" t="s">
        <v>849</v>
      </c>
      <c r="G100" s="137">
        <v>224790</v>
      </c>
      <c r="H100" s="138"/>
    </row>
    <row r="101" spans="1:8" ht="42.75" x14ac:dyDescent="0.3">
      <c r="A101" s="135" t="s">
        <v>872</v>
      </c>
      <c r="B101" s="267">
        <v>5201</v>
      </c>
      <c r="C101" s="1"/>
      <c r="D101" s="136"/>
      <c r="E101" s="256" t="s">
        <v>687</v>
      </c>
      <c r="F101" s="254" t="s">
        <v>850</v>
      </c>
      <c r="G101" s="137">
        <v>221958</v>
      </c>
      <c r="H101" s="138"/>
    </row>
    <row r="102" spans="1:8" ht="28.5" x14ac:dyDescent="0.3">
      <c r="A102" s="135" t="s">
        <v>872</v>
      </c>
      <c r="B102" s="267">
        <v>5205</v>
      </c>
      <c r="C102" s="1"/>
      <c r="D102" s="136"/>
      <c r="E102" s="256" t="s">
        <v>689</v>
      </c>
      <c r="F102" s="254" t="s">
        <v>851</v>
      </c>
      <c r="G102" s="137">
        <v>196470</v>
      </c>
      <c r="H102" s="138"/>
    </row>
    <row r="103" spans="1:8" ht="28.5" x14ac:dyDescent="0.3">
      <c r="A103" s="135" t="s">
        <v>873</v>
      </c>
      <c r="B103" s="267">
        <v>5215</v>
      </c>
      <c r="C103" s="1"/>
      <c r="D103" s="136"/>
      <c r="E103" s="256" t="s">
        <v>793</v>
      </c>
      <c r="F103" s="254" t="s">
        <v>852</v>
      </c>
      <c r="G103" s="137">
        <v>75000</v>
      </c>
      <c r="H103" s="138"/>
    </row>
    <row r="104" spans="1:8" ht="15.75" x14ac:dyDescent="0.3">
      <c r="A104" s="135" t="s">
        <v>873</v>
      </c>
      <c r="B104" s="267">
        <v>5217</v>
      </c>
      <c r="C104" s="1"/>
      <c r="D104" s="136"/>
      <c r="E104" s="256" t="s">
        <v>885</v>
      </c>
      <c r="F104" s="254" t="s">
        <v>853</v>
      </c>
      <c r="G104" s="137">
        <v>1548866.94</v>
      </c>
      <c r="H104" s="138"/>
    </row>
    <row r="105" spans="1:8" ht="15.75" x14ac:dyDescent="0.3">
      <c r="A105" s="135" t="s">
        <v>873</v>
      </c>
      <c r="B105" s="267">
        <v>5219</v>
      </c>
      <c r="C105" s="1"/>
      <c r="D105" s="136"/>
      <c r="E105" s="256" t="s">
        <v>885</v>
      </c>
      <c r="F105" s="254" t="s">
        <v>854</v>
      </c>
      <c r="G105" s="137">
        <v>71373267.299999997</v>
      </c>
      <c r="H105" s="138"/>
    </row>
    <row r="106" spans="1:8" ht="42.75" x14ac:dyDescent="0.3">
      <c r="A106" s="135" t="s">
        <v>873</v>
      </c>
      <c r="B106" s="267">
        <v>5223</v>
      </c>
      <c r="C106" s="1"/>
      <c r="D106" s="136"/>
      <c r="E106" s="256" t="s">
        <v>786</v>
      </c>
      <c r="F106" s="254" t="s">
        <v>855</v>
      </c>
      <c r="G106" s="137">
        <v>67314.399999999994</v>
      </c>
      <c r="H106" s="138"/>
    </row>
    <row r="107" spans="1:8" ht="42.75" x14ac:dyDescent="0.3">
      <c r="A107" s="135" t="s">
        <v>873</v>
      </c>
      <c r="B107" s="267">
        <v>5227</v>
      </c>
      <c r="C107" s="1"/>
      <c r="D107" s="136"/>
      <c r="E107" s="256" t="s">
        <v>692</v>
      </c>
      <c r="F107" s="254" t="s">
        <v>856</v>
      </c>
      <c r="G107" s="137">
        <v>66552</v>
      </c>
      <c r="H107" s="138"/>
    </row>
    <row r="108" spans="1:8" ht="28.5" x14ac:dyDescent="0.3">
      <c r="A108" s="135" t="s">
        <v>873</v>
      </c>
      <c r="B108" s="267">
        <v>5231</v>
      </c>
      <c r="C108" s="1"/>
      <c r="D108" s="136"/>
      <c r="E108" s="256" t="s">
        <v>791</v>
      </c>
      <c r="F108" s="254" t="s">
        <v>857</v>
      </c>
      <c r="G108" s="137">
        <v>250000</v>
      </c>
      <c r="H108" s="138"/>
    </row>
    <row r="109" spans="1:8" ht="28.5" x14ac:dyDescent="0.3">
      <c r="A109" s="135" t="s">
        <v>873</v>
      </c>
      <c r="B109" s="267">
        <v>5235</v>
      </c>
      <c r="C109" s="1"/>
      <c r="D109" s="136"/>
      <c r="E109" s="256" t="s">
        <v>660</v>
      </c>
      <c r="F109" s="254" t="s">
        <v>858</v>
      </c>
      <c r="G109" s="137">
        <v>240720</v>
      </c>
      <c r="H109" s="138"/>
    </row>
    <row r="110" spans="1:8" ht="42.75" x14ac:dyDescent="0.3">
      <c r="A110" s="135" t="s">
        <v>873</v>
      </c>
      <c r="B110" s="267">
        <v>5247</v>
      </c>
      <c r="C110" s="1"/>
      <c r="D110" s="136"/>
      <c r="E110" s="256" t="s">
        <v>666</v>
      </c>
      <c r="F110" s="254" t="s">
        <v>859</v>
      </c>
      <c r="G110" s="137">
        <v>134639.29999999999</v>
      </c>
      <c r="H110" s="138"/>
    </row>
    <row r="111" spans="1:8" ht="28.5" x14ac:dyDescent="0.3">
      <c r="A111" s="135" t="s">
        <v>874</v>
      </c>
      <c r="B111" s="267">
        <v>5258</v>
      </c>
      <c r="C111" s="1"/>
      <c r="D111" s="136"/>
      <c r="E111" s="256" t="s">
        <v>791</v>
      </c>
      <c r="F111" s="254" t="s">
        <v>860</v>
      </c>
      <c r="G111" s="137">
        <v>220070</v>
      </c>
      <c r="H111" s="138"/>
    </row>
    <row r="112" spans="1:8" ht="28.5" x14ac:dyDescent="0.3">
      <c r="A112" s="135" t="s">
        <v>874</v>
      </c>
      <c r="B112" s="267">
        <v>5262</v>
      </c>
      <c r="C112" s="1"/>
      <c r="D112" s="136"/>
      <c r="E112" s="256" t="s">
        <v>664</v>
      </c>
      <c r="F112" s="254" t="s">
        <v>861</v>
      </c>
      <c r="G112" s="137">
        <v>79650</v>
      </c>
      <c r="H112" s="138"/>
    </row>
    <row r="113" spans="1:8" ht="28.5" x14ac:dyDescent="0.3">
      <c r="A113" s="135" t="s">
        <v>875</v>
      </c>
      <c r="B113" s="267">
        <v>5282</v>
      </c>
      <c r="C113" s="1"/>
      <c r="D113" s="136"/>
      <c r="E113" s="256" t="s">
        <v>797</v>
      </c>
      <c r="F113" s="254" t="s">
        <v>862</v>
      </c>
      <c r="G113" s="137">
        <v>1155000</v>
      </c>
      <c r="H113" s="138"/>
    </row>
    <row r="114" spans="1:8" ht="28.5" x14ac:dyDescent="0.3">
      <c r="A114" s="135" t="s">
        <v>901</v>
      </c>
      <c r="B114" s="267">
        <v>5290</v>
      </c>
      <c r="C114" s="1"/>
      <c r="D114" s="136"/>
      <c r="E114" s="256" t="s">
        <v>690</v>
      </c>
      <c r="F114" s="254" t="s">
        <v>803</v>
      </c>
      <c r="G114" s="137">
        <v>239138.55</v>
      </c>
      <c r="H114" s="138"/>
    </row>
    <row r="115" spans="1:8" ht="28.5" x14ac:dyDescent="0.3">
      <c r="A115" s="135" t="s">
        <v>902</v>
      </c>
      <c r="B115" s="267">
        <v>5295</v>
      </c>
      <c r="C115" s="1"/>
      <c r="D115" s="136"/>
      <c r="E115" s="256" t="s">
        <v>785</v>
      </c>
      <c r="F115" s="254" t="s">
        <v>888</v>
      </c>
      <c r="G115" s="137">
        <v>269040</v>
      </c>
      <c r="H115" s="138"/>
    </row>
    <row r="116" spans="1:8" ht="42.75" x14ac:dyDescent="0.3">
      <c r="A116" s="135" t="s">
        <v>902</v>
      </c>
      <c r="B116" s="267">
        <v>5301</v>
      </c>
      <c r="C116" s="1"/>
      <c r="D116" s="136"/>
      <c r="E116" s="256" t="s">
        <v>790</v>
      </c>
      <c r="F116" s="254" t="s">
        <v>889</v>
      </c>
      <c r="G116" s="137">
        <v>784700</v>
      </c>
      <c r="H116" s="138"/>
    </row>
    <row r="117" spans="1:8" ht="28.5" x14ac:dyDescent="0.3">
      <c r="A117" s="135" t="s">
        <v>902</v>
      </c>
      <c r="B117" s="267">
        <v>5309</v>
      </c>
      <c r="C117" s="1"/>
      <c r="D117" s="136"/>
      <c r="E117" s="256" t="s">
        <v>660</v>
      </c>
      <c r="F117" s="254" t="s">
        <v>890</v>
      </c>
      <c r="G117" s="137">
        <v>190680</v>
      </c>
      <c r="H117" s="138"/>
    </row>
    <row r="118" spans="1:8" ht="28.5" x14ac:dyDescent="0.3">
      <c r="A118" s="135" t="s">
        <v>902</v>
      </c>
      <c r="B118" s="267">
        <v>5313</v>
      </c>
      <c r="C118" s="1"/>
      <c r="D118" s="136"/>
      <c r="E118" s="256" t="s">
        <v>668</v>
      </c>
      <c r="F118" s="254" t="s">
        <v>891</v>
      </c>
      <c r="G118" s="137">
        <v>224500</v>
      </c>
      <c r="H118" s="138"/>
    </row>
    <row r="119" spans="1:8" ht="28.5" x14ac:dyDescent="0.3">
      <c r="A119" s="135" t="s">
        <v>902</v>
      </c>
      <c r="B119" s="267">
        <v>5317</v>
      </c>
      <c r="C119" s="1"/>
      <c r="D119" s="136"/>
      <c r="E119" s="256" t="s">
        <v>789</v>
      </c>
      <c r="F119" s="254" t="s">
        <v>892</v>
      </c>
      <c r="G119" s="137">
        <v>188482</v>
      </c>
      <c r="H119" s="138"/>
    </row>
    <row r="120" spans="1:8" ht="28.5" x14ac:dyDescent="0.3">
      <c r="A120" s="135" t="s">
        <v>902</v>
      </c>
      <c r="B120" s="267">
        <v>5323</v>
      </c>
      <c r="C120" s="1"/>
      <c r="D120" s="136"/>
      <c r="E120" s="256" t="s">
        <v>790</v>
      </c>
      <c r="F120" s="254" t="s">
        <v>893</v>
      </c>
      <c r="G120" s="137">
        <v>1456293.22</v>
      </c>
      <c r="H120" s="138"/>
    </row>
    <row r="121" spans="1:8" ht="28.5" x14ac:dyDescent="0.3">
      <c r="A121" s="135" t="s">
        <v>902</v>
      </c>
      <c r="B121" s="267">
        <v>5327</v>
      </c>
      <c r="C121" s="1"/>
      <c r="D121" s="136"/>
      <c r="E121" s="256" t="s">
        <v>728</v>
      </c>
      <c r="F121" s="254" t="s">
        <v>894</v>
      </c>
      <c r="G121" s="137">
        <v>51448</v>
      </c>
      <c r="H121" s="138"/>
    </row>
    <row r="122" spans="1:8" ht="28.5" x14ac:dyDescent="0.3">
      <c r="A122" s="135" t="s">
        <v>903</v>
      </c>
      <c r="B122" s="267">
        <v>5333</v>
      </c>
      <c r="C122" s="1"/>
      <c r="D122" s="136"/>
      <c r="E122" s="256" t="s">
        <v>790</v>
      </c>
      <c r="F122" s="254" t="s">
        <v>895</v>
      </c>
      <c r="G122" s="137">
        <v>1899800</v>
      </c>
      <c r="H122" s="138"/>
    </row>
    <row r="123" spans="1:8" ht="42.75" x14ac:dyDescent="0.3">
      <c r="A123" s="135" t="s">
        <v>903</v>
      </c>
      <c r="B123" s="267">
        <v>5339</v>
      </c>
      <c r="C123" s="1"/>
      <c r="D123" s="136"/>
      <c r="E123" s="256" t="s">
        <v>790</v>
      </c>
      <c r="F123" s="254" t="s">
        <v>896</v>
      </c>
      <c r="G123" s="137">
        <v>17700</v>
      </c>
      <c r="H123" s="138"/>
    </row>
    <row r="124" spans="1:8" ht="28.5" x14ac:dyDescent="0.3">
      <c r="A124" s="135" t="s">
        <v>903</v>
      </c>
      <c r="B124" s="267">
        <v>5343</v>
      </c>
      <c r="C124" s="1"/>
      <c r="D124" s="136"/>
      <c r="E124" s="256" t="s">
        <v>886</v>
      </c>
      <c r="F124" s="254" t="s">
        <v>897</v>
      </c>
      <c r="G124" s="137">
        <v>88560</v>
      </c>
      <c r="H124" s="138"/>
    </row>
    <row r="125" spans="1:8" ht="28.5" x14ac:dyDescent="0.3">
      <c r="A125" s="135" t="s">
        <v>903</v>
      </c>
      <c r="B125" s="267">
        <v>5347</v>
      </c>
      <c r="C125" s="1"/>
      <c r="D125" s="136"/>
      <c r="E125" s="256" t="s">
        <v>789</v>
      </c>
      <c r="F125" s="254" t="s">
        <v>898</v>
      </c>
      <c r="G125" s="137">
        <v>165195.20000000001</v>
      </c>
      <c r="H125" s="138"/>
    </row>
    <row r="126" spans="1:8" ht="28.5" x14ac:dyDescent="0.3">
      <c r="A126" s="135" t="s">
        <v>903</v>
      </c>
      <c r="B126" s="267">
        <v>5351</v>
      </c>
      <c r="C126" s="1"/>
      <c r="D126" s="136"/>
      <c r="E126" s="256" t="s">
        <v>887</v>
      </c>
      <c r="F126" s="254" t="s">
        <v>899</v>
      </c>
      <c r="G126" s="137">
        <v>251517</v>
      </c>
      <c r="H126" s="138"/>
    </row>
    <row r="127" spans="1:8" ht="28.5" x14ac:dyDescent="0.3">
      <c r="A127" s="135" t="s">
        <v>903</v>
      </c>
      <c r="B127" s="267">
        <v>5355</v>
      </c>
      <c r="C127" s="1"/>
      <c r="D127" s="136"/>
      <c r="E127" s="256" t="s">
        <v>661</v>
      </c>
      <c r="F127" s="254" t="s">
        <v>900</v>
      </c>
      <c r="G127" s="137">
        <v>15340</v>
      </c>
      <c r="H127" s="138"/>
    </row>
    <row r="128" spans="1:8" x14ac:dyDescent="0.25">
      <c r="A128" s="394" t="s">
        <v>348</v>
      </c>
      <c r="B128" s="394"/>
      <c r="C128" s="394"/>
      <c r="D128" s="394"/>
      <c r="E128" s="394"/>
      <c r="F128" s="394"/>
      <c r="G128" s="331">
        <f>SUM(G11:G127)</f>
        <v>164454899.13</v>
      </c>
      <c r="H128" s="332">
        <f>SUM(H12:H113)</f>
        <v>6039289.6500000004</v>
      </c>
    </row>
    <row r="130" spans="1:4" x14ac:dyDescent="0.25">
      <c r="A130" s="385" t="s">
        <v>669</v>
      </c>
      <c r="B130" s="386"/>
      <c r="C130" s="387"/>
    </row>
    <row r="131" spans="1:4" x14ac:dyDescent="0.25">
      <c r="A131" s="388" t="s">
        <v>670</v>
      </c>
      <c r="B131" s="389"/>
      <c r="C131" s="167">
        <v>30561658.600000001</v>
      </c>
      <c r="D131" s="222"/>
    </row>
    <row r="132" spans="1:4" x14ac:dyDescent="0.25">
      <c r="A132" s="388" t="s">
        <v>671</v>
      </c>
      <c r="B132" s="389"/>
      <c r="C132" s="167">
        <f>+G44</f>
        <v>56945.15</v>
      </c>
    </row>
    <row r="133" spans="1:4" x14ac:dyDescent="0.25">
      <c r="A133" s="388" t="s">
        <v>672</v>
      </c>
      <c r="B133" s="389"/>
      <c r="C133" s="167">
        <f>+G105+G104+G103+G97+G96+G94+G95+G93+G82+G81</f>
        <v>133740812.22999999</v>
      </c>
    </row>
    <row r="134" spans="1:4" x14ac:dyDescent="0.25">
      <c r="A134" s="388" t="s">
        <v>673</v>
      </c>
      <c r="B134" s="389"/>
      <c r="C134" s="167">
        <f>+G43+G45+G46+G47+G48+G49+G50</f>
        <v>95483.15</v>
      </c>
      <c r="D134" s="222"/>
    </row>
    <row r="135" spans="1:4" x14ac:dyDescent="0.25">
      <c r="A135" s="383" t="s">
        <v>674</v>
      </c>
      <c r="B135" s="384"/>
      <c r="C135" s="269">
        <f>+C131+C132+C133+C134</f>
        <v>164454899.13</v>
      </c>
      <c r="D135" s="222"/>
    </row>
  </sheetData>
  <sortState xmlns:xlrd2="http://schemas.microsoft.com/office/spreadsheetml/2017/richdata2" ref="A11:H114">
    <sortCondition ref="C11:C114"/>
  </sortState>
  <mergeCells count="11">
    <mergeCell ref="A5:H5"/>
    <mergeCell ref="A6:H6"/>
    <mergeCell ref="A7:H7"/>
    <mergeCell ref="A9:H9"/>
    <mergeCell ref="A128:F128"/>
    <mergeCell ref="A135:B135"/>
    <mergeCell ref="A130:C130"/>
    <mergeCell ref="A131:B131"/>
    <mergeCell ref="A132:B132"/>
    <mergeCell ref="A133:B133"/>
    <mergeCell ref="A134:B134"/>
  </mergeCells>
  <pageMargins left="0.70866141732283472" right="0.70866141732283472" top="0.74803149606299213" bottom="0.74803149606299213" header="0.31496062992125984" footer="0.31496062992125984"/>
  <pageSetup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7"/>
  <sheetViews>
    <sheetView zoomScale="90" zoomScaleNormal="90" workbookViewId="0">
      <selection activeCell="J9" sqref="J9"/>
    </sheetView>
  </sheetViews>
  <sheetFormatPr baseColWidth="10" defaultColWidth="12.5703125" defaultRowHeight="15" x14ac:dyDescent="0.25"/>
  <cols>
    <col min="9" max="9" width="32.28515625" customWidth="1"/>
    <col min="10" max="10" width="32.140625" customWidth="1"/>
    <col min="11" max="11" width="18.140625" customWidth="1"/>
  </cols>
  <sheetData>
    <row r="1" spans="1:11" x14ac:dyDescent="0.25">
      <c r="A1" s="139"/>
      <c r="B1" s="139"/>
      <c r="F1" s="350"/>
    </row>
    <row r="2" spans="1:11" x14ac:dyDescent="0.25">
      <c r="A2" s="139"/>
      <c r="B2" s="139"/>
    </row>
    <row r="3" spans="1:11" x14ac:dyDescent="0.25">
      <c r="A3" s="390"/>
      <c r="B3" s="390"/>
      <c r="C3" s="390"/>
      <c r="D3" s="390"/>
      <c r="E3" s="390"/>
      <c r="F3" s="390"/>
      <c r="G3" s="390"/>
      <c r="H3" s="390"/>
      <c r="I3" s="390"/>
    </row>
    <row r="4" spans="1:11" ht="18.75" x14ac:dyDescent="0.3">
      <c r="A4" s="397" t="s">
        <v>77</v>
      </c>
      <c r="B4" s="397"/>
      <c r="C4" s="397"/>
      <c r="D4" s="397"/>
      <c r="E4" s="397"/>
      <c r="F4" s="397"/>
      <c r="G4" s="397"/>
      <c r="H4" s="397"/>
      <c r="I4" s="397"/>
    </row>
    <row r="5" spans="1:11" ht="18.75" x14ac:dyDescent="0.3">
      <c r="A5" s="397" t="s">
        <v>641</v>
      </c>
      <c r="B5" s="397"/>
      <c r="C5" s="397"/>
      <c r="D5" s="397"/>
      <c r="E5" s="397"/>
      <c r="F5" s="397"/>
      <c r="G5" s="397"/>
      <c r="H5" s="397"/>
      <c r="I5" s="397"/>
    </row>
    <row r="6" spans="1:11" ht="18.75" x14ac:dyDescent="0.3">
      <c r="A6" s="397" t="s">
        <v>726</v>
      </c>
      <c r="B6" s="397"/>
      <c r="C6" s="397"/>
      <c r="D6" s="397"/>
      <c r="E6" s="397"/>
      <c r="F6" s="397"/>
      <c r="G6" s="397"/>
      <c r="H6" s="397"/>
      <c r="I6" s="397"/>
    </row>
    <row r="7" spans="1:11" ht="18.75" x14ac:dyDescent="0.3">
      <c r="A7" s="398" t="s">
        <v>727</v>
      </c>
      <c r="B7" s="398"/>
      <c r="C7" s="398"/>
      <c r="D7" s="398"/>
      <c r="E7" s="398"/>
      <c r="F7" s="398"/>
      <c r="G7" s="398"/>
      <c r="H7" s="398"/>
      <c r="I7" s="398"/>
    </row>
    <row r="8" spans="1:11" ht="15.75" x14ac:dyDescent="0.25">
      <c r="A8" s="395">
        <v>45962</v>
      </c>
      <c r="B8" s="396"/>
      <c r="C8" s="396"/>
      <c r="D8" s="351"/>
      <c r="E8" s="351"/>
      <c r="F8" s="351"/>
      <c r="G8" s="351"/>
      <c r="H8" s="351"/>
      <c r="I8" s="351"/>
      <c r="J8" t="s">
        <v>937</v>
      </c>
    </row>
    <row r="9" spans="1:11" ht="63" x14ac:dyDescent="0.25">
      <c r="A9" s="363" t="s">
        <v>441</v>
      </c>
      <c r="B9" s="277" t="s">
        <v>683</v>
      </c>
      <c r="C9" s="277" t="s">
        <v>684</v>
      </c>
      <c r="D9" s="364" t="s">
        <v>440</v>
      </c>
      <c r="E9" s="364" t="s">
        <v>439</v>
      </c>
      <c r="F9" s="118" t="s">
        <v>438</v>
      </c>
      <c r="G9" s="118" t="s">
        <v>437</v>
      </c>
      <c r="H9" s="364" t="s">
        <v>436</v>
      </c>
      <c r="I9" s="118" t="s">
        <v>435</v>
      </c>
      <c r="J9" s="118" t="s">
        <v>685</v>
      </c>
      <c r="K9" s="326" t="s">
        <v>686</v>
      </c>
    </row>
    <row r="10" spans="1:11" x14ac:dyDescent="0.25">
      <c r="I10" s="184"/>
    </row>
    <row r="11" spans="1:11" x14ac:dyDescent="0.25">
      <c r="I11" s="184"/>
    </row>
    <row r="12" spans="1:11" x14ac:dyDescent="0.25">
      <c r="I12" s="184"/>
    </row>
    <row r="13" spans="1:11" x14ac:dyDescent="0.25">
      <c r="I13" s="184"/>
    </row>
    <row r="14" spans="1:11" x14ac:dyDescent="0.25">
      <c r="I14" s="184"/>
    </row>
    <row r="15" spans="1:11" x14ac:dyDescent="0.25">
      <c r="I15" s="184"/>
    </row>
    <row r="16" spans="1:11" x14ac:dyDescent="0.25">
      <c r="I16" s="184"/>
    </row>
    <row r="17" spans="9:9" x14ac:dyDescent="0.25">
      <c r="I17" s="184"/>
    </row>
    <row r="18" spans="9:9" x14ac:dyDescent="0.25">
      <c r="I18" s="184"/>
    </row>
    <row r="19" spans="9:9" x14ac:dyDescent="0.25">
      <c r="I19" s="184"/>
    </row>
    <row r="20" spans="9:9" x14ac:dyDescent="0.25">
      <c r="I20" s="184"/>
    </row>
    <row r="21" spans="9:9" x14ac:dyDescent="0.25">
      <c r="I21" s="184"/>
    </row>
    <row r="22" spans="9:9" x14ac:dyDescent="0.25">
      <c r="I22" s="184"/>
    </row>
    <row r="23" spans="9:9" x14ac:dyDescent="0.25">
      <c r="I23" s="184"/>
    </row>
    <row r="24" spans="9:9" x14ac:dyDescent="0.25">
      <c r="I24" s="184"/>
    </row>
    <row r="25" spans="9:9" x14ac:dyDescent="0.25">
      <c r="I25" s="184"/>
    </row>
    <row r="26" spans="9:9" x14ac:dyDescent="0.25">
      <c r="I26" s="184"/>
    </row>
    <row r="27" spans="9:9" x14ac:dyDescent="0.25">
      <c r="I27" s="184"/>
    </row>
    <row r="28" spans="9:9" x14ac:dyDescent="0.25">
      <c r="I28" s="184"/>
    </row>
    <row r="29" spans="9:9" x14ac:dyDescent="0.25">
      <c r="I29" s="184"/>
    </row>
    <row r="30" spans="9:9" x14ac:dyDescent="0.25">
      <c r="I30" s="184"/>
    </row>
    <row r="31" spans="9:9" x14ac:dyDescent="0.25">
      <c r="I31" s="184"/>
    </row>
    <row r="32" spans="9:9" x14ac:dyDescent="0.25">
      <c r="I32" s="184"/>
    </row>
    <row r="33" spans="9:9" x14ac:dyDescent="0.25">
      <c r="I33" s="184"/>
    </row>
    <row r="34" spans="9:9" x14ac:dyDescent="0.25">
      <c r="I34" s="184"/>
    </row>
    <row r="35" spans="9:9" x14ac:dyDescent="0.25">
      <c r="I35" s="184"/>
    </row>
    <row r="36" spans="9:9" x14ac:dyDescent="0.25">
      <c r="I36" s="184"/>
    </row>
    <row r="37" spans="9:9" x14ac:dyDescent="0.25">
      <c r="I37" s="184"/>
    </row>
    <row r="38" spans="9:9" x14ac:dyDescent="0.25">
      <c r="I38" s="184"/>
    </row>
    <row r="39" spans="9:9" x14ac:dyDescent="0.25">
      <c r="I39" s="184"/>
    </row>
    <row r="40" spans="9:9" x14ac:dyDescent="0.25">
      <c r="I40" s="184"/>
    </row>
    <row r="41" spans="9:9" x14ac:dyDescent="0.25">
      <c r="I41" s="184"/>
    </row>
    <row r="42" spans="9:9" x14ac:dyDescent="0.25">
      <c r="I42" s="184"/>
    </row>
    <row r="43" spans="9:9" x14ac:dyDescent="0.25">
      <c r="I43" s="184"/>
    </row>
    <row r="44" spans="9:9" x14ac:dyDescent="0.25">
      <c r="I44" s="184"/>
    </row>
    <row r="45" spans="9:9" x14ac:dyDescent="0.25">
      <c r="I45" s="184"/>
    </row>
    <row r="46" spans="9:9" x14ac:dyDescent="0.25">
      <c r="I46" s="184"/>
    </row>
    <row r="47" spans="9:9" x14ac:dyDescent="0.25">
      <c r="I47" s="184"/>
    </row>
    <row r="48" spans="9:9" x14ac:dyDescent="0.25">
      <c r="I48" s="184"/>
    </row>
    <row r="49" spans="9:9" x14ac:dyDescent="0.25">
      <c r="I49" s="184"/>
    </row>
    <row r="50" spans="9:9" x14ac:dyDescent="0.25">
      <c r="I50" s="184"/>
    </row>
    <row r="51" spans="9:9" x14ac:dyDescent="0.25">
      <c r="I51" s="184"/>
    </row>
    <row r="52" spans="9:9" x14ac:dyDescent="0.25">
      <c r="I52" s="184"/>
    </row>
    <row r="53" spans="9:9" x14ac:dyDescent="0.25">
      <c r="I53" s="184"/>
    </row>
    <row r="54" spans="9:9" x14ac:dyDescent="0.25">
      <c r="I54" s="184"/>
    </row>
    <row r="55" spans="9:9" x14ac:dyDescent="0.25">
      <c r="I55" s="184"/>
    </row>
    <row r="56" spans="9:9" x14ac:dyDescent="0.25">
      <c r="I56" s="184"/>
    </row>
    <row r="57" spans="9:9" x14ac:dyDescent="0.25">
      <c r="I57" s="184"/>
    </row>
    <row r="58" spans="9:9" x14ac:dyDescent="0.25">
      <c r="I58" s="184"/>
    </row>
    <row r="59" spans="9:9" x14ac:dyDescent="0.25">
      <c r="I59" s="184"/>
    </row>
    <row r="60" spans="9:9" x14ac:dyDescent="0.25">
      <c r="I60" s="184"/>
    </row>
    <row r="61" spans="9:9" x14ac:dyDescent="0.25">
      <c r="I61" s="184"/>
    </row>
    <row r="62" spans="9:9" x14ac:dyDescent="0.25">
      <c r="I62" s="184"/>
    </row>
    <row r="63" spans="9:9" x14ac:dyDescent="0.25">
      <c r="I63" s="184"/>
    </row>
    <row r="64" spans="9:9" x14ac:dyDescent="0.25">
      <c r="I64" s="184"/>
    </row>
    <row r="65" spans="9:9" x14ac:dyDescent="0.25">
      <c r="I65" s="184"/>
    </row>
    <row r="66" spans="9:9" x14ac:dyDescent="0.25">
      <c r="I66" s="184"/>
    </row>
    <row r="67" spans="9:9" x14ac:dyDescent="0.25">
      <c r="I67" s="184"/>
    </row>
    <row r="68" spans="9:9" x14ac:dyDescent="0.25">
      <c r="I68" s="184"/>
    </row>
    <row r="69" spans="9:9" x14ac:dyDescent="0.25">
      <c r="I69" s="184"/>
    </row>
    <row r="70" spans="9:9" x14ac:dyDescent="0.25">
      <c r="I70" s="184"/>
    </row>
    <row r="71" spans="9:9" x14ac:dyDescent="0.25">
      <c r="I71" s="184"/>
    </row>
    <row r="72" spans="9:9" x14ac:dyDescent="0.25">
      <c r="I72" s="184"/>
    </row>
    <row r="73" spans="9:9" x14ac:dyDescent="0.25">
      <c r="I73" s="184"/>
    </row>
    <row r="74" spans="9:9" x14ac:dyDescent="0.25">
      <c r="I74" s="184"/>
    </row>
    <row r="75" spans="9:9" x14ac:dyDescent="0.25">
      <c r="I75" s="184"/>
    </row>
    <row r="76" spans="9:9" x14ac:dyDescent="0.25">
      <c r="I76" s="184"/>
    </row>
    <row r="77" spans="9:9" x14ac:dyDescent="0.25">
      <c r="I77" s="184"/>
    </row>
    <row r="78" spans="9:9" x14ac:dyDescent="0.25">
      <c r="I78" s="184"/>
    </row>
    <row r="79" spans="9:9" x14ac:dyDescent="0.25">
      <c r="I79" s="184"/>
    </row>
    <row r="80" spans="9:9" x14ac:dyDescent="0.25">
      <c r="I80" s="184"/>
    </row>
    <row r="81" spans="9:9" x14ac:dyDescent="0.25">
      <c r="I81" s="184"/>
    </row>
    <row r="82" spans="9:9" x14ac:dyDescent="0.25">
      <c r="I82" s="184"/>
    </row>
    <row r="83" spans="9:9" x14ac:dyDescent="0.25">
      <c r="I83" s="184"/>
    </row>
    <row r="84" spans="9:9" x14ac:dyDescent="0.25">
      <c r="I84" s="184"/>
    </row>
    <row r="85" spans="9:9" x14ac:dyDescent="0.25">
      <c r="I85" s="184"/>
    </row>
    <row r="86" spans="9:9" x14ac:dyDescent="0.25">
      <c r="I86" s="184"/>
    </row>
    <row r="87" spans="9:9" x14ac:dyDescent="0.25">
      <c r="I87" s="184"/>
    </row>
    <row r="88" spans="9:9" x14ac:dyDescent="0.25">
      <c r="I88" s="184"/>
    </row>
    <row r="89" spans="9:9" x14ac:dyDescent="0.25">
      <c r="I89" s="184"/>
    </row>
    <row r="90" spans="9:9" x14ac:dyDescent="0.25">
      <c r="I90" s="184"/>
    </row>
    <row r="91" spans="9:9" x14ac:dyDescent="0.25">
      <c r="I91" s="184"/>
    </row>
    <row r="92" spans="9:9" x14ac:dyDescent="0.25">
      <c r="I92" s="184"/>
    </row>
    <row r="93" spans="9:9" x14ac:dyDescent="0.25">
      <c r="I93" s="184"/>
    </row>
    <row r="94" spans="9:9" x14ac:dyDescent="0.25">
      <c r="I94" s="184"/>
    </row>
    <row r="95" spans="9:9" x14ac:dyDescent="0.25">
      <c r="I95" s="184"/>
    </row>
    <row r="96" spans="9:9" x14ac:dyDescent="0.25">
      <c r="I96" s="184"/>
    </row>
    <row r="97" spans="9:9" x14ac:dyDescent="0.25">
      <c r="I97" s="184"/>
    </row>
    <row r="98" spans="9:9" x14ac:dyDescent="0.25">
      <c r="I98" s="184"/>
    </row>
    <row r="99" spans="9:9" x14ac:dyDescent="0.25">
      <c r="I99" s="184"/>
    </row>
    <row r="100" spans="9:9" x14ac:dyDescent="0.25">
      <c r="I100" s="184"/>
    </row>
    <row r="101" spans="9:9" x14ac:dyDescent="0.25">
      <c r="I101" s="184"/>
    </row>
    <row r="102" spans="9:9" x14ac:dyDescent="0.25">
      <c r="I102" s="184"/>
    </row>
    <row r="103" spans="9:9" x14ac:dyDescent="0.25">
      <c r="I103" s="184"/>
    </row>
    <row r="104" spans="9:9" x14ac:dyDescent="0.25">
      <c r="I104" s="184"/>
    </row>
    <row r="105" spans="9:9" x14ac:dyDescent="0.25">
      <c r="I105" s="184"/>
    </row>
    <row r="106" spans="9:9" x14ac:dyDescent="0.25">
      <c r="I106" s="184"/>
    </row>
    <row r="107" spans="9:9" x14ac:dyDescent="0.25">
      <c r="I107" s="184"/>
    </row>
    <row r="108" spans="9:9" x14ac:dyDescent="0.25">
      <c r="I108" s="184"/>
    </row>
    <row r="109" spans="9:9" x14ac:dyDescent="0.25">
      <c r="I109" s="184"/>
    </row>
    <row r="110" spans="9:9" x14ac:dyDescent="0.25">
      <c r="I110" s="184"/>
    </row>
    <row r="111" spans="9:9" x14ac:dyDescent="0.25">
      <c r="I111" s="184"/>
    </row>
    <row r="112" spans="9:9" x14ac:dyDescent="0.25">
      <c r="I112" s="184"/>
    </row>
    <row r="113" spans="9:9" x14ac:dyDescent="0.25">
      <c r="I113" s="184"/>
    </row>
    <row r="114" spans="9:9" x14ac:dyDescent="0.25">
      <c r="I114" s="184"/>
    </row>
    <row r="115" spans="9:9" x14ac:dyDescent="0.25">
      <c r="I115" s="184"/>
    </row>
    <row r="116" spans="9:9" x14ac:dyDescent="0.25">
      <c r="I116" s="184"/>
    </row>
    <row r="117" spans="9:9" x14ac:dyDescent="0.25">
      <c r="I117" s="184"/>
    </row>
    <row r="118" spans="9:9" x14ac:dyDescent="0.25">
      <c r="I118" s="184"/>
    </row>
    <row r="119" spans="9:9" x14ac:dyDescent="0.25">
      <c r="I119" s="184"/>
    </row>
    <row r="120" spans="9:9" x14ac:dyDescent="0.25">
      <c r="I120" s="184"/>
    </row>
    <row r="121" spans="9:9" x14ac:dyDescent="0.25">
      <c r="I121" s="184"/>
    </row>
    <row r="122" spans="9:9" x14ac:dyDescent="0.25">
      <c r="I122" s="184"/>
    </row>
    <row r="123" spans="9:9" x14ac:dyDescent="0.25">
      <c r="I123" s="184"/>
    </row>
    <row r="124" spans="9:9" x14ac:dyDescent="0.25">
      <c r="I124" s="184"/>
    </row>
    <row r="125" spans="9:9" x14ac:dyDescent="0.25">
      <c r="I125" s="184"/>
    </row>
    <row r="126" spans="9:9" x14ac:dyDescent="0.25">
      <c r="I126" s="184"/>
    </row>
    <row r="127" spans="9:9" x14ac:dyDescent="0.25">
      <c r="I127" s="184"/>
    </row>
    <row r="128" spans="9:9" x14ac:dyDescent="0.25">
      <c r="I128" s="184"/>
    </row>
    <row r="129" spans="9:9" x14ac:dyDescent="0.25">
      <c r="I129" s="184"/>
    </row>
    <row r="130" spans="9:9" x14ac:dyDescent="0.25">
      <c r="I130" s="184"/>
    </row>
    <row r="131" spans="9:9" x14ac:dyDescent="0.25">
      <c r="I131" s="184"/>
    </row>
    <row r="132" spans="9:9" x14ac:dyDescent="0.25">
      <c r="I132" s="184"/>
    </row>
    <row r="133" spans="9:9" x14ac:dyDescent="0.25">
      <c r="I133" s="184"/>
    </row>
    <row r="134" spans="9:9" x14ac:dyDescent="0.25">
      <c r="I134" s="184"/>
    </row>
    <row r="135" spans="9:9" x14ac:dyDescent="0.25">
      <c r="I135" s="184"/>
    </row>
    <row r="136" spans="9:9" x14ac:dyDescent="0.25">
      <c r="I136" s="184"/>
    </row>
    <row r="137" spans="9:9" x14ac:dyDescent="0.25">
      <c r="I137" s="184"/>
    </row>
    <row r="138" spans="9:9" x14ac:dyDescent="0.25">
      <c r="I138" s="184"/>
    </row>
    <row r="139" spans="9:9" x14ac:dyDescent="0.25">
      <c r="I139" s="184"/>
    </row>
    <row r="140" spans="9:9" x14ac:dyDescent="0.25">
      <c r="I140" s="184"/>
    </row>
    <row r="141" spans="9:9" x14ac:dyDescent="0.25">
      <c r="I141" s="184"/>
    </row>
    <row r="142" spans="9:9" x14ac:dyDescent="0.25">
      <c r="I142" s="184"/>
    </row>
    <row r="143" spans="9:9" x14ac:dyDescent="0.25">
      <c r="I143" s="184"/>
    </row>
    <row r="144" spans="9:9" x14ac:dyDescent="0.25">
      <c r="I144" s="184"/>
    </row>
    <row r="145" spans="9:9" x14ac:dyDescent="0.25">
      <c r="I145" s="184"/>
    </row>
    <row r="146" spans="9:9" x14ac:dyDescent="0.25">
      <c r="I146" s="184"/>
    </row>
    <row r="147" spans="9:9" x14ac:dyDescent="0.25">
      <c r="I147" s="184"/>
    </row>
  </sheetData>
  <mergeCells count="6">
    <mergeCell ref="A8:C8"/>
    <mergeCell ref="A3:I3"/>
    <mergeCell ref="A6:I6"/>
    <mergeCell ref="A7:I7"/>
    <mergeCell ref="A4:I4"/>
    <mergeCell ref="A5:I5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11"/>
  <sheetViews>
    <sheetView topLeftCell="A4" zoomScale="90" zoomScaleNormal="90" workbookViewId="0">
      <selection activeCell="G16" sqref="G16"/>
    </sheetView>
  </sheetViews>
  <sheetFormatPr baseColWidth="10" defaultColWidth="2.85546875" defaultRowHeight="12.75" x14ac:dyDescent="0.2"/>
  <cols>
    <col min="1" max="1" width="5.7109375" style="3" customWidth="1"/>
    <col min="2" max="2" width="13" style="3" customWidth="1"/>
    <col min="3" max="3" width="9.42578125" style="3" customWidth="1"/>
    <col min="4" max="4" width="11.28515625" style="3" customWidth="1"/>
    <col min="5" max="5" width="12.140625" style="3" customWidth="1"/>
    <col min="6" max="6" width="46.42578125" style="3" customWidth="1"/>
    <col min="7" max="8" width="17.140625" style="3" customWidth="1"/>
    <col min="9" max="9" width="18.7109375" style="3" bestFit="1" customWidth="1"/>
    <col min="10" max="10" width="24.42578125" style="3" customWidth="1"/>
    <col min="11" max="11" width="11.42578125" style="3" customWidth="1"/>
    <col min="12" max="12" width="14.5703125" style="3" bestFit="1" customWidth="1"/>
    <col min="13" max="13" width="15" style="3" bestFit="1" customWidth="1"/>
    <col min="14" max="15" width="14.5703125" style="3" bestFit="1" customWidth="1"/>
    <col min="16" max="252" width="11.42578125" style="3" customWidth="1"/>
    <col min="253" max="253" width="3.28515625" style="3" customWidth="1"/>
    <col min="254" max="254" width="4.140625" style="3" customWidth="1"/>
    <col min="255" max="16384" width="2.85546875" style="3"/>
  </cols>
  <sheetData>
    <row r="1" spans="1:14" ht="15" x14ac:dyDescent="0.25">
      <c r="A1" s="94" t="s">
        <v>345</v>
      </c>
      <c r="B1" s="93"/>
      <c r="C1" s="93"/>
      <c r="D1" s="93"/>
      <c r="E1" s="93"/>
      <c r="F1" s="93"/>
      <c r="G1" s="93"/>
      <c r="H1" s="93"/>
      <c r="I1" s="92"/>
      <c r="J1" s="91"/>
    </row>
    <row r="2" spans="1:14" ht="23.25" x14ac:dyDescent="0.35">
      <c r="A2" s="400"/>
      <c r="B2" s="401"/>
      <c r="C2" s="401"/>
      <c r="D2" s="401"/>
      <c r="E2" s="401"/>
      <c r="F2" s="401"/>
      <c r="G2" s="401"/>
      <c r="H2" s="401"/>
      <c r="I2" s="90"/>
      <c r="J2" s="89"/>
    </row>
    <row r="3" spans="1:14" ht="26.25" x14ac:dyDescent="0.4">
      <c r="A3" s="402" t="s">
        <v>344</v>
      </c>
      <c r="B3" s="403"/>
      <c r="C3" s="403"/>
      <c r="D3" s="403"/>
      <c r="E3" s="403"/>
      <c r="F3" s="403"/>
      <c r="G3" s="403"/>
      <c r="H3" s="403"/>
      <c r="I3" s="403"/>
      <c r="J3" s="404"/>
    </row>
    <row r="4" spans="1:14" s="248" customFormat="1" ht="18.75" x14ac:dyDescent="0.3">
      <c r="A4" s="405" t="s">
        <v>420</v>
      </c>
      <c r="B4" s="406"/>
      <c r="C4" s="406"/>
      <c r="D4" s="406"/>
      <c r="E4" s="406"/>
      <c r="F4" s="406"/>
      <c r="G4" s="406"/>
      <c r="H4" s="406"/>
      <c r="I4" s="406"/>
      <c r="J4" s="407"/>
    </row>
    <row r="5" spans="1:14" ht="15" x14ac:dyDescent="0.25">
      <c r="A5" s="408" t="s">
        <v>343</v>
      </c>
      <c r="B5" s="409"/>
      <c r="C5" s="409"/>
      <c r="D5" s="409"/>
      <c r="E5" s="409"/>
      <c r="F5" s="409"/>
      <c r="G5" s="409"/>
      <c r="H5" s="409"/>
      <c r="I5" s="409"/>
      <c r="J5" s="410"/>
    </row>
    <row r="6" spans="1:14" ht="15.75" x14ac:dyDescent="0.25">
      <c r="A6" s="411" t="s">
        <v>657</v>
      </c>
      <c r="B6" s="412"/>
      <c r="C6" s="412"/>
      <c r="D6" s="412"/>
      <c r="E6" s="412"/>
      <c r="F6" s="412"/>
      <c r="G6" s="412"/>
      <c r="H6" s="412"/>
      <c r="I6" s="412"/>
      <c r="J6" s="413"/>
    </row>
    <row r="7" spans="1:14" ht="15.75" x14ac:dyDescent="0.25">
      <c r="A7" s="414" t="s">
        <v>732</v>
      </c>
      <c r="B7" s="415"/>
      <c r="C7" s="415"/>
      <c r="D7" s="415"/>
      <c r="E7" s="415"/>
      <c r="F7" s="415"/>
      <c r="G7" s="415"/>
      <c r="H7" s="415"/>
      <c r="I7" s="415"/>
      <c r="J7" s="416"/>
    </row>
    <row r="8" spans="1:14" ht="15.75" x14ac:dyDescent="0.25">
      <c r="A8" s="88"/>
      <c r="B8" s="87"/>
      <c r="C8" s="87" t="s">
        <v>342</v>
      </c>
      <c r="D8" s="87"/>
      <c r="E8" s="87"/>
      <c r="F8" s="87"/>
      <c r="G8" s="87"/>
      <c r="H8" s="87"/>
      <c r="I8" s="87"/>
      <c r="J8" s="86"/>
    </row>
    <row r="9" spans="1:14" ht="15.75" x14ac:dyDescent="0.25">
      <c r="A9" s="73"/>
      <c r="B9" s="72"/>
      <c r="C9" s="72"/>
      <c r="D9" s="72"/>
      <c r="E9" s="85" t="s">
        <v>341</v>
      </c>
      <c r="F9" s="60"/>
      <c r="G9" s="84"/>
      <c r="H9" s="84"/>
      <c r="I9" s="84"/>
      <c r="J9" s="59"/>
    </row>
    <row r="10" spans="1:14" ht="15.75" x14ac:dyDescent="0.25">
      <c r="A10" s="73"/>
      <c r="B10" s="72"/>
      <c r="C10" s="72"/>
      <c r="D10" s="72"/>
      <c r="E10" s="77" t="s">
        <v>339</v>
      </c>
      <c r="F10" s="60"/>
      <c r="G10" s="74"/>
      <c r="H10" s="81" t="s">
        <v>338</v>
      </c>
      <c r="I10" s="74"/>
      <c r="J10" s="59"/>
      <c r="L10" s="121" t="s">
        <v>382</v>
      </c>
    </row>
    <row r="11" spans="1:14" ht="15.75" x14ac:dyDescent="0.25">
      <c r="A11" s="73"/>
      <c r="B11" s="72"/>
      <c r="C11" s="72"/>
      <c r="D11" s="72"/>
      <c r="E11" s="77" t="s">
        <v>334</v>
      </c>
      <c r="F11" s="60"/>
      <c r="G11" s="74"/>
      <c r="H11" s="83"/>
      <c r="I11" s="78"/>
      <c r="J11" s="59"/>
    </row>
    <row r="12" spans="1:14" ht="15.75" x14ac:dyDescent="0.25">
      <c r="A12" s="73"/>
      <c r="B12" s="72"/>
      <c r="C12" s="72"/>
      <c r="D12" s="72"/>
      <c r="E12" s="77" t="s">
        <v>333</v>
      </c>
      <c r="F12" s="60"/>
      <c r="G12" s="80">
        <v>5363379.0399999926</v>
      </c>
      <c r="H12" s="79"/>
      <c r="I12" s="78"/>
      <c r="J12" s="59"/>
    </row>
    <row r="13" spans="1:14" ht="15.75" x14ac:dyDescent="0.25">
      <c r="A13" s="73"/>
      <c r="B13" s="72"/>
      <c r="C13" s="72"/>
      <c r="D13" s="72"/>
      <c r="E13" s="82" t="s">
        <v>340</v>
      </c>
      <c r="F13" s="60"/>
      <c r="G13" s="78"/>
      <c r="H13" s="78"/>
      <c r="I13" s="78"/>
      <c r="J13" s="59"/>
    </row>
    <row r="14" spans="1:14" ht="15.75" x14ac:dyDescent="0.25">
      <c r="A14" s="73"/>
      <c r="B14" s="72"/>
      <c r="C14" s="72"/>
      <c r="D14" s="72"/>
      <c r="E14" s="77" t="s">
        <v>339</v>
      </c>
      <c r="F14" s="60"/>
      <c r="G14" s="74"/>
      <c r="H14" s="81" t="s">
        <v>338</v>
      </c>
      <c r="I14" s="74"/>
      <c r="J14" s="59"/>
      <c r="L14" s="3" t="s">
        <v>337</v>
      </c>
      <c r="M14" s="3" t="s">
        <v>336</v>
      </c>
      <c r="N14" s="3" t="s">
        <v>335</v>
      </c>
    </row>
    <row r="15" spans="1:14" ht="15.75" x14ac:dyDescent="0.25">
      <c r="A15" s="73"/>
      <c r="B15" s="72"/>
      <c r="C15" s="72"/>
      <c r="D15" s="72"/>
      <c r="E15" s="77" t="s">
        <v>334</v>
      </c>
      <c r="F15" s="60"/>
      <c r="G15" s="80">
        <f>+'INGR SEGUN ORIGEN'!E12</f>
        <v>156268217.93000001</v>
      </c>
      <c r="H15" s="79" t="s">
        <v>325</v>
      </c>
      <c r="I15" s="74"/>
      <c r="J15" s="59"/>
      <c r="L15" s="3">
        <v>2.1</v>
      </c>
      <c r="M15" s="58">
        <f>G26</f>
        <v>133740812.23000002</v>
      </c>
      <c r="N15" s="58">
        <f>H26</f>
        <v>0</v>
      </c>
    </row>
    <row r="16" spans="1:14" ht="15.75" x14ac:dyDescent="0.25">
      <c r="A16" s="73"/>
      <c r="B16" s="72"/>
      <c r="C16" s="72"/>
      <c r="D16" s="72"/>
      <c r="E16" s="77" t="s">
        <v>333</v>
      </c>
      <c r="F16" s="60"/>
      <c r="G16" s="80">
        <f>+'INGR SEGUN ORIGEN'!E35+'INGR SEGUN ORIGEN'!E42</f>
        <v>9309369.0899999999</v>
      </c>
      <c r="H16" s="79"/>
      <c r="I16" s="78"/>
      <c r="J16" s="59"/>
      <c r="L16" s="3">
        <v>2.2000000000000002</v>
      </c>
      <c r="M16" s="58">
        <f>G87</f>
        <v>1896797.14</v>
      </c>
      <c r="N16" s="58">
        <f>H87</f>
        <v>2083820.5399999998</v>
      </c>
    </row>
    <row r="17" spans="1:16" ht="15.75" x14ac:dyDescent="0.25">
      <c r="A17" s="73"/>
      <c r="B17" s="72"/>
      <c r="C17" s="72"/>
      <c r="D17" s="72"/>
      <c r="E17" s="77"/>
      <c r="F17" s="60"/>
      <c r="G17" s="76"/>
      <c r="H17" s="75" t="s">
        <v>332</v>
      </c>
      <c r="I17" s="74">
        <f>+G10+G11+G12+I10+G14+G15+G16+I14+I15</f>
        <v>170940966.06</v>
      </c>
      <c r="J17" s="59"/>
      <c r="L17" s="3">
        <v>2.2999999999999998</v>
      </c>
      <c r="M17" s="58">
        <f>'CONS. FUENTES FINAN'!G212</f>
        <v>13779851.370000001</v>
      </c>
      <c r="N17" s="58">
        <f>'CONS. FUENTES FINAN'!H212</f>
        <v>2184325.87</v>
      </c>
    </row>
    <row r="18" spans="1:16" ht="15.75" x14ac:dyDescent="0.25">
      <c r="A18" s="73"/>
      <c r="B18" s="72"/>
      <c r="C18" s="72"/>
      <c r="D18" s="72"/>
      <c r="E18" s="71"/>
      <c r="F18" s="70"/>
      <c r="G18" s="69"/>
      <c r="H18" s="69"/>
      <c r="I18" s="60"/>
      <c r="J18" s="59"/>
      <c r="L18" s="3">
        <v>2.4</v>
      </c>
      <c r="M18" s="58">
        <f>G330</f>
        <v>0</v>
      </c>
      <c r="N18" s="58">
        <f>H330</f>
        <v>3600</v>
      </c>
    </row>
    <row r="19" spans="1:16" ht="15.75" x14ac:dyDescent="0.25">
      <c r="A19" s="68"/>
      <c r="B19" s="66"/>
      <c r="C19" s="67"/>
      <c r="D19" s="66"/>
      <c r="E19" s="65"/>
      <c r="F19" s="64"/>
      <c r="G19" s="64"/>
      <c r="H19" s="64"/>
      <c r="I19" s="63"/>
      <c r="J19" s="62"/>
      <c r="L19" s="3">
        <v>2.6</v>
      </c>
      <c r="M19" s="58">
        <f>G336</f>
        <v>8010447.2599999988</v>
      </c>
      <c r="N19" s="58">
        <f>H336</f>
        <v>2755244.7199999997</v>
      </c>
    </row>
    <row r="20" spans="1:16" x14ac:dyDescent="0.2">
      <c r="A20" s="61"/>
      <c r="B20" s="60"/>
      <c r="C20" s="60"/>
      <c r="D20" s="60"/>
      <c r="E20" s="60"/>
      <c r="F20" s="60"/>
      <c r="G20" s="60"/>
      <c r="H20" s="60"/>
      <c r="I20" s="60"/>
      <c r="J20" s="59"/>
      <c r="L20" s="3">
        <v>2.7</v>
      </c>
      <c r="M20" s="58">
        <f>'CONS. FUENTES FINAN'!G463</f>
        <v>0</v>
      </c>
      <c r="N20" s="58">
        <f>'CONS. FUENTES FINAN'!H463</f>
        <v>0</v>
      </c>
    </row>
    <row r="21" spans="1:16" x14ac:dyDescent="0.2">
      <c r="A21" s="417">
        <v>1</v>
      </c>
      <c r="B21" s="417"/>
      <c r="C21" s="417"/>
      <c r="D21" s="417"/>
      <c r="E21" s="417"/>
      <c r="F21" s="57">
        <v>2</v>
      </c>
      <c r="G21" s="418">
        <v>3</v>
      </c>
      <c r="H21" s="419"/>
      <c r="I21" s="56">
        <v>4</v>
      </c>
      <c r="J21" s="56">
        <v>5</v>
      </c>
    </row>
    <row r="22" spans="1:16" x14ac:dyDescent="0.2">
      <c r="A22" s="420" t="s">
        <v>331</v>
      </c>
      <c r="B22" s="420"/>
      <c r="C22" s="420"/>
      <c r="D22" s="420"/>
      <c r="E22" s="420"/>
      <c r="F22" s="431" t="s">
        <v>330</v>
      </c>
      <c r="G22" s="434" t="s">
        <v>329</v>
      </c>
      <c r="H22" s="435"/>
      <c r="I22" s="426" t="s">
        <v>328</v>
      </c>
      <c r="J22" s="421" t="s">
        <v>72</v>
      </c>
    </row>
    <row r="23" spans="1:16" ht="29.25" customHeight="1" x14ac:dyDescent="0.2">
      <c r="A23" s="424" t="s">
        <v>76</v>
      </c>
      <c r="B23" s="424" t="s">
        <v>75</v>
      </c>
      <c r="C23" s="424" t="s">
        <v>74</v>
      </c>
      <c r="D23" s="424" t="s">
        <v>327</v>
      </c>
      <c r="E23" s="424" t="s">
        <v>73</v>
      </c>
      <c r="F23" s="432"/>
      <c r="G23" s="429" t="s">
        <v>423</v>
      </c>
      <c r="H23" s="429" t="s">
        <v>326</v>
      </c>
      <c r="I23" s="427"/>
      <c r="J23" s="422"/>
      <c r="L23" s="399"/>
      <c r="M23" s="399"/>
      <c r="N23" s="399"/>
      <c r="O23" s="399"/>
      <c r="P23" s="399"/>
    </row>
    <row r="24" spans="1:16" ht="18.75" customHeight="1" x14ac:dyDescent="0.2">
      <c r="A24" s="425"/>
      <c r="B24" s="425"/>
      <c r="C24" s="425"/>
      <c r="D24" s="425"/>
      <c r="E24" s="425"/>
      <c r="F24" s="433"/>
      <c r="G24" s="430"/>
      <c r="H24" s="430"/>
      <c r="I24" s="428"/>
      <c r="J24" s="423"/>
      <c r="L24" s="55"/>
      <c r="M24" s="55"/>
      <c r="N24" s="55"/>
      <c r="O24" s="55"/>
      <c r="P24" s="55"/>
    </row>
    <row r="25" spans="1:16" ht="13.5" thickBot="1" x14ac:dyDescent="0.25">
      <c r="A25" s="54">
        <v>2</v>
      </c>
      <c r="B25" s="53"/>
      <c r="C25" s="53"/>
      <c r="D25" s="53"/>
      <c r="E25" s="53"/>
      <c r="F25" s="52" t="s">
        <v>324</v>
      </c>
      <c r="G25" s="51">
        <f>+G26+G87+G212+G330+G336+G463</f>
        <v>157427908</v>
      </c>
      <c r="H25" s="51">
        <f>+H26+H87+H212+H330+H336+H463</f>
        <v>7026991.1299999999</v>
      </c>
      <c r="I25" s="51">
        <f t="shared" ref="I25:I88" si="0">SUM(G25:H25)</f>
        <v>164454899.13</v>
      </c>
      <c r="J25" s="50">
        <f>+J26+J87+J212+J330+J336+J463</f>
        <v>1</v>
      </c>
    </row>
    <row r="26" spans="1:16" ht="13.5" thickTop="1" x14ac:dyDescent="0.2">
      <c r="A26" s="49">
        <v>2</v>
      </c>
      <c r="B26" s="48">
        <v>1</v>
      </c>
      <c r="C26" s="48"/>
      <c r="D26" s="48"/>
      <c r="E26" s="48"/>
      <c r="F26" s="47" t="s">
        <v>323</v>
      </c>
      <c r="G26" s="46">
        <f>+G27+G51+G64+G71+G78</f>
        <v>133740812.23000002</v>
      </c>
      <c r="H26" s="46">
        <f>+H27+H51+H64+H71+H78</f>
        <v>0</v>
      </c>
      <c r="I26" s="46">
        <f t="shared" si="0"/>
        <v>133740812.23000002</v>
      </c>
      <c r="J26" s="19">
        <f>I26/$I$25</f>
        <v>0.81323702083377403</v>
      </c>
    </row>
    <row r="27" spans="1:16" x14ac:dyDescent="0.2">
      <c r="A27" s="30">
        <v>2</v>
      </c>
      <c r="B27" s="22">
        <v>1</v>
      </c>
      <c r="C27" s="22">
        <v>1</v>
      </c>
      <c r="D27" s="22"/>
      <c r="E27" s="22"/>
      <c r="F27" s="30" t="s">
        <v>322</v>
      </c>
      <c r="G27" s="20">
        <f>+G28+G35+G42+G44+G46</f>
        <v>121133009.37000002</v>
      </c>
      <c r="H27" s="20">
        <f>+H28+H35+H42+H44+H46</f>
        <v>0</v>
      </c>
      <c r="I27" s="20">
        <f t="shared" si="0"/>
        <v>121133009.37000002</v>
      </c>
      <c r="J27" s="19"/>
    </row>
    <row r="28" spans="1:16" x14ac:dyDescent="0.2">
      <c r="A28" s="16">
        <v>2</v>
      </c>
      <c r="B28" s="15">
        <v>1</v>
      </c>
      <c r="C28" s="15">
        <v>1</v>
      </c>
      <c r="D28" s="15">
        <v>1</v>
      </c>
      <c r="E28" s="15"/>
      <c r="F28" s="16" t="s">
        <v>321</v>
      </c>
      <c r="G28" s="12">
        <f>SUM(G29:G34)</f>
        <v>59046800.350000001</v>
      </c>
      <c r="H28" s="12">
        <f>SUM(H29:H34)</f>
        <v>0</v>
      </c>
      <c r="I28" s="12">
        <f t="shared" si="0"/>
        <v>59046800.350000001</v>
      </c>
      <c r="J28" s="11"/>
    </row>
    <row r="29" spans="1:16" x14ac:dyDescent="0.2">
      <c r="A29" s="10">
        <v>2</v>
      </c>
      <c r="B29" s="9">
        <v>1</v>
      </c>
      <c r="C29" s="9">
        <v>1</v>
      </c>
      <c r="D29" s="9">
        <v>1</v>
      </c>
      <c r="E29" s="24" t="s">
        <v>44</v>
      </c>
      <c r="F29" s="10" t="s">
        <v>387</v>
      </c>
      <c r="G29" s="7">
        <f>'CUENTA T FONDO 100'!A97</f>
        <v>59046800.350000001</v>
      </c>
      <c r="H29" s="7">
        <f>'CUENTA T VS'!A75</f>
        <v>0</v>
      </c>
      <c r="I29" s="7">
        <f t="shared" si="0"/>
        <v>59046800.350000001</v>
      </c>
      <c r="J29" s="6">
        <f t="shared" ref="J29:J34" si="1">I29/$I$25</f>
        <v>0.35904555390182741</v>
      </c>
    </row>
    <row r="30" spans="1:16" x14ac:dyDescent="0.2">
      <c r="A30" s="10">
        <v>2</v>
      </c>
      <c r="B30" s="9">
        <v>1</v>
      </c>
      <c r="C30" s="9">
        <v>1</v>
      </c>
      <c r="D30" s="9">
        <v>1</v>
      </c>
      <c r="E30" s="24" t="s">
        <v>43</v>
      </c>
      <c r="F30" s="43" t="s">
        <v>320</v>
      </c>
      <c r="G30" s="7">
        <f>'CUENTA T FONDO 100'!B97</f>
        <v>0</v>
      </c>
      <c r="H30" s="7">
        <f>'CUENTA T VS'!B75</f>
        <v>0</v>
      </c>
      <c r="I30" s="7">
        <f t="shared" si="0"/>
        <v>0</v>
      </c>
      <c r="J30" s="6">
        <f t="shared" si="1"/>
        <v>0</v>
      </c>
    </row>
    <row r="31" spans="1:16" x14ac:dyDescent="0.2">
      <c r="A31" s="10">
        <v>2</v>
      </c>
      <c r="B31" s="9">
        <v>1</v>
      </c>
      <c r="C31" s="9">
        <v>1</v>
      </c>
      <c r="D31" s="9">
        <v>1</v>
      </c>
      <c r="E31" s="24" t="s">
        <v>104</v>
      </c>
      <c r="F31" s="43" t="s">
        <v>319</v>
      </c>
      <c r="G31" s="7">
        <f>'CUENTA T FONDO 100'!C97</f>
        <v>0</v>
      </c>
      <c r="H31" s="7">
        <f>'CUENTA T VS'!C75</f>
        <v>0</v>
      </c>
      <c r="I31" s="7">
        <f t="shared" si="0"/>
        <v>0</v>
      </c>
      <c r="J31" s="6">
        <f t="shared" si="1"/>
        <v>0</v>
      </c>
    </row>
    <row r="32" spans="1:16" x14ac:dyDescent="0.2">
      <c r="A32" s="10">
        <v>2</v>
      </c>
      <c r="B32" s="9">
        <v>1</v>
      </c>
      <c r="C32" s="9">
        <v>1</v>
      </c>
      <c r="D32" s="9">
        <v>1</v>
      </c>
      <c r="E32" s="24" t="s">
        <v>172</v>
      </c>
      <c r="F32" s="43" t="s">
        <v>318</v>
      </c>
      <c r="G32" s="7">
        <f>'CUENTA T FONDO 100'!D97</f>
        <v>0</v>
      </c>
      <c r="H32" s="7">
        <f>'CUENTA T VS'!D75</f>
        <v>0</v>
      </c>
      <c r="I32" s="7">
        <f t="shared" si="0"/>
        <v>0</v>
      </c>
      <c r="J32" s="6">
        <f t="shared" si="1"/>
        <v>0</v>
      </c>
    </row>
    <row r="33" spans="1:10" x14ac:dyDescent="0.2">
      <c r="A33" s="10">
        <v>2</v>
      </c>
      <c r="B33" s="9">
        <v>1</v>
      </c>
      <c r="C33" s="9">
        <v>1</v>
      </c>
      <c r="D33" s="9">
        <v>1</v>
      </c>
      <c r="E33" s="24" t="s">
        <v>170</v>
      </c>
      <c r="F33" s="43" t="s">
        <v>317</v>
      </c>
      <c r="G33" s="7">
        <f>'CUENTA T FONDO 100'!E97</f>
        <v>0</v>
      </c>
      <c r="H33" s="7">
        <f>'CUENTA T VS'!E75</f>
        <v>0</v>
      </c>
      <c r="I33" s="7">
        <f t="shared" si="0"/>
        <v>0</v>
      </c>
      <c r="J33" s="6">
        <f t="shared" si="1"/>
        <v>0</v>
      </c>
    </row>
    <row r="34" spans="1:10" x14ac:dyDescent="0.2">
      <c r="A34" s="10">
        <v>2</v>
      </c>
      <c r="B34" s="9">
        <v>1</v>
      </c>
      <c r="C34" s="9">
        <v>1</v>
      </c>
      <c r="D34" s="9">
        <v>1</v>
      </c>
      <c r="E34" s="24" t="s">
        <v>61</v>
      </c>
      <c r="F34" s="43" t="s">
        <v>386</v>
      </c>
      <c r="G34" s="7">
        <f>'CUENTA T FONDO 100'!F97</f>
        <v>0</v>
      </c>
      <c r="H34" s="7">
        <f>'CUENTA T VS'!F75</f>
        <v>0</v>
      </c>
      <c r="I34" s="7">
        <f t="shared" si="0"/>
        <v>0</v>
      </c>
      <c r="J34" s="6">
        <f t="shared" si="1"/>
        <v>0</v>
      </c>
    </row>
    <row r="35" spans="1:10" x14ac:dyDescent="0.2">
      <c r="A35" s="16">
        <v>2</v>
      </c>
      <c r="B35" s="15">
        <v>1</v>
      </c>
      <c r="C35" s="15">
        <v>1</v>
      </c>
      <c r="D35" s="15">
        <v>2</v>
      </c>
      <c r="E35" s="15"/>
      <c r="F35" s="44" t="s">
        <v>316</v>
      </c>
      <c r="G35" s="12">
        <f>SUM(G36:G41)</f>
        <v>1342531.03</v>
      </c>
      <c r="H35" s="12">
        <f>SUM(H36:H41)</f>
        <v>0</v>
      </c>
      <c r="I35" s="12">
        <f t="shared" si="0"/>
        <v>1342531.03</v>
      </c>
      <c r="J35" s="11"/>
    </row>
    <row r="36" spans="1:10" x14ac:dyDescent="0.2">
      <c r="A36" s="10">
        <v>2</v>
      </c>
      <c r="B36" s="9">
        <v>1</v>
      </c>
      <c r="C36" s="9">
        <v>1</v>
      </c>
      <c r="D36" s="9">
        <v>2</v>
      </c>
      <c r="E36" s="24" t="s">
        <v>104</v>
      </c>
      <c r="F36" s="43" t="s">
        <v>315</v>
      </c>
      <c r="G36" s="7">
        <f>'CUENTA T FONDO 100'!G97</f>
        <v>0</v>
      </c>
      <c r="H36" s="7">
        <f>'CUENTA T VS'!G75</f>
        <v>0</v>
      </c>
      <c r="I36" s="7">
        <f t="shared" si="0"/>
        <v>0</v>
      </c>
      <c r="J36" s="6">
        <f t="shared" ref="J36:J41" si="2">I36/$I$25</f>
        <v>0</v>
      </c>
    </row>
    <row r="37" spans="1:10" x14ac:dyDescent="0.2">
      <c r="A37" s="10">
        <v>2</v>
      </c>
      <c r="B37" s="9">
        <v>1</v>
      </c>
      <c r="C37" s="9">
        <v>1</v>
      </c>
      <c r="D37" s="9">
        <v>2</v>
      </c>
      <c r="E37" s="24" t="s">
        <v>170</v>
      </c>
      <c r="F37" s="43" t="s">
        <v>314</v>
      </c>
      <c r="G37" s="7">
        <f>'CUENTA T FONDO 100'!H97</f>
        <v>0</v>
      </c>
      <c r="H37" s="7">
        <f>'CUENTA T VS'!H75</f>
        <v>0</v>
      </c>
      <c r="I37" s="7">
        <f t="shared" si="0"/>
        <v>0</v>
      </c>
      <c r="J37" s="6">
        <f t="shared" si="2"/>
        <v>0</v>
      </c>
    </row>
    <row r="38" spans="1:10" x14ac:dyDescent="0.2">
      <c r="A38" s="10">
        <v>2</v>
      </c>
      <c r="B38" s="9">
        <v>1</v>
      </c>
      <c r="C38" s="9">
        <v>1</v>
      </c>
      <c r="D38" s="9">
        <v>2</v>
      </c>
      <c r="E38" s="24" t="s">
        <v>61</v>
      </c>
      <c r="F38" s="43" t="s">
        <v>313</v>
      </c>
      <c r="G38" s="7">
        <f>'CUENTA T FONDO 100'!I97</f>
        <v>0</v>
      </c>
      <c r="H38" s="7">
        <f>'CUENTA T VS'!I75</f>
        <v>0</v>
      </c>
      <c r="I38" s="7">
        <f t="shared" si="0"/>
        <v>0</v>
      </c>
      <c r="J38" s="6">
        <f t="shared" si="2"/>
        <v>0</v>
      </c>
    </row>
    <row r="39" spans="1:10" x14ac:dyDescent="0.2">
      <c r="A39" s="10">
        <v>2</v>
      </c>
      <c r="B39" s="9">
        <v>1</v>
      </c>
      <c r="C39" s="9">
        <v>1</v>
      </c>
      <c r="D39" s="9">
        <v>2</v>
      </c>
      <c r="E39" s="24" t="s">
        <v>234</v>
      </c>
      <c r="F39" s="43" t="s">
        <v>388</v>
      </c>
      <c r="G39" s="7">
        <f>'CUENTA T FONDO 100'!J97</f>
        <v>1342531.03</v>
      </c>
      <c r="H39" s="7">
        <f>'CUENTA T VS'!J75</f>
        <v>0</v>
      </c>
      <c r="I39" s="7">
        <f t="shared" si="0"/>
        <v>1342531.03</v>
      </c>
      <c r="J39" s="6">
        <f t="shared" si="2"/>
        <v>8.1635210449932678E-3</v>
      </c>
    </row>
    <row r="40" spans="1:10" x14ac:dyDescent="0.2">
      <c r="A40" s="10">
        <v>2</v>
      </c>
      <c r="B40" s="9">
        <v>1</v>
      </c>
      <c r="C40" s="9">
        <v>1</v>
      </c>
      <c r="D40" s="9">
        <v>2</v>
      </c>
      <c r="E40" s="24" t="s">
        <v>300</v>
      </c>
      <c r="F40" s="43" t="s">
        <v>383</v>
      </c>
      <c r="G40" s="7">
        <f>'CUENTA T FONDO 100'!K97</f>
        <v>0</v>
      </c>
      <c r="H40" s="7">
        <f>'CUENTA T VS'!K75</f>
        <v>0</v>
      </c>
      <c r="I40" s="7">
        <f t="shared" si="0"/>
        <v>0</v>
      </c>
      <c r="J40" s="6">
        <f t="shared" si="2"/>
        <v>0</v>
      </c>
    </row>
    <row r="41" spans="1:10" x14ac:dyDescent="0.2">
      <c r="A41" s="10">
        <v>2</v>
      </c>
      <c r="B41" s="9">
        <v>1</v>
      </c>
      <c r="C41" s="9">
        <v>1</v>
      </c>
      <c r="D41" s="9">
        <v>2</v>
      </c>
      <c r="E41" s="24" t="s">
        <v>380</v>
      </c>
      <c r="F41" s="43" t="s">
        <v>389</v>
      </c>
      <c r="G41" s="7">
        <f>'CUENTA T FONDO 100'!L97</f>
        <v>0</v>
      </c>
      <c r="H41" s="7">
        <f>'CUENTA T VS'!L75</f>
        <v>0</v>
      </c>
      <c r="I41" s="7">
        <f t="shared" si="0"/>
        <v>0</v>
      </c>
      <c r="J41" s="6">
        <f t="shared" si="2"/>
        <v>0</v>
      </c>
    </row>
    <row r="42" spans="1:10" x14ac:dyDescent="0.2">
      <c r="A42" s="16">
        <v>2</v>
      </c>
      <c r="B42" s="15">
        <v>1</v>
      </c>
      <c r="C42" s="15">
        <v>1</v>
      </c>
      <c r="D42" s="15">
        <v>3</v>
      </c>
      <c r="E42" s="15"/>
      <c r="F42" s="44" t="s">
        <v>312</v>
      </c>
      <c r="G42" s="12">
        <f>SUM(G43)</f>
        <v>0</v>
      </c>
      <c r="H42" s="12">
        <f>SUM(H43)</f>
        <v>0</v>
      </c>
      <c r="I42" s="12">
        <f t="shared" si="0"/>
        <v>0</v>
      </c>
      <c r="J42" s="11"/>
    </row>
    <row r="43" spans="1:10" x14ac:dyDescent="0.2">
      <c r="A43" s="10">
        <v>2</v>
      </c>
      <c r="B43" s="9">
        <v>1</v>
      </c>
      <c r="C43" s="9">
        <v>1</v>
      </c>
      <c r="D43" s="9">
        <v>3</v>
      </c>
      <c r="E43" s="24" t="s">
        <v>44</v>
      </c>
      <c r="F43" s="43" t="s">
        <v>312</v>
      </c>
      <c r="G43" s="7">
        <f>'CUENTA T FONDO 100'!M97</f>
        <v>0</v>
      </c>
      <c r="H43" s="7">
        <f>'CUENTA T VS'!M75</f>
        <v>0</v>
      </c>
      <c r="I43" s="7">
        <f t="shared" si="0"/>
        <v>0</v>
      </c>
      <c r="J43" s="6">
        <f>I43/$I$25</f>
        <v>0</v>
      </c>
    </row>
    <row r="44" spans="1:10" x14ac:dyDescent="0.2">
      <c r="A44" s="16">
        <v>2</v>
      </c>
      <c r="B44" s="15">
        <v>1</v>
      </c>
      <c r="C44" s="15">
        <v>1</v>
      </c>
      <c r="D44" s="15">
        <v>4</v>
      </c>
      <c r="E44" s="15"/>
      <c r="F44" s="44" t="s">
        <v>390</v>
      </c>
      <c r="G44" s="12">
        <f>SUM(G45)</f>
        <v>60212858.700000003</v>
      </c>
      <c r="H44" s="12">
        <f>SUM(H45)</f>
        <v>0</v>
      </c>
      <c r="I44" s="12">
        <f t="shared" si="0"/>
        <v>60212858.700000003</v>
      </c>
      <c r="J44" s="11"/>
    </row>
    <row r="45" spans="1:10" x14ac:dyDescent="0.2">
      <c r="A45" s="10">
        <v>2</v>
      </c>
      <c r="B45" s="9">
        <v>1</v>
      </c>
      <c r="C45" s="9">
        <v>1</v>
      </c>
      <c r="D45" s="9">
        <v>4</v>
      </c>
      <c r="E45" s="24" t="s">
        <v>44</v>
      </c>
      <c r="F45" s="43" t="s">
        <v>390</v>
      </c>
      <c r="G45" s="7">
        <f>'CUENTA T FONDO 100'!N97</f>
        <v>60212858.700000003</v>
      </c>
      <c r="H45" s="7">
        <f>'CUENTA T VS'!N75</f>
        <v>0</v>
      </c>
      <c r="I45" s="7">
        <f t="shared" si="0"/>
        <v>60212858.700000003</v>
      </c>
      <c r="J45" s="6">
        <f>I45/$I$25</f>
        <v>0.36613599849282885</v>
      </c>
    </row>
    <row r="46" spans="1:10" x14ac:dyDescent="0.2">
      <c r="A46" s="16">
        <v>2</v>
      </c>
      <c r="B46" s="15">
        <v>1</v>
      </c>
      <c r="C46" s="15">
        <v>1</v>
      </c>
      <c r="D46" s="15">
        <v>5</v>
      </c>
      <c r="E46" s="15"/>
      <c r="F46" s="44" t="s">
        <v>391</v>
      </c>
      <c r="G46" s="12">
        <f>SUM(G47:G50)</f>
        <v>530819.29</v>
      </c>
      <c r="H46" s="12">
        <f>SUM(H47:H50)</f>
        <v>0</v>
      </c>
      <c r="I46" s="12">
        <f t="shared" si="0"/>
        <v>530819.29</v>
      </c>
      <c r="J46" s="11"/>
    </row>
    <row r="47" spans="1:10" x14ac:dyDescent="0.2">
      <c r="A47" s="10">
        <v>2</v>
      </c>
      <c r="B47" s="9">
        <v>1</v>
      </c>
      <c r="C47" s="9">
        <v>1</v>
      </c>
      <c r="D47" s="9">
        <v>5</v>
      </c>
      <c r="E47" s="24" t="s">
        <v>44</v>
      </c>
      <c r="F47" s="43" t="s">
        <v>391</v>
      </c>
      <c r="G47" s="7">
        <f>'CUENTA T FONDO 100'!O97</f>
        <v>0</v>
      </c>
      <c r="H47" s="7">
        <f>'CUENTA T VS'!O75</f>
        <v>0</v>
      </c>
      <c r="I47" s="7">
        <f t="shared" si="0"/>
        <v>0</v>
      </c>
      <c r="J47" s="6">
        <f>I47/$I$25</f>
        <v>0</v>
      </c>
    </row>
    <row r="48" spans="1:10" x14ac:dyDescent="0.2">
      <c r="A48" s="10">
        <v>2</v>
      </c>
      <c r="B48" s="9">
        <v>1</v>
      </c>
      <c r="C48" s="9">
        <v>1</v>
      </c>
      <c r="D48" s="9">
        <v>5</v>
      </c>
      <c r="E48" s="24" t="s">
        <v>43</v>
      </c>
      <c r="F48" s="43" t="s">
        <v>311</v>
      </c>
      <c r="G48" s="7">
        <f>'CUENTA T FONDO 100'!P97</f>
        <v>0</v>
      </c>
      <c r="H48" s="7">
        <f>'CUENTA T VS'!P75</f>
        <v>0</v>
      </c>
      <c r="I48" s="7">
        <f t="shared" si="0"/>
        <v>0</v>
      </c>
      <c r="J48" s="6">
        <f>I48/$I$25</f>
        <v>0</v>
      </c>
    </row>
    <row r="49" spans="1:10" x14ac:dyDescent="0.2">
      <c r="A49" s="10">
        <v>2</v>
      </c>
      <c r="B49" s="9">
        <v>1</v>
      </c>
      <c r="C49" s="9">
        <v>1</v>
      </c>
      <c r="D49" s="9">
        <v>5</v>
      </c>
      <c r="E49" s="24" t="s">
        <v>104</v>
      </c>
      <c r="F49" s="43" t="s">
        <v>310</v>
      </c>
      <c r="G49" s="7">
        <f>'CUENTA T FONDO 100'!Q97</f>
        <v>51000</v>
      </c>
      <c r="H49" s="7">
        <f>'CUENTA T VS'!Q75</f>
        <v>0</v>
      </c>
      <c r="I49" s="7">
        <f t="shared" si="0"/>
        <v>51000</v>
      </c>
      <c r="J49" s="6">
        <f>I49/$I$25</f>
        <v>3.1011541930219417E-4</v>
      </c>
    </row>
    <row r="50" spans="1:10" x14ac:dyDescent="0.2">
      <c r="A50" s="10">
        <v>2</v>
      </c>
      <c r="B50" s="9">
        <v>1</v>
      </c>
      <c r="C50" s="9">
        <v>1</v>
      </c>
      <c r="D50" s="9">
        <v>5</v>
      </c>
      <c r="E50" s="24" t="s">
        <v>172</v>
      </c>
      <c r="F50" s="43" t="s">
        <v>309</v>
      </c>
      <c r="G50" s="7">
        <f>'CUENTA T FONDO 100'!R97</f>
        <v>479819.29</v>
      </c>
      <c r="H50" s="7">
        <f>'CUENTA T VS'!R75</f>
        <v>0</v>
      </c>
      <c r="I50" s="7">
        <f t="shared" si="0"/>
        <v>479819.29</v>
      </c>
      <c r="J50" s="6">
        <f>I50/$I$25</f>
        <v>2.9176345158359041E-3</v>
      </c>
    </row>
    <row r="51" spans="1:10" x14ac:dyDescent="0.2">
      <c r="A51" s="30">
        <v>2</v>
      </c>
      <c r="B51" s="22">
        <v>1</v>
      </c>
      <c r="C51" s="22">
        <v>2</v>
      </c>
      <c r="D51" s="22"/>
      <c r="E51" s="22"/>
      <c r="F51" s="45" t="s">
        <v>308</v>
      </c>
      <c r="G51" s="20">
        <f>+G52+G54</f>
        <v>3315450.18</v>
      </c>
      <c r="H51" s="20">
        <f>+H52+H54</f>
        <v>0</v>
      </c>
      <c r="I51" s="20">
        <f t="shared" si="0"/>
        <v>3315450.18</v>
      </c>
      <c r="J51" s="19"/>
    </row>
    <row r="52" spans="1:10" x14ac:dyDescent="0.2">
      <c r="A52" s="16">
        <v>2</v>
      </c>
      <c r="B52" s="15">
        <v>1</v>
      </c>
      <c r="C52" s="15">
        <v>2</v>
      </c>
      <c r="D52" s="15">
        <v>1</v>
      </c>
      <c r="E52" s="15"/>
      <c r="F52" s="44" t="s">
        <v>307</v>
      </c>
      <c r="G52" s="12">
        <f>SUM(G53)</f>
        <v>2652914.66</v>
      </c>
      <c r="H52" s="12">
        <f>SUM(H53)</f>
        <v>0</v>
      </c>
      <c r="I52" s="12">
        <f t="shared" si="0"/>
        <v>2652914.66</v>
      </c>
      <c r="J52" s="11"/>
    </row>
    <row r="53" spans="1:10" x14ac:dyDescent="0.2">
      <c r="A53" s="10">
        <v>2</v>
      </c>
      <c r="B53" s="9">
        <v>1</v>
      </c>
      <c r="C53" s="9">
        <v>2</v>
      </c>
      <c r="D53" s="9">
        <v>1</v>
      </c>
      <c r="E53" s="24" t="s">
        <v>44</v>
      </c>
      <c r="F53" s="43" t="s">
        <v>307</v>
      </c>
      <c r="G53" s="7">
        <f>'CUENTA T FONDO 100'!S97</f>
        <v>2652914.66</v>
      </c>
      <c r="H53" s="7">
        <f>'CUENTA T VS'!S75</f>
        <v>0</v>
      </c>
      <c r="I53" s="7">
        <f t="shared" si="0"/>
        <v>2652914.66</v>
      </c>
      <c r="J53" s="6">
        <f>I53/$I$25</f>
        <v>1.6131563571741923E-2</v>
      </c>
    </row>
    <row r="54" spans="1:10" x14ac:dyDescent="0.2">
      <c r="A54" s="16">
        <v>2</v>
      </c>
      <c r="B54" s="15">
        <v>1</v>
      </c>
      <c r="C54" s="15">
        <v>2</v>
      </c>
      <c r="D54" s="15">
        <v>2</v>
      </c>
      <c r="E54" s="15"/>
      <c r="F54" s="44" t="s">
        <v>306</v>
      </c>
      <c r="G54" s="12">
        <f>SUM(G55:G63)</f>
        <v>662535.52</v>
      </c>
      <c r="H54" s="12">
        <f>SUM(H55:H63)</f>
        <v>0</v>
      </c>
      <c r="I54" s="12">
        <f t="shared" si="0"/>
        <v>662535.52</v>
      </c>
      <c r="J54" s="11"/>
    </row>
    <row r="55" spans="1:10" x14ac:dyDescent="0.2">
      <c r="A55" s="10">
        <v>2</v>
      </c>
      <c r="B55" s="9">
        <v>1</v>
      </c>
      <c r="C55" s="9">
        <v>2</v>
      </c>
      <c r="D55" s="9">
        <v>2</v>
      </c>
      <c r="E55" s="24" t="s">
        <v>44</v>
      </c>
      <c r="F55" s="43" t="s">
        <v>305</v>
      </c>
      <c r="G55" s="7">
        <f>'CUENTA T FONDO 100'!T97</f>
        <v>0</v>
      </c>
      <c r="H55" s="7">
        <f>'CUENTA T VS'!T75</f>
        <v>0</v>
      </c>
      <c r="I55" s="7">
        <f t="shared" si="0"/>
        <v>0</v>
      </c>
      <c r="J55" s="6">
        <f t="shared" ref="J55:J63" si="3">I55/$I$25</f>
        <v>0</v>
      </c>
    </row>
    <row r="56" spans="1:10" x14ac:dyDescent="0.2">
      <c r="A56" s="10">
        <v>2</v>
      </c>
      <c r="B56" s="9">
        <v>1</v>
      </c>
      <c r="C56" s="9">
        <v>2</v>
      </c>
      <c r="D56" s="9">
        <v>2</v>
      </c>
      <c r="E56" s="24" t="s">
        <v>104</v>
      </c>
      <c r="F56" s="8" t="s">
        <v>392</v>
      </c>
      <c r="G56" s="7">
        <f>'CUENTA T FONDO 100'!U97</f>
        <v>0</v>
      </c>
      <c r="H56" s="7">
        <f>'CUENTA T VS'!U75</f>
        <v>0</v>
      </c>
      <c r="I56" s="7">
        <f t="shared" si="0"/>
        <v>0</v>
      </c>
      <c r="J56" s="6">
        <f t="shared" si="3"/>
        <v>0</v>
      </c>
    </row>
    <row r="57" spans="1:10" x14ac:dyDescent="0.2">
      <c r="A57" s="10">
        <v>2</v>
      </c>
      <c r="B57" s="9">
        <v>1</v>
      </c>
      <c r="C57" s="9">
        <v>2</v>
      </c>
      <c r="D57" s="9">
        <v>2</v>
      </c>
      <c r="E57" s="24" t="s">
        <v>172</v>
      </c>
      <c r="F57" s="43" t="s">
        <v>304</v>
      </c>
      <c r="G57" s="7">
        <f>'CUENTA T FONDO 100'!V97</f>
        <v>0</v>
      </c>
      <c r="H57" s="7">
        <f>'CUENTA T VS'!V75</f>
        <v>0</v>
      </c>
      <c r="I57" s="7">
        <f t="shared" si="0"/>
        <v>0</v>
      </c>
      <c r="J57" s="6">
        <f t="shared" si="3"/>
        <v>0</v>
      </c>
    </row>
    <row r="58" spans="1:10" x14ac:dyDescent="0.2">
      <c r="A58" s="10">
        <v>2</v>
      </c>
      <c r="B58" s="9">
        <v>1</v>
      </c>
      <c r="C58" s="9">
        <v>2</v>
      </c>
      <c r="D58" s="9">
        <v>2</v>
      </c>
      <c r="E58" s="24" t="s">
        <v>170</v>
      </c>
      <c r="F58" s="43" t="s">
        <v>303</v>
      </c>
      <c r="G58" s="7">
        <f>'CUENTA T FONDO 100'!W97</f>
        <v>75000</v>
      </c>
      <c r="H58" s="7">
        <f>'CUENTA T VS'!W75</f>
        <v>0</v>
      </c>
      <c r="I58" s="7">
        <f t="shared" si="0"/>
        <v>75000</v>
      </c>
      <c r="J58" s="6">
        <f t="shared" si="3"/>
        <v>4.5605208720910911E-4</v>
      </c>
    </row>
    <row r="59" spans="1:10" x14ac:dyDescent="0.2">
      <c r="A59" s="10">
        <v>2</v>
      </c>
      <c r="B59" s="9">
        <v>1</v>
      </c>
      <c r="C59" s="9">
        <v>2</v>
      </c>
      <c r="D59" s="9">
        <v>2</v>
      </c>
      <c r="E59" s="24" t="s">
        <v>61</v>
      </c>
      <c r="F59" s="43" t="s">
        <v>379</v>
      </c>
      <c r="G59" s="7">
        <f>'CUENTA T FONDO 100'!X97</f>
        <v>0</v>
      </c>
      <c r="H59" s="7">
        <f>'CUENTA T VS'!X75</f>
        <v>0</v>
      </c>
      <c r="I59" s="7">
        <f t="shared" si="0"/>
        <v>0</v>
      </c>
      <c r="J59" s="6">
        <f t="shared" si="3"/>
        <v>0</v>
      </c>
    </row>
    <row r="60" spans="1:10" x14ac:dyDescent="0.2">
      <c r="A60" s="10">
        <v>2</v>
      </c>
      <c r="B60" s="9">
        <v>1</v>
      </c>
      <c r="C60" s="9">
        <v>2</v>
      </c>
      <c r="D60" s="9">
        <v>2</v>
      </c>
      <c r="E60" s="24" t="s">
        <v>60</v>
      </c>
      <c r="F60" s="43" t="s">
        <v>302</v>
      </c>
      <c r="G60" s="7">
        <f>'CUENTA T FONDO 100'!Y97</f>
        <v>0</v>
      </c>
      <c r="H60" s="7">
        <f>'CUENTA T VS'!Y75</f>
        <v>0</v>
      </c>
      <c r="I60" s="7">
        <f t="shared" si="0"/>
        <v>0</v>
      </c>
      <c r="J60" s="6">
        <f t="shared" si="3"/>
        <v>0</v>
      </c>
    </row>
    <row r="61" spans="1:10" x14ac:dyDescent="0.2">
      <c r="A61" s="10">
        <v>2</v>
      </c>
      <c r="B61" s="9">
        <v>1</v>
      </c>
      <c r="C61" s="9">
        <v>2</v>
      </c>
      <c r="D61" s="9">
        <v>2</v>
      </c>
      <c r="E61" s="24" t="s">
        <v>234</v>
      </c>
      <c r="F61" s="43" t="s">
        <v>301</v>
      </c>
      <c r="G61" s="7">
        <f>'CUENTA T FONDO 100'!Z97</f>
        <v>317800</v>
      </c>
      <c r="H61" s="7">
        <f>'CUENTA T VS'!Z75</f>
        <v>0</v>
      </c>
      <c r="I61" s="7">
        <f t="shared" si="0"/>
        <v>317800</v>
      </c>
      <c r="J61" s="6">
        <f t="shared" si="3"/>
        <v>1.9324447108673983E-3</v>
      </c>
    </row>
    <row r="62" spans="1:10" x14ac:dyDescent="0.2">
      <c r="A62" s="10">
        <v>2</v>
      </c>
      <c r="B62" s="9">
        <v>1</v>
      </c>
      <c r="C62" s="9">
        <v>2</v>
      </c>
      <c r="D62" s="9">
        <v>2</v>
      </c>
      <c r="E62" s="24" t="s">
        <v>300</v>
      </c>
      <c r="F62" s="43" t="s">
        <v>393</v>
      </c>
      <c r="G62" s="7">
        <f>'CUENTA T FONDO 100'!AA97</f>
        <v>0</v>
      </c>
      <c r="H62" s="7">
        <f>'CUENTA T VS'!AA75</f>
        <v>0</v>
      </c>
      <c r="I62" s="7">
        <f t="shared" si="0"/>
        <v>0</v>
      </c>
      <c r="J62" s="6">
        <f t="shared" si="3"/>
        <v>0</v>
      </c>
    </row>
    <row r="63" spans="1:10" x14ac:dyDescent="0.2">
      <c r="A63" s="10">
        <v>2</v>
      </c>
      <c r="B63" s="9">
        <v>1</v>
      </c>
      <c r="C63" s="9">
        <v>2</v>
      </c>
      <c r="D63" s="9">
        <v>2</v>
      </c>
      <c r="E63" s="9">
        <v>10</v>
      </c>
      <c r="F63" s="8" t="s">
        <v>394</v>
      </c>
      <c r="G63" s="7">
        <f>'CUENTA T FONDO 100'!AB97</f>
        <v>269735.52</v>
      </c>
      <c r="H63" s="7">
        <f>'CUENTA T VS'!AB75</f>
        <v>0</v>
      </c>
      <c r="I63" s="7">
        <f t="shared" si="0"/>
        <v>269735.52</v>
      </c>
      <c r="J63" s="6">
        <f t="shared" si="3"/>
        <v>1.6401792918724588E-3</v>
      </c>
    </row>
    <row r="64" spans="1:10" x14ac:dyDescent="0.2">
      <c r="A64" s="23">
        <v>2</v>
      </c>
      <c r="B64" s="22">
        <v>1</v>
      </c>
      <c r="C64" s="22">
        <v>3</v>
      </c>
      <c r="D64" s="22"/>
      <c r="E64" s="22"/>
      <c r="F64" s="41" t="s">
        <v>299</v>
      </c>
      <c r="G64" s="20">
        <f>+G65+G68</f>
        <v>0</v>
      </c>
      <c r="H64" s="20">
        <f>+H65+H68</f>
        <v>0</v>
      </c>
      <c r="I64" s="20">
        <f t="shared" si="0"/>
        <v>0</v>
      </c>
      <c r="J64" s="19"/>
    </row>
    <row r="65" spans="1:10" x14ac:dyDescent="0.2">
      <c r="A65" s="18">
        <v>2</v>
      </c>
      <c r="B65" s="15">
        <v>1</v>
      </c>
      <c r="C65" s="15">
        <v>3</v>
      </c>
      <c r="D65" s="15">
        <v>1</v>
      </c>
      <c r="E65" s="15"/>
      <c r="F65" s="38" t="s">
        <v>298</v>
      </c>
      <c r="G65" s="12">
        <f>SUM(G66:G67)</f>
        <v>0</v>
      </c>
      <c r="H65" s="12">
        <f>SUM(H66:H67)</f>
        <v>0</v>
      </c>
      <c r="I65" s="12">
        <f t="shared" si="0"/>
        <v>0</v>
      </c>
      <c r="J65" s="11"/>
    </row>
    <row r="66" spans="1:10" x14ac:dyDescent="0.2">
      <c r="A66" s="17">
        <v>2</v>
      </c>
      <c r="B66" s="9">
        <v>1</v>
      </c>
      <c r="C66" s="9">
        <v>3</v>
      </c>
      <c r="D66" s="9">
        <v>1</v>
      </c>
      <c r="E66" s="24" t="s">
        <v>44</v>
      </c>
      <c r="F66" s="40" t="s">
        <v>297</v>
      </c>
      <c r="G66" s="7">
        <f>'CUENTA T FONDO 100'!AC97</f>
        <v>0</v>
      </c>
      <c r="H66" s="7">
        <f>'CUENTA T VS'!AC75</f>
        <v>0</v>
      </c>
      <c r="I66" s="7">
        <f t="shared" si="0"/>
        <v>0</v>
      </c>
      <c r="J66" s="6">
        <f>I66/$I$25</f>
        <v>0</v>
      </c>
    </row>
    <row r="67" spans="1:10" x14ac:dyDescent="0.2">
      <c r="A67" s="17">
        <v>2</v>
      </c>
      <c r="B67" s="9">
        <v>1</v>
      </c>
      <c r="C67" s="9">
        <v>3</v>
      </c>
      <c r="D67" s="9">
        <v>1</v>
      </c>
      <c r="E67" s="24" t="s">
        <v>43</v>
      </c>
      <c r="F67" s="40" t="s">
        <v>296</v>
      </c>
      <c r="G67" s="7">
        <f>'CUENTA T FONDO 100'!AD97</f>
        <v>0</v>
      </c>
      <c r="H67" s="7">
        <f>'CUENTA T VS'!AD75</f>
        <v>0</v>
      </c>
      <c r="I67" s="7">
        <f t="shared" si="0"/>
        <v>0</v>
      </c>
      <c r="J67" s="6">
        <f>I67/$I$25</f>
        <v>0</v>
      </c>
    </row>
    <row r="68" spans="1:10" x14ac:dyDescent="0.2">
      <c r="A68" s="18">
        <v>2</v>
      </c>
      <c r="B68" s="15">
        <v>1</v>
      </c>
      <c r="C68" s="15">
        <v>3</v>
      </c>
      <c r="D68" s="15">
        <v>2</v>
      </c>
      <c r="E68" s="15"/>
      <c r="F68" s="38" t="s">
        <v>295</v>
      </c>
      <c r="G68" s="12">
        <f>SUM(G69:G70)</f>
        <v>0</v>
      </c>
      <c r="H68" s="12">
        <f>SUM(H69:H70)</f>
        <v>0</v>
      </c>
      <c r="I68" s="12">
        <f t="shared" si="0"/>
        <v>0</v>
      </c>
      <c r="J68" s="11"/>
    </row>
    <row r="69" spans="1:10" x14ac:dyDescent="0.2">
      <c r="A69" s="17">
        <v>2</v>
      </c>
      <c r="B69" s="9">
        <v>1</v>
      </c>
      <c r="C69" s="9">
        <v>3</v>
      </c>
      <c r="D69" s="9">
        <v>2</v>
      </c>
      <c r="E69" s="24" t="s">
        <v>44</v>
      </c>
      <c r="F69" s="40" t="s">
        <v>294</v>
      </c>
      <c r="G69" s="7">
        <f>'CUENTA T FONDO 100'!AE97</f>
        <v>0</v>
      </c>
      <c r="H69" s="7">
        <f>'CUENTA T VS'!AE75</f>
        <v>0</v>
      </c>
      <c r="I69" s="7">
        <f t="shared" si="0"/>
        <v>0</v>
      </c>
      <c r="J69" s="6">
        <f>I69/$I$25</f>
        <v>0</v>
      </c>
    </row>
    <row r="70" spans="1:10" x14ac:dyDescent="0.2">
      <c r="A70" s="17">
        <v>2</v>
      </c>
      <c r="B70" s="9">
        <v>1</v>
      </c>
      <c r="C70" s="9">
        <v>3</v>
      </c>
      <c r="D70" s="9">
        <v>2</v>
      </c>
      <c r="E70" s="24" t="s">
        <v>43</v>
      </c>
      <c r="F70" s="40" t="s">
        <v>293</v>
      </c>
      <c r="G70" s="7">
        <f>'CUENTA T FONDO 100'!AF97</f>
        <v>0</v>
      </c>
      <c r="H70" s="7">
        <f>'CUENTA T VS'!AF75</f>
        <v>0</v>
      </c>
      <c r="I70" s="7">
        <f t="shared" si="0"/>
        <v>0</v>
      </c>
      <c r="J70" s="6">
        <f>I70/$I$25</f>
        <v>0</v>
      </c>
    </row>
    <row r="71" spans="1:10" x14ac:dyDescent="0.2">
      <c r="A71" s="23">
        <v>2</v>
      </c>
      <c r="B71" s="22">
        <v>1</v>
      </c>
      <c r="C71" s="22">
        <v>4</v>
      </c>
      <c r="D71" s="22"/>
      <c r="E71" s="22"/>
      <c r="F71" s="41" t="s">
        <v>292</v>
      </c>
      <c r="G71" s="20">
        <f>+G72+G74</f>
        <v>0</v>
      </c>
      <c r="H71" s="20">
        <f>+H72+H74</f>
        <v>0</v>
      </c>
      <c r="I71" s="20">
        <f t="shared" si="0"/>
        <v>0</v>
      </c>
      <c r="J71" s="19"/>
    </row>
    <row r="72" spans="1:10" x14ac:dyDescent="0.2">
      <c r="A72" s="16">
        <v>2</v>
      </c>
      <c r="B72" s="15">
        <v>1</v>
      </c>
      <c r="C72" s="15">
        <v>4</v>
      </c>
      <c r="D72" s="15">
        <v>1</v>
      </c>
      <c r="E72" s="15"/>
      <c r="F72" s="44" t="s">
        <v>291</v>
      </c>
      <c r="G72" s="12">
        <f>SUM(G73)</f>
        <v>0</v>
      </c>
      <c r="H72" s="12">
        <f>SUM(H73)</f>
        <v>0</v>
      </c>
      <c r="I72" s="12">
        <f t="shared" si="0"/>
        <v>0</v>
      </c>
      <c r="J72" s="11"/>
    </row>
    <row r="73" spans="1:10" x14ac:dyDescent="0.2">
      <c r="A73" s="10">
        <v>2</v>
      </c>
      <c r="B73" s="9">
        <v>1</v>
      </c>
      <c r="C73" s="9">
        <v>4</v>
      </c>
      <c r="D73" s="9">
        <v>1</v>
      </c>
      <c r="E73" s="24" t="s">
        <v>44</v>
      </c>
      <c r="F73" s="43" t="s">
        <v>291</v>
      </c>
      <c r="G73" s="7">
        <f>'CUENTA T FONDO 100'!AG97</f>
        <v>0</v>
      </c>
      <c r="H73" s="7">
        <f>'CUENTA T VS'!AG75</f>
        <v>0</v>
      </c>
      <c r="I73" s="7">
        <f t="shared" si="0"/>
        <v>0</v>
      </c>
      <c r="J73" s="6">
        <f>I73/$I$25</f>
        <v>0</v>
      </c>
    </row>
    <row r="74" spans="1:10" x14ac:dyDescent="0.2">
      <c r="A74" s="16">
        <v>2</v>
      </c>
      <c r="B74" s="15">
        <v>1</v>
      </c>
      <c r="C74" s="15">
        <v>4</v>
      </c>
      <c r="D74" s="15">
        <v>2</v>
      </c>
      <c r="E74" s="15"/>
      <c r="F74" s="44" t="s">
        <v>290</v>
      </c>
      <c r="G74" s="12">
        <f>SUM(G75:G77)</f>
        <v>0</v>
      </c>
      <c r="H74" s="12">
        <f>SUM(H75:H77)</f>
        <v>0</v>
      </c>
      <c r="I74" s="12">
        <f t="shared" si="0"/>
        <v>0</v>
      </c>
      <c r="J74" s="11"/>
    </row>
    <row r="75" spans="1:10" x14ac:dyDescent="0.2">
      <c r="A75" s="10">
        <v>2</v>
      </c>
      <c r="B75" s="9">
        <v>1</v>
      </c>
      <c r="C75" s="9">
        <v>4</v>
      </c>
      <c r="D75" s="9">
        <v>2</v>
      </c>
      <c r="E75" s="24" t="s">
        <v>44</v>
      </c>
      <c r="F75" s="43" t="s">
        <v>289</v>
      </c>
      <c r="G75" s="7">
        <f>'CUENTA T FONDO 100'!AH97</f>
        <v>0</v>
      </c>
      <c r="H75" s="7">
        <f>'CUENTA T VS'!AH75</f>
        <v>0</v>
      </c>
      <c r="I75" s="7">
        <f t="shared" si="0"/>
        <v>0</v>
      </c>
      <c r="J75" s="6">
        <f>I75/$I$25</f>
        <v>0</v>
      </c>
    </row>
    <row r="76" spans="1:10" x14ac:dyDescent="0.2">
      <c r="A76" s="10">
        <v>2</v>
      </c>
      <c r="B76" s="9">
        <v>1</v>
      </c>
      <c r="C76" s="9">
        <v>4</v>
      </c>
      <c r="D76" s="9">
        <v>2</v>
      </c>
      <c r="E76" s="24" t="s">
        <v>43</v>
      </c>
      <c r="F76" s="43" t="s">
        <v>288</v>
      </c>
      <c r="G76" s="7">
        <f>'CUENTA T FONDO 100'!AI97</f>
        <v>0</v>
      </c>
      <c r="H76" s="7">
        <f>'CUENTA T VS'!AI75</f>
        <v>0</v>
      </c>
      <c r="I76" s="7">
        <f t="shared" si="0"/>
        <v>0</v>
      </c>
      <c r="J76" s="6">
        <f>I76/$I$25</f>
        <v>0</v>
      </c>
    </row>
    <row r="77" spans="1:10" x14ac:dyDescent="0.2">
      <c r="A77" s="10">
        <v>2</v>
      </c>
      <c r="B77" s="9">
        <v>1</v>
      </c>
      <c r="C77" s="9">
        <v>4</v>
      </c>
      <c r="D77" s="9">
        <v>2</v>
      </c>
      <c r="E77" s="24" t="s">
        <v>104</v>
      </c>
      <c r="F77" s="43" t="s">
        <v>287</v>
      </c>
      <c r="G77" s="7">
        <f>'CUENTA T FONDO 100'!AJ97</f>
        <v>0</v>
      </c>
      <c r="H77" s="7">
        <f>'CUENTA T VS'!AJ75</f>
        <v>0</v>
      </c>
      <c r="I77" s="7">
        <f t="shared" si="0"/>
        <v>0</v>
      </c>
      <c r="J77" s="6">
        <f>I77/$I$25</f>
        <v>0</v>
      </c>
    </row>
    <row r="78" spans="1:10" x14ac:dyDescent="0.2">
      <c r="A78" s="23">
        <v>2</v>
      </c>
      <c r="B78" s="22">
        <v>1</v>
      </c>
      <c r="C78" s="22">
        <v>5</v>
      </c>
      <c r="D78" s="22"/>
      <c r="E78" s="22"/>
      <c r="F78" s="41" t="s">
        <v>286</v>
      </c>
      <c r="G78" s="20">
        <f>+G79+G81+G83+G85</f>
        <v>9292352.6799999997</v>
      </c>
      <c r="H78" s="20">
        <f>+H79+H81+H83+H85</f>
        <v>0</v>
      </c>
      <c r="I78" s="20">
        <f t="shared" si="0"/>
        <v>9292352.6799999997</v>
      </c>
      <c r="J78" s="19"/>
    </row>
    <row r="79" spans="1:10" x14ac:dyDescent="0.2">
      <c r="A79" s="16">
        <v>2</v>
      </c>
      <c r="B79" s="15">
        <v>1</v>
      </c>
      <c r="C79" s="15">
        <v>5</v>
      </c>
      <c r="D79" s="15">
        <v>1</v>
      </c>
      <c r="E79" s="15"/>
      <c r="F79" s="44" t="s">
        <v>285</v>
      </c>
      <c r="G79" s="12">
        <f>SUM(G80)</f>
        <v>4281604.3899999997</v>
      </c>
      <c r="H79" s="12">
        <f>SUM(H80)</f>
        <v>0</v>
      </c>
      <c r="I79" s="12">
        <f t="shared" si="0"/>
        <v>4281604.3899999997</v>
      </c>
      <c r="J79" s="11"/>
    </row>
    <row r="80" spans="1:10" x14ac:dyDescent="0.2">
      <c r="A80" s="10">
        <v>2</v>
      </c>
      <c r="B80" s="9">
        <v>1</v>
      </c>
      <c r="C80" s="9">
        <v>5</v>
      </c>
      <c r="D80" s="9">
        <v>1</v>
      </c>
      <c r="E80" s="24" t="s">
        <v>44</v>
      </c>
      <c r="F80" s="43" t="s">
        <v>285</v>
      </c>
      <c r="G80" s="7">
        <f>'CUENTA T FONDO 100'!AK97</f>
        <v>4281604.3899999997</v>
      </c>
      <c r="H80" s="7">
        <f>'CUENTA T VS'!AK75</f>
        <v>0</v>
      </c>
      <c r="I80" s="7">
        <f t="shared" si="0"/>
        <v>4281604.3899999997</v>
      </c>
      <c r="J80" s="6">
        <f>I80/$I$25</f>
        <v>2.6035128248842458E-2</v>
      </c>
    </row>
    <row r="81" spans="1:10" x14ac:dyDescent="0.2">
      <c r="A81" s="16">
        <v>2</v>
      </c>
      <c r="B81" s="15">
        <v>1</v>
      </c>
      <c r="C81" s="15">
        <v>5</v>
      </c>
      <c r="D81" s="15">
        <v>2</v>
      </c>
      <c r="E81" s="15"/>
      <c r="F81" s="44" t="s">
        <v>284</v>
      </c>
      <c r="G81" s="12">
        <f>SUM(G82)</f>
        <v>4287644.2299999995</v>
      </c>
      <c r="H81" s="12">
        <f>SUM(H82)</f>
        <v>0</v>
      </c>
      <c r="I81" s="12">
        <f t="shared" si="0"/>
        <v>4287644.2299999995</v>
      </c>
      <c r="J81" s="11"/>
    </row>
    <row r="82" spans="1:10" x14ac:dyDescent="0.2">
      <c r="A82" s="10">
        <v>2</v>
      </c>
      <c r="B82" s="9">
        <v>1</v>
      </c>
      <c r="C82" s="9">
        <v>5</v>
      </c>
      <c r="D82" s="9">
        <v>2</v>
      </c>
      <c r="E82" s="24" t="s">
        <v>44</v>
      </c>
      <c r="F82" s="43" t="s">
        <v>284</v>
      </c>
      <c r="G82" s="7">
        <f>'CUENTA T FONDO 100'!AL97</f>
        <v>4287644.2299999995</v>
      </c>
      <c r="H82" s="7">
        <f>'CUENTA T VS'!AL75</f>
        <v>0</v>
      </c>
      <c r="I82" s="7">
        <f t="shared" si="0"/>
        <v>4287644.2299999995</v>
      </c>
      <c r="J82" s="6">
        <f>I82/$I$25</f>
        <v>2.607185467068791E-2</v>
      </c>
    </row>
    <row r="83" spans="1:10" x14ac:dyDescent="0.2">
      <c r="A83" s="16">
        <v>2</v>
      </c>
      <c r="B83" s="15">
        <v>1</v>
      </c>
      <c r="C83" s="15">
        <v>5</v>
      </c>
      <c r="D83" s="15">
        <v>3</v>
      </c>
      <c r="E83" s="15"/>
      <c r="F83" s="44" t="s">
        <v>283</v>
      </c>
      <c r="G83" s="12">
        <f>SUM(G84)</f>
        <v>723104.06</v>
      </c>
      <c r="H83" s="12">
        <f>SUM(H84)</f>
        <v>0</v>
      </c>
      <c r="I83" s="12">
        <f t="shared" si="0"/>
        <v>723104.06</v>
      </c>
      <c r="J83" s="11"/>
    </row>
    <row r="84" spans="1:10" x14ac:dyDescent="0.2">
      <c r="A84" s="10">
        <v>2</v>
      </c>
      <c r="B84" s="9">
        <v>1</v>
      </c>
      <c r="C84" s="9">
        <v>5</v>
      </c>
      <c r="D84" s="9">
        <v>3</v>
      </c>
      <c r="E84" s="24" t="s">
        <v>44</v>
      </c>
      <c r="F84" s="43" t="s">
        <v>283</v>
      </c>
      <c r="G84" s="7">
        <f>'CUENTA T FONDO 100'!AM97</f>
        <v>723104.06</v>
      </c>
      <c r="H84" s="7">
        <f>'CUENTA T VS'!AM75</f>
        <v>0</v>
      </c>
      <c r="I84" s="7">
        <f t="shared" si="0"/>
        <v>723104.06</v>
      </c>
      <c r="J84" s="6">
        <f>I84/$I$25</f>
        <v>4.3969748777650782E-3</v>
      </c>
    </row>
    <row r="85" spans="1:10" x14ac:dyDescent="0.2">
      <c r="A85" s="16">
        <v>2</v>
      </c>
      <c r="B85" s="15">
        <v>1</v>
      </c>
      <c r="C85" s="15">
        <v>5</v>
      </c>
      <c r="D85" s="15">
        <v>4</v>
      </c>
      <c r="E85" s="15"/>
      <c r="F85" s="44" t="s">
        <v>282</v>
      </c>
      <c r="G85" s="12">
        <f>SUM(G86)</f>
        <v>0</v>
      </c>
      <c r="H85" s="12">
        <f>SUM(H86)</f>
        <v>0</v>
      </c>
      <c r="I85" s="12">
        <f t="shared" si="0"/>
        <v>0</v>
      </c>
      <c r="J85" s="11"/>
    </row>
    <row r="86" spans="1:10" x14ac:dyDescent="0.2">
      <c r="A86" s="10">
        <v>2</v>
      </c>
      <c r="B86" s="9">
        <v>1</v>
      </c>
      <c r="C86" s="9">
        <v>5</v>
      </c>
      <c r="D86" s="9">
        <v>4</v>
      </c>
      <c r="E86" s="24" t="s">
        <v>44</v>
      </c>
      <c r="F86" s="43" t="s">
        <v>282</v>
      </c>
      <c r="G86" s="7">
        <f>'CUENTA T FONDO 100'!AN97</f>
        <v>0</v>
      </c>
      <c r="H86" s="7">
        <f>'CUENTA T VS'!AN75</f>
        <v>0</v>
      </c>
      <c r="I86" s="7">
        <f t="shared" si="0"/>
        <v>0</v>
      </c>
      <c r="J86" s="6">
        <f>I86/$I$25</f>
        <v>0</v>
      </c>
    </row>
    <row r="87" spans="1:10" x14ac:dyDescent="0.2">
      <c r="A87" s="23">
        <v>2</v>
      </c>
      <c r="B87" s="42">
        <v>2</v>
      </c>
      <c r="C87" s="22"/>
      <c r="D87" s="22"/>
      <c r="E87" s="22"/>
      <c r="F87" s="41" t="s">
        <v>281</v>
      </c>
      <c r="G87" s="20">
        <f>G88+G106+G111+G116+G125+G148+G157+G179+G208</f>
        <v>1896797.14</v>
      </c>
      <c r="H87" s="20">
        <f>H88+H106+H111+H116+H125+H148+H157+H179+H208</f>
        <v>2083820.5399999998</v>
      </c>
      <c r="I87" s="20">
        <f t="shared" si="0"/>
        <v>3980617.6799999997</v>
      </c>
      <c r="J87" s="19">
        <f>I87/$I$25</f>
        <v>2.4204920017939752E-2</v>
      </c>
    </row>
    <row r="88" spans="1:10" x14ac:dyDescent="0.2">
      <c r="A88" s="23">
        <v>2</v>
      </c>
      <c r="B88" s="22">
        <v>2</v>
      </c>
      <c r="C88" s="22">
        <v>1</v>
      </c>
      <c r="D88" s="22"/>
      <c r="E88" s="22"/>
      <c r="F88" s="41" t="s">
        <v>280</v>
      </c>
      <c r="G88" s="20">
        <f>+G89+G91+G93+G95+G97+G99+G102+G104</f>
        <v>60535</v>
      </c>
      <c r="H88" s="20">
        <f>+H89+H91+H93+H95+H97+H99+H102+H104</f>
        <v>745000</v>
      </c>
      <c r="I88" s="20">
        <f t="shared" si="0"/>
        <v>805535</v>
      </c>
      <c r="J88" s="19"/>
    </row>
    <row r="89" spans="1:10" x14ac:dyDescent="0.2">
      <c r="A89" s="18">
        <v>2</v>
      </c>
      <c r="B89" s="15">
        <v>2</v>
      </c>
      <c r="C89" s="15">
        <v>1</v>
      </c>
      <c r="D89" s="15">
        <v>1</v>
      </c>
      <c r="E89" s="15"/>
      <c r="F89" s="38" t="s">
        <v>279</v>
      </c>
      <c r="G89" s="12">
        <f>SUM(G90)</f>
        <v>0</v>
      </c>
      <c r="H89" s="12">
        <f>SUM(H90)</f>
        <v>0</v>
      </c>
      <c r="I89" s="12">
        <f t="shared" ref="I89:I152" si="4">SUM(G89:H89)</f>
        <v>0</v>
      </c>
      <c r="J89" s="11"/>
    </row>
    <row r="90" spans="1:10" x14ac:dyDescent="0.2">
      <c r="A90" s="17">
        <v>2</v>
      </c>
      <c r="B90" s="9">
        <v>2</v>
      </c>
      <c r="C90" s="9">
        <v>1</v>
      </c>
      <c r="D90" s="9">
        <v>1</v>
      </c>
      <c r="E90" s="24" t="s">
        <v>44</v>
      </c>
      <c r="F90" s="40" t="s">
        <v>279</v>
      </c>
      <c r="G90" s="7">
        <f>'CUENTA T FONDO 100'!AO97</f>
        <v>0</v>
      </c>
      <c r="H90" s="7">
        <f>'CUENTA T VS'!AO75</f>
        <v>0</v>
      </c>
      <c r="I90" s="7">
        <f t="shared" si="4"/>
        <v>0</v>
      </c>
      <c r="J90" s="6">
        <f>I90/$I$25</f>
        <v>0</v>
      </c>
    </row>
    <row r="91" spans="1:10" x14ac:dyDescent="0.2">
      <c r="A91" s="18">
        <v>2</v>
      </c>
      <c r="B91" s="15">
        <v>2</v>
      </c>
      <c r="C91" s="15">
        <v>1</v>
      </c>
      <c r="D91" s="15">
        <v>2</v>
      </c>
      <c r="E91" s="15"/>
      <c r="F91" s="38" t="s">
        <v>278</v>
      </c>
      <c r="G91" s="12">
        <f>SUM(G92)</f>
        <v>0</v>
      </c>
      <c r="H91" s="12">
        <f>SUM(H92)</f>
        <v>0</v>
      </c>
      <c r="I91" s="12">
        <f t="shared" si="4"/>
        <v>0</v>
      </c>
      <c r="J91" s="11"/>
    </row>
    <row r="92" spans="1:10" x14ac:dyDescent="0.2">
      <c r="A92" s="17">
        <v>2</v>
      </c>
      <c r="B92" s="9">
        <v>2</v>
      </c>
      <c r="C92" s="9">
        <v>1</v>
      </c>
      <c r="D92" s="9">
        <v>2</v>
      </c>
      <c r="E92" s="24" t="s">
        <v>44</v>
      </c>
      <c r="F92" s="40" t="s">
        <v>278</v>
      </c>
      <c r="G92" s="7">
        <f>'CUENTA T FONDO 100'!AP97</f>
        <v>0</v>
      </c>
      <c r="H92" s="7">
        <f>'CUENTA T VS'!AP75</f>
        <v>0</v>
      </c>
      <c r="I92" s="7">
        <f t="shared" si="4"/>
        <v>0</v>
      </c>
      <c r="J92" s="6">
        <f>I92/$I$25</f>
        <v>0</v>
      </c>
    </row>
    <row r="93" spans="1:10" x14ac:dyDescent="0.2">
      <c r="A93" s="18">
        <v>2</v>
      </c>
      <c r="B93" s="15">
        <v>2</v>
      </c>
      <c r="C93" s="15">
        <v>1</v>
      </c>
      <c r="D93" s="15">
        <v>3</v>
      </c>
      <c r="E93" s="15"/>
      <c r="F93" s="38" t="s">
        <v>71</v>
      </c>
      <c r="G93" s="12">
        <f>SUM(G94)</f>
        <v>0</v>
      </c>
      <c r="H93" s="12">
        <f>SUM(H94)</f>
        <v>0</v>
      </c>
      <c r="I93" s="12">
        <f t="shared" si="4"/>
        <v>0</v>
      </c>
      <c r="J93" s="11"/>
    </row>
    <row r="94" spans="1:10" x14ac:dyDescent="0.2">
      <c r="A94" s="17">
        <v>2</v>
      </c>
      <c r="B94" s="9">
        <v>2</v>
      </c>
      <c r="C94" s="9">
        <v>1</v>
      </c>
      <c r="D94" s="9">
        <v>3</v>
      </c>
      <c r="E94" s="24" t="s">
        <v>44</v>
      </c>
      <c r="F94" s="40" t="s">
        <v>71</v>
      </c>
      <c r="G94" s="7">
        <f>'CUENTA T FONDO 100'!AQ97</f>
        <v>0</v>
      </c>
      <c r="H94" s="7">
        <f>'CUENTA T VS'!AQ75</f>
        <v>0</v>
      </c>
      <c r="I94" s="7">
        <f t="shared" si="4"/>
        <v>0</v>
      </c>
      <c r="J94" s="6">
        <f>I94/$I$25</f>
        <v>0</v>
      </c>
    </row>
    <row r="95" spans="1:10" x14ac:dyDescent="0.2">
      <c r="A95" s="18">
        <v>2</v>
      </c>
      <c r="B95" s="15">
        <v>2</v>
      </c>
      <c r="C95" s="15">
        <v>1</v>
      </c>
      <c r="D95" s="15">
        <v>4</v>
      </c>
      <c r="E95" s="15"/>
      <c r="F95" s="38" t="s">
        <v>70</v>
      </c>
      <c r="G95" s="12">
        <f>SUM(G96)</f>
        <v>0</v>
      </c>
      <c r="H95" s="12">
        <f>SUM(H96)</f>
        <v>0</v>
      </c>
      <c r="I95" s="12">
        <f t="shared" si="4"/>
        <v>0</v>
      </c>
      <c r="J95" s="11"/>
    </row>
    <row r="96" spans="1:10" x14ac:dyDescent="0.2">
      <c r="A96" s="17">
        <v>2</v>
      </c>
      <c r="B96" s="9">
        <v>2</v>
      </c>
      <c r="C96" s="9">
        <v>1</v>
      </c>
      <c r="D96" s="9">
        <v>4</v>
      </c>
      <c r="E96" s="24" t="s">
        <v>44</v>
      </c>
      <c r="F96" s="40" t="s">
        <v>70</v>
      </c>
      <c r="G96" s="7">
        <f>'CUENTA T FONDO 100'!AR97</f>
        <v>0</v>
      </c>
      <c r="H96" s="7">
        <f>'CUENTA T VS'!AR75</f>
        <v>0</v>
      </c>
      <c r="I96" s="7">
        <f t="shared" si="4"/>
        <v>0</v>
      </c>
      <c r="J96" s="6">
        <f>I96/$I$25</f>
        <v>0</v>
      </c>
    </row>
    <row r="97" spans="1:10" x14ac:dyDescent="0.2">
      <c r="A97" s="18">
        <v>2</v>
      </c>
      <c r="B97" s="15">
        <v>2</v>
      </c>
      <c r="C97" s="15">
        <v>1</v>
      </c>
      <c r="D97" s="15">
        <v>5</v>
      </c>
      <c r="E97" s="15"/>
      <c r="F97" s="38" t="s">
        <v>277</v>
      </c>
      <c r="G97" s="12">
        <f>SUM(G98)</f>
        <v>0</v>
      </c>
      <c r="H97" s="12">
        <f>SUM(H98)</f>
        <v>0</v>
      </c>
      <c r="I97" s="12">
        <f t="shared" si="4"/>
        <v>0</v>
      </c>
      <c r="J97" s="11"/>
    </row>
    <row r="98" spans="1:10" x14ac:dyDescent="0.2">
      <c r="A98" s="17">
        <v>2</v>
      </c>
      <c r="B98" s="9">
        <v>2</v>
      </c>
      <c r="C98" s="9">
        <v>1</v>
      </c>
      <c r="D98" s="9">
        <v>5</v>
      </c>
      <c r="E98" s="24" t="s">
        <v>44</v>
      </c>
      <c r="F98" s="40" t="s">
        <v>277</v>
      </c>
      <c r="G98" s="7">
        <f>'CUENTA T FONDO 100'!AS97</f>
        <v>0</v>
      </c>
      <c r="H98" s="7">
        <f>'CUENTA T VS'!AS75</f>
        <v>0</v>
      </c>
      <c r="I98" s="7">
        <f t="shared" si="4"/>
        <v>0</v>
      </c>
      <c r="J98" s="6">
        <f>I98/$I$25</f>
        <v>0</v>
      </c>
    </row>
    <row r="99" spans="1:10" x14ac:dyDescent="0.2">
      <c r="A99" s="18">
        <v>2</v>
      </c>
      <c r="B99" s="15">
        <v>2</v>
      </c>
      <c r="C99" s="15">
        <v>1</v>
      </c>
      <c r="D99" s="15">
        <v>6</v>
      </c>
      <c r="E99" s="15"/>
      <c r="F99" s="38" t="s">
        <v>69</v>
      </c>
      <c r="G99" s="12">
        <f>SUM(G100:G101)</f>
        <v>0</v>
      </c>
      <c r="H99" s="12">
        <f>SUM(H100:H101)</f>
        <v>0</v>
      </c>
      <c r="I99" s="12">
        <f t="shared" si="4"/>
        <v>0</v>
      </c>
      <c r="J99" s="11"/>
    </row>
    <row r="100" spans="1:10" x14ac:dyDescent="0.2">
      <c r="A100" s="17">
        <v>2</v>
      </c>
      <c r="B100" s="9">
        <v>2</v>
      </c>
      <c r="C100" s="9">
        <v>1</v>
      </c>
      <c r="D100" s="9">
        <v>6</v>
      </c>
      <c r="E100" s="24" t="s">
        <v>44</v>
      </c>
      <c r="F100" s="40" t="s">
        <v>68</v>
      </c>
      <c r="G100" s="7">
        <f>'CUENTA T FONDO 100'!AT97</f>
        <v>0</v>
      </c>
      <c r="H100" s="7">
        <f>'CUENTA T VS'!AT75</f>
        <v>0</v>
      </c>
      <c r="I100" s="7">
        <f t="shared" si="4"/>
        <v>0</v>
      </c>
      <c r="J100" s="6">
        <f>I100/$I$25</f>
        <v>0</v>
      </c>
    </row>
    <row r="101" spans="1:10" x14ac:dyDescent="0.2">
      <c r="A101" s="17">
        <v>2</v>
      </c>
      <c r="B101" s="9">
        <v>2</v>
      </c>
      <c r="C101" s="9">
        <v>1</v>
      </c>
      <c r="D101" s="9">
        <v>6</v>
      </c>
      <c r="E101" s="24" t="s">
        <v>43</v>
      </c>
      <c r="F101" s="40" t="s">
        <v>276</v>
      </c>
      <c r="G101" s="7">
        <f>'CUENTA T FONDO 100'!AU97</f>
        <v>0</v>
      </c>
      <c r="H101" s="7">
        <f>'CUENTA T VS'!AU75</f>
        <v>0</v>
      </c>
      <c r="I101" s="7">
        <f t="shared" si="4"/>
        <v>0</v>
      </c>
      <c r="J101" s="6">
        <f>I101/$I$25</f>
        <v>0</v>
      </c>
    </row>
    <row r="102" spans="1:10" x14ac:dyDescent="0.2">
      <c r="A102" s="18">
        <v>2</v>
      </c>
      <c r="B102" s="15">
        <v>2</v>
      </c>
      <c r="C102" s="15">
        <v>1</v>
      </c>
      <c r="D102" s="15">
        <v>7</v>
      </c>
      <c r="E102" s="15"/>
      <c r="F102" s="38" t="s">
        <v>67</v>
      </c>
      <c r="G102" s="12">
        <f>SUM(G103)</f>
        <v>60535</v>
      </c>
      <c r="H102" s="12">
        <f>SUM(H103)</f>
        <v>0</v>
      </c>
      <c r="I102" s="12">
        <f t="shared" si="4"/>
        <v>60535</v>
      </c>
      <c r="J102" s="11"/>
    </row>
    <row r="103" spans="1:10" x14ac:dyDescent="0.2">
      <c r="A103" s="17">
        <v>2</v>
      </c>
      <c r="B103" s="9">
        <v>2</v>
      </c>
      <c r="C103" s="9">
        <v>1</v>
      </c>
      <c r="D103" s="9">
        <v>7</v>
      </c>
      <c r="E103" s="24" t="s">
        <v>44</v>
      </c>
      <c r="F103" s="40" t="s">
        <v>67</v>
      </c>
      <c r="G103" s="7">
        <f>'CUENTA T FONDO 100'!AV97</f>
        <v>60535</v>
      </c>
      <c r="H103" s="7">
        <f>'CUENTA T VS'!AV75</f>
        <v>0</v>
      </c>
      <c r="I103" s="7">
        <f t="shared" si="4"/>
        <v>60535</v>
      </c>
      <c r="J103" s="6">
        <f>I103/$I$25</f>
        <v>3.6809484132271225E-4</v>
      </c>
    </row>
    <row r="104" spans="1:10" x14ac:dyDescent="0.2">
      <c r="A104" s="18">
        <v>2</v>
      </c>
      <c r="B104" s="15">
        <v>2</v>
      </c>
      <c r="C104" s="15">
        <v>1</v>
      </c>
      <c r="D104" s="15">
        <v>8</v>
      </c>
      <c r="E104" s="15"/>
      <c r="F104" s="38" t="s">
        <v>66</v>
      </c>
      <c r="G104" s="12">
        <f>SUM(G105)</f>
        <v>0</v>
      </c>
      <c r="H104" s="12">
        <f>SUM(H105)</f>
        <v>745000</v>
      </c>
      <c r="I104" s="12">
        <f t="shared" si="4"/>
        <v>745000</v>
      </c>
      <c r="J104" s="11"/>
    </row>
    <row r="105" spans="1:10" x14ac:dyDescent="0.2">
      <c r="A105" s="17">
        <v>2</v>
      </c>
      <c r="B105" s="9">
        <v>2</v>
      </c>
      <c r="C105" s="9">
        <v>1</v>
      </c>
      <c r="D105" s="9">
        <v>8</v>
      </c>
      <c r="E105" s="24" t="s">
        <v>44</v>
      </c>
      <c r="F105" s="40" t="s">
        <v>66</v>
      </c>
      <c r="G105" s="7">
        <f>'CUENTA T FONDO 100'!AW97</f>
        <v>0</v>
      </c>
      <c r="H105" s="7">
        <f>'CUENTA T VS'!AW75</f>
        <v>745000</v>
      </c>
      <c r="I105" s="7">
        <f t="shared" si="4"/>
        <v>745000</v>
      </c>
      <c r="J105" s="6">
        <f>I105/$I$25</f>
        <v>4.5301173996104838E-3</v>
      </c>
    </row>
    <row r="106" spans="1:10" x14ac:dyDescent="0.2">
      <c r="A106" s="23">
        <v>2</v>
      </c>
      <c r="B106" s="22">
        <v>2</v>
      </c>
      <c r="C106" s="22">
        <v>2</v>
      </c>
      <c r="D106" s="22"/>
      <c r="E106" s="22"/>
      <c r="F106" s="41" t="s">
        <v>275</v>
      </c>
      <c r="G106" s="20">
        <f>+G107+G109</f>
        <v>0</v>
      </c>
      <c r="H106" s="20">
        <f>+H107+H109</f>
        <v>221258.85</v>
      </c>
      <c r="I106" s="20">
        <f t="shared" si="4"/>
        <v>221258.85</v>
      </c>
      <c r="J106" s="19"/>
    </row>
    <row r="107" spans="1:10" x14ac:dyDescent="0.2">
      <c r="A107" s="18">
        <v>2</v>
      </c>
      <c r="B107" s="15">
        <v>2</v>
      </c>
      <c r="C107" s="15">
        <v>2</v>
      </c>
      <c r="D107" s="15">
        <v>1</v>
      </c>
      <c r="E107" s="15"/>
      <c r="F107" s="38" t="s">
        <v>274</v>
      </c>
      <c r="G107" s="12">
        <f>SUM(G108)</f>
        <v>0</v>
      </c>
      <c r="H107" s="12">
        <f>SUM(H108)</f>
        <v>221258.85</v>
      </c>
      <c r="I107" s="12">
        <f t="shared" si="4"/>
        <v>221258.85</v>
      </c>
      <c r="J107" s="11"/>
    </row>
    <row r="108" spans="1:10" x14ac:dyDescent="0.2">
      <c r="A108" s="17">
        <v>2</v>
      </c>
      <c r="B108" s="9">
        <v>2</v>
      </c>
      <c r="C108" s="9">
        <v>2</v>
      </c>
      <c r="D108" s="9">
        <v>1</v>
      </c>
      <c r="E108" s="24" t="s">
        <v>44</v>
      </c>
      <c r="F108" s="40" t="s">
        <v>274</v>
      </c>
      <c r="G108" s="7">
        <f>'CUENTA T FONDO 100'!AX97</f>
        <v>0</v>
      </c>
      <c r="H108" s="7">
        <f>'CUENTA T VS'!AX75</f>
        <v>221258.85</v>
      </c>
      <c r="I108" s="7">
        <f t="shared" si="4"/>
        <v>221258.85</v>
      </c>
      <c r="J108" s="6">
        <f>I108/$I$25</f>
        <v>1.3454074714131625E-3</v>
      </c>
    </row>
    <row r="109" spans="1:10" x14ac:dyDescent="0.2">
      <c r="A109" s="18">
        <v>2</v>
      </c>
      <c r="B109" s="15">
        <v>2</v>
      </c>
      <c r="C109" s="15">
        <v>2</v>
      </c>
      <c r="D109" s="15">
        <v>2</v>
      </c>
      <c r="E109" s="15"/>
      <c r="F109" s="38" t="s">
        <v>273</v>
      </c>
      <c r="G109" s="12">
        <f>SUM(G110)</f>
        <v>0</v>
      </c>
      <c r="H109" s="12">
        <f>SUM(H110)</f>
        <v>0</v>
      </c>
      <c r="I109" s="12">
        <f t="shared" si="4"/>
        <v>0</v>
      </c>
      <c r="J109" s="11"/>
    </row>
    <row r="110" spans="1:10" x14ac:dyDescent="0.2">
      <c r="A110" s="17">
        <v>2</v>
      </c>
      <c r="B110" s="9">
        <v>2</v>
      </c>
      <c r="C110" s="9">
        <v>2</v>
      </c>
      <c r="D110" s="9">
        <v>2</v>
      </c>
      <c r="E110" s="24" t="s">
        <v>44</v>
      </c>
      <c r="F110" s="40" t="s">
        <v>273</v>
      </c>
      <c r="G110" s="7">
        <f>'CUENTA T FONDO 100'!AY97</f>
        <v>0</v>
      </c>
      <c r="H110" s="7">
        <f>'CUENTA T VS'!AY75</f>
        <v>0</v>
      </c>
      <c r="I110" s="7">
        <f t="shared" si="4"/>
        <v>0</v>
      </c>
      <c r="J110" s="6">
        <f>I110/$I$25</f>
        <v>0</v>
      </c>
    </row>
    <row r="111" spans="1:10" x14ac:dyDescent="0.2">
      <c r="A111" s="23">
        <v>2</v>
      </c>
      <c r="B111" s="22">
        <v>2</v>
      </c>
      <c r="C111" s="22">
        <v>3</v>
      </c>
      <c r="D111" s="22"/>
      <c r="E111" s="22"/>
      <c r="F111" s="41" t="s">
        <v>272</v>
      </c>
      <c r="G111" s="20">
        <f>+G112+G114</f>
        <v>0</v>
      </c>
      <c r="H111" s="20">
        <f>+H112+H114</f>
        <v>0</v>
      </c>
      <c r="I111" s="20">
        <f t="shared" si="4"/>
        <v>0</v>
      </c>
      <c r="J111" s="19"/>
    </row>
    <row r="112" spans="1:10" x14ac:dyDescent="0.2">
      <c r="A112" s="18">
        <v>2</v>
      </c>
      <c r="B112" s="15">
        <v>2</v>
      </c>
      <c r="C112" s="15">
        <v>3</v>
      </c>
      <c r="D112" s="15">
        <v>1</v>
      </c>
      <c r="E112" s="15"/>
      <c r="F112" s="38" t="s">
        <v>271</v>
      </c>
      <c r="G112" s="12">
        <f>SUM(G113)</f>
        <v>0</v>
      </c>
      <c r="H112" s="12">
        <f>SUM(H113)</f>
        <v>0</v>
      </c>
      <c r="I112" s="12">
        <f t="shared" si="4"/>
        <v>0</v>
      </c>
      <c r="J112" s="11"/>
    </row>
    <row r="113" spans="1:10" x14ac:dyDescent="0.2">
      <c r="A113" s="17">
        <v>2</v>
      </c>
      <c r="B113" s="9">
        <v>2</v>
      </c>
      <c r="C113" s="9">
        <v>3</v>
      </c>
      <c r="D113" s="9">
        <v>1</v>
      </c>
      <c r="E113" s="24" t="s">
        <v>44</v>
      </c>
      <c r="F113" s="40" t="s">
        <v>271</v>
      </c>
      <c r="G113" s="7">
        <f>'CUENTA T FONDO 100'!AZ97</f>
        <v>0</v>
      </c>
      <c r="H113" s="7">
        <f>'CUENTA T VS'!AZ75</f>
        <v>0</v>
      </c>
      <c r="I113" s="7">
        <f t="shared" si="4"/>
        <v>0</v>
      </c>
      <c r="J113" s="6">
        <f>I113/$I$25</f>
        <v>0</v>
      </c>
    </row>
    <row r="114" spans="1:10" x14ac:dyDescent="0.2">
      <c r="A114" s="18">
        <v>2</v>
      </c>
      <c r="B114" s="15">
        <v>2</v>
      </c>
      <c r="C114" s="15">
        <v>3</v>
      </c>
      <c r="D114" s="15">
        <v>2</v>
      </c>
      <c r="E114" s="15"/>
      <c r="F114" s="38" t="s">
        <v>65</v>
      </c>
      <c r="G114" s="12">
        <f>SUM(G115)</f>
        <v>0</v>
      </c>
      <c r="H114" s="12">
        <f>SUM(H115)</f>
        <v>0</v>
      </c>
      <c r="I114" s="12">
        <f t="shared" si="4"/>
        <v>0</v>
      </c>
      <c r="J114" s="11"/>
    </row>
    <row r="115" spans="1:10" x14ac:dyDescent="0.2">
      <c r="A115" s="17">
        <v>2</v>
      </c>
      <c r="B115" s="9">
        <v>2</v>
      </c>
      <c r="C115" s="9">
        <v>3</v>
      </c>
      <c r="D115" s="9">
        <v>2</v>
      </c>
      <c r="E115" s="24" t="s">
        <v>44</v>
      </c>
      <c r="F115" s="40" t="s">
        <v>65</v>
      </c>
      <c r="G115" s="7">
        <f>'CUENTA T FONDO 100'!BA97</f>
        <v>0</v>
      </c>
      <c r="H115" s="7">
        <f>'CUENTA T VS'!BA75</f>
        <v>0</v>
      </c>
      <c r="I115" s="7">
        <f t="shared" si="4"/>
        <v>0</v>
      </c>
      <c r="J115" s="6">
        <f>I115/$I$25</f>
        <v>0</v>
      </c>
    </row>
    <row r="116" spans="1:10" x14ac:dyDescent="0.2">
      <c r="A116" s="23">
        <v>2</v>
      </c>
      <c r="B116" s="22">
        <v>2</v>
      </c>
      <c r="C116" s="22">
        <v>4</v>
      </c>
      <c r="D116" s="22"/>
      <c r="E116" s="22"/>
      <c r="F116" s="41" t="s">
        <v>270</v>
      </c>
      <c r="G116" s="20">
        <f>+G117+G119+G121+G123</f>
        <v>0</v>
      </c>
      <c r="H116" s="20">
        <f>+H117+H119+H121+H123</f>
        <v>20000</v>
      </c>
      <c r="I116" s="20">
        <f t="shared" si="4"/>
        <v>20000</v>
      </c>
      <c r="J116" s="19"/>
    </row>
    <row r="117" spans="1:10" x14ac:dyDescent="0.2">
      <c r="A117" s="18">
        <v>2</v>
      </c>
      <c r="B117" s="15">
        <v>2</v>
      </c>
      <c r="C117" s="15">
        <v>4</v>
      </c>
      <c r="D117" s="15">
        <v>1</v>
      </c>
      <c r="E117" s="15"/>
      <c r="F117" s="38" t="s">
        <v>269</v>
      </c>
      <c r="G117" s="12">
        <f>SUM(G118)</f>
        <v>0</v>
      </c>
      <c r="H117" s="12">
        <f>SUM(H118)</f>
        <v>20000</v>
      </c>
      <c r="I117" s="12">
        <f t="shared" si="4"/>
        <v>20000</v>
      </c>
      <c r="J117" s="11"/>
    </row>
    <row r="118" spans="1:10" x14ac:dyDescent="0.2">
      <c r="A118" s="17">
        <v>2</v>
      </c>
      <c r="B118" s="9">
        <v>2</v>
      </c>
      <c r="C118" s="9">
        <v>4</v>
      </c>
      <c r="D118" s="9">
        <v>1</v>
      </c>
      <c r="E118" s="24" t="s">
        <v>44</v>
      </c>
      <c r="F118" s="40" t="s">
        <v>269</v>
      </c>
      <c r="G118" s="7">
        <f>'CUENTA T FONDO 100'!BB97</f>
        <v>0</v>
      </c>
      <c r="H118" s="7">
        <f>'CUENTA T VS'!BB75</f>
        <v>20000</v>
      </c>
      <c r="I118" s="7">
        <f t="shared" si="4"/>
        <v>20000</v>
      </c>
      <c r="J118" s="6">
        <f>I118/$I$25</f>
        <v>1.216138899224291E-4</v>
      </c>
    </row>
    <row r="119" spans="1:10" x14ac:dyDescent="0.2">
      <c r="A119" s="18">
        <v>2</v>
      </c>
      <c r="B119" s="15">
        <v>2</v>
      </c>
      <c r="C119" s="15">
        <v>4</v>
      </c>
      <c r="D119" s="15">
        <v>2</v>
      </c>
      <c r="E119" s="15"/>
      <c r="F119" s="38" t="s">
        <v>64</v>
      </c>
      <c r="G119" s="12">
        <f>SUM(G120)</f>
        <v>0</v>
      </c>
      <c r="H119" s="12">
        <f>SUM(H120)</f>
        <v>0</v>
      </c>
      <c r="I119" s="12">
        <f t="shared" si="4"/>
        <v>0</v>
      </c>
      <c r="J119" s="11"/>
    </row>
    <row r="120" spans="1:10" x14ac:dyDescent="0.2">
      <c r="A120" s="17">
        <v>2</v>
      </c>
      <c r="B120" s="9">
        <v>2</v>
      </c>
      <c r="C120" s="9">
        <v>4</v>
      </c>
      <c r="D120" s="9">
        <v>2</v>
      </c>
      <c r="E120" s="24" t="s">
        <v>44</v>
      </c>
      <c r="F120" s="40" t="s">
        <v>64</v>
      </c>
      <c r="G120" s="7">
        <f>'CUENTA T FONDO 100'!BC97</f>
        <v>0</v>
      </c>
      <c r="H120" s="7">
        <f>'CUENTA T VS'!BC75</f>
        <v>0</v>
      </c>
      <c r="I120" s="7">
        <f t="shared" si="4"/>
        <v>0</v>
      </c>
      <c r="J120" s="6">
        <f>I120/$I$25</f>
        <v>0</v>
      </c>
    </row>
    <row r="121" spans="1:10" x14ac:dyDescent="0.2">
      <c r="A121" s="18">
        <v>2</v>
      </c>
      <c r="B121" s="15">
        <v>2</v>
      </c>
      <c r="C121" s="15">
        <v>4</v>
      </c>
      <c r="D121" s="15">
        <v>3</v>
      </c>
      <c r="E121" s="15"/>
      <c r="F121" s="38" t="s">
        <v>268</v>
      </c>
      <c r="G121" s="12">
        <f>SUM(G122)</f>
        <v>0</v>
      </c>
      <c r="H121" s="12">
        <f>SUM(H122)</f>
        <v>0</v>
      </c>
      <c r="I121" s="12">
        <f t="shared" si="4"/>
        <v>0</v>
      </c>
      <c r="J121" s="11"/>
    </row>
    <row r="122" spans="1:10" x14ac:dyDescent="0.2">
      <c r="A122" s="17">
        <v>2</v>
      </c>
      <c r="B122" s="9">
        <v>2</v>
      </c>
      <c r="C122" s="9">
        <v>4</v>
      </c>
      <c r="D122" s="9">
        <v>3</v>
      </c>
      <c r="E122" s="24" t="s">
        <v>44</v>
      </c>
      <c r="F122" s="40" t="s">
        <v>268</v>
      </c>
      <c r="G122" s="7">
        <f>'CUENTA T FONDO 100'!BD97</f>
        <v>0</v>
      </c>
      <c r="H122" s="7">
        <f>'CUENTA T VS'!BD75</f>
        <v>0</v>
      </c>
      <c r="I122" s="7">
        <f t="shared" si="4"/>
        <v>0</v>
      </c>
      <c r="J122" s="6">
        <f>I122/$I$25</f>
        <v>0</v>
      </c>
    </row>
    <row r="123" spans="1:10" x14ac:dyDescent="0.2">
      <c r="A123" s="18">
        <v>2</v>
      </c>
      <c r="B123" s="15">
        <v>2</v>
      </c>
      <c r="C123" s="15">
        <v>4</v>
      </c>
      <c r="D123" s="15">
        <v>4</v>
      </c>
      <c r="E123" s="15"/>
      <c r="F123" s="38" t="s">
        <v>267</v>
      </c>
      <c r="G123" s="12">
        <f>SUM(G124)</f>
        <v>0</v>
      </c>
      <c r="H123" s="12">
        <f>SUM(H124)</f>
        <v>0</v>
      </c>
      <c r="I123" s="12">
        <f t="shared" si="4"/>
        <v>0</v>
      </c>
      <c r="J123" s="11"/>
    </row>
    <row r="124" spans="1:10" x14ac:dyDescent="0.2">
      <c r="A124" s="17">
        <v>2</v>
      </c>
      <c r="B124" s="9">
        <v>2</v>
      </c>
      <c r="C124" s="9">
        <v>4</v>
      </c>
      <c r="D124" s="9">
        <v>4</v>
      </c>
      <c r="E124" s="24" t="s">
        <v>44</v>
      </c>
      <c r="F124" s="40" t="s">
        <v>267</v>
      </c>
      <c r="G124" s="7">
        <f>'CUENTA T FONDO 100'!BE97</f>
        <v>0</v>
      </c>
      <c r="H124" s="7">
        <f>'CUENTA T VS'!BE75</f>
        <v>0</v>
      </c>
      <c r="I124" s="7">
        <f t="shared" si="4"/>
        <v>0</v>
      </c>
      <c r="J124" s="6">
        <f>I124/$I$25</f>
        <v>0</v>
      </c>
    </row>
    <row r="125" spans="1:10" x14ac:dyDescent="0.2">
      <c r="A125" s="30">
        <v>2</v>
      </c>
      <c r="B125" s="22">
        <v>2</v>
      </c>
      <c r="C125" s="22">
        <v>5</v>
      </c>
      <c r="D125" s="22"/>
      <c r="E125" s="22"/>
      <c r="F125" s="41" t="s">
        <v>266</v>
      </c>
      <c r="G125" s="20">
        <f>+G126+G128+G130+G136+G138+G140+G142+G144+G146</f>
        <v>0</v>
      </c>
      <c r="H125" s="20">
        <f>+H126+H128+H130+H136+H138+H140+H142+H144+H146</f>
        <v>0</v>
      </c>
      <c r="I125" s="20">
        <f t="shared" si="4"/>
        <v>0</v>
      </c>
      <c r="J125" s="19"/>
    </row>
    <row r="126" spans="1:10" x14ac:dyDescent="0.2">
      <c r="A126" s="18">
        <v>2</v>
      </c>
      <c r="B126" s="15">
        <v>2</v>
      </c>
      <c r="C126" s="15">
        <v>5</v>
      </c>
      <c r="D126" s="15">
        <v>1</v>
      </c>
      <c r="E126" s="14"/>
      <c r="F126" s="38" t="s">
        <v>265</v>
      </c>
      <c r="G126" s="12">
        <f>SUM(G127)</f>
        <v>0</v>
      </c>
      <c r="H126" s="12">
        <f>SUM(H127)</f>
        <v>0</v>
      </c>
      <c r="I126" s="12">
        <f t="shared" si="4"/>
        <v>0</v>
      </c>
      <c r="J126" s="11"/>
    </row>
    <row r="127" spans="1:10" x14ac:dyDescent="0.2">
      <c r="A127" s="17">
        <v>2</v>
      </c>
      <c r="B127" s="9">
        <v>2</v>
      </c>
      <c r="C127" s="9">
        <v>5</v>
      </c>
      <c r="D127" s="9">
        <v>1</v>
      </c>
      <c r="E127" s="24" t="s">
        <v>44</v>
      </c>
      <c r="F127" s="40" t="s">
        <v>265</v>
      </c>
      <c r="G127" s="7">
        <f>'CUENTA T FONDO 100'!BF97</f>
        <v>0</v>
      </c>
      <c r="H127" s="7">
        <f>'CUENTA T VS'!BF75</f>
        <v>0</v>
      </c>
      <c r="I127" s="7">
        <f t="shared" si="4"/>
        <v>0</v>
      </c>
      <c r="J127" s="6">
        <f>I127/$I$25</f>
        <v>0</v>
      </c>
    </row>
    <row r="128" spans="1:10" x14ac:dyDescent="0.2">
      <c r="A128" s="18">
        <v>2</v>
      </c>
      <c r="B128" s="15">
        <v>2</v>
      </c>
      <c r="C128" s="15">
        <v>5</v>
      </c>
      <c r="D128" s="15">
        <v>2</v>
      </c>
      <c r="E128" s="14"/>
      <c r="F128" s="38" t="s">
        <v>264</v>
      </c>
      <c r="G128" s="12">
        <f>SUM(G129)</f>
        <v>0</v>
      </c>
      <c r="H128" s="12">
        <f>SUM(H129)</f>
        <v>0</v>
      </c>
      <c r="I128" s="12">
        <f t="shared" si="4"/>
        <v>0</v>
      </c>
      <c r="J128" s="11"/>
    </row>
    <row r="129" spans="1:10" x14ac:dyDescent="0.2">
      <c r="A129" s="17">
        <v>2</v>
      </c>
      <c r="B129" s="9">
        <v>2</v>
      </c>
      <c r="C129" s="9">
        <v>5</v>
      </c>
      <c r="D129" s="9">
        <v>2</v>
      </c>
      <c r="E129" s="24" t="s">
        <v>44</v>
      </c>
      <c r="F129" s="40" t="s">
        <v>395</v>
      </c>
      <c r="G129" s="7">
        <f>'CUENTA T FONDO 100'!BG97</f>
        <v>0</v>
      </c>
      <c r="H129" s="7">
        <f>'CUENTA T VS'!BG75</f>
        <v>0</v>
      </c>
      <c r="I129" s="7">
        <f t="shared" si="4"/>
        <v>0</v>
      </c>
      <c r="J129" s="6">
        <f>I129/$I$25</f>
        <v>0</v>
      </c>
    </row>
    <row r="130" spans="1:10" x14ac:dyDescent="0.2">
      <c r="A130" s="18">
        <v>2</v>
      </c>
      <c r="B130" s="15">
        <v>2</v>
      </c>
      <c r="C130" s="15">
        <v>5</v>
      </c>
      <c r="D130" s="15">
        <v>3</v>
      </c>
      <c r="E130" s="14"/>
      <c r="F130" s="38" t="s">
        <v>63</v>
      </c>
      <c r="G130" s="12">
        <f>SUM(G131:G135)</f>
        <v>0</v>
      </c>
      <c r="H130" s="12">
        <f>SUM(H131:H135)</f>
        <v>0</v>
      </c>
      <c r="I130" s="12">
        <f t="shared" si="4"/>
        <v>0</v>
      </c>
      <c r="J130" s="11"/>
    </row>
    <row r="131" spans="1:10" x14ac:dyDescent="0.2">
      <c r="A131" s="17">
        <v>2</v>
      </c>
      <c r="B131" s="9">
        <v>2</v>
      </c>
      <c r="C131" s="9">
        <v>5</v>
      </c>
      <c r="D131" s="9">
        <v>3</v>
      </c>
      <c r="E131" s="24" t="s">
        <v>44</v>
      </c>
      <c r="F131" s="40" t="s">
        <v>263</v>
      </c>
      <c r="G131" s="7">
        <f>'CUENTA T FONDO 100'!BH97</f>
        <v>0</v>
      </c>
      <c r="H131" s="7">
        <f>'CUENTA T VS'!BH75</f>
        <v>0</v>
      </c>
      <c r="I131" s="7">
        <f t="shared" si="4"/>
        <v>0</v>
      </c>
      <c r="J131" s="6">
        <f>I131/$I$25</f>
        <v>0</v>
      </c>
    </row>
    <row r="132" spans="1:10" x14ac:dyDescent="0.2">
      <c r="A132" s="17">
        <v>2</v>
      </c>
      <c r="B132" s="9">
        <v>2</v>
      </c>
      <c r="C132" s="9">
        <v>5</v>
      </c>
      <c r="D132" s="9">
        <v>3</v>
      </c>
      <c r="E132" s="24" t="s">
        <v>43</v>
      </c>
      <c r="F132" s="40" t="s">
        <v>396</v>
      </c>
      <c r="G132" s="7">
        <f>'CUENTA T FONDO 100'!BI97</f>
        <v>0</v>
      </c>
      <c r="H132" s="7">
        <f>'CUENTA T VS'!BI75</f>
        <v>0</v>
      </c>
      <c r="I132" s="7">
        <f t="shared" si="4"/>
        <v>0</v>
      </c>
      <c r="J132" s="6">
        <f>I132/$I$25</f>
        <v>0</v>
      </c>
    </row>
    <row r="133" spans="1:10" x14ac:dyDescent="0.2">
      <c r="A133" s="17">
        <v>2</v>
      </c>
      <c r="B133" s="9">
        <v>2</v>
      </c>
      <c r="C133" s="9">
        <v>5</v>
      </c>
      <c r="D133" s="9">
        <v>3</v>
      </c>
      <c r="E133" s="24" t="s">
        <v>104</v>
      </c>
      <c r="F133" s="40" t="s">
        <v>262</v>
      </c>
      <c r="G133" s="7">
        <f>'CUENTA T FONDO 100'!BJ97</f>
        <v>0</v>
      </c>
      <c r="H133" s="7">
        <f>'CUENTA T VS'!BJ75</f>
        <v>0</v>
      </c>
      <c r="I133" s="7">
        <f t="shared" si="4"/>
        <v>0</v>
      </c>
      <c r="J133" s="6">
        <f>I133/$I$25</f>
        <v>0</v>
      </c>
    </row>
    <row r="134" spans="1:10" x14ac:dyDescent="0.2">
      <c r="A134" s="17">
        <v>2</v>
      </c>
      <c r="B134" s="9">
        <v>2</v>
      </c>
      <c r="C134" s="9">
        <v>5</v>
      </c>
      <c r="D134" s="9">
        <v>3</v>
      </c>
      <c r="E134" s="24" t="s">
        <v>172</v>
      </c>
      <c r="F134" s="40" t="s">
        <v>261</v>
      </c>
      <c r="G134" s="7">
        <f>'CUENTA T FONDO 100'!BK97</f>
        <v>0</v>
      </c>
      <c r="H134" s="7">
        <f>'CUENTA T VS'!BK75</f>
        <v>0</v>
      </c>
      <c r="I134" s="7">
        <f t="shared" si="4"/>
        <v>0</v>
      </c>
      <c r="J134" s="6">
        <f>I134/$I$25</f>
        <v>0</v>
      </c>
    </row>
    <row r="135" spans="1:10" x14ac:dyDescent="0.2">
      <c r="A135" s="17">
        <v>2</v>
      </c>
      <c r="B135" s="9">
        <v>2</v>
      </c>
      <c r="C135" s="9">
        <v>5</v>
      </c>
      <c r="D135" s="9">
        <v>3</v>
      </c>
      <c r="E135" s="24" t="s">
        <v>170</v>
      </c>
      <c r="F135" s="40" t="s">
        <v>260</v>
      </c>
      <c r="G135" s="7">
        <f>'CUENTA T FONDO 100'!BL97</f>
        <v>0</v>
      </c>
      <c r="H135" s="7">
        <f>'CUENTA T VS'!BL75</f>
        <v>0</v>
      </c>
      <c r="I135" s="7">
        <f t="shared" si="4"/>
        <v>0</v>
      </c>
      <c r="J135" s="6">
        <f>I135/$I$25</f>
        <v>0</v>
      </c>
    </row>
    <row r="136" spans="1:10" x14ac:dyDescent="0.2">
      <c r="A136" s="18">
        <v>2</v>
      </c>
      <c r="B136" s="15">
        <v>2</v>
      </c>
      <c r="C136" s="15">
        <v>5</v>
      </c>
      <c r="D136" s="15">
        <v>4</v>
      </c>
      <c r="E136" s="14"/>
      <c r="F136" s="38" t="s">
        <v>259</v>
      </c>
      <c r="G136" s="12">
        <f>SUM(G137)</f>
        <v>0</v>
      </c>
      <c r="H136" s="12">
        <f>SUM(H137)</f>
        <v>0</v>
      </c>
      <c r="I136" s="12">
        <f t="shared" si="4"/>
        <v>0</v>
      </c>
      <c r="J136" s="11"/>
    </row>
    <row r="137" spans="1:10" x14ac:dyDescent="0.2">
      <c r="A137" s="17">
        <v>2</v>
      </c>
      <c r="B137" s="9">
        <v>2</v>
      </c>
      <c r="C137" s="9">
        <v>5</v>
      </c>
      <c r="D137" s="9">
        <v>4</v>
      </c>
      <c r="E137" s="24" t="s">
        <v>44</v>
      </c>
      <c r="F137" s="40" t="s">
        <v>259</v>
      </c>
      <c r="G137" s="7">
        <f>'CUENTA T FONDO 100'!BM97</f>
        <v>0</v>
      </c>
      <c r="H137" s="7">
        <f>'CUENTA T VS'!BM75</f>
        <v>0</v>
      </c>
      <c r="I137" s="7">
        <f t="shared" si="4"/>
        <v>0</v>
      </c>
      <c r="J137" s="6">
        <f>I137/$I$25</f>
        <v>0</v>
      </c>
    </row>
    <row r="138" spans="1:10" x14ac:dyDescent="0.2">
      <c r="A138" s="18">
        <v>2</v>
      </c>
      <c r="B138" s="15">
        <v>2</v>
      </c>
      <c r="C138" s="15">
        <v>5</v>
      </c>
      <c r="D138" s="15">
        <v>5</v>
      </c>
      <c r="E138" s="14"/>
      <c r="F138" s="38" t="s">
        <v>258</v>
      </c>
      <c r="G138" s="12">
        <f>SUM(G139)</f>
        <v>0</v>
      </c>
      <c r="H138" s="12">
        <f>SUM(H139)</f>
        <v>0</v>
      </c>
      <c r="I138" s="12">
        <f t="shared" si="4"/>
        <v>0</v>
      </c>
      <c r="J138" s="11"/>
    </row>
    <row r="139" spans="1:10" x14ac:dyDescent="0.2">
      <c r="A139" s="17">
        <v>2</v>
      </c>
      <c r="B139" s="9">
        <v>2</v>
      </c>
      <c r="C139" s="9">
        <v>5</v>
      </c>
      <c r="D139" s="9">
        <v>5</v>
      </c>
      <c r="E139" s="24" t="s">
        <v>44</v>
      </c>
      <c r="F139" s="40" t="s">
        <v>258</v>
      </c>
      <c r="G139" s="7">
        <f>'CUENTA T FONDO 100'!BN97</f>
        <v>0</v>
      </c>
      <c r="H139" s="7">
        <f>'CUENTA T VS'!BN75</f>
        <v>0</v>
      </c>
      <c r="I139" s="7">
        <f t="shared" si="4"/>
        <v>0</v>
      </c>
      <c r="J139" s="6">
        <f>I139/$I$25</f>
        <v>0</v>
      </c>
    </row>
    <row r="140" spans="1:10" x14ac:dyDescent="0.2">
      <c r="A140" s="18">
        <v>2</v>
      </c>
      <c r="B140" s="15">
        <v>2</v>
      </c>
      <c r="C140" s="15">
        <v>5</v>
      </c>
      <c r="D140" s="15">
        <v>6</v>
      </c>
      <c r="E140" s="14"/>
      <c r="F140" s="38" t="s">
        <v>257</v>
      </c>
      <c r="G140" s="12">
        <f>SUM(G141)</f>
        <v>0</v>
      </c>
      <c r="H140" s="12">
        <f>SUM(H141)</f>
        <v>0</v>
      </c>
      <c r="I140" s="12">
        <f t="shared" si="4"/>
        <v>0</v>
      </c>
      <c r="J140" s="11"/>
    </row>
    <row r="141" spans="1:10" x14ac:dyDescent="0.2">
      <c r="A141" s="17">
        <v>2</v>
      </c>
      <c r="B141" s="9">
        <v>2</v>
      </c>
      <c r="C141" s="9">
        <v>5</v>
      </c>
      <c r="D141" s="9">
        <v>6</v>
      </c>
      <c r="E141" s="24" t="s">
        <v>44</v>
      </c>
      <c r="F141" s="40" t="s">
        <v>257</v>
      </c>
      <c r="G141" s="7">
        <f>'CUENTA T FONDO 100'!BO97</f>
        <v>0</v>
      </c>
      <c r="H141" s="7">
        <f>'CUENTA T VS'!BO75</f>
        <v>0</v>
      </c>
      <c r="I141" s="7">
        <f t="shared" si="4"/>
        <v>0</v>
      </c>
      <c r="J141" s="6">
        <f>I141/$I$25</f>
        <v>0</v>
      </c>
    </row>
    <row r="142" spans="1:10" x14ac:dyDescent="0.2">
      <c r="A142" s="18">
        <v>2</v>
      </c>
      <c r="B142" s="15">
        <v>2</v>
      </c>
      <c r="C142" s="15">
        <v>5</v>
      </c>
      <c r="D142" s="15">
        <v>7</v>
      </c>
      <c r="E142" s="14"/>
      <c r="F142" s="38" t="s">
        <v>256</v>
      </c>
      <c r="G142" s="12">
        <f>SUM(G143)</f>
        <v>0</v>
      </c>
      <c r="H142" s="12">
        <f>SUM(H143)</f>
        <v>0</v>
      </c>
      <c r="I142" s="12">
        <f t="shared" si="4"/>
        <v>0</v>
      </c>
      <c r="J142" s="11"/>
    </row>
    <row r="143" spans="1:10" x14ac:dyDescent="0.2">
      <c r="A143" s="17">
        <v>2</v>
      </c>
      <c r="B143" s="9">
        <v>2</v>
      </c>
      <c r="C143" s="9">
        <v>5</v>
      </c>
      <c r="D143" s="9">
        <v>7</v>
      </c>
      <c r="E143" s="24" t="s">
        <v>44</v>
      </c>
      <c r="F143" s="40" t="s">
        <v>256</v>
      </c>
      <c r="G143" s="7">
        <f>'CUENTA T FONDO 100'!BP97</f>
        <v>0</v>
      </c>
      <c r="H143" s="7">
        <f>'CUENTA T VS'!BP75</f>
        <v>0</v>
      </c>
      <c r="I143" s="7">
        <f t="shared" si="4"/>
        <v>0</v>
      </c>
      <c r="J143" s="6">
        <f>I143/$I$25</f>
        <v>0</v>
      </c>
    </row>
    <row r="144" spans="1:10" x14ac:dyDescent="0.2">
      <c r="A144" s="18">
        <v>2</v>
      </c>
      <c r="B144" s="15">
        <v>2</v>
      </c>
      <c r="C144" s="15">
        <v>5</v>
      </c>
      <c r="D144" s="15">
        <v>8</v>
      </c>
      <c r="E144" s="14"/>
      <c r="F144" s="38" t="s">
        <v>255</v>
      </c>
      <c r="G144" s="12">
        <f>SUM(G145)</f>
        <v>0</v>
      </c>
      <c r="H144" s="12">
        <f>SUM(H145)</f>
        <v>0</v>
      </c>
      <c r="I144" s="12">
        <f t="shared" si="4"/>
        <v>0</v>
      </c>
      <c r="J144" s="11"/>
    </row>
    <row r="145" spans="1:10" x14ac:dyDescent="0.2">
      <c r="A145" s="17">
        <v>2</v>
      </c>
      <c r="B145" s="9">
        <v>2</v>
      </c>
      <c r="C145" s="9">
        <v>5</v>
      </c>
      <c r="D145" s="9">
        <v>8</v>
      </c>
      <c r="E145" s="24" t="s">
        <v>44</v>
      </c>
      <c r="F145" s="40" t="s">
        <v>255</v>
      </c>
      <c r="G145" s="7">
        <f>'CUENTA T FONDO 100'!BQ97</f>
        <v>0</v>
      </c>
      <c r="H145" s="7">
        <f>'CUENTA T VS'!BQ75</f>
        <v>0</v>
      </c>
      <c r="I145" s="7">
        <f t="shared" si="4"/>
        <v>0</v>
      </c>
      <c r="J145" s="6">
        <f>I145/$I$25</f>
        <v>0</v>
      </c>
    </row>
    <row r="146" spans="1:10" x14ac:dyDescent="0.2">
      <c r="A146" s="18">
        <v>2</v>
      </c>
      <c r="B146" s="15">
        <v>2</v>
      </c>
      <c r="C146" s="15">
        <v>5</v>
      </c>
      <c r="D146" s="15">
        <v>9</v>
      </c>
      <c r="E146" s="14"/>
      <c r="F146" s="38" t="s">
        <v>397</v>
      </c>
      <c r="G146" s="12">
        <f>SUM(G147)</f>
        <v>0</v>
      </c>
      <c r="H146" s="12">
        <f>SUM(H147)</f>
        <v>0</v>
      </c>
      <c r="I146" s="12">
        <f t="shared" si="4"/>
        <v>0</v>
      </c>
      <c r="J146" s="11"/>
    </row>
    <row r="147" spans="1:10" x14ac:dyDescent="0.2">
      <c r="A147" s="17">
        <v>2</v>
      </c>
      <c r="B147" s="9">
        <v>2</v>
      </c>
      <c r="C147" s="9">
        <v>5</v>
      </c>
      <c r="D147" s="9">
        <v>9</v>
      </c>
      <c r="E147" s="24" t="s">
        <v>44</v>
      </c>
      <c r="F147" s="40" t="s">
        <v>398</v>
      </c>
      <c r="G147" s="7">
        <f>'CUENTA T FONDO 100'!BR97</f>
        <v>0</v>
      </c>
      <c r="H147" s="7">
        <f>'CUENTA T VS'!BR75</f>
        <v>0</v>
      </c>
      <c r="I147" s="7">
        <f t="shared" si="4"/>
        <v>0</v>
      </c>
      <c r="J147" s="6">
        <f>I147/$I$25</f>
        <v>0</v>
      </c>
    </row>
    <row r="148" spans="1:10" x14ac:dyDescent="0.2">
      <c r="A148" s="30">
        <v>2</v>
      </c>
      <c r="B148" s="22">
        <v>2</v>
      </c>
      <c r="C148" s="22">
        <v>6</v>
      </c>
      <c r="D148" s="22"/>
      <c r="E148" s="22"/>
      <c r="F148" s="41" t="s">
        <v>254</v>
      </c>
      <c r="G148" s="20">
        <f>+G149+G151+G153+G155</f>
        <v>0</v>
      </c>
      <c r="H148" s="20">
        <f>+H149+H151+H153+H155</f>
        <v>0</v>
      </c>
      <c r="I148" s="20">
        <f t="shared" si="4"/>
        <v>0</v>
      </c>
      <c r="J148" s="19"/>
    </row>
    <row r="149" spans="1:10" x14ac:dyDescent="0.2">
      <c r="A149" s="18">
        <v>2</v>
      </c>
      <c r="B149" s="15">
        <v>2</v>
      </c>
      <c r="C149" s="15">
        <v>6</v>
      </c>
      <c r="D149" s="15">
        <v>1</v>
      </c>
      <c r="E149" s="14"/>
      <c r="F149" s="38" t="s">
        <v>253</v>
      </c>
      <c r="G149" s="12">
        <f>SUM(G150)</f>
        <v>0</v>
      </c>
      <c r="H149" s="12">
        <f>SUM(H150)</f>
        <v>0</v>
      </c>
      <c r="I149" s="12">
        <f t="shared" si="4"/>
        <v>0</v>
      </c>
      <c r="J149" s="11"/>
    </row>
    <row r="150" spans="1:10" x14ac:dyDescent="0.2">
      <c r="A150" s="17">
        <v>2</v>
      </c>
      <c r="B150" s="9">
        <v>2</v>
      </c>
      <c r="C150" s="9">
        <v>6</v>
      </c>
      <c r="D150" s="9">
        <v>1</v>
      </c>
      <c r="E150" s="24" t="s">
        <v>44</v>
      </c>
      <c r="F150" s="40" t="s">
        <v>253</v>
      </c>
      <c r="G150" s="7">
        <f>'CUENTA T FONDO 100'!BS97</f>
        <v>0</v>
      </c>
      <c r="H150" s="7">
        <f>'CUENTA T VS'!BS75</f>
        <v>0</v>
      </c>
      <c r="I150" s="7">
        <f t="shared" si="4"/>
        <v>0</v>
      </c>
      <c r="J150" s="6">
        <f>I150/$I$25</f>
        <v>0</v>
      </c>
    </row>
    <row r="151" spans="1:10" x14ac:dyDescent="0.2">
      <c r="A151" s="18">
        <v>2</v>
      </c>
      <c r="B151" s="15">
        <v>2</v>
      </c>
      <c r="C151" s="15">
        <v>6</v>
      </c>
      <c r="D151" s="15">
        <v>2</v>
      </c>
      <c r="E151" s="15"/>
      <c r="F151" s="38" t="s">
        <v>62</v>
      </c>
      <c r="G151" s="12">
        <f>SUM(G152)</f>
        <v>0</v>
      </c>
      <c r="H151" s="12">
        <f>SUM(H152)</f>
        <v>0</v>
      </c>
      <c r="I151" s="12">
        <f t="shared" si="4"/>
        <v>0</v>
      </c>
      <c r="J151" s="11"/>
    </row>
    <row r="152" spans="1:10" x14ac:dyDescent="0.2">
      <c r="A152" s="17">
        <v>2</v>
      </c>
      <c r="B152" s="9">
        <v>2</v>
      </c>
      <c r="C152" s="9">
        <v>6</v>
      </c>
      <c r="D152" s="9">
        <v>2</v>
      </c>
      <c r="E152" s="24" t="s">
        <v>44</v>
      </c>
      <c r="F152" s="40" t="s">
        <v>62</v>
      </c>
      <c r="G152" s="7">
        <f>'CUENTA T FONDO 100'!BT97</f>
        <v>0</v>
      </c>
      <c r="H152" s="7">
        <f>'CUENTA T VS'!BT75</f>
        <v>0</v>
      </c>
      <c r="I152" s="7">
        <f t="shared" si="4"/>
        <v>0</v>
      </c>
      <c r="J152" s="6">
        <f>I152/$I$25</f>
        <v>0</v>
      </c>
    </row>
    <row r="153" spans="1:10" x14ac:dyDescent="0.2">
      <c r="A153" s="18">
        <v>2</v>
      </c>
      <c r="B153" s="15">
        <v>2</v>
      </c>
      <c r="C153" s="15">
        <v>6</v>
      </c>
      <c r="D153" s="15">
        <v>3</v>
      </c>
      <c r="E153" s="15"/>
      <c r="F153" s="38" t="s">
        <v>252</v>
      </c>
      <c r="G153" s="12">
        <f>SUM(G154)</f>
        <v>0</v>
      </c>
      <c r="H153" s="12">
        <f>SUM(H154)</f>
        <v>0</v>
      </c>
      <c r="I153" s="12">
        <f t="shared" ref="I153:I216" si="5">SUM(G153:H153)</f>
        <v>0</v>
      </c>
      <c r="J153" s="11"/>
    </row>
    <row r="154" spans="1:10" x14ac:dyDescent="0.2">
      <c r="A154" s="17">
        <v>2</v>
      </c>
      <c r="B154" s="9">
        <v>2</v>
      </c>
      <c r="C154" s="9">
        <v>6</v>
      </c>
      <c r="D154" s="9">
        <v>3</v>
      </c>
      <c r="E154" s="24" t="s">
        <v>44</v>
      </c>
      <c r="F154" s="40" t="s">
        <v>252</v>
      </c>
      <c r="G154" s="7">
        <f>'CUENTA T FONDO 100'!BU97</f>
        <v>0</v>
      </c>
      <c r="H154" s="7">
        <f>'CUENTA T VS'!BU75</f>
        <v>0</v>
      </c>
      <c r="I154" s="7">
        <f t="shared" si="5"/>
        <v>0</v>
      </c>
      <c r="J154" s="6">
        <f>I154/$I$25</f>
        <v>0</v>
      </c>
    </row>
    <row r="155" spans="1:10" x14ac:dyDescent="0.2">
      <c r="A155" s="18">
        <v>2</v>
      </c>
      <c r="B155" s="15">
        <v>2</v>
      </c>
      <c r="C155" s="15">
        <v>6</v>
      </c>
      <c r="D155" s="15">
        <v>4</v>
      </c>
      <c r="E155" s="15"/>
      <c r="F155" s="38" t="s">
        <v>251</v>
      </c>
      <c r="G155" s="12">
        <f>SUM(G156)</f>
        <v>0</v>
      </c>
      <c r="H155" s="12">
        <f>SUM(H156)</f>
        <v>0</v>
      </c>
      <c r="I155" s="12">
        <f t="shared" si="5"/>
        <v>0</v>
      </c>
      <c r="J155" s="11"/>
    </row>
    <row r="156" spans="1:10" x14ac:dyDescent="0.2">
      <c r="A156" s="17">
        <v>2</v>
      </c>
      <c r="B156" s="9">
        <v>2</v>
      </c>
      <c r="C156" s="9">
        <v>6</v>
      </c>
      <c r="D156" s="9">
        <v>4</v>
      </c>
      <c r="E156" s="24" t="s">
        <v>44</v>
      </c>
      <c r="F156" s="40" t="s">
        <v>251</v>
      </c>
      <c r="G156" s="7">
        <f>'CUENTA T FONDO 100'!BV97</f>
        <v>0</v>
      </c>
      <c r="H156" s="7">
        <f>'CUENTA T VS'!BV75</f>
        <v>0</v>
      </c>
      <c r="I156" s="7">
        <f t="shared" si="5"/>
        <v>0</v>
      </c>
      <c r="J156" s="6">
        <f>I156/$I$25</f>
        <v>0</v>
      </c>
    </row>
    <row r="157" spans="1:10" ht="25.5" x14ac:dyDescent="0.2">
      <c r="A157" s="30">
        <v>2</v>
      </c>
      <c r="B157" s="22">
        <v>2</v>
      </c>
      <c r="C157" s="22">
        <v>7</v>
      </c>
      <c r="D157" s="22"/>
      <c r="E157" s="29"/>
      <c r="F157" s="39" t="s">
        <v>250</v>
      </c>
      <c r="G157" s="20">
        <f>+G158+G167+G177</f>
        <v>1611762.14</v>
      </c>
      <c r="H157" s="20">
        <f>+H158+H167+H177</f>
        <v>419174.44999999995</v>
      </c>
      <c r="I157" s="20">
        <f t="shared" si="5"/>
        <v>2030936.5899999999</v>
      </c>
      <c r="J157" s="19"/>
    </row>
    <row r="158" spans="1:10" x14ac:dyDescent="0.2">
      <c r="A158" s="18">
        <v>2</v>
      </c>
      <c r="B158" s="15">
        <v>2</v>
      </c>
      <c r="C158" s="15">
        <v>7</v>
      </c>
      <c r="D158" s="15">
        <v>1</v>
      </c>
      <c r="E158" s="15"/>
      <c r="F158" s="38" t="s">
        <v>249</v>
      </c>
      <c r="G158" s="12">
        <f>SUM(G159:G166)</f>
        <v>1606070.91</v>
      </c>
      <c r="H158" s="12">
        <f>SUM(H159:H166)</f>
        <v>57795.91</v>
      </c>
      <c r="I158" s="12">
        <f t="shared" si="5"/>
        <v>1663866.8199999998</v>
      </c>
      <c r="J158" s="11"/>
    </row>
    <row r="159" spans="1:10" x14ac:dyDescent="0.2">
      <c r="A159" s="10">
        <v>2</v>
      </c>
      <c r="B159" s="9">
        <v>2</v>
      </c>
      <c r="C159" s="9">
        <v>7</v>
      </c>
      <c r="D159" s="9">
        <v>1</v>
      </c>
      <c r="E159" s="24" t="s">
        <v>44</v>
      </c>
      <c r="F159" s="37" t="s">
        <v>248</v>
      </c>
      <c r="G159" s="7">
        <f>'CUENTA T FONDO 100'!BW97</f>
        <v>1575209.38</v>
      </c>
      <c r="H159" s="7">
        <f>'CUENTA T VS'!BW75</f>
        <v>57795.91</v>
      </c>
      <c r="I159" s="7">
        <f t="shared" si="5"/>
        <v>1633005.2899999998</v>
      </c>
      <c r="J159" s="6">
        <f t="shared" ref="J159:J166" si="6">I159/$I$25</f>
        <v>9.9298062790402191E-3</v>
      </c>
    </row>
    <row r="160" spans="1:10" x14ac:dyDescent="0.2">
      <c r="A160" s="10">
        <v>2</v>
      </c>
      <c r="B160" s="9">
        <v>2</v>
      </c>
      <c r="C160" s="9">
        <v>7</v>
      </c>
      <c r="D160" s="9">
        <v>1</v>
      </c>
      <c r="E160" s="24" t="s">
        <v>43</v>
      </c>
      <c r="F160" s="37" t="s">
        <v>247</v>
      </c>
      <c r="G160" s="7">
        <f>'CUENTA T FONDO 100'!BX97</f>
        <v>30861.53</v>
      </c>
      <c r="H160" s="7">
        <f>'CUENTA T VS'!BX75</f>
        <v>0</v>
      </c>
      <c r="I160" s="7">
        <f t="shared" si="5"/>
        <v>30861.53</v>
      </c>
      <c r="J160" s="6">
        <f t="shared" si="6"/>
        <v>1.8765953561288715E-4</v>
      </c>
    </row>
    <row r="161" spans="1:10" x14ac:dyDescent="0.2">
      <c r="A161" s="10">
        <v>2</v>
      </c>
      <c r="B161" s="9">
        <v>2</v>
      </c>
      <c r="C161" s="9">
        <v>7</v>
      </c>
      <c r="D161" s="9">
        <v>1</v>
      </c>
      <c r="E161" s="24" t="s">
        <v>104</v>
      </c>
      <c r="F161" s="37" t="s">
        <v>246</v>
      </c>
      <c r="G161" s="7">
        <f>'CUENTA T FONDO 100'!BY97</f>
        <v>0</v>
      </c>
      <c r="H161" s="7">
        <f>'CUENTA T VS'!BY75</f>
        <v>0</v>
      </c>
      <c r="I161" s="7">
        <f t="shared" si="5"/>
        <v>0</v>
      </c>
      <c r="J161" s="6">
        <f t="shared" si="6"/>
        <v>0</v>
      </c>
    </row>
    <row r="162" spans="1:10" ht="25.5" x14ac:dyDescent="0.2">
      <c r="A162" s="10">
        <v>2</v>
      </c>
      <c r="B162" s="9">
        <v>2</v>
      </c>
      <c r="C162" s="9">
        <v>7</v>
      </c>
      <c r="D162" s="9">
        <v>1</v>
      </c>
      <c r="E162" s="24" t="s">
        <v>172</v>
      </c>
      <c r="F162" s="37" t="s">
        <v>245</v>
      </c>
      <c r="G162" s="7">
        <f>'CUENTA T FONDO 100'!BZ97</f>
        <v>0</v>
      </c>
      <c r="H162" s="7">
        <f>'CUENTA T VS'!BZ75</f>
        <v>0</v>
      </c>
      <c r="I162" s="7">
        <f t="shared" si="5"/>
        <v>0</v>
      </c>
      <c r="J162" s="6">
        <f t="shared" si="6"/>
        <v>0</v>
      </c>
    </row>
    <row r="163" spans="1:10" x14ac:dyDescent="0.2">
      <c r="A163" s="10">
        <v>2</v>
      </c>
      <c r="B163" s="9">
        <v>2</v>
      </c>
      <c r="C163" s="9">
        <v>7</v>
      </c>
      <c r="D163" s="9">
        <v>1</v>
      </c>
      <c r="E163" s="24" t="s">
        <v>170</v>
      </c>
      <c r="F163" s="37" t="s">
        <v>244</v>
      </c>
      <c r="G163" s="7">
        <f>'CUENTA T FONDO 100'!CA97</f>
        <v>0</v>
      </c>
      <c r="H163" s="7">
        <f>'CUENTA T VS'!CA75</f>
        <v>0</v>
      </c>
      <c r="I163" s="7">
        <f t="shared" si="5"/>
        <v>0</v>
      </c>
      <c r="J163" s="6">
        <f t="shared" si="6"/>
        <v>0</v>
      </c>
    </row>
    <row r="164" spans="1:10" x14ac:dyDescent="0.2">
      <c r="A164" s="10">
        <v>2</v>
      </c>
      <c r="B164" s="9">
        <v>2</v>
      </c>
      <c r="C164" s="9">
        <v>7</v>
      </c>
      <c r="D164" s="9">
        <v>1</v>
      </c>
      <c r="E164" s="24" t="s">
        <v>61</v>
      </c>
      <c r="F164" s="37" t="s">
        <v>243</v>
      </c>
      <c r="G164" s="7">
        <f>'CUENTA T FONDO 100'!CB97</f>
        <v>0</v>
      </c>
      <c r="H164" s="7">
        <f>'CUENTA T VS'!CB75</f>
        <v>0</v>
      </c>
      <c r="I164" s="7">
        <f t="shared" si="5"/>
        <v>0</v>
      </c>
      <c r="J164" s="6">
        <f t="shared" si="6"/>
        <v>0</v>
      </c>
    </row>
    <row r="165" spans="1:10" ht="25.5" x14ac:dyDescent="0.2">
      <c r="A165" s="10">
        <v>2</v>
      </c>
      <c r="B165" s="9">
        <v>2</v>
      </c>
      <c r="C165" s="9">
        <v>7</v>
      </c>
      <c r="D165" s="9">
        <v>1</v>
      </c>
      <c r="E165" s="24" t="s">
        <v>60</v>
      </c>
      <c r="F165" s="37" t="s">
        <v>399</v>
      </c>
      <c r="G165" s="7">
        <f>'CUENTA T FONDO 100'!CC97</f>
        <v>0</v>
      </c>
      <c r="H165" s="7">
        <f>'CUENTA T VS'!CC75</f>
        <v>0</v>
      </c>
      <c r="I165" s="7">
        <f t="shared" si="5"/>
        <v>0</v>
      </c>
      <c r="J165" s="6">
        <f t="shared" si="6"/>
        <v>0</v>
      </c>
    </row>
    <row r="166" spans="1:10" ht="25.5" x14ac:dyDescent="0.2">
      <c r="A166" s="10">
        <v>2</v>
      </c>
      <c r="B166" s="9">
        <v>2</v>
      </c>
      <c r="C166" s="9">
        <v>7</v>
      </c>
      <c r="D166" s="9">
        <v>1</v>
      </c>
      <c r="E166" s="24" t="s">
        <v>7</v>
      </c>
      <c r="F166" s="37" t="s">
        <v>242</v>
      </c>
      <c r="G166" s="7">
        <f>'CUENTA T FONDO 100'!CD97</f>
        <v>0</v>
      </c>
      <c r="H166" s="7">
        <f>'CUENTA T VS'!CD75</f>
        <v>0</v>
      </c>
      <c r="I166" s="7">
        <f t="shared" si="5"/>
        <v>0</v>
      </c>
      <c r="J166" s="6">
        <f t="shared" si="6"/>
        <v>0</v>
      </c>
    </row>
    <row r="167" spans="1:10" x14ac:dyDescent="0.2">
      <c r="A167" s="18">
        <v>2</v>
      </c>
      <c r="B167" s="15">
        <v>2</v>
      </c>
      <c r="C167" s="15">
        <v>7</v>
      </c>
      <c r="D167" s="15">
        <v>2</v>
      </c>
      <c r="E167" s="15"/>
      <c r="F167" s="38" t="s">
        <v>241</v>
      </c>
      <c r="G167" s="12">
        <f>SUM(G168:G176)</f>
        <v>5691.23</v>
      </c>
      <c r="H167" s="12">
        <f>SUM(H168:H176)</f>
        <v>361378.54</v>
      </c>
      <c r="I167" s="12">
        <f t="shared" si="5"/>
        <v>367069.76999999996</v>
      </c>
      <c r="J167" s="11"/>
    </row>
    <row r="168" spans="1:10" ht="25.5" x14ac:dyDescent="0.2">
      <c r="A168" s="10">
        <v>2</v>
      </c>
      <c r="B168" s="9">
        <v>2</v>
      </c>
      <c r="C168" s="9">
        <v>7</v>
      </c>
      <c r="D168" s="9">
        <v>2</v>
      </c>
      <c r="E168" s="24" t="s">
        <v>44</v>
      </c>
      <c r="F168" s="37" t="s">
        <v>240</v>
      </c>
      <c r="G168" s="7">
        <f>'CUENTA T FONDO 100'!CE97</f>
        <v>0</v>
      </c>
      <c r="H168" s="7">
        <f>'CUENTA T VS'!CE75</f>
        <v>0</v>
      </c>
      <c r="I168" s="7">
        <f t="shared" si="5"/>
        <v>0</v>
      </c>
      <c r="J168" s="6">
        <f t="shared" ref="J168:J176" si="7">I168/$I$25</f>
        <v>0</v>
      </c>
    </row>
    <row r="169" spans="1:10" ht="25.5" x14ac:dyDescent="0.2">
      <c r="A169" s="10">
        <v>2</v>
      </c>
      <c r="B169" s="9">
        <v>2</v>
      </c>
      <c r="C169" s="9">
        <v>7</v>
      </c>
      <c r="D169" s="9">
        <v>2</v>
      </c>
      <c r="E169" s="24" t="s">
        <v>43</v>
      </c>
      <c r="F169" s="37" t="s">
        <v>400</v>
      </c>
      <c r="G169" s="7">
        <f>'CUENTA T FONDO 100'!CF97</f>
        <v>0</v>
      </c>
      <c r="H169" s="7">
        <f>'CUENTA T VS'!CF75</f>
        <v>0</v>
      </c>
      <c r="I169" s="7">
        <f t="shared" si="5"/>
        <v>0</v>
      </c>
      <c r="J169" s="6">
        <f t="shared" si="7"/>
        <v>0</v>
      </c>
    </row>
    <row r="170" spans="1:10" x14ac:dyDescent="0.2">
      <c r="A170" s="10">
        <v>2</v>
      </c>
      <c r="B170" s="9">
        <v>2</v>
      </c>
      <c r="C170" s="9">
        <v>7</v>
      </c>
      <c r="D170" s="9">
        <v>2</v>
      </c>
      <c r="E170" s="24" t="s">
        <v>104</v>
      </c>
      <c r="F170" s="37" t="s">
        <v>239</v>
      </c>
      <c r="G170" s="7">
        <f>'CUENTA T FONDO 100'!CG97</f>
        <v>0</v>
      </c>
      <c r="H170" s="7">
        <f>'CUENTA T VS'!CG75</f>
        <v>0</v>
      </c>
      <c r="I170" s="7">
        <f t="shared" si="5"/>
        <v>0</v>
      </c>
      <c r="J170" s="6">
        <f t="shared" si="7"/>
        <v>0</v>
      </c>
    </row>
    <row r="171" spans="1:10" ht="25.5" x14ac:dyDescent="0.2">
      <c r="A171" s="10">
        <v>2</v>
      </c>
      <c r="B171" s="9">
        <v>2</v>
      </c>
      <c r="C171" s="9">
        <v>7</v>
      </c>
      <c r="D171" s="9">
        <v>2</v>
      </c>
      <c r="E171" s="24" t="s">
        <v>172</v>
      </c>
      <c r="F171" s="37" t="s">
        <v>238</v>
      </c>
      <c r="G171" s="7">
        <f>'CUENTA T FONDO 100'!CH97</f>
        <v>5691.23</v>
      </c>
      <c r="H171" s="7">
        <f>'CUENTA T VS'!CH75</f>
        <v>0</v>
      </c>
      <c r="I171" s="7">
        <f t="shared" si="5"/>
        <v>5691.23</v>
      </c>
      <c r="J171" s="6">
        <f t="shared" si="7"/>
        <v>3.4606630937161302E-5</v>
      </c>
    </row>
    <row r="172" spans="1:10" x14ac:dyDescent="0.2">
      <c r="A172" s="10">
        <v>2</v>
      </c>
      <c r="B172" s="9">
        <v>2</v>
      </c>
      <c r="C172" s="9">
        <v>7</v>
      </c>
      <c r="D172" s="9">
        <v>2</v>
      </c>
      <c r="E172" s="24" t="s">
        <v>170</v>
      </c>
      <c r="F172" s="37" t="s">
        <v>237</v>
      </c>
      <c r="G172" s="7">
        <f>'CUENTA T FONDO 100'!CI97</f>
        <v>0</v>
      </c>
      <c r="H172" s="7">
        <f>'CUENTA T VS'!CI75</f>
        <v>0</v>
      </c>
      <c r="I172" s="7">
        <f t="shared" si="5"/>
        <v>0</v>
      </c>
      <c r="J172" s="6">
        <f t="shared" si="7"/>
        <v>0</v>
      </c>
    </row>
    <row r="173" spans="1:10" ht="25.5" x14ac:dyDescent="0.2">
      <c r="A173" s="10">
        <v>2</v>
      </c>
      <c r="B173" s="9">
        <v>2</v>
      </c>
      <c r="C173" s="9">
        <v>7</v>
      </c>
      <c r="D173" s="9">
        <v>2</v>
      </c>
      <c r="E173" s="24" t="s">
        <v>61</v>
      </c>
      <c r="F173" s="33" t="s">
        <v>236</v>
      </c>
      <c r="G173" s="7">
        <f>'CUENTA T FONDO 100'!CJ97</f>
        <v>0</v>
      </c>
      <c r="H173" s="7">
        <f>'CUENTA T VS'!CJ75</f>
        <v>0</v>
      </c>
      <c r="I173" s="7">
        <f t="shared" si="5"/>
        <v>0</v>
      </c>
      <c r="J173" s="6">
        <f t="shared" si="7"/>
        <v>0</v>
      </c>
    </row>
    <row r="174" spans="1:10" ht="25.5" x14ac:dyDescent="0.2">
      <c r="A174" s="10">
        <v>2</v>
      </c>
      <c r="B174" s="9">
        <v>2</v>
      </c>
      <c r="C174" s="9">
        <v>7</v>
      </c>
      <c r="D174" s="9">
        <v>2</v>
      </c>
      <c r="E174" s="24" t="s">
        <v>60</v>
      </c>
      <c r="F174" s="33" t="s">
        <v>235</v>
      </c>
      <c r="G174" s="7">
        <f>'CUENTA T FONDO 100'!CK97</f>
        <v>0</v>
      </c>
      <c r="H174" s="7">
        <f>'CUENTA T VS'!CK75</f>
        <v>0</v>
      </c>
      <c r="I174" s="7">
        <f t="shared" si="5"/>
        <v>0</v>
      </c>
      <c r="J174" s="6">
        <f t="shared" si="7"/>
        <v>0</v>
      </c>
    </row>
    <row r="175" spans="1:10" x14ac:dyDescent="0.2">
      <c r="A175" s="10">
        <v>2</v>
      </c>
      <c r="B175" s="9">
        <v>2</v>
      </c>
      <c r="C175" s="9">
        <v>7</v>
      </c>
      <c r="D175" s="9">
        <v>2</v>
      </c>
      <c r="E175" s="24" t="s">
        <v>234</v>
      </c>
      <c r="F175" s="33" t="s">
        <v>233</v>
      </c>
      <c r="G175" s="7">
        <f>'CUENTA T FONDO 100'!CL97</f>
        <v>0</v>
      </c>
      <c r="H175" s="7">
        <f>'CUENTA T VS'!CL75</f>
        <v>361378.54</v>
      </c>
      <c r="I175" s="7">
        <f t="shared" si="5"/>
        <v>361378.54</v>
      </c>
      <c r="J175" s="6">
        <f t="shared" si="7"/>
        <v>2.1974324991944068E-3</v>
      </c>
    </row>
    <row r="176" spans="1:10" ht="25.5" x14ac:dyDescent="0.2">
      <c r="A176" s="10">
        <v>2</v>
      </c>
      <c r="B176" s="9">
        <v>2</v>
      </c>
      <c r="C176" s="9">
        <v>7</v>
      </c>
      <c r="D176" s="9">
        <v>2</v>
      </c>
      <c r="E176" s="24" t="s">
        <v>7</v>
      </c>
      <c r="F176" s="33" t="s">
        <v>232</v>
      </c>
      <c r="G176" s="7">
        <f>'CUENTA T FONDO 100'!CM97</f>
        <v>0</v>
      </c>
      <c r="H176" s="7">
        <f>'CUENTA T VS'!CM75</f>
        <v>0</v>
      </c>
      <c r="I176" s="7">
        <f t="shared" si="5"/>
        <v>0</v>
      </c>
      <c r="J176" s="6">
        <f t="shared" si="7"/>
        <v>0</v>
      </c>
    </row>
    <row r="177" spans="1:10" x14ac:dyDescent="0.2">
      <c r="A177" s="16">
        <v>2</v>
      </c>
      <c r="B177" s="15">
        <v>2</v>
      </c>
      <c r="C177" s="15">
        <v>7</v>
      </c>
      <c r="D177" s="15">
        <v>3</v>
      </c>
      <c r="E177" s="14"/>
      <c r="F177" s="16" t="s">
        <v>231</v>
      </c>
      <c r="G177" s="12">
        <f>SUM(G178)</f>
        <v>0</v>
      </c>
      <c r="H177" s="12">
        <f>SUM(H178)</f>
        <v>0</v>
      </c>
      <c r="I177" s="12">
        <f t="shared" si="5"/>
        <v>0</v>
      </c>
      <c r="J177" s="11"/>
    </row>
    <row r="178" spans="1:10" x14ac:dyDescent="0.2">
      <c r="A178" s="10">
        <v>2</v>
      </c>
      <c r="B178" s="9">
        <v>2</v>
      </c>
      <c r="C178" s="9">
        <v>7</v>
      </c>
      <c r="D178" s="9">
        <v>3</v>
      </c>
      <c r="E178" s="24" t="s">
        <v>44</v>
      </c>
      <c r="F178" s="10" t="s">
        <v>231</v>
      </c>
      <c r="G178" s="7">
        <f>'CUENTA T FONDO 100'!CN97</f>
        <v>0</v>
      </c>
      <c r="H178" s="7">
        <f>'CUENTA T VS'!CN75</f>
        <v>0</v>
      </c>
      <c r="I178" s="7">
        <f t="shared" si="5"/>
        <v>0</v>
      </c>
      <c r="J178" s="6">
        <f>I178/$I$25</f>
        <v>0</v>
      </c>
    </row>
    <row r="179" spans="1:10" x14ac:dyDescent="0.2">
      <c r="A179" s="30">
        <v>2</v>
      </c>
      <c r="B179" s="22">
        <v>2</v>
      </c>
      <c r="C179" s="22">
        <v>8</v>
      </c>
      <c r="D179" s="22"/>
      <c r="E179" s="22"/>
      <c r="F179" s="30" t="s">
        <v>230</v>
      </c>
      <c r="G179" s="20">
        <f>+G180+G182+G184+G186+G188+G192+G197+G204</f>
        <v>224500</v>
      </c>
      <c r="H179" s="20">
        <f>+H180+H182+H184+H186+H188+H192+H197+H204</f>
        <v>678387.24</v>
      </c>
      <c r="I179" s="20">
        <f t="shared" si="5"/>
        <v>902887.24</v>
      </c>
      <c r="J179" s="19"/>
    </row>
    <row r="180" spans="1:10" x14ac:dyDescent="0.2">
      <c r="A180" s="16">
        <v>2</v>
      </c>
      <c r="B180" s="15">
        <v>2</v>
      </c>
      <c r="C180" s="15">
        <v>8</v>
      </c>
      <c r="D180" s="15">
        <v>1</v>
      </c>
      <c r="E180" s="15"/>
      <c r="F180" s="16" t="s">
        <v>59</v>
      </c>
      <c r="G180" s="12">
        <f>SUM(G181)</f>
        <v>0</v>
      </c>
      <c r="H180" s="12">
        <f>SUM(H181)</f>
        <v>0</v>
      </c>
      <c r="I180" s="12">
        <f t="shared" si="5"/>
        <v>0</v>
      </c>
      <c r="J180" s="11"/>
    </row>
    <row r="181" spans="1:10" x14ac:dyDescent="0.2">
      <c r="A181" s="10">
        <v>2</v>
      </c>
      <c r="B181" s="9">
        <v>2</v>
      </c>
      <c r="C181" s="9">
        <v>8</v>
      </c>
      <c r="D181" s="9">
        <v>1</v>
      </c>
      <c r="E181" s="24" t="s">
        <v>44</v>
      </c>
      <c r="F181" s="10" t="s">
        <v>59</v>
      </c>
      <c r="G181" s="7">
        <f>'CUENTA T FONDO 100'!CO97</f>
        <v>0</v>
      </c>
      <c r="H181" s="7">
        <f>'CUENTA T VS'!CO75</f>
        <v>0</v>
      </c>
      <c r="I181" s="7">
        <f t="shared" si="5"/>
        <v>0</v>
      </c>
      <c r="J181" s="6">
        <f>I181/$I$25</f>
        <v>0</v>
      </c>
    </row>
    <row r="182" spans="1:10" x14ac:dyDescent="0.2">
      <c r="A182" s="16">
        <v>2</v>
      </c>
      <c r="B182" s="15">
        <v>2</v>
      </c>
      <c r="C182" s="15">
        <v>8</v>
      </c>
      <c r="D182" s="15">
        <v>2</v>
      </c>
      <c r="E182" s="15"/>
      <c r="F182" s="16" t="s">
        <v>58</v>
      </c>
      <c r="G182" s="12">
        <f>SUM(G183)</f>
        <v>0</v>
      </c>
      <c r="H182" s="12">
        <f>SUM(H183)</f>
        <v>0</v>
      </c>
      <c r="I182" s="12">
        <f t="shared" si="5"/>
        <v>0</v>
      </c>
      <c r="J182" s="11"/>
    </row>
    <row r="183" spans="1:10" x14ac:dyDescent="0.2">
      <c r="A183" s="10">
        <v>2</v>
      </c>
      <c r="B183" s="9">
        <v>2</v>
      </c>
      <c r="C183" s="9">
        <v>8</v>
      </c>
      <c r="D183" s="9">
        <v>2</v>
      </c>
      <c r="E183" s="24" t="s">
        <v>44</v>
      </c>
      <c r="F183" s="10" t="s">
        <v>58</v>
      </c>
      <c r="G183" s="7">
        <f>'CUENTA T FONDO 100'!CP97</f>
        <v>0</v>
      </c>
      <c r="H183" s="7">
        <f>'CUENTA T VS'!CP75</f>
        <v>0</v>
      </c>
      <c r="I183" s="7">
        <f t="shared" si="5"/>
        <v>0</v>
      </c>
      <c r="J183" s="6">
        <f>I183/$I$25</f>
        <v>0</v>
      </c>
    </row>
    <row r="184" spans="1:10" x14ac:dyDescent="0.2">
      <c r="A184" s="16">
        <v>2</v>
      </c>
      <c r="B184" s="15">
        <v>2</v>
      </c>
      <c r="C184" s="15">
        <v>8</v>
      </c>
      <c r="D184" s="15">
        <v>3</v>
      </c>
      <c r="E184" s="15"/>
      <c r="F184" s="16" t="s">
        <v>229</v>
      </c>
      <c r="G184" s="12">
        <f>SUM(G185)</f>
        <v>224500</v>
      </c>
      <c r="H184" s="12">
        <f>SUM(H185)</f>
        <v>0</v>
      </c>
      <c r="I184" s="12">
        <f t="shared" si="5"/>
        <v>224500</v>
      </c>
      <c r="J184" s="11"/>
    </row>
    <row r="185" spans="1:10" x14ac:dyDescent="0.2">
      <c r="A185" s="10">
        <v>2</v>
      </c>
      <c r="B185" s="9">
        <v>2</v>
      </c>
      <c r="C185" s="9">
        <v>8</v>
      </c>
      <c r="D185" s="9">
        <v>3</v>
      </c>
      <c r="E185" s="24" t="s">
        <v>44</v>
      </c>
      <c r="F185" s="10" t="s">
        <v>229</v>
      </c>
      <c r="G185" s="7">
        <f>'CUENTA T FONDO 100'!CQ97</f>
        <v>224500</v>
      </c>
      <c r="H185" s="7">
        <f>'CUENTA T VS'!CQ75</f>
        <v>0</v>
      </c>
      <c r="I185" s="7">
        <f t="shared" si="5"/>
        <v>224500</v>
      </c>
      <c r="J185" s="6">
        <f>I185/$I$25</f>
        <v>1.3651159143792666E-3</v>
      </c>
    </row>
    <row r="186" spans="1:10" x14ac:dyDescent="0.2">
      <c r="A186" s="16">
        <v>2</v>
      </c>
      <c r="B186" s="15">
        <v>2</v>
      </c>
      <c r="C186" s="15">
        <v>8</v>
      </c>
      <c r="D186" s="15">
        <v>4</v>
      </c>
      <c r="E186" s="15"/>
      <c r="F186" s="16" t="s">
        <v>57</v>
      </c>
      <c r="G186" s="12">
        <f>SUM(G187)</f>
        <v>0</v>
      </c>
      <c r="H186" s="12">
        <f>SUM(H187)</f>
        <v>0</v>
      </c>
      <c r="I186" s="12">
        <f t="shared" si="5"/>
        <v>0</v>
      </c>
      <c r="J186" s="11"/>
    </row>
    <row r="187" spans="1:10" x14ac:dyDescent="0.2">
      <c r="A187" s="10">
        <v>2</v>
      </c>
      <c r="B187" s="9">
        <v>2</v>
      </c>
      <c r="C187" s="9">
        <v>8</v>
      </c>
      <c r="D187" s="9">
        <v>4</v>
      </c>
      <c r="E187" s="24" t="s">
        <v>44</v>
      </c>
      <c r="F187" s="10" t="s">
        <v>57</v>
      </c>
      <c r="G187" s="7">
        <f>'CUENTA T FONDO 100'!CR97</f>
        <v>0</v>
      </c>
      <c r="H187" s="7">
        <f>'CUENTA T VS'!CR75</f>
        <v>0</v>
      </c>
      <c r="I187" s="7">
        <f t="shared" si="5"/>
        <v>0</v>
      </c>
      <c r="J187" s="6">
        <f>I187/$I$25</f>
        <v>0</v>
      </c>
    </row>
    <row r="188" spans="1:10" x14ac:dyDescent="0.2">
      <c r="A188" s="16">
        <v>2</v>
      </c>
      <c r="B188" s="15">
        <v>2</v>
      </c>
      <c r="C188" s="15">
        <v>8</v>
      </c>
      <c r="D188" s="15">
        <v>5</v>
      </c>
      <c r="E188" s="15"/>
      <c r="F188" s="16" t="s">
        <v>56</v>
      </c>
      <c r="G188" s="12">
        <f>SUM(G189:G191)</f>
        <v>0</v>
      </c>
      <c r="H188" s="12">
        <f>SUM(H189:H191)</f>
        <v>185260</v>
      </c>
      <c r="I188" s="12">
        <f t="shared" si="5"/>
        <v>185260</v>
      </c>
      <c r="J188" s="11"/>
    </row>
    <row r="189" spans="1:10" x14ac:dyDescent="0.2">
      <c r="A189" s="10">
        <v>2</v>
      </c>
      <c r="B189" s="9">
        <v>2</v>
      </c>
      <c r="C189" s="9">
        <v>8</v>
      </c>
      <c r="D189" s="9">
        <v>5</v>
      </c>
      <c r="E189" s="24" t="s">
        <v>44</v>
      </c>
      <c r="F189" s="10" t="s">
        <v>55</v>
      </c>
      <c r="G189" s="7">
        <f>'CUENTA T FONDO 100'!CS97</f>
        <v>0</v>
      </c>
      <c r="H189" s="7">
        <f>'CUENTA T VS'!CS75</f>
        <v>0</v>
      </c>
      <c r="I189" s="7">
        <f t="shared" si="5"/>
        <v>0</v>
      </c>
      <c r="J189" s="6">
        <f>I189/$I$25</f>
        <v>0</v>
      </c>
    </row>
    <row r="190" spans="1:10" x14ac:dyDescent="0.2">
      <c r="A190" s="10">
        <v>2</v>
      </c>
      <c r="B190" s="9">
        <v>2</v>
      </c>
      <c r="C190" s="9">
        <v>8</v>
      </c>
      <c r="D190" s="9">
        <v>5</v>
      </c>
      <c r="E190" s="24" t="s">
        <v>43</v>
      </c>
      <c r="F190" s="10" t="s">
        <v>54</v>
      </c>
      <c r="G190" s="7">
        <f>'CUENTA T FONDO 100'!CT97</f>
        <v>0</v>
      </c>
      <c r="H190" s="7">
        <f>'CUENTA T VS'!CT75</f>
        <v>0</v>
      </c>
      <c r="I190" s="7">
        <f t="shared" si="5"/>
        <v>0</v>
      </c>
      <c r="J190" s="6">
        <f>I190/$I$25</f>
        <v>0</v>
      </c>
    </row>
    <row r="191" spans="1:10" x14ac:dyDescent="0.2">
      <c r="A191" s="10">
        <v>2</v>
      </c>
      <c r="B191" s="9">
        <v>2</v>
      </c>
      <c r="C191" s="9">
        <v>8</v>
      </c>
      <c r="D191" s="9">
        <v>5</v>
      </c>
      <c r="E191" s="24" t="s">
        <v>104</v>
      </c>
      <c r="F191" s="10" t="s">
        <v>53</v>
      </c>
      <c r="G191" s="7">
        <f>'CUENTA T FONDO 100'!CU97</f>
        <v>0</v>
      </c>
      <c r="H191" s="7">
        <f>'CUENTA T VS'!CU75</f>
        <v>185260</v>
      </c>
      <c r="I191" s="7">
        <f t="shared" si="5"/>
        <v>185260</v>
      </c>
      <c r="J191" s="6">
        <f>I191/$I$25</f>
        <v>1.1265094623514607E-3</v>
      </c>
    </row>
    <row r="192" spans="1:10" x14ac:dyDescent="0.2">
      <c r="A192" s="16">
        <v>2</v>
      </c>
      <c r="B192" s="15">
        <v>2</v>
      </c>
      <c r="C192" s="15">
        <v>8</v>
      </c>
      <c r="D192" s="15">
        <v>6</v>
      </c>
      <c r="E192" s="15"/>
      <c r="F192" s="16" t="s">
        <v>52</v>
      </c>
      <c r="G192" s="12">
        <f>SUM(G193:G196)</f>
        <v>0</v>
      </c>
      <c r="H192" s="12">
        <f>SUM(H193:H196)</f>
        <v>0</v>
      </c>
      <c r="I192" s="12">
        <f t="shared" si="5"/>
        <v>0</v>
      </c>
      <c r="J192" s="11"/>
    </row>
    <row r="193" spans="1:10" x14ac:dyDescent="0.2">
      <c r="A193" s="10">
        <v>2</v>
      </c>
      <c r="B193" s="9">
        <v>2</v>
      </c>
      <c r="C193" s="9">
        <v>8</v>
      </c>
      <c r="D193" s="9">
        <v>6</v>
      </c>
      <c r="E193" s="24" t="s">
        <v>44</v>
      </c>
      <c r="F193" s="10" t="s">
        <v>228</v>
      </c>
      <c r="G193" s="7">
        <f>'CUENTA T FONDO 100'!CV97</f>
        <v>0</v>
      </c>
      <c r="H193" s="7">
        <f>'CUENTA T VS'!CV75</f>
        <v>0</v>
      </c>
      <c r="I193" s="7">
        <f t="shared" si="5"/>
        <v>0</v>
      </c>
      <c r="J193" s="6">
        <f>I193/$I$25</f>
        <v>0</v>
      </c>
    </row>
    <row r="194" spans="1:10" x14ac:dyDescent="0.2">
      <c r="A194" s="10">
        <v>2</v>
      </c>
      <c r="B194" s="9">
        <v>2</v>
      </c>
      <c r="C194" s="9">
        <v>8</v>
      </c>
      <c r="D194" s="9">
        <v>6</v>
      </c>
      <c r="E194" s="24" t="s">
        <v>43</v>
      </c>
      <c r="F194" s="10" t="s">
        <v>51</v>
      </c>
      <c r="G194" s="7">
        <f>'CUENTA T FONDO 100'!CW97</f>
        <v>0</v>
      </c>
      <c r="H194" s="7">
        <f>'CUENTA T VS'!CW75</f>
        <v>0</v>
      </c>
      <c r="I194" s="7">
        <f t="shared" si="5"/>
        <v>0</v>
      </c>
      <c r="J194" s="6">
        <f>I194/$I$25</f>
        <v>0</v>
      </c>
    </row>
    <row r="195" spans="1:10" x14ac:dyDescent="0.2">
      <c r="A195" s="10">
        <v>2</v>
      </c>
      <c r="B195" s="9">
        <v>2</v>
      </c>
      <c r="C195" s="9">
        <v>8</v>
      </c>
      <c r="D195" s="9">
        <v>6</v>
      </c>
      <c r="E195" s="24" t="s">
        <v>104</v>
      </c>
      <c r="F195" s="10" t="s">
        <v>227</v>
      </c>
      <c r="G195" s="7">
        <f>'CUENTA T FONDO 100'!CX97</f>
        <v>0</v>
      </c>
      <c r="H195" s="7">
        <f>'CUENTA T VS'!CX75</f>
        <v>0</v>
      </c>
      <c r="I195" s="7">
        <f t="shared" si="5"/>
        <v>0</v>
      </c>
      <c r="J195" s="6">
        <f>I195/$I$25</f>
        <v>0</v>
      </c>
    </row>
    <row r="196" spans="1:10" x14ac:dyDescent="0.2">
      <c r="A196" s="10">
        <v>2</v>
      </c>
      <c r="B196" s="9">
        <v>2</v>
      </c>
      <c r="C196" s="9">
        <v>8</v>
      </c>
      <c r="D196" s="9">
        <v>6</v>
      </c>
      <c r="E196" s="24" t="s">
        <v>172</v>
      </c>
      <c r="F196" s="10" t="s">
        <v>226</v>
      </c>
      <c r="G196" s="7">
        <f>'CUENTA T FONDO 100'!CY97</f>
        <v>0</v>
      </c>
      <c r="H196" s="7">
        <f>'CUENTA T VS'!CY75</f>
        <v>0</v>
      </c>
      <c r="I196" s="7">
        <f t="shared" si="5"/>
        <v>0</v>
      </c>
      <c r="J196" s="6">
        <f>I196/$I$25</f>
        <v>0</v>
      </c>
    </row>
    <row r="197" spans="1:10" x14ac:dyDescent="0.2">
      <c r="A197" s="16">
        <v>2</v>
      </c>
      <c r="B197" s="15">
        <v>2</v>
      </c>
      <c r="C197" s="15">
        <v>8</v>
      </c>
      <c r="D197" s="15">
        <v>7</v>
      </c>
      <c r="E197" s="15"/>
      <c r="F197" s="16" t="s">
        <v>225</v>
      </c>
      <c r="G197" s="12">
        <f>SUM(G198:G203)</f>
        <v>0</v>
      </c>
      <c r="H197" s="12">
        <f>SUM(H198:H203)</f>
        <v>479040</v>
      </c>
      <c r="I197" s="12">
        <f t="shared" si="5"/>
        <v>479040</v>
      </c>
      <c r="J197" s="11"/>
    </row>
    <row r="198" spans="1:10" x14ac:dyDescent="0.2">
      <c r="A198" s="10">
        <v>2</v>
      </c>
      <c r="B198" s="9">
        <v>2</v>
      </c>
      <c r="C198" s="9">
        <v>8</v>
      </c>
      <c r="D198" s="9">
        <v>7</v>
      </c>
      <c r="E198" s="24" t="s">
        <v>44</v>
      </c>
      <c r="F198" s="33" t="s">
        <v>224</v>
      </c>
      <c r="G198" s="7">
        <f>'CUENTA T FONDO 100'!CZ97</f>
        <v>0</v>
      </c>
      <c r="H198" s="7">
        <f>'CUENTA T VS'!CZ75</f>
        <v>0</v>
      </c>
      <c r="I198" s="7">
        <f t="shared" si="5"/>
        <v>0</v>
      </c>
      <c r="J198" s="6">
        <f t="shared" ref="J198:J203" si="8">I198/$I$25</f>
        <v>0</v>
      </c>
    </row>
    <row r="199" spans="1:10" x14ac:dyDescent="0.2">
      <c r="A199" s="10">
        <v>2</v>
      </c>
      <c r="B199" s="9">
        <v>2</v>
      </c>
      <c r="C199" s="9">
        <v>8</v>
      </c>
      <c r="D199" s="9">
        <v>7</v>
      </c>
      <c r="E199" s="24" t="s">
        <v>43</v>
      </c>
      <c r="F199" s="33" t="s">
        <v>223</v>
      </c>
      <c r="G199" s="7">
        <f>'CUENTA T FONDO 100'!DA97</f>
        <v>0</v>
      </c>
      <c r="H199" s="7">
        <f>'CUENTA T VS'!DA75</f>
        <v>0</v>
      </c>
      <c r="I199" s="7">
        <f t="shared" si="5"/>
        <v>0</v>
      </c>
      <c r="J199" s="6">
        <f t="shared" si="8"/>
        <v>0</v>
      </c>
    </row>
    <row r="200" spans="1:10" x14ac:dyDescent="0.2">
      <c r="A200" s="10">
        <v>2</v>
      </c>
      <c r="B200" s="9">
        <v>2</v>
      </c>
      <c r="C200" s="9">
        <v>8</v>
      </c>
      <c r="D200" s="9">
        <v>7</v>
      </c>
      <c r="E200" s="24" t="s">
        <v>104</v>
      </c>
      <c r="F200" s="33" t="s">
        <v>222</v>
      </c>
      <c r="G200" s="7">
        <f>'CUENTA T FONDO 100'!DB97</f>
        <v>0</v>
      </c>
      <c r="H200" s="7">
        <f>'CUENTA T VS'!DB75</f>
        <v>0</v>
      </c>
      <c r="I200" s="7">
        <f t="shared" si="5"/>
        <v>0</v>
      </c>
      <c r="J200" s="6">
        <f t="shared" si="8"/>
        <v>0</v>
      </c>
    </row>
    <row r="201" spans="1:10" x14ac:dyDescent="0.2">
      <c r="A201" s="10">
        <v>2</v>
      </c>
      <c r="B201" s="9">
        <v>2</v>
      </c>
      <c r="C201" s="9">
        <v>8</v>
      </c>
      <c r="D201" s="9">
        <v>7</v>
      </c>
      <c r="E201" s="24" t="s">
        <v>172</v>
      </c>
      <c r="F201" s="33" t="s">
        <v>221</v>
      </c>
      <c r="G201" s="7">
        <f>'CUENTA T FONDO 100'!DC97</f>
        <v>0</v>
      </c>
      <c r="H201" s="7">
        <f>'CUENTA T VS'!DC75</f>
        <v>0</v>
      </c>
      <c r="I201" s="7">
        <f t="shared" si="5"/>
        <v>0</v>
      </c>
      <c r="J201" s="6">
        <f t="shared" si="8"/>
        <v>0</v>
      </c>
    </row>
    <row r="202" spans="1:10" x14ac:dyDescent="0.2">
      <c r="A202" s="10">
        <v>2</v>
      </c>
      <c r="B202" s="9">
        <v>2</v>
      </c>
      <c r="C202" s="9">
        <v>8</v>
      </c>
      <c r="D202" s="9">
        <v>7</v>
      </c>
      <c r="E202" s="24" t="s">
        <v>170</v>
      </c>
      <c r="F202" s="33" t="s">
        <v>220</v>
      </c>
      <c r="G202" s="7">
        <f>'CUENTA T FONDO 100'!DD97</f>
        <v>0</v>
      </c>
      <c r="H202" s="7">
        <f>'CUENTA T VS'!DD75</f>
        <v>244260</v>
      </c>
      <c r="I202" s="7">
        <f t="shared" si="5"/>
        <v>244260</v>
      </c>
      <c r="J202" s="6">
        <f t="shared" si="8"/>
        <v>1.4852704376226266E-3</v>
      </c>
    </row>
    <row r="203" spans="1:10" x14ac:dyDescent="0.2">
      <c r="A203" s="10">
        <v>2</v>
      </c>
      <c r="B203" s="9">
        <v>2</v>
      </c>
      <c r="C203" s="9">
        <v>8</v>
      </c>
      <c r="D203" s="9">
        <v>7</v>
      </c>
      <c r="E203" s="24" t="s">
        <v>61</v>
      </c>
      <c r="F203" s="33" t="s">
        <v>219</v>
      </c>
      <c r="G203" s="7">
        <f>'CUENTA T FONDO 100'!DE97</f>
        <v>0</v>
      </c>
      <c r="H203" s="7">
        <f>'CUENTA T VS'!DE75</f>
        <v>234780</v>
      </c>
      <c r="I203" s="7">
        <f t="shared" si="5"/>
        <v>234780</v>
      </c>
      <c r="J203" s="6">
        <f t="shared" si="8"/>
        <v>1.4276254537993953E-3</v>
      </c>
    </row>
    <row r="204" spans="1:10" x14ac:dyDescent="0.2">
      <c r="A204" s="16">
        <v>2</v>
      </c>
      <c r="B204" s="15">
        <v>2</v>
      </c>
      <c r="C204" s="15">
        <v>8</v>
      </c>
      <c r="D204" s="15">
        <v>8</v>
      </c>
      <c r="E204" s="15"/>
      <c r="F204" s="34" t="s">
        <v>50</v>
      </c>
      <c r="G204" s="12">
        <f>SUM(G205:G207)</f>
        <v>0</v>
      </c>
      <c r="H204" s="12">
        <f>SUM(H205:H207)</f>
        <v>14087.239999999996</v>
      </c>
      <c r="I204" s="12">
        <f t="shared" si="5"/>
        <v>14087.239999999996</v>
      </c>
      <c r="J204" s="11"/>
    </row>
    <row r="205" spans="1:10" x14ac:dyDescent="0.2">
      <c r="A205" s="10">
        <v>2</v>
      </c>
      <c r="B205" s="9">
        <v>2</v>
      </c>
      <c r="C205" s="9">
        <v>8</v>
      </c>
      <c r="D205" s="9">
        <v>8</v>
      </c>
      <c r="E205" s="24" t="s">
        <v>44</v>
      </c>
      <c r="F205" s="33" t="s">
        <v>49</v>
      </c>
      <c r="G205" s="7">
        <f>'CUENTA T FONDO 100'!DF97</f>
        <v>0</v>
      </c>
      <c r="H205" s="7">
        <f>'CUENTA T VS'!DF75</f>
        <v>14087.239999999996</v>
      </c>
      <c r="I205" s="7">
        <f t="shared" si="5"/>
        <v>14087.239999999996</v>
      </c>
      <c r="J205" s="6">
        <f>I205/$I$25</f>
        <v>8.566020273354198E-5</v>
      </c>
    </row>
    <row r="206" spans="1:10" x14ac:dyDescent="0.2">
      <c r="A206" s="10">
        <v>2</v>
      </c>
      <c r="B206" s="9">
        <v>2</v>
      </c>
      <c r="C206" s="9">
        <v>8</v>
      </c>
      <c r="D206" s="9">
        <v>8</v>
      </c>
      <c r="E206" s="24" t="s">
        <v>43</v>
      </c>
      <c r="F206" s="33" t="s">
        <v>48</v>
      </c>
      <c r="G206" s="7">
        <f>'CUENTA T FONDO 100'!DG97</f>
        <v>0</v>
      </c>
      <c r="H206" s="7">
        <f>'CUENTA T VS'!DG75</f>
        <v>0</v>
      </c>
      <c r="I206" s="7">
        <f t="shared" si="5"/>
        <v>0</v>
      </c>
      <c r="J206" s="6">
        <f>I206/$I$25</f>
        <v>0</v>
      </c>
    </row>
    <row r="207" spans="1:10" x14ac:dyDescent="0.2">
      <c r="A207" s="10">
        <v>2</v>
      </c>
      <c r="B207" s="9">
        <v>2</v>
      </c>
      <c r="C207" s="9">
        <v>8</v>
      </c>
      <c r="D207" s="9">
        <v>8</v>
      </c>
      <c r="E207" s="24" t="s">
        <v>104</v>
      </c>
      <c r="F207" s="33" t="s">
        <v>47</v>
      </c>
      <c r="G207" s="7">
        <f>'CUENTA T FONDO 100'!DH97</f>
        <v>0</v>
      </c>
      <c r="H207" s="7">
        <f>'CUENTA T VS'!DH75</f>
        <v>0</v>
      </c>
      <c r="I207" s="7">
        <f t="shared" si="5"/>
        <v>0</v>
      </c>
      <c r="J207" s="6">
        <f>I207/$I$25</f>
        <v>0</v>
      </c>
    </row>
    <row r="208" spans="1:10" x14ac:dyDescent="0.2">
      <c r="A208" s="30">
        <v>2</v>
      </c>
      <c r="B208" s="22">
        <v>2</v>
      </c>
      <c r="C208" s="22">
        <v>9</v>
      </c>
      <c r="D208" s="22"/>
      <c r="E208" s="22"/>
      <c r="F208" s="30" t="s">
        <v>218</v>
      </c>
      <c r="G208" s="20">
        <f>+G209</f>
        <v>0</v>
      </c>
      <c r="H208" s="20">
        <f>+H209</f>
        <v>0</v>
      </c>
      <c r="I208" s="20">
        <f t="shared" si="5"/>
        <v>0</v>
      </c>
      <c r="J208" s="19"/>
    </row>
    <row r="209" spans="1:10" x14ac:dyDescent="0.2">
      <c r="A209" s="16">
        <v>2</v>
      </c>
      <c r="B209" s="15">
        <v>2</v>
      </c>
      <c r="C209" s="15">
        <v>9</v>
      </c>
      <c r="D209" s="15">
        <v>2</v>
      </c>
      <c r="E209" s="15"/>
      <c r="F209" s="16" t="s">
        <v>46</v>
      </c>
      <c r="G209" s="12">
        <f>G210+G211</f>
        <v>0</v>
      </c>
      <c r="H209" s="12">
        <f>H210+H211</f>
        <v>0</v>
      </c>
      <c r="I209" s="12">
        <f t="shared" si="5"/>
        <v>0</v>
      </c>
      <c r="J209" s="11"/>
    </row>
    <row r="210" spans="1:10" x14ac:dyDescent="0.2">
      <c r="A210" s="10">
        <v>2</v>
      </c>
      <c r="B210" s="9">
        <v>2</v>
      </c>
      <c r="C210" s="9">
        <v>9</v>
      </c>
      <c r="D210" s="9">
        <v>2</v>
      </c>
      <c r="E210" s="24" t="s">
        <v>44</v>
      </c>
      <c r="F210" s="33" t="s">
        <v>384</v>
      </c>
      <c r="G210" s="7">
        <f>'CUENTA T FONDO 100'!DI97</f>
        <v>0</v>
      </c>
      <c r="H210" s="7">
        <f>'CUENTA T VS'!DI75</f>
        <v>0</v>
      </c>
      <c r="I210" s="7">
        <f t="shared" si="5"/>
        <v>0</v>
      </c>
      <c r="J210" s="6">
        <f>I210/$I$25</f>
        <v>0</v>
      </c>
    </row>
    <row r="211" spans="1:10" x14ac:dyDescent="0.2">
      <c r="A211" s="10">
        <v>2</v>
      </c>
      <c r="B211" s="9">
        <v>2</v>
      </c>
      <c r="C211" s="9">
        <v>9</v>
      </c>
      <c r="D211" s="9">
        <v>2</v>
      </c>
      <c r="E211" s="24" t="s">
        <v>104</v>
      </c>
      <c r="F211" s="33" t="s">
        <v>385</v>
      </c>
      <c r="G211" s="7">
        <f>'CUENTA T FONDO 100'!DJ97</f>
        <v>0</v>
      </c>
      <c r="H211" s="7">
        <f>'CUENTA T VS'!DJ75</f>
        <v>0</v>
      </c>
      <c r="I211" s="7">
        <f t="shared" si="5"/>
        <v>0</v>
      </c>
      <c r="J211" s="6">
        <f>I211/$I$25</f>
        <v>0</v>
      </c>
    </row>
    <row r="212" spans="1:10" x14ac:dyDescent="0.2">
      <c r="A212" s="23">
        <v>2</v>
      </c>
      <c r="B212" s="22">
        <v>3</v>
      </c>
      <c r="C212" s="22"/>
      <c r="D212" s="22"/>
      <c r="E212" s="22"/>
      <c r="F212" s="30" t="s">
        <v>217</v>
      </c>
      <c r="G212" s="20">
        <f>G213+G225+G232+G245+G250+G261+G286+G303+G308</f>
        <v>13779851.370000001</v>
      </c>
      <c r="H212" s="20">
        <f>H213+H225+H232+H245+H250+H261+H286+H303+H308</f>
        <v>2184325.87</v>
      </c>
      <c r="I212" s="20">
        <f t="shared" si="5"/>
        <v>15964177.240000002</v>
      </c>
      <c r="J212" s="19">
        <f>I212/$I$25</f>
        <v>9.7073284678375407E-2</v>
      </c>
    </row>
    <row r="213" spans="1:10" x14ac:dyDescent="0.2">
      <c r="A213" s="23">
        <v>2</v>
      </c>
      <c r="B213" s="22">
        <v>3</v>
      </c>
      <c r="C213" s="22">
        <v>1</v>
      </c>
      <c r="D213" s="22"/>
      <c r="E213" s="22"/>
      <c r="F213" s="30" t="s">
        <v>216</v>
      </c>
      <c r="G213" s="20">
        <f>+G214+G217+G219+G223</f>
        <v>292565.2</v>
      </c>
      <c r="H213" s="20">
        <f>+H214+H217+H219+H223</f>
        <v>163325</v>
      </c>
      <c r="I213" s="20">
        <f t="shared" si="5"/>
        <v>455890.2</v>
      </c>
      <c r="J213" s="19"/>
    </row>
    <row r="214" spans="1:10" x14ac:dyDescent="0.2">
      <c r="A214" s="18">
        <v>2</v>
      </c>
      <c r="B214" s="15">
        <v>3</v>
      </c>
      <c r="C214" s="15">
        <v>1</v>
      </c>
      <c r="D214" s="15">
        <v>1</v>
      </c>
      <c r="E214" s="14"/>
      <c r="F214" s="16" t="s">
        <v>45</v>
      </c>
      <c r="G214" s="12">
        <f>SUM(G215:G216)</f>
        <v>292565.2</v>
      </c>
      <c r="H214" s="12">
        <f>SUM(H215:H216)</f>
        <v>163325</v>
      </c>
      <c r="I214" s="12">
        <f t="shared" si="5"/>
        <v>455890.2</v>
      </c>
      <c r="J214" s="11"/>
    </row>
    <row r="215" spans="1:10" x14ac:dyDescent="0.2">
      <c r="A215" s="17">
        <v>2</v>
      </c>
      <c r="B215" s="9">
        <v>3</v>
      </c>
      <c r="C215" s="9">
        <v>1</v>
      </c>
      <c r="D215" s="9">
        <v>1</v>
      </c>
      <c r="E215" s="24" t="s">
        <v>44</v>
      </c>
      <c r="F215" s="10" t="s">
        <v>45</v>
      </c>
      <c r="G215" s="7">
        <f>'CUENTA T FONDO 100'!DK97</f>
        <v>292565.2</v>
      </c>
      <c r="H215" s="7">
        <f>'CUENTA T VS'!DK75</f>
        <v>163325</v>
      </c>
      <c r="I215" s="7">
        <f t="shared" si="5"/>
        <v>455890.2</v>
      </c>
      <c r="J215" s="6">
        <f>I215/$I$25</f>
        <v>2.7721290299757093E-3</v>
      </c>
    </row>
    <row r="216" spans="1:10" x14ac:dyDescent="0.2">
      <c r="A216" s="17">
        <v>2</v>
      </c>
      <c r="B216" s="9">
        <v>3</v>
      </c>
      <c r="C216" s="9">
        <v>1</v>
      </c>
      <c r="D216" s="9">
        <v>1</v>
      </c>
      <c r="E216" s="24" t="s">
        <v>43</v>
      </c>
      <c r="F216" s="10" t="s">
        <v>215</v>
      </c>
      <c r="G216" s="7">
        <f>'CUENTA T FONDO 100'!DL97</f>
        <v>0</v>
      </c>
      <c r="H216" s="7">
        <f>'CUENTA T VS'!DL75</f>
        <v>0</v>
      </c>
      <c r="I216" s="7">
        <f t="shared" si="5"/>
        <v>0</v>
      </c>
      <c r="J216" s="6">
        <f>I216/$I$25</f>
        <v>0</v>
      </c>
    </row>
    <row r="217" spans="1:10" x14ac:dyDescent="0.2">
      <c r="A217" s="18">
        <v>2</v>
      </c>
      <c r="B217" s="15">
        <v>3</v>
      </c>
      <c r="C217" s="15">
        <v>1</v>
      </c>
      <c r="D217" s="15">
        <v>2</v>
      </c>
      <c r="E217" s="14"/>
      <c r="F217" s="16" t="s">
        <v>214</v>
      </c>
      <c r="G217" s="12">
        <f>SUM(G218)</f>
        <v>0</v>
      </c>
      <c r="H217" s="12">
        <f>SUM(H218)</f>
        <v>0</v>
      </c>
      <c r="I217" s="12">
        <f t="shared" ref="I217:I280" si="9">SUM(G217:H217)</f>
        <v>0</v>
      </c>
      <c r="J217" s="11"/>
    </row>
    <row r="218" spans="1:10" x14ac:dyDescent="0.2">
      <c r="A218" s="17">
        <v>2</v>
      </c>
      <c r="B218" s="9">
        <v>3</v>
      </c>
      <c r="C218" s="9">
        <v>1</v>
      </c>
      <c r="D218" s="9">
        <v>2</v>
      </c>
      <c r="E218" s="24" t="s">
        <v>44</v>
      </c>
      <c r="F218" s="10" t="s">
        <v>214</v>
      </c>
      <c r="G218" s="7">
        <f>'CUENTA T FONDO 100'!DM97</f>
        <v>0</v>
      </c>
      <c r="H218" s="7">
        <f>'CUENTA T VS'!DM75</f>
        <v>0</v>
      </c>
      <c r="I218" s="7">
        <f t="shared" si="9"/>
        <v>0</v>
      </c>
      <c r="J218" s="6">
        <f>I218/$I$25</f>
        <v>0</v>
      </c>
    </row>
    <row r="219" spans="1:10" x14ac:dyDescent="0.2">
      <c r="A219" s="18">
        <v>2</v>
      </c>
      <c r="B219" s="15">
        <v>3</v>
      </c>
      <c r="C219" s="15">
        <v>1</v>
      </c>
      <c r="D219" s="15">
        <v>3</v>
      </c>
      <c r="E219" s="15"/>
      <c r="F219" s="16" t="s">
        <v>213</v>
      </c>
      <c r="G219" s="12">
        <f>SUM(G220:G222)</f>
        <v>0</v>
      </c>
      <c r="H219" s="12">
        <f>SUM(H220:H222)</f>
        <v>0</v>
      </c>
      <c r="I219" s="12">
        <f t="shared" si="9"/>
        <v>0</v>
      </c>
      <c r="J219" s="11"/>
    </row>
    <row r="220" spans="1:10" x14ac:dyDescent="0.2">
      <c r="A220" s="17">
        <v>2</v>
      </c>
      <c r="B220" s="9">
        <v>3</v>
      </c>
      <c r="C220" s="9">
        <v>1</v>
      </c>
      <c r="D220" s="9">
        <v>3</v>
      </c>
      <c r="E220" s="24" t="s">
        <v>44</v>
      </c>
      <c r="F220" s="10" t="s">
        <v>212</v>
      </c>
      <c r="G220" s="7">
        <f>'CUENTA T FONDO 100'!DN97</f>
        <v>0</v>
      </c>
      <c r="H220" s="7">
        <f>'CUENTA T VS'!DN75</f>
        <v>0</v>
      </c>
      <c r="I220" s="7">
        <f t="shared" si="9"/>
        <v>0</v>
      </c>
      <c r="J220" s="6">
        <f>I220/$I$25</f>
        <v>0</v>
      </c>
    </row>
    <row r="221" spans="1:10" x14ac:dyDescent="0.2">
      <c r="A221" s="17">
        <v>2</v>
      </c>
      <c r="B221" s="9">
        <v>3</v>
      </c>
      <c r="C221" s="9">
        <v>1</v>
      </c>
      <c r="D221" s="9">
        <v>3</v>
      </c>
      <c r="E221" s="24" t="s">
        <v>43</v>
      </c>
      <c r="F221" s="10" t="s">
        <v>211</v>
      </c>
      <c r="G221" s="7">
        <f>'CUENTA T FONDO 100'!DO97</f>
        <v>0</v>
      </c>
      <c r="H221" s="7">
        <f>'CUENTA T VS'!DO75</f>
        <v>0</v>
      </c>
      <c r="I221" s="7">
        <f t="shared" si="9"/>
        <v>0</v>
      </c>
      <c r="J221" s="6">
        <f>I221/$I$25</f>
        <v>0</v>
      </c>
    </row>
    <row r="222" spans="1:10" x14ac:dyDescent="0.2">
      <c r="A222" s="17">
        <v>2</v>
      </c>
      <c r="B222" s="9">
        <v>3</v>
      </c>
      <c r="C222" s="9">
        <v>1</v>
      </c>
      <c r="D222" s="9">
        <v>3</v>
      </c>
      <c r="E222" s="24" t="s">
        <v>104</v>
      </c>
      <c r="F222" s="10" t="s">
        <v>210</v>
      </c>
      <c r="G222" s="7">
        <f>'CUENTA T FONDO 100'!DP97</f>
        <v>0</v>
      </c>
      <c r="H222" s="7">
        <f>'CUENTA T VS'!DP75</f>
        <v>0</v>
      </c>
      <c r="I222" s="7">
        <f t="shared" si="9"/>
        <v>0</v>
      </c>
      <c r="J222" s="6">
        <f>I222/$I$25</f>
        <v>0</v>
      </c>
    </row>
    <row r="223" spans="1:10" x14ac:dyDescent="0.2">
      <c r="A223" s="18">
        <v>2</v>
      </c>
      <c r="B223" s="15">
        <v>3</v>
      </c>
      <c r="C223" s="15">
        <v>1</v>
      </c>
      <c r="D223" s="15">
        <v>4</v>
      </c>
      <c r="E223" s="15"/>
      <c r="F223" s="16" t="s">
        <v>209</v>
      </c>
      <c r="G223" s="12">
        <f>SUM(G224)</f>
        <v>0</v>
      </c>
      <c r="H223" s="12">
        <f>SUM(H224)</f>
        <v>0</v>
      </c>
      <c r="I223" s="12">
        <f t="shared" si="9"/>
        <v>0</v>
      </c>
      <c r="J223" s="11"/>
    </row>
    <row r="224" spans="1:10" x14ac:dyDescent="0.2">
      <c r="A224" s="17">
        <v>2</v>
      </c>
      <c r="B224" s="9">
        <v>3</v>
      </c>
      <c r="C224" s="9">
        <v>1</v>
      </c>
      <c r="D224" s="9">
        <v>4</v>
      </c>
      <c r="E224" s="24" t="s">
        <v>44</v>
      </c>
      <c r="F224" s="10" t="s">
        <v>209</v>
      </c>
      <c r="G224" s="7">
        <f>'CUENTA T FONDO 100'!DQ97</f>
        <v>0</v>
      </c>
      <c r="H224" s="7">
        <f>'CUENTA T VS'!DQ75</f>
        <v>0</v>
      </c>
      <c r="I224" s="7">
        <f t="shared" si="9"/>
        <v>0</v>
      </c>
      <c r="J224" s="6">
        <f>I224/$I$25</f>
        <v>0</v>
      </c>
    </row>
    <row r="225" spans="1:10" x14ac:dyDescent="0.2">
      <c r="A225" s="23">
        <v>2</v>
      </c>
      <c r="B225" s="22">
        <v>3</v>
      </c>
      <c r="C225" s="22">
        <v>2</v>
      </c>
      <c r="D225" s="22"/>
      <c r="E225" s="29"/>
      <c r="F225" s="30" t="s">
        <v>208</v>
      </c>
      <c r="G225" s="20">
        <f>+G226+G228+G230</f>
        <v>557734.03</v>
      </c>
      <c r="H225" s="20">
        <f>+H226+H228+H230</f>
        <v>0</v>
      </c>
      <c r="I225" s="20">
        <f t="shared" si="9"/>
        <v>557734.03</v>
      </c>
      <c r="J225" s="19"/>
    </row>
    <row r="226" spans="1:10" x14ac:dyDescent="0.2">
      <c r="A226" s="18">
        <v>2</v>
      </c>
      <c r="B226" s="15">
        <v>3</v>
      </c>
      <c r="C226" s="15">
        <v>2</v>
      </c>
      <c r="D226" s="15">
        <v>1</v>
      </c>
      <c r="E226" s="15"/>
      <c r="F226" s="16" t="s">
        <v>42</v>
      </c>
      <c r="G226" s="12">
        <f>SUM(G227)</f>
        <v>557734.03</v>
      </c>
      <c r="H226" s="12">
        <f>SUM(H227)</f>
        <v>0</v>
      </c>
      <c r="I226" s="12">
        <f t="shared" si="9"/>
        <v>557734.03</v>
      </c>
      <c r="J226" s="11"/>
    </row>
    <row r="227" spans="1:10" x14ac:dyDescent="0.2">
      <c r="A227" s="17">
        <v>2</v>
      </c>
      <c r="B227" s="9">
        <v>3</v>
      </c>
      <c r="C227" s="9">
        <v>2</v>
      </c>
      <c r="D227" s="9">
        <v>1</v>
      </c>
      <c r="E227" s="24" t="s">
        <v>44</v>
      </c>
      <c r="F227" s="10" t="s">
        <v>42</v>
      </c>
      <c r="G227" s="7">
        <f>'CUENTA T FONDO 100'!DR97</f>
        <v>557734.03</v>
      </c>
      <c r="H227" s="7">
        <f>'CUENTA T VS'!DR75</f>
        <v>0</v>
      </c>
      <c r="I227" s="7">
        <f t="shared" si="9"/>
        <v>557734.03</v>
      </c>
      <c r="J227" s="6">
        <f>I227/$I$25</f>
        <v>3.3914102465206386E-3</v>
      </c>
    </row>
    <row r="228" spans="1:10" x14ac:dyDescent="0.2">
      <c r="A228" s="18">
        <v>2</v>
      </c>
      <c r="B228" s="15">
        <v>3</v>
      </c>
      <c r="C228" s="15">
        <v>2</v>
      </c>
      <c r="D228" s="15">
        <v>2</v>
      </c>
      <c r="E228" s="15"/>
      <c r="F228" s="16" t="s">
        <v>41</v>
      </c>
      <c r="G228" s="12">
        <f>SUM(G229)</f>
        <v>0</v>
      </c>
      <c r="H228" s="12">
        <f>SUM(H229)</f>
        <v>0</v>
      </c>
      <c r="I228" s="12">
        <f t="shared" si="9"/>
        <v>0</v>
      </c>
      <c r="J228" s="11"/>
    </row>
    <row r="229" spans="1:10" x14ac:dyDescent="0.2">
      <c r="A229" s="17">
        <v>2</v>
      </c>
      <c r="B229" s="9">
        <v>3</v>
      </c>
      <c r="C229" s="9">
        <v>2</v>
      </c>
      <c r="D229" s="9">
        <v>2</v>
      </c>
      <c r="E229" s="24" t="s">
        <v>44</v>
      </c>
      <c r="F229" s="10" t="s">
        <v>41</v>
      </c>
      <c r="G229" s="7">
        <f>'CUENTA T FONDO 100'!DS97</f>
        <v>0</v>
      </c>
      <c r="H229" s="7">
        <f>'CUENTA T VS'!DS75</f>
        <v>0</v>
      </c>
      <c r="I229" s="7">
        <f t="shared" si="9"/>
        <v>0</v>
      </c>
      <c r="J229" s="6">
        <f>I229/$I$25</f>
        <v>0</v>
      </c>
    </row>
    <row r="230" spans="1:10" x14ac:dyDescent="0.2">
      <c r="A230" s="18">
        <v>2</v>
      </c>
      <c r="B230" s="15">
        <v>3</v>
      </c>
      <c r="C230" s="15">
        <v>2</v>
      </c>
      <c r="D230" s="15">
        <v>3</v>
      </c>
      <c r="E230" s="15"/>
      <c r="F230" s="16" t="s">
        <v>40</v>
      </c>
      <c r="G230" s="12">
        <f>SUM(G231)</f>
        <v>0</v>
      </c>
      <c r="H230" s="12">
        <f>SUM(H231)</f>
        <v>0</v>
      </c>
      <c r="I230" s="12">
        <f t="shared" si="9"/>
        <v>0</v>
      </c>
      <c r="J230" s="11"/>
    </row>
    <row r="231" spans="1:10" x14ac:dyDescent="0.2">
      <c r="A231" s="17">
        <v>2</v>
      </c>
      <c r="B231" s="9">
        <v>3</v>
      </c>
      <c r="C231" s="9">
        <v>2</v>
      </c>
      <c r="D231" s="9">
        <v>3</v>
      </c>
      <c r="E231" s="24" t="s">
        <v>44</v>
      </c>
      <c r="F231" s="10" t="s">
        <v>40</v>
      </c>
      <c r="G231" s="7">
        <f>'CUENTA T FONDO 100'!DT97</f>
        <v>0</v>
      </c>
      <c r="H231" s="7">
        <f>'CUENTA T VS'!DT75</f>
        <v>0</v>
      </c>
      <c r="I231" s="7">
        <f t="shared" si="9"/>
        <v>0</v>
      </c>
      <c r="J231" s="6">
        <f>I231/$I$25</f>
        <v>0</v>
      </c>
    </row>
    <row r="232" spans="1:10" x14ac:dyDescent="0.2">
      <c r="A232" s="23">
        <v>2</v>
      </c>
      <c r="B232" s="22">
        <v>3</v>
      </c>
      <c r="C232" s="22">
        <v>3</v>
      </c>
      <c r="D232" s="22"/>
      <c r="E232" s="29"/>
      <c r="F232" s="30" t="s">
        <v>207</v>
      </c>
      <c r="G232" s="20">
        <f>+G233+G235+G237+G239+G241+G243</f>
        <v>1655540</v>
      </c>
      <c r="H232" s="20">
        <f>+H233+H235+H237+H239+H241+H243</f>
        <v>0</v>
      </c>
      <c r="I232" s="20">
        <f t="shared" si="9"/>
        <v>1655540</v>
      </c>
      <c r="J232" s="19"/>
    </row>
    <row r="233" spans="1:10" x14ac:dyDescent="0.2">
      <c r="A233" s="18">
        <v>2</v>
      </c>
      <c r="B233" s="15">
        <v>3</v>
      </c>
      <c r="C233" s="15">
        <v>3</v>
      </c>
      <c r="D233" s="15">
        <v>1</v>
      </c>
      <c r="E233" s="15"/>
      <c r="F233" s="16" t="s">
        <v>39</v>
      </c>
      <c r="G233" s="12">
        <f>SUM(G234)</f>
        <v>0</v>
      </c>
      <c r="H233" s="12">
        <f>SUM(H234)</f>
        <v>0</v>
      </c>
      <c r="I233" s="12">
        <f t="shared" si="9"/>
        <v>0</v>
      </c>
      <c r="J233" s="11"/>
    </row>
    <row r="234" spans="1:10" x14ac:dyDescent="0.2">
      <c r="A234" s="17">
        <v>2</v>
      </c>
      <c r="B234" s="9">
        <v>3</v>
      </c>
      <c r="C234" s="9">
        <v>3</v>
      </c>
      <c r="D234" s="9">
        <v>1</v>
      </c>
      <c r="E234" s="24" t="s">
        <v>44</v>
      </c>
      <c r="F234" s="10" t="s">
        <v>39</v>
      </c>
      <c r="G234" s="7">
        <f>'CUENTA T FONDO 100'!DU97</f>
        <v>0</v>
      </c>
      <c r="H234" s="7">
        <f>'CUENTA T VS'!DU75</f>
        <v>0</v>
      </c>
      <c r="I234" s="7">
        <f t="shared" si="9"/>
        <v>0</v>
      </c>
      <c r="J234" s="6">
        <f>I234/$I$25</f>
        <v>0</v>
      </c>
    </row>
    <row r="235" spans="1:10" x14ac:dyDescent="0.2">
      <c r="A235" s="18">
        <v>2</v>
      </c>
      <c r="B235" s="15">
        <v>3</v>
      </c>
      <c r="C235" s="15">
        <v>3</v>
      </c>
      <c r="D235" s="15">
        <v>2</v>
      </c>
      <c r="E235" s="15"/>
      <c r="F235" s="16" t="s">
        <v>401</v>
      </c>
      <c r="G235" s="12">
        <f>SUM(G236)</f>
        <v>918335</v>
      </c>
      <c r="H235" s="12">
        <f>SUM(H236)</f>
        <v>0</v>
      </c>
      <c r="I235" s="12">
        <f t="shared" si="9"/>
        <v>918335</v>
      </c>
      <c r="J235" s="11"/>
    </row>
    <row r="236" spans="1:10" x14ac:dyDescent="0.2">
      <c r="A236" s="17">
        <v>2</v>
      </c>
      <c r="B236" s="9">
        <v>3</v>
      </c>
      <c r="C236" s="9">
        <v>3</v>
      </c>
      <c r="D236" s="9">
        <v>2</v>
      </c>
      <c r="E236" s="24" t="s">
        <v>44</v>
      </c>
      <c r="F236" s="10" t="s">
        <v>401</v>
      </c>
      <c r="G236" s="7">
        <f>'CUENTA T FONDO 100'!DV97</f>
        <v>918335</v>
      </c>
      <c r="H236" s="7">
        <f>'CUENTA T VS'!DV75</f>
        <v>0</v>
      </c>
      <c r="I236" s="7">
        <f t="shared" si="9"/>
        <v>918335</v>
      </c>
      <c r="J236" s="6">
        <f>I236/$I$25</f>
        <v>5.5841145800956966E-3</v>
      </c>
    </row>
    <row r="237" spans="1:10" x14ac:dyDescent="0.2">
      <c r="A237" s="18">
        <v>2</v>
      </c>
      <c r="B237" s="15">
        <v>3</v>
      </c>
      <c r="C237" s="15">
        <v>3</v>
      </c>
      <c r="D237" s="15">
        <v>3</v>
      </c>
      <c r="E237" s="15"/>
      <c r="F237" s="16" t="s">
        <v>38</v>
      </c>
      <c r="G237" s="12">
        <f>SUM(G238)</f>
        <v>737205</v>
      </c>
      <c r="H237" s="12">
        <f>SUM(H238)</f>
        <v>0</v>
      </c>
      <c r="I237" s="12">
        <f t="shared" si="9"/>
        <v>737205</v>
      </c>
      <c r="J237" s="11"/>
    </row>
    <row r="238" spans="1:10" x14ac:dyDescent="0.2">
      <c r="A238" s="17">
        <v>2</v>
      </c>
      <c r="B238" s="9">
        <v>3</v>
      </c>
      <c r="C238" s="9">
        <v>3</v>
      </c>
      <c r="D238" s="9">
        <v>3</v>
      </c>
      <c r="E238" s="24" t="s">
        <v>44</v>
      </c>
      <c r="F238" s="10" t="s">
        <v>38</v>
      </c>
      <c r="G238" s="7">
        <f>'CUENTA T FONDO 100'!DW97</f>
        <v>737205</v>
      </c>
      <c r="H238" s="7">
        <f>'CUENTA T VS'!DW75</f>
        <v>0</v>
      </c>
      <c r="I238" s="7">
        <f t="shared" si="9"/>
        <v>737205</v>
      </c>
      <c r="J238" s="6">
        <f>I238/$I$25</f>
        <v>4.4827183860132172E-3</v>
      </c>
    </row>
    <row r="239" spans="1:10" x14ac:dyDescent="0.2">
      <c r="A239" s="18">
        <v>2</v>
      </c>
      <c r="B239" s="15">
        <v>3</v>
      </c>
      <c r="C239" s="15">
        <v>3</v>
      </c>
      <c r="D239" s="15">
        <v>4</v>
      </c>
      <c r="E239" s="15"/>
      <c r="F239" s="16" t="s">
        <v>37</v>
      </c>
      <c r="G239" s="12">
        <f>SUM(G240)</f>
        <v>0</v>
      </c>
      <c r="H239" s="12">
        <f>SUM(H240)</f>
        <v>0</v>
      </c>
      <c r="I239" s="12">
        <f t="shared" si="9"/>
        <v>0</v>
      </c>
      <c r="J239" s="11"/>
    </row>
    <row r="240" spans="1:10" x14ac:dyDescent="0.2">
      <c r="A240" s="17">
        <v>2</v>
      </c>
      <c r="B240" s="9">
        <v>3</v>
      </c>
      <c r="C240" s="9">
        <v>3</v>
      </c>
      <c r="D240" s="9">
        <v>4</v>
      </c>
      <c r="E240" s="24" t="s">
        <v>44</v>
      </c>
      <c r="F240" s="10" t="s">
        <v>37</v>
      </c>
      <c r="G240" s="7">
        <f>'CUENTA T FONDO 100'!DX97</f>
        <v>0</v>
      </c>
      <c r="H240" s="7">
        <f>'CUENTA T VS'!DX75</f>
        <v>0</v>
      </c>
      <c r="I240" s="7">
        <f t="shared" si="9"/>
        <v>0</v>
      </c>
      <c r="J240" s="6">
        <f>I240/$I$25</f>
        <v>0</v>
      </c>
    </row>
    <row r="241" spans="1:10" x14ac:dyDescent="0.2">
      <c r="A241" s="18">
        <v>2</v>
      </c>
      <c r="B241" s="15">
        <v>3</v>
      </c>
      <c r="C241" s="15">
        <v>3</v>
      </c>
      <c r="D241" s="15">
        <v>5</v>
      </c>
      <c r="E241" s="15"/>
      <c r="F241" s="16" t="s">
        <v>206</v>
      </c>
      <c r="G241" s="12">
        <f>SUM(G242)</f>
        <v>0</v>
      </c>
      <c r="H241" s="12">
        <f>SUM(H242)</f>
        <v>0</v>
      </c>
      <c r="I241" s="12">
        <f t="shared" si="9"/>
        <v>0</v>
      </c>
      <c r="J241" s="11"/>
    </row>
    <row r="242" spans="1:10" x14ac:dyDescent="0.2">
      <c r="A242" s="17">
        <v>2</v>
      </c>
      <c r="B242" s="9">
        <v>3</v>
      </c>
      <c r="C242" s="9">
        <v>3</v>
      </c>
      <c r="D242" s="9">
        <v>5</v>
      </c>
      <c r="E242" s="24" t="s">
        <v>44</v>
      </c>
      <c r="F242" s="10" t="s">
        <v>206</v>
      </c>
      <c r="G242" s="7">
        <f>'CUENTA T FONDO 100'!DY97</f>
        <v>0</v>
      </c>
      <c r="H242" s="7">
        <f>'CUENTA T VS'!DY75</f>
        <v>0</v>
      </c>
      <c r="I242" s="7">
        <f t="shared" si="9"/>
        <v>0</v>
      </c>
      <c r="J242" s="6">
        <f>I242/$I$25</f>
        <v>0</v>
      </c>
    </row>
    <row r="243" spans="1:10" x14ac:dyDescent="0.2">
      <c r="A243" s="18">
        <v>2</v>
      </c>
      <c r="B243" s="15">
        <v>3</v>
      </c>
      <c r="C243" s="15">
        <v>3</v>
      </c>
      <c r="D243" s="15">
        <v>6</v>
      </c>
      <c r="E243" s="15"/>
      <c r="F243" s="16" t="s">
        <v>205</v>
      </c>
      <c r="G243" s="12">
        <f>SUM(G244)</f>
        <v>0</v>
      </c>
      <c r="H243" s="12">
        <f>SUM(H244)</f>
        <v>0</v>
      </c>
      <c r="I243" s="12">
        <f t="shared" si="9"/>
        <v>0</v>
      </c>
      <c r="J243" s="11"/>
    </row>
    <row r="244" spans="1:10" x14ac:dyDescent="0.2">
      <c r="A244" s="17">
        <v>2</v>
      </c>
      <c r="B244" s="9">
        <v>3</v>
      </c>
      <c r="C244" s="9">
        <v>3</v>
      </c>
      <c r="D244" s="9">
        <v>6</v>
      </c>
      <c r="E244" s="24" t="s">
        <v>44</v>
      </c>
      <c r="F244" s="10" t="s">
        <v>205</v>
      </c>
      <c r="G244" s="7">
        <f>'CUENTA T FONDO 100'!DZ97</f>
        <v>0</v>
      </c>
      <c r="H244" s="7">
        <f>'CUENTA T VS'!DZ75</f>
        <v>0</v>
      </c>
      <c r="I244" s="7">
        <f t="shared" si="9"/>
        <v>0</v>
      </c>
      <c r="J244" s="6">
        <f>I244/$I$25</f>
        <v>0</v>
      </c>
    </row>
    <row r="245" spans="1:10" x14ac:dyDescent="0.2">
      <c r="A245" s="23">
        <v>2</v>
      </c>
      <c r="B245" s="22">
        <v>3</v>
      </c>
      <c r="C245" s="22">
        <v>4</v>
      </c>
      <c r="D245" s="22"/>
      <c r="E245" s="29"/>
      <c r="F245" s="30" t="s">
        <v>204</v>
      </c>
      <c r="G245" s="20">
        <f>+G246+G248</f>
        <v>3574335</v>
      </c>
      <c r="H245" s="20">
        <f>+H246+H248</f>
        <v>384300</v>
      </c>
      <c r="I245" s="20">
        <f t="shared" si="9"/>
        <v>3958635</v>
      </c>
      <c r="J245" s="19"/>
    </row>
    <row r="246" spans="1:10" x14ac:dyDescent="0.2">
      <c r="A246" s="18">
        <v>2</v>
      </c>
      <c r="B246" s="15">
        <v>3</v>
      </c>
      <c r="C246" s="15">
        <v>4</v>
      </c>
      <c r="D246" s="15">
        <v>1</v>
      </c>
      <c r="E246" s="15"/>
      <c r="F246" s="16" t="s">
        <v>36</v>
      </c>
      <c r="G246" s="12">
        <f>SUM(G247)</f>
        <v>3574335</v>
      </c>
      <c r="H246" s="12">
        <f>SUM(H247)</f>
        <v>384300</v>
      </c>
      <c r="I246" s="12">
        <f t="shared" si="9"/>
        <v>3958635</v>
      </c>
      <c r="J246" s="11"/>
    </row>
    <row r="247" spans="1:10" x14ac:dyDescent="0.2">
      <c r="A247" s="17">
        <v>2</v>
      </c>
      <c r="B247" s="9">
        <v>3</v>
      </c>
      <c r="C247" s="9">
        <v>4</v>
      </c>
      <c r="D247" s="9">
        <v>1</v>
      </c>
      <c r="E247" s="24" t="s">
        <v>44</v>
      </c>
      <c r="F247" s="10" t="s">
        <v>36</v>
      </c>
      <c r="G247" s="7">
        <f>'CUENTA T FONDO 100'!EA97</f>
        <v>3574335</v>
      </c>
      <c r="H247" s="7">
        <f>'CUENTA T VS'!EA75</f>
        <v>384300</v>
      </c>
      <c r="I247" s="7">
        <f t="shared" si="9"/>
        <v>3958635</v>
      </c>
      <c r="J247" s="6">
        <f>I247/$I$25</f>
        <v>2.4071250056653757E-2</v>
      </c>
    </row>
    <row r="248" spans="1:10" x14ac:dyDescent="0.2">
      <c r="A248" s="18">
        <v>2</v>
      </c>
      <c r="B248" s="15">
        <v>3</v>
      </c>
      <c r="C248" s="15">
        <v>4</v>
      </c>
      <c r="D248" s="15">
        <v>2</v>
      </c>
      <c r="E248" s="15"/>
      <c r="F248" s="16" t="s">
        <v>203</v>
      </c>
      <c r="G248" s="12">
        <f>SUM(G249)</f>
        <v>0</v>
      </c>
      <c r="H248" s="12">
        <f>SUM(H249)</f>
        <v>0</v>
      </c>
      <c r="I248" s="12">
        <f t="shared" si="9"/>
        <v>0</v>
      </c>
      <c r="J248" s="11"/>
    </row>
    <row r="249" spans="1:10" x14ac:dyDescent="0.2">
      <c r="A249" s="17">
        <v>2</v>
      </c>
      <c r="B249" s="9">
        <v>3</v>
      </c>
      <c r="C249" s="9">
        <v>4</v>
      </c>
      <c r="D249" s="9">
        <v>2</v>
      </c>
      <c r="E249" s="24" t="s">
        <v>44</v>
      </c>
      <c r="F249" s="10" t="s">
        <v>203</v>
      </c>
      <c r="G249" s="7">
        <f>'CUENTA T FONDO 100'!EB97</f>
        <v>0</v>
      </c>
      <c r="H249" s="7">
        <f>'CUENTA T VS'!EB75</f>
        <v>0</v>
      </c>
      <c r="I249" s="7">
        <f t="shared" si="9"/>
        <v>0</v>
      </c>
      <c r="J249" s="6">
        <f>I249/$I$25</f>
        <v>0</v>
      </c>
    </row>
    <row r="250" spans="1:10" x14ac:dyDescent="0.2">
      <c r="A250" s="23">
        <v>2</v>
      </c>
      <c r="B250" s="22">
        <v>3</v>
      </c>
      <c r="C250" s="22">
        <v>5</v>
      </c>
      <c r="D250" s="22"/>
      <c r="E250" s="29"/>
      <c r="F250" s="30" t="s">
        <v>202</v>
      </c>
      <c r="G250" s="20">
        <f>+G251+G253+G255+G257+G259</f>
        <v>18154.650000000001</v>
      </c>
      <c r="H250" s="20">
        <f>+H251+H253+H255+H257+H259</f>
        <v>298561.91999999998</v>
      </c>
      <c r="I250" s="20">
        <f t="shared" si="9"/>
        <v>316716.57</v>
      </c>
      <c r="J250" s="19"/>
    </row>
    <row r="251" spans="1:10" x14ac:dyDescent="0.2">
      <c r="A251" s="18">
        <v>2</v>
      </c>
      <c r="B251" s="15">
        <v>3</v>
      </c>
      <c r="C251" s="15">
        <v>5</v>
      </c>
      <c r="D251" s="15">
        <v>1</v>
      </c>
      <c r="E251" s="15"/>
      <c r="F251" s="16" t="s">
        <v>35</v>
      </c>
      <c r="G251" s="12">
        <f>SUM(G252)</f>
        <v>0</v>
      </c>
      <c r="H251" s="12">
        <f>SUM(H252)</f>
        <v>0</v>
      </c>
      <c r="I251" s="12">
        <f t="shared" si="9"/>
        <v>0</v>
      </c>
      <c r="J251" s="11"/>
    </row>
    <row r="252" spans="1:10" x14ac:dyDescent="0.2">
      <c r="A252" s="17">
        <v>2</v>
      </c>
      <c r="B252" s="9">
        <v>3</v>
      </c>
      <c r="C252" s="9">
        <v>5</v>
      </c>
      <c r="D252" s="9">
        <v>1</v>
      </c>
      <c r="E252" s="24" t="s">
        <v>44</v>
      </c>
      <c r="F252" s="10" t="s">
        <v>35</v>
      </c>
      <c r="G252" s="7">
        <f>'CUENTA T FONDO 100'!EC97</f>
        <v>0</v>
      </c>
      <c r="H252" s="7">
        <f>'CUENTA T VS'!EC75</f>
        <v>0</v>
      </c>
      <c r="I252" s="7">
        <f t="shared" si="9"/>
        <v>0</v>
      </c>
      <c r="J252" s="6">
        <f>I252/$I$25</f>
        <v>0</v>
      </c>
    </row>
    <row r="253" spans="1:10" x14ac:dyDescent="0.2">
      <c r="A253" s="18">
        <v>2</v>
      </c>
      <c r="B253" s="15">
        <v>3</v>
      </c>
      <c r="C253" s="15">
        <v>5</v>
      </c>
      <c r="D253" s="15">
        <v>2</v>
      </c>
      <c r="E253" s="15"/>
      <c r="F253" s="16" t="s">
        <v>34</v>
      </c>
      <c r="G253" s="12">
        <f>SUM(G254)</f>
        <v>0</v>
      </c>
      <c r="H253" s="12">
        <f>SUM(H254)</f>
        <v>0</v>
      </c>
      <c r="I253" s="12">
        <f t="shared" si="9"/>
        <v>0</v>
      </c>
      <c r="J253" s="11"/>
    </row>
    <row r="254" spans="1:10" x14ac:dyDescent="0.2">
      <c r="A254" s="17">
        <v>2</v>
      </c>
      <c r="B254" s="9">
        <v>3</v>
      </c>
      <c r="C254" s="9">
        <v>5</v>
      </c>
      <c r="D254" s="9">
        <v>2</v>
      </c>
      <c r="E254" s="24" t="s">
        <v>44</v>
      </c>
      <c r="F254" s="10" t="s">
        <v>34</v>
      </c>
      <c r="G254" s="7">
        <f>'CUENTA T FONDO 100'!ED97</f>
        <v>0</v>
      </c>
      <c r="H254" s="7">
        <f>'CUENTA T VS'!ED75</f>
        <v>0</v>
      </c>
      <c r="I254" s="7">
        <f t="shared" si="9"/>
        <v>0</v>
      </c>
      <c r="J254" s="6">
        <f>I254/$I$25</f>
        <v>0</v>
      </c>
    </row>
    <row r="255" spans="1:10" x14ac:dyDescent="0.2">
      <c r="A255" s="18">
        <v>2</v>
      </c>
      <c r="B255" s="15">
        <v>3</v>
      </c>
      <c r="C255" s="15">
        <v>5</v>
      </c>
      <c r="D255" s="15">
        <v>3</v>
      </c>
      <c r="E255" s="15"/>
      <c r="F255" s="16" t="s">
        <v>33</v>
      </c>
      <c r="G255" s="12">
        <f>SUM(G256)</f>
        <v>0</v>
      </c>
      <c r="H255" s="12">
        <f>SUM(H256)</f>
        <v>298561.91999999998</v>
      </c>
      <c r="I255" s="12">
        <f t="shared" si="9"/>
        <v>298561.91999999998</v>
      </c>
      <c r="J255" s="11"/>
    </row>
    <row r="256" spans="1:10" x14ac:dyDescent="0.2">
      <c r="A256" s="17">
        <v>2</v>
      </c>
      <c r="B256" s="9">
        <v>3</v>
      </c>
      <c r="C256" s="9">
        <v>5</v>
      </c>
      <c r="D256" s="9">
        <v>3</v>
      </c>
      <c r="E256" s="24" t="s">
        <v>44</v>
      </c>
      <c r="F256" s="10" t="s">
        <v>33</v>
      </c>
      <c r="G256" s="7">
        <f>'CUENTA T FONDO 100'!EE97</f>
        <v>0</v>
      </c>
      <c r="H256" s="7">
        <f>'CUENTA T VS'!EE75</f>
        <v>298561.91999999998</v>
      </c>
      <c r="I256" s="7">
        <f t="shared" si="9"/>
        <v>298561.91999999998</v>
      </c>
      <c r="J256" s="6">
        <f>I256/$I$25</f>
        <v>1.8154638236954541E-3</v>
      </c>
    </row>
    <row r="257" spans="1:10" x14ac:dyDescent="0.2">
      <c r="A257" s="18">
        <v>2</v>
      </c>
      <c r="B257" s="15">
        <v>3</v>
      </c>
      <c r="C257" s="15">
        <v>5</v>
      </c>
      <c r="D257" s="15">
        <v>4</v>
      </c>
      <c r="E257" s="15"/>
      <c r="F257" s="16" t="s">
        <v>32</v>
      </c>
      <c r="G257" s="12">
        <f>SUM(G258)</f>
        <v>0</v>
      </c>
      <c r="H257" s="12">
        <f>SUM(H258)</f>
        <v>0</v>
      </c>
      <c r="I257" s="12">
        <f t="shared" si="9"/>
        <v>0</v>
      </c>
      <c r="J257" s="11"/>
    </row>
    <row r="258" spans="1:10" x14ac:dyDescent="0.2">
      <c r="A258" s="17">
        <v>2</v>
      </c>
      <c r="B258" s="9">
        <v>3</v>
      </c>
      <c r="C258" s="9">
        <v>5</v>
      </c>
      <c r="D258" s="9">
        <v>4</v>
      </c>
      <c r="E258" s="24" t="s">
        <v>44</v>
      </c>
      <c r="F258" s="10" t="s">
        <v>32</v>
      </c>
      <c r="G258" s="7">
        <f>'CUENTA T FONDO 100'!EF97</f>
        <v>0</v>
      </c>
      <c r="H258" s="7">
        <f>'CUENTA T VS'!EF75</f>
        <v>0</v>
      </c>
      <c r="I258" s="7">
        <f t="shared" si="9"/>
        <v>0</v>
      </c>
      <c r="J258" s="6">
        <f>I258/$I$25</f>
        <v>0</v>
      </c>
    </row>
    <row r="259" spans="1:10" x14ac:dyDescent="0.2">
      <c r="A259" s="18">
        <v>2</v>
      </c>
      <c r="B259" s="15">
        <v>3</v>
      </c>
      <c r="C259" s="15">
        <v>5</v>
      </c>
      <c r="D259" s="15">
        <v>5</v>
      </c>
      <c r="E259" s="15"/>
      <c r="F259" s="16" t="s">
        <v>31</v>
      </c>
      <c r="G259" s="12">
        <f>SUM(G260)</f>
        <v>18154.650000000001</v>
      </c>
      <c r="H259" s="12">
        <f>SUM(H260)</f>
        <v>0</v>
      </c>
      <c r="I259" s="12">
        <f t="shared" si="9"/>
        <v>18154.650000000001</v>
      </c>
      <c r="J259" s="11"/>
    </row>
    <row r="260" spans="1:10" x14ac:dyDescent="0.2">
      <c r="A260" s="17">
        <v>2</v>
      </c>
      <c r="B260" s="9">
        <v>3</v>
      </c>
      <c r="C260" s="9">
        <v>5</v>
      </c>
      <c r="D260" s="9">
        <v>5</v>
      </c>
      <c r="E260" s="24" t="s">
        <v>44</v>
      </c>
      <c r="F260" s="10" t="s">
        <v>31</v>
      </c>
      <c r="G260" s="7">
        <f>'CUENTA T FONDO 100'!EG97</f>
        <v>18154.650000000001</v>
      </c>
      <c r="H260" s="7">
        <f>'CUENTA T VS'!EG75</f>
        <v>0</v>
      </c>
      <c r="I260" s="7">
        <f t="shared" si="9"/>
        <v>18154.650000000001</v>
      </c>
      <c r="J260" s="6">
        <f>I260/$I$25</f>
        <v>1.1039288033401137E-4</v>
      </c>
    </row>
    <row r="261" spans="1:10" x14ac:dyDescent="0.2">
      <c r="A261" s="23">
        <v>2</v>
      </c>
      <c r="B261" s="22">
        <v>3</v>
      </c>
      <c r="C261" s="22">
        <v>6</v>
      </c>
      <c r="D261" s="22"/>
      <c r="E261" s="22"/>
      <c r="F261" s="30" t="s">
        <v>201</v>
      </c>
      <c r="G261" s="20">
        <f>+G262+G268+G272+G276+G284</f>
        <v>0</v>
      </c>
      <c r="H261" s="20">
        <f>+H262+H268+H272+H276+H284</f>
        <v>0</v>
      </c>
      <c r="I261" s="20">
        <f t="shared" si="9"/>
        <v>0</v>
      </c>
      <c r="J261" s="19"/>
    </row>
    <row r="262" spans="1:10" x14ac:dyDescent="0.2">
      <c r="A262" s="18">
        <v>2</v>
      </c>
      <c r="B262" s="15">
        <v>3</v>
      </c>
      <c r="C262" s="15">
        <v>6</v>
      </c>
      <c r="D262" s="15">
        <v>1</v>
      </c>
      <c r="E262" s="15"/>
      <c r="F262" s="16" t="s">
        <v>200</v>
      </c>
      <c r="G262" s="12">
        <f>SUM(G263:G267)</f>
        <v>0</v>
      </c>
      <c r="H262" s="12">
        <f>SUM(H263:H267)</f>
        <v>0</v>
      </c>
      <c r="I262" s="12">
        <f t="shared" si="9"/>
        <v>0</v>
      </c>
      <c r="J262" s="11"/>
    </row>
    <row r="263" spans="1:10" x14ac:dyDescent="0.2">
      <c r="A263" s="17">
        <v>2</v>
      </c>
      <c r="B263" s="9">
        <v>3</v>
      </c>
      <c r="C263" s="9">
        <v>6</v>
      </c>
      <c r="D263" s="9">
        <v>1</v>
      </c>
      <c r="E263" s="24" t="s">
        <v>44</v>
      </c>
      <c r="F263" s="10" t="s">
        <v>30</v>
      </c>
      <c r="G263" s="7">
        <f>'CUENTA T FONDO 100'!EH97</f>
        <v>0</v>
      </c>
      <c r="H263" s="7">
        <f>'CUENTA T VS'!EH75</f>
        <v>0</v>
      </c>
      <c r="I263" s="7">
        <f t="shared" si="9"/>
        <v>0</v>
      </c>
      <c r="J263" s="6">
        <f>I263/$I$25</f>
        <v>0</v>
      </c>
    </row>
    <row r="264" spans="1:10" x14ac:dyDescent="0.2">
      <c r="A264" s="17">
        <v>2</v>
      </c>
      <c r="B264" s="9">
        <v>3</v>
      </c>
      <c r="C264" s="9">
        <v>6</v>
      </c>
      <c r="D264" s="9">
        <v>1</v>
      </c>
      <c r="E264" s="24" t="s">
        <v>43</v>
      </c>
      <c r="F264" s="10" t="s">
        <v>29</v>
      </c>
      <c r="G264" s="7">
        <f>'CUENTA T FONDO 100'!EI97</f>
        <v>0</v>
      </c>
      <c r="H264" s="7">
        <f>'CUENTA T VS'!EI75</f>
        <v>0</v>
      </c>
      <c r="I264" s="7">
        <f t="shared" si="9"/>
        <v>0</v>
      </c>
      <c r="J264" s="6">
        <f>I264/$I$25</f>
        <v>0</v>
      </c>
    </row>
    <row r="265" spans="1:10" x14ac:dyDescent="0.2">
      <c r="A265" s="17">
        <v>2</v>
      </c>
      <c r="B265" s="9">
        <v>3</v>
      </c>
      <c r="C265" s="9">
        <v>6</v>
      </c>
      <c r="D265" s="9">
        <v>1</v>
      </c>
      <c r="E265" s="24" t="s">
        <v>104</v>
      </c>
      <c r="F265" s="10" t="s">
        <v>28</v>
      </c>
      <c r="G265" s="7">
        <f>'CUENTA T FONDO 100'!EJ97</f>
        <v>0</v>
      </c>
      <c r="H265" s="7">
        <f>'CUENTA T VS'!EJ75</f>
        <v>0</v>
      </c>
      <c r="I265" s="7">
        <f t="shared" si="9"/>
        <v>0</v>
      </c>
      <c r="J265" s="6">
        <f>I265/$I$25</f>
        <v>0</v>
      </c>
    </row>
    <row r="266" spans="1:10" x14ac:dyDescent="0.2">
      <c r="A266" s="17">
        <v>2</v>
      </c>
      <c r="B266" s="9">
        <v>3</v>
      </c>
      <c r="C266" s="9">
        <v>6</v>
      </c>
      <c r="D266" s="9">
        <v>1</v>
      </c>
      <c r="E266" s="24" t="s">
        <v>172</v>
      </c>
      <c r="F266" s="10" t="s">
        <v>27</v>
      </c>
      <c r="G266" s="7">
        <f>'CUENTA T FONDO 100'!EK97</f>
        <v>0</v>
      </c>
      <c r="H266" s="7">
        <f>'CUENTA T VS'!EK75</f>
        <v>0</v>
      </c>
      <c r="I266" s="7">
        <f t="shared" si="9"/>
        <v>0</v>
      </c>
      <c r="J266" s="6">
        <f>I266/$I$25</f>
        <v>0</v>
      </c>
    </row>
    <row r="267" spans="1:10" x14ac:dyDescent="0.2">
      <c r="A267" s="17">
        <v>2</v>
      </c>
      <c r="B267" s="9">
        <v>3</v>
      </c>
      <c r="C267" s="9">
        <v>6</v>
      </c>
      <c r="D267" s="9">
        <v>1</v>
      </c>
      <c r="E267" s="24" t="s">
        <v>170</v>
      </c>
      <c r="F267" s="10" t="s">
        <v>26</v>
      </c>
      <c r="G267" s="7">
        <f>'CUENTA T FONDO 100'!EL97</f>
        <v>0</v>
      </c>
      <c r="H267" s="7">
        <f>'CUENTA T VS'!EL75</f>
        <v>0</v>
      </c>
      <c r="I267" s="7">
        <f t="shared" si="9"/>
        <v>0</v>
      </c>
      <c r="J267" s="6">
        <f>I267/$I$25</f>
        <v>0</v>
      </c>
    </row>
    <row r="268" spans="1:10" x14ac:dyDescent="0.2">
      <c r="A268" s="18">
        <v>2</v>
      </c>
      <c r="B268" s="15">
        <v>3</v>
      </c>
      <c r="C268" s="15">
        <v>6</v>
      </c>
      <c r="D268" s="15">
        <v>2</v>
      </c>
      <c r="E268" s="15"/>
      <c r="F268" s="16" t="s">
        <v>25</v>
      </c>
      <c r="G268" s="12">
        <f>SUM(G269:G271)</f>
        <v>0</v>
      </c>
      <c r="H268" s="12">
        <f>SUM(H269:H271)</f>
        <v>0</v>
      </c>
      <c r="I268" s="12">
        <f t="shared" si="9"/>
        <v>0</v>
      </c>
      <c r="J268" s="11"/>
    </row>
    <row r="269" spans="1:10" x14ac:dyDescent="0.2">
      <c r="A269" s="17">
        <v>2</v>
      </c>
      <c r="B269" s="9">
        <v>3</v>
      </c>
      <c r="C269" s="9">
        <v>6</v>
      </c>
      <c r="D269" s="9">
        <v>2</v>
      </c>
      <c r="E269" s="24" t="s">
        <v>44</v>
      </c>
      <c r="F269" s="10" t="s">
        <v>24</v>
      </c>
      <c r="G269" s="7">
        <f>'CUENTA T FONDO 100'!EM97</f>
        <v>0</v>
      </c>
      <c r="H269" s="7">
        <f>'CUENTA T VS'!EM75</f>
        <v>0</v>
      </c>
      <c r="I269" s="7">
        <f t="shared" si="9"/>
        <v>0</v>
      </c>
      <c r="J269" s="6">
        <f>I269/$I$25</f>
        <v>0</v>
      </c>
    </row>
    <row r="270" spans="1:10" x14ac:dyDescent="0.2">
      <c r="A270" s="17">
        <v>2</v>
      </c>
      <c r="B270" s="9">
        <v>3</v>
      </c>
      <c r="C270" s="9">
        <v>6</v>
      </c>
      <c r="D270" s="9">
        <v>2</v>
      </c>
      <c r="E270" s="24" t="s">
        <v>43</v>
      </c>
      <c r="F270" s="10" t="s">
        <v>23</v>
      </c>
      <c r="G270" s="7">
        <f>'CUENTA T FONDO 100'!EN97</f>
        <v>0</v>
      </c>
      <c r="H270" s="7">
        <f>'CUENTA T VS'!EN75</f>
        <v>0</v>
      </c>
      <c r="I270" s="7">
        <f t="shared" si="9"/>
        <v>0</v>
      </c>
      <c r="J270" s="6">
        <f>I270/$I$25</f>
        <v>0</v>
      </c>
    </row>
    <row r="271" spans="1:10" x14ac:dyDescent="0.2">
      <c r="A271" s="17">
        <v>2</v>
      </c>
      <c r="B271" s="9">
        <v>3</v>
      </c>
      <c r="C271" s="9">
        <v>6</v>
      </c>
      <c r="D271" s="9">
        <v>2</v>
      </c>
      <c r="E271" s="24" t="s">
        <v>104</v>
      </c>
      <c r="F271" s="10" t="s">
        <v>22</v>
      </c>
      <c r="G271" s="7">
        <f>'CUENTA T FONDO 100'!EO97</f>
        <v>0</v>
      </c>
      <c r="H271" s="7">
        <f>'CUENTA T VS'!EO75</f>
        <v>0</v>
      </c>
      <c r="I271" s="7">
        <f t="shared" si="9"/>
        <v>0</v>
      </c>
      <c r="J271" s="6">
        <f>I271/$I$25</f>
        <v>0</v>
      </c>
    </row>
    <row r="272" spans="1:10" x14ac:dyDescent="0.2">
      <c r="A272" s="18">
        <v>2</v>
      </c>
      <c r="B272" s="15">
        <v>3</v>
      </c>
      <c r="C272" s="15">
        <v>6</v>
      </c>
      <c r="D272" s="15">
        <v>3</v>
      </c>
      <c r="E272" s="15"/>
      <c r="F272" s="16" t="s">
        <v>21</v>
      </c>
      <c r="G272" s="12">
        <f>SUM(G273:G275)</f>
        <v>0</v>
      </c>
      <c r="H272" s="12">
        <f>SUM(H273:H275)</f>
        <v>0</v>
      </c>
      <c r="I272" s="12">
        <f t="shared" si="9"/>
        <v>0</v>
      </c>
      <c r="J272" s="11"/>
    </row>
    <row r="273" spans="1:10" x14ac:dyDescent="0.2">
      <c r="A273" s="17">
        <v>2</v>
      </c>
      <c r="B273" s="9">
        <v>3</v>
      </c>
      <c r="C273" s="9">
        <v>6</v>
      </c>
      <c r="D273" s="9">
        <v>3</v>
      </c>
      <c r="E273" s="24" t="s">
        <v>172</v>
      </c>
      <c r="F273" s="33" t="s">
        <v>20</v>
      </c>
      <c r="G273" s="7">
        <f>'CUENTA T FONDO 100'!EP97</f>
        <v>0</v>
      </c>
      <c r="H273" s="7">
        <f>'CUENTA T VS'!EP75</f>
        <v>0</v>
      </c>
      <c r="I273" s="7">
        <f t="shared" si="9"/>
        <v>0</v>
      </c>
      <c r="J273" s="6">
        <f>I273/$I$25</f>
        <v>0</v>
      </c>
    </row>
    <row r="274" spans="1:10" x14ac:dyDescent="0.2">
      <c r="A274" s="17">
        <v>2</v>
      </c>
      <c r="B274" s="9">
        <v>3</v>
      </c>
      <c r="C274" s="9">
        <v>6</v>
      </c>
      <c r="D274" s="9">
        <v>3</v>
      </c>
      <c r="E274" s="24" t="s">
        <v>170</v>
      </c>
      <c r="F274" s="10" t="s">
        <v>19</v>
      </c>
      <c r="G274" s="7">
        <f>'CUENTA T FONDO 100'!EQ97</f>
        <v>0</v>
      </c>
      <c r="H274" s="7">
        <f>'CUENTA T VS'!EQ75</f>
        <v>0</v>
      </c>
      <c r="I274" s="7">
        <f t="shared" si="9"/>
        <v>0</v>
      </c>
      <c r="J274" s="6">
        <f>I274/$I$25</f>
        <v>0</v>
      </c>
    </row>
    <row r="275" spans="1:10" x14ac:dyDescent="0.2">
      <c r="A275" s="17">
        <v>2</v>
      </c>
      <c r="B275" s="9">
        <v>3</v>
      </c>
      <c r="C275" s="9">
        <v>6</v>
      </c>
      <c r="D275" s="9">
        <v>3</v>
      </c>
      <c r="E275" s="24" t="s">
        <v>61</v>
      </c>
      <c r="F275" s="10" t="s">
        <v>18</v>
      </c>
      <c r="G275" s="7">
        <f>'CUENTA T FONDO 100'!ER97</f>
        <v>0</v>
      </c>
      <c r="H275" s="7">
        <f>'CUENTA T VS'!ER75</f>
        <v>0</v>
      </c>
      <c r="I275" s="7">
        <f t="shared" si="9"/>
        <v>0</v>
      </c>
      <c r="J275" s="6">
        <f>I275/$I$25</f>
        <v>0</v>
      </c>
    </row>
    <row r="276" spans="1:10" x14ac:dyDescent="0.2">
      <c r="A276" s="18">
        <v>2</v>
      </c>
      <c r="B276" s="15">
        <v>3</v>
      </c>
      <c r="C276" s="15">
        <v>6</v>
      </c>
      <c r="D276" s="15">
        <v>4</v>
      </c>
      <c r="E276" s="15"/>
      <c r="F276" s="16" t="s">
        <v>17</v>
      </c>
      <c r="G276" s="12">
        <f>SUM(G277:G283)</f>
        <v>0</v>
      </c>
      <c r="H276" s="12">
        <f>SUM(H277:H283)</f>
        <v>0</v>
      </c>
      <c r="I276" s="12">
        <f t="shared" si="9"/>
        <v>0</v>
      </c>
      <c r="J276" s="11"/>
    </row>
    <row r="277" spans="1:10" x14ac:dyDescent="0.2">
      <c r="A277" s="17">
        <v>2</v>
      </c>
      <c r="B277" s="9">
        <v>3</v>
      </c>
      <c r="C277" s="9">
        <v>6</v>
      </c>
      <c r="D277" s="9">
        <v>4</v>
      </c>
      <c r="E277" s="24" t="s">
        <v>44</v>
      </c>
      <c r="F277" s="10" t="s">
        <v>16</v>
      </c>
      <c r="G277" s="7">
        <f>'CUENTA T FONDO 100'!ES97</f>
        <v>0</v>
      </c>
      <c r="H277" s="7">
        <f>'CUENTA T VS'!ES75</f>
        <v>0</v>
      </c>
      <c r="I277" s="7">
        <f t="shared" si="9"/>
        <v>0</v>
      </c>
      <c r="J277" s="6">
        <f t="shared" ref="J277:J283" si="10">I277/$I$25</f>
        <v>0</v>
      </c>
    </row>
    <row r="278" spans="1:10" x14ac:dyDescent="0.2">
      <c r="A278" s="17">
        <v>2</v>
      </c>
      <c r="B278" s="9">
        <v>3</v>
      </c>
      <c r="C278" s="9">
        <v>6</v>
      </c>
      <c r="D278" s="9">
        <v>4</v>
      </c>
      <c r="E278" s="24" t="s">
        <v>43</v>
      </c>
      <c r="F278" s="10" t="s">
        <v>199</v>
      </c>
      <c r="G278" s="7">
        <f>'CUENTA T FONDO 100'!ET97</f>
        <v>0</v>
      </c>
      <c r="H278" s="7">
        <f>'CUENTA T VS'!ET75</f>
        <v>0</v>
      </c>
      <c r="I278" s="7">
        <f t="shared" si="9"/>
        <v>0</v>
      </c>
      <c r="J278" s="6">
        <f t="shared" si="10"/>
        <v>0</v>
      </c>
    </row>
    <row r="279" spans="1:10" x14ac:dyDescent="0.2">
      <c r="A279" s="17">
        <v>2</v>
      </c>
      <c r="B279" s="9">
        <v>3</v>
      </c>
      <c r="C279" s="9">
        <v>6</v>
      </c>
      <c r="D279" s="9">
        <v>4</v>
      </c>
      <c r="E279" s="24" t="s">
        <v>104</v>
      </c>
      <c r="F279" s="10" t="s">
        <v>15</v>
      </c>
      <c r="G279" s="7">
        <f>'CUENTA T FONDO 100'!EU97</f>
        <v>0</v>
      </c>
      <c r="H279" s="7">
        <f>'CUENTA T VS'!EU75</f>
        <v>0</v>
      </c>
      <c r="I279" s="7">
        <f t="shared" si="9"/>
        <v>0</v>
      </c>
      <c r="J279" s="6">
        <f t="shared" si="10"/>
        <v>0</v>
      </c>
    </row>
    <row r="280" spans="1:10" x14ac:dyDescent="0.2">
      <c r="A280" s="17">
        <v>2</v>
      </c>
      <c r="B280" s="9">
        <v>3</v>
      </c>
      <c r="C280" s="9">
        <v>6</v>
      </c>
      <c r="D280" s="9">
        <v>4</v>
      </c>
      <c r="E280" s="24" t="s">
        <v>172</v>
      </c>
      <c r="F280" s="10" t="s">
        <v>198</v>
      </c>
      <c r="G280" s="7">
        <f>'CUENTA T FONDO 100'!EV97</f>
        <v>0</v>
      </c>
      <c r="H280" s="7">
        <f>'CUENTA T VS'!EV75</f>
        <v>0</v>
      </c>
      <c r="I280" s="7">
        <f t="shared" si="9"/>
        <v>0</v>
      </c>
      <c r="J280" s="6">
        <f t="shared" si="10"/>
        <v>0</v>
      </c>
    </row>
    <row r="281" spans="1:10" x14ac:dyDescent="0.2">
      <c r="A281" s="17">
        <v>2</v>
      </c>
      <c r="B281" s="9">
        <v>3</v>
      </c>
      <c r="C281" s="9">
        <v>6</v>
      </c>
      <c r="D281" s="9">
        <v>4</v>
      </c>
      <c r="E281" s="24" t="s">
        <v>170</v>
      </c>
      <c r="F281" s="10" t="s">
        <v>197</v>
      </c>
      <c r="G281" s="7">
        <f>'CUENTA T FONDO 100'!EW97</f>
        <v>0</v>
      </c>
      <c r="H281" s="7">
        <f>'CUENTA T VS'!EW75</f>
        <v>0</v>
      </c>
      <c r="I281" s="7">
        <f t="shared" ref="I281:I344" si="11">SUM(G281:H281)</f>
        <v>0</v>
      </c>
      <c r="J281" s="6">
        <f t="shared" si="10"/>
        <v>0</v>
      </c>
    </row>
    <row r="282" spans="1:10" x14ac:dyDescent="0.2">
      <c r="A282" s="17">
        <v>2</v>
      </c>
      <c r="B282" s="9">
        <v>3</v>
      </c>
      <c r="C282" s="9">
        <v>6</v>
      </c>
      <c r="D282" s="9">
        <v>4</v>
      </c>
      <c r="E282" s="24" t="s">
        <v>61</v>
      </c>
      <c r="F282" s="10" t="s">
        <v>196</v>
      </c>
      <c r="G282" s="7">
        <f>'CUENTA T FONDO 100'!EX97</f>
        <v>0</v>
      </c>
      <c r="H282" s="7">
        <f>'CUENTA T VS'!EX75</f>
        <v>0</v>
      </c>
      <c r="I282" s="7">
        <f t="shared" si="11"/>
        <v>0</v>
      </c>
      <c r="J282" s="6">
        <f t="shared" si="10"/>
        <v>0</v>
      </c>
    </row>
    <row r="283" spans="1:10" x14ac:dyDescent="0.2">
      <c r="A283" s="17">
        <v>2</v>
      </c>
      <c r="B283" s="9">
        <v>3</v>
      </c>
      <c r="C283" s="9">
        <v>6</v>
      </c>
      <c r="D283" s="9">
        <v>4</v>
      </c>
      <c r="E283" s="24" t="s">
        <v>60</v>
      </c>
      <c r="F283" s="10" t="s">
        <v>14</v>
      </c>
      <c r="G283" s="7">
        <f>'CUENTA T FONDO 100'!EY97</f>
        <v>0</v>
      </c>
      <c r="H283" s="7">
        <f>'CUENTA T VS'!EY75</f>
        <v>0</v>
      </c>
      <c r="I283" s="7">
        <f t="shared" si="11"/>
        <v>0</v>
      </c>
      <c r="J283" s="6">
        <f t="shared" si="10"/>
        <v>0</v>
      </c>
    </row>
    <row r="284" spans="1:10" x14ac:dyDescent="0.2">
      <c r="A284" s="18">
        <v>2</v>
      </c>
      <c r="B284" s="15">
        <v>3</v>
      </c>
      <c r="C284" s="15">
        <v>6</v>
      </c>
      <c r="D284" s="15">
        <v>9</v>
      </c>
      <c r="E284" s="15"/>
      <c r="F284" s="16" t="s">
        <v>195</v>
      </c>
      <c r="G284" s="12">
        <f>SUM(G285)</f>
        <v>0</v>
      </c>
      <c r="H284" s="12">
        <f>SUM(H285)</f>
        <v>0</v>
      </c>
      <c r="I284" s="12">
        <f t="shared" si="11"/>
        <v>0</v>
      </c>
      <c r="J284" s="11"/>
    </row>
    <row r="285" spans="1:10" x14ac:dyDescent="0.2">
      <c r="A285" s="17">
        <v>2</v>
      </c>
      <c r="B285" s="9">
        <v>3</v>
      </c>
      <c r="C285" s="9">
        <v>6</v>
      </c>
      <c r="D285" s="9">
        <v>9</v>
      </c>
      <c r="E285" s="24" t="s">
        <v>44</v>
      </c>
      <c r="F285" s="10" t="s">
        <v>402</v>
      </c>
      <c r="G285" s="7">
        <f>'CUENTA T FONDO 100'!EZ97</f>
        <v>0</v>
      </c>
      <c r="H285" s="7">
        <f>'CUENTA T VS'!EZ75</f>
        <v>0</v>
      </c>
      <c r="I285" s="7">
        <f t="shared" si="11"/>
        <v>0</v>
      </c>
      <c r="J285" s="6">
        <f>I285/$I$25</f>
        <v>0</v>
      </c>
    </row>
    <row r="286" spans="1:10" ht="25.5" x14ac:dyDescent="0.2">
      <c r="A286" s="30">
        <v>2</v>
      </c>
      <c r="B286" s="22">
        <v>3</v>
      </c>
      <c r="C286" s="22">
        <v>7</v>
      </c>
      <c r="D286" s="22"/>
      <c r="E286" s="22"/>
      <c r="F286" s="35" t="s">
        <v>194</v>
      </c>
      <c r="G286" s="20">
        <f>G287+G295</f>
        <v>1971730.37</v>
      </c>
      <c r="H286" s="20">
        <f>H287+H295</f>
        <v>334749.59999999998</v>
      </c>
      <c r="I286" s="20">
        <f t="shared" si="11"/>
        <v>2306479.9700000002</v>
      </c>
      <c r="J286" s="19"/>
    </row>
    <row r="287" spans="1:10" x14ac:dyDescent="0.2">
      <c r="A287" s="18">
        <v>2</v>
      </c>
      <c r="B287" s="15">
        <v>3</v>
      </c>
      <c r="C287" s="15">
        <v>7</v>
      </c>
      <c r="D287" s="15">
        <v>1</v>
      </c>
      <c r="E287" s="15"/>
      <c r="F287" s="16" t="s">
        <v>13</v>
      </c>
      <c r="G287" s="12">
        <f>SUM(G288:G294)</f>
        <v>0</v>
      </c>
      <c r="H287" s="12">
        <f>SUM(H288:H294)</f>
        <v>193952</v>
      </c>
      <c r="I287" s="12">
        <f t="shared" si="11"/>
        <v>193952</v>
      </c>
      <c r="J287" s="11"/>
    </row>
    <row r="288" spans="1:10" x14ac:dyDescent="0.2">
      <c r="A288" s="17">
        <v>2</v>
      </c>
      <c r="B288" s="9">
        <v>3</v>
      </c>
      <c r="C288" s="9">
        <v>7</v>
      </c>
      <c r="D288" s="9">
        <v>1</v>
      </c>
      <c r="E288" s="24" t="s">
        <v>44</v>
      </c>
      <c r="F288" s="10" t="s">
        <v>12</v>
      </c>
      <c r="G288" s="7">
        <f>'CUENTA T FONDO 100'!FA97</f>
        <v>0</v>
      </c>
      <c r="H288" s="7">
        <f>'CUENTA T VS'!FA75</f>
        <v>172000</v>
      </c>
      <c r="I288" s="7">
        <f t="shared" si="11"/>
        <v>172000</v>
      </c>
      <c r="J288" s="6">
        <f t="shared" ref="J288:J294" si="12">I288/$I$25</f>
        <v>1.0458794533328903E-3</v>
      </c>
    </row>
    <row r="289" spans="1:10" x14ac:dyDescent="0.2">
      <c r="A289" s="17">
        <v>2</v>
      </c>
      <c r="B289" s="9">
        <v>3</v>
      </c>
      <c r="C289" s="9">
        <v>7</v>
      </c>
      <c r="D289" s="9">
        <v>1</v>
      </c>
      <c r="E289" s="24" t="s">
        <v>43</v>
      </c>
      <c r="F289" s="10" t="s">
        <v>11</v>
      </c>
      <c r="G289" s="7">
        <f>'CUENTA T FONDO 100'!FB97</f>
        <v>0</v>
      </c>
      <c r="H289" s="7">
        <f>'CUENTA T VS'!FB75</f>
        <v>0</v>
      </c>
      <c r="I289" s="7">
        <f t="shared" si="11"/>
        <v>0</v>
      </c>
      <c r="J289" s="6">
        <f t="shared" si="12"/>
        <v>0</v>
      </c>
    </row>
    <row r="290" spans="1:10" x14ac:dyDescent="0.2">
      <c r="A290" s="17">
        <v>2</v>
      </c>
      <c r="B290" s="9">
        <v>3</v>
      </c>
      <c r="C290" s="9">
        <v>7</v>
      </c>
      <c r="D290" s="9">
        <v>1</v>
      </c>
      <c r="E290" s="24" t="s">
        <v>104</v>
      </c>
      <c r="F290" s="10" t="s">
        <v>193</v>
      </c>
      <c r="G290" s="7">
        <f>'CUENTA T FONDO 100'!FC97</f>
        <v>0</v>
      </c>
      <c r="H290" s="7">
        <f>'CUENTA T VS'!FC75</f>
        <v>0</v>
      </c>
      <c r="I290" s="7">
        <f t="shared" si="11"/>
        <v>0</v>
      </c>
      <c r="J290" s="6">
        <f t="shared" si="12"/>
        <v>0</v>
      </c>
    </row>
    <row r="291" spans="1:10" x14ac:dyDescent="0.2">
      <c r="A291" s="17">
        <v>2</v>
      </c>
      <c r="B291" s="9">
        <v>3</v>
      </c>
      <c r="C291" s="9">
        <v>7</v>
      </c>
      <c r="D291" s="9">
        <v>1</v>
      </c>
      <c r="E291" s="24" t="s">
        <v>172</v>
      </c>
      <c r="F291" s="10" t="s">
        <v>10</v>
      </c>
      <c r="G291" s="7">
        <f>'CUENTA T FONDO 100'!FD97</f>
        <v>0</v>
      </c>
      <c r="H291" s="7">
        <f>'CUENTA T VS'!FD75</f>
        <v>21952</v>
      </c>
      <c r="I291" s="7">
        <f t="shared" si="11"/>
        <v>21952</v>
      </c>
      <c r="J291" s="6">
        <f t="shared" si="12"/>
        <v>1.3348340557885817E-4</v>
      </c>
    </row>
    <row r="292" spans="1:10" x14ac:dyDescent="0.2">
      <c r="A292" s="17">
        <v>2</v>
      </c>
      <c r="B292" s="9">
        <v>3</v>
      </c>
      <c r="C292" s="9">
        <v>7</v>
      </c>
      <c r="D292" s="9">
        <v>1</v>
      </c>
      <c r="E292" s="24" t="s">
        <v>170</v>
      </c>
      <c r="F292" s="10" t="s">
        <v>192</v>
      </c>
      <c r="G292" s="7">
        <f>'CUENTA T FONDO 100'!FE97</f>
        <v>0</v>
      </c>
      <c r="H292" s="7">
        <f>'CUENTA T VS'!FE75</f>
        <v>0</v>
      </c>
      <c r="I292" s="7">
        <f t="shared" si="11"/>
        <v>0</v>
      </c>
      <c r="J292" s="6">
        <f t="shared" si="12"/>
        <v>0</v>
      </c>
    </row>
    <row r="293" spans="1:10" x14ac:dyDescent="0.2">
      <c r="A293" s="17">
        <v>2</v>
      </c>
      <c r="B293" s="9">
        <v>3</v>
      </c>
      <c r="C293" s="9">
        <v>7</v>
      </c>
      <c r="D293" s="9">
        <v>1</v>
      </c>
      <c r="E293" s="24" t="s">
        <v>61</v>
      </c>
      <c r="F293" s="10" t="s">
        <v>9</v>
      </c>
      <c r="G293" s="7">
        <f>'CUENTA T FONDO 100'!FF97</f>
        <v>0</v>
      </c>
      <c r="H293" s="7">
        <f>'CUENTA T VS'!FF75</f>
        <v>0</v>
      </c>
      <c r="I293" s="7">
        <f t="shared" si="11"/>
        <v>0</v>
      </c>
      <c r="J293" s="6">
        <f t="shared" si="12"/>
        <v>0</v>
      </c>
    </row>
    <row r="294" spans="1:10" x14ac:dyDescent="0.2">
      <c r="A294" s="17">
        <v>2</v>
      </c>
      <c r="B294" s="9">
        <v>3</v>
      </c>
      <c r="C294" s="9">
        <v>7</v>
      </c>
      <c r="D294" s="9">
        <v>1</v>
      </c>
      <c r="E294" s="24" t="s">
        <v>60</v>
      </c>
      <c r="F294" s="10" t="s">
        <v>191</v>
      </c>
      <c r="G294" s="7">
        <f>'CUENTA T FONDO 100'!FG97</f>
        <v>0</v>
      </c>
      <c r="H294" s="7">
        <f>'CUENTA T VS'!FG75</f>
        <v>0</v>
      </c>
      <c r="I294" s="7">
        <f t="shared" si="11"/>
        <v>0</v>
      </c>
      <c r="J294" s="6">
        <f t="shared" si="12"/>
        <v>0</v>
      </c>
    </row>
    <row r="295" spans="1:10" x14ac:dyDescent="0.2">
      <c r="A295" s="18">
        <v>2</v>
      </c>
      <c r="B295" s="15">
        <v>3</v>
      </c>
      <c r="C295" s="15">
        <v>7</v>
      </c>
      <c r="D295" s="15">
        <v>2</v>
      </c>
      <c r="E295" s="15"/>
      <c r="F295" s="16" t="s">
        <v>8</v>
      </c>
      <c r="G295" s="12">
        <f>SUM(G296:G302)</f>
        <v>1971730.37</v>
      </c>
      <c r="H295" s="12">
        <f>SUM(H296:H302)</f>
        <v>140797.6</v>
      </c>
      <c r="I295" s="12">
        <f t="shared" si="11"/>
        <v>2112527.9700000002</v>
      </c>
      <c r="J295" s="11"/>
    </row>
    <row r="296" spans="1:10" x14ac:dyDescent="0.2">
      <c r="A296" s="17">
        <v>2</v>
      </c>
      <c r="B296" s="9">
        <v>3</v>
      </c>
      <c r="C296" s="9">
        <v>7</v>
      </c>
      <c r="D296" s="9">
        <v>2</v>
      </c>
      <c r="E296" s="24" t="s">
        <v>44</v>
      </c>
      <c r="F296" s="10" t="s">
        <v>190</v>
      </c>
      <c r="G296" s="7">
        <f>'CUENTA T FONDO 100'!FH97</f>
        <v>0</v>
      </c>
      <c r="H296" s="7">
        <f>'CUENTA T VS'!FH75</f>
        <v>0</v>
      </c>
      <c r="I296" s="7">
        <f t="shared" si="11"/>
        <v>0</v>
      </c>
      <c r="J296" s="6">
        <f t="shared" ref="J296:J302" si="13">I296/$I$25</f>
        <v>0</v>
      </c>
    </row>
    <row r="297" spans="1:10" x14ac:dyDescent="0.2">
      <c r="A297" s="17">
        <v>2</v>
      </c>
      <c r="B297" s="9">
        <v>3</v>
      </c>
      <c r="C297" s="9">
        <v>7</v>
      </c>
      <c r="D297" s="9">
        <v>2</v>
      </c>
      <c r="E297" s="24" t="s">
        <v>43</v>
      </c>
      <c r="F297" s="10" t="s">
        <v>189</v>
      </c>
      <c r="G297" s="7">
        <f>'CUENTA T FONDO 100'!FI97</f>
        <v>0</v>
      </c>
      <c r="H297" s="7">
        <f>'CUENTA T VS'!FI75</f>
        <v>0</v>
      </c>
      <c r="I297" s="7">
        <f t="shared" si="11"/>
        <v>0</v>
      </c>
      <c r="J297" s="6">
        <f t="shared" si="13"/>
        <v>0</v>
      </c>
    </row>
    <row r="298" spans="1:10" x14ac:dyDescent="0.2">
      <c r="A298" s="17">
        <v>2</v>
      </c>
      <c r="B298" s="9">
        <v>3</v>
      </c>
      <c r="C298" s="9">
        <v>7</v>
      </c>
      <c r="D298" s="9">
        <v>2</v>
      </c>
      <c r="E298" s="24" t="s">
        <v>104</v>
      </c>
      <c r="F298" s="10" t="s">
        <v>381</v>
      </c>
      <c r="G298" s="7">
        <f>'CUENTA T FONDO 100'!FJ97</f>
        <v>1971730.37</v>
      </c>
      <c r="H298" s="7">
        <f>'CUENTA T VS'!FJ75</f>
        <v>0</v>
      </c>
      <c r="I298" s="7">
        <f t="shared" si="11"/>
        <v>1971730.37</v>
      </c>
      <c r="J298" s="6">
        <f t="shared" si="13"/>
        <v>1.1989490008694521E-2</v>
      </c>
    </row>
    <row r="299" spans="1:10" x14ac:dyDescent="0.2">
      <c r="A299" s="17">
        <v>2</v>
      </c>
      <c r="B299" s="9">
        <v>3</v>
      </c>
      <c r="C299" s="9">
        <v>7</v>
      </c>
      <c r="D299" s="9">
        <v>2</v>
      </c>
      <c r="E299" s="24" t="s">
        <v>172</v>
      </c>
      <c r="F299" s="10" t="s">
        <v>188</v>
      </c>
      <c r="G299" s="7">
        <f>'CUENTA T FONDO 100'!FK97</f>
        <v>0</v>
      </c>
      <c r="H299" s="7">
        <f>'CUENTA T VS'!FK75</f>
        <v>0</v>
      </c>
      <c r="I299" s="7">
        <f t="shared" si="11"/>
        <v>0</v>
      </c>
      <c r="J299" s="6">
        <f t="shared" si="13"/>
        <v>0</v>
      </c>
    </row>
    <row r="300" spans="1:10" x14ac:dyDescent="0.2">
      <c r="A300" s="17">
        <v>2</v>
      </c>
      <c r="B300" s="9">
        <v>3</v>
      </c>
      <c r="C300" s="9">
        <v>7</v>
      </c>
      <c r="D300" s="9">
        <v>2</v>
      </c>
      <c r="E300" s="24" t="s">
        <v>170</v>
      </c>
      <c r="F300" s="10" t="s">
        <v>187</v>
      </c>
      <c r="G300" s="7">
        <f>'CUENTA T FONDO 100'!FL97</f>
        <v>0</v>
      </c>
      <c r="H300" s="7">
        <f>'CUENTA T VS'!FL75</f>
        <v>0</v>
      </c>
      <c r="I300" s="7">
        <f t="shared" si="11"/>
        <v>0</v>
      </c>
      <c r="J300" s="6">
        <f t="shared" si="13"/>
        <v>0</v>
      </c>
    </row>
    <row r="301" spans="1:10" ht="25.5" x14ac:dyDescent="0.2">
      <c r="A301" s="10">
        <v>2</v>
      </c>
      <c r="B301" s="9">
        <v>3</v>
      </c>
      <c r="C301" s="9">
        <v>7</v>
      </c>
      <c r="D301" s="9">
        <v>2</v>
      </c>
      <c r="E301" s="24" t="s">
        <v>61</v>
      </c>
      <c r="F301" s="36" t="s">
        <v>186</v>
      </c>
      <c r="G301" s="7">
        <f>'CUENTA T FONDO 100'!FM97</f>
        <v>0</v>
      </c>
      <c r="H301" s="7">
        <f>'CUENTA T VS'!FM75</f>
        <v>0</v>
      </c>
      <c r="I301" s="7">
        <f t="shared" si="11"/>
        <v>0</v>
      </c>
      <c r="J301" s="6">
        <f t="shared" si="13"/>
        <v>0</v>
      </c>
    </row>
    <row r="302" spans="1:10" x14ac:dyDescent="0.2">
      <c r="A302" s="10">
        <v>2</v>
      </c>
      <c r="B302" s="9">
        <v>3</v>
      </c>
      <c r="C302" s="9">
        <v>7</v>
      </c>
      <c r="D302" s="9">
        <v>2</v>
      </c>
      <c r="E302" s="24">
        <v>99</v>
      </c>
      <c r="F302" s="36" t="s">
        <v>6</v>
      </c>
      <c r="G302" s="7">
        <f>'CUENTA T FONDO 100'!FN97</f>
        <v>0</v>
      </c>
      <c r="H302" s="7">
        <f>'CUENTA T VS'!FN75</f>
        <v>140797.6</v>
      </c>
      <c r="I302" s="7">
        <f t="shared" si="11"/>
        <v>140797.6</v>
      </c>
      <c r="J302" s="6">
        <f t="shared" si="13"/>
        <v>8.5614719138711018E-4</v>
      </c>
    </row>
    <row r="303" spans="1:10" ht="25.5" x14ac:dyDescent="0.2">
      <c r="A303" s="30">
        <v>2</v>
      </c>
      <c r="B303" s="22">
        <v>3</v>
      </c>
      <c r="C303" s="22">
        <v>8</v>
      </c>
      <c r="D303" s="22"/>
      <c r="E303" s="22"/>
      <c r="F303" s="35" t="s">
        <v>185</v>
      </c>
      <c r="G303" s="20">
        <f>+G304+G306</f>
        <v>0</v>
      </c>
      <c r="H303" s="20">
        <f>+H304+H306</f>
        <v>0</v>
      </c>
      <c r="I303" s="20">
        <f t="shared" si="11"/>
        <v>0</v>
      </c>
      <c r="J303" s="19"/>
    </row>
    <row r="304" spans="1:10" x14ac:dyDescent="0.2">
      <c r="A304" s="16">
        <v>2</v>
      </c>
      <c r="B304" s="15">
        <v>3</v>
      </c>
      <c r="C304" s="15">
        <v>8</v>
      </c>
      <c r="D304" s="15">
        <v>1</v>
      </c>
      <c r="E304" s="15"/>
      <c r="F304" s="16" t="s">
        <v>184</v>
      </c>
      <c r="G304" s="12">
        <f>SUM(G305)</f>
        <v>0</v>
      </c>
      <c r="H304" s="12">
        <f>SUM(H305)</f>
        <v>0</v>
      </c>
      <c r="I304" s="12">
        <f t="shared" si="11"/>
        <v>0</v>
      </c>
      <c r="J304" s="11"/>
    </row>
    <row r="305" spans="1:10" x14ac:dyDescent="0.2">
      <c r="A305" s="10">
        <v>2</v>
      </c>
      <c r="B305" s="9">
        <v>3</v>
      </c>
      <c r="C305" s="9">
        <v>8</v>
      </c>
      <c r="D305" s="9">
        <v>1</v>
      </c>
      <c r="E305" s="24" t="s">
        <v>44</v>
      </c>
      <c r="F305" s="10" t="s">
        <v>184</v>
      </c>
      <c r="G305" s="7">
        <f>'CUENTA T FONDO 100'!FO97</f>
        <v>0</v>
      </c>
      <c r="H305" s="7">
        <f>'CUENTA T VS'!FO75</f>
        <v>0</v>
      </c>
      <c r="I305" s="7">
        <f t="shared" si="11"/>
        <v>0</v>
      </c>
      <c r="J305" s="6">
        <f>I305/$I$25</f>
        <v>0</v>
      </c>
    </row>
    <row r="306" spans="1:10" ht="25.5" x14ac:dyDescent="0.2">
      <c r="A306" s="16">
        <v>2</v>
      </c>
      <c r="B306" s="15">
        <v>3</v>
      </c>
      <c r="C306" s="15">
        <v>8</v>
      </c>
      <c r="D306" s="15">
        <v>2</v>
      </c>
      <c r="E306" s="15"/>
      <c r="F306" s="34" t="s">
        <v>183</v>
      </c>
      <c r="G306" s="12">
        <f>SUM(G307)</f>
        <v>0</v>
      </c>
      <c r="H306" s="12">
        <f>SUM(H307)</f>
        <v>0</v>
      </c>
      <c r="I306" s="12">
        <f t="shared" si="11"/>
        <v>0</v>
      </c>
      <c r="J306" s="11"/>
    </row>
    <row r="307" spans="1:10" ht="25.5" x14ac:dyDescent="0.2">
      <c r="A307" s="10">
        <v>2</v>
      </c>
      <c r="B307" s="9">
        <v>3</v>
      </c>
      <c r="C307" s="9">
        <v>8</v>
      </c>
      <c r="D307" s="9">
        <v>2</v>
      </c>
      <c r="E307" s="24" t="s">
        <v>44</v>
      </c>
      <c r="F307" s="33" t="s">
        <v>183</v>
      </c>
      <c r="G307" s="7">
        <f>'CUENTA T FONDO 100'!FP97</f>
        <v>0</v>
      </c>
      <c r="H307" s="7">
        <f>'CUENTA T VS'!FP75</f>
        <v>0</v>
      </c>
      <c r="I307" s="7">
        <f t="shared" si="11"/>
        <v>0</v>
      </c>
      <c r="J307" s="6">
        <f>I307/$I$25</f>
        <v>0</v>
      </c>
    </row>
    <row r="308" spans="1:10" x14ac:dyDescent="0.2">
      <c r="A308" s="30">
        <v>2</v>
      </c>
      <c r="B308" s="22">
        <v>3</v>
      </c>
      <c r="C308" s="22">
        <v>9</v>
      </c>
      <c r="D308" s="22"/>
      <c r="E308" s="22"/>
      <c r="F308" s="30" t="s">
        <v>182</v>
      </c>
      <c r="G308" s="20">
        <f>+G309+G312+G314+G316+G318+G320+G322+G324+G327</f>
        <v>5709792.1199999992</v>
      </c>
      <c r="H308" s="20">
        <f>+H309+H312+H314+H316+H318+H320+H322+H324+H327</f>
        <v>1003389.35</v>
      </c>
      <c r="I308" s="20">
        <f t="shared" si="11"/>
        <v>6713181.4699999988</v>
      </c>
      <c r="J308" s="19"/>
    </row>
    <row r="309" spans="1:10" x14ac:dyDescent="0.2">
      <c r="A309" s="18">
        <v>2</v>
      </c>
      <c r="B309" s="15">
        <v>3</v>
      </c>
      <c r="C309" s="15">
        <v>9</v>
      </c>
      <c r="D309" s="15">
        <v>1</v>
      </c>
      <c r="E309" s="15"/>
      <c r="F309" s="16" t="s">
        <v>5</v>
      </c>
      <c r="G309" s="12">
        <f>SUM(G310:G311)</f>
        <v>1373621</v>
      </c>
      <c r="H309" s="12">
        <f>SUM(H310:H311)</f>
        <v>420561</v>
      </c>
      <c r="I309" s="12">
        <f t="shared" si="11"/>
        <v>1794182</v>
      </c>
      <c r="J309" s="11"/>
    </row>
    <row r="310" spans="1:10" x14ac:dyDescent="0.2">
      <c r="A310" s="17">
        <v>2</v>
      </c>
      <c r="B310" s="9">
        <v>3</v>
      </c>
      <c r="C310" s="9">
        <v>9</v>
      </c>
      <c r="D310" s="9">
        <v>1</v>
      </c>
      <c r="E310" s="24" t="s">
        <v>44</v>
      </c>
      <c r="F310" s="10" t="s">
        <v>403</v>
      </c>
      <c r="G310" s="7">
        <f>'CUENTA T FONDO 100'!FQ97</f>
        <v>1373621</v>
      </c>
      <c r="H310" s="7">
        <f>'CUENTA T VS'!FQ75</f>
        <v>420561</v>
      </c>
      <c r="I310" s="7">
        <f t="shared" si="11"/>
        <v>1794182</v>
      </c>
      <c r="J310" s="6">
        <f>I310/$I$25</f>
        <v>1.0909872612440185E-2</v>
      </c>
    </row>
    <row r="311" spans="1:10" x14ac:dyDescent="0.2">
      <c r="A311" s="17">
        <v>2</v>
      </c>
      <c r="B311" s="9">
        <v>3</v>
      </c>
      <c r="C311" s="9">
        <v>9</v>
      </c>
      <c r="D311" s="9">
        <v>1</v>
      </c>
      <c r="E311" s="24" t="s">
        <v>43</v>
      </c>
      <c r="F311" s="10" t="s">
        <v>404</v>
      </c>
      <c r="G311" s="7">
        <f>'CUENTA T FONDO 100'!FR97</f>
        <v>0</v>
      </c>
      <c r="H311" s="7">
        <f>'CUENTA T VS'!FR75</f>
        <v>0</v>
      </c>
      <c r="I311" s="7">
        <f t="shared" si="11"/>
        <v>0</v>
      </c>
      <c r="J311" s="6">
        <f>I311/$I$25</f>
        <v>0</v>
      </c>
    </row>
    <row r="312" spans="1:10" x14ac:dyDescent="0.2">
      <c r="A312" s="18">
        <v>2</v>
      </c>
      <c r="B312" s="15">
        <v>3</v>
      </c>
      <c r="C312" s="15">
        <v>9</v>
      </c>
      <c r="D312" s="15">
        <v>2</v>
      </c>
      <c r="E312" s="15"/>
      <c r="F312" s="16" t="s">
        <v>406</v>
      </c>
      <c r="G312" s="12">
        <f>SUM(G313)</f>
        <v>225498</v>
      </c>
      <c r="H312" s="12">
        <f>SUM(H313)</f>
        <v>0</v>
      </c>
      <c r="I312" s="12">
        <f t="shared" si="11"/>
        <v>225498</v>
      </c>
      <c r="J312" s="11"/>
    </row>
    <row r="313" spans="1:10" x14ac:dyDescent="0.2">
      <c r="A313" s="17">
        <v>2</v>
      </c>
      <c r="B313" s="9">
        <v>3</v>
      </c>
      <c r="C313" s="9">
        <v>9</v>
      </c>
      <c r="D313" s="9">
        <v>2</v>
      </c>
      <c r="E313" s="24" t="s">
        <v>44</v>
      </c>
      <c r="F313" s="10" t="s">
        <v>405</v>
      </c>
      <c r="G313" s="7">
        <f>'CUENTA T FONDO 100'!FS97</f>
        <v>225498</v>
      </c>
      <c r="H313" s="7">
        <f>'CUENTA T VS'!FS75</f>
        <v>0</v>
      </c>
      <c r="I313" s="7">
        <f t="shared" si="11"/>
        <v>225498</v>
      </c>
      <c r="J313" s="6">
        <f>I313/$I$25</f>
        <v>1.3711844474863957E-3</v>
      </c>
    </row>
    <row r="314" spans="1:10" x14ac:dyDescent="0.2">
      <c r="A314" s="18">
        <v>2</v>
      </c>
      <c r="B314" s="15">
        <v>3</v>
      </c>
      <c r="C314" s="15">
        <v>9</v>
      </c>
      <c r="D314" s="15">
        <v>3</v>
      </c>
      <c r="E314" s="15"/>
      <c r="F314" s="16" t="s">
        <v>181</v>
      </c>
      <c r="G314" s="12">
        <f>SUM(G315)</f>
        <v>4028781.1199999996</v>
      </c>
      <c r="H314" s="12">
        <f>SUM(H315)</f>
        <v>64664</v>
      </c>
      <c r="I314" s="12">
        <f t="shared" si="11"/>
        <v>4093445.1199999996</v>
      </c>
      <c r="J314" s="11"/>
    </row>
    <row r="315" spans="1:10" x14ac:dyDescent="0.2">
      <c r="A315" s="17">
        <v>2</v>
      </c>
      <c r="B315" s="9">
        <v>3</v>
      </c>
      <c r="C315" s="9">
        <v>9</v>
      </c>
      <c r="D315" s="9">
        <v>3</v>
      </c>
      <c r="E315" s="24" t="s">
        <v>44</v>
      </c>
      <c r="F315" s="10" t="s">
        <v>181</v>
      </c>
      <c r="G315" s="7">
        <f>'CUENTA T FONDO 100'!FT97</f>
        <v>4028781.1199999996</v>
      </c>
      <c r="H315" s="7">
        <f>'CUENTA T VS'!FT75</f>
        <v>64664</v>
      </c>
      <c r="I315" s="7">
        <f t="shared" si="11"/>
        <v>4093445.1199999996</v>
      </c>
      <c r="J315" s="6">
        <f>I315/$I$25</f>
        <v>2.4890989211359228E-2</v>
      </c>
    </row>
    <row r="316" spans="1:10" x14ac:dyDescent="0.2">
      <c r="A316" s="18">
        <v>2</v>
      </c>
      <c r="B316" s="15">
        <v>3</v>
      </c>
      <c r="C316" s="15">
        <v>9</v>
      </c>
      <c r="D316" s="15">
        <v>4</v>
      </c>
      <c r="E316" s="15"/>
      <c r="F316" s="16" t="s">
        <v>180</v>
      </c>
      <c r="G316" s="12">
        <f>SUM(G317)</f>
        <v>0</v>
      </c>
      <c r="H316" s="12">
        <f>SUM(H317)</f>
        <v>0</v>
      </c>
      <c r="I316" s="12">
        <f t="shared" si="11"/>
        <v>0</v>
      </c>
      <c r="J316" s="11"/>
    </row>
    <row r="317" spans="1:10" x14ac:dyDescent="0.2">
      <c r="A317" s="17">
        <v>2</v>
      </c>
      <c r="B317" s="9">
        <v>3</v>
      </c>
      <c r="C317" s="9">
        <v>9</v>
      </c>
      <c r="D317" s="9">
        <v>4</v>
      </c>
      <c r="E317" s="24" t="s">
        <v>44</v>
      </c>
      <c r="F317" s="10" t="s">
        <v>180</v>
      </c>
      <c r="G317" s="7">
        <f>'CUENTA T FONDO 100'!FU97</f>
        <v>0</v>
      </c>
      <c r="H317" s="7">
        <f>'CUENTA T VS'!FU75</f>
        <v>0</v>
      </c>
      <c r="I317" s="7">
        <f t="shared" si="11"/>
        <v>0</v>
      </c>
      <c r="J317" s="6">
        <f>I317/$I$25</f>
        <v>0</v>
      </c>
    </row>
    <row r="318" spans="1:10" x14ac:dyDescent="0.2">
      <c r="A318" s="18">
        <v>2</v>
      </c>
      <c r="B318" s="15">
        <v>3</v>
      </c>
      <c r="C318" s="15">
        <v>9</v>
      </c>
      <c r="D318" s="15">
        <v>5</v>
      </c>
      <c r="E318" s="15"/>
      <c r="F318" s="16" t="s">
        <v>4</v>
      </c>
      <c r="G318" s="12">
        <f>SUM(G319)</f>
        <v>0</v>
      </c>
      <c r="H318" s="12">
        <f>SUM(H319)</f>
        <v>0</v>
      </c>
      <c r="I318" s="12">
        <f t="shared" si="11"/>
        <v>0</v>
      </c>
      <c r="J318" s="11"/>
    </row>
    <row r="319" spans="1:10" x14ac:dyDescent="0.2">
      <c r="A319" s="17">
        <v>2</v>
      </c>
      <c r="B319" s="9">
        <v>3</v>
      </c>
      <c r="C319" s="9">
        <v>9</v>
      </c>
      <c r="D319" s="9">
        <v>5</v>
      </c>
      <c r="E319" s="24" t="s">
        <v>44</v>
      </c>
      <c r="F319" s="10" t="s">
        <v>4</v>
      </c>
      <c r="G319" s="7">
        <f>'CUENTA T FONDO 100'!FV97</f>
        <v>0</v>
      </c>
      <c r="H319" s="7">
        <f>'CUENTA T VS'!FV75</f>
        <v>0</v>
      </c>
      <c r="I319" s="7">
        <f t="shared" si="11"/>
        <v>0</v>
      </c>
      <c r="J319" s="6">
        <f>I319/$I$25</f>
        <v>0</v>
      </c>
    </row>
    <row r="320" spans="1:10" x14ac:dyDescent="0.2">
      <c r="A320" s="18">
        <v>2</v>
      </c>
      <c r="B320" s="15">
        <v>3</v>
      </c>
      <c r="C320" s="15">
        <v>9</v>
      </c>
      <c r="D320" s="15">
        <v>6</v>
      </c>
      <c r="E320" s="15"/>
      <c r="F320" s="16" t="s">
        <v>3</v>
      </c>
      <c r="G320" s="12">
        <f>SUM(G321)</f>
        <v>0</v>
      </c>
      <c r="H320" s="12">
        <f>SUM(H321)</f>
        <v>41819.199999999997</v>
      </c>
      <c r="I320" s="12">
        <f t="shared" si="11"/>
        <v>41819.199999999997</v>
      </c>
      <c r="J320" s="11"/>
    </row>
    <row r="321" spans="1:10" x14ac:dyDescent="0.2">
      <c r="A321" s="17">
        <v>2</v>
      </c>
      <c r="B321" s="9">
        <v>3</v>
      </c>
      <c r="C321" s="9">
        <v>9</v>
      </c>
      <c r="D321" s="9">
        <v>6</v>
      </c>
      <c r="E321" s="24" t="s">
        <v>44</v>
      </c>
      <c r="F321" s="10" t="s">
        <v>3</v>
      </c>
      <c r="G321" s="7">
        <f>'CUENTA T FONDO 100'!FW97</f>
        <v>0</v>
      </c>
      <c r="H321" s="7">
        <f>'CUENTA T VS'!FW75</f>
        <v>41819.199999999997</v>
      </c>
      <c r="I321" s="7">
        <f t="shared" si="11"/>
        <v>41819.199999999997</v>
      </c>
      <c r="J321" s="6">
        <f>I321/$I$25</f>
        <v>2.5428977927220231E-4</v>
      </c>
    </row>
    <row r="322" spans="1:10" x14ac:dyDescent="0.2">
      <c r="A322" s="18">
        <v>2</v>
      </c>
      <c r="B322" s="15">
        <v>3</v>
      </c>
      <c r="C322" s="15">
        <v>9</v>
      </c>
      <c r="D322" s="15">
        <v>7</v>
      </c>
      <c r="E322" s="15"/>
      <c r="F322" s="16" t="s">
        <v>179</v>
      </c>
      <c r="G322" s="12">
        <f>SUM(G323)</f>
        <v>0</v>
      </c>
      <c r="H322" s="12">
        <f>SUM(H323)</f>
        <v>0</v>
      </c>
      <c r="I322" s="12">
        <f t="shared" si="11"/>
        <v>0</v>
      </c>
      <c r="J322" s="11"/>
    </row>
    <row r="323" spans="1:10" x14ac:dyDescent="0.2">
      <c r="A323" s="17">
        <v>2</v>
      </c>
      <c r="B323" s="9">
        <v>3</v>
      </c>
      <c r="C323" s="9">
        <v>9</v>
      </c>
      <c r="D323" s="9">
        <v>7</v>
      </c>
      <c r="E323" s="24" t="s">
        <v>44</v>
      </c>
      <c r="F323" s="10" t="s">
        <v>179</v>
      </c>
      <c r="G323" s="7">
        <f>'CUENTA T FONDO 100'!FX97</f>
        <v>0</v>
      </c>
      <c r="H323" s="7">
        <f>'CUENTA T VS'!FX75</f>
        <v>0</v>
      </c>
      <c r="I323" s="7">
        <f t="shared" si="11"/>
        <v>0</v>
      </c>
      <c r="J323" s="6">
        <f>I323/$I$25</f>
        <v>0</v>
      </c>
    </row>
    <row r="324" spans="1:10" x14ac:dyDescent="0.2">
      <c r="A324" s="18">
        <v>2</v>
      </c>
      <c r="B324" s="15">
        <v>3</v>
      </c>
      <c r="C324" s="15">
        <v>9</v>
      </c>
      <c r="D324" s="15">
        <v>8</v>
      </c>
      <c r="E324" s="15"/>
      <c r="F324" s="16" t="s">
        <v>2</v>
      </c>
      <c r="G324" s="12">
        <f>SUM(G325:G326)</f>
        <v>15340</v>
      </c>
      <c r="H324" s="12">
        <f>SUM(H325:H326)</f>
        <v>0</v>
      </c>
      <c r="I324" s="12">
        <f t="shared" si="11"/>
        <v>15340</v>
      </c>
      <c r="J324" s="11"/>
    </row>
    <row r="325" spans="1:10" x14ac:dyDescent="0.2">
      <c r="A325" s="17">
        <v>2</v>
      </c>
      <c r="B325" s="9">
        <v>3</v>
      </c>
      <c r="C325" s="9">
        <v>9</v>
      </c>
      <c r="D325" s="9">
        <v>8</v>
      </c>
      <c r="E325" s="24" t="s">
        <v>44</v>
      </c>
      <c r="F325" s="10" t="s">
        <v>178</v>
      </c>
      <c r="G325" s="7">
        <f>'CUENTA T FONDO 100'!FY97</f>
        <v>0</v>
      </c>
      <c r="H325" s="7">
        <f>'CUENTA T VS'!FY75</f>
        <v>0</v>
      </c>
      <c r="I325" s="7">
        <f t="shared" si="11"/>
        <v>0</v>
      </c>
      <c r="J325" s="6">
        <f>I325/$I$25</f>
        <v>0</v>
      </c>
    </row>
    <row r="326" spans="1:10" x14ac:dyDescent="0.2">
      <c r="A326" s="17">
        <v>2</v>
      </c>
      <c r="B326" s="9">
        <v>3</v>
      </c>
      <c r="C326" s="9">
        <v>9</v>
      </c>
      <c r="D326" s="9">
        <v>8</v>
      </c>
      <c r="E326" s="24" t="s">
        <v>43</v>
      </c>
      <c r="F326" s="10" t="s">
        <v>177</v>
      </c>
      <c r="G326" s="7">
        <f>'CUENTA T FONDO 100'!FZ97</f>
        <v>15340</v>
      </c>
      <c r="H326" s="7">
        <f>'CUENTA T VS'!FZ75</f>
        <v>0</v>
      </c>
      <c r="I326" s="7">
        <f t="shared" si="11"/>
        <v>15340</v>
      </c>
      <c r="J326" s="6">
        <f>I326/$I$25</f>
        <v>9.3277853570503119E-5</v>
      </c>
    </row>
    <row r="327" spans="1:10" x14ac:dyDescent="0.2">
      <c r="A327" s="18">
        <v>2</v>
      </c>
      <c r="B327" s="15">
        <v>3</v>
      </c>
      <c r="C327" s="15">
        <v>9</v>
      </c>
      <c r="D327" s="15">
        <v>9</v>
      </c>
      <c r="E327" s="15"/>
      <c r="F327" s="16" t="s">
        <v>1</v>
      </c>
      <c r="G327" s="12">
        <f>SUM(G328:G329)</f>
        <v>66552</v>
      </c>
      <c r="H327" s="12">
        <f>SUM(H328:H329)</f>
        <v>476345.15</v>
      </c>
      <c r="I327" s="12">
        <f t="shared" si="11"/>
        <v>542897.15</v>
      </c>
      <c r="J327" s="11"/>
    </row>
    <row r="328" spans="1:10" x14ac:dyDescent="0.2">
      <c r="A328" s="17">
        <v>2</v>
      </c>
      <c r="B328" s="9">
        <v>3</v>
      </c>
      <c r="C328" s="9">
        <v>9</v>
      </c>
      <c r="D328" s="9">
        <v>9</v>
      </c>
      <c r="E328" s="24" t="s">
        <v>44</v>
      </c>
      <c r="F328" s="10" t="s">
        <v>1</v>
      </c>
      <c r="G328" s="7">
        <f>'CUENTA T FONDO 100'!GA97</f>
        <v>0</v>
      </c>
      <c r="H328" s="7">
        <f>'CUENTA T VS'!GA75</f>
        <v>56945.15</v>
      </c>
      <c r="I328" s="7">
        <f t="shared" si="11"/>
        <v>56945.15</v>
      </c>
      <c r="J328" s="6">
        <f>I328/$I$25</f>
        <v>3.4626606018581068E-4</v>
      </c>
    </row>
    <row r="329" spans="1:10" x14ac:dyDescent="0.2">
      <c r="A329" s="17">
        <v>2</v>
      </c>
      <c r="B329" s="9">
        <v>3</v>
      </c>
      <c r="C329" s="9">
        <v>9</v>
      </c>
      <c r="D329" s="9">
        <v>9</v>
      </c>
      <c r="E329" s="24" t="s">
        <v>172</v>
      </c>
      <c r="F329" s="10" t="s">
        <v>407</v>
      </c>
      <c r="G329" s="7">
        <f>'CUENTA T FONDO 100'!GB97</f>
        <v>66552</v>
      </c>
      <c r="H329" s="7">
        <f>'CUENTA T VS'!GB75</f>
        <v>419400</v>
      </c>
      <c r="I329" s="7">
        <f t="shared" si="11"/>
        <v>485952</v>
      </c>
      <c r="J329" s="6">
        <f>I329/$I$25</f>
        <v>2.9549256517792132E-3</v>
      </c>
    </row>
    <row r="330" spans="1:10" x14ac:dyDescent="0.2">
      <c r="A330" s="23">
        <v>2</v>
      </c>
      <c r="B330" s="22">
        <v>4</v>
      </c>
      <c r="C330" s="22">
        <v>1</v>
      </c>
      <c r="D330" s="22">
        <v>2</v>
      </c>
      <c r="E330" s="22"/>
      <c r="F330" s="21" t="s">
        <v>176</v>
      </c>
      <c r="G330" s="20">
        <f>G331+G332+G333+G334+G335</f>
        <v>0</v>
      </c>
      <c r="H330" s="20">
        <f>H331+H332+H333+H334+H335</f>
        <v>3600</v>
      </c>
      <c r="I330" s="20">
        <f t="shared" si="11"/>
        <v>3600</v>
      </c>
      <c r="J330" s="19">
        <f>+I330/I25</f>
        <v>2.1890500186037238E-5</v>
      </c>
    </row>
    <row r="331" spans="1:10" x14ac:dyDescent="0.2">
      <c r="A331" s="17">
        <v>2</v>
      </c>
      <c r="B331" s="9">
        <v>4</v>
      </c>
      <c r="C331" s="9">
        <v>1</v>
      </c>
      <c r="D331" s="9">
        <v>2</v>
      </c>
      <c r="E331" s="24" t="s">
        <v>44</v>
      </c>
      <c r="F331" s="10" t="s">
        <v>175</v>
      </c>
      <c r="G331" s="7">
        <f>'CUENTA T FONDO 100'!GC97</f>
        <v>0</v>
      </c>
      <c r="H331" s="7">
        <f>'CUENTA T VS'!GC75</f>
        <v>3600</v>
      </c>
      <c r="I331" s="7">
        <f t="shared" si="11"/>
        <v>3600</v>
      </c>
      <c r="J331" s="6">
        <f t="shared" ref="J331:J336" si="14">I331/$I$25</f>
        <v>2.1890500186037238E-5</v>
      </c>
    </row>
    <row r="332" spans="1:10" x14ac:dyDescent="0.2">
      <c r="A332" s="17">
        <v>2</v>
      </c>
      <c r="B332" s="9">
        <v>4</v>
      </c>
      <c r="C332" s="9">
        <v>1</v>
      </c>
      <c r="D332" s="9">
        <v>2</v>
      </c>
      <c r="E332" s="24" t="s">
        <v>43</v>
      </c>
      <c r="F332" s="10" t="s">
        <v>174</v>
      </c>
      <c r="G332" s="7">
        <f>'CUENTA T FONDO 100'!GD97</f>
        <v>0</v>
      </c>
      <c r="H332" s="7">
        <f>'CUENTA T VS'!GD75</f>
        <v>0</v>
      </c>
      <c r="I332" s="7">
        <f t="shared" si="11"/>
        <v>0</v>
      </c>
      <c r="J332" s="6">
        <f t="shared" si="14"/>
        <v>0</v>
      </c>
    </row>
    <row r="333" spans="1:10" x14ac:dyDescent="0.2">
      <c r="A333" s="17">
        <v>2</v>
      </c>
      <c r="B333" s="9">
        <v>4</v>
      </c>
      <c r="C333" s="9">
        <v>1</v>
      </c>
      <c r="D333" s="9">
        <v>2</v>
      </c>
      <c r="E333" s="24" t="s">
        <v>104</v>
      </c>
      <c r="F333" s="10" t="s">
        <v>173</v>
      </c>
      <c r="G333" s="7">
        <f>'CUENTA T FONDO 100'!GE97</f>
        <v>0</v>
      </c>
      <c r="H333" s="7">
        <f>'CUENTA T VS'!GE75</f>
        <v>0</v>
      </c>
      <c r="I333" s="7">
        <f t="shared" si="11"/>
        <v>0</v>
      </c>
      <c r="J333" s="6">
        <f t="shared" si="14"/>
        <v>0</v>
      </c>
    </row>
    <row r="334" spans="1:10" x14ac:dyDescent="0.2">
      <c r="A334" s="17">
        <v>2</v>
      </c>
      <c r="B334" s="9">
        <v>4</v>
      </c>
      <c r="C334" s="9">
        <v>1</v>
      </c>
      <c r="D334" s="9">
        <v>2</v>
      </c>
      <c r="E334" s="24" t="s">
        <v>172</v>
      </c>
      <c r="F334" s="10" t="s">
        <v>171</v>
      </c>
      <c r="G334" s="7">
        <f>'CUENTA T FONDO 100'!GF97</f>
        <v>0</v>
      </c>
      <c r="H334" s="7">
        <f>'CUENTA T VS'!GF75</f>
        <v>0</v>
      </c>
      <c r="I334" s="7">
        <f t="shared" si="11"/>
        <v>0</v>
      </c>
      <c r="J334" s="6">
        <f t="shared" si="14"/>
        <v>0</v>
      </c>
    </row>
    <row r="335" spans="1:10" x14ac:dyDescent="0.2">
      <c r="A335" s="17">
        <v>2</v>
      </c>
      <c r="B335" s="9">
        <v>4</v>
      </c>
      <c r="C335" s="9">
        <v>1</v>
      </c>
      <c r="D335" s="9">
        <v>2</v>
      </c>
      <c r="E335" s="24" t="s">
        <v>170</v>
      </c>
      <c r="F335" s="10" t="s">
        <v>169</v>
      </c>
      <c r="G335" s="7">
        <f>'CUENTA T FONDO 100'!GG97</f>
        <v>0</v>
      </c>
      <c r="H335" s="7">
        <f>'CUENTA T VS'!GG75</f>
        <v>0</v>
      </c>
      <c r="I335" s="7">
        <f t="shared" si="11"/>
        <v>0</v>
      </c>
      <c r="J335" s="6">
        <f t="shared" si="14"/>
        <v>0</v>
      </c>
    </row>
    <row r="336" spans="1:10" x14ac:dyDescent="0.2">
      <c r="A336" s="23">
        <v>2</v>
      </c>
      <c r="B336" s="22">
        <v>6</v>
      </c>
      <c r="C336" s="22"/>
      <c r="D336" s="22"/>
      <c r="E336" s="22"/>
      <c r="F336" s="21" t="s">
        <v>168</v>
      </c>
      <c r="G336" s="20">
        <f>G337+G348+G357+G366+G383+G400+G405+G424+G446</f>
        <v>8010447.2599999988</v>
      </c>
      <c r="H336" s="20">
        <f>H337+H348+H357+H366+H383+H400+H405+H424+H446</f>
        <v>2755244.7199999997</v>
      </c>
      <c r="I336" s="20">
        <f t="shared" si="11"/>
        <v>10765691.979999999</v>
      </c>
      <c r="J336" s="19">
        <f t="shared" si="14"/>
        <v>6.5462883969724883E-2</v>
      </c>
    </row>
    <row r="337" spans="1:10" x14ac:dyDescent="0.2">
      <c r="A337" s="30">
        <v>2</v>
      </c>
      <c r="B337" s="22">
        <v>6</v>
      </c>
      <c r="C337" s="22">
        <v>1</v>
      </c>
      <c r="D337" s="22"/>
      <c r="E337" s="22"/>
      <c r="F337" s="21" t="s">
        <v>167</v>
      </c>
      <c r="G337" s="20">
        <f>+G338+G340+G342+G344+G346</f>
        <v>128621.02</v>
      </c>
      <c r="H337" s="20">
        <f>+H338+H340+H342+H344+H346</f>
        <v>442444.72</v>
      </c>
      <c r="I337" s="20">
        <f t="shared" si="11"/>
        <v>571065.74</v>
      </c>
      <c r="J337" s="19"/>
    </row>
    <row r="338" spans="1:10" x14ac:dyDescent="0.2">
      <c r="A338" s="16">
        <v>2</v>
      </c>
      <c r="B338" s="15">
        <v>6</v>
      </c>
      <c r="C338" s="15">
        <v>1</v>
      </c>
      <c r="D338" s="15">
        <v>1</v>
      </c>
      <c r="E338" s="15"/>
      <c r="F338" s="13" t="s">
        <v>408</v>
      </c>
      <c r="G338" s="12">
        <f>SUM(G339)</f>
        <v>89681.02</v>
      </c>
      <c r="H338" s="12">
        <f>SUM(H339)</f>
        <v>442444.72</v>
      </c>
      <c r="I338" s="12">
        <f t="shared" si="11"/>
        <v>532125.74</v>
      </c>
      <c r="J338" s="11"/>
    </row>
    <row r="339" spans="1:10" x14ac:dyDescent="0.2">
      <c r="A339" s="10">
        <v>2</v>
      </c>
      <c r="B339" s="9">
        <v>6</v>
      </c>
      <c r="C339" s="9">
        <v>1</v>
      </c>
      <c r="D339" s="9">
        <v>1</v>
      </c>
      <c r="E339" s="24" t="s">
        <v>44</v>
      </c>
      <c r="F339" s="8" t="s">
        <v>408</v>
      </c>
      <c r="G339" s="7">
        <f>'CUENTA T FONDO 100'!GH97</f>
        <v>89681.02</v>
      </c>
      <c r="H339" s="7">
        <f>'CUENTA T VS'!GH75</f>
        <v>442444.72</v>
      </c>
      <c r="I339" s="7">
        <f t="shared" si="11"/>
        <v>532125.74</v>
      </c>
      <c r="J339" s="6">
        <f>I339/$I$25</f>
        <v>3.2356940584625563E-3</v>
      </c>
    </row>
    <row r="340" spans="1:10" x14ac:dyDescent="0.2">
      <c r="A340" s="16">
        <v>2</v>
      </c>
      <c r="B340" s="15">
        <v>6</v>
      </c>
      <c r="C340" s="15">
        <v>1</v>
      </c>
      <c r="D340" s="15">
        <v>2</v>
      </c>
      <c r="E340" s="15"/>
      <c r="F340" s="13" t="s">
        <v>166</v>
      </c>
      <c r="G340" s="12">
        <f>SUM(G341)</f>
        <v>0</v>
      </c>
      <c r="H340" s="12">
        <f>SUM(H341)</f>
        <v>0</v>
      </c>
      <c r="I340" s="12">
        <f t="shared" si="11"/>
        <v>0</v>
      </c>
      <c r="J340" s="11"/>
    </row>
    <row r="341" spans="1:10" x14ac:dyDescent="0.2">
      <c r="A341" s="10">
        <v>2</v>
      </c>
      <c r="B341" s="9">
        <v>6</v>
      </c>
      <c r="C341" s="9">
        <v>1</v>
      </c>
      <c r="D341" s="9">
        <v>2</v>
      </c>
      <c r="E341" s="24" t="s">
        <v>44</v>
      </c>
      <c r="F341" s="8" t="s">
        <v>166</v>
      </c>
      <c r="G341" s="7">
        <f>'CUENTA T FONDO 100'!GI97</f>
        <v>0</v>
      </c>
      <c r="H341" s="7">
        <f>'CUENTA T VS'!GI75</f>
        <v>0</v>
      </c>
      <c r="I341" s="7">
        <f t="shared" si="11"/>
        <v>0</v>
      </c>
      <c r="J341" s="6">
        <f>I341/$I$25</f>
        <v>0</v>
      </c>
    </row>
    <row r="342" spans="1:10" x14ac:dyDescent="0.2">
      <c r="A342" s="16">
        <v>2</v>
      </c>
      <c r="B342" s="15">
        <v>6</v>
      </c>
      <c r="C342" s="15">
        <v>1</v>
      </c>
      <c r="D342" s="15">
        <v>3</v>
      </c>
      <c r="E342" s="15"/>
      <c r="F342" s="13" t="s">
        <v>409</v>
      </c>
      <c r="G342" s="12">
        <f>SUM(G343)</f>
        <v>0</v>
      </c>
      <c r="H342" s="12">
        <f>SUM(H343)</f>
        <v>0</v>
      </c>
      <c r="I342" s="12">
        <f t="shared" si="11"/>
        <v>0</v>
      </c>
      <c r="J342" s="11"/>
    </row>
    <row r="343" spans="1:10" x14ac:dyDescent="0.2">
      <c r="A343" s="10">
        <v>2</v>
      </c>
      <c r="B343" s="9">
        <v>6</v>
      </c>
      <c r="C343" s="9">
        <v>1</v>
      </c>
      <c r="D343" s="9">
        <v>3</v>
      </c>
      <c r="E343" s="24" t="s">
        <v>44</v>
      </c>
      <c r="F343" s="8" t="s">
        <v>409</v>
      </c>
      <c r="G343" s="7">
        <f>'CUENTA T FONDO 100'!GJ97</f>
        <v>0</v>
      </c>
      <c r="H343" s="7">
        <f>'CUENTA T VS'!GJ75</f>
        <v>0</v>
      </c>
      <c r="I343" s="7">
        <f t="shared" si="11"/>
        <v>0</v>
      </c>
      <c r="J343" s="6">
        <f>I343/$I$25</f>
        <v>0</v>
      </c>
    </row>
    <row r="344" spans="1:10" x14ac:dyDescent="0.2">
      <c r="A344" s="16">
        <v>2</v>
      </c>
      <c r="B344" s="15">
        <v>6</v>
      </c>
      <c r="C344" s="15">
        <v>1</v>
      </c>
      <c r="D344" s="15">
        <v>4</v>
      </c>
      <c r="E344" s="15"/>
      <c r="F344" s="13" t="s">
        <v>165</v>
      </c>
      <c r="G344" s="12">
        <f>SUM(G345)</f>
        <v>38940</v>
      </c>
      <c r="H344" s="12">
        <f>SUM(H345)</f>
        <v>0</v>
      </c>
      <c r="I344" s="12">
        <f t="shared" si="11"/>
        <v>38940</v>
      </c>
      <c r="J344" s="11"/>
    </row>
    <row r="345" spans="1:10" x14ac:dyDescent="0.2">
      <c r="A345" s="10">
        <v>2</v>
      </c>
      <c r="B345" s="9">
        <v>6</v>
      </c>
      <c r="C345" s="9">
        <v>1</v>
      </c>
      <c r="D345" s="9">
        <v>4</v>
      </c>
      <c r="E345" s="24" t="s">
        <v>44</v>
      </c>
      <c r="F345" s="8" t="s">
        <v>165</v>
      </c>
      <c r="G345" s="7">
        <f>'CUENTA T FONDO 100'!GK97</f>
        <v>38940</v>
      </c>
      <c r="H345" s="7">
        <f>'CUENTA T VS'!GK75</f>
        <v>0</v>
      </c>
      <c r="I345" s="7">
        <f t="shared" ref="I345:I408" si="15">SUM(G345:H345)</f>
        <v>38940</v>
      </c>
      <c r="J345" s="6">
        <f>I345/$I$25</f>
        <v>2.3678224367896944E-4</v>
      </c>
    </row>
    <row r="346" spans="1:10" ht="25.5" x14ac:dyDescent="0.2">
      <c r="A346" s="16">
        <v>2</v>
      </c>
      <c r="B346" s="15">
        <v>6</v>
      </c>
      <c r="C346" s="15">
        <v>1</v>
      </c>
      <c r="D346" s="15">
        <v>9</v>
      </c>
      <c r="E346" s="15"/>
      <c r="F346" s="13" t="s">
        <v>164</v>
      </c>
      <c r="G346" s="12">
        <f>SUM(G347)</f>
        <v>0</v>
      </c>
      <c r="H346" s="12">
        <f>SUM(H347)</f>
        <v>0</v>
      </c>
      <c r="I346" s="12">
        <f t="shared" si="15"/>
        <v>0</v>
      </c>
      <c r="J346" s="11"/>
    </row>
    <row r="347" spans="1:10" ht="25.5" x14ac:dyDescent="0.2">
      <c r="A347" s="10">
        <v>2</v>
      </c>
      <c r="B347" s="9">
        <v>6</v>
      </c>
      <c r="C347" s="9">
        <v>1</v>
      </c>
      <c r="D347" s="9">
        <v>9</v>
      </c>
      <c r="E347" s="24" t="s">
        <v>44</v>
      </c>
      <c r="F347" s="8" t="s">
        <v>164</v>
      </c>
      <c r="G347" s="7">
        <f>'CUENTA T FONDO 100'!GL97</f>
        <v>0</v>
      </c>
      <c r="H347" s="7">
        <f>'CUENTA T VS'!GL75</f>
        <v>0</v>
      </c>
      <c r="I347" s="7">
        <f t="shared" si="15"/>
        <v>0</v>
      </c>
      <c r="J347" s="6">
        <f>I347/$I$25</f>
        <v>0</v>
      </c>
    </row>
    <row r="348" spans="1:10" x14ac:dyDescent="0.2">
      <c r="A348" s="32">
        <v>2</v>
      </c>
      <c r="B348" s="32">
        <v>6</v>
      </c>
      <c r="C348" s="32">
        <v>2</v>
      </c>
      <c r="D348" s="32"/>
      <c r="E348" s="32"/>
      <c r="F348" s="31" t="s">
        <v>411</v>
      </c>
      <c r="G348" s="20">
        <f>+G349+G351+G353+G355</f>
        <v>0</v>
      </c>
      <c r="H348" s="20">
        <f>+H349+H351+H353+H355</f>
        <v>0</v>
      </c>
      <c r="I348" s="20">
        <f t="shared" si="15"/>
        <v>0</v>
      </c>
      <c r="J348" s="19"/>
    </row>
    <row r="349" spans="1:10" x14ac:dyDescent="0.2">
      <c r="A349" s="18">
        <v>2</v>
      </c>
      <c r="B349" s="15">
        <v>6</v>
      </c>
      <c r="C349" s="15">
        <v>2</v>
      </c>
      <c r="D349" s="15">
        <v>1</v>
      </c>
      <c r="E349" s="14"/>
      <c r="F349" s="13" t="s">
        <v>163</v>
      </c>
      <c r="G349" s="12">
        <f>SUM(G350)</f>
        <v>0</v>
      </c>
      <c r="H349" s="12">
        <f>SUM(H350)</f>
        <v>0</v>
      </c>
      <c r="I349" s="12">
        <f t="shared" si="15"/>
        <v>0</v>
      </c>
      <c r="J349" s="11"/>
    </row>
    <row r="350" spans="1:10" x14ac:dyDescent="0.2">
      <c r="A350" s="17">
        <v>2</v>
      </c>
      <c r="B350" s="9">
        <v>6</v>
      </c>
      <c r="C350" s="9">
        <v>2</v>
      </c>
      <c r="D350" s="9">
        <v>1</v>
      </c>
      <c r="E350" s="24" t="s">
        <v>44</v>
      </c>
      <c r="F350" s="8" t="s">
        <v>163</v>
      </c>
      <c r="G350" s="7">
        <f>'CUENTA T FONDO 100'!GM97</f>
        <v>0</v>
      </c>
      <c r="H350" s="7">
        <f>'CUENTA T VS'!GM75</f>
        <v>0</v>
      </c>
      <c r="I350" s="7">
        <f t="shared" si="15"/>
        <v>0</v>
      </c>
      <c r="J350" s="6">
        <f>I350/$I$25</f>
        <v>0</v>
      </c>
    </row>
    <row r="351" spans="1:10" x14ac:dyDescent="0.2">
      <c r="A351" s="18">
        <v>2</v>
      </c>
      <c r="B351" s="15">
        <v>6</v>
      </c>
      <c r="C351" s="15">
        <v>2</v>
      </c>
      <c r="D351" s="15">
        <v>2</v>
      </c>
      <c r="E351" s="14"/>
      <c r="F351" s="13" t="s">
        <v>162</v>
      </c>
      <c r="G351" s="12">
        <f>SUM(G352)</f>
        <v>0</v>
      </c>
      <c r="H351" s="12">
        <f>SUM(H352)</f>
        <v>0</v>
      </c>
      <c r="I351" s="12">
        <f t="shared" si="15"/>
        <v>0</v>
      </c>
      <c r="J351" s="11"/>
    </row>
    <row r="352" spans="1:10" x14ac:dyDescent="0.2">
      <c r="A352" s="17">
        <v>2</v>
      </c>
      <c r="B352" s="9">
        <v>6</v>
      </c>
      <c r="C352" s="9">
        <v>2</v>
      </c>
      <c r="D352" s="9">
        <v>2</v>
      </c>
      <c r="E352" s="24" t="s">
        <v>44</v>
      </c>
      <c r="F352" s="8" t="s">
        <v>162</v>
      </c>
      <c r="G352" s="7">
        <f>'CUENTA T FONDO 100'!GN97</f>
        <v>0</v>
      </c>
      <c r="H352" s="7">
        <f>'CUENTA T VS'!GN75</f>
        <v>0</v>
      </c>
      <c r="I352" s="7">
        <f t="shared" si="15"/>
        <v>0</v>
      </c>
      <c r="J352" s="6">
        <f>I352/$I$25</f>
        <v>0</v>
      </c>
    </row>
    <row r="353" spans="1:10" x14ac:dyDescent="0.2">
      <c r="A353" s="18">
        <v>2</v>
      </c>
      <c r="B353" s="15">
        <v>6</v>
      </c>
      <c r="C353" s="15">
        <v>2</v>
      </c>
      <c r="D353" s="15">
        <v>3</v>
      </c>
      <c r="E353" s="14"/>
      <c r="F353" s="13" t="s">
        <v>161</v>
      </c>
      <c r="G353" s="12">
        <f>SUM(G354)</f>
        <v>0</v>
      </c>
      <c r="H353" s="12">
        <f>SUM(H354)</f>
        <v>0</v>
      </c>
      <c r="I353" s="12">
        <f t="shared" si="15"/>
        <v>0</v>
      </c>
      <c r="J353" s="11"/>
    </row>
    <row r="354" spans="1:10" x14ac:dyDescent="0.2">
      <c r="A354" s="17">
        <v>2</v>
      </c>
      <c r="B354" s="9">
        <v>6</v>
      </c>
      <c r="C354" s="9">
        <v>2</v>
      </c>
      <c r="D354" s="9">
        <v>3</v>
      </c>
      <c r="E354" s="24" t="s">
        <v>44</v>
      </c>
      <c r="F354" s="8" t="s">
        <v>161</v>
      </c>
      <c r="G354" s="7">
        <f>'CUENTA T FONDO 100'!GO97</f>
        <v>0</v>
      </c>
      <c r="H354" s="7">
        <f>'CUENTA T VS'!GO75</f>
        <v>0</v>
      </c>
      <c r="I354" s="7">
        <f t="shared" si="15"/>
        <v>0</v>
      </c>
      <c r="J354" s="6">
        <f>I354/$I$25</f>
        <v>0</v>
      </c>
    </row>
    <row r="355" spans="1:10" x14ac:dyDescent="0.2">
      <c r="A355" s="18">
        <v>2</v>
      </c>
      <c r="B355" s="15">
        <v>6</v>
      </c>
      <c r="C355" s="15">
        <v>2</v>
      </c>
      <c r="D355" s="15">
        <v>4</v>
      </c>
      <c r="E355" s="14"/>
      <c r="F355" s="13" t="s">
        <v>410</v>
      </c>
      <c r="G355" s="12">
        <f>SUM(G356)</f>
        <v>0</v>
      </c>
      <c r="H355" s="12">
        <f>SUM(H356)</f>
        <v>0</v>
      </c>
      <c r="I355" s="12">
        <f t="shared" si="15"/>
        <v>0</v>
      </c>
      <c r="J355" s="11"/>
    </row>
    <row r="356" spans="1:10" x14ac:dyDescent="0.2">
      <c r="A356" s="17">
        <v>2</v>
      </c>
      <c r="B356" s="9">
        <v>6</v>
      </c>
      <c r="C356" s="9">
        <v>2</v>
      </c>
      <c r="D356" s="9">
        <v>4</v>
      </c>
      <c r="E356" s="24" t="s">
        <v>44</v>
      </c>
      <c r="F356" s="8" t="s">
        <v>410</v>
      </c>
      <c r="G356" s="7">
        <f>'CUENTA T FONDO 100'!GP97</f>
        <v>0</v>
      </c>
      <c r="H356" s="7">
        <f>'CUENTA T VS'!GP75</f>
        <v>0</v>
      </c>
      <c r="I356" s="7">
        <f t="shared" si="15"/>
        <v>0</v>
      </c>
      <c r="J356" s="6">
        <f>I356/$I$25</f>
        <v>0</v>
      </c>
    </row>
    <row r="357" spans="1:10" x14ac:dyDescent="0.2">
      <c r="A357" s="32">
        <v>2</v>
      </c>
      <c r="B357" s="32">
        <v>6</v>
      </c>
      <c r="C357" s="32">
        <v>3</v>
      </c>
      <c r="D357" s="32"/>
      <c r="E357" s="32"/>
      <c r="F357" s="31" t="s">
        <v>160</v>
      </c>
      <c r="G357" s="20">
        <f>+G358+G360+G362+G364</f>
        <v>7817183.1799999997</v>
      </c>
      <c r="H357" s="20">
        <f>+H358+H360+H362+H364</f>
        <v>1899800</v>
      </c>
      <c r="I357" s="20">
        <f t="shared" si="15"/>
        <v>9716983.1799999997</v>
      </c>
      <c r="J357" s="19"/>
    </row>
    <row r="358" spans="1:10" x14ac:dyDescent="0.2">
      <c r="A358" s="18">
        <v>2</v>
      </c>
      <c r="B358" s="15">
        <v>6</v>
      </c>
      <c r="C358" s="15">
        <v>3</v>
      </c>
      <c r="D358" s="15">
        <v>1</v>
      </c>
      <c r="E358" s="14"/>
      <c r="F358" s="13" t="s">
        <v>159</v>
      </c>
      <c r="G358" s="12">
        <f>SUM(G359)</f>
        <v>6301889.96</v>
      </c>
      <c r="H358" s="12">
        <f>SUM(H359)</f>
        <v>0</v>
      </c>
      <c r="I358" s="12">
        <f t="shared" si="15"/>
        <v>6301889.96</v>
      </c>
      <c r="J358" s="11"/>
    </row>
    <row r="359" spans="1:10" x14ac:dyDescent="0.2">
      <c r="A359" s="17">
        <v>2</v>
      </c>
      <c r="B359" s="9">
        <v>6</v>
      </c>
      <c r="C359" s="9">
        <v>3</v>
      </c>
      <c r="D359" s="9">
        <v>1</v>
      </c>
      <c r="E359" s="24" t="s">
        <v>44</v>
      </c>
      <c r="F359" s="8" t="s">
        <v>159</v>
      </c>
      <c r="G359" s="7">
        <f>'CUENTA T FONDO 100'!GQ97</f>
        <v>6301889.96</v>
      </c>
      <c r="H359" s="7">
        <f>'CUENTA T VS'!GQ75</f>
        <v>0</v>
      </c>
      <c r="I359" s="7">
        <f t="shared" si="15"/>
        <v>6301889.96</v>
      </c>
      <c r="J359" s="6">
        <f>I359/$I$25</f>
        <v>3.8319867594935053E-2</v>
      </c>
    </row>
    <row r="360" spans="1:10" x14ac:dyDescent="0.2">
      <c r="A360" s="18">
        <v>2</v>
      </c>
      <c r="B360" s="15">
        <v>6</v>
      </c>
      <c r="C360" s="15">
        <v>3</v>
      </c>
      <c r="D360" s="15">
        <v>2</v>
      </c>
      <c r="E360" s="14"/>
      <c r="F360" s="13" t="s">
        <v>158</v>
      </c>
      <c r="G360" s="12">
        <f>SUM(G361)</f>
        <v>59000</v>
      </c>
      <c r="H360" s="12">
        <f>SUM(H361)</f>
        <v>1899800</v>
      </c>
      <c r="I360" s="12">
        <f t="shared" si="15"/>
        <v>1958800</v>
      </c>
      <c r="J360" s="11"/>
    </row>
    <row r="361" spans="1:10" x14ac:dyDescent="0.2">
      <c r="A361" s="17">
        <v>2</v>
      </c>
      <c r="B361" s="9">
        <v>6</v>
      </c>
      <c r="C361" s="9">
        <v>3</v>
      </c>
      <c r="D361" s="9">
        <v>2</v>
      </c>
      <c r="E361" s="24" t="s">
        <v>44</v>
      </c>
      <c r="F361" s="8" t="s">
        <v>158</v>
      </c>
      <c r="G361" s="7">
        <f>'CUENTA T FONDO 100'!GR97</f>
        <v>59000</v>
      </c>
      <c r="H361" s="7">
        <f>'CUENTA T VS'!GR75</f>
        <v>1899800</v>
      </c>
      <c r="I361" s="7">
        <f t="shared" si="15"/>
        <v>1958800</v>
      </c>
      <c r="J361" s="6">
        <f>I361/$I$25</f>
        <v>1.1910864379002706E-2</v>
      </c>
    </row>
    <row r="362" spans="1:10" x14ac:dyDescent="0.2">
      <c r="A362" s="18">
        <v>2</v>
      </c>
      <c r="B362" s="15">
        <v>6</v>
      </c>
      <c r="C362" s="15">
        <v>3</v>
      </c>
      <c r="D362" s="15">
        <v>3</v>
      </c>
      <c r="E362" s="14"/>
      <c r="F362" s="13" t="s">
        <v>157</v>
      </c>
      <c r="G362" s="12">
        <f>SUM(G363)</f>
        <v>0</v>
      </c>
      <c r="H362" s="12">
        <f>SUM(H363)</f>
        <v>0</v>
      </c>
      <c r="I362" s="12">
        <f t="shared" si="15"/>
        <v>0</v>
      </c>
      <c r="J362" s="11"/>
    </row>
    <row r="363" spans="1:10" x14ac:dyDescent="0.2">
      <c r="A363" s="17">
        <v>2</v>
      </c>
      <c r="B363" s="9">
        <v>6</v>
      </c>
      <c r="C363" s="9">
        <v>3</v>
      </c>
      <c r="D363" s="9">
        <v>3</v>
      </c>
      <c r="E363" s="24" t="s">
        <v>44</v>
      </c>
      <c r="F363" s="8" t="s">
        <v>157</v>
      </c>
      <c r="G363" s="7">
        <f>'CUENTA T FONDO 100'!GS97</f>
        <v>0</v>
      </c>
      <c r="H363" s="7">
        <f>'CUENTA T VS'!GS75</f>
        <v>0</v>
      </c>
      <c r="I363" s="7">
        <f t="shared" si="15"/>
        <v>0</v>
      </c>
      <c r="J363" s="6">
        <f>I363/$I$25</f>
        <v>0</v>
      </c>
    </row>
    <row r="364" spans="1:10" x14ac:dyDescent="0.2">
      <c r="A364" s="18">
        <v>2</v>
      </c>
      <c r="B364" s="15">
        <v>6</v>
      </c>
      <c r="C364" s="15">
        <v>3</v>
      </c>
      <c r="D364" s="15">
        <v>4</v>
      </c>
      <c r="E364" s="15"/>
      <c r="F364" s="13" t="s">
        <v>412</v>
      </c>
      <c r="G364" s="12">
        <f>+G365</f>
        <v>1456293.22</v>
      </c>
      <c r="H364" s="12">
        <f>+H365</f>
        <v>0</v>
      </c>
      <c r="I364" s="12">
        <f t="shared" si="15"/>
        <v>1456293.22</v>
      </c>
      <c r="J364" s="11"/>
    </row>
    <row r="365" spans="1:10" x14ac:dyDescent="0.2">
      <c r="A365" s="17">
        <v>2</v>
      </c>
      <c r="B365" s="9">
        <v>6</v>
      </c>
      <c r="C365" s="9">
        <v>3</v>
      </c>
      <c r="D365" s="9">
        <v>4</v>
      </c>
      <c r="E365" s="24" t="s">
        <v>44</v>
      </c>
      <c r="F365" s="8" t="s">
        <v>412</v>
      </c>
      <c r="G365" s="7">
        <f>'CUENTA T FONDO 100'!GT97</f>
        <v>1456293.22</v>
      </c>
      <c r="H365" s="7">
        <f>'CUENTA T VS'!GT75</f>
        <v>0</v>
      </c>
      <c r="I365" s="7">
        <f t="shared" si="15"/>
        <v>1456293.22</v>
      </c>
      <c r="J365" s="6">
        <f>I365/$I$25</f>
        <v>8.8552741675929914E-3</v>
      </c>
    </row>
    <row r="366" spans="1:10" x14ac:dyDescent="0.2">
      <c r="A366" s="30">
        <v>2</v>
      </c>
      <c r="B366" s="22">
        <v>6</v>
      </c>
      <c r="C366" s="22">
        <v>4</v>
      </c>
      <c r="D366" s="22"/>
      <c r="E366" s="29"/>
      <c r="F366" s="21" t="s">
        <v>156</v>
      </c>
      <c r="G366" s="20">
        <f>+G367+G369+G371+G373+G375+G377+G379+G381</f>
        <v>0</v>
      </c>
      <c r="H366" s="20">
        <f>+H367+H369+H371+H373+H375+H377+H379+H381</f>
        <v>0</v>
      </c>
      <c r="I366" s="20">
        <f t="shared" si="15"/>
        <v>0</v>
      </c>
      <c r="J366" s="19"/>
    </row>
    <row r="367" spans="1:10" x14ac:dyDescent="0.2">
      <c r="A367" s="18">
        <v>2</v>
      </c>
      <c r="B367" s="15">
        <v>6</v>
      </c>
      <c r="C367" s="15">
        <v>4</v>
      </c>
      <c r="D367" s="15">
        <v>1</v>
      </c>
      <c r="E367" s="15"/>
      <c r="F367" s="13" t="s">
        <v>155</v>
      </c>
      <c r="G367" s="12">
        <f>SUM(G368)</f>
        <v>0</v>
      </c>
      <c r="H367" s="12">
        <f>SUM(H368)</f>
        <v>0</v>
      </c>
      <c r="I367" s="12">
        <f t="shared" si="15"/>
        <v>0</v>
      </c>
      <c r="J367" s="11"/>
    </row>
    <row r="368" spans="1:10" x14ac:dyDescent="0.2">
      <c r="A368" s="17">
        <v>2</v>
      </c>
      <c r="B368" s="9">
        <v>6</v>
      </c>
      <c r="C368" s="9">
        <v>4</v>
      </c>
      <c r="D368" s="9">
        <v>1</v>
      </c>
      <c r="E368" s="24" t="s">
        <v>44</v>
      </c>
      <c r="F368" s="8" t="s">
        <v>155</v>
      </c>
      <c r="G368" s="7">
        <f>'CUENTA T FONDO 100'!GU97</f>
        <v>0</v>
      </c>
      <c r="H368" s="7">
        <f>'CUENTA T VS'!GU75</f>
        <v>0</v>
      </c>
      <c r="I368" s="7">
        <f t="shared" si="15"/>
        <v>0</v>
      </c>
      <c r="J368" s="6">
        <f>I368/$I$25</f>
        <v>0</v>
      </c>
    </row>
    <row r="369" spans="1:10" x14ac:dyDescent="0.2">
      <c r="A369" s="18">
        <v>2</v>
      </c>
      <c r="B369" s="15">
        <v>6</v>
      </c>
      <c r="C369" s="15">
        <v>4</v>
      </c>
      <c r="D369" s="15">
        <v>2</v>
      </c>
      <c r="E369" s="15"/>
      <c r="F369" s="13" t="s">
        <v>154</v>
      </c>
      <c r="G369" s="12">
        <f>SUM(G370)</f>
        <v>0</v>
      </c>
      <c r="H369" s="12">
        <f>SUM(H370)</f>
        <v>0</v>
      </c>
      <c r="I369" s="12">
        <f t="shared" si="15"/>
        <v>0</v>
      </c>
      <c r="J369" s="11"/>
    </row>
    <row r="370" spans="1:10" x14ac:dyDescent="0.2">
      <c r="A370" s="17">
        <v>2</v>
      </c>
      <c r="B370" s="9">
        <v>6</v>
      </c>
      <c r="C370" s="9">
        <v>4</v>
      </c>
      <c r="D370" s="9">
        <v>2</v>
      </c>
      <c r="E370" s="24" t="s">
        <v>44</v>
      </c>
      <c r="F370" s="8" t="s">
        <v>154</v>
      </c>
      <c r="G370" s="7">
        <f>'CUENTA T FONDO 100'!GV97</f>
        <v>0</v>
      </c>
      <c r="H370" s="7">
        <f>'CUENTA T VS'!GV75</f>
        <v>0</v>
      </c>
      <c r="I370" s="7">
        <f t="shared" si="15"/>
        <v>0</v>
      </c>
      <c r="J370" s="6">
        <f>I370/$I$25</f>
        <v>0</v>
      </c>
    </row>
    <row r="371" spans="1:10" x14ac:dyDescent="0.2">
      <c r="A371" s="18">
        <v>2</v>
      </c>
      <c r="B371" s="15">
        <v>6</v>
      </c>
      <c r="C371" s="15">
        <v>4</v>
      </c>
      <c r="D371" s="15">
        <v>3</v>
      </c>
      <c r="E371" s="15"/>
      <c r="F371" s="13" t="s">
        <v>153</v>
      </c>
      <c r="G371" s="12">
        <f>SUM(G372)</f>
        <v>0</v>
      </c>
      <c r="H371" s="12">
        <f>SUM(H372)</f>
        <v>0</v>
      </c>
      <c r="I371" s="12">
        <f t="shared" si="15"/>
        <v>0</v>
      </c>
      <c r="J371" s="11"/>
    </row>
    <row r="372" spans="1:10" x14ac:dyDescent="0.2">
      <c r="A372" s="17">
        <v>2</v>
      </c>
      <c r="B372" s="9">
        <v>6</v>
      </c>
      <c r="C372" s="9">
        <v>4</v>
      </c>
      <c r="D372" s="9">
        <v>3</v>
      </c>
      <c r="E372" s="24" t="s">
        <v>44</v>
      </c>
      <c r="F372" s="8" t="s">
        <v>153</v>
      </c>
      <c r="G372" s="7">
        <f>'CUENTA T FONDO 100'!GW97</f>
        <v>0</v>
      </c>
      <c r="H372" s="7">
        <f>'CUENTA T VS'!GX75</f>
        <v>0</v>
      </c>
      <c r="I372" s="7">
        <f t="shared" si="15"/>
        <v>0</v>
      </c>
      <c r="J372" s="6">
        <f>I372/$I$25</f>
        <v>0</v>
      </c>
    </row>
    <row r="373" spans="1:10" x14ac:dyDescent="0.2">
      <c r="A373" s="18">
        <v>2</v>
      </c>
      <c r="B373" s="15">
        <v>6</v>
      </c>
      <c r="C373" s="15">
        <v>4</v>
      </c>
      <c r="D373" s="15">
        <v>4</v>
      </c>
      <c r="E373" s="15"/>
      <c r="F373" s="13" t="s">
        <v>152</v>
      </c>
      <c r="G373" s="12">
        <f>SUM(G374)</f>
        <v>0</v>
      </c>
      <c r="H373" s="12">
        <f>SUM(H374)</f>
        <v>0</v>
      </c>
      <c r="I373" s="12">
        <f t="shared" si="15"/>
        <v>0</v>
      </c>
      <c r="J373" s="11"/>
    </row>
    <row r="374" spans="1:10" x14ac:dyDescent="0.2">
      <c r="A374" s="17">
        <v>2</v>
      </c>
      <c r="B374" s="9">
        <v>6</v>
      </c>
      <c r="C374" s="9">
        <v>4</v>
      </c>
      <c r="D374" s="9">
        <v>4</v>
      </c>
      <c r="E374" s="24" t="s">
        <v>44</v>
      </c>
      <c r="F374" s="8" t="s">
        <v>152</v>
      </c>
      <c r="G374" s="7">
        <f>'CUENTA T FONDO 100'!GX97</f>
        <v>0</v>
      </c>
      <c r="H374" s="7">
        <f>'CUENTA T VS'!GX75</f>
        <v>0</v>
      </c>
      <c r="I374" s="7">
        <f t="shared" si="15"/>
        <v>0</v>
      </c>
      <c r="J374" s="6">
        <f>I374/$I$25</f>
        <v>0</v>
      </c>
    </row>
    <row r="375" spans="1:10" x14ac:dyDescent="0.2">
      <c r="A375" s="18">
        <v>2</v>
      </c>
      <c r="B375" s="15">
        <v>6</v>
      </c>
      <c r="C375" s="15">
        <v>4</v>
      </c>
      <c r="D375" s="15">
        <v>5</v>
      </c>
      <c r="E375" s="15"/>
      <c r="F375" s="13" t="s">
        <v>151</v>
      </c>
      <c r="G375" s="12">
        <f>SUM(G376)</f>
        <v>0</v>
      </c>
      <c r="H375" s="12">
        <f>SUM(H376)</f>
        <v>0</v>
      </c>
      <c r="I375" s="12">
        <f t="shared" si="15"/>
        <v>0</v>
      </c>
      <c r="J375" s="11"/>
    </row>
    <row r="376" spans="1:10" x14ac:dyDescent="0.2">
      <c r="A376" s="17">
        <v>2</v>
      </c>
      <c r="B376" s="9">
        <v>6</v>
      </c>
      <c r="C376" s="9">
        <v>4</v>
      </c>
      <c r="D376" s="9">
        <v>5</v>
      </c>
      <c r="E376" s="24" t="s">
        <v>44</v>
      </c>
      <c r="F376" s="8" t="s">
        <v>151</v>
      </c>
      <c r="G376" s="7">
        <f>'CUENTA T FONDO 100'!GY97</f>
        <v>0</v>
      </c>
      <c r="H376" s="7">
        <f>'CUENTA T VS'!GY75</f>
        <v>0</v>
      </c>
      <c r="I376" s="7">
        <f t="shared" si="15"/>
        <v>0</v>
      </c>
      <c r="J376" s="6">
        <f>I376/$I$25</f>
        <v>0</v>
      </c>
    </row>
    <row r="377" spans="1:10" x14ac:dyDescent="0.2">
      <c r="A377" s="18">
        <v>2</v>
      </c>
      <c r="B377" s="15">
        <v>6</v>
      </c>
      <c r="C377" s="15">
        <v>4</v>
      </c>
      <c r="D377" s="15">
        <v>6</v>
      </c>
      <c r="E377" s="15"/>
      <c r="F377" s="13" t="s">
        <v>150</v>
      </c>
      <c r="G377" s="12">
        <f>SUM(G378)</f>
        <v>0</v>
      </c>
      <c r="H377" s="12">
        <f>SUM(H378)</f>
        <v>0</v>
      </c>
      <c r="I377" s="12">
        <f t="shared" si="15"/>
        <v>0</v>
      </c>
      <c r="J377" s="11"/>
    </row>
    <row r="378" spans="1:10" x14ac:dyDescent="0.2">
      <c r="A378" s="17">
        <v>2</v>
      </c>
      <c r="B378" s="9">
        <v>6</v>
      </c>
      <c r="C378" s="9">
        <v>4</v>
      </c>
      <c r="D378" s="9">
        <v>6</v>
      </c>
      <c r="E378" s="24" t="s">
        <v>44</v>
      </c>
      <c r="F378" s="8" t="s">
        <v>150</v>
      </c>
      <c r="G378" s="7">
        <f>'CUENTA T FONDO 100'!GZ97</f>
        <v>0</v>
      </c>
      <c r="H378" s="7">
        <f>'CUENTA T VS'!GZ75</f>
        <v>0</v>
      </c>
      <c r="I378" s="7">
        <f t="shared" si="15"/>
        <v>0</v>
      </c>
      <c r="J378" s="6">
        <f>I378/$I$25</f>
        <v>0</v>
      </c>
    </row>
    <row r="379" spans="1:10" x14ac:dyDescent="0.2">
      <c r="A379" s="18">
        <v>2</v>
      </c>
      <c r="B379" s="15">
        <v>6</v>
      </c>
      <c r="C379" s="15">
        <v>4</v>
      </c>
      <c r="D379" s="15">
        <v>7</v>
      </c>
      <c r="E379" s="15"/>
      <c r="F379" s="13" t="s">
        <v>149</v>
      </c>
      <c r="G379" s="12">
        <f>SUM(G380)</f>
        <v>0</v>
      </c>
      <c r="H379" s="12">
        <f>SUM(H380)</f>
        <v>0</v>
      </c>
      <c r="I379" s="12">
        <f t="shared" si="15"/>
        <v>0</v>
      </c>
      <c r="J379" s="11"/>
    </row>
    <row r="380" spans="1:10" x14ac:dyDescent="0.2">
      <c r="A380" s="17">
        <v>2</v>
      </c>
      <c r="B380" s="9">
        <v>6</v>
      </c>
      <c r="C380" s="9">
        <v>4</v>
      </c>
      <c r="D380" s="9">
        <v>7</v>
      </c>
      <c r="E380" s="24" t="s">
        <v>44</v>
      </c>
      <c r="F380" s="8" t="s">
        <v>149</v>
      </c>
      <c r="G380" s="7">
        <f>'CUENTA T FONDO 100'!HA97</f>
        <v>0</v>
      </c>
      <c r="H380" s="7">
        <f>'CUENTA T VS'!HA75</f>
        <v>0</v>
      </c>
      <c r="I380" s="7">
        <f t="shared" si="15"/>
        <v>0</v>
      </c>
      <c r="J380" s="6">
        <f>I380/$I$25</f>
        <v>0</v>
      </c>
    </row>
    <row r="381" spans="1:10" x14ac:dyDescent="0.2">
      <c r="A381" s="18">
        <v>2</v>
      </c>
      <c r="B381" s="15">
        <v>6</v>
      </c>
      <c r="C381" s="15">
        <v>4</v>
      </c>
      <c r="D381" s="15">
        <v>8</v>
      </c>
      <c r="E381" s="15"/>
      <c r="F381" s="13" t="s">
        <v>148</v>
      </c>
      <c r="G381" s="12">
        <f>SUM(G382)</f>
        <v>0</v>
      </c>
      <c r="H381" s="12">
        <f>SUM(H382)</f>
        <v>0</v>
      </c>
      <c r="I381" s="12">
        <f t="shared" si="15"/>
        <v>0</v>
      </c>
      <c r="J381" s="11"/>
    </row>
    <row r="382" spans="1:10" x14ac:dyDescent="0.2">
      <c r="A382" s="17">
        <v>2</v>
      </c>
      <c r="B382" s="9">
        <v>6</v>
      </c>
      <c r="C382" s="9">
        <v>4</v>
      </c>
      <c r="D382" s="9">
        <v>8</v>
      </c>
      <c r="E382" s="24" t="s">
        <v>44</v>
      </c>
      <c r="F382" s="8" t="s">
        <v>148</v>
      </c>
      <c r="G382" s="7">
        <f>'CUENTA T FONDO 100'!HB97</f>
        <v>0</v>
      </c>
      <c r="H382" s="7">
        <f>'CUENTA T VS'!HB75</f>
        <v>0</v>
      </c>
      <c r="I382" s="7">
        <f t="shared" si="15"/>
        <v>0</v>
      </c>
      <c r="J382" s="6">
        <f>I382/$I$25</f>
        <v>0</v>
      </c>
    </row>
    <row r="383" spans="1:10" x14ac:dyDescent="0.2">
      <c r="A383" s="30">
        <v>2</v>
      </c>
      <c r="B383" s="22">
        <v>6</v>
      </c>
      <c r="C383" s="22">
        <v>5</v>
      </c>
      <c r="D383" s="22"/>
      <c r="E383" s="29"/>
      <c r="F383" s="21" t="s">
        <v>147</v>
      </c>
      <c r="G383" s="20">
        <f>+G384+G386+G388+G390+G392+G394+G396+G398</f>
        <v>64643.06</v>
      </c>
      <c r="H383" s="20">
        <f>+H384+H386+H388+H390+H392+H394+H396+H398</f>
        <v>413000</v>
      </c>
      <c r="I383" s="20">
        <f t="shared" si="15"/>
        <v>477643.06</v>
      </c>
      <c r="J383" s="19"/>
    </row>
    <row r="384" spans="1:10" x14ac:dyDescent="0.2">
      <c r="A384" s="16">
        <v>2</v>
      </c>
      <c r="B384" s="15">
        <v>6</v>
      </c>
      <c r="C384" s="15">
        <v>5</v>
      </c>
      <c r="D384" s="15">
        <v>1</v>
      </c>
      <c r="E384" s="15"/>
      <c r="F384" s="13" t="s">
        <v>146</v>
      </c>
      <c r="G384" s="12">
        <f>SUM(G385)</f>
        <v>0</v>
      </c>
      <c r="H384" s="12">
        <f>SUM(H385)</f>
        <v>0</v>
      </c>
      <c r="I384" s="12">
        <f t="shared" si="15"/>
        <v>0</v>
      </c>
      <c r="J384" s="11"/>
    </row>
    <row r="385" spans="1:10" x14ac:dyDescent="0.2">
      <c r="A385" s="10">
        <v>2</v>
      </c>
      <c r="B385" s="9">
        <v>6</v>
      </c>
      <c r="C385" s="9">
        <v>5</v>
      </c>
      <c r="D385" s="9">
        <v>1</v>
      </c>
      <c r="E385" s="24" t="s">
        <v>44</v>
      </c>
      <c r="F385" s="8" t="s">
        <v>146</v>
      </c>
      <c r="G385" s="7">
        <f>'CUENTA T FONDO 100'!HC97</f>
        <v>0</v>
      </c>
      <c r="H385" s="7">
        <f>'CUENTA T VS'!HC75</f>
        <v>0</v>
      </c>
      <c r="I385" s="7">
        <f t="shared" si="15"/>
        <v>0</v>
      </c>
      <c r="J385" s="6">
        <f>I385/$I$25</f>
        <v>0</v>
      </c>
    </row>
    <row r="386" spans="1:10" x14ac:dyDescent="0.2">
      <c r="A386" s="16">
        <v>2</v>
      </c>
      <c r="B386" s="15">
        <v>6</v>
      </c>
      <c r="C386" s="15">
        <v>5</v>
      </c>
      <c r="D386" s="15">
        <v>2</v>
      </c>
      <c r="E386" s="15"/>
      <c r="F386" s="13" t="s">
        <v>145</v>
      </c>
      <c r="G386" s="12">
        <f>SUM(G387)</f>
        <v>0</v>
      </c>
      <c r="H386" s="12">
        <f>SUM(H387)</f>
        <v>0</v>
      </c>
      <c r="I386" s="12">
        <f t="shared" si="15"/>
        <v>0</v>
      </c>
      <c r="J386" s="11"/>
    </row>
    <row r="387" spans="1:10" x14ac:dyDescent="0.2">
      <c r="A387" s="10">
        <v>2</v>
      </c>
      <c r="B387" s="9">
        <v>6</v>
      </c>
      <c r="C387" s="9">
        <v>5</v>
      </c>
      <c r="D387" s="9">
        <v>2</v>
      </c>
      <c r="E387" s="24" t="s">
        <v>44</v>
      </c>
      <c r="F387" s="8" t="s">
        <v>145</v>
      </c>
      <c r="G387" s="7">
        <f>'CUENTA T FONDO 100'!HD97</f>
        <v>0</v>
      </c>
      <c r="H387" s="7">
        <f>'CUENTA T VS'!HD75</f>
        <v>0</v>
      </c>
      <c r="I387" s="7">
        <f t="shared" si="15"/>
        <v>0</v>
      </c>
      <c r="J387" s="6">
        <f>I387/$I$25</f>
        <v>0</v>
      </c>
    </row>
    <row r="388" spans="1:10" x14ac:dyDescent="0.2">
      <c r="A388" s="16">
        <v>2</v>
      </c>
      <c r="B388" s="15">
        <v>6</v>
      </c>
      <c r="C388" s="15">
        <v>5</v>
      </c>
      <c r="D388" s="15">
        <v>3</v>
      </c>
      <c r="E388" s="15"/>
      <c r="F388" s="13" t="s">
        <v>144</v>
      </c>
      <c r="G388" s="12">
        <f>SUM(G389)</f>
        <v>0</v>
      </c>
      <c r="H388" s="12">
        <f>SUM(H389)</f>
        <v>0</v>
      </c>
      <c r="I388" s="12">
        <f t="shared" si="15"/>
        <v>0</v>
      </c>
      <c r="J388" s="11"/>
    </row>
    <row r="389" spans="1:10" x14ac:dyDescent="0.2">
      <c r="A389" s="10">
        <v>2</v>
      </c>
      <c r="B389" s="9">
        <v>6</v>
      </c>
      <c r="C389" s="9">
        <v>5</v>
      </c>
      <c r="D389" s="9">
        <v>3</v>
      </c>
      <c r="E389" s="24" t="s">
        <v>44</v>
      </c>
      <c r="F389" s="8" t="s">
        <v>144</v>
      </c>
      <c r="G389" s="7">
        <f>'CUENTA T FONDO 100'!HE97</f>
        <v>0</v>
      </c>
      <c r="H389" s="7">
        <f>'CUENTA T VS'!HE75</f>
        <v>0</v>
      </c>
      <c r="I389" s="7">
        <f t="shared" si="15"/>
        <v>0</v>
      </c>
      <c r="J389" s="6">
        <f>I389/$I$25</f>
        <v>0</v>
      </c>
    </row>
    <row r="390" spans="1:10" x14ac:dyDescent="0.2">
      <c r="A390" s="16">
        <v>2</v>
      </c>
      <c r="B390" s="15">
        <v>6</v>
      </c>
      <c r="C390" s="15">
        <v>5</v>
      </c>
      <c r="D390" s="15">
        <v>4</v>
      </c>
      <c r="E390" s="15"/>
      <c r="F390" s="13" t="s">
        <v>413</v>
      </c>
      <c r="G390" s="12">
        <f>SUM(G391)</f>
        <v>42057.86</v>
      </c>
      <c r="H390" s="12">
        <f>SUM(H391)</f>
        <v>0</v>
      </c>
      <c r="I390" s="12">
        <f t="shared" si="15"/>
        <v>42057.86</v>
      </c>
      <c r="J390" s="11"/>
    </row>
    <row r="391" spans="1:10" x14ac:dyDescent="0.2">
      <c r="A391" s="10">
        <v>2</v>
      </c>
      <c r="B391" s="9">
        <v>6</v>
      </c>
      <c r="C391" s="9">
        <v>5</v>
      </c>
      <c r="D391" s="9">
        <v>4</v>
      </c>
      <c r="E391" s="24" t="s">
        <v>44</v>
      </c>
      <c r="F391" s="8" t="s">
        <v>413</v>
      </c>
      <c r="G391" s="7">
        <f>'CUENTA T FONDO 100'!HF97</f>
        <v>42057.86</v>
      </c>
      <c r="H391" s="7">
        <f>'CUENTA T VS'!HF75</f>
        <v>0</v>
      </c>
      <c r="I391" s="7">
        <f t="shared" si="15"/>
        <v>42057.86</v>
      </c>
      <c r="J391" s="6">
        <f>I391/$I$25</f>
        <v>2.5574099782064671E-4</v>
      </c>
    </row>
    <row r="392" spans="1:10" ht="25.5" x14ac:dyDescent="0.2">
      <c r="A392" s="16">
        <v>2</v>
      </c>
      <c r="B392" s="15">
        <v>6</v>
      </c>
      <c r="C392" s="15">
        <v>5</v>
      </c>
      <c r="D392" s="15">
        <v>5</v>
      </c>
      <c r="E392" s="15"/>
      <c r="F392" s="13" t="s">
        <v>143</v>
      </c>
      <c r="G392" s="12">
        <f>SUM(G393)</f>
        <v>0</v>
      </c>
      <c r="H392" s="12">
        <f>SUM(H393)</f>
        <v>0</v>
      </c>
      <c r="I392" s="12">
        <f t="shared" si="15"/>
        <v>0</v>
      </c>
      <c r="J392" s="11"/>
    </row>
    <row r="393" spans="1:10" ht="25.5" x14ac:dyDescent="0.2">
      <c r="A393" s="10">
        <v>2</v>
      </c>
      <c r="B393" s="9">
        <v>6</v>
      </c>
      <c r="C393" s="9">
        <v>5</v>
      </c>
      <c r="D393" s="9">
        <v>5</v>
      </c>
      <c r="E393" s="24" t="s">
        <v>44</v>
      </c>
      <c r="F393" s="8" t="s">
        <v>143</v>
      </c>
      <c r="G393" s="7">
        <f>'CUENTA T FONDO 100'!HG97</f>
        <v>0</v>
      </c>
      <c r="H393" s="7">
        <f>'CUENTA T VS'!HG75</f>
        <v>0</v>
      </c>
      <c r="I393" s="7">
        <f t="shared" si="15"/>
        <v>0</v>
      </c>
      <c r="J393" s="6">
        <f>I393/$I$25</f>
        <v>0</v>
      </c>
    </row>
    <row r="394" spans="1:10" x14ac:dyDescent="0.2">
      <c r="A394" s="16">
        <v>2</v>
      </c>
      <c r="B394" s="15">
        <v>6</v>
      </c>
      <c r="C394" s="15">
        <v>5</v>
      </c>
      <c r="D394" s="15">
        <v>6</v>
      </c>
      <c r="E394" s="15"/>
      <c r="F394" s="13" t="s">
        <v>414</v>
      </c>
      <c r="G394" s="12">
        <f>SUM(G395)</f>
        <v>0</v>
      </c>
      <c r="H394" s="12">
        <f>SUM(H395)</f>
        <v>413000</v>
      </c>
      <c r="I394" s="12">
        <f t="shared" si="15"/>
        <v>413000</v>
      </c>
      <c r="J394" s="11"/>
    </row>
    <row r="395" spans="1:10" x14ac:dyDescent="0.2">
      <c r="A395" s="10">
        <v>2</v>
      </c>
      <c r="B395" s="9">
        <v>6</v>
      </c>
      <c r="C395" s="9">
        <v>5</v>
      </c>
      <c r="D395" s="9">
        <v>6</v>
      </c>
      <c r="E395" s="24" t="s">
        <v>44</v>
      </c>
      <c r="F395" s="8" t="s">
        <v>414</v>
      </c>
      <c r="G395" s="7">
        <f>'CUENTA T FONDO 100'!HH97</f>
        <v>0</v>
      </c>
      <c r="H395" s="7">
        <f>'CUENTA T VS'!HH75</f>
        <v>413000</v>
      </c>
      <c r="I395" s="7">
        <f t="shared" si="15"/>
        <v>413000</v>
      </c>
      <c r="J395" s="6">
        <f>I395/$I$25</f>
        <v>2.511326826898161E-3</v>
      </c>
    </row>
    <row r="396" spans="1:10" x14ac:dyDescent="0.2">
      <c r="A396" s="16">
        <v>2</v>
      </c>
      <c r="B396" s="15">
        <v>6</v>
      </c>
      <c r="C396" s="15">
        <v>5</v>
      </c>
      <c r="D396" s="15">
        <v>7</v>
      </c>
      <c r="E396" s="15"/>
      <c r="F396" s="13" t="s">
        <v>415</v>
      </c>
      <c r="G396" s="12">
        <f>SUM(G397)</f>
        <v>22585.200000000001</v>
      </c>
      <c r="H396" s="12">
        <f>SUM(H397)</f>
        <v>0</v>
      </c>
      <c r="I396" s="12">
        <f t="shared" si="15"/>
        <v>22585.200000000001</v>
      </c>
      <c r="J396" s="11"/>
    </row>
    <row r="397" spans="1:10" x14ac:dyDescent="0.2">
      <c r="A397" s="10">
        <v>2</v>
      </c>
      <c r="B397" s="9">
        <v>6</v>
      </c>
      <c r="C397" s="9">
        <v>5</v>
      </c>
      <c r="D397" s="9">
        <v>7</v>
      </c>
      <c r="E397" s="24" t="s">
        <v>44</v>
      </c>
      <c r="F397" s="8" t="s">
        <v>415</v>
      </c>
      <c r="G397" s="7">
        <f>'CUENTA T FONDO 100'!HI97</f>
        <v>22585.200000000001</v>
      </c>
      <c r="H397" s="7">
        <f>'CUENTA T VS'!HI75</f>
        <v>0</v>
      </c>
      <c r="I397" s="7">
        <f t="shared" si="15"/>
        <v>22585.200000000001</v>
      </c>
      <c r="J397" s="6">
        <f>I397/$I$25</f>
        <v>1.3733370133380229E-4</v>
      </c>
    </row>
    <row r="398" spans="1:10" x14ac:dyDescent="0.2">
      <c r="A398" s="16">
        <v>2</v>
      </c>
      <c r="B398" s="15">
        <v>6</v>
      </c>
      <c r="C398" s="15">
        <v>5</v>
      </c>
      <c r="D398" s="15">
        <v>8</v>
      </c>
      <c r="E398" s="15"/>
      <c r="F398" s="13" t="s">
        <v>142</v>
      </c>
      <c r="G398" s="12">
        <f>SUM(G399)</f>
        <v>0</v>
      </c>
      <c r="H398" s="12">
        <f>SUM(H399)</f>
        <v>0</v>
      </c>
      <c r="I398" s="12">
        <f t="shared" si="15"/>
        <v>0</v>
      </c>
      <c r="J398" s="11"/>
    </row>
    <row r="399" spans="1:10" x14ac:dyDescent="0.2">
      <c r="A399" s="10">
        <v>2</v>
      </c>
      <c r="B399" s="9">
        <v>6</v>
      </c>
      <c r="C399" s="9">
        <v>5</v>
      </c>
      <c r="D399" s="9">
        <v>8</v>
      </c>
      <c r="E399" s="24" t="s">
        <v>44</v>
      </c>
      <c r="F399" s="8" t="s">
        <v>142</v>
      </c>
      <c r="G399" s="7">
        <f>'CUENTA T FONDO 100'!HJ97</f>
        <v>0</v>
      </c>
      <c r="H399" s="7">
        <f>'CUENTA T VS'!HJ75</f>
        <v>0</v>
      </c>
      <c r="I399" s="7">
        <f t="shared" si="15"/>
        <v>0</v>
      </c>
      <c r="J399" s="6">
        <f>I399/$I$25</f>
        <v>0</v>
      </c>
    </row>
    <row r="400" spans="1:10" x14ac:dyDescent="0.2">
      <c r="A400" s="23">
        <v>2</v>
      </c>
      <c r="B400" s="22">
        <v>6</v>
      </c>
      <c r="C400" s="22">
        <v>6</v>
      </c>
      <c r="D400" s="22"/>
      <c r="E400" s="22"/>
      <c r="F400" s="21" t="s">
        <v>141</v>
      </c>
      <c r="G400" s="20">
        <f>+G401+G403</f>
        <v>0</v>
      </c>
      <c r="H400" s="20">
        <f>+H401+H403</f>
        <v>0</v>
      </c>
      <c r="I400" s="20">
        <f t="shared" si="15"/>
        <v>0</v>
      </c>
      <c r="J400" s="19">
        <f>I400/$I$25</f>
        <v>0</v>
      </c>
    </row>
    <row r="401" spans="1:10" x14ac:dyDescent="0.2">
      <c r="A401" s="18">
        <v>2</v>
      </c>
      <c r="B401" s="15">
        <v>6</v>
      </c>
      <c r="C401" s="15">
        <v>6</v>
      </c>
      <c r="D401" s="15">
        <v>1</v>
      </c>
      <c r="E401" s="14"/>
      <c r="F401" s="13" t="s">
        <v>140</v>
      </c>
      <c r="G401" s="12">
        <f>+G402</f>
        <v>0</v>
      </c>
      <c r="H401" s="12">
        <f>+H402</f>
        <v>0</v>
      </c>
      <c r="I401" s="12">
        <f t="shared" si="15"/>
        <v>0</v>
      </c>
      <c r="J401" s="11"/>
    </row>
    <row r="402" spans="1:10" x14ac:dyDescent="0.2">
      <c r="A402" s="17">
        <v>2</v>
      </c>
      <c r="B402" s="9">
        <v>6</v>
      </c>
      <c r="C402" s="9">
        <v>6</v>
      </c>
      <c r="D402" s="9">
        <v>1</v>
      </c>
      <c r="E402" s="9" t="s">
        <v>80</v>
      </c>
      <c r="F402" s="8" t="s">
        <v>140</v>
      </c>
      <c r="G402" s="7">
        <f>'CUENTA T FONDO 100'!HK97</f>
        <v>0</v>
      </c>
      <c r="H402" s="7">
        <f>'CUENTA T VS'!HK75</f>
        <v>0</v>
      </c>
      <c r="I402" s="7">
        <f t="shared" si="15"/>
        <v>0</v>
      </c>
      <c r="J402" s="6">
        <f>I402/$I$25</f>
        <v>0</v>
      </c>
    </row>
    <row r="403" spans="1:10" x14ac:dyDescent="0.2">
      <c r="A403" s="18">
        <v>2</v>
      </c>
      <c r="B403" s="15">
        <v>6</v>
      </c>
      <c r="C403" s="15">
        <v>6</v>
      </c>
      <c r="D403" s="15">
        <v>2</v>
      </c>
      <c r="E403" s="14"/>
      <c r="F403" s="13" t="s">
        <v>139</v>
      </c>
      <c r="G403" s="12">
        <f>+G404</f>
        <v>0</v>
      </c>
      <c r="H403" s="12">
        <f>+H404</f>
        <v>0</v>
      </c>
      <c r="I403" s="12">
        <f t="shared" si="15"/>
        <v>0</v>
      </c>
      <c r="J403" s="11"/>
    </row>
    <row r="404" spans="1:10" x14ac:dyDescent="0.2">
      <c r="A404" s="17">
        <v>2</v>
      </c>
      <c r="B404" s="9">
        <v>6</v>
      </c>
      <c r="C404" s="9">
        <v>6</v>
      </c>
      <c r="D404" s="9">
        <v>2</v>
      </c>
      <c r="E404" s="9" t="s">
        <v>80</v>
      </c>
      <c r="F404" s="8" t="s">
        <v>139</v>
      </c>
      <c r="G404" s="7">
        <f>'CUENTA T FONDO 100'!HL97</f>
        <v>0</v>
      </c>
      <c r="H404" s="7">
        <f>'CUENTA T VS'!HL75</f>
        <v>0</v>
      </c>
      <c r="I404" s="7">
        <f t="shared" si="15"/>
        <v>0</v>
      </c>
      <c r="J404" s="6">
        <f>I404/$I$25</f>
        <v>0</v>
      </c>
    </row>
    <row r="405" spans="1:10" x14ac:dyDescent="0.2">
      <c r="A405" s="30">
        <v>2</v>
      </c>
      <c r="B405" s="22">
        <v>6</v>
      </c>
      <c r="C405" s="22">
        <v>7</v>
      </c>
      <c r="D405" s="22"/>
      <c r="E405" s="29"/>
      <c r="F405" s="21" t="s">
        <v>138</v>
      </c>
      <c r="G405" s="20">
        <f>+G406+G408+G410+G412+G414+G416+G418+G420+G422</f>
        <v>0</v>
      </c>
      <c r="H405" s="20">
        <f>+H406+H408+H410+H412+H414+H416+H418+H420+H422</f>
        <v>0</v>
      </c>
      <c r="I405" s="20">
        <f t="shared" si="15"/>
        <v>0</v>
      </c>
      <c r="J405" s="19"/>
    </row>
    <row r="406" spans="1:10" x14ac:dyDescent="0.2">
      <c r="A406" s="16">
        <v>2</v>
      </c>
      <c r="B406" s="15">
        <v>6</v>
      </c>
      <c r="C406" s="15">
        <v>7</v>
      </c>
      <c r="D406" s="15">
        <v>1</v>
      </c>
      <c r="E406" s="15"/>
      <c r="F406" s="13" t="s">
        <v>137</v>
      </c>
      <c r="G406" s="12">
        <f>SUM(G407)</f>
        <v>0</v>
      </c>
      <c r="H406" s="12">
        <f>SUM(H407)</f>
        <v>0</v>
      </c>
      <c r="I406" s="12">
        <f t="shared" si="15"/>
        <v>0</v>
      </c>
      <c r="J406" s="11"/>
    </row>
    <row r="407" spans="1:10" x14ac:dyDescent="0.2">
      <c r="A407" s="10">
        <v>2</v>
      </c>
      <c r="B407" s="9">
        <v>6</v>
      </c>
      <c r="C407" s="9">
        <v>7</v>
      </c>
      <c r="D407" s="9">
        <v>1</v>
      </c>
      <c r="E407" s="24" t="s">
        <v>44</v>
      </c>
      <c r="F407" s="8" t="s">
        <v>137</v>
      </c>
      <c r="G407" s="7">
        <f>'CUENTA T FONDO 100'!HM97</f>
        <v>0</v>
      </c>
      <c r="H407" s="7">
        <f>'CUENTA T VS'!HM75</f>
        <v>0</v>
      </c>
      <c r="I407" s="7">
        <f t="shared" si="15"/>
        <v>0</v>
      </c>
      <c r="J407" s="6">
        <f>I407/$I$25</f>
        <v>0</v>
      </c>
    </row>
    <row r="408" spans="1:10" x14ac:dyDescent="0.2">
      <c r="A408" s="18">
        <v>2</v>
      </c>
      <c r="B408" s="15">
        <v>6</v>
      </c>
      <c r="C408" s="15">
        <v>7</v>
      </c>
      <c r="D408" s="15">
        <v>2</v>
      </c>
      <c r="E408" s="15"/>
      <c r="F408" s="13" t="s">
        <v>136</v>
      </c>
      <c r="G408" s="12">
        <f>SUM(G409)</f>
        <v>0</v>
      </c>
      <c r="H408" s="12">
        <f>SUM(H409)</f>
        <v>0</v>
      </c>
      <c r="I408" s="12">
        <f t="shared" si="15"/>
        <v>0</v>
      </c>
      <c r="J408" s="11"/>
    </row>
    <row r="409" spans="1:10" x14ac:dyDescent="0.2">
      <c r="A409" s="17">
        <v>2</v>
      </c>
      <c r="B409" s="9">
        <v>6</v>
      </c>
      <c r="C409" s="9">
        <v>7</v>
      </c>
      <c r="D409" s="9">
        <v>2</v>
      </c>
      <c r="E409" s="24" t="s">
        <v>44</v>
      </c>
      <c r="F409" s="8" t="s">
        <v>136</v>
      </c>
      <c r="G409" s="7">
        <f>'CUENTA T FONDO 100'!HN97</f>
        <v>0</v>
      </c>
      <c r="H409" s="7">
        <f>'CUENTA T VS'!HN75</f>
        <v>0</v>
      </c>
      <c r="I409" s="7">
        <f t="shared" ref="I409:I472" si="16">SUM(G409:H409)</f>
        <v>0</v>
      </c>
      <c r="J409" s="6">
        <f>I409/$I$25</f>
        <v>0</v>
      </c>
    </row>
    <row r="410" spans="1:10" x14ac:dyDescent="0.2">
      <c r="A410" s="18">
        <v>2</v>
      </c>
      <c r="B410" s="15">
        <v>6</v>
      </c>
      <c r="C410" s="15">
        <v>7</v>
      </c>
      <c r="D410" s="15">
        <v>3</v>
      </c>
      <c r="E410" s="15"/>
      <c r="F410" s="13" t="s">
        <v>135</v>
      </c>
      <c r="G410" s="12">
        <f>SUM(G411)</f>
        <v>0</v>
      </c>
      <c r="H410" s="12">
        <f>SUM(H411)</f>
        <v>0</v>
      </c>
      <c r="I410" s="12">
        <f t="shared" si="16"/>
        <v>0</v>
      </c>
      <c r="J410" s="11"/>
    </row>
    <row r="411" spans="1:10" x14ac:dyDescent="0.2">
      <c r="A411" s="17">
        <v>2</v>
      </c>
      <c r="B411" s="9">
        <v>6</v>
      </c>
      <c r="C411" s="9">
        <v>7</v>
      </c>
      <c r="D411" s="9">
        <v>3</v>
      </c>
      <c r="E411" s="24" t="s">
        <v>44</v>
      </c>
      <c r="F411" s="8" t="s">
        <v>135</v>
      </c>
      <c r="G411" s="7">
        <f>'CUENTA T FONDO 100'!HO97</f>
        <v>0</v>
      </c>
      <c r="H411" s="7">
        <f>'CUENTA T VS'!HO75</f>
        <v>0</v>
      </c>
      <c r="I411" s="7">
        <f t="shared" si="16"/>
        <v>0</v>
      </c>
      <c r="J411" s="6">
        <f>I411/$I$25</f>
        <v>0</v>
      </c>
    </row>
    <row r="412" spans="1:10" x14ac:dyDescent="0.2">
      <c r="A412" s="18">
        <v>2</v>
      </c>
      <c r="B412" s="15">
        <v>6</v>
      </c>
      <c r="C412" s="15">
        <v>7</v>
      </c>
      <c r="D412" s="15">
        <v>4</v>
      </c>
      <c r="E412" s="15"/>
      <c r="F412" s="13" t="s">
        <v>134</v>
      </c>
      <c r="G412" s="12">
        <f>SUM(G413)</f>
        <v>0</v>
      </c>
      <c r="H412" s="12">
        <f>SUM(H413)</f>
        <v>0</v>
      </c>
      <c r="I412" s="12">
        <f t="shared" si="16"/>
        <v>0</v>
      </c>
      <c r="J412" s="11"/>
    </row>
    <row r="413" spans="1:10" x14ac:dyDescent="0.2">
      <c r="A413" s="17">
        <v>2</v>
      </c>
      <c r="B413" s="9">
        <v>6</v>
      </c>
      <c r="C413" s="9">
        <v>7</v>
      </c>
      <c r="D413" s="9">
        <v>4</v>
      </c>
      <c r="E413" s="24" t="s">
        <v>44</v>
      </c>
      <c r="F413" s="8" t="s">
        <v>134</v>
      </c>
      <c r="G413" s="7">
        <f>'CUENTA T FONDO 100'!HP97</f>
        <v>0</v>
      </c>
      <c r="H413" s="7">
        <f>'CUENTA T VS'!HP75</f>
        <v>0</v>
      </c>
      <c r="I413" s="7">
        <f t="shared" si="16"/>
        <v>0</v>
      </c>
      <c r="J413" s="6">
        <f>I413/$I$25</f>
        <v>0</v>
      </c>
    </row>
    <row r="414" spans="1:10" x14ac:dyDescent="0.2">
      <c r="A414" s="18">
        <v>2</v>
      </c>
      <c r="B414" s="15">
        <v>6</v>
      </c>
      <c r="C414" s="15">
        <v>7</v>
      </c>
      <c r="D414" s="15">
        <v>5</v>
      </c>
      <c r="E414" s="15"/>
      <c r="F414" s="13" t="s">
        <v>133</v>
      </c>
      <c r="G414" s="12">
        <f>SUM(G415)</f>
        <v>0</v>
      </c>
      <c r="H414" s="12">
        <f>SUM(H415)</f>
        <v>0</v>
      </c>
      <c r="I414" s="12">
        <f t="shared" si="16"/>
        <v>0</v>
      </c>
      <c r="J414" s="11"/>
    </row>
    <row r="415" spans="1:10" x14ac:dyDescent="0.2">
      <c r="A415" s="17">
        <v>2</v>
      </c>
      <c r="B415" s="9">
        <v>6</v>
      </c>
      <c r="C415" s="9">
        <v>7</v>
      </c>
      <c r="D415" s="9">
        <v>5</v>
      </c>
      <c r="E415" s="24" t="s">
        <v>44</v>
      </c>
      <c r="F415" s="8" t="s">
        <v>133</v>
      </c>
      <c r="G415" s="7">
        <f>'CUENTA T FONDO 100'!HQ97</f>
        <v>0</v>
      </c>
      <c r="H415" s="7">
        <f>'CUENTA T VS'!HQ75</f>
        <v>0</v>
      </c>
      <c r="I415" s="7">
        <f t="shared" si="16"/>
        <v>0</v>
      </c>
      <c r="J415" s="6">
        <f>I415/$I$25</f>
        <v>0</v>
      </c>
    </row>
    <row r="416" spans="1:10" x14ac:dyDescent="0.2">
      <c r="A416" s="18">
        <v>2</v>
      </c>
      <c r="B416" s="15">
        <v>6</v>
      </c>
      <c r="C416" s="15">
        <v>7</v>
      </c>
      <c r="D416" s="15">
        <v>6</v>
      </c>
      <c r="E416" s="15"/>
      <c r="F416" s="13" t="s">
        <v>132</v>
      </c>
      <c r="G416" s="12">
        <f>SUM(G417)</f>
        <v>0</v>
      </c>
      <c r="H416" s="12">
        <f>SUM(H417)</f>
        <v>0</v>
      </c>
      <c r="I416" s="12">
        <f t="shared" si="16"/>
        <v>0</v>
      </c>
      <c r="J416" s="11"/>
    </row>
    <row r="417" spans="1:10" x14ac:dyDescent="0.2">
      <c r="A417" s="17">
        <v>2</v>
      </c>
      <c r="B417" s="9">
        <v>6</v>
      </c>
      <c r="C417" s="9">
        <v>7</v>
      </c>
      <c r="D417" s="9">
        <v>6</v>
      </c>
      <c r="E417" s="24" t="s">
        <v>44</v>
      </c>
      <c r="F417" s="8" t="s">
        <v>132</v>
      </c>
      <c r="G417" s="7">
        <f>'CUENTA T FONDO 100'!HR97</f>
        <v>0</v>
      </c>
      <c r="H417" s="7">
        <f>'CUENTA T VS'!HR75</f>
        <v>0</v>
      </c>
      <c r="I417" s="7">
        <f t="shared" si="16"/>
        <v>0</v>
      </c>
      <c r="J417" s="6">
        <f>I417/$I$25</f>
        <v>0</v>
      </c>
    </row>
    <row r="418" spans="1:10" x14ac:dyDescent="0.2">
      <c r="A418" s="18">
        <v>2</v>
      </c>
      <c r="B418" s="15">
        <v>6</v>
      </c>
      <c r="C418" s="15">
        <v>7</v>
      </c>
      <c r="D418" s="15">
        <v>7</v>
      </c>
      <c r="E418" s="15"/>
      <c r="F418" s="13" t="s">
        <v>131</v>
      </c>
      <c r="G418" s="12">
        <f>SUM(G419)</f>
        <v>0</v>
      </c>
      <c r="H418" s="12">
        <f>SUM(H419)</f>
        <v>0</v>
      </c>
      <c r="I418" s="12">
        <f t="shared" si="16"/>
        <v>0</v>
      </c>
      <c r="J418" s="11"/>
    </row>
    <row r="419" spans="1:10" x14ac:dyDescent="0.2">
      <c r="A419" s="17">
        <v>2</v>
      </c>
      <c r="B419" s="9">
        <v>6</v>
      </c>
      <c r="C419" s="9">
        <v>7</v>
      </c>
      <c r="D419" s="9">
        <v>7</v>
      </c>
      <c r="E419" s="24" t="s">
        <v>44</v>
      </c>
      <c r="F419" s="8" t="s">
        <v>131</v>
      </c>
      <c r="G419" s="7">
        <f>'CUENTA T FONDO 100'!HS97</f>
        <v>0</v>
      </c>
      <c r="H419" s="7">
        <f>'CUENTA T VS'!HS75</f>
        <v>0</v>
      </c>
      <c r="I419" s="7">
        <f t="shared" si="16"/>
        <v>0</v>
      </c>
      <c r="J419" s="6">
        <f>I419/$I$25</f>
        <v>0</v>
      </c>
    </row>
    <row r="420" spans="1:10" x14ac:dyDescent="0.2">
      <c r="A420" s="18">
        <v>2</v>
      </c>
      <c r="B420" s="15">
        <v>6</v>
      </c>
      <c r="C420" s="15">
        <v>7</v>
      </c>
      <c r="D420" s="15">
        <v>8</v>
      </c>
      <c r="E420" s="15"/>
      <c r="F420" s="13" t="s">
        <v>416</v>
      </c>
      <c r="G420" s="12">
        <f>SUM(G421)</f>
        <v>0</v>
      </c>
      <c r="H420" s="12">
        <f>SUM(H421)</f>
        <v>0</v>
      </c>
      <c r="I420" s="12">
        <f t="shared" si="16"/>
        <v>0</v>
      </c>
      <c r="J420" s="11"/>
    </row>
    <row r="421" spans="1:10" x14ac:dyDescent="0.2">
      <c r="A421" s="17">
        <v>2</v>
      </c>
      <c r="B421" s="9">
        <v>6</v>
      </c>
      <c r="C421" s="9">
        <v>7</v>
      </c>
      <c r="D421" s="9">
        <v>8</v>
      </c>
      <c r="E421" s="24" t="s">
        <v>44</v>
      </c>
      <c r="F421" s="8" t="s">
        <v>416</v>
      </c>
      <c r="G421" s="7">
        <f>'CUENTA T FONDO 100'!HT97</f>
        <v>0</v>
      </c>
      <c r="H421" s="7">
        <f>'CUENTA T VS'!HT75</f>
        <v>0</v>
      </c>
      <c r="I421" s="7">
        <f t="shared" si="16"/>
        <v>0</v>
      </c>
      <c r="J421" s="6">
        <f>I421/$I$25</f>
        <v>0</v>
      </c>
    </row>
    <row r="422" spans="1:10" ht="25.5" x14ac:dyDescent="0.2">
      <c r="A422" s="18">
        <v>2</v>
      </c>
      <c r="B422" s="15">
        <v>6</v>
      </c>
      <c r="C422" s="15">
        <v>7</v>
      </c>
      <c r="D422" s="15">
        <v>9</v>
      </c>
      <c r="E422" s="15"/>
      <c r="F422" s="13" t="s">
        <v>130</v>
      </c>
      <c r="G422" s="12">
        <f>SUM(G423)</f>
        <v>0</v>
      </c>
      <c r="H422" s="12">
        <f>SUM(H423)</f>
        <v>0</v>
      </c>
      <c r="I422" s="12">
        <f t="shared" si="16"/>
        <v>0</v>
      </c>
      <c r="J422" s="11"/>
    </row>
    <row r="423" spans="1:10" ht="25.5" x14ac:dyDescent="0.2">
      <c r="A423" s="17">
        <v>2</v>
      </c>
      <c r="B423" s="9">
        <v>6</v>
      </c>
      <c r="C423" s="9">
        <v>7</v>
      </c>
      <c r="D423" s="9">
        <v>9</v>
      </c>
      <c r="E423" s="24" t="s">
        <v>44</v>
      </c>
      <c r="F423" s="8" t="s">
        <v>130</v>
      </c>
      <c r="G423" s="7">
        <f>'CUENTA T FONDO 100'!HU97</f>
        <v>0</v>
      </c>
      <c r="H423" s="7">
        <f>'CUENTA T VS'!HU75</f>
        <v>0</v>
      </c>
      <c r="I423" s="7">
        <f t="shared" si="16"/>
        <v>0</v>
      </c>
      <c r="J423" s="6">
        <f>I423/$I$25</f>
        <v>0</v>
      </c>
    </row>
    <row r="424" spans="1:10" x14ac:dyDescent="0.2">
      <c r="A424" s="23">
        <v>2</v>
      </c>
      <c r="B424" s="22">
        <v>6</v>
      </c>
      <c r="C424" s="22">
        <v>8</v>
      </c>
      <c r="D424" s="22"/>
      <c r="E424" s="22"/>
      <c r="F424" s="21" t="s">
        <v>129</v>
      </c>
      <c r="G424" s="20">
        <f>G425+G427+G429+G432+G434+G436+G438+G440+G444</f>
        <v>0</v>
      </c>
      <c r="H424" s="20">
        <f>H425+H427+H429+H432+H434+H436+H438+H440+H444</f>
        <v>0</v>
      </c>
      <c r="I424" s="20">
        <f t="shared" si="16"/>
        <v>0</v>
      </c>
      <c r="J424" s="19"/>
    </row>
    <row r="425" spans="1:10" x14ac:dyDescent="0.2">
      <c r="A425" s="18">
        <v>2</v>
      </c>
      <c r="B425" s="15">
        <v>6</v>
      </c>
      <c r="C425" s="15">
        <v>8</v>
      </c>
      <c r="D425" s="15">
        <v>1</v>
      </c>
      <c r="E425" s="15"/>
      <c r="F425" s="13" t="s">
        <v>128</v>
      </c>
      <c r="G425" s="12">
        <f>+G426</f>
        <v>0</v>
      </c>
      <c r="H425" s="12">
        <f>+H426</f>
        <v>0</v>
      </c>
      <c r="I425" s="12">
        <f t="shared" si="16"/>
        <v>0</v>
      </c>
      <c r="J425" s="11"/>
    </row>
    <row r="426" spans="1:10" x14ac:dyDescent="0.2">
      <c r="A426" s="17">
        <v>2</v>
      </c>
      <c r="B426" s="9">
        <v>6</v>
      </c>
      <c r="C426" s="9">
        <v>8</v>
      </c>
      <c r="D426" s="9">
        <v>1</v>
      </c>
      <c r="E426" s="24" t="s">
        <v>44</v>
      </c>
      <c r="F426" s="8" t="s">
        <v>128</v>
      </c>
      <c r="G426" s="7">
        <f>'CUENTA T FONDO 100'!HV97</f>
        <v>0</v>
      </c>
      <c r="H426" s="7">
        <f>'CUENTA T VS'!HV75</f>
        <v>0</v>
      </c>
      <c r="I426" s="7">
        <f t="shared" si="16"/>
        <v>0</v>
      </c>
      <c r="J426" s="6">
        <f>I426/$I$25</f>
        <v>0</v>
      </c>
    </row>
    <row r="427" spans="1:10" x14ac:dyDescent="0.2">
      <c r="A427" s="18">
        <v>2</v>
      </c>
      <c r="B427" s="15">
        <v>6</v>
      </c>
      <c r="C427" s="15">
        <v>8</v>
      </c>
      <c r="D427" s="15">
        <v>2</v>
      </c>
      <c r="E427" s="15"/>
      <c r="F427" s="13" t="s">
        <v>127</v>
      </c>
      <c r="G427" s="12">
        <f>+G428</f>
        <v>0</v>
      </c>
      <c r="H427" s="12">
        <f>+H428</f>
        <v>0</v>
      </c>
      <c r="I427" s="12">
        <f t="shared" si="16"/>
        <v>0</v>
      </c>
      <c r="J427" s="11"/>
    </row>
    <row r="428" spans="1:10" x14ac:dyDescent="0.2">
      <c r="A428" s="17">
        <v>2</v>
      </c>
      <c r="B428" s="9">
        <v>6</v>
      </c>
      <c r="C428" s="9">
        <v>8</v>
      </c>
      <c r="D428" s="9">
        <v>2</v>
      </c>
      <c r="E428" s="24" t="s">
        <v>44</v>
      </c>
      <c r="F428" s="8" t="s">
        <v>127</v>
      </c>
      <c r="G428" s="7">
        <f>'CUENTA T FONDO 100'!HW97</f>
        <v>0</v>
      </c>
      <c r="H428" s="7">
        <f>'CUENTA T VS'!HW75</f>
        <v>0</v>
      </c>
      <c r="I428" s="7">
        <f t="shared" si="16"/>
        <v>0</v>
      </c>
      <c r="J428" s="6">
        <f>I428/$I$25</f>
        <v>0</v>
      </c>
    </row>
    <row r="429" spans="1:10" x14ac:dyDescent="0.2">
      <c r="A429" s="18">
        <v>2</v>
      </c>
      <c r="B429" s="15">
        <v>6</v>
      </c>
      <c r="C429" s="15">
        <v>8</v>
      </c>
      <c r="D429" s="15">
        <v>3</v>
      </c>
      <c r="E429" s="15"/>
      <c r="F429" s="13" t="s">
        <v>126</v>
      </c>
      <c r="G429" s="12">
        <f>SUM(G430:G431)</f>
        <v>0</v>
      </c>
      <c r="H429" s="12">
        <f>SUM(H430:H431)</f>
        <v>0</v>
      </c>
      <c r="I429" s="12">
        <f t="shared" si="16"/>
        <v>0</v>
      </c>
      <c r="J429" s="11"/>
    </row>
    <row r="430" spans="1:10" x14ac:dyDescent="0.2">
      <c r="A430" s="17">
        <v>2</v>
      </c>
      <c r="B430" s="9">
        <v>6</v>
      </c>
      <c r="C430" s="9">
        <v>8</v>
      </c>
      <c r="D430" s="9">
        <v>3</v>
      </c>
      <c r="E430" s="24" t="s">
        <v>44</v>
      </c>
      <c r="F430" s="8" t="s">
        <v>125</v>
      </c>
      <c r="G430" s="7">
        <f>'CUENTA T FONDO 100'!HX97</f>
        <v>0</v>
      </c>
      <c r="H430" s="7">
        <f>'CUENTA T VS'!HX75</f>
        <v>0</v>
      </c>
      <c r="I430" s="7">
        <f t="shared" si="16"/>
        <v>0</v>
      </c>
      <c r="J430" s="6">
        <f>I430/$I$25</f>
        <v>0</v>
      </c>
    </row>
    <row r="431" spans="1:10" x14ac:dyDescent="0.2">
      <c r="A431" s="17">
        <v>2</v>
      </c>
      <c r="B431" s="9">
        <v>6</v>
      </c>
      <c r="C431" s="9">
        <v>8</v>
      </c>
      <c r="D431" s="9">
        <v>3</v>
      </c>
      <c r="E431" s="24" t="s">
        <v>43</v>
      </c>
      <c r="F431" s="8" t="s">
        <v>124</v>
      </c>
      <c r="G431" s="7">
        <f>'CUENTA T FONDO 100'!HY97</f>
        <v>0</v>
      </c>
      <c r="H431" s="7">
        <f>'CUENTA T VS'!HY75</f>
        <v>0</v>
      </c>
      <c r="I431" s="7">
        <f t="shared" si="16"/>
        <v>0</v>
      </c>
      <c r="J431" s="6">
        <f>I431/$I$25</f>
        <v>0</v>
      </c>
    </row>
    <row r="432" spans="1:10" x14ac:dyDescent="0.2">
      <c r="A432" s="18">
        <v>2</v>
      </c>
      <c r="B432" s="15">
        <v>6</v>
      </c>
      <c r="C432" s="15">
        <v>8</v>
      </c>
      <c r="D432" s="15">
        <v>4</v>
      </c>
      <c r="E432" s="15"/>
      <c r="F432" s="13" t="s">
        <v>123</v>
      </c>
      <c r="G432" s="12">
        <f>+G433</f>
        <v>0</v>
      </c>
      <c r="H432" s="12">
        <f>+H433</f>
        <v>0</v>
      </c>
      <c r="I432" s="12">
        <f t="shared" si="16"/>
        <v>0</v>
      </c>
      <c r="J432" s="11"/>
    </row>
    <row r="433" spans="1:10" x14ac:dyDescent="0.2">
      <c r="A433" s="17">
        <v>2</v>
      </c>
      <c r="B433" s="9">
        <v>6</v>
      </c>
      <c r="C433" s="9">
        <v>8</v>
      </c>
      <c r="D433" s="9">
        <v>4</v>
      </c>
      <c r="E433" s="24" t="s">
        <v>44</v>
      </c>
      <c r="F433" s="8" t="s">
        <v>123</v>
      </c>
      <c r="G433" s="7">
        <f>'CUENTA T FONDO 100'!HZ97</f>
        <v>0</v>
      </c>
      <c r="H433" s="7">
        <f>'CUENTA T VS'!HZ75</f>
        <v>0</v>
      </c>
      <c r="I433" s="7">
        <f t="shared" si="16"/>
        <v>0</v>
      </c>
      <c r="J433" s="6">
        <f>I433/$I$25</f>
        <v>0</v>
      </c>
    </row>
    <row r="434" spans="1:10" x14ac:dyDescent="0.2">
      <c r="A434" s="18">
        <v>2</v>
      </c>
      <c r="B434" s="15">
        <v>6</v>
      </c>
      <c r="C434" s="15">
        <v>8</v>
      </c>
      <c r="D434" s="15">
        <v>5</v>
      </c>
      <c r="E434" s="15"/>
      <c r="F434" s="13" t="s">
        <v>122</v>
      </c>
      <c r="G434" s="12">
        <f>+G435</f>
        <v>0</v>
      </c>
      <c r="H434" s="12">
        <f>+H435</f>
        <v>0</v>
      </c>
      <c r="I434" s="12">
        <f t="shared" si="16"/>
        <v>0</v>
      </c>
      <c r="J434" s="11"/>
    </row>
    <row r="435" spans="1:10" x14ac:dyDescent="0.2">
      <c r="A435" s="17">
        <v>2</v>
      </c>
      <c r="B435" s="9">
        <v>6</v>
      </c>
      <c r="C435" s="9">
        <v>8</v>
      </c>
      <c r="D435" s="9">
        <v>5</v>
      </c>
      <c r="E435" s="24" t="s">
        <v>44</v>
      </c>
      <c r="F435" s="8" t="s">
        <v>122</v>
      </c>
      <c r="G435" s="7">
        <f>'CUENTA T FONDO 100'!IA97</f>
        <v>0</v>
      </c>
      <c r="H435" s="7">
        <f>'CUENTA T VS'!IA75</f>
        <v>0</v>
      </c>
      <c r="I435" s="7">
        <f t="shared" si="16"/>
        <v>0</v>
      </c>
      <c r="J435" s="6">
        <f>I435/$I$25</f>
        <v>0</v>
      </c>
    </row>
    <row r="436" spans="1:10" x14ac:dyDescent="0.2">
      <c r="A436" s="18">
        <v>2</v>
      </c>
      <c r="B436" s="15">
        <v>6</v>
      </c>
      <c r="C436" s="15">
        <v>8</v>
      </c>
      <c r="D436" s="15">
        <v>6</v>
      </c>
      <c r="E436" s="15"/>
      <c r="F436" s="13" t="s">
        <v>121</v>
      </c>
      <c r="G436" s="12">
        <f>+G437</f>
        <v>0</v>
      </c>
      <c r="H436" s="12">
        <f>+H437</f>
        <v>0</v>
      </c>
      <c r="I436" s="12">
        <f t="shared" si="16"/>
        <v>0</v>
      </c>
      <c r="J436" s="11"/>
    </row>
    <row r="437" spans="1:10" x14ac:dyDescent="0.2">
      <c r="A437" s="17">
        <v>2</v>
      </c>
      <c r="B437" s="9">
        <v>6</v>
      </c>
      <c r="C437" s="9">
        <v>8</v>
      </c>
      <c r="D437" s="9">
        <v>6</v>
      </c>
      <c r="E437" s="24" t="s">
        <v>44</v>
      </c>
      <c r="F437" s="8" t="s">
        <v>121</v>
      </c>
      <c r="G437" s="7">
        <f>'CUENTA T FONDO 100'!IB97</f>
        <v>0</v>
      </c>
      <c r="H437" s="7">
        <f>'CUENTA T VS'!IB75</f>
        <v>0</v>
      </c>
      <c r="I437" s="7">
        <f t="shared" si="16"/>
        <v>0</v>
      </c>
      <c r="J437" s="6">
        <f>I437/$I$25</f>
        <v>0</v>
      </c>
    </row>
    <row r="438" spans="1:10" x14ac:dyDescent="0.2">
      <c r="A438" s="18">
        <v>2</v>
      </c>
      <c r="B438" s="15">
        <v>6</v>
      </c>
      <c r="C438" s="15">
        <v>8</v>
      </c>
      <c r="D438" s="15">
        <v>7</v>
      </c>
      <c r="E438" s="15"/>
      <c r="F438" s="13" t="s">
        <v>120</v>
      </c>
      <c r="G438" s="12">
        <f>+G439</f>
        <v>0</v>
      </c>
      <c r="H438" s="12">
        <f>+H439</f>
        <v>0</v>
      </c>
      <c r="I438" s="12">
        <f t="shared" si="16"/>
        <v>0</v>
      </c>
      <c r="J438" s="11"/>
    </row>
    <row r="439" spans="1:10" x14ac:dyDescent="0.2">
      <c r="A439" s="17">
        <v>2</v>
      </c>
      <c r="B439" s="9">
        <v>6</v>
      </c>
      <c r="C439" s="9">
        <v>8</v>
      </c>
      <c r="D439" s="9">
        <v>7</v>
      </c>
      <c r="E439" s="24" t="s">
        <v>44</v>
      </c>
      <c r="F439" s="8" t="s">
        <v>120</v>
      </c>
      <c r="G439" s="7">
        <f>'CUENTA T FONDO 100'!IC97</f>
        <v>0</v>
      </c>
      <c r="H439" s="7">
        <f>'CUENTA T VS'!IC75</f>
        <v>0</v>
      </c>
      <c r="I439" s="7">
        <f t="shared" si="16"/>
        <v>0</v>
      </c>
      <c r="J439" s="6">
        <f>I439/$I$25</f>
        <v>0</v>
      </c>
    </row>
    <row r="440" spans="1:10" x14ac:dyDescent="0.2">
      <c r="A440" s="16">
        <v>2</v>
      </c>
      <c r="B440" s="15">
        <v>6</v>
      </c>
      <c r="C440" s="15">
        <v>8</v>
      </c>
      <c r="D440" s="15">
        <v>8</v>
      </c>
      <c r="E440" s="15"/>
      <c r="F440" s="13" t="s">
        <v>419</v>
      </c>
      <c r="G440" s="12">
        <f>SUM(G441:G443)</f>
        <v>0</v>
      </c>
      <c r="H440" s="12">
        <f>SUM(H441:H443)</f>
        <v>0</v>
      </c>
      <c r="I440" s="12">
        <f t="shared" si="16"/>
        <v>0</v>
      </c>
      <c r="J440" s="11"/>
    </row>
    <row r="441" spans="1:10" x14ac:dyDescent="0.2">
      <c r="A441" s="17">
        <v>2</v>
      </c>
      <c r="B441" s="9">
        <v>6</v>
      </c>
      <c r="C441" s="9">
        <v>8</v>
      </c>
      <c r="D441" s="9">
        <v>8</v>
      </c>
      <c r="E441" s="9" t="s">
        <v>119</v>
      </c>
      <c r="F441" s="8" t="s">
        <v>118</v>
      </c>
      <c r="G441" s="7">
        <f>'CUENTA T FONDO 100'!ID97</f>
        <v>0</v>
      </c>
      <c r="H441" s="7">
        <f>'CUENTA T VS'!ID75</f>
        <v>0</v>
      </c>
      <c r="I441" s="7">
        <f t="shared" si="16"/>
        <v>0</v>
      </c>
      <c r="J441" s="6">
        <f>I441/$I$25</f>
        <v>0</v>
      </c>
    </row>
    <row r="442" spans="1:10" x14ac:dyDescent="0.2">
      <c r="A442" s="17">
        <v>2</v>
      </c>
      <c r="B442" s="9">
        <v>6</v>
      </c>
      <c r="C442" s="9">
        <v>8</v>
      </c>
      <c r="D442" s="9">
        <v>8</v>
      </c>
      <c r="E442" s="9" t="s">
        <v>117</v>
      </c>
      <c r="F442" s="8" t="s">
        <v>116</v>
      </c>
      <c r="G442" s="7">
        <f>'CUENTA T FONDO 100'!IE97</f>
        <v>0</v>
      </c>
      <c r="H442" s="7">
        <f>'CUENTA T VS'!IE75</f>
        <v>0</v>
      </c>
      <c r="I442" s="7">
        <f t="shared" si="16"/>
        <v>0</v>
      </c>
      <c r="J442" s="6">
        <f>I442/$I$25</f>
        <v>0</v>
      </c>
    </row>
    <row r="443" spans="1:10" x14ac:dyDescent="0.2">
      <c r="A443" s="17">
        <v>2</v>
      </c>
      <c r="B443" s="9">
        <v>6</v>
      </c>
      <c r="C443" s="9">
        <v>8</v>
      </c>
      <c r="D443" s="9">
        <v>8</v>
      </c>
      <c r="E443" s="9" t="s">
        <v>115</v>
      </c>
      <c r="F443" s="8" t="s">
        <v>114</v>
      </c>
      <c r="G443" s="7">
        <f>'CUENTA T FONDO 100'!IF97</f>
        <v>0</v>
      </c>
      <c r="H443" s="7">
        <f>'CUENTA T VS'!IF75</f>
        <v>0</v>
      </c>
      <c r="I443" s="7">
        <f t="shared" si="16"/>
        <v>0</v>
      </c>
      <c r="J443" s="6">
        <f>I443/$I$25</f>
        <v>0</v>
      </c>
    </row>
    <row r="444" spans="1:10" x14ac:dyDescent="0.2">
      <c r="A444" s="18">
        <v>2</v>
      </c>
      <c r="B444" s="15">
        <v>6</v>
      </c>
      <c r="C444" s="15">
        <v>8</v>
      </c>
      <c r="D444" s="15">
        <v>9</v>
      </c>
      <c r="E444" s="15"/>
      <c r="F444" s="13" t="s">
        <v>113</v>
      </c>
      <c r="G444" s="12">
        <f>+G445</f>
        <v>0</v>
      </c>
      <c r="H444" s="12">
        <f>+H445</f>
        <v>0</v>
      </c>
      <c r="I444" s="12">
        <f t="shared" si="16"/>
        <v>0</v>
      </c>
      <c r="J444" s="11"/>
    </row>
    <row r="445" spans="1:10" x14ac:dyDescent="0.2">
      <c r="A445" s="17">
        <v>2</v>
      </c>
      <c r="B445" s="9">
        <v>6</v>
      </c>
      <c r="C445" s="9">
        <v>8</v>
      </c>
      <c r="D445" s="9">
        <v>9</v>
      </c>
      <c r="E445" s="9" t="s">
        <v>80</v>
      </c>
      <c r="F445" s="8" t="s">
        <v>113</v>
      </c>
      <c r="G445" s="7">
        <f>'CUENTA T FONDO 100'!IG97</f>
        <v>0</v>
      </c>
      <c r="H445" s="7">
        <f>'CUENTA T VS'!IG75</f>
        <v>0</v>
      </c>
      <c r="I445" s="7">
        <f t="shared" si="16"/>
        <v>0</v>
      </c>
      <c r="J445" s="6">
        <f>I445/$I$25</f>
        <v>0</v>
      </c>
    </row>
    <row r="446" spans="1:10" x14ac:dyDescent="0.2">
      <c r="A446" s="30">
        <v>2</v>
      </c>
      <c r="B446" s="22">
        <v>6</v>
      </c>
      <c r="C446" s="22">
        <v>9</v>
      </c>
      <c r="D446" s="22"/>
      <c r="E446" s="29"/>
      <c r="F446" s="21" t="s">
        <v>112</v>
      </c>
      <c r="G446" s="20">
        <f>+G447+G450+G453+G455+G457+G461</f>
        <v>0</v>
      </c>
      <c r="H446" s="20">
        <f>+H447+H450+H453+H455+H457+H461</f>
        <v>0</v>
      </c>
      <c r="I446" s="20">
        <f t="shared" si="16"/>
        <v>0</v>
      </c>
      <c r="J446" s="19"/>
    </row>
    <row r="447" spans="1:10" x14ac:dyDescent="0.2">
      <c r="A447" s="18">
        <v>2</v>
      </c>
      <c r="B447" s="15">
        <v>6</v>
      </c>
      <c r="C447" s="15">
        <v>9</v>
      </c>
      <c r="D447" s="15">
        <v>1</v>
      </c>
      <c r="E447" s="15"/>
      <c r="F447" s="13" t="s">
        <v>111</v>
      </c>
      <c r="G447" s="12">
        <f>+G448+G449</f>
        <v>0</v>
      </c>
      <c r="H447" s="12">
        <f>+H448+H449</f>
        <v>0</v>
      </c>
      <c r="I447" s="12">
        <f t="shared" si="16"/>
        <v>0</v>
      </c>
      <c r="J447" s="12"/>
    </row>
    <row r="448" spans="1:10" x14ac:dyDescent="0.2">
      <c r="A448" s="28">
        <v>2</v>
      </c>
      <c r="B448" s="27">
        <v>6</v>
      </c>
      <c r="C448" s="27">
        <v>9</v>
      </c>
      <c r="D448" s="27">
        <v>1</v>
      </c>
      <c r="E448" s="27" t="s">
        <v>44</v>
      </c>
      <c r="F448" s="26" t="s">
        <v>111</v>
      </c>
      <c r="G448" s="7">
        <f>'CUENTA T FONDO 100'!IH97</f>
        <v>0</v>
      </c>
      <c r="H448" s="25">
        <f>'CUENTA T VS'!IH75</f>
        <v>0</v>
      </c>
      <c r="I448" s="25">
        <f t="shared" si="16"/>
        <v>0</v>
      </c>
      <c r="J448" s="6">
        <f>I448/$I$25</f>
        <v>0</v>
      </c>
    </row>
    <row r="449" spans="1:10" x14ac:dyDescent="0.2">
      <c r="A449" s="28">
        <v>2</v>
      </c>
      <c r="B449" s="27">
        <v>6</v>
      </c>
      <c r="C449" s="27">
        <v>9</v>
      </c>
      <c r="D449" s="27">
        <v>1</v>
      </c>
      <c r="E449" s="27" t="s">
        <v>43</v>
      </c>
      <c r="F449" s="26" t="s">
        <v>417</v>
      </c>
      <c r="G449" s="7">
        <f>'CUENTA T FONDO 100'!II97</f>
        <v>0</v>
      </c>
      <c r="H449" s="25">
        <f>'CUENTA T VS'!II75</f>
        <v>0</v>
      </c>
      <c r="I449" s="25">
        <f t="shared" si="16"/>
        <v>0</v>
      </c>
      <c r="J449" s="6">
        <f>I449/$I$25</f>
        <v>0</v>
      </c>
    </row>
    <row r="450" spans="1:10" x14ac:dyDescent="0.2">
      <c r="A450" s="18">
        <v>2</v>
      </c>
      <c r="B450" s="15">
        <v>6</v>
      </c>
      <c r="C450" s="15">
        <v>9</v>
      </c>
      <c r="D450" s="15">
        <v>2</v>
      </c>
      <c r="E450" s="15"/>
      <c r="F450" s="13" t="s">
        <v>110</v>
      </c>
      <c r="G450" s="12">
        <f>SUM(G451:G452)</f>
        <v>0</v>
      </c>
      <c r="H450" s="12">
        <f>SUM(H451:H452)</f>
        <v>0</v>
      </c>
      <c r="I450" s="12">
        <f t="shared" si="16"/>
        <v>0</v>
      </c>
      <c r="J450" s="11"/>
    </row>
    <row r="451" spans="1:10" x14ac:dyDescent="0.2">
      <c r="A451" s="17">
        <v>2</v>
      </c>
      <c r="B451" s="9">
        <v>6</v>
      </c>
      <c r="C451" s="9">
        <v>9</v>
      </c>
      <c r="D451" s="9">
        <v>2</v>
      </c>
      <c r="E451" s="24" t="s">
        <v>44</v>
      </c>
      <c r="F451" s="8" t="s">
        <v>110</v>
      </c>
      <c r="G451" s="7">
        <f>'CUENTA T FONDO 100'!IJ97</f>
        <v>0</v>
      </c>
      <c r="H451" s="7">
        <f>'CUENTA T VS'!IJ75</f>
        <v>0</v>
      </c>
      <c r="I451" s="7">
        <f t="shared" si="16"/>
        <v>0</v>
      </c>
      <c r="J451" s="6">
        <f>I451/$I$25</f>
        <v>0</v>
      </c>
    </row>
    <row r="452" spans="1:10" x14ac:dyDescent="0.2">
      <c r="A452" s="17">
        <v>2</v>
      </c>
      <c r="B452" s="9">
        <v>6</v>
      </c>
      <c r="C452" s="9">
        <v>9</v>
      </c>
      <c r="D452" s="9">
        <v>2</v>
      </c>
      <c r="E452" s="24" t="s">
        <v>43</v>
      </c>
      <c r="F452" s="8" t="s">
        <v>418</v>
      </c>
      <c r="G452" s="7">
        <f>'CUENTA T FONDO 100'!IK97</f>
        <v>0</v>
      </c>
      <c r="H452" s="7">
        <f>'CUENTA T VS'!IK75</f>
        <v>0</v>
      </c>
      <c r="I452" s="7">
        <f t="shared" si="16"/>
        <v>0</v>
      </c>
      <c r="J452" s="6">
        <f>I452/$I$25</f>
        <v>0</v>
      </c>
    </row>
    <row r="453" spans="1:10" x14ac:dyDescent="0.2">
      <c r="A453" s="18">
        <v>2</v>
      </c>
      <c r="B453" s="15">
        <v>6</v>
      </c>
      <c r="C453" s="15">
        <v>9</v>
      </c>
      <c r="D453" s="15">
        <v>3</v>
      </c>
      <c r="E453" s="15"/>
      <c r="F453" s="13" t="s">
        <v>109</v>
      </c>
      <c r="G453" s="12">
        <f>SUM(G454)</f>
        <v>0</v>
      </c>
      <c r="H453" s="12">
        <f>SUM(H454)</f>
        <v>0</v>
      </c>
      <c r="I453" s="12">
        <f t="shared" si="16"/>
        <v>0</v>
      </c>
      <c r="J453" s="12"/>
    </row>
    <row r="454" spans="1:10" x14ac:dyDescent="0.2">
      <c r="A454" s="17">
        <v>2</v>
      </c>
      <c r="B454" s="9">
        <v>6</v>
      </c>
      <c r="C454" s="9">
        <v>9</v>
      </c>
      <c r="D454" s="9">
        <v>3</v>
      </c>
      <c r="E454" s="24" t="s">
        <v>44</v>
      </c>
      <c r="F454" s="8" t="s">
        <v>109</v>
      </c>
      <c r="G454" s="7">
        <f>'CUENTA T FONDO 100'!IL97</f>
        <v>0</v>
      </c>
      <c r="H454" s="7">
        <f>'CUENTA T VS'!IL75</f>
        <v>0</v>
      </c>
      <c r="I454" s="7">
        <f t="shared" si="16"/>
        <v>0</v>
      </c>
      <c r="J454" s="6">
        <f>I454/$I$25</f>
        <v>0</v>
      </c>
    </row>
    <row r="455" spans="1:10" x14ac:dyDescent="0.2">
      <c r="A455" s="18">
        <v>2</v>
      </c>
      <c r="B455" s="15">
        <v>6</v>
      </c>
      <c r="C455" s="15">
        <v>9</v>
      </c>
      <c r="D455" s="15">
        <v>4</v>
      </c>
      <c r="E455" s="15"/>
      <c r="F455" s="13" t="s">
        <v>108</v>
      </c>
      <c r="G455" s="12">
        <f>SUM(G456)</f>
        <v>0</v>
      </c>
      <c r="H455" s="12">
        <f>SUM(H456)</f>
        <v>0</v>
      </c>
      <c r="I455" s="12">
        <f t="shared" si="16"/>
        <v>0</v>
      </c>
      <c r="J455" s="11"/>
    </row>
    <row r="456" spans="1:10" x14ac:dyDescent="0.2">
      <c r="A456" s="17">
        <v>2</v>
      </c>
      <c r="B456" s="9">
        <v>6</v>
      </c>
      <c r="C456" s="9">
        <v>9</v>
      </c>
      <c r="D456" s="9">
        <v>4</v>
      </c>
      <c r="E456" s="24" t="s">
        <v>44</v>
      </c>
      <c r="F456" s="8" t="s">
        <v>108</v>
      </c>
      <c r="G456" s="7">
        <f>'CUENTA T FONDO 100'!IM97</f>
        <v>0</v>
      </c>
      <c r="H456" s="7">
        <f>'CUENTA T VS'!IM75</f>
        <v>0</v>
      </c>
      <c r="I456" s="7">
        <f t="shared" si="16"/>
        <v>0</v>
      </c>
      <c r="J456" s="6">
        <f>I456/$I$25</f>
        <v>0</v>
      </c>
    </row>
    <row r="457" spans="1:10" x14ac:dyDescent="0.2">
      <c r="A457" s="18">
        <v>2</v>
      </c>
      <c r="B457" s="15">
        <v>6</v>
      </c>
      <c r="C457" s="15">
        <v>9</v>
      </c>
      <c r="D457" s="15">
        <v>5</v>
      </c>
      <c r="E457" s="15"/>
      <c r="F457" s="13" t="s">
        <v>107</v>
      </c>
      <c r="G457" s="12">
        <f>SUM(G458:G460)</f>
        <v>0</v>
      </c>
      <c r="H457" s="12">
        <f>SUM(H458:H460)</f>
        <v>0</v>
      </c>
      <c r="I457" s="12">
        <f t="shared" si="16"/>
        <v>0</v>
      </c>
      <c r="J457" s="11"/>
    </row>
    <row r="458" spans="1:10" x14ac:dyDescent="0.2">
      <c r="A458" s="17">
        <v>2</v>
      </c>
      <c r="B458" s="9">
        <v>6</v>
      </c>
      <c r="C458" s="9">
        <v>9</v>
      </c>
      <c r="D458" s="9">
        <v>5</v>
      </c>
      <c r="E458" s="24" t="s">
        <v>44</v>
      </c>
      <c r="F458" s="8" t="s">
        <v>106</v>
      </c>
      <c r="G458" s="7">
        <f>'CUENTA T FONDO 100'!IN97</f>
        <v>0</v>
      </c>
      <c r="H458" s="7">
        <f>'CUENTA T VS'!IN75</f>
        <v>0</v>
      </c>
      <c r="I458" s="7">
        <f t="shared" si="16"/>
        <v>0</v>
      </c>
      <c r="J458" s="6">
        <f>I458/$I$25</f>
        <v>0</v>
      </c>
    </row>
    <row r="459" spans="1:10" x14ac:dyDescent="0.2">
      <c r="A459" s="17">
        <v>2</v>
      </c>
      <c r="B459" s="9">
        <v>6</v>
      </c>
      <c r="C459" s="9">
        <v>9</v>
      </c>
      <c r="D459" s="9">
        <v>5</v>
      </c>
      <c r="E459" s="24" t="s">
        <v>43</v>
      </c>
      <c r="F459" s="8" t="s">
        <v>105</v>
      </c>
      <c r="G459" s="7">
        <f>'CUENTA T FONDO 100'!IO97</f>
        <v>0</v>
      </c>
      <c r="H459" s="7">
        <f>'CUENTA T VS'!IO75</f>
        <v>0</v>
      </c>
      <c r="I459" s="7">
        <f t="shared" si="16"/>
        <v>0</v>
      </c>
      <c r="J459" s="6">
        <f>I459/$I$25</f>
        <v>0</v>
      </c>
    </row>
    <row r="460" spans="1:10" x14ac:dyDescent="0.2">
      <c r="A460" s="17">
        <v>2</v>
      </c>
      <c r="B460" s="9">
        <v>6</v>
      </c>
      <c r="C460" s="9">
        <v>9</v>
      </c>
      <c r="D460" s="9">
        <v>5</v>
      </c>
      <c r="E460" s="24" t="s">
        <v>104</v>
      </c>
      <c r="F460" s="8" t="s">
        <v>103</v>
      </c>
      <c r="G460" s="7">
        <f>'CUENTA T FONDO 100'!IP97</f>
        <v>0</v>
      </c>
      <c r="H460" s="7">
        <f>'CUENTA T VS'!IP75</f>
        <v>0</v>
      </c>
      <c r="I460" s="7">
        <f t="shared" si="16"/>
        <v>0</v>
      </c>
      <c r="J460" s="6">
        <f>I460/$I$25</f>
        <v>0</v>
      </c>
    </row>
    <row r="461" spans="1:10" x14ac:dyDescent="0.2">
      <c r="A461" s="18">
        <v>2</v>
      </c>
      <c r="B461" s="15">
        <v>6</v>
      </c>
      <c r="C461" s="15">
        <v>9</v>
      </c>
      <c r="D461" s="15">
        <v>9</v>
      </c>
      <c r="E461" s="15"/>
      <c r="F461" s="13" t="s">
        <v>102</v>
      </c>
      <c r="G461" s="12">
        <f>SUM(G462)</f>
        <v>0</v>
      </c>
      <c r="H461" s="12">
        <f>SUM(H462)</f>
        <v>0</v>
      </c>
      <c r="I461" s="12">
        <f t="shared" si="16"/>
        <v>0</v>
      </c>
      <c r="J461" s="11"/>
    </row>
    <row r="462" spans="1:10" x14ac:dyDescent="0.2">
      <c r="A462" s="17">
        <v>2</v>
      </c>
      <c r="B462" s="9">
        <v>6</v>
      </c>
      <c r="C462" s="9">
        <v>9</v>
      </c>
      <c r="D462" s="9">
        <v>9</v>
      </c>
      <c r="E462" s="24" t="s">
        <v>44</v>
      </c>
      <c r="F462" s="8" t="s">
        <v>102</v>
      </c>
      <c r="G462" s="7">
        <f>'CUENTA T FONDO 100'!IQ97</f>
        <v>0</v>
      </c>
      <c r="H462" s="7">
        <f>'CUENTA T VS'!IQ75</f>
        <v>0</v>
      </c>
      <c r="I462" s="7">
        <f t="shared" si="16"/>
        <v>0</v>
      </c>
      <c r="J462" s="6">
        <f>I462/$I$25</f>
        <v>0</v>
      </c>
    </row>
    <row r="463" spans="1:10" x14ac:dyDescent="0.2">
      <c r="A463" s="23">
        <v>2</v>
      </c>
      <c r="B463" s="22">
        <v>7</v>
      </c>
      <c r="C463" s="22"/>
      <c r="D463" s="22"/>
      <c r="E463" s="22"/>
      <c r="F463" s="21" t="s">
        <v>101</v>
      </c>
      <c r="G463" s="20">
        <f>G464+G473+G492+G497</f>
        <v>0</v>
      </c>
      <c r="H463" s="20">
        <f>H464+H473+H492+H497</f>
        <v>0</v>
      </c>
      <c r="I463" s="20">
        <f t="shared" si="16"/>
        <v>0</v>
      </c>
      <c r="J463" s="19">
        <f>I463/$I$25</f>
        <v>0</v>
      </c>
    </row>
    <row r="464" spans="1:10" x14ac:dyDescent="0.2">
      <c r="A464" s="23">
        <v>2</v>
      </c>
      <c r="B464" s="22">
        <v>7</v>
      </c>
      <c r="C464" s="22">
        <v>1</v>
      </c>
      <c r="D464" s="22"/>
      <c r="E464" s="22"/>
      <c r="F464" s="21" t="s">
        <v>100</v>
      </c>
      <c r="G464" s="20">
        <f>+G465+G467+G469+G471</f>
        <v>0</v>
      </c>
      <c r="H464" s="20">
        <f>+H465+H467+H469+H471</f>
        <v>0</v>
      </c>
      <c r="I464" s="20">
        <f t="shared" si="16"/>
        <v>0</v>
      </c>
      <c r="J464" s="19"/>
    </row>
    <row r="465" spans="1:10" x14ac:dyDescent="0.2">
      <c r="A465" s="18">
        <v>2</v>
      </c>
      <c r="B465" s="15">
        <v>7</v>
      </c>
      <c r="C465" s="15">
        <v>1</v>
      </c>
      <c r="D465" s="15">
        <v>1</v>
      </c>
      <c r="E465" s="14"/>
      <c r="F465" s="13" t="s">
        <v>99</v>
      </c>
      <c r="G465" s="12">
        <f>+G466</f>
        <v>0</v>
      </c>
      <c r="H465" s="12">
        <f>+H466</f>
        <v>0</v>
      </c>
      <c r="I465" s="12">
        <f t="shared" si="16"/>
        <v>0</v>
      </c>
      <c r="J465" s="11"/>
    </row>
    <row r="466" spans="1:10" x14ac:dyDescent="0.2">
      <c r="A466" s="17">
        <v>2</v>
      </c>
      <c r="B466" s="9">
        <v>7</v>
      </c>
      <c r="C466" s="9">
        <v>1</v>
      </c>
      <c r="D466" s="9">
        <v>1</v>
      </c>
      <c r="E466" s="9" t="s">
        <v>80</v>
      </c>
      <c r="F466" s="8" t="s">
        <v>99</v>
      </c>
      <c r="G466" s="7">
        <f>'CUENTA T FONDO 100'!IR97</f>
        <v>0</v>
      </c>
      <c r="H466" s="7">
        <f>'CUENTA T VS'!IR75</f>
        <v>0</v>
      </c>
      <c r="I466" s="7">
        <f t="shared" si="16"/>
        <v>0</v>
      </c>
      <c r="J466" s="6">
        <f>I466/$I$25</f>
        <v>0</v>
      </c>
    </row>
    <row r="467" spans="1:10" x14ac:dyDescent="0.2">
      <c r="A467" s="18">
        <v>2</v>
      </c>
      <c r="B467" s="15">
        <v>7</v>
      </c>
      <c r="C467" s="15">
        <v>1</v>
      </c>
      <c r="D467" s="15">
        <v>2</v>
      </c>
      <c r="E467" s="14"/>
      <c r="F467" s="13" t="s">
        <v>98</v>
      </c>
      <c r="G467" s="12">
        <f>+G468</f>
        <v>0</v>
      </c>
      <c r="H467" s="12">
        <f>+H468</f>
        <v>0</v>
      </c>
      <c r="I467" s="12">
        <f t="shared" si="16"/>
        <v>0</v>
      </c>
      <c r="J467" s="11"/>
    </row>
    <row r="468" spans="1:10" x14ac:dyDescent="0.2">
      <c r="A468" s="17">
        <v>2</v>
      </c>
      <c r="B468" s="9">
        <v>7</v>
      </c>
      <c r="C468" s="9">
        <v>1</v>
      </c>
      <c r="D468" s="9">
        <v>2</v>
      </c>
      <c r="E468" s="9" t="s">
        <v>80</v>
      </c>
      <c r="F468" s="8" t="s">
        <v>98</v>
      </c>
      <c r="G468" s="7">
        <f>'CUENTA T FONDO 100'!IS97</f>
        <v>0</v>
      </c>
      <c r="H468" s="7">
        <f>'CUENTA T VS'!IS75</f>
        <v>0</v>
      </c>
      <c r="I468" s="7">
        <f t="shared" si="16"/>
        <v>0</v>
      </c>
      <c r="J468" s="6">
        <f>I468/$I$25</f>
        <v>0</v>
      </c>
    </row>
    <row r="469" spans="1:10" x14ac:dyDescent="0.2">
      <c r="A469" s="18">
        <v>2</v>
      </c>
      <c r="B469" s="15">
        <v>7</v>
      </c>
      <c r="C469" s="15">
        <v>1</v>
      </c>
      <c r="D469" s="15">
        <v>3</v>
      </c>
      <c r="E469" s="14"/>
      <c r="F469" s="13" t="s">
        <v>97</v>
      </c>
      <c r="G469" s="12">
        <f>+G470</f>
        <v>0</v>
      </c>
      <c r="H469" s="12">
        <f>+H470</f>
        <v>0</v>
      </c>
      <c r="I469" s="12">
        <f t="shared" si="16"/>
        <v>0</v>
      </c>
      <c r="J469" s="11"/>
    </row>
    <row r="470" spans="1:10" x14ac:dyDescent="0.2">
      <c r="A470" s="17">
        <v>2</v>
      </c>
      <c r="B470" s="9">
        <v>7</v>
      </c>
      <c r="C470" s="9">
        <v>1</v>
      </c>
      <c r="D470" s="9">
        <v>3</v>
      </c>
      <c r="E470" s="9" t="s">
        <v>80</v>
      </c>
      <c r="F470" s="8" t="s">
        <v>97</v>
      </c>
      <c r="G470" s="7">
        <f>'CUENTA T FONDO 100'!IT97</f>
        <v>0</v>
      </c>
      <c r="H470" s="7">
        <f>'CUENTA T VS'!IT75</f>
        <v>0</v>
      </c>
      <c r="I470" s="7">
        <f t="shared" si="16"/>
        <v>0</v>
      </c>
      <c r="J470" s="6">
        <f>I470/$I$25</f>
        <v>0</v>
      </c>
    </row>
    <row r="471" spans="1:10" x14ac:dyDescent="0.2">
      <c r="A471" s="18">
        <v>2</v>
      </c>
      <c r="B471" s="15">
        <v>7</v>
      </c>
      <c r="C471" s="15">
        <v>1</v>
      </c>
      <c r="D471" s="15">
        <v>4</v>
      </c>
      <c r="E471" s="14"/>
      <c r="F471" s="13" t="s">
        <v>96</v>
      </c>
      <c r="G471" s="12">
        <f>+G472</f>
        <v>0</v>
      </c>
      <c r="H471" s="12">
        <f>+H472</f>
        <v>0</v>
      </c>
      <c r="I471" s="12">
        <f t="shared" si="16"/>
        <v>0</v>
      </c>
      <c r="J471" s="11"/>
    </row>
    <row r="472" spans="1:10" x14ac:dyDescent="0.2">
      <c r="A472" s="17">
        <v>2</v>
      </c>
      <c r="B472" s="9">
        <v>7</v>
      </c>
      <c r="C472" s="9">
        <v>1</v>
      </c>
      <c r="D472" s="9">
        <v>4</v>
      </c>
      <c r="E472" s="9" t="s">
        <v>80</v>
      </c>
      <c r="F472" s="8" t="s">
        <v>96</v>
      </c>
      <c r="G472" s="7">
        <f>'CUENTA T FONDO 100'!IU97</f>
        <v>0</v>
      </c>
      <c r="H472" s="7">
        <f>'CUENTA T VS'!IU75</f>
        <v>0</v>
      </c>
      <c r="I472" s="7">
        <f t="shared" si="16"/>
        <v>0</v>
      </c>
      <c r="J472" s="6">
        <f>I472/$I$25</f>
        <v>0</v>
      </c>
    </row>
    <row r="473" spans="1:10" x14ac:dyDescent="0.2">
      <c r="A473" s="23">
        <v>2</v>
      </c>
      <c r="B473" s="22">
        <v>7</v>
      </c>
      <c r="C473" s="22">
        <v>2</v>
      </c>
      <c r="D473" s="22"/>
      <c r="E473" s="22"/>
      <c r="F473" s="21" t="s">
        <v>95</v>
      </c>
      <c r="G473" s="20">
        <f>+G474+G476+G478+G480+G482+G484+G486+G488+G490</f>
        <v>0</v>
      </c>
      <c r="H473" s="20">
        <f>+H474+H476+H478+H480+H482+H484+H486+H488+H490</f>
        <v>0</v>
      </c>
      <c r="I473" s="20">
        <f t="shared" ref="I473:I501" si="17">SUM(G473:H473)</f>
        <v>0</v>
      </c>
      <c r="J473" s="19"/>
    </row>
    <row r="474" spans="1:10" x14ac:dyDescent="0.2">
      <c r="A474" s="18">
        <v>2</v>
      </c>
      <c r="B474" s="15">
        <v>7</v>
      </c>
      <c r="C474" s="15">
        <v>2</v>
      </c>
      <c r="D474" s="15">
        <v>1</v>
      </c>
      <c r="E474" s="14"/>
      <c r="F474" s="13" t="s">
        <v>94</v>
      </c>
      <c r="G474" s="12">
        <f>+G475</f>
        <v>0</v>
      </c>
      <c r="H474" s="12">
        <f>+H475</f>
        <v>0</v>
      </c>
      <c r="I474" s="12">
        <f t="shared" si="17"/>
        <v>0</v>
      </c>
      <c r="J474" s="11"/>
    </row>
    <row r="475" spans="1:10" x14ac:dyDescent="0.2">
      <c r="A475" s="17">
        <v>2</v>
      </c>
      <c r="B475" s="9">
        <v>7</v>
      </c>
      <c r="C475" s="9">
        <v>2</v>
      </c>
      <c r="D475" s="9">
        <v>1</v>
      </c>
      <c r="E475" s="9" t="s">
        <v>80</v>
      </c>
      <c r="F475" s="8" t="s">
        <v>94</v>
      </c>
      <c r="G475" s="7">
        <f>'CUENTA T FONDO 100'!IV97</f>
        <v>0</v>
      </c>
      <c r="H475" s="7">
        <f>'CUENTA T VS'!IV75</f>
        <v>0</v>
      </c>
      <c r="I475" s="7">
        <f t="shared" si="17"/>
        <v>0</v>
      </c>
      <c r="J475" s="6">
        <f>I475/$I$25</f>
        <v>0</v>
      </c>
    </row>
    <row r="476" spans="1:10" x14ac:dyDescent="0.2">
      <c r="A476" s="18">
        <v>2</v>
      </c>
      <c r="B476" s="15">
        <v>7</v>
      </c>
      <c r="C476" s="15">
        <v>2</v>
      </c>
      <c r="D476" s="15">
        <v>2</v>
      </c>
      <c r="E476" s="14"/>
      <c r="F476" s="13" t="s">
        <v>93</v>
      </c>
      <c r="G476" s="12">
        <f>+G477</f>
        <v>0</v>
      </c>
      <c r="H476" s="12">
        <f>+H477</f>
        <v>0</v>
      </c>
      <c r="I476" s="12">
        <f t="shared" si="17"/>
        <v>0</v>
      </c>
      <c r="J476" s="11"/>
    </row>
    <row r="477" spans="1:10" x14ac:dyDescent="0.2">
      <c r="A477" s="17">
        <v>2</v>
      </c>
      <c r="B477" s="9">
        <v>7</v>
      </c>
      <c r="C477" s="9">
        <v>2</v>
      </c>
      <c r="D477" s="9">
        <v>2</v>
      </c>
      <c r="E477" s="9" t="s">
        <v>80</v>
      </c>
      <c r="F477" s="8" t="s">
        <v>93</v>
      </c>
      <c r="G477" s="7">
        <f>'CUENTA T FONDO 100'!IW97</f>
        <v>0</v>
      </c>
      <c r="H477" s="7">
        <f>'CUENTA T VS'!IW75</f>
        <v>0</v>
      </c>
      <c r="I477" s="7">
        <f t="shared" si="17"/>
        <v>0</v>
      </c>
      <c r="J477" s="6">
        <f>I477/$I$25</f>
        <v>0</v>
      </c>
    </row>
    <row r="478" spans="1:10" x14ac:dyDescent="0.2">
      <c r="A478" s="18">
        <v>2</v>
      </c>
      <c r="B478" s="15">
        <v>7</v>
      </c>
      <c r="C478" s="15">
        <v>2</v>
      </c>
      <c r="D478" s="15">
        <v>3</v>
      </c>
      <c r="E478" s="14"/>
      <c r="F478" s="13" t="s">
        <v>92</v>
      </c>
      <c r="G478" s="12">
        <f>+G479</f>
        <v>0</v>
      </c>
      <c r="H478" s="12">
        <f>+H479</f>
        <v>0</v>
      </c>
      <c r="I478" s="12">
        <f t="shared" si="17"/>
        <v>0</v>
      </c>
      <c r="J478" s="11"/>
    </row>
    <row r="479" spans="1:10" x14ac:dyDescent="0.2">
      <c r="A479" s="17">
        <v>2</v>
      </c>
      <c r="B479" s="9">
        <v>7</v>
      </c>
      <c r="C479" s="9">
        <v>2</v>
      </c>
      <c r="D479" s="9">
        <v>3</v>
      </c>
      <c r="E479" s="9" t="s">
        <v>80</v>
      </c>
      <c r="F479" s="8" t="s">
        <v>92</v>
      </c>
      <c r="G479" s="7">
        <f>'CUENTA T FONDO 100'!IX97</f>
        <v>0</v>
      </c>
      <c r="H479" s="7">
        <f>'CUENTA T VS'!IX75</f>
        <v>0</v>
      </c>
      <c r="I479" s="7">
        <f t="shared" si="17"/>
        <v>0</v>
      </c>
      <c r="J479" s="6">
        <f>I479/$I$25</f>
        <v>0</v>
      </c>
    </row>
    <row r="480" spans="1:10" x14ac:dyDescent="0.2">
      <c r="A480" s="18">
        <v>2</v>
      </c>
      <c r="B480" s="15">
        <v>7</v>
      </c>
      <c r="C480" s="15">
        <v>2</v>
      </c>
      <c r="D480" s="15">
        <v>4</v>
      </c>
      <c r="E480" s="14"/>
      <c r="F480" s="13" t="s">
        <v>91</v>
      </c>
      <c r="G480" s="12">
        <f>+G481</f>
        <v>0</v>
      </c>
      <c r="H480" s="12">
        <f>+H481</f>
        <v>0</v>
      </c>
      <c r="I480" s="12">
        <f t="shared" si="17"/>
        <v>0</v>
      </c>
      <c r="J480" s="11"/>
    </row>
    <row r="481" spans="1:10" x14ac:dyDescent="0.2">
      <c r="A481" s="17">
        <v>2</v>
      </c>
      <c r="B481" s="9">
        <v>7</v>
      </c>
      <c r="C481" s="9">
        <v>2</v>
      </c>
      <c r="D481" s="9">
        <v>4</v>
      </c>
      <c r="E481" s="9" t="s">
        <v>80</v>
      </c>
      <c r="F481" s="8" t="s">
        <v>91</v>
      </c>
      <c r="G481" s="7">
        <f>'CUENTA T FONDO 100'!IY97</f>
        <v>0</v>
      </c>
      <c r="H481" s="7">
        <f>'CUENTA T VS'!IY75</f>
        <v>0</v>
      </c>
      <c r="I481" s="7">
        <f t="shared" si="17"/>
        <v>0</v>
      </c>
      <c r="J481" s="6">
        <f>I481/$I$25</f>
        <v>0</v>
      </c>
    </row>
    <row r="482" spans="1:10" x14ac:dyDescent="0.2">
      <c r="A482" s="18">
        <v>2</v>
      </c>
      <c r="B482" s="15">
        <v>7</v>
      </c>
      <c r="C482" s="15">
        <v>2</v>
      </c>
      <c r="D482" s="15">
        <v>5</v>
      </c>
      <c r="E482" s="14"/>
      <c r="F482" s="13" t="s">
        <v>90</v>
      </c>
      <c r="G482" s="12">
        <f>+G483</f>
        <v>0</v>
      </c>
      <c r="H482" s="12">
        <f>+H483</f>
        <v>0</v>
      </c>
      <c r="I482" s="12">
        <f t="shared" si="17"/>
        <v>0</v>
      </c>
      <c r="J482" s="11"/>
    </row>
    <row r="483" spans="1:10" x14ac:dyDescent="0.2">
      <c r="A483" s="17">
        <v>2</v>
      </c>
      <c r="B483" s="9">
        <v>7</v>
      </c>
      <c r="C483" s="9">
        <v>2</v>
      </c>
      <c r="D483" s="9">
        <v>5</v>
      </c>
      <c r="E483" s="9" t="s">
        <v>80</v>
      </c>
      <c r="F483" s="8" t="s">
        <v>90</v>
      </c>
      <c r="G483" s="7">
        <f>'CUENTA T FONDO 100'!IZ97</f>
        <v>0</v>
      </c>
      <c r="H483" s="7">
        <f>'CUENTA T VS'!IZ75</f>
        <v>0</v>
      </c>
      <c r="I483" s="7">
        <f t="shared" si="17"/>
        <v>0</v>
      </c>
      <c r="J483" s="6">
        <f>I483/$I$25</f>
        <v>0</v>
      </c>
    </row>
    <row r="484" spans="1:10" x14ac:dyDescent="0.2">
      <c r="A484" s="18">
        <v>2</v>
      </c>
      <c r="B484" s="15">
        <v>7</v>
      </c>
      <c r="C484" s="15">
        <v>2</v>
      </c>
      <c r="D484" s="15">
        <v>6</v>
      </c>
      <c r="E484" s="14"/>
      <c r="F484" s="13" t="s">
        <v>89</v>
      </c>
      <c r="G484" s="12">
        <f>+G485</f>
        <v>0</v>
      </c>
      <c r="H484" s="12">
        <f>+H485</f>
        <v>0</v>
      </c>
      <c r="I484" s="12">
        <f t="shared" si="17"/>
        <v>0</v>
      </c>
      <c r="J484" s="11"/>
    </row>
    <row r="485" spans="1:10" x14ac:dyDescent="0.2">
      <c r="A485" s="17">
        <v>2</v>
      </c>
      <c r="B485" s="9">
        <v>7</v>
      </c>
      <c r="C485" s="9">
        <v>2</v>
      </c>
      <c r="D485" s="9">
        <v>6</v>
      </c>
      <c r="E485" s="9" t="s">
        <v>80</v>
      </c>
      <c r="F485" s="8" t="s">
        <v>89</v>
      </c>
      <c r="G485" s="7">
        <f>'CUENTA T FONDO 100'!JA97</f>
        <v>0</v>
      </c>
      <c r="H485" s="7">
        <f>'CUENTA T VS'!JA75</f>
        <v>0</v>
      </c>
      <c r="I485" s="7">
        <f t="shared" si="17"/>
        <v>0</v>
      </c>
      <c r="J485" s="6">
        <f>I485/$I$25</f>
        <v>0</v>
      </c>
    </row>
    <row r="486" spans="1:10" x14ac:dyDescent="0.2">
      <c r="A486" s="18">
        <v>2</v>
      </c>
      <c r="B486" s="15">
        <v>7</v>
      </c>
      <c r="C486" s="15">
        <v>2</v>
      </c>
      <c r="D486" s="15">
        <v>7</v>
      </c>
      <c r="E486" s="14"/>
      <c r="F486" s="13" t="s">
        <v>88</v>
      </c>
      <c r="G486" s="12">
        <f>+G487</f>
        <v>0</v>
      </c>
      <c r="H486" s="12">
        <f>+H487</f>
        <v>0</v>
      </c>
      <c r="I486" s="12">
        <f t="shared" si="17"/>
        <v>0</v>
      </c>
      <c r="J486" s="11"/>
    </row>
    <row r="487" spans="1:10" x14ac:dyDescent="0.2">
      <c r="A487" s="17">
        <v>2</v>
      </c>
      <c r="B487" s="9">
        <v>7</v>
      </c>
      <c r="C487" s="9">
        <v>2</v>
      </c>
      <c r="D487" s="9">
        <v>7</v>
      </c>
      <c r="E487" s="9" t="s">
        <v>80</v>
      </c>
      <c r="F487" s="8" t="s">
        <v>88</v>
      </c>
      <c r="G487" s="7">
        <f>'CUENTA T FONDO 100'!JB97</f>
        <v>0</v>
      </c>
      <c r="H487" s="7">
        <f>'CUENTA T VS'!JB75</f>
        <v>0</v>
      </c>
      <c r="I487" s="7">
        <f t="shared" si="17"/>
        <v>0</v>
      </c>
      <c r="J487" s="6">
        <f>I487/$I$25</f>
        <v>0</v>
      </c>
    </row>
    <row r="488" spans="1:10" x14ac:dyDescent="0.2">
      <c r="A488" s="18">
        <v>2</v>
      </c>
      <c r="B488" s="15">
        <v>7</v>
      </c>
      <c r="C488" s="15">
        <v>2</v>
      </c>
      <c r="D488" s="15">
        <v>8</v>
      </c>
      <c r="E488" s="14"/>
      <c r="F488" s="13" t="s">
        <v>87</v>
      </c>
      <c r="G488" s="12">
        <f>+G489</f>
        <v>0</v>
      </c>
      <c r="H488" s="12">
        <f>+H489</f>
        <v>0</v>
      </c>
      <c r="I488" s="12">
        <f t="shared" si="17"/>
        <v>0</v>
      </c>
      <c r="J488" s="11"/>
    </row>
    <row r="489" spans="1:10" x14ac:dyDescent="0.2">
      <c r="A489" s="17">
        <v>2</v>
      </c>
      <c r="B489" s="9">
        <v>7</v>
      </c>
      <c r="C489" s="9">
        <v>2</v>
      </c>
      <c r="D489" s="9">
        <v>8</v>
      </c>
      <c r="E489" s="9" t="s">
        <v>80</v>
      </c>
      <c r="F489" s="8" t="s">
        <v>87</v>
      </c>
      <c r="G489" s="7">
        <f>'CUENTA T FONDO 100'!JC97</f>
        <v>0</v>
      </c>
      <c r="H489" s="7">
        <f>'CUENTA T VS'!JC75</f>
        <v>0</v>
      </c>
      <c r="I489" s="7">
        <f t="shared" si="17"/>
        <v>0</v>
      </c>
      <c r="J489" s="6">
        <f>I489/$I$25</f>
        <v>0</v>
      </c>
    </row>
    <row r="490" spans="1:10" x14ac:dyDescent="0.2">
      <c r="A490" s="18">
        <v>2</v>
      </c>
      <c r="B490" s="15">
        <v>7</v>
      </c>
      <c r="C490" s="15">
        <v>2</v>
      </c>
      <c r="D490" s="15">
        <v>9</v>
      </c>
      <c r="E490" s="14"/>
      <c r="F490" s="13" t="s">
        <v>86</v>
      </c>
      <c r="G490" s="12">
        <f>+G491</f>
        <v>0</v>
      </c>
      <c r="H490" s="12">
        <f>+H491</f>
        <v>0</v>
      </c>
      <c r="I490" s="12">
        <f t="shared" si="17"/>
        <v>0</v>
      </c>
      <c r="J490" s="11"/>
    </row>
    <row r="491" spans="1:10" x14ac:dyDescent="0.2">
      <c r="A491" s="17">
        <v>2</v>
      </c>
      <c r="B491" s="9">
        <v>7</v>
      </c>
      <c r="C491" s="9">
        <v>2</v>
      </c>
      <c r="D491" s="9">
        <v>9</v>
      </c>
      <c r="E491" s="9" t="s">
        <v>80</v>
      </c>
      <c r="F491" s="8" t="s">
        <v>86</v>
      </c>
      <c r="G491" s="7">
        <f>'CUENTA T FONDO 100'!JD97</f>
        <v>0</v>
      </c>
      <c r="H491" s="7">
        <f>'CUENTA T VS'!JD75</f>
        <v>0</v>
      </c>
      <c r="I491" s="7">
        <f t="shared" si="17"/>
        <v>0</v>
      </c>
      <c r="J491" s="6">
        <f>I491/$I$25</f>
        <v>0</v>
      </c>
    </row>
    <row r="492" spans="1:10" x14ac:dyDescent="0.2">
      <c r="A492" s="23">
        <v>2</v>
      </c>
      <c r="B492" s="22">
        <v>7</v>
      </c>
      <c r="C492" s="22">
        <v>3</v>
      </c>
      <c r="D492" s="22"/>
      <c r="E492" s="22"/>
      <c r="F492" s="21" t="s">
        <v>85</v>
      </c>
      <c r="G492" s="20">
        <f>+G493+G495</f>
        <v>0</v>
      </c>
      <c r="H492" s="20">
        <f>+H493+H495</f>
        <v>0</v>
      </c>
      <c r="I492" s="20">
        <f t="shared" si="17"/>
        <v>0</v>
      </c>
      <c r="J492" s="19"/>
    </row>
    <row r="493" spans="1:10" x14ac:dyDescent="0.2">
      <c r="A493" s="18">
        <v>2</v>
      </c>
      <c r="B493" s="15">
        <v>7</v>
      </c>
      <c r="C493" s="15">
        <v>3</v>
      </c>
      <c r="D493" s="15">
        <v>1</v>
      </c>
      <c r="E493" s="14"/>
      <c r="F493" s="13" t="s">
        <v>84</v>
      </c>
      <c r="G493" s="12">
        <f>+G494</f>
        <v>0</v>
      </c>
      <c r="H493" s="12">
        <f>+H494</f>
        <v>0</v>
      </c>
      <c r="I493" s="12">
        <f t="shared" si="17"/>
        <v>0</v>
      </c>
      <c r="J493" s="11"/>
    </row>
    <row r="494" spans="1:10" x14ac:dyDescent="0.2">
      <c r="A494" s="17">
        <v>2</v>
      </c>
      <c r="B494" s="9">
        <v>7</v>
      </c>
      <c r="C494" s="9">
        <v>3</v>
      </c>
      <c r="D494" s="9">
        <v>1</v>
      </c>
      <c r="E494" s="9" t="s">
        <v>80</v>
      </c>
      <c r="F494" s="8" t="s">
        <v>84</v>
      </c>
      <c r="G494" s="7">
        <f>'CUENTA T FONDO 100'!JE97</f>
        <v>0</v>
      </c>
      <c r="H494" s="7">
        <f>'CUENTA T VS'!JE75</f>
        <v>0</v>
      </c>
      <c r="I494" s="7">
        <f t="shared" si="17"/>
        <v>0</v>
      </c>
      <c r="J494" s="6">
        <f>I494/$I$25</f>
        <v>0</v>
      </c>
    </row>
    <row r="495" spans="1:10" x14ac:dyDescent="0.2">
      <c r="A495" s="18">
        <v>2</v>
      </c>
      <c r="B495" s="15">
        <v>7</v>
      </c>
      <c r="C495" s="15">
        <v>3</v>
      </c>
      <c r="D495" s="15">
        <v>2</v>
      </c>
      <c r="E495" s="14"/>
      <c r="F495" s="13" t="s">
        <v>83</v>
      </c>
      <c r="G495" s="12">
        <f>+G496</f>
        <v>0</v>
      </c>
      <c r="H495" s="12">
        <f>+H496</f>
        <v>0</v>
      </c>
      <c r="I495" s="12">
        <f t="shared" si="17"/>
        <v>0</v>
      </c>
      <c r="J495" s="11"/>
    </row>
    <row r="496" spans="1:10" x14ac:dyDescent="0.2">
      <c r="A496" s="17">
        <v>2</v>
      </c>
      <c r="B496" s="9">
        <v>7</v>
      </c>
      <c r="C496" s="9">
        <v>3</v>
      </c>
      <c r="D496" s="9">
        <v>2</v>
      </c>
      <c r="E496" s="9" t="s">
        <v>80</v>
      </c>
      <c r="F496" s="8" t="s">
        <v>83</v>
      </c>
      <c r="G496" s="7">
        <f>'CUENTA T FONDO 100'!JF97</f>
        <v>0</v>
      </c>
      <c r="H496" s="7">
        <f>'CUENTA T VS'!JF75</f>
        <v>0</v>
      </c>
      <c r="I496" s="7">
        <f t="shared" si="17"/>
        <v>0</v>
      </c>
      <c r="J496" s="6">
        <f>I496/$I$25</f>
        <v>0</v>
      </c>
    </row>
    <row r="497" spans="1:10" ht="25.5" x14ac:dyDescent="0.2">
      <c r="A497" s="23">
        <v>2</v>
      </c>
      <c r="B497" s="22">
        <v>7</v>
      </c>
      <c r="C497" s="22">
        <v>4</v>
      </c>
      <c r="D497" s="22"/>
      <c r="E497" s="22"/>
      <c r="F497" s="21" t="s">
        <v>82</v>
      </c>
      <c r="G497" s="20">
        <f>+G498+G500</f>
        <v>0</v>
      </c>
      <c r="H497" s="20">
        <f>+H498+H500</f>
        <v>0</v>
      </c>
      <c r="I497" s="20">
        <f t="shared" si="17"/>
        <v>0</v>
      </c>
      <c r="J497" s="19"/>
    </row>
    <row r="498" spans="1:10" x14ac:dyDescent="0.2">
      <c r="A498" s="18">
        <v>2</v>
      </c>
      <c r="B498" s="15">
        <v>7</v>
      </c>
      <c r="C498" s="15">
        <v>4</v>
      </c>
      <c r="D498" s="15">
        <v>1</v>
      </c>
      <c r="E498" s="14"/>
      <c r="F498" s="13" t="s">
        <v>81</v>
      </c>
      <c r="G498" s="12">
        <f>+G499</f>
        <v>0</v>
      </c>
      <c r="H498" s="12">
        <f>+H499</f>
        <v>0</v>
      </c>
      <c r="I498" s="12">
        <f t="shared" si="17"/>
        <v>0</v>
      </c>
      <c r="J498" s="11"/>
    </row>
    <row r="499" spans="1:10" x14ac:dyDescent="0.2">
      <c r="A499" s="17">
        <v>2</v>
      </c>
      <c r="B499" s="9">
        <v>7</v>
      </c>
      <c r="C499" s="9">
        <v>4</v>
      </c>
      <c r="D499" s="9">
        <v>1</v>
      </c>
      <c r="E499" s="9" t="s">
        <v>80</v>
      </c>
      <c r="F499" s="8" t="s">
        <v>81</v>
      </c>
      <c r="G499" s="7">
        <f>'CUENTA T FONDO 100'!JG97</f>
        <v>0</v>
      </c>
      <c r="H499" s="7">
        <f>'CUENTA T VS'!JG75</f>
        <v>0</v>
      </c>
      <c r="I499" s="7">
        <f t="shared" si="17"/>
        <v>0</v>
      </c>
      <c r="J499" s="6">
        <f>I499/$I$25</f>
        <v>0</v>
      </c>
    </row>
    <row r="500" spans="1:10" ht="25.5" x14ac:dyDescent="0.2">
      <c r="A500" s="16">
        <v>2</v>
      </c>
      <c r="B500" s="15">
        <v>7</v>
      </c>
      <c r="C500" s="15">
        <v>4</v>
      </c>
      <c r="D500" s="15">
        <v>2</v>
      </c>
      <c r="E500" s="14"/>
      <c r="F500" s="13" t="s">
        <v>79</v>
      </c>
      <c r="G500" s="12">
        <f>+G501</f>
        <v>0</v>
      </c>
      <c r="H500" s="12">
        <f>+H501</f>
        <v>0</v>
      </c>
      <c r="I500" s="12">
        <f t="shared" si="17"/>
        <v>0</v>
      </c>
      <c r="J500" s="11"/>
    </row>
    <row r="501" spans="1:10" ht="25.5" x14ac:dyDescent="0.2">
      <c r="A501" s="10">
        <v>2</v>
      </c>
      <c r="B501" s="9">
        <v>7</v>
      </c>
      <c r="C501" s="9">
        <v>4</v>
      </c>
      <c r="D501" s="9">
        <v>2</v>
      </c>
      <c r="E501" s="9" t="s">
        <v>80</v>
      </c>
      <c r="F501" s="8" t="s">
        <v>79</v>
      </c>
      <c r="G501" s="7">
        <f>'CUENTA T FONDO 100'!JH97</f>
        <v>0</v>
      </c>
      <c r="H501" s="7">
        <f>'CUENTA T VS'!JH75</f>
        <v>0</v>
      </c>
      <c r="I501" s="7">
        <f t="shared" si="17"/>
        <v>0</v>
      </c>
      <c r="J501" s="6">
        <f>I501/$I$25</f>
        <v>0</v>
      </c>
    </row>
    <row r="502" spans="1:10" ht="15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5"/>
    </row>
    <row r="503" spans="1:10" ht="15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spans="1:10" ht="15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spans="1:10" ht="15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spans="1:10" ht="15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spans="1:10" ht="15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spans="1:10" ht="15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spans="1:10" ht="15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spans="1:10" ht="15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spans="1:10" ht="15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ZAfGeYA5VbL0gG93akD1xexJu2rI3UXxHwEtGuh6c0glGlh5rE1RHQPZZ54q7AqVc1jO4jlchft9pel46vZT4g==" saltValue="JJI+A7ZZczdDIztssZc9Vg==" spinCount="100000" sqref="I6:J7 A9:J18 A6:H7" name="Rango1"/>
  </protectedRanges>
  <mergeCells count="21">
    <mergeCell ref="I22:I24"/>
    <mergeCell ref="G23:G24"/>
    <mergeCell ref="H23:H24"/>
    <mergeCell ref="F22:F24"/>
    <mergeCell ref="G22:H22"/>
    <mergeCell ref="L23:P23"/>
    <mergeCell ref="A2:H2"/>
    <mergeCell ref="A3:J3"/>
    <mergeCell ref="A4:J4"/>
    <mergeCell ref="A5:J5"/>
    <mergeCell ref="A6:J6"/>
    <mergeCell ref="A7:J7"/>
    <mergeCell ref="A21:E21"/>
    <mergeCell ref="G21:H21"/>
    <mergeCell ref="A22:E22"/>
    <mergeCell ref="J22:J24"/>
    <mergeCell ref="A23:A24"/>
    <mergeCell ref="B23:B24"/>
    <mergeCell ref="C23:C24"/>
    <mergeCell ref="D23:D24"/>
    <mergeCell ref="E23:E24"/>
  </mergeCells>
  <phoneticPr fontId="44" type="noConversion"/>
  <printOptions horizontalCentered="1"/>
  <pageMargins left="0.70866141732283472" right="0.70866141732283472" top="0.15748031496062992" bottom="0" header="0.11811023622047245" footer="0"/>
  <pageSetup scale="4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W98"/>
  <sheetViews>
    <sheetView topLeftCell="IR1" zoomScale="90" zoomScaleNormal="90" workbookViewId="0">
      <pane ySplit="2" topLeftCell="A57" activePane="bottomLeft" state="frozen"/>
      <selection activeCell="IG1" sqref="IG1"/>
      <selection pane="bottomLeft" activeCell="JI81" sqref="JI81"/>
    </sheetView>
  </sheetViews>
  <sheetFormatPr baseColWidth="10" defaultColWidth="11.42578125" defaultRowHeight="15" x14ac:dyDescent="0.25"/>
  <cols>
    <col min="1" max="1" width="15" bestFit="1" customWidth="1"/>
    <col min="2" max="9" width="7.85546875" bestFit="1" customWidth="1"/>
    <col min="10" max="10" width="13.85546875" bestFit="1" customWidth="1"/>
    <col min="11" max="13" width="7.85546875" bestFit="1" customWidth="1"/>
    <col min="14" max="14" width="14.85546875" bestFit="1" customWidth="1"/>
    <col min="15" max="16" width="7.85546875" bestFit="1" customWidth="1"/>
    <col min="17" max="17" width="11.140625" bestFit="1" customWidth="1"/>
    <col min="18" max="18" width="12.140625" bestFit="1" customWidth="1"/>
    <col min="19" max="19" width="13.85546875" bestFit="1" customWidth="1"/>
    <col min="20" max="22" width="7.85546875" bestFit="1" customWidth="1"/>
    <col min="23" max="23" width="11.140625" bestFit="1" customWidth="1"/>
    <col min="24" max="25" width="7.85546875" bestFit="1" customWidth="1"/>
    <col min="26" max="26" width="12.140625" bestFit="1" customWidth="1"/>
    <col min="27" max="27" width="7.85546875" bestFit="1" customWidth="1"/>
    <col min="28" max="28" width="12.140625" bestFit="1" customWidth="1"/>
    <col min="29" max="36" width="7.85546875" bestFit="1" customWidth="1"/>
    <col min="37" max="38" width="13.85546875" bestFit="1" customWidth="1"/>
    <col min="39" max="39" width="12.140625" bestFit="1" customWidth="1"/>
    <col min="40" max="47" width="7.85546875" bestFit="1" customWidth="1"/>
    <col min="48" max="48" width="11.140625" bestFit="1" customWidth="1"/>
    <col min="49" max="50" width="7.85546875" bestFit="1" customWidth="1"/>
    <col min="51" max="51" width="11.140625" bestFit="1" customWidth="1"/>
    <col min="52" max="60" width="7.85546875" bestFit="1" customWidth="1"/>
    <col min="61" max="61" width="12.140625" bestFit="1" customWidth="1"/>
    <col min="62" max="74" width="7.85546875" bestFit="1" customWidth="1"/>
    <col min="75" max="75" width="13.85546875" bestFit="1" customWidth="1"/>
    <col min="76" max="76" width="11.140625" bestFit="1" customWidth="1"/>
    <col min="77" max="85" width="7.85546875" bestFit="1" customWidth="1"/>
    <col min="86" max="86" width="11.140625" bestFit="1" customWidth="1"/>
    <col min="87" max="94" width="7.85546875" bestFit="1" customWidth="1"/>
    <col min="95" max="95" width="12.140625" bestFit="1" customWidth="1"/>
    <col min="96" max="107" width="7.85546875" bestFit="1" customWidth="1"/>
    <col min="108" max="108" width="13.85546875" bestFit="1" customWidth="1"/>
    <col min="109" max="109" width="12.140625" bestFit="1" customWidth="1"/>
    <col min="110" max="113" width="7.85546875" bestFit="1" customWidth="1"/>
    <col min="114" max="115" width="13.85546875" bestFit="1" customWidth="1"/>
    <col min="116" max="121" width="7.85546875" bestFit="1" customWidth="1"/>
    <col min="122" max="122" width="12.140625" bestFit="1" customWidth="1"/>
    <col min="123" max="123" width="13.85546875" bestFit="1" customWidth="1"/>
    <col min="124" max="125" width="11.140625" bestFit="1" customWidth="1"/>
    <col min="126" max="127" width="12.140625" bestFit="1" customWidth="1"/>
    <col min="128" max="130" width="7.85546875" bestFit="1" customWidth="1"/>
    <col min="131" max="131" width="14.85546875" bestFit="1" customWidth="1"/>
    <col min="132" max="135" width="7.85546875" bestFit="1" customWidth="1"/>
    <col min="136" max="136" width="11.140625" bestFit="1" customWidth="1"/>
    <col min="137" max="137" width="12.140625" bestFit="1" customWidth="1"/>
    <col min="138" max="138" width="10" bestFit="1" customWidth="1"/>
    <col min="139" max="142" width="7.85546875" bestFit="1" customWidth="1"/>
    <col min="143" max="143" width="11.140625" bestFit="1" customWidth="1"/>
    <col min="144" max="144" width="7.85546875" bestFit="1" customWidth="1"/>
    <col min="145" max="145" width="11.140625" bestFit="1" customWidth="1"/>
    <col min="146" max="146" width="10" bestFit="1" customWidth="1"/>
    <col min="147" max="147" width="7.85546875" bestFit="1" customWidth="1"/>
    <col min="148" max="148" width="12.140625" bestFit="1" customWidth="1"/>
    <col min="149" max="157" width="7.85546875" bestFit="1" customWidth="1"/>
    <col min="158" max="158" width="12.140625" bestFit="1" customWidth="1"/>
    <col min="159" max="165" width="7.85546875" bestFit="1" customWidth="1"/>
    <col min="166" max="166" width="14.85546875" bestFit="1" customWidth="1"/>
    <col min="167" max="168" width="7.85546875" bestFit="1" customWidth="1"/>
    <col min="169" max="170" width="12.140625" bestFit="1" customWidth="1"/>
    <col min="171" max="172" width="7.85546875" bestFit="1" customWidth="1"/>
    <col min="173" max="173" width="13.85546875" bestFit="1" customWidth="1"/>
    <col min="174" max="174" width="7.85546875" bestFit="1" customWidth="1"/>
    <col min="175" max="175" width="12.140625" bestFit="1" customWidth="1"/>
    <col min="176" max="176" width="13.85546875" bestFit="1" customWidth="1"/>
    <col min="177" max="178" width="7.85546875" bestFit="1" customWidth="1"/>
    <col min="179" max="179" width="12.140625" bestFit="1" customWidth="1"/>
    <col min="180" max="180" width="7.85546875" bestFit="1" customWidth="1"/>
    <col min="181" max="182" width="12.140625" bestFit="1" customWidth="1"/>
    <col min="183" max="184" width="11.140625" bestFit="1" customWidth="1"/>
    <col min="185" max="189" width="7.85546875" bestFit="1" customWidth="1"/>
    <col min="190" max="190" width="12.140625" bestFit="1" customWidth="1"/>
    <col min="191" max="191" width="7.85546875" bestFit="1" customWidth="1"/>
    <col min="192" max="193" width="12.140625" bestFit="1" customWidth="1"/>
    <col min="194" max="194" width="11.140625" bestFit="1" customWidth="1"/>
    <col min="195" max="198" width="7.85546875" bestFit="1" customWidth="1"/>
    <col min="199" max="199" width="13.85546875" bestFit="1" customWidth="1"/>
    <col min="200" max="200" width="11.140625" bestFit="1" customWidth="1"/>
    <col min="201" max="201" width="7.85546875" bestFit="1" customWidth="1"/>
    <col min="202" max="202" width="13.85546875" bestFit="1" customWidth="1"/>
    <col min="203" max="211" width="7.85546875" bestFit="1" customWidth="1"/>
    <col min="212" max="212" width="12.140625" bestFit="1" customWidth="1"/>
    <col min="213" max="213" width="7.85546875" bestFit="1" customWidth="1"/>
    <col min="214" max="216" width="12.140625" bestFit="1" customWidth="1"/>
    <col min="217" max="217" width="11.140625" bestFit="1" customWidth="1"/>
    <col min="218" max="218" width="12.140625" bestFit="1" customWidth="1"/>
    <col min="219" max="219" width="7.85546875" bestFit="1" customWidth="1"/>
    <col min="220" max="220" width="11.140625" bestFit="1" customWidth="1"/>
    <col min="221" max="250" width="7.85546875" bestFit="1" customWidth="1"/>
    <col min="251" max="251" width="9" bestFit="1" customWidth="1"/>
    <col min="252" max="268" width="7.85546875" bestFit="1" customWidth="1"/>
    <col min="269" max="269" width="16.140625" bestFit="1" customWidth="1"/>
    <col min="270" max="270" width="11.7109375" bestFit="1" customWidth="1"/>
    <col min="271" max="271" width="16" bestFit="1" customWidth="1"/>
    <col min="272" max="272" width="14.42578125" bestFit="1" customWidth="1"/>
    <col min="273" max="273" width="17.85546875" bestFit="1" customWidth="1"/>
    <col min="274" max="274" width="5.5703125" bestFit="1" customWidth="1"/>
    <col min="275" max="275" width="5.42578125" bestFit="1" customWidth="1"/>
    <col min="276" max="276" width="18.5703125" bestFit="1" customWidth="1"/>
    <col min="1141" max="1141" width="11.42578125" style="1"/>
  </cols>
  <sheetData>
    <row r="1" spans="1:276" ht="23.25" x14ac:dyDescent="0.35">
      <c r="A1" s="436" t="s">
        <v>78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6"/>
      <c r="P1" s="436"/>
      <c r="Q1" s="436"/>
      <c r="R1" s="436"/>
      <c r="S1" s="436"/>
      <c r="T1" s="436"/>
      <c r="U1" s="436"/>
      <c r="V1" s="436"/>
      <c r="W1" s="436"/>
      <c r="X1" s="436"/>
      <c r="Y1" s="436"/>
      <c r="Z1" s="436"/>
      <c r="AA1" s="436"/>
      <c r="AB1" s="436"/>
      <c r="AC1" s="436"/>
      <c r="AD1" s="436"/>
      <c r="AE1" s="436"/>
      <c r="AF1" s="436"/>
      <c r="AG1" s="436"/>
      <c r="AH1" s="436"/>
      <c r="AI1" s="436"/>
      <c r="AJ1" s="436"/>
      <c r="AK1" s="436"/>
      <c r="AL1" s="436"/>
      <c r="AM1" s="436"/>
      <c r="AN1" s="436"/>
      <c r="AO1" s="436"/>
      <c r="AP1" s="436"/>
      <c r="AQ1" s="436"/>
      <c r="AR1" s="436"/>
      <c r="AS1" s="436"/>
      <c r="AT1" s="436"/>
      <c r="AU1" s="436"/>
      <c r="AV1" s="436"/>
      <c r="AW1" s="436"/>
      <c r="AX1" s="436"/>
      <c r="AY1" s="436"/>
      <c r="AZ1" s="436"/>
      <c r="BA1" s="436"/>
      <c r="BB1" s="436"/>
      <c r="BC1" s="436"/>
      <c r="BD1" s="436"/>
      <c r="BE1" s="436"/>
      <c r="BF1" s="436"/>
      <c r="BG1" s="436"/>
      <c r="BH1" s="436"/>
      <c r="BI1" s="436"/>
      <c r="BJ1" s="436"/>
      <c r="BK1" s="436"/>
      <c r="BL1" s="436"/>
      <c r="BM1" s="436"/>
      <c r="BN1" s="436"/>
      <c r="BO1" s="436"/>
      <c r="BP1" s="436"/>
      <c r="BQ1" s="436"/>
      <c r="BR1" s="436"/>
      <c r="BS1" s="436"/>
      <c r="BT1" s="436"/>
      <c r="BU1" s="436"/>
      <c r="BV1" s="436"/>
      <c r="BW1" s="436"/>
      <c r="BX1" s="436"/>
      <c r="BY1" s="436"/>
      <c r="BZ1" s="436"/>
      <c r="CA1" s="436"/>
      <c r="CB1" s="436"/>
      <c r="CC1" s="436"/>
      <c r="CD1" s="436"/>
      <c r="CE1" s="436"/>
      <c r="CF1" s="436"/>
      <c r="CG1" s="436"/>
      <c r="CH1" s="436"/>
      <c r="CI1" s="436"/>
      <c r="CJ1" s="436"/>
      <c r="CK1" s="436"/>
      <c r="CL1" s="436"/>
      <c r="CM1" s="436"/>
      <c r="CN1" s="436"/>
      <c r="CO1" s="436"/>
      <c r="CP1" s="436"/>
      <c r="CQ1" s="436"/>
      <c r="CR1" s="436"/>
      <c r="CS1" s="436"/>
      <c r="CT1" s="436"/>
      <c r="CU1" s="436"/>
      <c r="CV1" s="436"/>
      <c r="CW1" s="436"/>
      <c r="CX1" s="436"/>
      <c r="CY1" s="436"/>
      <c r="CZ1" s="436"/>
      <c r="DA1" s="436"/>
      <c r="DB1" s="436"/>
      <c r="DC1" s="436"/>
      <c r="DD1" s="436"/>
      <c r="DE1" s="436"/>
      <c r="DF1" s="436"/>
      <c r="DG1" s="436"/>
      <c r="DH1" s="436"/>
      <c r="DI1" s="436"/>
      <c r="DJ1" s="436"/>
      <c r="DK1" s="436"/>
      <c r="DL1" s="436"/>
      <c r="DM1" s="436"/>
      <c r="DN1" s="436"/>
      <c r="DO1" s="436"/>
      <c r="DP1" s="436"/>
      <c r="DQ1" s="436"/>
      <c r="DR1" s="436"/>
      <c r="DS1" s="436"/>
      <c r="DT1" s="436"/>
      <c r="DU1" s="436"/>
      <c r="DV1" s="436"/>
      <c r="DW1" s="436"/>
      <c r="DX1" s="436"/>
      <c r="DY1" s="436"/>
      <c r="DZ1" s="436"/>
      <c r="EA1" s="436"/>
      <c r="EB1" s="436"/>
      <c r="EC1" s="436"/>
      <c r="ED1" s="436"/>
      <c r="EE1" s="436"/>
      <c r="EF1" s="436"/>
      <c r="EG1" s="436"/>
      <c r="EH1" s="436"/>
      <c r="EI1" s="436"/>
      <c r="EJ1" s="436"/>
      <c r="EK1" s="436"/>
      <c r="EL1" s="436"/>
      <c r="EM1" s="436"/>
      <c r="EN1" s="436"/>
      <c r="EO1" s="436"/>
      <c r="EP1" s="436"/>
      <c r="EQ1" s="436"/>
      <c r="ER1" s="436"/>
      <c r="ES1" s="436"/>
      <c r="ET1" s="436"/>
      <c r="EU1" s="436"/>
      <c r="EV1" s="436"/>
      <c r="EW1" s="436"/>
      <c r="EX1" s="436"/>
      <c r="EY1" s="436"/>
      <c r="EZ1" s="436"/>
      <c r="FA1" s="436"/>
      <c r="FB1" s="436"/>
      <c r="FC1" s="436"/>
      <c r="FD1" s="436"/>
      <c r="FE1" s="436"/>
      <c r="FF1" s="436"/>
      <c r="FG1" s="436"/>
      <c r="FH1" s="436"/>
      <c r="FI1" s="436"/>
      <c r="FJ1" s="436"/>
      <c r="FK1" s="436"/>
      <c r="FL1" s="436"/>
      <c r="FM1" s="436"/>
      <c r="FN1" s="436"/>
      <c r="FO1" s="436"/>
      <c r="FP1" s="436"/>
      <c r="FQ1" s="436"/>
      <c r="FR1" s="436"/>
      <c r="FS1" s="436"/>
      <c r="FT1" s="436"/>
      <c r="FU1" s="436"/>
      <c r="FV1" s="436"/>
      <c r="FW1" s="436"/>
      <c r="FX1" s="436"/>
      <c r="FY1" s="436"/>
      <c r="FZ1" s="436"/>
      <c r="GA1" s="436"/>
      <c r="GB1" s="436"/>
      <c r="GC1" s="436"/>
      <c r="GD1" s="436"/>
      <c r="GE1" s="436"/>
      <c r="GF1" s="436"/>
      <c r="GG1" s="436"/>
      <c r="GH1" s="436"/>
      <c r="GI1" s="436"/>
      <c r="GJ1" s="436"/>
      <c r="GK1" s="436"/>
      <c r="GL1" s="436"/>
      <c r="GM1" s="436"/>
      <c r="GN1" s="436"/>
      <c r="GO1" s="436"/>
      <c r="GP1" s="436"/>
      <c r="GQ1" s="436"/>
      <c r="GR1" s="436"/>
      <c r="GS1" s="436"/>
      <c r="GT1" s="436"/>
      <c r="GU1" s="436"/>
      <c r="GV1" s="436"/>
      <c r="GW1" s="436"/>
      <c r="GX1" s="436"/>
      <c r="GY1" s="436"/>
      <c r="GZ1" s="436"/>
      <c r="HA1" s="436"/>
      <c r="HB1" s="436"/>
      <c r="HC1" s="436"/>
      <c r="HD1" s="436"/>
      <c r="HE1" s="436"/>
      <c r="HF1" s="436"/>
      <c r="HG1" s="436"/>
      <c r="HH1" s="436"/>
      <c r="HI1" s="436"/>
      <c r="HJ1" s="436"/>
      <c r="HK1" s="436"/>
      <c r="HL1" s="436"/>
      <c r="HM1" s="436"/>
      <c r="HN1" s="436"/>
      <c r="HO1" s="436"/>
      <c r="HP1" s="436"/>
      <c r="HQ1" s="436"/>
      <c r="HR1" s="436"/>
      <c r="HS1" s="436"/>
      <c r="HT1" s="436"/>
      <c r="HU1" s="436"/>
      <c r="HV1" s="436"/>
      <c r="HW1" s="436"/>
      <c r="HX1" s="436"/>
      <c r="HY1" s="436"/>
      <c r="HZ1" s="436"/>
      <c r="IA1" s="436"/>
      <c r="IB1" s="436"/>
      <c r="IC1" s="436"/>
      <c r="ID1" s="436"/>
      <c r="IE1" s="436"/>
      <c r="IF1" s="436"/>
      <c r="IG1" s="436"/>
      <c r="IH1" s="436"/>
      <c r="II1" s="436"/>
      <c r="IJ1" s="436"/>
      <c r="IK1" s="436"/>
      <c r="IL1" s="436"/>
      <c r="IM1" s="436"/>
      <c r="IN1" s="436"/>
      <c r="IO1" s="436"/>
      <c r="IP1" s="436"/>
      <c r="IQ1" s="436"/>
      <c r="IR1" s="436"/>
      <c r="IS1" s="436"/>
      <c r="IT1" s="436"/>
      <c r="IU1" s="436"/>
      <c r="IV1" s="436"/>
      <c r="IW1" s="436"/>
      <c r="IX1" s="436"/>
      <c r="IY1" s="436"/>
      <c r="IZ1" s="436"/>
      <c r="JA1" s="436"/>
      <c r="JB1" s="436"/>
      <c r="JC1" s="436"/>
      <c r="JD1" s="436"/>
      <c r="JE1" s="436"/>
      <c r="JF1" s="436"/>
      <c r="JG1" s="436"/>
      <c r="JH1" s="436"/>
    </row>
    <row r="2" spans="1:276" ht="18.75" x14ac:dyDescent="0.3">
      <c r="A2" s="118">
        <v>211101</v>
      </c>
      <c r="B2" s="118">
        <v>211102</v>
      </c>
      <c r="C2" s="118">
        <v>211103</v>
      </c>
      <c r="D2" s="118">
        <v>211104</v>
      </c>
      <c r="E2" s="118">
        <v>211105</v>
      </c>
      <c r="F2" s="118">
        <v>211106</v>
      </c>
      <c r="G2" s="118">
        <v>211203</v>
      </c>
      <c r="H2" s="118">
        <v>211205</v>
      </c>
      <c r="I2" s="118">
        <v>211206</v>
      </c>
      <c r="J2" s="118">
        <v>211208</v>
      </c>
      <c r="K2" s="118">
        <v>211209</v>
      </c>
      <c r="L2" s="118">
        <v>211211</v>
      </c>
      <c r="M2" s="118">
        <v>211301</v>
      </c>
      <c r="N2" s="118">
        <v>211401</v>
      </c>
      <c r="O2" s="118">
        <v>211501</v>
      </c>
      <c r="P2" s="118">
        <v>211502</v>
      </c>
      <c r="Q2" s="118">
        <v>211503</v>
      </c>
      <c r="R2" s="118">
        <v>211504</v>
      </c>
      <c r="S2" s="118">
        <v>212101</v>
      </c>
      <c r="T2" s="118">
        <v>212201</v>
      </c>
      <c r="U2" s="118">
        <v>212203</v>
      </c>
      <c r="V2" s="118">
        <v>212204</v>
      </c>
      <c r="W2" s="118">
        <v>212205</v>
      </c>
      <c r="X2" s="118">
        <v>212206</v>
      </c>
      <c r="Y2" s="118">
        <v>212207</v>
      </c>
      <c r="Z2" s="118">
        <v>212208</v>
      </c>
      <c r="AA2" s="118">
        <v>212209</v>
      </c>
      <c r="AB2" s="118">
        <v>212210</v>
      </c>
      <c r="AC2" s="118">
        <v>213101</v>
      </c>
      <c r="AD2" s="118">
        <v>213102</v>
      </c>
      <c r="AE2" s="118">
        <v>213201</v>
      </c>
      <c r="AF2" s="118">
        <v>213202</v>
      </c>
      <c r="AG2" s="118">
        <v>214101</v>
      </c>
      <c r="AH2" s="118">
        <v>214201</v>
      </c>
      <c r="AI2" s="118">
        <v>214202</v>
      </c>
      <c r="AJ2" s="118">
        <v>214203</v>
      </c>
      <c r="AK2" s="118">
        <v>215101</v>
      </c>
      <c r="AL2" s="118">
        <v>215201</v>
      </c>
      <c r="AM2" s="118">
        <v>215301</v>
      </c>
      <c r="AN2" s="118">
        <v>215401</v>
      </c>
      <c r="AO2" s="118">
        <v>221101</v>
      </c>
      <c r="AP2" s="118">
        <v>221201</v>
      </c>
      <c r="AQ2" s="118">
        <v>221301</v>
      </c>
      <c r="AR2" s="118">
        <v>221401</v>
      </c>
      <c r="AS2" s="118">
        <v>221501</v>
      </c>
      <c r="AT2" s="118">
        <v>221601</v>
      </c>
      <c r="AU2" s="118">
        <v>221602</v>
      </c>
      <c r="AV2" s="118">
        <v>221701</v>
      </c>
      <c r="AW2" s="118">
        <v>221801</v>
      </c>
      <c r="AX2" s="118">
        <v>222101</v>
      </c>
      <c r="AY2" s="118">
        <v>222201</v>
      </c>
      <c r="AZ2" s="118">
        <v>223101</v>
      </c>
      <c r="BA2" s="118">
        <v>223201</v>
      </c>
      <c r="BB2" s="118">
        <v>224101</v>
      </c>
      <c r="BC2" s="118">
        <v>224201</v>
      </c>
      <c r="BD2" s="118">
        <v>224301</v>
      </c>
      <c r="BE2" s="118">
        <v>224401</v>
      </c>
      <c r="BF2" s="118">
        <v>225101</v>
      </c>
      <c r="BG2" s="118">
        <v>225201</v>
      </c>
      <c r="BH2" s="118">
        <v>225301</v>
      </c>
      <c r="BI2" s="118">
        <v>225302</v>
      </c>
      <c r="BJ2" s="118">
        <v>225303</v>
      </c>
      <c r="BK2" s="118">
        <v>225304</v>
      </c>
      <c r="BL2" s="118">
        <v>225305</v>
      </c>
      <c r="BM2" s="118">
        <v>225401</v>
      </c>
      <c r="BN2" s="118">
        <v>225501</v>
      </c>
      <c r="BO2" s="118">
        <v>225601</v>
      </c>
      <c r="BP2" s="118">
        <v>225701</v>
      </c>
      <c r="BQ2" s="118">
        <v>225801</v>
      </c>
      <c r="BR2" s="118">
        <v>225901</v>
      </c>
      <c r="BS2" s="118">
        <v>226101</v>
      </c>
      <c r="BT2" s="118">
        <v>226201</v>
      </c>
      <c r="BU2" s="118">
        <v>226301</v>
      </c>
      <c r="BV2" s="118">
        <v>226401</v>
      </c>
      <c r="BW2" s="118">
        <v>227101</v>
      </c>
      <c r="BX2" s="118">
        <v>227102</v>
      </c>
      <c r="BY2" s="118">
        <v>227103</v>
      </c>
      <c r="BZ2" s="118">
        <v>227104</v>
      </c>
      <c r="CA2" s="118">
        <v>227105</v>
      </c>
      <c r="CB2" s="118">
        <v>227106</v>
      </c>
      <c r="CC2" s="118">
        <v>227107</v>
      </c>
      <c r="CD2" s="118">
        <v>227199</v>
      </c>
      <c r="CE2" s="118">
        <v>227201</v>
      </c>
      <c r="CF2" s="118">
        <v>227202</v>
      </c>
      <c r="CG2" s="118">
        <v>227203</v>
      </c>
      <c r="CH2" s="118">
        <v>227204</v>
      </c>
      <c r="CI2" s="118">
        <v>227205</v>
      </c>
      <c r="CJ2" s="118">
        <v>227206</v>
      </c>
      <c r="CK2" s="118">
        <v>227207</v>
      </c>
      <c r="CL2" s="118">
        <v>227208</v>
      </c>
      <c r="CM2" s="118">
        <v>227299</v>
      </c>
      <c r="CN2" s="118">
        <v>227301</v>
      </c>
      <c r="CO2" s="118">
        <v>228101</v>
      </c>
      <c r="CP2" s="118">
        <v>228201</v>
      </c>
      <c r="CQ2" s="118">
        <v>228301</v>
      </c>
      <c r="CR2" s="118">
        <v>228401</v>
      </c>
      <c r="CS2" s="118">
        <v>228501</v>
      </c>
      <c r="CT2" s="118">
        <v>228502</v>
      </c>
      <c r="CU2" s="118">
        <v>228503</v>
      </c>
      <c r="CV2" s="118">
        <v>228601</v>
      </c>
      <c r="CW2" s="118">
        <v>228602</v>
      </c>
      <c r="CX2" s="118">
        <v>228603</v>
      </c>
      <c r="CY2" s="118">
        <v>228604</v>
      </c>
      <c r="CZ2" s="118">
        <v>228701</v>
      </c>
      <c r="DA2" s="118">
        <v>228702</v>
      </c>
      <c r="DB2" s="118">
        <v>228703</v>
      </c>
      <c r="DC2" s="118">
        <v>228704</v>
      </c>
      <c r="DD2" s="118">
        <v>228705</v>
      </c>
      <c r="DE2" s="118">
        <v>228706</v>
      </c>
      <c r="DF2" s="118">
        <v>228801</v>
      </c>
      <c r="DG2" s="118">
        <v>228802</v>
      </c>
      <c r="DH2" s="118">
        <v>228803</v>
      </c>
      <c r="DI2" s="118">
        <v>229201</v>
      </c>
      <c r="DJ2" s="118">
        <v>229203</v>
      </c>
      <c r="DK2" s="118">
        <v>231101</v>
      </c>
      <c r="DL2" s="118">
        <v>231102</v>
      </c>
      <c r="DM2" s="118">
        <v>231201</v>
      </c>
      <c r="DN2" s="118">
        <v>231301</v>
      </c>
      <c r="DO2" s="118">
        <v>231302</v>
      </c>
      <c r="DP2" s="118">
        <v>231303</v>
      </c>
      <c r="DQ2" s="118">
        <v>231401</v>
      </c>
      <c r="DR2" s="118">
        <v>232101</v>
      </c>
      <c r="DS2" s="118">
        <v>232201</v>
      </c>
      <c r="DT2" s="118">
        <v>232301</v>
      </c>
      <c r="DU2" s="118">
        <v>233101</v>
      </c>
      <c r="DV2" s="118">
        <v>233201</v>
      </c>
      <c r="DW2" s="118">
        <v>233301</v>
      </c>
      <c r="DX2" s="118">
        <v>233401</v>
      </c>
      <c r="DY2" s="118">
        <v>233501</v>
      </c>
      <c r="DZ2" s="118">
        <v>233601</v>
      </c>
      <c r="EA2" s="118">
        <v>234101</v>
      </c>
      <c r="EB2" s="118">
        <v>234201</v>
      </c>
      <c r="EC2" s="118">
        <v>235101</v>
      </c>
      <c r="ED2" s="118">
        <v>235201</v>
      </c>
      <c r="EE2" s="118">
        <v>235301</v>
      </c>
      <c r="EF2" s="118">
        <v>235401</v>
      </c>
      <c r="EG2" s="118">
        <v>235501</v>
      </c>
      <c r="EH2" s="118">
        <v>236101</v>
      </c>
      <c r="EI2" s="118">
        <v>236102</v>
      </c>
      <c r="EJ2" s="118">
        <v>236103</v>
      </c>
      <c r="EK2" s="118">
        <v>236104</v>
      </c>
      <c r="EL2" s="118">
        <v>236105</v>
      </c>
      <c r="EM2" s="118">
        <v>236201</v>
      </c>
      <c r="EN2" s="118">
        <v>236202</v>
      </c>
      <c r="EO2" s="118">
        <v>236203</v>
      </c>
      <c r="EP2" s="118">
        <v>236304</v>
      </c>
      <c r="EQ2" s="118">
        <v>236305</v>
      </c>
      <c r="ER2" s="118">
        <v>236306</v>
      </c>
      <c r="ES2" s="118">
        <v>236401</v>
      </c>
      <c r="ET2" s="118">
        <v>236402</v>
      </c>
      <c r="EU2" s="118">
        <v>236403</v>
      </c>
      <c r="EV2" s="118">
        <v>236404</v>
      </c>
      <c r="EW2" s="118">
        <v>236405</v>
      </c>
      <c r="EX2" s="118">
        <v>236406</v>
      </c>
      <c r="EY2" s="118">
        <v>236407</v>
      </c>
      <c r="EZ2" s="118">
        <v>236901</v>
      </c>
      <c r="FA2" s="118">
        <v>237101</v>
      </c>
      <c r="FB2" s="118">
        <v>237102</v>
      </c>
      <c r="FC2" s="118">
        <v>237103</v>
      </c>
      <c r="FD2" s="118">
        <v>237104</v>
      </c>
      <c r="FE2" s="118">
        <v>237105</v>
      </c>
      <c r="FF2" s="118">
        <v>237106</v>
      </c>
      <c r="FG2" s="118">
        <v>237107</v>
      </c>
      <c r="FH2" s="118">
        <v>237201</v>
      </c>
      <c r="FI2" s="118">
        <v>237202</v>
      </c>
      <c r="FJ2" s="118">
        <v>237203</v>
      </c>
      <c r="FK2" s="118">
        <v>237204</v>
      </c>
      <c r="FL2" s="118">
        <v>237205</v>
      </c>
      <c r="FM2" s="118">
        <v>237206</v>
      </c>
      <c r="FN2" s="118">
        <v>237299</v>
      </c>
      <c r="FO2" s="118">
        <v>238101</v>
      </c>
      <c r="FP2" s="118">
        <v>238201</v>
      </c>
      <c r="FQ2" s="118">
        <v>239101</v>
      </c>
      <c r="FR2" s="118">
        <v>239102</v>
      </c>
      <c r="FS2" s="118">
        <v>239201</v>
      </c>
      <c r="FT2" s="118">
        <v>239301</v>
      </c>
      <c r="FU2" s="118">
        <v>239401</v>
      </c>
      <c r="FV2" s="118">
        <v>239501</v>
      </c>
      <c r="FW2" s="118">
        <v>239601</v>
      </c>
      <c r="FX2" s="118">
        <v>239701</v>
      </c>
      <c r="FY2" s="118">
        <v>239801</v>
      </c>
      <c r="FZ2" s="118">
        <v>239802</v>
      </c>
      <c r="GA2" s="118">
        <v>239901</v>
      </c>
      <c r="GB2" s="118">
        <v>239904</v>
      </c>
      <c r="GC2" s="118">
        <v>241201</v>
      </c>
      <c r="GD2" s="118">
        <v>241202</v>
      </c>
      <c r="GE2" s="118">
        <v>241203</v>
      </c>
      <c r="GF2" s="118">
        <v>241204</v>
      </c>
      <c r="GG2" s="118">
        <v>241205</v>
      </c>
      <c r="GH2" s="118">
        <v>261101</v>
      </c>
      <c r="GI2" s="118">
        <v>261201</v>
      </c>
      <c r="GJ2" s="118">
        <v>261301</v>
      </c>
      <c r="GK2" s="118">
        <v>261401</v>
      </c>
      <c r="GL2" s="118">
        <v>261901</v>
      </c>
      <c r="GM2" s="118">
        <v>262101</v>
      </c>
      <c r="GN2" s="118">
        <v>262201</v>
      </c>
      <c r="GO2" s="118">
        <v>262301</v>
      </c>
      <c r="GP2" s="118">
        <v>262401</v>
      </c>
      <c r="GQ2" s="118">
        <v>263101</v>
      </c>
      <c r="GR2" s="118">
        <v>263201</v>
      </c>
      <c r="GS2" s="118">
        <v>263301</v>
      </c>
      <c r="GT2" s="118">
        <v>263401</v>
      </c>
      <c r="GU2" s="118">
        <v>264101</v>
      </c>
      <c r="GV2" s="118">
        <v>264201</v>
      </c>
      <c r="GW2" s="118">
        <v>264301</v>
      </c>
      <c r="GX2" s="118">
        <v>264401</v>
      </c>
      <c r="GY2" s="118">
        <v>264501</v>
      </c>
      <c r="GZ2" s="118">
        <v>264601</v>
      </c>
      <c r="HA2" s="118">
        <v>264701</v>
      </c>
      <c r="HB2" s="118">
        <v>264801</v>
      </c>
      <c r="HC2" s="118">
        <v>265101</v>
      </c>
      <c r="HD2" s="118">
        <v>265201</v>
      </c>
      <c r="HE2" s="118">
        <v>265301</v>
      </c>
      <c r="HF2" s="118">
        <v>265401</v>
      </c>
      <c r="HG2" s="118">
        <v>265501</v>
      </c>
      <c r="HH2" s="118">
        <v>265601</v>
      </c>
      <c r="HI2" s="118">
        <v>265701</v>
      </c>
      <c r="HJ2" s="118">
        <v>265801</v>
      </c>
      <c r="HK2" s="118">
        <v>266101</v>
      </c>
      <c r="HL2" s="118">
        <v>266201</v>
      </c>
      <c r="HM2" s="118">
        <v>267101</v>
      </c>
      <c r="HN2" s="118">
        <v>267201</v>
      </c>
      <c r="HO2" s="118">
        <v>267301</v>
      </c>
      <c r="HP2" s="118">
        <v>267401</v>
      </c>
      <c r="HQ2" s="118">
        <v>267501</v>
      </c>
      <c r="HR2" s="118">
        <v>267601</v>
      </c>
      <c r="HS2" s="118">
        <v>267701</v>
      </c>
      <c r="HT2" s="118">
        <v>267801</v>
      </c>
      <c r="HU2" s="118">
        <v>267901</v>
      </c>
      <c r="HV2" s="118">
        <v>268101</v>
      </c>
      <c r="HW2" s="118">
        <v>268201</v>
      </c>
      <c r="HX2" s="118">
        <v>268301</v>
      </c>
      <c r="HY2" s="118">
        <v>268302</v>
      </c>
      <c r="HZ2" s="118">
        <v>268401</v>
      </c>
      <c r="IA2" s="118">
        <v>268501</v>
      </c>
      <c r="IB2" s="118">
        <v>268601</v>
      </c>
      <c r="IC2" s="118">
        <v>268701</v>
      </c>
      <c r="ID2" s="118">
        <v>268802</v>
      </c>
      <c r="IE2" s="118">
        <v>268803</v>
      </c>
      <c r="IF2" s="118">
        <v>268804</v>
      </c>
      <c r="IG2" s="118">
        <v>268901</v>
      </c>
      <c r="IH2" s="118">
        <v>269101</v>
      </c>
      <c r="II2" s="118">
        <v>269102</v>
      </c>
      <c r="IJ2" s="118">
        <v>269201</v>
      </c>
      <c r="IK2" s="118">
        <v>269202</v>
      </c>
      <c r="IL2" s="118">
        <v>269301</v>
      </c>
      <c r="IM2" s="118">
        <v>269401</v>
      </c>
      <c r="IN2" s="118">
        <v>269501</v>
      </c>
      <c r="IO2" s="118">
        <v>269502</v>
      </c>
      <c r="IP2" s="118">
        <v>269503</v>
      </c>
      <c r="IQ2" s="118">
        <v>2269901</v>
      </c>
      <c r="IR2" s="118">
        <v>271101</v>
      </c>
      <c r="IS2" s="118">
        <v>271201</v>
      </c>
      <c r="IT2" s="118">
        <v>271301</v>
      </c>
      <c r="IU2" s="118">
        <v>271401</v>
      </c>
      <c r="IV2" s="118">
        <v>272101</v>
      </c>
      <c r="IW2" s="118">
        <v>272201</v>
      </c>
      <c r="IX2" s="118">
        <v>272301</v>
      </c>
      <c r="IY2" s="118">
        <v>272401</v>
      </c>
      <c r="IZ2" s="118">
        <v>272501</v>
      </c>
      <c r="JA2" s="118">
        <v>272601</v>
      </c>
      <c r="JB2" s="118">
        <v>272701</v>
      </c>
      <c r="JC2" s="118">
        <v>272801</v>
      </c>
      <c r="JD2" s="118">
        <v>272901</v>
      </c>
      <c r="JE2" s="118">
        <v>273101</v>
      </c>
      <c r="JF2" s="118">
        <v>273201</v>
      </c>
      <c r="JG2" s="118">
        <v>274101</v>
      </c>
      <c r="JH2" s="118">
        <v>274201</v>
      </c>
      <c r="JI2" s="120" t="s">
        <v>0</v>
      </c>
      <c r="JJ2" s="124" t="s">
        <v>375</v>
      </c>
      <c r="JK2" s="124" t="s">
        <v>376</v>
      </c>
      <c r="JL2" s="124" t="s">
        <v>373</v>
      </c>
      <c r="JM2" s="124" t="s">
        <v>377</v>
      </c>
      <c r="JN2" s="124">
        <v>2022</v>
      </c>
      <c r="JO2" s="124" t="s">
        <v>348</v>
      </c>
      <c r="JP2" s="124" t="s">
        <v>378</v>
      </c>
    </row>
    <row r="3" spans="1:276" x14ac:dyDescent="0.25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  <c r="CD3" s="122"/>
      <c r="CE3" s="122"/>
      <c r="CF3" s="122"/>
      <c r="CG3" s="122"/>
      <c r="CH3" s="122"/>
      <c r="CI3" s="122"/>
      <c r="CJ3" s="122"/>
      <c r="CK3" s="122"/>
      <c r="CL3" s="122"/>
      <c r="CM3" s="122"/>
      <c r="CN3" s="122"/>
      <c r="CO3" s="122"/>
      <c r="CP3" s="122"/>
      <c r="CQ3" s="122"/>
      <c r="CR3" s="122"/>
      <c r="CS3" s="122"/>
      <c r="CT3" s="122"/>
      <c r="CU3" s="122"/>
      <c r="CV3" s="122"/>
      <c r="CW3" s="122"/>
      <c r="CX3" s="122"/>
      <c r="CY3" s="122"/>
      <c r="CZ3" s="122"/>
      <c r="DA3" s="122"/>
      <c r="DB3" s="122"/>
      <c r="DC3" s="122"/>
      <c r="DD3" s="122"/>
      <c r="DE3" s="122"/>
      <c r="DF3" s="122"/>
      <c r="DG3" s="122"/>
      <c r="DH3" s="122"/>
      <c r="DI3" s="122"/>
      <c r="DJ3" s="122"/>
      <c r="DK3" s="122"/>
      <c r="DL3" s="122"/>
      <c r="DM3" s="122"/>
      <c r="DN3" s="122"/>
      <c r="DO3" s="122"/>
      <c r="DP3" s="122"/>
      <c r="DQ3" s="122"/>
      <c r="DR3" s="122"/>
      <c r="DS3" s="122"/>
      <c r="DT3" s="122"/>
      <c r="DU3" s="122"/>
      <c r="DV3" s="122"/>
      <c r="DW3" s="122"/>
      <c r="DX3" s="122"/>
      <c r="DY3" s="122"/>
      <c r="DZ3" s="122"/>
      <c r="EA3" s="122"/>
      <c r="EB3" s="122"/>
      <c r="EC3" s="122"/>
      <c r="ED3" s="122"/>
      <c r="EE3" s="122"/>
      <c r="EF3" s="122"/>
      <c r="EG3" s="122"/>
      <c r="EH3" s="122"/>
      <c r="EI3" s="122"/>
      <c r="EJ3" s="122"/>
      <c r="EK3" s="122"/>
      <c r="EL3" s="122"/>
      <c r="EM3" s="122"/>
      <c r="EN3" s="122"/>
      <c r="EO3" s="122"/>
      <c r="EP3" s="122"/>
      <c r="EQ3" s="122"/>
      <c r="ER3" s="122"/>
      <c r="ES3" s="122"/>
      <c r="ET3" s="122"/>
      <c r="EU3" s="122"/>
      <c r="EV3" s="122"/>
      <c r="EW3" s="122"/>
      <c r="EX3" s="122"/>
      <c r="EY3" s="122"/>
      <c r="EZ3" s="122"/>
      <c r="FA3" s="122"/>
      <c r="FB3" s="122"/>
      <c r="FC3" s="122"/>
      <c r="FD3" s="122"/>
      <c r="FE3" s="122"/>
      <c r="FF3" s="122"/>
      <c r="FG3" s="122"/>
      <c r="FH3" s="122"/>
      <c r="FI3" s="122"/>
      <c r="FJ3" s="122"/>
      <c r="FK3" s="122"/>
      <c r="FL3" s="122"/>
      <c r="FM3" s="122"/>
      <c r="FN3" s="122"/>
      <c r="FO3" s="122"/>
      <c r="FP3" s="122"/>
      <c r="FQ3" s="122"/>
      <c r="FR3" s="122"/>
      <c r="FS3" s="122"/>
      <c r="FT3" s="122">
        <v>272108</v>
      </c>
      <c r="FU3" s="122"/>
      <c r="FV3" s="122"/>
      <c r="FW3" s="122"/>
      <c r="FX3" s="122"/>
      <c r="FY3" s="122"/>
      <c r="FZ3" s="122"/>
      <c r="GA3" s="122"/>
      <c r="GB3" s="122"/>
      <c r="GC3" s="122"/>
      <c r="GD3" s="122"/>
      <c r="GE3" s="122"/>
      <c r="GF3" s="122"/>
      <c r="GG3" s="122"/>
      <c r="GH3" s="122"/>
      <c r="GI3" s="122"/>
      <c r="GJ3" s="122"/>
      <c r="GK3" s="122"/>
      <c r="GL3" s="122"/>
      <c r="GM3" s="122"/>
      <c r="GN3" s="122"/>
      <c r="GO3" s="122"/>
      <c r="GP3" s="122"/>
      <c r="GQ3" s="122"/>
      <c r="GR3" s="122"/>
      <c r="GS3" s="122"/>
      <c r="GT3" s="122"/>
      <c r="GU3" s="122"/>
      <c r="GV3" s="122"/>
      <c r="GW3" s="122"/>
      <c r="GX3" s="122"/>
      <c r="GY3" s="122"/>
      <c r="GZ3" s="122"/>
      <c r="HA3" s="122"/>
      <c r="HB3" s="122"/>
      <c r="HC3" s="122"/>
      <c r="HD3" s="122"/>
      <c r="HE3" s="122"/>
      <c r="HF3" s="122"/>
      <c r="HG3" s="122"/>
      <c r="HH3" s="122"/>
      <c r="HI3" s="122"/>
      <c r="HJ3" s="122"/>
      <c r="HK3" s="122"/>
      <c r="HL3" s="122"/>
      <c r="HM3" s="122"/>
      <c r="HN3" s="122"/>
      <c r="HO3" s="122"/>
      <c r="HP3" s="122"/>
      <c r="HQ3" s="122"/>
      <c r="HR3" s="122"/>
      <c r="HS3" s="122"/>
      <c r="HT3" s="122"/>
      <c r="HU3" s="122"/>
      <c r="HV3" s="122"/>
      <c r="HW3" s="122"/>
      <c r="HX3" s="122"/>
      <c r="HY3" s="122"/>
      <c r="HZ3" s="122"/>
      <c r="IA3" s="122"/>
      <c r="IB3" s="122"/>
      <c r="IC3" s="122"/>
      <c r="ID3" s="122"/>
      <c r="IE3" s="122"/>
      <c r="IF3" s="122"/>
      <c r="IG3" s="122"/>
      <c r="IH3" s="122"/>
      <c r="II3" s="122"/>
      <c r="IJ3" s="122"/>
      <c r="IK3" s="122"/>
      <c r="IL3" s="122"/>
      <c r="IM3" s="122"/>
      <c r="IN3" s="122"/>
      <c r="IO3" s="122"/>
      <c r="IP3" s="122"/>
      <c r="IQ3" s="122"/>
      <c r="IR3" s="122"/>
      <c r="IS3" s="122"/>
      <c r="IT3" s="122"/>
      <c r="IU3" s="122"/>
      <c r="IV3" s="122"/>
      <c r="IW3" s="122"/>
      <c r="IX3" s="122"/>
      <c r="IY3" s="122"/>
      <c r="IZ3" s="122"/>
      <c r="JA3" s="122"/>
      <c r="JB3" s="122"/>
      <c r="JC3" s="122"/>
      <c r="JD3" s="122"/>
      <c r="JE3" s="122"/>
      <c r="JF3" s="122"/>
      <c r="JG3" s="122"/>
      <c r="JH3" s="122"/>
      <c r="JI3" s="119">
        <f>SUM(A3:JH3)</f>
        <v>272108</v>
      </c>
      <c r="JJ3" s="2">
        <v>4930</v>
      </c>
      <c r="JK3" s="122"/>
      <c r="JL3" s="125"/>
      <c r="JM3" s="358"/>
      <c r="JN3" s="125"/>
      <c r="JO3" s="125">
        <f>+JM3+JN3</f>
        <v>0</v>
      </c>
      <c r="JP3" s="125"/>
    </row>
    <row r="4" spans="1:276" x14ac:dyDescent="0.25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  <c r="DB4" s="122"/>
      <c r="DC4" s="122"/>
      <c r="DD4" s="122"/>
      <c r="DE4" s="122"/>
      <c r="DF4" s="122"/>
      <c r="DG4" s="122"/>
      <c r="DH4" s="122"/>
      <c r="DI4" s="122"/>
      <c r="DJ4" s="122"/>
      <c r="DK4" s="122"/>
      <c r="DL4" s="122"/>
      <c r="DM4" s="122"/>
      <c r="DN4" s="122"/>
      <c r="DO4" s="122"/>
      <c r="DP4" s="122"/>
      <c r="DQ4" s="122"/>
      <c r="DR4" s="122"/>
      <c r="DS4" s="122"/>
      <c r="DT4" s="122"/>
      <c r="DU4" s="122"/>
      <c r="DV4" s="122"/>
      <c r="DW4" s="122"/>
      <c r="DX4" s="122"/>
      <c r="DY4" s="122"/>
      <c r="DZ4" s="122"/>
      <c r="EA4" s="122"/>
      <c r="EB4" s="122"/>
      <c r="EC4" s="122"/>
      <c r="ED4" s="122"/>
      <c r="EE4" s="122"/>
      <c r="EF4" s="122"/>
      <c r="EG4" s="122"/>
      <c r="EH4" s="122"/>
      <c r="EI4" s="122"/>
      <c r="EJ4" s="122"/>
      <c r="EK4" s="122"/>
      <c r="EL4" s="122"/>
      <c r="EM4" s="122"/>
      <c r="EN4" s="122"/>
      <c r="EO4" s="122"/>
      <c r="EP4" s="122"/>
      <c r="EQ4" s="122"/>
      <c r="ER4" s="122"/>
      <c r="ES4" s="122"/>
      <c r="ET4" s="122"/>
      <c r="EU4" s="122"/>
      <c r="EV4" s="122"/>
      <c r="EW4" s="122"/>
      <c r="EX4" s="122"/>
      <c r="EY4" s="122"/>
      <c r="EZ4" s="122"/>
      <c r="FA4" s="122"/>
      <c r="FB4" s="122"/>
      <c r="FC4" s="122"/>
      <c r="FD4" s="122"/>
      <c r="FE4" s="122"/>
      <c r="FF4" s="122"/>
      <c r="FG4" s="122"/>
      <c r="FH4" s="122"/>
      <c r="FI4" s="122"/>
      <c r="FJ4" s="122"/>
      <c r="FK4" s="122"/>
      <c r="FL4" s="122"/>
      <c r="FM4" s="122"/>
      <c r="FN4" s="122"/>
      <c r="FO4" s="122"/>
      <c r="FP4" s="122"/>
      <c r="FQ4" s="122"/>
      <c r="FR4" s="122"/>
      <c r="FS4" s="122"/>
      <c r="FT4" s="122">
        <v>252331.2</v>
      </c>
      <c r="FU4" s="122"/>
      <c r="FV4" s="122"/>
      <c r="FW4" s="122"/>
      <c r="FX4" s="122"/>
      <c r="FY4" s="122"/>
      <c r="FZ4" s="122"/>
      <c r="GA4" s="122"/>
      <c r="GB4" s="122"/>
      <c r="GC4" s="122"/>
      <c r="GD4" s="122"/>
      <c r="GE4" s="122"/>
      <c r="GF4" s="122"/>
      <c r="GG4" s="122"/>
      <c r="GH4" s="122"/>
      <c r="GI4" s="122"/>
      <c r="GJ4" s="122"/>
      <c r="GK4" s="122"/>
      <c r="GL4" s="122"/>
      <c r="GM4" s="122"/>
      <c r="GN4" s="122"/>
      <c r="GO4" s="122"/>
      <c r="GP4" s="122"/>
      <c r="GQ4" s="122"/>
      <c r="GR4" s="122"/>
      <c r="GS4" s="122"/>
      <c r="GT4" s="122"/>
      <c r="GU4" s="122"/>
      <c r="GV4" s="122"/>
      <c r="GW4" s="122"/>
      <c r="GX4" s="122"/>
      <c r="GY4" s="122"/>
      <c r="GZ4" s="122"/>
      <c r="HA4" s="122"/>
      <c r="HB4" s="122"/>
      <c r="HC4" s="122"/>
      <c r="HD4" s="122"/>
      <c r="HE4" s="122"/>
      <c r="HF4" s="122"/>
      <c r="HG4" s="122"/>
      <c r="HH4" s="122"/>
      <c r="HI4" s="122"/>
      <c r="HJ4" s="122"/>
      <c r="HK4" s="122"/>
      <c r="HL4" s="122"/>
      <c r="HM4" s="122"/>
      <c r="HN4" s="122"/>
      <c r="HO4" s="122"/>
      <c r="HP4" s="122"/>
      <c r="HQ4" s="122"/>
      <c r="HR4" s="122"/>
      <c r="HS4" s="122"/>
      <c r="HT4" s="122"/>
      <c r="HU4" s="122"/>
      <c r="HV4" s="122"/>
      <c r="HW4" s="122"/>
      <c r="HX4" s="122"/>
      <c r="HY4" s="122"/>
      <c r="HZ4" s="122"/>
      <c r="IA4" s="122"/>
      <c r="IB4" s="122"/>
      <c r="IC4" s="122"/>
      <c r="ID4" s="122"/>
      <c r="IE4" s="122"/>
      <c r="IF4" s="122"/>
      <c r="IG4" s="122"/>
      <c r="IH4" s="122"/>
      <c r="II4" s="122"/>
      <c r="IJ4" s="122"/>
      <c r="IK4" s="122"/>
      <c r="IL4" s="122"/>
      <c r="IM4" s="122"/>
      <c r="IN4" s="122"/>
      <c r="IO4" s="122"/>
      <c r="IP4" s="122"/>
      <c r="IQ4" s="122"/>
      <c r="IR4" s="122"/>
      <c r="IS4" s="122"/>
      <c r="IT4" s="122"/>
      <c r="IU4" s="122"/>
      <c r="IV4" s="122"/>
      <c r="IW4" s="122"/>
      <c r="IX4" s="122"/>
      <c r="IY4" s="122"/>
      <c r="IZ4" s="122"/>
      <c r="JA4" s="122"/>
      <c r="JB4" s="122"/>
      <c r="JC4" s="122"/>
      <c r="JD4" s="122"/>
      <c r="JE4" s="122"/>
      <c r="JF4" s="122"/>
      <c r="JG4" s="122"/>
      <c r="JH4" s="122"/>
      <c r="JI4" s="119">
        <f t="shared" ref="JI4:JI66" si="0">SUM(A4:JH4)</f>
        <v>252331.2</v>
      </c>
      <c r="JJ4" s="2">
        <v>4934</v>
      </c>
      <c r="JK4" s="122"/>
      <c r="JL4" s="125"/>
      <c r="JM4" s="358"/>
      <c r="JN4" s="125"/>
      <c r="JO4" s="125"/>
      <c r="JP4" s="125"/>
    </row>
    <row r="5" spans="1:276" x14ac:dyDescent="0.25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2"/>
      <c r="CN5" s="122"/>
      <c r="CO5" s="122"/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  <c r="DB5" s="122"/>
      <c r="DC5" s="122"/>
      <c r="DD5" s="122"/>
      <c r="DE5" s="122"/>
      <c r="DF5" s="122"/>
      <c r="DG5" s="122"/>
      <c r="DH5" s="122"/>
      <c r="DI5" s="122"/>
      <c r="DJ5" s="122"/>
      <c r="DK5" s="122"/>
      <c r="DL5" s="122"/>
      <c r="DM5" s="122"/>
      <c r="DN5" s="122"/>
      <c r="DO5" s="122"/>
      <c r="DP5" s="122"/>
      <c r="DQ5" s="122"/>
      <c r="DR5" s="122"/>
      <c r="DS5" s="122"/>
      <c r="DT5" s="122"/>
      <c r="DU5" s="122"/>
      <c r="DV5" s="122"/>
      <c r="DW5" s="122"/>
      <c r="DX5" s="122"/>
      <c r="DY5" s="122"/>
      <c r="DZ5" s="122"/>
      <c r="EA5" s="122"/>
      <c r="EB5" s="122"/>
      <c r="EC5" s="122"/>
      <c r="ED5" s="122"/>
      <c r="EE5" s="122"/>
      <c r="EF5" s="122"/>
      <c r="EG5" s="122"/>
      <c r="EH5" s="122"/>
      <c r="EI5" s="122"/>
      <c r="EJ5" s="122"/>
      <c r="EK5" s="122"/>
      <c r="EL5" s="122"/>
      <c r="EM5" s="122"/>
      <c r="EN5" s="122"/>
      <c r="EO5" s="122"/>
      <c r="EP5" s="122"/>
      <c r="EQ5" s="122"/>
      <c r="ER5" s="122"/>
      <c r="ES5" s="122"/>
      <c r="ET5" s="122"/>
      <c r="EU5" s="122"/>
      <c r="EV5" s="122"/>
      <c r="EW5" s="122"/>
      <c r="EX5" s="122"/>
      <c r="EY5" s="122"/>
      <c r="EZ5" s="122"/>
      <c r="FA5" s="122"/>
      <c r="FB5" s="122"/>
      <c r="FC5" s="122"/>
      <c r="FD5" s="122"/>
      <c r="FE5" s="122"/>
      <c r="FF5" s="122"/>
      <c r="FG5" s="122"/>
      <c r="FH5" s="122"/>
      <c r="FI5" s="122"/>
      <c r="FJ5" s="122"/>
      <c r="FK5" s="122"/>
      <c r="FL5" s="122"/>
      <c r="FM5" s="122"/>
      <c r="FN5" s="122"/>
      <c r="FO5" s="122"/>
      <c r="FP5" s="122"/>
      <c r="FQ5" s="122"/>
      <c r="FR5" s="122"/>
      <c r="FS5" s="122"/>
      <c r="FT5" s="122">
        <v>224294.39999999999</v>
      </c>
      <c r="FU5" s="122"/>
      <c r="FV5" s="122"/>
      <c r="FW5" s="122"/>
      <c r="FX5" s="122"/>
      <c r="FY5" s="122"/>
      <c r="FZ5" s="122"/>
      <c r="GA5" s="122"/>
      <c r="GB5" s="122"/>
      <c r="GC5" s="122"/>
      <c r="GD5" s="122"/>
      <c r="GE5" s="122"/>
      <c r="GF5" s="122"/>
      <c r="GG5" s="122"/>
      <c r="GH5" s="122"/>
      <c r="GI5" s="122"/>
      <c r="GJ5" s="122"/>
      <c r="GK5" s="122"/>
      <c r="GL5" s="122"/>
      <c r="GM5" s="122"/>
      <c r="GN5" s="122"/>
      <c r="GO5" s="122"/>
      <c r="GP5" s="122"/>
      <c r="GQ5" s="122"/>
      <c r="GR5" s="122"/>
      <c r="GS5" s="122"/>
      <c r="GT5" s="122"/>
      <c r="GU5" s="122"/>
      <c r="GV5" s="122"/>
      <c r="GW5" s="122"/>
      <c r="GX5" s="122"/>
      <c r="GY5" s="122"/>
      <c r="GZ5" s="122"/>
      <c r="HA5" s="122"/>
      <c r="HB5" s="122"/>
      <c r="HC5" s="122"/>
      <c r="HD5" s="122"/>
      <c r="HE5" s="122"/>
      <c r="HF5" s="122"/>
      <c r="HG5" s="122"/>
      <c r="HH5" s="122"/>
      <c r="HI5" s="122"/>
      <c r="HJ5" s="122"/>
      <c r="HK5" s="122"/>
      <c r="HL5" s="122"/>
      <c r="HM5" s="122"/>
      <c r="HN5" s="122"/>
      <c r="HO5" s="122"/>
      <c r="HP5" s="122"/>
      <c r="HQ5" s="122"/>
      <c r="HR5" s="122"/>
      <c r="HS5" s="122"/>
      <c r="HT5" s="122"/>
      <c r="HU5" s="122"/>
      <c r="HV5" s="122"/>
      <c r="HW5" s="122"/>
      <c r="HX5" s="122"/>
      <c r="HY5" s="122"/>
      <c r="HZ5" s="122"/>
      <c r="IA5" s="122"/>
      <c r="IB5" s="122"/>
      <c r="IC5" s="122"/>
      <c r="ID5" s="122"/>
      <c r="IE5" s="122"/>
      <c r="IF5" s="122"/>
      <c r="IG5" s="122"/>
      <c r="IH5" s="122"/>
      <c r="II5" s="122"/>
      <c r="IJ5" s="122"/>
      <c r="IK5" s="122"/>
      <c r="IL5" s="122"/>
      <c r="IM5" s="122"/>
      <c r="IN5" s="122"/>
      <c r="IO5" s="122"/>
      <c r="IP5" s="122"/>
      <c r="IQ5" s="122"/>
      <c r="IR5" s="122"/>
      <c r="IS5" s="122"/>
      <c r="IT5" s="122"/>
      <c r="IU5" s="122"/>
      <c r="IV5" s="122"/>
      <c r="IW5" s="122"/>
      <c r="IX5" s="122"/>
      <c r="IY5" s="122"/>
      <c r="IZ5" s="122"/>
      <c r="JA5" s="122"/>
      <c r="JB5" s="122"/>
      <c r="JC5" s="122"/>
      <c r="JD5" s="122"/>
      <c r="JE5" s="122"/>
      <c r="JF5" s="122"/>
      <c r="JG5" s="122"/>
      <c r="JH5" s="122"/>
      <c r="JI5" s="119">
        <f t="shared" si="0"/>
        <v>224294.39999999999</v>
      </c>
      <c r="JJ5" s="2">
        <v>4938</v>
      </c>
      <c r="JK5" s="122"/>
      <c r="JL5" s="125"/>
      <c r="JM5" s="358"/>
      <c r="JN5" s="125"/>
      <c r="JO5" s="125"/>
      <c r="JP5" s="125"/>
    </row>
    <row r="6" spans="1:276" x14ac:dyDescent="0.25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  <c r="CL6" s="122"/>
      <c r="CM6" s="122"/>
      <c r="CN6" s="122"/>
      <c r="CO6" s="122"/>
      <c r="CP6" s="122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  <c r="DB6" s="122"/>
      <c r="DC6" s="122"/>
      <c r="DD6" s="122"/>
      <c r="DE6" s="122"/>
      <c r="DF6" s="122"/>
      <c r="DG6" s="122"/>
      <c r="DH6" s="122"/>
      <c r="DI6" s="122"/>
      <c r="DJ6" s="122"/>
      <c r="DK6" s="122"/>
      <c r="DL6" s="122"/>
      <c r="DM6" s="122"/>
      <c r="DN6" s="122"/>
      <c r="DO6" s="122"/>
      <c r="DP6" s="122"/>
      <c r="DQ6" s="122"/>
      <c r="DR6" s="122"/>
      <c r="DS6" s="122"/>
      <c r="DT6" s="122"/>
      <c r="DU6" s="122"/>
      <c r="DV6" s="122"/>
      <c r="DW6" s="122"/>
      <c r="DX6" s="122"/>
      <c r="DY6" s="122"/>
      <c r="DZ6" s="122"/>
      <c r="EA6" s="122"/>
      <c r="EB6" s="122"/>
      <c r="EC6" s="122"/>
      <c r="ED6" s="122"/>
      <c r="EE6" s="122"/>
      <c r="EF6" s="122"/>
      <c r="EG6" s="122"/>
      <c r="EH6" s="122"/>
      <c r="EI6" s="122"/>
      <c r="EJ6" s="122"/>
      <c r="EK6" s="122"/>
      <c r="EL6" s="122"/>
      <c r="EM6" s="122"/>
      <c r="EN6" s="122"/>
      <c r="EO6" s="122"/>
      <c r="EP6" s="122"/>
      <c r="EQ6" s="122"/>
      <c r="ER6" s="122"/>
      <c r="ES6" s="122"/>
      <c r="ET6" s="122"/>
      <c r="EU6" s="122"/>
      <c r="EV6" s="122"/>
      <c r="EW6" s="122"/>
      <c r="EX6" s="122"/>
      <c r="EY6" s="122"/>
      <c r="EZ6" s="122"/>
      <c r="FA6" s="122"/>
      <c r="FB6" s="122"/>
      <c r="FC6" s="122"/>
      <c r="FD6" s="122"/>
      <c r="FE6" s="122"/>
      <c r="FF6" s="122"/>
      <c r="FG6" s="122"/>
      <c r="FH6" s="122"/>
      <c r="FI6" s="122"/>
      <c r="FJ6" s="122">
        <v>17504.5</v>
      </c>
      <c r="FK6" s="122"/>
      <c r="FL6" s="122"/>
      <c r="FM6" s="122"/>
      <c r="FN6" s="122"/>
      <c r="FO6" s="122"/>
      <c r="FP6" s="122"/>
      <c r="FQ6" s="122"/>
      <c r="FR6" s="122"/>
      <c r="FS6" s="122"/>
      <c r="FT6" s="122"/>
      <c r="FU6" s="122"/>
      <c r="FV6" s="122"/>
      <c r="FW6" s="122"/>
      <c r="FX6" s="122"/>
      <c r="FY6" s="122"/>
      <c r="FZ6" s="122"/>
      <c r="GA6" s="122"/>
      <c r="GB6" s="122"/>
      <c r="GC6" s="122"/>
      <c r="GD6" s="122"/>
      <c r="GE6" s="122"/>
      <c r="GF6" s="122"/>
      <c r="GG6" s="122"/>
      <c r="GH6" s="122"/>
      <c r="GI6" s="122"/>
      <c r="GJ6" s="122"/>
      <c r="GK6" s="122"/>
      <c r="GL6" s="122"/>
      <c r="GM6" s="122"/>
      <c r="GN6" s="122"/>
      <c r="GO6" s="122"/>
      <c r="GP6" s="122"/>
      <c r="GQ6" s="122"/>
      <c r="GR6" s="122"/>
      <c r="GS6" s="122"/>
      <c r="GT6" s="122"/>
      <c r="GU6" s="122"/>
      <c r="GV6" s="122"/>
      <c r="GW6" s="122"/>
      <c r="GX6" s="122"/>
      <c r="GY6" s="122"/>
      <c r="GZ6" s="122"/>
      <c r="HA6" s="122"/>
      <c r="HB6" s="122"/>
      <c r="HC6" s="122"/>
      <c r="HD6" s="122"/>
      <c r="HE6" s="122"/>
      <c r="HF6" s="122"/>
      <c r="HG6" s="122"/>
      <c r="HH6" s="122"/>
      <c r="HI6" s="122"/>
      <c r="HJ6" s="122"/>
      <c r="HK6" s="122"/>
      <c r="HL6" s="122"/>
      <c r="HM6" s="122"/>
      <c r="HN6" s="122"/>
      <c r="HO6" s="122"/>
      <c r="HP6" s="122"/>
      <c r="HQ6" s="122"/>
      <c r="HR6" s="122"/>
      <c r="HS6" s="122"/>
      <c r="HT6" s="122"/>
      <c r="HU6" s="122"/>
      <c r="HV6" s="122"/>
      <c r="HW6" s="122"/>
      <c r="HX6" s="122"/>
      <c r="HY6" s="122"/>
      <c r="HZ6" s="122"/>
      <c r="IA6" s="122"/>
      <c r="IB6" s="122"/>
      <c r="IC6" s="122"/>
      <c r="ID6" s="122"/>
      <c r="IE6" s="122"/>
      <c r="IF6" s="122"/>
      <c r="IG6" s="122"/>
      <c r="IH6" s="122"/>
      <c r="II6" s="122"/>
      <c r="IJ6" s="122"/>
      <c r="IK6" s="122"/>
      <c r="IL6" s="122"/>
      <c r="IM6" s="122"/>
      <c r="IN6" s="122"/>
      <c r="IO6" s="122"/>
      <c r="IP6" s="122"/>
      <c r="IQ6" s="122"/>
      <c r="IR6" s="122"/>
      <c r="IS6" s="122"/>
      <c r="IT6" s="122"/>
      <c r="IU6" s="122"/>
      <c r="IV6" s="122"/>
      <c r="IW6" s="122"/>
      <c r="IX6" s="122"/>
      <c r="IY6" s="122"/>
      <c r="IZ6" s="122"/>
      <c r="JA6" s="122"/>
      <c r="JB6" s="122"/>
      <c r="JC6" s="122"/>
      <c r="JD6" s="122"/>
      <c r="JE6" s="122"/>
      <c r="JF6" s="122"/>
      <c r="JG6" s="122"/>
      <c r="JH6" s="122"/>
      <c r="JI6" s="119">
        <f t="shared" si="0"/>
        <v>17504.5</v>
      </c>
      <c r="JJ6" s="2">
        <v>4942</v>
      </c>
      <c r="JK6" s="122"/>
      <c r="JL6" s="125"/>
      <c r="JM6" s="358"/>
      <c r="JN6" s="125"/>
      <c r="JO6" s="125"/>
      <c r="JP6" s="125"/>
    </row>
    <row r="7" spans="1:276" x14ac:dyDescent="0.25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  <c r="DB7" s="122"/>
      <c r="DC7" s="122"/>
      <c r="DD7" s="122"/>
      <c r="DE7" s="122"/>
      <c r="DF7" s="122"/>
      <c r="DG7" s="122"/>
      <c r="DH7" s="122"/>
      <c r="DI7" s="122"/>
      <c r="DJ7" s="122"/>
      <c r="DK7" s="122"/>
      <c r="DL7" s="122"/>
      <c r="DM7" s="122"/>
      <c r="DN7" s="122"/>
      <c r="DO7" s="122"/>
      <c r="DP7" s="122"/>
      <c r="DQ7" s="122"/>
      <c r="DR7" s="122"/>
      <c r="DS7" s="122"/>
      <c r="DT7" s="122"/>
      <c r="DU7" s="122"/>
      <c r="DV7" s="122"/>
      <c r="DW7" s="122">
        <v>271695</v>
      </c>
      <c r="DX7" s="122"/>
      <c r="DY7" s="122"/>
      <c r="DZ7" s="122"/>
      <c r="EA7" s="122"/>
      <c r="EB7" s="122"/>
      <c r="EC7" s="122"/>
      <c r="ED7" s="122"/>
      <c r="EE7" s="122"/>
      <c r="EF7" s="122"/>
      <c r="EG7" s="122"/>
      <c r="EH7" s="122"/>
      <c r="EI7" s="122"/>
      <c r="EJ7" s="122"/>
      <c r="EK7" s="122"/>
      <c r="EL7" s="122"/>
      <c r="EM7" s="122"/>
      <c r="EN7" s="122"/>
      <c r="EO7" s="122"/>
      <c r="EP7" s="122"/>
      <c r="EQ7" s="122"/>
      <c r="ER7" s="122"/>
      <c r="ES7" s="122"/>
      <c r="ET7" s="122"/>
      <c r="EU7" s="122"/>
      <c r="EV7" s="122"/>
      <c r="EW7" s="122"/>
      <c r="EX7" s="122"/>
      <c r="EY7" s="122"/>
      <c r="EZ7" s="122"/>
      <c r="FA7" s="122"/>
      <c r="FB7" s="122"/>
      <c r="FC7" s="122"/>
      <c r="FD7" s="122"/>
      <c r="FE7" s="122"/>
      <c r="FF7" s="122"/>
      <c r="FG7" s="122"/>
      <c r="FH7" s="122"/>
      <c r="FI7" s="122"/>
      <c r="FJ7" s="122"/>
      <c r="FK7" s="122"/>
      <c r="FL7" s="122"/>
      <c r="FM7" s="122"/>
      <c r="FN7" s="122"/>
      <c r="FO7" s="122"/>
      <c r="FP7" s="122"/>
      <c r="FQ7" s="122"/>
      <c r="FR7" s="122"/>
      <c r="FS7" s="122"/>
      <c r="FT7" s="122"/>
      <c r="FU7" s="122"/>
      <c r="FV7" s="122"/>
      <c r="FW7" s="122"/>
      <c r="FX7" s="122"/>
      <c r="FY7" s="122"/>
      <c r="FZ7" s="122"/>
      <c r="GA7" s="122"/>
      <c r="GB7" s="122"/>
      <c r="GC7" s="122"/>
      <c r="GD7" s="122"/>
      <c r="GE7" s="122"/>
      <c r="GF7" s="122"/>
      <c r="GG7" s="122"/>
      <c r="GH7" s="122"/>
      <c r="GI7" s="122"/>
      <c r="GJ7" s="122"/>
      <c r="GK7" s="122"/>
      <c r="GL7" s="122"/>
      <c r="GM7" s="122"/>
      <c r="GN7" s="122"/>
      <c r="GO7" s="122"/>
      <c r="GP7" s="122"/>
      <c r="GQ7" s="122"/>
      <c r="GR7" s="122"/>
      <c r="GS7" s="122"/>
      <c r="GT7" s="122"/>
      <c r="GU7" s="122"/>
      <c r="GV7" s="122"/>
      <c r="GW7" s="122"/>
      <c r="GX7" s="122"/>
      <c r="GY7" s="122"/>
      <c r="GZ7" s="122"/>
      <c r="HA7" s="122"/>
      <c r="HB7" s="122"/>
      <c r="HC7" s="122"/>
      <c r="HD7" s="122"/>
      <c r="HE7" s="122"/>
      <c r="HF7" s="122"/>
      <c r="HG7" s="122"/>
      <c r="HH7" s="122"/>
      <c r="HI7" s="122"/>
      <c r="HJ7" s="122"/>
      <c r="HK7" s="122"/>
      <c r="HL7" s="122"/>
      <c r="HM7" s="122"/>
      <c r="HN7" s="122"/>
      <c r="HO7" s="122"/>
      <c r="HP7" s="122"/>
      <c r="HQ7" s="122"/>
      <c r="HR7" s="122"/>
      <c r="HS7" s="122"/>
      <c r="HT7" s="122"/>
      <c r="HU7" s="122"/>
      <c r="HV7" s="122"/>
      <c r="HW7" s="122"/>
      <c r="HX7" s="122"/>
      <c r="HY7" s="122"/>
      <c r="HZ7" s="122"/>
      <c r="IA7" s="122"/>
      <c r="IB7" s="122"/>
      <c r="IC7" s="122"/>
      <c r="ID7" s="122"/>
      <c r="IE7" s="122"/>
      <c r="IF7" s="122"/>
      <c r="IG7" s="122"/>
      <c r="IH7" s="122"/>
      <c r="II7" s="122"/>
      <c r="IJ7" s="122"/>
      <c r="IK7" s="122"/>
      <c r="IL7" s="122"/>
      <c r="IM7" s="122"/>
      <c r="IN7" s="122"/>
      <c r="IO7" s="122"/>
      <c r="IP7" s="122"/>
      <c r="IQ7" s="122"/>
      <c r="IR7" s="122"/>
      <c r="IS7" s="122"/>
      <c r="IT7" s="122"/>
      <c r="IU7" s="122"/>
      <c r="IV7" s="122"/>
      <c r="IW7" s="122"/>
      <c r="IX7" s="122"/>
      <c r="IY7" s="122"/>
      <c r="IZ7" s="122"/>
      <c r="JA7" s="122"/>
      <c r="JB7" s="122"/>
      <c r="JC7" s="122"/>
      <c r="JD7" s="122"/>
      <c r="JE7" s="122"/>
      <c r="JF7" s="122"/>
      <c r="JG7" s="122"/>
      <c r="JH7" s="122"/>
      <c r="JI7" s="119">
        <f t="shared" si="0"/>
        <v>271695</v>
      </c>
      <c r="JJ7" s="2">
        <v>4953</v>
      </c>
      <c r="JK7" s="122"/>
      <c r="JL7" s="125"/>
      <c r="JM7" s="358"/>
      <c r="JN7" s="125"/>
      <c r="JO7" s="125"/>
      <c r="JP7" s="125"/>
    </row>
    <row r="8" spans="1:276" x14ac:dyDescent="0.25">
      <c r="A8" s="122"/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2"/>
      <c r="BQ8" s="122"/>
      <c r="BR8" s="122"/>
      <c r="BS8" s="122"/>
      <c r="BT8" s="122"/>
      <c r="BU8" s="122"/>
      <c r="BV8" s="122"/>
      <c r="BW8" s="122"/>
      <c r="BX8" s="122"/>
      <c r="BY8" s="122"/>
      <c r="BZ8" s="122"/>
      <c r="CA8" s="122"/>
      <c r="CB8" s="122"/>
      <c r="CC8" s="122"/>
      <c r="CD8" s="122"/>
      <c r="CE8" s="122"/>
      <c r="CF8" s="122"/>
      <c r="CG8" s="122"/>
      <c r="CH8" s="122"/>
      <c r="CI8" s="122"/>
      <c r="CJ8" s="122"/>
      <c r="CK8" s="122"/>
      <c r="CL8" s="122"/>
      <c r="CM8" s="122"/>
      <c r="CN8" s="122"/>
      <c r="CO8" s="122"/>
      <c r="CP8" s="122"/>
      <c r="CQ8" s="122"/>
      <c r="CR8" s="122"/>
      <c r="CS8" s="122"/>
      <c r="CT8" s="122"/>
      <c r="CU8" s="122"/>
      <c r="CV8" s="122"/>
      <c r="CW8" s="122"/>
      <c r="CX8" s="122"/>
      <c r="CY8" s="122"/>
      <c r="CZ8" s="122"/>
      <c r="DA8" s="122"/>
      <c r="DB8" s="122"/>
      <c r="DC8" s="122"/>
      <c r="DD8" s="122"/>
      <c r="DE8" s="122"/>
      <c r="DF8" s="122"/>
      <c r="DG8" s="122"/>
      <c r="DH8" s="122"/>
      <c r="DI8" s="122"/>
      <c r="DJ8" s="122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/>
      <c r="EB8" s="122"/>
      <c r="EC8" s="122"/>
      <c r="ED8" s="122"/>
      <c r="EE8" s="122"/>
      <c r="EF8" s="122"/>
      <c r="EG8" s="122"/>
      <c r="EH8" s="122"/>
      <c r="EI8" s="122"/>
      <c r="EJ8" s="122"/>
      <c r="EK8" s="122"/>
      <c r="EL8" s="122"/>
      <c r="EM8" s="122"/>
      <c r="EN8" s="122"/>
      <c r="EO8" s="122"/>
      <c r="EP8" s="122"/>
      <c r="EQ8" s="122"/>
      <c r="ER8" s="122"/>
      <c r="ES8" s="122"/>
      <c r="ET8" s="122"/>
      <c r="EU8" s="122"/>
      <c r="EV8" s="122"/>
      <c r="EW8" s="122"/>
      <c r="EX8" s="122"/>
      <c r="EY8" s="122"/>
      <c r="EZ8" s="122"/>
      <c r="FA8" s="122"/>
      <c r="FB8" s="122"/>
      <c r="FC8" s="122"/>
      <c r="FD8" s="122"/>
      <c r="FE8" s="122"/>
      <c r="FF8" s="122"/>
      <c r="FG8" s="122"/>
      <c r="FH8" s="122"/>
      <c r="FI8" s="122"/>
      <c r="FJ8" s="122"/>
      <c r="FK8" s="122"/>
      <c r="FL8" s="122"/>
      <c r="FM8" s="122"/>
      <c r="FN8" s="122"/>
      <c r="FO8" s="122"/>
      <c r="FP8" s="122"/>
      <c r="FQ8" s="122"/>
      <c r="FR8" s="122"/>
      <c r="FS8" s="122"/>
      <c r="FT8" s="122">
        <v>138591</v>
      </c>
      <c r="FU8" s="122"/>
      <c r="FV8" s="122"/>
      <c r="FW8" s="122"/>
      <c r="FX8" s="122"/>
      <c r="FY8" s="122"/>
      <c r="FZ8" s="122"/>
      <c r="GA8" s="122"/>
      <c r="GB8" s="122"/>
      <c r="GC8" s="122"/>
      <c r="GD8" s="122"/>
      <c r="GE8" s="122"/>
      <c r="GF8" s="122"/>
      <c r="GG8" s="122"/>
      <c r="GH8" s="122"/>
      <c r="GI8" s="122"/>
      <c r="GJ8" s="122"/>
      <c r="GK8" s="122"/>
      <c r="GL8" s="122"/>
      <c r="GM8" s="122"/>
      <c r="GN8" s="122"/>
      <c r="GO8" s="122"/>
      <c r="GP8" s="122"/>
      <c r="GQ8" s="122"/>
      <c r="GR8" s="122"/>
      <c r="GS8" s="122"/>
      <c r="GT8" s="122"/>
      <c r="GU8" s="122"/>
      <c r="GV8" s="122"/>
      <c r="GW8" s="122"/>
      <c r="GX8" s="122"/>
      <c r="GY8" s="122"/>
      <c r="GZ8" s="122"/>
      <c r="HA8" s="122"/>
      <c r="HB8" s="122"/>
      <c r="HC8" s="122"/>
      <c r="HD8" s="122"/>
      <c r="HE8" s="122"/>
      <c r="HF8" s="122"/>
      <c r="HG8" s="122"/>
      <c r="HH8" s="122"/>
      <c r="HI8" s="122"/>
      <c r="HJ8" s="122"/>
      <c r="HK8" s="122"/>
      <c r="HL8" s="122"/>
      <c r="HM8" s="122"/>
      <c r="HN8" s="122"/>
      <c r="HO8" s="122"/>
      <c r="HP8" s="122"/>
      <c r="HQ8" s="122"/>
      <c r="HR8" s="122"/>
      <c r="HS8" s="122"/>
      <c r="HT8" s="122"/>
      <c r="HU8" s="122"/>
      <c r="HV8" s="122"/>
      <c r="HW8" s="122"/>
      <c r="HX8" s="122"/>
      <c r="HY8" s="122"/>
      <c r="HZ8" s="122"/>
      <c r="IA8" s="122"/>
      <c r="IB8" s="122"/>
      <c r="IC8" s="122"/>
      <c r="ID8" s="122"/>
      <c r="IE8" s="122"/>
      <c r="IF8" s="122"/>
      <c r="IG8" s="122"/>
      <c r="IH8" s="122"/>
      <c r="II8" s="122"/>
      <c r="IJ8" s="122"/>
      <c r="IK8" s="122"/>
      <c r="IL8" s="122"/>
      <c r="IM8" s="122"/>
      <c r="IN8" s="122"/>
      <c r="IO8" s="122"/>
      <c r="IP8" s="122"/>
      <c r="IQ8" s="122"/>
      <c r="IR8" s="122"/>
      <c r="IS8" s="122"/>
      <c r="IT8" s="122"/>
      <c r="IU8" s="122"/>
      <c r="IV8" s="122"/>
      <c r="IW8" s="122"/>
      <c r="IX8" s="122"/>
      <c r="IY8" s="122"/>
      <c r="IZ8" s="122"/>
      <c r="JA8" s="122"/>
      <c r="JB8" s="122"/>
      <c r="JC8" s="122"/>
      <c r="JD8" s="122"/>
      <c r="JE8" s="122"/>
      <c r="JF8" s="122"/>
      <c r="JG8" s="122"/>
      <c r="JH8" s="122"/>
      <c r="JI8" s="119">
        <f t="shared" si="0"/>
        <v>138591</v>
      </c>
      <c r="JJ8" s="2">
        <v>4960</v>
      </c>
      <c r="JK8" s="122"/>
      <c r="JL8" s="125"/>
      <c r="JM8" s="358"/>
      <c r="JN8" s="125"/>
      <c r="JO8" s="125"/>
      <c r="JP8" s="125"/>
    </row>
    <row r="9" spans="1:276" x14ac:dyDescent="0.25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122"/>
      <c r="BR9" s="122"/>
      <c r="BS9" s="122"/>
      <c r="BT9" s="122"/>
      <c r="BU9" s="122"/>
      <c r="BV9" s="122"/>
      <c r="BW9" s="122"/>
      <c r="BX9" s="122"/>
      <c r="BY9" s="122"/>
      <c r="BZ9" s="122"/>
      <c r="CA9" s="122"/>
      <c r="CB9" s="122"/>
      <c r="CC9" s="122"/>
      <c r="CD9" s="122"/>
      <c r="CE9" s="122"/>
      <c r="CF9" s="122"/>
      <c r="CG9" s="122"/>
      <c r="CH9" s="122"/>
      <c r="CI9" s="122"/>
      <c r="CJ9" s="122"/>
      <c r="CK9" s="122"/>
      <c r="CL9" s="122"/>
      <c r="CM9" s="122"/>
      <c r="CN9" s="122"/>
      <c r="CO9" s="122"/>
      <c r="CP9" s="122"/>
      <c r="CQ9" s="122"/>
      <c r="CR9" s="122"/>
      <c r="CS9" s="122"/>
      <c r="CT9" s="122"/>
      <c r="CU9" s="122"/>
      <c r="CV9" s="122"/>
      <c r="CW9" s="122"/>
      <c r="CX9" s="122"/>
      <c r="CY9" s="122"/>
      <c r="CZ9" s="122"/>
      <c r="DA9" s="122"/>
      <c r="DB9" s="122"/>
      <c r="DC9" s="122"/>
      <c r="DD9" s="122"/>
      <c r="DE9" s="122"/>
      <c r="DF9" s="122"/>
      <c r="DG9" s="122"/>
      <c r="DH9" s="122"/>
      <c r="DI9" s="122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>
        <v>71400</v>
      </c>
      <c r="EB9" s="122"/>
      <c r="EC9" s="122"/>
      <c r="ED9" s="122"/>
      <c r="EE9" s="122"/>
      <c r="EF9" s="122"/>
      <c r="EG9" s="122"/>
      <c r="EH9" s="122"/>
      <c r="EI9" s="122"/>
      <c r="EJ9" s="122"/>
      <c r="EK9" s="122"/>
      <c r="EL9" s="122"/>
      <c r="EM9" s="122"/>
      <c r="EN9" s="122"/>
      <c r="EO9" s="122"/>
      <c r="EP9" s="122"/>
      <c r="EQ9" s="122"/>
      <c r="ER9" s="122"/>
      <c r="ES9" s="122"/>
      <c r="ET9" s="122"/>
      <c r="EU9" s="122"/>
      <c r="EV9" s="122"/>
      <c r="EW9" s="122"/>
      <c r="EX9" s="122"/>
      <c r="EY9" s="122"/>
      <c r="EZ9" s="122"/>
      <c r="FA9" s="122"/>
      <c r="FB9" s="122"/>
      <c r="FC9" s="122"/>
      <c r="FD9" s="122"/>
      <c r="FE9" s="122"/>
      <c r="FF9" s="122"/>
      <c r="FG9" s="122"/>
      <c r="FH9" s="122"/>
      <c r="FI9" s="122"/>
      <c r="FJ9" s="122"/>
      <c r="FK9" s="122"/>
      <c r="FL9" s="122"/>
      <c r="FM9" s="122"/>
      <c r="FN9" s="122"/>
      <c r="FO9" s="122"/>
      <c r="FP9" s="122"/>
      <c r="FQ9" s="122"/>
      <c r="FR9" s="122"/>
      <c r="FS9" s="122"/>
      <c r="FT9" s="122"/>
      <c r="FU9" s="122"/>
      <c r="FV9" s="122"/>
      <c r="FW9" s="122"/>
      <c r="FX9" s="122"/>
      <c r="FY9" s="122"/>
      <c r="FZ9" s="122"/>
      <c r="GA9" s="122"/>
      <c r="GB9" s="122"/>
      <c r="GC9" s="122"/>
      <c r="GD9" s="122"/>
      <c r="GE9" s="122"/>
      <c r="GF9" s="122"/>
      <c r="GG9" s="122"/>
      <c r="GH9" s="122"/>
      <c r="GI9" s="122"/>
      <c r="GJ9" s="122"/>
      <c r="GK9" s="122"/>
      <c r="GL9" s="122"/>
      <c r="GM9" s="122"/>
      <c r="GN9" s="122"/>
      <c r="GO9" s="122"/>
      <c r="GP9" s="122"/>
      <c r="GQ9" s="122"/>
      <c r="GR9" s="122"/>
      <c r="GS9" s="122"/>
      <c r="GT9" s="122"/>
      <c r="GU9" s="122"/>
      <c r="GV9" s="122"/>
      <c r="GW9" s="122"/>
      <c r="GX9" s="122"/>
      <c r="GY9" s="122"/>
      <c r="GZ9" s="122"/>
      <c r="HA9" s="122"/>
      <c r="HB9" s="122"/>
      <c r="HC9" s="122"/>
      <c r="HD9" s="122"/>
      <c r="HE9" s="122"/>
      <c r="HF9" s="122"/>
      <c r="HG9" s="122"/>
      <c r="HH9" s="122"/>
      <c r="HI9" s="122"/>
      <c r="HJ9" s="122"/>
      <c r="HK9" s="122"/>
      <c r="HL9" s="122"/>
      <c r="HM9" s="122"/>
      <c r="HN9" s="122"/>
      <c r="HO9" s="122"/>
      <c r="HP9" s="122"/>
      <c r="HQ9" s="122"/>
      <c r="HR9" s="122"/>
      <c r="HS9" s="122"/>
      <c r="HT9" s="122"/>
      <c r="HU9" s="122"/>
      <c r="HV9" s="122"/>
      <c r="HW9" s="122"/>
      <c r="HX9" s="122"/>
      <c r="HY9" s="122"/>
      <c r="HZ9" s="122"/>
      <c r="IA9" s="122"/>
      <c r="IB9" s="122"/>
      <c r="IC9" s="122"/>
      <c r="ID9" s="122"/>
      <c r="IE9" s="122"/>
      <c r="IF9" s="122"/>
      <c r="IG9" s="122"/>
      <c r="IH9" s="122"/>
      <c r="II9" s="122"/>
      <c r="IJ9" s="122"/>
      <c r="IK9" s="122"/>
      <c r="IL9" s="122"/>
      <c r="IM9" s="122"/>
      <c r="IN9" s="122"/>
      <c r="IO9" s="122"/>
      <c r="IP9" s="122"/>
      <c r="IQ9" s="122"/>
      <c r="IR9" s="122"/>
      <c r="IS9" s="122"/>
      <c r="IT9" s="122"/>
      <c r="IU9" s="122"/>
      <c r="IV9" s="122"/>
      <c r="IW9" s="122"/>
      <c r="IX9" s="122"/>
      <c r="IY9" s="122"/>
      <c r="IZ9" s="122"/>
      <c r="JA9" s="122"/>
      <c r="JB9" s="122"/>
      <c r="JC9" s="122"/>
      <c r="JD9" s="122"/>
      <c r="JE9" s="122"/>
      <c r="JF9" s="122"/>
      <c r="JG9" s="122"/>
      <c r="JH9" s="122"/>
      <c r="JI9" s="119">
        <f t="shared" si="0"/>
        <v>71400</v>
      </c>
      <c r="JJ9" s="2">
        <v>4961</v>
      </c>
      <c r="JK9" s="122"/>
      <c r="JL9" s="125"/>
      <c r="JM9" s="358"/>
      <c r="JN9" s="125"/>
      <c r="JO9" s="125"/>
      <c r="JP9" s="125"/>
    </row>
    <row r="10" spans="1:276" x14ac:dyDescent="0.25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  <c r="CE10" s="122"/>
      <c r="CF10" s="122"/>
      <c r="CG10" s="122"/>
      <c r="CH10" s="122"/>
      <c r="CI10" s="122"/>
      <c r="CJ10" s="122"/>
      <c r="CK10" s="122"/>
      <c r="CL10" s="122"/>
      <c r="CM10" s="122"/>
      <c r="CN10" s="122"/>
      <c r="CO10" s="122"/>
      <c r="CP10" s="122"/>
      <c r="CQ10" s="122"/>
      <c r="CR10" s="122"/>
      <c r="CS10" s="122"/>
      <c r="CT10" s="122"/>
      <c r="CU10" s="122"/>
      <c r="CV10" s="122"/>
      <c r="CW10" s="122"/>
      <c r="CX10" s="122"/>
      <c r="CY10" s="122"/>
      <c r="CZ10" s="122"/>
      <c r="DA10" s="122"/>
      <c r="DB10" s="122"/>
      <c r="DC10" s="122"/>
      <c r="DD10" s="122"/>
      <c r="DE10" s="122"/>
      <c r="DF10" s="122"/>
      <c r="DG10" s="122"/>
      <c r="DH10" s="122"/>
      <c r="DI10" s="122"/>
      <c r="DJ10" s="122"/>
      <c r="DK10" s="122"/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/>
      <c r="EB10" s="122"/>
      <c r="EC10" s="122"/>
      <c r="ED10" s="122"/>
      <c r="EE10" s="122"/>
      <c r="EF10" s="122"/>
      <c r="EG10" s="122"/>
      <c r="EH10" s="122"/>
      <c r="EI10" s="122"/>
      <c r="EJ10" s="122"/>
      <c r="EK10" s="122"/>
      <c r="EL10" s="122"/>
      <c r="EM10" s="122"/>
      <c r="EN10" s="122"/>
      <c r="EO10" s="122"/>
      <c r="EP10" s="122"/>
      <c r="EQ10" s="122"/>
      <c r="ER10" s="122"/>
      <c r="ES10" s="122"/>
      <c r="ET10" s="122"/>
      <c r="EU10" s="122"/>
      <c r="EV10" s="122"/>
      <c r="EW10" s="122"/>
      <c r="EX10" s="122"/>
      <c r="EY10" s="122"/>
      <c r="EZ10" s="122"/>
      <c r="FA10" s="122"/>
      <c r="FB10" s="122"/>
      <c r="FC10" s="122"/>
      <c r="FD10" s="122"/>
      <c r="FE10" s="122"/>
      <c r="FF10" s="122"/>
      <c r="FG10" s="122"/>
      <c r="FH10" s="122"/>
      <c r="FI10" s="122"/>
      <c r="FJ10" s="122"/>
      <c r="FK10" s="122"/>
      <c r="FL10" s="122"/>
      <c r="FM10" s="122"/>
      <c r="FN10" s="122"/>
      <c r="FO10" s="122"/>
      <c r="FP10" s="122"/>
      <c r="FQ10" s="122"/>
      <c r="FR10" s="122"/>
      <c r="FS10" s="122"/>
      <c r="FT10" s="122">
        <v>255284.8</v>
      </c>
      <c r="FU10" s="122"/>
      <c r="FV10" s="122"/>
      <c r="FW10" s="122"/>
      <c r="FX10" s="122"/>
      <c r="FY10" s="122"/>
      <c r="FZ10" s="122"/>
      <c r="GA10" s="122"/>
      <c r="GB10" s="122"/>
      <c r="GC10" s="122"/>
      <c r="GD10" s="122"/>
      <c r="GE10" s="122"/>
      <c r="GF10" s="122"/>
      <c r="GG10" s="122"/>
      <c r="GH10" s="122"/>
      <c r="GI10" s="122"/>
      <c r="GJ10" s="122"/>
      <c r="GK10" s="122"/>
      <c r="GL10" s="122"/>
      <c r="GM10" s="122"/>
      <c r="GN10" s="122"/>
      <c r="GO10" s="122"/>
      <c r="GP10" s="122"/>
      <c r="GQ10" s="122"/>
      <c r="GR10" s="122"/>
      <c r="GS10" s="122"/>
      <c r="GT10" s="122"/>
      <c r="GU10" s="122"/>
      <c r="GV10" s="122"/>
      <c r="GW10" s="122"/>
      <c r="GX10" s="122"/>
      <c r="GY10" s="122"/>
      <c r="GZ10" s="122"/>
      <c r="HA10" s="122"/>
      <c r="HB10" s="122"/>
      <c r="HC10" s="122"/>
      <c r="HD10" s="122"/>
      <c r="HE10" s="122"/>
      <c r="HF10" s="122"/>
      <c r="HG10" s="122"/>
      <c r="HH10" s="122"/>
      <c r="HI10" s="122"/>
      <c r="HJ10" s="122"/>
      <c r="HK10" s="122"/>
      <c r="HL10" s="122"/>
      <c r="HM10" s="122"/>
      <c r="HN10" s="122"/>
      <c r="HO10" s="122"/>
      <c r="HP10" s="122"/>
      <c r="HQ10" s="122"/>
      <c r="HR10" s="122"/>
      <c r="HS10" s="122"/>
      <c r="HT10" s="122"/>
      <c r="HU10" s="122"/>
      <c r="HV10" s="122"/>
      <c r="HW10" s="122"/>
      <c r="HX10" s="122"/>
      <c r="HY10" s="122"/>
      <c r="HZ10" s="122"/>
      <c r="IA10" s="122"/>
      <c r="IB10" s="122"/>
      <c r="IC10" s="122"/>
      <c r="ID10" s="122"/>
      <c r="IE10" s="122"/>
      <c r="IF10" s="122"/>
      <c r="IG10" s="122"/>
      <c r="IH10" s="122"/>
      <c r="II10" s="122"/>
      <c r="IJ10" s="122"/>
      <c r="IK10" s="122"/>
      <c r="IL10" s="122"/>
      <c r="IM10" s="122"/>
      <c r="IN10" s="122"/>
      <c r="IO10" s="122"/>
      <c r="IP10" s="122"/>
      <c r="IQ10" s="122"/>
      <c r="IR10" s="122"/>
      <c r="IS10" s="122"/>
      <c r="IT10" s="122"/>
      <c r="IU10" s="122"/>
      <c r="IV10" s="122"/>
      <c r="IW10" s="122"/>
      <c r="IX10" s="122"/>
      <c r="IY10" s="122"/>
      <c r="IZ10" s="122"/>
      <c r="JA10" s="122"/>
      <c r="JB10" s="122"/>
      <c r="JC10" s="122"/>
      <c r="JD10" s="122"/>
      <c r="JE10" s="122"/>
      <c r="JF10" s="122"/>
      <c r="JG10" s="122"/>
      <c r="JH10" s="122"/>
      <c r="JI10" s="119">
        <f t="shared" si="0"/>
        <v>255284.8</v>
      </c>
      <c r="JJ10" s="2">
        <v>4965</v>
      </c>
      <c r="JK10" s="122"/>
      <c r="JL10" s="125"/>
      <c r="JM10" s="358"/>
      <c r="JN10" s="125"/>
      <c r="JO10" s="125"/>
      <c r="JP10" s="125"/>
    </row>
    <row r="11" spans="1:276" x14ac:dyDescent="0.25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  <c r="BQ11" s="122"/>
      <c r="BR11" s="122"/>
      <c r="BS11" s="122"/>
      <c r="BT11" s="122"/>
      <c r="BU11" s="122"/>
      <c r="BV11" s="122"/>
      <c r="BW11" s="122"/>
      <c r="BX11" s="122"/>
      <c r="BY11" s="122"/>
      <c r="BZ11" s="122"/>
      <c r="CA11" s="122"/>
      <c r="CB11" s="122"/>
      <c r="CC11" s="122"/>
      <c r="CD11" s="122"/>
      <c r="CE11" s="122"/>
      <c r="CF11" s="122"/>
      <c r="CG11" s="122"/>
      <c r="CH11" s="122"/>
      <c r="CI11" s="122"/>
      <c r="CJ11" s="122"/>
      <c r="CK11" s="122"/>
      <c r="CL11" s="122"/>
      <c r="CM11" s="122"/>
      <c r="CN11" s="122"/>
      <c r="CO11" s="122"/>
      <c r="CP11" s="122"/>
      <c r="CQ11" s="122"/>
      <c r="CR11" s="122"/>
      <c r="CS11" s="122"/>
      <c r="CT11" s="122"/>
      <c r="CU11" s="122"/>
      <c r="CV11" s="122"/>
      <c r="CW11" s="122"/>
      <c r="CX11" s="122"/>
      <c r="CY11" s="122"/>
      <c r="CZ11" s="122"/>
      <c r="DA11" s="122"/>
      <c r="DB11" s="122"/>
      <c r="DC11" s="122"/>
      <c r="DD11" s="122"/>
      <c r="DE11" s="122"/>
      <c r="DF11" s="122"/>
      <c r="DG11" s="122"/>
      <c r="DH11" s="122"/>
      <c r="DI11" s="122"/>
      <c r="DJ11" s="122"/>
      <c r="DK11" s="122"/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22"/>
      <c r="DZ11" s="122"/>
      <c r="EA11" s="122">
        <v>87500</v>
      </c>
      <c r="EB11" s="122"/>
      <c r="EC11" s="122"/>
      <c r="ED11" s="122"/>
      <c r="EE11" s="122"/>
      <c r="EF11" s="122"/>
      <c r="EG11" s="122"/>
      <c r="EH11" s="122"/>
      <c r="EI11" s="122"/>
      <c r="EJ11" s="122"/>
      <c r="EK11" s="122"/>
      <c r="EL11" s="122"/>
      <c r="EM11" s="122"/>
      <c r="EN11" s="122"/>
      <c r="EO11" s="122"/>
      <c r="EP11" s="122"/>
      <c r="EQ11" s="122"/>
      <c r="ER11" s="122"/>
      <c r="ES11" s="122"/>
      <c r="ET11" s="122"/>
      <c r="EU11" s="122"/>
      <c r="EV11" s="122"/>
      <c r="EW11" s="122"/>
      <c r="EX11" s="122"/>
      <c r="EY11" s="122"/>
      <c r="EZ11" s="122"/>
      <c r="FA11" s="122"/>
      <c r="FB11" s="122"/>
      <c r="FC11" s="122"/>
      <c r="FD11" s="122"/>
      <c r="FE11" s="122"/>
      <c r="FF11" s="122"/>
      <c r="FG11" s="122"/>
      <c r="FH11" s="122"/>
      <c r="FI11" s="122"/>
      <c r="FJ11" s="122"/>
      <c r="FK11" s="122"/>
      <c r="FL11" s="122"/>
      <c r="FM11" s="122"/>
      <c r="FN11" s="122"/>
      <c r="FO11" s="122"/>
      <c r="FP11" s="122"/>
      <c r="FQ11" s="122"/>
      <c r="FR11" s="122"/>
      <c r="FS11" s="122"/>
      <c r="FT11" s="122"/>
      <c r="FU11" s="122"/>
      <c r="FV11" s="122"/>
      <c r="FW11" s="122"/>
      <c r="FX11" s="122"/>
      <c r="FY11" s="122"/>
      <c r="FZ11" s="122"/>
      <c r="GA11" s="122"/>
      <c r="GB11" s="122"/>
      <c r="GC11" s="122"/>
      <c r="GD11" s="122"/>
      <c r="GE11" s="122"/>
      <c r="GF11" s="122"/>
      <c r="GG11" s="122"/>
      <c r="GH11" s="122"/>
      <c r="GI11" s="122"/>
      <c r="GJ11" s="122"/>
      <c r="GK11" s="122"/>
      <c r="GL11" s="122"/>
      <c r="GM11" s="122"/>
      <c r="GN11" s="122"/>
      <c r="GO11" s="122"/>
      <c r="GP11" s="122"/>
      <c r="GQ11" s="122"/>
      <c r="GR11" s="122"/>
      <c r="GS11" s="122"/>
      <c r="GT11" s="122"/>
      <c r="GU11" s="122"/>
      <c r="GV11" s="122"/>
      <c r="GW11" s="122"/>
      <c r="GX11" s="122"/>
      <c r="GY11" s="122"/>
      <c r="GZ11" s="122"/>
      <c r="HA11" s="122"/>
      <c r="HB11" s="122"/>
      <c r="HC11" s="122"/>
      <c r="HD11" s="122"/>
      <c r="HE11" s="122"/>
      <c r="HF11" s="122"/>
      <c r="HG11" s="122"/>
      <c r="HH11" s="122"/>
      <c r="HI11" s="122"/>
      <c r="HJ11" s="122"/>
      <c r="HK11" s="122"/>
      <c r="HL11" s="122"/>
      <c r="HM11" s="122"/>
      <c r="HN11" s="122"/>
      <c r="HO11" s="122"/>
      <c r="HP11" s="122"/>
      <c r="HQ11" s="122"/>
      <c r="HR11" s="122"/>
      <c r="HS11" s="122"/>
      <c r="HT11" s="122"/>
      <c r="HU11" s="122"/>
      <c r="HV11" s="122"/>
      <c r="HW11" s="122"/>
      <c r="HX11" s="122"/>
      <c r="HY11" s="122"/>
      <c r="HZ11" s="122"/>
      <c r="IA11" s="122"/>
      <c r="IB11" s="122"/>
      <c r="IC11" s="122"/>
      <c r="ID11" s="122"/>
      <c r="IE11" s="122"/>
      <c r="IF11" s="122"/>
      <c r="IG11" s="122"/>
      <c r="IH11" s="122"/>
      <c r="II11" s="122"/>
      <c r="IJ11" s="122"/>
      <c r="IK11" s="122"/>
      <c r="IL11" s="122"/>
      <c r="IM11" s="122"/>
      <c r="IN11" s="122"/>
      <c r="IO11" s="122"/>
      <c r="IP11" s="122"/>
      <c r="IQ11" s="122"/>
      <c r="IR11" s="122"/>
      <c r="IS11" s="122"/>
      <c r="IT11" s="122"/>
      <c r="IU11" s="122"/>
      <c r="IV11" s="122"/>
      <c r="IW11" s="122"/>
      <c r="IX11" s="122"/>
      <c r="IY11" s="122"/>
      <c r="IZ11" s="122"/>
      <c r="JA11" s="122"/>
      <c r="JB11" s="122"/>
      <c r="JC11" s="122"/>
      <c r="JD11" s="122"/>
      <c r="JE11" s="122"/>
      <c r="JF11" s="122"/>
      <c r="JG11" s="122"/>
      <c r="JH11" s="122"/>
      <c r="JI11" s="119">
        <f t="shared" si="0"/>
        <v>87500</v>
      </c>
      <c r="JJ11" s="2">
        <v>4969</v>
      </c>
      <c r="JK11" s="122"/>
      <c r="JL11" s="125"/>
      <c r="JM11" s="358"/>
      <c r="JN11" s="125"/>
      <c r="JO11" s="125"/>
      <c r="JP11" s="125"/>
    </row>
    <row r="12" spans="1:276" x14ac:dyDescent="0.25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/>
      <c r="CI12" s="122"/>
      <c r="CJ12" s="122"/>
      <c r="CK12" s="122"/>
      <c r="CL12" s="122"/>
      <c r="CM12" s="122"/>
      <c r="CN12" s="122"/>
      <c r="CO12" s="122"/>
      <c r="CP12" s="122"/>
      <c r="CQ12" s="122"/>
      <c r="CR12" s="122"/>
      <c r="CS12" s="122"/>
      <c r="CT12" s="122"/>
      <c r="CU12" s="122"/>
      <c r="CV12" s="122"/>
      <c r="CW12" s="122"/>
      <c r="CX12" s="122"/>
      <c r="CY12" s="122"/>
      <c r="CZ12" s="122"/>
      <c r="DA12" s="122"/>
      <c r="DB12" s="122"/>
      <c r="DC12" s="122"/>
      <c r="DD12" s="122"/>
      <c r="DE12" s="122"/>
      <c r="DF12" s="122"/>
      <c r="DG12" s="122"/>
      <c r="DH12" s="122"/>
      <c r="DI12" s="122"/>
      <c r="DJ12" s="122"/>
      <c r="DK12" s="122"/>
      <c r="DL12" s="122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22"/>
      <c r="DZ12" s="122"/>
      <c r="EA12" s="122"/>
      <c r="EB12" s="122"/>
      <c r="EC12" s="122"/>
      <c r="ED12" s="122"/>
      <c r="EE12" s="122"/>
      <c r="EF12" s="122"/>
      <c r="EG12" s="122"/>
      <c r="EH12" s="122"/>
      <c r="EI12" s="122"/>
      <c r="EJ12" s="122"/>
      <c r="EK12" s="122"/>
      <c r="EL12" s="122"/>
      <c r="EM12" s="122"/>
      <c r="EN12" s="122"/>
      <c r="EO12" s="122"/>
      <c r="EP12" s="122"/>
      <c r="EQ12" s="122"/>
      <c r="ER12" s="122"/>
      <c r="ES12" s="122"/>
      <c r="ET12" s="122"/>
      <c r="EU12" s="122"/>
      <c r="EV12" s="122"/>
      <c r="EW12" s="122"/>
      <c r="EX12" s="122"/>
      <c r="EY12" s="122"/>
      <c r="EZ12" s="122"/>
      <c r="FA12" s="122"/>
      <c r="FB12" s="122"/>
      <c r="FC12" s="122"/>
      <c r="FD12" s="122"/>
      <c r="FE12" s="122"/>
      <c r="FF12" s="122"/>
      <c r="FG12" s="122"/>
      <c r="FH12" s="122"/>
      <c r="FI12" s="122"/>
      <c r="FJ12" s="122"/>
      <c r="FK12" s="122"/>
      <c r="FL12" s="122"/>
      <c r="FM12" s="122"/>
      <c r="FN12" s="122"/>
      <c r="FO12" s="122"/>
      <c r="FP12" s="122"/>
      <c r="FQ12" s="122"/>
      <c r="FR12" s="122"/>
      <c r="FS12" s="122"/>
      <c r="FT12" s="122">
        <v>247800</v>
      </c>
      <c r="FU12" s="122"/>
      <c r="FV12" s="122"/>
      <c r="FW12" s="122"/>
      <c r="FX12" s="122"/>
      <c r="FY12" s="122"/>
      <c r="FZ12" s="122"/>
      <c r="GA12" s="122"/>
      <c r="GB12" s="122"/>
      <c r="GC12" s="122"/>
      <c r="GD12" s="122"/>
      <c r="GE12" s="122"/>
      <c r="GF12" s="122"/>
      <c r="GG12" s="122"/>
      <c r="GH12" s="122"/>
      <c r="GI12" s="122"/>
      <c r="GJ12" s="122"/>
      <c r="GK12" s="122"/>
      <c r="GL12" s="122"/>
      <c r="GM12" s="122"/>
      <c r="GN12" s="122"/>
      <c r="GO12" s="122"/>
      <c r="GP12" s="122"/>
      <c r="GQ12" s="122"/>
      <c r="GR12" s="122"/>
      <c r="GS12" s="122"/>
      <c r="GT12" s="122"/>
      <c r="GU12" s="122"/>
      <c r="GV12" s="122"/>
      <c r="GW12" s="122"/>
      <c r="GX12" s="122"/>
      <c r="GY12" s="122"/>
      <c r="GZ12" s="122"/>
      <c r="HA12" s="122"/>
      <c r="HB12" s="122"/>
      <c r="HC12" s="122"/>
      <c r="HD12" s="122"/>
      <c r="HE12" s="122"/>
      <c r="HF12" s="122"/>
      <c r="HG12" s="122"/>
      <c r="HH12" s="122"/>
      <c r="HI12" s="122"/>
      <c r="HJ12" s="122"/>
      <c r="HK12" s="122"/>
      <c r="HL12" s="122"/>
      <c r="HM12" s="122"/>
      <c r="HN12" s="122"/>
      <c r="HO12" s="122"/>
      <c r="HP12" s="122"/>
      <c r="HQ12" s="122"/>
      <c r="HR12" s="122"/>
      <c r="HS12" s="122"/>
      <c r="HT12" s="122"/>
      <c r="HU12" s="122"/>
      <c r="HV12" s="122"/>
      <c r="HW12" s="122"/>
      <c r="HX12" s="122"/>
      <c r="HY12" s="122"/>
      <c r="HZ12" s="122"/>
      <c r="IA12" s="122"/>
      <c r="IB12" s="122"/>
      <c r="IC12" s="122"/>
      <c r="ID12" s="122"/>
      <c r="IE12" s="122"/>
      <c r="IF12" s="122"/>
      <c r="IG12" s="122"/>
      <c r="IH12" s="122"/>
      <c r="II12" s="122"/>
      <c r="IJ12" s="122"/>
      <c r="IK12" s="122"/>
      <c r="IL12" s="122"/>
      <c r="IM12" s="122"/>
      <c r="IN12" s="122"/>
      <c r="IO12" s="122"/>
      <c r="IP12" s="122"/>
      <c r="IQ12" s="122"/>
      <c r="IR12" s="122"/>
      <c r="IS12" s="122"/>
      <c r="IT12" s="122"/>
      <c r="IU12" s="122"/>
      <c r="IV12" s="122"/>
      <c r="IW12" s="122"/>
      <c r="IX12" s="122"/>
      <c r="IY12" s="122"/>
      <c r="IZ12" s="122"/>
      <c r="JA12" s="122"/>
      <c r="JB12" s="122"/>
      <c r="JC12" s="122"/>
      <c r="JD12" s="122"/>
      <c r="JE12" s="122"/>
      <c r="JF12" s="122"/>
      <c r="JG12" s="122"/>
      <c r="JH12" s="122"/>
      <c r="JI12" s="119">
        <f t="shared" si="0"/>
        <v>247800</v>
      </c>
      <c r="JJ12" s="2">
        <v>4974</v>
      </c>
      <c r="JK12" s="122"/>
      <c r="JL12" s="125"/>
      <c r="JM12" s="358"/>
      <c r="JN12" s="125"/>
      <c r="JO12" s="125"/>
      <c r="JP12" s="125"/>
    </row>
    <row r="13" spans="1:276" x14ac:dyDescent="0.25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  <c r="CB13" s="122"/>
      <c r="CC13" s="122"/>
      <c r="CD13" s="122"/>
      <c r="CE13" s="122"/>
      <c r="CF13" s="122"/>
      <c r="CG13" s="122"/>
      <c r="CH13" s="122"/>
      <c r="CI13" s="122"/>
      <c r="CJ13" s="122"/>
      <c r="CK13" s="122"/>
      <c r="CL13" s="122"/>
      <c r="CM13" s="122"/>
      <c r="CN13" s="122"/>
      <c r="CO13" s="122"/>
      <c r="CP13" s="122"/>
      <c r="CQ13" s="122"/>
      <c r="CR13" s="122"/>
      <c r="CS13" s="122"/>
      <c r="CT13" s="122"/>
      <c r="CU13" s="122"/>
      <c r="CV13" s="122"/>
      <c r="CW13" s="122"/>
      <c r="CX13" s="122"/>
      <c r="CY13" s="122"/>
      <c r="CZ13" s="122"/>
      <c r="DA13" s="122"/>
      <c r="DB13" s="122"/>
      <c r="DC13" s="122"/>
      <c r="DD13" s="122"/>
      <c r="DE13" s="122"/>
      <c r="DF13" s="122"/>
      <c r="DG13" s="122"/>
      <c r="DH13" s="122"/>
      <c r="DI13" s="122"/>
      <c r="DJ13" s="122"/>
      <c r="DK13" s="122"/>
      <c r="DL13" s="122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122"/>
      <c r="DY13" s="122"/>
      <c r="DZ13" s="122"/>
      <c r="EA13" s="122"/>
      <c r="EB13" s="122"/>
      <c r="EC13" s="122"/>
      <c r="ED13" s="122"/>
      <c r="EE13" s="122"/>
      <c r="EF13" s="122"/>
      <c r="EG13" s="122"/>
      <c r="EH13" s="122"/>
      <c r="EI13" s="122"/>
      <c r="EJ13" s="122"/>
      <c r="EK13" s="122"/>
      <c r="EL13" s="122"/>
      <c r="EM13" s="122"/>
      <c r="EN13" s="122"/>
      <c r="EO13" s="122"/>
      <c r="EP13" s="122"/>
      <c r="EQ13" s="122"/>
      <c r="ER13" s="122"/>
      <c r="ES13" s="122"/>
      <c r="ET13" s="122"/>
      <c r="EU13" s="122"/>
      <c r="EV13" s="122"/>
      <c r="EW13" s="122"/>
      <c r="EX13" s="122"/>
      <c r="EY13" s="122"/>
      <c r="EZ13" s="122"/>
      <c r="FA13" s="122"/>
      <c r="FB13" s="122"/>
      <c r="FC13" s="122"/>
      <c r="FD13" s="122"/>
      <c r="FE13" s="122"/>
      <c r="FF13" s="122"/>
      <c r="FG13" s="122"/>
      <c r="FH13" s="122"/>
      <c r="FI13" s="122"/>
      <c r="FJ13" s="122"/>
      <c r="FK13" s="122"/>
      <c r="FL13" s="122"/>
      <c r="FM13" s="122"/>
      <c r="FN13" s="122"/>
      <c r="FO13" s="122"/>
      <c r="FP13" s="122"/>
      <c r="FQ13" s="122"/>
      <c r="FR13" s="122"/>
      <c r="FS13" s="122"/>
      <c r="FT13" s="122">
        <v>101786</v>
      </c>
      <c r="FU13" s="122"/>
      <c r="FV13" s="122"/>
      <c r="FW13" s="122"/>
      <c r="FX13" s="122"/>
      <c r="FY13" s="122"/>
      <c r="FZ13" s="122"/>
      <c r="GA13" s="122"/>
      <c r="GB13" s="122"/>
      <c r="GC13" s="122"/>
      <c r="GD13" s="122"/>
      <c r="GE13" s="122"/>
      <c r="GF13" s="122"/>
      <c r="GG13" s="122"/>
      <c r="GH13" s="122"/>
      <c r="GI13" s="122"/>
      <c r="GJ13" s="122"/>
      <c r="GK13" s="122"/>
      <c r="GL13" s="122"/>
      <c r="GM13" s="122"/>
      <c r="GN13" s="122"/>
      <c r="GO13" s="122"/>
      <c r="GP13" s="122"/>
      <c r="GQ13" s="122"/>
      <c r="GR13" s="122"/>
      <c r="GS13" s="122"/>
      <c r="GT13" s="122"/>
      <c r="GU13" s="122"/>
      <c r="GV13" s="122"/>
      <c r="GW13" s="122"/>
      <c r="GX13" s="122"/>
      <c r="GY13" s="122"/>
      <c r="GZ13" s="122"/>
      <c r="HA13" s="122"/>
      <c r="HB13" s="122"/>
      <c r="HC13" s="122"/>
      <c r="HD13" s="122"/>
      <c r="HE13" s="122"/>
      <c r="HF13" s="122"/>
      <c r="HG13" s="122"/>
      <c r="HH13" s="122"/>
      <c r="HI13" s="122"/>
      <c r="HJ13" s="122"/>
      <c r="HK13" s="122"/>
      <c r="HL13" s="122"/>
      <c r="HM13" s="122"/>
      <c r="HN13" s="122"/>
      <c r="HO13" s="122"/>
      <c r="HP13" s="122"/>
      <c r="HQ13" s="122"/>
      <c r="HR13" s="122"/>
      <c r="HS13" s="122"/>
      <c r="HT13" s="122"/>
      <c r="HU13" s="122"/>
      <c r="HV13" s="122"/>
      <c r="HW13" s="122"/>
      <c r="HX13" s="122"/>
      <c r="HY13" s="122"/>
      <c r="HZ13" s="122"/>
      <c r="IA13" s="122"/>
      <c r="IB13" s="122"/>
      <c r="IC13" s="122"/>
      <c r="ID13" s="122"/>
      <c r="IE13" s="122"/>
      <c r="IF13" s="122"/>
      <c r="IG13" s="122"/>
      <c r="IH13" s="122"/>
      <c r="II13" s="122"/>
      <c r="IJ13" s="122"/>
      <c r="IK13" s="122"/>
      <c r="IL13" s="122"/>
      <c r="IM13" s="122"/>
      <c r="IN13" s="122"/>
      <c r="IO13" s="122"/>
      <c r="IP13" s="122"/>
      <c r="IQ13" s="122"/>
      <c r="IR13" s="122"/>
      <c r="IS13" s="122"/>
      <c r="IT13" s="122"/>
      <c r="IU13" s="122"/>
      <c r="IV13" s="122"/>
      <c r="IW13" s="122"/>
      <c r="IX13" s="122"/>
      <c r="IY13" s="122"/>
      <c r="IZ13" s="122"/>
      <c r="JA13" s="122"/>
      <c r="JB13" s="122"/>
      <c r="JC13" s="122"/>
      <c r="JD13" s="122"/>
      <c r="JE13" s="122"/>
      <c r="JF13" s="122"/>
      <c r="JG13" s="122"/>
      <c r="JH13" s="122"/>
      <c r="JI13" s="119">
        <f t="shared" si="0"/>
        <v>101786</v>
      </c>
      <c r="JJ13" s="2">
        <v>4977</v>
      </c>
      <c r="JK13" s="122"/>
      <c r="JL13" s="125"/>
      <c r="JM13" s="358"/>
      <c r="JN13" s="125"/>
      <c r="JO13" s="125"/>
      <c r="JP13" s="125"/>
    </row>
    <row r="14" spans="1:276" x14ac:dyDescent="0.25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  <c r="CA14" s="122"/>
      <c r="CB14" s="122"/>
      <c r="CC14" s="122"/>
      <c r="CD14" s="122"/>
      <c r="CE14" s="122"/>
      <c r="CF14" s="122"/>
      <c r="CG14" s="122"/>
      <c r="CH14" s="122"/>
      <c r="CI14" s="122"/>
      <c r="CJ14" s="122"/>
      <c r="CK14" s="122"/>
      <c r="CL14" s="122"/>
      <c r="CM14" s="122"/>
      <c r="CN14" s="122"/>
      <c r="CO14" s="122"/>
      <c r="CP14" s="122"/>
      <c r="CQ14" s="122"/>
      <c r="CR14" s="122"/>
      <c r="CS14" s="122"/>
      <c r="CT14" s="122"/>
      <c r="CU14" s="122"/>
      <c r="CV14" s="122"/>
      <c r="CW14" s="122"/>
      <c r="CX14" s="122"/>
      <c r="CY14" s="122"/>
      <c r="CZ14" s="122"/>
      <c r="DA14" s="122"/>
      <c r="DB14" s="122"/>
      <c r="DC14" s="122"/>
      <c r="DD14" s="122"/>
      <c r="DE14" s="122"/>
      <c r="DF14" s="122"/>
      <c r="DG14" s="122"/>
      <c r="DH14" s="122"/>
      <c r="DI14" s="122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22"/>
      <c r="DZ14" s="122"/>
      <c r="EA14" s="122"/>
      <c r="EB14" s="122"/>
      <c r="EC14" s="122"/>
      <c r="ED14" s="122"/>
      <c r="EE14" s="122"/>
      <c r="EF14" s="122"/>
      <c r="EG14" s="122"/>
      <c r="EH14" s="122"/>
      <c r="EI14" s="122"/>
      <c r="EJ14" s="122"/>
      <c r="EK14" s="122"/>
      <c r="EL14" s="122"/>
      <c r="EM14" s="122"/>
      <c r="EN14" s="122"/>
      <c r="EO14" s="122"/>
      <c r="EP14" s="122"/>
      <c r="EQ14" s="122"/>
      <c r="ER14" s="122"/>
      <c r="ES14" s="122"/>
      <c r="ET14" s="122"/>
      <c r="EU14" s="122"/>
      <c r="EV14" s="122"/>
      <c r="EW14" s="122"/>
      <c r="EX14" s="122"/>
      <c r="EY14" s="122"/>
      <c r="EZ14" s="122"/>
      <c r="FA14" s="122"/>
      <c r="FB14" s="122"/>
      <c r="FC14" s="122"/>
      <c r="FD14" s="122"/>
      <c r="FE14" s="122"/>
      <c r="FF14" s="122"/>
      <c r="FG14" s="122"/>
      <c r="FH14" s="122"/>
      <c r="FI14" s="122"/>
      <c r="FJ14" s="122"/>
      <c r="FK14" s="122"/>
      <c r="FL14" s="122"/>
      <c r="FM14" s="122"/>
      <c r="FN14" s="122"/>
      <c r="FO14" s="122"/>
      <c r="FP14" s="122"/>
      <c r="FQ14" s="122"/>
      <c r="FR14" s="122"/>
      <c r="FS14" s="122"/>
      <c r="FT14" s="122">
        <v>138591</v>
      </c>
      <c r="FU14" s="122"/>
      <c r="FV14" s="122"/>
      <c r="FW14" s="122"/>
      <c r="FX14" s="122"/>
      <c r="FY14" s="122"/>
      <c r="FZ14" s="122"/>
      <c r="GA14" s="122"/>
      <c r="GB14" s="122"/>
      <c r="GC14" s="122"/>
      <c r="GD14" s="122"/>
      <c r="GE14" s="122"/>
      <c r="GF14" s="122"/>
      <c r="GG14" s="122"/>
      <c r="GH14" s="122"/>
      <c r="GI14" s="122"/>
      <c r="GJ14" s="122"/>
      <c r="GK14" s="122"/>
      <c r="GL14" s="122"/>
      <c r="GM14" s="122"/>
      <c r="GN14" s="122"/>
      <c r="GO14" s="122"/>
      <c r="GP14" s="122"/>
      <c r="GQ14" s="122"/>
      <c r="GR14" s="122"/>
      <c r="GS14" s="122"/>
      <c r="GT14" s="122"/>
      <c r="GU14" s="122"/>
      <c r="GV14" s="122"/>
      <c r="GW14" s="122"/>
      <c r="GX14" s="122"/>
      <c r="GY14" s="122"/>
      <c r="GZ14" s="122"/>
      <c r="HA14" s="122"/>
      <c r="HB14" s="122"/>
      <c r="HC14" s="122"/>
      <c r="HD14" s="122"/>
      <c r="HE14" s="122"/>
      <c r="HF14" s="122"/>
      <c r="HG14" s="122"/>
      <c r="HH14" s="122"/>
      <c r="HI14" s="122"/>
      <c r="HJ14" s="122"/>
      <c r="HK14" s="122"/>
      <c r="HL14" s="122"/>
      <c r="HM14" s="122"/>
      <c r="HN14" s="122"/>
      <c r="HO14" s="122"/>
      <c r="HP14" s="122"/>
      <c r="HQ14" s="122"/>
      <c r="HR14" s="122"/>
      <c r="HS14" s="122"/>
      <c r="HT14" s="122"/>
      <c r="HU14" s="122"/>
      <c r="HV14" s="122"/>
      <c r="HW14" s="122"/>
      <c r="HX14" s="122"/>
      <c r="HY14" s="122"/>
      <c r="HZ14" s="122"/>
      <c r="IA14" s="122"/>
      <c r="IB14" s="122"/>
      <c r="IC14" s="122"/>
      <c r="ID14" s="122"/>
      <c r="IE14" s="122"/>
      <c r="IF14" s="122"/>
      <c r="IG14" s="122"/>
      <c r="IH14" s="122"/>
      <c r="II14" s="122"/>
      <c r="IJ14" s="122"/>
      <c r="IK14" s="122"/>
      <c r="IL14" s="122"/>
      <c r="IM14" s="122"/>
      <c r="IN14" s="122"/>
      <c r="IO14" s="122"/>
      <c r="IP14" s="122"/>
      <c r="IQ14" s="122"/>
      <c r="IR14" s="122"/>
      <c r="IS14" s="122"/>
      <c r="IT14" s="122"/>
      <c r="IU14" s="122"/>
      <c r="IV14" s="122"/>
      <c r="IW14" s="122"/>
      <c r="IX14" s="122"/>
      <c r="IY14" s="122"/>
      <c r="IZ14" s="122"/>
      <c r="JA14" s="122"/>
      <c r="JB14" s="122"/>
      <c r="JC14" s="122"/>
      <c r="JD14" s="122"/>
      <c r="JE14" s="122"/>
      <c r="JF14" s="122"/>
      <c r="JG14" s="122"/>
      <c r="JH14" s="122"/>
      <c r="JI14" s="119">
        <f t="shared" si="0"/>
        <v>138591</v>
      </c>
      <c r="JJ14" s="2">
        <v>4981</v>
      </c>
      <c r="JK14" s="122"/>
      <c r="JL14" s="125"/>
      <c r="JM14" s="358"/>
      <c r="JN14" s="125"/>
      <c r="JO14" s="125"/>
      <c r="JP14" s="125"/>
    </row>
    <row r="15" spans="1:276" x14ac:dyDescent="0.25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122"/>
      <c r="BS15" s="122"/>
      <c r="BT15" s="122"/>
      <c r="BU15" s="122"/>
      <c r="BV15" s="122"/>
      <c r="BW15" s="122"/>
      <c r="BX15" s="122"/>
      <c r="BY15" s="122"/>
      <c r="BZ15" s="122"/>
      <c r="CA15" s="122"/>
      <c r="CB15" s="122"/>
      <c r="CC15" s="122"/>
      <c r="CD15" s="122"/>
      <c r="CE15" s="122"/>
      <c r="CF15" s="122"/>
      <c r="CG15" s="122"/>
      <c r="CH15" s="122"/>
      <c r="CI15" s="122"/>
      <c r="CJ15" s="122"/>
      <c r="CK15" s="122"/>
      <c r="CL15" s="122"/>
      <c r="CM15" s="122"/>
      <c r="CN15" s="122"/>
      <c r="CO15" s="122"/>
      <c r="CP15" s="122"/>
      <c r="CQ15" s="122"/>
      <c r="CR15" s="122"/>
      <c r="CS15" s="122"/>
      <c r="CT15" s="122"/>
      <c r="CU15" s="122"/>
      <c r="CV15" s="122"/>
      <c r="CW15" s="122"/>
      <c r="CX15" s="122"/>
      <c r="CY15" s="122"/>
      <c r="CZ15" s="122"/>
      <c r="DA15" s="122"/>
      <c r="DB15" s="122"/>
      <c r="DC15" s="122"/>
      <c r="DD15" s="122"/>
      <c r="DE15" s="122"/>
      <c r="DF15" s="122"/>
      <c r="DG15" s="122"/>
      <c r="DH15" s="122"/>
      <c r="DI15" s="122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22"/>
      <c r="DZ15" s="122"/>
      <c r="EA15" s="122">
        <v>97435</v>
      </c>
      <c r="EB15" s="122"/>
      <c r="EC15" s="122"/>
      <c r="ED15" s="122"/>
      <c r="EE15" s="122"/>
      <c r="EF15" s="122"/>
      <c r="EG15" s="122"/>
      <c r="EH15" s="122"/>
      <c r="EI15" s="122"/>
      <c r="EJ15" s="122"/>
      <c r="EK15" s="122"/>
      <c r="EL15" s="122"/>
      <c r="EM15" s="122"/>
      <c r="EN15" s="122"/>
      <c r="EO15" s="122"/>
      <c r="EP15" s="122"/>
      <c r="EQ15" s="122"/>
      <c r="ER15" s="122"/>
      <c r="ES15" s="122"/>
      <c r="ET15" s="122"/>
      <c r="EU15" s="122"/>
      <c r="EV15" s="122"/>
      <c r="EW15" s="122"/>
      <c r="EX15" s="122"/>
      <c r="EY15" s="122"/>
      <c r="EZ15" s="122"/>
      <c r="FA15" s="122"/>
      <c r="FB15" s="122"/>
      <c r="FC15" s="122"/>
      <c r="FD15" s="122"/>
      <c r="FE15" s="122"/>
      <c r="FF15" s="122"/>
      <c r="FG15" s="122"/>
      <c r="FH15" s="122"/>
      <c r="FI15" s="122"/>
      <c r="FJ15" s="122"/>
      <c r="FK15" s="122"/>
      <c r="FL15" s="122"/>
      <c r="FM15" s="122"/>
      <c r="FN15" s="122"/>
      <c r="FO15" s="122"/>
      <c r="FP15" s="122"/>
      <c r="FQ15" s="122"/>
      <c r="FR15" s="122"/>
      <c r="FS15" s="122"/>
      <c r="FT15" s="122"/>
      <c r="FU15" s="122"/>
      <c r="FV15" s="122"/>
      <c r="FW15" s="122"/>
      <c r="FX15" s="122"/>
      <c r="FY15" s="122"/>
      <c r="FZ15" s="122"/>
      <c r="GA15" s="122"/>
      <c r="GB15" s="122"/>
      <c r="GC15" s="122"/>
      <c r="GD15" s="122"/>
      <c r="GE15" s="122"/>
      <c r="GF15" s="122"/>
      <c r="GG15" s="122"/>
      <c r="GH15" s="122"/>
      <c r="GI15" s="122"/>
      <c r="GJ15" s="122"/>
      <c r="GK15" s="122"/>
      <c r="GL15" s="122"/>
      <c r="GM15" s="122"/>
      <c r="GN15" s="122"/>
      <c r="GO15" s="122"/>
      <c r="GP15" s="122"/>
      <c r="GQ15" s="122"/>
      <c r="GR15" s="122"/>
      <c r="GS15" s="122"/>
      <c r="GT15" s="122"/>
      <c r="GU15" s="122"/>
      <c r="GV15" s="122"/>
      <c r="GW15" s="122"/>
      <c r="GX15" s="122"/>
      <c r="GY15" s="122"/>
      <c r="GZ15" s="122"/>
      <c r="HA15" s="122"/>
      <c r="HB15" s="122"/>
      <c r="HC15" s="122"/>
      <c r="HD15" s="122"/>
      <c r="HE15" s="122"/>
      <c r="HF15" s="122"/>
      <c r="HG15" s="122"/>
      <c r="HH15" s="122"/>
      <c r="HI15" s="122"/>
      <c r="HJ15" s="122"/>
      <c r="HK15" s="122"/>
      <c r="HL15" s="122"/>
      <c r="HM15" s="122"/>
      <c r="HN15" s="122"/>
      <c r="HO15" s="122"/>
      <c r="HP15" s="122"/>
      <c r="HQ15" s="122"/>
      <c r="HR15" s="122"/>
      <c r="HS15" s="122"/>
      <c r="HT15" s="122"/>
      <c r="HU15" s="122"/>
      <c r="HV15" s="122"/>
      <c r="HW15" s="122"/>
      <c r="HX15" s="122"/>
      <c r="HY15" s="122"/>
      <c r="HZ15" s="122"/>
      <c r="IA15" s="122"/>
      <c r="IB15" s="122"/>
      <c r="IC15" s="122"/>
      <c r="ID15" s="122"/>
      <c r="IE15" s="122"/>
      <c r="IF15" s="122"/>
      <c r="IG15" s="122"/>
      <c r="IH15" s="122"/>
      <c r="II15" s="122"/>
      <c r="IJ15" s="122"/>
      <c r="IK15" s="122"/>
      <c r="IL15" s="122"/>
      <c r="IM15" s="122"/>
      <c r="IN15" s="122"/>
      <c r="IO15" s="122"/>
      <c r="IP15" s="122"/>
      <c r="IQ15" s="122"/>
      <c r="IR15" s="122"/>
      <c r="IS15" s="122"/>
      <c r="IT15" s="122"/>
      <c r="IU15" s="122"/>
      <c r="IV15" s="122"/>
      <c r="IW15" s="122"/>
      <c r="IX15" s="122"/>
      <c r="IY15" s="122"/>
      <c r="IZ15" s="122"/>
      <c r="JA15" s="122"/>
      <c r="JB15" s="122"/>
      <c r="JC15" s="122"/>
      <c r="JD15" s="122"/>
      <c r="JE15" s="122"/>
      <c r="JF15" s="122"/>
      <c r="JG15" s="122"/>
      <c r="JH15" s="122"/>
      <c r="JI15" s="119">
        <f t="shared" si="0"/>
        <v>97435</v>
      </c>
      <c r="JJ15" s="2">
        <v>4988</v>
      </c>
      <c r="JK15" s="122"/>
      <c r="JL15" s="125"/>
      <c r="JM15" s="358"/>
      <c r="JN15" s="125"/>
      <c r="JO15" s="125"/>
      <c r="JP15" s="125"/>
    </row>
    <row r="16" spans="1:276" x14ac:dyDescent="0.25">
      <c r="A16" s="122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122"/>
      <c r="BS16" s="122"/>
      <c r="BT16" s="122"/>
      <c r="BU16" s="122"/>
      <c r="BV16" s="122"/>
      <c r="BW16" s="122"/>
      <c r="BX16" s="122"/>
      <c r="BY16" s="122"/>
      <c r="BZ16" s="122"/>
      <c r="CA16" s="122"/>
      <c r="CB16" s="122"/>
      <c r="CC16" s="122"/>
      <c r="CD16" s="122"/>
      <c r="CE16" s="122"/>
      <c r="CF16" s="122"/>
      <c r="CG16" s="122"/>
      <c r="CH16" s="122"/>
      <c r="CI16" s="122"/>
      <c r="CJ16" s="122"/>
      <c r="CK16" s="122"/>
      <c r="CL16" s="122"/>
      <c r="CM16" s="122"/>
      <c r="CN16" s="122"/>
      <c r="CO16" s="122"/>
      <c r="CP16" s="122"/>
      <c r="CQ16" s="122"/>
      <c r="CR16" s="122"/>
      <c r="CS16" s="122"/>
      <c r="CT16" s="122"/>
      <c r="CU16" s="122"/>
      <c r="CV16" s="122"/>
      <c r="CW16" s="122"/>
      <c r="CX16" s="122"/>
      <c r="CY16" s="122"/>
      <c r="CZ16" s="122"/>
      <c r="DA16" s="122"/>
      <c r="DB16" s="122"/>
      <c r="DC16" s="122"/>
      <c r="DD16" s="122"/>
      <c r="DE16" s="122"/>
      <c r="DF16" s="122"/>
      <c r="DG16" s="122"/>
      <c r="DH16" s="122"/>
      <c r="DI16" s="122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/>
      <c r="EB16" s="122"/>
      <c r="EC16" s="122"/>
      <c r="ED16" s="122"/>
      <c r="EE16" s="122"/>
      <c r="EF16" s="122"/>
      <c r="EG16" s="122"/>
      <c r="EH16" s="122"/>
      <c r="EI16" s="122"/>
      <c r="EJ16" s="122"/>
      <c r="EK16" s="122"/>
      <c r="EL16" s="122"/>
      <c r="EM16" s="122"/>
      <c r="EN16" s="122"/>
      <c r="EO16" s="122"/>
      <c r="EP16" s="122"/>
      <c r="EQ16" s="122"/>
      <c r="ER16" s="122"/>
      <c r="ES16" s="122"/>
      <c r="ET16" s="122"/>
      <c r="EU16" s="122"/>
      <c r="EV16" s="122"/>
      <c r="EW16" s="122"/>
      <c r="EX16" s="122"/>
      <c r="EY16" s="122"/>
      <c r="EZ16" s="122"/>
      <c r="FA16" s="122"/>
      <c r="FB16" s="122"/>
      <c r="FC16" s="122"/>
      <c r="FD16" s="122"/>
      <c r="FE16" s="122"/>
      <c r="FF16" s="122"/>
      <c r="FG16" s="122"/>
      <c r="FH16" s="122"/>
      <c r="FI16" s="122"/>
      <c r="FJ16" s="122"/>
      <c r="FK16" s="122"/>
      <c r="FL16" s="122"/>
      <c r="FM16" s="122"/>
      <c r="FN16" s="122"/>
      <c r="FO16" s="122"/>
      <c r="FP16" s="122"/>
      <c r="FQ16" s="122"/>
      <c r="FR16" s="122"/>
      <c r="FS16" s="122"/>
      <c r="FT16" s="122">
        <v>1513350</v>
      </c>
      <c r="FU16" s="122"/>
      <c r="FV16" s="122"/>
      <c r="FW16" s="122"/>
      <c r="FX16" s="122"/>
      <c r="FY16" s="122"/>
      <c r="FZ16" s="122"/>
      <c r="GA16" s="122"/>
      <c r="GB16" s="122"/>
      <c r="GC16" s="122"/>
      <c r="GD16" s="122"/>
      <c r="GE16" s="122"/>
      <c r="GF16" s="122"/>
      <c r="GG16" s="122"/>
      <c r="GH16" s="122"/>
      <c r="GI16" s="122"/>
      <c r="GJ16" s="122"/>
      <c r="GK16" s="122"/>
      <c r="GL16" s="122"/>
      <c r="GM16" s="122"/>
      <c r="GN16" s="122"/>
      <c r="GO16" s="122"/>
      <c r="GP16" s="122"/>
      <c r="GQ16" s="122"/>
      <c r="GR16" s="122"/>
      <c r="GS16" s="122"/>
      <c r="GT16" s="122"/>
      <c r="GU16" s="122"/>
      <c r="GV16" s="122"/>
      <c r="GW16" s="122"/>
      <c r="GX16" s="122"/>
      <c r="GY16" s="122"/>
      <c r="GZ16" s="122"/>
      <c r="HA16" s="122"/>
      <c r="HB16" s="122"/>
      <c r="HC16" s="122"/>
      <c r="HD16" s="122"/>
      <c r="HE16" s="122"/>
      <c r="HF16" s="122"/>
      <c r="HG16" s="122"/>
      <c r="HH16" s="122"/>
      <c r="HI16" s="122"/>
      <c r="HJ16" s="122"/>
      <c r="HK16" s="122"/>
      <c r="HL16" s="122"/>
      <c r="HM16" s="122"/>
      <c r="HN16" s="122"/>
      <c r="HO16" s="122"/>
      <c r="HP16" s="122"/>
      <c r="HQ16" s="122"/>
      <c r="HR16" s="122"/>
      <c r="HS16" s="122"/>
      <c r="HT16" s="122"/>
      <c r="HU16" s="122"/>
      <c r="HV16" s="122"/>
      <c r="HW16" s="122"/>
      <c r="HX16" s="122"/>
      <c r="HY16" s="122"/>
      <c r="HZ16" s="122"/>
      <c r="IA16" s="122"/>
      <c r="IB16" s="122"/>
      <c r="IC16" s="122"/>
      <c r="ID16" s="122"/>
      <c r="IE16" s="122"/>
      <c r="IF16" s="122"/>
      <c r="IG16" s="122"/>
      <c r="IH16" s="122"/>
      <c r="II16" s="122"/>
      <c r="IJ16" s="122"/>
      <c r="IK16" s="122"/>
      <c r="IL16" s="122"/>
      <c r="IM16" s="122"/>
      <c r="IN16" s="122"/>
      <c r="IO16" s="122"/>
      <c r="IP16" s="122"/>
      <c r="IQ16" s="122"/>
      <c r="IR16" s="122"/>
      <c r="IS16" s="122"/>
      <c r="IT16" s="122"/>
      <c r="IU16" s="122"/>
      <c r="IV16" s="122"/>
      <c r="IW16" s="122"/>
      <c r="IX16" s="122"/>
      <c r="IY16" s="122"/>
      <c r="IZ16" s="122"/>
      <c r="JA16" s="122"/>
      <c r="JB16" s="122"/>
      <c r="JC16" s="122"/>
      <c r="JD16" s="122"/>
      <c r="JE16" s="122"/>
      <c r="JF16" s="122"/>
      <c r="JG16" s="122"/>
      <c r="JH16" s="122"/>
      <c r="JI16" s="119">
        <f t="shared" si="0"/>
        <v>1513350</v>
      </c>
      <c r="JJ16" s="2">
        <v>4989</v>
      </c>
      <c r="JK16" s="122"/>
      <c r="JL16" s="125"/>
      <c r="JM16" s="358"/>
      <c r="JN16" s="125"/>
      <c r="JO16" s="125"/>
      <c r="JP16" s="125"/>
    </row>
    <row r="17" spans="1:276" x14ac:dyDescent="0.25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22"/>
      <c r="EC17" s="122"/>
      <c r="ED17" s="122"/>
      <c r="EE17" s="122"/>
      <c r="EF17" s="122"/>
      <c r="EG17" s="122"/>
      <c r="EH17" s="122"/>
      <c r="EI17" s="122"/>
      <c r="EJ17" s="122"/>
      <c r="EK17" s="122"/>
      <c r="EL17" s="122"/>
      <c r="EM17" s="122"/>
      <c r="EN17" s="122"/>
      <c r="EO17" s="122"/>
      <c r="EP17" s="122"/>
      <c r="EQ17" s="122"/>
      <c r="ER17" s="122"/>
      <c r="ES17" s="122"/>
      <c r="ET17" s="122"/>
      <c r="EU17" s="122"/>
      <c r="EV17" s="122"/>
      <c r="EW17" s="122"/>
      <c r="EX17" s="122"/>
      <c r="EY17" s="122"/>
      <c r="EZ17" s="122"/>
      <c r="FA17" s="122"/>
      <c r="FB17" s="122"/>
      <c r="FC17" s="122"/>
      <c r="FD17" s="122"/>
      <c r="FE17" s="122"/>
      <c r="FF17" s="122"/>
      <c r="FG17" s="122"/>
      <c r="FH17" s="122"/>
      <c r="FI17" s="122"/>
      <c r="FJ17" s="122"/>
      <c r="FK17" s="122"/>
      <c r="FL17" s="122"/>
      <c r="FM17" s="122"/>
      <c r="FN17" s="122"/>
      <c r="FO17" s="122"/>
      <c r="FP17" s="122"/>
      <c r="FQ17" s="122"/>
      <c r="FR17" s="122"/>
      <c r="FS17" s="122"/>
      <c r="FT17" s="122">
        <v>96946.880000000005</v>
      </c>
      <c r="FU17" s="122"/>
      <c r="FV17" s="122"/>
      <c r="FW17" s="122"/>
      <c r="FX17" s="122"/>
      <c r="FY17" s="122"/>
      <c r="FZ17" s="122"/>
      <c r="GA17" s="122"/>
      <c r="GB17" s="122"/>
      <c r="GC17" s="122"/>
      <c r="GD17" s="122"/>
      <c r="GE17" s="122"/>
      <c r="GF17" s="122"/>
      <c r="GG17" s="122"/>
      <c r="GH17" s="122"/>
      <c r="GI17" s="122"/>
      <c r="GJ17" s="122"/>
      <c r="GK17" s="122"/>
      <c r="GL17" s="122"/>
      <c r="GM17" s="122"/>
      <c r="GN17" s="122"/>
      <c r="GO17" s="122"/>
      <c r="GP17" s="122"/>
      <c r="GQ17" s="122"/>
      <c r="GR17" s="122"/>
      <c r="GS17" s="122"/>
      <c r="GT17" s="122"/>
      <c r="GU17" s="122"/>
      <c r="GV17" s="122"/>
      <c r="GW17" s="122"/>
      <c r="GX17" s="122"/>
      <c r="GY17" s="122"/>
      <c r="GZ17" s="122"/>
      <c r="HA17" s="122"/>
      <c r="HB17" s="122"/>
      <c r="HC17" s="122"/>
      <c r="HD17" s="122"/>
      <c r="HE17" s="122"/>
      <c r="HF17" s="122"/>
      <c r="HG17" s="122"/>
      <c r="HH17" s="122"/>
      <c r="HI17" s="122"/>
      <c r="HJ17" s="122"/>
      <c r="HK17" s="122"/>
      <c r="HL17" s="122"/>
      <c r="HM17" s="122"/>
      <c r="HN17" s="122"/>
      <c r="HO17" s="122"/>
      <c r="HP17" s="122"/>
      <c r="HQ17" s="122"/>
      <c r="HR17" s="122"/>
      <c r="HS17" s="122"/>
      <c r="HT17" s="122"/>
      <c r="HU17" s="122"/>
      <c r="HV17" s="122"/>
      <c r="HW17" s="122"/>
      <c r="HX17" s="122"/>
      <c r="HY17" s="122"/>
      <c r="HZ17" s="122"/>
      <c r="IA17" s="122"/>
      <c r="IB17" s="122"/>
      <c r="IC17" s="122"/>
      <c r="ID17" s="122"/>
      <c r="IE17" s="122"/>
      <c r="IF17" s="122"/>
      <c r="IG17" s="122"/>
      <c r="IH17" s="122"/>
      <c r="II17" s="122"/>
      <c r="IJ17" s="122"/>
      <c r="IK17" s="122"/>
      <c r="IL17" s="122"/>
      <c r="IM17" s="122"/>
      <c r="IN17" s="122"/>
      <c r="IO17" s="122"/>
      <c r="IP17" s="122"/>
      <c r="IQ17" s="122"/>
      <c r="IR17" s="122"/>
      <c r="IS17" s="122"/>
      <c r="IT17" s="122"/>
      <c r="IU17" s="122"/>
      <c r="IV17" s="122"/>
      <c r="IW17" s="122"/>
      <c r="IX17" s="122"/>
      <c r="IY17" s="122"/>
      <c r="IZ17" s="122"/>
      <c r="JA17" s="122"/>
      <c r="JB17" s="122"/>
      <c r="JC17" s="122"/>
      <c r="JD17" s="122"/>
      <c r="JE17" s="122"/>
      <c r="JF17" s="122"/>
      <c r="JG17" s="122"/>
      <c r="JH17" s="122"/>
      <c r="JI17" s="119">
        <f t="shared" si="0"/>
        <v>96946.880000000005</v>
      </c>
      <c r="JJ17" s="2">
        <v>4993</v>
      </c>
      <c r="JK17" s="122"/>
      <c r="JL17" s="125"/>
      <c r="JM17" s="358"/>
      <c r="JN17" s="125"/>
      <c r="JO17" s="125"/>
      <c r="JP17" s="125"/>
    </row>
    <row r="18" spans="1:276" x14ac:dyDescent="0.25">
      <c r="A18" s="122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122"/>
      <c r="ED18" s="122"/>
      <c r="EE18" s="122"/>
      <c r="EF18" s="122"/>
      <c r="EG18" s="122"/>
      <c r="EH18" s="122"/>
      <c r="EI18" s="122"/>
      <c r="EJ18" s="122"/>
      <c r="EK18" s="122"/>
      <c r="EL18" s="122"/>
      <c r="EM18" s="122"/>
      <c r="EN18" s="122"/>
      <c r="EO18" s="122"/>
      <c r="EP18" s="122"/>
      <c r="EQ18" s="122"/>
      <c r="ER18" s="122"/>
      <c r="ES18" s="122"/>
      <c r="ET18" s="122"/>
      <c r="EU18" s="122"/>
      <c r="EV18" s="122"/>
      <c r="EW18" s="122"/>
      <c r="EX18" s="122"/>
      <c r="EY18" s="122"/>
      <c r="EZ18" s="122"/>
      <c r="FA18" s="122"/>
      <c r="FB18" s="122"/>
      <c r="FC18" s="122"/>
      <c r="FD18" s="122"/>
      <c r="FE18" s="122"/>
      <c r="FF18" s="122"/>
      <c r="FG18" s="122"/>
      <c r="FH18" s="122"/>
      <c r="FI18" s="122"/>
      <c r="FJ18" s="122">
        <v>80000</v>
      </c>
      <c r="FK18" s="122"/>
      <c r="FL18" s="122"/>
      <c r="FM18" s="122"/>
      <c r="FN18" s="122"/>
      <c r="FO18" s="122"/>
      <c r="FP18" s="122"/>
      <c r="FQ18" s="122"/>
      <c r="FR18" s="122"/>
      <c r="FS18" s="122"/>
      <c r="FT18" s="122"/>
      <c r="FU18" s="122"/>
      <c r="FV18" s="122"/>
      <c r="FW18" s="122"/>
      <c r="FX18" s="122"/>
      <c r="FY18" s="122"/>
      <c r="FZ18" s="122"/>
      <c r="GA18" s="122"/>
      <c r="GB18" s="122"/>
      <c r="GC18" s="122"/>
      <c r="GD18" s="122"/>
      <c r="GE18" s="122"/>
      <c r="GF18" s="122"/>
      <c r="GG18" s="122"/>
      <c r="GH18" s="122"/>
      <c r="GI18" s="122"/>
      <c r="GJ18" s="122"/>
      <c r="GK18" s="122"/>
      <c r="GL18" s="122"/>
      <c r="GM18" s="122"/>
      <c r="GN18" s="122"/>
      <c r="GO18" s="122"/>
      <c r="GP18" s="122"/>
      <c r="GQ18" s="122"/>
      <c r="GR18" s="122"/>
      <c r="GS18" s="122"/>
      <c r="GT18" s="122"/>
      <c r="GU18" s="122"/>
      <c r="GV18" s="122"/>
      <c r="GW18" s="122"/>
      <c r="GX18" s="122"/>
      <c r="GY18" s="122"/>
      <c r="GZ18" s="122"/>
      <c r="HA18" s="122"/>
      <c r="HB18" s="122"/>
      <c r="HC18" s="122"/>
      <c r="HD18" s="122"/>
      <c r="HE18" s="122"/>
      <c r="HF18" s="122"/>
      <c r="HG18" s="122"/>
      <c r="HH18" s="122"/>
      <c r="HI18" s="122"/>
      <c r="HJ18" s="122"/>
      <c r="HK18" s="122"/>
      <c r="HL18" s="122"/>
      <c r="HM18" s="122"/>
      <c r="HN18" s="122"/>
      <c r="HO18" s="122"/>
      <c r="HP18" s="122"/>
      <c r="HQ18" s="122"/>
      <c r="HR18" s="122"/>
      <c r="HS18" s="122"/>
      <c r="HT18" s="122"/>
      <c r="HU18" s="122"/>
      <c r="HV18" s="122"/>
      <c r="HW18" s="122"/>
      <c r="HX18" s="122"/>
      <c r="HY18" s="122"/>
      <c r="HZ18" s="122"/>
      <c r="IA18" s="122"/>
      <c r="IB18" s="122"/>
      <c r="IC18" s="122"/>
      <c r="ID18" s="122"/>
      <c r="IE18" s="122"/>
      <c r="IF18" s="122"/>
      <c r="IG18" s="122"/>
      <c r="IH18" s="122"/>
      <c r="II18" s="122"/>
      <c r="IJ18" s="122"/>
      <c r="IK18" s="122"/>
      <c r="IL18" s="122"/>
      <c r="IM18" s="122"/>
      <c r="IN18" s="122"/>
      <c r="IO18" s="122"/>
      <c r="IP18" s="122"/>
      <c r="IQ18" s="122"/>
      <c r="IR18" s="122"/>
      <c r="IS18" s="122"/>
      <c r="IT18" s="122"/>
      <c r="IU18" s="122"/>
      <c r="IV18" s="122"/>
      <c r="IW18" s="122"/>
      <c r="IX18" s="122"/>
      <c r="IY18" s="122"/>
      <c r="IZ18" s="122"/>
      <c r="JA18" s="122"/>
      <c r="JB18" s="122"/>
      <c r="JC18" s="122"/>
      <c r="JD18" s="122"/>
      <c r="JE18" s="122"/>
      <c r="JF18" s="122"/>
      <c r="JG18" s="122"/>
      <c r="JH18" s="122"/>
      <c r="JI18" s="119">
        <f t="shared" si="0"/>
        <v>80000</v>
      </c>
      <c r="JJ18" s="2">
        <v>4997</v>
      </c>
      <c r="JK18" s="122"/>
      <c r="JL18" s="125"/>
      <c r="JM18" s="358"/>
      <c r="JN18" s="125"/>
      <c r="JO18" s="125"/>
      <c r="JP18" s="125"/>
    </row>
    <row r="19" spans="1:276" x14ac:dyDescent="0.25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22"/>
      <c r="EC19" s="122"/>
      <c r="ED19" s="122"/>
      <c r="EE19" s="122"/>
      <c r="EF19" s="122"/>
      <c r="EG19" s="122"/>
      <c r="EH19" s="122"/>
      <c r="EI19" s="122"/>
      <c r="EJ19" s="122"/>
      <c r="EK19" s="122"/>
      <c r="EL19" s="122"/>
      <c r="EM19" s="122"/>
      <c r="EN19" s="122"/>
      <c r="EO19" s="122"/>
      <c r="EP19" s="122"/>
      <c r="EQ19" s="122"/>
      <c r="ER19" s="122"/>
      <c r="ES19" s="122"/>
      <c r="ET19" s="122"/>
      <c r="EU19" s="122"/>
      <c r="EV19" s="122"/>
      <c r="EW19" s="122"/>
      <c r="EX19" s="122"/>
      <c r="EY19" s="122"/>
      <c r="EZ19" s="122"/>
      <c r="FA19" s="122"/>
      <c r="FB19" s="122"/>
      <c r="FC19" s="122"/>
      <c r="FD19" s="122"/>
      <c r="FE19" s="122"/>
      <c r="FF19" s="122"/>
      <c r="FG19" s="122"/>
      <c r="FH19" s="122"/>
      <c r="FI19" s="122"/>
      <c r="FJ19" s="122">
        <v>249166</v>
      </c>
      <c r="FK19" s="122"/>
      <c r="FL19" s="122"/>
      <c r="FM19" s="122"/>
      <c r="FN19" s="122"/>
      <c r="FO19" s="122"/>
      <c r="FP19" s="122"/>
      <c r="FQ19" s="122"/>
      <c r="FR19" s="122"/>
      <c r="FS19" s="122"/>
      <c r="FT19" s="122">
        <v>23128</v>
      </c>
      <c r="FU19" s="122"/>
      <c r="FV19" s="122"/>
      <c r="FW19" s="122"/>
      <c r="FX19" s="122"/>
      <c r="FY19" s="122"/>
      <c r="FZ19" s="122"/>
      <c r="GA19" s="122"/>
      <c r="GB19" s="122"/>
      <c r="GC19" s="122"/>
      <c r="GD19" s="122"/>
      <c r="GE19" s="122"/>
      <c r="GF19" s="122"/>
      <c r="GG19" s="122"/>
      <c r="GH19" s="122"/>
      <c r="GI19" s="122"/>
      <c r="GJ19" s="122"/>
      <c r="GK19" s="122"/>
      <c r="GL19" s="122"/>
      <c r="GM19" s="122"/>
      <c r="GN19" s="122"/>
      <c r="GO19" s="122"/>
      <c r="GP19" s="122"/>
      <c r="GQ19" s="122"/>
      <c r="GR19" s="122"/>
      <c r="GS19" s="122"/>
      <c r="GT19" s="122"/>
      <c r="GU19" s="122"/>
      <c r="GV19" s="122"/>
      <c r="GW19" s="122"/>
      <c r="GX19" s="122"/>
      <c r="GY19" s="122"/>
      <c r="GZ19" s="122"/>
      <c r="HA19" s="122"/>
      <c r="HB19" s="122"/>
      <c r="HC19" s="122"/>
      <c r="HD19" s="122"/>
      <c r="HE19" s="122"/>
      <c r="HF19" s="122"/>
      <c r="HG19" s="122"/>
      <c r="HH19" s="122"/>
      <c r="HI19" s="122"/>
      <c r="HJ19" s="122"/>
      <c r="HK19" s="122"/>
      <c r="HL19" s="122"/>
      <c r="HM19" s="122"/>
      <c r="HN19" s="122"/>
      <c r="HO19" s="122"/>
      <c r="HP19" s="122"/>
      <c r="HQ19" s="122"/>
      <c r="HR19" s="122"/>
      <c r="HS19" s="122"/>
      <c r="HT19" s="122"/>
      <c r="HU19" s="122"/>
      <c r="HV19" s="122"/>
      <c r="HW19" s="122"/>
      <c r="HX19" s="122"/>
      <c r="HY19" s="122"/>
      <c r="HZ19" s="122"/>
      <c r="IA19" s="122"/>
      <c r="IB19" s="122"/>
      <c r="IC19" s="122"/>
      <c r="ID19" s="122"/>
      <c r="IE19" s="122"/>
      <c r="IF19" s="122"/>
      <c r="IG19" s="122"/>
      <c r="IH19" s="122"/>
      <c r="II19" s="122"/>
      <c r="IJ19" s="122"/>
      <c r="IK19" s="122"/>
      <c r="IL19" s="122"/>
      <c r="IM19" s="122"/>
      <c r="IN19" s="122"/>
      <c r="IO19" s="122"/>
      <c r="IP19" s="122"/>
      <c r="IQ19" s="122"/>
      <c r="IR19" s="122"/>
      <c r="IS19" s="122"/>
      <c r="IT19" s="122"/>
      <c r="IU19" s="122"/>
      <c r="IV19" s="122"/>
      <c r="IW19" s="122"/>
      <c r="IX19" s="122"/>
      <c r="IY19" s="122"/>
      <c r="IZ19" s="122"/>
      <c r="JA19" s="122"/>
      <c r="JB19" s="122"/>
      <c r="JC19" s="122"/>
      <c r="JD19" s="122"/>
      <c r="JE19" s="122"/>
      <c r="JF19" s="122"/>
      <c r="JG19" s="122"/>
      <c r="JH19" s="122"/>
      <c r="JI19" s="119">
        <f t="shared" si="0"/>
        <v>272294</v>
      </c>
      <c r="JJ19" s="2">
        <v>5001</v>
      </c>
      <c r="JK19" s="122"/>
      <c r="JL19" s="125"/>
      <c r="JM19" s="358"/>
      <c r="JN19" s="125"/>
      <c r="JO19" s="125"/>
      <c r="JP19" s="125"/>
    </row>
    <row r="20" spans="1:276" x14ac:dyDescent="0.25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>
        <v>30861.53</v>
      </c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  <c r="EE20" s="122"/>
      <c r="EF20" s="122"/>
      <c r="EG20" s="122">
        <v>18154.650000000001</v>
      </c>
      <c r="EH20" s="122"/>
      <c r="EI20" s="122"/>
      <c r="EJ20" s="122"/>
      <c r="EK20" s="122"/>
      <c r="EL20" s="122"/>
      <c r="EM20" s="122"/>
      <c r="EN20" s="122"/>
      <c r="EO20" s="122"/>
      <c r="EP20" s="122"/>
      <c r="EQ20" s="122"/>
      <c r="ER20" s="122"/>
      <c r="ES20" s="122"/>
      <c r="ET20" s="122"/>
      <c r="EU20" s="122"/>
      <c r="EV20" s="122"/>
      <c r="EW20" s="122"/>
      <c r="EX20" s="122"/>
      <c r="EY20" s="122"/>
      <c r="EZ20" s="122"/>
      <c r="FA20" s="122"/>
      <c r="FB20" s="122"/>
      <c r="FC20" s="122"/>
      <c r="FD20" s="122"/>
      <c r="FE20" s="122"/>
      <c r="FF20" s="122"/>
      <c r="FG20" s="122"/>
      <c r="FH20" s="122"/>
      <c r="FI20" s="122"/>
      <c r="FJ20" s="122"/>
      <c r="FK20" s="122"/>
      <c r="FL20" s="122"/>
      <c r="FM20" s="122"/>
      <c r="FN20" s="122"/>
      <c r="FO20" s="122"/>
      <c r="FP20" s="122"/>
      <c r="FQ20" s="122"/>
      <c r="FR20" s="122"/>
      <c r="FS20" s="122"/>
      <c r="FT20" s="122"/>
      <c r="FU20" s="122"/>
      <c r="FV20" s="122"/>
      <c r="FW20" s="122"/>
      <c r="FX20" s="122"/>
      <c r="FY20" s="122"/>
      <c r="FZ20" s="122"/>
      <c r="GA20" s="122"/>
      <c r="GB20" s="122"/>
      <c r="GC20" s="122"/>
      <c r="GD20" s="122"/>
      <c r="GE20" s="122"/>
      <c r="GF20" s="122"/>
      <c r="GG20" s="122"/>
      <c r="GH20" s="122"/>
      <c r="GI20" s="122"/>
      <c r="GJ20" s="122"/>
      <c r="GK20" s="122"/>
      <c r="GL20" s="122"/>
      <c r="GM20" s="122"/>
      <c r="GN20" s="122"/>
      <c r="GO20" s="122"/>
      <c r="GP20" s="122"/>
      <c r="GQ20" s="122"/>
      <c r="GR20" s="122"/>
      <c r="GS20" s="122"/>
      <c r="GT20" s="122"/>
      <c r="GU20" s="122"/>
      <c r="GV20" s="122"/>
      <c r="GW20" s="122"/>
      <c r="GX20" s="122"/>
      <c r="GY20" s="122"/>
      <c r="GZ20" s="122"/>
      <c r="HA20" s="122"/>
      <c r="HB20" s="122"/>
      <c r="HC20" s="122"/>
      <c r="HD20" s="122"/>
      <c r="HE20" s="122"/>
      <c r="HF20" s="122"/>
      <c r="HG20" s="122"/>
      <c r="HH20" s="122"/>
      <c r="HI20" s="122"/>
      <c r="HJ20" s="122"/>
      <c r="HK20" s="122"/>
      <c r="HL20" s="122"/>
      <c r="HM20" s="122"/>
      <c r="HN20" s="122"/>
      <c r="HO20" s="122"/>
      <c r="HP20" s="122"/>
      <c r="HQ20" s="122"/>
      <c r="HR20" s="122"/>
      <c r="HS20" s="122"/>
      <c r="HT20" s="122"/>
      <c r="HU20" s="122"/>
      <c r="HV20" s="122"/>
      <c r="HW20" s="122"/>
      <c r="HX20" s="122"/>
      <c r="HY20" s="122"/>
      <c r="HZ20" s="122"/>
      <c r="IA20" s="122"/>
      <c r="IB20" s="122"/>
      <c r="IC20" s="122"/>
      <c r="ID20" s="122"/>
      <c r="IE20" s="122"/>
      <c r="IF20" s="122"/>
      <c r="IG20" s="122"/>
      <c r="IH20" s="122"/>
      <c r="II20" s="122"/>
      <c r="IJ20" s="122"/>
      <c r="IK20" s="122"/>
      <c r="IL20" s="122"/>
      <c r="IM20" s="122"/>
      <c r="IN20" s="122"/>
      <c r="IO20" s="122"/>
      <c r="IP20" s="122"/>
      <c r="IQ20" s="122"/>
      <c r="IR20" s="122"/>
      <c r="IS20" s="122"/>
      <c r="IT20" s="122"/>
      <c r="IU20" s="122"/>
      <c r="IV20" s="122"/>
      <c r="IW20" s="122"/>
      <c r="IX20" s="122"/>
      <c r="IY20" s="122"/>
      <c r="IZ20" s="122"/>
      <c r="JA20" s="122"/>
      <c r="JB20" s="122"/>
      <c r="JC20" s="122"/>
      <c r="JD20" s="122"/>
      <c r="JE20" s="122"/>
      <c r="JF20" s="122"/>
      <c r="JG20" s="122"/>
      <c r="JH20" s="122"/>
      <c r="JI20" s="119">
        <f t="shared" si="0"/>
        <v>49016.18</v>
      </c>
      <c r="JJ20" s="2">
        <v>5014</v>
      </c>
      <c r="JK20" s="122"/>
      <c r="JL20" s="125"/>
      <c r="JM20" s="358"/>
      <c r="JN20" s="125"/>
      <c r="JO20" s="125"/>
      <c r="JP20" s="125"/>
    </row>
    <row r="21" spans="1:276" x14ac:dyDescent="0.25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  <c r="BZ21" s="122"/>
      <c r="CA21" s="122"/>
      <c r="CB21" s="122"/>
      <c r="CC21" s="122"/>
      <c r="CD21" s="122"/>
      <c r="CE21" s="122"/>
      <c r="CF21" s="122"/>
      <c r="CG21" s="122"/>
      <c r="CH21" s="122"/>
      <c r="CI21" s="122"/>
      <c r="CJ21" s="122"/>
      <c r="CK21" s="122"/>
      <c r="CL21" s="122"/>
      <c r="CM21" s="122"/>
      <c r="CN21" s="122"/>
      <c r="CO21" s="122"/>
      <c r="CP21" s="122"/>
      <c r="CQ21" s="122"/>
      <c r="CR21" s="122"/>
      <c r="CS21" s="122"/>
      <c r="CT21" s="122"/>
      <c r="CU21" s="122"/>
      <c r="CV21" s="122"/>
      <c r="CW21" s="122"/>
      <c r="CX21" s="122"/>
      <c r="CY21" s="122"/>
      <c r="CZ21" s="122"/>
      <c r="DA21" s="122"/>
      <c r="DB21" s="122"/>
      <c r="DC21" s="122"/>
      <c r="DD21" s="122"/>
      <c r="DE21" s="122"/>
      <c r="DF21" s="122"/>
      <c r="DG21" s="122"/>
      <c r="DH21" s="122"/>
      <c r="DI21" s="122"/>
      <c r="DJ21" s="122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>
        <v>260000</v>
      </c>
      <c r="EB21" s="122"/>
      <c r="EC21" s="122"/>
      <c r="ED21" s="122"/>
      <c r="EE21" s="122"/>
      <c r="EF21" s="122"/>
      <c r="EG21" s="122"/>
      <c r="EH21" s="122"/>
      <c r="EI21" s="122"/>
      <c r="EJ21" s="122"/>
      <c r="EK21" s="122"/>
      <c r="EL21" s="122"/>
      <c r="EM21" s="122"/>
      <c r="EN21" s="122"/>
      <c r="EO21" s="122"/>
      <c r="EP21" s="122"/>
      <c r="EQ21" s="122"/>
      <c r="ER21" s="122"/>
      <c r="ES21" s="122"/>
      <c r="ET21" s="122"/>
      <c r="EU21" s="122"/>
      <c r="EV21" s="122"/>
      <c r="EW21" s="122"/>
      <c r="EX21" s="122"/>
      <c r="EY21" s="122"/>
      <c r="EZ21" s="122"/>
      <c r="FA21" s="122"/>
      <c r="FB21" s="122"/>
      <c r="FC21" s="122"/>
      <c r="FD21" s="122"/>
      <c r="FE21" s="122"/>
      <c r="FF21" s="122"/>
      <c r="FG21" s="122"/>
      <c r="FH21" s="122"/>
      <c r="FI21" s="122"/>
      <c r="FJ21" s="122"/>
      <c r="FK21" s="122"/>
      <c r="FL21" s="122"/>
      <c r="FM21" s="122"/>
      <c r="FN21" s="122"/>
      <c r="FO21" s="122"/>
      <c r="FP21" s="122"/>
      <c r="FQ21" s="122"/>
      <c r="FR21" s="122"/>
      <c r="FS21" s="122"/>
      <c r="FT21" s="122"/>
      <c r="FU21" s="122"/>
      <c r="FV21" s="122"/>
      <c r="FW21" s="122"/>
      <c r="FX21" s="122"/>
      <c r="FY21" s="122"/>
      <c r="FZ21" s="122"/>
      <c r="GA21" s="122"/>
      <c r="GB21" s="122"/>
      <c r="GC21" s="122"/>
      <c r="GD21" s="122"/>
      <c r="GE21" s="122"/>
      <c r="GF21" s="122"/>
      <c r="GG21" s="122"/>
      <c r="GH21" s="122"/>
      <c r="GI21" s="122"/>
      <c r="GJ21" s="122"/>
      <c r="GK21" s="122"/>
      <c r="GL21" s="122"/>
      <c r="GM21" s="122"/>
      <c r="GN21" s="122"/>
      <c r="GO21" s="122"/>
      <c r="GP21" s="122"/>
      <c r="GQ21" s="122"/>
      <c r="GR21" s="122"/>
      <c r="GS21" s="122"/>
      <c r="GT21" s="122"/>
      <c r="GU21" s="122"/>
      <c r="GV21" s="122"/>
      <c r="GW21" s="122"/>
      <c r="GX21" s="122"/>
      <c r="GY21" s="122"/>
      <c r="GZ21" s="122"/>
      <c r="HA21" s="122"/>
      <c r="HB21" s="122"/>
      <c r="HC21" s="122"/>
      <c r="HD21" s="122"/>
      <c r="HE21" s="122"/>
      <c r="HF21" s="122"/>
      <c r="HG21" s="122"/>
      <c r="HH21" s="122"/>
      <c r="HI21" s="122"/>
      <c r="HJ21" s="122"/>
      <c r="HK21" s="122"/>
      <c r="HL21" s="122"/>
      <c r="HM21" s="122"/>
      <c r="HN21" s="122"/>
      <c r="HO21" s="122"/>
      <c r="HP21" s="122"/>
      <c r="HQ21" s="122"/>
      <c r="HR21" s="122"/>
      <c r="HS21" s="122"/>
      <c r="HT21" s="122"/>
      <c r="HU21" s="122"/>
      <c r="HV21" s="122"/>
      <c r="HW21" s="122"/>
      <c r="HX21" s="122"/>
      <c r="HY21" s="122"/>
      <c r="HZ21" s="122"/>
      <c r="IA21" s="122"/>
      <c r="IB21" s="122"/>
      <c r="IC21" s="122"/>
      <c r="ID21" s="122"/>
      <c r="IE21" s="122"/>
      <c r="IF21" s="122"/>
      <c r="IG21" s="122"/>
      <c r="IH21" s="122"/>
      <c r="II21" s="122"/>
      <c r="IJ21" s="122"/>
      <c r="IK21" s="122"/>
      <c r="IL21" s="122"/>
      <c r="IM21" s="122"/>
      <c r="IN21" s="122"/>
      <c r="IO21" s="122"/>
      <c r="IP21" s="122"/>
      <c r="IQ21" s="122"/>
      <c r="IR21" s="122"/>
      <c r="IS21" s="122"/>
      <c r="IT21" s="122"/>
      <c r="IU21" s="122"/>
      <c r="IV21" s="122"/>
      <c r="IW21" s="122"/>
      <c r="IX21" s="122"/>
      <c r="IY21" s="122"/>
      <c r="IZ21" s="122"/>
      <c r="JA21" s="122"/>
      <c r="JB21" s="122"/>
      <c r="JC21" s="122"/>
      <c r="JD21" s="122"/>
      <c r="JE21" s="122"/>
      <c r="JF21" s="122"/>
      <c r="JG21" s="122"/>
      <c r="JH21" s="122"/>
      <c r="JI21" s="119">
        <f t="shared" si="0"/>
        <v>260000</v>
      </c>
      <c r="JJ21" s="2">
        <v>5016</v>
      </c>
      <c r="JK21" s="122"/>
      <c r="JL21" s="125"/>
      <c r="JM21" s="358"/>
      <c r="JN21" s="125"/>
      <c r="JO21" s="125"/>
      <c r="JP21" s="125"/>
    </row>
    <row r="22" spans="1:276" x14ac:dyDescent="0.25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2"/>
      <c r="BO22" s="122"/>
      <c r="BP22" s="122"/>
      <c r="BQ22" s="122"/>
      <c r="BR22" s="122"/>
      <c r="BS22" s="122"/>
      <c r="BT22" s="122"/>
      <c r="BU22" s="122"/>
      <c r="BV22" s="122"/>
      <c r="BW22" s="122"/>
      <c r="BX22" s="122"/>
      <c r="BY22" s="122"/>
      <c r="BZ22" s="122"/>
      <c r="CA22" s="122"/>
      <c r="CB22" s="122"/>
      <c r="CC22" s="122"/>
      <c r="CD22" s="122"/>
      <c r="CE22" s="122"/>
      <c r="CF22" s="122"/>
      <c r="CG22" s="122"/>
      <c r="CH22" s="122"/>
      <c r="CI22" s="122"/>
      <c r="CJ22" s="122"/>
      <c r="CK22" s="122"/>
      <c r="CL22" s="122"/>
      <c r="CM22" s="122"/>
      <c r="CN22" s="122"/>
      <c r="CO22" s="122"/>
      <c r="CP22" s="122"/>
      <c r="CQ22" s="122"/>
      <c r="CR22" s="122"/>
      <c r="CS22" s="122"/>
      <c r="CT22" s="122"/>
      <c r="CU22" s="122"/>
      <c r="CV22" s="122"/>
      <c r="CW22" s="122"/>
      <c r="CX22" s="122"/>
      <c r="CY22" s="122"/>
      <c r="CZ22" s="122"/>
      <c r="DA22" s="122"/>
      <c r="DB22" s="122"/>
      <c r="DC22" s="122"/>
      <c r="DD22" s="122"/>
      <c r="DE22" s="122"/>
      <c r="DF22" s="122"/>
      <c r="DG22" s="122"/>
      <c r="DH22" s="122"/>
      <c r="DI22" s="122"/>
      <c r="DJ22" s="122"/>
      <c r="DK22" s="122"/>
      <c r="DL22" s="122"/>
      <c r="DM22" s="122"/>
      <c r="DN22" s="122"/>
      <c r="DO22" s="122"/>
      <c r="DP22" s="122"/>
      <c r="DQ22" s="122"/>
      <c r="DR22" s="122"/>
      <c r="DS22" s="122"/>
      <c r="DT22" s="122"/>
      <c r="DU22" s="122"/>
      <c r="DV22" s="122"/>
      <c r="DW22" s="122"/>
      <c r="DX22" s="122"/>
      <c r="DY22" s="122"/>
      <c r="DZ22" s="122"/>
      <c r="EA22" s="122"/>
      <c r="EB22" s="122"/>
      <c r="EC22" s="122"/>
      <c r="ED22" s="122"/>
      <c r="EE22" s="122"/>
      <c r="EF22" s="122"/>
      <c r="EG22" s="122"/>
      <c r="EH22" s="122"/>
      <c r="EI22" s="122"/>
      <c r="EJ22" s="122"/>
      <c r="EK22" s="122"/>
      <c r="EL22" s="122"/>
      <c r="EM22" s="122"/>
      <c r="EN22" s="122"/>
      <c r="EO22" s="122"/>
      <c r="EP22" s="122"/>
      <c r="EQ22" s="122"/>
      <c r="ER22" s="122"/>
      <c r="ES22" s="122"/>
      <c r="ET22" s="122"/>
      <c r="EU22" s="122"/>
      <c r="EV22" s="122"/>
      <c r="EW22" s="122"/>
      <c r="EX22" s="122"/>
      <c r="EY22" s="122"/>
      <c r="EZ22" s="122"/>
      <c r="FA22" s="122"/>
      <c r="FB22" s="122"/>
      <c r="FC22" s="122"/>
      <c r="FD22" s="122"/>
      <c r="FE22" s="122"/>
      <c r="FF22" s="122"/>
      <c r="FG22" s="122"/>
      <c r="FH22" s="122"/>
      <c r="FI22" s="122"/>
      <c r="FJ22" s="122"/>
      <c r="FK22" s="122"/>
      <c r="FL22" s="122"/>
      <c r="FM22" s="122"/>
      <c r="FN22" s="122"/>
      <c r="FO22" s="122"/>
      <c r="FP22" s="122"/>
      <c r="FQ22" s="122"/>
      <c r="FR22" s="122"/>
      <c r="FS22" s="122"/>
      <c r="FT22" s="122"/>
      <c r="FU22" s="122"/>
      <c r="FV22" s="122"/>
      <c r="FW22" s="122"/>
      <c r="FX22" s="122"/>
      <c r="FY22" s="122"/>
      <c r="FZ22" s="122"/>
      <c r="GA22" s="122"/>
      <c r="GB22" s="122"/>
      <c r="GC22" s="122"/>
      <c r="GD22" s="122"/>
      <c r="GE22" s="122"/>
      <c r="GF22" s="122"/>
      <c r="GG22" s="122"/>
      <c r="GH22" s="122">
        <v>31507.02</v>
      </c>
      <c r="GI22" s="122"/>
      <c r="GJ22" s="122"/>
      <c r="GK22" s="122"/>
      <c r="GL22" s="122"/>
      <c r="GM22" s="122"/>
      <c r="GN22" s="122"/>
      <c r="GO22" s="122"/>
      <c r="GP22" s="122"/>
      <c r="GQ22" s="122"/>
      <c r="GR22" s="122"/>
      <c r="GS22" s="122"/>
      <c r="GT22" s="122"/>
      <c r="GU22" s="122"/>
      <c r="GV22" s="122"/>
      <c r="GW22" s="122"/>
      <c r="GX22" s="122"/>
      <c r="GY22" s="122"/>
      <c r="GZ22" s="122"/>
      <c r="HA22" s="122"/>
      <c r="HB22" s="122"/>
      <c r="HC22" s="122"/>
      <c r="HD22" s="122"/>
      <c r="HE22" s="122"/>
      <c r="HF22" s="122"/>
      <c r="HG22" s="122"/>
      <c r="HH22" s="122"/>
      <c r="HI22" s="122"/>
      <c r="HJ22" s="122"/>
      <c r="HK22" s="122"/>
      <c r="HL22" s="122"/>
      <c r="HM22" s="122"/>
      <c r="HN22" s="122"/>
      <c r="HO22" s="122"/>
      <c r="HP22" s="122"/>
      <c r="HQ22" s="122"/>
      <c r="HR22" s="122"/>
      <c r="HS22" s="122"/>
      <c r="HT22" s="122"/>
      <c r="HU22" s="122"/>
      <c r="HV22" s="122"/>
      <c r="HW22" s="122"/>
      <c r="HX22" s="122"/>
      <c r="HY22" s="122"/>
      <c r="HZ22" s="122"/>
      <c r="IA22" s="122"/>
      <c r="IB22" s="122"/>
      <c r="IC22" s="122"/>
      <c r="ID22" s="122"/>
      <c r="IE22" s="122"/>
      <c r="IF22" s="122"/>
      <c r="IG22" s="122"/>
      <c r="IH22" s="122"/>
      <c r="II22" s="122"/>
      <c r="IJ22" s="122"/>
      <c r="IK22" s="122"/>
      <c r="IL22" s="122"/>
      <c r="IM22" s="122"/>
      <c r="IN22" s="122"/>
      <c r="IO22" s="122"/>
      <c r="IP22" s="122"/>
      <c r="IQ22" s="122"/>
      <c r="IR22" s="122"/>
      <c r="IS22" s="122"/>
      <c r="IT22" s="122"/>
      <c r="IU22" s="122"/>
      <c r="IV22" s="122"/>
      <c r="IW22" s="122"/>
      <c r="IX22" s="122"/>
      <c r="IY22" s="122"/>
      <c r="IZ22" s="122"/>
      <c r="JA22" s="122"/>
      <c r="JB22" s="122"/>
      <c r="JC22" s="122"/>
      <c r="JD22" s="122"/>
      <c r="JE22" s="122"/>
      <c r="JF22" s="122"/>
      <c r="JG22" s="122"/>
      <c r="JH22" s="122"/>
      <c r="JI22" s="119">
        <f t="shared" si="0"/>
        <v>31507.02</v>
      </c>
      <c r="JJ22" s="2">
        <v>5021</v>
      </c>
      <c r="JK22" s="122"/>
      <c r="JL22" s="125"/>
      <c r="JM22" s="358"/>
      <c r="JN22" s="125"/>
      <c r="JO22" s="125"/>
      <c r="JP22" s="125"/>
    </row>
    <row r="23" spans="1:276" x14ac:dyDescent="0.25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  <c r="DN23" s="122"/>
      <c r="DO23" s="122"/>
      <c r="DP23" s="122"/>
      <c r="DQ23" s="122"/>
      <c r="DR23" s="122"/>
      <c r="DS23" s="122"/>
      <c r="DT23" s="122"/>
      <c r="DU23" s="122"/>
      <c r="DV23" s="122"/>
      <c r="DW23" s="122"/>
      <c r="DX23" s="122"/>
      <c r="DY23" s="122"/>
      <c r="DZ23" s="122"/>
      <c r="EA23" s="122"/>
      <c r="EB23" s="122"/>
      <c r="EC23" s="122"/>
      <c r="ED23" s="122"/>
      <c r="EE23" s="122"/>
      <c r="EF23" s="122"/>
      <c r="EG23" s="122"/>
      <c r="EH23" s="122"/>
      <c r="EI23" s="122"/>
      <c r="EJ23" s="122"/>
      <c r="EK23" s="122"/>
      <c r="EL23" s="122"/>
      <c r="EM23" s="122"/>
      <c r="EN23" s="122"/>
      <c r="EO23" s="122"/>
      <c r="EP23" s="122"/>
      <c r="EQ23" s="122"/>
      <c r="ER23" s="122"/>
      <c r="ES23" s="122"/>
      <c r="ET23" s="122"/>
      <c r="EU23" s="122"/>
      <c r="EV23" s="122"/>
      <c r="EW23" s="122"/>
      <c r="EX23" s="122"/>
      <c r="EY23" s="122"/>
      <c r="EZ23" s="122"/>
      <c r="FA23" s="122"/>
      <c r="FB23" s="122"/>
      <c r="FC23" s="122"/>
      <c r="FD23" s="122"/>
      <c r="FE23" s="122"/>
      <c r="FF23" s="122"/>
      <c r="FG23" s="122"/>
      <c r="FH23" s="122"/>
      <c r="FI23" s="122"/>
      <c r="FJ23" s="122"/>
      <c r="FK23" s="122"/>
      <c r="FL23" s="122"/>
      <c r="FM23" s="122"/>
      <c r="FN23" s="122"/>
      <c r="FO23" s="122"/>
      <c r="FP23" s="122"/>
      <c r="FQ23" s="122"/>
      <c r="FR23" s="122"/>
      <c r="FS23" s="122"/>
      <c r="FT23" s="122"/>
      <c r="FU23" s="122"/>
      <c r="FV23" s="122"/>
      <c r="FW23" s="122"/>
      <c r="FX23" s="122"/>
      <c r="FY23" s="122"/>
      <c r="FZ23" s="122"/>
      <c r="GA23" s="122"/>
      <c r="GB23" s="122"/>
      <c r="GC23" s="122"/>
      <c r="GD23" s="122"/>
      <c r="GE23" s="122"/>
      <c r="GF23" s="122"/>
      <c r="GG23" s="122"/>
      <c r="GH23" s="122"/>
      <c r="GI23" s="122"/>
      <c r="GJ23" s="122"/>
      <c r="GK23" s="122"/>
      <c r="GL23" s="122"/>
      <c r="GM23" s="122"/>
      <c r="GN23" s="122"/>
      <c r="GO23" s="122"/>
      <c r="GP23" s="122"/>
      <c r="GQ23" s="122">
        <v>1791000</v>
      </c>
      <c r="GR23" s="122"/>
      <c r="GS23" s="122"/>
      <c r="GT23" s="122"/>
      <c r="GU23" s="122"/>
      <c r="GV23" s="122"/>
      <c r="GW23" s="122"/>
      <c r="GX23" s="122"/>
      <c r="GY23" s="122"/>
      <c r="GZ23" s="122"/>
      <c r="HA23" s="122"/>
      <c r="HB23" s="122"/>
      <c r="HC23" s="122"/>
      <c r="HD23" s="122"/>
      <c r="HE23" s="122"/>
      <c r="HF23" s="122"/>
      <c r="HG23" s="122"/>
      <c r="HH23" s="122"/>
      <c r="HI23" s="122"/>
      <c r="HJ23" s="122"/>
      <c r="HK23" s="122"/>
      <c r="HL23" s="122"/>
      <c r="HM23" s="122"/>
      <c r="HN23" s="122"/>
      <c r="HO23" s="122"/>
      <c r="HP23" s="122"/>
      <c r="HQ23" s="122"/>
      <c r="HR23" s="122"/>
      <c r="HS23" s="122"/>
      <c r="HT23" s="122"/>
      <c r="HU23" s="122"/>
      <c r="HV23" s="122"/>
      <c r="HW23" s="122"/>
      <c r="HX23" s="122"/>
      <c r="HY23" s="122"/>
      <c r="HZ23" s="122"/>
      <c r="IA23" s="122"/>
      <c r="IB23" s="122"/>
      <c r="IC23" s="122"/>
      <c r="ID23" s="122"/>
      <c r="IE23" s="122"/>
      <c r="IF23" s="122"/>
      <c r="IG23" s="122"/>
      <c r="IH23" s="122"/>
      <c r="II23" s="122"/>
      <c r="IJ23" s="122"/>
      <c r="IK23" s="122"/>
      <c r="IL23" s="122"/>
      <c r="IM23" s="122"/>
      <c r="IN23" s="122"/>
      <c r="IO23" s="122"/>
      <c r="IP23" s="122"/>
      <c r="IQ23" s="122"/>
      <c r="IR23" s="122"/>
      <c r="IS23" s="122"/>
      <c r="IT23" s="122"/>
      <c r="IU23" s="122"/>
      <c r="IV23" s="122"/>
      <c r="IW23" s="122"/>
      <c r="IX23" s="122"/>
      <c r="IY23" s="122"/>
      <c r="IZ23" s="122"/>
      <c r="JA23" s="122"/>
      <c r="JB23" s="122"/>
      <c r="JC23" s="122"/>
      <c r="JD23" s="122"/>
      <c r="JE23" s="122"/>
      <c r="JF23" s="122"/>
      <c r="JG23" s="122"/>
      <c r="JH23" s="122"/>
      <c r="JI23" s="119">
        <f t="shared" si="0"/>
        <v>1791000</v>
      </c>
      <c r="JJ23" s="2">
        <v>5026</v>
      </c>
      <c r="JK23" s="122"/>
      <c r="JL23" s="125"/>
      <c r="JM23" s="358"/>
      <c r="JN23" s="125"/>
      <c r="JO23" s="125"/>
      <c r="JP23" s="125"/>
    </row>
    <row r="24" spans="1:276" x14ac:dyDescent="0.25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/>
      <c r="DL24" s="122"/>
      <c r="DM24" s="122"/>
      <c r="DN24" s="122"/>
      <c r="DO24" s="122"/>
      <c r="DP24" s="122"/>
      <c r="DQ24" s="122"/>
      <c r="DR24" s="122"/>
      <c r="DS24" s="122"/>
      <c r="DT24" s="122"/>
      <c r="DU24" s="122"/>
      <c r="DV24" s="122"/>
      <c r="DW24" s="122"/>
      <c r="DX24" s="122"/>
      <c r="DY24" s="122"/>
      <c r="DZ24" s="122"/>
      <c r="EA24" s="122"/>
      <c r="EB24" s="122"/>
      <c r="EC24" s="122"/>
      <c r="ED24" s="122"/>
      <c r="EE24" s="122"/>
      <c r="EF24" s="122"/>
      <c r="EG24" s="122"/>
      <c r="EH24" s="122"/>
      <c r="EI24" s="122"/>
      <c r="EJ24" s="122"/>
      <c r="EK24" s="122"/>
      <c r="EL24" s="122"/>
      <c r="EM24" s="122"/>
      <c r="EN24" s="122"/>
      <c r="EO24" s="122"/>
      <c r="EP24" s="122"/>
      <c r="EQ24" s="122"/>
      <c r="ER24" s="122"/>
      <c r="ES24" s="122"/>
      <c r="ET24" s="122"/>
      <c r="EU24" s="122"/>
      <c r="EV24" s="122"/>
      <c r="EW24" s="122"/>
      <c r="EX24" s="122"/>
      <c r="EY24" s="122"/>
      <c r="EZ24" s="122"/>
      <c r="FA24" s="122"/>
      <c r="FB24" s="122"/>
      <c r="FC24" s="122"/>
      <c r="FD24" s="122"/>
      <c r="FE24" s="122"/>
      <c r="FF24" s="122"/>
      <c r="FG24" s="122"/>
      <c r="FH24" s="122"/>
      <c r="FI24" s="122"/>
      <c r="FJ24" s="122"/>
      <c r="FK24" s="122"/>
      <c r="FL24" s="122"/>
      <c r="FM24" s="122"/>
      <c r="FN24" s="122"/>
      <c r="FO24" s="122"/>
      <c r="FP24" s="122"/>
      <c r="FQ24" s="122"/>
      <c r="FR24" s="122"/>
      <c r="FS24" s="122"/>
      <c r="FT24" s="122"/>
      <c r="FU24" s="122"/>
      <c r="FV24" s="122"/>
      <c r="FW24" s="122"/>
      <c r="FX24" s="122"/>
      <c r="FY24" s="122"/>
      <c r="FZ24" s="122"/>
      <c r="GA24" s="122"/>
      <c r="GB24" s="122"/>
      <c r="GC24" s="122"/>
      <c r="GD24" s="122"/>
      <c r="GE24" s="122"/>
      <c r="GF24" s="122"/>
      <c r="GG24" s="122"/>
      <c r="GH24" s="122"/>
      <c r="GI24" s="122"/>
      <c r="GJ24" s="122"/>
      <c r="GK24" s="122"/>
      <c r="GL24" s="122"/>
      <c r="GM24" s="122"/>
      <c r="GN24" s="122"/>
      <c r="GO24" s="122"/>
      <c r="GP24" s="122"/>
      <c r="GQ24" s="122"/>
      <c r="GR24" s="122"/>
      <c r="GS24" s="122"/>
      <c r="GT24" s="122"/>
      <c r="GU24" s="122"/>
      <c r="GV24" s="122"/>
      <c r="GW24" s="122"/>
      <c r="GX24" s="122"/>
      <c r="GY24" s="122"/>
      <c r="GZ24" s="122"/>
      <c r="HA24" s="122"/>
      <c r="HB24" s="122"/>
      <c r="HC24" s="122"/>
      <c r="HD24" s="122"/>
      <c r="HE24" s="122"/>
      <c r="HF24" s="122">
        <v>42057.86</v>
      </c>
      <c r="HG24" s="122"/>
      <c r="HH24" s="122"/>
      <c r="HI24" s="122"/>
      <c r="HJ24" s="122"/>
      <c r="HK24" s="122"/>
      <c r="HL24" s="122"/>
      <c r="HM24" s="122"/>
      <c r="HN24" s="122"/>
      <c r="HO24" s="122"/>
      <c r="HP24" s="122"/>
      <c r="HQ24" s="122"/>
      <c r="HR24" s="122"/>
      <c r="HS24" s="122"/>
      <c r="HT24" s="122"/>
      <c r="HU24" s="122"/>
      <c r="HV24" s="122"/>
      <c r="HW24" s="122"/>
      <c r="HX24" s="122"/>
      <c r="HY24" s="122"/>
      <c r="HZ24" s="122"/>
      <c r="IA24" s="122"/>
      <c r="IB24" s="122"/>
      <c r="IC24" s="122"/>
      <c r="ID24" s="122"/>
      <c r="IE24" s="122"/>
      <c r="IF24" s="122"/>
      <c r="IG24" s="122"/>
      <c r="IH24" s="122"/>
      <c r="II24" s="122"/>
      <c r="IJ24" s="122"/>
      <c r="IK24" s="122"/>
      <c r="IL24" s="122"/>
      <c r="IM24" s="122"/>
      <c r="IN24" s="122"/>
      <c r="IO24" s="122"/>
      <c r="IP24" s="122"/>
      <c r="IQ24" s="122"/>
      <c r="IR24" s="122"/>
      <c r="IS24" s="122"/>
      <c r="IT24" s="122"/>
      <c r="IU24" s="122"/>
      <c r="IV24" s="122"/>
      <c r="IW24" s="122"/>
      <c r="IX24" s="122"/>
      <c r="IY24" s="122"/>
      <c r="IZ24" s="122"/>
      <c r="JA24" s="122"/>
      <c r="JB24" s="122"/>
      <c r="JC24" s="122"/>
      <c r="JD24" s="122"/>
      <c r="JE24" s="122"/>
      <c r="JF24" s="122"/>
      <c r="JG24" s="122"/>
      <c r="JH24" s="122"/>
      <c r="JI24" s="119">
        <f t="shared" si="0"/>
        <v>42057.86</v>
      </c>
      <c r="JJ24" s="2">
        <v>5031</v>
      </c>
      <c r="JK24" s="122"/>
      <c r="JL24" s="125"/>
      <c r="JM24" s="358"/>
      <c r="JN24" s="125"/>
      <c r="JO24" s="125"/>
      <c r="JP24" s="125"/>
    </row>
    <row r="25" spans="1:276" x14ac:dyDescent="0.25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  <c r="DE25" s="122"/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22"/>
      <c r="DQ25" s="122"/>
      <c r="DR25" s="122"/>
      <c r="DS25" s="122"/>
      <c r="DT25" s="122"/>
      <c r="DU25" s="122"/>
      <c r="DV25" s="122"/>
      <c r="DW25" s="122"/>
      <c r="DX25" s="122"/>
      <c r="DY25" s="122"/>
      <c r="DZ25" s="122"/>
      <c r="EA25" s="122"/>
      <c r="EB25" s="122"/>
      <c r="EC25" s="122"/>
      <c r="ED25" s="122"/>
      <c r="EE25" s="122"/>
      <c r="EF25" s="122"/>
      <c r="EG25" s="122"/>
      <c r="EH25" s="122"/>
      <c r="EI25" s="122"/>
      <c r="EJ25" s="122"/>
      <c r="EK25" s="122"/>
      <c r="EL25" s="122"/>
      <c r="EM25" s="122"/>
      <c r="EN25" s="122"/>
      <c r="EO25" s="122"/>
      <c r="EP25" s="122"/>
      <c r="EQ25" s="122"/>
      <c r="ER25" s="122"/>
      <c r="ES25" s="122"/>
      <c r="ET25" s="122"/>
      <c r="EU25" s="122"/>
      <c r="EV25" s="122"/>
      <c r="EW25" s="122"/>
      <c r="EX25" s="122"/>
      <c r="EY25" s="122"/>
      <c r="EZ25" s="122"/>
      <c r="FA25" s="122"/>
      <c r="FB25" s="122"/>
      <c r="FC25" s="122"/>
      <c r="FD25" s="122"/>
      <c r="FE25" s="122"/>
      <c r="FF25" s="122"/>
      <c r="FG25" s="122"/>
      <c r="FH25" s="122"/>
      <c r="FI25" s="122"/>
      <c r="FJ25" s="122"/>
      <c r="FK25" s="122"/>
      <c r="FL25" s="122"/>
      <c r="FM25" s="122"/>
      <c r="FN25" s="122"/>
      <c r="FO25" s="122"/>
      <c r="FP25" s="122"/>
      <c r="FQ25" s="122"/>
      <c r="FR25" s="122"/>
      <c r="FS25" s="122"/>
      <c r="FT25" s="122">
        <v>247800</v>
      </c>
      <c r="FU25" s="122"/>
      <c r="FV25" s="122"/>
      <c r="FW25" s="122"/>
      <c r="FX25" s="122"/>
      <c r="FY25" s="122"/>
      <c r="FZ25" s="122"/>
      <c r="GA25" s="122"/>
      <c r="GB25" s="122"/>
      <c r="GC25" s="122"/>
      <c r="GD25" s="122"/>
      <c r="GE25" s="122"/>
      <c r="GF25" s="122"/>
      <c r="GG25" s="122"/>
      <c r="GH25" s="122"/>
      <c r="GI25" s="122"/>
      <c r="GJ25" s="122"/>
      <c r="GK25" s="122"/>
      <c r="GL25" s="122"/>
      <c r="GM25" s="122"/>
      <c r="GN25" s="122"/>
      <c r="GO25" s="122"/>
      <c r="GP25" s="122"/>
      <c r="GQ25" s="122"/>
      <c r="GR25" s="122"/>
      <c r="GS25" s="122"/>
      <c r="GT25" s="122"/>
      <c r="GU25" s="122"/>
      <c r="GV25" s="122"/>
      <c r="GW25" s="122"/>
      <c r="GX25" s="122"/>
      <c r="GY25" s="122"/>
      <c r="GZ25" s="122"/>
      <c r="HA25" s="122"/>
      <c r="HB25" s="122"/>
      <c r="HC25" s="122"/>
      <c r="HD25" s="122"/>
      <c r="HE25" s="122"/>
      <c r="HF25" s="122"/>
      <c r="HG25" s="122"/>
      <c r="HH25" s="122"/>
      <c r="HI25" s="122"/>
      <c r="HJ25" s="122"/>
      <c r="HK25" s="122"/>
      <c r="HL25" s="122"/>
      <c r="HM25" s="122"/>
      <c r="HN25" s="122"/>
      <c r="HO25" s="122"/>
      <c r="HP25" s="122"/>
      <c r="HQ25" s="122"/>
      <c r="HR25" s="122"/>
      <c r="HS25" s="122"/>
      <c r="HT25" s="122"/>
      <c r="HU25" s="122"/>
      <c r="HV25" s="122"/>
      <c r="HW25" s="122"/>
      <c r="HX25" s="122"/>
      <c r="HY25" s="122"/>
      <c r="HZ25" s="122"/>
      <c r="IA25" s="122"/>
      <c r="IB25" s="122"/>
      <c r="IC25" s="122"/>
      <c r="ID25" s="122"/>
      <c r="IE25" s="122"/>
      <c r="IF25" s="122"/>
      <c r="IG25" s="122"/>
      <c r="IH25" s="122"/>
      <c r="II25" s="122"/>
      <c r="IJ25" s="122"/>
      <c r="IK25" s="122"/>
      <c r="IL25" s="122"/>
      <c r="IM25" s="122"/>
      <c r="IN25" s="122"/>
      <c r="IO25" s="122"/>
      <c r="IP25" s="122"/>
      <c r="IQ25" s="122"/>
      <c r="IR25" s="122"/>
      <c r="IS25" s="122"/>
      <c r="IT25" s="122"/>
      <c r="IU25" s="122"/>
      <c r="IV25" s="122"/>
      <c r="IW25" s="122"/>
      <c r="IX25" s="122"/>
      <c r="IY25" s="122"/>
      <c r="IZ25" s="122"/>
      <c r="JA25" s="122"/>
      <c r="JB25" s="122"/>
      <c r="JC25" s="122"/>
      <c r="JD25" s="122"/>
      <c r="JE25" s="122"/>
      <c r="JF25" s="122"/>
      <c r="JG25" s="122"/>
      <c r="JH25" s="122"/>
      <c r="JI25" s="119">
        <f t="shared" si="0"/>
        <v>247800</v>
      </c>
      <c r="JJ25" s="2">
        <v>5032</v>
      </c>
      <c r="JK25" s="122"/>
      <c r="JL25" s="125"/>
      <c r="JM25" s="358"/>
      <c r="JN25" s="125"/>
      <c r="JO25" s="125"/>
      <c r="JP25" s="125"/>
    </row>
    <row r="26" spans="1:276" x14ac:dyDescent="0.25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/>
      <c r="DL26" s="122"/>
      <c r="DM26" s="122"/>
      <c r="DN26" s="122"/>
      <c r="DO26" s="122"/>
      <c r="DP26" s="122"/>
      <c r="DQ26" s="122"/>
      <c r="DR26" s="122"/>
      <c r="DS26" s="122"/>
      <c r="DT26" s="122"/>
      <c r="DU26" s="122"/>
      <c r="DV26" s="122"/>
      <c r="DW26" s="122"/>
      <c r="DX26" s="122"/>
      <c r="DY26" s="122"/>
      <c r="DZ26" s="122"/>
      <c r="EA26" s="122"/>
      <c r="EB26" s="122"/>
      <c r="EC26" s="122"/>
      <c r="ED26" s="122"/>
      <c r="EE26" s="122"/>
      <c r="EF26" s="122"/>
      <c r="EG26" s="122"/>
      <c r="EH26" s="122"/>
      <c r="EI26" s="122"/>
      <c r="EJ26" s="122"/>
      <c r="EK26" s="122"/>
      <c r="EL26" s="122"/>
      <c r="EM26" s="122"/>
      <c r="EN26" s="122"/>
      <c r="EO26" s="122"/>
      <c r="EP26" s="122"/>
      <c r="EQ26" s="122"/>
      <c r="ER26" s="122"/>
      <c r="ES26" s="122"/>
      <c r="ET26" s="122"/>
      <c r="EU26" s="122"/>
      <c r="EV26" s="122"/>
      <c r="EW26" s="122"/>
      <c r="EX26" s="122"/>
      <c r="EY26" s="122"/>
      <c r="EZ26" s="122"/>
      <c r="FA26" s="122"/>
      <c r="FB26" s="122"/>
      <c r="FC26" s="122"/>
      <c r="FD26" s="122"/>
      <c r="FE26" s="122"/>
      <c r="FF26" s="122"/>
      <c r="FG26" s="122"/>
      <c r="FH26" s="122"/>
      <c r="FI26" s="122"/>
      <c r="FJ26" s="122"/>
      <c r="FK26" s="122"/>
      <c r="FL26" s="122"/>
      <c r="FM26" s="122"/>
      <c r="FN26" s="122"/>
      <c r="FO26" s="122"/>
      <c r="FP26" s="122"/>
      <c r="FQ26" s="122"/>
      <c r="FR26" s="122"/>
      <c r="FS26" s="122"/>
      <c r="FT26" s="122"/>
      <c r="FU26" s="122"/>
      <c r="FV26" s="122"/>
      <c r="FW26" s="122"/>
      <c r="FX26" s="122"/>
      <c r="FY26" s="122"/>
      <c r="FZ26" s="122"/>
      <c r="GA26" s="122"/>
      <c r="GB26" s="122"/>
      <c r="GC26" s="122"/>
      <c r="GD26" s="122"/>
      <c r="GE26" s="122"/>
      <c r="GF26" s="122"/>
      <c r="GG26" s="122"/>
      <c r="GH26" s="122"/>
      <c r="GI26" s="122"/>
      <c r="GJ26" s="122"/>
      <c r="GK26" s="122"/>
      <c r="GL26" s="122"/>
      <c r="GM26" s="122"/>
      <c r="GN26" s="122"/>
      <c r="GO26" s="122"/>
      <c r="GP26" s="122"/>
      <c r="GQ26" s="122"/>
      <c r="GR26" s="122"/>
      <c r="GS26" s="122"/>
      <c r="GT26" s="122"/>
      <c r="GU26" s="122"/>
      <c r="GV26" s="122"/>
      <c r="GW26" s="122"/>
      <c r="GX26" s="122"/>
      <c r="GY26" s="122"/>
      <c r="GZ26" s="122"/>
      <c r="HA26" s="122"/>
      <c r="HB26" s="122"/>
      <c r="HC26" s="122"/>
      <c r="HD26" s="122"/>
      <c r="HE26" s="122"/>
      <c r="HF26" s="122"/>
      <c r="HG26" s="122"/>
      <c r="HH26" s="122"/>
      <c r="HI26" s="122">
        <v>22585.200000000001</v>
      </c>
      <c r="HJ26" s="122"/>
      <c r="HK26" s="122"/>
      <c r="HL26" s="122"/>
      <c r="HM26" s="122"/>
      <c r="HN26" s="122"/>
      <c r="HO26" s="122"/>
      <c r="HP26" s="122"/>
      <c r="HQ26" s="122"/>
      <c r="HR26" s="122"/>
      <c r="HS26" s="122"/>
      <c r="HT26" s="122"/>
      <c r="HU26" s="122"/>
      <c r="HV26" s="122"/>
      <c r="HW26" s="122"/>
      <c r="HX26" s="122"/>
      <c r="HY26" s="122"/>
      <c r="HZ26" s="122"/>
      <c r="IA26" s="122"/>
      <c r="IB26" s="122"/>
      <c r="IC26" s="122"/>
      <c r="ID26" s="122"/>
      <c r="IE26" s="122"/>
      <c r="IF26" s="122"/>
      <c r="IG26" s="122"/>
      <c r="IH26" s="122"/>
      <c r="II26" s="122"/>
      <c r="IJ26" s="122"/>
      <c r="IK26" s="122"/>
      <c r="IL26" s="122"/>
      <c r="IM26" s="122"/>
      <c r="IN26" s="122"/>
      <c r="IO26" s="122"/>
      <c r="IP26" s="122"/>
      <c r="IQ26" s="122"/>
      <c r="IR26" s="122"/>
      <c r="IS26" s="122"/>
      <c r="IT26" s="122"/>
      <c r="IU26" s="122"/>
      <c r="IV26" s="122"/>
      <c r="IW26" s="122"/>
      <c r="IX26" s="122"/>
      <c r="IY26" s="122"/>
      <c r="IZ26" s="122"/>
      <c r="JA26" s="122"/>
      <c r="JB26" s="122"/>
      <c r="JC26" s="122"/>
      <c r="JD26" s="122"/>
      <c r="JE26" s="122"/>
      <c r="JF26" s="122"/>
      <c r="JG26" s="122"/>
      <c r="JH26" s="122"/>
      <c r="JI26" s="119">
        <f t="shared" si="0"/>
        <v>22585.200000000001</v>
      </c>
      <c r="JJ26" s="2">
        <v>5040</v>
      </c>
      <c r="JK26" s="122"/>
      <c r="JL26" s="125"/>
      <c r="JM26" s="358"/>
      <c r="JN26" s="125"/>
      <c r="JO26" s="125"/>
      <c r="JP26" s="125"/>
    </row>
    <row r="27" spans="1:276" x14ac:dyDescent="0.25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S27" s="122"/>
      <c r="BT27" s="122"/>
      <c r="BU27" s="122"/>
      <c r="BV27" s="122"/>
      <c r="BW27" s="122"/>
      <c r="BX27" s="122"/>
      <c r="BY27" s="122"/>
      <c r="BZ27" s="122"/>
      <c r="CA27" s="122"/>
      <c r="CB27" s="122"/>
      <c r="CC27" s="122"/>
      <c r="CD27" s="122"/>
      <c r="CE27" s="122"/>
      <c r="CF27" s="122"/>
      <c r="CG27" s="122"/>
      <c r="CH27" s="122"/>
      <c r="CI27" s="122"/>
      <c r="CJ27" s="122"/>
      <c r="CK27" s="122"/>
      <c r="CL27" s="122"/>
      <c r="CM27" s="122"/>
      <c r="CN27" s="122"/>
      <c r="CO27" s="122"/>
      <c r="CP27" s="122"/>
      <c r="CQ27" s="122"/>
      <c r="CR27" s="122"/>
      <c r="CS27" s="122"/>
      <c r="CT27" s="122"/>
      <c r="CU27" s="122"/>
      <c r="CV27" s="122"/>
      <c r="CW27" s="122"/>
      <c r="CX27" s="122"/>
      <c r="CY27" s="122"/>
      <c r="CZ27" s="122"/>
      <c r="DA27" s="122"/>
      <c r="DB27" s="122"/>
      <c r="DC27" s="122"/>
      <c r="DD27" s="122"/>
      <c r="DE27" s="122"/>
      <c r="DF27" s="122"/>
      <c r="DG27" s="122"/>
      <c r="DH27" s="122"/>
      <c r="DI27" s="122"/>
      <c r="DJ27" s="122"/>
      <c r="DK27" s="122"/>
      <c r="DL27" s="122"/>
      <c r="DM27" s="122"/>
      <c r="DN27" s="122"/>
      <c r="DO27" s="122"/>
      <c r="DP27" s="122"/>
      <c r="DQ27" s="122"/>
      <c r="DR27" s="122"/>
      <c r="DS27" s="122"/>
      <c r="DT27" s="122"/>
      <c r="DU27" s="122"/>
      <c r="DV27" s="122"/>
      <c r="DW27" s="122"/>
      <c r="DX27" s="122"/>
      <c r="DY27" s="122"/>
      <c r="DZ27" s="122"/>
      <c r="EA27" s="122"/>
      <c r="EB27" s="122"/>
      <c r="EC27" s="122"/>
      <c r="ED27" s="122"/>
      <c r="EE27" s="122"/>
      <c r="EF27" s="122"/>
      <c r="EG27" s="122"/>
      <c r="EH27" s="122"/>
      <c r="EI27" s="122"/>
      <c r="EJ27" s="122"/>
      <c r="EK27" s="122"/>
      <c r="EL27" s="122"/>
      <c r="EM27" s="122"/>
      <c r="EN27" s="122"/>
      <c r="EO27" s="122"/>
      <c r="EP27" s="122"/>
      <c r="EQ27" s="122"/>
      <c r="ER27" s="122"/>
      <c r="ES27" s="122"/>
      <c r="ET27" s="122"/>
      <c r="EU27" s="122"/>
      <c r="EV27" s="122"/>
      <c r="EW27" s="122"/>
      <c r="EX27" s="122"/>
      <c r="EY27" s="122"/>
      <c r="EZ27" s="122"/>
      <c r="FA27" s="122"/>
      <c r="FB27" s="122"/>
      <c r="FC27" s="122"/>
      <c r="FD27" s="122"/>
      <c r="FE27" s="122"/>
      <c r="FF27" s="122"/>
      <c r="FG27" s="122"/>
      <c r="FH27" s="122"/>
      <c r="FI27" s="122"/>
      <c r="FJ27" s="122"/>
      <c r="FK27" s="122"/>
      <c r="FL27" s="122"/>
      <c r="FM27" s="122"/>
      <c r="FN27" s="122"/>
      <c r="FO27" s="122"/>
      <c r="FP27" s="122"/>
      <c r="FQ27" s="122"/>
      <c r="FR27" s="122"/>
      <c r="FS27" s="122"/>
      <c r="FT27" s="122"/>
      <c r="FU27" s="122"/>
      <c r="FV27" s="122"/>
      <c r="FW27" s="122"/>
      <c r="FX27" s="122"/>
      <c r="FY27" s="122"/>
      <c r="FZ27" s="122"/>
      <c r="GA27" s="122"/>
      <c r="GB27" s="122"/>
      <c r="GC27" s="122"/>
      <c r="GD27" s="122"/>
      <c r="GE27" s="122"/>
      <c r="GF27" s="122"/>
      <c r="GG27" s="122"/>
      <c r="GH27" s="122"/>
      <c r="GI27" s="122"/>
      <c r="GJ27" s="122"/>
      <c r="GK27" s="122"/>
      <c r="GL27" s="122"/>
      <c r="GM27" s="122"/>
      <c r="GN27" s="122"/>
      <c r="GO27" s="122"/>
      <c r="GP27" s="122"/>
      <c r="GQ27" s="122"/>
      <c r="GR27" s="122">
        <v>59000</v>
      </c>
      <c r="GS27" s="122"/>
      <c r="GT27" s="122"/>
      <c r="GU27" s="122"/>
      <c r="GV27" s="122"/>
      <c r="GW27" s="122"/>
      <c r="GX27" s="122"/>
      <c r="GY27" s="122"/>
      <c r="GZ27" s="122"/>
      <c r="HA27" s="122"/>
      <c r="HB27" s="122"/>
      <c r="HC27" s="122"/>
      <c r="HD27" s="122"/>
      <c r="HE27" s="122"/>
      <c r="HF27" s="122"/>
      <c r="HG27" s="122"/>
      <c r="HH27" s="122"/>
      <c r="HI27" s="122"/>
      <c r="HJ27" s="122"/>
      <c r="HK27" s="122"/>
      <c r="HL27" s="122"/>
      <c r="HM27" s="122"/>
      <c r="HN27" s="122"/>
      <c r="HO27" s="122"/>
      <c r="HP27" s="122"/>
      <c r="HQ27" s="122"/>
      <c r="HR27" s="122"/>
      <c r="HS27" s="122"/>
      <c r="HT27" s="122"/>
      <c r="HU27" s="122"/>
      <c r="HV27" s="122"/>
      <c r="HW27" s="122"/>
      <c r="HX27" s="122"/>
      <c r="HY27" s="122"/>
      <c r="HZ27" s="122"/>
      <c r="IA27" s="122"/>
      <c r="IB27" s="122"/>
      <c r="IC27" s="122"/>
      <c r="ID27" s="122"/>
      <c r="IE27" s="122"/>
      <c r="IF27" s="122"/>
      <c r="IG27" s="122"/>
      <c r="IH27" s="122"/>
      <c r="II27" s="122"/>
      <c r="IJ27" s="122"/>
      <c r="IK27" s="122"/>
      <c r="IL27" s="122"/>
      <c r="IM27" s="122"/>
      <c r="IN27" s="122"/>
      <c r="IO27" s="122"/>
      <c r="IP27" s="122"/>
      <c r="IQ27" s="122"/>
      <c r="IR27" s="122"/>
      <c r="IS27" s="122"/>
      <c r="IT27" s="122"/>
      <c r="IU27" s="122"/>
      <c r="IV27" s="122"/>
      <c r="IW27" s="122"/>
      <c r="IX27" s="122"/>
      <c r="IY27" s="122"/>
      <c r="IZ27" s="122"/>
      <c r="JA27" s="122"/>
      <c r="JB27" s="122"/>
      <c r="JC27" s="122"/>
      <c r="JD27" s="122"/>
      <c r="JE27" s="122"/>
      <c r="JF27" s="122"/>
      <c r="JG27" s="122"/>
      <c r="JH27" s="122"/>
      <c r="JI27" s="119">
        <f t="shared" si="0"/>
        <v>59000</v>
      </c>
      <c r="JJ27" s="2">
        <v>5041</v>
      </c>
      <c r="JK27" s="122"/>
      <c r="JL27" s="125"/>
      <c r="JM27" s="358"/>
      <c r="JN27" s="125"/>
      <c r="JO27" s="125"/>
      <c r="JP27" s="125"/>
    </row>
    <row r="28" spans="1:276" x14ac:dyDescent="0.25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  <c r="BQ28" s="122"/>
      <c r="BR28" s="122"/>
      <c r="BS28" s="122"/>
      <c r="BT28" s="122"/>
      <c r="BU28" s="122"/>
      <c r="BV28" s="122"/>
      <c r="BW28" s="122"/>
      <c r="BX28" s="122"/>
      <c r="BY28" s="122"/>
      <c r="BZ28" s="122"/>
      <c r="CA28" s="122"/>
      <c r="CB28" s="122"/>
      <c r="CC28" s="122"/>
      <c r="CD28" s="122"/>
      <c r="CE28" s="122"/>
      <c r="CF28" s="122"/>
      <c r="CG28" s="122"/>
      <c r="CH28" s="122"/>
      <c r="CI28" s="122"/>
      <c r="CJ28" s="122"/>
      <c r="CK28" s="122"/>
      <c r="CL28" s="122"/>
      <c r="CM28" s="122"/>
      <c r="CN28" s="122"/>
      <c r="CO28" s="122"/>
      <c r="CP28" s="122"/>
      <c r="CQ28" s="122"/>
      <c r="CR28" s="122"/>
      <c r="CS28" s="122"/>
      <c r="CT28" s="122"/>
      <c r="CU28" s="122"/>
      <c r="CV28" s="122"/>
      <c r="CW28" s="122"/>
      <c r="CX28" s="122"/>
      <c r="CY28" s="122"/>
      <c r="CZ28" s="122"/>
      <c r="DA28" s="122"/>
      <c r="DB28" s="122"/>
      <c r="DC28" s="122"/>
      <c r="DD28" s="122"/>
      <c r="DE28" s="122"/>
      <c r="DF28" s="122"/>
      <c r="DG28" s="122"/>
      <c r="DH28" s="122"/>
      <c r="DI28" s="122"/>
      <c r="DJ28" s="122"/>
      <c r="DK28" s="122"/>
      <c r="DL28" s="122"/>
      <c r="DM28" s="122"/>
      <c r="DN28" s="122"/>
      <c r="DO28" s="122"/>
      <c r="DP28" s="122"/>
      <c r="DQ28" s="122"/>
      <c r="DR28" s="122"/>
      <c r="DS28" s="122"/>
      <c r="DT28" s="122"/>
      <c r="DU28" s="122"/>
      <c r="DV28" s="122"/>
      <c r="DW28" s="122"/>
      <c r="DX28" s="122"/>
      <c r="DY28" s="122"/>
      <c r="DZ28" s="122"/>
      <c r="EA28" s="122"/>
      <c r="EB28" s="122"/>
      <c r="EC28" s="122"/>
      <c r="ED28" s="122"/>
      <c r="EE28" s="122"/>
      <c r="EF28" s="122"/>
      <c r="EG28" s="122"/>
      <c r="EH28" s="122"/>
      <c r="EI28" s="122"/>
      <c r="EJ28" s="122"/>
      <c r="EK28" s="122"/>
      <c r="EL28" s="122"/>
      <c r="EM28" s="122"/>
      <c r="EN28" s="122"/>
      <c r="EO28" s="122"/>
      <c r="EP28" s="122"/>
      <c r="EQ28" s="122"/>
      <c r="ER28" s="122"/>
      <c r="ES28" s="122"/>
      <c r="ET28" s="122"/>
      <c r="EU28" s="122"/>
      <c r="EV28" s="122"/>
      <c r="EW28" s="122"/>
      <c r="EX28" s="122"/>
      <c r="EY28" s="122"/>
      <c r="EZ28" s="122"/>
      <c r="FA28" s="122"/>
      <c r="FB28" s="122"/>
      <c r="FC28" s="122"/>
      <c r="FD28" s="122"/>
      <c r="FE28" s="122"/>
      <c r="FF28" s="122"/>
      <c r="FG28" s="122"/>
      <c r="FH28" s="122"/>
      <c r="FI28" s="122"/>
      <c r="FJ28" s="122"/>
      <c r="FK28" s="122"/>
      <c r="FL28" s="122"/>
      <c r="FM28" s="122"/>
      <c r="FN28" s="122"/>
      <c r="FO28" s="122"/>
      <c r="FP28" s="122"/>
      <c r="FQ28" s="122"/>
      <c r="FR28" s="122"/>
      <c r="FS28" s="122">
        <v>225498</v>
      </c>
      <c r="FT28" s="122"/>
      <c r="FU28" s="122"/>
      <c r="FV28" s="122"/>
      <c r="FW28" s="122"/>
      <c r="FX28" s="122"/>
      <c r="FY28" s="122"/>
      <c r="FZ28" s="122"/>
      <c r="GA28" s="122"/>
      <c r="GB28" s="122"/>
      <c r="GC28" s="122"/>
      <c r="GD28" s="122"/>
      <c r="GE28" s="122"/>
      <c r="GF28" s="122"/>
      <c r="GG28" s="122"/>
      <c r="GH28" s="122"/>
      <c r="GI28" s="122"/>
      <c r="GJ28" s="122"/>
      <c r="GK28" s="122"/>
      <c r="GL28" s="122"/>
      <c r="GM28" s="122"/>
      <c r="GN28" s="122"/>
      <c r="GO28" s="122"/>
      <c r="GP28" s="122"/>
      <c r="GQ28" s="122"/>
      <c r="GR28" s="122"/>
      <c r="GS28" s="122"/>
      <c r="GT28" s="122"/>
      <c r="GU28" s="122"/>
      <c r="GV28" s="122"/>
      <c r="GW28" s="122"/>
      <c r="GX28" s="122"/>
      <c r="GY28" s="122"/>
      <c r="GZ28" s="122"/>
      <c r="HA28" s="122"/>
      <c r="HB28" s="122"/>
      <c r="HC28" s="122"/>
      <c r="HD28" s="122"/>
      <c r="HE28" s="122"/>
      <c r="HF28" s="122"/>
      <c r="HG28" s="122"/>
      <c r="HH28" s="122"/>
      <c r="HI28" s="122"/>
      <c r="HJ28" s="122"/>
      <c r="HK28" s="122"/>
      <c r="HL28" s="122"/>
      <c r="HM28" s="122"/>
      <c r="HN28" s="122"/>
      <c r="HO28" s="122"/>
      <c r="HP28" s="122"/>
      <c r="HQ28" s="122"/>
      <c r="HR28" s="122"/>
      <c r="HS28" s="122"/>
      <c r="HT28" s="122"/>
      <c r="HU28" s="122"/>
      <c r="HV28" s="122"/>
      <c r="HW28" s="122"/>
      <c r="HX28" s="122"/>
      <c r="HY28" s="122"/>
      <c r="HZ28" s="122"/>
      <c r="IA28" s="122"/>
      <c r="IB28" s="122"/>
      <c r="IC28" s="122"/>
      <c r="ID28" s="122"/>
      <c r="IE28" s="122"/>
      <c r="IF28" s="122"/>
      <c r="IG28" s="122"/>
      <c r="IH28" s="122"/>
      <c r="II28" s="122"/>
      <c r="IJ28" s="122"/>
      <c r="IK28" s="122"/>
      <c r="IL28" s="122"/>
      <c r="IM28" s="122"/>
      <c r="IN28" s="122"/>
      <c r="IO28" s="122"/>
      <c r="IP28" s="122"/>
      <c r="IQ28" s="122"/>
      <c r="IR28" s="122"/>
      <c r="IS28" s="122"/>
      <c r="IT28" s="122"/>
      <c r="IU28" s="122"/>
      <c r="IV28" s="122"/>
      <c r="IW28" s="122"/>
      <c r="IX28" s="122"/>
      <c r="IY28" s="122"/>
      <c r="IZ28" s="122"/>
      <c r="JA28" s="122"/>
      <c r="JB28" s="122"/>
      <c r="JC28" s="122"/>
      <c r="JD28" s="122"/>
      <c r="JE28" s="122"/>
      <c r="JF28" s="122"/>
      <c r="JG28" s="122"/>
      <c r="JH28" s="122"/>
      <c r="JI28" s="119">
        <f t="shared" si="0"/>
        <v>225498</v>
      </c>
      <c r="JJ28" s="2">
        <v>5045</v>
      </c>
      <c r="JK28" s="122"/>
      <c r="JL28" s="125"/>
      <c r="JM28" s="358"/>
      <c r="JN28" s="125"/>
      <c r="JO28" s="125"/>
      <c r="JP28" s="125"/>
    </row>
    <row r="29" spans="1:276" x14ac:dyDescent="0.25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2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2"/>
      <c r="CI29" s="122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2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2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>
        <v>192000</v>
      </c>
      <c r="EB29" s="122"/>
      <c r="EC29" s="122"/>
      <c r="ED29" s="122"/>
      <c r="EE29" s="122"/>
      <c r="EF29" s="122"/>
      <c r="EG29" s="122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2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2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2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/>
      <c r="GR29" s="122"/>
      <c r="GS29" s="122"/>
      <c r="GT29" s="122"/>
      <c r="GU29" s="122"/>
      <c r="GV29" s="122"/>
      <c r="GW29" s="122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2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2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  <c r="IV29" s="122"/>
      <c r="IW29" s="122"/>
      <c r="IX29" s="122"/>
      <c r="IY29" s="122"/>
      <c r="IZ29" s="122"/>
      <c r="JA29" s="122"/>
      <c r="JB29" s="122"/>
      <c r="JC29" s="122"/>
      <c r="JD29" s="122"/>
      <c r="JE29" s="122"/>
      <c r="JF29" s="122"/>
      <c r="JG29" s="122"/>
      <c r="JH29" s="122"/>
      <c r="JI29" s="119">
        <f t="shared" si="0"/>
        <v>192000</v>
      </c>
      <c r="JJ29" s="2">
        <v>5049</v>
      </c>
      <c r="JK29" s="122"/>
      <c r="JL29" s="125"/>
      <c r="JM29" s="358"/>
      <c r="JN29" s="125"/>
      <c r="JO29" s="125"/>
      <c r="JP29" s="125"/>
    </row>
    <row r="30" spans="1:276" x14ac:dyDescent="0.25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/>
      <c r="DO30" s="122"/>
      <c r="DP30" s="12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/>
      <c r="EB30" s="122"/>
      <c r="EC30" s="122"/>
      <c r="ED30" s="122"/>
      <c r="EE30" s="122"/>
      <c r="EF30" s="122"/>
      <c r="EG30" s="122"/>
      <c r="EH30" s="122"/>
      <c r="EI30" s="122"/>
      <c r="EJ30" s="122"/>
      <c r="EK30" s="122"/>
      <c r="EL30" s="122"/>
      <c r="EM30" s="122"/>
      <c r="EN30" s="122"/>
      <c r="EO30" s="122"/>
      <c r="EP30" s="122"/>
      <c r="EQ30" s="122"/>
      <c r="ER30" s="122"/>
      <c r="ES30" s="122"/>
      <c r="ET30" s="122"/>
      <c r="EU30" s="122"/>
      <c r="EV30" s="122"/>
      <c r="EW30" s="122"/>
      <c r="EX30" s="122"/>
      <c r="EY30" s="122"/>
      <c r="EZ30" s="122"/>
      <c r="FA30" s="122"/>
      <c r="FB30" s="122"/>
      <c r="FC30" s="122"/>
      <c r="FD30" s="122"/>
      <c r="FE30" s="122"/>
      <c r="FF30" s="122"/>
      <c r="FG30" s="122"/>
      <c r="FH30" s="122"/>
      <c r="FI30" s="122"/>
      <c r="FJ30" s="122"/>
      <c r="FK30" s="122"/>
      <c r="FL30" s="122"/>
      <c r="FM30" s="122"/>
      <c r="FN30" s="122"/>
      <c r="FO30" s="122"/>
      <c r="FP30" s="122"/>
      <c r="FQ30" s="122"/>
      <c r="FR30" s="122"/>
      <c r="FS30" s="122"/>
      <c r="FT30" s="122">
        <v>54000</v>
      </c>
      <c r="FU30" s="122"/>
      <c r="FV30" s="122"/>
      <c r="FW30" s="122"/>
      <c r="FX30" s="122"/>
      <c r="FY30" s="122"/>
      <c r="FZ30" s="122"/>
      <c r="GA30" s="122"/>
      <c r="GB30" s="122"/>
      <c r="GC30" s="122"/>
      <c r="GD30" s="122"/>
      <c r="GE30" s="122"/>
      <c r="GF30" s="122"/>
      <c r="GG30" s="122"/>
      <c r="GH30" s="122"/>
      <c r="GI30" s="122"/>
      <c r="GJ30" s="122"/>
      <c r="GK30" s="122"/>
      <c r="GL30" s="122"/>
      <c r="GM30" s="122"/>
      <c r="GN30" s="122"/>
      <c r="GO30" s="122"/>
      <c r="GP30" s="122"/>
      <c r="GQ30" s="122"/>
      <c r="GR30" s="122"/>
      <c r="GS30" s="122"/>
      <c r="GT30" s="122"/>
      <c r="GU30" s="122"/>
      <c r="GV30" s="122"/>
      <c r="GW30" s="122"/>
      <c r="GX30" s="122"/>
      <c r="GY30" s="122"/>
      <c r="GZ30" s="122"/>
      <c r="HA30" s="122"/>
      <c r="HB30" s="122"/>
      <c r="HC30" s="122"/>
      <c r="HD30" s="122"/>
      <c r="HE30" s="122"/>
      <c r="HF30" s="122"/>
      <c r="HG30" s="122"/>
      <c r="HH30" s="122"/>
      <c r="HI30" s="122"/>
      <c r="HJ30" s="122"/>
      <c r="HK30" s="122"/>
      <c r="HL30" s="122"/>
      <c r="HM30" s="122"/>
      <c r="HN30" s="122"/>
      <c r="HO30" s="122"/>
      <c r="HP30" s="122"/>
      <c r="HQ30" s="122"/>
      <c r="HR30" s="122"/>
      <c r="HS30" s="122"/>
      <c r="HT30" s="122"/>
      <c r="HU30" s="122"/>
      <c r="HV30" s="122"/>
      <c r="HW30" s="122"/>
      <c r="HX30" s="122"/>
      <c r="HY30" s="122"/>
      <c r="HZ30" s="122"/>
      <c r="IA30" s="122"/>
      <c r="IB30" s="122"/>
      <c r="IC30" s="122"/>
      <c r="ID30" s="122"/>
      <c r="IE30" s="122"/>
      <c r="IF30" s="122"/>
      <c r="IG30" s="122"/>
      <c r="IH30" s="122"/>
      <c r="II30" s="122"/>
      <c r="IJ30" s="122"/>
      <c r="IK30" s="122"/>
      <c r="IL30" s="122"/>
      <c r="IM30" s="122"/>
      <c r="IN30" s="122"/>
      <c r="IO30" s="122"/>
      <c r="IP30" s="122"/>
      <c r="IQ30" s="122"/>
      <c r="IR30" s="122"/>
      <c r="IS30" s="122"/>
      <c r="IT30" s="122"/>
      <c r="IU30" s="122"/>
      <c r="IV30" s="122"/>
      <c r="IW30" s="122"/>
      <c r="IX30" s="122"/>
      <c r="IY30" s="122"/>
      <c r="IZ30" s="122"/>
      <c r="JA30" s="122"/>
      <c r="JB30" s="122"/>
      <c r="JC30" s="122"/>
      <c r="JD30" s="122"/>
      <c r="JE30" s="122"/>
      <c r="JF30" s="122"/>
      <c r="JG30" s="122"/>
      <c r="JH30" s="122"/>
      <c r="JI30" s="119">
        <f t="shared" si="0"/>
        <v>54000</v>
      </c>
      <c r="JJ30" s="2">
        <v>5054</v>
      </c>
      <c r="JK30" s="122"/>
      <c r="JL30" s="125"/>
      <c r="JM30" s="358"/>
      <c r="JN30" s="125"/>
      <c r="JO30" s="125"/>
      <c r="JP30" s="125"/>
    </row>
    <row r="31" spans="1:276" x14ac:dyDescent="0.25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  <c r="DN31" s="122"/>
      <c r="DO31" s="122"/>
      <c r="DP31" s="122"/>
      <c r="DQ31" s="122"/>
      <c r="DR31" s="122"/>
      <c r="DS31" s="122"/>
      <c r="DT31" s="122"/>
      <c r="DU31" s="122"/>
      <c r="DV31" s="122"/>
      <c r="DW31" s="122"/>
      <c r="DX31" s="122"/>
      <c r="DY31" s="122"/>
      <c r="DZ31" s="122"/>
      <c r="EA31" s="122">
        <v>33000</v>
      </c>
      <c r="EB31" s="122"/>
      <c r="EC31" s="122"/>
      <c r="ED31" s="122"/>
      <c r="EE31" s="122"/>
      <c r="EF31" s="122"/>
      <c r="EG31" s="122"/>
      <c r="EH31" s="122"/>
      <c r="EI31" s="122"/>
      <c r="EJ31" s="122"/>
      <c r="EK31" s="122"/>
      <c r="EL31" s="122"/>
      <c r="EM31" s="122"/>
      <c r="EN31" s="122"/>
      <c r="EO31" s="122"/>
      <c r="EP31" s="122"/>
      <c r="EQ31" s="122"/>
      <c r="ER31" s="122"/>
      <c r="ES31" s="122"/>
      <c r="ET31" s="122"/>
      <c r="EU31" s="122"/>
      <c r="EV31" s="122"/>
      <c r="EW31" s="122"/>
      <c r="EX31" s="122"/>
      <c r="EY31" s="122"/>
      <c r="EZ31" s="122"/>
      <c r="FA31" s="122"/>
      <c r="FB31" s="122"/>
      <c r="FC31" s="122"/>
      <c r="FD31" s="122"/>
      <c r="FE31" s="122"/>
      <c r="FF31" s="122"/>
      <c r="FG31" s="122"/>
      <c r="FH31" s="122"/>
      <c r="FI31" s="122"/>
      <c r="FJ31" s="122"/>
      <c r="FK31" s="122"/>
      <c r="FL31" s="122"/>
      <c r="FM31" s="122"/>
      <c r="FN31" s="122"/>
      <c r="FO31" s="122"/>
      <c r="FP31" s="122"/>
      <c r="FQ31" s="122"/>
      <c r="FR31" s="122"/>
      <c r="FS31" s="122"/>
      <c r="FT31" s="122">
        <v>15599.6</v>
      </c>
      <c r="FU31" s="122"/>
      <c r="FV31" s="122"/>
      <c r="FW31" s="122"/>
      <c r="FX31" s="122"/>
      <c r="FY31" s="122"/>
      <c r="FZ31" s="122"/>
      <c r="GA31" s="122"/>
      <c r="GB31" s="122"/>
      <c r="GC31" s="122"/>
      <c r="GD31" s="122"/>
      <c r="GE31" s="122"/>
      <c r="GF31" s="122"/>
      <c r="GG31" s="122"/>
      <c r="GH31" s="122"/>
      <c r="GI31" s="122"/>
      <c r="GJ31" s="122"/>
      <c r="GK31" s="122"/>
      <c r="GL31" s="122"/>
      <c r="GM31" s="122"/>
      <c r="GN31" s="122"/>
      <c r="GO31" s="122"/>
      <c r="GP31" s="122"/>
      <c r="GQ31" s="122"/>
      <c r="GR31" s="122"/>
      <c r="GS31" s="122"/>
      <c r="GT31" s="122"/>
      <c r="GU31" s="122"/>
      <c r="GV31" s="122"/>
      <c r="GW31" s="122"/>
      <c r="GX31" s="122"/>
      <c r="GY31" s="122"/>
      <c r="GZ31" s="122"/>
      <c r="HA31" s="122"/>
      <c r="HB31" s="122"/>
      <c r="HC31" s="122"/>
      <c r="HD31" s="122"/>
      <c r="HE31" s="122"/>
      <c r="HF31" s="122"/>
      <c r="HG31" s="122"/>
      <c r="HH31" s="122"/>
      <c r="HI31" s="122"/>
      <c r="HJ31" s="122"/>
      <c r="HK31" s="122"/>
      <c r="HL31" s="122"/>
      <c r="HM31" s="122"/>
      <c r="HN31" s="122"/>
      <c r="HO31" s="122"/>
      <c r="HP31" s="122"/>
      <c r="HQ31" s="122"/>
      <c r="HR31" s="122"/>
      <c r="HS31" s="122"/>
      <c r="HT31" s="122"/>
      <c r="HU31" s="122"/>
      <c r="HV31" s="122"/>
      <c r="HW31" s="122"/>
      <c r="HX31" s="122"/>
      <c r="HY31" s="122"/>
      <c r="HZ31" s="122"/>
      <c r="IA31" s="122"/>
      <c r="IB31" s="122"/>
      <c r="IC31" s="122"/>
      <c r="ID31" s="122"/>
      <c r="IE31" s="122"/>
      <c r="IF31" s="122"/>
      <c r="IG31" s="122"/>
      <c r="IH31" s="122"/>
      <c r="II31" s="122"/>
      <c r="IJ31" s="122"/>
      <c r="IK31" s="122"/>
      <c r="IL31" s="122"/>
      <c r="IM31" s="122"/>
      <c r="IN31" s="122"/>
      <c r="IO31" s="122"/>
      <c r="IP31" s="122"/>
      <c r="IQ31" s="122"/>
      <c r="IR31" s="122"/>
      <c r="IS31" s="122"/>
      <c r="IT31" s="122"/>
      <c r="IU31" s="122"/>
      <c r="IV31" s="122"/>
      <c r="IW31" s="122"/>
      <c r="IX31" s="122"/>
      <c r="IY31" s="122"/>
      <c r="IZ31" s="122"/>
      <c r="JA31" s="122"/>
      <c r="JB31" s="122"/>
      <c r="JC31" s="122"/>
      <c r="JD31" s="122"/>
      <c r="JE31" s="122"/>
      <c r="JF31" s="122"/>
      <c r="JG31" s="122"/>
      <c r="JH31" s="122"/>
      <c r="JI31" s="119">
        <f t="shared" si="0"/>
        <v>48599.6</v>
      </c>
      <c r="JJ31" s="2">
        <v>5058</v>
      </c>
      <c r="JK31" s="122"/>
      <c r="JL31" s="125"/>
      <c r="JM31" s="358"/>
      <c r="JN31" s="125"/>
      <c r="JO31" s="125"/>
      <c r="JP31" s="125"/>
    </row>
    <row r="32" spans="1:276" x14ac:dyDescent="0.25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/>
      <c r="DL32" s="122"/>
      <c r="DM32" s="122"/>
      <c r="DN32" s="122"/>
      <c r="DO32" s="122"/>
      <c r="DP32" s="122"/>
      <c r="DQ32" s="122"/>
      <c r="DR32" s="122"/>
      <c r="DS32" s="122"/>
      <c r="DT32" s="122"/>
      <c r="DU32" s="122"/>
      <c r="DV32" s="122"/>
      <c r="DW32" s="122"/>
      <c r="DX32" s="122"/>
      <c r="DY32" s="122"/>
      <c r="DZ32" s="122"/>
      <c r="EA32" s="122"/>
      <c r="EB32" s="122"/>
      <c r="EC32" s="122"/>
      <c r="ED32" s="122"/>
      <c r="EE32" s="122"/>
      <c r="EF32" s="122"/>
      <c r="EG32" s="122"/>
      <c r="EH32" s="122"/>
      <c r="EI32" s="122"/>
      <c r="EJ32" s="122"/>
      <c r="EK32" s="122"/>
      <c r="EL32" s="122"/>
      <c r="EM32" s="122"/>
      <c r="EN32" s="122"/>
      <c r="EO32" s="122"/>
      <c r="EP32" s="122"/>
      <c r="EQ32" s="122"/>
      <c r="ER32" s="122"/>
      <c r="ES32" s="122"/>
      <c r="ET32" s="122"/>
      <c r="EU32" s="122"/>
      <c r="EV32" s="122"/>
      <c r="EW32" s="122"/>
      <c r="EX32" s="122"/>
      <c r="EY32" s="122"/>
      <c r="EZ32" s="122"/>
      <c r="FA32" s="122"/>
      <c r="FB32" s="122"/>
      <c r="FC32" s="122"/>
      <c r="FD32" s="122"/>
      <c r="FE32" s="122"/>
      <c r="FF32" s="122"/>
      <c r="FG32" s="122"/>
      <c r="FH32" s="122"/>
      <c r="FI32" s="122"/>
      <c r="FJ32" s="122"/>
      <c r="FK32" s="122"/>
      <c r="FL32" s="122"/>
      <c r="FM32" s="122"/>
      <c r="FN32" s="122"/>
      <c r="FO32" s="122"/>
      <c r="FP32" s="122"/>
      <c r="FQ32" s="122"/>
      <c r="FR32" s="122"/>
      <c r="FS32" s="122"/>
      <c r="FT32" s="122"/>
      <c r="FU32" s="122"/>
      <c r="FV32" s="122"/>
      <c r="FW32" s="122"/>
      <c r="FX32" s="122"/>
      <c r="FY32" s="122"/>
      <c r="FZ32" s="122"/>
      <c r="GA32" s="122"/>
      <c r="GB32" s="122"/>
      <c r="GC32" s="122"/>
      <c r="GD32" s="122"/>
      <c r="GE32" s="122"/>
      <c r="GF32" s="122"/>
      <c r="GG32" s="122"/>
      <c r="GH32" s="122">
        <v>58174</v>
      </c>
      <c r="GI32" s="122"/>
      <c r="GJ32" s="122"/>
      <c r="GK32" s="122">
        <v>38940</v>
      </c>
      <c r="GL32" s="122"/>
      <c r="GM32" s="122"/>
      <c r="GN32" s="122"/>
      <c r="GO32" s="122"/>
      <c r="GP32" s="122"/>
      <c r="GQ32" s="122"/>
      <c r="GR32" s="122"/>
      <c r="GS32" s="122"/>
      <c r="GT32" s="122"/>
      <c r="GU32" s="122"/>
      <c r="GV32" s="122"/>
      <c r="GW32" s="122"/>
      <c r="GX32" s="122"/>
      <c r="GY32" s="122"/>
      <c r="GZ32" s="122"/>
      <c r="HA32" s="122"/>
      <c r="HB32" s="122"/>
      <c r="HC32" s="122"/>
      <c r="HD32" s="122"/>
      <c r="HE32" s="122"/>
      <c r="HF32" s="122"/>
      <c r="HG32" s="122"/>
      <c r="HH32" s="122"/>
      <c r="HI32" s="122"/>
      <c r="HJ32" s="122"/>
      <c r="HK32" s="122"/>
      <c r="HL32" s="122"/>
      <c r="HM32" s="122"/>
      <c r="HN32" s="122"/>
      <c r="HO32" s="122"/>
      <c r="HP32" s="122"/>
      <c r="HQ32" s="122"/>
      <c r="HR32" s="122"/>
      <c r="HS32" s="122"/>
      <c r="HT32" s="122"/>
      <c r="HU32" s="122"/>
      <c r="HV32" s="122"/>
      <c r="HW32" s="122"/>
      <c r="HX32" s="122"/>
      <c r="HY32" s="122"/>
      <c r="HZ32" s="122"/>
      <c r="IA32" s="122"/>
      <c r="IB32" s="122"/>
      <c r="IC32" s="122"/>
      <c r="ID32" s="122"/>
      <c r="IE32" s="122"/>
      <c r="IF32" s="122"/>
      <c r="IG32" s="122"/>
      <c r="IH32" s="122"/>
      <c r="II32" s="122"/>
      <c r="IJ32" s="122"/>
      <c r="IK32" s="122"/>
      <c r="IL32" s="122"/>
      <c r="IM32" s="122"/>
      <c r="IN32" s="122"/>
      <c r="IO32" s="122"/>
      <c r="IP32" s="122"/>
      <c r="IQ32" s="122"/>
      <c r="IR32" s="122"/>
      <c r="IS32" s="122"/>
      <c r="IT32" s="122"/>
      <c r="IU32" s="122"/>
      <c r="IV32" s="122"/>
      <c r="IW32" s="122"/>
      <c r="IX32" s="122"/>
      <c r="IY32" s="122"/>
      <c r="IZ32" s="122"/>
      <c r="JA32" s="122"/>
      <c r="JB32" s="122"/>
      <c r="JC32" s="122"/>
      <c r="JD32" s="122"/>
      <c r="JE32" s="122"/>
      <c r="JF32" s="122"/>
      <c r="JG32" s="122"/>
      <c r="JH32" s="122"/>
      <c r="JI32" s="119">
        <f t="shared" si="0"/>
        <v>97114</v>
      </c>
      <c r="JJ32" s="2">
        <v>5072</v>
      </c>
      <c r="JK32" s="122"/>
      <c r="JL32" s="125"/>
      <c r="JM32" s="358"/>
      <c r="JN32" s="125"/>
      <c r="JO32" s="125"/>
      <c r="JP32" s="125"/>
    </row>
    <row r="33" spans="1:276" x14ac:dyDescent="0.25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>
        <v>51000</v>
      </c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  <c r="DN33" s="122"/>
      <c r="DO33" s="122"/>
      <c r="DP33" s="122"/>
      <c r="DQ33" s="122"/>
      <c r="DR33" s="122"/>
      <c r="DS33" s="122"/>
      <c r="DT33" s="122"/>
      <c r="DU33" s="122"/>
      <c r="DV33" s="122"/>
      <c r="DW33" s="122"/>
      <c r="DX33" s="122"/>
      <c r="DY33" s="122"/>
      <c r="DZ33" s="122"/>
      <c r="EA33" s="122"/>
      <c r="EB33" s="122"/>
      <c r="EC33" s="122"/>
      <c r="ED33" s="122"/>
      <c r="EE33" s="122"/>
      <c r="EF33" s="122"/>
      <c r="EG33" s="122"/>
      <c r="EH33" s="122"/>
      <c r="EI33" s="122"/>
      <c r="EJ33" s="122"/>
      <c r="EK33" s="122"/>
      <c r="EL33" s="122"/>
      <c r="EM33" s="122"/>
      <c r="EN33" s="122"/>
      <c r="EO33" s="122"/>
      <c r="EP33" s="122"/>
      <c r="EQ33" s="122"/>
      <c r="ER33" s="122"/>
      <c r="ES33" s="122"/>
      <c r="ET33" s="122"/>
      <c r="EU33" s="122"/>
      <c r="EV33" s="122"/>
      <c r="EW33" s="122"/>
      <c r="EX33" s="122"/>
      <c r="EY33" s="122"/>
      <c r="EZ33" s="122"/>
      <c r="FA33" s="122"/>
      <c r="FB33" s="122"/>
      <c r="FC33" s="122"/>
      <c r="FD33" s="122"/>
      <c r="FE33" s="122"/>
      <c r="FF33" s="122"/>
      <c r="FG33" s="122"/>
      <c r="FH33" s="122"/>
      <c r="FI33" s="122"/>
      <c r="FJ33" s="122"/>
      <c r="FK33" s="122"/>
      <c r="FL33" s="122"/>
      <c r="FM33" s="122"/>
      <c r="FN33" s="122"/>
      <c r="FO33" s="122"/>
      <c r="FP33" s="122"/>
      <c r="FQ33" s="122"/>
      <c r="FR33" s="122"/>
      <c r="FS33" s="122"/>
      <c r="FT33" s="122"/>
      <c r="FU33" s="122"/>
      <c r="FV33" s="122"/>
      <c r="FW33" s="122"/>
      <c r="FX33" s="122"/>
      <c r="FY33" s="122"/>
      <c r="FZ33" s="122"/>
      <c r="GA33" s="122"/>
      <c r="GB33" s="122"/>
      <c r="GC33" s="122"/>
      <c r="GD33" s="122"/>
      <c r="GE33" s="122"/>
      <c r="GF33" s="122"/>
      <c r="GG33" s="122"/>
      <c r="GH33" s="122"/>
      <c r="GI33" s="122"/>
      <c r="GJ33" s="122"/>
      <c r="GK33" s="122"/>
      <c r="GL33" s="122"/>
      <c r="GM33" s="122"/>
      <c r="GN33" s="122"/>
      <c r="GO33" s="122"/>
      <c r="GP33" s="122"/>
      <c r="GQ33" s="122"/>
      <c r="GR33" s="122"/>
      <c r="GS33" s="122"/>
      <c r="GT33" s="122"/>
      <c r="GU33" s="122"/>
      <c r="GV33" s="122"/>
      <c r="GW33" s="122"/>
      <c r="GX33" s="122"/>
      <c r="GY33" s="122"/>
      <c r="GZ33" s="122"/>
      <c r="HA33" s="122"/>
      <c r="HB33" s="122"/>
      <c r="HC33" s="122"/>
      <c r="HD33" s="122"/>
      <c r="HE33" s="122"/>
      <c r="HF33" s="122"/>
      <c r="HG33" s="122"/>
      <c r="HH33" s="122"/>
      <c r="HI33" s="122"/>
      <c r="HJ33" s="122"/>
      <c r="HK33" s="122"/>
      <c r="HL33" s="122"/>
      <c r="HM33" s="122"/>
      <c r="HN33" s="122"/>
      <c r="HO33" s="122"/>
      <c r="HP33" s="122"/>
      <c r="HQ33" s="122"/>
      <c r="HR33" s="122"/>
      <c r="HS33" s="122"/>
      <c r="HT33" s="122"/>
      <c r="HU33" s="122"/>
      <c r="HV33" s="122"/>
      <c r="HW33" s="122"/>
      <c r="HX33" s="122"/>
      <c r="HY33" s="122"/>
      <c r="HZ33" s="122"/>
      <c r="IA33" s="122"/>
      <c r="IB33" s="122"/>
      <c r="IC33" s="122"/>
      <c r="ID33" s="122"/>
      <c r="IE33" s="122"/>
      <c r="IF33" s="122"/>
      <c r="IG33" s="122"/>
      <c r="IH33" s="122"/>
      <c r="II33" s="122"/>
      <c r="IJ33" s="122"/>
      <c r="IK33" s="122"/>
      <c r="IL33" s="122"/>
      <c r="IM33" s="122"/>
      <c r="IN33" s="122"/>
      <c r="IO33" s="122"/>
      <c r="IP33" s="122"/>
      <c r="IQ33" s="122"/>
      <c r="IR33" s="122"/>
      <c r="IS33" s="122"/>
      <c r="IT33" s="122"/>
      <c r="IU33" s="122"/>
      <c r="IV33" s="122"/>
      <c r="IW33" s="122"/>
      <c r="IX33" s="122"/>
      <c r="IY33" s="122"/>
      <c r="IZ33" s="122"/>
      <c r="JA33" s="122"/>
      <c r="JB33" s="122"/>
      <c r="JC33" s="122"/>
      <c r="JD33" s="122"/>
      <c r="JE33" s="122"/>
      <c r="JF33" s="122"/>
      <c r="JG33" s="122"/>
      <c r="JH33" s="122"/>
      <c r="JI33" s="119">
        <f t="shared" si="0"/>
        <v>51000</v>
      </c>
      <c r="JJ33" s="2">
        <v>5074</v>
      </c>
      <c r="JK33" s="122"/>
      <c r="JL33" s="125"/>
      <c r="JM33" s="358"/>
      <c r="JN33" s="125"/>
      <c r="JO33" s="125"/>
      <c r="JP33" s="125"/>
    </row>
    <row r="34" spans="1:276" x14ac:dyDescent="0.25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>
        <v>479819.29</v>
      </c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  <c r="BQ34" s="122"/>
      <c r="BR34" s="122"/>
      <c r="BS34" s="122"/>
      <c r="BT34" s="122"/>
      <c r="BU34" s="122"/>
      <c r="BV34" s="122"/>
      <c r="BW34" s="122"/>
      <c r="BX34" s="122"/>
      <c r="BY34" s="122"/>
      <c r="BZ34" s="122"/>
      <c r="CA34" s="122"/>
      <c r="CB34" s="122"/>
      <c r="CC34" s="122"/>
      <c r="CD34" s="122"/>
      <c r="CE34" s="122"/>
      <c r="CF34" s="122"/>
      <c r="CG34" s="122"/>
      <c r="CH34" s="122"/>
      <c r="CI34" s="122"/>
      <c r="CJ34" s="122"/>
      <c r="CK34" s="122"/>
      <c r="CL34" s="122"/>
      <c r="CM34" s="122"/>
      <c r="CN34" s="122"/>
      <c r="CO34" s="122"/>
      <c r="CP34" s="122"/>
      <c r="CQ34" s="122"/>
      <c r="CR34" s="122"/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/>
      <c r="DF34" s="122"/>
      <c r="DG34" s="122"/>
      <c r="DH34" s="122"/>
      <c r="DI34" s="122"/>
      <c r="DJ34" s="122"/>
      <c r="DK34" s="122"/>
      <c r="DL34" s="122"/>
      <c r="DM34" s="122"/>
      <c r="DN34" s="122"/>
      <c r="DO34" s="122"/>
      <c r="DP34" s="122"/>
      <c r="DQ34" s="122"/>
      <c r="DR34" s="122"/>
      <c r="DS34" s="122"/>
      <c r="DT34" s="122"/>
      <c r="DU34" s="122"/>
      <c r="DV34" s="122"/>
      <c r="DW34" s="122"/>
      <c r="DX34" s="122"/>
      <c r="DY34" s="122"/>
      <c r="DZ34" s="122"/>
      <c r="EA34" s="122"/>
      <c r="EB34" s="122"/>
      <c r="EC34" s="122"/>
      <c r="ED34" s="122"/>
      <c r="EE34" s="122"/>
      <c r="EF34" s="122"/>
      <c r="EG34" s="122"/>
      <c r="EH34" s="122"/>
      <c r="EI34" s="122"/>
      <c r="EJ34" s="122"/>
      <c r="EK34" s="122"/>
      <c r="EL34" s="122"/>
      <c r="EM34" s="122"/>
      <c r="EN34" s="122"/>
      <c r="EO34" s="122"/>
      <c r="EP34" s="122"/>
      <c r="EQ34" s="122"/>
      <c r="ER34" s="122"/>
      <c r="ES34" s="122"/>
      <c r="ET34" s="122"/>
      <c r="EU34" s="122"/>
      <c r="EV34" s="122"/>
      <c r="EW34" s="122"/>
      <c r="EX34" s="122"/>
      <c r="EY34" s="122"/>
      <c r="EZ34" s="122"/>
      <c r="FA34" s="122"/>
      <c r="FB34" s="122"/>
      <c r="FC34" s="122"/>
      <c r="FD34" s="122"/>
      <c r="FE34" s="122"/>
      <c r="FF34" s="122"/>
      <c r="FG34" s="122"/>
      <c r="FH34" s="122"/>
      <c r="FI34" s="122"/>
      <c r="FJ34" s="122"/>
      <c r="FK34" s="122"/>
      <c r="FL34" s="122"/>
      <c r="FM34" s="122"/>
      <c r="FN34" s="122"/>
      <c r="FO34" s="122"/>
      <c r="FP34" s="122"/>
      <c r="FQ34" s="122"/>
      <c r="FR34" s="122"/>
      <c r="FS34" s="122"/>
      <c r="FT34" s="122"/>
      <c r="FU34" s="122"/>
      <c r="FV34" s="122"/>
      <c r="FW34" s="122"/>
      <c r="FX34" s="122"/>
      <c r="FY34" s="122"/>
      <c r="FZ34" s="122"/>
      <c r="GA34" s="122"/>
      <c r="GB34" s="122"/>
      <c r="GC34" s="122"/>
      <c r="GD34" s="122"/>
      <c r="GE34" s="122"/>
      <c r="GF34" s="122"/>
      <c r="GG34" s="122"/>
      <c r="GH34" s="122"/>
      <c r="GI34" s="122"/>
      <c r="GJ34" s="122"/>
      <c r="GK34" s="122"/>
      <c r="GL34" s="122"/>
      <c r="GM34" s="122"/>
      <c r="GN34" s="122"/>
      <c r="GO34" s="122"/>
      <c r="GP34" s="122"/>
      <c r="GQ34" s="122"/>
      <c r="GR34" s="122"/>
      <c r="GS34" s="122"/>
      <c r="GT34" s="122"/>
      <c r="GU34" s="122"/>
      <c r="GV34" s="122"/>
      <c r="GW34" s="122"/>
      <c r="GX34" s="122"/>
      <c r="GY34" s="122"/>
      <c r="GZ34" s="122"/>
      <c r="HA34" s="122"/>
      <c r="HB34" s="122"/>
      <c r="HC34" s="122"/>
      <c r="HD34" s="122"/>
      <c r="HE34" s="122"/>
      <c r="HF34" s="122"/>
      <c r="HG34" s="122"/>
      <c r="HH34" s="122"/>
      <c r="HI34" s="122"/>
      <c r="HJ34" s="122"/>
      <c r="HK34" s="122"/>
      <c r="HL34" s="122"/>
      <c r="HM34" s="122"/>
      <c r="HN34" s="122"/>
      <c r="HO34" s="122"/>
      <c r="HP34" s="122"/>
      <c r="HQ34" s="122"/>
      <c r="HR34" s="122"/>
      <c r="HS34" s="122"/>
      <c r="HT34" s="122"/>
      <c r="HU34" s="122"/>
      <c r="HV34" s="122"/>
      <c r="HW34" s="122"/>
      <c r="HX34" s="122"/>
      <c r="HY34" s="122"/>
      <c r="HZ34" s="122"/>
      <c r="IA34" s="122"/>
      <c r="IB34" s="122"/>
      <c r="IC34" s="122"/>
      <c r="ID34" s="122"/>
      <c r="IE34" s="122"/>
      <c r="IF34" s="122"/>
      <c r="IG34" s="122"/>
      <c r="IH34" s="122"/>
      <c r="II34" s="122"/>
      <c r="IJ34" s="122"/>
      <c r="IK34" s="122"/>
      <c r="IL34" s="122"/>
      <c r="IM34" s="122"/>
      <c r="IN34" s="122"/>
      <c r="IO34" s="122"/>
      <c r="IP34" s="122"/>
      <c r="IQ34" s="122"/>
      <c r="IR34" s="122"/>
      <c r="IS34" s="122"/>
      <c r="IT34" s="122"/>
      <c r="IU34" s="122"/>
      <c r="IV34" s="122"/>
      <c r="IW34" s="122"/>
      <c r="IX34" s="122"/>
      <c r="IY34" s="122"/>
      <c r="IZ34" s="122"/>
      <c r="JA34" s="122"/>
      <c r="JB34" s="122"/>
      <c r="JC34" s="122"/>
      <c r="JD34" s="122"/>
      <c r="JE34" s="122"/>
      <c r="JF34" s="122"/>
      <c r="JG34" s="122"/>
      <c r="JH34" s="122"/>
      <c r="JI34" s="119">
        <f t="shared" si="0"/>
        <v>479819.29</v>
      </c>
      <c r="JJ34" s="2">
        <v>5076</v>
      </c>
      <c r="JK34" s="122"/>
      <c r="JL34" s="125"/>
      <c r="JM34" s="358"/>
      <c r="JN34" s="125"/>
      <c r="JO34" s="125"/>
      <c r="JP34" s="125"/>
    </row>
    <row r="35" spans="1:276" x14ac:dyDescent="0.2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  <c r="BR35" s="122"/>
      <c r="BS35" s="122"/>
      <c r="BT35" s="122"/>
      <c r="BU35" s="122"/>
      <c r="BV35" s="122"/>
      <c r="BW35" s="122"/>
      <c r="BX35" s="122"/>
      <c r="BY35" s="122"/>
      <c r="BZ35" s="122"/>
      <c r="CA35" s="122"/>
      <c r="CB35" s="122"/>
      <c r="CC35" s="122"/>
      <c r="CD35" s="122"/>
      <c r="CE35" s="122"/>
      <c r="CF35" s="122"/>
      <c r="CG35" s="122"/>
      <c r="CH35" s="122"/>
      <c r="CI35" s="122"/>
      <c r="CJ35" s="122"/>
      <c r="CK35" s="122"/>
      <c r="CL35" s="122"/>
      <c r="CM35" s="122"/>
      <c r="CN35" s="122"/>
      <c r="CO35" s="122"/>
      <c r="CP35" s="122"/>
      <c r="CQ35" s="122"/>
      <c r="CR35" s="122"/>
      <c r="CS35" s="122"/>
      <c r="CT35" s="122"/>
      <c r="CU35" s="122"/>
      <c r="CV35" s="122"/>
      <c r="CW35" s="122"/>
      <c r="CX35" s="122"/>
      <c r="CY35" s="122"/>
      <c r="CZ35" s="122"/>
      <c r="DA35" s="122"/>
      <c r="DB35" s="122"/>
      <c r="DC35" s="122"/>
      <c r="DD35" s="122"/>
      <c r="DE35" s="122"/>
      <c r="DF35" s="122"/>
      <c r="DG35" s="122"/>
      <c r="DH35" s="122"/>
      <c r="DI35" s="122"/>
      <c r="DJ35" s="122"/>
      <c r="DK35" s="122"/>
      <c r="DL35" s="122"/>
      <c r="DM35" s="122"/>
      <c r="DN35" s="122"/>
      <c r="DO35" s="122"/>
      <c r="DP35" s="122"/>
      <c r="DQ35" s="122"/>
      <c r="DR35" s="122"/>
      <c r="DS35" s="122"/>
      <c r="DT35" s="122"/>
      <c r="DU35" s="122"/>
      <c r="DV35" s="122"/>
      <c r="DW35" s="122"/>
      <c r="DX35" s="122"/>
      <c r="DY35" s="122"/>
      <c r="DZ35" s="122"/>
      <c r="EA35" s="122"/>
      <c r="EB35" s="122"/>
      <c r="EC35" s="122"/>
      <c r="ED35" s="122"/>
      <c r="EE35" s="122"/>
      <c r="EF35" s="122"/>
      <c r="EG35" s="122"/>
      <c r="EH35" s="122"/>
      <c r="EI35" s="122"/>
      <c r="EJ35" s="122"/>
      <c r="EK35" s="122"/>
      <c r="EL35" s="122"/>
      <c r="EM35" s="122"/>
      <c r="EN35" s="122"/>
      <c r="EO35" s="122"/>
      <c r="EP35" s="122"/>
      <c r="EQ35" s="122"/>
      <c r="ER35" s="122"/>
      <c r="ES35" s="122"/>
      <c r="ET35" s="122"/>
      <c r="EU35" s="122"/>
      <c r="EV35" s="122"/>
      <c r="EW35" s="122"/>
      <c r="EX35" s="122"/>
      <c r="EY35" s="122"/>
      <c r="EZ35" s="122"/>
      <c r="FA35" s="122"/>
      <c r="FB35" s="122"/>
      <c r="FC35" s="122"/>
      <c r="FD35" s="122"/>
      <c r="FE35" s="122"/>
      <c r="FF35" s="122"/>
      <c r="FG35" s="122"/>
      <c r="FH35" s="122"/>
      <c r="FI35" s="122"/>
      <c r="FJ35" s="122"/>
      <c r="FK35" s="122"/>
      <c r="FL35" s="122"/>
      <c r="FM35" s="122"/>
      <c r="FN35" s="122"/>
      <c r="FO35" s="122"/>
      <c r="FP35" s="122"/>
      <c r="FQ35" s="122"/>
      <c r="FR35" s="122"/>
      <c r="FS35" s="122"/>
      <c r="FT35" s="122">
        <v>102987.84</v>
      </c>
      <c r="FU35" s="122"/>
      <c r="FV35" s="122"/>
      <c r="FW35" s="122"/>
      <c r="FX35" s="122"/>
      <c r="FY35" s="122"/>
      <c r="FZ35" s="122"/>
      <c r="GA35" s="122"/>
      <c r="GB35" s="122"/>
      <c r="GC35" s="122"/>
      <c r="GD35" s="122"/>
      <c r="GE35" s="122"/>
      <c r="GF35" s="122"/>
      <c r="GG35" s="122"/>
      <c r="GH35" s="122"/>
      <c r="GI35" s="122"/>
      <c r="GJ35" s="122"/>
      <c r="GK35" s="122"/>
      <c r="GL35" s="122"/>
      <c r="GM35" s="122"/>
      <c r="GN35" s="122"/>
      <c r="GO35" s="122"/>
      <c r="GP35" s="122"/>
      <c r="GQ35" s="122"/>
      <c r="GR35" s="122"/>
      <c r="GS35" s="122"/>
      <c r="GT35" s="122"/>
      <c r="GU35" s="122"/>
      <c r="GV35" s="122"/>
      <c r="GW35" s="122"/>
      <c r="GX35" s="122"/>
      <c r="GY35" s="122"/>
      <c r="GZ35" s="122"/>
      <c r="HA35" s="122"/>
      <c r="HB35" s="122"/>
      <c r="HC35" s="122"/>
      <c r="HD35" s="122"/>
      <c r="HE35" s="122"/>
      <c r="HF35" s="122"/>
      <c r="HG35" s="122"/>
      <c r="HH35" s="122"/>
      <c r="HI35" s="122"/>
      <c r="HJ35" s="122"/>
      <c r="HK35" s="122"/>
      <c r="HL35" s="122"/>
      <c r="HM35" s="122"/>
      <c r="HN35" s="122"/>
      <c r="HO35" s="122"/>
      <c r="HP35" s="122"/>
      <c r="HQ35" s="122"/>
      <c r="HR35" s="122"/>
      <c r="HS35" s="122"/>
      <c r="HT35" s="122"/>
      <c r="HU35" s="122"/>
      <c r="HV35" s="122"/>
      <c r="HW35" s="122"/>
      <c r="HX35" s="122"/>
      <c r="HY35" s="122"/>
      <c r="HZ35" s="122"/>
      <c r="IA35" s="122"/>
      <c r="IB35" s="122"/>
      <c r="IC35" s="122"/>
      <c r="ID35" s="122"/>
      <c r="IE35" s="122"/>
      <c r="IF35" s="122"/>
      <c r="IG35" s="122"/>
      <c r="IH35" s="122"/>
      <c r="II35" s="122"/>
      <c r="IJ35" s="122"/>
      <c r="IK35" s="122"/>
      <c r="IL35" s="122"/>
      <c r="IM35" s="122"/>
      <c r="IN35" s="122"/>
      <c r="IO35" s="122"/>
      <c r="IP35" s="122"/>
      <c r="IQ35" s="122"/>
      <c r="IR35" s="122"/>
      <c r="IS35" s="122"/>
      <c r="IT35" s="122"/>
      <c r="IU35" s="122"/>
      <c r="IV35" s="122"/>
      <c r="IW35" s="122"/>
      <c r="IX35" s="122"/>
      <c r="IY35" s="122"/>
      <c r="IZ35" s="122"/>
      <c r="JA35" s="122"/>
      <c r="JB35" s="122"/>
      <c r="JC35" s="122"/>
      <c r="JD35" s="122"/>
      <c r="JE35" s="122"/>
      <c r="JF35" s="122"/>
      <c r="JG35" s="122"/>
      <c r="JH35" s="122"/>
      <c r="JI35" s="119">
        <f t="shared" si="0"/>
        <v>102987.84</v>
      </c>
      <c r="JJ35" s="2">
        <v>5082</v>
      </c>
      <c r="JK35" s="122"/>
      <c r="JL35" s="125"/>
      <c r="JM35" s="358"/>
      <c r="JN35" s="125"/>
      <c r="JO35" s="125"/>
      <c r="JP35" s="125"/>
    </row>
    <row r="36" spans="1:276" x14ac:dyDescent="0.25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/>
      <c r="DL36" s="122"/>
      <c r="DM36" s="122"/>
      <c r="DN36" s="122"/>
      <c r="DO36" s="122"/>
      <c r="DP36" s="122"/>
      <c r="DQ36" s="122"/>
      <c r="DR36" s="122"/>
      <c r="DS36" s="122"/>
      <c r="DT36" s="122"/>
      <c r="DU36" s="122"/>
      <c r="DV36" s="122"/>
      <c r="DW36" s="122"/>
      <c r="DX36" s="122"/>
      <c r="DY36" s="122"/>
      <c r="DZ36" s="122"/>
      <c r="EA36" s="122"/>
      <c r="EB36" s="122"/>
      <c r="EC36" s="122"/>
      <c r="ED36" s="122"/>
      <c r="EE36" s="122"/>
      <c r="EF36" s="122"/>
      <c r="EG36" s="122"/>
      <c r="EH36" s="122"/>
      <c r="EI36" s="122"/>
      <c r="EJ36" s="122"/>
      <c r="EK36" s="122"/>
      <c r="EL36" s="122"/>
      <c r="EM36" s="122"/>
      <c r="EN36" s="122"/>
      <c r="EO36" s="122"/>
      <c r="EP36" s="122"/>
      <c r="EQ36" s="122"/>
      <c r="ER36" s="122"/>
      <c r="ES36" s="122"/>
      <c r="ET36" s="122"/>
      <c r="EU36" s="122"/>
      <c r="EV36" s="122"/>
      <c r="EW36" s="122"/>
      <c r="EX36" s="122"/>
      <c r="EY36" s="122"/>
      <c r="EZ36" s="122"/>
      <c r="FA36" s="122"/>
      <c r="FB36" s="122"/>
      <c r="FC36" s="122"/>
      <c r="FD36" s="122"/>
      <c r="FE36" s="122"/>
      <c r="FF36" s="122"/>
      <c r="FG36" s="122"/>
      <c r="FH36" s="122"/>
      <c r="FI36" s="122"/>
      <c r="FJ36" s="122"/>
      <c r="FK36" s="122"/>
      <c r="FL36" s="122"/>
      <c r="FM36" s="122"/>
      <c r="FN36" s="122"/>
      <c r="FO36" s="122"/>
      <c r="FP36" s="122"/>
      <c r="FQ36" s="122">
        <v>1207966</v>
      </c>
      <c r="FR36" s="122"/>
      <c r="FS36" s="122"/>
      <c r="FT36" s="122"/>
      <c r="FU36" s="122"/>
      <c r="FV36" s="122"/>
      <c r="FW36" s="122"/>
      <c r="FX36" s="122"/>
      <c r="FY36" s="122"/>
      <c r="FZ36" s="122"/>
      <c r="GA36" s="122"/>
      <c r="GB36" s="122"/>
      <c r="GC36" s="122"/>
      <c r="GD36" s="122"/>
      <c r="GE36" s="122"/>
      <c r="GF36" s="122"/>
      <c r="GG36" s="122"/>
      <c r="GH36" s="122"/>
      <c r="GI36" s="122"/>
      <c r="GJ36" s="122"/>
      <c r="GK36" s="122"/>
      <c r="GL36" s="122"/>
      <c r="GM36" s="122"/>
      <c r="GN36" s="122"/>
      <c r="GO36" s="122"/>
      <c r="GP36" s="122"/>
      <c r="GQ36" s="122"/>
      <c r="GR36" s="122"/>
      <c r="GS36" s="122"/>
      <c r="GT36" s="122"/>
      <c r="GU36" s="122"/>
      <c r="GV36" s="122"/>
      <c r="GW36" s="122"/>
      <c r="GX36" s="122"/>
      <c r="GY36" s="122"/>
      <c r="GZ36" s="122"/>
      <c r="HA36" s="122"/>
      <c r="HB36" s="122"/>
      <c r="HC36" s="122"/>
      <c r="HD36" s="122"/>
      <c r="HE36" s="122"/>
      <c r="HF36" s="122"/>
      <c r="HG36" s="122"/>
      <c r="HH36" s="122"/>
      <c r="HI36" s="122"/>
      <c r="HJ36" s="122"/>
      <c r="HK36" s="122"/>
      <c r="HL36" s="122"/>
      <c r="HM36" s="122"/>
      <c r="HN36" s="122"/>
      <c r="HO36" s="122"/>
      <c r="HP36" s="122"/>
      <c r="HQ36" s="122"/>
      <c r="HR36" s="122"/>
      <c r="HS36" s="122"/>
      <c r="HT36" s="122"/>
      <c r="HU36" s="122"/>
      <c r="HV36" s="122"/>
      <c r="HW36" s="122"/>
      <c r="HX36" s="122"/>
      <c r="HY36" s="122"/>
      <c r="HZ36" s="122"/>
      <c r="IA36" s="122"/>
      <c r="IB36" s="122"/>
      <c r="IC36" s="122"/>
      <c r="ID36" s="122"/>
      <c r="IE36" s="122"/>
      <c r="IF36" s="122"/>
      <c r="IG36" s="122"/>
      <c r="IH36" s="122"/>
      <c r="II36" s="122"/>
      <c r="IJ36" s="122"/>
      <c r="IK36" s="122"/>
      <c r="IL36" s="122"/>
      <c r="IM36" s="122"/>
      <c r="IN36" s="122"/>
      <c r="IO36" s="122"/>
      <c r="IP36" s="122"/>
      <c r="IQ36" s="122"/>
      <c r="IR36" s="122"/>
      <c r="IS36" s="122"/>
      <c r="IT36" s="122"/>
      <c r="IU36" s="122"/>
      <c r="IV36" s="122"/>
      <c r="IW36" s="122"/>
      <c r="IX36" s="122"/>
      <c r="IY36" s="122"/>
      <c r="IZ36" s="122"/>
      <c r="JA36" s="122"/>
      <c r="JB36" s="122"/>
      <c r="JC36" s="122"/>
      <c r="JD36" s="122"/>
      <c r="JE36" s="122"/>
      <c r="JF36" s="122"/>
      <c r="JG36" s="122"/>
      <c r="JH36" s="122"/>
      <c r="JI36" s="119">
        <f t="shared" si="0"/>
        <v>1207966</v>
      </c>
      <c r="JJ36" s="2">
        <v>5086</v>
      </c>
      <c r="JK36" s="122"/>
      <c r="JL36" s="125"/>
      <c r="JM36" s="358"/>
      <c r="JN36" s="125"/>
      <c r="JO36" s="125"/>
      <c r="JP36" s="125"/>
    </row>
    <row r="37" spans="1:276" x14ac:dyDescent="0.25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  <c r="BU37" s="122"/>
      <c r="BV37" s="122"/>
      <c r="BW37" s="122"/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  <c r="CI37" s="122"/>
      <c r="CJ37" s="122"/>
      <c r="CK37" s="122"/>
      <c r="CL37" s="122"/>
      <c r="CM37" s="122"/>
      <c r="CN37" s="122"/>
      <c r="CO37" s="122"/>
      <c r="CP37" s="122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>
        <v>292565.2</v>
      </c>
      <c r="DL37" s="122"/>
      <c r="DM37" s="122"/>
      <c r="DN37" s="122"/>
      <c r="DO37" s="122"/>
      <c r="DP37" s="122"/>
      <c r="DQ37" s="122"/>
      <c r="DR37" s="122"/>
      <c r="DS37" s="122"/>
      <c r="DT37" s="122"/>
      <c r="DU37" s="122"/>
      <c r="DV37" s="122"/>
      <c r="DW37" s="122"/>
      <c r="DX37" s="122"/>
      <c r="DY37" s="122"/>
      <c r="DZ37" s="122"/>
      <c r="EA37" s="122"/>
      <c r="EB37" s="122"/>
      <c r="EC37" s="122"/>
      <c r="ED37" s="122"/>
      <c r="EE37" s="122"/>
      <c r="EF37" s="122"/>
      <c r="EG37" s="122"/>
      <c r="EH37" s="122"/>
      <c r="EI37" s="122"/>
      <c r="EJ37" s="122"/>
      <c r="EK37" s="122"/>
      <c r="EL37" s="122"/>
      <c r="EM37" s="122"/>
      <c r="EN37" s="122"/>
      <c r="EO37" s="122"/>
      <c r="EP37" s="122"/>
      <c r="EQ37" s="122"/>
      <c r="ER37" s="122"/>
      <c r="ES37" s="122"/>
      <c r="ET37" s="122"/>
      <c r="EU37" s="122"/>
      <c r="EV37" s="122"/>
      <c r="EW37" s="122"/>
      <c r="EX37" s="122"/>
      <c r="EY37" s="122"/>
      <c r="EZ37" s="122"/>
      <c r="FA37" s="122"/>
      <c r="FB37" s="122"/>
      <c r="FC37" s="122"/>
      <c r="FD37" s="122"/>
      <c r="FE37" s="122"/>
      <c r="FF37" s="122"/>
      <c r="FG37" s="122"/>
      <c r="FH37" s="122"/>
      <c r="FI37" s="122"/>
      <c r="FJ37" s="122"/>
      <c r="FK37" s="122"/>
      <c r="FL37" s="122"/>
      <c r="FM37" s="122"/>
      <c r="FN37" s="122"/>
      <c r="FO37" s="122"/>
      <c r="FP37" s="122"/>
      <c r="FQ37" s="122"/>
      <c r="FR37" s="122"/>
      <c r="FS37" s="122"/>
      <c r="FT37" s="122"/>
      <c r="FU37" s="122"/>
      <c r="FV37" s="122"/>
      <c r="FW37" s="122"/>
      <c r="FX37" s="122"/>
      <c r="FY37" s="122"/>
      <c r="FZ37" s="122"/>
      <c r="GA37" s="122"/>
      <c r="GB37" s="122"/>
      <c r="GC37" s="122"/>
      <c r="GD37" s="122"/>
      <c r="GE37" s="122"/>
      <c r="GF37" s="122"/>
      <c r="GG37" s="122"/>
      <c r="GH37" s="122"/>
      <c r="GI37" s="122"/>
      <c r="GJ37" s="122"/>
      <c r="GK37" s="122"/>
      <c r="GL37" s="122"/>
      <c r="GM37" s="122"/>
      <c r="GN37" s="122"/>
      <c r="GO37" s="122"/>
      <c r="GP37" s="122"/>
      <c r="GQ37" s="122"/>
      <c r="GR37" s="122"/>
      <c r="GS37" s="122"/>
      <c r="GT37" s="122"/>
      <c r="GU37" s="122"/>
      <c r="GV37" s="122"/>
      <c r="GW37" s="122"/>
      <c r="GX37" s="122"/>
      <c r="GY37" s="122"/>
      <c r="GZ37" s="122"/>
      <c r="HA37" s="122"/>
      <c r="HB37" s="122"/>
      <c r="HC37" s="122"/>
      <c r="HD37" s="122"/>
      <c r="HE37" s="122"/>
      <c r="HF37" s="122"/>
      <c r="HG37" s="122"/>
      <c r="HH37" s="122"/>
      <c r="HI37" s="122"/>
      <c r="HJ37" s="122"/>
      <c r="HK37" s="122"/>
      <c r="HL37" s="122"/>
      <c r="HM37" s="122"/>
      <c r="HN37" s="122"/>
      <c r="HO37" s="122"/>
      <c r="HP37" s="122"/>
      <c r="HQ37" s="122"/>
      <c r="HR37" s="122"/>
      <c r="HS37" s="122"/>
      <c r="HT37" s="122"/>
      <c r="HU37" s="122"/>
      <c r="HV37" s="122"/>
      <c r="HW37" s="122"/>
      <c r="HX37" s="122"/>
      <c r="HY37" s="122"/>
      <c r="HZ37" s="122"/>
      <c r="IA37" s="122"/>
      <c r="IB37" s="122"/>
      <c r="IC37" s="122"/>
      <c r="ID37" s="122"/>
      <c r="IE37" s="122"/>
      <c r="IF37" s="122"/>
      <c r="IG37" s="122"/>
      <c r="IH37" s="122"/>
      <c r="II37" s="122"/>
      <c r="IJ37" s="122"/>
      <c r="IK37" s="122"/>
      <c r="IL37" s="122"/>
      <c r="IM37" s="122"/>
      <c r="IN37" s="122"/>
      <c r="IO37" s="122"/>
      <c r="IP37" s="122"/>
      <c r="IQ37" s="122"/>
      <c r="IR37" s="122"/>
      <c r="IS37" s="122"/>
      <c r="IT37" s="122"/>
      <c r="IU37" s="122"/>
      <c r="IV37" s="122"/>
      <c r="IW37" s="122"/>
      <c r="IX37" s="122"/>
      <c r="IY37" s="122"/>
      <c r="IZ37" s="122"/>
      <c r="JA37" s="122"/>
      <c r="JB37" s="122"/>
      <c r="JC37" s="122"/>
      <c r="JD37" s="122"/>
      <c r="JE37" s="122"/>
      <c r="JF37" s="122"/>
      <c r="JG37" s="122"/>
      <c r="JH37" s="122"/>
      <c r="JI37" s="119">
        <f t="shared" si="0"/>
        <v>292565.2</v>
      </c>
      <c r="JJ37" s="2">
        <v>5090</v>
      </c>
      <c r="JK37" s="122"/>
      <c r="JL37" s="125"/>
      <c r="JM37" s="358"/>
      <c r="JN37" s="125"/>
      <c r="JO37" s="125"/>
      <c r="JP37" s="125"/>
    </row>
    <row r="38" spans="1:276" x14ac:dyDescent="0.25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  <c r="BU38" s="122"/>
      <c r="BV38" s="122"/>
      <c r="BW38" s="122"/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/>
      <c r="CJ38" s="122"/>
      <c r="CK38" s="122"/>
      <c r="CL38" s="122"/>
      <c r="CM38" s="122"/>
      <c r="CN38" s="122"/>
      <c r="CO38" s="122"/>
      <c r="CP38" s="122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  <c r="DN38" s="122"/>
      <c r="DO38" s="122"/>
      <c r="DP38" s="122"/>
      <c r="DQ38" s="122"/>
      <c r="DR38" s="122"/>
      <c r="DS38" s="122"/>
      <c r="DT38" s="122"/>
      <c r="DU38" s="122"/>
      <c r="DV38" s="122"/>
      <c r="DW38" s="122"/>
      <c r="DX38" s="122"/>
      <c r="DY38" s="122"/>
      <c r="DZ38" s="122"/>
      <c r="EA38" s="122"/>
      <c r="EB38" s="122"/>
      <c r="EC38" s="122"/>
      <c r="ED38" s="122"/>
      <c r="EE38" s="122"/>
      <c r="EF38" s="122"/>
      <c r="EG38" s="122"/>
      <c r="EH38" s="122"/>
      <c r="EI38" s="122"/>
      <c r="EJ38" s="122"/>
      <c r="EK38" s="122"/>
      <c r="EL38" s="122"/>
      <c r="EM38" s="122"/>
      <c r="EN38" s="122"/>
      <c r="EO38" s="122"/>
      <c r="EP38" s="122"/>
      <c r="EQ38" s="122"/>
      <c r="ER38" s="122"/>
      <c r="ES38" s="122"/>
      <c r="ET38" s="122"/>
      <c r="EU38" s="122"/>
      <c r="EV38" s="122"/>
      <c r="EW38" s="122"/>
      <c r="EX38" s="122"/>
      <c r="EY38" s="122"/>
      <c r="EZ38" s="122"/>
      <c r="FA38" s="122"/>
      <c r="FB38" s="122"/>
      <c r="FC38" s="122"/>
      <c r="FD38" s="122"/>
      <c r="FE38" s="122"/>
      <c r="FF38" s="122"/>
      <c r="FG38" s="122"/>
      <c r="FH38" s="122"/>
      <c r="FI38" s="122"/>
      <c r="FJ38" s="122"/>
      <c r="FK38" s="122"/>
      <c r="FL38" s="122"/>
      <c r="FM38" s="122"/>
      <c r="FN38" s="122"/>
      <c r="FO38" s="122"/>
      <c r="FP38" s="122"/>
      <c r="FQ38" s="122"/>
      <c r="FR38" s="122"/>
      <c r="FS38" s="122"/>
      <c r="FT38" s="122"/>
      <c r="FU38" s="122"/>
      <c r="FV38" s="122"/>
      <c r="FW38" s="122"/>
      <c r="FX38" s="122"/>
      <c r="FY38" s="122"/>
      <c r="FZ38" s="122"/>
      <c r="GA38" s="122"/>
      <c r="GB38" s="122"/>
      <c r="GC38" s="122"/>
      <c r="GD38" s="122"/>
      <c r="GE38" s="122"/>
      <c r="GF38" s="122"/>
      <c r="GG38" s="122"/>
      <c r="GH38" s="122"/>
      <c r="GI38" s="122"/>
      <c r="GJ38" s="122"/>
      <c r="GK38" s="122"/>
      <c r="GL38" s="122"/>
      <c r="GM38" s="122"/>
      <c r="GN38" s="122"/>
      <c r="GO38" s="122"/>
      <c r="GP38" s="122"/>
      <c r="GQ38" s="122">
        <v>1500000.66</v>
      </c>
      <c r="GR38" s="122"/>
      <c r="GS38" s="122"/>
      <c r="GT38" s="122"/>
      <c r="GU38" s="122"/>
      <c r="GV38" s="122"/>
      <c r="GW38" s="122"/>
      <c r="GX38" s="122"/>
      <c r="GY38" s="122"/>
      <c r="GZ38" s="122"/>
      <c r="HA38" s="122"/>
      <c r="HB38" s="122"/>
      <c r="HC38" s="122"/>
      <c r="HD38" s="122"/>
      <c r="HE38" s="122"/>
      <c r="HF38" s="122"/>
      <c r="HG38" s="122"/>
      <c r="HH38" s="122"/>
      <c r="HI38" s="122"/>
      <c r="HJ38" s="122"/>
      <c r="HK38" s="122"/>
      <c r="HL38" s="122"/>
      <c r="HM38" s="122"/>
      <c r="HN38" s="122"/>
      <c r="HO38" s="122"/>
      <c r="HP38" s="122"/>
      <c r="HQ38" s="122"/>
      <c r="HR38" s="122"/>
      <c r="HS38" s="122"/>
      <c r="HT38" s="122"/>
      <c r="HU38" s="122"/>
      <c r="HV38" s="122"/>
      <c r="HW38" s="122"/>
      <c r="HX38" s="122"/>
      <c r="HY38" s="122"/>
      <c r="HZ38" s="122"/>
      <c r="IA38" s="122"/>
      <c r="IB38" s="122"/>
      <c r="IC38" s="122"/>
      <c r="ID38" s="122"/>
      <c r="IE38" s="122"/>
      <c r="IF38" s="122"/>
      <c r="IG38" s="122"/>
      <c r="IH38" s="122"/>
      <c r="II38" s="122"/>
      <c r="IJ38" s="122"/>
      <c r="IK38" s="122"/>
      <c r="IL38" s="122"/>
      <c r="IM38" s="122"/>
      <c r="IN38" s="122"/>
      <c r="IO38" s="122"/>
      <c r="IP38" s="122"/>
      <c r="IQ38" s="122"/>
      <c r="IR38" s="122"/>
      <c r="IS38" s="122"/>
      <c r="IT38" s="122"/>
      <c r="IU38" s="122"/>
      <c r="IV38" s="122"/>
      <c r="IW38" s="122"/>
      <c r="IX38" s="122"/>
      <c r="IY38" s="122"/>
      <c r="IZ38" s="122"/>
      <c r="JA38" s="122"/>
      <c r="JB38" s="122"/>
      <c r="JC38" s="122"/>
      <c r="JD38" s="122"/>
      <c r="JE38" s="122"/>
      <c r="JF38" s="122"/>
      <c r="JG38" s="122"/>
      <c r="JH38" s="122"/>
      <c r="JI38" s="119">
        <f t="shared" si="0"/>
        <v>1500000.66</v>
      </c>
      <c r="JJ38" s="2">
        <v>5101</v>
      </c>
      <c r="JK38" s="122"/>
      <c r="JL38" s="125"/>
      <c r="JM38" s="358"/>
      <c r="JN38" s="125"/>
      <c r="JO38" s="125"/>
      <c r="JP38" s="125"/>
    </row>
    <row r="39" spans="1:276" x14ac:dyDescent="0.25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122"/>
      <c r="BS39" s="122"/>
      <c r="BT39" s="122"/>
      <c r="BU39" s="122"/>
      <c r="BV39" s="122"/>
      <c r="BW39" s="122"/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  <c r="DN39" s="122"/>
      <c r="DO39" s="122"/>
      <c r="DP39" s="122"/>
      <c r="DQ39" s="122"/>
      <c r="DR39" s="122">
        <v>557734.03</v>
      </c>
      <c r="DS39" s="122"/>
      <c r="DT39" s="122"/>
      <c r="DU39" s="122"/>
      <c r="DV39" s="122"/>
      <c r="DW39" s="122"/>
      <c r="DX39" s="122"/>
      <c r="DY39" s="122"/>
      <c r="DZ39" s="122"/>
      <c r="EA39" s="122"/>
      <c r="EB39" s="122"/>
      <c r="EC39" s="122"/>
      <c r="ED39" s="122"/>
      <c r="EE39" s="122"/>
      <c r="EF39" s="122"/>
      <c r="EG39" s="122"/>
      <c r="EH39" s="122"/>
      <c r="EI39" s="122"/>
      <c r="EJ39" s="122"/>
      <c r="EK39" s="122"/>
      <c r="EL39" s="122"/>
      <c r="EM39" s="122"/>
      <c r="EN39" s="122"/>
      <c r="EO39" s="122"/>
      <c r="EP39" s="122"/>
      <c r="EQ39" s="122"/>
      <c r="ER39" s="122"/>
      <c r="ES39" s="122"/>
      <c r="ET39" s="122"/>
      <c r="EU39" s="122"/>
      <c r="EV39" s="122"/>
      <c r="EW39" s="122"/>
      <c r="EX39" s="122"/>
      <c r="EY39" s="122"/>
      <c r="EZ39" s="122"/>
      <c r="FA39" s="122"/>
      <c r="FB39" s="122"/>
      <c r="FC39" s="122"/>
      <c r="FD39" s="122"/>
      <c r="FE39" s="122"/>
      <c r="FF39" s="122"/>
      <c r="FG39" s="122"/>
      <c r="FH39" s="122"/>
      <c r="FI39" s="122"/>
      <c r="FJ39" s="122"/>
      <c r="FK39" s="122"/>
      <c r="FL39" s="122"/>
      <c r="FM39" s="122"/>
      <c r="FN39" s="122"/>
      <c r="FO39" s="122"/>
      <c r="FP39" s="122"/>
      <c r="FQ39" s="122"/>
      <c r="FR39" s="122"/>
      <c r="FS39" s="122"/>
      <c r="FT39" s="122"/>
      <c r="FU39" s="122"/>
      <c r="FV39" s="122"/>
      <c r="FW39" s="122"/>
      <c r="FX39" s="122"/>
      <c r="FY39" s="122"/>
      <c r="FZ39" s="122"/>
      <c r="GA39" s="122"/>
      <c r="GB39" s="122"/>
      <c r="GC39" s="122"/>
      <c r="GD39" s="122"/>
      <c r="GE39" s="122"/>
      <c r="GF39" s="122"/>
      <c r="GG39" s="122"/>
      <c r="GH39" s="122"/>
      <c r="GI39" s="122"/>
      <c r="GJ39" s="122"/>
      <c r="GK39" s="122"/>
      <c r="GL39" s="122"/>
      <c r="GM39" s="122"/>
      <c r="GN39" s="122"/>
      <c r="GO39" s="122"/>
      <c r="GP39" s="122"/>
      <c r="GQ39" s="122"/>
      <c r="GR39" s="122"/>
      <c r="GS39" s="122"/>
      <c r="GT39" s="122"/>
      <c r="GU39" s="122"/>
      <c r="GV39" s="122"/>
      <c r="GW39" s="122"/>
      <c r="GX39" s="122"/>
      <c r="GY39" s="122"/>
      <c r="GZ39" s="122"/>
      <c r="HA39" s="122"/>
      <c r="HB39" s="122"/>
      <c r="HC39" s="122"/>
      <c r="HD39" s="122"/>
      <c r="HE39" s="122"/>
      <c r="HF39" s="122"/>
      <c r="HG39" s="122"/>
      <c r="HH39" s="122"/>
      <c r="HI39" s="122"/>
      <c r="HJ39" s="122"/>
      <c r="HK39" s="122"/>
      <c r="HL39" s="122"/>
      <c r="HM39" s="122"/>
      <c r="HN39" s="122"/>
      <c r="HO39" s="122"/>
      <c r="HP39" s="122"/>
      <c r="HQ39" s="122"/>
      <c r="HR39" s="122"/>
      <c r="HS39" s="122"/>
      <c r="HT39" s="122"/>
      <c r="HU39" s="122"/>
      <c r="HV39" s="122"/>
      <c r="HW39" s="122"/>
      <c r="HX39" s="122"/>
      <c r="HY39" s="122"/>
      <c r="HZ39" s="122"/>
      <c r="IA39" s="122"/>
      <c r="IB39" s="122"/>
      <c r="IC39" s="122"/>
      <c r="ID39" s="122"/>
      <c r="IE39" s="122"/>
      <c r="IF39" s="122"/>
      <c r="IG39" s="122"/>
      <c r="IH39" s="122"/>
      <c r="II39" s="122"/>
      <c r="IJ39" s="122"/>
      <c r="IK39" s="122"/>
      <c r="IL39" s="122"/>
      <c r="IM39" s="122"/>
      <c r="IN39" s="122"/>
      <c r="IO39" s="122"/>
      <c r="IP39" s="122"/>
      <c r="IQ39" s="122"/>
      <c r="IR39" s="122"/>
      <c r="IS39" s="122"/>
      <c r="IT39" s="122"/>
      <c r="IU39" s="122"/>
      <c r="IV39" s="122"/>
      <c r="IW39" s="122"/>
      <c r="IX39" s="122"/>
      <c r="IY39" s="122"/>
      <c r="IZ39" s="122"/>
      <c r="JA39" s="122"/>
      <c r="JB39" s="122"/>
      <c r="JC39" s="122"/>
      <c r="JD39" s="122"/>
      <c r="JE39" s="122"/>
      <c r="JF39" s="122"/>
      <c r="JG39" s="122"/>
      <c r="JH39" s="122"/>
      <c r="JI39" s="119">
        <f t="shared" si="0"/>
        <v>557734.03</v>
      </c>
      <c r="JJ39" s="2">
        <v>5105</v>
      </c>
      <c r="JK39" s="122"/>
      <c r="JL39" s="125"/>
      <c r="JM39" s="358"/>
      <c r="JN39" s="125"/>
      <c r="JO39" s="125"/>
      <c r="JP39" s="125"/>
    </row>
    <row r="40" spans="1:276" x14ac:dyDescent="0.25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  <c r="BU40" s="122"/>
      <c r="BV40" s="122"/>
      <c r="BW40" s="122"/>
      <c r="BX40" s="122"/>
      <c r="BY40" s="122"/>
      <c r="BZ40" s="122"/>
      <c r="CA40" s="122"/>
      <c r="CB40" s="122"/>
      <c r="CC40" s="122"/>
      <c r="CD40" s="122"/>
      <c r="CE40" s="122"/>
      <c r="CF40" s="122"/>
      <c r="CG40" s="122"/>
      <c r="CH40" s="122">
        <v>5691.23</v>
      </c>
      <c r="CI40" s="122"/>
      <c r="CJ40" s="122"/>
      <c r="CK40" s="122"/>
      <c r="CL40" s="122"/>
      <c r="CM40" s="122"/>
      <c r="CN40" s="122"/>
      <c r="CO40" s="122"/>
      <c r="CP40" s="122"/>
      <c r="CQ40" s="122"/>
      <c r="CR40" s="122"/>
      <c r="CS40" s="122"/>
      <c r="CT40" s="122"/>
      <c r="CU40" s="122"/>
      <c r="CV40" s="122"/>
      <c r="CW40" s="122"/>
      <c r="CX40" s="122"/>
      <c r="CY40" s="122"/>
      <c r="CZ40" s="122"/>
      <c r="DA40" s="122"/>
      <c r="DB40" s="122"/>
      <c r="DC40" s="122"/>
      <c r="DD40" s="122"/>
      <c r="DE40" s="122"/>
      <c r="DF40" s="122"/>
      <c r="DG40" s="122"/>
      <c r="DH40" s="122"/>
      <c r="DI40" s="122"/>
      <c r="DJ40" s="122"/>
      <c r="DK40" s="122"/>
      <c r="DL40" s="122"/>
      <c r="DM40" s="122"/>
      <c r="DN40" s="122"/>
      <c r="DO40" s="122"/>
      <c r="DP40" s="122"/>
      <c r="DQ40" s="122"/>
      <c r="DR40" s="122"/>
      <c r="DS40" s="122"/>
      <c r="DT40" s="122"/>
      <c r="DU40" s="122"/>
      <c r="DV40" s="122"/>
      <c r="DW40" s="122"/>
      <c r="DX40" s="122"/>
      <c r="DY40" s="122"/>
      <c r="DZ40" s="122"/>
      <c r="EA40" s="122"/>
      <c r="EB40" s="122"/>
      <c r="EC40" s="122"/>
      <c r="ED40" s="122"/>
      <c r="EE40" s="122"/>
      <c r="EF40" s="122"/>
      <c r="EG40" s="122"/>
      <c r="EH40" s="122"/>
      <c r="EI40" s="122"/>
      <c r="EJ40" s="122"/>
      <c r="EK40" s="122"/>
      <c r="EL40" s="122"/>
      <c r="EM40" s="122"/>
      <c r="EN40" s="122"/>
      <c r="EO40" s="122"/>
      <c r="EP40" s="122"/>
      <c r="EQ40" s="122"/>
      <c r="ER40" s="122"/>
      <c r="ES40" s="122"/>
      <c r="ET40" s="122"/>
      <c r="EU40" s="122"/>
      <c r="EV40" s="122"/>
      <c r="EW40" s="122"/>
      <c r="EX40" s="122"/>
      <c r="EY40" s="122"/>
      <c r="EZ40" s="122"/>
      <c r="FA40" s="122"/>
      <c r="FB40" s="122"/>
      <c r="FC40" s="122"/>
      <c r="FD40" s="122"/>
      <c r="FE40" s="122"/>
      <c r="FF40" s="122"/>
      <c r="FG40" s="122"/>
      <c r="FH40" s="122"/>
      <c r="FI40" s="122"/>
      <c r="FJ40" s="122"/>
      <c r="FK40" s="122"/>
      <c r="FL40" s="122"/>
      <c r="FM40" s="122"/>
      <c r="FN40" s="122"/>
      <c r="FO40" s="122"/>
      <c r="FP40" s="122"/>
      <c r="FQ40" s="122"/>
      <c r="FR40" s="122"/>
      <c r="FS40" s="122"/>
      <c r="FT40" s="122"/>
      <c r="FU40" s="122"/>
      <c r="FV40" s="122"/>
      <c r="FW40" s="122"/>
      <c r="FX40" s="122"/>
      <c r="FY40" s="122"/>
      <c r="FZ40" s="122"/>
      <c r="GA40" s="122"/>
      <c r="GB40" s="122"/>
      <c r="GC40" s="122"/>
      <c r="GD40" s="122"/>
      <c r="GE40" s="122"/>
      <c r="GF40" s="122"/>
      <c r="GG40" s="122"/>
      <c r="GH40" s="122"/>
      <c r="GI40" s="122"/>
      <c r="GJ40" s="122"/>
      <c r="GK40" s="122"/>
      <c r="GL40" s="122"/>
      <c r="GM40" s="122"/>
      <c r="GN40" s="122"/>
      <c r="GO40" s="122"/>
      <c r="GP40" s="122"/>
      <c r="GQ40" s="122"/>
      <c r="GR40" s="122"/>
      <c r="GS40" s="122"/>
      <c r="GT40" s="122"/>
      <c r="GU40" s="122"/>
      <c r="GV40" s="122"/>
      <c r="GW40" s="122"/>
      <c r="GX40" s="122"/>
      <c r="GY40" s="122"/>
      <c r="GZ40" s="122"/>
      <c r="HA40" s="122"/>
      <c r="HB40" s="122"/>
      <c r="HC40" s="122"/>
      <c r="HD40" s="122"/>
      <c r="HE40" s="122"/>
      <c r="HF40" s="122"/>
      <c r="HG40" s="122"/>
      <c r="HH40" s="122"/>
      <c r="HI40" s="122"/>
      <c r="HJ40" s="122"/>
      <c r="HK40" s="122"/>
      <c r="HL40" s="122"/>
      <c r="HM40" s="122"/>
      <c r="HN40" s="122"/>
      <c r="HO40" s="122"/>
      <c r="HP40" s="122"/>
      <c r="HQ40" s="122"/>
      <c r="HR40" s="122"/>
      <c r="HS40" s="122"/>
      <c r="HT40" s="122"/>
      <c r="HU40" s="122"/>
      <c r="HV40" s="122"/>
      <c r="HW40" s="122"/>
      <c r="HX40" s="122"/>
      <c r="HY40" s="122"/>
      <c r="HZ40" s="122"/>
      <c r="IA40" s="122"/>
      <c r="IB40" s="122"/>
      <c r="IC40" s="122"/>
      <c r="ID40" s="122"/>
      <c r="IE40" s="122"/>
      <c r="IF40" s="122"/>
      <c r="IG40" s="122"/>
      <c r="IH40" s="122"/>
      <c r="II40" s="122"/>
      <c r="IJ40" s="122"/>
      <c r="IK40" s="122"/>
      <c r="IL40" s="122"/>
      <c r="IM40" s="122"/>
      <c r="IN40" s="122"/>
      <c r="IO40" s="122"/>
      <c r="IP40" s="122"/>
      <c r="IQ40" s="122"/>
      <c r="IR40" s="122"/>
      <c r="IS40" s="122"/>
      <c r="IT40" s="122"/>
      <c r="IU40" s="122"/>
      <c r="IV40" s="122"/>
      <c r="IW40" s="122"/>
      <c r="IX40" s="122"/>
      <c r="IY40" s="122"/>
      <c r="IZ40" s="122"/>
      <c r="JA40" s="122"/>
      <c r="JB40" s="122"/>
      <c r="JC40" s="122"/>
      <c r="JD40" s="122"/>
      <c r="JE40" s="122"/>
      <c r="JF40" s="122"/>
      <c r="JG40" s="122"/>
      <c r="JH40" s="122"/>
      <c r="JI40" s="119">
        <f t="shared" si="0"/>
        <v>5691.23</v>
      </c>
      <c r="JJ40" s="2">
        <v>5125</v>
      </c>
      <c r="JK40" s="122"/>
      <c r="JL40" s="125"/>
      <c r="JM40" s="358"/>
      <c r="JN40" s="125"/>
      <c r="JO40" s="125"/>
      <c r="JP40" s="125"/>
    </row>
    <row r="41" spans="1:276" x14ac:dyDescent="0.25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>
        <v>60535</v>
      </c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  <c r="BP41" s="122"/>
      <c r="BQ41" s="122"/>
      <c r="BR41" s="122"/>
      <c r="BS41" s="122"/>
      <c r="BT41" s="122"/>
      <c r="BU41" s="122"/>
      <c r="BV41" s="122"/>
      <c r="BW41" s="122"/>
      <c r="BX41" s="122"/>
      <c r="BY41" s="122"/>
      <c r="BZ41" s="122"/>
      <c r="CA41" s="122"/>
      <c r="CB41" s="122"/>
      <c r="CC41" s="122"/>
      <c r="CD41" s="122"/>
      <c r="CE41" s="122"/>
      <c r="CF41" s="122"/>
      <c r="CG41" s="122"/>
      <c r="CH41" s="122"/>
      <c r="CI41" s="122"/>
      <c r="CJ41" s="122"/>
      <c r="CK41" s="122"/>
      <c r="CL41" s="122"/>
      <c r="CM41" s="122"/>
      <c r="CN41" s="122"/>
      <c r="CO41" s="122"/>
      <c r="CP41" s="122"/>
      <c r="CQ41" s="122"/>
      <c r="CR41" s="122"/>
      <c r="CS41" s="122"/>
      <c r="CT41" s="122"/>
      <c r="CU41" s="122"/>
      <c r="CV41" s="122"/>
      <c r="CW41" s="122"/>
      <c r="CX41" s="122"/>
      <c r="CY41" s="122"/>
      <c r="CZ41" s="122"/>
      <c r="DA41" s="122"/>
      <c r="DB41" s="122"/>
      <c r="DC41" s="122"/>
      <c r="DD41" s="122"/>
      <c r="DE41" s="122"/>
      <c r="DF41" s="122"/>
      <c r="DG41" s="122"/>
      <c r="DH41" s="122"/>
      <c r="DI41" s="122"/>
      <c r="DJ41" s="122"/>
      <c r="DK41" s="122"/>
      <c r="DL41" s="122"/>
      <c r="DM41" s="122"/>
      <c r="DN41" s="122"/>
      <c r="DO41" s="122"/>
      <c r="DP41" s="122"/>
      <c r="DQ41" s="122"/>
      <c r="DR41" s="122"/>
      <c r="DS41" s="122"/>
      <c r="DT41" s="122"/>
      <c r="DU41" s="122"/>
      <c r="DV41" s="122"/>
      <c r="DW41" s="122"/>
      <c r="DX41" s="122"/>
      <c r="DY41" s="122"/>
      <c r="DZ41" s="122"/>
      <c r="EA41" s="122"/>
      <c r="EB41" s="122"/>
      <c r="EC41" s="122"/>
      <c r="ED41" s="122"/>
      <c r="EE41" s="122"/>
      <c r="EF41" s="122"/>
      <c r="EG41" s="122"/>
      <c r="EH41" s="122"/>
      <c r="EI41" s="122"/>
      <c r="EJ41" s="122"/>
      <c r="EK41" s="122"/>
      <c r="EL41" s="122"/>
      <c r="EM41" s="122"/>
      <c r="EN41" s="122"/>
      <c r="EO41" s="122"/>
      <c r="EP41" s="122"/>
      <c r="EQ41" s="122"/>
      <c r="ER41" s="122"/>
      <c r="ES41" s="122"/>
      <c r="ET41" s="122"/>
      <c r="EU41" s="122"/>
      <c r="EV41" s="122"/>
      <c r="EW41" s="122"/>
      <c r="EX41" s="122"/>
      <c r="EY41" s="122"/>
      <c r="EZ41" s="122"/>
      <c r="FA41" s="122"/>
      <c r="FB41" s="122"/>
      <c r="FC41" s="122"/>
      <c r="FD41" s="122"/>
      <c r="FE41" s="122"/>
      <c r="FF41" s="122"/>
      <c r="FG41" s="122"/>
      <c r="FH41" s="122"/>
      <c r="FI41" s="122"/>
      <c r="FJ41" s="122"/>
      <c r="FK41" s="122"/>
      <c r="FL41" s="122"/>
      <c r="FM41" s="122"/>
      <c r="FN41" s="122"/>
      <c r="FO41" s="122"/>
      <c r="FP41" s="122"/>
      <c r="FQ41" s="122"/>
      <c r="FR41" s="122"/>
      <c r="FS41" s="122"/>
      <c r="FT41" s="122"/>
      <c r="FU41" s="122"/>
      <c r="FV41" s="122"/>
      <c r="FW41" s="122"/>
      <c r="FX41" s="122"/>
      <c r="FY41" s="122"/>
      <c r="FZ41" s="122"/>
      <c r="GA41" s="122"/>
      <c r="GB41" s="122"/>
      <c r="GC41" s="122"/>
      <c r="GD41" s="122"/>
      <c r="GE41" s="122"/>
      <c r="GF41" s="122"/>
      <c r="GG41" s="122"/>
      <c r="GH41" s="122"/>
      <c r="GI41" s="122"/>
      <c r="GJ41" s="122"/>
      <c r="GK41" s="122"/>
      <c r="GL41" s="122"/>
      <c r="GM41" s="122"/>
      <c r="GN41" s="122"/>
      <c r="GO41" s="122"/>
      <c r="GP41" s="122"/>
      <c r="GQ41" s="122"/>
      <c r="GR41" s="122"/>
      <c r="GS41" s="122"/>
      <c r="GT41" s="122"/>
      <c r="GU41" s="122"/>
      <c r="GV41" s="122"/>
      <c r="GW41" s="122"/>
      <c r="GX41" s="122"/>
      <c r="GY41" s="122"/>
      <c r="GZ41" s="122"/>
      <c r="HA41" s="122"/>
      <c r="HB41" s="122"/>
      <c r="HC41" s="122"/>
      <c r="HD41" s="122"/>
      <c r="HE41" s="122"/>
      <c r="HF41" s="122"/>
      <c r="HG41" s="122"/>
      <c r="HH41" s="122"/>
      <c r="HI41" s="122"/>
      <c r="HJ41" s="122"/>
      <c r="HK41" s="122"/>
      <c r="HL41" s="122"/>
      <c r="HM41" s="122"/>
      <c r="HN41" s="122"/>
      <c r="HO41" s="122"/>
      <c r="HP41" s="122"/>
      <c r="HQ41" s="122"/>
      <c r="HR41" s="122"/>
      <c r="HS41" s="122"/>
      <c r="HT41" s="122"/>
      <c r="HU41" s="122"/>
      <c r="HV41" s="122"/>
      <c r="HW41" s="122"/>
      <c r="HX41" s="122"/>
      <c r="HY41" s="122"/>
      <c r="HZ41" s="122"/>
      <c r="IA41" s="122"/>
      <c r="IB41" s="122"/>
      <c r="IC41" s="122"/>
      <c r="ID41" s="122"/>
      <c r="IE41" s="122"/>
      <c r="IF41" s="122"/>
      <c r="IG41" s="122"/>
      <c r="IH41" s="122"/>
      <c r="II41" s="122"/>
      <c r="IJ41" s="122"/>
      <c r="IK41" s="122"/>
      <c r="IL41" s="122"/>
      <c r="IM41" s="122"/>
      <c r="IN41" s="122"/>
      <c r="IO41" s="122"/>
      <c r="IP41" s="122"/>
      <c r="IQ41" s="122"/>
      <c r="IR41" s="122"/>
      <c r="IS41" s="122"/>
      <c r="IT41" s="122"/>
      <c r="IU41" s="122"/>
      <c r="IV41" s="122"/>
      <c r="IW41" s="122"/>
      <c r="IX41" s="122"/>
      <c r="IY41" s="122"/>
      <c r="IZ41" s="122"/>
      <c r="JA41" s="122"/>
      <c r="JB41" s="122"/>
      <c r="JC41" s="122"/>
      <c r="JD41" s="122"/>
      <c r="JE41" s="122"/>
      <c r="JF41" s="122"/>
      <c r="JG41" s="122"/>
      <c r="JH41" s="122"/>
      <c r="JI41" s="119">
        <f t="shared" si="0"/>
        <v>60535</v>
      </c>
      <c r="JJ41" s="2">
        <v>5145</v>
      </c>
      <c r="JK41" s="122"/>
      <c r="JL41" s="125"/>
      <c r="JM41" s="358"/>
      <c r="JN41" s="125"/>
      <c r="JO41" s="125"/>
      <c r="JP41" s="125"/>
    </row>
    <row r="42" spans="1:276" x14ac:dyDescent="0.25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122"/>
      <c r="BQ42" s="122"/>
      <c r="BR42" s="122"/>
      <c r="BS42" s="122"/>
      <c r="BT42" s="122"/>
      <c r="BU42" s="122"/>
      <c r="BV42" s="122"/>
      <c r="BW42" s="122"/>
      <c r="BX42" s="122"/>
      <c r="BY42" s="122"/>
      <c r="BZ42" s="122"/>
      <c r="CA42" s="122"/>
      <c r="CB42" s="122"/>
      <c r="CC42" s="122"/>
      <c r="CD42" s="122"/>
      <c r="CE42" s="122"/>
      <c r="CF42" s="122"/>
      <c r="CG42" s="122"/>
      <c r="CH42" s="122"/>
      <c r="CI42" s="122"/>
      <c r="CJ42" s="122"/>
      <c r="CK42" s="122"/>
      <c r="CL42" s="122"/>
      <c r="CM42" s="122"/>
      <c r="CN42" s="122"/>
      <c r="CO42" s="122"/>
      <c r="CP42" s="122"/>
      <c r="CQ42" s="122"/>
      <c r="CR42" s="122"/>
      <c r="CS42" s="122"/>
      <c r="CT42" s="122"/>
      <c r="CU42" s="122"/>
      <c r="CV42" s="122"/>
      <c r="CW42" s="122"/>
      <c r="CX42" s="122"/>
      <c r="CY42" s="122"/>
      <c r="CZ42" s="122"/>
      <c r="DA42" s="122"/>
      <c r="DB42" s="122"/>
      <c r="DC42" s="122"/>
      <c r="DD42" s="122"/>
      <c r="DE42" s="122"/>
      <c r="DF42" s="122"/>
      <c r="DG42" s="122"/>
      <c r="DH42" s="122"/>
      <c r="DI42" s="122"/>
      <c r="DJ42" s="122"/>
      <c r="DK42" s="122"/>
      <c r="DL42" s="122"/>
      <c r="DM42" s="122"/>
      <c r="DN42" s="122"/>
      <c r="DO42" s="122"/>
      <c r="DP42" s="122"/>
      <c r="DQ42" s="122"/>
      <c r="DR42" s="122"/>
      <c r="DS42" s="122"/>
      <c r="DT42" s="122"/>
      <c r="DU42" s="122"/>
      <c r="DV42" s="122"/>
      <c r="DW42" s="122"/>
      <c r="DX42" s="122"/>
      <c r="DY42" s="122"/>
      <c r="DZ42" s="122"/>
      <c r="EA42" s="122">
        <v>1155000</v>
      </c>
      <c r="EB42" s="122"/>
      <c r="EC42" s="122"/>
      <c r="ED42" s="122"/>
      <c r="EE42" s="122"/>
      <c r="EF42" s="122"/>
      <c r="EG42" s="122"/>
      <c r="EH42" s="122"/>
      <c r="EI42" s="122"/>
      <c r="EJ42" s="122"/>
      <c r="EK42" s="122"/>
      <c r="EL42" s="122"/>
      <c r="EM42" s="122"/>
      <c r="EN42" s="122"/>
      <c r="EO42" s="122"/>
      <c r="EP42" s="122"/>
      <c r="EQ42" s="122"/>
      <c r="ER42" s="122"/>
      <c r="ES42" s="122"/>
      <c r="ET42" s="122"/>
      <c r="EU42" s="122"/>
      <c r="EV42" s="122"/>
      <c r="EW42" s="122"/>
      <c r="EX42" s="122"/>
      <c r="EY42" s="122"/>
      <c r="EZ42" s="122"/>
      <c r="FA42" s="122"/>
      <c r="FB42" s="122"/>
      <c r="FC42" s="122"/>
      <c r="FD42" s="122"/>
      <c r="FE42" s="122"/>
      <c r="FF42" s="122"/>
      <c r="FG42" s="122"/>
      <c r="FH42" s="122"/>
      <c r="FI42" s="122"/>
      <c r="FJ42" s="122"/>
      <c r="FK42" s="122"/>
      <c r="FL42" s="122"/>
      <c r="FM42" s="122"/>
      <c r="FN42" s="122"/>
      <c r="FO42" s="122"/>
      <c r="FP42" s="122"/>
      <c r="FQ42" s="122"/>
      <c r="FR42" s="122"/>
      <c r="FS42" s="122"/>
      <c r="FT42" s="122"/>
      <c r="FU42" s="122"/>
      <c r="FV42" s="122"/>
      <c r="FW42" s="122"/>
      <c r="FX42" s="122"/>
      <c r="FY42" s="122"/>
      <c r="FZ42" s="122"/>
      <c r="GA42" s="122"/>
      <c r="GB42" s="122"/>
      <c r="GC42" s="122"/>
      <c r="GD42" s="122"/>
      <c r="GE42" s="122"/>
      <c r="GF42" s="122"/>
      <c r="GG42" s="122"/>
      <c r="GH42" s="122"/>
      <c r="GI42" s="122"/>
      <c r="GJ42" s="122"/>
      <c r="GK42" s="122"/>
      <c r="GL42" s="122"/>
      <c r="GM42" s="122"/>
      <c r="GN42" s="122"/>
      <c r="GO42" s="122"/>
      <c r="GP42" s="122"/>
      <c r="GQ42" s="122"/>
      <c r="GR42" s="122"/>
      <c r="GS42" s="122"/>
      <c r="GT42" s="122"/>
      <c r="GU42" s="122"/>
      <c r="GV42" s="122"/>
      <c r="GW42" s="122"/>
      <c r="GX42" s="122"/>
      <c r="GY42" s="122"/>
      <c r="GZ42" s="122"/>
      <c r="HA42" s="122"/>
      <c r="HB42" s="122"/>
      <c r="HC42" s="122"/>
      <c r="HD42" s="122"/>
      <c r="HE42" s="122"/>
      <c r="HF42" s="122"/>
      <c r="HG42" s="122"/>
      <c r="HH42" s="122"/>
      <c r="HI42" s="122"/>
      <c r="HJ42" s="122"/>
      <c r="HK42" s="122"/>
      <c r="HL42" s="122"/>
      <c r="HM42" s="122"/>
      <c r="HN42" s="122"/>
      <c r="HO42" s="122"/>
      <c r="HP42" s="122"/>
      <c r="HQ42" s="122"/>
      <c r="HR42" s="122"/>
      <c r="HS42" s="122"/>
      <c r="HT42" s="122"/>
      <c r="HU42" s="122"/>
      <c r="HV42" s="122"/>
      <c r="HW42" s="122"/>
      <c r="HX42" s="122"/>
      <c r="HY42" s="122"/>
      <c r="HZ42" s="122"/>
      <c r="IA42" s="122"/>
      <c r="IB42" s="122"/>
      <c r="IC42" s="122"/>
      <c r="ID42" s="122"/>
      <c r="IE42" s="122"/>
      <c r="IF42" s="122"/>
      <c r="IG42" s="122"/>
      <c r="IH42" s="122"/>
      <c r="II42" s="122"/>
      <c r="IJ42" s="122"/>
      <c r="IK42" s="122"/>
      <c r="IL42" s="122"/>
      <c r="IM42" s="122"/>
      <c r="IN42" s="122"/>
      <c r="IO42" s="122"/>
      <c r="IP42" s="122"/>
      <c r="IQ42" s="122"/>
      <c r="IR42" s="122"/>
      <c r="IS42" s="122"/>
      <c r="IT42" s="122"/>
      <c r="IU42" s="122"/>
      <c r="IV42" s="122"/>
      <c r="IW42" s="122"/>
      <c r="IX42" s="122"/>
      <c r="IY42" s="122"/>
      <c r="IZ42" s="122"/>
      <c r="JA42" s="122"/>
      <c r="JB42" s="122"/>
      <c r="JC42" s="122"/>
      <c r="JD42" s="122"/>
      <c r="JE42" s="122"/>
      <c r="JF42" s="122"/>
      <c r="JG42" s="122"/>
      <c r="JH42" s="122"/>
      <c r="JI42" s="119">
        <f t="shared" si="0"/>
        <v>1155000</v>
      </c>
      <c r="JJ42" s="2">
        <v>5149</v>
      </c>
      <c r="JK42" s="122"/>
      <c r="JL42" s="125"/>
      <c r="JM42" s="358"/>
      <c r="JN42" s="125"/>
      <c r="JO42" s="125"/>
      <c r="JP42" s="125"/>
    </row>
    <row r="43" spans="1:276" x14ac:dyDescent="0.25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122"/>
      <c r="DY43" s="122"/>
      <c r="DZ43" s="122"/>
      <c r="EA43" s="122"/>
      <c r="EB43" s="122"/>
      <c r="EC43" s="122"/>
      <c r="ED43" s="122"/>
      <c r="EE43" s="122"/>
      <c r="EF43" s="122"/>
      <c r="EG43" s="122"/>
      <c r="EH43" s="122"/>
      <c r="EI43" s="122"/>
      <c r="EJ43" s="122"/>
      <c r="EK43" s="122"/>
      <c r="EL43" s="122"/>
      <c r="EM43" s="122"/>
      <c r="EN43" s="122"/>
      <c r="EO43" s="122"/>
      <c r="EP43" s="122"/>
      <c r="EQ43" s="122"/>
      <c r="ER43" s="122"/>
      <c r="ES43" s="122"/>
      <c r="ET43" s="122"/>
      <c r="EU43" s="122"/>
      <c r="EV43" s="122"/>
      <c r="EW43" s="122"/>
      <c r="EX43" s="122"/>
      <c r="EY43" s="122"/>
      <c r="EZ43" s="122"/>
      <c r="FA43" s="122"/>
      <c r="FB43" s="122"/>
      <c r="FC43" s="122"/>
      <c r="FD43" s="122"/>
      <c r="FE43" s="122"/>
      <c r="FF43" s="122"/>
      <c r="FG43" s="122"/>
      <c r="FH43" s="122"/>
      <c r="FI43" s="122"/>
      <c r="FJ43" s="122"/>
      <c r="FK43" s="122"/>
      <c r="FL43" s="122"/>
      <c r="FM43" s="122"/>
      <c r="FN43" s="122"/>
      <c r="FO43" s="122"/>
      <c r="FP43" s="122"/>
      <c r="FQ43" s="122"/>
      <c r="FR43" s="122"/>
      <c r="FS43" s="122"/>
      <c r="FT43" s="122"/>
      <c r="FU43" s="122"/>
      <c r="FV43" s="122"/>
      <c r="FW43" s="122"/>
      <c r="FX43" s="122"/>
      <c r="FY43" s="122"/>
      <c r="FZ43" s="122"/>
      <c r="GA43" s="122"/>
      <c r="GB43" s="122"/>
      <c r="GC43" s="122"/>
      <c r="GD43" s="122"/>
      <c r="GE43" s="122"/>
      <c r="GF43" s="122"/>
      <c r="GG43" s="122"/>
      <c r="GH43" s="122"/>
      <c r="GI43" s="122"/>
      <c r="GJ43" s="122"/>
      <c r="GK43" s="122"/>
      <c r="GL43" s="122"/>
      <c r="GM43" s="122"/>
      <c r="GN43" s="122"/>
      <c r="GO43" s="122"/>
      <c r="GP43" s="122"/>
      <c r="GQ43" s="122">
        <v>191750</v>
      </c>
      <c r="GR43" s="122"/>
      <c r="GS43" s="122"/>
      <c r="GT43" s="122"/>
      <c r="GU43" s="122"/>
      <c r="GV43" s="122"/>
      <c r="GW43" s="122"/>
      <c r="GX43" s="122"/>
      <c r="GY43" s="122"/>
      <c r="GZ43" s="122"/>
      <c r="HA43" s="122"/>
      <c r="HB43" s="122"/>
      <c r="HC43" s="122"/>
      <c r="HD43" s="122"/>
      <c r="HE43" s="122"/>
      <c r="HF43" s="122"/>
      <c r="HG43" s="122"/>
      <c r="HH43" s="122"/>
      <c r="HI43" s="122"/>
      <c r="HJ43" s="122"/>
      <c r="HK43" s="122"/>
      <c r="HL43" s="122"/>
      <c r="HM43" s="122"/>
      <c r="HN43" s="122"/>
      <c r="HO43" s="122"/>
      <c r="HP43" s="122"/>
      <c r="HQ43" s="122"/>
      <c r="HR43" s="122"/>
      <c r="HS43" s="122"/>
      <c r="HT43" s="122"/>
      <c r="HU43" s="122"/>
      <c r="HV43" s="122"/>
      <c r="HW43" s="122"/>
      <c r="HX43" s="122"/>
      <c r="HY43" s="122"/>
      <c r="HZ43" s="122"/>
      <c r="IA43" s="122"/>
      <c r="IB43" s="122"/>
      <c r="IC43" s="122"/>
      <c r="ID43" s="122"/>
      <c r="IE43" s="122"/>
      <c r="IF43" s="122"/>
      <c r="IG43" s="122"/>
      <c r="IH43" s="122"/>
      <c r="II43" s="122"/>
      <c r="IJ43" s="122"/>
      <c r="IK43" s="122"/>
      <c r="IL43" s="122"/>
      <c r="IM43" s="122"/>
      <c r="IN43" s="122"/>
      <c r="IO43" s="122"/>
      <c r="IP43" s="122"/>
      <c r="IQ43" s="122"/>
      <c r="IR43" s="122"/>
      <c r="IS43" s="122"/>
      <c r="IT43" s="122"/>
      <c r="IU43" s="122"/>
      <c r="IV43" s="122"/>
      <c r="IW43" s="122"/>
      <c r="IX43" s="122"/>
      <c r="IY43" s="122"/>
      <c r="IZ43" s="122"/>
      <c r="JA43" s="122"/>
      <c r="JB43" s="122"/>
      <c r="JC43" s="122"/>
      <c r="JD43" s="122"/>
      <c r="JE43" s="122"/>
      <c r="JF43" s="122"/>
      <c r="JG43" s="122"/>
      <c r="JH43" s="122"/>
      <c r="JI43" s="119">
        <f t="shared" si="0"/>
        <v>191750</v>
      </c>
      <c r="JJ43" s="2">
        <v>5158</v>
      </c>
      <c r="JK43" s="122"/>
      <c r="JL43" s="125"/>
      <c r="JM43" s="358"/>
      <c r="JN43" s="125"/>
      <c r="JO43" s="125"/>
      <c r="JP43" s="125"/>
    </row>
    <row r="44" spans="1:276" x14ac:dyDescent="0.25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/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/>
      <c r="DL44" s="122"/>
      <c r="DM44" s="122"/>
      <c r="DN44" s="122"/>
      <c r="DO44" s="122"/>
      <c r="DP44" s="122"/>
      <c r="DQ44" s="122"/>
      <c r="DR44" s="122"/>
      <c r="DS44" s="122"/>
      <c r="DT44" s="122"/>
      <c r="DU44" s="122"/>
      <c r="DV44" s="122"/>
      <c r="DW44" s="122"/>
      <c r="DX44" s="122"/>
      <c r="DY44" s="122"/>
      <c r="DZ44" s="122"/>
      <c r="EA44" s="122"/>
      <c r="EB44" s="122"/>
      <c r="EC44" s="122"/>
      <c r="ED44" s="122"/>
      <c r="EE44" s="122"/>
      <c r="EF44" s="122"/>
      <c r="EG44" s="122"/>
      <c r="EH44" s="122"/>
      <c r="EI44" s="122"/>
      <c r="EJ44" s="122"/>
      <c r="EK44" s="122"/>
      <c r="EL44" s="122"/>
      <c r="EM44" s="122"/>
      <c r="EN44" s="122"/>
      <c r="EO44" s="122"/>
      <c r="EP44" s="122"/>
      <c r="EQ44" s="122"/>
      <c r="ER44" s="122"/>
      <c r="ES44" s="122"/>
      <c r="ET44" s="122"/>
      <c r="EU44" s="122"/>
      <c r="EV44" s="122"/>
      <c r="EW44" s="122"/>
      <c r="EX44" s="122"/>
      <c r="EY44" s="122"/>
      <c r="EZ44" s="122"/>
      <c r="FA44" s="122"/>
      <c r="FB44" s="122"/>
      <c r="FC44" s="122"/>
      <c r="FD44" s="122"/>
      <c r="FE44" s="122"/>
      <c r="FF44" s="122"/>
      <c r="FG44" s="122"/>
      <c r="FH44" s="122"/>
      <c r="FI44" s="122"/>
      <c r="FJ44" s="122">
        <v>753004.12</v>
      </c>
      <c r="FK44" s="122"/>
      <c r="FL44" s="122"/>
      <c r="FM44" s="122"/>
      <c r="FN44" s="122"/>
      <c r="FO44" s="122"/>
      <c r="FP44" s="122"/>
      <c r="FQ44" s="122">
        <v>86005</v>
      </c>
      <c r="FR44" s="122"/>
      <c r="FS44" s="122"/>
      <c r="FT44" s="122"/>
      <c r="FU44" s="122"/>
      <c r="FV44" s="122"/>
      <c r="FW44" s="122"/>
      <c r="FX44" s="122"/>
      <c r="FY44" s="122"/>
      <c r="FZ44" s="122"/>
      <c r="GA44" s="122"/>
      <c r="GB44" s="122"/>
      <c r="GC44" s="122"/>
      <c r="GD44" s="122"/>
      <c r="GE44" s="122"/>
      <c r="GF44" s="122"/>
      <c r="GG44" s="122"/>
      <c r="GH44" s="122"/>
      <c r="GI44" s="122"/>
      <c r="GJ44" s="122"/>
      <c r="GK44" s="122"/>
      <c r="GL44" s="122"/>
      <c r="GM44" s="122"/>
      <c r="GN44" s="122"/>
      <c r="GO44" s="122"/>
      <c r="GP44" s="122"/>
      <c r="GQ44" s="122"/>
      <c r="GR44" s="122"/>
      <c r="GS44" s="122"/>
      <c r="GT44" s="122"/>
      <c r="GU44" s="122"/>
      <c r="GV44" s="122"/>
      <c r="GW44" s="122"/>
      <c r="GX44" s="122"/>
      <c r="GY44" s="122"/>
      <c r="GZ44" s="122"/>
      <c r="HA44" s="122"/>
      <c r="HB44" s="122"/>
      <c r="HC44" s="122"/>
      <c r="HD44" s="122"/>
      <c r="HE44" s="122"/>
      <c r="HF44" s="122"/>
      <c r="HG44" s="122"/>
      <c r="HH44" s="122"/>
      <c r="HI44" s="122"/>
      <c r="HJ44" s="122"/>
      <c r="HK44" s="122"/>
      <c r="HL44" s="122"/>
      <c r="HM44" s="122"/>
      <c r="HN44" s="122"/>
      <c r="HO44" s="122"/>
      <c r="HP44" s="122"/>
      <c r="HQ44" s="122"/>
      <c r="HR44" s="122"/>
      <c r="HS44" s="122"/>
      <c r="HT44" s="122"/>
      <c r="HU44" s="122"/>
      <c r="HV44" s="122"/>
      <c r="HW44" s="122"/>
      <c r="HX44" s="122"/>
      <c r="HY44" s="122"/>
      <c r="HZ44" s="122"/>
      <c r="IA44" s="122"/>
      <c r="IB44" s="122"/>
      <c r="IC44" s="122"/>
      <c r="ID44" s="122"/>
      <c r="IE44" s="122"/>
      <c r="IF44" s="122"/>
      <c r="IG44" s="122"/>
      <c r="IH44" s="122"/>
      <c r="II44" s="122"/>
      <c r="IJ44" s="122"/>
      <c r="IK44" s="122"/>
      <c r="IL44" s="122"/>
      <c r="IM44" s="122"/>
      <c r="IN44" s="122"/>
      <c r="IO44" s="122"/>
      <c r="IP44" s="122"/>
      <c r="IQ44" s="122"/>
      <c r="IR44" s="122"/>
      <c r="IS44" s="122"/>
      <c r="IT44" s="122"/>
      <c r="IU44" s="122"/>
      <c r="IV44" s="122"/>
      <c r="IW44" s="122"/>
      <c r="IX44" s="122"/>
      <c r="IY44" s="122"/>
      <c r="IZ44" s="122"/>
      <c r="JA44" s="122"/>
      <c r="JB44" s="122"/>
      <c r="JC44" s="122"/>
      <c r="JD44" s="122"/>
      <c r="JE44" s="122"/>
      <c r="JF44" s="122"/>
      <c r="JG44" s="122"/>
      <c r="JH44" s="122"/>
      <c r="JI44" s="119">
        <f t="shared" si="0"/>
        <v>839009.12</v>
      </c>
      <c r="JJ44" s="2">
        <v>5162</v>
      </c>
      <c r="JK44" s="122"/>
      <c r="JL44" s="125"/>
      <c r="JM44" s="358"/>
      <c r="JN44" s="125"/>
      <c r="JO44" s="125"/>
      <c r="JP44" s="125"/>
    </row>
    <row r="45" spans="1:276" x14ac:dyDescent="0.25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>
        <v>9000</v>
      </c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122"/>
      <c r="BS45" s="122"/>
      <c r="BT45" s="122"/>
      <c r="BU45" s="122"/>
      <c r="BV45" s="122"/>
      <c r="BW45" s="122"/>
      <c r="BX45" s="122"/>
      <c r="BY45" s="122"/>
      <c r="BZ45" s="122"/>
      <c r="CA45" s="122"/>
      <c r="CB45" s="122"/>
      <c r="CC45" s="122"/>
      <c r="CD45" s="122"/>
      <c r="CE45" s="122"/>
      <c r="CF45" s="122"/>
      <c r="CG45" s="122"/>
      <c r="CH45" s="122"/>
      <c r="CI45" s="122"/>
      <c r="CJ45" s="122"/>
      <c r="CK45" s="122"/>
      <c r="CL45" s="122"/>
      <c r="CM45" s="122"/>
      <c r="CN45" s="122"/>
      <c r="CO45" s="122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  <c r="DN45" s="122"/>
      <c r="DO45" s="122"/>
      <c r="DP45" s="122"/>
      <c r="DQ45" s="122"/>
      <c r="DR45" s="122"/>
      <c r="DS45" s="122"/>
      <c r="DT45" s="122"/>
      <c r="DU45" s="122"/>
      <c r="DV45" s="122"/>
      <c r="DW45" s="122"/>
      <c r="DX45" s="122"/>
      <c r="DY45" s="122"/>
      <c r="DZ45" s="122"/>
      <c r="EA45" s="122"/>
      <c r="EB45" s="122"/>
      <c r="EC45" s="122"/>
      <c r="ED45" s="122"/>
      <c r="EE45" s="122"/>
      <c r="EF45" s="122"/>
      <c r="EG45" s="122"/>
      <c r="EH45" s="122"/>
      <c r="EI45" s="122"/>
      <c r="EJ45" s="122"/>
      <c r="EK45" s="122"/>
      <c r="EL45" s="122"/>
      <c r="EM45" s="122"/>
      <c r="EN45" s="122"/>
      <c r="EO45" s="122"/>
      <c r="EP45" s="122"/>
      <c r="EQ45" s="122"/>
      <c r="ER45" s="122"/>
      <c r="ES45" s="122"/>
      <c r="ET45" s="122"/>
      <c r="EU45" s="122"/>
      <c r="EV45" s="122"/>
      <c r="EW45" s="122"/>
      <c r="EX45" s="122"/>
      <c r="EY45" s="122"/>
      <c r="EZ45" s="122"/>
      <c r="FA45" s="122"/>
      <c r="FB45" s="122"/>
      <c r="FC45" s="122"/>
      <c r="FD45" s="122"/>
      <c r="FE45" s="122"/>
      <c r="FF45" s="122"/>
      <c r="FG45" s="122"/>
      <c r="FH45" s="122"/>
      <c r="FI45" s="122"/>
      <c r="FJ45" s="122"/>
      <c r="FK45" s="122"/>
      <c r="FL45" s="122"/>
      <c r="FM45" s="122"/>
      <c r="FN45" s="122"/>
      <c r="FO45" s="122"/>
      <c r="FP45" s="122"/>
      <c r="FQ45" s="122"/>
      <c r="FR45" s="122"/>
      <c r="FS45" s="122"/>
      <c r="FT45" s="122"/>
      <c r="FU45" s="122"/>
      <c r="FV45" s="122"/>
      <c r="FW45" s="122"/>
      <c r="FX45" s="122"/>
      <c r="FY45" s="122"/>
      <c r="FZ45" s="122"/>
      <c r="GA45" s="122"/>
      <c r="GB45" s="122"/>
      <c r="GC45" s="122"/>
      <c r="GD45" s="122"/>
      <c r="GE45" s="122"/>
      <c r="GF45" s="122"/>
      <c r="GG45" s="122"/>
      <c r="GH45" s="122"/>
      <c r="GI45" s="122"/>
      <c r="GJ45" s="122"/>
      <c r="GK45" s="122"/>
      <c r="GL45" s="122"/>
      <c r="GM45" s="122"/>
      <c r="GN45" s="122"/>
      <c r="GO45" s="122"/>
      <c r="GP45" s="122"/>
      <c r="GQ45" s="122"/>
      <c r="GR45" s="122"/>
      <c r="GS45" s="122"/>
      <c r="GT45" s="122"/>
      <c r="GU45" s="122"/>
      <c r="GV45" s="122"/>
      <c r="GW45" s="122"/>
      <c r="GX45" s="122"/>
      <c r="GY45" s="122"/>
      <c r="GZ45" s="122"/>
      <c r="HA45" s="122"/>
      <c r="HB45" s="122"/>
      <c r="HC45" s="122"/>
      <c r="HD45" s="122"/>
      <c r="HE45" s="122"/>
      <c r="HF45" s="122"/>
      <c r="HG45" s="122"/>
      <c r="HH45" s="122"/>
      <c r="HI45" s="122"/>
      <c r="HJ45" s="122"/>
      <c r="HK45" s="122"/>
      <c r="HL45" s="122"/>
      <c r="HM45" s="122"/>
      <c r="HN45" s="122"/>
      <c r="HO45" s="122"/>
      <c r="HP45" s="122"/>
      <c r="HQ45" s="122"/>
      <c r="HR45" s="122"/>
      <c r="HS45" s="122"/>
      <c r="HT45" s="122"/>
      <c r="HU45" s="122"/>
      <c r="HV45" s="122"/>
      <c r="HW45" s="122"/>
      <c r="HX45" s="122"/>
      <c r="HY45" s="122"/>
      <c r="HZ45" s="122"/>
      <c r="IA45" s="122"/>
      <c r="IB45" s="122"/>
      <c r="IC45" s="122"/>
      <c r="ID45" s="122"/>
      <c r="IE45" s="122"/>
      <c r="IF45" s="122"/>
      <c r="IG45" s="122"/>
      <c r="IH45" s="122"/>
      <c r="II45" s="122"/>
      <c r="IJ45" s="122"/>
      <c r="IK45" s="122"/>
      <c r="IL45" s="122"/>
      <c r="IM45" s="122"/>
      <c r="IN45" s="122"/>
      <c r="IO45" s="122"/>
      <c r="IP45" s="122"/>
      <c r="IQ45" s="122"/>
      <c r="IR45" s="122"/>
      <c r="IS45" s="122"/>
      <c r="IT45" s="122"/>
      <c r="IU45" s="122"/>
      <c r="IV45" s="122"/>
      <c r="IW45" s="122"/>
      <c r="IX45" s="122"/>
      <c r="IY45" s="122"/>
      <c r="IZ45" s="122"/>
      <c r="JA45" s="122"/>
      <c r="JB45" s="122"/>
      <c r="JC45" s="122"/>
      <c r="JD45" s="122"/>
      <c r="JE45" s="122"/>
      <c r="JF45" s="122"/>
      <c r="JG45" s="122"/>
      <c r="JH45" s="122"/>
      <c r="JI45" s="119">
        <f t="shared" si="0"/>
        <v>9000</v>
      </c>
      <c r="JJ45" s="2">
        <v>5170</v>
      </c>
      <c r="JK45" s="122"/>
      <c r="JL45" s="125"/>
      <c r="JM45" s="358"/>
      <c r="JN45" s="125"/>
      <c r="JO45" s="125"/>
      <c r="JP45" s="125"/>
    </row>
    <row r="46" spans="1:276" x14ac:dyDescent="0.25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>
        <v>1132781.02</v>
      </c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122"/>
      <c r="CB46" s="122"/>
      <c r="CC46" s="122"/>
      <c r="CD46" s="122"/>
      <c r="CE46" s="122"/>
      <c r="CF46" s="122"/>
      <c r="CG46" s="122"/>
      <c r="CH46" s="122"/>
      <c r="CI46" s="122"/>
      <c r="CJ46" s="122"/>
      <c r="CK46" s="122"/>
      <c r="CL46" s="122"/>
      <c r="CM46" s="122"/>
      <c r="CN46" s="122"/>
      <c r="CO46" s="122"/>
      <c r="CP46" s="122"/>
      <c r="CQ46" s="122"/>
      <c r="CR46" s="122"/>
      <c r="CS46" s="122"/>
      <c r="CT46" s="122"/>
      <c r="CU46" s="122"/>
      <c r="CV46" s="122"/>
      <c r="CW46" s="122"/>
      <c r="CX46" s="122"/>
      <c r="CY46" s="122"/>
      <c r="CZ46" s="122"/>
      <c r="DA46" s="122"/>
      <c r="DB46" s="122"/>
      <c r="DC46" s="122"/>
      <c r="DD46" s="122"/>
      <c r="DE46" s="122"/>
      <c r="DF46" s="122"/>
      <c r="DG46" s="122"/>
      <c r="DH46" s="122"/>
      <c r="DI46" s="122"/>
      <c r="DJ46" s="122"/>
      <c r="DK46" s="122"/>
      <c r="DL46" s="122"/>
      <c r="DM46" s="122"/>
      <c r="DN46" s="122"/>
      <c r="DO46" s="122"/>
      <c r="DP46" s="122"/>
      <c r="DQ46" s="122"/>
      <c r="DR46" s="122"/>
      <c r="DS46" s="122"/>
      <c r="DT46" s="122"/>
      <c r="DU46" s="122"/>
      <c r="DV46" s="122"/>
      <c r="DW46" s="122"/>
      <c r="DX46" s="122"/>
      <c r="DY46" s="122"/>
      <c r="DZ46" s="122"/>
      <c r="EA46" s="122"/>
      <c r="EB46" s="122"/>
      <c r="EC46" s="122"/>
      <c r="ED46" s="122"/>
      <c r="EE46" s="122"/>
      <c r="EF46" s="122"/>
      <c r="EG46" s="122"/>
      <c r="EH46" s="122"/>
      <c r="EI46" s="122"/>
      <c r="EJ46" s="122"/>
      <c r="EK46" s="122"/>
      <c r="EL46" s="122"/>
      <c r="EM46" s="122"/>
      <c r="EN46" s="122"/>
      <c r="EO46" s="122"/>
      <c r="EP46" s="122"/>
      <c r="EQ46" s="122"/>
      <c r="ER46" s="122"/>
      <c r="ES46" s="122"/>
      <c r="ET46" s="122"/>
      <c r="EU46" s="122"/>
      <c r="EV46" s="122"/>
      <c r="EW46" s="122"/>
      <c r="EX46" s="122"/>
      <c r="EY46" s="122"/>
      <c r="EZ46" s="122"/>
      <c r="FA46" s="122"/>
      <c r="FB46" s="122"/>
      <c r="FC46" s="122"/>
      <c r="FD46" s="122"/>
      <c r="FE46" s="122"/>
      <c r="FF46" s="122"/>
      <c r="FG46" s="122"/>
      <c r="FH46" s="122"/>
      <c r="FI46" s="122"/>
      <c r="FJ46" s="122"/>
      <c r="FK46" s="122"/>
      <c r="FL46" s="122"/>
      <c r="FM46" s="122"/>
      <c r="FN46" s="122"/>
      <c r="FO46" s="122"/>
      <c r="FP46" s="122"/>
      <c r="FQ46" s="122"/>
      <c r="FR46" s="122"/>
      <c r="FS46" s="122"/>
      <c r="FT46" s="122"/>
      <c r="FU46" s="122"/>
      <c r="FV46" s="122"/>
      <c r="FW46" s="122"/>
      <c r="FX46" s="122"/>
      <c r="FY46" s="122"/>
      <c r="FZ46" s="122"/>
      <c r="GA46" s="122"/>
      <c r="GB46" s="122"/>
      <c r="GC46" s="122"/>
      <c r="GD46" s="122"/>
      <c r="GE46" s="122"/>
      <c r="GF46" s="122"/>
      <c r="GG46" s="122"/>
      <c r="GH46" s="122"/>
      <c r="GI46" s="122"/>
      <c r="GJ46" s="122"/>
      <c r="GK46" s="122"/>
      <c r="GL46" s="122"/>
      <c r="GM46" s="122"/>
      <c r="GN46" s="122"/>
      <c r="GO46" s="122"/>
      <c r="GP46" s="122"/>
      <c r="GQ46" s="122"/>
      <c r="GR46" s="122"/>
      <c r="GS46" s="122"/>
      <c r="GT46" s="122"/>
      <c r="GU46" s="122"/>
      <c r="GV46" s="122"/>
      <c r="GW46" s="122"/>
      <c r="GX46" s="122"/>
      <c r="GY46" s="122"/>
      <c r="GZ46" s="122"/>
      <c r="HA46" s="122"/>
      <c r="HB46" s="122"/>
      <c r="HC46" s="122"/>
      <c r="HD46" s="122"/>
      <c r="HE46" s="122"/>
      <c r="HF46" s="122"/>
      <c r="HG46" s="122"/>
      <c r="HH46" s="122"/>
      <c r="HI46" s="122"/>
      <c r="HJ46" s="122"/>
      <c r="HK46" s="122"/>
      <c r="HL46" s="122"/>
      <c r="HM46" s="122"/>
      <c r="HN46" s="122"/>
      <c r="HO46" s="122"/>
      <c r="HP46" s="122"/>
      <c r="HQ46" s="122"/>
      <c r="HR46" s="122"/>
      <c r="HS46" s="122"/>
      <c r="HT46" s="122"/>
      <c r="HU46" s="122"/>
      <c r="HV46" s="122"/>
      <c r="HW46" s="122"/>
      <c r="HX46" s="122"/>
      <c r="HY46" s="122"/>
      <c r="HZ46" s="122"/>
      <c r="IA46" s="122"/>
      <c r="IB46" s="122"/>
      <c r="IC46" s="122"/>
      <c r="ID46" s="122"/>
      <c r="IE46" s="122"/>
      <c r="IF46" s="122"/>
      <c r="IG46" s="122"/>
      <c r="IH46" s="122"/>
      <c r="II46" s="122"/>
      <c r="IJ46" s="122"/>
      <c r="IK46" s="122"/>
      <c r="IL46" s="122"/>
      <c r="IM46" s="122"/>
      <c r="IN46" s="122"/>
      <c r="IO46" s="122"/>
      <c r="IP46" s="122"/>
      <c r="IQ46" s="122"/>
      <c r="IR46" s="122"/>
      <c r="IS46" s="122"/>
      <c r="IT46" s="122"/>
      <c r="IU46" s="122"/>
      <c r="IV46" s="122"/>
      <c r="IW46" s="122"/>
      <c r="IX46" s="122"/>
      <c r="IY46" s="122"/>
      <c r="IZ46" s="122"/>
      <c r="JA46" s="122"/>
      <c r="JB46" s="122"/>
      <c r="JC46" s="122"/>
      <c r="JD46" s="122"/>
      <c r="JE46" s="122"/>
      <c r="JF46" s="122"/>
      <c r="JG46" s="122"/>
      <c r="JH46" s="122"/>
      <c r="JI46" s="119">
        <f t="shared" si="0"/>
        <v>1132781.02</v>
      </c>
      <c r="JJ46" s="2">
        <v>5172</v>
      </c>
      <c r="JK46" s="122"/>
      <c r="JL46" s="125"/>
      <c r="JM46" s="358"/>
      <c r="JN46" s="125"/>
      <c r="JO46" s="125"/>
      <c r="JP46" s="125"/>
    </row>
    <row r="47" spans="1:276" x14ac:dyDescent="0.25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>
        <v>1229710.47</v>
      </c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  <c r="BP47" s="122"/>
      <c r="BQ47" s="122"/>
      <c r="BR47" s="122"/>
      <c r="BS47" s="122"/>
      <c r="BT47" s="122"/>
      <c r="BU47" s="122"/>
      <c r="BV47" s="122"/>
      <c r="BW47" s="122"/>
      <c r="BX47" s="122"/>
      <c r="BY47" s="122"/>
      <c r="BZ47" s="122"/>
      <c r="CA47" s="122"/>
      <c r="CB47" s="122"/>
      <c r="CC47" s="122"/>
      <c r="CD47" s="122"/>
      <c r="CE47" s="122"/>
      <c r="CF47" s="122"/>
      <c r="CG47" s="122"/>
      <c r="CH47" s="122"/>
      <c r="CI47" s="122"/>
      <c r="CJ47" s="122"/>
      <c r="CK47" s="122"/>
      <c r="CL47" s="122"/>
      <c r="CM47" s="122"/>
      <c r="CN47" s="122"/>
      <c r="CO47" s="122"/>
      <c r="CP47" s="122"/>
      <c r="CQ47" s="122"/>
      <c r="CR47" s="122"/>
      <c r="CS47" s="122"/>
      <c r="CT47" s="122"/>
      <c r="CU47" s="122"/>
      <c r="CV47" s="122"/>
      <c r="CW47" s="122"/>
      <c r="CX47" s="122"/>
      <c r="CY47" s="122"/>
      <c r="CZ47" s="122"/>
      <c r="DA47" s="122"/>
      <c r="DB47" s="122"/>
      <c r="DC47" s="122"/>
      <c r="DD47" s="122"/>
      <c r="DE47" s="122"/>
      <c r="DF47" s="122"/>
      <c r="DG47" s="122"/>
      <c r="DH47" s="122"/>
      <c r="DI47" s="122"/>
      <c r="DJ47" s="122"/>
      <c r="DK47" s="122"/>
      <c r="DL47" s="122"/>
      <c r="DM47" s="122"/>
      <c r="DN47" s="122"/>
      <c r="DO47" s="122"/>
      <c r="DP47" s="122"/>
      <c r="DQ47" s="122"/>
      <c r="DR47" s="122"/>
      <c r="DS47" s="122"/>
      <c r="DT47" s="122"/>
      <c r="DU47" s="122"/>
      <c r="DV47" s="122"/>
      <c r="DW47" s="122"/>
      <c r="DX47" s="122"/>
      <c r="DY47" s="122"/>
      <c r="DZ47" s="122"/>
      <c r="EA47" s="122"/>
      <c r="EB47" s="122"/>
      <c r="EC47" s="122"/>
      <c r="ED47" s="122"/>
      <c r="EE47" s="122"/>
      <c r="EF47" s="122"/>
      <c r="EG47" s="122"/>
      <c r="EH47" s="122"/>
      <c r="EI47" s="122"/>
      <c r="EJ47" s="122"/>
      <c r="EK47" s="122"/>
      <c r="EL47" s="122"/>
      <c r="EM47" s="122"/>
      <c r="EN47" s="122"/>
      <c r="EO47" s="122"/>
      <c r="EP47" s="122"/>
      <c r="EQ47" s="122"/>
      <c r="ER47" s="122"/>
      <c r="ES47" s="122"/>
      <c r="ET47" s="122"/>
      <c r="EU47" s="122"/>
      <c r="EV47" s="122"/>
      <c r="EW47" s="122"/>
      <c r="EX47" s="122"/>
      <c r="EY47" s="122"/>
      <c r="EZ47" s="122"/>
      <c r="FA47" s="122"/>
      <c r="FB47" s="122"/>
      <c r="FC47" s="122"/>
      <c r="FD47" s="122"/>
      <c r="FE47" s="122"/>
      <c r="FF47" s="122"/>
      <c r="FG47" s="122"/>
      <c r="FH47" s="122"/>
      <c r="FI47" s="122"/>
      <c r="FJ47" s="122"/>
      <c r="FK47" s="122"/>
      <c r="FL47" s="122"/>
      <c r="FM47" s="122"/>
      <c r="FN47" s="122"/>
      <c r="FO47" s="122"/>
      <c r="FP47" s="122"/>
      <c r="FQ47" s="122"/>
      <c r="FR47" s="122"/>
      <c r="FS47" s="122"/>
      <c r="FT47" s="122"/>
      <c r="FU47" s="122"/>
      <c r="FV47" s="122"/>
      <c r="FW47" s="122"/>
      <c r="FX47" s="122"/>
      <c r="FY47" s="122"/>
      <c r="FZ47" s="122"/>
      <c r="GA47" s="122"/>
      <c r="GB47" s="122"/>
      <c r="GC47" s="122"/>
      <c r="GD47" s="122"/>
      <c r="GE47" s="122"/>
      <c r="GF47" s="122"/>
      <c r="GG47" s="122"/>
      <c r="GH47" s="122"/>
      <c r="GI47" s="122"/>
      <c r="GJ47" s="122"/>
      <c r="GK47" s="122"/>
      <c r="GL47" s="122"/>
      <c r="GM47" s="122"/>
      <c r="GN47" s="122"/>
      <c r="GO47" s="122"/>
      <c r="GP47" s="122"/>
      <c r="GQ47" s="122"/>
      <c r="GR47" s="122"/>
      <c r="GS47" s="122"/>
      <c r="GT47" s="122"/>
      <c r="GU47" s="122"/>
      <c r="GV47" s="122"/>
      <c r="GW47" s="122"/>
      <c r="GX47" s="122"/>
      <c r="GY47" s="122"/>
      <c r="GZ47" s="122"/>
      <c r="HA47" s="122"/>
      <c r="HB47" s="122"/>
      <c r="HC47" s="122"/>
      <c r="HD47" s="122"/>
      <c r="HE47" s="122"/>
      <c r="HF47" s="122"/>
      <c r="HG47" s="122"/>
      <c r="HH47" s="122"/>
      <c r="HI47" s="122"/>
      <c r="HJ47" s="122"/>
      <c r="HK47" s="122"/>
      <c r="HL47" s="122"/>
      <c r="HM47" s="122"/>
      <c r="HN47" s="122"/>
      <c r="HO47" s="122"/>
      <c r="HP47" s="122"/>
      <c r="HQ47" s="122"/>
      <c r="HR47" s="122"/>
      <c r="HS47" s="122"/>
      <c r="HT47" s="122"/>
      <c r="HU47" s="122"/>
      <c r="HV47" s="122"/>
      <c r="HW47" s="122"/>
      <c r="HX47" s="122"/>
      <c r="HY47" s="122"/>
      <c r="HZ47" s="122"/>
      <c r="IA47" s="122"/>
      <c r="IB47" s="122"/>
      <c r="IC47" s="122"/>
      <c r="ID47" s="122"/>
      <c r="IE47" s="122"/>
      <c r="IF47" s="122"/>
      <c r="IG47" s="122"/>
      <c r="IH47" s="122"/>
      <c r="II47" s="122"/>
      <c r="IJ47" s="122"/>
      <c r="IK47" s="122"/>
      <c r="IL47" s="122"/>
      <c r="IM47" s="122"/>
      <c r="IN47" s="122"/>
      <c r="IO47" s="122"/>
      <c r="IP47" s="122"/>
      <c r="IQ47" s="122"/>
      <c r="IR47" s="122"/>
      <c r="IS47" s="122"/>
      <c r="IT47" s="122"/>
      <c r="IU47" s="122"/>
      <c r="IV47" s="122"/>
      <c r="IW47" s="122"/>
      <c r="IX47" s="122"/>
      <c r="IY47" s="122"/>
      <c r="IZ47" s="122"/>
      <c r="JA47" s="122"/>
      <c r="JB47" s="122"/>
      <c r="JC47" s="122"/>
      <c r="JD47" s="122"/>
      <c r="JE47" s="122"/>
      <c r="JF47" s="122"/>
      <c r="JG47" s="122"/>
      <c r="JH47" s="122"/>
      <c r="JI47" s="119">
        <f t="shared" si="0"/>
        <v>1229710.47</v>
      </c>
      <c r="JJ47" s="2">
        <v>5174</v>
      </c>
      <c r="JK47" s="122"/>
      <c r="JL47" s="125"/>
      <c r="JM47" s="358"/>
      <c r="JN47" s="125"/>
      <c r="JO47" s="125"/>
      <c r="JP47" s="125"/>
    </row>
    <row r="48" spans="1:276" x14ac:dyDescent="0.25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>
        <v>57796367.210000001</v>
      </c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  <c r="BP48" s="122"/>
      <c r="BQ48" s="122"/>
      <c r="BR48" s="122"/>
      <c r="BS48" s="122"/>
      <c r="BT48" s="122"/>
      <c r="BU48" s="122"/>
      <c r="BV48" s="122"/>
      <c r="BW48" s="122"/>
      <c r="BX48" s="122"/>
      <c r="BY48" s="122"/>
      <c r="BZ48" s="122"/>
      <c r="CA48" s="122"/>
      <c r="CB48" s="122"/>
      <c r="CC48" s="122"/>
      <c r="CD48" s="122"/>
      <c r="CE48" s="122"/>
      <c r="CF48" s="122"/>
      <c r="CG48" s="122"/>
      <c r="CH48" s="122"/>
      <c r="CI48" s="122"/>
      <c r="CJ48" s="122"/>
      <c r="CK48" s="122"/>
      <c r="CL48" s="122"/>
      <c r="CM48" s="122"/>
      <c r="CN48" s="122"/>
      <c r="CO48" s="122"/>
      <c r="CP48" s="122"/>
      <c r="CQ48" s="122"/>
      <c r="CR48" s="122"/>
      <c r="CS48" s="122"/>
      <c r="CT48" s="122"/>
      <c r="CU48" s="122"/>
      <c r="CV48" s="122"/>
      <c r="CW48" s="122"/>
      <c r="CX48" s="122"/>
      <c r="CY48" s="122"/>
      <c r="CZ48" s="122"/>
      <c r="DA48" s="122"/>
      <c r="DB48" s="122"/>
      <c r="DC48" s="122"/>
      <c r="DD48" s="122"/>
      <c r="DE48" s="122"/>
      <c r="DF48" s="122"/>
      <c r="DG48" s="122"/>
      <c r="DH48" s="122"/>
      <c r="DI48" s="122"/>
      <c r="DJ48" s="122"/>
      <c r="DK48" s="122"/>
      <c r="DL48" s="122"/>
      <c r="DM48" s="122"/>
      <c r="DN48" s="122"/>
      <c r="DO48" s="122"/>
      <c r="DP48" s="122"/>
      <c r="DQ48" s="122"/>
      <c r="DR48" s="122"/>
      <c r="DS48" s="122"/>
      <c r="DT48" s="122"/>
      <c r="DU48" s="122"/>
      <c r="DV48" s="122"/>
      <c r="DW48" s="122"/>
      <c r="DX48" s="122"/>
      <c r="DY48" s="122"/>
      <c r="DZ48" s="122"/>
      <c r="EA48" s="122"/>
      <c r="EB48" s="122"/>
      <c r="EC48" s="122"/>
      <c r="ED48" s="122"/>
      <c r="EE48" s="122"/>
      <c r="EF48" s="122"/>
      <c r="EG48" s="122"/>
      <c r="EH48" s="122"/>
      <c r="EI48" s="122"/>
      <c r="EJ48" s="122"/>
      <c r="EK48" s="122"/>
      <c r="EL48" s="122"/>
      <c r="EM48" s="122"/>
      <c r="EN48" s="122"/>
      <c r="EO48" s="122"/>
      <c r="EP48" s="122"/>
      <c r="EQ48" s="122"/>
      <c r="ER48" s="122"/>
      <c r="ES48" s="122"/>
      <c r="ET48" s="122"/>
      <c r="EU48" s="122"/>
      <c r="EV48" s="122"/>
      <c r="EW48" s="122"/>
      <c r="EX48" s="122"/>
      <c r="EY48" s="122"/>
      <c r="EZ48" s="122"/>
      <c r="FA48" s="122"/>
      <c r="FB48" s="122"/>
      <c r="FC48" s="122"/>
      <c r="FD48" s="122"/>
      <c r="FE48" s="122"/>
      <c r="FF48" s="122"/>
      <c r="FG48" s="122"/>
      <c r="FH48" s="122"/>
      <c r="FI48" s="122"/>
      <c r="FJ48" s="122"/>
      <c r="FK48" s="122"/>
      <c r="FL48" s="122"/>
      <c r="FM48" s="122"/>
      <c r="FN48" s="122"/>
      <c r="FO48" s="122"/>
      <c r="FP48" s="122"/>
      <c r="FQ48" s="122"/>
      <c r="FR48" s="122"/>
      <c r="FS48" s="122"/>
      <c r="FT48" s="122"/>
      <c r="FU48" s="122"/>
      <c r="FV48" s="122"/>
      <c r="FW48" s="122"/>
      <c r="FX48" s="122"/>
      <c r="FY48" s="122"/>
      <c r="FZ48" s="122"/>
      <c r="GA48" s="122"/>
      <c r="GB48" s="122"/>
      <c r="GC48" s="122"/>
      <c r="GD48" s="122"/>
      <c r="GE48" s="122"/>
      <c r="GF48" s="122"/>
      <c r="GG48" s="122"/>
      <c r="GH48" s="122"/>
      <c r="GI48" s="122"/>
      <c r="GJ48" s="122"/>
      <c r="GK48" s="122"/>
      <c r="GL48" s="122"/>
      <c r="GM48" s="122"/>
      <c r="GN48" s="122"/>
      <c r="GO48" s="122"/>
      <c r="GP48" s="122"/>
      <c r="GQ48" s="122"/>
      <c r="GR48" s="122"/>
      <c r="GS48" s="122"/>
      <c r="GT48" s="122"/>
      <c r="GU48" s="122"/>
      <c r="GV48" s="122"/>
      <c r="GW48" s="122"/>
      <c r="GX48" s="122"/>
      <c r="GY48" s="122"/>
      <c r="GZ48" s="122"/>
      <c r="HA48" s="122"/>
      <c r="HB48" s="122"/>
      <c r="HC48" s="122"/>
      <c r="HD48" s="122"/>
      <c r="HE48" s="122"/>
      <c r="HF48" s="122"/>
      <c r="HG48" s="122"/>
      <c r="HH48" s="122"/>
      <c r="HI48" s="122"/>
      <c r="HJ48" s="122"/>
      <c r="HK48" s="122"/>
      <c r="HL48" s="122"/>
      <c r="HM48" s="122"/>
      <c r="HN48" s="122"/>
      <c r="HO48" s="122"/>
      <c r="HP48" s="122"/>
      <c r="HQ48" s="122"/>
      <c r="HR48" s="122"/>
      <c r="HS48" s="122"/>
      <c r="HT48" s="122"/>
      <c r="HU48" s="122"/>
      <c r="HV48" s="122"/>
      <c r="HW48" s="122"/>
      <c r="HX48" s="122"/>
      <c r="HY48" s="122"/>
      <c r="HZ48" s="122"/>
      <c r="IA48" s="122"/>
      <c r="IB48" s="122"/>
      <c r="IC48" s="122"/>
      <c r="ID48" s="122"/>
      <c r="IE48" s="122"/>
      <c r="IF48" s="122"/>
      <c r="IG48" s="122"/>
      <c r="IH48" s="122"/>
      <c r="II48" s="122"/>
      <c r="IJ48" s="122"/>
      <c r="IK48" s="122"/>
      <c r="IL48" s="122"/>
      <c r="IM48" s="122"/>
      <c r="IN48" s="122"/>
      <c r="IO48" s="122"/>
      <c r="IP48" s="122"/>
      <c r="IQ48" s="122"/>
      <c r="IR48" s="122"/>
      <c r="IS48" s="122"/>
      <c r="IT48" s="122"/>
      <c r="IU48" s="122"/>
      <c r="IV48" s="122"/>
      <c r="IW48" s="122"/>
      <c r="IX48" s="122"/>
      <c r="IY48" s="122"/>
      <c r="IZ48" s="122"/>
      <c r="JA48" s="122"/>
      <c r="JB48" s="122"/>
      <c r="JC48" s="122"/>
      <c r="JD48" s="122"/>
      <c r="JE48" s="122"/>
      <c r="JF48" s="122"/>
      <c r="JG48" s="122"/>
      <c r="JH48" s="122"/>
      <c r="JI48" s="119">
        <f t="shared" si="0"/>
        <v>57796367.210000001</v>
      </c>
      <c r="JJ48" s="2">
        <v>5176</v>
      </c>
      <c r="JK48" s="122"/>
      <c r="JL48" s="125"/>
      <c r="JM48" s="358"/>
      <c r="JN48" s="125"/>
      <c r="JO48" s="125"/>
      <c r="JP48" s="125"/>
    </row>
    <row r="49" spans="1:276" x14ac:dyDescent="0.25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>
        <v>45000</v>
      </c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/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  <c r="DW49" s="122"/>
      <c r="DX49" s="122"/>
      <c r="DY49" s="122"/>
      <c r="DZ49" s="122"/>
      <c r="EA49" s="122"/>
      <c r="EB49" s="122"/>
      <c r="EC49" s="122"/>
      <c r="ED49" s="122"/>
      <c r="EE49" s="122"/>
      <c r="EF49" s="122"/>
      <c r="EG49" s="122"/>
      <c r="EH49" s="122"/>
      <c r="EI49" s="122"/>
      <c r="EJ49" s="122"/>
      <c r="EK49" s="122"/>
      <c r="EL49" s="122"/>
      <c r="EM49" s="122"/>
      <c r="EN49" s="122"/>
      <c r="EO49" s="122"/>
      <c r="EP49" s="122"/>
      <c r="EQ49" s="122"/>
      <c r="ER49" s="122"/>
      <c r="ES49" s="122"/>
      <c r="ET49" s="122"/>
      <c r="EU49" s="122"/>
      <c r="EV49" s="122"/>
      <c r="EW49" s="122"/>
      <c r="EX49" s="122"/>
      <c r="EY49" s="122"/>
      <c r="EZ49" s="122"/>
      <c r="FA49" s="122"/>
      <c r="FB49" s="122"/>
      <c r="FC49" s="122"/>
      <c r="FD49" s="122"/>
      <c r="FE49" s="122"/>
      <c r="FF49" s="122"/>
      <c r="FG49" s="122"/>
      <c r="FH49" s="122"/>
      <c r="FI49" s="122"/>
      <c r="FJ49" s="122"/>
      <c r="FK49" s="122"/>
      <c r="FL49" s="122"/>
      <c r="FM49" s="122"/>
      <c r="FN49" s="122"/>
      <c r="FO49" s="122"/>
      <c r="FP49" s="122"/>
      <c r="FQ49" s="122"/>
      <c r="FR49" s="122"/>
      <c r="FS49" s="122"/>
      <c r="FT49" s="122"/>
      <c r="FU49" s="122"/>
      <c r="FV49" s="122"/>
      <c r="FW49" s="122"/>
      <c r="FX49" s="122"/>
      <c r="FY49" s="122"/>
      <c r="FZ49" s="122"/>
      <c r="GA49" s="122"/>
      <c r="GB49" s="122"/>
      <c r="GC49" s="122"/>
      <c r="GD49" s="122"/>
      <c r="GE49" s="122"/>
      <c r="GF49" s="122"/>
      <c r="GG49" s="122"/>
      <c r="GH49" s="122"/>
      <c r="GI49" s="122"/>
      <c r="GJ49" s="122"/>
      <c r="GK49" s="122"/>
      <c r="GL49" s="122"/>
      <c r="GM49" s="122"/>
      <c r="GN49" s="122"/>
      <c r="GO49" s="122"/>
      <c r="GP49" s="122"/>
      <c r="GQ49" s="122"/>
      <c r="GR49" s="122"/>
      <c r="GS49" s="122"/>
      <c r="GT49" s="122"/>
      <c r="GU49" s="122"/>
      <c r="GV49" s="122"/>
      <c r="GW49" s="122"/>
      <c r="GX49" s="122"/>
      <c r="GY49" s="122"/>
      <c r="GZ49" s="122"/>
      <c r="HA49" s="122"/>
      <c r="HB49" s="122"/>
      <c r="HC49" s="122"/>
      <c r="HD49" s="122"/>
      <c r="HE49" s="122"/>
      <c r="HF49" s="122"/>
      <c r="HG49" s="122"/>
      <c r="HH49" s="122"/>
      <c r="HI49" s="122"/>
      <c r="HJ49" s="122"/>
      <c r="HK49" s="122"/>
      <c r="HL49" s="122"/>
      <c r="HM49" s="122"/>
      <c r="HN49" s="122"/>
      <c r="HO49" s="122"/>
      <c r="HP49" s="122"/>
      <c r="HQ49" s="122"/>
      <c r="HR49" s="122"/>
      <c r="HS49" s="122"/>
      <c r="HT49" s="122"/>
      <c r="HU49" s="122"/>
      <c r="HV49" s="122"/>
      <c r="HW49" s="122"/>
      <c r="HX49" s="122"/>
      <c r="HY49" s="122"/>
      <c r="HZ49" s="122"/>
      <c r="IA49" s="122"/>
      <c r="IB49" s="122"/>
      <c r="IC49" s="122"/>
      <c r="ID49" s="122"/>
      <c r="IE49" s="122"/>
      <c r="IF49" s="122"/>
      <c r="IG49" s="122"/>
      <c r="IH49" s="122"/>
      <c r="II49" s="122"/>
      <c r="IJ49" s="122"/>
      <c r="IK49" s="122"/>
      <c r="IL49" s="122"/>
      <c r="IM49" s="122"/>
      <c r="IN49" s="122"/>
      <c r="IO49" s="122"/>
      <c r="IP49" s="122"/>
      <c r="IQ49" s="122"/>
      <c r="IR49" s="122"/>
      <c r="IS49" s="122"/>
      <c r="IT49" s="122"/>
      <c r="IU49" s="122"/>
      <c r="IV49" s="122"/>
      <c r="IW49" s="122"/>
      <c r="IX49" s="122"/>
      <c r="IY49" s="122"/>
      <c r="IZ49" s="122"/>
      <c r="JA49" s="122"/>
      <c r="JB49" s="122"/>
      <c r="JC49" s="122"/>
      <c r="JD49" s="122"/>
      <c r="JE49" s="122"/>
      <c r="JF49" s="122"/>
      <c r="JG49" s="122"/>
      <c r="JH49" s="122"/>
      <c r="JI49" s="119">
        <f t="shared" si="0"/>
        <v>45000</v>
      </c>
      <c r="JJ49" s="2">
        <v>5178</v>
      </c>
      <c r="JK49" s="122"/>
      <c r="JL49" s="125"/>
      <c r="JM49" s="358"/>
      <c r="JN49" s="125"/>
      <c r="JO49" s="125"/>
      <c r="JP49" s="125"/>
    </row>
    <row r="50" spans="1:276" x14ac:dyDescent="0.25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22"/>
      <c r="DS50" s="122"/>
      <c r="DT50" s="122"/>
      <c r="DU50" s="122"/>
      <c r="DV50" s="122"/>
      <c r="DW50" s="122"/>
      <c r="DX50" s="122"/>
      <c r="DY50" s="122"/>
      <c r="DZ50" s="122"/>
      <c r="EA50" s="122">
        <v>240000</v>
      </c>
      <c r="EB50" s="122"/>
      <c r="EC50" s="122"/>
      <c r="ED50" s="122"/>
      <c r="EE50" s="122"/>
      <c r="EF50" s="122"/>
      <c r="EG50" s="122"/>
      <c r="EH50" s="122"/>
      <c r="EI50" s="122"/>
      <c r="EJ50" s="122"/>
      <c r="EK50" s="122"/>
      <c r="EL50" s="122"/>
      <c r="EM50" s="122"/>
      <c r="EN50" s="122"/>
      <c r="EO50" s="122"/>
      <c r="EP50" s="122"/>
      <c r="EQ50" s="122"/>
      <c r="ER50" s="122"/>
      <c r="ES50" s="122"/>
      <c r="ET50" s="122"/>
      <c r="EU50" s="122"/>
      <c r="EV50" s="122"/>
      <c r="EW50" s="122"/>
      <c r="EX50" s="122"/>
      <c r="EY50" s="122"/>
      <c r="EZ50" s="122"/>
      <c r="FA50" s="122"/>
      <c r="FB50" s="122"/>
      <c r="FC50" s="122"/>
      <c r="FD50" s="122"/>
      <c r="FE50" s="122"/>
      <c r="FF50" s="122"/>
      <c r="FG50" s="122"/>
      <c r="FH50" s="122"/>
      <c r="FI50" s="122"/>
      <c r="FJ50" s="122"/>
      <c r="FK50" s="122"/>
      <c r="FL50" s="122"/>
      <c r="FM50" s="122"/>
      <c r="FN50" s="122"/>
      <c r="FO50" s="122"/>
      <c r="FP50" s="122"/>
      <c r="FQ50" s="122"/>
      <c r="FR50" s="122"/>
      <c r="FS50" s="122"/>
      <c r="FT50" s="122"/>
      <c r="FU50" s="122"/>
      <c r="FV50" s="122"/>
      <c r="FW50" s="122"/>
      <c r="FX50" s="122"/>
      <c r="FY50" s="122"/>
      <c r="FZ50" s="122"/>
      <c r="GA50" s="122"/>
      <c r="GB50" s="122"/>
      <c r="GC50" s="122"/>
      <c r="GD50" s="122"/>
      <c r="GE50" s="122"/>
      <c r="GF50" s="122"/>
      <c r="GG50" s="122"/>
      <c r="GH50" s="122"/>
      <c r="GI50" s="122"/>
      <c r="GJ50" s="122"/>
      <c r="GK50" s="122"/>
      <c r="GL50" s="122"/>
      <c r="GM50" s="122"/>
      <c r="GN50" s="122"/>
      <c r="GO50" s="122"/>
      <c r="GP50" s="122"/>
      <c r="GQ50" s="122"/>
      <c r="GR50" s="122"/>
      <c r="GS50" s="122"/>
      <c r="GT50" s="122"/>
      <c r="GU50" s="122"/>
      <c r="GV50" s="122"/>
      <c r="GW50" s="122"/>
      <c r="GX50" s="122"/>
      <c r="GY50" s="122"/>
      <c r="GZ50" s="122"/>
      <c r="HA50" s="122"/>
      <c r="HB50" s="122"/>
      <c r="HC50" s="122"/>
      <c r="HD50" s="122"/>
      <c r="HE50" s="122"/>
      <c r="HF50" s="122"/>
      <c r="HG50" s="122"/>
      <c r="HH50" s="122"/>
      <c r="HI50" s="122"/>
      <c r="HJ50" s="122"/>
      <c r="HK50" s="122"/>
      <c r="HL50" s="122"/>
      <c r="HM50" s="122"/>
      <c r="HN50" s="122"/>
      <c r="HO50" s="122"/>
      <c r="HP50" s="122"/>
      <c r="HQ50" s="122"/>
      <c r="HR50" s="122"/>
      <c r="HS50" s="122"/>
      <c r="HT50" s="122"/>
      <c r="HU50" s="122"/>
      <c r="HV50" s="122"/>
      <c r="HW50" s="122"/>
      <c r="HX50" s="122"/>
      <c r="HY50" s="122"/>
      <c r="HZ50" s="122"/>
      <c r="IA50" s="122"/>
      <c r="IB50" s="122"/>
      <c r="IC50" s="122"/>
      <c r="ID50" s="122"/>
      <c r="IE50" s="122"/>
      <c r="IF50" s="122"/>
      <c r="IG50" s="122"/>
      <c r="IH50" s="122"/>
      <c r="II50" s="122"/>
      <c r="IJ50" s="122"/>
      <c r="IK50" s="122"/>
      <c r="IL50" s="122"/>
      <c r="IM50" s="122"/>
      <c r="IN50" s="122"/>
      <c r="IO50" s="122"/>
      <c r="IP50" s="122"/>
      <c r="IQ50" s="122"/>
      <c r="IR50" s="122"/>
      <c r="IS50" s="122"/>
      <c r="IT50" s="122"/>
      <c r="IU50" s="122"/>
      <c r="IV50" s="122"/>
      <c r="IW50" s="122"/>
      <c r="IX50" s="122"/>
      <c r="IY50" s="122"/>
      <c r="IZ50" s="122"/>
      <c r="JA50" s="122"/>
      <c r="JB50" s="122"/>
      <c r="JC50" s="122"/>
      <c r="JD50" s="122"/>
      <c r="JE50" s="122"/>
      <c r="JF50" s="122"/>
      <c r="JG50" s="122"/>
      <c r="JH50" s="122"/>
      <c r="JI50" s="119">
        <f t="shared" si="0"/>
        <v>240000</v>
      </c>
      <c r="JJ50" s="2">
        <v>5184</v>
      </c>
      <c r="JK50" s="122"/>
      <c r="JL50" s="125"/>
      <c r="JM50" s="358"/>
      <c r="JN50" s="125"/>
      <c r="JO50" s="125"/>
      <c r="JP50" s="125"/>
    </row>
    <row r="51" spans="1:276" x14ac:dyDescent="0.25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>
        <v>1575209.38</v>
      </c>
      <c r="BX51" s="122"/>
      <c r="BY51" s="122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/>
      <c r="DL51" s="122"/>
      <c r="DM51" s="122"/>
      <c r="DN51" s="122"/>
      <c r="DO51" s="122"/>
      <c r="DP51" s="122"/>
      <c r="DQ51" s="122"/>
      <c r="DR51" s="122"/>
      <c r="DS51" s="122"/>
      <c r="DT51" s="122"/>
      <c r="DU51" s="122"/>
      <c r="DV51" s="122"/>
      <c r="DW51" s="122"/>
      <c r="DX51" s="122"/>
      <c r="DY51" s="122"/>
      <c r="DZ51" s="122"/>
      <c r="EA51" s="122"/>
      <c r="EB51" s="122"/>
      <c r="EC51" s="122"/>
      <c r="ED51" s="122"/>
      <c r="EE51" s="122"/>
      <c r="EF51" s="122"/>
      <c r="EG51" s="122"/>
      <c r="EH51" s="122"/>
      <c r="EI51" s="122"/>
      <c r="EJ51" s="122"/>
      <c r="EK51" s="122"/>
      <c r="EL51" s="122"/>
      <c r="EM51" s="122"/>
      <c r="EN51" s="122"/>
      <c r="EO51" s="122"/>
      <c r="EP51" s="122"/>
      <c r="EQ51" s="122"/>
      <c r="ER51" s="122"/>
      <c r="ES51" s="122"/>
      <c r="ET51" s="122"/>
      <c r="EU51" s="122"/>
      <c r="EV51" s="122"/>
      <c r="EW51" s="122"/>
      <c r="EX51" s="122"/>
      <c r="EY51" s="122"/>
      <c r="EZ51" s="122"/>
      <c r="FA51" s="122"/>
      <c r="FB51" s="122"/>
      <c r="FC51" s="122"/>
      <c r="FD51" s="122"/>
      <c r="FE51" s="122"/>
      <c r="FF51" s="122"/>
      <c r="FG51" s="122"/>
      <c r="FH51" s="122"/>
      <c r="FI51" s="122"/>
      <c r="FJ51" s="122"/>
      <c r="FK51" s="122"/>
      <c r="FL51" s="122"/>
      <c r="FM51" s="122"/>
      <c r="FN51" s="122"/>
      <c r="FO51" s="122"/>
      <c r="FP51" s="122"/>
      <c r="FQ51" s="122"/>
      <c r="FR51" s="122"/>
      <c r="FS51" s="122"/>
      <c r="FT51" s="122"/>
      <c r="FU51" s="122"/>
      <c r="FV51" s="122"/>
      <c r="FW51" s="122"/>
      <c r="FX51" s="122"/>
      <c r="FY51" s="122"/>
      <c r="FZ51" s="122"/>
      <c r="GA51" s="122"/>
      <c r="GB51" s="122"/>
      <c r="GC51" s="122"/>
      <c r="GD51" s="122"/>
      <c r="GE51" s="122"/>
      <c r="GF51" s="122"/>
      <c r="GG51" s="122"/>
      <c r="GH51" s="122"/>
      <c r="GI51" s="122"/>
      <c r="GJ51" s="122"/>
      <c r="GK51" s="122"/>
      <c r="GL51" s="122"/>
      <c r="GM51" s="122"/>
      <c r="GN51" s="122"/>
      <c r="GO51" s="122"/>
      <c r="GP51" s="122"/>
      <c r="GQ51" s="122"/>
      <c r="GR51" s="122"/>
      <c r="GS51" s="122"/>
      <c r="GT51" s="122"/>
      <c r="GU51" s="122"/>
      <c r="GV51" s="122"/>
      <c r="GW51" s="122"/>
      <c r="GX51" s="122"/>
      <c r="GY51" s="122"/>
      <c r="GZ51" s="122"/>
      <c r="HA51" s="122"/>
      <c r="HB51" s="122"/>
      <c r="HC51" s="122"/>
      <c r="HD51" s="122"/>
      <c r="HE51" s="122"/>
      <c r="HF51" s="122"/>
      <c r="HG51" s="122"/>
      <c r="HH51" s="122"/>
      <c r="HI51" s="122"/>
      <c r="HJ51" s="122"/>
      <c r="HK51" s="122"/>
      <c r="HL51" s="122"/>
      <c r="HM51" s="122"/>
      <c r="HN51" s="122"/>
      <c r="HO51" s="122"/>
      <c r="HP51" s="122"/>
      <c r="HQ51" s="122"/>
      <c r="HR51" s="122"/>
      <c r="HS51" s="122"/>
      <c r="HT51" s="122"/>
      <c r="HU51" s="122"/>
      <c r="HV51" s="122"/>
      <c r="HW51" s="122"/>
      <c r="HX51" s="122"/>
      <c r="HY51" s="122"/>
      <c r="HZ51" s="122"/>
      <c r="IA51" s="122"/>
      <c r="IB51" s="122"/>
      <c r="IC51" s="122"/>
      <c r="ID51" s="122"/>
      <c r="IE51" s="122"/>
      <c r="IF51" s="122"/>
      <c r="IG51" s="122"/>
      <c r="IH51" s="122"/>
      <c r="II51" s="122"/>
      <c r="IJ51" s="122"/>
      <c r="IK51" s="122"/>
      <c r="IL51" s="122"/>
      <c r="IM51" s="122"/>
      <c r="IN51" s="122"/>
      <c r="IO51" s="122"/>
      <c r="IP51" s="122"/>
      <c r="IQ51" s="122"/>
      <c r="IR51" s="122"/>
      <c r="IS51" s="122"/>
      <c r="IT51" s="122"/>
      <c r="IU51" s="122"/>
      <c r="IV51" s="122"/>
      <c r="IW51" s="122"/>
      <c r="IX51" s="122"/>
      <c r="IY51" s="122"/>
      <c r="IZ51" s="122"/>
      <c r="JA51" s="122"/>
      <c r="JB51" s="122"/>
      <c r="JC51" s="122"/>
      <c r="JD51" s="122"/>
      <c r="JE51" s="122"/>
      <c r="JF51" s="122"/>
      <c r="JG51" s="122"/>
      <c r="JH51" s="122"/>
      <c r="JI51" s="119">
        <f t="shared" si="0"/>
        <v>1575209.38</v>
      </c>
      <c r="JJ51" s="2">
        <v>5190</v>
      </c>
      <c r="JK51" s="122"/>
      <c r="JL51" s="125"/>
      <c r="JM51" s="358"/>
      <c r="JN51" s="125"/>
      <c r="JO51" s="125"/>
      <c r="JP51" s="125"/>
    </row>
    <row r="52" spans="1:276" x14ac:dyDescent="0.25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F52" s="122"/>
      <c r="CG52" s="122"/>
      <c r="CH52" s="122"/>
      <c r="CI52" s="122"/>
      <c r="CJ52" s="122"/>
      <c r="CK52" s="122"/>
      <c r="CL52" s="122"/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  <c r="DN52" s="122"/>
      <c r="DO52" s="122"/>
      <c r="DP52" s="122"/>
      <c r="DQ52" s="122"/>
      <c r="DR52" s="122"/>
      <c r="DS52" s="122"/>
      <c r="DT52" s="122"/>
      <c r="DU52" s="122"/>
      <c r="DV52" s="122">
        <v>224790</v>
      </c>
      <c r="DW52" s="122"/>
      <c r="DX52" s="122"/>
      <c r="DY52" s="122"/>
      <c r="DZ52" s="122"/>
      <c r="EA52" s="122"/>
      <c r="EB52" s="122"/>
      <c r="EC52" s="122"/>
      <c r="ED52" s="122"/>
      <c r="EE52" s="122"/>
      <c r="EF52" s="122"/>
      <c r="EG52" s="122"/>
      <c r="EH52" s="122"/>
      <c r="EI52" s="122"/>
      <c r="EJ52" s="122"/>
      <c r="EK52" s="122"/>
      <c r="EL52" s="122"/>
      <c r="EM52" s="122"/>
      <c r="EN52" s="122"/>
      <c r="EO52" s="122"/>
      <c r="EP52" s="122"/>
      <c r="EQ52" s="122"/>
      <c r="ER52" s="122"/>
      <c r="ES52" s="122"/>
      <c r="ET52" s="122"/>
      <c r="EU52" s="122"/>
      <c r="EV52" s="122"/>
      <c r="EW52" s="122"/>
      <c r="EX52" s="122"/>
      <c r="EY52" s="122"/>
      <c r="EZ52" s="122"/>
      <c r="FA52" s="122"/>
      <c r="FB52" s="122"/>
      <c r="FC52" s="122"/>
      <c r="FD52" s="122"/>
      <c r="FE52" s="122"/>
      <c r="FF52" s="122"/>
      <c r="FG52" s="122"/>
      <c r="FH52" s="122"/>
      <c r="FI52" s="122"/>
      <c r="FJ52" s="122"/>
      <c r="FK52" s="122"/>
      <c r="FL52" s="122"/>
      <c r="FM52" s="122"/>
      <c r="FN52" s="122"/>
      <c r="FO52" s="122"/>
      <c r="FP52" s="122"/>
      <c r="FQ52" s="122"/>
      <c r="FR52" s="122"/>
      <c r="FS52" s="122"/>
      <c r="FT52" s="122"/>
      <c r="FU52" s="122"/>
      <c r="FV52" s="122"/>
      <c r="FW52" s="122"/>
      <c r="FX52" s="122"/>
      <c r="FY52" s="122"/>
      <c r="FZ52" s="122"/>
      <c r="GA52" s="122"/>
      <c r="GB52" s="122"/>
      <c r="GC52" s="122"/>
      <c r="GD52" s="122"/>
      <c r="GE52" s="122"/>
      <c r="GF52" s="122"/>
      <c r="GG52" s="122"/>
      <c r="GH52" s="122"/>
      <c r="GI52" s="122"/>
      <c r="GJ52" s="122"/>
      <c r="GK52" s="122"/>
      <c r="GL52" s="122"/>
      <c r="GM52" s="122"/>
      <c r="GN52" s="122"/>
      <c r="GO52" s="122"/>
      <c r="GP52" s="122"/>
      <c r="GQ52" s="122"/>
      <c r="GR52" s="122"/>
      <c r="GS52" s="122"/>
      <c r="GT52" s="122"/>
      <c r="GU52" s="122"/>
      <c r="GV52" s="122"/>
      <c r="GW52" s="122"/>
      <c r="GX52" s="122"/>
      <c r="GY52" s="122"/>
      <c r="GZ52" s="122"/>
      <c r="HA52" s="122"/>
      <c r="HB52" s="122"/>
      <c r="HC52" s="122"/>
      <c r="HD52" s="122"/>
      <c r="HE52" s="122"/>
      <c r="HF52" s="122"/>
      <c r="HG52" s="122"/>
      <c r="HH52" s="122"/>
      <c r="HI52" s="122"/>
      <c r="HJ52" s="122"/>
      <c r="HK52" s="122"/>
      <c r="HL52" s="122"/>
      <c r="HM52" s="122"/>
      <c r="HN52" s="122"/>
      <c r="HO52" s="122"/>
      <c r="HP52" s="122"/>
      <c r="HQ52" s="122"/>
      <c r="HR52" s="122"/>
      <c r="HS52" s="122"/>
      <c r="HT52" s="122"/>
      <c r="HU52" s="122"/>
      <c r="HV52" s="122"/>
      <c r="HW52" s="122"/>
      <c r="HX52" s="122"/>
      <c r="HY52" s="122"/>
      <c r="HZ52" s="122"/>
      <c r="IA52" s="122"/>
      <c r="IB52" s="122"/>
      <c r="IC52" s="122"/>
      <c r="ID52" s="122"/>
      <c r="IE52" s="122"/>
      <c r="IF52" s="122"/>
      <c r="IG52" s="122"/>
      <c r="IH52" s="122"/>
      <c r="II52" s="122"/>
      <c r="IJ52" s="122"/>
      <c r="IK52" s="122"/>
      <c r="IL52" s="122"/>
      <c r="IM52" s="122"/>
      <c r="IN52" s="122"/>
      <c r="IO52" s="122"/>
      <c r="IP52" s="122"/>
      <c r="IQ52" s="122"/>
      <c r="IR52" s="122"/>
      <c r="IS52" s="122"/>
      <c r="IT52" s="122"/>
      <c r="IU52" s="122"/>
      <c r="IV52" s="122"/>
      <c r="IW52" s="122"/>
      <c r="IX52" s="122"/>
      <c r="IY52" s="122"/>
      <c r="IZ52" s="122"/>
      <c r="JA52" s="122"/>
      <c r="JB52" s="122"/>
      <c r="JC52" s="122"/>
      <c r="JD52" s="122"/>
      <c r="JE52" s="122"/>
      <c r="JF52" s="122"/>
      <c r="JG52" s="122"/>
      <c r="JH52" s="122"/>
      <c r="JI52" s="119">
        <f t="shared" si="0"/>
        <v>224790</v>
      </c>
      <c r="JJ52" s="2">
        <v>5197</v>
      </c>
      <c r="JK52" s="122"/>
      <c r="JL52" s="125"/>
      <c r="JM52" s="358"/>
      <c r="JN52" s="125"/>
      <c r="JO52" s="125"/>
      <c r="JP52" s="125"/>
    </row>
    <row r="53" spans="1:276" x14ac:dyDescent="0.25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  <c r="BP53" s="122"/>
      <c r="BQ53" s="122"/>
      <c r="BR53" s="122"/>
      <c r="BS53" s="122"/>
      <c r="BT53" s="122"/>
      <c r="BU53" s="122"/>
      <c r="BV53" s="122"/>
      <c r="BW53" s="122"/>
      <c r="BX53" s="122"/>
      <c r="BY53" s="122"/>
      <c r="BZ53" s="122"/>
      <c r="CA53" s="122"/>
      <c r="CB53" s="122"/>
      <c r="CC53" s="122"/>
      <c r="CD53" s="122"/>
      <c r="CE53" s="122"/>
      <c r="CF53" s="122"/>
      <c r="CG53" s="122"/>
      <c r="CH53" s="122"/>
      <c r="CI53" s="122"/>
      <c r="CJ53" s="122"/>
      <c r="CK53" s="122"/>
      <c r="CL53" s="122"/>
      <c r="CM53" s="122"/>
      <c r="CN53" s="122"/>
      <c r="CO53" s="122"/>
      <c r="CP53" s="122"/>
      <c r="CQ53" s="122"/>
      <c r="CR53" s="122"/>
      <c r="CS53" s="122"/>
      <c r="CT53" s="122"/>
      <c r="CU53" s="122"/>
      <c r="CV53" s="122"/>
      <c r="CW53" s="122"/>
      <c r="CX53" s="122"/>
      <c r="CY53" s="122"/>
      <c r="CZ53" s="122"/>
      <c r="DA53" s="122"/>
      <c r="DB53" s="122"/>
      <c r="DC53" s="122"/>
      <c r="DD53" s="122"/>
      <c r="DE53" s="122"/>
      <c r="DF53" s="122"/>
      <c r="DG53" s="122"/>
      <c r="DH53" s="122"/>
      <c r="DI53" s="122"/>
      <c r="DJ53" s="122"/>
      <c r="DK53" s="122"/>
      <c r="DL53" s="122"/>
      <c r="DM53" s="122"/>
      <c r="DN53" s="122"/>
      <c r="DO53" s="122"/>
      <c r="DP53" s="122"/>
      <c r="DQ53" s="122"/>
      <c r="DR53" s="122"/>
      <c r="DS53" s="122"/>
      <c r="DT53" s="122"/>
      <c r="DU53" s="122"/>
      <c r="DV53" s="122">
        <v>221958</v>
      </c>
      <c r="DW53" s="122"/>
      <c r="DX53" s="122"/>
      <c r="DY53" s="122"/>
      <c r="DZ53" s="122"/>
      <c r="EA53" s="122"/>
      <c r="EB53" s="122"/>
      <c r="EC53" s="122"/>
      <c r="ED53" s="122"/>
      <c r="EE53" s="122"/>
      <c r="EF53" s="122"/>
      <c r="EG53" s="122"/>
      <c r="EH53" s="122"/>
      <c r="EI53" s="122"/>
      <c r="EJ53" s="122"/>
      <c r="EK53" s="122"/>
      <c r="EL53" s="122"/>
      <c r="EM53" s="122"/>
      <c r="EN53" s="122"/>
      <c r="EO53" s="122"/>
      <c r="EP53" s="122"/>
      <c r="EQ53" s="122"/>
      <c r="ER53" s="122"/>
      <c r="ES53" s="122"/>
      <c r="ET53" s="122"/>
      <c r="EU53" s="122"/>
      <c r="EV53" s="122"/>
      <c r="EW53" s="122"/>
      <c r="EX53" s="122"/>
      <c r="EY53" s="122"/>
      <c r="EZ53" s="122"/>
      <c r="FA53" s="122"/>
      <c r="FB53" s="122"/>
      <c r="FC53" s="122"/>
      <c r="FD53" s="122"/>
      <c r="FE53" s="122"/>
      <c r="FF53" s="122"/>
      <c r="FG53" s="122"/>
      <c r="FH53" s="122"/>
      <c r="FI53" s="122"/>
      <c r="FJ53" s="122"/>
      <c r="FK53" s="122"/>
      <c r="FL53" s="122"/>
      <c r="FM53" s="122"/>
      <c r="FN53" s="122"/>
      <c r="FO53" s="122"/>
      <c r="FP53" s="122"/>
      <c r="FQ53" s="122"/>
      <c r="FR53" s="122"/>
      <c r="FS53" s="122"/>
      <c r="FT53" s="122"/>
      <c r="FU53" s="122"/>
      <c r="FV53" s="122"/>
      <c r="FW53" s="122"/>
      <c r="FX53" s="122"/>
      <c r="FY53" s="122"/>
      <c r="FZ53" s="122"/>
      <c r="GA53" s="122"/>
      <c r="GB53" s="122"/>
      <c r="GC53" s="122"/>
      <c r="GD53" s="122"/>
      <c r="GE53" s="122"/>
      <c r="GF53" s="122"/>
      <c r="GG53" s="122"/>
      <c r="GH53" s="122"/>
      <c r="GI53" s="122"/>
      <c r="GJ53" s="122"/>
      <c r="GK53" s="122"/>
      <c r="GL53" s="122"/>
      <c r="GM53" s="122"/>
      <c r="GN53" s="122"/>
      <c r="GO53" s="122"/>
      <c r="GP53" s="122"/>
      <c r="GQ53" s="122"/>
      <c r="GR53" s="122"/>
      <c r="GS53" s="122"/>
      <c r="GT53" s="122"/>
      <c r="GU53" s="122"/>
      <c r="GV53" s="122"/>
      <c r="GW53" s="122"/>
      <c r="GX53" s="122"/>
      <c r="GY53" s="122"/>
      <c r="GZ53" s="122"/>
      <c r="HA53" s="122"/>
      <c r="HB53" s="122"/>
      <c r="HC53" s="122"/>
      <c r="HD53" s="122"/>
      <c r="HE53" s="122"/>
      <c r="HF53" s="122"/>
      <c r="HG53" s="122"/>
      <c r="HH53" s="122"/>
      <c r="HI53" s="122"/>
      <c r="HJ53" s="122"/>
      <c r="HK53" s="122"/>
      <c r="HL53" s="122"/>
      <c r="HM53" s="122"/>
      <c r="HN53" s="122"/>
      <c r="HO53" s="122"/>
      <c r="HP53" s="122"/>
      <c r="HQ53" s="122"/>
      <c r="HR53" s="122"/>
      <c r="HS53" s="122"/>
      <c r="HT53" s="122"/>
      <c r="HU53" s="122"/>
      <c r="HV53" s="122"/>
      <c r="HW53" s="122"/>
      <c r="HX53" s="122"/>
      <c r="HY53" s="122"/>
      <c r="HZ53" s="122"/>
      <c r="IA53" s="122"/>
      <c r="IB53" s="122"/>
      <c r="IC53" s="122"/>
      <c r="ID53" s="122"/>
      <c r="IE53" s="122"/>
      <c r="IF53" s="122"/>
      <c r="IG53" s="122"/>
      <c r="IH53" s="122"/>
      <c r="II53" s="122"/>
      <c r="IJ53" s="122"/>
      <c r="IK53" s="122"/>
      <c r="IL53" s="122"/>
      <c r="IM53" s="122"/>
      <c r="IN53" s="122"/>
      <c r="IO53" s="122"/>
      <c r="IP53" s="122"/>
      <c r="IQ53" s="122"/>
      <c r="IR53" s="122"/>
      <c r="IS53" s="122"/>
      <c r="IT53" s="122"/>
      <c r="IU53" s="122"/>
      <c r="IV53" s="122"/>
      <c r="IW53" s="122"/>
      <c r="IX53" s="122"/>
      <c r="IY53" s="122"/>
      <c r="IZ53" s="122"/>
      <c r="JA53" s="122"/>
      <c r="JB53" s="122"/>
      <c r="JC53" s="122"/>
      <c r="JD53" s="122"/>
      <c r="JE53" s="122"/>
      <c r="JF53" s="122"/>
      <c r="JG53" s="122"/>
      <c r="JH53" s="122"/>
      <c r="JI53" s="119">
        <f t="shared" si="0"/>
        <v>221958</v>
      </c>
      <c r="JJ53" s="2">
        <v>5201</v>
      </c>
      <c r="JK53" s="122"/>
      <c r="JL53" s="125"/>
      <c r="JM53" s="358"/>
      <c r="JN53" s="125"/>
      <c r="JO53" s="125"/>
      <c r="JP53" s="125"/>
    </row>
    <row r="54" spans="1:276" x14ac:dyDescent="0.25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  <c r="BP54" s="122"/>
      <c r="BQ54" s="122"/>
      <c r="BR54" s="122"/>
      <c r="BS54" s="122"/>
      <c r="BT54" s="122"/>
      <c r="BU54" s="122"/>
      <c r="BV54" s="122"/>
      <c r="BW54" s="122"/>
      <c r="BX54" s="122"/>
      <c r="BY54" s="122"/>
      <c r="BZ54" s="122"/>
      <c r="CA54" s="122"/>
      <c r="CB54" s="122"/>
      <c r="CC54" s="122"/>
      <c r="CD54" s="122"/>
      <c r="CE54" s="122"/>
      <c r="CF54" s="122"/>
      <c r="CG54" s="122"/>
      <c r="CH54" s="122"/>
      <c r="CI54" s="122"/>
      <c r="CJ54" s="122"/>
      <c r="CK54" s="122"/>
      <c r="CL54" s="122"/>
      <c r="CM54" s="122"/>
      <c r="CN54" s="122"/>
      <c r="CO54" s="122"/>
      <c r="CP54" s="122"/>
      <c r="CQ54" s="122"/>
      <c r="CR54" s="122"/>
      <c r="CS54" s="122"/>
      <c r="CT54" s="122"/>
      <c r="CU54" s="122"/>
      <c r="CV54" s="122"/>
      <c r="CW54" s="122"/>
      <c r="CX54" s="122"/>
      <c r="CY54" s="122"/>
      <c r="CZ54" s="122"/>
      <c r="DA54" s="122"/>
      <c r="DB54" s="122"/>
      <c r="DC54" s="122"/>
      <c r="DD54" s="122"/>
      <c r="DE54" s="122"/>
      <c r="DF54" s="122"/>
      <c r="DG54" s="122"/>
      <c r="DH54" s="122"/>
      <c r="DI54" s="122"/>
      <c r="DJ54" s="122"/>
      <c r="DK54" s="122"/>
      <c r="DL54" s="122"/>
      <c r="DM54" s="122"/>
      <c r="DN54" s="122"/>
      <c r="DO54" s="122"/>
      <c r="DP54" s="122"/>
      <c r="DQ54" s="122"/>
      <c r="DR54" s="122"/>
      <c r="DS54" s="122"/>
      <c r="DT54" s="122"/>
      <c r="DU54" s="122"/>
      <c r="DV54" s="122"/>
      <c r="DW54" s="122">
        <v>196470</v>
      </c>
      <c r="DX54" s="122"/>
      <c r="DY54" s="122"/>
      <c r="DZ54" s="122"/>
      <c r="EA54" s="122"/>
      <c r="EB54" s="122"/>
      <c r="EC54" s="122"/>
      <c r="ED54" s="122"/>
      <c r="EE54" s="122"/>
      <c r="EF54" s="122"/>
      <c r="EG54" s="122"/>
      <c r="EH54" s="122"/>
      <c r="EI54" s="122"/>
      <c r="EJ54" s="122"/>
      <c r="EK54" s="122"/>
      <c r="EL54" s="122"/>
      <c r="EM54" s="122"/>
      <c r="EN54" s="122"/>
      <c r="EO54" s="122"/>
      <c r="EP54" s="122"/>
      <c r="EQ54" s="122"/>
      <c r="ER54" s="122"/>
      <c r="ES54" s="122"/>
      <c r="ET54" s="122"/>
      <c r="EU54" s="122"/>
      <c r="EV54" s="122"/>
      <c r="EW54" s="122"/>
      <c r="EX54" s="122"/>
      <c r="EY54" s="122"/>
      <c r="EZ54" s="122"/>
      <c r="FA54" s="122"/>
      <c r="FB54" s="122"/>
      <c r="FC54" s="122"/>
      <c r="FD54" s="122"/>
      <c r="FE54" s="122"/>
      <c r="FF54" s="122"/>
      <c r="FG54" s="122"/>
      <c r="FH54" s="122"/>
      <c r="FI54" s="122"/>
      <c r="FJ54" s="122"/>
      <c r="FK54" s="122"/>
      <c r="FL54" s="122"/>
      <c r="FM54" s="122"/>
      <c r="FN54" s="122"/>
      <c r="FO54" s="122"/>
      <c r="FP54" s="122"/>
      <c r="FQ54" s="122"/>
      <c r="FR54" s="122"/>
      <c r="FS54" s="122"/>
      <c r="FT54" s="122"/>
      <c r="FU54" s="122"/>
      <c r="FV54" s="122"/>
      <c r="FW54" s="122"/>
      <c r="FX54" s="122"/>
      <c r="FY54" s="122"/>
      <c r="FZ54" s="122"/>
      <c r="GA54" s="122"/>
      <c r="GB54" s="122"/>
      <c r="GC54" s="122"/>
      <c r="GD54" s="122"/>
      <c r="GE54" s="122"/>
      <c r="GF54" s="122"/>
      <c r="GG54" s="122"/>
      <c r="GH54" s="122"/>
      <c r="GI54" s="122"/>
      <c r="GJ54" s="122"/>
      <c r="GK54" s="122"/>
      <c r="GL54" s="122"/>
      <c r="GM54" s="122"/>
      <c r="GN54" s="122"/>
      <c r="GO54" s="122"/>
      <c r="GP54" s="122"/>
      <c r="GQ54" s="122"/>
      <c r="GR54" s="122"/>
      <c r="GS54" s="122"/>
      <c r="GT54" s="122"/>
      <c r="GU54" s="122"/>
      <c r="GV54" s="122"/>
      <c r="GW54" s="122"/>
      <c r="GX54" s="122"/>
      <c r="GY54" s="122"/>
      <c r="GZ54" s="122"/>
      <c r="HA54" s="122"/>
      <c r="HB54" s="122"/>
      <c r="HC54" s="122"/>
      <c r="HD54" s="122"/>
      <c r="HE54" s="122"/>
      <c r="HF54" s="122"/>
      <c r="HG54" s="122"/>
      <c r="HH54" s="122"/>
      <c r="HI54" s="122"/>
      <c r="HJ54" s="122"/>
      <c r="HK54" s="122"/>
      <c r="HL54" s="122"/>
      <c r="HM54" s="122"/>
      <c r="HN54" s="122"/>
      <c r="HO54" s="122"/>
      <c r="HP54" s="122"/>
      <c r="HQ54" s="122"/>
      <c r="HR54" s="122"/>
      <c r="HS54" s="122"/>
      <c r="HT54" s="122"/>
      <c r="HU54" s="122"/>
      <c r="HV54" s="122"/>
      <c r="HW54" s="122"/>
      <c r="HX54" s="122"/>
      <c r="HY54" s="122"/>
      <c r="HZ54" s="122"/>
      <c r="IA54" s="122"/>
      <c r="IB54" s="122"/>
      <c r="IC54" s="122"/>
      <c r="ID54" s="122"/>
      <c r="IE54" s="122"/>
      <c r="IF54" s="122"/>
      <c r="IG54" s="122"/>
      <c r="IH54" s="122"/>
      <c r="II54" s="122"/>
      <c r="IJ54" s="122"/>
      <c r="IK54" s="122"/>
      <c r="IL54" s="122"/>
      <c r="IM54" s="122"/>
      <c r="IN54" s="122"/>
      <c r="IO54" s="122"/>
      <c r="IP54" s="122"/>
      <c r="IQ54" s="122"/>
      <c r="IR54" s="122"/>
      <c r="IS54" s="122"/>
      <c r="IT54" s="122"/>
      <c r="IU54" s="122"/>
      <c r="IV54" s="122"/>
      <c r="IW54" s="122"/>
      <c r="IX54" s="122"/>
      <c r="IY54" s="122"/>
      <c r="IZ54" s="122"/>
      <c r="JA54" s="122"/>
      <c r="JB54" s="122"/>
      <c r="JC54" s="122"/>
      <c r="JD54" s="122"/>
      <c r="JE54" s="122"/>
      <c r="JF54" s="122"/>
      <c r="JG54" s="122"/>
      <c r="JH54" s="122"/>
      <c r="JI54" s="119">
        <f t="shared" si="0"/>
        <v>196470</v>
      </c>
      <c r="JJ54" s="2">
        <v>5205</v>
      </c>
      <c r="JK54" s="122"/>
      <c r="JL54" s="125"/>
      <c r="JM54" s="358"/>
      <c r="JN54" s="125"/>
      <c r="JO54" s="125"/>
      <c r="JP54" s="125"/>
    </row>
    <row r="55" spans="1:276" x14ac:dyDescent="0.25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>
        <v>75000</v>
      </c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  <c r="BQ55" s="122"/>
      <c r="BR55" s="122"/>
      <c r="BS55" s="122"/>
      <c r="BT55" s="122"/>
      <c r="BU55" s="122"/>
      <c r="BV55" s="122"/>
      <c r="BW55" s="122"/>
      <c r="BX55" s="122"/>
      <c r="BY55" s="122"/>
      <c r="BZ55" s="122"/>
      <c r="CA55" s="122"/>
      <c r="CB55" s="122"/>
      <c r="CC55" s="122"/>
      <c r="CD55" s="122"/>
      <c r="CE55" s="122"/>
      <c r="CF55" s="122"/>
      <c r="CG55" s="122"/>
      <c r="CH55" s="122"/>
      <c r="CI55" s="122"/>
      <c r="CJ55" s="122"/>
      <c r="CK55" s="122"/>
      <c r="CL55" s="122"/>
      <c r="CM55" s="122"/>
      <c r="CN55" s="122"/>
      <c r="CO55" s="122"/>
      <c r="CP55" s="122"/>
      <c r="CQ55" s="122"/>
      <c r="CR55" s="122"/>
      <c r="CS55" s="122"/>
      <c r="CT55" s="122"/>
      <c r="CU55" s="122"/>
      <c r="CV55" s="122"/>
      <c r="CW55" s="122"/>
      <c r="CX55" s="122"/>
      <c r="CY55" s="122"/>
      <c r="CZ55" s="122"/>
      <c r="DA55" s="122"/>
      <c r="DB55" s="122"/>
      <c r="DC55" s="122"/>
      <c r="DD55" s="122"/>
      <c r="DE55" s="122"/>
      <c r="DF55" s="122"/>
      <c r="DG55" s="122"/>
      <c r="DH55" s="122"/>
      <c r="DI55" s="122"/>
      <c r="DJ55" s="122"/>
      <c r="DK55" s="122"/>
      <c r="DL55" s="122"/>
      <c r="DM55" s="122"/>
      <c r="DN55" s="122"/>
      <c r="DO55" s="122"/>
      <c r="DP55" s="122"/>
      <c r="DQ55" s="122"/>
      <c r="DR55" s="122"/>
      <c r="DS55" s="122"/>
      <c r="DT55" s="122"/>
      <c r="DU55" s="122"/>
      <c r="DV55" s="122"/>
      <c r="DW55" s="122"/>
      <c r="DX55" s="122"/>
      <c r="DY55" s="122"/>
      <c r="DZ55" s="122"/>
      <c r="EA55" s="122"/>
      <c r="EB55" s="122"/>
      <c r="EC55" s="122"/>
      <c r="ED55" s="122"/>
      <c r="EE55" s="122"/>
      <c r="EF55" s="122"/>
      <c r="EG55" s="122"/>
      <c r="EH55" s="122"/>
      <c r="EI55" s="122"/>
      <c r="EJ55" s="122"/>
      <c r="EK55" s="122"/>
      <c r="EL55" s="122"/>
      <c r="EM55" s="122"/>
      <c r="EN55" s="122"/>
      <c r="EO55" s="122"/>
      <c r="EP55" s="122"/>
      <c r="EQ55" s="122"/>
      <c r="ER55" s="122"/>
      <c r="ES55" s="122"/>
      <c r="ET55" s="122"/>
      <c r="EU55" s="122"/>
      <c r="EV55" s="122"/>
      <c r="EW55" s="122"/>
      <c r="EX55" s="122"/>
      <c r="EY55" s="122"/>
      <c r="EZ55" s="122"/>
      <c r="FA55" s="122"/>
      <c r="FB55" s="122"/>
      <c r="FC55" s="122"/>
      <c r="FD55" s="122"/>
      <c r="FE55" s="122"/>
      <c r="FF55" s="122"/>
      <c r="FG55" s="122"/>
      <c r="FH55" s="122"/>
      <c r="FI55" s="122"/>
      <c r="FJ55" s="122"/>
      <c r="FK55" s="122"/>
      <c r="FL55" s="122"/>
      <c r="FM55" s="122"/>
      <c r="FN55" s="122"/>
      <c r="FO55" s="122"/>
      <c r="FP55" s="122"/>
      <c r="FQ55" s="122"/>
      <c r="FR55" s="122"/>
      <c r="FS55" s="122"/>
      <c r="FT55" s="122"/>
      <c r="FU55" s="122"/>
      <c r="FV55" s="122"/>
      <c r="FW55" s="122"/>
      <c r="FX55" s="122"/>
      <c r="FY55" s="122"/>
      <c r="FZ55" s="122"/>
      <c r="GA55" s="122"/>
      <c r="GB55" s="122"/>
      <c r="GC55" s="122"/>
      <c r="GD55" s="122"/>
      <c r="GE55" s="122"/>
      <c r="GF55" s="122"/>
      <c r="GG55" s="122"/>
      <c r="GH55" s="122"/>
      <c r="GI55" s="122"/>
      <c r="GJ55" s="122"/>
      <c r="GK55" s="122"/>
      <c r="GL55" s="122"/>
      <c r="GM55" s="122"/>
      <c r="GN55" s="122"/>
      <c r="GO55" s="122"/>
      <c r="GP55" s="122"/>
      <c r="GQ55" s="122"/>
      <c r="GR55" s="122"/>
      <c r="GS55" s="122"/>
      <c r="GT55" s="122"/>
      <c r="GU55" s="122"/>
      <c r="GV55" s="122"/>
      <c r="GW55" s="122"/>
      <c r="GX55" s="122"/>
      <c r="GY55" s="122"/>
      <c r="GZ55" s="122"/>
      <c r="HA55" s="122"/>
      <c r="HB55" s="122"/>
      <c r="HC55" s="122"/>
      <c r="HD55" s="122"/>
      <c r="HE55" s="122"/>
      <c r="HF55" s="122"/>
      <c r="HG55" s="122"/>
      <c r="HH55" s="122"/>
      <c r="HI55" s="122"/>
      <c r="HJ55" s="122"/>
      <c r="HK55" s="122"/>
      <c r="HL55" s="122"/>
      <c r="HM55" s="122"/>
      <c r="HN55" s="122"/>
      <c r="HO55" s="122"/>
      <c r="HP55" s="122"/>
      <c r="HQ55" s="122"/>
      <c r="HR55" s="122"/>
      <c r="HS55" s="122"/>
      <c r="HT55" s="122"/>
      <c r="HU55" s="122"/>
      <c r="HV55" s="122"/>
      <c r="HW55" s="122"/>
      <c r="HX55" s="122"/>
      <c r="HY55" s="122"/>
      <c r="HZ55" s="122"/>
      <c r="IA55" s="122"/>
      <c r="IB55" s="122"/>
      <c r="IC55" s="122"/>
      <c r="ID55" s="122"/>
      <c r="IE55" s="122"/>
      <c r="IF55" s="122"/>
      <c r="IG55" s="122"/>
      <c r="IH55" s="122"/>
      <c r="II55" s="122"/>
      <c r="IJ55" s="122"/>
      <c r="IK55" s="122"/>
      <c r="IL55" s="122"/>
      <c r="IM55" s="122"/>
      <c r="IN55" s="122"/>
      <c r="IO55" s="122"/>
      <c r="IP55" s="122"/>
      <c r="IQ55" s="122"/>
      <c r="IR55" s="122"/>
      <c r="IS55" s="122"/>
      <c r="IT55" s="122"/>
      <c r="IU55" s="122"/>
      <c r="IV55" s="122"/>
      <c r="IW55" s="122"/>
      <c r="IX55" s="122"/>
      <c r="IY55" s="122"/>
      <c r="IZ55" s="122"/>
      <c r="JA55" s="122"/>
      <c r="JB55" s="122"/>
      <c r="JC55" s="122"/>
      <c r="JD55" s="122"/>
      <c r="JE55" s="122"/>
      <c r="JF55" s="122"/>
      <c r="JG55" s="122"/>
      <c r="JH55" s="122"/>
      <c r="JI55" s="119">
        <f t="shared" si="0"/>
        <v>75000</v>
      </c>
      <c r="JJ55" s="2">
        <v>5215</v>
      </c>
      <c r="JK55" s="122"/>
      <c r="JL55" s="125"/>
      <c r="JM55" s="358"/>
      <c r="JN55" s="125"/>
      <c r="JO55" s="125"/>
      <c r="JP55" s="125"/>
    </row>
    <row r="56" spans="1:276" x14ac:dyDescent="0.25">
      <c r="A56" s="122"/>
      <c r="B56" s="122"/>
      <c r="C56" s="122"/>
      <c r="D56" s="122"/>
      <c r="E56" s="122"/>
      <c r="F56" s="122"/>
      <c r="G56" s="122"/>
      <c r="H56" s="122"/>
      <c r="I56" s="122"/>
      <c r="J56" s="122">
        <v>1342531.03</v>
      </c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>
        <v>95185.45</v>
      </c>
      <c r="AL56" s="122">
        <v>95319.7</v>
      </c>
      <c r="AM56" s="122">
        <v>15830.76</v>
      </c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  <c r="BP56" s="122"/>
      <c r="BQ56" s="122"/>
      <c r="BR56" s="122"/>
      <c r="BS56" s="122"/>
      <c r="BT56" s="122"/>
      <c r="BU56" s="122"/>
      <c r="BV56" s="122"/>
      <c r="BW56" s="122"/>
      <c r="BX56" s="122"/>
      <c r="BY56" s="122"/>
      <c r="BZ56" s="122"/>
      <c r="CA56" s="122"/>
      <c r="CB56" s="122"/>
      <c r="CC56" s="122"/>
      <c r="CD56" s="122"/>
      <c r="CE56" s="122"/>
      <c r="CF56" s="122"/>
      <c r="CG56" s="122"/>
      <c r="CH56" s="122"/>
      <c r="CI56" s="122"/>
      <c r="CJ56" s="122"/>
      <c r="CK56" s="122"/>
      <c r="CL56" s="122"/>
      <c r="CM56" s="122"/>
      <c r="CN56" s="122"/>
      <c r="CO56" s="122"/>
      <c r="CP56" s="122"/>
      <c r="CQ56" s="122"/>
      <c r="CR56" s="122"/>
      <c r="CS56" s="122"/>
      <c r="CT56" s="122"/>
      <c r="CU56" s="122"/>
      <c r="CV56" s="122"/>
      <c r="CW56" s="122"/>
      <c r="CX56" s="122"/>
      <c r="CY56" s="122"/>
      <c r="CZ56" s="122"/>
      <c r="DA56" s="122"/>
      <c r="DB56" s="122"/>
      <c r="DC56" s="122"/>
      <c r="DD56" s="122"/>
      <c r="DE56" s="122"/>
      <c r="DF56" s="122"/>
      <c r="DG56" s="122"/>
      <c r="DH56" s="122"/>
      <c r="DI56" s="122"/>
      <c r="DJ56" s="122"/>
      <c r="DK56" s="122"/>
      <c r="DL56" s="122"/>
      <c r="DM56" s="122"/>
      <c r="DN56" s="122"/>
      <c r="DO56" s="122"/>
      <c r="DP56" s="122"/>
      <c r="DQ56" s="122"/>
      <c r="DR56" s="122"/>
      <c r="DS56" s="122"/>
      <c r="DT56" s="122"/>
      <c r="DU56" s="122"/>
      <c r="DV56" s="122"/>
      <c r="DW56" s="122"/>
      <c r="DX56" s="122"/>
      <c r="DY56" s="122"/>
      <c r="DZ56" s="122"/>
      <c r="EA56" s="122"/>
      <c r="EB56" s="122"/>
      <c r="EC56" s="122"/>
      <c r="ED56" s="122"/>
      <c r="EE56" s="122"/>
      <c r="EF56" s="122"/>
      <c r="EG56" s="122"/>
      <c r="EH56" s="122"/>
      <c r="EI56" s="122"/>
      <c r="EJ56" s="122"/>
      <c r="EK56" s="122"/>
      <c r="EL56" s="122"/>
      <c r="EM56" s="122"/>
      <c r="EN56" s="122"/>
      <c r="EO56" s="122"/>
      <c r="EP56" s="122"/>
      <c r="EQ56" s="122"/>
      <c r="ER56" s="122"/>
      <c r="ES56" s="122"/>
      <c r="ET56" s="122"/>
      <c r="EU56" s="122"/>
      <c r="EV56" s="122"/>
      <c r="EW56" s="122"/>
      <c r="EX56" s="122"/>
      <c r="EY56" s="122"/>
      <c r="EZ56" s="122"/>
      <c r="FA56" s="122"/>
      <c r="FB56" s="122"/>
      <c r="FC56" s="122"/>
      <c r="FD56" s="122"/>
      <c r="FE56" s="122"/>
      <c r="FF56" s="122"/>
      <c r="FG56" s="122"/>
      <c r="FH56" s="122"/>
      <c r="FI56" s="122"/>
      <c r="FJ56" s="122"/>
      <c r="FK56" s="122"/>
      <c r="FL56" s="122"/>
      <c r="FM56" s="122"/>
      <c r="FN56" s="122"/>
      <c r="FO56" s="122"/>
      <c r="FP56" s="122"/>
      <c r="FQ56" s="122"/>
      <c r="FR56" s="122"/>
      <c r="FS56" s="122"/>
      <c r="FT56" s="122"/>
      <c r="FU56" s="122"/>
      <c r="FV56" s="122"/>
      <c r="FW56" s="122"/>
      <c r="FX56" s="122"/>
      <c r="FY56" s="122"/>
      <c r="FZ56" s="122"/>
      <c r="GA56" s="122"/>
      <c r="GB56" s="122"/>
      <c r="GC56" s="122"/>
      <c r="GD56" s="122"/>
      <c r="GE56" s="122"/>
      <c r="GF56" s="122"/>
      <c r="GG56" s="122"/>
      <c r="GH56" s="122"/>
      <c r="GI56" s="122"/>
      <c r="GJ56" s="122"/>
      <c r="GK56" s="122"/>
      <c r="GL56" s="122"/>
      <c r="GM56" s="122"/>
      <c r="GN56" s="122"/>
      <c r="GO56" s="122"/>
      <c r="GP56" s="122"/>
      <c r="GQ56" s="122"/>
      <c r="GR56" s="122"/>
      <c r="GS56" s="122"/>
      <c r="GT56" s="122"/>
      <c r="GU56" s="122"/>
      <c r="GV56" s="122"/>
      <c r="GW56" s="122"/>
      <c r="GX56" s="122"/>
      <c r="GY56" s="122"/>
      <c r="GZ56" s="122"/>
      <c r="HA56" s="122"/>
      <c r="HB56" s="122"/>
      <c r="HC56" s="122"/>
      <c r="HD56" s="122"/>
      <c r="HE56" s="122"/>
      <c r="HF56" s="122"/>
      <c r="HG56" s="122"/>
      <c r="HH56" s="122"/>
      <c r="HI56" s="122"/>
      <c r="HJ56" s="122"/>
      <c r="HK56" s="122"/>
      <c r="HL56" s="122"/>
      <c r="HM56" s="122"/>
      <c r="HN56" s="122"/>
      <c r="HO56" s="122"/>
      <c r="HP56" s="122"/>
      <c r="HQ56" s="122"/>
      <c r="HR56" s="122"/>
      <c r="HS56" s="122"/>
      <c r="HT56" s="122"/>
      <c r="HU56" s="122"/>
      <c r="HV56" s="122"/>
      <c r="HW56" s="122"/>
      <c r="HX56" s="122"/>
      <c r="HY56" s="122"/>
      <c r="HZ56" s="122"/>
      <c r="IA56" s="122"/>
      <c r="IB56" s="122"/>
      <c r="IC56" s="122"/>
      <c r="ID56" s="122"/>
      <c r="IE56" s="122"/>
      <c r="IF56" s="122"/>
      <c r="IG56" s="122"/>
      <c r="IH56" s="122"/>
      <c r="II56" s="122"/>
      <c r="IJ56" s="122"/>
      <c r="IK56" s="122"/>
      <c r="IL56" s="122"/>
      <c r="IM56" s="122"/>
      <c r="IN56" s="122"/>
      <c r="IO56" s="122"/>
      <c r="IP56" s="122"/>
      <c r="IQ56" s="122"/>
      <c r="IR56" s="122"/>
      <c r="IS56" s="122"/>
      <c r="IT56" s="122"/>
      <c r="IU56" s="122"/>
      <c r="IV56" s="122"/>
      <c r="IW56" s="122"/>
      <c r="IX56" s="122"/>
      <c r="IY56" s="122"/>
      <c r="IZ56" s="122"/>
      <c r="JA56" s="122"/>
      <c r="JB56" s="122"/>
      <c r="JC56" s="122"/>
      <c r="JD56" s="122"/>
      <c r="JE56" s="122"/>
      <c r="JF56" s="122"/>
      <c r="JG56" s="122"/>
      <c r="JH56" s="122"/>
      <c r="JI56" s="119">
        <f t="shared" si="0"/>
        <v>1548866.94</v>
      </c>
      <c r="JJ56" s="2">
        <v>5217</v>
      </c>
      <c r="JK56" s="122"/>
      <c r="JL56" s="125"/>
      <c r="JM56" s="358"/>
      <c r="JN56" s="125"/>
      <c r="JO56" s="125"/>
      <c r="JP56" s="125"/>
    </row>
    <row r="57" spans="1:276" x14ac:dyDescent="0.25">
      <c r="A57" s="122">
        <v>59046800.350000001</v>
      </c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>
        <v>2652914.66</v>
      </c>
      <c r="T57" s="122"/>
      <c r="U57" s="122"/>
      <c r="V57" s="122"/>
      <c r="W57" s="122"/>
      <c r="X57" s="122"/>
      <c r="Y57" s="122"/>
      <c r="Z57" s="122">
        <v>317800</v>
      </c>
      <c r="AA57" s="122"/>
      <c r="AB57" s="122">
        <f>101150.82+168584.7</f>
        <v>269735.52</v>
      </c>
      <c r="AC57" s="122"/>
      <c r="AD57" s="122"/>
      <c r="AE57" s="122"/>
      <c r="AF57" s="122"/>
      <c r="AG57" s="122"/>
      <c r="AH57" s="122"/>
      <c r="AI57" s="122"/>
      <c r="AJ57" s="122"/>
      <c r="AK57" s="122">
        <v>4186418.94</v>
      </c>
      <c r="AL57" s="122">
        <v>4192324.53</v>
      </c>
      <c r="AM57" s="122">
        <v>707273.3</v>
      </c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  <c r="BP57" s="122"/>
      <c r="BQ57" s="122"/>
      <c r="BR57" s="122"/>
      <c r="BS57" s="122"/>
      <c r="BT57" s="122"/>
      <c r="BU57" s="122"/>
      <c r="BV57" s="122"/>
      <c r="BW57" s="122"/>
      <c r="BX57" s="122"/>
      <c r="BY57" s="122"/>
      <c r="BZ57" s="122"/>
      <c r="CA57" s="122"/>
      <c r="CB57" s="122"/>
      <c r="CC57" s="122"/>
      <c r="CD57" s="122"/>
      <c r="CE57" s="122"/>
      <c r="CF57" s="122"/>
      <c r="CG57" s="122"/>
      <c r="CH57" s="122"/>
      <c r="CI57" s="122"/>
      <c r="CJ57" s="122"/>
      <c r="CK57" s="122"/>
      <c r="CL57" s="122"/>
      <c r="CM57" s="122"/>
      <c r="CN57" s="122"/>
      <c r="CO57" s="122"/>
      <c r="CP57" s="122"/>
      <c r="CQ57" s="122"/>
      <c r="CR57" s="122"/>
      <c r="CS57" s="122"/>
      <c r="CT57" s="122"/>
      <c r="CU57" s="122"/>
      <c r="CV57" s="122"/>
      <c r="CW57" s="122"/>
      <c r="CX57" s="122"/>
      <c r="CY57" s="122"/>
      <c r="CZ57" s="122"/>
      <c r="DA57" s="122"/>
      <c r="DB57" s="122"/>
      <c r="DC57" s="122"/>
      <c r="DD57" s="122"/>
      <c r="DE57" s="122"/>
      <c r="DF57" s="122"/>
      <c r="DG57" s="122"/>
      <c r="DH57" s="122"/>
      <c r="DI57" s="122"/>
      <c r="DJ57" s="122"/>
      <c r="DK57" s="122"/>
      <c r="DL57" s="122"/>
      <c r="DM57" s="122"/>
      <c r="DN57" s="122"/>
      <c r="DO57" s="122"/>
      <c r="DP57" s="122"/>
      <c r="DQ57" s="122"/>
      <c r="DR57" s="122"/>
      <c r="DS57" s="122"/>
      <c r="DT57" s="122"/>
      <c r="DU57" s="122"/>
      <c r="DV57" s="122"/>
      <c r="DW57" s="122"/>
      <c r="DX57" s="122"/>
      <c r="DY57" s="122"/>
      <c r="DZ57" s="122"/>
      <c r="EA57" s="122"/>
      <c r="EB57" s="122"/>
      <c r="EC57" s="122"/>
      <c r="ED57" s="122"/>
      <c r="EE57" s="122"/>
      <c r="EF57" s="122"/>
      <c r="EG57" s="122"/>
      <c r="EH57" s="122"/>
      <c r="EI57" s="122"/>
      <c r="EJ57" s="122"/>
      <c r="EK57" s="122"/>
      <c r="EL57" s="122"/>
      <c r="EM57" s="122"/>
      <c r="EN57" s="122"/>
      <c r="EO57" s="122"/>
      <c r="EP57" s="122"/>
      <c r="EQ57" s="122"/>
      <c r="ER57" s="122"/>
      <c r="ES57" s="122"/>
      <c r="ET57" s="122"/>
      <c r="EU57" s="122"/>
      <c r="EV57" s="122"/>
      <c r="EW57" s="122"/>
      <c r="EX57" s="122"/>
      <c r="EY57" s="122"/>
      <c r="EZ57" s="122"/>
      <c r="FA57" s="122"/>
      <c r="FB57" s="122"/>
      <c r="FC57" s="122"/>
      <c r="FD57" s="122"/>
      <c r="FE57" s="122"/>
      <c r="FF57" s="122"/>
      <c r="FG57" s="122"/>
      <c r="FH57" s="122"/>
      <c r="FI57" s="122"/>
      <c r="FJ57" s="122"/>
      <c r="FK57" s="122"/>
      <c r="FL57" s="122"/>
      <c r="FM57" s="122"/>
      <c r="FN57" s="122"/>
      <c r="FO57" s="122"/>
      <c r="FP57" s="122"/>
      <c r="FQ57" s="122"/>
      <c r="FR57" s="122"/>
      <c r="FS57" s="122"/>
      <c r="FT57" s="122"/>
      <c r="FU57" s="122"/>
      <c r="FV57" s="122"/>
      <c r="FW57" s="122"/>
      <c r="FX57" s="122"/>
      <c r="FY57" s="122"/>
      <c r="FZ57" s="122"/>
      <c r="GA57" s="122"/>
      <c r="GB57" s="122"/>
      <c r="GC57" s="122"/>
      <c r="GD57" s="122"/>
      <c r="GE57" s="122"/>
      <c r="GF57" s="122"/>
      <c r="GG57" s="122"/>
      <c r="GH57" s="122"/>
      <c r="GI57" s="122"/>
      <c r="GJ57" s="122"/>
      <c r="GK57" s="122"/>
      <c r="GL57" s="122"/>
      <c r="GM57" s="122"/>
      <c r="GN57" s="122"/>
      <c r="GO57" s="122"/>
      <c r="GP57" s="122"/>
      <c r="GQ57" s="122"/>
      <c r="GR57" s="122"/>
      <c r="GS57" s="122"/>
      <c r="GT57" s="122"/>
      <c r="GU57" s="122"/>
      <c r="GV57" s="122"/>
      <c r="GW57" s="122"/>
      <c r="GX57" s="122"/>
      <c r="GY57" s="122"/>
      <c r="GZ57" s="122"/>
      <c r="HA57" s="122"/>
      <c r="HB57" s="122"/>
      <c r="HC57" s="122"/>
      <c r="HD57" s="122"/>
      <c r="HE57" s="122"/>
      <c r="HF57" s="122"/>
      <c r="HG57" s="122"/>
      <c r="HH57" s="122"/>
      <c r="HI57" s="122"/>
      <c r="HJ57" s="122"/>
      <c r="HK57" s="122"/>
      <c r="HL57" s="122"/>
      <c r="HM57" s="122"/>
      <c r="HN57" s="122"/>
      <c r="HO57" s="122"/>
      <c r="HP57" s="122"/>
      <c r="HQ57" s="122"/>
      <c r="HR57" s="122"/>
      <c r="HS57" s="122"/>
      <c r="HT57" s="122"/>
      <c r="HU57" s="122"/>
      <c r="HV57" s="122"/>
      <c r="HW57" s="122"/>
      <c r="HX57" s="122"/>
      <c r="HY57" s="122"/>
      <c r="HZ57" s="122"/>
      <c r="IA57" s="122"/>
      <c r="IB57" s="122"/>
      <c r="IC57" s="122"/>
      <c r="ID57" s="122"/>
      <c r="IE57" s="122"/>
      <c r="IF57" s="122"/>
      <c r="IG57" s="122"/>
      <c r="IH57" s="122"/>
      <c r="II57" s="122"/>
      <c r="IJ57" s="122"/>
      <c r="IK57" s="122"/>
      <c r="IL57" s="122"/>
      <c r="IM57" s="122"/>
      <c r="IN57" s="122"/>
      <c r="IO57" s="122"/>
      <c r="IP57" s="122"/>
      <c r="IQ57" s="122"/>
      <c r="IR57" s="122"/>
      <c r="IS57" s="122"/>
      <c r="IT57" s="122"/>
      <c r="IU57" s="122"/>
      <c r="IV57" s="122"/>
      <c r="IW57" s="122"/>
      <c r="IX57" s="122"/>
      <c r="IY57" s="122"/>
      <c r="IZ57" s="122"/>
      <c r="JA57" s="122"/>
      <c r="JB57" s="122"/>
      <c r="JC57" s="122"/>
      <c r="JD57" s="122"/>
      <c r="JE57" s="122"/>
      <c r="JF57" s="122"/>
      <c r="JG57" s="122"/>
      <c r="JH57" s="122"/>
      <c r="JI57" s="119">
        <f t="shared" si="0"/>
        <v>71373267.299999997</v>
      </c>
      <c r="JJ57" s="2">
        <v>5219</v>
      </c>
      <c r="JK57" s="122"/>
      <c r="JL57" s="125"/>
      <c r="JM57" s="358"/>
      <c r="JN57" s="125"/>
      <c r="JO57" s="125"/>
      <c r="JP57" s="125"/>
    </row>
    <row r="58" spans="1:276" x14ac:dyDescent="0.25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  <c r="BP58" s="122"/>
      <c r="BQ58" s="122"/>
      <c r="BR58" s="122"/>
      <c r="BS58" s="122"/>
      <c r="BT58" s="122"/>
      <c r="BU58" s="122"/>
      <c r="BV58" s="122"/>
      <c r="BW58" s="122"/>
      <c r="BX58" s="122"/>
      <c r="BY58" s="122"/>
      <c r="BZ58" s="122"/>
      <c r="CA58" s="122"/>
      <c r="CB58" s="122"/>
      <c r="CC58" s="122"/>
      <c r="CD58" s="122"/>
      <c r="CE58" s="122"/>
      <c r="CF58" s="122"/>
      <c r="CG58" s="122"/>
      <c r="CH58" s="122"/>
      <c r="CI58" s="122"/>
      <c r="CJ58" s="122"/>
      <c r="CK58" s="122"/>
      <c r="CL58" s="122"/>
      <c r="CM58" s="122"/>
      <c r="CN58" s="122"/>
      <c r="CO58" s="122"/>
      <c r="CP58" s="122"/>
      <c r="CQ58" s="122"/>
      <c r="CR58" s="122"/>
      <c r="CS58" s="122"/>
      <c r="CT58" s="122"/>
      <c r="CU58" s="122"/>
      <c r="CV58" s="122"/>
      <c r="CW58" s="122"/>
      <c r="CX58" s="122"/>
      <c r="CY58" s="122"/>
      <c r="CZ58" s="122"/>
      <c r="DA58" s="122"/>
      <c r="DB58" s="122"/>
      <c r="DC58" s="122"/>
      <c r="DD58" s="122"/>
      <c r="DE58" s="122"/>
      <c r="DF58" s="122"/>
      <c r="DG58" s="122"/>
      <c r="DH58" s="122"/>
      <c r="DI58" s="122"/>
      <c r="DJ58" s="122"/>
      <c r="DK58" s="122"/>
      <c r="DL58" s="122"/>
      <c r="DM58" s="122"/>
      <c r="DN58" s="122"/>
      <c r="DO58" s="122"/>
      <c r="DP58" s="122"/>
      <c r="DQ58" s="122"/>
      <c r="DR58" s="122"/>
      <c r="DS58" s="122"/>
      <c r="DT58" s="122"/>
      <c r="DU58" s="122"/>
      <c r="DV58" s="122"/>
      <c r="DW58" s="122"/>
      <c r="DX58" s="122"/>
      <c r="DY58" s="122"/>
      <c r="DZ58" s="122"/>
      <c r="EA58" s="122">
        <v>33000</v>
      </c>
      <c r="EB58" s="122"/>
      <c r="EC58" s="122"/>
      <c r="ED58" s="122"/>
      <c r="EE58" s="122"/>
      <c r="EF58" s="122"/>
      <c r="EG58" s="122"/>
      <c r="EH58" s="122"/>
      <c r="EI58" s="122"/>
      <c r="EJ58" s="122"/>
      <c r="EK58" s="122"/>
      <c r="EL58" s="122"/>
      <c r="EM58" s="122"/>
      <c r="EN58" s="122"/>
      <c r="EO58" s="122"/>
      <c r="EP58" s="122"/>
      <c r="EQ58" s="122"/>
      <c r="ER58" s="122"/>
      <c r="ES58" s="122"/>
      <c r="ET58" s="122"/>
      <c r="EU58" s="122"/>
      <c r="EV58" s="122"/>
      <c r="EW58" s="122"/>
      <c r="EX58" s="122"/>
      <c r="EY58" s="122"/>
      <c r="EZ58" s="122"/>
      <c r="FA58" s="122"/>
      <c r="FB58" s="122"/>
      <c r="FC58" s="122"/>
      <c r="FD58" s="122"/>
      <c r="FE58" s="122"/>
      <c r="FF58" s="122"/>
      <c r="FG58" s="122"/>
      <c r="FH58" s="122"/>
      <c r="FI58" s="122"/>
      <c r="FJ58" s="122"/>
      <c r="FK58" s="122"/>
      <c r="FL58" s="122"/>
      <c r="FM58" s="122"/>
      <c r="FN58" s="122"/>
      <c r="FO58" s="122"/>
      <c r="FP58" s="122"/>
      <c r="FQ58" s="122"/>
      <c r="FR58" s="122"/>
      <c r="FS58" s="122"/>
      <c r="FT58" s="122">
        <v>34314.400000000001</v>
      </c>
      <c r="FU58" s="122"/>
      <c r="FV58" s="122"/>
      <c r="FW58" s="122"/>
      <c r="FX58" s="122"/>
      <c r="FY58" s="122"/>
      <c r="FZ58" s="122"/>
      <c r="GA58" s="122"/>
      <c r="GB58" s="122"/>
      <c r="GC58" s="122"/>
      <c r="GD58" s="122"/>
      <c r="GE58" s="122"/>
      <c r="GF58" s="122"/>
      <c r="GG58" s="122"/>
      <c r="GH58" s="122"/>
      <c r="GI58" s="122"/>
      <c r="GJ58" s="122"/>
      <c r="GK58" s="122"/>
      <c r="GL58" s="122"/>
      <c r="GM58" s="122"/>
      <c r="GN58" s="122"/>
      <c r="GO58" s="122"/>
      <c r="GP58" s="122"/>
      <c r="GQ58" s="122"/>
      <c r="GR58" s="122"/>
      <c r="GS58" s="122"/>
      <c r="GT58" s="122"/>
      <c r="GU58" s="122"/>
      <c r="GV58" s="122"/>
      <c r="GW58" s="122"/>
      <c r="GX58" s="122"/>
      <c r="GY58" s="122"/>
      <c r="GZ58" s="122"/>
      <c r="HA58" s="122"/>
      <c r="HB58" s="122"/>
      <c r="HC58" s="122"/>
      <c r="HD58" s="122"/>
      <c r="HE58" s="122"/>
      <c r="HF58" s="122"/>
      <c r="HG58" s="122"/>
      <c r="HH58" s="122"/>
      <c r="HI58" s="122"/>
      <c r="HJ58" s="122"/>
      <c r="HK58" s="122"/>
      <c r="HL58" s="122"/>
      <c r="HM58" s="122"/>
      <c r="HN58" s="122"/>
      <c r="HO58" s="122"/>
      <c r="HP58" s="122"/>
      <c r="HQ58" s="122"/>
      <c r="HR58" s="122"/>
      <c r="HS58" s="122"/>
      <c r="HT58" s="122"/>
      <c r="HU58" s="122"/>
      <c r="HV58" s="122"/>
      <c r="HW58" s="122"/>
      <c r="HX58" s="122"/>
      <c r="HY58" s="122"/>
      <c r="HZ58" s="122"/>
      <c r="IA58" s="122"/>
      <c r="IB58" s="122"/>
      <c r="IC58" s="122"/>
      <c r="ID58" s="122"/>
      <c r="IE58" s="122"/>
      <c r="IF58" s="122"/>
      <c r="IG58" s="122"/>
      <c r="IH58" s="122"/>
      <c r="II58" s="122"/>
      <c r="IJ58" s="122"/>
      <c r="IK58" s="122"/>
      <c r="IL58" s="122"/>
      <c r="IM58" s="122"/>
      <c r="IN58" s="122"/>
      <c r="IO58" s="122"/>
      <c r="IP58" s="122"/>
      <c r="IQ58" s="122"/>
      <c r="IR58" s="122"/>
      <c r="IS58" s="122"/>
      <c r="IT58" s="122"/>
      <c r="IU58" s="122"/>
      <c r="IV58" s="122"/>
      <c r="IW58" s="122"/>
      <c r="IX58" s="122"/>
      <c r="IY58" s="122"/>
      <c r="IZ58" s="122"/>
      <c r="JA58" s="122"/>
      <c r="JB58" s="122"/>
      <c r="JC58" s="122"/>
      <c r="JD58" s="122"/>
      <c r="JE58" s="122"/>
      <c r="JF58" s="122"/>
      <c r="JG58" s="122"/>
      <c r="JH58" s="122"/>
      <c r="JI58" s="119">
        <f t="shared" si="0"/>
        <v>67314.399999999994</v>
      </c>
      <c r="JJ58" s="2">
        <v>5223</v>
      </c>
      <c r="JK58" s="122"/>
      <c r="JL58" s="125"/>
      <c r="JM58" s="358"/>
      <c r="JN58" s="125"/>
      <c r="JO58" s="125"/>
      <c r="JP58" s="125"/>
    </row>
    <row r="59" spans="1:276" x14ac:dyDescent="0.25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  <c r="AS59" s="122"/>
      <c r="AT59" s="122"/>
      <c r="AU59" s="122"/>
      <c r="AV59" s="122"/>
      <c r="AW59" s="122"/>
      <c r="AX59" s="122"/>
      <c r="AY59" s="122"/>
      <c r="AZ59" s="122"/>
      <c r="BA59" s="122"/>
      <c r="BB59" s="122"/>
      <c r="BC59" s="122"/>
      <c r="BD59" s="122"/>
      <c r="BE59" s="122"/>
      <c r="BF59" s="122"/>
      <c r="BG59" s="122"/>
      <c r="BH59" s="122"/>
      <c r="BI59" s="122"/>
      <c r="BJ59" s="122"/>
      <c r="BK59" s="122"/>
      <c r="BL59" s="122"/>
      <c r="BM59" s="122"/>
      <c r="BN59" s="122"/>
      <c r="BO59" s="122"/>
      <c r="BP59" s="122"/>
      <c r="BQ59" s="122"/>
      <c r="BR59" s="122"/>
      <c r="BS59" s="122"/>
      <c r="BT59" s="122"/>
      <c r="BU59" s="122"/>
      <c r="BV59" s="122"/>
      <c r="BW59" s="122"/>
      <c r="BX59" s="122"/>
      <c r="BY59" s="122"/>
      <c r="BZ59" s="122"/>
      <c r="CA59" s="122"/>
      <c r="CB59" s="122"/>
      <c r="CC59" s="122"/>
      <c r="CD59" s="122"/>
      <c r="CE59" s="122"/>
      <c r="CF59" s="122"/>
      <c r="CG59" s="122"/>
      <c r="CH59" s="122"/>
      <c r="CI59" s="122"/>
      <c r="CJ59" s="122"/>
      <c r="CK59" s="122"/>
      <c r="CL59" s="122"/>
      <c r="CM59" s="122"/>
      <c r="CN59" s="122"/>
      <c r="CO59" s="122"/>
      <c r="CP59" s="122"/>
      <c r="CQ59" s="122"/>
      <c r="CR59" s="122"/>
      <c r="CS59" s="122"/>
      <c r="CT59" s="122"/>
      <c r="CU59" s="122"/>
      <c r="CV59" s="122"/>
      <c r="CW59" s="122"/>
      <c r="CX59" s="122"/>
      <c r="CY59" s="122"/>
      <c r="CZ59" s="122"/>
      <c r="DA59" s="122"/>
      <c r="DB59" s="122"/>
      <c r="DC59" s="122"/>
      <c r="DD59" s="122"/>
      <c r="DE59" s="122"/>
      <c r="DF59" s="122"/>
      <c r="DG59" s="122"/>
      <c r="DH59" s="122"/>
      <c r="DI59" s="122"/>
      <c r="DJ59" s="122"/>
      <c r="DK59" s="122"/>
      <c r="DL59" s="122"/>
      <c r="DM59" s="122"/>
      <c r="DN59" s="122"/>
      <c r="DO59" s="122"/>
      <c r="DP59" s="122"/>
      <c r="DQ59" s="122"/>
      <c r="DR59" s="122"/>
      <c r="DS59" s="122"/>
      <c r="DT59" s="122"/>
      <c r="DU59" s="122"/>
      <c r="DV59" s="122"/>
      <c r="DW59" s="122"/>
      <c r="DX59" s="122"/>
      <c r="DY59" s="122"/>
      <c r="DZ59" s="122"/>
      <c r="EA59" s="122"/>
      <c r="EB59" s="122"/>
      <c r="EC59" s="122"/>
      <c r="ED59" s="122"/>
      <c r="EE59" s="122"/>
      <c r="EF59" s="122"/>
      <c r="EG59" s="122"/>
      <c r="EH59" s="122"/>
      <c r="EI59" s="122"/>
      <c r="EJ59" s="122"/>
      <c r="EK59" s="122"/>
      <c r="EL59" s="122"/>
      <c r="EM59" s="122"/>
      <c r="EN59" s="122"/>
      <c r="EO59" s="122"/>
      <c r="EP59" s="122"/>
      <c r="EQ59" s="122"/>
      <c r="ER59" s="122"/>
      <c r="ES59" s="122"/>
      <c r="ET59" s="122"/>
      <c r="EU59" s="122"/>
      <c r="EV59" s="122"/>
      <c r="EW59" s="122"/>
      <c r="EX59" s="122"/>
      <c r="EY59" s="122"/>
      <c r="EZ59" s="122"/>
      <c r="FA59" s="122"/>
      <c r="FB59" s="122"/>
      <c r="FC59" s="122"/>
      <c r="FD59" s="122"/>
      <c r="FE59" s="122"/>
      <c r="FF59" s="122"/>
      <c r="FG59" s="122"/>
      <c r="FH59" s="122"/>
      <c r="FI59" s="122"/>
      <c r="FJ59" s="122"/>
      <c r="FK59" s="122"/>
      <c r="FL59" s="122"/>
      <c r="FM59" s="122"/>
      <c r="FN59" s="122"/>
      <c r="FO59" s="122"/>
      <c r="FP59" s="122"/>
      <c r="FQ59" s="122"/>
      <c r="FR59" s="122"/>
      <c r="FS59" s="122"/>
      <c r="FT59" s="122"/>
      <c r="FU59" s="122"/>
      <c r="FV59" s="122"/>
      <c r="FW59" s="122"/>
      <c r="FX59" s="122"/>
      <c r="FY59" s="122"/>
      <c r="FZ59" s="122"/>
      <c r="GA59" s="122"/>
      <c r="GB59" s="122">
        <v>66552</v>
      </c>
      <c r="GC59" s="122"/>
      <c r="GD59" s="122"/>
      <c r="GE59" s="122"/>
      <c r="GF59" s="122"/>
      <c r="GG59" s="122"/>
      <c r="GH59" s="122"/>
      <c r="GI59" s="122"/>
      <c r="GJ59" s="122"/>
      <c r="GK59" s="122"/>
      <c r="GL59" s="122"/>
      <c r="GM59" s="122"/>
      <c r="GN59" s="122"/>
      <c r="GO59" s="122"/>
      <c r="GP59" s="122"/>
      <c r="GQ59" s="122"/>
      <c r="GR59" s="122"/>
      <c r="GS59" s="122"/>
      <c r="GT59" s="122"/>
      <c r="GU59" s="122"/>
      <c r="GV59" s="122"/>
      <c r="GW59" s="122"/>
      <c r="GX59" s="122"/>
      <c r="GY59" s="122"/>
      <c r="GZ59" s="122"/>
      <c r="HA59" s="122"/>
      <c r="HB59" s="122"/>
      <c r="HC59" s="122"/>
      <c r="HD59" s="122"/>
      <c r="HE59" s="122"/>
      <c r="HF59" s="122"/>
      <c r="HG59" s="122"/>
      <c r="HH59" s="122"/>
      <c r="HI59" s="122"/>
      <c r="HJ59" s="122"/>
      <c r="HK59" s="122"/>
      <c r="HL59" s="122"/>
      <c r="HM59" s="122"/>
      <c r="HN59" s="122"/>
      <c r="HO59" s="122"/>
      <c r="HP59" s="122"/>
      <c r="HQ59" s="122"/>
      <c r="HR59" s="122"/>
      <c r="HS59" s="122"/>
      <c r="HT59" s="122"/>
      <c r="HU59" s="122"/>
      <c r="HV59" s="122"/>
      <c r="HW59" s="122"/>
      <c r="HX59" s="122"/>
      <c r="HY59" s="122"/>
      <c r="HZ59" s="122"/>
      <c r="IA59" s="122"/>
      <c r="IB59" s="122"/>
      <c r="IC59" s="122"/>
      <c r="ID59" s="122"/>
      <c r="IE59" s="122"/>
      <c r="IF59" s="122"/>
      <c r="IG59" s="122"/>
      <c r="IH59" s="122"/>
      <c r="II59" s="122"/>
      <c r="IJ59" s="122"/>
      <c r="IK59" s="122"/>
      <c r="IL59" s="122"/>
      <c r="IM59" s="122"/>
      <c r="IN59" s="122"/>
      <c r="IO59" s="122"/>
      <c r="IP59" s="122"/>
      <c r="IQ59" s="122"/>
      <c r="IR59" s="122"/>
      <c r="IS59" s="122"/>
      <c r="IT59" s="122"/>
      <c r="IU59" s="122"/>
      <c r="IV59" s="122"/>
      <c r="IW59" s="122"/>
      <c r="IX59" s="122"/>
      <c r="IY59" s="122"/>
      <c r="IZ59" s="122"/>
      <c r="JA59" s="122"/>
      <c r="JB59" s="122"/>
      <c r="JC59" s="122"/>
      <c r="JD59" s="122"/>
      <c r="JE59" s="122"/>
      <c r="JF59" s="122"/>
      <c r="JG59" s="122"/>
      <c r="JH59" s="122"/>
      <c r="JI59" s="119">
        <f t="shared" si="0"/>
        <v>66552</v>
      </c>
      <c r="JJ59" s="2">
        <v>5227</v>
      </c>
      <c r="JK59" s="122"/>
      <c r="JL59" s="125"/>
      <c r="JM59" s="358"/>
      <c r="JN59" s="125"/>
      <c r="JO59" s="125"/>
      <c r="JP59" s="125"/>
    </row>
    <row r="60" spans="1:276" x14ac:dyDescent="0.25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  <c r="AP60" s="122"/>
      <c r="AQ60" s="122"/>
      <c r="AR60" s="122"/>
      <c r="AS60" s="122"/>
      <c r="AT60" s="122"/>
      <c r="AU60" s="122"/>
      <c r="AV60" s="122"/>
      <c r="AW60" s="122"/>
      <c r="AX60" s="122"/>
      <c r="AY60" s="122"/>
      <c r="AZ60" s="122"/>
      <c r="BA60" s="122"/>
      <c r="BB60" s="122"/>
      <c r="BC60" s="122"/>
      <c r="BD60" s="122"/>
      <c r="BE60" s="122"/>
      <c r="BF60" s="122"/>
      <c r="BG60" s="122"/>
      <c r="BH60" s="122"/>
      <c r="BI60" s="122"/>
      <c r="BJ60" s="122"/>
      <c r="BK60" s="122"/>
      <c r="BL60" s="122"/>
      <c r="BM60" s="122"/>
      <c r="BN60" s="122"/>
      <c r="BO60" s="122"/>
      <c r="BP60" s="122"/>
      <c r="BQ60" s="122"/>
      <c r="BR60" s="122"/>
      <c r="BS60" s="122"/>
      <c r="BT60" s="122"/>
      <c r="BU60" s="122"/>
      <c r="BV60" s="122"/>
      <c r="BW60" s="122"/>
      <c r="BX60" s="122"/>
      <c r="BY60" s="122"/>
      <c r="BZ60" s="122"/>
      <c r="CA60" s="122"/>
      <c r="CB60" s="122"/>
      <c r="CC60" s="122"/>
      <c r="CD60" s="122"/>
      <c r="CE60" s="122"/>
      <c r="CF60" s="122"/>
      <c r="CG60" s="122"/>
      <c r="CH60" s="122"/>
      <c r="CI60" s="122"/>
      <c r="CJ60" s="122"/>
      <c r="CK60" s="122"/>
      <c r="CL60" s="122"/>
      <c r="CM60" s="122"/>
      <c r="CN60" s="122"/>
      <c r="CO60" s="122"/>
      <c r="CP60" s="122"/>
      <c r="CQ60" s="122"/>
      <c r="CR60" s="122"/>
      <c r="CS60" s="122"/>
      <c r="CT60" s="122"/>
      <c r="CU60" s="122"/>
      <c r="CV60" s="122"/>
      <c r="CW60" s="122"/>
      <c r="CX60" s="122"/>
      <c r="CY60" s="122"/>
      <c r="CZ60" s="122"/>
      <c r="DA60" s="122"/>
      <c r="DB60" s="122"/>
      <c r="DC60" s="122"/>
      <c r="DD60" s="122"/>
      <c r="DE60" s="122"/>
      <c r="DF60" s="122"/>
      <c r="DG60" s="122"/>
      <c r="DH60" s="122"/>
      <c r="DI60" s="122"/>
      <c r="DJ60" s="122"/>
      <c r="DK60" s="122"/>
      <c r="DL60" s="122"/>
      <c r="DM60" s="122"/>
      <c r="DN60" s="122"/>
      <c r="DO60" s="122"/>
      <c r="DP60" s="122"/>
      <c r="DQ60" s="122"/>
      <c r="DR60" s="122"/>
      <c r="DS60" s="122"/>
      <c r="DT60" s="122"/>
      <c r="DU60" s="122"/>
      <c r="DV60" s="122"/>
      <c r="DW60" s="122"/>
      <c r="DX60" s="122"/>
      <c r="DY60" s="122"/>
      <c r="DZ60" s="122"/>
      <c r="EA60" s="122">
        <v>250000</v>
      </c>
      <c r="EB60" s="122"/>
      <c r="EC60" s="122"/>
      <c r="ED60" s="122"/>
      <c r="EE60" s="122"/>
      <c r="EF60" s="122"/>
      <c r="EG60" s="122"/>
      <c r="EH60" s="122"/>
      <c r="EI60" s="122"/>
      <c r="EJ60" s="122"/>
      <c r="EK60" s="122"/>
      <c r="EL60" s="122"/>
      <c r="EM60" s="122"/>
      <c r="EN60" s="122"/>
      <c r="EO60" s="122"/>
      <c r="EP60" s="122"/>
      <c r="EQ60" s="122"/>
      <c r="ER60" s="122"/>
      <c r="ES60" s="122"/>
      <c r="ET60" s="122"/>
      <c r="EU60" s="122"/>
      <c r="EV60" s="122"/>
      <c r="EW60" s="122"/>
      <c r="EX60" s="122"/>
      <c r="EY60" s="122"/>
      <c r="EZ60" s="122"/>
      <c r="FA60" s="122"/>
      <c r="FB60" s="122"/>
      <c r="FC60" s="122"/>
      <c r="FD60" s="122"/>
      <c r="FE60" s="122"/>
      <c r="FF60" s="122"/>
      <c r="FG60" s="122"/>
      <c r="FH60" s="122"/>
      <c r="FI60" s="122"/>
      <c r="FJ60" s="122"/>
      <c r="FK60" s="122"/>
      <c r="FL60" s="122"/>
      <c r="FM60" s="122"/>
      <c r="FN60" s="122"/>
      <c r="FO60" s="122"/>
      <c r="FP60" s="122"/>
      <c r="FQ60" s="122"/>
      <c r="FR60" s="122"/>
      <c r="FS60" s="122"/>
      <c r="FT60" s="122"/>
      <c r="FU60" s="122"/>
      <c r="FV60" s="122"/>
      <c r="FW60" s="122"/>
      <c r="FX60" s="122"/>
      <c r="FY60" s="122"/>
      <c r="FZ60" s="122"/>
      <c r="GA60" s="122"/>
      <c r="GB60" s="122"/>
      <c r="GC60" s="122"/>
      <c r="GD60" s="122"/>
      <c r="GE60" s="122"/>
      <c r="GF60" s="122"/>
      <c r="GG60" s="122"/>
      <c r="GH60" s="122"/>
      <c r="GI60" s="122"/>
      <c r="GJ60" s="122"/>
      <c r="GK60" s="122"/>
      <c r="GL60" s="122"/>
      <c r="GM60" s="122"/>
      <c r="GN60" s="122"/>
      <c r="GO60" s="122"/>
      <c r="GP60" s="122"/>
      <c r="GQ60" s="122"/>
      <c r="GR60" s="122"/>
      <c r="GS60" s="122"/>
      <c r="GT60" s="122"/>
      <c r="GU60" s="122"/>
      <c r="GV60" s="122"/>
      <c r="GW60" s="122"/>
      <c r="GX60" s="122"/>
      <c r="GY60" s="122"/>
      <c r="GZ60" s="122"/>
      <c r="HA60" s="122"/>
      <c r="HB60" s="122"/>
      <c r="HC60" s="122"/>
      <c r="HD60" s="122"/>
      <c r="HE60" s="122"/>
      <c r="HF60" s="122"/>
      <c r="HG60" s="122"/>
      <c r="HH60" s="122"/>
      <c r="HI60" s="122"/>
      <c r="HJ60" s="122"/>
      <c r="HK60" s="122"/>
      <c r="HL60" s="122"/>
      <c r="HM60" s="122"/>
      <c r="HN60" s="122"/>
      <c r="HO60" s="122"/>
      <c r="HP60" s="122"/>
      <c r="HQ60" s="122"/>
      <c r="HR60" s="122"/>
      <c r="HS60" s="122"/>
      <c r="HT60" s="122"/>
      <c r="HU60" s="122"/>
      <c r="HV60" s="122"/>
      <c r="HW60" s="122"/>
      <c r="HX60" s="122"/>
      <c r="HY60" s="122"/>
      <c r="HZ60" s="122"/>
      <c r="IA60" s="122"/>
      <c r="IB60" s="122"/>
      <c r="IC60" s="122"/>
      <c r="ID60" s="122"/>
      <c r="IE60" s="122"/>
      <c r="IF60" s="122"/>
      <c r="IG60" s="122"/>
      <c r="IH60" s="122"/>
      <c r="II60" s="122"/>
      <c r="IJ60" s="122"/>
      <c r="IK60" s="122"/>
      <c r="IL60" s="122"/>
      <c r="IM60" s="122"/>
      <c r="IN60" s="122"/>
      <c r="IO60" s="122"/>
      <c r="IP60" s="122"/>
      <c r="IQ60" s="122"/>
      <c r="IR60" s="122"/>
      <c r="IS60" s="122"/>
      <c r="IT60" s="122"/>
      <c r="IU60" s="122"/>
      <c r="IV60" s="122"/>
      <c r="IW60" s="122"/>
      <c r="IX60" s="122"/>
      <c r="IY60" s="122"/>
      <c r="IZ60" s="122"/>
      <c r="JA60" s="122"/>
      <c r="JB60" s="122"/>
      <c r="JC60" s="122"/>
      <c r="JD60" s="122"/>
      <c r="JE60" s="122"/>
      <c r="JF60" s="122"/>
      <c r="JG60" s="122"/>
      <c r="JH60" s="122"/>
      <c r="JI60" s="119">
        <f t="shared" si="0"/>
        <v>250000</v>
      </c>
      <c r="JJ60" s="2">
        <v>5231</v>
      </c>
      <c r="JK60" s="122"/>
      <c r="JL60" s="125"/>
      <c r="JM60" s="358"/>
      <c r="JN60" s="125"/>
      <c r="JO60" s="125"/>
      <c r="JP60" s="125"/>
    </row>
    <row r="61" spans="1:276" x14ac:dyDescent="0.25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  <c r="AS61" s="122"/>
      <c r="AT61" s="122"/>
      <c r="AU61" s="122"/>
      <c r="AV61" s="122"/>
      <c r="AW61" s="122"/>
      <c r="AX61" s="122"/>
      <c r="AY61" s="122"/>
      <c r="AZ61" s="122"/>
      <c r="BA61" s="122"/>
      <c r="BB61" s="122"/>
      <c r="BC61" s="122"/>
      <c r="BD61" s="122"/>
      <c r="BE61" s="122"/>
      <c r="BF61" s="122"/>
      <c r="BG61" s="122"/>
      <c r="BH61" s="122"/>
      <c r="BI61" s="122"/>
      <c r="BJ61" s="122"/>
      <c r="BK61" s="122"/>
      <c r="BL61" s="122"/>
      <c r="BM61" s="122"/>
      <c r="BN61" s="122"/>
      <c r="BO61" s="122"/>
      <c r="BP61" s="122"/>
      <c r="BQ61" s="122"/>
      <c r="BR61" s="122"/>
      <c r="BS61" s="122"/>
      <c r="BT61" s="122"/>
      <c r="BU61" s="122"/>
      <c r="BV61" s="122"/>
      <c r="BW61" s="122"/>
      <c r="BX61" s="122"/>
      <c r="BY61" s="122"/>
      <c r="BZ61" s="122"/>
      <c r="CA61" s="122"/>
      <c r="CB61" s="122"/>
      <c r="CC61" s="122"/>
      <c r="CD61" s="122"/>
      <c r="CE61" s="122"/>
      <c r="CF61" s="122"/>
      <c r="CG61" s="122"/>
      <c r="CH61" s="122"/>
      <c r="CI61" s="122"/>
      <c r="CJ61" s="122"/>
      <c r="CK61" s="122"/>
      <c r="CL61" s="122"/>
      <c r="CM61" s="122"/>
      <c r="CN61" s="122"/>
      <c r="CO61" s="122"/>
      <c r="CP61" s="122"/>
      <c r="CQ61" s="122"/>
      <c r="CR61" s="122"/>
      <c r="CS61" s="122"/>
      <c r="CT61" s="122"/>
      <c r="CU61" s="122"/>
      <c r="CV61" s="122"/>
      <c r="CW61" s="122"/>
      <c r="CX61" s="122"/>
      <c r="CY61" s="122"/>
      <c r="CZ61" s="122"/>
      <c r="DA61" s="122"/>
      <c r="DB61" s="122"/>
      <c r="DC61" s="122"/>
      <c r="DD61" s="122"/>
      <c r="DE61" s="122"/>
      <c r="DF61" s="122"/>
      <c r="DG61" s="122"/>
      <c r="DH61" s="122"/>
      <c r="DI61" s="122"/>
      <c r="DJ61" s="122"/>
      <c r="DK61" s="122"/>
      <c r="DL61" s="122"/>
      <c r="DM61" s="122"/>
      <c r="DN61" s="122"/>
      <c r="DO61" s="122"/>
      <c r="DP61" s="122"/>
      <c r="DQ61" s="122"/>
      <c r="DR61" s="122"/>
      <c r="DS61" s="122"/>
      <c r="DT61" s="122"/>
      <c r="DU61" s="122"/>
      <c r="DV61" s="122"/>
      <c r="DW61" s="122"/>
      <c r="DX61" s="122"/>
      <c r="DY61" s="122"/>
      <c r="DZ61" s="122"/>
      <c r="EA61" s="122"/>
      <c r="EB61" s="122"/>
      <c r="EC61" s="122"/>
      <c r="ED61" s="122"/>
      <c r="EE61" s="122"/>
      <c r="EF61" s="122"/>
      <c r="EG61" s="122"/>
      <c r="EH61" s="122"/>
      <c r="EI61" s="122"/>
      <c r="EJ61" s="122"/>
      <c r="EK61" s="122"/>
      <c r="EL61" s="122"/>
      <c r="EM61" s="122"/>
      <c r="EN61" s="122"/>
      <c r="EO61" s="122"/>
      <c r="EP61" s="122"/>
      <c r="EQ61" s="122"/>
      <c r="ER61" s="122"/>
      <c r="ES61" s="122"/>
      <c r="ET61" s="122"/>
      <c r="EU61" s="122"/>
      <c r="EV61" s="122"/>
      <c r="EW61" s="122"/>
      <c r="EX61" s="122"/>
      <c r="EY61" s="122"/>
      <c r="EZ61" s="122"/>
      <c r="FA61" s="122"/>
      <c r="FB61" s="122"/>
      <c r="FC61" s="122"/>
      <c r="FD61" s="122"/>
      <c r="FE61" s="122"/>
      <c r="FF61" s="122"/>
      <c r="FG61" s="122"/>
      <c r="FH61" s="122"/>
      <c r="FI61" s="122"/>
      <c r="FJ61" s="122"/>
      <c r="FK61" s="122"/>
      <c r="FL61" s="122"/>
      <c r="FM61" s="122"/>
      <c r="FN61" s="122"/>
      <c r="FO61" s="122"/>
      <c r="FP61" s="122"/>
      <c r="FQ61" s="122"/>
      <c r="FR61" s="122"/>
      <c r="FS61" s="122"/>
      <c r="FT61" s="122">
        <v>240720</v>
      </c>
      <c r="FU61" s="122"/>
      <c r="FV61" s="122"/>
      <c r="FW61" s="122"/>
      <c r="FX61" s="122"/>
      <c r="FY61" s="122"/>
      <c r="FZ61" s="122"/>
      <c r="GA61" s="122"/>
      <c r="GB61" s="122"/>
      <c r="GC61" s="122"/>
      <c r="GD61" s="122"/>
      <c r="GE61" s="122"/>
      <c r="GF61" s="122"/>
      <c r="GG61" s="122"/>
      <c r="GH61" s="122"/>
      <c r="GI61" s="122"/>
      <c r="GJ61" s="122"/>
      <c r="GK61" s="122"/>
      <c r="GL61" s="122"/>
      <c r="GM61" s="122"/>
      <c r="GN61" s="122"/>
      <c r="GO61" s="122"/>
      <c r="GP61" s="122"/>
      <c r="GQ61" s="122"/>
      <c r="GR61" s="122"/>
      <c r="GS61" s="122"/>
      <c r="GT61" s="122"/>
      <c r="GU61" s="122"/>
      <c r="GV61" s="122"/>
      <c r="GW61" s="122"/>
      <c r="GX61" s="122"/>
      <c r="GY61" s="122"/>
      <c r="GZ61" s="122"/>
      <c r="HA61" s="122"/>
      <c r="HB61" s="122"/>
      <c r="HC61" s="122"/>
      <c r="HD61" s="122"/>
      <c r="HE61" s="122"/>
      <c r="HF61" s="122"/>
      <c r="HG61" s="122"/>
      <c r="HH61" s="122"/>
      <c r="HI61" s="122"/>
      <c r="HJ61" s="122"/>
      <c r="HK61" s="122"/>
      <c r="HL61" s="122"/>
      <c r="HM61" s="122"/>
      <c r="HN61" s="122"/>
      <c r="HO61" s="122"/>
      <c r="HP61" s="122"/>
      <c r="HQ61" s="122"/>
      <c r="HR61" s="122"/>
      <c r="HS61" s="122"/>
      <c r="HT61" s="122"/>
      <c r="HU61" s="122"/>
      <c r="HV61" s="122"/>
      <c r="HW61" s="122"/>
      <c r="HX61" s="122"/>
      <c r="HY61" s="122"/>
      <c r="HZ61" s="122"/>
      <c r="IA61" s="122"/>
      <c r="IB61" s="122"/>
      <c r="IC61" s="122"/>
      <c r="ID61" s="122"/>
      <c r="IE61" s="122"/>
      <c r="IF61" s="122"/>
      <c r="IG61" s="122"/>
      <c r="IH61" s="122"/>
      <c r="II61" s="122"/>
      <c r="IJ61" s="122"/>
      <c r="IK61" s="122"/>
      <c r="IL61" s="122"/>
      <c r="IM61" s="122"/>
      <c r="IN61" s="122"/>
      <c r="IO61" s="122"/>
      <c r="IP61" s="122"/>
      <c r="IQ61" s="122"/>
      <c r="IR61" s="122"/>
      <c r="IS61" s="122"/>
      <c r="IT61" s="122"/>
      <c r="IU61" s="122"/>
      <c r="IV61" s="122"/>
      <c r="IW61" s="122"/>
      <c r="IX61" s="122"/>
      <c r="IY61" s="122"/>
      <c r="IZ61" s="122"/>
      <c r="JA61" s="122"/>
      <c r="JB61" s="122"/>
      <c r="JC61" s="122"/>
      <c r="JD61" s="122"/>
      <c r="JE61" s="122"/>
      <c r="JF61" s="122"/>
      <c r="JG61" s="122"/>
      <c r="JH61" s="122"/>
      <c r="JI61" s="119">
        <f t="shared" si="0"/>
        <v>240720</v>
      </c>
      <c r="JJ61" s="2">
        <v>5235</v>
      </c>
      <c r="JK61" s="122"/>
      <c r="JL61" s="125"/>
      <c r="JM61" s="358"/>
      <c r="JN61" s="125"/>
      <c r="JO61" s="125"/>
      <c r="JP61" s="125"/>
    </row>
    <row r="62" spans="1:276" x14ac:dyDescent="0.25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  <c r="AS62" s="122"/>
      <c r="AT62" s="122"/>
      <c r="AU62" s="122"/>
      <c r="AV62" s="122"/>
      <c r="AW62" s="122"/>
      <c r="AX62" s="122"/>
      <c r="AY62" s="122"/>
      <c r="AZ62" s="122"/>
      <c r="BA62" s="122"/>
      <c r="BB62" s="122"/>
      <c r="BC62" s="122"/>
      <c r="BD62" s="122"/>
      <c r="BE62" s="122"/>
      <c r="BF62" s="122"/>
      <c r="BG62" s="122"/>
      <c r="BH62" s="122"/>
      <c r="BI62" s="122"/>
      <c r="BJ62" s="122"/>
      <c r="BK62" s="122"/>
      <c r="BL62" s="122"/>
      <c r="BM62" s="122"/>
      <c r="BN62" s="122"/>
      <c r="BO62" s="122"/>
      <c r="BP62" s="122"/>
      <c r="BQ62" s="122"/>
      <c r="BR62" s="122"/>
      <c r="BS62" s="122"/>
      <c r="BT62" s="122"/>
      <c r="BU62" s="122"/>
      <c r="BV62" s="122"/>
      <c r="BW62" s="122"/>
      <c r="BX62" s="122"/>
      <c r="BY62" s="122"/>
      <c r="BZ62" s="122"/>
      <c r="CA62" s="122"/>
      <c r="CB62" s="122"/>
      <c r="CC62" s="122"/>
      <c r="CD62" s="122"/>
      <c r="CE62" s="122"/>
      <c r="CF62" s="122"/>
      <c r="CG62" s="122"/>
      <c r="CH62" s="122"/>
      <c r="CI62" s="122"/>
      <c r="CJ62" s="122"/>
      <c r="CK62" s="122"/>
      <c r="CL62" s="122"/>
      <c r="CM62" s="122"/>
      <c r="CN62" s="122"/>
      <c r="CO62" s="122"/>
      <c r="CP62" s="122"/>
      <c r="CQ62" s="122"/>
      <c r="CR62" s="122"/>
      <c r="CS62" s="122"/>
      <c r="CT62" s="122"/>
      <c r="CU62" s="122"/>
      <c r="CV62" s="122"/>
      <c r="CW62" s="122"/>
      <c r="CX62" s="122"/>
      <c r="CY62" s="122"/>
      <c r="CZ62" s="122"/>
      <c r="DA62" s="122"/>
      <c r="DB62" s="122"/>
      <c r="DC62" s="122"/>
      <c r="DD62" s="122"/>
      <c r="DE62" s="122"/>
      <c r="DF62" s="122"/>
      <c r="DG62" s="122"/>
      <c r="DH62" s="122"/>
      <c r="DI62" s="122"/>
      <c r="DJ62" s="122"/>
      <c r="DK62" s="122"/>
      <c r="DL62" s="122"/>
      <c r="DM62" s="122"/>
      <c r="DN62" s="122"/>
      <c r="DO62" s="122"/>
      <c r="DP62" s="122"/>
      <c r="DQ62" s="122"/>
      <c r="DR62" s="122"/>
      <c r="DS62" s="122"/>
      <c r="DT62" s="122"/>
      <c r="DU62" s="122"/>
      <c r="DV62" s="122"/>
      <c r="DW62" s="122"/>
      <c r="DX62" s="122"/>
      <c r="DY62" s="122"/>
      <c r="DZ62" s="122"/>
      <c r="EA62" s="122"/>
      <c r="EB62" s="122"/>
      <c r="EC62" s="122"/>
      <c r="ED62" s="122"/>
      <c r="EE62" s="122"/>
      <c r="EF62" s="122"/>
      <c r="EG62" s="122"/>
      <c r="EH62" s="122"/>
      <c r="EI62" s="122"/>
      <c r="EJ62" s="122"/>
      <c r="EK62" s="122"/>
      <c r="EL62" s="122"/>
      <c r="EM62" s="122"/>
      <c r="EN62" s="122"/>
      <c r="EO62" s="122"/>
      <c r="EP62" s="122"/>
      <c r="EQ62" s="122"/>
      <c r="ER62" s="122"/>
      <c r="ES62" s="122"/>
      <c r="ET62" s="122"/>
      <c r="EU62" s="122"/>
      <c r="EV62" s="122"/>
      <c r="EW62" s="122"/>
      <c r="EX62" s="122"/>
      <c r="EY62" s="122"/>
      <c r="EZ62" s="122"/>
      <c r="FA62" s="122"/>
      <c r="FB62" s="122"/>
      <c r="FC62" s="122"/>
      <c r="FD62" s="122"/>
      <c r="FE62" s="122"/>
      <c r="FF62" s="122"/>
      <c r="FG62" s="122"/>
      <c r="FH62" s="122"/>
      <c r="FI62" s="122"/>
      <c r="FJ62" s="122"/>
      <c r="FK62" s="122"/>
      <c r="FL62" s="122"/>
      <c r="FM62" s="122"/>
      <c r="FN62" s="122"/>
      <c r="FO62" s="122"/>
      <c r="FP62" s="122"/>
      <c r="FQ62" s="122"/>
      <c r="FR62" s="122"/>
      <c r="FS62" s="122"/>
      <c r="FT62" s="122"/>
      <c r="FU62" s="122"/>
      <c r="FV62" s="122"/>
      <c r="FW62" s="122"/>
      <c r="FX62" s="122"/>
      <c r="FY62" s="122"/>
      <c r="FZ62" s="122"/>
      <c r="GA62" s="122"/>
      <c r="GB62" s="122"/>
      <c r="GC62" s="122"/>
      <c r="GD62" s="122"/>
      <c r="GE62" s="122"/>
      <c r="GF62" s="122"/>
      <c r="GG62" s="122"/>
      <c r="GH62" s="122"/>
      <c r="GI62" s="122"/>
      <c r="GJ62" s="122"/>
      <c r="GK62" s="122"/>
      <c r="GL62" s="122"/>
      <c r="GM62" s="122"/>
      <c r="GN62" s="122"/>
      <c r="GO62" s="122"/>
      <c r="GP62" s="122"/>
      <c r="GQ62" s="122">
        <v>134639.29999999999</v>
      </c>
      <c r="GR62" s="122"/>
      <c r="GS62" s="122"/>
      <c r="GT62" s="122"/>
      <c r="GU62" s="122"/>
      <c r="GV62" s="122"/>
      <c r="GW62" s="122"/>
      <c r="GX62" s="122"/>
      <c r="GY62" s="122"/>
      <c r="GZ62" s="122"/>
      <c r="HA62" s="122"/>
      <c r="HB62" s="122"/>
      <c r="HC62" s="122"/>
      <c r="HD62" s="122"/>
      <c r="HE62" s="122"/>
      <c r="HF62" s="122"/>
      <c r="HG62" s="122"/>
      <c r="HH62" s="122"/>
      <c r="HI62" s="122"/>
      <c r="HJ62" s="122"/>
      <c r="HK62" s="122"/>
      <c r="HL62" s="122"/>
      <c r="HM62" s="122"/>
      <c r="HN62" s="122"/>
      <c r="HO62" s="122"/>
      <c r="HP62" s="122"/>
      <c r="HQ62" s="122"/>
      <c r="HR62" s="122"/>
      <c r="HS62" s="122"/>
      <c r="HT62" s="122"/>
      <c r="HU62" s="122"/>
      <c r="HV62" s="122"/>
      <c r="HW62" s="122"/>
      <c r="HX62" s="122"/>
      <c r="HY62" s="122"/>
      <c r="HZ62" s="122"/>
      <c r="IA62" s="122"/>
      <c r="IB62" s="122"/>
      <c r="IC62" s="122"/>
      <c r="ID62" s="122"/>
      <c r="IE62" s="122"/>
      <c r="IF62" s="122"/>
      <c r="IG62" s="122"/>
      <c r="IH62" s="122"/>
      <c r="II62" s="122"/>
      <c r="IJ62" s="122"/>
      <c r="IK62" s="122"/>
      <c r="IL62" s="122"/>
      <c r="IM62" s="122"/>
      <c r="IN62" s="122"/>
      <c r="IO62" s="122"/>
      <c r="IP62" s="122"/>
      <c r="IQ62" s="122"/>
      <c r="IR62" s="122"/>
      <c r="IS62" s="122"/>
      <c r="IT62" s="122"/>
      <c r="IU62" s="122"/>
      <c r="IV62" s="122"/>
      <c r="IW62" s="122"/>
      <c r="IX62" s="122"/>
      <c r="IY62" s="122"/>
      <c r="IZ62" s="122"/>
      <c r="JA62" s="122"/>
      <c r="JB62" s="122"/>
      <c r="JC62" s="122"/>
      <c r="JD62" s="122"/>
      <c r="JE62" s="122"/>
      <c r="JF62" s="122"/>
      <c r="JG62" s="122"/>
      <c r="JH62" s="122"/>
      <c r="JI62" s="119">
        <f t="shared" si="0"/>
        <v>134639.29999999999</v>
      </c>
      <c r="JJ62" s="2">
        <v>5247</v>
      </c>
      <c r="JK62" s="122"/>
      <c r="JL62" s="125"/>
      <c r="JM62" s="358"/>
      <c r="JN62" s="125"/>
      <c r="JO62" s="125"/>
      <c r="JP62" s="125"/>
    </row>
    <row r="63" spans="1:276" x14ac:dyDescent="0.25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22"/>
      <c r="BB63" s="122"/>
      <c r="BC63" s="122"/>
      <c r="BD63" s="122"/>
      <c r="BE63" s="122"/>
      <c r="BF63" s="122"/>
      <c r="BG63" s="122"/>
      <c r="BH63" s="122"/>
      <c r="BI63" s="122"/>
      <c r="BJ63" s="122"/>
      <c r="BK63" s="122"/>
      <c r="BL63" s="122"/>
      <c r="BM63" s="122"/>
      <c r="BN63" s="122"/>
      <c r="BO63" s="122"/>
      <c r="BP63" s="122"/>
      <c r="BQ63" s="122"/>
      <c r="BR63" s="122"/>
      <c r="BS63" s="122"/>
      <c r="BT63" s="122"/>
      <c r="BU63" s="122"/>
      <c r="BV63" s="122"/>
      <c r="BW63" s="122"/>
      <c r="BX63" s="122"/>
      <c r="BY63" s="122"/>
      <c r="BZ63" s="122"/>
      <c r="CA63" s="122"/>
      <c r="CB63" s="122"/>
      <c r="CC63" s="122"/>
      <c r="CD63" s="122"/>
      <c r="CE63" s="122"/>
      <c r="CF63" s="122"/>
      <c r="CG63" s="122"/>
      <c r="CH63" s="122"/>
      <c r="CI63" s="122"/>
      <c r="CJ63" s="122"/>
      <c r="CK63" s="122"/>
      <c r="CL63" s="122"/>
      <c r="CM63" s="122"/>
      <c r="CN63" s="122"/>
      <c r="CO63" s="122"/>
      <c r="CP63" s="122"/>
      <c r="CQ63" s="122"/>
      <c r="CR63" s="122"/>
      <c r="CS63" s="122"/>
      <c r="CT63" s="122"/>
      <c r="CU63" s="122"/>
      <c r="CV63" s="122"/>
      <c r="CW63" s="122"/>
      <c r="CX63" s="122"/>
      <c r="CY63" s="122"/>
      <c r="CZ63" s="122"/>
      <c r="DA63" s="122"/>
      <c r="DB63" s="122"/>
      <c r="DC63" s="122"/>
      <c r="DD63" s="122"/>
      <c r="DE63" s="122"/>
      <c r="DF63" s="122"/>
      <c r="DG63" s="122"/>
      <c r="DH63" s="122"/>
      <c r="DI63" s="122"/>
      <c r="DJ63" s="122"/>
      <c r="DK63" s="122"/>
      <c r="DL63" s="122"/>
      <c r="DM63" s="122"/>
      <c r="DN63" s="122"/>
      <c r="DO63" s="122"/>
      <c r="DP63" s="122"/>
      <c r="DQ63" s="122"/>
      <c r="DR63" s="122"/>
      <c r="DS63" s="122"/>
      <c r="DT63" s="122"/>
      <c r="DU63" s="122"/>
      <c r="DV63" s="122">
        <v>220070</v>
      </c>
      <c r="DW63" s="122"/>
      <c r="DX63" s="122"/>
      <c r="DY63" s="122"/>
      <c r="DZ63" s="122"/>
      <c r="EA63" s="122"/>
      <c r="EB63" s="122"/>
      <c r="EC63" s="122"/>
      <c r="ED63" s="122"/>
      <c r="EE63" s="122"/>
      <c r="EF63" s="122"/>
      <c r="EG63" s="122"/>
      <c r="EH63" s="122"/>
      <c r="EI63" s="122"/>
      <c r="EJ63" s="122"/>
      <c r="EK63" s="122"/>
      <c r="EL63" s="122"/>
      <c r="EM63" s="122"/>
      <c r="EN63" s="122"/>
      <c r="EO63" s="122"/>
      <c r="EP63" s="122"/>
      <c r="EQ63" s="122"/>
      <c r="ER63" s="122"/>
      <c r="ES63" s="122"/>
      <c r="ET63" s="122"/>
      <c r="EU63" s="122"/>
      <c r="EV63" s="122"/>
      <c r="EW63" s="122"/>
      <c r="EX63" s="122"/>
      <c r="EY63" s="122"/>
      <c r="EZ63" s="122"/>
      <c r="FA63" s="122"/>
      <c r="FB63" s="122"/>
      <c r="FC63" s="122"/>
      <c r="FD63" s="122"/>
      <c r="FE63" s="122"/>
      <c r="FF63" s="122"/>
      <c r="FG63" s="122"/>
      <c r="FH63" s="122"/>
      <c r="FI63" s="122"/>
      <c r="FJ63" s="122"/>
      <c r="FK63" s="122"/>
      <c r="FL63" s="122"/>
      <c r="FM63" s="122"/>
      <c r="FN63" s="122"/>
      <c r="FO63" s="122"/>
      <c r="FP63" s="122"/>
      <c r="FQ63" s="122"/>
      <c r="FR63" s="122"/>
      <c r="FS63" s="122"/>
      <c r="FT63" s="122"/>
      <c r="FU63" s="122"/>
      <c r="FV63" s="122"/>
      <c r="FW63" s="122"/>
      <c r="FX63" s="122"/>
      <c r="FY63" s="122"/>
      <c r="FZ63" s="122"/>
      <c r="GA63" s="122"/>
      <c r="GB63" s="122"/>
      <c r="GC63" s="122"/>
      <c r="GD63" s="122"/>
      <c r="GE63" s="122"/>
      <c r="GF63" s="122"/>
      <c r="GG63" s="122"/>
      <c r="GH63" s="122"/>
      <c r="GI63" s="122"/>
      <c r="GJ63" s="122"/>
      <c r="GK63" s="122"/>
      <c r="GL63" s="122"/>
      <c r="GM63" s="122"/>
      <c r="GN63" s="122"/>
      <c r="GO63" s="122"/>
      <c r="GP63" s="122"/>
      <c r="GQ63" s="122"/>
      <c r="GR63" s="122"/>
      <c r="GS63" s="122"/>
      <c r="GT63" s="122"/>
      <c r="GU63" s="122"/>
      <c r="GV63" s="122"/>
      <c r="GW63" s="122"/>
      <c r="GX63" s="122"/>
      <c r="GY63" s="122"/>
      <c r="GZ63" s="122"/>
      <c r="HA63" s="122"/>
      <c r="HB63" s="122"/>
      <c r="HC63" s="122"/>
      <c r="HD63" s="122"/>
      <c r="HE63" s="122"/>
      <c r="HF63" s="122"/>
      <c r="HG63" s="122"/>
      <c r="HH63" s="122"/>
      <c r="HI63" s="122"/>
      <c r="HJ63" s="122"/>
      <c r="HK63" s="122"/>
      <c r="HL63" s="122"/>
      <c r="HM63" s="122"/>
      <c r="HN63" s="122"/>
      <c r="HO63" s="122"/>
      <c r="HP63" s="122"/>
      <c r="HQ63" s="122"/>
      <c r="HR63" s="122"/>
      <c r="HS63" s="122"/>
      <c r="HT63" s="122"/>
      <c r="HU63" s="122"/>
      <c r="HV63" s="122"/>
      <c r="HW63" s="122"/>
      <c r="HX63" s="122"/>
      <c r="HY63" s="122"/>
      <c r="HZ63" s="122"/>
      <c r="IA63" s="122"/>
      <c r="IB63" s="122"/>
      <c r="IC63" s="122"/>
      <c r="ID63" s="122"/>
      <c r="IE63" s="122"/>
      <c r="IF63" s="122"/>
      <c r="IG63" s="122"/>
      <c r="IH63" s="122"/>
      <c r="II63" s="122"/>
      <c r="IJ63" s="122"/>
      <c r="IK63" s="122"/>
      <c r="IL63" s="122"/>
      <c r="IM63" s="122"/>
      <c r="IN63" s="122"/>
      <c r="IO63" s="122"/>
      <c r="IP63" s="122"/>
      <c r="IQ63" s="122"/>
      <c r="IR63" s="122"/>
      <c r="IS63" s="122"/>
      <c r="IT63" s="122"/>
      <c r="IU63" s="122"/>
      <c r="IV63" s="122"/>
      <c r="IW63" s="122"/>
      <c r="IX63" s="122"/>
      <c r="IY63" s="122"/>
      <c r="IZ63" s="122"/>
      <c r="JA63" s="122"/>
      <c r="JB63" s="122"/>
      <c r="JC63" s="122"/>
      <c r="JD63" s="122"/>
      <c r="JE63" s="122"/>
      <c r="JF63" s="122"/>
      <c r="JG63" s="122"/>
      <c r="JH63" s="122"/>
      <c r="JI63" s="119">
        <f t="shared" si="0"/>
        <v>220070</v>
      </c>
      <c r="JJ63" s="2">
        <v>5258</v>
      </c>
      <c r="JK63" s="122"/>
      <c r="JL63" s="125"/>
      <c r="JM63" s="358"/>
      <c r="JN63" s="125"/>
      <c r="JO63" s="125"/>
      <c r="JP63" s="125"/>
    </row>
    <row r="64" spans="1:276" x14ac:dyDescent="0.25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22"/>
      <c r="AT64" s="122"/>
      <c r="AU64" s="122"/>
      <c r="AV64" s="122"/>
      <c r="AW64" s="122"/>
      <c r="AX64" s="122"/>
      <c r="AY64" s="122"/>
      <c r="AZ64" s="122"/>
      <c r="BA64" s="122"/>
      <c r="BB64" s="122"/>
      <c r="BC64" s="122"/>
      <c r="BD64" s="122"/>
      <c r="BE64" s="122"/>
      <c r="BF64" s="122"/>
      <c r="BG64" s="122"/>
      <c r="BH64" s="122"/>
      <c r="BI64" s="122"/>
      <c r="BJ64" s="122"/>
      <c r="BK64" s="122"/>
      <c r="BL64" s="122"/>
      <c r="BM64" s="122"/>
      <c r="BN64" s="122"/>
      <c r="BO64" s="122"/>
      <c r="BP64" s="122"/>
      <c r="BQ64" s="122"/>
      <c r="BR64" s="122"/>
      <c r="BS64" s="122"/>
      <c r="BT64" s="122"/>
      <c r="BU64" s="122"/>
      <c r="BV64" s="122"/>
      <c r="BW64" s="122"/>
      <c r="BX64" s="122"/>
      <c r="BY64" s="122"/>
      <c r="BZ64" s="122"/>
      <c r="CA64" s="122"/>
      <c r="CB64" s="122"/>
      <c r="CC64" s="122"/>
      <c r="CD64" s="122"/>
      <c r="CE64" s="122"/>
      <c r="CF64" s="122"/>
      <c r="CG64" s="122"/>
      <c r="CH64" s="122"/>
      <c r="CI64" s="122"/>
      <c r="CJ64" s="122"/>
      <c r="CK64" s="122"/>
      <c r="CL64" s="122"/>
      <c r="CM64" s="122"/>
      <c r="CN64" s="122"/>
      <c r="CO64" s="122"/>
      <c r="CP64" s="122"/>
      <c r="CQ64" s="122"/>
      <c r="CR64" s="122"/>
      <c r="CS64" s="122"/>
      <c r="CT64" s="122"/>
      <c r="CU64" s="122"/>
      <c r="CV64" s="122"/>
      <c r="CW64" s="122"/>
      <c r="CX64" s="122"/>
      <c r="CY64" s="122"/>
      <c r="CZ64" s="122"/>
      <c r="DA64" s="122"/>
      <c r="DB64" s="122"/>
      <c r="DC64" s="122"/>
      <c r="DD64" s="122"/>
      <c r="DE64" s="122"/>
      <c r="DF64" s="122"/>
      <c r="DG64" s="122"/>
      <c r="DH64" s="122"/>
      <c r="DI64" s="122"/>
      <c r="DJ64" s="122"/>
      <c r="DK64" s="122"/>
      <c r="DL64" s="122"/>
      <c r="DM64" s="122"/>
      <c r="DN64" s="122"/>
      <c r="DO64" s="122"/>
      <c r="DP64" s="122"/>
      <c r="DQ64" s="122"/>
      <c r="DR64" s="122"/>
      <c r="DS64" s="122"/>
      <c r="DT64" s="122"/>
      <c r="DU64" s="122"/>
      <c r="DV64" s="122"/>
      <c r="DW64" s="122"/>
      <c r="DX64" s="122"/>
      <c r="DY64" s="122"/>
      <c r="DZ64" s="122"/>
      <c r="EA64" s="122"/>
      <c r="EB64" s="122"/>
      <c r="EC64" s="122"/>
      <c r="ED64" s="122"/>
      <c r="EE64" s="122"/>
      <c r="EF64" s="122"/>
      <c r="EG64" s="122"/>
      <c r="EH64" s="122"/>
      <c r="EI64" s="122"/>
      <c r="EJ64" s="122"/>
      <c r="EK64" s="122"/>
      <c r="EL64" s="122"/>
      <c r="EM64" s="122"/>
      <c r="EN64" s="122"/>
      <c r="EO64" s="122"/>
      <c r="EP64" s="122"/>
      <c r="EQ64" s="122"/>
      <c r="ER64" s="122"/>
      <c r="ES64" s="122"/>
      <c r="ET64" s="122"/>
      <c r="EU64" s="122"/>
      <c r="EV64" s="122"/>
      <c r="EW64" s="122"/>
      <c r="EX64" s="122"/>
      <c r="EY64" s="122"/>
      <c r="EZ64" s="122"/>
      <c r="FA64" s="122"/>
      <c r="FB64" s="122"/>
      <c r="FC64" s="122"/>
      <c r="FD64" s="122"/>
      <c r="FE64" s="122"/>
      <c r="FF64" s="122"/>
      <c r="FG64" s="122"/>
      <c r="FH64" s="122"/>
      <c r="FI64" s="122"/>
      <c r="FJ64" s="122"/>
      <c r="FK64" s="122"/>
      <c r="FL64" s="122"/>
      <c r="FM64" s="122"/>
      <c r="FN64" s="122"/>
      <c r="FO64" s="122"/>
      <c r="FP64" s="122"/>
      <c r="FQ64" s="122">
        <v>79650</v>
      </c>
      <c r="FR64" s="122"/>
      <c r="FS64" s="122"/>
      <c r="FT64" s="122"/>
      <c r="FU64" s="122"/>
      <c r="FV64" s="122"/>
      <c r="FW64" s="122"/>
      <c r="FX64" s="122"/>
      <c r="FY64" s="122"/>
      <c r="FZ64" s="122"/>
      <c r="GA64" s="122"/>
      <c r="GB64" s="122"/>
      <c r="GC64" s="122"/>
      <c r="GD64" s="122"/>
      <c r="GE64" s="122"/>
      <c r="GF64" s="122"/>
      <c r="GG64" s="122"/>
      <c r="GH64" s="122"/>
      <c r="GI64" s="122"/>
      <c r="GJ64" s="122"/>
      <c r="GK64" s="122"/>
      <c r="GL64" s="122"/>
      <c r="GM64" s="122"/>
      <c r="GN64" s="122"/>
      <c r="GO64" s="122"/>
      <c r="GP64" s="122"/>
      <c r="GQ64" s="122"/>
      <c r="GR64" s="122"/>
      <c r="GS64" s="122"/>
      <c r="GT64" s="122"/>
      <c r="GU64" s="122"/>
      <c r="GV64" s="122"/>
      <c r="GW64" s="122"/>
      <c r="GX64" s="122"/>
      <c r="GY64" s="122"/>
      <c r="GZ64" s="122"/>
      <c r="HA64" s="122"/>
      <c r="HB64" s="122"/>
      <c r="HC64" s="122"/>
      <c r="HD64" s="122"/>
      <c r="HE64" s="122"/>
      <c r="HF64" s="122"/>
      <c r="HG64" s="122"/>
      <c r="HH64" s="122"/>
      <c r="HI64" s="122"/>
      <c r="HJ64" s="122"/>
      <c r="HK64" s="122"/>
      <c r="HL64" s="122"/>
      <c r="HM64" s="122"/>
      <c r="HN64" s="122"/>
      <c r="HO64" s="122"/>
      <c r="HP64" s="122"/>
      <c r="HQ64" s="122"/>
      <c r="HR64" s="122"/>
      <c r="HS64" s="122"/>
      <c r="HT64" s="122"/>
      <c r="HU64" s="122"/>
      <c r="HV64" s="122"/>
      <c r="HW64" s="122"/>
      <c r="HX64" s="122"/>
      <c r="HY64" s="122"/>
      <c r="HZ64" s="122"/>
      <c r="IA64" s="122"/>
      <c r="IB64" s="122"/>
      <c r="IC64" s="122"/>
      <c r="ID64" s="122"/>
      <c r="IE64" s="122"/>
      <c r="IF64" s="122"/>
      <c r="IG64" s="122"/>
      <c r="IH64" s="122"/>
      <c r="II64" s="122"/>
      <c r="IJ64" s="122"/>
      <c r="IK64" s="122"/>
      <c r="IL64" s="122"/>
      <c r="IM64" s="122"/>
      <c r="IN64" s="122"/>
      <c r="IO64" s="122"/>
      <c r="IP64" s="122"/>
      <c r="IQ64" s="122"/>
      <c r="IR64" s="122"/>
      <c r="IS64" s="122"/>
      <c r="IT64" s="122"/>
      <c r="IU64" s="122"/>
      <c r="IV64" s="122"/>
      <c r="IW64" s="122"/>
      <c r="IX64" s="122"/>
      <c r="IY64" s="122"/>
      <c r="IZ64" s="122"/>
      <c r="JA64" s="122"/>
      <c r="JB64" s="122"/>
      <c r="JC64" s="122"/>
      <c r="JD64" s="122"/>
      <c r="JE64" s="122"/>
      <c r="JF64" s="122"/>
      <c r="JG64" s="122"/>
      <c r="JH64" s="122"/>
      <c r="JI64" s="119">
        <f t="shared" si="0"/>
        <v>79650</v>
      </c>
      <c r="JJ64" s="2">
        <v>5262</v>
      </c>
      <c r="JK64" s="122"/>
      <c r="JL64" s="125"/>
      <c r="JM64" s="358"/>
      <c r="JN64" s="125"/>
      <c r="JO64" s="125"/>
      <c r="JP64" s="125"/>
    </row>
    <row r="65" spans="1:276" x14ac:dyDescent="0.25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22"/>
      <c r="AX65" s="122"/>
      <c r="AY65" s="122"/>
      <c r="AZ65" s="122"/>
      <c r="BA65" s="122"/>
      <c r="BB65" s="122"/>
      <c r="BC65" s="122"/>
      <c r="BD65" s="122"/>
      <c r="BE65" s="122"/>
      <c r="BF65" s="122"/>
      <c r="BG65" s="122"/>
      <c r="BH65" s="122"/>
      <c r="BI65" s="122"/>
      <c r="BJ65" s="122"/>
      <c r="BK65" s="122"/>
      <c r="BL65" s="122"/>
      <c r="BM65" s="122"/>
      <c r="BN65" s="122"/>
      <c r="BO65" s="122"/>
      <c r="BP65" s="122"/>
      <c r="BQ65" s="122"/>
      <c r="BR65" s="122"/>
      <c r="BS65" s="122"/>
      <c r="BT65" s="122"/>
      <c r="BU65" s="122"/>
      <c r="BV65" s="122"/>
      <c r="BW65" s="122"/>
      <c r="BX65" s="122"/>
      <c r="BY65" s="122"/>
      <c r="BZ65" s="122"/>
      <c r="CA65" s="122"/>
      <c r="CB65" s="122"/>
      <c r="CC65" s="122"/>
      <c r="CD65" s="122"/>
      <c r="CE65" s="122"/>
      <c r="CF65" s="122"/>
      <c r="CG65" s="122"/>
      <c r="CH65" s="122"/>
      <c r="CI65" s="122"/>
      <c r="CJ65" s="122"/>
      <c r="CK65" s="122"/>
      <c r="CL65" s="122"/>
      <c r="CM65" s="122"/>
      <c r="CN65" s="122"/>
      <c r="CO65" s="122"/>
      <c r="CP65" s="122"/>
      <c r="CQ65" s="122"/>
      <c r="CR65" s="122"/>
      <c r="CS65" s="122"/>
      <c r="CT65" s="122"/>
      <c r="CU65" s="122"/>
      <c r="CV65" s="122"/>
      <c r="CW65" s="122"/>
      <c r="CX65" s="122"/>
      <c r="CY65" s="122"/>
      <c r="CZ65" s="122"/>
      <c r="DA65" s="122"/>
      <c r="DB65" s="122"/>
      <c r="DC65" s="122"/>
      <c r="DD65" s="122"/>
      <c r="DE65" s="122"/>
      <c r="DF65" s="122"/>
      <c r="DG65" s="122"/>
      <c r="DH65" s="122"/>
      <c r="DI65" s="122"/>
      <c r="DJ65" s="122"/>
      <c r="DK65" s="122"/>
      <c r="DL65" s="122"/>
      <c r="DM65" s="122"/>
      <c r="DN65" s="122"/>
      <c r="DO65" s="122"/>
      <c r="DP65" s="122"/>
      <c r="DQ65" s="122"/>
      <c r="DR65" s="122"/>
      <c r="DS65" s="122"/>
      <c r="DT65" s="122"/>
      <c r="DU65" s="122"/>
      <c r="DV65" s="122"/>
      <c r="DW65" s="122"/>
      <c r="DX65" s="122"/>
      <c r="DY65" s="122"/>
      <c r="DZ65" s="122"/>
      <c r="EA65" s="122">
        <v>1155000</v>
      </c>
      <c r="EB65" s="122"/>
      <c r="EC65" s="122"/>
      <c r="ED65" s="122"/>
      <c r="EE65" s="122"/>
      <c r="EF65" s="122"/>
      <c r="EG65" s="122"/>
      <c r="EH65" s="122"/>
      <c r="EI65" s="122"/>
      <c r="EJ65" s="122"/>
      <c r="EK65" s="122"/>
      <c r="EL65" s="122"/>
      <c r="EM65" s="122"/>
      <c r="EN65" s="122"/>
      <c r="EO65" s="122"/>
      <c r="EP65" s="122"/>
      <c r="EQ65" s="122"/>
      <c r="ER65" s="122"/>
      <c r="ES65" s="122"/>
      <c r="ET65" s="122"/>
      <c r="EU65" s="122"/>
      <c r="EV65" s="122"/>
      <c r="EW65" s="122"/>
      <c r="EX65" s="122"/>
      <c r="EY65" s="122"/>
      <c r="EZ65" s="122"/>
      <c r="FA65" s="122"/>
      <c r="FB65" s="122"/>
      <c r="FC65" s="122"/>
      <c r="FD65" s="122"/>
      <c r="FE65" s="122"/>
      <c r="FF65" s="122"/>
      <c r="FG65" s="122"/>
      <c r="FH65" s="122"/>
      <c r="FI65" s="122"/>
      <c r="FJ65" s="122"/>
      <c r="FK65" s="122"/>
      <c r="FL65" s="122"/>
      <c r="FM65" s="122"/>
      <c r="FN65" s="122"/>
      <c r="FO65" s="122"/>
      <c r="FP65" s="122"/>
      <c r="FQ65" s="122"/>
      <c r="FR65" s="122"/>
      <c r="FS65" s="122"/>
      <c r="FT65" s="122"/>
      <c r="FU65" s="122"/>
      <c r="FV65" s="122"/>
      <c r="FW65" s="122"/>
      <c r="FX65" s="122"/>
      <c r="FY65" s="122"/>
      <c r="FZ65" s="122"/>
      <c r="GA65" s="122"/>
      <c r="GB65" s="122"/>
      <c r="GC65" s="122"/>
      <c r="GD65" s="122"/>
      <c r="GE65" s="122"/>
      <c r="GF65" s="122"/>
      <c r="GG65" s="122"/>
      <c r="GH65" s="122"/>
      <c r="GI65" s="122"/>
      <c r="GJ65" s="122"/>
      <c r="GK65" s="122"/>
      <c r="GL65" s="122"/>
      <c r="GM65" s="122"/>
      <c r="GN65" s="122"/>
      <c r="GO65" s="122"/>
      <c r="GP65" s="122"/>
      <c r="GQ65" s="122"/>
      <c r="GR65" s="122"/>
      <c r="GS65" s="122"/>
      <c r="GT65" s="122"/>
      <c r="GU65" s="122"/>
      <c r="GV65" s="122"/>
      <c r="GW65" s="122"/>
      <c r="GX65" s="122"/>
      <c r="GY65" s="122"/>
      <c r="GZ65" s="122"/>
      <c r="HA65" s="122"/>
      <c r="HB65" s="122"/>
      <c r="HC65" s="122"/>
      <c r="HD65" s="122"/>
      <c r="HE65" s="122"/>
      <c r="HF65" s="122"/>
      <c r="HG65" s="122"/>
      <c r="HH65" s="122"/>
      <c r="HI65" s="122"/>
      <c r="HJ65" s="122"/>
      <c r="HK65" s="122"/>
      <c r="HL65" s="122"/>
      <c r="HM65" s="122"/>
      <c r="HN65" s="122"/>
      <c r="HO65" s="122"/>
      <c r="HP65" s="122"/>
      <c r="HQ65" s="122"/>
      <c r="HR65" s="122"/>
      <c r="HS65" s="122"/>
      <c r="HT65" s="122"/>
      <c r="HU65" s="122"/>
      <c r="HV65" s="122"/>
      <c r="HW65" s="122"/>
      <c r="HX65" s="122"/>
      <c r="HY65" s="122"/>
      <c r="HZ65" s="122"/>
      <c r="IA65" s="122"/>
      <c r="IB65" s="122"/>
      <c r="IC65" s="122"/>
      <c r="ID65" s="122"/>
      <c r="IE65" s="122"/>
      <c r="IF65" s="122"/>
      <c r="IG65" s="122"/>
      <c r="IH65" s="122"/>
      <c r="II65" s="122"/>
      <c r="IJ65" s="122"/>
      <c r="IK65" s="122"/>
      <c r="IL65" s="122"/>
      <c r="IM65" s="122"/>
      <c r="IN65" s="122"/>
      <c r="IO65" s="122"/>
      <c r="IP65" s="122"/>
      <c r="IQ65" s="122"/>
      <c r="IR65" s="122"/>
      <c r="IS65" s="122"/>
      <c r="IT65" s="122"/>
      <c r="IU65" s="122"/>
      <c r="IV65" s="122"/>
      <c r="IW65" s="122"/>
      <c r="IX65" s="122"/>
      <c r="IY65" s="122"/>
      <c r="IZ65" s="122"/>
      <c r="JA65" s="122"/>
      <c r="JB65" s="122"/>
      <c r="JC65" s="122"/>
      <c r="JD65" s="122"/>
      <c r="JE65" s="122"/>
      <c r="JF65" s="122"/>
      <c r="JG65" s="122"/>
      <c r="JH65" s="122"/>
      <c r="JI65" s="119">
        <f t="shared" si="0"/>
        <v>1155000</v>
      </c>
      <c r="JJ65" s="2">
        <v>5282</v>
      </c>
      <c r="JK65" s="122"/>
      <c r="JL65" s="125"/>
      <c r="JM65" s="358"/>
      <c r="JN65" s="125"/>
      <c r="JO65" s="125"/>
      <c r="JP65" s="125"/>
    </row>
    <row r="66" spans="1:276" x14ac:dyDescent="0.25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  <c r="AS66" s="122"/>
      <c r="AT66" s="122"/>
      <c r="AU66" s="122"/>
      <c r="AV66" s="122"/>
      <c r="AW66" s="122"/>
      <c r="AX66" s="122"/>
      <c r="AY66" s="122"/>
      <c r="AZ66" s="122"/>
      <c r="BA66" s="122"/>
      <c r="BB66" s="122"/>
      <c r="BC66" s="122"/>
      <c r="BD66" s="122"/>
      <c r="BE66" s="122"/>
      <c r="BF66" s="122"/>
      <c r="BG66" s="122"/>
      <c r="BH66" s="122"/>
      <c r="BI66" s="122"/>
      <c r="BJ66" s="122"/>
      <c r="BK66" s="122"/>
      <c r="BL66" s="122"/>
      <c r="BM66" s="122"/>
      <c r="BN66" s="122"/>
      <c r="BO66" s="122"/>
      <c r="BP66" s="122"/>
      <c r="BQ66" s="122"/>
      <c r="BR66" s="122"/>
      <c r="BS66" s="122"/>
      <c r="BT66" s="122"/>
      <c r="BU66" s="122"/>
      <c r="BV66" s="122"/>
      <c r="BW66" s="122"/>
      <c r="BX66" s="122"/>
      <c r="BY66" s="122"/>
      <c r="BZ66" s="122"/>
      <c r="CA66" s="122"/>
      <c r="CB66" s="122"/>
      <c r="CC66" s="122"/>
      <c r="CD66" s="122"/>
      <c r="CE66" s="122"/>
      <c r="CF66" s="122"/>
      <c r="CG66" s="122"/>
      <c r="CH66" s="122"/>
      <c r="CI66" s="122"/>
      <c r="CJ66" s="122"/>
      <c r="CK66" s="122"/>
      <c r="CL66" s="122"/>
      <c r="CM66" s="122"/>
      <c r="CN66" s="122"/>
      <c r="CO66" s="122"/>
      <c r="CP66" s="122"/>
      <c r="CQ66" s="122"/>
      <c r="CR66" s="122"/>
      <c r="CS66" s="122"/>
      <c r="CT66" s="122"/>
      <c r="CU66" s="122"/>
      <c r="CV66" s="122"/>
      <c r="CW66" s="122"/>
      <c r="CX66" s="122"/>
      <c r="CY66" s="122"/>
      <c r="CZ66" s="122"/>
      <c r="DA66" s="122"/>
      <c r="DB66" s="122"/>
      <c r="DC66" s="122"/>
      <c r="DD66" s="122"/>
      <c r="DE66" s="122"/>
      <c r="DF66" s="122"/>
      <c r="DG66" s="122"/>
      <c r="DH66" s="122"/>
      <c r="DI66" s="122"/>
      <c r="DJ66" s="122"/>
      <c r="DK66" s="122"/>
      <c r="DL66" s="122"/>
      <c r="DM66" s="122"/>
      <c r="DN66" s="122"/>
      <c r="DO66" s="122"/>
      <c r="DP66" s="122"/>
      <c r="DQ66" s="122"/>
      <c r="DR66" s="122"/>
      <c r="DS66" s="122"/>
      <c r="DT66" s="122"/>
      <c r="DU66" s="122"/>
      <c r="DV66" s="122"/>
      <c r="DW66" s="122"/>
      <c r="DX66" s="122"/>
      <c r="DY66" s="122"/>
      <c r="DZ66" s="122"/>
      <c r="EA66" s="122"/>
      <c r="EB66" s="122"/>
      <c r="EC66" s="122"/>
      <c r="ED66" s="122"/>
      <c r="EE66" s="122"/>
      <c r="EF66" s="122"/>
      <c r="EG66" s="122"/>
      <c r="EH66" s="122"/>
      <c r="EI66" s="122"/>
      <c r="EJ66" s="122"/>
      <c r="EK66" s="122"/>
      <c r="EL66" s="122"/>
      <c r="EM66" s="122"/>
      <c r="EN66" s="122"/>
      <c r="EO66" s="122"/>
      <c r="EP66" s="122"/>
      <c r="EQ66" s="122"/>
      <c r="ER66" s="122"/>
      <c r="ES66" s="122"/>
      <c r="ET66" s="122"/>
      <c r="EU66" s="122"/>
      <c r="EV66" s="122"/>
      <c r="EW66" s="122"/>
      <c r="EX66" s="122"/>
      <c r="EY66" s="122"/>
      <c r="EZ66" s="122"/>
      <c r="FA66" s="122"/>
      <c r="FB66" s="122"/>
      <c r="FC66" s="122"/>
      <c r="FD66" s="122"/>
      <c r="FE66" s="122"/>
      <c r="FF66" s="122"/>
      <c r="FG66" s="122"/>
      <c r="FH66" s="122"/>
      <c r="FI66" s="122"/>
      <c r="FJ66" s="122">
        <v>239138.55</v>
      </c>
      <c r="FK66" s="122"/>
      <c r="FL66" s="122"/>
      <c r="FM66" s="122"/>
      <c r="FN66" s="122"/>
      <c r="FO66" s="122"/>
      <c r="FP66" s="122"/>
      <c r="FQ66" s="122"/>
      <c r="FR66" s="122"/>
      <c r="FS66" s="122"/>
      <c r="FT66" s="122"/>
      <c r="FU66" s="122"/>
      <c r="FV66" s="122"/>
      <c r="FW66" s="122"/>
      <c r="FX66" s="122"/>
      <c r="FY66" s="122"/>
      <c r="FZ66" s="122"/>
      <c r="GA66" s="122"/>
      <c r="GB66" s="122"/>
      <c r="GC66" s="122"/>
      <c r="GD66" s="122"/>
      <c r="GE66" s="122"/>
      <c r="GF66" s="122"/>
      <c r="GG66" s="122"/>
      <c r="GH66" s="122"/>
      <c r="GI66" s="122"/>
      <c r="GJ66" s="122"/>
      <c r="GK66" s="122"/>
      <c r="GL66" s="122"/>
      <c r="GM66" s="122"/>
      <c r="GN66" s="122"/>
      <c r="GO66" s="122"/>
      <c r="GP66" s="122"/>
      <c r="GQ66" s="122"/>
      <c r="GR66" s="122"/>
      <c r="GS66" s="122"/>
      <c r="GT66" s="122"/>
      <c r="GU66" s="122"/>
      <c r="GV66" s="122"/>
      <c r="GW66" s="122"/>
      <c r="GX66" s="122"/>
      <c r="GY66" s="122"/>
      <c r="GZ66" s="122"/>
      <c r="HA66" s="122"/>
      <c r="HB66" s="122"/>
      <c r="HC66" s="122"/>
      <c r="HD66" s="122"/>
      <c r="HE66" s="122"/>
      <c r="HF66" s="122"/>
      <c r="HG66" s="122"/>
      <c r="HH66" s="122"/>
      <c r="HI66" s="122"/>
      <c r="HJ66" s="122"/>
      <c r="HK66" s="122"/>
      <c r="HL66" s="122"/>
      <c r="HM66" s="122"/>
      <c r="HN66" s="122"/>
      <c r="HO66" s="122"/>
      <c r="HP66" s="122"/>
      <c r="HQ66" s="122"/>
      <c r="HR66" s="122"/>
      <c r="HS66" s="122"/>
      <c r="HT66" s="122"/>
      <c r="HU66" s="122"/>
      <c r="HV66" s="122"/>
      <c r="HW66" s="122"/>
      <c r="HX66" s="122"/>
      <c r="HY66" s="122"/>
      <c r="HZ66" s="122"/>
      <c r="IA66" s="122"/>
      <c r="IB66" s="122"/>
      <c r="IC66" s="122"/>
      <c r="ID66" s="122"/>
      <c r="IE66" s="122"/>
      <c r="IF66" s="122"/>
      <c r="IG66" s="122"/>
      <c r="IH66" s="122"/>
      <c r="II66" s="122"/>
      <c r="IJ66" s="122"/>
      <c r="IK66" s="122"/>
      <c r="IL66" s="122"/>
      <c r="IM66" s="122"/>
      <c r="IN66" s="122"/>
      <c r="IO66" s="122"/>
      <c r="IP66" s="122"/>
      <c r="IQ66" s="122"/>
      <c r="IR66" s="122"/>
      <c r="IS66" s="122"/>
      <c r="IT66" s="122"/>
      <c r="IU66" s="122"/>
      <c r="IV66" s="122"/>
      <c r="IW66" s="122"/>
      <c r="IX66" s="122"/>
      <c r="IY66" s="122"/>
      <c r="IZ66" s="122"/>
      <c r="JA66" s="122"/>
      <c r="JB66" s="122"/>
      <c r="JC66" s="122"/>
      <c r="JD66" s="122"/>
      <c r="JE66" s="122"/>
      <c r="JF66" s="122"/>
      <c r="JG66" s="122"/>
      <c r="JH66" s="122"/>
      <c r="JI66" s="119">
        <f t="shared" si="0"/>
        <v>239138.55</v>
      </c>
      <c r="JJ66" s="2">
        <v>5290</v>
      </c>
      <c r="JK66" s="122"/>
      <c r="JL66" s="125"/>
      <c r="JM66" s="358"/>
      <c r="JN66" s="125"/>
      <c r="JO66" s="125"/>
      <c r="JP66" s="125"/>
    </row>
    <row r="67" spans="1:276" x14ac:dyDescent="0.25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  <c r="AS67" s="122"/>
      <c r="AT67" s="122"/>
      <c r="AU67" s="122"/>
      <c r="AV67" s="122"/>
      <c r="AW67" s="122"/>
      <c r="AX67" s="122"/>
      <c r="AY67" s="122"/>
      <c r="AZ67" s="122"/>
      <c r="BA67" s="122"/>
      <c r="BB67" s="122"/>
      <c r="BC67" s="122"/>
      <c r="BD67" s="122"/>
      <c r="BE67" s="122"/>
      <c r="BF67" s="122"/>
      <c r="BG67" s="122"/>
      <c r="BH67" s="122"/>
      <c r="BI67" s="122"/>
      <c r="BJ67" s="122"/>
      <c r="BK67" s="122"/>
      <c r="BL67" s="122"/>
      <c r="BM67" s="122"/>
      <c r="BN67" s="122"/>
      <c r="BO67" s="122"/>
      <c r="BP67" s="122"/>
      <c r="BQ67" s="122"/>
      <c r="BR67" s="122"/>
      <c r="BS67" s="122"/>
      <c r="BT67" s="122"/>
      <c r="BU67" s="122"/>
      <c r="BV67" s="122"/>
      <c r="BW67" s="122"/>
      <c r="BX67" s="122"/>
      <c r="BY67" s="122"/>
      <c r="BZ67" s="122"/>
      <c r="CA67" s="122"/>
      <c r="CB67" s="122"/>
      <c r="CC67" s="122"/>
      <c r="CD67" s="122"/>
      <c r="CE67" s="122"/>
      <c r="CF67" s="122"/>
      <c r="CG67" s="122"/>
      <c r="CH67" s="122"/>
      <c r="CI67" s="122"/>
      <c r="CJ67" s="122"/>
      <c r="CK67" s="122"/>
      <c r="CL67" s="122"/>
      <c r="CM67" s="122"/>
      <c r="CN67" s="122"/>
      <c r="CO67" s="122"/>
      <c r="CP67" s="122"/>
      <c r="CQ67" s="122"/>
      <c r="CR67" s="122"/>
      <c r="CS67" s="122"/>
      <c r="CT67" s="122"/>
      <c r="CU67" s="122"/>
      <c r="CV67" s="122"/>
      <c r="CW67" s="122"/>
      <c r="CX67" s="122"/>
      <c r="CY67" s="122"/>
      <c r="CZ67" s="122"/>
      <c r="DA67" s="122"/>
      <c r="DB67" s="122"/>
      <c r="DC67" s="122"/>
      <c r="DD67" s="122"/>
      <c r="DE67" s="122"/>
      <c r="DF67" s="122"/>
      <c r="DG67" s="122"/>
      <c r="DH67" s="122"/>
      <c r="DI67" s="122"/>
      <c r="DJ67" s="122"/>
      <c r="DK67" s="122"/>
      <c r="DL67" s="122"/>
      <c r="DM67" s="122"/>
      <c r="DN67" s="122"/>
      <c r="DO67" s="122"/>
      <c r="DP67" s="122"/>
      <c r="DQ67" s="122"/>
      <c r="DR67" s="122"/>
      <c r="DS67" s="122"/>
      <c r="DT67" s="122"/>
      <c r="DU67" s="122"/>
      <c r="DV67" s="122"/>
      <c r="DW67" s="122">
        <v>269040</v>
      </c>
      <c r="DX67" s="122"/>
      <c r="DY67" s="122"/>
      <c r="DZ67" s="122"/>
      <c r="EA67" s="122"/>
      <c r="EB67" s="122"/>
      <c r="EC67" s="122"/>
      <c r="ED67" s="122"/>
      <c r="EE67" s="122"/>
      <c r="EF67" s="122"/>
      <c r="EG67" s="122"/>
      <c r="EH67" s="122"/>
      <c r="EI67" s="122"/>
      <c r="EJ67" s="122"/>
      <c r="EK67" s="122"/>
      <c r="EL67" s="122"/>
      <c r="EM67" s="122"/>
      <c r="EN67" s="122"/>
      <c r="EO67" s="122"/>
      <c r="EP67" s="122"/>
      <c r="EQ67" s="122"/>
      <c r="ER67" s="122"/>
      <c r="ES67" s="122"/>
      <c r="ET67" s="122"/>
      <c r="EU67" s="122"/>
      <c r="EV67" s="122"/>
      <c r="EW67" s="122"/>
      <c r="EX67" s="122"/>
      <c r="EY67" s="122"/>
      <c r="EZ67" s="122"/>
      <c r="FA67" s="122"/>
      <c r="FB67" s="122"/>
      <c r="FC67" s="122"/>
      <c r="FD67" s="122"/>
      <c r="FE67" s="122"/>
      <c r="FF67" s="122"/>
      <c r="FG67" s="122"/>
      <c r="FH67" s="122"/>
      <c r="FI67" s="122"/>
      <c r="FJ67" s="122"/>
      <c r="FK67" s="122"/>
      <c r="FL67" s="122"/>
      <c r="FM67" s="122"/>
      <c r="FN67" s="122"/>
      <c r="FO67" s="122"/>
      <c r="FP67" s="122"/>
      <c r="FQ67" s="122"/>
      <c r="FR67" s="122"/>
      <c r="FS67" s="122"/>
      <c r="FT67" s="122"/>
      <c r="FU67" s="122"/>
      <c r="FV67" s="122"/>
      <c r="FW67" s="122"/>
      <c r="FX67" s="122"/>
      <c r="FY67" s="122"/>
      <c r="FZ67" s="122"/>
      <c r="GA67" s="122"/>
      <c r="GB67" s="122"/>
      <c r="GC67" s="122"/>
      <c r="GD67" s="122"/>
      <c r="GE67" s="122"/>
      <c r="GF67" s="122"/>
      <c r="GG67" s="122"/>
      <c r="GH67" s="122"/>
      <c r="GI67" s="122"/>
      <c r="GJ67" s="122"/>
      <c r="GK67" s="122"/>
      <c r="GL67" s="122"/>
      <c r="GM67" s="122"/>
      <c r="GN67" s="122"/>
      <c r="GO67" s="122"/>
      <c r="GP67" s="122"/>
      <c r="GQ67" s="122"/>
      <c r="GR67" s="122"/>
      <c r="GS67" s="122"/>
      <c r="GT67" s="122"/>
      <c r="GU67" s="122"/>
      <c r="GV67" s="122"/>
      <c r="GW67" s="122"/>
      <c r="GX67" s="122"/>
      <c r="GY67" s="122"/>
      <c r="GZ67" s="122"/>
      <c r="HA67" s="122"/>
      <c r="HB67" s="122"/>
      <c r="HC67" s="122"/>
      <c r="HD67" s="122"/>
      <c r="HE67" s="122"/>
      <c r="HF67" s="122"/>
      <c r="HG67" s="122"/>
      <c r="HH67" s="122"/>
      <c r="HI67" s="122"/>
      <c r="HJ67" s="122"/>
      <c r="HK67" s="122"/>
      <c r="HL67" s="122"/>
      <c r="HM67" s="122"/>
      <c r="HN67" s="122"/>
      <c r="HO67" s="122"/>
      <c r="HP67" s="122"/>
      <c r="HQ67" s="122"/>
      <c r="HR67" s="122"/>
      <c r="HS67" s="122"/>
      <c r="HT67" s="122"/>
      <c r="HU67" s="122"/>
      <c r="HV67" s="122"/>
      <c r="HW67" s="122"/>
      <c r="HX67" s="122"/>
      <c r="HY67" s="122"/>
      <c r="HZ67" s="122"/>
      <c r="IA67" s="122"/>
      <c r="IB67" s="122"/>
      <c r="IC67" s="122"/>
      <c r="ID67" s="122"/>
      <c r="IE67" s="122"/>
      <c r="IF67" s="122"/>
      <c r="IG67" s="122"/>
      <c r="IH67" s="122"/>
      <c r="II67" s="122"/>
      <c r="IJ67" s="122"/>
      <c r="IK67" s="122"/>
      <c r="IL67" s="122"/>
      <c r="IM67" s="122"/>
      <c r="IN67" s="122"/>
      <c r="IO67" s="122"/>
      <c r="IP67" s="122"/>
      <c r="IQ67" s="122"/>
      <c r="IR67" s="122"/>
      <c r="IS67" s="122"/>
      <c r="IT67" s="122"/>
      <c r="IU67" s="122"/>
      <c r="IV67" s="122"/>
      <c r="IW67" s="122"/>
      <c r="IX67" s="122"/>
      <c r="IY67" s="122"/>
      <c r="IZ67" s="122"/>
      <c r="JA67" s="122"/>
      <c r="JB67" s="122"/>
      <c r="JC67" s="122"/>
      <c r="JD67" s="122"/>
      <c r="JE67" s="122"/>
      <c r="JF67" s="122"/>
      <c r="JG67" s="122"/>
      <c r="JH67" s="122"/>
      <c r="JI67" s="119">
        <f t="shared" ref="JI67:JI79" si="1">SUM(A67:JH67)</f>
        <v>269040</v>
      </c>
      <c r="JJ67" s="2">
        <v>5295</v>
      </c>
      <c r="JK67" s="122"/>
      <c r="JL67" s="125"/>
      <c r="JM67" s="358"/>
      <c r="JN67" s="125"/>
      <c r="JO67" s="125"/>
      <c r="JP67" s="125"/>
    </row>
    <row r="68" spans="1:276" x14ac:dyDescent="0.25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122"/>
      <c r="AQ68" s="122"/>
      <c r="AR68" s="122"/>
      <c r="AS68" s="122"/>
      <c r="AT68" s="122"/>
      <c r="AU68" s="122"/>
      <c r="AV68" s="122"/>
      <c r="AW68" s="122"/>
      <c r="AX68" s="122"/>
      <c r="AY68" s="122"/>
      <c r="AZ68" s="122"/>
      <c r="BA68" s="122"/>
      <c r="BB68" s="122"/>
      <c r="BC68" s="122"/>
      <c r="BD68" s="122"/>
      <c r="BE68" s="122"/>
      <c r="BF68" s="122"/>
      <c r="BG68" s="122"/>
      <c r="BH68" s="122"/>
      <c r="BI68" s="122"/>
      <c r="BJ68" s="122"/>
      <c r="BK68" s="122"/>
      <c r="BL68" s="122"/>
      <c r="BM68" s="122"/>
      <c r="BN68" s="122"/>
      <c r="BO68" s="122"/>
      <c r="BP68" s="122"/>
      <c r="BQ68" s="122"/>
      <c r="BR68" s="122"/>
      <c r="BS68" s="122"/>
      <c r="BT68" s="122"/>
      <c r="BU68" s="122"/>
      <c r="BV68" s="122"/>
      <c r="BW68" s="122"/>
      <c r="BX68" s="122"/>
      <c r="BY68" s="122"/>
      <c r="BZ68" s="122"/>
      <c r="CA68" s="122"/>
      <c r="CB68" s="122"/>
      <c r="CC68" s="122"/>
      <c r="CD68" s="122"/>
      <c r="CE68" s="122"/>
      <c r="CF68" s="122"/>
      <c r="CG68" s="122"/>
      <c r="CH68" s="122"/>
      <c r="CI68" s="122"/>
      <c r="CJ68" s="122"/>
      <c r="CK68" s="122"/>
      <c r="CL68" s="122"/>
      <c r="CM68" s="122"/>
      <c r="CN68" s="122"/>
      <c r="CO68" s="122"/>
      <c r="CP68" s="122"/>
      <c r="CQ68" s="122"/>
      <c r="CR68" s="122"/>
      <c r="CS68" s="122"/>
      <c r="CT68" s="122"/>
      <c r="CU68" s="122"/>
      <c r="CV68" s="122"/>
      <c r="CW68" s="122"/>
      <c r="CX68" s="122"/>
      <c r="CY68" s="122"/>
      <c r="CZ68" s="122"/>
      <c r="DA68" s="122"/>
      <c r="DB68" s="122"/>
      <c r="DC68" s="122"/>
      <c r="DD68" s="122"/>
      <c r="DE68" s="122"/>
      <c r="DF68" s="122"/>
      <c r="DG68" s="122"/>
      <c r="DH68" s="122"/>
      <c r="DI68" s="122"/>
      <c r="DJ68" s="122"/>
      <c r="DK68" s="122"/>
      <c r="DL68" s="122"/>
      <c r="DM68" s="122"/>
      <c r="DN68" s="122"/>
      <c r="DO68" s="122"/>
      <c r="DP68" s="122"/>
      <c r="DQ68" s="122"/>
      <c r="DR68" s="122"/>
      <c r="DS68" s="122"/>
      <c r="DT68" s="122"/>
      <c r="DU68" s="122"/>
      <c r="DV68" s="122"/>
      <c r="DW68" s="122"/>
      <c r="DX68" s="122"/>
      <c r="DY68" s="122"/>
      <c r="DZ68" s="122"/>
      <c r="EA68" s="122"/>
      <c r="EB68" s="122"/>
      <c r="EC68" s="122"/>
      <c r="ED68" s="122"/>
      <c r="EE68" s="122"/>
      <c r="EF68" s="122"/>
      <c r="EG68" s="122"/>
      <c r="EH68" s="122"/>
      <c r="EI68" s="122"/>
      <c r="EJ68" s="122"/>
      <c r="EK68" s="122"/>
      <c r="EL68" s="122"/>
      <c r="EM68" s="122"/>
      <c r="EN68" s="122"/>
      <c r="EO68" s="122"/>
      <c r="EP68" s="122"/>
      <c r="EQ68" s="122"/>
      <c r="ER68" s="122"/>
      <c r="ES68" s="122"/>
      <c r="ET68" s="122"/>
      <c r="EU68" s="122"/>
      <c r="EV68" s="122"/>
      <c r="EW68" s="122"/>
      <c r="EX68" s="122"/>
      <c r="EY68" s="122"/>
      <c r="EZ68" s="122"/>
      <c r="FA68" s="122"/>
      <c r="FB68" s="122"/>
      <c r="FC68" s="122"/>
      <c r="FD68" s="122"/>
      <c r="FE68" s="122"/>
      <c r="FF68" s="122"/>
      <c r="FG68" s="122"/>
      <c r="FH68" s="122"/>
      <c r="FI68" s="122"/>
      <c r="FJ68" s="122"/>
      <c r="FK68" s="122"/>
      <c r="FL68" s="122"/>
      <c r="FM68" s="122"/>
      <c r="FN68" s="122"/>
      <c r="FO68" s="122"/>
      <c r="FP68" s="122"/>
      <c r="FQ68" s="122"/>
      <c r="FR68" s="122"/>
      <c r="FS68" s="122"/>
      <c r="FT68" s="122"/>
      <c r="FU68" s="122"/>
      <c r="FV68" s="122"/>
      <c r="FW68" s="122"/>
      <c r="FX68" s="122"/>
      <c r="FY68" s="122"/>
      <c r="FZ68" s="122"/>
      <c r="GA68" s="122"/>
      <c r="GB68" s="122"/>
      <c r="GC68" s="122"/>
      <c r="GD68" s="122"/>
      <c r="GE68" s="122"/>
      <c r="GF68" s="122"/>
      <c r="GG68" s="122"/>
      <c r="GH68" s="122"/>
      <c r="GI68" s="122"/>
      <c r="GJ68" s="122"/>
      <c r="GK68" s="122"/>
      <c r="GL68" s="122"/>
      <c r="GM68" s="122"/>
      <c r="GN68" s="122"/>
      <c r="GO68" s="122"/>
      <c r="GP68" s="122"/>
      <c r="GQ68" s="122">
        <v>784700</v>
      </c>
      <c r="GR68" s="122"/>
      <c r="GS68" s="122"/>
      <c r="GT68" s="122"/>
      <c r="GU68" s="122"/>
      <c r="GV68" s="122"/>
      <c r="GW68" s="122"/>
      <c r="GX68" s="122"/>
      <c r="GY68" s="122"/>
      <c r="GZ68" s="122"/>
      <c r="HA68" s="122"/>
      <c r="HB68" s="122"/>
      <c r="HC68" s="122"/>
      <c r="HD68" s="122"/>
      <c r="HE68" s="122"/>
      <c r="HF68" s="122"/>
      <c r="HG68" s="122"/>
      <c r="HH68" s="122"/>
      <c r="HI68" s="122"/>
      <c r="HJ68" s="122"/>
      <c r="HK68" s="122"/>
      <c r="HL68" s="122"/>
      <c r="HM68" s="122"/>
      <c r="HN68" s="122"/>
      <c r="HO68" s="122"/>
      <c r="HP68" s="122"/>
      <c r="HQ68" s="122"/>
      <c r="HR68" s="122"/>
      <c r="HS68" s="122"/>
      <c r="HT68" s="122"/>
      <c r="HU68" s="122"/>
      <c r="HV68" s="122"/>
      <c r="HW68" s="122"/>
      <c r="HX68" s="122"/>
      <c r="HY68" s="122"/>
      <c r="HZ68" s="122"/>
      <c r="IA68" s="122"/>
      <c r="IB68" s="122"/>
      <c r="IC68" s="122"/>
      <c r="ID68" s="122"/>
      <c r="IE68" s="122"/>
      <c r="IF68" s="122"/>
      <c r="IG68" s="122"/>
      <c r="IH68" s="122"/>
      <c r="II68" s="122"/>
      <c r="IJ68" s="122"/>
      <c r="IK68" s="122"/>
      <c r="IL68" s="122"/>
      <c r="IM68" s="122"/>
      <c r="IN68" s="122"/>
      <c r="IO68" s="122"/>
      <c r="IP68" s="122"/>
      <c r="IQ68" s="122"/>
      <c r="IR68" s="122"/>
      <c r="IS68" s="122"/>
      <c r="IT68" s="122"/>
      <c r="IU68" s="122"/>
      <c r="IV68" s="122"/>
      <c r="IW68" s="122"/>
      <c r="IX68" s="122"/>
      <c r="IY68" s="122"/>
      <c r="IZ68" s="122"/>
      <c r="JA68" s="122"/>
      <c r="JB68" s="122"/>
      <c r="JC68" s="122"/>
      <c r="JD68" s="122"/>
      <c r="JE68" s="122"/>
      <c r="JF68" s="122"/>
      <c r="JG68" s="122"/>
      <c r="JH68" s="122"/>
      <c r="JI68" s="119">
        <f t="shared" si="1"/>
        <v>784700</v>
      </c>
      <c r="JJ68" s="2">
        <v>5301</v>
      </c>
      <c r="JK68" s="122"/>
      <c r="JL68" s="125"/>
      <c r="JM68" s="358"/>
      <c r="JN68" s="125"/>
      <c r="JO68" s="125"/>
      <c r="JP68" s="125"/>
    </row>
    <row r="69" spans="1:276" x14ac:dyDescent="0.25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22"/>
      <c r="BC69" s="122"/>
      <c r="BD69" s="122"/>
      <c r="BE69" s="122"/>
      <c r="BF69" s="122"/>
      <c r="BG69" s="122"/>
      <c r="BH69" s="122"/>
      <c r="BI69" s="122"/>
      <c r="BJ69" s="122"/>
      <c r="BK69" s="122"/>
      <c r="BL69" s="122"/>
      <c r="BM69" s="122"/>
      <c r="BN69" s="122"/>
      <c r="BO69" s="122"/>
      <c r="BP69" s="122"/>
      <c r="BQ69" s="122"/>
      <c r="BR69" s="122"/>
      <c r="BS69" s="122"/>
      <c r="BT69" s="122"/>
      <c r="BU69" s="122"/>
      <c r="BV69" s="122"/>
      <c r="BW69" s="122"/>
      <c r="BX69" s="122"/>
      <c r="BY69" s="122"/>
      <c r="BZ69" s="122"/>
      <c r="CA69" s="122"/>
      <c r="CB69" s="122"/>
      <c r="CC69" s="122"/>
      <c r="CD69" s="122"/>
      <c r="CE69" s="122"/>
      <c r="CF69" s="122"/>
      <c r="CG69" s="122"/>
      <c r="CH69" s="122"/>
      <c r="CI69" s="122"/>
      <c r="CJ69" s="122"/>
      <c r="CK69" s="122"/>
      <c r="CL69" s="122"/>
      <c r="CM69" s="122"/>
      <c r="CN69" s="122"/>
      <c r="CO69" s="122"/>
      <c r="CP69" s="122"/>
      <c r="CQ69" s="122"/>
      <c r="CR69" s="122"/>
      <c r="CS69" s="122"/>
      <c r="CT69" s="122"/>
      <c r="CU69" s="122"/>
      <c r="CV69" s="122"/>
      <c r="CW69" s="122"/>
      <c r="CX69" s="122"/>
      <c r="CY69" s="122"/>
      <c r="CZ69" s="122"/>
      <c r="DA69" s="122"/>
      <c r="DB69" s="122"/>
      <c r="DC69" s="122"/>
      <c r="DD69" s="122"/>
      <c r="DE69" s="122"/>
      <c r="DF69" s="122"/>
      <c r="DG69" s="122"/>
      <c r="DH69" s="122"/>
      <c r="DI69" s="122"/>
      <c r="DJ69" s="122"/>
      <c r="DK69" s="122"/>
      <c r="DL69" s="122"/>
      <c r="DM69" s="122"/>
      <c r="DN69" s="122"/>
      <c r="DO69" s="122"/>
      <c r="DP69" s="122"/>
      <c r="DQ69" s="122"/>
      <c r="DR69" s="122"/>
      <c r="DS69" s="122"/>
      <c r="DT69" s="122"/>
      <c r="DU69" s="122"/>
      <c r="DV69" s="122"/>
      <c r="DW69" s="122"/>
      <c r="DX69" s="122"/>
      <c r="DY69" s="122"/>
      <c r="DZ69" s="122"/>
      <c r="EA69" s="122"/>
      <c r="EB69" s="122"/>
      <c r="EC69" s="122"/>
      <c r="ED69" s="122"/>
      <c r="EE69" s="122"/>
      <c r="EF69" s="122"/>
      <c r="EG69" s="122"/>
      <c r="EH69" s="122"/>
      <c r="EI69" s="122"/>
      <c r="EJ69" s="122"/>
      <c r="EK69" s="122"/>
      <c r="EL69" s="122"/>
      <c r="EM69" s="122"/>
      <c r="EN69" s="122"/>
      <c r="EO69" s="122"/>
      <c r="EP69" s="122"/>
      <c r="EQ69" s="122"/>
      <c r="ER69" s="122"/>
      <c r="ES69" s="122"/>
      <c r="ET69" s="122"/>
      <c r="EU69" s="122"/>
      <c r="EV69" s="122"/>
      <c r="EW69" s="122"/>
      <c r="EX69" s="122"/>
      <c r="EY69" s="122"/>
      <c r="EZ69" s="122"/>
      <c r="FA69" s="122"/>
      <c r="FB69" s="122"/>
      <c r="FC69" s="122"/>
      <c r="FD69" s="122"/>
      <c r="FE69" s="122"/>
      <c r="FF69" s="122"/>
      <c r="FG69" s="122"/>
      <c r="FH69" s="122"/>
      <c r="FI69" s="122"/>
      <c r="FJ69" s="122">
        <v>190680</v>
      </c>
      <c r="FK69" s="122"/>
      <c r="FL69" s="122"/>
      <c r="FM69" s="122"/>
      <c r="FN69" s="122"/>
      <c r="FO69" s="122"/>
      <c r="FP69" s="122"/>
      <c r="FQ69" s="122"/>
      <c r="FR69" s="122"/>
      <c r="FS69" s="122"/>
      <c r="FT69" s="122"/>
      <c r="FU69" s="122"/>
      <c r="FV69" s="122"/>
      <c r="FW69" s="122"/>
      <c r="FX69" s="122"/>
      <c r="FY69" s="122"/>
      <c r="FZ69" s="122"/>
      <c r="GA69" s="122"/>
      <c r="GB69" s="122"/>
      <c r="GC69" s="122"/>
      <c r="GD69" s="122"/>
      <c r="GE69" s="122"/>
      <c r="GF69" s="122"/>
      <c r="GG69" s="122"/>
      <c r="GH69" s="122"/>
      <c r="GI69" s="122"/>
      <c r="GJ69" s="122"/>
      <c r="GK69" s="122"/>
      <c r="GL69" s="122"/>
      <c r="GM69" s="122"/>
      <c r="GN69" s="122"/>
      <c r="GO69" s="122"/>
      <c r="GP69" s="122"/>
      <c r="GQ69" s="122"/>
      <c r="GR69" s="122"/>
      <c r="GS69" s="122"/>
      <c r="GT69" s="122"/>
      <c r="GU69" s="122"/>
      <c r="GV69" s="122"/>
      <c r="GW69" s="122"/>
      <c r="GX69" s="122"/>
      <c r="GY69" s="122"/>
      <c r="GZ69" s="122"/>
      <c r="HA69" s="122"/>
      <c r="HB69" s="122"/>
      <c r="HC69" s="122"/>
      <c r="HD69" s="122"/>
      <c r="HE69" s="122"/>
      <c r="HF69" s="122"/>
      <c r="HG69" s="122"/>
      <c r="HH69" s="122"/>
      <c r="HI69" s="122"/>
      <c r="HJ69" s="122"/>
      <c r="HK69" s="122"/>
      <c r="HL69" s="122"/>
      <c r="HM69" s="122"/>
      <c r="HN69" s="122"/>
      <c r="HO69" s="122"/>
      <c r="HP69" s="122"/>
      <c r="HQ69" s="122"/>
      <c r="HR69" s="122"/>
      <c r="HS69" s="122"/>
      <c r="HT69" s="122"/>
      <c r="HU69" s="122"/>
      <c r="HV69" s="122"/>
      <c r="HW69" s="122"/>
      <c r="HX69" s="122"/>
      <c r="HY69" s="122"/>
      <c r="HZ69" s="122"/>
      <c r="IA69" s="122"/>
      <c r="IB69" s="122"/>
      <c r="IC69" s="122"/>
      <c r="ID69" s="122"/>
      <c r="IE69" s="122"/>
      <c r="IF69" s="122"/>
      <c r="IG69" s="122"/>
      <c r="IH69" s="122"/>
      <c r="II69" s="122"/>
      <c r="IJ69" s="122"/>
      <c r="IK69" s="122"/>
      <c r="IL69" s="122"/>
      <c r="IM69" s="122"/>
      <c r="IN69" s="122"/>
      <c r="IO69" s="122"/>
      <c r="IP69" s="122"/>
      <c r="IQ69" s="122"/>
      <c r="IR69" s="122"/>
      <c r="IS69" s="122"/>
      <c r="IT69" s="122"/>
      <c r="IU69" s="122"/>
      <c r="IV69" s="122"/>
      <c r="IW69" s="122"/>
      <c r="IX69" s="122"/>
      <c r="IY69" s="122"/>
      <c r="IZ69" s="122"/>
      <c r="JA69" s="122"/>
      <c r="JB69" s="122"/>
      <c r="JC69" s="122"/>
      <c r="JD69" s="122"/>
      <c r="JE69" s="122"/>
      <c r="JF69" s="122"/>
      <c r="JG69" s="122"/>
      <c r="JH69" s="122"/>
      <c r="JI69" s="119">
        <f t="shared" si="1"/>
        <v>190680</v>
      </c>
      <c r="JJ69" s="2">
        <v>5309</v>
      </c>
      <c r="JK69" s="122"/>
      <c r="JL69" s="125"/>
      <c r="JM69" s="358"/>
      <c r="JN69" s="125"/>
      <c r="JO69" s="125"/>
      <c r="JP69" s="125"/>
    </row>
    <row r="70" spans="1:276" x14ac:dyDescent="0.25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  <c r="AS70" s="122"/>
      <c r="AT70" s="122"/>
      <c r="AU70" s="122"/>
      <c r="AV70" s="122"/>
      <c r="AW70" s="122"/>
      <c r="AX70" s="122"/>
      <c r="AY70" s="122"/>
      <c r="AZ70" s="122"/>
      <c r="BA70" s="122"/>
      <c r="BB70" s="122"/>
      <c r="BC70" s="122"/>
      <c r="BD70" s="122"/>
      <c r="BE70" s="122"/>
      <c r="BF70" s="122"/>
      <c r="BG70" s="122"/>
      <c r="BH70" s="122"/>
      <c r="BI70" s="122"/>
      <c r="BJ70" s="122"/>
      <c r="BK70" s="122"/>
      <c r="BL70" s="122"/>
      <c r="BM70" s="122"/>
      <c r="BN70" s="122"/>
      <c r="BO70" s="122"/>
      <c r="BP70" s="122"/>
      <c r="BQ70" s="122"/>
      <c r="BR70" s="122"/>
      <c r="BS70" s="122"/>
      <c r="BT70" s="122"/>
      <c r="BU70" s="122"/>
      <c r="BV70" s="122"/>
      <c r="BW70" s="122"/>
      <c r="BX70" s="122"/>
      <c r="BY70" s="122"/>
      <c r="BZ70" s="122"/>
      <c r="CA70" s="122"/>
      <c r="CB70" s="122"/>
      <c r="CC70" s="122"/>
      <c r="CD70" s="122"/>
      <c r="CE70" s="122"/>
      <c r="CF70" s="122"/>
      <c r="CG70" s="122"/>
      <c r="CH70" s="122"/>
      <c r="CI70" s="122"/>
      <c r="CJ70" s="122"/>
      <c r="CK70" s="122"/>
      <c r="CL70" s="122"/>
      <c r="CM70" s="122"/>
      <c r="CN70" s="122"/>
      <c r="CO70" s="122"/>
      <c r="CP70" s="122"/>
      <c r="CQ70" s="122">
        <v>224500</v>
      </c>
      <c r="CR70" s="122"/>
      <c r="CS70" s="122"/>
      <c r="CT70" s="122"/>
      <c r="CU70" s="122"/>
      <c r="CV70" s="122"/>
      <c r="CW70" s="122"/>
      <c r="CX70" s="122"/>
      <c r="CY70" s="122"/>
      <c r="CZ70" s="122"/>
      <c r="DA70" s="122"/>
      <c r="DB70" s="122"/>
      <c r="DC70" s="122"/>
      <c r="DD70" s="122"/>
      <c r="DE70" s="122"/>
      <c r="DF70" s="122"/>
      <c r="DG70" s="122"/>
      <c r="DH70" s="122"/>
      <c r="DI70" s="122"/>
      <c r="DJ70" s="122"/>
      <c r="DK70" s="122"/>
      <c r="DL70" s="122"/>
      <c r="DM70" s="122"/>
      <c r="DN70" s="122"/>
      <c r="DO70" s="122"/>
      <c r="DP70" s="122"/>
      <c r="DQ70" s="122"/>
      <c r="DR70" s="122"/>
      <c r="DS70" s="122"/>
      <c r="DT70" s="122"/>
      <c r="DU70" s="122"/>
      <c r="DV70" s="122"/>
      <c r="DW70" s="122"/>
      <c r="DX70" s="122"/>
      <c r="DY70" s="122"/>
      <c r="DZ70" s="122"/>
      <c r="EA70" s="122"/>
      <c r="EB70" s="122"/>
      <c r="EC70" s="122"/>
      <c r="ED70" s="122"/>
      <c r="EE70" s="122"/>
      <c r="EF70" s="122"/>
      <c r="EG70" s="122"/>
      <c r="EH70" s="122"/>
      <c r="EI70" s="122"/>
      <c r="EJ70" s="122"/>
      <c r="EK70" s="122"/>
      <c r="EL70" s="122"/>
      <c r="EM70" s="122"/>
      <c r="EN70" s="122"/>
      <c r="EO70" s="122"/>
      <c r="EP70" s="122"/>
      <c r="EQ70" s="122"/>
      <c r="ER70" s="122"/>
      <c r="ES70" s="122"/>
      <c r="ET70" s="122"/>
      <c r="EU70" s="122"/>
      <c r="EV70" s="122"/>
      <c r="EW70" s="122"/>
      <c r="EX70" s="122"/>
      <c r="EY70" s="122"/>
      <c r="EZ70" s="122"/>
      <c r="FA70" s="122"/>
      <c r="FB70" s="122"/>
      <c r="FC70" s="122"/>
      <c r="FD70" s="122"/>
      <c r="FE70" s="122"/>
      <c r="FF70" s="122"/>
      <c r="FG70" s="122"/>
      <c r="FH70" s="122"/>
      <c r="FI70" s="122"/>
      <c r="FJ70" s="122"/>
      <c r="FK70" s="122"/>
      <c r="FL70" s="122"/>
      <c r="FM70" s="122"/>
      <c r="FN70" s="122"/>
      <c r="FO70" s="122"/>
      <c r="FP70" s="122"/>
      <c r="FQ70" s="122"/>
      <c r="FR70" s="122"/>
      <c r="FS70" s="122"/>
      <c r="FT70" s="122"/>
      <c r="FU70" s="122"/>
      <c r="FV70" s="122"/>
      <c r="FW70" s="122"/>
      <c r="FX70" s="122"/>
      <c r="FY70" s="122"/>
      <c r="FZ70" s="122"/>
      <c r="GA70" s="122"/>
      <c r="GB70" s="122"/>
      <c r="GC70" s="122"/>
      <c r="GD70" s="122"/>
      <c r="GE70" s="122"/>
      <c r="GF70" s="122"/>
      <c r="GG70" s="122"/>
      <c r="GH70" s="122"/>
      <c r="GI70" s="122"/>
      <c r="GJ70" s="122"/>
      <c r="GK70" s="122"/>
      <c r="GL70" s="122"/>
      <c r="GM70" s="122"/>
      <c r="GN70" s="122"/>
      <c r="GO70" s="122"/>
      <c r="GP70" s="122"/>
      <c r="GQ70" s="122"/>
      <c r="GR70" s="122"/>
      <c r="GS70" s="122"/>
      <c r="GT70" s="122"/>
      <c r="GU70" s="122"/>
      <c r="GV70" s="122"/>
      <c r="GW70" s="122"/>
      <c r="GX70" s="122"/>
      <c r="GY70" s="122"/>
      <c r="GZ70" s="122"/>
      <c r="HA70" s="122"/>
      <c r="HB70" s="122"/>
      <c r="HC70" s="122"/>
      <c r="HD70" s="122"/>
      <c r="HE70" s="122"/>
      <c r="HF70" s="122"/>
      <c r="HG70" s="122"/>
      <c r="HH70" s="122"/>
      <c r="HI70" s="122"/>
      <c r="HJ70" s="122"/>
      <c r="HK70" s="122"/>
      <c r="HL70" s="122"/>
      <c r="HM70" s="122"/>
      <c r="HN70" s="122"/>
      <c r="HO70" s="122"/>
      <c r="HP70" s="122"/>
      <c r="HQ70" s="122"/>
      <c r="HR70" s="122"/>
      <c r="HS70" s="122"/>
      <c r="HT70" s="122"/>
      <c r="HU70" s="122"/>
      <c r="HV70" s="122"/>
      <c r="HW70" s="122"/>
      <c r="HX70" s="122"/>
      <c r="HY70" s="122"/>
      <c r="HZ70" s="122"/>
      <c r="IA70" s="122"/>
      <c r="IB70" s="122"/>
      <c r="IC70" s="122"/>
      <c r="ID70" s="122"/>
      <c r="IE70" s="122"/>
      <c r="IF70" s="122"/>
      <c r="IG70" s="122"/>
      <c r="IH70" s="122"/>
      <c r="II70" s="122"/>
      <c r="IJ70" s="122"/>
      <c r="IK70" s="122"/>
      <c r="IL70" s="122"/>
      <c r="IM70" s="122"/>
      <c r="IN70" s="122"/>
      <c r="IO70" s="122"/>
      <c r="IP70" s="122"/>
      <c r="IQ70" s="122"/>
      <c r="IR70" s="122"/>
      <c r="IS70" s="122"/>
      <c r="IT70" s="122"/>
      <c r="IU70" s="122"/>
      <c r="IV70" s="122"/>
      <c r="IW70" s="122"/>
      <c r="IX70" s="122"/>
      <c r="IY70" s="122"/>
      <c r="IZ70" s="122"/>
      <c r="JA70" s="122"/>
      <c r="JB70" s="122"/>
      <c r="JC70" s="122"/>
      <c r="JD70" s="122"/>
      <c r="JE70" s="122"/>
      <c r="JF70" s="122"/>
      <c r="JG70" s="122"/>
      <c r="JH70" s="122"/>
      <c r="JI70" s="119">
        <f t="shared" si="1"/>
        <v>224500</v>
      </c>
      <c r="JJ70" s="2">
        <v>5313</v>
      </c>
      <c r="JK70" s="122"/>
      <c r="JL70" s="125"/>
      <c r="JM70" s="358"/>
      <c r="JN70" s="125"/>
      <c r="JO70" s="125"/>
      <c r="JP70" s="125"/>
    </row>
    <row r="71" spans="1:276" x14ac:dyDescent="0.25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  <c r="AT71" s="122"/>
      <c r="AU71" s="122"/>
      <c r="AV71" s="122"/>
      <c r="AW71" s="122"/>
      <c r="AX71" s="122"/>
      <c r="AY71" s="122"/>
      <c r="AZ71" s="122"/>
      <c r="BA71" s="122"/>
      <c r="BB71" s="122"/>
      <c r="BC71" s="122"/>
      <c r="BD71" s="122"/>
      <c r="BE71" s="122"/>
      <c r="BF71" s="122"/>
      <c r="BG71" s="122"/>
      <c r="BH71" s="122"/>
      <c r="BI71" s="122"/>
      <c r="BJ71" s="122"/>
      <c r="BK71" s="122"/>
      <c r="BL71" s="122"/>
      <c r="BM71" s="122"/>
      <c r="BN71" s="122"/>
      <c r="BO71" s="122"/>
      <c r="BP71" s="122"/>
      <c r="BQ71" s="122"/>
      <c r="BR71" s="122"/>
      <c r="BS71" s="122"/>
      <c r="BT71" s="122"/>
      <c r="BU71" s="122"/>
      <c r="BV71" s="122"/>
      <c r="BW71" s="122"/>
      <c r="BX71" s="122"/>
      <c r="BY71" s="122"/>
      <c r="BZ71" s="122"/>
      <c r="CA71" s="122"/>
      <c r="CB71" s="122"/>
      <c r="CC71" s="122"/>
      <c r="CD71" s="122"/>
      <c r="CE71" s="122"/>
      <c r="CF71" s="122"/>
      <c r="CG71" s="122"/>
      <c r="CH71" s="122"/>
      <c r="CI71" s="122"/>
      <c r="CJ71" s="122"/>
      <c r="CK71" s="122"/>
      <c r="CL71" s="122"/>
      <c r="CM71" s="122"/>
      <c r="CN71" s="122"/>
      <c r="CO71" s="122"/>
      <c r="CP71" s="122"/>
      <c r="CQ71" s="122"/>
      <c r="CR71" s="122"/>
      <c r="CS71" s="122"/>
      <c r="CT71" s="122"/>
      <c r="CU71" s="122"/>
      <c r="CV71" s="122"/>
      <c r="CW71" s="122"/>
      <c r="CX71" s="122"/>
      <c r="CY71" s="122"/>
      <c r="CZ71" s="122"/>
      <c r="DA71" s="122"/>
      <c r="DB71" s="122"/>
      <c r="DC71" s="122"/>
      <c r="DD71" s="122"/>
      <c r="DE71" s="122"/>
      <c r="DF71" s="122"/>
      <c r="DG71" s="122"/>
      <c r="DH71" s="122"/>
      <c r="DI71" s="122"/>
      <c r="DJ71" s="122"/>
      <c r="DK71" s="122"/>
      <c r="DL71" s="122"/>
      <c r="DM71" s="122"/>
      <c r="DN71" s="122"/>
      <c r="DO71" s="122"/>
      <c r="DP71" s="122"/>
      <c r="DQ71" s="122"/>
      <c r="DR71" s="122"/>
      <c r="DS71" s="122"/>
      <c r="DT71" s="122"/>
      <c r="DU71" s="122"/>
      <c r="DV71" s="122"/>
      <c r="DW71" s="122"/>
      <c r="DX71" s="122"/>
      <c r="DY71" s="122"/>
      <c r="DZ71" s="122"/>
      <c r="EA71" s="122"/>
      <c r="EB71" s="122"/>
      <c r="EC71" s="122"/>
      <c r="ED71" s="122"/>
      <c r="EE71" s="122"/>
      <c r="EF71" s="122"/>
      <c r="EG71" s="122"/>
      <c r="EH71" s="122"/>
      <c r="EI71" s="122"/>
      <c r="EJ71" s="122"/>
      <c r="EK71" s="122"/>
      <c r="EL71" s="122"/>
      <c r="EM71" s="122"/>
      <c r="EN71" s="122"/>
      <c r="EO71" s="122"/>
      <c r="EP71" s="122"/>
      <c r="EQ71" s="122"/>
      <c r="ER71" s="122"/>
      <c r="ES71" s="122"/>
      <c r="ET71" s="122"/>
      <c r="EU71" s="122"/>
      <c r="EV71" s="122"/>
      <c r="EW71" s="122"/>
      <c r="EX71" s="122"/>
      <c r="EY71" s="122"/>
      <c r="EZ71" s="122"/>
      <c r="FA71" s="122"/>
      <c r="FB71" s="122"/>
      <c r="FC71" s="122"/>
      <c r="FD71" s="122"/>
      <c r="FE71" s="122"/>
      <c r="FF71" s="122"/>
      <c r="FG71" s="122"/>
      <c r="FH71" s="122"/>
      <c r="FI71" s="122"/>
      <c r="FJ71" s="122">
        <v>188482</v>
      </c>
      <c r="FK71" s="122"/>
      <c r="FL71" s="122"/>
      <c r="FM71" s="122"/>
      <c r="FN71" s="122"/>
      <c r="FO71" s="122"/>
      <c r="FP71" s="122"/>
      <c r="FQ71" s="122"/>
      <c r="FR71" s="122"/>
      <c r="FS71" s="122"/>
      <c r="FT71" s="122"/>
      <c r="FU71" s="122"/>
      <c r="FV71" s="122"/>
      <c r="FW71" s="122"/>
      <c r="FX71" s="122"/>
      <c r="FY71" s="122"/>
      <c r="FZ71" s="122"/>
      <c r="GA71" s="122"/>
      <c r="GB71" s="122"/>
      <c r="GC71" s="122"/>
      <c r="GD71" s="122"/>
      <c r="GE71" s="122"/>
      <c r="GF71" s="122"/>
      <c r="GG71" s="122"/>
      <c r="GH71" s="122"/>
      <c r="GI71" s="122"/>
      <c r="GJ71" s="122"/>
      <c r="GK71" s="122"/>
      <c r="GL71" s="122"/>
      <c r="GM71" s="122"/>
      <c r="GN71" s="122"/>
      <c r="GO71" s="122"/>
      <c r="GP71" s="122"/>
      <c r="GQ71" s="122"/>
      <c r="GR71" s="122"/>
      <c r="GS71" s="122"/>
      <c r="GT71" s="122"/>
      <c r="GU71" s="122"/>
      <c r="GV71" s="122"/>
      <c r="GW71" s="122"/>
      <c r="GX71" s="122"/>
      <c r="GY71" s="122"/>
      <c r="GZ71" s="122"/>
      <c r="HA71" s="122"/>
      <c r="HB71" s="122"/>
      <c r="HC71" s="122"/>
      <c r="HD71" s="122"/>
      <c r="HE71" s="122"/>
      <c r="HF71" s="122"/>
      <c r="HG71" s="122"/>
      <c r="HH71" s="122"/>
      <c r="HI71" s="122"/>
      <c r="HJ71" s="122"/>
      <c r="HK71" s="122"/>
      <c r="HL71" s="122"/>
      <c r="HM71" s="122"/>
      <c r="HN71" s="122"/>
      <c r="HO71" s="122"/>
      <c r="HP71" s="122"/>
      <c r="HQ71" s="122"/>
      <c r="HR71" s="122"/>
      <c r="HS71" s="122"/>
      <c r="HT71" s="122"/>
      <c r="HU71" s="122"/>
      <c r="HV71" s="122"/>
      <c r="HW71" s="122"/>
      <c r="HX71" s="122"/>
      <c r="HY71" s="122"/>
      <c r="HZ71" s="122"/>
      <c r="IA71" s="122"/>
      <c r="IB71" s="122"/>
      <c r="IC71" s="122"/>
      <c r="ID71" s="122"/>
      <c r="IE71" s="122"/>
      <c r="IF71" s="122"/>
      <c r="IG71" s="122"/>
      <c r="IH71" s="122"/>
      <c r="II71" s="122"/>
      <c r="IJ71" s="122"/>
      <c r="IK71" s="122"/>
      <c r="IL71" s="122"/>
      <c r="IM71" s="122"/>
      <c r="IN71" s="122"/>
      <c r="IO71" s="122"/>
      <c r="IP71" s="122"/>
      <c r="IQ71" s="122"/>
      <c r="IR71" s="122"/>
      <c r="IS71" s="122"/>
      <c r="IT71" s="122"/>
      <c r="IU71" s="122"/>
      <c r="IV71" s="122"/>
      <c r="IW71" s="122"/>
      <c r="IX71" s="122"/>
      <c r="IY71" s="122"/>
      <c r="IZ71" s="122"/>
      <c r="JA71" s="122"/>
      <c r="JB71" s="122"/>
      <c r="JC71" s="122"/>
      <c r="JD71" s="122"/>
      <c r="JE71" s="122"/>
      <c r="JF71" s="122"/>
      <c r="JG71" s="122"/>
      <c r="JH71" s="122"/>
      <c r="JI71" s="119">
        <f t="shared" si="1"/>
        <v>188482</v>
      </c>
      <c r="JJ71" s="2">
        <v>5317</v>
      </c>
      <c r="JK71" s="122"/>
      <c r="JL71" s="125"/>
      <c r="JM71" s="358"/>
      <c r="JN71" s="125"/>
      <c r="JO71" s="125"/>
      <c r="JP71" s="125"/>
    </row>
    <row r="72" spans="1:276" x14ac:dyDescent="0.25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122"/>
      <c r="AQ72" s="122"/>
      <c r="AR72" s="122"/>
      <c r="AS72" s="122"/>
      <c r="AT72" s="122"/>
      <c r="AU72" s="122"/>
      <c r="AV72" s="122"/>
      <c r="AW72" s="122"/>
      <c r="AX72" s="122"/>
      <c r="AY72" s="122"/>
      <c r="AZ72" s="122"/>
      <c r="BA72" s="122"/>
      <c r="BB72" s="122"/>
      <c r="BC72" s="122"/>
      <c r="BD72" s="122"/>
      <c r="BE72" s="122"/>
      <c r="BF72" s="122"/>
      <c r="BG72" s="122"/>
      <c r="BH72" s="122"/>
      <c r="BI72" s="122"/>
      <c r="BJ72" s="122"/>
      <c r="BK72" s="122"/>
      <c r="BL72" s="122"/>
      <c r="BM72" s="122"/>
      <c r="BN72" s="122"/>
      <c r="BO72" s="122"/>
      <c r="BP72" s="122"/>
      <c r="BQ72" s="122"/>
      <c r="BR72" s="122"/>
      <c r="BS72" s="122"/>
      <c r="BT72" s="122"/>
      <c r="BU72" s="122"/>
      <c r="BV72" s="122"/>
      <c r="BW72" s="122"/>
      <c r="BX72" s="122"/>
      <c r="BY72" s="122"/>
      <c r="BZ72" s="122"/>
      <c r="CA72" s="122"/>
      <c r="CB72" s="122"/>
      <c r="CC72" s="122"/>
      <c r="CD72" s="122"/>
      <c r="CE72" s="122"/>
      <c r="CF72" s="122"/>
      <c r="CG72" s="122"/>
      <c r="CH72" s="122"/>
      <c r="CI72" s="122"/>
      <c r="CJ72" s="122"/>
      <c r="CK72" s="122"/>
      <c r="CL72" s="122"/>
      <c r="CM72" s="122"/>
      <c r="CN72" s="122"/>
      <c r="CO72" s="122"/>
      <c r="CP72" s="122"/>
      <c r="CQ72" s="122"/>
      <c r="CR72" s="122"/>
      <c r="CS72" s="122"/>
      <c r="CT72" s="122"/>
      <c r="CU72" s="122"/>
      <c r="CV72" s="122"/>
      <c r="CW72" s="122"/>
      <c r="CX72" s="122"/>
      <c r="CY72" s="122"/>
      <c r="CZ72" s="122"/>
      <c r="DA72" s="122"/>
      <c r="DB72" s="122"/>
      <c r="DC72" s="122"/>
      <c r="DD72" s="122"/>
      <c r="DE72" s="122"/>
      <c r="DF72" s="122"/>
      <c r="DG72" s="122"/>
      <c r="DH72" s="122"/>
      <c r="DI72" s="122"/>
      <c r="DJ72" s="122"/>
      <c r="DK72" s="122"/>
      <c r="DL72" s="122"/>
      <c r="DM72" s="122"/>
      <c r="DN72" s="122"/>
      <c r="DO72" s="122"/>
      <c r="DP72" s="122"/>
      <c r="DQ72" s="122"/>
      <c r="DR72" s="122"/>
      <c r="DS72" s="122"/>
      <c r="DT72" s="122"/>
      <c r="DU72" s="122"/>
      <c r="DV72" s="122"/>
      <c r="DW72" s="122"/>
      <c r="DX72" s="122"/>
      <c r="DY72" s="122"/>
      <c r="DZ72" s="122"/>
      <c r="EA72" s="122"/>
      <c r="EB72" s="122"/>
      <c r="EC72" s="122"/>
      <c r="ED72" s="122"/>
      <c r="EE72" s="122"/>
      <c r="EF72" s="122"/>
      <c r="EG72" s="122"/>
      <c r="EH72" s="122"/>
      <c r="EI72" s="122"/>
      <c r="EJ72" s="122"/>
      <c r="EK72" s="122"/>
      <c r="EL72" s="122"/>
      <c r="EM72" s="122"/>
      <c r="EN72" s="122"/>
      <c r="EO72" s="122"/>
      <c r="EP72" s="122"/>
      <c r="EQ72" s="122"/>
      <c r="ER72" s="122"/>
      <c r="ES72" s="122"/>
      <c r="ET72" s="122"/>
      <c r="EU72" s="122"/>
      <c r="EV72" s="122"/>
      <c r="EW72" s="122"/>
      <c r="EX72" s="122"/>
      <c r="EY72" s="122"/>
      <c r="EZ72" s="122"/>
      <c r="FA72" s="122"/>
      <c r="FB72" s="122"/>
      <c r="FC72" s="122"/>
      <c r="FD72" s="122"/>
      <c r="FE72" s="122"/>
      <c r="FF72" s="122"/>
      <c r="FG72" s="122"/>
      <c r="FH72" s="122"/>
      <c r="FI72" s="122"/>
      <c r="FJ72" s="122"/>
      <c r="FK72" s="122"/>
      <c r="FL72" s="122"/>
      <c r="FM72" s="122"/>
      <c r="FN72" s="122"/>
      <c r="FO72" s="122"/>
      <c r="FP72" s="122"/>
      <c r="FQ72" s="122"/>
      <c r="FR72" s="122"/>
      <c r="FS72" s="122"/>
      <c r="FT72" s="122"/>
      <c r="FU72" s="122"/>
      <c r="FV72" s="122"/>
      <c r="FW72" s="122"/>
      <c r="FX72" s="122"/>
      <c r="FY72" s="122"/>
      <c r="FZ72" s="122"/>
      <c r="GA72" s="122"/>
      <c r="GB72" s="122"/>
      <c r="GC72" s="122"/>
      <c r="GD72" s="122"/>
      <c r="GE72" s="122"/>
      <c r="GF72" s="122"/>
      <c r="GG72" s="122"/>
      <c r="GH72" s="122"/>
      <c r="GI72" s="122"/>
      <c r="GJ72" s="122"/>
      <c r="GK72" s="122"/>
      <c r="GL72" s="122"/>
      <c r="GM72" s="122"/>
      <c r="GN72" s="122"/>
      <c r="GO72" s="122"/>
      <c r="GP72" s="122"/>
      <c r="GQ72" s="122"/>
      <c r="GR72" s="122"/>
      <c r="GS72" s="122"/>
      <c r="GT72" s="122">
        <v>1456293.22</v>
      </c>
      <c r="GU72" s="122"/>
      <c r="GV72" s="122"/>
      <c r="GW72" s="122"/>
      <c r="GX72" s="122"/>
      <c r="GY72" s="122"/>
      <c r="GZ72" s="122"/>
      <c r="HA72" s="122"/>
      <c r="HB72" s="122"/>
      <c r="HC72" s="122"/>
      <c r="HD72" s="122"/>
      <c r="HE72" s="122"/>
      <c r="HF72" s="122"/>
      <c r="HG72" s="122"/>
      <c r="HH72" s="122"/>
      <c r="HI72" s="122"/>
      <c r="HJ72" s="122"/>
      <c r="HK72" s="122"/>
      <c r="HL72" s="122"/>
      <c r="HM72" s="122"/>
      <c r="HN72" s="122"/>
      <c r="HO72" s="122"/>
      <c r="HP72" s="122"/>
      <c r="HQ72" s="122"/>
      <c r="HR72" s="122"/>
      <c r="HS72" s="122"/>
      <c r="HT72" s="122"/>
      <c r="HU72" s="122"/>
      <c r="HV72" s="122"/>
      <c r="HW72" s="122"/>
      <c r="HX72" s="122"/>
      <c r="HY72" s="122"/>
      <c r="HZ72" s="122"/>
      <c r="IA72" s="122"/>
      <c r="IB72" s="122"/>
      <c r="IC72" s="122"/>
      <c r="ID72" s="122"/>
      <c r="IE72" s="122"/>
      <c r="IF72" s="122"/>
      <c r="IG72" s="122"/>
      <c r="IH72" s="122"/>
      <c r="II72" s="122"/>
      <c r="IJ72" s="122"/>
      <c r="IK72" s="122"/>
      <c r="IL72" s="122"/>
      <c r="IM72" s="122"/>
      <c r="IN72" s="122"/>
      <c r="IO72" s="122"/>
      <c r="IP72" s="122"/>
      <c r="IQ72" s="122"/>
      <c r="IR72" s="122"/>
      <c r="IS72" s="122"/>
      <c r="IT72" s="122"/>
      <c r="IU72" s="122"/>
      <c r="IV72" s="122"/>
      <c r="IW72" s="122"/>
      <c r="IX72" s="122"/>
      <c r="IY72" s="122"/>
      <c r="IZ72" s="122"/>
      <c r="JA72" s="122"/>
      <c r="JB72" s="122"/>
      <c r="JC72" s="122"/>
      <c r="JD72" s="122"/>
      <c r="JE72" s="122"/>
      <c r="JF72" s="122"/>
      <c r="JG72" s="122"/>
      <c r="JH72" s="122"/>
      <c r="JI72" s="119">
        <f t="shared" si="1"/>
        <v>1456293.22</v>
      </c>
      <c r="JJ72" s="2">
        <v>5323</v>
      </c>
      <c r="JK72" s="122"/>
      <c r="JL72" s="125"/>
      <c r="JM72" s="358"/>
      <c r="JN72" s="125"/>
      <c r="JO72" s="125"/>
      <c r="JP72" s="125"/>
    </row>
    <row r="73" spans="1:276" x14ac:dyDescent="0.25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/>
      <c r="AQ73" s="122"/>
      <c r="AR73" s="122"/>
      <c r="AS73" s="122"/>
      <c r="AT73" s="122"/>
      <c r="AU73" s="122"/>
      <c r="AV73" s="122"/>
      <c r="AW73" s="122"/>
      <c r="AX73" s="122"/>
      <c r="AY73" s="122"/>
      <c r="AZ73" s="122"/>
      <c r="BA73" s="122"/>
      <c r="BB73" s="122"/>
      <c r="BC73" s="122"/>
      <c r="BD73" s="122"/>
      <c r="BE73" s="122"/>
      <c r="BF73" s="122"/>
      <c r="BG73" s="122"/>
      <c r="BH73" s="122"/>
      <c r="BI73" s="122"/>
      <c r="BJ73" s="122"/>
      <c r="BK73" s="122"/>
      <c r="BL73" s="122"/>
      <c r="BM73" s="122"/>
      <c r="BN73" s="122"/>
      <c r="BO73" s="122"/>
      <c r="BP73" s="122"/>
      <c r="BQ73" s="122"/>
      <c r="BR73" s="122"/>
      <c r="BS73" s="122"/>
      <c r="BT73" s="122"/>
      <c r="BU73" s="122"/>
      <c r="BV73" s="122"/>
      <c r="BW73" s="122"/>
      <c r="BX73" s="122"/>
      <c r="BY73" s="122"/>
      <c r="BZ73" s="122"/>
      <c r="CA73" s="122"/>
      <c r="CB73" s="122"/>
      <c r="CC73" s="122"/>
      <c r="CD73" s="122"/>
      <c r="CE73" s="122"/>
      <c r="CF73" s="122"/>
      <c r="CG73" s="122"/>
      <c r="CH73" s="122"/>
      <c r="CI73" s="122"/>
      <c r="CJ73" s="122"/>
      <c r="CK73" s="122"/>
      <c r="CL73" s="122"/>
      <c r="CM73" s="122"/>
      <c r="CN73" s="122"/>
      <c r="CO73" s="122"/>
      <c r="CP73" s="122"/>
      <c r="CQ73" s="122"/>
      <c r="CR73" s="122"/>
      <c r="CS73" s="122"/>
      <c r="CT73" s="122"/>
      <c r="CU73" s="122"/>
      <c r="CV73" s="122"/>
      <c r="CW73" s="122"/>
      <c r="CX73" s="122"/>
      <c r="CY73" s="122"/>
      <c r="CZ73" s="122"/>
      <c r="DA73" s="122"/>
      <c r="DB73" s="122"/>
      <c r="DC73" s="122"/>
      <c r="DD73" s="122"/>
      <c r="DE73" s="122"/>
      <c r="DF73" s="122"/>
      <c r="DG73" s="122"/>
      <c r="DH73" s="122"/>
      <c r="DI73" s="122"/>
      <c r="DJ73" s="122"/>
      <c r="DK73" s="122"/>
      <c r="DL73" s="122"/>
      <c r="DM73" s="122"/>
      <c r="DN73" s="122"/>
      <c r="DO73" s="122"/>
      <c r="DP73" s="122"/>
      <c r="DQ73" s="122"/>
      <c r="DR73" s="122"/>
      <c r="DS73" s="122"/>
      <c r="DT73" s="122"/>
      <c r="DU73" s="122"/>
      <c r="DV73" s="122"/>
      <c r="DW73" s="122"/>
      <c r="DX73" s="122"/>
      <c r="DY73" s="122"/>
      <c r="DZ73" s="122"/>
      <c r="EA73" s="122"/>
      <c r="EB73" s="122"/>
      <c r="EC73" s="122"/>
      <c r="ED73" s="122"/>
      <c r="EE73" s="122"/>
      <c r="EF73" s="122"/>
      <c r="EG73" s="122"/>
      <c r="EH73" s="122"/>
      <c r="EI73" s="122"/>
      <c r="EJ73" s="122"/>
      <c r="EK73" s="122"/>
      <c r="EL73" s="122"/>
      <c r="EM73" s="122"/>
      <c r="EN73" s="122"/>
      <c r="EO73" s="122"/>
      <c r="EP73" s="122"/>
      <c r="EQ73" s="122"/>
      <c r="ER73" s="122"/>
      <c r="ES73" s="122"/>
      <c r="ET73" s="122"/>
      <c r="EU73" s="122"/>
      <c r="EV73" s="122"/>
      <c r="EW73" s="122"/>
      <c r="EX73" s="122"/>
      <c r="EY73" s="122"/>
      <c r="EZ73" s="122"/>
      <c r="FA73" s="122"/>
      <c r="FB73" s="122"/>
      <c r="FC73" s="122"/>
      <c r="FD73" s="122"/>
      <c r="FE73" s="122"/>
      <c r="FF73" s="122"/>
      <c r="FG73" s="122"/>
      <c r="FH73" s="122"/>
      <c r="FI73" s="122"/>
      <c r="FJ73" s="122"/>
      <c r="FK73" s="122"/>
      <c r="FL73" s="122"/>
      <c r="FM73" s="122"/>
      <c r="FN73" s="122"/>
      <c r="FO73" s="122"/>
      <c r="FP73" s="122"/>
      <c r="FQ73" s="122"/>
      <c r="FR73" s="122"/>
      <c r="FS73" s="122"/>
      <c r="FT73" s="122">
        <v>51448</v>
      </c>
      <c r="FU73" s="122"/>
      <c r="FV73" s="122"/>
      <c r="FW73" s="122"/>
      <c r="FX73" s="122"/>
      <c r="FY73" s="122"/>
      <c r="FZ73" s="122"/>
      <c r="GA73" s="122"/>
      <c r="GB73" s="122"/>
      <c r="GC73" s="122"/>
      <c r="GD73" s="122"/>
      <c r="GE73" s="122"/>
      <c r="GF73" s="122"/>
      <c r="GG73" s="122"/>
      <c r="GH73" s="122"/>
      <c r="GI73" s="122"/>
      <c r="GJ73" s="122"/>
      <c r="GK73" s="122"/>
      <c r="GL73" s="122"/>
      <c r="GM73" s="122"/>
      <c r="GN73" s="122"/>
      <c r="GO73" s="122"/>
      <c r="GP73" s="122"/>
      <c r="GQ73" s="122"/>
      <c r="GR73" s="122"/>
      <c r="GS73" s="122"/>
      <c r="GT73" s="122"/>
      <c r="GU73" s="122"/>
      <c r="GV73" s="122"/>
      <c r="GW73" s="122"/>
      <c r="GX73" s="122"/>
      <c r="GY73" s="122"/>
      <c r="GZ73" s="122"/>
      <c r="HA73" s="122"/>
      <c r="HB73" s="122"/>
      <c r="HC73" s="122"/>
      <c r="HD73" s="122"/>
      <c r="HE73" s="122"/>
      <c r="HF73" s="122"/>
      <c r="HG73" s="122"/>
      <c r="HH73" s="122"/>
      <c r="HI73" s="122"/>
      <c r="HJ73" s="122"/>
      <c r="HK73" s="122"/>
      <c r="HL73" s="122"/>
      <c r="HM73" s="122"/>
      <c r="HN73" s="122"/>
      <c r="HO73" s="122"/>
      <c r="HP73" s="122"/>
      <c r="HQ73" s="122"/>
      <c r="HR73" s="122"/>
      <c r="HS73" s="122"/>
      <c r="HT73" s="122"/>
      <c r="HU73" s="122"/>
      <c r="HV73" s="122"/>
      <c r="HW73" s="122"/>
      <c r="HX73" s="122"/>
      <c r="HY73" s="122"/>
      <c r="HZ73" s="122"/>
      <c r="IA73" s="122"/>
      <c r="IB73" s="122"/>
      <c r="IC73" s="122"/>
      <c r="ID73" s="122"/>
      <c r="IE73" s="122"/>
      <c r="IF73" s="122"/>
      <c r="IG73" s="122"/>
      <c r="IH73" s="122"/>
      <c r="II73" s="122"/>
      <c r="IJ73" s="122"/>
      <c r="IK73" s="122"/>
      <c r="IL73" s="122"/>
      <c r="IM73" s="122"/>
      <c r="IN73" s="122"/>
      <c r="IO73" s="122"/>
      <c r="IP73" s="122"/>
      <c r="IQ73" s="122"/>
      <c r="IR73" s="122"/>
      <c r="IS73" s="122"/>
      <c r="IT73" s="122"/>
      <c r="IU73" s="122"/>
      <c r="IV73" s="122"/>
      <c r="IW73" s="122"/>
      <c r="IX73" s="122"/>
      <c r="IY73" s="122"/>
      <c r="IZ73" s="122"/>
      <c r="JA73" s="122"/>
      <c r="JB73" s="122"/>
      <c r="JC73" s="122"/>
      <c r="JD73" s="122"/>
      <c r="JE73" s="122"/>
      <c r="JF73" s="122"/>
      <c r="JG73" s="122"/>
      <c r="JH73" s="122"/>
      <c r="JI73" s="119">
        <f t="shared" si="1"/>
        <v>51448</v>
      </c>
      <c r="JJ73" s="2">
        <v>5327</v>
      </c>
      <c r="JK73" s="122"/>
      <c r="JL73" s="125"/>
      <c r="JM73" s="358"/>
      <c r="JN73" s="125"/>
      <c r="JO73" s="125"/>
      <c r="JP73" s="125"/>
    </row>
    <row r="74" spans="1:276" x14ac:dyDescent="0.25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  <c r="AO74" s="122"/>
      <c r="AP74" s="122"/>
      <c r="AQ74" s="122"/>
      <c r="AR74" s="122"/>
      <c r="AS74" s="122"/>
      <c r="AT74" s="122"/>
      <c r="AU74" s="122"/>
      <c r="AV74" s="122"/>
      <c r="AW74" s="122"/>
      <c r="AX74" s="122"/>
      <c r="AY74" s="122"/>
      <c r="AZ74" s="122"/>
      <c r="BA74" s="122"/>
      <c r="BB74" s="122"/>
      <c r="BC74" s="122"/>
      <c r="BD74" s="122"/>
      <c r="BE74" s="122"/>
      <c r="BF74" s="122"/>
      <c r="BG74" s="122"/>
      <c r="BH74" s="122"/>
      <c r="BI74" s="122"/>
      <c r="BJ74" s="122"/>
      <c r="BK74" s="122"/>
      <c r="BL74" s="122"/>
      <c r="BM74" s="122"/>
      <c r="BN74" s="122"/>
      <c r="BO74" s="122"/>
      <c r="BP74" s="122"/>
      <c r="BQ74" s="122"/>
      <c r="BR74" s="122"/>
      <c r="BS74" s="122"/>
      <c r="BT74" s="122"/>
      <c r="BU74" s="122"/>
      <c r="BV74" s="122"/>
      <c r="BW74" s="122"/>
      <c r="BX74" s="122"/>
      <c r="BY74" s="122"/>
      <c r="BZ74" s="122"/>
      <c r="CA74" s="122"/>
      <c r="CB74" s="122"/>
      <c r="CC74" s="122"/>
      <c r="CD74" s="122"/>
      <c r="CE74" s="122"/>
      <c r="CF74" s="122"/>
      <c r="CG74" s="122"/>
      <c r="CH74" s="122"/>
      <c r="CI74" s="122"/>
      <c r="CJ74" s="122"/>
      <c r="CK74" s="122"/>
      <c r="CL74" s="122"/>
      <c r="CM74" s="122"/>
      <c r="CN74" s="122"/>
      <c r="CO74" s="122"/>
      <c r="CP74" s="122"/>
      <c r="CQ74" s="122"/>
      <c r="CR74" s="122"/>
      <c r="CS74" s="122"/>
      <c r="CT74" s="122"/>
      <c r="CU74" s="122"/>
      <c r="CV74" s="122"/>
      <c r="CW74" s="122"/>
      <c r="CX74" s="122"/>
      <c r="CY74" s="122"/>
      <c r="CZ74" s="122"/>
      <c r="DA74" s="122"/>
      <c r="DB74" s="122"/>
      <c r="DC74" s="122"/>
      <c r="DD74" s="122"/>
      <c r="DE74" s="122"/>
      <c r="DF74" s="122"/>
      <c r="DG74" s="122"/>
      <c r="DH74" s="122"/>
      <c r="DI74" s="122"/>
      <c r="DJ74" s="122"/>
      <c r="DK74" s="122"/>
      <c r="DL74" s="122"/>
      <c r="DM74" s="122"/>
      <c r="DN74" s="122"/>
      <c r="DO74" s="122"/>
      <c r="DP74" s="122"/>
      <c r="DQ74" s="122"/>
      <c r="DR74" s="122"/>
      <c r="DS74" s="122"/>
      <c r="DT74" s="122"/>
      <c r="DU74" s="122"/>
      <c r="DV74" s="122"/>
      <c r="DW74" s="122"/>
      <c r="DX74" s="122"/>
      <c r="DY74" s="122"/>
      <c r="DZ74" s="122"/>
      <c r="EA74" s="122"/>
      <c r="EB74" s="122"/>
      <c r="EC74" s="122"/>
      <c r="ED74" s="122"/>
      <c r="EE74" s="122"/>
      <c r="EF74" s="122"/>
      <c r="EG74" s="122"/>
      <c r="EH74" s="122"/>
      <c r="EI74" s="122"/>
      <c r="EJ74" s="122"/>
      <c r="EK74" s="122"/>
      <c r="EL74" s="122"/>
      <c r="EM74" s="122"/>
      <c r="EN74" s="122"/>
      <c r="EO74" s="122"/>
      <c r="EP74" s="122"/>
      <c r="EQ74" s="122"/>
      <c r="ER74" s="122"/>
      <c r="ES74" s="122"/>
      <c r="ET74" s="122"/>
      <c r="EU74" s="122"/>
      <c r="EV74" s="122"/>
      <c r="EW74" s="122"/>
      <c r="EX74" s="122"/>
      <c r="EY74" s="122"/>
      <c r="EZ74" s="122"/>
      <c r="FA74" s="122"/>
      <c r="FB74" s="122"/>
      <c r="FC74" s="122"/>
      <c r="FD74" s="122"/>
      <c r="FE74" s="122"/>
      <c r="FF74" s="122"/>
      <c r="FG74" s="122"/>
      <c r="FH74" s="122"/>
      <c r="FI74" s="122"/>
      <c r="FJ74" s="122"/>
      <c r="FK74" s="122"/>
      <c r="FL74" s="122"/>
      <c r="FM74" s="122"/>
      <c r="FN74" s="122"/>
      <c r="FO74" s="122"/>
      <c r="FP74" s="122"/>
      <c r="FQ74" s="122"/>
      <c r="FR74" s="122"/>
      <c r="FS74" s="122"/>
      <c r="FT74" s="122"/>
      <c r="FU74" s="122"/>
      <c r="FV74" s="122"/>
      <c r="FW74" s="122"/>
      <c r="FX74" s="122"/>
      <c r="FY74" s="122"/>
      <c r="FZ74" s="122"/>
      <c r="GA74" s="122"/>
      <c r="GB74" s="122"/>
      <c r="GC74" s="122"/>
      <c r="GD74" s="122"/>
      <c r="GE74" s="122"/>
      <c r="GF74" s="122"/>
      <c r="GG74" s="122"/>
      <c r="GH74" s="122"/>
      <c r="GI74" s="122"/>
      <c r="GJ74" s="122"/>
      <c r="GK74" s="122"/>
      <c r="GL74" s="122"/>
      <c r="GM74" s="122"/>
      <c r="GN74" s="122"/>
      <c r="GO74" s="122"/>
      <c r="GP74" s="122"/>
      <c r="GQ74" s="122">
        <v>1899800</v>
      </c>
      <c r="GR74" s="122"/>
      <c r="GS74" s="122"/>
      <c r="GT74" s="122"/>
      <c r="GU74" s="122"/>
      <c r="GV74" s="122"/>
      <c r="GW74" s="122"/>
      <c r="GX74" s="122"/>
      <c r="GY74" s="122"/>
      <c r="GZ74" s="122"/>
      <c r="HA74" s="122"/>
      <c r="HB74" s="122"/>
      <c r="HC74" s="122"/>
      <c r="HD74" s="122"/>
      <c r="HE74" s="122"/>
      <c r="HF74" s="122"/>
      <c r="HG74" s="122"/>
      <c r="HH74" s="122"/>
      <c r="HI74" s="122"/>
      <c r="HJ74" s="122"/>
      <c r="HK74" s="122"/>
      <c r="HL74" s="122"/>
      <c r="HM74" s="122"/>
      <c r="HN74" s="122"/>
      <c r="HO74" s="122"/>
      <c r="HP74" s="122"/>
      <c r="HQ74" s="122"/>
      <c r="HR74" s="122"/>
      <c r="HS74" s="122"/>
      <c r="HT74" s="122"/>
      <c r="HU74" s="122"/>
      <c r="HV74" s="122"/>
      <c r="HW74" s="122"/>
      <c r="HX74" s="122"/>
      <c r="HY74" s="122"/>
      <c r="HZ74" s="122"/>
      <c r="IA74" s="122"/>
      <c r="IB74" s="122"/>
      <c r="IC74" s="122"/>
      <c r="ID74" s="122"/>
      <c r="IE74" s="122"/>
      <c r="IF74" s="122"/>
      <c r="IG74" s="122"/>
      <c r="IH74" s="122"/>
      <c r="II74" s="122"/>
      <c r="IJ74" s="122"/>
      <c r="IK74" s="122"/>
      <c r="IL74" s="122"/>
      <c r="IM74" s="122"/>
      <c r="IN74" s="122"/>
      <c r="IO74" s="122"/>
      <c r="IP74" s="122"/>
      <c r="IQ74" s="122"/>
      <c r="IR74" s="122"/>
      <c r="IS74" s="122"/>
      <c r="IT74" s="122"/>
      <c r="IU74" s="122"/>
      <c r="IV74" s="122"/>
      <c r="IW74" s="122"/>
      <c r="IX74" s="122"/>
      <c r="IY74" s="122"/>
      <c r="IZ74" s="122"/>
      <c r="JA74" s="122"/>
      <c r="JB74" s="122"/>
      <c r="JC74" s="122"/>
      <c r="JD74" s="122"/>
      <c r="JE74" s="122"/>
      <c r="JF74" s="122"/>
      <c r="JG74" s="122"/>
      <c r="JH74" s="122"/>
      <c r="JI74" s="119">
        <f t="shared" si="1"/>
        <v>1899800</v>
      </c>
      <c r="JJ74" s="2">
        <v>5333</v>
      </c>
      <c r="JK74" s="122"/>
      <c r="JL74" s="125"/>
      <c r="JM74" s="358"/>
      <c r="JN74" s="125"/>
      <c r="JO74" s="125"/>
      <c r="JP74" s="125"/>
    </row>
    <row r="75" spans="1:276" x14ac:dyDescent="0.25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  <c r="AS75" s="122"/>
      <c r="AT75" s="122"/>
      <c r="AU75" s="122"/>
      <c r="AV75" s="122"/>
      <c r="AW75" s="122"/>
      <c r="AX75" s="122"/>
      <c r="AY75" s="122"/>
      <c r="AZ75" s="122"/>
      <c r="BA75" s="122"/>
      <c r="BB75" s="122"/>
      <c r="BC75" s="122"/>
      <c r="BD75" s="122"/>
      <c r="BE75" s="122"/>
      <c r="BF75" s="122"/>
      <c r="BG75" s="122"/>
      <c r="BH75" s="122"/>
      <c r="BI75" s="122"/>
      <c r="BJ75" s="122"/>
      <c r="BK75" s="122"/>
      <c r="BL75" s="122"/>
      <c r="BM75" s="122"/>
      <c r="BN75" s="122"/>
      <c r="BO75" s="122"/>
      <c r="BP75" s="122"/>
      <c r="BQ75" s="122"/>
      <c r="BR75" s="122"/>
      <c r="BS75" s="122"/>
      <c r="BT75" s="122"/>
      <c r="BU75" s="122"/>
      <c r="BV75" s="122"/>
      <c r="BW75" s="122"/>
      <c r="BX75" s="122"/>
      <c r="BY75" s="122"/>
      <c r="BZ75" s="122"/>
      <c r="CA75" s="122"/>
      <c r="CB75" s="122"/>
      <c r="CC75" s="122"/>
      <c r="CD75" s="122"/>
      <c r="CE75" s="122"/>
      <c r="CF75" s="122"/>
      <c r="CG75" s="122"/>
      <c r="CH75" s="122"/>
      <c r="CI75" s="122"/>
      <c r="CJ75" s="122"/>
      <c r="CK75" s="122"/>
      <c r="CL75" s="122"/>
      <c r="CM75" s="122"/>
      <c r="CN75" s="122"/>
      <c r="CO75" s="122"/>
      <c r="CP75" s="122"/>
      <c r="CQ75" s="122"/>
      <c r="CR75" s="122"/>
      <c r="CS75" s="122"/>
      <c r="CT75" s="122"/>
      <c r="CU75" s="122"/>
      <c r="CV75" s="122"/>
      <c r="CW75" s="122"/>
      <c r="CX75" s="122"/>
      <c r="CY75" s="122"/>
      <c r="CZ75" s="122"/>
      <c r="DA75" s="122"/>
      <c r="DB75" s="122"/>
      <c r="DC75" s="122"/>
      <c r="DD75" s="122"/>
      <c r="DE75" s="122"/>
      <c r="DF75" s="122"/>
      <c r="DG75" s="122"/>
      <c r="DH75" s="122"/>
      <c r="DI75" s="122"/>
      <c r="DJ75" s="122"/>
      <c r="DK75" s="122"/>
      <c r="DL75" s="122"/>
      <c r="DM75" s="122"/>
      <c r="DN75" s="122"/>
      <c r="DO75" s="122"/>
      <c r="DP75" s="122"/>
      <c r="DQ75" s="122"/>
      <c r="DR75" s="122"/>
      <c r="DS75" s="122"/>
      <c r="DT75" s="122"/>
      <c r="DU75" s="122"/>
      <c r="DV75" s="122"/>
      <c r="DW75" s="122"/>
      <c r="DX75" s="122"/>
      <c r="DY75" s="122"/>
      <c r="DZ75" s="122"/>
      <c r="EA75" s="122"/>
      <c r="EB75" s="122"/>
      <c r="EC75" s="122"/>
      <c r="ED75" s="122"/>
      <c r="EE75" s="122"/>
      <c r="EF75" s="122"/>
      <c r="EG75" s="122"/>
      <c r="EH75" s="122"/>
      <c r="EI75" s="122"/>
      <c r="EJ75" s="122"/>
      <c r="EK75" s="122"/>
      <c r="EL75" s="122"/>
      <c r="EM75" s="122"/>
      <c r="EN75" s="122"/>
      <c r="EO75" s="122"/>
      <c r="EP75" s="122"/>
      <c r="EQ75" s="122"/>
      <c r="ER75" s="122"/>
      <c r="ES75" s="122"/>
      <c r="ET75" s="122"/>
      <c r="EU75" s="122"/>
      <c r="EV75" s="122"/>
      <c r="EW75" s="122"/>
      <c r="EX75" s="122"/>
      <c r="EY75" s="122"/>
      <c r="EZ75" s="122"/>
      <c r="FA75" s="122"/>
      <c r="FB75" s="122"/>
      <c r="FC75" s="122"/>
      <c r="FD75" s="122"/>
      <c r="FE75" s="122"/>
      <c r="FF75" s="122"/>
      <c r="FG75" s="122"/>
      <c r="FH75" s="122"/>
      <c r="FI75" s="122"/>
      <c r="FJ75" s="122"/>
      <c r="FK75" s="122"/>
      <c r="FL75" s="122"/>
      <c r="FM75" s="122"/>
      <c r="FN75" s="122"/>
      <c r="FO75" s="122"/>
      <c r="FP75" s="122"/>
      <c r="FQ75" s="122"/>
      <c r="FR75" s="122"/>
      <c r="FS75" s="122"/>
      <c r="FT75" s="122">
        <v>17700</v>
      </c>
      <c r="FU75" s="122"/>
      <c r="FV75" s="122"/>
      <c r="FW75" s="122"/>
      <c r="FX75" s="122"/>
      <c r="FY75" s="122"/>
      <c r="FZ75" s="122"/>
      <c r="GA75" s="122"/>
      <c r="GB75" s="122"/>
      <c r="GC75" s="122"/>
      <c r="GD75" s="122"/>
      <c r="GE75" s="122"/>
      <c r="GF75" s="122"/>
      <c r="GG75" s="122"/>
      <c r="GH75" s="122"/>
      <c r="GI75" s="122"/>
      <c r="GJ75" s="122"/>
      <c r="GK75" s="122"/>
      <c r="GL75" s="122"/>
      <c r="GM75" s="122"/>
      <c r="GN75" s="122"/>
      <c r="GO75" s="122"/>
      <c r="GP75" s="122"/>
      <c r="GQ75" s="122"/>
      <c r="GR75" s="122"/>
      <c r="GS75" s="122"/>
      <c r="GT75" s="122"/>
      <c r="GU75" s="122"/>
      <c r="GV75" s="122"/>
      <c r="GW75" s="122"/>
      <c r="GX75" s="122"/>
      <c r="GY75" s="122"/>
      <c r="GZ75" s="122"/>
      <c r="HA75" s="122"/>
      <c r="HB75" s="122"/>
      <c r="HC75" s="122"/>
      <c r="HD75" s="122"/>
      <c r="HE75" s="122"/>
      <c r="HF75" s="122"/>
      <c r="HG75" s="122"/>
      <c r="HH75" s="122"/>
      <c r="HI75" s="122"/>
      <c r="HJ75" s="122"/>
      <c r="HK75" s="122"/>
      <c r="HL75" s="122"/>
      <c r="HM75" s="122"/>
      <c r="HN75" s="122"/>
      <c r="HO75" s="122"/>
      <c r="HP75" s="122"/>
      <c r="HQ75" s="122"/>
      <c r="HR75" s="122"/>
      <c r="HS75" s="122"/>
      <c r="HT75" s="122"/>
      <c r="HU75" s="122"/>
      <c r="HV75" s="122"/>
      <c r="HW75" s="122"/>
      <c r="HX75" s="122"/>
      <c r="HY75" s="122"/>
      <c r="HZ75" s="122"/>
      <c r="IA75" s="122"/>
      <c r="IB75" s="122"/>
      <c r="IC75" s="122"/>
      <c r="ID75" s="122"/>
      <c r="IE75" s="122"/>
      <c r="IF75" s="122"/>
      <c r="IG75" s="122"/>
      <c r="IH75" s="122"/>
      <c r="II75" s="122"/>
      <c r="IJ75" s="122"/>
      <c r="IK75" s="122"/>
      <c r="IL75" s="122"/>
      <c r="IM75" s="122"/>
      <c r="IN75" s="122"/>
      <c r="IO75" s="122"/>
      <c r="IP75" s="122"/>
      <c r="IQ75" s="122"/>
      <c r="IR75" s="122"/>
      <c r="IS75" s="122"/>
      <c r="IT75" s="122"/>
      <c r="IU75" s="122"/>
      <c r="IV75" s="122"/>
      <c r="IW75" s="122"/>
      <c r="IX75" s="122"/>
      <c r="IY75" s="122"/>
      <c r="IZ75" s="122"/>
      <c r="JA75" s="122"/>
      <c r="JB75" s="122"/>
      <c r="JC75" s="122"/>
      <c r="JD75" s="122"/>
      <c r="JE75" s="122"/>
      <c r="JF75" s="122"/>
      <c r="JG75" s="122"/>
      <c r="JH75" s="122"/>
      <c r="JI75" s="119">
        <f t="shared" si="1"/>
        <v>17700</v>
      </c>
      <c r="JJ75" s="1">
        <v>5339</v>
      </c>
      <c r="JK75" s="122"/>
      <c r="JL75" s="125"/>
      <c r="JM75" s="358"/>
      <c r="JN75" s="125"/>
      <c r="JO75" s="125"/>
      <c r="JP75" s="125"/>
    </row>
    <row r="76" spans="1:276" x14ac:dyDescent="0.25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/>
      <c r="AR76" s="122"/>
      <c r="AS76" s="122"/>
      <c r="AT76" s="122"/>
      <c r="AU76" s="122"/>
      <c r="AV76" s="122"/>
      <c r="AW76" s="122"/>
      <c r="AX76" s="122"/>
      <c r="AY76" s="122"/>
      <c r="AZ76" s="122"/>
      <c r="BA76" s="122"/>
      <c r="BB76" s="122"/>
      <c r="BC76" s="122"/>
      <c r="BD76" s="122"/>
      <c r="BE76" s="122"/>
      <c r="BF76" s="122"/>
      <c r="BG76" s="122"/>
      <c r="BH76" s="122"/>
      <c r="BI76" s="122"/>
      <c r="BJ76" s="122"/>
      <c r="BK76" s="122"/>
      <c r="BL76" s="122"/>
      <c r="BM76" s="122"/>
      <c r="BN76" s="122"/>
      <c r="BO76" s="122"/>
      <c r="BP76" s="122"/>
      <c r="BQ76" s="122"/>
      <c r="BR76" s="122"/>
      <c r="BS76" s="122"/>
      <c r="BT76" s="122"/>
      <c r="BU76" s="122"/>
      <c r="BV76" s="122"/>
      <c r="BW76" s="122"/>
      <c r="BX76" s="122"/>
      <c r="BY76" s="122"/>
      <c r="BZ76" s="122"/>
      <c r="CA76" s="122"/>
      <c r="CB76" s="122"/>
      <c r="CC76" s="122"/>
      <c r="CD76" s="122"/>
      <c r="CE76" s="122"/>
      <c r="CF76" s="122"/>
      <c r="CG76" s="122"/>
      <c r="CH76" s="122"/>
      <c r="CI76" s="122"/>
      <c r="CJ76" s="122"/>
      <c r="CK76" s="122"/>
      <c r="CL76" s="122"/>
      <c r="CM76" s="122"/>
      <c r="CN76" s="122"/>
      <c r="CO76" s="122"/>
      <c r="CP76" s="122"/>
      <c r="CQ76" s="122"/>
      <c r="CR76" s="122"/>
      <c r="CS76" s="122"/>
      <c r="CT76" s="122"/>
      <c r="CU76" s="122"/>
      <c r="CV76" s="122"/>
      <c r="CW76" s="122"/>
      <c r="CX76" s="122"/>
      <c r="CY76" s="122"/>
      <c r="CZ76" s="122"/>
      <c r="DA76" s="122"/>
      <c r="DB76" s="122"/>
      <c r="DC76" s="122"/>
      <c r="DD76" s="122"/>
      <c r="DE76" s="122"/>
      <c r="DF76" s="122"/>
      <c r="DG76" s="122"/>
      <c r="DH76" s="122"/>
      <c r="DI76" s="122"/>
      <c r="DJ76" s="122"/>
      <c r="DK76" s="122"/>
      <c r="DL76" s="122"/>
      <c r="DM76" s="122"/>
      <c r="DN76" s="122"/>
      <c r="DO76" s="122"/>
      <c r="DP76" s="122"/>
      <c r="DQ76" s="122"/>
      <c r="DR76" s="122"/>
      <c r="DS76" s="122"/>
      <c r="DT76" s="122"/>
      <c r="DU76" s="122"/>
      <c r="DV76" s="122"/>
      <c r="DW76" s="122"/>
      <c r="DX76" s="122"/>
      <c r="DY76" s="122"/>
      <c r="DZ76" s="122"/>
      <c r="EA76" s="122"/>
      <c r="EB76" s="122"/>
      <c r="EC76" s="122"/>
      <c r="ED76" s="122"/>
      <c r="EE76" s="122"/>
      <c r="EF76" s="122"/>
      <c r="EG76" s="122"/>
      <c r="EH76" s="122"/>
      <c r="EI76" s="122"/>
      <c r="EJ76" s="122"/>
      <c r="EK76" s="122"/>
      <c r="EL76" s="122"/>
      <c r="EM76" s="122"/>
      <c r="EN76" s="122"/>
      <c r="EO76" s="122"/>
      <c r="EP76" s="122"/>
      <c r="EQ76" s="122"/>
      <c r="ER76" s="122"/>
      <c r="ES76" s="122"/>
      <c r="ET76" s="122"/>
      <c r="EU76" s="122"/>
      <c r="EV76" s="122"/>
      <c r="EW76" s="122"/>
      <c r="EX76" s="122"/>
      <c r="EY76" s="122"/>
      <c r="EZ76" s="122"/>
      <c r="FA76" s="122"/>
      <c r="FB76" s="122"/>
      <c r="FC76" s="122"/>
      <c r="FD76" s="122"/>
      <c r="FE76" s="122"/>
      <c r="FF76" s="122"/>
      <c r="FG76" s="122"/>
      <c r="FH76" s="122"/>
      <c r="FI76" s="122"/>
      <c r="FJ76" s="122">
        <v>88560</v>
      </c>
      <c r="FK76" s="122"/>
      <c r="FL76" s="122"/>
      <c r="FM76" s="122"/>
      <c r="FN76" s="122"/>
      <c r="FO76" s="122"/>
      <c r="FP76" s="122"/>
      <c r="FQ76" s="122"/>
      <c r="FR76" s="122"/>
      <c r="FS76" s="122"/>
      <c r="FT76" s="122"/>
      <c r="FU76" s="122"/>
      <c r="FV76" s="122"/>
      <c r="FW76" s="122"/>
      <c r="FX76" s="122"/>
      <c r="FY76" s="122"/>
      <c r="FZ76" s="122"/>
      <c r="GA76" s="122"/>
      <c r="GB76" s="122"/>
      <c r="GC76" s="122"/>
      <c r="GD76" s="122"/>
      <c r="GE76" s="122"/>
      <c r="GF76" s="122"/>
      <c r="GG76" s="122"/>
      <c r="GH76" s="122"/>
      <c r="GI76" s="122"/>
      <c r="GJ76" s="122"/>
      <c r="GK76" s="122"/>
      <c r="GL76" s="122"/>
      <c r="GM76" s="122"/>
      <c r="GN76" s="122"/>
      <c r="GO76" s="122"/>
      <c r="GP76" s="122"/>
      <c r="GQ76" s="122"/>
      <c r="GR76" s="122"/>
      <c r="GS76" s="122"/>
      <c r="GT76" s="122"/>
      <c r="GU76" s="122"/>
      <c r="GV76" s="122"/>
      <c r="GW76" s="122"/>
      <c r="GX76" s="122"/>
      <c r="GY76" s="122"/>
      <c r="GZ76" s="122"/>
      <c r="HA76" s="122"/>
      <c r="HB76" s="122"/>
      <c r="HC76" s="122"/>
      <c r="HD76" s="122"/>
      <c r="HE76" s="122"/>
      <c r="HF76" s="122"/>
      <c r="HG76" s="122"/>
      <c r="HH76" s="122"/>
      <c r="HI76" s="122"/>
      <c r="HJ76" s="122"/>
      <c r="HK76" s="122"/>
      <c r="HL76" s="122"/>
      <c r="HM76" s="122"/>
      <c r="HN76" s="122"/>
      <c r="HO76" s="122"/>
      <c r="HP76" s="122"/>
      <c r="HQ76" s="122"/>
      <c r="HR76" s="122"/>
      <c r="HS76" s="122"/>
      <c r="HT76" s="122"/>
      <c r="HU76" s="122"/>
      <c r="HV76" s="122"/>
      <c r="HW76" s="122"/>
      <c r="HX76" s="122"/>
      <c r="HY76" s="122"/>
      <c r="HZ76" s="122"/>
      <c r="IA76" s="122"/>
      <c r="IB76" s="122"/>
      <c r="IC76" s="122"/>
      <c r="ID76" s="122"/>
      <c r="IE76" s="122"/>
      <c r="IF76" s="122"/>
      <c r="IG76" s="122"/>
      <c r="IH76" s="122"/>
      <c r="II76" s="122"/>
      <c r="IJ76" s="122"/>
      <c r="IK76" s="122"/>
      <c r="IL76" s="122"/>
      <c r="IM76" s="122"/>
      <c r="IN76" s="122"/>
      <c r="IO76" s="122"/>
      <c r="IP76" s="122"/>
      <c r="IQ76" s="122"/>
      <c r="IR76" s="122"/>
      <c r="IS76" s="122"/>
      <c r="IT76" s="122"/>
      <c r="IU76" s="122"/>
      <c r="IV76" s="122"/>
      <c r="IW76" s="122"/>
      <c r="IX76" s="122"/>
      <c r="IY76" s="122"/>
      <c r="IZ76" s="122"/>
      <c r="JA76" s="122"/>
      <c r="JB76" s="122"/>
      <c r="JC76" s="122"/>
      <c r="JD76" s="122"/>
      <c r="JE76" s="122"/>
      <c r="JF76" s="122"/>
      <c r="JG76" s="122"/>
      <c r="JH76" s="122"/>
      <c r="JI76" s="119">
        <f t="shared" si="1"/>
        <v>88560</v>
      </c>
      <c r="JJ76" s="1">
        <v>5343</v>
      </c>
      <c r="JK76" s="122"/>
      <c r="JL76" s="125"/>
      <c r="JM76" s="358"/>
      <c r="JN76" s="125"/>
      <c r="JO76" s="125"/>
      <c r="JP76" s="125"/>
    </row>
    <row r="77" spans="1:276" x14ac:dyDescent="0.25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  <c r="AS77" s="122"/>
      <c r="AT77" s="122"/>
      <c r="AU77" s="122"/>
      <c r="AV77" s="122"/>
      <c r="AW77" s="122"/>
      <c r="AX77" s="122"/>
      <c r="AY77" s="122"/>
      <c r="AZ77" s="122"/>
      <c r="BA77" s="122"/>
      <c r="BB77" s="122"/>
      <c r="BC77" s="122"/>
      <c r="BD77" s="122"/>
      <c r="BE77" s="122"/>
      <c r="BF77" s="122"/>
      <c r="BG77" s="122"/>
      <c r="BH77" s="122"/>
      <c r="BI77" s="122"/>
      <c r="BJ77" s="122"/>
      <c r="BK77" s="122"/>
      <c r="BL77" s="122"/>
      <c r="BM77" s="122"/>
      <c r="BN77" s="122"/>
      <c r="BO77" s="122"/>
      <c r="BP77" s="122"/>
      <c r="BQ77" s="122"/>
      <c r="BR77" s="122"/>
      <c r="BS77" s="122"/>
      <c r="BT77" s="122"/>
      <c r="BU77" s="122"/>
      <c r="BV77" s="122"/>
      <c r="BW77" s="122"/>
      <c r="BX77" s="122"/>
      <c r="BY77" s="122"/>
      <c r="BZ77" s="122"/>
      <c r="CA77" s="122"/>
      <c r="CB77" s="122"/>
      <c r="CC77" s="122"/>
      <c r="CD77" s="122"/>
      <c r="CE77" s="122"/>
      <c r="CF77" s="122"/>
      <c r="CG77" s="122"/>
      <c r="CH77" s="122"/>
      <c r="CI77" s="122"/>
      <c r="CJ77" s="122"/>
      <c r="CK77" s="122"/>
      <c r="CL77" s="122"/>
      <c r="CM77" s="122"/>
      <c r="CN77" s="122"/>
      <c r="CO77" s="122"/>
      <c r="CP77" s="122"/>
      <c r="CQ77" s="122"/>
      <c r="CR77" s="122"/>
      <c r="CS77" s="122"/>
      <c r="CT77" s="122"/>
      <c r="CU77" s="122"/>
      <c r="CV77" s="122"/>
      <c r="CW77" s="122"/>
      <c r="CX77" s="122"/>
      <c r="CY77" s="122"/>
      <c r="CZ77" s="122"/>
      <c r="DA77" s="122"/>
      <c r="DB77" s="122"/>
      <c r="DC77" s="122"/>
      <c r="DD77" s="122"/>
      <c r="DE77" s="122"/>
      <c r="DF77" s="122"/>
      <c r="DG77" s="122"/>
      <c r="DH77" s="122"/>
      <c r="DI77" s="122"/>
      <c r="DJ77" s="122"/>
      <c r="DK77" s="122"/>
      <c r="DL77" s="122"/>
      <c r="DM77" s="122"/>
      <c r="DN77" s="122"/>
      <c r="DO77" s="122"/>
      <c r="DP77" s="122"/>
      <c r="DQ77" s="122"/>
      <c r="DR77" s="122"/>
      <c r="DS77" s="122"/>
      <c r="DT77" s="122"/>
      <c r="DU77" s="122"/>
      <c r="DV77" s="122"/>
      <c r="DW77" s="122"/>
      <c r="DX77" s="122"/>
      <c r="DY77" s="122"/>
      <c r="DZ77" s="122"/>
      <c r="EA77" s="122"/>
      <c r="EB77" s="122"/>
      <c r="EC77" s="122"/>
      <c r="ED77" s="122"/>
      <c r="EE77" s="122"/>
      <c r="EF77" s="122"/>
      <c r="EG77" s="122"/>
      <c r="EH77" s="122"/>
      <c r="EI77" s="122"/>
      <c r="EJ77" s="122"/>
      <c r="EK77" s="122"/>
      <c r="EL77" s="122"/>
      <c r="EM77" s="122"/>
      <c r="EN77" s="122"/>
      <c r="EO77" s="122"/>
      <c r="EP77" s="122"/>
      <c r="EQ77" s="122"/>
      <c r="ER77" s="122"/>
      <c r="ES77" s="122"/>
      <c r="ET77" s="122"/>
      <c r="EU77" s="122"/>
      <c r="EV77" s="122"/>
      <c r="EW77" s="122"/>
      <c r="EX77" s="122"/>
      <c r="EY77" s="122"/>
      <c r="EZ77" s="122"/>
      <c r="FA77" s="122"/>
      <c r="FB77" s="122"/>
      <c r="FC77" s="122"/>
      <c r="FD77" s="122"/>
      <c r="FE77" s="122"/>
      <c r="FF77" s="122"/>
      <c r="FG77" s="122"/>
      <c r="FH77" s="122"/>
      <c r="FI77" s="122"/>
      <c r="FJ77" s="122">
        <v>165195.20000000001</v>
      </c>
      <c r="FK77" s="122"/>
      <c r="FL77" s="122"/>
      <c r="FM77" s="122"/>
      <c r="FN77" s="122"/>
      <c r="FO77" s="122"/>
      <c r="FP77" s="122"/>
      <c r="FQ77" s="122"/>
      <c r="FR77" s="122"/>
      <c r="FS77" s="122"/>
      <c r="FT77" s="122"/>
      <c r="FU77" s="122"/>
      <c r="FV77" s="122"/>
      <c r="FW77" s="122"/>
      <c r="FX77" s="122"/>
      <c r="FY77" s="122"/>
      <c r="FZ77" s="122"/>
      <c r="GA77" s="122"/>
      <c r="GB77" s="122"/>
      <c r="GC77" s="122"/>
      <c r="GD77" s="122"/>
      <c r="GE77" s="122"/>
      <c r="GF77" s="122"/>
      <c r="GG77" s="122"/>
      <c r="GH77" s="122"/>
      <c r="GI77" s="122"/>
      <c r="GJ77" s="122"/>
      <c r="GK77" s="122"/>
      <c r="GL77" s="122"/>
      <c r="GM77" s="122"/>
      <c r="GN77" s="122"/>
      <c r="GO77" s="122"/>
      <c r="GP77" s="122"/>
      <c r="GQ77" s="122"/>
      <c r="GR77" s="122"/>
      <c r="GS77" s="122"/>
      <c r="GT77" s="122"/>
      <c r="GU77" s="122"/>
      <c r="GV77" s="122"/>
      <c r="GW77" s="122"/>
      <c r="GX77" s="122"/>
      <c r="GY77" s="122"/>
      <c r="GZ77" s="122"/>
      <c r="HA77" s="122"/>
      <c r="HB77" s="122"/>
      <c r="HC77" s="122"/>
      <c r="HD77" s="122"/>
      <c r="HE77" s="122"/>
      <c r="HF77" s="122"/>
      <c r="HG77" s="122"/>
      <c r="HH77" s="122"/>
      <c r="HI77" s="122"/>
      <c r="HJ77" s="122"/>
      <c r="HK77" s="122"/>
      <c r="HL77" s="122"/>
      <c r="HM77" s="122"/>
      <c r="HN77" s="122"/>
      <c r="HO77" s="122"/>
      <c r="HP77" s="122"/>
      <c r="HQ77" s="122"/>
      <c r="HR77" s="122"/>
      <c r="HS77" s="122"/>
      <c r="HT77" s="122"/>
      <c r="HU77" s="122"/>
      <c r="HV77" s="122"/>
      <c r="HW77" s="122"/>
      <c r="HX77" s="122"/>
      <c r="HY77" s="122"/>
      <c r="HZ77" s="122"/>
      <c r="IA77" s="122"/>
      <c r="IB77" s="122"/>
      <c r="IC77" s="122"/>
      <c r="ID77" s="122"/>
      <c r="IE77" s="122"/>
      <c r="IF77" s="122"/>
      <c r="IG77" s="122"/>
      <c r="IH77" s="122"/>
      <c r="II77" s="122"/>
      <c r="IJ77" s="122"/>
      <c r="IK77" s="122"/>
      <c r="IL77" s="122"/>
      <c r="IM77" s="122"/>
      <c r="IN77" s="122"/>
      <c r="IO77" s="122"/>
      <c r="IP77" s="122"/>
      <c r="IQ77" s="122"/>
      <c r="IR77" s="122"/>
      <c r="IS77" s="122"/>
      <c r="IT77" s="122"/>
      <c r="IU77" s="122"/>
      <c r="IV77" s="122"/>
      <c r="IW77" s="122"/>
      <c r="IX77" s="122"/>
      <c r="IY77" s="122"/>
      <c r="IZ77" s="122"/>
      <c r="JA77" s="122"/>
      <c r="JB77" s="122"/>
      <c r="JC77" s="122"/>
      <c r="JD77" s="122"/>
      <c r="JE77" s="122"/>
      <c r="JF77" s="122"/>
      <c r="JG77" s="122"/>
      <c r="JH77" s="122"/>
      <c r="JI77" s="119">
        <f t="shared" si="1"/>
        <v>165195.20000000001</v>
      </c>
      <c r="JJ77" s="1">
        <v>5347</v>
      </c>
      <c r="JK77" s="122"/>
      <c r="JL77" s="125"/>
      <c r="JM77" s="358"/>
      <c r="JN77" s="125"/>
      <c r="JO77" s="125"/>
      <c r="JP77" s="125"/>
    </row>
    <row r="78" spans="1:276" x14ac:dyDescent="0.25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122"/>
      <c r="AP78" s="122"/>
      <c r="AQ78" s="122"/>
      <c r="AR78" s="122"/>
      <c r="AS78" s="122"/>
      <c r="AT78" s="122"/>
      <c r="AU78" s="122"/>
      <c r="AV78" s="122"/>
      <c r="AW78" s="122"/>
      <c r="AX78" s="122"/>
      <c r="AY78" s="122"/>
      <c r="AZ78" s="122"/>
      <c r="BA78" s="122"/>
      <c r="BB78" s="122"/>
      <c r="BC78" s="122"/>
      <c r="BD78" s="122"/>
      <c r="BE78" s="122"/>
      <c r="BF78" s="122"/>
      <c r="BG78" s="122"/>
      <c r="BH78" s="122"/>
      <c r="BI78" s="122"/>
      <c r="BJ78" s="122"/>
      <c r="BK78" s="122"/>
      <c r="BL78" s="122"/>
      <c r="BM78" s="122"/>
      <c r="BN78" s="122"/>
      <c r="BO78" s="122"/>
      <c r="BP78" s="122"/>
      <c r="BQ78" s="122"/>
      <c r="BR78" s="122"/>
      <c r="BS78" s="122"/>
      <c r="BT78" s="122"/>
      <c r="BU78" s="122"/>
      <c r="BV78" s="122"/>
      <c r="BW78" s="122"/>
      <c r="BX78" s="122"/>
      <c r="BY78" s="122"/>
      <c r="BZ78" s="122"/>
      <c r="CA78" s="122"/>
      <c r="CB78" s="122"/>
      <c r="CC78" s="122"/>
      <c r="CD78" s="122"/>
      <c r="CE78" s="122"/>
      <c r="CF78" s="122"/>
      <c r="CG78" s="122"/>
      <c r="CH78" s="122"/>
      <c r="CI78" s="122"/>
      <c r="CJ78" s="122"/>
      <c r="CK78" s="122"/>
      <c r="CL78" s="122"/>
      <c r="CM78" s="122"/>
      <c r="CN78" s="122"/>
      <c r="CO78" s="122"/>
      <c r="CP78" s="122"/>
      <c r="CQ78" s="122"/>
      <c r="CR78" s="122"/>
      <c r="CS78" s="122"/>
      <c r="CT78" s="122"/>
      <c r="CU78" s="122"/>
      <c r="CV78" s="122"/>
      <c r="CW78" s="122"/>
      <c r="CX78" s="122"/>
      <c r="CY78" s="122"/>
      <c r="CZ78" s="122"/>
      <c r="DA78" s="122"/>
      <c r="DB78" s="122"/>
      <c r="DC78" s="122"/>
      <c r="DD78" s="122"/>
      <c r="DE78" s="122"/>
      <c r="DF78" s="122"/>
      <c r="DG78" s="122"/>
      <c r="DH78" s="122"/>
      <c r="DI78" s="122"/>
      <c r="DJ78" s="122"/>
      <c r="DK78" s="122"/>
      <c r="DL78" s="122"/>
      <c r="DM78" s="122"/>
      <c r="DN78" s="122"/>
      <c r="DO78" s="122"/>
      <c r="DP78" s="122"/>
      <c r="DQ78" s="122"/>
      <c r="DR78" s="122"/>
      <c r="DS78" s="122"/>
      <c r="DT78" s="122"/>
      <c r="DU78" s="122"/>
      <c r="DV78" s="122">
        <v>251517</v>
      </c>
      <c r="DW78" s="122"/>
      <c r="DX78" s="122"/>
      <c r="DY78" s="122"/>
      <c r="DZ78" s="122"/>
      <c r="EA78" s="122"/>
      <c r="EB78" s="122"/>
      <c r="EC78" s="122"/>
      <c r="ED78" s="122"/>
      <c r="EE78" s="122"/>
      <c r="EF78" s="122"/>
      <c r="EG78" s="122"/>
      <c r="EH78" s="122"/>
      <c r="EI78" s="122"/>
      <c r="EJ78" s="122"/>
      <c r="EK78" s="122"/>
      <c r="EL78" s="122"/>
      <c r="EM78" s="122"/>
      <c r="EN78" s="122"/>
      <c r="EO78" s="122"/>
      <c r="EP78" s="122"/>
      <c r="EQ78" s="122"/>
      <c r="ER78" s="122"/>
      <c r="ES78" s="122"/>
      <c r="ET78" s="122"/>
      <c r="EU78" s="122"/>
      <c r="EV78" s="122"/>
      <c r="EW78" s="122"/>
      <c r="EX78" s="122"/>
      <c r="EY78" s="122"/>
      <c r="EZ78" s="122"/>
      <c r="FA78" s="122"/>
      <c r="FB78" s="122"/>
      <c r="FC78" s="122"/>
      <c r="FD78" s="122"/>
      <c r="FE78" s="122"/>
      <c r="FF78" s="122"/>
      <c r="FG78" s="122"/>
      <c r="FH78" s="122"/>
      <c r="FI78" s="122"/>
      <c r="FJ78" s="122"/>
      <c r="FK78" s="122"/>
      <c r="FL78" s="122"/>
      <c r="FM78" s="122"/>
      <c r="FN78" s="122"/>
      <c r="FO78" s="122"/>
      <c r="FP78" s="122"/>
      <c r="FQ78" s="122"/>
      <c r="FR78" s="122"/>
      <c r="FS78" s="122"/>
      <c r="FT78" s="122"/>
      <c r="FU78" s="122"/>
      <c r="FV78" s="122"/>
      <c r="FW78" s="122"/>
      <c r="FX78" s="122"/>
      <c r="FY78" s="122"/>
      <c r="FZ78" s="122"/>
      <c r="GA78" s="122"/>
      <c r="GB78" s="122"/>
      <c r="GC78" s="122"/>
      <c r="GD78" s="122"/>
      <c r="GE78" s="122"/>
      <c r="GF78" s="122"/>
      <c r="GG78" s="122"/>
      <c r="GH78" s="122"/>
      <c r="GI78" s="122"/>
      <c r="GJ78" s="122"/>
      <c r="GK78" s="122"/>
      <c r="GL78" s="122"/>
      <c r="GM78" s="122"/>
      <c r="GN78" s="122"/>
      <c r="GO78" s="122"/>
      <c r="GP78" s="122"/>
      <c r="GQ78" s="122"/>
      <c r="GR78" s="122"/>
      <c r="GS78" s="122"/>
      <c r="GT78" s="122"/>
      <c r="GU78" s="122"/>
      <c r="GV78" s="122"/>
      <c r="GW78" s="122"/>
      <c r="GX78" s="122"/>
      <c r="GY78" s="122"/>
      <c r="GZ78" s="122"/>
      <c r="HA78" s="122"/>
      <c r="HB78" s="122"/>
      <c r="HC78" s="122"/>
      <c r="HD78" s="122"/>
      <c r="HE78" s="122"/>
      <c r="HF78" s="122"/>
      <c r="HG78" s="122"/>
      <c r="HH78" s="122"/>
      <c r="HI78" s="122"/>
      <c r="HJ78" s="122"/>
      <c r="HK78" s="122"/>
      <c r="HL78" s="122"/>
      <c r="HM78" s="122"/>
      <c r="HN78" s="122"/>
      <c r="HO78" s="122"/>
      <c r="HP78" s="122"/>
      <c r="HQ78" s="122"/>
      <c r="HR78" s="122"/>
      <c r="HS78" s="122"/>
      <c r="HT78" s="122"/>
      <c r="HU78" s="122"/>
      <c r="HV78" s="122"/>
      <c r="HW78" s="122"/>
      <c r="HX78" s="122"/>
      <c r="HY78" s="122"/>
      <c r="HZ78" s="122"/>
      <c r="IA78" s="122"/>
      <c r="IB78" s="122"/>
      <c r="IC78" s="122"/>
      <c r="ID78" s="122"/>
      <c r="IE78" s="122"/>
      <c r="IF78" s="122"/>
      <c r="IG78" s="122"/>
      <c r="IH78" s="122"/>
      <c r="II78" s="122"/>
      <c r="IJ78" s="122"/>
      <c r="IK78" s="122"/>
      <c r="IL78" s="122"/>
      <c r="IM78" s="122"/>
      <c r="IN78" s="122"/>
      <c r="IO78" s="122"/>
      <c r="IP78" s="122"/>
      <c r="IQ78" s="122"/>
      <c r="IR78" s="122"/>
      <c r="IS78" s="122"/>
      <c r="IT78" s="122"/>
      <c r="IU78" s="122"/>
      <c r="IV78" s="122"/>
      <c r="IW78" s="122"/>
      <c r="IX78" s="122"/>
      <c r="IY78" s="122"/>
      <c r="IZ78" s="122"/>
      <c r="JA78" s="122"/>
      <c r="JB78" s="122"/>
      <c r="JC78" s="122"/>
      <c r="JD78" s="122"/>
      <c r="JE78" s="122"/>
      <c r="JF78" s="122"/>
      <c r="JG78" s="122"/>
      <c r="JH78" s="122"/>
      <c r="JI78" s="119">
        <f t="shared" si="1"/>
        <v>251517</v>
      </c>
      <c r="JJ78" s="1">
        <v>5351</v>
      </c>
      <c r="JK78" s="122"/>
      <c r="JL78" s="125"/>
      <c r="JM78" s="358"/>
      <c r="JN78" s="125"/>
      <c r="JO78" s="125"/>
      <c r="JP78" s="125"/>
    </row>
    <row r="79" spans="1:276" x14ac:dyDescent="0.25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122"/>
      <c r="AQ79" s="122"/>
      <c r="AR79" s="122"/>
      <c r="AS79" s="122"/>
      <c r="AT79" s="122"/>
      <c r="AU79" s="122"/>
      <c r="AV79" s="122"/>
      <c r="AW79" s="122"/>
      <c r="AX79" s="122"/>
      <c r="AY79" s="122"/>
      <c r="AZ79" s="122"/>
      <c r="BA79" s="122"/>
      <c r="BB79" s="122"/>
      <c r="BC79" s="122"/>
      <c r="BD79" s="122"/>
      <c r="BE79" s="122"/>
      <c r="BF79" s="122"/>
      <c r="BG79" s="122"/>
      <c r="BH79" s="122"/>
      <c r="BI79" s="122"/>
      <c r="BJ79" s="122"/>
      <c r="BK79" s="122"/>
      <c r="BL79" s="122"/>
      <c r="BM79" s="122"/>
      <c r="BN79" s="122"/>
      <c r="BO79" s="122"/>
      <c r="BP79" s="122"/>
      <c r="BQ79" s="122"/>
      <c r="BR79" s="122"/>
      <c r="BS79" s="122"/>
      <c r="BT79" s="122"/>
      <c r="BU79" s="122"/>
      <c r="BV79" s="122"/>
      <c r="BW79" s="122"/>
      <c r="BX79" s="122"/>
      <c r="BY79" s="122"/>
      <c r="BZ79" s="122"/>
      <c r="CA79" s="122"/>
      <c r="CB79" s="122"/>
      <c r="CC79" s="122"/>
      <c r="CD79" s="122"/>
      <c r="CE79" s="122"/>
      <c r="CF79" s="122"/>
      <c r="CG79" s="122"/>
      <c r="CH79" s="122"/>
      <c r="CI79" s="122"/>
      <c r="CJ79" s="122"/>
      <c r="CK79" s="122"/>
      <c r="CL79" s="122"/>
      <c r="CM79" s="122"/>
      <c r="CN79" s="122"/>
      <c r="CO79" s="122"/>
      <c r="CP79" s="122"/>
      <c r="CQ79" s="122"/>
      <c r="CR79" s="122"/>
      <c r="CS79" s="122"/>
      <c r="CT79" s="122"/>
      <c r="CU79" s="122"/>
      <c r="CV79" s="122"/>
      <c r="CW79" s="122"/>
      <c r="CX79" s="122"/>
      <c r="CY79" s="122"/>
      <c r="CZ79" s="122"/>
      <c r="DA79" s="122"/>
      <c r="DB79" s="122"/>
      <c r="DC79" s="122"/>
      <c r="DD79" s="122"/>
      <c r="DE79" s="122"/>
      <c r="DF79" s="122"/>
      <c r="DG79" s="122"/>
      <c r="DH79" s="122"/>
      <c r="DI79" s="122"/>
      <c r="DJ79" s="122"/>
      <c r="DK79" s="122"/>
      <c r="DL79" s="122"/>
      <c r="DM79" s="122"/>
      <c r="DN79" s="122"/>
      <c r="DO79" s="122"/>
      <c r="DP79" s="122"/>
      <c r="DQ79" s="122"/>
      <c r="DR79" s="122"/>
      <c r="DS79" s="122"/>
      <c r="DT79" s="122"/>
      <c r="DU79" s="122"/>
      <c r="DV79" s="122"/>
      <c r="DW79" s="122"/>
      <c r="DX79" s="122"/>
      <c r="DY79" s="122"/>
      <c r="DZ79" s="122"/>
      <c r="EA79" s="122"/>
      <c r="EB79" s="122"/>
      <c r="EC79" s="122"/>
      <c r="ED79" s="122"/>
      <c r="EE79" s="122"/>
      <c r="EF79" s="122"/>
      <c r="EG79" s="122"/>
      <c r="EH79" s="122"/>
      <c r="EI79" s="122"/>
      <c r="EJ79" s="122"/>
      <c r="EK79" s="122"/>
      <c r="EL79" s="122"/>
      <c r="EM79" s="122"/>
      <c r="EN79" s="122"/>
      <c r="EO79" s="122"/>
      <c r="EP79" s="122"/>
      <c r="EQ79" s="122"/>
      <c r="ER79" s="122"/>
      <c r="ES79" s="122"/>
      <c r="ET79" s="122"/>
      <c r="EU79" s="122"/>
      <c r="EV79" s="122"/>
      <c r="EW79" s="122"/>
      <c r="EX79" s="122"/>
      <c r="EY79" s="122"/>
      <c r="EZ79" s="122"/>
      <c r="FA79" s="122"/>
      <c r="FB79" s="122"/>
      <c r="FC79" s="122"/>
      <c r="FD79" s="122"/>
      <c r="FE79" s="122"/>
      <c r="FF79" s="122"/>
      <c r="FG79" s="122"/>
      <c r="FH79" s="122"/>
      <c r="FI79" s="122"/>
      <c r="FJ79" s="122"/>
      <c r="FK79" s="122"/>
      <c r="FL79" s="122"/>
      <c r="FM79" s="122"/>
      <c r="FN79" s="122"/>
      <c r="FO79" s="122"/>
      <c r="FP79" s="122"/>
      <c r="FQ79" s="122"/>
      <c r="FR79" s="122"/>
      <c r="FS79" s="122"/>
      <c r="FT79" s="122"/>
      <c r="FU79" s="122"/>
      <c r="FV79" s="122"/>
      <c r="FW79" s="122"/>
      <c r="FX79" s="122"/>
      <c r="FY79" s="122"/>
      <c r="FZ79" s="122">
        <v>15340</v>
      </c>
      <c r="GA79" s="122"/>
      <c r="GB79" s="122"/>
      <c r="GC79" s="122"/>
      <c r="GD79" s="122"/>
      <c r="GE79" s="122"/>
      <c r="GF79" s="122"/>
      <c r="GG79" s="122"/>
      <c r="GH79" s="122"/>
      <c r="GI79" s="122"/>
      <c r="GJ79" s="122"/>
      <c r="GK79" s="122"/>
      <c r="GL79" s="122"/>
      <c r="GM79" s="122"/>
      <c r="GN79" s="122"/>
      <c r="GO79" s="122"/>
      <c r="GP79" s="122"/>
      <c r="GQ79" s="122"/>
      <c r="GR79" s="122"/>
      <c r="GS79" s="122"/>
      <c r="GT79" s="122"/>
      <c r="GU79" s="122"/>
      <c r="GV79" s="122"/>
      <c r="GW79" s="122"/>
      <c r="GX79" s="122"/>
      <c r="GY79" s="122"/>
      <c r="GZ79" s="122"/>
      <c r="HA79" s="122"/>
      <c r="HB79" s="122"/>
      <c r="HC79" s="122"/>
      <c r="HD79" s="122"/>
      <c r="HE79" s="122"/>
      <c r="HF79" s="122"/>
      <c r="HG79" s="122"/>
      <c r="HH79" s="122"/>
      <c r="HI79" s="122"/>
      <c r="HJ79" s="122"/>
      <c r="HK79" s="122"/>
      <c r="HL79" s="122"/>
      <c r="HM79" s="122"/>
      <c r="HN79" s="122"/>
      <c r="HO79" s="122"/>
      <c r="HP79" s="122"/>
      <c r="HQ79" s="122"/>
      <c r="HR79" s="122"/>
      <c r="HS79" s="122"/>
      <c r="HT79" s="122"/>
      <c r="HU79" s="122"/>
      <c r="HV79" s="122"/>
      <c r="HW79" s="122"/>
      <c r="HX79" s="122"/>
      <c r="HY79" s="122"/>
      <c r="HZ79" s="122"/>
      <c r="IA79" s="122"/>
      <c r="IB79" s="122"/>
      <c r="IC79" s="122"/>
      <c r="ID79" s="122"/>
      <c r="IE79" s="122"/>
      <c r="IF79" s="122"/>
      <c r="IG79" s="122"/>
      <c r="IH79" s="122"/>
      <c r="II79" s="122"/>
      <c r="IJ79" s="122"/>
      <c r="IK79" s="122"/>
      <c r="IL79" s="122"/>
      <c r="IM79" s="122"/>
      <c r="IN79" s="122"/>
      <c r="IO79" s="122"/>
      <c r="IP79" s="122"/>
      <c r="IQ79" s="122"/>
      <c r="IR79" s="122"/>
      <c r="IS79" s="122"/>
      <c r="IT79" s="122"/>
      <c r="IU79" s="122"/>
      <c r="IV79" s="122"/>
      <c r="IW79" s="122"/>
      <c r="IX79" s="122"/>
      <c r="IY79" s="122"/>
      <c r="IZ79" s="122"/>
      <c r="JA79" s="122"/>
      <c r="JB79" s="122"/>
      <c r="JC79" s="122"/>
      <c r="JD79" s="122"/>
      <c r="JE79" s="122"/>
      <c r="JF79" s="122"/>
      <c r="JG79" s="122"/>
      <c r="JH79" s="122"/>
      <c r="JI79" s="119">
        <f t="shared" si="1"/>
        <v>15340</v>
      </c>
      <c r="JJ79" s="1">
        <v>5355</v>
      </c>
      <c r="JK79" s="122"/>
      <c r="JL79" s="125"/>
      <c r="JM79" s="358"/>
      <c r="JN79" s="125"/>
      <c r="JO79" s="125"/>
      <c r="JP79" s="125"/>
    </row>
    <row r="80" spans="1:276" x14ac:dyDescent="0.25">
      <c r="A80" s="119">
        <f>SUM(A3:A79)</f>
        <v>59046800.350000001</v>
      </c>
      <c r="B80" s="119">
        <f t="shared" ref="B80:BM80" si="2">SUM(B3:B79)</f>
        <v>0</v>
      </c>
      <c r="C80" s="119">
        <f t="shared" si="2"/>
        <v>0</v>
      </c>
      <c r="D80" s="119">
        <f t="shared" si="2"/>
        <v>0</v>
      </c>
      <c r="E80" s="119">
        <f t="shared" si="2"/>
        <v>0</v>
      </c>
      <c r="F80" s="119">
        <f t="shared" si="2"/>
        <v>0</v>
      </c>
      <c r="G80" s="119">
        <f t="shared" si="2"/>
        <v>0</v>
      </c>
      <c r="H80" s="119">
        <f t="shared" si="2"/>
        <v>0</v>
      </c>
      <c r="I80" s="119">
        <f t="shared" si="2"/>
        <v>0</v>
      </c>
      <c r="J80" s="119">
        <f t="shared" si="2"/>
        <v>1342531.03</v>
      </c>
      <c r="K80" s="119">
        <f t="shared" si="2"/>
        <v>0</v>
      </c>
      <c r="L80" s="119">
        <f t="shared" si="2"/>
        <v>0</v>
      </c>
      <c r="M80" s="119">
        <f t="shared" si="2"/>
        <v>0</v>
      </c>
      <c r="N80" s="119">
        <f t="shared" si="2"/>
        <v>60212858.700000003</v>
      </c>
      <c r="O80" s="119">
        <f t="shared" si="2"/>
        <v>0</v>
      </c>
      <c r="P80" s="119">
        <f t="shared" si="2"/>
        <v>0</v>
      </c>
      <c r="Q80" s="119">
        <f t="shared" si="2"/>
        <v>51000</v>
      </c>
      <c r="R80" s="119">
        <f t="shared" si="2"/>
        <v>479819.29</v>
      </c>
      <c r="S80" s="119">
        <f t="shared" si="2"/>
        <v>2652914.66</v>
      </c>
      <c r="T80" s="119">
        <f t="shared" si="2"/>
        <v>0</v>
      </c>
      <c r="U80" s="119">
        <f t="shared" si="2"/>
        <v>0</v>
      </c>
      <c r="V80" s="119">
        <f t="shared" si="2"/>
        <v>0</v>
      </c>
      <c r="W80" s="119">
        <f t="shared" si="2"/>
        <v>75000</v>
      </c>
      <c r="X80" s="119">
        <f t="shared" si="2"/>
        <v>0</v>
      </c>
      <c r="Y80" s="119">
        <f t="shared" si="2"/>
        <v>0</v>
      </c>
      <c r="Z80" s="119">
        <f t="shared" si="2"/>
        <v>317800</v>
      </c>
      <c r="AA80" s="119">
        <f t="shared" si="2"/>
        <v>0</v>
      </c>
      <c r="AB80" s="119">
        <f t="shared" si="2"/>
        <v>269735.52</v>
      </c>
      <c r="AC80" s="119">
        <f t="shared" si="2"/>
        <v>0</v>
      </c>
      <c r="AD80" s="119">
        <f t="shared" si="2"/>
        <v>0</v>
      </c>
      <c r="AE80" s="119">
        <f t="shared" si="2"/>
        <v>0</v>
      </c>
      <c r="AF80" s="119">
        <f t="shared" si="2"/>
        <v>0</v>
      </c>
      <c r="AG80" s="119">
        <f t="shared" si="2"/>
        <v>0</v>
      </c>
      <c r="AH80" s="119">
        <f t="shared" si="2"/>
        <v>0</v>
      </c>
      <c r="AI80" s="119">
        <f t="shared" si="2"/>
        <v>0</v>
      </c>
      <c r="AJ80" s="119">
        <f t="shared" si="2"/>
        <v>0</v>
      </c>
      <c r="AK80" s="119">
        <f t="shared" si="2"/>
        <v>4281604.3899999997</v>
      </c>
      <c r="AL80" s="119">
        <f t="shared" si="2"/>
        <v>4287644.2299999995</v>
      </c>
      <c r="AM80" s="119">
        <f t="shared" si="2"/>
        <v>723104.06</v>
      </c>
      <c r="AN80" s="119">
        <f t="shared" si="2"/>
        <v>0</v>
      </c>
      <c r="AO80" s="119">
        <f t="shared" si="2"/>
        <v>0</v>
      </c>
      <c r="AP80" s="119">
        <f t="shared" si="2"/>
        <v>0</v>
      </c>
      <c r="AQ80" s="119">
        <f t="shared" si="2"/>
        <v>0</v>
      </c>
      <c r="AR80" s="119">
        <f t="shared" si="2"/>
        <v>0</v>
      </c>
      <c r="AS80" s="119">
        <f t="shared" si="2"/>
        <v>0</v>
      </c>
      <c r="AT80" s="119">
        <f t="shared" si="2"/>
        <v>0</v>
      </c>
      <c r="AU80" s="119">
        <f t="shared" si="2"/>
        <v>0</v>
      </c>
      <c r="AV80" s="119">
        <f t="shared" si="2"/>
        <v>60535</v>
      </c>
      <c r="AW80" s="119">
        <f t="shared" si="2"/>
        <v>0</v>
      </c>
      <c r="AX80" s="119">
        <f t="shared" si="2"/>
        <v>0</v>
      </c>
      <c r="AY80" s="119">
        <f t="shared" si="2"/>
        <v>0</v>
      </c>
      <c r="AZ80" s="119">
        <f t="shared" si="2"/>
        <v>0</v>
      </c>
      <c r="BA80" s="119">
        <f t="shared" si="2"/>
        <v>0</v>
      </c>
      <c r="BB80" s="119">
        <f t="shared" si="2"/>
        <v>0</v>
      </c>
      <c r="BC80" s="119">
        <f t="shared" si="2"/>
        <v>0</v>
      </c>
      <c r="BD80" s="119">
        <f t="shared" si="2"/>
        <v>0</v>
      </c>
      <c r="BE80" s="119">
        <f t="shared" si="2"/>
        <v>0</v>
      </c>
      <c r="BF80" s="119">
        <f t="shared" si="2"/>
        <v>0</v>
      </c>
      <c r="BG80" s="119">
        <f t="shared" si="2"/>
        <v>0</v>
      </c>
      <c r="BH80" s="119">
        <f t="shared" si="2"/>
        <v>0</v>
      </c>
      <c r="BI80" s="119">
        <f t="shared" si="2"/>
        <v>0</v>
      </c>
      <c r="BJ80" s="119">
        <f t="shared" si="2"/>
        <v>0</v>
      </c>
      <c r="BK80" s="119">
        <f t="shared" si="2"/>
        <v>0</v>
      </c>
      <c r="BL80" s="119">
        <f t="shared" si="2"/>
        <v>0</v>
      </c>
      <c r="BM80" s="119">
        <f t="shared" si="2"/>
        <v>0</v>
      </c>
      <c r="BN80" s="119">
        <f t="shared" ref="BN80:DY80" si="3">SUM(BN3:BN79)</f>
        <v>0</v>
      </c>
      <c r="BO80" s="119">
        <f t="shared" si="3"/>
        <v>0</v>
      </c>
      <c r="BP80" s="119">
        <f t="shared" si="3"/>
        <v>0</v>
      </c>
      <c r="BQ80" s="119">
        <f t="shared" si="3"/>
        <v>0</v>
      </c>
      <c r="BR80" s="119">
        <f t="shared" si="3"/>
        <v>0</v>
      </c>
      <c r="BS80" s="119">
        <f t="shared" si="3"/>
        <v>0</v>
      </c>
      <c r="BT80" s="119">
        <f t="shared" si="3"/>
        <v>0</v>
      </c>
      <c r="BU80" s="119">
        <f t="shared" si="3"/>
        <v>0</v>
      </c>
      <c r="BV80" s="119">
        <f t="shared" si="3"/>
        <v>0</v>
      </c>
      <c r="BW80" s="119">
        <f t="shared" si="3"/>
        <v>1575209.38</v>
      </c>
      <c r="BX80" s="119">
        <f t="shared" si="3"/>
        <v>30861.53</v>
      </c>
      <c r="BY80" s="119">
        <f t="shared" si="3"/>
        <v>0</v>
      </c>
      <c r="BZ80" s="119">
        <f t="shared" si="3"/>
        <v>0</v>
      </c>
      <c r="CA80" s="119">
        <f t="shared" si="3"/>
        <v>0</v>
      </c>
      <c r="CB80" s="119">
        <f t="shared" si="3"/>
        <v>0</v>
      </c>
      <c r="CC80" s="119">
        <f t="shared" si="3"/>
        <v>0</v>
      </c>
      <c r="CD80" s="119">
        <f t="shared" si="3"/>
        <v>0</v>
      </c>
      <c r="CE80" s="119">
        <f t="shared" si="3"/>
        <v>0</v>
      </c>
      <c r="CF80" s="119">
        <f t="shared" si="3"/>
        <v>0</v>
      </c>
      <c r="CG80" s="119">
        <f t="shared" si="3"/>
        <v>0</v>
      </c>
      <c r="CH80" s="119">
        <f t="shared" si="3"/>
        <v>5691.23</v>
      </c>
      <c r="CI80" s="119">
        <f t="shared" si="3"/>
        <v>0</v>
      </c>
      <c r="CJ80" s="119">
        <f t="shared" si="3"/>
        <v>0</v>
      </c>
      <c r="CK80" s="119">
        <f t="shared" si="3"/>
        <v>0</v>
      </c>
      <c r="CL80" s="119">
        <f t="shared" si="3"/>
        <v>0</v>
      </c>
      <c r="CM80" s="119">
        <f t="shared" si="3"/>
        <v>0</v>
      </c>
      <c r="CN80" s="119">
        <f t="shared" si="3"/>
        <v>0</v>
      </c>
      <c r="CO80" s="119">
        <f t="shared" si="3"/>
        <v>0</v>
      </c>
      <c r="CP80" s="119">
        <f t="shared" si="3"/>
        <v>0</v>
      </c>
      <c r="CQ80" s="119">
        <f t="shared" si="3"/>
        <v>224500</v>
      </c>
      <c r="CR80" s="119">
        <f t="shared" si="3"/>
        <v>0</v>
      </c>
      <c r="CS80" s="119">
        <f t="shared" si="3"/>
        <v>0</v>
      </c>
      <c r="CT80" s="119">
        <f t="shared" si="3"/>
        <v>0</v>
      </c>
      <c r="CU80" s="119">
        <f t="shared" si="3"/>
        <v>0</v>
      </c>
      <c r="CV80" s="119">
        <f t="shared" si="3"/>
        <v>0</v>
      </c>
      <c r="CW80" s="119">
        <f t="shared" si="3"/>
        <v>0</v>
      </c>
      <c r="CX80" s="119">
        <f t="shared" si="3"/>
        <v>0</v>
      </c>
      <c r="CY80" s="119">
        <f t="shared" si="3"/>
        <v>0</v>
      </c>
      <c r="CZ80" s="119">
        <f t="shared" si="3"/>
        <v>0</v>
      </c>
      <c r="DA80" s="119">
        <f t="shared" si="3"/>
        <v>0</v>
      </c>
      <c r="DB80" s="119">
        <f t="shared" si="3"/>
        <v>0</v>
      </c>
      <c r="DC80" s="119">
        <f t="shared" si="3"/>
        <v>0</v>
      </c>
      <c r="DD80" s="119">
        <f t="shared" si="3"/>
        <v>0</v>
      </c>
      <c r="DE80" s="119">
        <f t="shared" si="3"/>
        <v>0</v>
      </c>
      <c r="DF80" s="119">
        <f t="shared" si="3"/>
        <v>0</v>
      </c>
      <c r="DG80" s="119">
        <f t="shared" si="3"/>
        <v>0</v>
      </c>
      <c r="DH80" s="119">
        <f t="shared" si="3"/>
        <v>0</v>
      </c>
      <c r="DI80" s="119">
        <f t="shared" si="3"/>
        <v>0</v>
      </c>
      <c r="DJ80" s="119">
        <f t="shared" si="3"/>
        <v>0</v>
      </c>
      <c r="DK80" s="119">
        <f t="shared" si="3"/>
        <v>292565.2</v>
      </c>
      <c r="DL80" s="119">
        <f t="shared" si="3"/>
        <v>0</v>
      </c>
      <c r="DM80" s="119">
        <f t="shared" si="3"/>
        <v>0</v>
      </c>
      <c r="DN80" s="119">
        <f t="shared" si="3"/>
        <v>0</v>
      </c>
      <c r="DO80" s="119">
        <f t="shared" si="3"/>
        <v>0</v>
      </c>
      <c r="DP80" s="119">
        <f t="shared" si="3"/>
        <v>0</v>
      </c>
      <c r="DQ80" s="119">
        <f t="shared" si="3"/>
        <v>0</v>
      </c>
      <c r="DR80" s="119">
        <f t="shared" si="3"/>
        <v>557734.03</v>
      </c>
      <c r="DS80" s="119">
        <f t="shared" si="3"/>
        <v>0</v>
      </c>
      <c r="DT80" s="119">
        <f t="shared" si="3"/>
        <v>0</v>
      </c>
      <c r="DU80" s="119">
        <f t="shared" si="3"/>
        <v>0</v>
      </c>
      <c r="DV80" s="119">
        <f t="shared" si="3"/>
        <v>918335</v>
      </c>
      <c r="DW80" s="119">
        <f t="shared" si="3"/>
        <v>737205</v>
      </c>
      <c r="DX80" s="119">
        <f t="shared" si="3"/>
        <v>0</v>
      </c>
      <c r="DY80" s="119">
        <f t="shared" si="3"/>
        <v>0</v>
      </c>
      <c r="DZ80" s="119">
        <f t="shared" ref="DZ80:GK80" si="4">SUM(DZ3:DZ79)</f>
        <v>0</v>
      </c>
      <c r="EA80" s="119">
        <f t="shared" si="4"/>
        <v>3574335</v>
      </c>
      <c r="EB80" s="119">
        <f t="shared" si="4"/>
        <v>0</v>
      </c>
      <c r="EC80" s="119">
        <f t="shared" si="4"/>
        <v>0</v>
      </c>
      <c r="ED80" s="119">
        <f t="shared" si="4"/>
        <v>0</v>
      </c>
      <c r="EE80" s="119">
        <f t="shared" si="4"/>
        <v>0</v>
      </c>
      <c r="EF80" s="119">
        <f t="shared" si="4"/>
        <v>0</v>
      </c>
      <c r="EG80" s="119">
        <f t="shared" si="4"/>
        <v>18154.650000000001</v>
      </c>
      <c r="EH80" s="119">
        <f t="shared" si="4"/>
        <v>0</v>
      </c>
      <c r="EI80" s="119">
        <f t="shared" si="4"/>
        <v>0</v>
      </c>
      <c r="EJ80" s="119">
        <f t="shared" si="4"/>
        <v>0</v>
      </c>
      <c r="EK80" s="119">
        <f t="shared" si="4"/>
        <v>0</v>
      </c>
      <c r="EL80" s="119">
        <f t="shared" si="4"/>
        <v>0</v>
      </c>
      <c r="EM80" s="119">
        <f t="shared" si="4"/>
        <v>0</v>
      </c>
      <c r="EN80" s="119">
        <f t="shared" si="4"/>
        <v>0</v>
      </c>
      <c r="EO80" s="119">
        <f t="shared" si="4"/>
        <v>0</v>
      </c>
      <c r="EP80" s="119">
        <f t="shared" si="4"/>
        <v>0</v>
      </c>
      <c r="EQ80" s="119">
        <f t="shared" si="4"/>
        <v>0</v>
      </c>
      <c r="ER80" s="119">
        <f t="shared" si="4"/>
        <v>0</v>
      </c>
      <c r="ES80" s="119">
        <f t="shared" si="4"/>
        <v>0</v>
      </c>
      <c r="ET80" s="119">
        <f t="shared" si="4"/>
        <v>0</v>
      </c>
      <c r="EU80" s="119">
        <f t="shared" si="4"/>
        <v>0</v>
      </c>
      <c r="EV80" s="119">
        <f t="shared" si="4"/>
        <v>0</v>
      </c>
      <c r="EW80" s="119">
        <f t="shared" si="4"/>
        <v>0</v>
      </c>
      <c r="EX80" s="119">
        <f t="shared" si="4"/>
        <v>0</v>
      </c>
      <c r="EY80" s="119">
        <f t="shared" si="4"/>
        <v>0</v>
      </c>
      <c r="EZ80" s="119">
        <f t="shared" si="4"/>
        <v>0</v>
      </c>
      <c r="FA80" s="119">
        <f t="shared" si="4"/>
        <v>0</v>
      </c>
      <c r="FB80" s="119">
        <f t="shared" si="4"/>
        <v>0</v>
      </c>
      <c r="FC80" s="119">
        <f t="shared" si="4"/>
        <v>0</v>
      </c>
      <c r="FD80" s="119">
        <f t="shared" si="4"/>
        <v>0</v>
      </c>
      <c r="FE80" s="119">
        <f t="shared" si="4"/>
        <v>0</v>
      </c>
      <c r="FF80" s="119">
        <f t="shared" si="4"/>
        <v>0</v>
      </c>
      <c r="FG80" s="119">
        <f t="shared" si="4"/>
        <v>0</v>
      </c>
      <c r="FH80" s="119">
        <f t="shared" si="4"/>
        <v>0</v>
      </c>
      <c r="FI80" s="119">
        <f t="shared" si="4"/>
        <v>0</v>
      </c>
      <c r="FJ80" s="119">
        <f t="shared" si="4"/>
        <v>1971730.37</v>
      </c>
      <c r="FK80" s="119">
        <f t="shared" si="4"/>
        <v>0</v>
      </c>
      <c r="FL80" s="119">
        <f t="shared" si="4"/>
        <v>0</v>
      </c>
      <c r="FM80" s="119">
        <f t="shared" si="4"/>
        <v>0</v>
      </c>
      <c r="FN80" s="119">
        <f t="shared" si="4"/>
        <v>0</v>
      </c>
      <c r="FO80" s="119">
        <f t="shared" si="4"/>
        <v>0</v>
      </c>
      <c r="FP80" s="119">
        <f t="shared" si="4"/>
        <v>0</v>
      </c>
      <c r="FQ80" s="119">
        <f t="shared" si="4"/>
        <v>1373621</v>
      </c>
      <c r="FR80" s="119">
        <f t="shared" si="4"/>
        <v>0</v>
      </c>
      <c r="FS80" s="119">
        <f t="shared" si="4"/>
        <v>225498</v>
      </c>
      <c r="FT80" s="119">
        <f t="shared" si="4"/>
        <v>4028781.1199999996</v>
      </c>
      <c r="FU80" s="119">
        <f t="shared" si="4"/>
        <v>0</v>
      </c>
      <c r="FV80" s="119">
        <f t="shared" si="4"/>
        <v>0</v>
      </c>
      <c r="FW80" s="119">
        <f t="shared" si="4"/>
        <v>0</v>
      </c>
      <c r="FX80" s="119">
        <f t="shared" si="4"/>
        <v>0</v>
      </c>
      <c r="FY80" s="119">
        <f t="shared" si="4"/>
        <v>0</v>
      </c>
      <c r="FZ80" s="119">
        <f t="shared" si="4"/>
        <v>15340</v>
      </c>
      <c r="GA80" s="119">
        <f t="shared" si="4"/>
        <v>0</v>
      </c>
      <c r="GB80" s="119">
        <f t="shared" si="4"/>
        <v>66552</v>
      </c>
      <c r="GC80" s="119">
        <f t="shared" si="4"/>
        <v>0</v>
      </c>
      <c r="GD80" s="119">
        <f t="shared" si="4"/>
        <v>0</v>
      </c>
      <c r="GE80" s="119">
        <f t="shared" si="4"/>
        <v>0</v>
      </c>
      <c r="GF80" s="119">
        <f t="shared" si="4"/>
        <v>0</v>
      </c>
      <c r="GG80" s="119">
        <f t="shared" si="4"/>
        <v>0</v>
      </c>
      <c r="GH80" s="119">
        <f t="shared" si="4"/>
        <v>89681.02</v>
      </c>
      <c r="GI80" s="119">
        <f t="shared" si="4"/>
        <v>0</v>
      </c>
      <c r="GJ80" s="119">
        <f t="shared" si="4"/>
        <v>0</v>
      </c>
      <c r="GK80" s="119">
        <f t="shared" si="4"/>
        <v>38940</v>
      </c>
      <c r="GL80" s="119">
        <f t="shared" ref="GL80:IW80" si="5">SUM(GL3:GL79)</f>
        <v>0</v>
      </c>
      <c r="GM80" s="119">
        <f t="shared" si="5"/>
        <v>0</v>
      </c>
      <c r="GN80" s="119">
        <f t="shared" si="5"/>
        <v>0</v>
      </c>
      <c r="GO80" s="119">
        <f t="shared" si="5"/>
        <v>0</v>
      </c>
      <c r="GP80" s="119">
        <f t="shared" si="5"/>
        <v>0</v>
      </c>
      <c r="GQ80" s="119">
        <f t="shared" si="5"/>
        <v>6301889.96</v>
      </c>
      <c r="GR80" s="119">
        <f t="shared" si="5"/>
        <v>59000</v>
      </c>
      <c r="GS80" s="119">
        <f t="shared" si="5"/>
        <v>0</v>
      </c>
      <c r="GT80" s="119">
        <f t="shared" si="5"/>
        <v>1456293.22</v>
      </c>
      <c r="GU80" s="119">
        <f t="shared" si="5"/>
        <v>0</v>
      </c>
      <c r="GV80" s="119">
        <f t="shared" si="5"/>
        <v>0</v>
      </c>
      <c r="GW80" s="119">
        <f t="shared" si="5"/>
        <v>0</v>
      </c>
      <c r="GX80" s="119">
        <f t="shared" si="5"/>
        <v>0</v>
      </c>
      <c r="GY80" s="119">
        <f t="shared" si="5"/>
        <v>0</v>
      </c>
      <c r="GZ80" s="119">
        <f t="shared" si="5"/>
        <v>0</v>
      </c>
      <c r="HA80" s="119">
        <f t="shared" si="5"/>
        <v>0</v>
      </c>
      <c r="HB80" s="119">
        <f t="shared" si="5"/>
        <v>0</v>
      </c>
      <c r="HC80" s="119">
        <f t="shared" si="5"/>
        <v>0</v>
      </c>
      <c r="HD80" s="119">
        <f t="shared" si="5"/>
        <v>0</v>
      </c>
      <c r="HE80" s="119">
        <f t="shared" si="5"/>
        <v>0</v>
      </c>
      <c r="HF80" s="119">
        <f t="shared" si="5"/>
        <v>42057.86</v>
      </c>
      <c r="HG80" s="119">
        <f t="shared" si="5"/>
        <v>0</v>
      </c>
      <c r="HH80" s="119">
        <f t="shared" si="5"/>
        <v>0</v>
      </c>
      <c r="HI80" s="119">
        <f t="shared" si="5"/>
        <v>22585.200000000001</v>
      </c>
      <c r="HJ80" s="119">
        <f t="shared" si="5"/>
        <v>0</v>
      </c>
      <c r="HK80" s="119">
        <f t="shared" si="5"/>
        <v>0</v>
      </c>
      <c r="HL80" s="119">
        <f t="shared" si="5"/>
        <v>0</v>
      </c>
      <c r="HM80" s="119">
        <f t="shared" si="5"/>
        <v>0</v>
      </c>
      <c r="HN80" s="119">
        <f t="shared" si="5"/>
        <v>0</v>
      </c>
      <c r="HO80" s="119">
        <f t="shared" si="5"/>
        <v>0</v>
      </c>
      <c r="HP80" s="119">
        <f t="shared" si="5"/>
        <v>0</v>
      </c>
      <c r="HQ80" s="119">
        <f t="shared" si="5"/>
        <v>0</v>
      </c>
      <c r="HR80" s="119">
        <f t="shared" si="5"/>
        <v>0</v>
      </c>
      <c r="HS80" s="119">
        <f t="shared" si="5"/>
        <v>0</v>
      </c>
      <c r="HT80" s="119">
        <f t="shared" si="5"/>
        <v>0</v>
      </c>
      <c r="HU80" s="119">
        <f t="shared" si="5"/>
        <v>0</v>
      </c>
      <c r="HV80" s="119">
        <f t="shared" si="5"/>
        <v>0</v>
      </c>
      <c r="HW80" s="119">
        <f t="shared" si="5"/>
        <v>0</v>
      </c>
      <c r="HX80" s="119">
        <f t="shared" si="5"/>
        <v>0</v>
      </c>
      <c r="HY80" s="119">
        <f t="shared" si="5"/>
        <v>0</v>
      </c>
      <c r="HZ80" s="119">
        <f t="shared" si="5"/>
        <v>0</v>
      </c>
      <c r="IA80" s="119">
        <f t="shared" si="5"/>
        <v>0</v>
      </c>
      <c r="IB80" s="119">
        <f t="shared" si="5"/>
        <v>0</v>
      </c>
      <c r="IC80" s="119">
        <f t="shared" si="5"/>
        <v>0</v>
      </c>
      <c r="ID80" s="119">
        <f t="shared" si="5"/>
        <v>0</v>
      </c>
      <c r="IE80" s="119">
        <f t="shared" si="5"/>
        <v>0</v>
      </c>
      <c r="IF80" s="119">
        <f t="shared" si="5"/>
        <v>0</v>
      </c>
      <c r="IG80" s="119">
        <f t="shared" si="5"/>
        <v>0</v>
      </c>
      <c r="IH80" s="119">
        <f t="shared" si="5"/>
        <v>0</v>
      </c>
      <c r="II80" s="119">
        <f t="shared" si="5"/>
        <v>0</v>
      </c>
      <c r="IJ80" s="119">
        <f t="shared" si="5"/>
        <v>0</v>
      </c>
      <c r="IK80" s="119">
        <f t="shared" si="5"/>
        <v>0</v>
      </c>
      <c r="IL80" s="119">
        <f t="shared" si="5"/>
        <v>0</v>
      </c>
      <c r="IM80" s="119">
        <f t="shared" si="5"/>
        <v>0</v>
      </c>
      <c r="IN80" s="119">
        <f t="shared" si="5"/>
        <v>0</v>
      </c>
      <c r="IO80" s="119">
        <f t="shared" si="5"/>
        <v>0</v>
      </c>
      <c r="IP80" s="119">
        <f t="shared" si="5"/>
        <v>0</v>
      </c>
      <c r="IQ80" s="119">
        <f t="shared" si="5"/>
        <v>0</v>
      </c>
      <c r="IR80" s="119">
        <f t="shared" si="5"/>
        <v>0</v>
      </c>
      <c r="IS80" s="119">
        <f t="shared" si="5"/>
        <v>0</v>
      </c>
      <c r="IT80" s="119">
        <f t="shared" si="5"/>
        <v>0</v>
      </c>
      <c r="IU80" s="119">
        <f t="shared" si="5"/>
        <v>0</v>
      </c>
      <c r="IV80" s="119">
        <f t="shared" si="5"/>
        <v>0</v>
      </c>
      <c r="IW80" s="119">
        <f t="shared" si="5"/>
        <v>0</v>
      </c>
      <c r="IX80" s="119">
        <f t="shared" ref="IX80:JH80" si="6">SUM(IX3:IX79)</f>
        <v>0</v>
      </c>
      <c r="IY80" s="119">
        <f t="shared" si="6"/>
        <v>0</v>
      </c>
      <c r="IZ80" s="119">
        <f t="shared" si="6"/>
        <v>0</v>
      </c>
      <c r="JA80" s="119">
        <f t="shared" si="6"/>
        <v>0</v>
      </c>
      <c r="JB80" s="119">
        <f t="shared" si="6"/>
        <v>0</v>
      </c>
      <c r="JC80" s="119">
        <f t="shared" si="6"/>
        <v>0</v>
      </c>
      <c r="JD80" s="119">
        <f t="shared" si="6"/>
        <v>0</v>
      </c>
      <c r="JE80" s="119">
        <f t="shared" si="6"/>
        <v>0</v>
      </c>
      <c r="JF80" s="119">
        <f t="shared" si="6"/>
        <v>0</v>
      </c>
      <c r="JG80" s="119">
        <f t="shared" si="6"/>
        <v>0</v>
      </c>
      <c r="JH80" s="119">
        <f t="shared" si="6"/>
        <v>0</v>
      </c>
      <c r="JI80" s="119">
        <f>SUM(JI3:JI79)</f>
        <v>157427908</v>
      </c>
      <c r="JK80" s="122"/>
      <c r="JL80" s="125"/>
      <c r="JM80" s="358"/>
      <c r="JN80" s="122">
        <f>SUM(JN3:JN56)</f>
        <v>0</v>
      </c>
      <c r="JO80" s="122">
        <f>SUM(JO3:JO56)</f>
        <v>0</v>
      </c>
      <c r="JP80" s="122">
        <f>SUM(JP3:JP56)</f>
        <v>0</v>
      </c>
    </row>
    <row r="81" spans="1:276" ht="18.75" x14ac:dyDescent="0.3">
      <c r="A81" s="118">
        <v>211101</v>
      </c>
      <c r="B81" s="118">
        <v>211102</v>
      </c>
      <c r="C81" s="118">
        <v>211103</v>
      </c>
      <c r="D81" s="118">
        <v>211104</v>
      </c>
      <c r="E81" s="118">
        <v>211105</v>
      </c>
      <c r="F81" s="118">
        <v>211106</v>
      </c>
      <c r="G81" s="118">
        <v>211203</v>
      </c>
      <c r="H81" s="118">
        <v>211205</v>
      </c>
      <c r="I81" s="118">
        <v>211206</v>
      </c>
      <c r="J81" s="118">
        <v>211208</v>
      </c>
      <c r="K81" s="118">
        <v>211209</v>
      </c>
      <c r="L81" s="118">
        <v>211211</v>
      </c>
      <c r="M81" s="118">
        <v>211301</v>
      </c>
      <c r="N81" s="118">
        <v>211401</v>
      </c>
      <c r="O81" s="118">
        <v>211501</v>
      </c>
      <c r="P81" s="118">
        <v>211502</v>
      </c>
      <c r="Q81" s="118">
        <v>211503</v>
      </c>
      <c r="R81" s="118">
        <v>211504</v>
      </c>
      <c r="S81" s="118">
        <v>212101</v>
      </c>
      <c r="T81" s="118">
        <v>212201</v>
      </c>
      <c r="U81" s="118">
        <v>212203</v>
      </c>
      <c r="V81" s="118">
        <v>212204</v>
      </c>
      <c r="W81" s="118">
        <v>212205</v>
      </c>
      <c r="X81" s="118">
        <v>212206</v>
      </c>
      <c r="Y81" s="118">
        <v>212207</v>
      </c>
      <c r="Z81" s="118">
        <v>212208</v>
      </c>
      <c r="AA81" s="118">
        <v>212209</v>
      </c>
      <c r="AB81" s="118">
        <v>212210</v>
      </c>
      <c r="AC81" s="118">
        <v>213101</v>
      </c>
      <c r="AD81" s="118">
        <v>213102</v>
      </c>
      <c r="AE81" s="118">
        <v>213201</v>
      </c>
      <c r="AF81" s="118">
        <v>213202</v>
      </c>
      <c r="AG81" s="118">
        <v>214101</v>
      </c>
      <c r="AH81" s="118">
        <v>214201</v>
      </c>
      <c r="AI81" s="118">
        <v>214202</v>
      </c>
      <c r="AJ81" s="118">
        <v>214203</v>
      </c>
      <c r="AK81" s="118">
        <v>215101</v>
      </c>
      <c r="AL81" s="118">
        <v>215201</v>
      </c>
      <c r="AM81" s="118">
        <v>215301</v>
      </c>
      <c r="AN81" s="118">
        <v>215401</v>
      </c>
      <c r="AO81" s="118">
        <v>221101</v>
      </c>
      <c r="AP81" s="118">
        <v>221201</v>
      </c>
      <c r="AQ81" s="118">
        <v>221301</v>
      </c>
      <c r="AR81" s="118">
        <v>221401</v>
      </c>
      <c r="AS81" s="118">
        <v>221501</v>
      </c>
      <c r="AT81" s="118">
        <v>221601</v>
      </c>
      <c r="AU81" s="118">
        <v>221602</v>
      </c>
      <c r="AV81" s="118">
        <v>221701</v>
      </c>
      <c r="AW81" s="118">
        <v>221801</v>
      </c>
      <c r="AX81" s="118">
        <v>222101</v>
      </c>
      <c r="AY81" s="118">
        <v>222201</v>
      </c>
      <c r="AZ81" s="118">
        <v>223101</v>
      </c>
      <c r="BA81" s="118">
        <v>223201</v>
      </c>
      <c r="BB81" s="118">
        <v>224101</v>
      </c>
      <c r="BC81" s="118">
        <v>224201</v>
      </c>
      <c r="BD81" s="118">
        <v>224301</v>
      </c>
      <c r="BE81" s="118">
        <v>224401</v>
      </c>
      <c r="BF81" s="118">
        <v>225101</v>
      </c>
      <c r="BG81" s="118">
        <v>225201</v>
      </c>
      <c r="BH81" s="118">
        <v>225301</v>
      </c>
      <c r="BI81" s="118">
        <v>225302</v>
      </c>
      <c r="BJ81" s="118">
        <v>225303</v>
      </c>
      <c r="BK81" s="118">
        <v>225304</v>
      </c>
      <c r="BL81" s="118">
        <v>225305</v>
      </c>
      <c r="BM81" s="118">
        <v>225401</v>
      </c>
      <c r="BN81" s="118">
        <v>225501</v>
      </c>
      <c r="BO81" s="118">
        <v>225601</v>
      </c>
      <c r="BP81" s="118">
        <v>225701</v>
      </c>
      <c r="BQ81" s="118">
        <v>225801</v>
      </c>
      <c r="BR81" s="118">
        <v>225901</v>
      </c>
      <c r="BS81" s="118">
        <v>226101</v>
      </c>
      <c r="BT81" s="118">
        <v>226201</v>
      </c>
      <c r="BU81" s="118">
        <v>226301</v>
      </c>
      <c r="BV81" s="118">
        <v>226401</v>
      </c>
      <c r="BW81" s="118">
        <v>227101</v>
      </c>
      <c r="BX81" s="118">
        <v>227102</v>
      </c>
      <c r="BY81" s="118">
        <v>227103</v>
      </c>
      <c r="BZ81" s="118">
        <v>227104</v>
      </c>
      <c r="CA81" s="118">
        <v>227105</v>
      </c>
      <c r="CB81" s="118">
        <v>227106</v>
      </c>
      <c r="CC81" s="118">
        <v>227107</v>
      </c>
      <c r="CD81" s="118">
        <v>227199</v>
      </c>
      <c r="CE81" s="118">
        <v>227201</v>
      </c>
      <c r="CF81" s="118">
        <v>227202</v>
      </c>
      <c r="CG81" s="118">
        <v>227203</v>
      </c>
      <c r="CH81" s="118">
        <v>227204</v>
      </c>
      <c r="CI81" s="118">
        <v>227205</v>
      </c>
      <c r="CJ81" s="118">
        <v>227206</v>
      </c>
      <c r="CK81" s="118">
        <v>227207</v>
      </c>
      <c r="CL81" s="118">
        <v>227208</v>
      </c>
      <c r="CM81" s="118">
        <v>227299</v>
      </c>
      <c r="CN81" s="118">
        <v>227301</v>
      </c>
      <c r="CO81" s="118">
        <v>228101</v>
      </c>
      <c r="CP81" s="118">
        <v>228201</v>
      </c>
      <c r="CQ81" s="118">
        <v>228301</v>
      </c>
      <c r="CR81" s="118">
        <v>228401</v>
      </c>
      <c r="CS81" s="118">
        <v>228501</v>
      </c>
      <c r="CT81" s="118">
        <v>228502</v>
      </c>
      <c r="CU81" s="118">
        <v>228503</v>
      </c>
      <c r="CV81" s="118">
        <v>228601</v>
      </c>
      <c r="CW81" s="118">
        <v>228602</v>
      </c>
      <c r="CX81" s="118">
        <v>228603</v>
      </c>
      <c r="CY81" s="118">
        <v>228604</v>
      </c>
      <c r="CZ81" s="118">
        <v>228701</v>
      </c>
      <c r="DA81" s="118">
        <v>228702</v>
      </c>
      <c r="DB81" s="118">
        <v>228703</v>
      </c>
      <c r="DC81" s="118">
        <v>228704</v>
      </c>
      <c r="DD81" s="118">
        <v>228705</v>
      </c>
      <c r="DE81" s="118">
        <v>228706</v>
      </c>
      <c r="DF81" s="118">
        <v>228801</v>
      </c>
      <c r="DG81" s="118">
        <v>228802</v>
      </c>
      <c r="DH81" s="118">
        <v>228803</v>
      </c>
      <c r="DI81" s="118">
        <v>229201</v>
      </c>
      <c r="DJ81" s="118">
        <v>229203</v>
      </c>
      <c r="DK81" s="118">
        <v>231101</v>
      </c>
      <c r="DL81" s="118">
        <v>231102</v>
      </c>
      <c r="DM81" s="118">
        <v>231201</v>
      </c>
      <c r="DN81" s="118">
        <v>231301</v>
      </c>
      <c r="DO81" s="118">
        <v>231302</v>
      </c>
      <c r="DP81" s="118">
        <v>231303</v>
      </c>
      <c r="DQ81" s="118">
        <v>231401</v>
      </c>
      <c r="DR81" s="118">
        <v>232101</v>
      </c>
      <c r="DS81" s="118">
        <v>232201</v>
      </c>
      <c r="DT81" s="118">
        <v>232301</v>
      </c>
      <c r="DU81" s="118">
        <v>233101</v>
      </c>
      <c r="DV81" s="118">
        <v>233201</v>
      </c>
      <c r="DW81" s="118">
        <v>233301</v>
      </c>
      <c r="DX81" s="118">
        <v>233401</v>
      </c>
      <c r="DY81" s="118">
        <v>233501</v>
      </c>
      <c r="DZ81" s="118">
        <v>233601</v>
      </c>
      <c r="EA81" s="118">
        <v>234101</v>
      </c>
      <c r="EB81" s="118">
        <v>234201</v>
      </c>
      <c r="EC81" s="118">
        <v>235101</v>
      </c>
      <c r="ED81" s="118">
        <v>235201</v>
      </c>
      <c r="EE81" s="118">
        <v>235301</v>
      </c>
      <c r="EF81" s="118">
        <v>235401</v>
      </c>
      <c r="EG81" s="118">
        <v>235501</v>
      </c>
      <c r="EH81" s="118">
        <v>236101</v>
      </c>
      <c r="EI81" s="118">
        <v>236102</v>
      </c>
      <c r="EJ81" s="118">
        <v>236103</v>
      </c>
      <c r="EK81" s="118">
        <v>236104</v>
      </c>
      <c r="EL81" s="118">
        <v>236105</v>
      </c>
      <c r="EM81" s="118">
        <v>236201</v>
      </c>
      <c r="EN81" s="118">
        <v>236202</v>
      </c>
      <c r="EO81" s="118">
        <v>236203</v>
      </c>
      <c r="EP81" s="118">
        <v>236304</v>
      </c>
      <c r="EQ81" s="118">
        <v>236305</v>
      </c>
      <c r="ER81" s="118">
        <v>236306</v>
      </c>
      <c r="ES81" s="118">
        <v>236401</v>
      </c>
      <c r="ET81" s="118">
        <v>236402</v>
      </c>
      <c r="EU81" s="118">
        <v>236403</v>
      </c>
      <c r="EV81" s="118">
        <v>236404</v>
      </c>
      <c r="EW81" s="118">
        <v>236405</v>
      </c>
      <c r="EX81" s="118">
        <v>236406</v>
      </c>
      <c r="EY81" s="118">
        <v>236407</v>
      </c>
      <c r="EZ81" s="118">
        <v>236901</v>
      </c>
      <c r="FA81" s="118">
        <v>237101</v>
      </c>
      <c r="FB81" s="118">
        <v>237102</v>
      </c>
      <c r="FC81" s="118">
        <v>237103</v>
      </c>
      <c r="FD81" s="118">
        <v>237104</v>
      </c>
      <c r="FE81" s="118">
        <v>237105</v>
      </c>
      <c r="FF81" s="118">
        <v>237106</v>
      </c>
      <c r="FG81" s="118">
        <v>237107</v>
      </c>
      <c r="FH81" s="118">
        <v>237201</v>
      </c>
      <c r="FI81" s="118">
        <v>237202</v>
      </c>
      <c r="FJ81" s="118">
        <v>237203</v>
      </c>
      <c r="FK81" s="118">
        <v>237204</v>
      </c>
      <c r="FL81" s="118">
        <v>237205</v>
      </c>
      <c r="FM81" s="118">
        <v>237206</v>
      </c>
      <c r="FN81" s="118">
        <v>237299</v>
      </c>
      <c r="FO81" s="118">
        <v>238101</v>
      </c>
      <c r="FP81" s="118">
        <v>238201</v>
      </c>
      <c r="FQ81" s="118">
        <v>239101</v>
      </c>
      <c r="FR81" s="118">
        <v>239102</v>
      </c>
      <c r="FS81" s="118">
        <v>239201</v>
      </c>
      <c r="FT81" s="118">
        <v>239301</v>
      </c>
      <c r="FU81" s="118">
        <v>239401</v>
      </c>
      <c r="FV81" s="118">
        <v>239501</v>
      </c>
      <c r="FW81" s="118">
        <v>239601</v>
      </c>
      <c r="FX81" s="118">
        <v>239701</v>
      </c>
      <c r="FY81" s="118">
        <v>239801</v>
      </c>
      <c r="FZ81" s="118">
        <v>239802</v>
      </c>
      <c r="GA81" s="118">
        <v>239901</v>
      </c>
      <c r="GB81" s="118">
        <v>239904</v>
      </c>
      <c r="GC81" s="118">
        <v>241201</v>
      </c>
      <c r="GD81" s="118">
        <v>241202</v>
      </c>
      <c r="GE81" s="118">
        <v>241203</v>
      </c>
      <c r="GF81" s="118">
        <v>241204</v>
      </c>
      <c r="GG81" s="118">
        <v>241205</v>
      </c>
      <c r="GH81" s="118">
        <v>261101</v>
      </c>
      <c r="GI81" s="118">
        <v>261201</v>
      </c>
      <c r="GJ81" s="118">
        <v>261301</v>
      </c>
      <c r="GK81" s="118">
        <v>261401</v>
      </c>
      <c r="GL81" s="118">
        <v>261901</v>
      </c>
      <c r="GM81" s="118">
        <v>262101</v>
      </c>
      <c r="GN81" s="118">
        <v>262201</v>
      </c>
      <c r="GO81" s="118">
        <v>262301</v>
      </c>
      <c r="GP81" s="118">
        <v>262401</v>
      </c>
      <c r="GQ81" s="118">
        <v>263101</v>
      </c>
      <c r="GR81" s="118">
        <v>263201</v>
      </c>
      <c r="GS81" s="118">
        <v>263301</v>
      </c>
      <c r="GT81" s="118">
        <v>263401</v>
      </c>
      <c r="GU81" s="118">
        <v>264101</v>
      </c>
      <c r="GV81" s="118">
        <v>264201</v>
      </c>
      <c r="GW81" s="118">
        <v>264301</v>
      </c>
      <c r="GX81" s="118">
        <v>264401</v>
      </c>
      <c r="GY81" s="118">
        <v>264501</v>
      </c>
      <c r="GZ81" s="118">
        <v>264601</v>
      </c>
      <c r="HA81" s="118">
        <v>264701</v>
      </c>
      <c r="HB81" s="118">
        <v>264801</v>
      </c>
      <c r="HC81" s="118">
        <v>265101</v>
      </c>
      <c r="HD81" s="118">
        <v>265201</v>
      </c>
      <c r="HE81" s="118">
        <v>265301</v>
      </c>
      <c r="HF81" s="118">
        <v>265401</v>
      </c>
      <c r="HG81" s="118">
        <v>265501</v>
      </c>
      <c r="HH81" s="118">
        <v>265601</v>
      </c>
      <c r="HI81" s="118">
        <v>265701</v>
      </c>
      <c r="HJ81" s="118">
        <v>265801</v>
      </c>
      <c r="HK81" s="118">
        <v>266101</v>
      </c>
      <c r="HL81" s="118">
        <v>266201</v>
      </c>
      <c r="HM81" s="118">
        <v>267101</v>
      </c>
      <c r="HN81" s="118">
        <v>267201</v>
      </c>
      <c r="HO81" s="118">
        <v>267301</v>
      </c>
      <c r="HP81" s="118">
        <v>267401</v>
      </c>
      <c r="HQ81" s="118">
        <v>267501</v>
      </c>
      <c r="HR81" s="118">
        <v>267601</v>
      </c>
      <c r="HS81" s="118">
        <v>267701</v>
      </c>
      <c r="HT81" s="118">
        <v>267801</v>
      </c>
      <c r="HU81" s="118">
        <v>267901</v>
      </c>
      <c r="HV81" s="118">
        <v>268101</v>
      </c>
      <c r="HW81" s="118">
        <v>268201</v>
      </c>
      <c r="HX81" s="118">
        <v>268301</v>
      </c>
      <c r="HY81" s="118">
        <v>268302</v>
      </c>
      <c r="HZ81" s="118">
        <v>268401</v>
      </c>
      <c r="IA81" s="118">
        <v>268501</v>
      </c>
      <c r="IB81" s="118">
        <v>268601</v>
      </c>
      <c r="IC81" s="118">
        <v>268701</v>
      </c>
      <c r="ID81" s="118">
        <v>268802</v>
      </c>
      <c r="IE81" s="118">
        <v>268803</v>
      </c>
      <c r="IF81" s="118">
        <v>268804</v>
      </c>
      <c r="IG81" s="118">
        <v>268901</v>
      </c>
      <c r="IH81" s="118">
        <v>269101</v>
      </c>
      <c r="II81" s="118">
        <v>269102</v>
      </c>
      <c r="IJ81" s="118">
        <v>269201</v>
      </c>
      <c r="IK81" s="118">
        <v>269202</v>
      </c>
      <c r="IL81" s="118">
        <v>269301</v>
      </c>
      <c r="IM81" s="118">
        <v>269401</v>
      </c>
      <c r="IN81" s="118">
        <v>269501</v>
      </c>
      <c r="IO81" s="118">
        <v>269502</v>
      </c>
      <c r="IP81" s="118">
        <v>269503</v>
      </c>
      <c r="IQ81" s="118">
        <v>2269901</v>
      </c>
      <c r="IR81" s="118">
        <v>271101</v>
      </c>
      <c r="IS81" s="118">
        <v>271201</v>
      </c>
      <c r="IT81" s="118">
        <v>271301</v>
      </c>
      <c r="IU81" s="118">
        <v>271401</v>
      </c>
      <c r="IV81" s="118">
        <v>272101</v>
      </c>
      <c r="IW81" s="118">
        <v>272201</v>
      </c>
      <c r="IX81" s="118">
        <v>272301</v>
      </c>
      <c r="IY81" s="118">
        <v>272401</v>
      </c>
      <c r="IZ81" s="118">
        <v>272501</v>
      </c>
      <c r="JA81" s="118">
        <v>272601</v>
      </c>
      <c r="JB81" s="118">
        <v>272701</v>
      </c>
      <c r="JC81" s="118">
        <v>272801</v>
      </c>
      <c r="JD81" s="118">
        <v>272901</v>
      </c>
      <c r="JE81" s="118">
        <v>273101</v>
      </c>
      <c r="JF81" s="118">
        <v>273201</v>
      </c>
      <c r="JG81" s="118">
        <v>274101</v>
      </c>
      <c r="JH81" s="118">
        <v>274201</v>
      </c>
      <c r="JI81" s="120" t="s">
        <v>0</v>
      </c>
      <c r="JJ81" s="1"/>
      <c r="JK81" s="122">
        <f>SUM(JK3:JK57)</f>
        <v>0</v>
      </c>
      <c r="JL81" s="122">
        <f>SUM(JL3:JL57)</f>
        <v>0</v>
      </c>
      <c r="JM81" s="122">
        <f>SUM(JM3:JM57)</f>
        <v>0</v>
      </c>
      <c r="JN81" s="1"/>
      <c r="JO81" s="1"/>
      <c r="JP81" s="1"/>
    </row>
    <row r="82" spans="1:276" x14ac:dyDescent="0.25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122"/>
      <c r="AP82" s="122"/>
      <c r="AQ82" s="122"/>
      <c r="AR82" s="122"/>
      <c r="AS82" s="122"/>
      <c r="AT82" s="122"/>
      <c r="AU82" s="122"/>
      <c r="AV82" s="122"/>
      <c r="AW82" s="122"/>
      <c r="AX82" s="122"/>
      <c r="AY82" s="122"/>
      <c r="AZ82" s="122"/>
      <c r="BA82" s="122"/>
      <c r="BB82" s="122"/>
      <c r="BC82" s="122"/>
      <c r="BD82" s="122"/>
      <c r="BE82" s="122"/>
      <c r="BF82" s="122"/>
      <c r="BG82" s="122"/>
      <c r="BH82" s="122"/>
      <c r="BI82" s="122"/>
      <c r="BJ82" s="122"/>
      <c r="BK82" s="122"/>
      <c r="BL82" s="122"/>
      <c r="BM82" s="122"/>
      <c r="BN82" s="122"/>
      <c r="BO82" s="122"/>
      <c r="BP82" s="122"/>
      <c r="BQ82" s="122"/>
      <c r="BR82" s="122"/>
      <c r="BS82" s="122"/>
      <c r="BT82" s="122"/>
      <c r="BU82" s="122"/>
      <c r="BV82" s="122"/>
      <c r="BW82" s="122"/>
      <c r="BX82" s="122"/>
      <c r="BY82" s="122"/>
      <c r="BZ82" s="122"/>
      <c r="CA82" s="122"/>
      <c r="CB82" s="122"/>
      <c r="CC82" s="122"/>
      <c r="CD82" s="122"/>
      <c r="CE82" s="122"/>
      <c r="CF82" s="122"/>
      <c r="CG82" s="122"/>
      <c r="CH82" s="122"/>
      <c r="CI82" s="122"/>
      <c r="CJ82" s="122"/>
      <c r="CK82" s="122"/>
      <c r="CL82" s="122"/>
      <c r="CM82" s="122"/>
      <c r="CN82" s="122"/>
      <c r="CO82" s="122"/>
      <c r="CP82" s="122"/>
      <c r="CQ82" s="122"/>
      <c r="CR82" s="122"/>
      <c r="CS82" s="122"/>
      <c r="CT82" s="122"/>
      <c r="CU82" s="122"/>
      <c r="CV82" s="122"/>
      <c r="CW82" s="122"/>
      <c r="CX82" s="122"/>
      <c r="CY82" s="122"/>
      <c r="CZ82" s="122"/>
      <c r="DA82" s="122"/>
      <c r="DB82" s="122"/>
      <c r="DC82" s="122"/>
      <c r="DD82" s="122"/>
      <c r="DE82" s="122"/>
      <c r="DF82" s="122"/>
      <c r="DG82" s="122"/>
      <c r="DH82" s="122"/>
      <c r="DI82" s="122"/>
      <c r="DJ82" s="122"/>
      <c r="DK82" s="122"/>
      <c r="DL82" s="122"/>
      <c r="DM82" s="122"/>
      <c r="DN82" s="122"/>
      <c r="DO82" s="122"/>
      <c r="DP82" s="122"/>
      <c r="DQ82" s="122"/>
      <c r="DR82" s="122"/>
      <c r="DS82" s="122"/>
      <c r="DT82" s="122"/>
      <c r="DU82" s="122"/>
      <c r="DV82" s="122"/>
      <c r="DW82" s="122"/>
      <c r="DX82" s="122"/>
      <c r="DY82" s="122"/>
      <c r="DZ82" s="122"/>
      <c r="EA82" s="122"/>
      <c r="EB82" s="122"/>
      <c r="EC82" s="122"/>
      <c r="ED82" s="122"/>
      <c r="EE82" s="122"/>
      <c r="EF82" s="122"/>
      <c r="EG82" s="122"/>
      <c r="EH82" s="122"/>
      <c r="EI82" s="122"/>
      <c r="EJ82" s="122"/>
      <c r="EK82" s="122"/>
      <c r="EL82" s="122"/>
      <c r="EM82" s="122"/>
      <c r="EN82" s="122"/>
      <c r="EO82" s="122"/>
      <c r="EP82" s="122"/>
      <c r="EQ82" s="122"/>
      <c r="ER82" s="122"/>
      <c r="ES82" s="122"/>
      <c r="ET82" s="122"/>
      <c r="EU82" s="122"/>
      <c r="EV82" s="122"/>
      <c r="EW82" s="122"/>
      <c r="EX82" s="122"/>
      <c r="EY82" s="122"/>
      <c r="EZ82" s="122"/>
      <c r="FA82" s="122"/>
      <c r="FB82" s="122"/>
      <c r="FC82" s="122"/>
      <c r="FD82" s="122"/>
      <c r="FE82" s="122"/>
      <c r="FF82" s="122"/>
      <c r="FG82" s="122"/>
      <c r="FH82" s="122"/>
      <c r="FI82" s="122"/>
      <c r="FJ82" s="122"/>
      <c r="FK82" s="122"/>
      <c r="FL82" s="122"/>
      <c r="FM82" s="122"/>
      <c r="FN82" s="122"/>
      <c r="FO82" s="122"/>
      <c r="FP82" s="122"/>
      <c r="FQ82" s="122"/>
      <c r="FR82" s="122"/>
      <c r="FS82" s="122"/>
      <c r="FT82" s="122"/>
      <c r="FU82" s="122"/>
      <c r="FV82" s="122"/>
      <c r="FW82" s="122"/>
      <c r="FX82" s="122"/>
      <c r="FY82" s="122"/>
      <c r="FZ82" s="122"/>
      <c r="GA82" s="122"/>
      <c r="GB82" s="122"/>
      <c r="GC82" s="122"/>
      <c r="GD82" s="122"/>
      <c r="GE82" s="122"/>
      <c r="GF82" s="122"/>
      <c r="GG82" s="122"/>
      <c r="GH82" s="122"/>
      <c r="GI82" s="122"/>
      <c r="GJ82" s="122"/>
      <c r="GK82" s="122"/>
      <c r="GL82" s="122"/>
      <c r="GM82" s="122"/>
      <c r="GN82" s="122"/>
      <c r="GO82" s="122"/>
      <c r="GP82" s="122"/>
      <c r="GQ82" s="122"/>
      <c r="GR82" s="122"/>
      <c r="GS82" s="122"/>
      <c r="GT82" s="122"/>
      <c r="GU82" s="122"/>
      <c r="GV82" s="122"/>
      <c r="GW82" s="122"/>
      <c r="GX82" s="122"/>
      <c r="GY82" s="122"/>
      <c r="GZ82" s="122"/>
      <c r="HA82" s="122"/>
      <c r="HB82" s="122"/>
      <c r="HC82" s="122"/>
      <c r="HD82" s="122"/>
      <c r="HE82" s="122"/>
      <c r="HF82" s="122"/>
      <c r="HG82" s="122"/>
      <c r="HH82" s="122"/>
      <c r="HI82" s="122"/>
      <c r="HJ82" s="122"/>
      <c r="HK82" s="122"/>
      <c r="HL82" s="122"/>
      <c r="HM82" s="122"/>
      <c r="HN82" s="122"/>
      <c r="HO82" s="122"/>
      <c r="HP82" s="122"/>
      <c r="HQ82" s="122"/>
      <c r="HR82" s="122"/>
      <c r="HS82" s="122"/>
      <c r="HT82" s="122"/>
      <c r="HU82" s="122"/>
      <c r="HV82" s="122"/>
      <c r="HW82" s="122"/>
      <c r="HX82" s="122"/>
      <c r="HY82" s="122"/>
      <c r="HZ82" s="122"/>
      <c r="IA82" s="122"/>
      <c r="IB82" s="122"/>
      <c r="IC82" s="122"/>
      <c r="ID82" s="122"/>
      <c r="IE82" s="122"/>
      <c r="IF82" s="122"/>
      <c r="IG82" s="122"/>
      <c r="IH82" s="122"/>
      <c r="II82" s="122"/>
      <c r="IJ82" s="122"/>
      <c r="IK82" s="122"/>
      <c r="IL82" s="122"/>
      <c r="IM82" s="122"/>
      <c r="IN82" s="122"/>
      <c r="IO82" s="122"/>
      <c r="IP82" s="122"/>
      <c r="IQ82" s="122"/>
      <c r="IR82" s="122"/>
      <c r="IS82" s="122"/>
      <c r="IT82" s="122"/>
      <c r="IU82" s="122"/>
      <c r="IV82" s="122"/>
      <c r="IW82" s="122"/>
      <c r="IX82" s="122"/>
      <c r="IY82" s="122"/>
      <c r="IZ82" s="122"/>
      <c r="JA82" s="122"/>
      <c r="JB82" s="122"/>
      <c r="JC82" s="122"/>
      <c r="JD82" s="122"/>
      <c r="JE82" s="122"/>
      <c r="JF82" s="122"/>
      <c r="JG82" s="122"/>
      <c r="JH82" s="122"/>
      <c r="JI82" s="119">
        <f>SUM(A82:JH82)</f>
        <v>0</v>
      </c>
      <c r="JJ82" s="1"/>
      <c r="JK82" s="2"/>
      <c r="JL82" s="1"/>
      <c r="JM82" s="1"/>
      <c r="JN82" s="1"/>
      <c r="JO82" s="1"/>
      <c r="JP82" s="1"/>
    </row>
    <row r="83" spans="1:276" x14ac:dyDescent="0.25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/>
      <c r="AS83" s="122"/>
      <c r="AT83" s="122"/>
      <c r="AU83" s="122"/>
      <c r="AV83" s="122"/>
      <c r="AW83" s="122"/>
      <c r="AX83" s="122"/>
      <c r="AY83" s="122"/>
      <c r="AZ83" s="122"/>
      <c r="BA83" s="122"/>
      <c r="BB83" s="122"/>
      <c r="BC83" s="122"/>
      <c r="BD83" s="122"/>
      <c r="BE83" s="122"/>
      <c r="BF83" s="122"/>
      <c r="BG83" s="122"/>
      <c r="BH83" s="122"/>
      <c r="BI83" s="122"/>
      <c r="BJ83" s="122"/>
      <c r="BK83" s="122"/>
      <c r="BL83" s="122"/>
      <c r="BM83" s="122"/>
      <c r="BN83" s="122"/>
      <c r="BO83" s="122"/>
      <c r="BP83" s="122"/>
      <c r="BQ83" s="122"/>
      <c r="BR83" s="122"/>
      <c r="BS83" s="122"/>
      <c r="BT83" s="122"/>
      <c r="BU83" s="122"/>
      <c r="BV83" s="122"/>
      <c r="BW83" s="122"/>
      <c r="BX83" s="122"/>
      <c r="BY83" s="122"/>
      <c r="BZ83" s="122"/>
      <c r="CA83" s="122"/>
      <c r="CB83" s="122"/>
      <c r="CC83" s="122"/>
      <c r="CD83" s="122"/>
      <c r="CE83" s="122"/>
      <c r="CF83" s="122"/>
      <c r="CG83" s="122"/>
      <c r="CH83" s="122"/>
      <c r="CI83" s="122"/>
      <c r="CJ83" s="122"/>
      <c r="CK83" s="122"/>
      <c r="CL83" s="122"/>
      <c r="CM83" s="122"/>
      <c r="CN83" s="122"/>
      <c r="CO83" s="122"/>
      <c r="CP83" s="122"/>
      <c r="CQ83" s="122"/>
      <c r="CR83" s="122"/>
      <c r="CS83" s="122"/>
      <c r="CT83" s="122"/>
      <c r="CU83" s="122"/>
      <c r="CV83" s="122"/>
      <c r="CW83" s="122"/>
      <c r="CX83" s="122"/>
      <c r="CY83" s="122"/>
      <c r="CZ83" s="122"/>
      <c r="DA83" s="122"/>
      <c r="DB83" s="122"/>
      <c r="DC83" s="122"/>
      <c r="DD83" s="122"/>
      <c r="DE83" s="122"/>
      <c r="DF83" s="122"/>
      <c r="DG83" s="122"/>
      <c r="DH83" s="122"/>
      <c r="DI83" s="122"/>
      <c r="DJ83" s="122"/>
      <c r="DK83" s="122"/>
      <c r="DL83" s="122"/>
      <c r="DM83" s="122"/>
      <c r="DN83" s="122"/>
      <c r="DO83" s="122"/>
      <c r="DP83" s="122"/>
      <c r="DQ83" s="122"/>
      <c r="DR83" s="122"/>
      <c r="DS83" s="122"/>
      <c r="DT83" s="122"/>
      <c r="DU83" s="122"/>
      <c r="DV83" s="122"/>
      <c r="DW83" s="122"/>
      <c r="DX83" s="122"/>
      <c r="DY83" s="122"/>
      <c r="DZ83" s="122"/>
      <c r="EA83" s="122"/>
      <c r="EB83" s="122"/>
      <c r="EC83" s="122"/>
      <c r="ED83" s="122"/>
      <c r="EE83" s="122"/>
      <c r="EF83" s="122"/>
      <c r="EG83" s="122"/>
      <c r="EH83" s="122"/>
      <c r="EI83" s="122"/>
      <c r="EJ83" s="122"/>
      <c r="EK83" s="122"/>
      <c r="EL83" s="122"/>
      <c r="EM83" s="122"/>
      <c r="EN83" s="122"/>
      <c r="EO83" s="122"/>
      <c r="EP83" s="122"/>
      <c r="EQ83" s="122"/>
      <c r="ER83" s="122"/>
      <c r="ES83" s="122"/>
      <c r="ET83" s="122"/>
      <c r="EU83" s="122"/>
      <c r="EV83" s="122"/>
      <c r="EW83" s="122"/>
      <c r="EX83" s="122"/>
      <c r="EY83" s="122"/>
      <c r="EZ83" s="122"/>
      <c r="FA83" s="122"/>
      <c r="FB83" s="122"/>
      <c r="FC83" s="122"/>
      <c r="FD83" s="122"/>
      <c r="FE83" s="122"/>
      <c r="FF83" s="122"/>
      <c r="FG83" s="122"/>
      <c r="FH83" s="122"/>
      <c r="FI83" s="122"/>
      <c r="FJ83" s="122"/>
      <c r="FK83" s="122"/>
      <c r="FL83" s="122"/>
      <c r="FM83" s="122"/>
      <c r="FN83" s="122"/>
      <c r="FO83" s="122"/>
      <c r="FP83" s="122"/>
      <c r="FQ83" s="122"/>
      <c r="FR83" s="122"/>
      <c r="FS83" s="122"/>
      <c r="FT83" s="122"/>
      <c r="FU83" s="122"/>
      <c r="FV83" s="122"/>
      <c r="FW83" s="122"/>
      <c r="FX83" s="122"/>
      <c r="FY83" s="122"/>
      <c r="FZ83" s="122"/>
      <c r="GA83" s="122"/>
      <c r="GB83" s="122"/>
      <c r="GC83" s="122"/>
      <c r="GD83" s="122"/>
      <c r="GE83" s="122"/>
      <c r="GF83" s="122"/>
      <c r="GG83" s="122"/>
      <c r="GH83" s="122"/>
      <c r="GI83" s="122"/>
      <c r="GJ83" s="122"/>
      <c r="GK83" s="122"/>
      <c r="GL83" s="122"/>
      <c r="GM83" s="122"/>
      <c r="GN83" s="122"/>
      <c r="GO83" s="122"/>
      <c r="GP83" s="122"/>
      <c r="GQ83" s="122"/>
      <c r="GR83" s="122"/>
      <c r="GS83" s="122"/>
      <c r="GT83" s="122"/>
      <c r="GU83" s="122"/>
      <c r="GV83" s="122"/>
      <c r="GW83" s="122"/>
      <c r="GX83" s="122"/>
      <c r="GY83" s="122"/>
      <c r="GZ83" s="122"/>
      <c r="HA83" s="122"/>
      <c r="HB83" s="122"/>
      <c r="HC83" s="122"/>
      <c r="HD83" s="122"/>
      <c r="HE83" s="122"/>
      <c r="HF83" s="122"/>
      <c r="HG83" s="122"/>
      <c r="HH83" s="122"/>
      <c r="HI83" s="122"/>
      <c r="HJ83" s="122"/>
      <c r="HK83" s="122"/>
      <c r="HL83" s="122"/>
      <c r="HM83" s="122"/>
      <c r="HN83" s="122"/>
      <c r="HO83" s="122"/>
      <c r="HP83" s="122"/>
      <c r="HQ83" s="122"/>
      <c r="HR83" s="122"/>
      <c r="HS83" s="122"/>
      <c r="HT83" s="122"/>
      <c r="HU83" s="122"/>
      <c r="HV83" s="122"/>
      <c r="HW83" s="122"/>
      <c r="HX83" s="122"/>
      <c r="HY83" s="122"/>
      <c r="HZ83" s="122"/>
      <c r="IA83" s="122"/>
      <c r="IB83" s="122"/>
      <c r="IC83" s="122"/>
      <c r="ID83" s="122"/>
      <c r="IE83" s="122"/>
      <c r="IF83" s="122"/>
      <c r="IG83" s="122"/>
      <c r="IH83" s="122"/>
      <c r="II83" s="122"/>
      <c r="IJ83" s="122"/>
      <c r="IK83" s="122"/>
      <c r="IL83" s="122"/>
      <c r="IM83" s="122"/>
      <c r="IN83" s="122"/>
      <c r="IO83" s="122"/>
      <c r="IP83" s="122"/>
      <c r="IQ83" s="122"/>
      <c r="IR83" s="122"/>
      <c r="IS83" s="122"/>
      <c r="IT83" s="122"/>
      <c r="IU83" s="122"/>
      <c r="IV83" s="122"/>
      <c r="IW83" s="122"/>
      <c r="IX83" s="122"/>
      <c r="IY83" s="122"/>
      <c r="IZ83" s="122"/>
      <c r="JA83" s="122"/>
      <c r="JB83" s="122"/>
      <c r="JC83" s="122"/>
      <c r="JD83" s="122"/>
      <c r="JE83" s="122"/>
      <c r="JF83" s="122"/>
      <c r="JG83" s="122"/>
      <c r="JH83" s="122"/>
      <c r="JI83" s="119">
        <f t="shared" ref="JI83:JI95" si="7">SUM(A83:JH83)</f>
        <v>0</v>
      </c>
      <c r="JJ83" s="1"/>
      <c r="JK83" s="2"/>
      <c r="JL83" s="1"/>
      <c r="JM83" s="1"/>
      <c r="JN83" s="1"/>
      <c r="JO83" s="1"/>
      <c r="JP83" s="1"/>
    </row>
    <row r="84" spans="1:276" x14ac:dyDescent="0.25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/>
      <c r="AP84" s="122"/>
      <c r="AQ84" s="122"/>
      <c r="AR84" s="122"/>
      <c r="AS84" s="122"/>
      <c r="AT84" s="122"/>
      <c r="AU84" s="122"/>
      <c r="AV84" s="122"/>
      <c r="AW84" s="122"/>
      <c r="AX84" s="122"/>
      <c r="AY84" s="122"/>
      <c r="AZ84" s="122"/>
      <c r="BA84" s="122"/>
      <c r="BB84" s="122"/>
      <c r="BC84" s="122"/>
      <c r="BD84" s="122"/>
      <c r="BE84" s="122"/>
      <c r="BF84" s="122"/>
      <c r="BG84" s="122"/>
      <c r="BH84" s="122"/>
      <c r="BI84" s="122"/>
      <c r="BJ84" s="122"/>
      <c r="BK84" s="122"/>
      <c r="BL84" s="122"/>
      <c r="BM84" s="122"/>
      <c r="BN84" s="122"/>
      <c r="BO84" s="122"/>
      <c r="BP84" s="122"/>
      <c r="BQ84" s="122"/>
      <c r="BR84" s="122"/>
      <c r="BS84" s="122"/>
      <c r="BT84" s="122"/>
      <c r="BU84" s="122"/>
      <c r="BV84" s="122"/>
      <c r="BW84" s="122"/>
      <c r="BX84" s="122"/>
      <c r="BY84" s="122"/>
      <c r="BZ84" s="122"/>
      <c r="CA84" s="122"/>
      <c r="CB84" s="122"/>
      <c r="CC84" s="122"/>
      <c r="CD84" s="122"/>
      <c r="CE84" s="122"/>
      <c r="CF84" s="122"/>
      <c r="CG84" s="122"/>
      <c r="CH84" s="122"/>
      <c r="CI84" s="122"/>
      <c r="CJ84" s="122"/>
      <c r="CK84" s="122"/>
      <c r="CL84" s="122"/>
      <c r="CM84" s="122"/>
      <c r="CN84" s="122"/>
      <c r="CO84" s="122"/>
      <c r="CP84" s="122"/>
      <c r="CQ84" s="122"/>
      <c r="CR84" s="122"/>
      <c r="CS84" s="122"/>
      <c r="CT84" s="122"/>
      <c r="CU84" s="122"/>
      <c r="CV84" s="122"/>
      <c r="CW84" s="122"/>
      <c r="CX84" s="122"/>
      <c r="CY84" s="122"/>
      <c r="CZ84" s="122"/>
      <c r="DA84" s="122"/>
      <c r="DB84" s="122"/>
      <c r="DC84" s="122"/>
      <c r="DD84" s="122"/>
      <c r="DE84" s="122"/>
      <c r="DF84" s="122"/>
      <c r="DG84" s="122"/>
      <c r="DH84" s="122"/>
      <c r="DI84" s="122"/>
      <c r="DJ84" s="122"/>
      <c r="DK84" s="122"/>
      <c r="DL84" s="122"/>
      <c r="DM84" s="122"/>
      <c r="DN84" s="122"/>
      <c r="DO84" s="122"/>
      <c r="DP84" s="122"/>
      <c r="DQ84" s="122"/>
      <c r="DR84" s="122"/>
      <c r="DS84" s="122"/>
      <c r="DT84" s="122"/>
      <c r="DU84" s="122"/>
      <c r="DV84" s="122"/>
      <c r="DW84" s="122"/>
      <c r="DX84" s="122"/>
      <c r="DY84" s="122"/>
      <c r="DZ84" s="122"/>
      <c r="EA84" s="122"/>
      <c r="EB84" s="122"/>
      <c r="EC84" s="122"/>
      <c r="ED84" s="122"/>
      <c r="EE84" s="122"/>
      <c r="EF84" s="122"/>
      <c r="EG84" s="122"/>
      <c r="EH84" s="122"/>
      <c r="EI84" s="122"/>
      <c r="EJ84" s="122"/>
      <c r="EK84" s="122"/>
      <c r="EL84" s="122"/>
      <c r="EM84" s="122"/>
      <c r="EN84" s="122"/>
      <c r="EO84" s="122"/>
      <c r="EP84" s="122"/>
      <c r="EQ84" s="122"/>
      <c r="ER84" s="122"/>
      <c r="ES84" s="122"/>
      <c r="ET84" s="122"/>
      <c r="EU84" s="122"/>
      <c r="EV84" s="122"/>
      <c r="EW84" s="122"/>
      <c r="EX84" s="122"/>
      <c r="EY84" s="122"/>
      <c r="EZ84" s="122"/>
      <c r="FA84" s="122"/>
      <c r="FB84" s="122"/>
      <c r="FC84" s="122"/>
      <c r="FD84" s="122"/>
      <c r="FE84" s="122"/>
      <c r="FF84" s="122"/>
      <c r="FG84" s="122"/>
      <c r="FH84" s="122"/>
      <c r="FI84" s="122"/>
      <c r="FJ84" s="122"/>
      <c r="FK84" s="122"/>
      <c r="FL84" s="122"/>
      <c r="FM84" s="122"/>
      <c r="FN84" s="122"/>
      <c r="FO84" s="122"/>
      <c r="FP84" s="122"/>
      <c r="FQ84" s="122"/>
      <c r="FR84" s="122"/>
      <c r="FS84" s="122"/>
      <c r="FT84" s="122"/>
      <c r="FU84" s="122"/>
      <c r="FV84" s="122"/>
      <c r="FW84" s="122"/>
      <c r="FX84" s="122"/>
      <c r="FY84" s="122"/>
      <c r="FZ84" s="122"/>
      <c r="GA84" s="122"/>
      <c r="GB84" s="122"/>
      <c r="GC84" s="122"/>
      <c r="GD84" s="122"/>
      <c r="GE84" s="122"/>
      <c r="GF84" s="122"/>
      <c r="GG84" s="122"/>
      <c r="GH84" s="122"/>
      <c r="GI84" s="122"/>
      <c r="GJ84" s="122"/>
      <c r="GK84" s="122"/>
      <c r="GL84" s="122"/>
      <c r="GM84" s="122"/>
      <c r="GN84" s="122"/>
      <c r="GO84" s="122"/>
      <c r="GP84" s="122"/>
      <c r="GQ84" s="122"/>
      <c r="GR84" s="122"/>
      <c r="GS84" s="122"/>
      <c r="GT84" s="122"/>
      <c r="GU84" s="122"/>
      <c r="GV84" s="122"/>
      <c r="GW84" s="122"/>
      <c r="GX84" s="122"/>
      <c r="GY84" s="122"/>
      <c r="GZ84" s="122"/>
      <c r="HA84" s="122"/>
      <c r="HB84" s="122"/>
      <c r="HC84" s="122"/>
      <c r="HD84" s="122"/>
      <c r="HE84" s="122"/>
      <c r="HF84" s="122"/>
      <c r="HG84" s="122"/>
      <c r="HH84" s="122"/>
      <c r="HI84" s="122"/>
      <c r="HJ84" s="122"/>
      <c r="HK84" s="122"/>
      <c r="HL84" s="122"/>
      <c r="HM84" s="122"/>
      <c r="HN84" s="122"/>
      <c r="HO84" s="122"/>
      <c r="HP84" s="122"/>
      <c r="HQ84" s="122"/>
      <c r="HR84" s="122"/>
      <c r="HS84" s="122"/>
      <c r="HT84" s="122"/>
      <c r="HU84" s="122"/>
      <c r="HV84" s="122"/>
      <c r="HW84" s="122"/>
      <c r="HX84" s="122"/>
      <c r="HY84" s="122"/>
      <c r="HZ84" s="122"/>
      <c r="IA84" s="122"/>
      <c r="IB84" s="122"/>
      <c r="IC84" s="122"/>
      <c r="ID84" s="122"/>
      <c r="IE84" s="122"/>
      <c r="IF84" s="122"/>
      <c r="IG84" s="122"/>
      <c r="IH84" s="122"/>
      <c r="II84" s="122"/>
      <c r="IJ84" s="122"/>
      <c r="IK84" s="122"/>
      <c r="IL84" s="122"/>
      <c r="IM84" s="122"/>
      <c r="IN84" s="122"/>
      <c r="IO84" s="122"/>
      <c r="IP84" s="122"/>
      <c r="IQ84" s="122"/>
      <c r="IR84" s="122"/>
      <c r="IS84" s="122"/>
      <c r="IT84" s="122"/>
      <c r="IU84" s="122"/>
      <c r="IV84" s="122"/>
      <c r="IW84" s="122"/>
      <c r="IX84" s="122"/>
      <c r="IY84" s="122"/>
      <c r="IZ84" s="122"/>
      <c r="JA84" s="122"/>
      <c r="JB84" s="122"/>
      <c r="JC84" s="122"/>
      <c r="JD84" s="122"/>
      <c r="JE84" s="122"/>
      <c r="JF84" s="122"/>
      <c r="JG84" s="122"/>
      <c r="JH84" s="122"/>
      <c r="JI84" s="119">
        <f t="shared" si="7"/>
        <v>0</v>
      </c>
      <c r="JJ84" s="1"/>
      <c r="JK84" s="2"/>
      <c r="JL84" s="1"/>
      <c r="JM84" s="1"/>
      <c r="JN84" s="1"/>
      <c r="JO84" s="1"/>
      <c r="JP84" s="1"/>
    </row>
    <row r="85" spans="1:276" x14ac:dyDescent="0.25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  <c r="AR85" s="122"/>
      <c r="AS85" s="122"/>
      <c r="AT85" s="122"/>
      <c r="AU85" s="122"/>
      <c r="AV85" s="122"/>
      <c r="AW85" s="122"/>
      <c r="AX85" s="122"/>
      <c r="AY85" s="122"/>
      <c r="AZ85" s="122"/>
      <c r="BA85" s="122"/>
      <c r="BB85" s="122"/>
      <c r="BC85" s="122"/>
      <c r="BD85" s="122"/>
      <c r="BE85" s="122"/>
      <c r="BF85" s="122"/>
      <c r="BG85" s="122"/>
      <c r="BH85" s="122"/>
      <c r="BI85" s="122"/>
      <c r="BJ85" s="122"/>
      <c r="BK85" s="122"/>
      <c r="BL85" s="122"/>
      <c r="BM85" s="122"/>
      <c r="BN85" s="122"/>
      <c r="BO85" s="122"/>
      <c r="BP85" s="122"/>
      <c r="BQ85" s="122"/>
      <c r="BR85" s="122"/>
      <c r="BS85" s="122"/>
      <c r="BT85" s="122"/>
      <c r="BU85" s="122"/>
      <c r="BV85" s="122"/>
      <c r="BW85" s="122"/>
      <c r="BX85" s="122"/>
      <c r="BY85" s="122"/>
      <c r="BZ85" s="122"/>
      <c r="CA85" s="122"/>
      <c r="CB85" s="122"/>
      <c r="CC85" s="122"/>
      <c r="CD85" s="122"/>
      <c r="CE85" s="122"/>
      <c r="CF85" s="122"/>
      <c r="CG85" s="122"/>
      <c r="CH85" s="122"/>
      <c r="CI85" s="122"/>
      <c r="CJ85" s="122"/>
      <c r="CK85" s="122"/>
      <c r="CL85" s="122"/>
      <c r="CM85" s="122"/>
      <c r="CN85" s="122"/>
      <c r="CO85" s="122"/>
      <c r="CP85" s="122"/>
      <c r="CQ85" s="122"/>
      <c r="CR85" s="122"/>
      <c r="CS85" s="122"/>
      <c r="CT85" s="122"/>
      <c r="CU85" s="122"/>
      <c r="CV85" s="122"/>
      <c r="CW85" s="122"/>
      <c r="CX85" s="122"/>
      <c r="CY85" s="122"/>
      <c r="CZ85" s="122"/>
      <c r="DA85" s="122"/>
      <c r="DB85" s="122"/>
      <c r="DC85" s="122"/>
      <c r="DD85" s="122"/>
      <c r="DE85" s="122"/>
      <c r="DF85" s="122"/>
      <c r="DG85" s="122"/>
      <c r="DH85" s="122"/>
      <c r="DI85" s="122"/>
      <c r="DJ85" s="122"/>
      <c r="DK85" s="122"/>
      <c r="DL85" s="122"/>
      <c r="DM85" s="122"/>
      <c r="DN85" s="122"/>
      <c r="DO85" s="122"/>
      <c r="DP85" s="122"/>
      <c r="DQ85" s="122"/>
      <c r="DR85" s="122"/>
      <c r="DS85" s="122"/>
      <c r="DT85" s="122"/>
      <c r="DU85" s="122"/>
      <c r="DV85" s="122"/>
      <c r="DW85" s="122"/>
      <c r="DX85" s="122"/>
      <c r="DY85" s="122"/>
      <c r="DZ85" s="122"/>
      <c r="EA85" s="122"/>
      <c r="EB85" s="122"/>
      <c r="EC85" s="122"/>
      <c r="ED85" s="122"/>
      <c r="EE85" s="122"/>
      <c r="EF85" s="122"/>
      <c r="EG85" s="122"/>
      <c r="EH85" s="122"/>
      <c r="EI85" s="122"/>
      <c r="EJ85" s="122"/>
      <c r="EK85" s="122"/>
      <c r="EL85" s="122"/>
      <c r="EM85" s="122"/>
      <c r="EN85" s="122"/>
      <c r="EO85" s="122"/>
      <c r="EP85" s="122"/>
      <c r="EQ85" s="122"/>
      <c r="ER85" s="122"/>
      <c r="ES85" s="122"/>
      <c r="ET85" s="122"/>
      <c r="EU85" s="122"/>
      <c r="EV85" s="122"/>
      <c r="EW85" s="122"/>
      <c r="EX85" s="122"/>
      <c r="EY85" s="122"/>
      <c r="EZ85" s="122"/>
      <c r="FA85" s="122"/>
      <c r="FB85" s="122"/>
      <c r="FC85" s="122"/>
      <c r="FD85" s="122"/>
      <c r="FE85" s="122"/>
      <c r="FF85" s="122"/>
      <c r="FG85" s="122"/>
      <c r="FH85" s="122"/>
      <c r="FI85" s="122"/>
      <c r="FJ85" s="122"/>
      <c r="FK85" s="122"/>
      <c r="FL85" s="122"/>
      <c r="FM85" s="122"/>
      <c r="FN85" s="122"/>
      <c r="FO85" s="122"/>
      <c r="FP85" s="122"/>
      <c r="FQ85" s="122"/>
      <c r="FR85" s="122"/>
      <c r="FS85" s="122"/>
      <c r="FT85" s="122"/>
      <c r="FU85" s="122"/>
      <c r="FV85" s="122"/>
      <c r="FW85" s="122"/>
      <c r="FX85" s="122"/>
      <c r="FY85" s="122"/>
      <c r="FZ85" s="122"/>
      <c r="GA85" s="122"/>
      <c r="GB85" s="122"/>
      <c r="GC85" s="122"/>
      <c r="GD85" s="122"/>
      <c r="GE85" s="122"/>
      <c r="GF85" s="122"/>
      <c r="GG85" s="122"/>
      <c r="GH85" s="122"/>
      <c r="GI85" s="122"/>
      <c r="GJ85" s="122"/>
      <c r="GK85" s="122"/>
      <c r="GL85" s="122"/>
      <c r="GM85" s="122"/>
      <c r="GN85" s="122"/>
      <c r="GO85" s="122"/>
      <c r="GP85" s="122"/>
      <c r="GQ85" s="122"/>
      <c r="GR85" s="122"/>
      <c r="GS85" s="122"/>
      <c r="GT85" s="122"/>
      <c r="GU85" s="122"/>
      <c r="GV85" s="122"/>
      <c r="GW85" s="122"/>
      <c r="GX85" s="122"/>
      <c r="GY85" s="122"/>
      <c r="GZ85" s="122"/>
      <c r="HA85" s="122"/>
      <c r="HB85" s="122"/>
      <c r="HC85" s="122"/>
      <c r="HD85" s="122"/>
      <c r="HE85" s="122"/>
      <c r="HF85" s="122"/>
      <c r="HG85" s="122"/>
      <c r="HH85" s="122"/>
      <c r="HI85" s="122"/>
      <c r="HJ85" s="122"/>
      <c r="HK85" s="122"/>
      <c r="HL85" s="122"/>
      <c r="HM85" s="122"/>
      <c r="HN85" s="122"/>
      <c r="HO85" s="122"/>
      <c r="HP85" s="122"/>
      <c r="HQ85" s="122"/>
      <c r="HR85" s="122"/>
      <c r="HS85" s="122"/>
      <c r="HT85" s="122"/>
      <c r="HU85" s="122"/>
      <c r="HV85" s="122"/>
      <c r="HW85" s="122"/>
      <c r="HX85" s="122"/>
      <c r="HY85" s="122"/>
      <c r="HZ85" s="122"/>
      <c r="IA85" s="122"/>
      <c r="IB85" s="122"/>
      <c r="IC85" s="122"/>
      <c r="ID85" s="122"/>
      <c r="IE85" s="122"/>
      <c r="IF85" s="122"/>
      <c r="IG85" s="122"/>
      <c r="IH85" s="122"/>
      <c r="II85" s="122"/>
      <c r="IJ85" s="122"/>
      <c r="IK85" s="122"/>
      <c r="IL85" s="122"/>
      <c r="IM85" s="122"/>
      <c r="IN85" s="122"/>
      <c r="IO85" s="122"/>
      <c r="IP85" s="122"/>
      <c r="IQ85" s="122"/>
      <c r="IR85" s="122"/>
      <c r="IS85" s="122"/>
      <c r="IT85" s="122"/>
      <c r="IU85" s="122"/>
      <c r="IV85" s="122"/>
      <c r="IW85" s="122"/>
      <c r="IX85" s="122"/>
      <c r="IY85" s="122"/>
      <c r="IZ85" s="122"/>
      <c r="JA85" s="122"/>
      <c r="JB85" s="122"/>
      <c r="JC85" s="122"/>
      <c r="JD85" s="122"/>
      <c r="JE85" s="122"/>
      <c r="JF85" s="122"/>
      <c r="JG85" s="122"/>
      <c r="JH85" s="122"/>
      <c r="JI85" s="119">
        <f t="shared" si="7"/>
        <v>0</v>
      </c>
      <c r="JJ85" s="1"/>
      <c r="JK85" s="2"/>
      <c r="JL85" s="1"/>
      <c r="JM85" s="1"/>
      <c r="JN85" s="1"/>
      <c r="JO85" s="1"/>
      <c r="JP85" s="1"/>
    </row>
    <row r="86" spans="1:276" x14ac:dyDescent="0.25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  <c r="AO86" s="122"/>
      <c r="AP86" s="122"/>
      <c r="AQ86" s="122"/>
      <c r="AR86" s="122"/>
      <c r="AS86" s="122"/>
      <c r="AT86" s="122"/>
      <c r="AU86" s="122"/>
      <c r="AV86" s="122"/>
      <c r="AW86" s="122"/>
      <c r="AX86" s="122"/>
      <c r="AY86" s="122"/>
      <c r="AZ86" s="122"/>
      <c r="BA86" s="122"/>
      <c r="BB86" s="122"/>
      <c r="BC86" s="122"/>
      <c r="BD86" s="122"/>
      <c r="BE86" s="122"/>
      <c r="BF86" s="122"/>
      <c r="BG86" s="122"/>
      <c r="BH86" s="122"/>
      <c r="BI86" s="122"/>
      <c r="BJ86" s="122"/>
      <c r="BK86" s="122"/>
      <c r="BL86" s="122"/>
      <c r="BM86" s="122"/>
      <c r="BN86" s="122"/>
      <c r="BO86" s="122"/>
      <c r="BP86" s="122"/>
      <c r="BQ86" s="122"/>
      <c r="BR86" s="122"/>
      <c r="BS86" s="122"/>
      <c r="BT86" s="122"/>
      <c r="BU86" s="122"/>
      <c r="BV86" s="122"/>
      <c r="BW86" s="122"/>
      <c r="BX86" s="122"/>
      <c r="BY86" s="122"/>
      <c r="BZ86" s="122"/>
      <c r="CA86" s="122"/>
      <c r="CB86" s="122"/>
      <c r="CC86" s="122"/>
      <c r="CD86" s="122"/>
      <c r="CE86" s="122"/>
      <c r="CF86" s="122"/>
      <c r="CG86" s="122"/>
      <c r="CH86" s="122"/>
      <c r="CI86" s="122"/>
      <c r="CJ86" s="122"/>
      <c r="CK86" s="122"/>
      <c r="CL86" s="122"/>
      <c r="CM86" s="122"/>
      <c r="CN86" s="122"/>
      <c r="CO86" s="122"/>
      <c r="CP86" s="122"/>
      <c r="CQ86" s="122"/>
      <c r="CR86" s="122"/>
      <c r="CS86" s="122"/>
      <c r="CT86" s="122"/>
      <c r="CU86" s="122"/>
      <c r="CV86" s="122"/>
      <c r="CW86" s="122"/>
      <c r="CX86" s="122"/>
      <c r="CY86" s="122"/>
      <c r="CZ86" s="122"/>
      <c r="DA86" s="122"/>
      <c r="DB86" s="122"/>
      <c r="DC86" s="122"/>
      <c r="DD86" s="122"/>
      <c r="DE86" s="122"/>
      <c r="DF86" s="122"/>
      <c r="DG86" s="122"/>
      <c r="DH86" s="122"/>
      <c r="DI86" s="122"/>
      <c r="DJ86" s="122"/>
      <c r="DK86" s="122"/>
      <c r="DL86" s="122"/>
      <c r="DM86" s="122"/>
      <c r="DN86" s="122"/>
      <c r="DO86" s="122"/>
      <c r="DP86" s="122"/>
      <c r="DQ86" s="122"/>
      <c r="DR86" s="122"/>
      <c r="DS86" s="122"/>
      <c r="DT86" s="122"/>
      <c r="DU86" s="122"/>
      <c r="DV86" s="122"/>
      <c r="DW86" s="122"/>
      <c r="DX86" s="122"/>
      <c r="DY86" s="122"/>
      <c r="DZ86" s="122"/>
      <c r="EA86" s="122"/>
      <c r="EB86" s="122"/>
      <c r="EC86" s="122"/>
      <c r="ED86" s="122"/>
      <c r="EE86" s="122"/>
      <c r="EF86" s="122"/>
      <c r="EG86" s="122"/>
      <c r="EH86" s="122"/>
      <c r="EI86" s="122"/>
      <c r="EJ86" s="122"/>
      <c r="EK86" s="122"/>
      <c r="EL86" s="122"/>
      <c r="EM86" s="122"/>
      <c r="EN86" s="122"/>
      <c r="EO86" s="122"/>
      <c r="EP86" s="122"/>
      <c r="EQ86" s="122"/>
      <c r="ER86" s="122"/>
      <c r="ES86" s="122"/>
      <c r="ET86" s="122"/>
      <c r="EU86" s="122"/>
      <c r="EV86" s="122"/>
      <c r="EW86" s="122"/>
      <c r="EX86" s="122"/>
      <c r="EY86" s="122"/>
      <c r="EZ86" s="122"/>
      <c r="FA86" s="122"/>
      <c r="FB86" s="122"/>
      <c r="FC86" s="122"/>
      <c r="FD86" s="122"/>
      <c r="FE86" s="122"/>
      <c r="FF86" s="122"/>
      <c r="FG86" s="122"/>
      <c r="FH86" s="122"/>
      <c r="FI86" s="122"/>
      <c r="FJ86" s="122"/>
      <c r="FK86" s="122"/>
      <c r="FL86" s="122"/>
      <c r="FM86" s="122"/>
      <c r="FN86" s="122"/>
      <c r="FO86" s="122"/>
      <c r="FP86" s="122"/>
      <c r="FQ86" s="122"/>
      <c r="FR86" s="122"/>
      <c r="FS86" s="122"/>
      <c r="FT86" s="122"/>
      <c r="FU86" s="122"/>
      <c r="FV86" s="122"/>
      <c r="FW86" s="122"/>
      <c r="FX86" s="122"/>
      <c r="FY86" s="122"/>
      <c r="FZ86" s="122"/>
      <c r="GA86" s="122"/>
      <c r="GB86" s="122"/>
      <c r="GC86" s="122"/>
      <c r="GD86" s="122"/>
      <c r="GE86" s="122"/>
      <c r="GF86" s="122"/>
      <c r="GG86" s="122"/>
      <c r="GH86" s="122"/>
      <c r="GI86" s="122"/>
      <c r="GJ86" s="122"/>
      <c r="GK86" s="122"/>
      <c r="GL86" s="122"/>
      <c r="GM86" s="122"/>
      <c r="GN86" s="122"/>
      <c r="GO86" s="122"/>
      <c r="GP86" s="122"/>
      <c r="GQ86" s="122"/>
      <c r="GR86" s="122"/>
      <c r="GS86" s="122"/>
      <c r="GT86" s="122"/>
      <c r="GU86" s="122"/>
      <c r="GV86" s="122"/>
      <c r="GW86" s="122"/>
      <c r="GX86" s="122"/>
      <c r="GY86" s="122"/>
      <c r="GZ86" s="122"/>
      <c r="HA86" s="122"/>
      <c r="HB86" s="122"/>
      <c r="HC86" s="122"/>
      <c r="HD86" s="122"/>
      <c r="HE86" s="122"/>
      <c r="HF86" s="122"/>
      <c r="HG86" s="122"/>
      <c r="HH86" s="122"/>
      <c r="HI86" s="122"/>
      <c r="HJ86" s="122"/>
      <c r="HK86" s="122"/>
      <c r="HL86" s="122"/>
      <c r="HM86" s="122"/>
      <c r="HN86" s="122"/>
      <c r="HO86" s="122"/>
      <c r="HP86" s="122"/>
      <c r="HQ86" s="122"/>
      <c r="HR86" s="122"/>
      <c r="HS86" s="122"/>
      <c r="HT86" s="122"/>
      <c r="HU86" s="122"/>
      <c r="HV86" s="122"/>
      <c r="HW86" s="122"/>
      <c r="HX86" s="122"/>
      <c r="HY86" s="122"/>
      <c r="HZ86" s="122"/>
      <c r="IA86" s="122"/>
      <c r="IB86" s="122"/>
      <c r="IC86" s="122"/>
      <c r="ID86" s="122"/>
      <c r="IE86" s="122"/>
      <c r="IF86" s="122"/>
      <c r="IG86" s="122"/>
      <c r="IH86" s="122"/>
      <c r="II86" s="122"/>
      <c r="IJ86" s="122"/>
      <c r="IK86" s="122"/>
      <c r="IL86" s="122"/>
      <c r="IM86" s="122"/>
      <c r="IN86" s="122"/>
      <c r="IO86" s="122"/>
      <c r="IP86" s="122"/>
      <c r="IQ86" s="122"/>
      <c r="IR86" s="122"/>
      <c r="IS86" s="122"/>
      <c r="IT86" s="122"/>
      <c r="IU86" s="122"/>
      <c r="IV86" s="122"/>
      <c r="IW86" s="122"/>
      <c r="IX86" s="122"/>
      <c r="IY86" s="122"/>
      <c r="IZ86" s="122"/>
      <c r="JA86" s="122"/>
      <c r="JB86" s="122"/>
      <c r="JC86" s="122"/>
      <c r="JD86" s="122"/>
      <c r="JE86" s="122"/>
      <c r="JF86" s="122"/>
      <c r="JG86" s="122"/>
      <c r="JH86" s="122"/>
      <c r="JI86" s="119">
        <f t="shared" si="7"/>
        <v>0</v>
      </c>
      <c r="JJ86" s="1"/>
      <c r="JK86" s="2"/>
      <c r="JL86" s="1"/>
      <c r="JM86" s="1"/>
      <c r="JN86" s="1"/>
      <c r="JO86" s="1"/>
      <c r="JP86" s="1"/>
    </row>
    <row r="87" spans="1:276" x14ac:dyDescent="0.25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122"/>
      <c r="AS87" s="122"/>
      <c r="AT87" s="122"/>
      <c r="AU87" s="122"/>
      <c r="AV87" s="122"/>
      <c r="AW87" s="122"/>
      <c r="AX87" s="122"/>
      <c r="AY87" s="122"/>
      <c r="AZ87" s="122"/>
      <c r="BA87" s="122"/>
      <c r="BB87" s="122"/>
      <c r="BC87" s="122"/>
      <c r="BD87" s="122"/>
      <c r="BE87" s="122"/>
      <c r="BF87" s="122"/>
      <c r="BG87" s="122"/>
      <c r="BH87" s="122"/>
      <c r="BI87" s="122"/>
      <c r="BJ87" s="122"/>
      <c r="BK87" s="122"/>
      <c r="BL87" s="122"/>
      <c r="BM87" s="122"/>
      <c r="BN87" s="122"/>
      <c r="BO87" s="122"/>
      <c r="BP87" s="122"/>
      <c r="BQ87" s="122"/>
      <c r="BR87" s="122"/>
      <c r="BS87" s="122"/>
      <c r="BT87" s="122"/>
      <c r="BU87" s="122"/>
      <c r="BV87" s="122"/>
      <c r="BW87" s="122"/>
      <c r="BX87" s="122"/>
      <c r="BY87" s="122"/>
      <c r="BZ87" s="122"/>
      <c r="CA87" s="122"/>
      <c r="CB87" s="122"/>
      <c r="CC87" s="122"/>
      <c r="CD87" s="122"/>
      <c r="CE87" s="122"/>
      <c r="CF87" s="122"/>
      <c r="CG87" s="122"/>
      <c r="CH87" s="122"/>
      <c r="CI87" s="122"/>
      <c r="CJ87" s="122"/>
      <c r="CK87" s="122"/>
      <c r="CL87" s="122"/>
      <c r="CM87" s="122"/>
      <c r="CN87" s="122"/>
      <c r="CO87" s="122"/>
      <c r="CP87" s="122"/>
      <c r="CQ87" s="122"/>
      <c r="CR87" s="122"/>
      <c r="CS87" s="122"/>
      <c r="CT87" s="122"/>
      <c r="CU87" s="122"/>
      <c r="CV87" s="122"/>
      <c r="CW87" s="122"/>
      <c r="CX87" s="122"/>
      <c r="CY87" s="122"/>
      <c r="CZ87" s="122"/>
      <c r="DA87" s="122"/>
      <c r="DB87" s="122"/>
      <c r="DC87" s="122"/>
      <c r="DD87" s="122"/>
      <c r="DE87" s="122"/>
      <c r="DF87" s="122"/>
      <c r="DG87" s="122"/>
      <c r="DH87" s="122"/>
      <c r="DI87" s="122"/>
      <c r="DJ87" s="122"/>
      <c r="DK87" s="122"/>
      <c r="DL87" s="122"/>
      <c r="DM87" s="122"/>
      <c r="DN87" s="122"/>
      <c r="DO87" s="122"/>
      <c r="DP87" s="122"/>
      <c r="DQ87" s="122"/>
      <c r="DR87" s="122"/>
      <c r="DS87" s="122"/>
      <c r="DT87" s="122"/>
      <c r="DU87" s="122"/>
      <c r="DV87" s="122"/>
      <c r="DW87" s="122"/>
      <c r="DX87" s="122"/>
      <c r="DY87" s="122"/>
      <c r="DZ87" s="122"/>
      <c r="EA87" s="122"/>
      <c r="EB87" s="122"/>
      <c r="EC87" s="122"/>
      <c r="ED87" s="122"/>
      <c r="EE87" s="122"/>
      <c r="EF87" s="122"/>
      <c r="EG87" s="122"/>
      <c r="EH87" s="122"/>
      <c r="EI87" s="122"/>
      <c r="EJ87" s="122"/>
      <c r="EK87" s="122"/>
      <c r="EL87" s="122"/>
      <c r="EM87" s="122"/>
      <c r="EN87" s="122"/>
      <c r="EO87" s="122"/>
      <c r="EP87" s="122"/>
      <c r="EQ87" s="122"/>
      <c r="ER87" s="122"/>
      <c r="ES87" s="122"/>
      <c r="ET87" s="122"/>
      <c r="EU87" s="122"/>
      <c r="EV87" s="122"/>
      <c r="EW87" s="122"/>
      <c r="EX87" s="122"/>
      <c r="EY87" s="122"/>
      <c r="EZ87" s="122"/>
      <c r="FA87" s="122"/>
      <c r="FB87" s="122"/>
      <c r="FC87" s="122"/>
      <c r="FD87" s="122"/>
      <c r="FE87" s="122"/>
      <c r="FF87" s="122"/>
      <c r="FG87" s="122"/>
      <c r="FH87" s="122"/>
      <c r="FI87" s="122"/>
      <c r="FJ87" s="122"/>
      <c r="FK87" s="122"/>
      <c r="FL87" s="122"/>
      <c r="FM87" s="122"/>
      <c r="FN87" s="122"/>
      <c r="FO87" s="122"/>
      <c r="FP87" s="122"/>
      <c r="FQ87" s="122"/>
      <c r="FR87" s="122"/>
      <c r="FS87" s="122"/>
      <c r="FT87" s="122"/>
      <c r="FU87" s="122"/>
      <c r="FV87" s="122"/>
      <c r="FW87" s="122"/>
      <c r="FX87" s="122"/>
      <c r="FY87" s="122"/>
      <c r="FZ87" s="122"/>
      <c r="GA87" s="122"/>
      <c r="GB87" s="122"/>
      <c r="GC87" s="122"/>
      <c r="GD87" s="122"/>
      <c r="GE87" s="122"/>
      <c r="GF87" s="122"/>
      <c r="GG87" s="122"/>
      <c r="GH87" s="122"/>
      <c r="GI87" s="122"/>
      <c r="GJ87" s="122"/>
      <c r="GK87" s="122"/>
      <c r="GL87" s="122"/>
      <c r="GM87" s="122"/>
      <c r="GN87" s="122"/>
      <c r="GO87" s="122"/>
      <c r="GP87" s="122"/>
      <c r="GQ87" s="122"/>
      <c r="GR87" s="122"/>
      <c r="GS87" s="122"/>
      <c r="GT87" s="122"/>
      <c r="GU87" s="122"/>
      <c r="GV87" s="122"/>
      <c r="GW87" s="122"/>
      <c r="GX87" s="122"/>
      <c r="GY87" s="122"/>
      <c r="GZ87" s="122"/>
      <c r="HA87" s="122"/>
      <c r="HB87" s="122"/>
      <c r="HC87" s="122"/>
      <c r="HD87" s="122"/>
      <c r="HE87" s="122"/>
      <c r="HF87" s="122"/>
      <c r="HG87" s="122"/>
      <c r="HH87" s="122"/>
      <c r="HI87" s="122"/>
      <c r="HJ87" s="122"/>
      <c r="HK87" s="122"/>
      <c r="HL87" s="122"/>
      <c r="HM87" s="122"/>
      <c r="HN87" s="122"/>
      <c r="HO87" s="122"/>
      <c r="HP87" s="122"/>
      <c r="HQ87" s="122"/>
      <c r="HR87" s="122"/>
      <c r="HS87" s="122"/>
      <c r="HT87" s="122"/>
      <c r="HU87" s="122"/>
      <c r="HV87" s="122"/>
      <c r="HW87" s="122"/>
      <c r="HX87" s="122"/>
      <c r="HY87" s="122"/>
      <c r="HZ87" s="122"/>
      <c r="IA87" s="122"/>
      <c r="IB87" s="122"/>
      <c r="IC87" s="122"/>
      <c r="ID87" s="122"/>
      <c r="IE87" s="122"/>
      <c r="IF87" s="122"/>
      <c r="IG87" s="122"/>
      <c r="IH87" s="122"/>
      <c r="II87" s="122"/>
      <c r="IJ87" s="122"/>
      <c r="IK87" s="122"/>
      <c r="IL87" s="122"/>
      <c r="IM87" s="122"/>
      <c r="IN87" s="122"/>
      <c r="IO87" s="122"/>
      <c r="IP87" s="122"/>
      <c r="IQ87" s="122"/>
      <c r="IR87" s="122"/>
      <c r="IS87" s="122"/>
      <c r="IT87" s="122"/>
      <c r="IU87" s="122"/>
      <c r="IV87" s="122"/>
      <c r="IW87" s="122"/>
      <c r="IX87" s="122"/>
      <c r="IY87" s="122"/>
      <c r="IZ87" s="122"/>
      <c r="JA87" s="122"/>
      <c r="JB87" s="122"/>
      <c r="JC87" s="122"/>
      <c r="JD87" s="122"/>
      <c r="JE87" s="122"/>
      <c r="JF87" s="122"/>
      <c r="JG87" s="122"/>
      <c r="JH87" s="122"/>
      <c r="JI87" s="119">
        <f t="shared" si="7"/>
        <v>0</v>
      </c>
      <c r="JJ87" s="1"/>
      <c r="JK87" s="2"/>
      <c r="JL87" s="1"/>
      <c r="JM87" s="1"/>
      <c r="JN87" s="1"/>
      <c r="JO87" s="1"/>
      <c r="JP87" s="1"/>
    </row>
    <row r="88" spans="1:276" x14ac:dyDescent="0.25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122"/>
      <c r="AP88" s="122"/>
      <c r="AQ88" s="122"/>
      <c r="AR88" s="122"/>
      <c r="AS88" s="122"/>
      <c r="AT88" s="122"/>
      <c r="AU88" s="122"/>
      <c r="AV88" s="122"/>
      <c r="AW88" s="122"/>
      <c r="AX88" s="122"/>
      <c r="AY88" s="122"/>
      <c r="AZ88" s="122"/>
      <c r="BA88" s="122"/>
      <c r="BB88" s="122"/>
      <c r="BC88" s="122"/>
      <c r="BD88" s="122"/>
      <c r="BE88" s="122"/>
      <c r="BF88" s="122"/>
      <c r="BG88" s="122"/>
      <c r="BH88" s="122"/>
      <c r="BI88" s="122"/>
      <c r="BJ88" s="122"/>
      <c r="BK88" s="122"/>
      <c r="BL88" s="122"/>
      <c r="BM88" s="122"/>
      <c r="BN88" s="122"/>
      <c r="BO88" s="122"/>
      <c r="BP88" s="122"/>
      <c r="BQ88" s="122"/>
      <c r="BR88" s="122"/>
      <c r="BS88" s="122"/>
      <c r="BT88" s="122"/>
      <c r="BU88" s="122"/>
      <c r="BV88" s="122"/>
      <c r="BW88" s="122"/>
      <c r="BX88" s="122"/>
      <c r="BY88" s="122"/>
      <c r="BZ88" s="122"/>
      <c r="CA88" s="122"/>
      <c r="CB88" s="122"/>
      <c r="CC88" s="122"/>
      <c r="CD88" s="122"/>
      <c r="CE88" s="122"/>
      <c r="CF88" s="122"/>
      <c r="CG88" s="122"/>
      <c r="CH88" s="122"/>
      <c r="CI88" s="122"/>
      <c r="CJ88" s="122"/>
      <c r="CK88" s="122"/>
      <c r="CL88" s="122"/>
      <c r="CM88" s="122"/>
      <c r="CN88" s="122"/>
      <c r="CO88" s="122"/>
      <c r="CP88" s="122"/>
      <c r="CQ88" s="122"/>
      <c r="CR88" s="122"/>
      <c r="CS88" s="122"/>
      <c r="CT88" s="122"/>
      <c r="CU88" s="122"/>
      <c r="CV88" s="122"/>
      <c r="CW88" s="122"/>
      <c r="CX88" s="122"/>
      <c r="CY88" s="122"/>
      <c r="CZ88" s="122"/>
      <c r="DA88" s="122"/>
      <c r="DB88" s="122"/>
      <c r="DC88" s="122"/>
      <c r="DD88" s="122"/>
      <c r="DE88" s="122"/>
      <c r="DF88" s="122"/>
      <c r="DG88" s="122"/>
      <c r="DH88" s="122"/>
      <c r="DI88" s="122"/>
      <c r="DJ88" s="122"/>
      <c r="DK88" s="122"/>
      <c r="DL88" s="122"/>
      <c r="DM88" s="122"/>
      <c r="DN88" s="122"/>
      <c r="DO88" s="122"/>
      <c r="DP88" s="122"/>
      <c r="DQ88" s="122"/>
      <c r="DR88" s="122"/>
      <c r="DS88" s="122"/>
      <c r="DT88" s="122"/>
      <c r="DU88" s="122"/>
      <c r="DV88" s="122"/>
      <c r="DW88" s="122"/>
      <c r="DX88" s="122"/>
      <c r="DY88" s="122"/>
      <c r="DZ88" s="122"/>
      <c r="EA88" s="122"/>
      <c r="EB88" s="122"/>
      <c r="EC88" s="122"/>
      <c r="ED88" s="122"/>
      <c r="EE88" s="122"/>
      <c r="EF88" s="122"/>
      <c r="EG88" s="122"/>
      <c r="EH88" s="122"/>
      <c r="EI88" s="122"/>
      <c r="EJ88" s="122"/>
      <c r="EK88" s="122"/>
      <c r="EL88" s="122"/>
      <c r="EM88" s="122"/>
      <c r="EN88" s="122"/>
      <c r="EO88" s="122"/>
      <c r="EP88" s="122"/>
      <c r="EQ88" s="122"/>
      <c r="ER88" s="122"/>
      <c r="ES88" s="122"/>
      <c r="ET88" s="122"/>
      <c r="EU88" s="122"/>
      <c r="EV88" s="122"/>
      <c r="EW88" s="122"/>
      <c r="EX88" s="122"/>
      <c r="EY88" s="122"/>
      <c r="EZ88" s="122"/>
      <c r="FA88" s="122"/>
      <c r="FB88" s="122"/>
      <c r="FC88" s="122"/>
      <c r="FD88" s="122"/>
      <c r="FE88" s="122"/>
      <c r="FF88" s="122"/>
      <c r="FG88" s="122"/>
      <c r="FH88" s="122"/>
      <c r="FI88" s="122"/>
      <c r="FJ88" s="122"/>
      <c r="FK88" s="122"/>
      <c r="FL88" s="122"/>
      <c r="FM88" s="122"/>
      <c r="FN88" s="122"/>
      <c r="FO88" s="122"/>
      <c r="FP88" s="122"/>
      <c r="FQ88" s="122"/>
      <c r="FR88" s="122"/>
      <c r="FS88" s="122"/>
      <c r="FT88" s="122"/>
      <c r="FU88" s="122"/>
      <c r="FV88" s="122"/>
      <c r="FW88" s="122"/>
      <c r="FX88" s="122"/>
      <c r="FY88" s="122"/>
      <c r="FZ88" s="122"/>
      <c r="GA88" s="122"/>
      <c r="GB88" s="122"/>
      <c r="GC88" s="122"/>
      <c r="GD88" s="122"/>
      <c r="GE88" s="122"/>
      <c r="GF88" s="122"/>
      <c r="GG88" s="122"/>
      <c r="GH88" s="122"/>
      <c r="GI88" s="122"/>
      <c r="GJ88" s="122"/>
      <c r="GK88" s="122"/>
      <c r="GL88" s="122"/>
      <c r="GM88" s="122"/>
      <c r="GN88" s="122"/>
      <c r="GO88" s="122"/>
      <c r="GP88" s="122"/>
      <c r="GQ88" s="122"/>
      <c r="GR88" s="122"/>
      <c r="GS88" s="122"/>
      <c r="GT88" s="122"/>
      <c r="GU88" s="122"/>
      <c r="GV88" s="122"/>
      <c r="GW88" s="122"/>
      <c r="GX88" s="122"/>
      <c r="GY88" s="122"/>
      <c r="GZ88" s="122"/>
      <c r="HA88" s="122"/>
      <c r="HB88" s="122"/>
      <c r="HC88" s="122"/>
      <c r="HD88" s="122"/>
      <c r="HE88" s="122"/>
      <c r="HF88" s="122"/>
      <c r="HG88" s="122"/>
      <c r="HH88" s="122"/>
      <c r="HI88" s="122"/>
      <c r="HJ88" s="122"/>
      <c r="HK88" s="122"/>
      <c r="HL88" s="122"/>
      <c r="HM88" s="122"/>
      <c r="HN88" s="122"/>
      <c r="HO88" s="122"/>
      <c r="HP88" s="122"/>
      <c r="HQ88" s="122"/>
      <c r="HR88" s="122"/>
      <c r="HS88" s="122"/>
      <c r="HT88" s="122"/>
      <c r="HU88" s="122"/>
      <c r="HV88" s="122"/>
      <c r="HW88" s="122"/>
      <c r="HX88" s="122"/>
      <c r="HY88" s="122"/>
      <c r="HZ88" s="122"/>
      <c r="IA88" s="122"/>
      <c r="IB88" s="122"/>
      <c r="IC88" s="122"/>
      <c r="ID88" s="122"/>
      <c r="IE88" s="122"/>
      <c r="IF88" s="122"/>
      <c r="IG88" s="122"/>
      <c r="IH88" s="122"/>
      <c r="II88" s="122"/>
      <c r="IJ88" s="122"/>
      <c r="IK88" s="122"/>
      <c r="IL88" s="122"/>
      <c r="IM88" s="122"/>
      <c r="IN88" s="122"/>
      <c r="IO88" s="122"/>
      <c r="IP88" s="122"/>
      <c r="IQ88" s="122"/>
      <c r="IR88" s="122"/>
      <c r="IS88" s="122"/>
      <c r="IT88" s="122"/>
      <c r="IU88" s="122"/>
      <c r="IV88" s="122"/>
      <c r="IW88" s="122"/>
      <c r="IX88" s="122"/>
      <c r="IY88" s="122"/>
      <c r="IZ88" s="122"/>
      <c r="JA88" s="122"/>
      <c r="JB88" s="122"/>
      <c r="JC88" s="122"/>
      <c r="JD88" s="122"/>
      <c r="JE88" s="122"/>
      <c r="JF88" s="122"/>
      <c r="JG88" s="122"/>
      <c r="JH88" s="122"/>
      <c r="JI88" s="119">
        <f t="shared" si="7"/>
        <v>0</v>
      </c>
      <c r="JJ88" s="1"/>
      <c r="JK88" s="2"/>
      <c r="JL88" s="1"/>
      <c r="JM88" s="1"/>
      <c r="JN88" s="1"/>
      <c r="JO88" s="1"/>
      <c r="JP88" s="1"/>
    </row>
    <row r="89" spans="1:276" x14ac:dyDescent="0.25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  <c r="AQ89" s="122"/>
      <c r="AR89" s="122"/>
      <c r="AS89" s="122"/>
      <c r="AT89" s="122"/>
      <c r="AU89" s="122"/>
      <c r="AV89" s="122"/>
      <c r="AW89" s="122"/>
      <c r="AX89" s="122"/>
      <c r="AY89" s="122"/>
      <c r="AZ89" s="122"/>
      <c r="BA89" s="122"/>
      <c r="BB89" s="122"/>
      <c r="BC89" s="122"/>
      <c r="BD89" s="122"/>
      <c r="BE89" s="122"/>
      <c r="BF89" s="122"/>
      <c r="BG89" s="122"/>
      <c r="BH89" s="122"/>
      <c r="BI89" s="122"/>
      <c r="BJ89" s="122"/>
      <c r="BK89" s="122"/>
      <c r="BL89" s="122"/>
      <c r="BM89" s="122"/>
      <c r="BN89" s="122"/>
      <c r="BO89" s="122"/>
      <c r="BP89" s="122"/>
      <c r="BQ89" s="122"/>
      <c r="BR89" s="122"/>
      <c r="BS89" s="122"/>
      <c r="BT89" s="122"/>
      <c r="BU89" s="122"/>
      <c r="BV89" s="122"/>
      <c r="BW89" s="122"/>
      <c r="BX89" s="122"/>
      <c r="BY89" s="122"/>
      <c r="BZ89" s="122"/>
      <c r="CA89" s="122"/>
      <c r="CB89" s="122"/>
      <c r="CC89" s="122"/>
      <c r="CD89" s="122"/>
      <c r="CE89" s="122"/>
      <c r="CF89" s="122"/>
      <c r="CG89" s="122"/>
      <c r="CH89" s="122"/>
      <c r="CI89" s="122"/>
      <c r="CJ89" s="122"/>
      <c r="CK89" s="122"/>
      <c r="CL89" s="122"/>
      <c r="CM89" s="122"/>
      <c r="CN89" s="122"/>
      <c r="CO89" s="122"/>
      <c r="CP89" s="122"/>
      <c r="CQ89" s="122"/>
      <c r="CR89" s="122"/>
      <c r="CS89" s="122"/>
      <c r="CT89" s="122"/>
      <c r="CU89" s="122"/>
      <c r="CV89" s="122"/>
      <c r="CW89" s="122"/>
      <c r="CX89" s="122"/>
      <c r="CY89" s="122"/>
      <c r="CZ89" s="122"/>
      <c r="DA89" s="122"/>
      <c r="DB89" s="122"/>
      <c r="DC89" s="122"/>
      <c r="DD89" s="122"/>
      <c r="DE89" s="122"/>
      <c r="DF89" s="122"/>
      <c r="DG89" s="122"/>
      <c r="DH89" s="122"/>
      <c r="DI89" s="122"/>
      <c r="DJ89" s="122"/>
      <c r="DK89" s="122"/>
      <c r="DL89" s="122"/>
      <c r="DM89" s="122"/>
      <c r="DN89" s="122"/>
      <c r="DO89" s="122"/>
      <c r="DP89" s="122"/>
      <c r="DQ89" s="122"/>
      <c r="DR89" s="122"/>
      <c r="DS89" s="122"/>
      <c r="DT89" s="122"/>
      <c r="DU89" s="122"/>
      <c r="DV89" s="122"/>
      <c r="DW89" s="122"/>
      <c r="DX89" s="122"/>
      <c r="DY89" s="122"/>
      <c r="DZ89" s="122"/>
      <c r="EA89" s="122"/>
      <c r="EB89" s="122"/>
      <c r="EC89" s="122"/>
      <c r="ED89" s="122"/>
      <c r="EE89" s="122"/>
      <c r="EF89" s="122"/>
      <c r="EG89" s="122"/>
      <c r="EH89" s="122"/>
      <c r="EI89" s="122"/>
      <c r="EJ89" s="122"/>
      <c r="EK89" s="122"/>
      <c r="EL89" s="122"/>
      <c r="EM89" s="122"/>
      <c r="EN89" s="122"/>
      <c r="EO89" s="122"/>
      <c r="EP89" s="122"/>
      <c r="EQ89" s="122"/>
      <c r="ER89" s="122"/>
      <c r="ES89" s="122"/>
      <c r="ET89" s="122"/>
      <c r="EU89" s="122"/>
      <c r="EV89" s="122"/>
      <c r="EW89" s="122"/>
      <c r="EX89" s="122"/>
      <c r="EY89" s="122"/>
      <c r="EZ89" s="122"/>
      <c r="FA89" s="122"/>
      <c r="FB89" s="122"/>
      <c r="FC89" s="122"/>
      <c r="FD89" s="122"/>
      <c r="FE89" s="122"/>
      <c r="FF89" s="122"/>
      <c r="FG89" s="122"/>
      <c r="FH89" s="122"/>
      <c r="FI89" s="122"/>
      <c r="FJ89" s="122"/>
      <c r="FK89" s="122"/>
      <c r="FL89" s="122"/>
      <c r="FM89" s="122"/>
      <c r="FN89" s="122"/>
      <c r="FO89" s="122"/>
      <c r="FP89" s="122"/>
      <c r="FQ89" s="122"/>
      <c r="FR89" s="122"/>
      <c r="FS89" s="122"/>
      <c r="FT89" s="122"/>
      <c r="FU89" s="122"/>
      <c r="FV89" s="122"/>
      <c r="FW89" s="122"/>
      <c r="FX89" s="122"/>
      <c r="FY89" s="122"/>
      <c r="FZ89" s="122"/>
      <c r="GA89" s="122"/>
      <c r="GB89" s="122"/>
      <c r="GC89" s="122"/>
      <c r="GD89" s="122"/>
      <c r="GE89" s="122"/>
      <c r="GF89" s="122"/>
      <c r="GG89" s="122"/>
      <c r="GH89" s="122"/>
      <c r="GI89" s="122"/>
      <c r="GJ89" s="122"/>
      <c r="GK89" s="122"/>
      <c r="GL89" s="122"/>
      <c r="GM89" s="122"/>
      <c r="GN89" s="122"/>
      <c r="GO89" s="122"/>
      <c r="GP89" s="122"/>
      <c r="GQ89" s="122"/>
      <c r="GR89" s="122"/>
      <c r="GS89" s="122"/>
      <c r="GT89" s="122"/>
      <c r="GU89" s="122"/>
      <c r="GV89" s="122"/>
      <c r="GW89" s="122"/>
      <c r="GX89" s="122"/>
      <c r="GY89" s="122"/>
      <c r="GZ89" s="122"/>
      <c r="HA89" s="122"/>
      <c r="HB89" s="122"/>
      <c r="HC89" s="122"/>
      <c r="HD89" s="122"/>
      <c r="HE89" s="122"/>
      <c r="HF89" s="122"/>
      <c r="HG89" s="122"/>
      <c r="HH89" s="122"/>
      <c r="HI89" s="122"/>
      <c r="HJ89" s="122"/>
      <c r="HK89" s="122"/>
      <c r="HL89" s="122"/>
      <c r="HM89" s="122"/>
      <c r="HN89" s="122"/>
      <c r="HO89" s="122"/>
      <c r="HP89" s="122"/>
      <c r="HQ89" s="122"/>
      <c r="HR89" s="122"/>
      <c r="HS89" s="122"/>
      <c r="HT89" s="122"/>
      <c r="HU89" s="122"/>
      <c r="HV89" s="122"/>
      <c r="HW89" s="122"/>
      <c r="HX89" s="122"/>
      <c r="HY89" s="122"/>
      <c r="HZ89" s="122"/>
      <c r="IA89" s="122"/>
      <c r="IB89" s="122"/>
      <c r="IC89" s="122"/>
      <c r="ID89" s="122"/>
      <c r="IE89" s="122"/>
      <c r="IF89" s="122"/>
      <c r="IG89" s="122"/>
      <c r="IH89" s="122"/>
      <c r="II89" s="122"/>
      <c r="IJ89" s="122"/>
      <c r="IK89" s="122"/>
      <c r="IL89" s="122"/>
      <c r="IM89" s="122"/>
      <c r="IN89" s="122"/>
      <c r="IO89" s="122"/>
      <c r="IP89" s="122"/>
      <c r="IQ89" s="122"/>
      <c r="IR89" s="122"/>
      <c r="IS89" s="122"/>
      <c r="IT89" s="122"/>
      <c r="IU89" s="122"/>
      <c r="IV89" s="122"/>
      <c r="IW89" s="122"/>
      <c r="IX89" s="122"/>
      <c r="IY89" s="122"/>
      <c r="IZ89" s="122"/>
      <c r="JA89" s="122"/>
      <c r="JB89" s="122"/>
      <c r="JC89" s="122"/>
      <c r="JD89" s="122"/>
      <c r="JE89" s="122"/>
      <c r="JF89" s="122"/>
      <c r="JG89" s="122"/>
      <c r="JH89" s="122"/>
      <c r="JI89" s="119">
        <f t="shared" si="7"/>
        <v>0</v>
      </c>
      <c r="JJ89" s="1"/>
      <c r="JK89" s="2"/>
      <c r="JL89" s="1"/>
      <c r="JM89" s="1"/>
      <c r="JN89" s="1"/>
      <c r="JO89" s="1"/>
      <c r="JP89" s="1"/>
    </row>
    <row r="90" spans="1:276" x14ac:dyDescent="0.25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  <c r="AO90" s="122"/>
      <c r="AP90" s="122"/>
      <c r="AQ90" s="122"/>
      <c r="AR90" s="122"/>
      <c r="AS90" s="122"/>
      <c r="AT90" s="122"/>
      <c r="AU90" s="122"/>
      <c r="AV90" s="122"/>
      <c r="AW90" s="122"/>
      <c r="AX90" s="122"/>
      <c r="AY90" s="122"/>
      <c r="AZ90" s="122"/>
      <c r="BA90" s="122"/>
      <c r="BB90" s="122"/>
      <c r="BC90" s="122"/>
      <c r="BD90" s="122"/>
      <c r="BE90" s="122"/>
      <c r="BF90" s="122"/>
      <c r="BG90" s="122"/>
      <c r="BH90" s="122"/>
      <c r="BI90" s="122"/>
      <c r="BJ90" s="122"/>
      <c r="BK90" s="122"/>
      <c r="BL90" s="122"/>
      <c r="BM90" s="122"/>
      <c r="BN90" s="122"/>
      <c r="BO90" s="122"/>
      <c r="BP90" s="122"/>
      <c r="BQ90" s="122"/>
      <c r="BR90" s="122"/>
      <c r="BS90" s="122"/>
      <c r="BT90" s="122"/>
      <c r="BU90" s="122"/>
      <c r="BV90" s="122"/>
      <c r="BW90" s="122"/>
      <c r="BX90" s="122"/>
      <c r="BY90" s="122"/>
      <c r="BZ90" s="122"/>
      <c r="CA90" s="122"/>
      <c r="CB90" s="122"/>
      <c r="CC90" s="122"/>
      <c r="CD90" s="122"/>
      <c r="CE90" s="122"/>
      <c r="CF90" s="122"/>
      <c r="CG90" s="122"/>
      <c r="CH90" s="122"/>
      <c r="CI90" s="122"/>
      <c r="CJ90" s="122"/>
      <c r="CK90" s="122"/>
      <c r="CL90" s="122"/>
      <c r="CM90" s="122"/>
      <c r="CN90" s="122"/>
      <c r="CO90" s="122"/>
      <c r="CP90" s="122"/>
      <c r="CQ90" s="122"/>
      <c r="CR90" s="122"/>
      <c r="CS90" s="122"/>
      <c r="CT90" s="122"/>
      <c r="CU90" s="122"/>
      <c r="CV90" s="122"/>
      <c r="CW90" s="122"/>
      <c r="CX90" s="122"/>
      <c r="CY90" s="122"/>
      <c r="CZ90" s="122"/>
      <c r="DA90" s="122"/>
      <c r="DB90" s="122"/>
      <c r="DC90" s="122"/>
      <c r="DD90" s="122"/>
      <c r="DE90" s="122"/>
      <c r="DF90" s="122"/>
      <c r="DG90" s="122"/>
      <c r="DH90" s="122"/>
      <c r="DI90" s="122"/>
      <c r="DJ90" s="122"/>
      <c r="DK90" s="122"/>
      <c r="DL90" s="122"/>
      <c r="DM90" s="122"/>
      <c r="DN90" s="122"/>
      <c r="DO90" s="122"/>
      <c r="DP90" s="122"/>
      <c r="DQ90" s="122"/>
      <c r="DR90" s="122"/>
      <c r="DS90" s="122"/>
      <c r="DT90" s="122"/>
      <c r="DU90" s="122"/>
      <c r="DV90" s="122"/>
      <c r="DW90" s="122"/>
      <c r="DX90" s="122"/>
      <c r="DY90" s="122"/>
      <c r="DZ90" s="122"/>
      <c r="EA90" s="122"/>
      <c r="EB90" s="122"/>
      <c r="EC90" s="122"/>
      <c r="ED90" s="122"/>
      <c r="EE90" s="122"/>
      <c r="EF90" s="122"/>
      <c r="EG90" s="122"/>
      <c r="EH90" s="122"/>
      <c r="EI90" s="122"/>
      <c r="EJ90" s="122"/>
      <c r="EK90" s="122"/>
      <c r="EL90" s="122"/>
      <c r="EM90" s="122"/>
      <c r="EN90" s="122"/>
      <c r="EO90" s="122"/>
      <c r="EP90" s="122"/>
      <c r="EQ90" s="122"/>
      <c r="ER90" s="122"/>
      <c r="ES90" s="122"/>
      <c r="ET90" s="122"/>
      <c r="EU90" s="122"/>
      <c r="EV90" s="122"/>
      <c r="EW90" s="122"/>
      <c r="EX90" s="122"/>
      <c r="EY90" s="122"/>
      <c r="EZ90" s="122"/>
      <c r="FA90" s="122"/>
      <c r="FB90" s="122"/>
      <c r="FC90" s="122"/>
      <c r="FD90" s="122"/>
      <c r="FE90" s="122"/>
      <c r="FF90" s="122"/>
      <c r="FG90" s="122"/>
      <c r="FH90" s="122"/>
      <c r="FI90" s="122"/>
      <c r="FJ90" s="122"/>
      <c r="FK90" s="122"/>
      <c r="FL90" s="122"/>
      <c r="FM90" s="122"/>
      <c r="FN90" s="122"/>
      <c r="FO90" s="122"/>
      <c r="FP90" s="122"/>
      <c r="FQ90" s="122"/>
      <c r="FR90" s="122"/>
      <c r="FS90" s="122"/>
      <c r="FT90" s="122"/>
      <c r="FU90" s="122"/>
      <c r="FV90" s="122"/>
      <c r="FW90" s="122"/>
      <c r="FX90" s="122"/>
      <c r="FY90" s="122"/>
      <c r="FZ90" s="122"/>
      <c r="GA90" s="122"/>
      <c r="GB90" s="122"/>
      <c r="GC90" s="122"/>
      <c r="GD90" s="122"/>
      <c r="GE90" s="122"/>
      <c r="GF90" s="122"/>
      <c r="GG90" s="122"/>
      <c r="GH90" s="122"/>
      <c r="GI90" s="122"/>
      <c r="GJ90" s="122"/>
      <c r="GK90" s="122"/>
      <c r="GL90" s="122"/>
      <c r="GM90" s="122"/>
      <c r="GN90" s="122"/>
      <c r="GO90" s="122"/>
      <c r="GP90" s="122"/>
      <c r="GQ90" s="122"/>
      <c r="GR90" s="122"/>
      <c r="GS90" s="122"/>
      <c r="GT90" s="122"/>
      <c r="GU90" s="122"/>
      <c r="GV90" s="122"/>
      <c r="GW90" s="122"/>
      <c r="GX90" s="122"/>
      <c r="GY90" s="122"/>
      <c r="GZ90" s="122"/>
      <c r="HA90" s="122"/>
      <c r="HB90" s="122"/>
      <c r="HC90" s="122"/>
      <c r="HD90" s="122"/>
      <c r="HE90" s="122"/>
      <c r="HF90" s="122"/>
      <c r="HG90" s="122"/>
      <c r="HH90" s="122"/>
      <c r="HI90" s="122"/>
      <c r="HJ90" s="122"/>
      <c r="HK90" s="122"/>
      <c r="HL90" s="122"/>
      <c r="HM90" s="122"/>
      <c r="HN90" s="122"/>
      <c r="HO90" s="122"/>
      <c r="HP90" s="122"/>
      <c r="HQ90" s="122"/>
      <c r="HR90" s="122"/>
      <c r="HS90" s="122"/>
      <c r="HT90" s="122"/>
      <c r="HU90" s="122"/>
      <c r="HV90" s="122"/>
      <c r="HW90" s="122"/>
      <c r="HX90" s="122"/>
      <c r="HY90" s="122"/>
      <c r="HZ90" s="122"/>
      <c r="IA90" s="122"/>
      <c r="IB90" s="122"/>
      <c r="IC90" s="122"/>
      <c r="ID90" s="122"/>
      <c r="IE90" s="122"/>
      <c r="IF90" s="122"/>
      <c r="IG90" s="122"/>
      <c r="IH90" s="122"/>
      <c r="II90" s="122"/>
      <c r="IJ90" s="122"/>
      <c r="IK90" s="122"/>
      <c r="IL90" s="122"/>
      <c r="IM90" s="122"/>
      <c r="IN90" s="122"/>
      <c r="IO90" s="122"/>
      <c r="IP90" s="122"/>
      <c r="IQ90" s="122"/>
      <c r="IR90" s="122"/>
      <c r="IS90" s="122"/>
      <c r="IT90" s="122"/>
      <c r="IU90" s="122"/>
      <c r="IV90" s="122"/>
      <c r="IW90" s="122"/>
      <c r="IX90" s="122"/>
      <c r="IY90" s="122"/>
      <c r="IZ90" s="122"/>
      <c r="JA90" s="122"/>
      <c r="JB90" s="122"/>
      <c r="JC90" s="122"/>
      <c r="JD90" s="122"/>
      <c r="JE90" s="122"/>
      <c r="JF90" s="122"/>
      <c r="JG90" s="122"/>
      <c r="JH90" s="122"/>
      <c r="JI90" s="119">
        <f t="shared" si="7"/>
        <v>0</v>
      </c>
      <c r="JJ90" s="1"/>
      <c r="JK90" s="2"/>
      <c r="JL90" s="1"/>
      <c r="JM90" s="1"/>
      <c r="JN90" s="1"/>
      <c r="JO90" s="1"/>
      <c r="JP90" s="1"/>
    </row>
    <row r="91" spans="1:276" x14ac:dyDescent="0.25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122"/>
      <c r="AQ91" s="122"/>
      <c r="AR91" s="122"/>
      <c r="AS91" s="122"/>
      <c r="AT91" s="122"/>
      <c r="AU91" s="122"/>
      <c r="AV91" s="122"/>
      <c r="AW91" s="122"/>
      <c r="AX91" s="122"/>
      <c r="AY91" s="122"/>
      <c r="AZ91" s="122"/>
      <c r="BA91" s="122"/>
      <c r="BB91" s="122"/>
      <c r="BC91" s="122"/>
      <c r="BD91" s="122"/>
      <c r="BE91" s="122"/>
      <c r="BF91" s="122"/>
      <c r="BG91" s="122"/>
      <c r="BH91" s="122"/>
      <c r="BI91" s="122"/>
      <c r="BJ91" s="122"/>
      <c r="BK91" s="122"/>
      <c r="BL91" s="122"/>
      <c r="BM91" s="122"/>
      <c r="BN91" s="122"/>
      <c r="BO91" s="122"/>
      <c r="BP91" s="122"/>
      <c r="BQ91" s="122"/>
      <c r="BR91" s="122"/>
      <c r="BS91" s="122"/>
      <c r="BT91" s="122"/>
      <c r="BU91" s="122"/>
      <c r="BV91" s="122"/>
      <c r="BW91" s="122"/>
      <c r="BX91" s="122"/>
      <c r="BY91" s="122"/>
      <c r="BZ91" s="122"/>
      <c r="CA91" s="122"/>
      <c r="CB91" s="122"/>
      <c r="CC91" s="122"/>
      <c r="CD91" s="122"/>
      <c r="CE91" s="122"/>
      <c r="CF91" s="122"/>
      <c r="CG91" s="122"/>
      <c r="CH91" s="122"/>
      <c r="CI91" s="122"/>
      <c r="CJ91" s="122"/>
      <c r="CK91" s="122"/>
      <c r="CL91" s="122"/>
      <c r="CM91" s="122"/>
      <c r="CN91" s="122"/>
      <c r="CO91" s="122"/>
      <c r="CP91" s="122"/>
      <c r="CQ91" s="122"/>
      <c r="CR91" s="122"/>
      <c r="CS91" s="122"/>
      <c r="CT91" s="122"/>
      <c r="CU91" s="122"/>
      <c r="CV91" s="122"/>
      <c r="CW91" s="122"/>
      <c r="CX91" s="122"/>
      <c r="CY91" s="122"/>
      <c r="CZ91" s="122"/>
      <c r="DA91" s="122"/>
      <c r="DB91" s="122"/>
      <c r="DC91" s="122"/>
      <c r="DD91" s="122"/>
      <c r="DE91" s="122"/>
      <c r="DF91" s="122"/>
      <c r="DG91" s="122"/>
      <c r="DH91" s="122"/>
      <c r="DI91" s="122"/>
      <c r="DJ91" s="122"/>
      <c r="DK91" s="122"/>
      <c r="DL91" s="122"/>
      <c r="DM91" s="122"/>
      <c r="DN91" s="122"/>
      <c r="DO91" s="122"/>
      <c r="DP91" s="122"/>
      <c r="DQ91" s="122"/>
      <c r="DR91" s="122"/>
      <c r="DS91" s="122"/>
      <c r="DT91" s="122"/>
      <c r="DU91" s="122"/>
      <c r="DV91" s="122"/>
      <c r="DW91" s="122"/>
      <c r="DX91" s="122"/>
      <c r="DY91" s="122"/>
      <c r="DZ91" s="122"/>
      <c r="EA91" s="122"/>
      <c r="EB91" s="122"/>
      <c r="EC91" s="122"/>
      <c r="ED91" s="122"/>
      <c r="EE91" s="122"/>
      <c r="EF91" s="122"/>
      <c r="EG91" s="122"/>
      <c r="EH91" s="122"/>
      <c r="EI91" s="122"/>
      <c r="EJ91" s="122"/>
      <c r="EK91" s="122"/>
      <c r="EL91" s="122"/>
      <c r="EM91" s="122"/>
      <c r="EN91" s="122"/>
      <c r="EO91" s="122"/>
      <c r="EP91" s="122"/>
      <c r="EQ91" s="122"/>
      <c r="ER91" s="122"/>
      <c r="ES91" s="122"/>
      <c r="ET91" s="122"/>
      <c r="EU91" s="122"/>
      <c r="EV91" s="122"/>
      <c r="EW91" s="122"/>
      <c r="EX91" s="122"/>
      <c r="EY91" s="122"/>
      <c r="EZ91" s="122"/>
      <c r="FA91" s="122"/>
      <c r="FB91" s="122"/>
      <c r="FC91" s="122"/>
      <c r="FD91" s="122"/>
      <c r="FE91" s="122"/>
      <c r="FF91" s="122"/>
      <c r="FG91" s="122"/>
      <c r="FH91" s="122"/>
      <c r="FI91" s="122"/>
      <c r="FJ91" s="122"/>
      <c r="FK91" s="122"/>
      <c r="FL91" s="122"/>
      <c r="FM91" s="122"/>
      <c r="FN91" s="122"/>
      <c r="FO91" s="122"/>
      <c r="FP91" s="122"/>
      <c r="FQ91" s="122"/>
      <c r="FR91" s="122"/>
      <c r="FS91" s="122"/>
      <c r="FT91" s="122"/>
      <c r="FU91" s="122"/>
      <c r="FV91" s="122"/>
      <c r="FW91" s="122"/>
      <c r="FX91" s="122"/>
      <c r="FY91" s="122"/>
      <c r="FZ91" s="122"/>
      <c r="GA91" s="122"/>
      <c r="GB91" s="122"/>
      <c r="GC91" s="122"/>
      <c r="GD91" s="122"/>
      <c r="GE91" s="122"/>
      <c r="GF91" s="122"/>
      <c r="GG91" s="122"/>
      <c r="GH91" s="122"/>
      <c r="GI91" s="122"/>
      <c r="GJ91" s="122"/>
      <c r="GK91" s="122"/>
      <c r="GL91" s="122"/>
      <c r="GM91" s="122"/>
      <c r="GN91" s="122"/>
      <c r="GO91" s="122"/>
      <c r="GP91" s="122"/>
      <c r="GQ91" s="122"/>
      <c r="GR91" s="122"/>
      <c r="GS91" s="122"/>
      <c r="GT91" s="122"/>
      <c r="GU91" s="122"/>
      <c r="GV91" s="122"/>
      <c r="GW91" s="122"/>
      <c r="GX91" s="122"/>
      <c r="GY91" s="122"/>
      <c r="GZ91" s="122"/>
      <c r="HA91" s="122"/>
      <c r="HB91" s="122"/>
      <c r="HC91" s="122"/>
      <c r="HD91" s="122"/>
      <c r="HE91" s="122"/>
      <c r="HF91" s="122"/>
      <c r="HG91" s="122"/>
      <c r="HH91" s="122"/>
      <c r="HI91" s="122"/>
      <c r="HJ91" s="122"/>
      <c r="HK91" s="122"/>
      <c r="HL91" s="122"/>
      <c r="HM91" s="122"/>
      <c r="HN91" s="122"/>
      <c r="HO91" s="122"/>
      <c r="HP91" s="122"/>
      <c r="HQ91" s="122"/>
      <c r="HR91" s="122"/>
      <c r="HS91" s="122"/>
      <c r="HT91" s="122"/>
      <c r="HU91" s="122"/>
      <c r="HV91" s="122"/>
      <c r="HW91" s="122"/>
      <c r="HX91" s="122"/>
      <c r="HY91" s="122"/>
      <c r="HZ91" s="122"/>
      <c r="IA91" s="122"/>
      <c r="IB91" s="122"/>
      <c r="IC91" s="122"/>
      <c r="ID91" s="122"/>
      <c r="IE91" s="122"/>
      <c r="IF91" s="122"/>
      <c r="IG91" s="122"/>
      <c r="IH91" s="122"/>
      <c r="II91" s="122"/>
      <c r="IJ91" s="122"/>
      <c r="IK91" s="122"/>
      <c r="IL91" s="122"/>
      <c r="IM91" s="122"/>
      <c r="IN91" s="122"/>
      <c r="IO91" s="122"/>
      <c r="IP91" s="122"/>
      <c r="IQ91" s="122"/>
      <c r="IR91" s="122"/>
      <c r="IS91" s="122"/>
      <c r="IT91" s="122"/>
      <c r="IU91" s="122"/>
      <c r="IV91" s="122"/>
      <c r="IW91" s="122"/>
      <c r="IX91" s="122"/>
      <c r="IY91" s="122"/>
      <c r="IZ91" s="122"/>
      <c r="JA91" s="122"/>
      <c r="JB91" s="122"/>
      <c r="JC91" s="122"/>
      <c r="JD91" s="122"/>
      <c r="JE91" s="122"/>
      <c r="JF91" s="122"/>
      <c r="JG91" s="122"/>
      <c r="JH91" s="122"/>
      <c r="JI91" s="119">
        <f t="shared" si="7"/>
        <v>0</v>
      </c>
      <c r="JJ91" s="1"/>
      <c r="JK91" s="2"/>
      <c r="JL91" s="1"/>
      <c r="JM91" s="1"/>
      <c r="JN91" s="1"/>
      <c r="JO91" s="1"/>
      <c r="JP91" s="1"/>
    </row>
    <row r="92" spans="1:276" x14ac:dyDescent="0.25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  <c r="AO92" s="122"/>
      <c r="AP92" s="122"/>
      <c r="AQ92" s="122"/>
      <c r="AR92" s="122"/>
      <c r="AS92" s="122"/>
      <c r="AT92" s="122"/>
      <c r="AU92" s="122"/>
      <c r="AV92" s="122"/>
      <c r="AW92" s="122"/>
      <c r="AX92" s="122"/>
      <c r="AY92" s="122"/>
      <c r="AZ92" s="122"/>
      <c r="BA92" s="122"/>
      <c r="BB92" s="122"/>
      <c r="BC92" s="122"/>
      <c r="BD92" s="122"/>
      <c r="BE92" s="122"/>
      <c r="BF92" s="122"/>
      <c r="BG92" s="122"/>
      <c r="BH92" s="122"/>
      <c r="BI92" s="122"/>
      <c r="BJ92" s="122"/>
      <c r="BK92" s="122"/>
      <c r="BL92" s="122"/>
      <c r="BM92" s="122"/>
      <c r="BN92" s="122"/>
      <c r="BO92" s="122"/>
      <c r="BP92" s="122"/>
      <c r="BQ92" s="122"/>
      <c r="BR92" s="122"/>
      <c r="BS92" s="122"/>
      <c r="BT92" s="122"/>
      <c r="BU92" s="122"/>
      <c r="BV92" s="122"/>
      <c r="BW92" s="122"/>
      <c r="BX92" s="122"/>
      <c r="BY92" s="122"/>
      <c r="BZ92" s="122"/>
      <c r="CA92" s="122"/>
      <c r="CB92" s="122"/>
      <c r="CC92" s="122"/>
      <c r="CD92" s="122"/>
      <c r="CE92" s="122"/>
      <c r="CF92" s="122"/>
      <c r="CG92" s="122"/>
      <c r="CH92" s="122"/>
      <c r="CI92" s="122"/>
      <c r="CJ92" s="122"/>
      <c r="CK92" s="122"/>
      <c r="CL92" s="122"/>
      <c r="CM92" s="122"/>
      <c r="CN92" s="122"/>
      <c r="CO92" s="122"/>
      <c r="CP92" s="122"/>
      <c r="CQ92" s="122"/>
      <c r="CR92" s="122"/>
      <c r="CS92" s="122"/>
      <c r="CT92" s="122"/>
      <c r="CU92" s="122"/>
      <c r="CV92" s="122"/>
      <c r="CW92" s="122"/>
      <c r="CX92" s="122"/>
      <c r="CY92" s="122"/>
      <c r="CZ92" s="122"/>
      <c r="DA92" s="122"/>
      <c r="DB92" s="122"/>
      <c r="DC92" s="122"/>
      <c r="DD92" s="122"/>
      <c r="DE92" s="122"/>
      <c r="DF92" s="122"/>
      <c r="DG92" s="122"/>
      <c r="DH92" s="122"/>
      <c r="DI92" s="122"/>
      <c r="DJ92" s="122"/>
      <c r="DK92" s="122"/>
      <c r="DL92" s="122"/>
      <c r="DM92" s="122"/>
      <c r="DN92" s="122"/>
      <c r="DO92" s="122"/>
      <c r="DP92" s="122"/>
      <c r="DQ92" s="122"/>
      <c r="DR92" s="122"/>
      <c r="DS92" s="122"/>
      <c r="DT92" s="122"/>
      <c r="DU92" s="122"/>
      <c r="DV92" s="122"/>
      <c r="DW92" s="122"/>
      <c r="DX92" s="122"/>
      <c r="DY92" s="122"/>
      <c r="DZ92" s="122"/>
      <c r="EA92" s="122"/>
      <c r="EB92" s="122"/>
      <c r="EC92" s="122"/>
      <c r="ED92" s="122"/>
      <c r="EE92" s="122"/>
      <c r="EF92" s="122"/>
      <c r="EG92" s="122"/>
      <c r="EH92" s="122"/>
      <c r="EI92" s="122"/>
      <c r="EJ92" s="122"/>
      <c r="EK92" s="122"/>
      <c r="EL92" s="122"/>
      <c r="EM92" s="122"/>
      <c r="EN92" s="122"/>
      <c r="EO92" s="122"/>
      <c r="EP92" s="122"/>
      <c r="EQ92" s="122"/>
      <c r="ER92" s="122"/>
      <c r="ES92" s="122"/>
      <c r="ET92" s="122"/>
      <c r="EU92" s="122"/>
      <c r="EV92" s="122"/>
      <c r="EW92" s="122"/>
      <c r="EX92" s="122"/>
      <c r="EY92" s="122"/>
      <c r="EZ92" s="122"/>
      <c r="FA92" s="122"/>
      <c r="FB92" s="122"/>
      <c r="FC92" s="122"/>
      <c r="FD92" s="122"/>
      <c r="FE92" s="122"/>
      <c r="FF92" s="122"/>
      <c r="FG92" s="122"/>
      <c r="FH92" s="122"/>
      <c r="FI92" s="122"/>
      <c r="FJ92" s="122"/>
      <c r="FK92" s="122"/>
      <c r="FL92" s="122"/>
      <c r="FM92" s="122"/>
      <c r="FN92" s="122"/>
      <c r="FO92" s="122"/>
      <c r="FP92" s="122"/>
      <c r="FQ92" s="122"/>
      <c r="FR92" s="122"/>
      <c r="FS92" s="122"/>
      <c r="FT92" s="122"/>
      <c r="FU92" s="122"/>
      <c r="FV92" s="122"/>
      <c r="FW92" s="122"/>
      <c r="FX92" s="122"/>
      <c r="FY92" s="122"/>
      <c r="FZ92" s="122"/>
      <c r="GA92" s="122"/>
      <c r="GB92" s="122"/>
      <c r="GC92" s="122"/>
      <c r="GD92" s="122"/>
      <c r="GE92" s="122"/>
      <c r="GF92" s="122"/>
      <c r="GG92" s="122"/>
      <c r="GH92" s="122"/>
      <c r="GI92" s="122"/>
      <c r="GJ92" s="122"/>
      <c r="GK92" s="122"/>
      <c r="GL92" s="122"/>
      <c r="GM92" s="122"/>
      <c r="GN92" s="122"/>
      <c r="GO92" s="122"/>
      <c r="GP92" s="122"/>
      <c r="GQ92" s="122"/>
      <c r="GR92" s="122"/>
      <c r="GS92" s="122"/>
      <c r="GT92" s="122"/>
      <c r="GU92" s="122"/>
      <c r="GV92" s="122"/>
      <c r="GW92" s="122"/>
      <c r="GX92" s="122"/>
      <c r="GY92" s="122"/>
      <c r="GZ92" s="122"/>
      <c r="HA92" s="122"/>
      <c r="HB92" s="122"/>
      <c r="HC92" s="122"/>
      <c r="HD92" s="122"/>
      <c r="HE92" s="122"/>
      <c r="HF92" s="122"/>
      <c r="HG92" s="122"/>
      <c r="HH92" s="122"/>
      <c r="HI92" s="122"/>
      <c r="HJ92" s="122"/>
      <c r="HK92" s="122"/>
      <c r="HL92" s="122"/>
      <c r="HM92" s="122"/>
      <c r="HN92" s="122"/>
      <c r="HO92" s="122"/>
      <c r="HP92" s="122"/>
      <c r="HQ92" s="122"/>
      <c r="HR92" s="122"/>
      <c r="HS92" s="122"/>
      <c r="HT92" s="122"/>
      <c r="HU92" s="122"/>
      <c r="HV92" s="122"/>
      <c r="HW92" s="122"/>
      <c r="HX92" s="122"/>
      <c r="HY92" s="122"/>
      <c r="HZ92" s="122"/>
      <c r="IA92" s="122"/>
      <c r="IB92" s="122"/>
      <c r="IC92" s="122"/>
      <c r="ID92" s="122"/>
      <c r="IE92" s="122"/>
      <c r="IF92" s="122"/>
      <c r="IG92" s="122"/>
      <c r="IH92" s="122"/>
      <c r="II92" s="122"/>
      <c r="IJ92" s="122"/>
      <c r="IK92" s="122"/>
      <c r="IL92" s="122"/>
      <c r="IM92" s="122"/>
      <c r="IN92" s="122"/>
      <c r="IO92" s="122"/>
      <c r="IP92" s="122"/>
      <c r="IQ92" s="122"/>
      <c r="IR92" s="122"/>
      <c r="IS92" s="122"/>
      <c r="IT92" s="122"/>
      <c r="IU92" s="122"/>
      <c r="IV92" s="122"/>
      <c r="IW92" s="122"/>
      <c r="IX92" s="122"/>
      <c r="IY92" s="122"/>
      <c r="IZ92" s="122"/>
      <c r="JA92" s="122"/>
      <c r="JB92" s="122"/>
      <c r="JC92" s="122"/>
      <c r="JD92" s="122"/>
      <c r="JE92" s="122"/>
      <c r="JF92" s="122"/>
      <c r="JG92" s="122"/>
      <c r="JH92" s="122"/>
      <c r="JI92" s="119">
        <f t="shared" si="7"/>
        <v>0</v>
      </c>
      <c r="JJ92" s="1"/>
      <c r="JK92" s="2"/>
      <c r="JL92" s="1"/>
      <c r="JM92" s="1"/>
      <c r="JN92" s="1"/>
      <c r="JO92" s="1"/>
      <c r="JP92" s="1"/>
    </row>
    <row r="93" spans="1:276" x14ac:dyDescent="0.25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  <c r="AO93" s="122"/>
      <c r="AP93" s="122"/>
      <c r="AQ93" s="122"/>
      <c r="AR93" s="122"/>
      <c r="AS93" s="122"/>
      <c r="AT93" s="122"/>
      <c r="AU93" s="122"/>
      <c r="AV93" s="122"/>
      <c r="AW93" s="122"/>
      <c r="AX93" s="122"/>
      <c r="AY93" s="122"/>
      <c r="AZ93" s="122"/>
      <c r="BA93" s="122"/>
      <c r="BB93" s="122"/>
      <c r="BC93" s="122"/>
      <c r="BD93" s="122"/>
      <c r="BE93" s="122"/>
      <c r="BF93" s="122"/>
      <c r="BG93" s="122"/>
      <c r="BH93" s="122"/>
      <c r="BI93" s="122"/>
      <c r="BJ93" s="122"/>
      <c r="BK93" s="122"/>
      <c r="BL93" s="122"/>
      <c r="BM93" s="122"/>
      <c r="BN93" s="122"/>
      <c r="BO93" s="122"/>
      <c r="BP93" s="122"/>
      <c r="BQ93" s="122"/>
      <c r="BR93" s="122"/>
      <c r="BS93" s="122"/>
      <c r="BT93" s="122"/>
      <c r="BU93" s="122"/>
      <c r="BV93" s="122"/>
      <c r="BW93" s="122"/>
      <c r="BX93" s="122"/>
      <c r="BY93" s="122"/>
      <c r="BZ93" s="122"/>
      <c r="CA93" s="122"/>
      <c r="CB93" s="122"/>
      <c r="CC93" s="122"/>
      <c r="CD93" s="122"/>
      <c r="CE93" s="122"/>
      <c r="CF93" s="122"/>
      <c r="CG93" s="122"/>
      <c r="CH93" s="122"/>
      <c r="CI93" s="122"/>
      <c r="CJ93" s="122"/>
      <c r="CK93" s="122"/>
      <c r="CL93" s="122"/>
      <c r="CM93" s="122"/>
      <c r="CN93" s="122"/>
      <c r="CO93" s="122"/>
      <c r="CP93" s="122"/>
      <c r="CQ93" s="122"/>
      <c r="CR93" s="122"/>
      <c r="CS93" s="122"/>
      <c r="CT93" s="122"/>
      <c r="CU93" s="122"/>
      <c r="CV93" s="122"/>
      <c r="CW93" s="122"/>
      <c r="CX93" s="122"/>
      <c r="CY93" s="122"/>
      <c r="CZ93" s="122"/>
      <c r="DA93" s="122"/>
      <c r="DB93" s="122"/>
      <c r="DC93" s="122"/>
      <c r="DD93" s="122"/>
      <c r="DE93" s="122"/>
      <c r="DF93" s="122"/>
      <c r="DG93" s="122"/>
      <c r="DH93" s="122"/>
      <c r="DI93" s="122"/>
      <c r="DJ93" s="122"/>
      <c r="DK93" s="122"/>
      <c r="DL93" s="122"/>
      <c r="DM93" s="122"/>
      <c r="DN93" s="122"/>
      <c r="DO93" s="122"/>
      <c r="DP93" s="122"/>
      <c r="DQ93" s="122"/>
      <c r="DR93" s="122"/>
      <c r="DS93" s="122"/>
      <c r="DT93" s="122"/>
      <c r="DU93" s="122"/>
      <c r="DV93" s="122"/>
      <c r="DW93" s="122"/>
      <c r="DX93" s="122"/>
      <c r="DY93" s="122"/>
      <c r="DZ93" s="122"/>
      <c r="EA93" s="122"/>
      <c r="EB93" s="122"/>
      <c r="EC93" s="122"/>
      <c r="ED93" s="122"/>
      <c r="EE93" s="122"/>
      <c r="EF93" s="122"/>
      <c r="EG93" s="122"/>
      <c r="EH93" s="122"/>
      <c r="EI93" s="122"/>
      <c r="EJ93" s="122"/>
      <c r="EK93" s="122"/>
      <c r="EL93" s="122"/>
      <c r="EM93" s="122"/>
      <c r="EN93" s="122"/>
      <c r="EO93" s="122"/>
      <c r="EP93" s="122"/>
      <c r="EQ93" s="122"/>
      <c r="ER93" s="122"/>
      <c r="ES93" s="122"/>
      <c r="ET93" s="122"/>
      <c r="EU93" s="122"/>
      <c r="EV93" s="122"/>
      <c r="EW93" s="122"/>
      <c r="EX93" s="122"/>
      <c r="EY93" s="122"/>
      <c r="EZ93" s="122"/>
      <c r="FA93" s="122"/>
      <c r="FB93" s="122"/>
      <c r="FC93" s="122"/>
      <c r="FD93" s="122"/>
      <c r="FE93" s="122"/>
      <c r="FF93" s="122"/>
      <c r="FG93" s="122"/>
      <c r="FH93" s="122"/>
      <c r="FI93" s="122"/>
      <c r="FJ93" s="122"/>
      <c r="FK93" s="122"/>
      <c r="FL93" s="122"/>
      <c r="FM93" s="122"/>
      <c r="FN93" s="122"/>
      <c r="FO93" s="122"/>
      <c r="FP93" s="122"/>
      <c r="FQ93" s="122"/>
      <c r="FR93" s="122"/>
      <c r="FS93" s="122"/>
      <c r="FT93" s="122"/>
      <c r="FU93" s="122"/>
      <c r="FV93" s="122"/>
      <c r="FW93" s="122"/>
      <c r="FX93" s="122"/>
      <c r="FY93" s="122"/>
      <c r="FZ93" s="122"/>
      <c r="GA93" s="122"/>
      <c r="GB93" s="122"/>
      <c r="GC93" s="122"/>
      <c r="GD93" s="122"/>
      <c r="GE93" s="122"/>
      <c r="GF93" s="122"/>
      <c r="GG93" s="122"/>
      <c r="GH93" s="122"/>
      <c r="GI93" s="122"/>
      <c r="GJ93" s="122"/>
      <c r="GK93" s="122"/>
      <c r="GL93" s="122"/>
      <c r="GM93" s="122"/>
      <c r="GN93" s="122"/>
      <c r="GO93" s="122"/>
      <c r="GP93" s="122"/>
      <c r="GQ93" s="122"/>
      <c r="GR93" s="122"/>
      <c r="GS93" s="122"/>
      <c r="GT93" s="122"/>
      <c r="GU93" s="122"/>
      <c r="GV93" s="122"/>
      <c r="GW93" s="122"/>
      <c r="GX93" s="122"/>
      <c r="GY93" s="122"/>
      <c r="GZ93" s="122"/>
      <c r="HA93" s="122"/>
      <c r="HB93" s="122"/>
      <c r="HC93" s="122"/>
      <c r="HD93" s="122"/>
      <c r="HE93" s="122"/>
      <c r="HF93" s="122"/>
      <c r="HG93" s="122"/>
      <c r="HH93" s="122"/>
      <c r="HI93" s="122"/>
      <c r="HJ93" s="122"/>
      <c r="HK93" s="122"/>
      <c r="HL93" s="122"/>
      <c r="HM93" s="122"/>
      <c r="HN93" s="122"/>
      <c r="HO93" s="122"/>
      <c r="HP93" s="122"/>
      <c r="HQ93" s="122"/>
      <c r="HR93" s="122"/>
      <c r="HS93" s="122"/>
      <c r="HT93" s="122"/>
      <c r="HU93" s="122"/>
      <c r="HV93" s="122"/>
      <c r="HW93" s="122"/>
      <c r="HX93" s="122"/>
      <c r="HY93" s="122"/>
      <c r="HZ93" s="122"/>
      <c r="IA93" s="122"/>
      <c r="IB93" s="122"/>
      <c r="IC93" s="122"/>
      <c r="ID93" s="122"/>
      <c r="IE93" s="122"/>
      <c r="IF93" s="122"/>
      <c r="IG93" s="122"/>
      <c r="IH93" s="122"/>
      <c r="II93" s="122"/>
      <c r="IJ93" s="122"/>
      <c r="IK93" s="122"/>
      <c r="IL93" s="122"/>
      <c r="IM93" s="122"/>
      <c r="IN93" s="122"/>
      <c r="IO93" s="122"/>
      <c r="IP93" s="122"/>
      <c r="IQ93" s="122"/>
      <c r="IR93" s="122"/>
      <c r="IS93" s="122"/>
      <c r="IT93" s="122"/>
      <c r="IU93" s="122"/>
      <c r="IV93" s="122"/>
      <c r="IW93" s="122"/>
      <c r="IX93" s="122"/>
      <c r="IY93" s="122"/>
      <c r="IZ93" s="122"/>
      <c r="JA93" s="122"/>
      <c r="JB93" s="122"/>
      <c r="JC93" s="122"/>
      <c r="JD93" s="122"/>
      <c r="JE93" s="122"/>
      <c r="JF93" s="122"/>
      <c r="JG93" s="122"/>
      <c r="JH93" s="122"/>
      <c r="JI93" s="119">
        <f t="shared" si="7"/>
        <v>0</v>
      </c>
      <c r="JJ93" s="1"/>
      <c r="JK93" s="2"/>
      <c r="JL93" s="1"/>
      <c r="JM93" s="1"/>
      <c r="JN93" s="1"/>
      <c r="JO93" s="1"/>
      <c r="JP93" s="1"/>
    </row>
    <row r="94" spans="1:276" x14ac:dyDescent="0.25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  <c r="AO94" s="122"/>
      <c r="AP94" s="122"/>
      <c r="AQ94" s="122"/>
      <c r="AR94" s="122"/>
      <c r="AS94" s="122"/>
      <c r="AT94" s="122"/>
      <c r="AU94" s="122"/>
      <c r="AV94" s="122"/>
      <c r="AW94" s="122"/>
      <c r="AX94" s="122"/>
      <c r="AY94" s="122"/>
      <c r="AZ94" s="122"/>
      <c r="BA94" s="122"/>
      <c r="BB94" s="122"/>
      <c r="BC94" s="122"/>
      <c r="BD94" s="122"/>
      <c r="BE94" s="122"/>
      <c r="BF94" s="122"/>
      <c r="BG94" s="122"/>
      <c r="BH94" s="122"/>
      <c r="BI94" s="122"/>
      <c r="BJ94" s="122"/>
      <c r="BK94" s="122"/>
      <c r="BL94" s="122"/>
      <c r="BM94" s="122"/>
      <c r="BN94" s="122"/>
      <c r="BO94" s="122"/>
      <c r="BP94" s="122"/>
      <c r="BQ94" s="122"/>
      <c r="BR94" s="122"/>
      <c r="BS94" s="122"/>
      <c r="BT94" s="122"/>
      <c r="BU94" s="122"/>
      <c r="BV94" s="122"/>
      <c r="BW94" s="122"/>
      <c r="BX94" s="122"/>
      <c r="BY94" s="122"/>
      <c r="BZ94" s="122"/>
      <c r="CA94" s="122"/>
      <c r="CB94" s="122"/>
      <c r="CC94" s="122"/>
      <c r="CD94" s="122"/>
      <c r="CE94" s="122"/>
      <c r="CF94" s="122"/>
      <c r="CG94" s="122"/>
      <c r="CH94" s="122"/>
      <c r="CI94" s="122"/>
      <c r="CJ94" s="122"/>
      <c r="CK94" s="122"/>
      <c r="CL94" s="122"/>
      <c r="CM94" s="122"/>
      <c r="CN94" s="122"/>
      <c r="CO94" s="122"/>
      <c r="CP94" s="122"/>
      <c r="CQ94" s="122"/>
      <c r="CR94" s="122"/>
      <c r="CS94" s="122"/>
      <c r="CT94" s="122"/>
      <c r="CU94" s="122"/>
      <c r="CV94" s="122"/>
      <c r="CW94" s="122"/>
      <c r="CX94" s="122"/>
      <c r="CY94" s="122"/>
      <c r="CZ94" s="122"/>
      <c r="DA94" s="122"/>
      <c r="DB94" s="122"/>
      <c r="DC94" s="122"/>
      <c r="DD94" s="122"/>
      <c r="DE94" s="122"/>
      <c r="DF94" s="122"/>
      <c r="DG94" s="122"/>
      <c r="DH94" s="122"/>
      <c r="DI94" s="122"/>
      <c r="DJ94" s="122"/>
      <c r="DK94" s="122"/>
      <c r="DL94" s="122"/>
      <c r="DM94" s="122"/>
      <c r="DN94" s="122"/>
      <c r="DO94" s="122"/>
      <c r="DP94" s="122"/>
      <c r="DQ94" s="122"/>
      <c r="DR94" s="122"/>
      <c r="DS94" s="122"/>
      <c r="DT94" s="122"/>
      <c r="DU94" s="122"/>
      <c r="DV94" s="122"/>
      <c r="DW94" s="122"/>
      <c r="DX94" s="122"/>
      <c r="DY94" s="122"/>
      <c r="DZ94" s="122"/>
      <c r="EA94" s="122"/>
      <c r="EB94" s="122"/>
      <c r="EC94" s="122"/>
      <c r="ED94" s="122"/>
      <c r="EE94" s="122"/>
      <c r="EF94" s="122"/>
      <c r="EG94" s="122"/>
      <c r="EH94" s="122"/>
      <c r="EI94" s="122"/>
      <c r="EJ94" s="122"/>
      <c r="EK94" s="122"/>
      <c r="EL94" s="122"/>
      <c r="EM94" s="122"/>
      <c r="EN94" s="122"/>
      <c r="EO94" s="122"/>
      <c r="EP94" s="122"/>
      <c r="EQ94" s="122"/>
      <c r="ER94" s="122"/>
      <c r="ES94" s="122"/>
      <c r="ET94" s="122"/>
      <c r="EU94" s="122"/>
      <c r="EV94" s="122"/>
      <c r="EW94" s="122"/>
      <c r="EX94" s="122"/>
      <c r="EY94" s="122"/>
      <c r="EZ94" s="122"/>
      <c r="FA94" s="122"/>
      <c r="FB94" s="122"/>
      <c r="FC94" s="122"/>
      <c r="FD94" s="122"/>
      <c r="FE94" s="122"/>
      <c r="FF94" s="122"/>
      <c r="FG94" s="122"/>
      <c r="FH94" s="122"/>
      <c r="FI94" s="122"/>
      <c r="FJ94" s="122"/>
      <c r="FK94" s="122"/>
      <c r="FL94" s="122"/>
      <c r="FM94" s="122"/>
      <c r="FN94" s="122"/>
      <c r="FO94" s="122"/>
      <c r="FP94" s="122"/>
      <c r="FQ94" s="122"/>
      <c r="FR94" s="122"/>
      <c r="FS94" s="122"/>
      <c r="FT94" s="122"/>
      <c r="FU94" s="122"/>
      <c r="FV94" s="122"/>
      <c r="FW94" s="122"/>
      <c r="FX94" s="122"/>
      <c r="FY94" s="122"/>
      <c r="FZ94" s="122"/>
      <c r="GA94" s="122"/>
      <c r="GB94" s="122"/>
      <c r="GC94" s="122"/>
      <c r="GD94" s="122"/>
      <c r="GE94" s="122"/>
      <c r="GF94" s="122"/>
      <c r="GG94" s="122"/>
      <c r="GH94" s="122"/>
      <c r="GI94" s="122"/>
      <c r="GJ94" s="122"/>
      <c r="GK94" s="122"/>
      <c r="GL94" s="122"/>
      <c r="GM94" s="122"/>
      <c r="GN94" s="122"/>
      <c r="GO94" s="122"/>
      <c r="GP94" s="122"/>
      <c r="GQ94" s="122"/>
      <c r="GR94" s="122"/>
      <c r="GS94" s="122"/>
      <c r="GT94" s="122"/>
      <c r="GU94" s="122"/>
      <c r="GV94" s="122"/>
      <c r="GW94" s="122"/>
      <c r="GX94" s="122"/>
      <c r="GY94" s="122"/>
      <c r="GZ94" s="122"/>
      <c r="HA94" s="122"/>
      <c r="HB94" s="122"/>
      <c r="HC94" s="122"/>
      <c r="HD94" s="122"/>
      <c r="HE94" s="122"/>
      <c r="HF94" s="122"/>
      <c r="HG94" s="122"/>
      <c r="HH94" s="122"/>
      <c r="HI94" s="122"/>
      <c r="HJ94" s="122"/>
      <c r="HK94" s="122"/>
      <c r="HL94" s="122"/>
      <c r="HM94" s="122"/>
      <c r="HN94" s="122"/>
      <c r="HO94" s="122"/>
      <c r="HP94" s="122"/>
      <c r="HQ94" s="122"/>
      <c r="HR94" s="122"/>
      <c r="HS94" s="122"/>
      <c r="HT94" s="122"/>
      <c r="HU94" s="122"/>
      <c r="HV94" s="122"/>
      <c r="HW94" s="122"/>
      <c r="HX94" s="122"/>
      <c r="HY94" s="122"/>
      <c r="HZ94" s="122"/>
      <c r="IA94" s="122"/>
      <c r="IB94" s="122"/>
      <c r="IC94" s="122"/>
      <c r="ID94" s="122"/>
      <c r="IE94" s="122"/>
      <c r="IF94" s="122"/>
      <c r="IG94" s="122"/>
      <c r="IH94" s="122"/>
      <c r="II94" s="122"/>
      <c r="IJ94" s="122"/>
      <c r="IK94" s="122"/>
      <c r="IL94" s="122"/>
      <c r="IM94" s="122"/>
      <c r="IN94" s="122"/>
      <c r="IO94" s="122"/>
      <c r="IP94" s="122"/>
      <c r="IQ94" s="122"/>
      <c r="IR94" s="122"/>
      <c r="IS94" s="122"/>
      <c r="IT94" s="122"/>
      <c r="IU94" s="122"/>
      <c r="IV94" s="122"/>
      <c r="IW94" s="122"/>
      <c r="IX94" s="122"/>
      <c r="IY94" s="122"/>
      <c r="IZ94" s="122"/>
      <c r="JA94" s="122"/>
      <c r="JB94" s="122"/>
      <c r="JC94" s="122"/>
      <c r="JD94" s="122"/>
      <c r="JE94" s="122"/>
      <c r="JF94" s="122"/>
      <c r="JG94" s="122"/>
      <c r="JH94" s="122"/>
      <c r="JI94" s="119">
        <f t="shared" si="7"/>
        <v>0</v>
      </c>
      <c r="JJ94" s="1"/>
      <c r="JK94" s="2"/>
      <c r="JL94" s="1"/>
      <c r="JM94" s="1"/>
      <c r="JN94" s="1"/>
      <c r="JO94" s="1"/>
      <c r="JP94" s="1"/>
    </row>
    <row r="95" spans="1:276" x14ac:dyDescent="0.25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  <c r="AO95" s="122"/>
      <c r="AP95" s="122"/>
      <c r="AQ95" s="122"/>
      <c r="AR95" s="122"/>
      <c r="AS95" s="122"/>
      <c r="AT95" s="122"/>
      <c r="AU95" s="122"/>
      <c r="AV95" s="122"/>
      <c r="AW95" s="122"/>
      <c r="AX95" s="122"/>
      <c r="AY95" s="122"/>
      <c r="AZ95" s="122"/>
      <c r="BA95" s="122"/>
      <c r="BB95" s="122"/>
      <c r="BC95" s="122"/>
      <c r="BD95" s="122"/>
      <c r="BE95" s="122"/>
      <c r="BF95" s="122"/>
      <c r="BG95" s="122"/>
      <c r="BH95" s="122"/>
      <c r="BI95" s="122"/>
      <c r="BJ95" s="122"/>
      <c r="BK95" s="122"/>
      <c r="BL95" s="122"/>
      <c r="BM95" s="122"/>
      <c r="BN95" s="122"/>
      <c r="BO95" s="122"/>
      <c r="BP95" s="122"/>
      <c r="BQ95" s="122"/>
      <c r="BR95" s="122"/>
      <c r="BS95" s="122"/>
      <c r="BT95" s="122"/>
      <c r="BU95" s="122"/>
      <c r="BV95" s="122"/>
      <c r="BW95" s="122"/>
      <c r="BX95" s="122"/>
      <c r="BY95" s="122"/>
      <c r="BZ95" s="122"/>
      <c r="CA95" s="122"/>
      <c r="CB95" s="122"/>
      <c r="CC95" s="122"/>
      <c r="CD95" s="122"/>
      <c r="CE95" s="122"/>
      <c r="CF95" s="122"/>
      <c r="CG95" s="122"/>
      <c r="CH95" s="122"/>
      <c r="CI95" s="122"/>
      <c r="CJ95" s="122"/>
      <c r="CK95" s="122"/>
      <c r="CL95" s="122"/>
      <c r="CM95" s="122"/>
      <c r="CN95" s="122"/>
      <c r="CO95" s="122"/>
      <c r="CP95" s="122"/>
      <c r="CQ95" s="122"/>
      <c r="CR95" s="122"/>
      <c r="CS95" s="122"/>
      <c r="CT95" s="122"/>
      <c r="CU95" s="122"/>
      <c r="CV95" s="122"/>
      <c r="CW95" s="122"/>
      <c r="CX95" s="122"/>
      <c r="CY95" s="122"/>
      <c r="CZ95" s="122"/>
      <c r="DA95" s="122"/>
      <c r="DB95" s="122"/>
      <c r="DC95" s="122"/>
      <c r="DD95" s="122"/>
      <c r="DE95" s="122"/>
      <c r="DF95" s="122"/>
      <c r="DG95" s="122"/>
      <c r="DH95" s="122"/>
      <c r="DI95" s="122"/>
      <c r="DJ95" s="122"/>
      <c r="DK95" s="122"/>
      <c r="DL95" s="122"/>
      <c r="DM95" s="122"/>
      <c r="DN95" s="122"/>
      <c r="DO95" s="122"/>
      <c r="DP95" s="122"/>
      <c r="DQ95" s="122"/>
      <c r="DR95" s="122"/>
      <c r="DS95" s="122"/>
      <c r="DT95" s="122"/>
      <c r="DU95" s="122"/>
      <c r="DV95" s="122"/>
      <c r="DW95" s="122"/>
      <c r="DX95" s="122"/>
      <c r="DY95" s="122"/>
      <c r="DZ95" s="122"/>
      <c r="EA95" s="122"/>
      <c r="EB95" s="122"/>
      <c r="EC95" s="122"/>
      <c r="ED95" s="122"/>
      <c r="EE95" s="122"/>
      <c r="EF95" s="122"/>
      <c r="EG95" s="122"/>
      <c r="EH95" s="122"/>
      <c r="EI95" s="122"/>
      <c r="EJ95" s="122"/>
      <c r="EK95" s="122"/>
      <c r="EL95" s="122"/>
      <c r="EM95" s="122"/>
      <c r="EN95" s="122"/>
      <c r="EO95" s="122"/>
      <c r="EP95" s="122"/>
      <c r="EQ95" s="122"/>
      <c r="ER95" s="122"/>
      <c r="ES95" s="122"/>
      <c r="ET95" s="122"/>
      <c r="EU95" s="122"/>
      <c r="EV95" s="122"/>
      <c r="EW95" s="122"/>
      <c r="EX95" s="122"/>
      <c r="EY95" s="122"/>
      <c r="EZ95" s="122"/>
      <c r="FA95" s="122"/>
      <c r="FB95" s="122"/>
      <c r="FC95" s="122"/>
      <c r="FD95" s="122"/>
      <c r="FE95" s="122"/>
      <c r="FF95" s="122"/>
      <c r="FG95" s="122"/>
      <c r="FH95" s="122"/>
      <c r="FI95" s="122"/>
      <c r="FJ95" s="122"/>
      <c r="FK95" s="122"/>
      <c r="FL95" s="122"/>
      <c r="FM95" s="122"/>
      <c r="FN95" s="122"/>
      <c r="FO95" s="122"/>
      <c r="FP95" s="122"/>
      <c r="FQ95" s="122"/>
      <c r="FR95" s="122"/>
      <c r="FS95" s="122"/>
      <c r="FT95" s="122"/>
      <c r="FU95" s="122"/>
      <c r="FV95" s="122"/>
      <c r="FW95" s="122"/>
      <c r="FX95" s="122"/>
      <c r="FY95" s="122"/>
      <c r="FZ95" s="122"/>
      <c r="GA95" s="122"/>
      <c r="GB95" s="122"/>
      <c r="GC95" s="122"/>
      <c r="GD95" s="122"/>
      <c r="GE95" s="122"/>
      <c r="GF95" s="122"/>
      <c r="GG95" s="122"/>
      <c r="GH95" s="122"/>
      <c r="GI95" s="122"/>
      <c r="GJ95" s="122"/>
      <c r="GK95" s="122"/>
      <c r="GL95" s="122"/>
      <c r="GM95" s="122"/>
      <c r="GN95" s="122"/>
      <c r="GO95" s="122"/>
      <c r="GP95" s="122"/>
      <c r="GQ95" s="122"/>
      <c r="GR95" s="122"/>
      <c r="GS95" s="122"/>
      <c r="GT95" s="122"/>
      <c r="GU95" s="122"/>
      <c r="GV95" s="122"/>
      <c r="GW95" s="122"/>
      <c r="GX95" s="122"/>
      <c r="GY95" s="122"/>
      <c r="GZ95" s="122"/>
      <c r="HA95" s="122"/>
      <c r="HB95" s="122"/>
      <c r="HC95" s="122"/>
      <c r="HD95" s="122"/>
      <c r="HE95" s="122"/>
      <c r="HF95" s="122"/>
      <c r="HG95" s="122"/>
      <c r="HH95" s="122"/>
      <c r="HI95" s="122"/>
      <c r="HJ95" s="122"/>
      <c r="HK95" s="122"/>
      <c r="HL95" s="122"/>
      <c r="HM95" s="122"/>
      <c r="HN95" s="122"/>
      <c r="HO95" s="122"/>
      <c r="HP95" s="122"/>
      <c r="HQ95" s="122"/>
      <c r="HR95" s="122"/>
      <c r="HS95" s="122"/>
      <c r="HT95" s="122"/>
      <c r="HU95" s="122"/>
      <c r="HV95" s="122"/>
      <c r="HW95" s="122"/>
      <c r="HX95" s="122"/>
      <c r="HY95" s="122"/>
      <c r="HZ95" s="122"/>
      <c r="IA95" s="122"/>
      <c r="IB95" s="122"/>
      <c r="IC95" s="122"/>
      <c r="ID95" s="122"/>
      <c r="IE95" s="122"/>
      <c r="IF95" s="122"/>
      <c r="IG95" s="122"/>
      <c r="IH95" s="122"/>
      <c r="II95" s="122"/>
      <c r="IJ95" s="122"/>
      <c r="IK95" s="122"/>
      <c r="IL95" s="122"/>
      <c r="IM95" s="122"/>
      <c r="IN95" s="122"/>
      <c r="IO95" s="122"/>
      <c r="IP95" s="122"/>
      <c r="IQ95" s="122"/>
      <c r="IR95" s="122"/>
      <c r="IS95" s="122"/>
      <c r="IT95" s="122"/>
      <c r="IU95" s="122"/>
      <c r="IV95" s="122"/>
      <c r="IW95" s="122"/>
      <c r="IX95" s="122"/>
      <c r="IY95" s="122"/>
      <c r="IZ95" s="122"/>
      <c r="JA95" s="122"/>
      <c r="JB95" s="122"/>
      <c r="JC95" s="122"/>
      <c r="JD95" s="122"/>
      <c r="JE95" s="122"/>
      <c r="JF95" s="122"/>
      <c r="JG95" s="122"/>
      <c r="JH95" s="122"/>
      <c r="JI95" s="119">
        <f t="shared" si="7"/>
        <v>0</v>
      </c>
      <c r="JJ95" s="1"/>
      <c r="JK95" s="2"/>
      <c r="JL95" s="1"/>
      <c r="JM95" s="1"/>
      <c r="JN95" s="1"/>
      <c r="JO95" s="1"/>
      <c r="JP95" s="1"/>
    </row>
    <row r="96" spans="1:276" x14ac:dyDescent="0.25">
      <c r="A96" s="119">
        <f>SUM(A82:A95)</f>
        <v>0</v>
      </c>
      <c r="B96" s="119">
        <f t="shared" ref="B96:BM96" si="8">SUM(B82:B95)</f>
        <v>0</v>
      </c>
      <c r="C96" s="119">
        <f t="shared" si="8"/>
        <v>0</v>
      </c>
      <c r="D96" s="119">
        <f t="shared" si="8"/>
        <v>0</v>
      </c>
      <c r="E96" s="119">
        <f t="shared" si="8"/>
        <v>0</v>
      </c>
      <c r="F96" s="119">
        <f t="shared" si="8"/>
        <v>0</v>
      </c>
      <c r="G96" s="119">
        <f t="shared" si="8"/>
        <v>0</v>
      </c>
      <c r="H96" s="119">
        <f t="shared" si="8"/>
        <v>0</v>
      </c>
      <c r="I96" s="119">
        <f t="shared" si="8"/>
        <v>0</v>
      </c>
      <c r="J96" s="119">
        <f t="shared" si="8"/>
        <v>0</v>
      </c>
      <c r="K96" s="119">
        <f t="shared" si="8"/>
        <v>0</v>
      </c>
      <c r="L96" s="119">
        <f t="shared" si="8"/>
        <v>0</v>
      </c>
      <c r="M96" s="119">
        <f t="shared" si="8"/>
        <v>0</v>
      </c>
      <c r="N96" s="119">
        <f t="shared" si="8"/>
        <v>0</v>
      </c>
      <c r="O96" s="119">
        <f t="shared" si="8"/>
        <v>0</v>
      </c>
      <c r="P96" s="119">
        <f t="shared" si="8"/>
        <v>0</v>
      </c>
      <c r="Q96" s="119">
        <f t="shared" si="8"/>
        <v>0</v>
      </c>
      <c r="R96" s="119">
        <f t="shared" si="8"/>
        <v>0</v>
      </c>
      <c r="S96" s="119">
        <f t="shared" si="8"/>
        <v>0</v>
      </c>
      <c r="T96" s="119">
        <f t="shared" si="8"/>
        <v>0</v>
      </c>
      <c r="U96" s="119">
        <f t="shared" si="8"/>
        <v>0</v>
      </c>
      <c r="V96" s="119">
        <f t="shared" si="8"/>
        <v>0</v>
      </c>
      <c r="W96" s="119">
        <f t="shared" si="8"/>
        <v>0</v>
      </c>
      <c r="X96" s="119">
        <f t="shared" si="8"/>
        <v>0</v>
      </c>
      <c r="Y96" s="119">
        <f t="shared" si="8"/>
        <v>0</v>
      </c>
      <c r="Z96" s="119">
        <f t="shared" si="8"/>
        <v>0</v>
      </c>
      <c r="AA96" s="119">
        <f t="shared" si="8"/>
        <v>0</v>
      </c>
      <c r="AB96" s="119">
        <f t="shared" si="8"/>
        <v>0</v>
      </c>
      <c r="AC96" s="119">
        <f t="shared" si="8"/>
        <v>0</v>
      </c>
      <c r="AD96" s="119">
        <f t="shared" si="8"/>
        <v>0</v>
      </c>
      <c r="AE96" s="119">
        <f t="shared" si="8"/>
        <v>0</v>
      </c>
      <c r="AF96" s="119">
        <f t="shared" si="8"/>
        <v>0</v>
      </c>
      <c r="AG96" s="119">
        <f t="shared" si="8"/>
        <v>0</v>
      </c>
      <c r="AH96" s="119">
        <f t="shared" si="8"/>
        <v>0</v>
      </c>
      <c r="AI96" s="119">
        <f t="shared" si="8"/>
        <v>0</v>
      </c>
      <c r="AJ96" s="119">
        <f t="shared" si="8"/>
        <v>0</v>
      </c>
      <c r="AK96" s="119">
        <f t="shared" si="8"/>
        <v>0</v>
      </c>
      <c r="AL96" s="119">
        <f t="shared" si="8"/>
        <v>0</v>
      </c>
      <c r="AM96" s="119">
        <f t="shared" si="8"/>
        <v>0</v>
      </c>
      <c r="AN96" s="119">
        <f t="shared" si="8"/>
        <v>0</v>
      </c>
      <c r="AO96" s="119">
        <f t="shared" si="8"/>
        <v>0</v>
      </c>
      <c r="AP96" s="119">
        <f t="shared" si="8"/>
        <v>0</v>
      </c>
      <c r="AQ96" s="119">
        <f t="shared" si="8"/>
        <v>0</v>
      </c>
      <c r="AR96" s="119">
        <f t="shared" si="8"/>
        <v>0</v>
      </c>
      <c r="AS96" s="119">
        <f t="shared" si="8"/>
        <v>0</v>
      </c>
      <c r="AT96" s="119">
        <f t="shared" si="8"/>
        <v>0</v>
      </c>
      <c r="AU96" s="119">
        <f t="shared" si="8"/>
        <v>0</v>
      </c>
      <c r="AV96" s="119">
        <f t="shared" si="8"/>
        <v>0</v>
      </c>
      <c r="AW96" s="119">
        <f t="shared" si="8"/>
        <v>0</v>
      </c>
      <c r="AX96" s="119">
        <f t="shared" si="8"/>
        <v>0</v>
      </c>
      <c r="AY96" s="119">
        <f t="shared" si="8"/>
        <v>0</v>
      </c>
      <c r="AZ96" s="119">
        <f t="shared" si="8"/>
        <v>0</v>
      </c>
      <c r="BA96" s="119">
        <f t="shared" si="8"/>
        <v>0</v>
      </c>
      <c r="BB96" s="119">
        <f t="shared" si="8"/>
        <v>0</v>
      </c>
      <c r="BC96" s="119">
        <f t="shared" si="8"/>
        <v>0</v>
      </c>
      <c r="BD96" s="119">
        <f t="shared" si="8"/>
        <v>0</v>
      </c>
      <c r="BE96" s="119">
        <f t="shared" si="8"/>
        <v>0</v>
      </c>
      <c r="BF96" s="119">
        <f t="shared" si="8"/>
        <v>0</v>
      </c>
      <c r="BG96" s="119">
        <f t="shared" si="8"/>
        <v>0</v>
      </c>
      <c r="BH96" s="119">
        <f t="shared" si="8"/>
        <v>0</v>
      </c>
      <c r="BI96" s="119">
        <f t="shared" si="8"/>
        <v>0</v>
      </c>
      <c r="BJ96" s="119">
        <f t="shared" si="8"/>
        <v>0</v>
      </c>
      <c r="BK96" s="119">
        <f t="shared" si="8"/>
        <v>0</v>
      </c>
      <c r="BL96" s="119">
        <f t="shared" si="8"/>
        <v>0</v>
      </c>
      <c r="BM96" s="119">
        <f t="shared" si="8"/>
        <v>0</v>
      </c>
      <c r="BN96" s="119">
        <f t="shared" ref="BN96:DY96" si="9">SUM(BN82:BN95)</f>
        <v>0</v>
      </c>
      <c r="BO96" s="119">
        <f t="shared" si="9"/>
        <v>0</v>
      </c>
      <c r="BP96" s="119">
        <f t="shared" si="9"/>
        <v>0</v>
      </c>
      <c r="BQ96" s="119">
        <f t="shared" si="9"/>
        <v>0</v>
      </c>
      <c r="BR96" s="119">
        <f t="shared" si="9"/>
        <v>0</v>
      </c>
      <c r="BS96" s="119">
        <f t="shared" si="9"/>
        <v>0</v>
      </c>
      <c r="BT96" s="119">
        <f t="shared" si="9"/>
        <v>0</v>
      </c>
      <c r="BU96" s="119">
        <f t="shared" si="9"/>
        <v>0</v>
      </c>
      <c r="BV96" s="119">
        <f t="shared" si="9"/>
        <v>0</v>
      </c>
      <c r="BW96" s="119">
        <f t="shared" si="9"/>
        <v>0</v>
      </c>
      <c r="BX96" s="119">
        <f t="shared" si="9"/>
        <v>0</v>
      </c>
      <c r="BY96" s="119">
        <f t="shared" si="9"/>
        <v>0</v>
      </c>
      <c r="BZ96" s="119">
        <f t="shared" si="9"/>
        <v>0</v>
      </c>
      <c r="CA96" s="119">
        <f t="shared" si="9"/>
        <v>0</v>
      </c>
      <c r="CB96" s="119">
        <f t="shared" si="9"/>
        <v>0</v>
      </c>
      <c r="CC96" s="119">
        <f t="shared" si="9"/>
        <v>0</v>
      </c>
      <c r="CD96" s="119">
        <f t="shared" si="9"/>
        <v>0</v>
      </c>
      <c r="CE96" s="119">
        <f t="shared" si="9"/>
        <v>0</v>
      </c>
      <c r="CF96" s="119">
        <f t="shared" si="9"/>
        <v>0</v>
      </c>
      <c r="CG96" s="119">
        <f t="shared" si="9"/>
        <v>0</v>
      </c>
      <c r="CH96" s="119">
        <f t="shared" si="9"/>
        <v>0</v>
      </c>
      <c r="CI96" s="119">
        <f t="shared" si="9"/>
        <v>0</v>
      </c>
      <c r="CJ96" s="119">
        <f t="shared" si="9"/>
        <v>0</v>
      </c>
      <c r="CK96" s="119">
        <f t="shared" si="9"/>
        <v>0</v>
      </c>
      <c r="CL96" s="119">
        <f t="shared" si="9"/>
        <v>0</v>
      </c>
      <c r="CM96" s="119">
        <f t="shared" si="9"/>
        <v>0</v>
      </c>
      <c r="CN96" s="119">
        <f t="shared" si="9"/>
        <v>0</v>
      </c>
      <c r="CO96" s="119">
        <f t="shared" si="9"/>
        <v>0</v>
      </c>
      <c r="CP96" s="119">
        <f t="shared" si="9"/>
        <v>0</v>
      </c>
      <c r="CQ96" s="119">
        <f t="shared" si="9"/>
        <v>0</v>
      </c>
      <c r="CR96" s="119">
        <f t="shared" si="9"/>
        <v>0</v>
      </c>
      <c r="CS96" s="119">
        <f t="shared" si="9"/>
        <v>0</v>
      </c>
      <c r="CT96" s="119">
        <f t="shared" si="9"/>
        <v>0</v>
      </c>
      <c r="CU96" s="119">
        <f t="shared" si="9"/>
        <v>0</v>
      </c>
      <c r="CV96" s="119">
        <f t="shared" si="9"/>
        <v>0</v>
      </c>
      <c r="CW96" s="119">
        <f t="shared" si="9"/>
        <v>0</v>
      </c>
      <c r="CX96" s="119">
        <f t="shared" si="9"/>
        <v>0</v>
      </c>
      <c r="CY96" s="119">
        <f t="shared" si="9"/>
        <v>0</v>
      </c>
      <c r="CZ96" s="119">
        <f t="shared" si="9"/>
        <v>0</v>
      </c>
      <c r="DA96" s="119">
        <f t="shared" si="9"/>
        <v>0</v>
      </c>
      <c r="DB96" s="119">
        <f t="shared" si="9"/>
        <v>0</v>
      </c>
      <c r="DC96" s="119">
        <f t="shared" si="9"/>
        <v>0</v>
      </c>
      <c r="DD96" s="119">
        <f t="shared" si="9"/>
        <v>0</v>
      </c>
      <c r="DE96" s="119">
        <f t="shared" si="9"/>
        <v>0</v>
      </c>
      <c r="DF96" s="119">
        <f t="shared" si="9"/>
        <v>0</v>
      </c>
      <c r="DG96" s="119">
        <f t="shared" si="9"/>
        <v>0</v>
      </c>
      <c r="DH96" s="119">
        <f t="shared" si="9"/>
        <v>0</v>
      </c>
      <c r="DI96" s="119">
        <f t="shared" si="9"/>
        <v>0</v>
      </c>
      <c r="DJ96" s="119">
        <f t="shared" si="9"/>
        <v>0</v>
      </c>
      <c r="DK96" s="119">
        <f t="shared" si="9"/>
        <v>0</v>
      </c>
      <c r="DL96" s="119">
        <f t="shared" si="9"/>
        <v>0</v>
      </c>
      <c r="DM96" s="119">
        <f t="shared" si="9"/>
        <v>0</v>
      </c>
      <c r="DN96" s="119">
        <f t="shared" si="9"/>
        <v>0</v>
      </c>
      <c r="DO96" s="119">
        <f t="shared" si="9"/>
        <v>0</v>
      </c>
      <c r="DP96" s="119">
        <f t="shared" si="9"/>
        <v>0</v>
      </c>
      <c r="DQ96" s="119">
        <f t="shared" si="9"/>
        <v>0</v>
      </c>
      <c r="DR96" s="119">
        <f t="shared" si="9"/>
        <v>0</v>
      </c>
      <c r="DS96" s="119">
        <f t="shared" si="9"/>
        <v>0</v>
      </c>
      <c r="DT96" s="119">
        <f t="shared" si="9"/>
        <v>0</v>
      </c>
      <c r="DU96" s="119">
        <f t="shared" si="9"/>
        <v>0</v>
      </c>
      <c r="DV96" s="119">
        <f t="shared" si="9"/>
        <v>0</v>
      </c>
      <c r="DW96" s="119">
        <f t="shared" si="9"/>
        <v>0</v>
      </c>
      <c r="DX96" s="119">
        <f t="shared" si="9"/>
        <v>0</v>
      </c>
      <c r="DY96" s="119">
        <f t="shared" si="9"/>
        <v>0</v>
      </c>
      <c r="DZ96" s="119">
        <f t="shared" ref="DZ96:GK96" si="10">SUM(DZ82:DZ95)</f>
        <v>0</v>
      </c>
      <c r="EA96" s="119">
        <f t="shared" si="10"/>
        <v>0</v>
      </c>
      <c r="EB96" s="119">
        <f t="shared" si="10"/>
        <v>0</v>
      </c>
      <c r="EC96" s="119">
        <f t="shared" si="10"/>
        <v>0</v>
      </c>
      <c r="ED96" s="119">
        <f t="shared" si="10"/>
        <v>0</v>
      </c>
      <c r="EE96" s="119">
        <f t="shared" si="10"/>
        <v>0</v>
      </c>
      <c r="EF96" s="119">
        <f t="shared" si="10"/>
        <v>0</v>
      </c>
      <c r="EG96" s="119">
        <f t="shared" si="10"/>
        <v>0</v>
      </c>
      <c r="EH96" s="119">
        <f t="shared" si="10"/>
        <v>0</v>
      </c>
      <c r="EI96" s="119">
        <f t="shared" si="10"/>
        <v>0</v>
      </c>
      <c r="EJ96" s="119">
        <f t="shared" si="10"/>
        <v>0</v>
      </c>
      <c r="EK96" s="119">
        <f t="shared" si="10"/>
        <v>0</v>
      </c>
      <c r="EL96" s="119">
        <f t="shared" si="10"/>
        <v>0</v>
      </c>
      <c r="EM96" s="119">
        <f t="shared" si="10"/>
        <v>0</v>
      </c>
      <c r="EN96" s="119">
        <f t="shared" si="10"/>
        <v>0</v>
      </c>
      <c r="EO96" s="119">
        <f t="shared" si="10"/>
        <v>0</v>
      </c>
      <c r="EP96" s="119">
        <f t="shared" si="10"/>
        <v>0</v>
      </c>
      <c r="EQ96" s="119">
        <f t="shared" si="10"/>
        <v>0</v>
      </c>
      <c r="ER96" s="119">
        <f t="shared" si="10"/>
        <v>0</v>
      </c>
      <c r="ES96" s="119">
        <f t="shared" si="10"/>
        <v>0</v>
      </c>
      <c r="ET96" s="119">
        <f t="shared" si="10"/>
        <v>0</v>
      </c>
      <c r="EU96" s="119">
        <f t="shared" si="10"/>
        <v>0</v>
      </c>
      <c r="EV96" s="119">
        <f t="shared" si="10"/>
        <v>0</v>
      </c>
      <c r="EW96" s="119">
        <f t="shared" si="10"/>
        <v>0</v>
      </c>
      <c r="EX96" s="119">
        <f t="shared" si="10"/>
        <v>0</v>
      </c>
      <c r="EY96" s="119">
        <f t="shared" si="10"/>
        <v>0</v>
      </c>
      <c r="EZ96" s="119">
        <f t="shared" si="10"/>
        <v>0</v>
      </c>
      <c r="FA96" s="119">
        <f t="shared" si="10"/>
        <v>0</v>
      </c>
      <c r="FB96" s="119">
        <f t="shared" si="10"/>
        <v>0</v>
      </c>
      <c r="FC96" s="119">
        <f t="shared" si="10"/>
        <v>0</v>
      </c>
      <c r="FD96" s="119">
        <f t="shared" si="10"/>
        <v>0</v>
      </c>
      <c r="FE96" s="119">
        <f t="shared" si="10"/>
        <v>0</v>
      </c>
      <c r="FF96" s="119">
        <f t="shared" si="10"/>
        <v>0</v>
      </c>
      <c r="FG96" s="119">
        <f t="shared" si="10"/>
        <v>0</v>
      </c>
      <c r="FH96" s="119">
        <f t="shared" si="10"/>
        <v>0</v>
      </c>
      <c r="FI96" s="119">
        <f t="shared" si="10"/>
        <v>0</v>
      </c>
      <c r="FJ96" s="119">
        <f t="shared" si="10"/>
        <v>0</v>
      </c>
      <c r="FK96" s="119">
        <f t="shared" si="10"/>
        <v>0</v>
      </c>
      <c r="FL96" s="119">
        <f t="shared" si="10"/>
        <v>0</v>
      </c>
      <c r="FM96" s="119">
        <f t="shared" si="10"/>
        <v>0</v>
      </c>
      <c r="FN96" s="119">
        <f t="shared" si="10"/>
        <v>0</v>
      </c>
      <c r="FO96" s="119">
        <f t="shared" si="10"/>
        <v>0</v>
      </c>
      <c r="FP96" s="119">
        <f t="shared" si="10"/>
        <v>0</v>
      </c>
      <c r="FQ96" s="119">
        <f t="shared" si="10"/>
        <v>0</v>
      </c>
      <c r="FR96" s="119">
        <f t="shared" si="10"/>
        <v>0</v>
      </c>
      <c r="FS96" s="119">
        <f t="shared" si="10"/>
        <v>0</v>
      </c>
      <c r="FT96" s="119">
        <f t="shared" si="10"/>
        <v>0</v>
      </c>
      <c r="FU96" s="119">
        <f t="shared" si="10"/>
        <v>0</v>
      </c>
      <c r="FV96" s="119">
        <f t="shared" si="10"/>
        <v>0</v>
      </c>
      <c r="FW96" s="119">
        <f t="shared" si="10"/>
        <v>0</v>
      </c>
      <c r="FX96" s="119">
        <f t="shared" si="10"/>
        <v>0</v>
      </c>
      <c r="FY96" s="119">
        <f t="shared" si="10"/>
        <v>0</v>
      </c>
      <c r="FZ96" s="119">
        <f t="shared" si="10"/>
        <v>0</v>
      </c>
      <c r="GA96" s="119">
        <f t="shared" si="10"/>
        <v>0</v>
      </c>
      <c r="GB96" s="119">
        <f t="shared" si="10"/>
        <v>0</v>
      </c>
      <c r="GC96" s="119">
        <f t="shared" si="10"/>
        <v>0</v>
      </c>
      <c r="GD96" s="119">
        <f t="shared" si="10"/>
        <v>0</v>
      </c>
      <c r="GE96" s="119">
        <f t="shared" si="10"/>
        <v>0</v>
      </c>
      <c r="GF96" s="119">
        <f t="shared" si="10"/>
        <v>0</v>
      </c>
      <c r="GG96" s="119">
        <f t="shared" si="10"/>
        <v>0</v>
      </c>
      <c r="GH96" s="119">
        <f t="shared" si="10"/>
        <v>0</v>
      </c>
      <c r="GI96" s="119">
        <f t="shared" si="10"/>
        <v>0</v>
      </c>
      <c r="GJ96" s="119">
        <f t="shared" si="10"/>
        <v>0</v>
      </c>
      <c r="GK96" s="119">
        <f t="shared" si="10"/>
        <v>0</v>
      </c>
      <c r="GL96" s="119">
        <f t="shared" ref="GL96:IW96" si="11">SUM(GL82:GL95)</f>
        <v>0</v>
      </c>
      <c r="GM96" s="119">
        <f t="shared" si="11"/>
        <v>0</v>
      </c>
      <c r="GN96" s="119">
        <f t="shared" si="11"/>
        <v>0</v>
      </c>
      <c r="GO96" s="119">
        <f t="shared" si="11"/>
        <v>0</v>
      </c>
      <c r="GP96" s="119">
        <f t="shared" si="11"/>
        <v>0</v>
      </c>
      <c r="GQ96" s="119">
        <f t="shared" si="11"/>
        <v>0</v>
      </c>
      <c r="GR96" s="119">
        <f t="shared" si="11"/>
        <v>0</v>
      </c>
      <c r="GS96" s="119">
        <f t="shared" si="11"/>
        <v>0</v>
      </c>
      <c r="GT96" s="119">
        <f t="shared" si="11"/>
        <v>0</v>
      </c>
      <c r="GU96" s="119">
        <f t="shared" si="11"/>
        <v>0</v>
      </c>
      <c r="GV96" s="119">
        <f t="shared" si="11"/>
        <v>0</v>
      </c>
      <c r="GW96" s="119">
        <f t="shared" si="11"/>
        <v>0</v>
      </c>
      <c r="GX96" s="119">
        <f t="shared" si="11"/>
        <v>0</v>
      </c>
      <c r="GY96" s="119">
        <f t="shared" si="11"/>
        <v>0</v>
      </c>
      <c r="GZ96" s="119">
        <f t="shared" si="11"/>
        <v>0</v>
      </c>
      <c r="HA96" s="119">
        <f t="shared" si="11"/>
        <v>0</v>
      </c>
      <c r="HB96" s="119">
        <f t="shared" si="11"/>
        <v>0</v>
      </c>
      <c r="HC96" s="119">
        <f t="shared" si="11"/>
        <v>0</v>
      </c>
      <c r="HD96" s="119">
        <f t="shared" si="11"/>
        <v>0</v>
      </c>
      <c r="HE96" s="119">
        <f t="shared" si="11"/>
        <v>0</v>
      </c>
      <c r="HF96" s="119">
        <f t="shared" si="11"/>
        <v>0</v>
      </c>
      <c r="HG96" s="119">
        <f t="shared" si="11"/>
        <v>0</v>
      </c>
      <c r="HH96" s="119">
        <f t="shared" si="11"/>
        <v>0</v>
      </c>
      <c r="HI96" s="119">
        <f t="shared" si="11"/>
        <v>0</v>
      </c>
      <c r="HJ96" s="119">
        <f t="shared" si="11"/>
        <v>0</v>
      </c>
      <c r="HK96" s="119">
        <f t="shared" si="11"/>
        <v>0</v>
      </c>
      <c r="HL96" s="119">
        <f t="shared" si="11"/>
        <v>0</v>
      </c>
      <c r="HM96" s="119">
        <f t="shared" si="11"/>
        <v>0</v>
      </c>
      <c r="HN96" s="119">
        <f t="shared" si="11"/>
        <v>0</v>
      </c>
      <c r="HO96" s="119">
        <f t="shared" si="11"/>
        <v>0</v>
      </c>
      <c r="HP96" s="119">
        <f t="shared" si="11"/>
        <v>0</v>
      </c>
      <c r="HQ96" s="119">
        <f t="shared" si="11"/>
        <v>0</v>
      </c>
      <c r="HR96" s="119">
        <f t="shared" si="11"/>
        <v>0</v>
      </c>
      <c r="HS96" s="119">
        <f t="shared" si="11"/>
        <v>0</v>
      </c>
      <c r="HT96" s="119">
        <f t="shared" si="11"/>
        <v>0</v>
      </c>
      <c r="HU96" s="119">
        <f t="shared" si="11"/>
        <v>0</v>
      </c>
      <c r="HV96" s="119">
        <f t="shared" si="11"/>
        <v>0</v>
      </c>
      <c r="HW96" s="119">
        <f t="shared" si="11"/>
        <v>0</v>
      </c>
      <c r="HX96" s="119">
        <f t="shared" si="11"/>
        <v>0</v>
      </c>
      <c r="HY96" s="119">
        <f t="shared" si="11"/>
        <v>0</v>
      </c>
      <c r="HZ96" s="119">
        <f t="shared" si="11"/>
        <v>0</v>
      </c>
      <c r="IA96" s="119">
        <f t="shared" si="11"/>
        <v>0</v>
      </c>
      <c r="IB96" s="119">
        <f t="shared" si="11"/>
        <v>0</v>
      </c>
      <c r="IC96" s="119">
        <f t="shared" si="11"/>
        <v>0</v>
      </c>
      <c r="ID96" s="119">
        <f t="shared" si="11"/>
        <v>0</v>
      </c>
      <c r="IE96" s="119">
        <f t="shared" si="11"/>
        <v>0</v>
      </c>
      <c r="IF96" s="119">
        <f t="shared" si="11"/>
        <v>0</v>
      </c>
      <c r="IG96" s="119">
        <f t="shared" si="11"/>
        <v>0</v>
      </c>
      <c r="IH96" s="119">
        <f t="shared" si="11"/>
        <v>0</v>
      </c>
      <c r="II96" s="119">
        <f t="shared" si="11"/>
        <v>0</v>
      </c>
      <c r="IJ96" s="119">
        <f t="shared" si="11"/>
        <v>0</v>
      </c>
      <c r="IK96" s="119">
        <f t="shared" si="11"/>
        <v>0</v>
      </c>
      <c r="IL96" s="119">
        <f t="shared" si="11"/>
        <v>0</v>
      </c>
      <c r="IM96" s="119">
        <f t="shared" si="11"/>
        <v>0</v>
      </c>
      <c r="IN96" s="119">
        <f t="shared" si="11"/>
        <v>0</v>
      </c>
      <c r="IO96" s="119">
        <f t="shared" si="11"/>
        <v>0</v>
      </c>
      <c r="IP96" s="119">
        <f t="shared" si="11"/>
        <v>0</v>
      </c>
      <c r="IQ96" s="119">
        <f t="shared" si="11"/>
        <v>0</v>
      </c>
      <c r="IR96" s="119">
        <f t="shared" si="11"/>
        <v>0</v>
      </c>
      <c r="IS96" s="119">
        <f t="shared" si="11"/>
        <v>0</v>
      </c>
      <c r="IT96" s="119">
        <f t="shared" si="11"/>
        <v>0</v>
      </c>
      <c r="IU96" s="119">
        <f t="shared" si="11"/>
        <v>0</v>
      </c>
      <c r="IV96" s="119">
        <f t="shared" si="11"/>
        <v>0</v>
      </c>
      <c r="IW96" s="119">
        <f t="shared" si="11"/>
        <v>0</v>
      </c>
      <c r="IX96" s="119">
        <f t="shared" ref="IX96:JH96" si="12">SUM(IX82:IX95)</f>
        <v>0</v>
      </c>
      <c r="IY96" s="119">
        <f t="shared" si="12"/>
        <v>0</v>
      </c>
      <c r="IZ96" s="119">
        <f t="shared" si="12"/>
        <v>0</v>
      </c>
      <c r="JA96" s="119">
        <f t="shared" si="12"/>
        <v>0</v>
      </c>
      <c r="JB96" s="119">
        <f t="shared" si="12"/>
        <v>0</v>
      </c>
      <c r="JC96" s="119">
        <f t="shared" si="12"/>
        <v>0</v>
      </c>
      <c r="JD96" s="119">
        <f t="shared" si="12"/>
        <v>0</v>
      </c>
      <c r="JE96" s="119">
        <f t="shared" si="12"/>
        <v>0</v>
      </c>
      <c r="JF96" s="119">
        <f t="shared" si="12"/>
        <v>0</v>
      </c>
      <c r="JG96" s="119">
        <f t="shared" si="12"/>
        <v>0</v>
      </c>
      <c r="JH96" s="119">
        <f t="shared" si="12"/>
        <v>0</v>
      </c>
      <c r="JI96" s="119">
        <f>SUM(JI82:JI95)</f>
        <v>0</v>
      </c>
      <c r="JJ96" s="1"/>
      <c r="JK96" s="2"/>
      <c r="JL96" s="1"/>
      <c r="JM96" s="1"/>
      <c r="JN96" s="1"/>
      <c r="JO96" s="1"/>
      <c r="JP96" s="1"/>
    </row>
    <row r="97" spans="1:276" x14ac:dyDescent="0.25">
      <c r="A97" s="119">
        <f>A80+A96</f>
        <v>59046800.350000001</v>
      </c>
      <c r="B97" s="119">
        <f t="shared" ref="B97:BM97" si="13">B80+B96</f>
        <v>0</v>
      </c>
      <c r="C97" s="119">
        <f t="shared" si="13"/>
        <v>0</v>
      </c>
      <c r="D97" s="119">
        <f t="shared" si="13"/>
        <v>0</v>
      </c>
      <c r="E97" s="119">
        <f t="shared" si="13"/>
        <v>0</v>
      </c>
      <c r="F97" s="119">
        <f t="shared" si="13"/>
        <v>0</v>
      </c>
      <c r="G97" s="119">
        <f t="shared" si="13"/>
        <v>0</v>
      </c>
      <c r="H97" s="119">
        <f t="shared" si="13"/>
        <v>0</v>
      </c>
      <c r="I97" s="119">
        <f t="shared" si="13"/>
        <v>0</v>
      </c>
      <c r="J97" s="119">
        <f t="shared" si="13"/>
        <v>1342531.03</v>
      </c>
      <c r="K97" s="119">
        <f t="shared" si="13"/>
        <v>0</v>
      </c>
      <c r="L97" s="119">
        <f t="shared" si="13"/>
        <v>0</v>
      </c>
      <c r="M97" s="119">
        <f t="shared" si="13"/>
        <v>0</v>
      </c>
      <c r="N97" s="119">
        <f t="shared" si="13"/>
        <v>60212858.700000003</v>
      </c>
      <c r="O97" s="119">
        <f t="shared" si="13"/>
        <v>0</v>
      </c>
      <c r="P97" s="119">
        <f t="shared" si="13"/>
        <v>0</v>
      </c>
      <c r="Q97" s="119">
        <f t="shared" si="13"/>
        <v>51000</v>
      </c>
      <c r="R97" s="119">
        <f t="shared" si="13"/>
        <v>479819.29</v>
      </c>
      <c r="S97" s="119">
        <f t="shared" si="13"/>
        <v>2652914.66</v>
      </c>
      <c r="T97" s="119">
        <f t="shared" si="13"/>
        <v>0</v>
      </c>
      <c r="U97" s="119">
        <f t="shared" si="13"/>
        <v>0</v>
      </c>
      <c r="V97" s="119">
        <f t="shared" si="13"/>
        <v>0</v>
      </c>
      <c r="W97" s="119">
        <f t="shared" si="13"/>
        <v>75000</v>
      </c>
      <c r="X97" s="119">
        <f t="shared" si="13"/>
        <v>0</v>
      </c>
      <c r="Y97" s="119">
        <f t="shared" si="13"/>
        <v>0</v>
      </c>
      <c r="Z97" s="119">
        <f t="shared" si="13"/>
        <v>317800</v>
      </c>
      <c r="AA97" s="119">
        <f t="shared" si="13"/>
        <v>0</v>
      </c>
      <c r="AB97" s="119">
        <f t="shared" si="13"/>
        <v>269735.52</v>
      </c>
      <c r="AC97" s="119">
        <f t="shared" si="13"/>
        <v>0</v>
      </c>
      <c r="AD97" s="119">
        <f t="shared" si="13"/>
        <v>0</v>
      </c>
      <c r="AE97" s="119">
        <f t="shared" si="13"/>
        <v>0</v>
      </c>
      <c r="AF97" s="119">
        <f t="shared" si="13"/>
        <v>0</v>
      </c>
      <c r="AG97" s="119">
        <f t="shared" si="13"/>
        <v>0</v>
      </c>
      <c r="AH97" s="119">
        <f t="shared" si="13"/>
        <v>0</v>
      </c>
      <c r="AI97" s="119">
        <f t="shared" si="13"/>
        <v>0</v>
      </c>
      <c r="AJ97" s="119">
        <f t="shared" si="13"/>
        <v>0</v>
      </c>
      <c r="AK97" s="119">
        <f t="shared" si="13"/>
        <v>4281604.3899999997</v>
      </c>
      <c r="AL97" s="119">
        <f t="shared" si="13"/>
        <v>4287644.2299999995</v>
      </c>
      <c r="AM97" s="119">
        <f t="shared" si="13"/>
        <v>723104.06</v>
      </c>
      <c r="AN97" s="119">
        <f t="shared" si="13"/>
        <v>0</v>
      </c>
      <c r="AO97" s="119">
        <f t="shared" si="13"/>
        <v>0</v>
      </c>
      <c r="AP97" s="119">
        <f t="shared" si="13"/>
        <v>0</v>
      </c>
      <c r="AQ97" s="119">
        <f t="shared" si="13"/>
        <v>0</v>
      </c>
      <c r="AR97" s="119">
        <f t="shared" si="13"/>
        <v>0</v>
      </c>
      <c r="AS97" s="119">
        <f t="shared" si="13"/>
        <v>0</v>
      </c>
      <c r="AT97" s="119">
        <f t="shared" si="13"/>
        <v>0</v>
      </c>
      <c r="AU97" s="119">
        <f t="shared" si="13"/>
        <v>0</v>
      </c>
      <c r="AV97" s="119">
        <f t="shared" si="13"/>
        <v>60535</v>
      </c>
      <c r="AW97" s="119">
        <f t="shared" si="13"/>
        <v>0</v>
      </c>
      <c r="AX97" s="119">
        <f t="shared" si="13"/>
        <v>0</v>
      </c>
      <c r="AY97" s="119">
        <f t="shared" si="13"/>
        <v>0</v>
      </c>
      <c r="AZ97" s="119">
        <f t="shared" si="13"/>
        <v>0</v>
      </c>
      <c r="BA97" s="119">
        <f t="shared" si="13"/>
        <v>0</v>
      </c>
      <c r="BB97" s="119">
        <f t="shared" si="13"/>
        <v>0</v>
      </c>
      <c r="BC97" s="119">
        <f t="shared" si="13"/>
        <v>0</v>
      </c>
      <c r="BD97" s="119">
        <f t="shared" si="13"/>
        <v>0</v>
      </c>
      <c r="BE97" s="119">
        <f t="shared" si="13"/>
        <v>0</v>
      </c>
      <c r="BF97" s="119">
        <f t="shared" si="13"/>
        <v>0</v>
      </c>
      <c r="BG97" s="119">
        <f t="shared" si="13"/>
        <v>0</v>
      </c>
      <c r="BH97" s="119">
        <f t="shared" si="13"/>
        <v>0</v>
      </c>
      <c r="BI97" s="119">
        <f t="shared" si="13"/>
        <v>0</v>
      </c>
      <c r="BJ97" s="119">
        <f t="shared" si="13"/>
        <v>0</v>
      </c>
      <c r="BK97" s="119">
        <f t="shared" si="13"/>
        <v>0</v>
      </c>
      <c r="BL97" s="119">
        <f t="shared" si="13"/>
        <v>0</v>
      </c>
      <c r="BM97" s="119">
        <f t="shared" si="13"/>
        <v>0</v>
      </c>
      <c r="BN97" s="119">
        <f t="shared" ref="BN97:DY97" si="14">BN80+BN96</f>
        <v>0</v>
      </c>
      <c r="BO97" s="119">
        <f t="shared" si="14"/>
        <v>0</v>
      </c>
      <c r="BP97" s="119">
        <f t="shared" si="14"/>
        <v>0</v>
      </c>
      <c r="BQ97" s="119">
        <f t="shared" si="14"/>
        <v>0</v>
      </c>
      <c r="BR97" s="119">
        <f t="shared" si="14"/>
        <v>0</v>
      </c>
      <c r="BS97" s="119">
        <f t="shared" si="14"/>
        <v>0</v>
      </c>
      <c r="BT97" s="119">
        <f t="shared" si="14"/>
        <v>0</v>
      </c>
      <c r="BU97" s="119">
        <f t="shared" si="14"/>
        <v>0</v>
      </c>
      <c r="BV97" s="119">
        <f t="shared" si="14"/>
        <v>0</v>
      </c>
      <c r="BW97" s="119">
        <f t="shared" si="14"/>
        <v>1575209.38</v>
      </c>
      <c r="BX97" s="119">
        <f t="shared" si="14"/>
        <v>30861.53</v>
      </c>
      <c r="BY97" s="119">
        <f t="shared" si="14"/>
        <v>0</v>
      </c>
      <c r="BZ97" s="119">
        <f t="shared" si="14"/>
        <v>0</v>
      </c>
      <c r="CA97" s="119">
        <f t="shared" si="14"/>
        <v>0</v>
      </c>
      <c r="CB97" s="119">
        <f t="shared" si="14"/>
        <v>0</v>
      </c>
      <c r="CC97" s="119">
        <f t="shared" si="14"/>
        <v>0</v>
      </c>
      <c r="CD97" s="119">
        <f t="shared" si="14"/>
        <v>0</v>
      </c>
      <c r="CE97" s="119">
        <f t="shared" si="14"/>
        <v>0</v>
      </c>
      <c r="CF97" s="119">
        <f t="shared" si="14"/>
        <v>0</v>
      </c>
      <c r="CG97" s="119">
        <f t="shared" si="14"/>
        <v>0</v>
      </c>
      <c r="CH97" s="119">
        <f t="shared" si="14"/>
        <v>5691.23</v>
      </c>
      <c r="CI97" s="119">
        <f t="shared" si="14"/>
        <v>0</v>
      </c>
      <c r="CJ97" s="119">
        <f t="shared" si="14"/>
        <v>0</v>
      </c>
      <c r="CK97" s="119">
        <f t="shared" si="14"/>
        <v>0</v>
      </c>
      <c r="CL97" s="119">
        <f t="shared" si="14"/>
        <v>0</v>
      </c>
      <c r="CM97" s="119">
        <f t="shared" si="14"/>
        <v>0</v>
      </c>
      <c r="CN97" s="119">
        <f t="shared" si="14"/>
        <v>0</v>
      </c>
      <c r="CO97" s="119">
        <f t="shared" si="14"/>
        <v>0</v>
      </c>
      <c r="CP97" s="119">
        <f t="shared" si="14"/>
        <v>0</v>
      </c>
      <c r="CQ97" s="119">
        <f t="shared" si="14"/>
        <v>224500</v>
      </c>
      <c r="CR97" s="119">
        <f t="shared" si="14"/>
        <v>0</v>
      </c>
      <c r="CS97" s="119">
        <f t="shared" si="14"/>
        <v>0</v>
      </c>
      <c r="CT97" s="119">
        <f t="shared" si="14"/>
        <v>0</v>
      </c>
      <c r="CU97" s="119">
        <f t="shared" si="14"/>
        <v>0</v>
      </c>
      <c r="CV97" s="119">
        <f t="shared" si="14"/>
        <v>0</v>
      </c>
      <c r="CW97" s="119">
        <f t="shared" si="14"/>
        <v>0</v>
      </c>
      <c r="CX97" s="119">
        <f t="shared" si="14"/>
        <v>0</v>
      </c>
      <c r="CY97" s="119">
        <f t="shared" si="14"/>
        <v>0</v>
      </c>
      <c r="CZ97" s="119">
        <f t="shared" si="14"/>
        <v>0</v>
      </c>
      <c r="DA97" s="119">
        <f t="shared" si="14"/>
        <v>0</v>
      </c>
      <c r="DB97" s="119">
        <f t="shared" si="14"/>
        <v>0</v>
      </c>
      <c r="DC97" s="119">
        <f t="shared" si="14"/>
        <v>0</v>
      </c>
      <c r="DD97" s="119">
        <f t="shared" si="14"/>
        <v>0</v>
      </c>
      <c r="DE97" s="119">
        <f t="shared" si="14"/>
        <v>0</v>
      </c>
      <c r="DF97" s="119">
        <f t="shared" si="14"/>
        <v>0</v>
      </c>
      <c r="DG97" s="119">
        <f t="shared" si="14"/>
        <v>0</v>
      </c>
      <c r="DH97" s="119">
        <f t="shared" si="14"/>
        <v>0</v>
      </c>
      <c r="DI97" s="119">
        <f t="shared" si="14"/>
        <v>0</v>
      </c>
      <c r="DJ97" s="119">
        <f t="shared" si="14"/>
        <v>0</v>
      </c>
      <c r="DK97" s="119">
        <f t="shared" si="14"/>
        <v>292565.2</v>
      </c>
      <c r="DL97" s="119">
        <f t="shared" si="14"/>
        <v>0</v>
      </c>
      <c r="DM97" s="119">
        <f t="shared" si="14"/>
        <v>0</v>
      </c>
      <c r="DN97" s="119">
        <f t="shared" si="14"/>
        <v>0</v>
      </c>
      <c r="DO97" s="119">
        <f t="shared" si="14"/>
        <v>0</v>
      </c>
      <c r="DP97" s="119">
        <f t="shared" si="14"/>
        <v>0</v>
      </c>
      <c r="DQ97" s="119">
        <f t="shared" si="14"/>
        <v>0</v>
      </c>
      <c r="DR97" s="119">
        <f t="shared" si="14"/>
        <v>557734.03</v>
      </c>
      <c r="DS97" s="119">
        <f t="shared" si="14"/>
        <v>0</v>
      </c>
      <c r="DT97" s="119">
        <f t="shared" si="14"/>
        <v>0</v>
      </c>
      <c r="DU97" s="119">
        <f t="shared" si="14"/>
        <v>0</v>
      </c>
      <c r="DV97" s="119">
        <f t="shared" si="14"/>
        <v>918335</v>
      </c>
      <c r="DW97" s="119">
        <f t="shared" si="14"/>
        <v>737205</v>
      </c>
      <c r="DX97" s="119">
        <f t="shared" si="14"/>
        <v>0</v>
      </c>
      <c r="DY97" s="119">
        <f t="shared" si="14"/>
        <v>0</v>
      </c>
      <c r="DZ97" s="119">
        <f t="shared" ref="DZ97:GK97" si="15">DZ80+DZ96</f>
        <v>0</v>
      </c>
      <c r="EA97" s="119">
        <f t="shared" si="15"/>
        <v>3574335</v>
      </c>
      <c r="EB97" s="119">
        <f t="shared" si="15"/>
        <v>0</v>
      </c>
      <c r="EC97" s="119">
        <f t="shared" si="15"/>
        <v>0</v>
      </c>
      <c r="ED97" s="119">
        <f t="shared" si="15"/>
        <v>0</v>
      </c>
      <c r="EE97" s="119">
        <f t="shared" si="15"/>
        <v>0</v>
      </c>
      <c r="EF97" s="119">
        <f t="shared" si="15"/>
        <v>0</v>
      </c>
      <c r="EG97" s="119">
        <f t="shared" si="15"/>
        <v>18154.650000000001</v>
      </c>
      <c r="EH97" s="119">
        <f t="shared" si="15"/>
        <v>0</v>
      </c>
      <c r="EI97" s="119">
        <f t="shared" si="15"/>
        <v>0</v>
      </c>
      <c r="EJ97" s="119">
        <f t="shared" si="15"/>
        <v>0</v>
      </c>
      <c r="EK97" s="119">
        <f t="shared" si="15"/>
        <v>0</v>
      </c>
      <c r="EL97" s="119">
        <f t="shared" si="15"/>
        <v>0</v>
      </c>
      <c r="EM97" s="119">
        <f t="shared" si="15"/>
        <v>0</v>
      </c>
      <c r="EN97" s="119">
        <f t="shared" si="15"/>
        <v>0</v>
      </c>
      <c r="EO97" s="119">
        <f t="shared" si="15"/>
        <v>0</v>
      </c>
      <c r="EP97" s="119">
        <f t="shared" si="15"/>
        <v>0</v>
      </c>
      <c r="EQ97" s="119">
        <f t="shared" si="15"/>
        <v>0</v>
      </c>
      <c r="ER97" s="119">
        <f t="shared" si="15"/>
        <v>0</v>
      </c>
      <c r="ES97" s="119">
        <f t="shared" si="15"/>
        <v>0</v>
      </c>
      <c r="ET97" s="119">
        <f t="shared" si="15"/>
        <v>0</v>
      </c>
      <c r="EU97" s="119">
        <f t="shared" si="15"/>
        <v>0</v>
      </c>
      <c r="EV97" s="119">
        <f t="shared" si="15"/>
        <v>0</v>
      </c>
      <c r="EW97" s="119">
        <f t="shared" si="15"/>
        <v>0</v>
      </c>
      <c r="EX97" s="119">
        <f t="shared" si="15"/>
        <v>0</v>
      </c>
      <c r="EY97" s="119">
        <f t="shared" si="15"/>
        <v>0</v>
      </c>
      <c r="EZ97" s="119">
        <f t="shared" si="15"/>
        <v>0</v>
      </c>
      <c r="FA97" s="119">
        <f t="shared" si="15"/>
        <v>0</v>
      </c>
      <c r="FB97" s="119">
        <f t="shared" si="15"/>
        <v>0</v>
      </c>
      <c r="FC97" s="119">
        <f t="shared" si="15"/>
        <v>0</v>
      </c>
      <c r="FD97" s="119">
        <f t="shared" si="15"/>
        <v>0</v>
      </c>
      <c r="FE97" s="119">
        <f t="shared" si="15"/>
        <v>0</v>
      </c>
      <c r="FF97" s="119">
        <f t="shared" si="15"/>
        <v>0</v>
      </c>
      <c r="FG97" s="119">
        <f t="shared" si="15"/>
        <v>0</v>
      </c>
      <c r="FH97" s="119">
        <f t="shared" si="15"/>
        <v>0</v>
      </c>
      <c r="FI97" s="119">
        <f t="shared" si="15"/>
        <v>0</v>
      </c>
      <c r="FJ97" s="119">
        <f t="shared" si="15"/>
        <v>1971730.37</v>
      </c>
      <c r="FK97" s="119">
        <f t="shared" si="15"/>
        <v>0</v>
      </c>
      <c r="FL97" s="119">
        <f t="shared" si="15"/>
        <v>0</v>
      </c>
      <c r="FM97" s="119">
        <f t="shared" si="15"/>
        <v>0</v>
      </c>
      <c r="FN97" s="119">
        <f t="shared" si="15"/>
        <v>0</v>
      </c>
      <c r="FO97" s="119">
        <f t="shared" si="15"/>
        <v>0</v>
      </c>
      <c r="FP97" s="119">
        <f t="shared" si="15"/>
        <v>0</v>
      </c>
      <c r="FQ97" s="119">
        <f t="shared" si="15"/>
        <v>1373621</v>
      </c>
      <c r="FR97" s="119">
        <f t="shared" si="15"/>
        <v>0</v>
      </c>
      <c r="FS97" s="119">
        <f t="shared" si="15"/>
        <v>225498</v>
      </c>
      <c r="FT97" s="119">
        <f t="shared" si="15"/>
        <v>4028781.1199999996</v>
      </c>
      <c r="FU97" s="119">
        <f t="shared" si="15"/>
        <v>0</v>
      </c>
      <c r="FV97" s="119">
        <f t="shared" si="15"/>
        <v>0</v>
      </c>
      <c r="FW97" s="119">
        <f t="shared" si="15"/>
        <v>0</v>
      </c>
      <c r="FX97" s="119">
        <f t="shared" si="15"/>
        <v>0</v>
      </c>
      <c r="FY97" s="119">
        <f t="shared" si="15"/>
        <v>0</v>
      </c>
      <c r="FZ97" s="119">
        <f t="shared" si="15"/>
        <v>15340</v>
      </c>
      <c r="GA97" s="119">
        <f t="shared" si="15"/>
        <v>0</v>
      </c>
      <c r="GB97" s="119">
        <f t="shared" si="15"/>
        <v>66552</v>
      </c>
      <c r="GC97" s="119">
        <f t="shared" si="15"/>
        <v>0</v>
      </c>
      <c r="GD97" s="119">
        <f t="shared" si="15"/>
        <v>0</v>
      </c>
      <c r="GE97" s="119">
        <f t="shared" si="15"/>
        <v>0</v>
      </c>
      <c r="GF97" s="119">
        <f t="shared" si="15"/>
        <v>0</v>
      </c>
      <c r="GG97" s="119">
        <f t="shared" si="15"/>
        <v>0</v>
      </c>
      <c r="GH97" s="119">
        <f t="shared" si="15"/>
        <v>89681.02</v>
      </c>
      <c r="GI97" s="119">
        <f t="shared" si="15"/>
        <v>0</v>
      </c>
      <c r="GJ97" s="119">
        <f t="shared" si="15"/>
        <v>0</v>
      </c>
      <c r="GK97" s="119">
        <f t="shared" si="15"/>
        <v>38940</v>
      </c>
      <c r="GL97" s="119">
        <f t="shared" ref="GL97:IW97" si="16">GL80+GL96</f>
        <v>0</v>
      </c>
      <c r="GM97" s="119">
        <f t="shared" si="16"/>
        <v>0</v>
      </c>
      <c r="GN97" s="119">
        <f t="shared" si="16"/>
        <v>0</v>
      </c>
      <c r="GO97" s="119">
        <f t="shared" si="16"/>
        <v>0</v>
      </c>
      <c r="GP97" s="119">
        <f t="shared" si="16"/>
        <v>0</v>
      </c>
      <c r="GQ97" s="119">
        <f t="shared" si="16"/>
        <v>6301889.96</v>
      </c>
      <c r="GR97" s="119">
        <f t="shared" si="16"/>
        <v>59000</v>
      </c>
      <c r="GS97" s="119">
        <f t="shared" si="16"/>
        <v>0</v>
      </c>
      <c r="GT97" s="119">
        <f t="shared" si="16"/>
        <v>1456293.22</v>
      </c>
      <c r="GU97" s="119">
        <f t="shared" si="16"/>
        <v>0</v>
      </c>
      <c r="GV97" s="119">
        <f t="shared" si="16"/>
        <v>0</v>
      </c>
      <c r="GW97" s="119">
        <f t="shared" si="16"/>
        <v>0</v>
      </c>
      <c r="GX97" s="119">
        <f t="shared" si="16"/>
        <v>0</v>
      </c>
      <c r="GY97" s="119">
        <f t="shared" si="16"/>
        <v>0</v>
      </c>
      <c r="GZ97" s="119">
        <f t="shared" si="16"/>
        <v>0</v>
      </c>
      <c r="HA97" s="119">
        <f t="shared" si="16"/>
        <v>0</v>
      </c>
      <c r="HB97" s="119">
        <f t="shared" si="16"/>
        <v>0</v>
      </c>
      <c r="HC97" s="119">
        <f t="shared" si="16"/>
        <v>0</v>
      </c>
      <c r="HD97" s="119">
        <f t="shared" si="16"/>
        <v>0</v>
      </c>
      <c r="HE97" s="119">
        <f t="shared" si="16"/>
        <v>0</v>
      </c>
      <c r="HF97" s="119">
        <f t="shared" si="16"/>
        <v>42057.86</v>
      </c>
      <c r="HG97" s="119">
        <f t="shared" si="16"/>
        <v>0</v>
      </c>
      <c r="HH97" s="119">
        <f t="shared" si="16"/>
        <v>0</v>
      </c>
      <c r="HI97" s="119">
        <f t="shared" si="16"/>
        <v>22585.200000000001</v>
      </c>
      <c r="HJ97" s="119">
        <f t="shared" si="16"/>
        <v>0</v>
      </c>
      <c r="HK97" s="119">
        <f t="shared" si="16"/>
        <v>0</v>
      </c>
      <c r="HL97" s="119">
        <f t="shared" si="16"/>
        <v>0</v>
      </c>
      <c r="HM97" s="119">
        <f t="shared" si="16"/>
        <v>0</v>
      </c>
      <c r="HN97" s="119">
        <f t="shared" si="16"/>
        <v>0</v>
      </c>
      <c r="HO97" s="119">
        <f t="shared" si="16"/>
        <v>0</v>
      </c>
      <c r="HP97" s="119">
        <f t="shared" si="16"/>
        <v>0</v>
      </c>
      <c r="HQ97" s="119">
        <f t="shared" si="16"/>
        <v>0</v>
      </c>
      <c r="HR97" s="119">
        <f t="shared" si="16"/>
        <v>0</v>
      </c>
      <c r="HS97" s="119">
        <f t="shared" si="16"/>
        <v>0</v>
      </c>
      <c r="HT97" s="119">
        <f t="shared" si="16"/>
        <v>0</v>
      </c>
      <c r="HU97" s="119">
        <f t="shared" si="16"/>
        <v>0</v>
      </c>
      <c r="HV97" s="119">
        <f t="shared" si="16"/>
        <v>0</v>
      </c>
      <c r="HW97" s="119">
        <f t="shared" si="16"/>
        <v>0</v>
      </c>
      <c r="HX97" s="119">
        <f t="shared" si="16"/>
        <v>0</v>
      </c>
      <c r="HY97" s="119">
        <f t="shared" si="16"/>
        <v>0</v>
      </c>
      <c r="HZ97" s="119">
        <f t="shared" si="16"/>
        <v>0</v>
      </c>
      <c r="IA97" s="119">
        <f t="shared" si="16"/>
        <v>0</v>
      </c>
      <c r="IB97" s="119">
        <f t="shared" si="16"/>
        <v>0</v>
      </c>
      <c r="IC97" s="119">
        <f t="shared" si="16"/>
        <v>0</v>
      </c>
      <c r="ID97" s="119">
        <f t="shared" si="16"/>
        <v>0</v>
      </c>
      <c r="IE97" s="119">
        <f t="shared" si="16"/>
        <v>0</v>
      </c>
      <c r="IF97" s="119">
        <f t="shared" si="16"/>
        <v>0</v>
      </c>
      <c r="IG97" s="119">
        <f t="shared" si="16"/>
        <v>0</v>
      </c>
      <c r="IH97" s="119">
        <f t="shared" si="16"/>
        <v>0</v>
      </c>
      <c r="II97" s="119">
        <f t="shared" si="16"/>
        <v>0</v>
      </c>
      <c r="IJ97" s="119">
        <f t="shared" si="16"/>
        <v>0</v>
      </c>
      <c r="IK97" s="119">
        <f t="shared" si="16"/>
        <v>0</v>
      </c>
      <c r="IL97" s="119">
        <f t="shared" si="16"/>
        <v>0</v>
      </c>
      <c r="IM97" s="119">
        <f t="shared" si="16"/>
        <v>0</v>
      </c>
      <c r="IN97" s="119">
        <f t="shared" si="16"/>
        <v>0</v>
      </c>
      <c r="IO97" s="119">
        <f t="shared" si="16"/>
        <v>0</v>
      </c>
      <c r="IP97" s="119">
        <f t="shared" si="16"/>
        <v>0</v>
      </c>
      <c r="IQ97" s="119">
        <f t="shared" si="16"/>
        <v>0</v>
      </c>
      <c r="IR97" s="119">
        <f t="shared" si="16"/>
        <v>0</v>
      </c>
      <c r="IS97" s="119">
        <f t="shared" si="16"/>
        <v>0</v>
      </c>
      <c r="IT97" s="119">
        <f t="shared" si="16"/>
        <v>0</v>
      </c>
      <c r="IU97" s="119">
        <f t="shared" si="16"/>
        <v>0</v>
      </c>
      <c r="IV97" s="119">
        <f t="shared" si="16"/>
        <v>0</v>
      </c>
      <c r="IW97" s="119">
        <f t="shared" si="16"/>
        <v>0</v>
      </c>
      <c r="IX97" s="119">
        <f t="shared" ref="IX97:JI97" si="17">IX80+IX96</f>
        <v>0</v>
      </c>
      <c r="IY97" s="119">
        <f t="shared" si="17"/>
        <v>0</v>
      </c>
      <c r="IZ97" s="119">
        <f t="shared" si="17"/>
        <v>0</v>
      </c>
      <c r="JA97" s="119">
        <f t="shared" si="17"/>
        <v>0</v>
      </c>
      <c r="JB97" s="119">
        <f t="shared" si="17"/>
        <v>0</v>
      </c>
      <c r="JC97" s="119">
        <f t="shared" si="17"/>
        <v>0</v>
      </c>
      <c r="JD97" s="119">
        <f t="shared" si="17"/>
        <v>0</v>
      </c>
      <c r="JE97" s="119">
        <f t="shared" si="17"/>
        <v>0</v>
      </c>
      <c r="JF97" s="119">
        <f t="shared" si="17"/>
        <v>0</v>
      </c>
      <c r="JG97" s="119">
        <f t="shared" si="17"/>
        <v>0</v>
      </c>
      <c r="JH97" s="119">
        <f t="shared" si="17"/>
        <v>0</v>
      </c>
      <c r="JI97" s="119">
        <f t="shared" si="17"/>
        <v>157427908</v>
      </c>
      <c r="JJ97" s="1"/>
      <c r="JK97" s="2"/>
      <c r="JL97" s="1"/>
      <c r="JM97" s="1"/>
      <c r="JN97" s="1"/>
      <c r="JO97" s="1"/>
      <c r="JP97" s="1"/>
    </row>
    <row r="98" spans="1:276" x14ac:dyDescent="0.25">
      <c r="JK98" s="2"/>
      <c r="JL98" s="1"/>
      <c r="JM98" s="1"/>
    </row>
  </sheetData>
  <mergeCells count="1">
    <mergeCell ref="A1:JH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W75"/>
  <sheetViews>
    <sheetView topLeftCell="IK1" zoomScale="90" zoomScaleNormal="90" workbookViewId="0">
      <pane ySplit="2" topLeftCell="A27" activePane="bottomLeft" state="frozen"/>
      <selection activeCell="IS1" sqref="IS1"/>
      <selection pane="bottomLeft" activeCell="JK3" sqref="JK3:JK42"/>
    </sheetView>
  </sheetViews>
  <sheetFormatPr baseColWidth="10" defaultColWidth="11.42578125" defaultRowHeight="15" x14ac:dyDescent="0.25"/>
  <cols>
    <col min="1" max="23" width="7.85546875" bestFit="1" customWidth="1"/>
    <col min="24" max="24" width="13.85546875" bestFit="1" customWidth="1"/>
    <col min="25" max="25" width="7.85546875" bestFit="1" customWidth="1"/>
    <col min="26" max="26" width="13.85546875" bestFit="1" customWidth="1"/>
    <col min="27" max="42" width="7.85546875" bestFit="1" customWidth="1"/>
    <col min="43" max="43" width="12.140625" bestFit="1" customWidth="1"/>
    <col min="44" max="48" width="7.85546875" bestFit="1" customWidth="1"/>
    <col min="49" max="49" width="13.85546875" bestFit="1" customWidth="1"/>
    <col min="50" max="51" width="12.140625" bestFit="1" customWidth="1"/>
    <col min="52" max="53" width="7.85546875" bestFit="1" customWidth="1"/>
    <col min="54" max="55" width="11.140625" bestFit="1" customWidth="1"/>
    <col min="56" max="60" width="7.85546875" bestFit="1" customWidth="1"/>
    <col min="61" max="61" width="12.140625" bestFit="1" customWidth="1"/>
    <col min="62" max="68" width="7.85546875" bestFit="1" customWidth="1"/>
    <col min="69" max="69" width="11.140625" bestFit="1" customWidth="1"/>
    <col min="70" max="72" width="7.85546875" bestFit="1" customWidth="1"/>
    <col min="73" max="73" width="10" bestFit="1" customWidth="1"/>
    <col min="74" max="79" width="7.85546875" bestFit="1" customWidth="1"/>
    <col min="80" max="80" width="10" bestFit="1" customWidth="1"/>
    <col min="81" max="85" width="7.85546875" bestFit="1" customWidth="1"/>
    <col min="86" max="86" width="12.140625" bestFit="1" customWidth="1"/>
    <col min="87" max="87" width="7.85546875" bestFit="1" customWidth="1"/>
    <col min="88" max="88" width="11.140625" bestFit="1" customWidth="1"/>
    <col min="89" max="89" width="7.85546875" bestFit="1" customWidth="1"/>
    <col min="90" max="90" width="12.140625" bestFit="1" customWidth="1"/>
    <col min="91" max="93" width="7.85546875" bestFit="1" customWidth="1"/>
    <col min="94" max="95" width="11.140625" bestFit="1" customWidth="1"/>
    <col min="96" max="98" width="7.85546875" bestFit="1" customWidth="1"/>
    <col min="99" max="99" width="12.140625" bestFit="1" customWidth="1"/>
    <col min="100" max="104" width="7.85546875" bestFit="1" customWidth="1"/>
    <col min="105" max="105" width="11.140625" bestFit="1" customWidth="1"/>
    <col min="106" max="107" width="7.85546875" bestFit="1" customWidth="1"/>
    <col min="108" max="109" width="12.140625" bestFit="1" customWidth="1"/>
    <col min="110" max="112" width="7.85546875" bestFit="1" customWidth="1"/>
    <col min="113" max="113" width="11.140625" bestFit="1" customWidth="1"/>
    <col min="114" max="114" width="7.85546875" bestFit="1" customWidth="1"/>
    <col min="115" max="115" width="13.85546875" bestFit="1" customWidth="1"/>
    <col min="116" max="125" width="7.85546875" bestFit="1" customWidth="1"/>
    <col min="126" max="126" width="11.140625" bestFit="1" customWidth="1"/>
    <col min="127" max="130" width="7.85546875" bestFit="1" customWidth="1"/>
    <col min="131" max="131" width="14.85546875" bestFit="1" customWidth="1"/>
    <col min="132" max="134" width="7.85546875" bestFit="1" customWidth="1"/>
    <col min="135" max="136" width="12.140625" bestFit="1" customWidth="1"/>
    <col min="137" max="156" width="7.85546875" bestFit="1" customWidth="1"/>
    <col min="157" max="157" width="12.140625" bestFit="1" customWidth="1"/>
    <col min="158" max="159" width="7.85546875" bestFit="1" customWidth="1"/>
    <col min="160" max="160" width="11.140625" bestFit="1" customWidth="1"/>
    <col min="161" max="165" width="7.85546875" bestFit="1" customWidth="1"/>
    <col min="166" max="166" width="12.140625" bestFit="1" customWidth="1"/>
    <col min="167" max="169" width="7.85546875" bestFit="1" customWidth="1"/>
    <col min="170" max="170" width="12.140625" bestFit="1" customWidth="1"/>
    <col min="171" max="172" width="7.85546875" bestFit="1" customWidth="1"/>
    <col min="173" max="173" width="12.140625" bestFit="1" customWidth="1"/>
    <col min="174" max="175" width="7.85546875" bestFit="1" customWidth="1"/>
    <col min="176" max="176" width="12.140625" bestFit="1" customWidth="1"/>
    <col min="177" max="177" width="7.85546875" bestFit="1" customWidth="1"/>
    <col min="178" max="179" width="12.140625" bestFit="1" customWidth="1"/>
    <col min="180" max="181" width="7.85546875" bestFit="1" customWidth="1"/>
    <col min="182" max="183" width="11.140625" bestFit="1" customWidth="1"/>
    <col min="184" max="184" width="12.140625" bestFit="1" customWidth="1"/>
    <col min="185" max="185" width="11.140625" bestFit="1" customWidth="1"/>
    <col min="186" max="189" width="7.85546875" bestFit="1" customWidth="1"/>
    <col min="190" max="190" width="12.140625" bestFit="1" customWidth="1"/>
    <col min="191" max="191" width="7.85546875" bestFit="1" customWidth="1"/>
    <col min="192" max="192" width="13.85546875" bestFit="1" customWidth="1"/>
    <col min="193" max="193" width="11.140625" bestFit="1" customWidth="1"/>
    <col min="194" max="194" width="12.140625" bestFit="1" customWidth="1"/>
    <col min="195" max="198" width="7.85546875" bestFit="1" customWidth="1"/>
    <col min="199" max="199" width="12.140625" bestFit="1" customWidth="1"/>
    <col min="200" max="200" width="13.85546875" bestFit="1" customWidth="1"/>
    <col min="201" max="213" width="7.85546875" bestFit="1" customWidth="1"/>
    <col min="214" max="214" width="12.140625" bestFit="1" customWidth="1"/>
    <col min="215" max="215" width="7.85546875" bestFit="1" customWidth="1"/>
    <col min="216" max="216" width="12.140625" bestFit="1" customWidth="1"/>
    <col min="217" max="250" width="7.85546875" bestFit="1" customWidth="1"/>
    <col min="251" max="251" width="9" bestFit="1" customWidth="1"/>
    <col min="252" max="268" width="7.85546875" bestFit="1" customWidth="1"/>
    <col min="269" max="269" width="14.85546875" bestFit="1" customWidth="1"/>
    <col min="270" max="270" width="11.7109375" bestFit="1" customWidth="1"/>
    <col min="271" max="271" width="13.85546875" bestFit="1" customWidth="1"/>
    <col min="272" max="272" width="14.42578125" bestFit="1" customWidth="1"/>
    <col min="273" max="273" width="17.85546875" bestFit="1" customWidth="1"/>
    <col min="274" max="274" width="5.5703125" bestFit="1" customWidth="1"/>
    <col min="275" max="275" width="5.42578125" bestFit="1" customWidth="1"/>
    <col min="276" max="276" width="18.5703125" bestFit="1" customWidth="1"/>
    <col min="1141" max="1141" width="11.42578125" style="1"/>
  </cols>
  <sheetData>
    <row r="1" spans="1:276" ht="23.25" x14ac:dyDescent="0.35">
      <c r="A1" s="436" t="s">
        <v>78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6"/>
      <c r="P1" s="436"/>
      <c r="Q1" s="436"/>
      <c r="R1" s="436"/>
      <c r="S1" s="436"/>
      <c r="T1" s="436"/>
      <c r="U1" s="436"/>
      <c r="V1" s="436"/>
      <c r="W1" s="436"/>
      <c r="X1" s="436"/>
      <c r="Y1" s="436"/>
      <c r="Z1" s="436"/>
      <c r="AA1" s="436"/>
      <c r="AB1" s="436"/>
      <c r="AC1" s="436"/>
      <c r="AD1" s="436"/>
      <c r="AE1" s="436"/>
      <c r="AF1" s="436"/>
      <c r="AG1" s="436"/>
      <c r="AH1" s="436"/>
      <c r="AI1" s="436"/>
      <c r="AJ1" s="436"/>
      <c r="AK1" s="436"/>
      <c r="AL1" s="436"/>
      <c r="AM1" s="436"/>
      <c r="AN1" s="436"/>
      <c r="AO1" s="436"/>
      <c r="AP1" s="436"/>
      <c r="AQ1" s="436"/>
      <c r="AR1" s="436"/>
      <c r="AS1" s="436"/>
      <c r="AT1" s="436"/>
      <c r="AU1" s="436"/>
      <c r="AV1" s="436"/>
      <c r="AW1" s="436"/>
      <c r="AX1" s="436"/>
      <c r="AY1" s="436"/>
      <c r="AZ1" s="436"/>
      <c r="BA1" s="436"/>
      <c r="BB1" s="436"/>
      <c r="BC1" s="436"/>
      <c r="BD1" s="436"/>
      <c r="BE1" s="436"/>
      <c r="BF1" s="436"/>
      <c r="BG1" s="436"/>
      <c r="BH1" s="436"/>
      <c r="BI1" s="436"/>
      <c r="BJ1" s="436"/>
      <c r="BK1" s="436"/>
      <c r="BL1" s="436"/>
      <c r="BM1" s="436"/>
      <c r="BN1" s="436"/>
      <c r="BO1" s="436"/>
      <c r="BP1" s="436"/>
      <c r="BQ1" s="436"/>
      <c r="BR1" s="436"/>
      <c r="BS1" s="436"/>
      <c r="BT1" s="436"/>
      <c r="BU1" s="436"/>
      <c r="BV1" s="436"/>
      <c r="BW1" s="436"/>
      <c r="BX1" s="436"/>
      <c r="BY1" s="436"/>
      <c r="BZ1" s="436"/>
      <c r="CA1" s="436"/>
      <c r="CB1" s="436"/>
      <c r="CC1" s="436"/>
      <c r="CD1" s="436"/>
      <c r="CE1" s="436"/>
      <c r="CF1" s="436"/>
      <c r="CG1" s="436"/>
      <c r="CH1" s="436"/>
      <c r="CI1" s="436"/>
      <c r="CJ1" s="436"/>
      <c r="CK1" s="436"/>
      <c r="CL1" s="436"/>
      <c r="CM1" s="436"/>
      <c r="CN1" s="436"/>
      <c r="CO1" s="436"/>
      <c r="CP1" s="436"/>
      <c r="CQ1" s="436"/>
      <c r="CR1" s="436"/>
      <c r="CS1" s="436"/>
      <c r="CT1" s="436"/>
      <c r="CU1" s="436"/>
      <c r="CV1" s="436"/>
      <c r="CW1" s="436"/>
      <c r="CX1" s="436"/>
      <c r="CY1" s="436"/>
      <c r="CZ1" s="436"/>
      <c r="DA1" s="436"/>
      <c r="DB1" s="436"/>
      <c r="DC1" s="436"/>
      <c r="DD1" s="436"/>
      <c r="DE1" s="436"/>
      <c r="DF1" s="436"/>
      <c r="DG1" s="436"/>
      <c r="DH1" s="436"/>
      <c r="DI1" s="436"/>
      <c r="DJ1" s="436"/>
      <c r="DK1" s="436"/>
      <c r="DL1" s="436"/>
      <c r="DM1" s="436"/>
      <c r="DN1" s="436"/>
      <c r="DO1" s="436"/>
      <c r="DP1" s="436"/>
      <c r="DQ1" s="436"/>
      <c r="DR1" s="436"/>
      <c r="DS1" s="436"/>
      <c r="DT1" s="436"/>
      <c r="DU1" s="436"/>
      <c r="DV1" s="436"/>
      <c r="DW1" s="436"/>
      <c r="DX1" s="436"/>
      <c r="DY1" s="436"/>
      <c r="DZ1" s="436"/>
      <c r="EA1" s="436"/>
      <c r="EB1" s="436"/>
      <c r="EC1" s="436"/>
      <c r="ED1" s="436"/>
      <c r="EE1" s="436"/>
      <c r="EF1" s="436"/>
      <c r="EG1" s="436"/>
      <c r="EH1" s="436"/>
      <c r="EI1" s="436"/>
      <c r="EJ1" s="436"/>
      <c r="EK1" s="436"/>
      <c r="EL1" s="436"/>
      <c r="EM1" s="436"/>
      <c r="EN1" s="436"/>
      <c r="EO1" s="436"/>
      <c r="EP1" s="436"/>
      <c r="EQ1" s="436"/>
      <c r="ER1" s="436"/>
      <c r="ES1" s="436"/>
      <c r="ET1" s="436"/>
      <c r="EU1" s="436"/>
      <c r="EV1" s="436"/>
      <c r="EW1" s="436"/>
      <c r="EX1" s="436"/>
      <c r="EY1" s="436"/>
      <c r="EZ1" s="436"/>
      <c r="FA1" s="436"/>
      <c r="FB1" s="436"/>
      <c r="FC1" s="436"/>
      <c r="FD1" s="436"/>
      <c r="FE1" s="436"/>
      <c r="FF1" s="436"/>
      <c r="FG1" s="436"/>
      <c r="FH1" s="436"/>
      <c r="FI1" s="436"/>
      <c r="FJ1" s="436"/>
      <c r="FK1" s="436"/>
      <c r="FL1" s="436"/>
      <c r="FM1" s="436"/>
      <c r="FN1" s="436"/>
      <c r="FO1" s="436"/>
      <c r="FP1" s="436"/>
      <c r="FQ1" s="436"/>
      <c r="FR1" s="436"/>
      <c r="FS1" s="436"/>
      <c r="FT1" s="436"/>
      <c r="FU1" s="436"/>
      <c r="FV1" s="436"/>
      <c r="FW1" s="436"/>
      <c r="FX1" s="436"/>
      <c r="FY1" s="436"/>
      <c r="FZ1" s="436"/>
      <c r="GA1" s="436"/>
      <c r="GB1" s="436"/>
      <c r="GC1" s="436"/>
      <c r="GD1" s="436"/>
      <c r="GE1" s="436"/>
      <c r="GF1" s="436"/>
      <c r="GG1" s="436"/>
      <c r="GH1" s="436"/>
      <c r="GI1" s="436"/>
      <c r="GJ1" s="436"/>
      <c r="GK1" s="436"/>
      <c r="GL1" s="436"/>
      <c r="GM1" s="436"/>
      <c r="GN1" s="436"/>
      <c r="GO1" s="436"/>
      <c r="GP1" s="436"/>
      <c r="GQ1" s="436"/>
      <c r="GR1" s="436"/>
      <c r="GS1" s="436"/>
      <c r="GT1" s="436"/>
      <c r="GU1" s="436"/>
      <c r="GV1" s="436"/>
      <c r="GW1" s="436"/>
      <c r="GX1" s="436"/>
      <c r="GY1" s="436"/>
      <c r="GZ1" s="436"/>
      <c r="HA1" s="436"/>
      <c r="HB1" s="436"/>
      <c r="HC1" s="436"/>
      <c r="HD1" s="436"/>
      <c r="HE1" s="436"/>
      <c r="HF1" s="436"/>
      <c r="HG1" s="436"/>
      <c r="HH1" s="436"/>
      <c r="HI1" s="436"/>
      <c r="HJ1" s="436"/>
      <c r="HK1" s="436"/>
      <c r="HL1" s="436"/>
      <c r="HM1" s="436"/>
      <c r="HN1" s="436"/>
      <c r="HO1" s="436"/>
      <c r="HP1" s="436"/>
      <c r="HQ1" s="436"/>
      <c r="HR1" s="436"/>
      <c r="HS1" s="436"/>
      <c r="HT1" s="436"/>
      <c r="HU1" s="436"/>
      <c r="HV1" s="436"/>
      <c r="HW1" s="436"/>
      <c r="HX1" s="436"/>
      <c r="HY1" s="436"/>
      <c r="HZ1" s="436"/>
      <c r="IA1" s="436"/>
      <c r="IB1" s="436"/>
      <c r="IC1" s="436"/>
      <c r="ID1" s="436"/>
      <c r="IE1" s="436"/>
      <c r="IF1" s="436"/>
      <c r="IG1" s="436"/>
      <c r="IH1" s="436"/>
      <c r="II1" s="436"/>
      <c r="IJ1" s="436"/>
      <c r="IK1" s="436"/>
      <c r="IL1" s="436"/>
      <c r="IM1" s="436"/>
      <c r="IN1" s="436"/>
      <c r="IO1" s="436"/>
      <c r="IP1" s="436"/>
      <c r="IQ1" s="436"/>
      <c r="IR1" s="436"/>
      <c r="IS1" s="436"/>
      <c r="IT1" s="436"/>
      <c r="IU1" s="436"/>
      <c r="IV1" s="436"/>
      <c r="IW1" s="436"/>
      <c r="IX1" s="436"/>
      <c r="IY1" s="436"/>
      <c r="IZ1" s="436"/>
      <c r="JA1" s="436"/>
      <c r="JB1" s="436"/>
      <c r="JC1" s="436"/>
      <c r="JD1" s="436"/>
      <c r="JE1" s="436"/>
      <c r="JF1" s="436"/>
      <c r="JG1" s="436"/>
      <c r="JH1" s="436"/>
    </row>
    <row r="2" spans="1:276" ht="18.75" x14ac:dyDescent="0.3">
      <c r="A2" s="118">
        <v>211101</v>
      </c>
      <c r="B2" s="118">
        <v>211102</v>
      </c>
      <c r="C2" s="118">
        <v>211103</v>
      </c>
      <c r="D2" s="118">
        <v>211104</v>
      </c>
      <c r="E2" s="118">
        <v>211105</v>
      </c>
      <c r="F2" s="118">
        <v>211106</v>
      </c>
      <c r="G2" s="118">
        <v>211203</v>
      </c>
      <c r="H2" s="118">
        <v>211205</v>
      </c>
      <c r="I2" s="118">
        <v>211206</v>
      </c>
      <c r="J2" s="118">
        <v>211208</v>
      </c>
      <c r="K2" s="118">
        <v>211209</v>
      </c>
      <c r="L2" s="118">
        <v>211211</v>
      </c>
      <c r="M2" s="118">
        <v>211301</v>
      </c>
      <c r="N2" s="118">
        <v>211401</v>
      </c>
      <c r="O2" s="118">
        <v>211501</v>
      </c>
      <c r="P2" s="118">
        <v>211502</v>
      </c>
      <c r="Q2" s="118">
        <v>211503</v>
      </c>
      <c r="R2" s="118">
        <v>211504</v>
      </c>
      <c r="S2" s="118">
        <v>212101</v>
      </c>
      <c r="T2" s="118">
        <v>212201</v>
      </c>
      <c r="U2" s="118">
        <v>212203</v>
      </c>
      <c r="V2" s="118">
        <v>212204</v>
      </c>
      <c r="W2" s="118">
        <v>212205</v>
      </c>
      <c r="X2" s="118">
        <v>212206</v>
      </c>
      <c r="Y2" s="118">
        <v>212207</v>
      </c>
      <c r="Z2" s="118">
        <v>212208</v>
      </c>
      <c r="AA2" s="118">
        <v>212209</v>
      </c>
      <c r="AB2" s="118">
        <v>212210</v>
      </c>
      <c r="AC2" s="118">
        <v>213101</v>
      </c>
      <c r="AD2" s="118">
        <v>213102</v>
      </c>
      <c r="AE2" s="118">
        <v>213201</v>
      </c>
      <c r="AF2" s="118">
        <v>213202</v>
      </c>
      <c r="AG2" s="118">
        <v>214101</v>
      </c>
      <c r="AH2" s="118">
        <v>214201</v>
      </c>
      <c r="AI2" s="118">
        <v>214202</v>
      </c>
      <c r="AJ2" s="118">
        <v>214203</v>
      </c>
      <c r="AK2" s="118">
        <v>215101</v>
      </c>
      <c r="AL2" s="118">
        <v>215201</v>
      </c>
      <c r="AM2" s="118">
        <v>215301</v>
      </c>
      <c r="AN2" s="118">
        <v>215401</v>
      </c>
      <c r="AO2" s="118">
        <v>221101</v>
      </c>
      <c r="AP2" s="118">
        <v>221201</v>
      </c>
      <c r="AQ2" s="118">
        <v>221301</v>
      </c>
      <c r="AR2" s="118">
        <v>221401</v>
      </c>
      <c r="AS2" s="118">
        <v>221501</v>
      </c>
      <c r="AT2" s="118">
        <v>221601</v>
      </c>
      <c r="AU2" s="118">
        <v>221602</v>
      </c>
      <c r="AV2" s="118">
        <v>221701</v>
      </c>
      <c r="AW2" s="118">
        <v>221801</v>
      </c>
      <c r="AX2" s="118">
        <v>222101</v>
      </c>
      <c r="AY2" s="118">
        <v>222201</v>
      </c>
      <c r="AZ2" s="118">
        <v>223101</v>
      </c>
      <c r="BA2" s="118">
        <v>223201</v>
      </c>
      <c r="BB2" s="118">
        <v>224101</v>
      </c>
      <c r="BC2" s="118">
        <v>224201</v>
      </c>
      <c r="BD2" s="118">
        <v>224301</v>
      </c>
      <c r="BE2" s="118">
        <v>224401</v>
      </c>
      <c r="BF2" s="118">
        <v>225101</v>
      </c>
      <c r="BG2" s="118">
        <v>225201</v>
      </c>
      <c r="BH2" s="118">
        <v>225301</v>
      </c>
      <c r="BI2" s="118">
        <v>225302</v>
      </c>
      <c r="BJ2" s="118">
        <v>225303</v>
      </c>
      <c r="BK2" s="118">
        <v>225304</v>
      </c>
      <c r="BL2" s="118">
        <v>225305</v>
      </c>
      <c r="BM2" s="118">
        <v>225401</v>
      </c>
      <c r="BN2" s="118">
        <v>225501</v>
      </c>
      <c r="BO2" s="118">
        <v>225601</v>
      </c>
      <c r="BP2" s="118">
        <v>225701</v>
      </c>
      <c r="BQ2" s="118">
        <v>225801</v>
      </c>
      <c r="BR2" s="118">
        <v>225901</v>
      </c>
      <c r="BS2" s="118">
        <v>226101</v>
      </c>
      <c r="BT2" s="118">
        <v>226201</v>
      </c>
      <c r="BU2" s="118">
        <v>226301</v>
      </c>
      <c r="BV2" s="118">
        <v>226401</v>
      </c>
      <c r="BW2" s="118">
        <v>227101</v>
      </c>
      <c r="BX2" s="118">
        <v>227102</v>
      </c>
      <c r="BY2" s="118">
        <v>227103</v>
      </c>
      <c r="BZ2" s="118">
        <v>227104</v>
      </c>
      <c r="CA2" s="118">
        <v>227105</v>
      </c>
      <c r="CB2" s="118">
        <v>227106</v>
      </c>
      <c r="CC2" s="118">
        <v>227107</v>
      </c>
      <c r="CD2" s="118">
        <v>227199</v>
      </c>
      <c r="CE2" s="118">
        <v>227201</v>
      </c>
      <c r="CF2" s="118">
        <v>227202</v>
      </c>
      <c r="CG2" s="118">
        <v>227203</v>
      </c>
      <c r="CH2" s="118">
        <v>227204</v>
      </c>
      <c r="CI2" s="118">
        <v>227205</v>
      </c>
      <c r="CJ2" s="118">
        <v>227206</v>
      </c>
      <c r="CK2" s="118">
        <v>227207</v>
      </c>
      <c r="CL2" s="118">
        <v>227208</v>
      </c>
      <c r="CM2" s="118">
        <v>227299</v>
      </c>
      <c r="CN2" s="118">
        <v>227301</v>
      </c>
      <c r="CO2" s="118">
        <v>228101</v>
      </c>
      <c r="CP2" s="118">
        <v>228201</v>
      </c>
      <c r="CQ2" s="118">
        <v>228301</v>
      </c>
      <c r="CR2" s="118">
        <v>228401</v>
      </c>
      <c r="CS2" s="118">
        <v>228501</v>
      </c>
      <c r="CT2" s="118">
        <v>228502</v>
      </c>
      <c r="CU2" s="118">
        <v>228503</v>
      </c>
      <c r="CV2" s="118">
        <v>228601</v>
      </c>
      <c r="CW2" s="118">
        <v>228602</v>
      </c>
      <c r="CX2" s="118">
        <v>228603</v>
      </c>
      <c r="CY2" s="118">
        <v>228604</v>
      </c>
      <c r="CZ2" s="118">
        <v>228701</v>
      </c>
      <c r="DA2" s="118">
        <v>228702</v>
      </c>
      <c r="DB2" s="118">
        <v>228703</v>
      </c>
      <c r="DC2" s="118">
        <v>228704</v>
      </c>
      <c r="DD2" s="118">
        <v>228705</v>
      </c>
      <c r="DE2" s="118">
        <v>228706</v>
      </c>
      <c r="DF2" s="118">
        <v>228801</v>
      </c>
      <c r="DG2" s="118">
        <v>228802</v>
      </c>
      <c r="DH2" s="118">
        <v>228803</v>
      </c>
      <c r="DI2" s="118">
        <v>229201</v>
      </c>
      <c r="DJ2" s="118">
        <v>229203</v>
      </c>
      <c r="DK2" s="118">
        <v>231101</v>
      </c>
      <c r="DL2" s="118">
        <v>231102</v>
      </c>
      <c r="DM2" s="118">
        <v>231201</v>
      </c>
      <c r="DN2" s="118">
        <v>231301</v>
      </c>
      <c r="DO2" s="118">
        <v>231302</v>
      </c>
      <c r="DP2" s="118">
        <v>231303</v>
      </c>
      <c r="DQ2" s="118">
        <v>231401</v>
      </c>
      <c r="DR2" s="118">
        <v>232101</v>
      </c>
      <c r="DS2" s="118">
        <v>232201</v>
      </c>
      <c r="DT2" s="118">
        <v>232301</v>
      </c>
      <c r="DU2" s="118">
        <v>233101</v>
      </c>
      <c r="DV2" s="118">
        <v>233201</v>
      </c>
      <c r="DW2" s="118">
        <v>233301</v>
      </c>
      <c r="DX2" s="118">
        <v>233401</v>
      </c>
      <c r="DY2" s="118">
        <v>233501</v>
      </c>
      <c r="DZ2" s="118">
        <v>233601</v>
      </c>
      <c r="EA2" s="118">
        <v>234101</v>
      </c>
      <c r="EB2" s="118">
        <v>234201</v>
      </c>
      <c r="EC2" s="118">
        <v>235101</v>
      </c>
      <c r="ED2" s="118">
        <v>235201</v>
      </c>
      <c r="EE2" s="118">
        <v>235301</v>
      </c>
      <c r="EF2" s="118">
        <v>235401</v>
      </c>
      <c r="EG2" s="118">
        <v>235501</v>
      </c>
      <c r="EH2" s="118">
        <v>236101</v>
      </c>
      <c r="EI2" s="118">
        <v>236102</v>
      </c>
      <c r="EJ2" s="118">
        <v>236103</v>
      </c>
      <c r="EK2" s="118">
        <v>236104</v>
      </c>
      <c r="EL2" s="118">
        <v>236105</v>
      </c>
      <c r="EM2" s="118">
        <v>236201</v>
      </c>
      <c r="EN2" s="118">
        <v>236202</v>
      </c>
      <c r="EO2" s="118">
        <v>236203</v>
      </c>
      <c r="EP2" s="118">
        <v>236304</v>
      </c>
      <c r="EQ2" s="118">
        <v>236305</v>
      </c>
      <c r="ER2" s="118">
        <v>236306</v>
      </c>
      <c r="ES2" s="118">
        <v>236401</v>
      </c>
      <c r="ET2" s="118">
        <v>236402</v>
      </c>
      <c r="EU2" s="118">
        <v>236403</v>
      </c>
      <c r="EV2" s="118">
        <v>236404</v>
      </c>
      <c r="EW2" s="118">
        <v>236405</v>
      </c>
      <c r="EX2" s="118">
        <v>236406</v>
      </c>
      <c r="EY2" s="118">
        <v>236407</v>
      </c>
      <c r="EZ2" s="118">
        <v>236901</v>
      </c>
      <c r="FA2" s="118">
        <v>237101</v>
      </c>
      <c r="FB2" s="118">
        <v>237102</v>
      </c>
      <c r="FC2" s="118">
        <v>237103</v>
      </c>
      <c r="FD2" s="118">
        <v>237104</v>
      </c>
      <c r="FE2" s="118">
        <v>237105</v>
      </c>
      <c r="FF2" s="118">
        <v>237106</v>
      </c>
      <c r="FG2" s="118">
        <v>237107</v>
      </c>
      <c r="FH2" s="118">
        <v>237201</v>
      </c>
      <c r="FI2" s="118">
        <v>237202</v>
      </c>
      <c r="FJ2" s="118">
        <v>237203</v>
      </c>
      <c r="FK2" s="118">
        <v>237204</v>
      </c>
      <c r="FL2" s="118">
        <v>237205</v>
      </c>
      <c r="FM2" s="118">
        <v>237206</v>
      </c>
      <c r="FN2" s="118">
        <v>237299</v>
      </c>
      <c r="FO2" s="118">
        <v>238101</v>
      </c>
      <c r="FP2" s="118">
        <v>238201</v>
      </c>
      <c r="FQ2" s="118">
        <v>239101</v>
      </c>
      <c r="FR2" s="118">
        <v>239102</v>
      </c>
      <c r="FS2" s="118">
        <v>239201</v>
      </c>
      <c r="FT2" s="118">
        <v>239301</v>
      </c>
      <c r="FU2" s="118">
        <v>239401</v>
      </c>
      <c r="FV2" s="118">
        <v>239501</v>
      </c>
      <c r="FW2" s="118">
        <v>239601</v>
      </c>
      <c r="FX2" s="118">
        <v>239701</v>
      </c>
      <c r="FY2" s="118">
        <v>239801</v>
      </c>
      <c r="FZ2" s="118">
        <v>239802</v>
      </c>
      <c r="GA2" s="118">
        <v>239901</v>
      </c>
      <c r="GB2" s="118">
        <v>239904</v>
      </c>
      <c r="GC2" s="118">
        <v>241201</v>
      </c>
      <c r="GD2" s="118">
        <v>241202</v>
      </c>
      <c r="GE2" s="118">
        <v>241203</v>
      </c>
      <c r="GF2" s="118">
        <v>241204</v>
      </c>
      <c r="GG2" s="118">
        <v>241205</v>
      </c>
      <c r="GH2" s="118">
        <v>261101</v>
      </c>
      <c r="GI2" s="118">
        <v>261201</v>
      </c>
      <c r="GJ2" s="118">
        <v>261301</v>
      </c>
      <c r="GK2" s="118">
        <v>261401</v>
      </c>
      <c r="GL2" s="118">
        <v>261901</v>
      </c>
      <c r="GM2" s="118">
        <v>262101</v>
      </c>
      <c r="GN2" s="118">
        <v>262201</v>
      </c>
      <c r="GO2" s="118">
        <v>262301</v>
      </c>
      <c r="GP2" s="118">
        <v>262401</v>
      </c>
      <c r="GQ2" s="118">
        <v>263101</v>
      </c>
      <c r="GR2" s="118">
        <v>263201</v>
      </c>
      <c r="GS2" s="118">
        <v>263301</v>
      </c>
      <c r="GT2" s="118">
        <v>263401</v>
      </c>
      <c r="GU2" s="118">
        <v>264101</v>
      </c>
      <c r="GV2" s="118">
        <v>264201</v>
      </c>
      <c r="GW2" s="118">
        <v>264301</v>
      </c>
      <c r="GX2" s="118">
        <v>264401</v>
      </c>
      <c r="GY2" s="118">
        <v>264501</v>
      </c>
      <c r="GZ2" s="118">
        <v>264601</v>
      </c>
      <c r="HA2" s="118">
        <v>264701</v>
      </c>
      <c r="HB2" s="118">
        <v>264801</v>
      </c>
      <c r="HC2" s="118">
        <v>265101</v>
      </c>
      <c r="HD2" s="118">
        <v>265201</v>
      </c>
      <c r="HE2" s="118">
        <v>265301</v>
      </c>
      <c r="HF2" s="118">
        <v>265401</v>
      </c>
      <c r="HG2" s="118">
        <v>265501</v>
      </c>
      <c r="HH2" s="118">
        <v>265601</v>
      </c>
      <c r="HI2" s="118">
        <v>265701</v>
      </c>
      <c r="HJ2" s="118">
        <v>265801</v>
      </c>
      <c r="HK2" s="118">
        <v>266101</v>
      </c>
      <c r="HL2" s="118">
        <v>266201</v>
      </c>
      <c r="HM2" s="118">
        <v>267101</v>
      </c>
      <c r="HN2" s="118">
        <v>267201</v>
      </c>
      <c r="HO2" s="118">
        <v>267301</v>
      </c>
      <c r="HP2" s="118">
        <v>267401</v>
      </c>
      <c r="HQ2" s="118">
        <v>267501</v>
      </c>
      <c r="HR2" s="118">
        <v>267601</v>
      </c>
      <c r="HS2" s="118">
        <v>267701</v>
      </c>
      <c r="HT2" s="118">
        <v>267801</v>
      </c>
      <c r="HU2" s="118">
        <v>267901</v>
      </c>
      <c r="HV2" s="118">
        <v>268101</v>
      </c>
      <c r="HW2" s="118">
        <v>268201</v>
      </c>
      <c r="HX2" s="118">
        <v>268301</v>
      </c>
      <c r="HY2" s="118">
        <v>268302</v>
      </c>
      <c r="HZ2" s="118">
        <v>268401</v>
      </c>
      <c r="IA2" s="118">
        <v>268501</v>
      </c>
      <c r="IB2" s="118">
        <v>268601</v>
      </c>
      <c r="IC2" s="118">
        <v>268701</v>
      </c>
      <c r="ID2" s="118">
        <v>268802</v>
      </c>
      <c r="IE2" s="118">
        <v>268803</v>
      </c>
      <c r="IF2" s="118">
        <v>268804</v>
      </c>
      <c r="IG2" s="118">
        <v>268901</v>
      </c>
      <c r="IH2" s="118">
        <v>269101</v>
      </c>
      <c r="II2" s="118">
        <v>269102</v>
      </c>
      <c r="IJ2" s="118">
        <v>269201</v>
      </c>
      <c r="IK2" s="118">
        <v>269202</v>
      </c>
      <c r="IL2" s="118">
        <v>269301</v>
      </c>
      <c r="IM2" s="118">
        <v>269401</v>
      </c>
      <c r="IN2" s="118">
        <v>269501</v>
      </c>
      <c r="IO2" s="118">
        <v>269502</v>
      </c>
      <c r="IP2" s="118">
        <v>269503</v>
      </c>
      <c r="IQ2" s="118">
        <v>2269901</v>
      </c>
      <c r="IR2" s="118">
        <v>271101</v>
      </c>
      <c r="IS2" s="118">
        <v>271201</v>
      </c>
      <c r="IT2" s="118">
        <v>271301</v>
      </c>
      <c r="IU2" s="118">
        <v>271401</v>
      </c>
      <c r="IV2" s="118">
        <v>272101</v>
      </c>
      <c r="IW2" s="118">
        <v>272201</v>
      </c>
      <c r="IX2" s="118">
        <v>272301</v>
      </c>
      <c r="IY2" s="118">
        <v>272401</v>
      </c>
      <c r="IZ2" s="118">
        <v>272501</v>
      </c>
      <c r="JA2" s="118">
        <v>272601</v>
      </c>
      <c r="JB2" s="118">
        <v>272701</v>
      </c>
      <c r="JC2" s="118">
        <v>272801</v>
      </c>
      <c r="JD2" s="118">
        <v>272901</v>
      </c>
      <c r="JE2" s="118">
        <v>273101</v>
      </c>
      <c r="JF2" s="118">
        <v>273201</v>
      </c>
      <c r="JG2" s="118">
        <v>274101</v>
      </c>
      <c r="JH2" s="118">
        <v>274201</v>
      </c>
      <c r="JI2" s="120" t="s">
        <v>0</v>
      </c>
      <c r="JJ2" s="124" t="s">
        <v>375</v>
      </c>
      <c r="JK2" s="124" t="s">
        <v>376</v>
      </c>
      <c r="JL2" s="124" t="s">
        <v>373</v>
      </c>
      <c r="JM2" s="124" t="s">
        <v>377</v>
      </c>
      <c r="JN2" s="124">
        <v>2022</v>
      </c>
      <c r="JO2" s="124" t="s">
        <v>348</v>
      </c>
      <c r="JP2" s="124" t="s">
        <v>378</v>
      </c>
    </row>
    <row r="3" spans="1:276" x14ac:dyDescent="0.25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>
        <v>720000</v>
      </c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  <c r="CD3" s="122"/>
      <c r="CE3" s="122"/>
      <c r="CF3" s="122"/>
      <c r="CG3" s="122"/>
      <c r="CH3" s="122"/>
      <c r="CI3" s="122"/>
      <c r="CJ3" s="122"/>
      <c r="CK3" s="122"/>
      <c r="CL3" s="122"/>
      <c r="CM3" s="122"/>
      <c r="CN3" s="122"/>
      <c r="CO3" s="122"/>
      <c r="CP3" s="122"/>
      <c r="CQ3" s="122"/>
      <c r="CR3" s="122"/>
      <c r="CS3" s="122"/>
      <c r="CT3" s="122"/>
      <c r="CU3" s="122"/>
      <c r="CV3" s="122"/>
      <c r="CW3" s="122"/>
      <c r="CX3" s="122"/>
      <c r="CY3" s="122"/>
      <c r="CZ3" s="122"/>
      <c r="DA3" s="122"/>
      <c r="DB3" s="122"/>
      <c r="DC3" s="122"/>
      <c r="DD3" s="122"/>
      <c r="DE3" s="122"/>
      <c r="DF3" s="122"/>
      <c r="DG3" s="122"/>
      <c r="DH3" s="122"/>
      <c r="DI3" s="122"/>
      <c r="DJ3" s="122"/>
      <c r="DK3" s="122"/>
      <c r="DL3" s="122"/>
      <c r="DM3" s="122"/>
      <c r="DN3" s="122"/>
      <c r="DO3" s="122"/>
      <c r="DP3" s="122"/>
      <c r="DQ3" s="122"/>
      <c r="DR3" s="122"/>
      <c r="DS3" s="122"/>
      <c r="DT3" s="122"/>
      <c r="DU3" s="122"/>
      <c r="DV3" s="122"/>
      <c r="DW3" s="122"/>
      <c r="DX3" s="122"/>
      <c r="DY3" s="122"/>
      <c r="DZ3" s="122"/>
      <c r="EA3" s="122"/>
      <c r="EB3" s="122"/>
      <c r="EC3" s="122"/>
      <c r="ED3" s="122"/>
      <c r="EE3" s="122"/>
      <c r="EF3" s="122"/>
      <c r="EG3" s="122"/>
      <c r="EH3" s="122"/>
      <c r="EI3" s="122"/>
      <c r="EJ3" s="122"/>
      <c r="EK3" s="122"/>
      <c r="EL3" s="122"/>
      <c r="EM3" s="122"/>
      <c r="EN3" s="122"/>
      <c r="EO3" s="122"/>
      <c r="EP3" s="122"/>
      <c r="EQ3" s="122"/>
      <c r="ER3" s="122"/>
      <c r="ES3" s="122"/>
      <c r="ET3" s="122"/>
      <c r="EU3" s="122"/>
      <c r="EV3" s="122"/>
      <c r="EW3" s="122"/>
      <c r="EX3" s="122"/>
      <c r="EY3" s="122"/>
      <c r="EZ3" s="122"/>
      <c r="FA3" s="122"/>
      <c r="FB3" s="122"/>
      <c r="FC3" s="122"/>
      <c r="FD3" s="122"/>
      <c r="FE3" s="122"/>
      <c r="FF3" s="122"/>
      <c r="FG3" s="122"/>
      <c r="FH3" s="122"/>
      <c r="FI3" s="122"/>
      <c r="FJ3" s="122"/>
      <c r="FK3" s="122"/>
      <c r="FL3" s="122"/>
      <c r="FM3" s="122"/>
      <c r="FN3" s="122"/>
      <c r="FO3" s="122"/>
      <c r="FP3" s="122"/>
      <c r="FQ3" s="122"/>
      <c r="FR3" s="122"/>
      <c r="FS3" s="122"/>
      <c r="FT3" s="122"/>
      <c r="FU3" s="122"/>
      <c r="FV3" s="122"/>
      <c r="FW3" s="122"/>
      <c r="FX3" s="122"/>
      <c r="FY3" s="122"/>
      <c r="FZ3" s="122"/>
      <c r="GA3" s="122"/>
      <c r="GB3" s="122"/>
      <c r="GC3" s="122"/>
      <c r="GD3" s="122"/>
      <c r="GE3" s="122"/>
      <c r="GF3" s="122"/>
      <c r="GG3" s="122"/>
      <c r="GH3" s="122"/>
      <c r="GI3" s="122"/>
      <c r="GJ3" s="122"/>
      <c r="GK3" s="122"/>
      <c r="GL3" s="122"/>
      <c r="GM3" s="122"/>
      <c r="GN3" s="122"/>
      <c r="GO3" s="122"/>
      <c r="GP3" s="122"/>
      <c r="GQ3" s="122"/>
      <c r="GR3" s="122"/>
      <c r="GS3" s="122"/>
      <c r="GT3" s="122"/>
      <c r="GU3" s="122"/>
      <c r="GV3" s="122"/>
      <c r="GW3" s="122"/>
      <c r="GX3" s="122"/>
      <c r="GY3" s="122"/>
      <c r="GZ3" s="122"/>
      <c r="HA3" s="122"/>
      <c r="HB3" s="122"/>
      <c r="HC3" s="122"/>
      <c r="HD3" s="122"/>
      <c r="HE3" s="122"/>
      <c r="HF3" s="122"/>
      <c r="HG3" s="122"/>
      <c r="HH3" s="122"/>
      <c r="HI3" s="122"/>
      <c r="HJ3" s="122"/>
      <c r="HK3" s="122"/>
      <c r="HL3" s="122"/>
      <c r="HM3" s="122"/>
      <c r="HN3" s="122"/>
      <c r="HO3" s="122"/>
      <c r="HP3" s="122"/>
      <c r="HQ3" s="122"/>
      <c r="HR3" s="122"/>
      <c r="HS3" s="122"/>
      <c r="HT3" s="122"/>
      <c r="HU3" s="122"/>
      <c r="HV3" s="122"/>
      <c r="HW3" s="122"/>
      <c r="HX3" s="122"/>
      <c r="HY3" s="122"/>
      <c r="HZ3" s="122"/>
      <c r="IA3" s="122"/>
      <c r="IB3" s="122"/>
      <c r="IC3" s="122"/>
      <c r="ID3" s="122"/>
      <c r="IE3" s="122"/>
      <c r="IF3" s="122"/>
      <c r="IG3" s="122"/>
      <c r="IH3" s="122"/>
      <c r="II3" s="122"/>
      <c r="IJ3" s="122"/>
      <c r="IK3" s="122"/>
      <c r="IL3" s="122"/>
      <c r="IM3" s="122"/>
      <c r="IN3" s="122"/>
      <c r="IO3" s="122"/>
      <c r="IP3" s="122"/>
      <c r="IQ3" s="122"/>
      <c r="IR3" s="122"/>
      <c r="IS3" s="122"/>
      <c r="IT3" s="122"/>
      <c r="IU3" s="122"/>
      <c r="IV3" s="122"/>
      <c r="IW3" s="122"/>
      <c r="IX3" s="122"/>
      <c r="IY3" s="122"/>
      <c r="IZ3" s="122"/>
      <c r="JA3" s="122"/>
      <c r="JB3" s="122"/>
      <c r="JC3" s="122"/>
      <c r="JD3" s="122"/>
      <c r="JE3" s="122"/>
      <c r="JF3" s="122"/>
      <c r="JG3" s="122"/>
      <c r="JH3" s="122"/>
      <c r="JI3" s="119">
        <f>SUM(A3:JH3)</f>
        <v>720000</v>
      </c>
      <c r="JJ3" s="2">
        <v>372</v>
      </c>
      <c r="JK3" s="122">
        <v>684000</v>
      </c>
      <c r="JL3" s="125">
        <f>+JI3-JK3</f>
        <v>36000</v>
      </c>
      <c r="JM3" s="125"/>
      <c r="JN3" s="125"/>
      <c r="JO3" s="125"/>
      <c r="JP3" s="125"/>
    </row>
    <row r="4" spans="1:276" x14ac:dyDescent="0.25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>
        <v>361378.54</v>
      </c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  <c r="DB4" s="122"/>
      <c r="DC4" s="122"/>
      <c r="DD4" s="122"/>
      <c r="DE4" s="122"/>
      <c r="DF4" s="122"/>
      <c r="DG4" s="122"/>
      <c r="DH4" s="122"/>
      <c r="DI4" s="122"/>
      <c r="DJ4" s="122"/>
      <c r="DK4" s="122"/>
      <c r="DL4" s="122"/>
      <c r="DM4" s="122"/>
      <c r="DN4" s="122"/>
      <c r="DO4" s="122"/>
      <c r="DP4" s="122"/>
      <c r="DQ4" s="122"/>
      <c r="DR4" s="122"/>
      <c r="DS4" s="122"/>
      <c r="DT4" s="122"/>
      <c r="DU4" s="122"/>
      <c r="DV4" s="122"/>
      <c r="DW4" s="122"/>
      <c r="DX4" s="122"/>
      <c r="DY4" s="122"/>
      <c r="DZ4" s="122"/>
      <c r="EA4" s="122"/>
      <c r="EB4" s="122"/>
      <c r="EC4" s="122"/>
      <c r="ED4" s="122"/>
      <c r="EE4" s="122"/>
      <c r="EF4" s="122"/>
      <c r="EG4" s="122"/>
      <c r="EH4" s="122"/>
      <c r="EI4" s="122"/>
      <c r="EJ4" s="122"/>
      <c r="EK4" s="122"/>
      <c r="EL4" s="122"/>
      <c r="EM4" s="122"/>
      <c r="EN4" s="122"/>
      <c r="EO4" s="122"/>
      <c r="EP4" s="122"/>
      <c r="EQ4" s="122"/>
      <c r="ER4" s="122"/>
      <c r="ES4" s="122"/>
      <c r="ET4" s="122"/>
      <c r="EU4" s="122"/>
      <c r="EV4" s="122"/>
      <c r="EW4" s="122"/>
      <c r="EX4" s="122"/>
      <c r="EY4" s="122"/>
      <c r="EZ4" s="122"/>
      <c r="FA4" s="122"/>
      <c r="FB4" s="122"/>
      <c r="FC4" s="122"/>
      <c r="FD4" s="122"/>
      <c r="FE4" s="122"/>
      <c r="FF4" s="122"/>
      <c r="FG4" s="122"/>
      <c r="FH4" s="122"/>
      <c r="FI4" s="122"/>
      <c r="FJ4" s="122"/>
      <c r="FK4" s="122"/>
      <c r="FL4" s="122"/>
      <c r="FM4" s="122"/>
      <c r="FN4" s="122"/>
      <c r="FO4" s="122"/>
      <c r="FP4" s="122"/>
      <c r="FQ4" s="122"/>
      <c r="FR4" s="122"/>
      <c r="FS4" s="122"/>
      <c r="FT4" s="122"/>
      <c r="FU4" s="122"/>
      <c r="FV4" s="122"/>
      <c r="FW4" s="122"/>
      <c r="FX4" s="122"/>
      <c r="FY4" s="122"/>
      <c r="FZ4" s="122"/>
      <c r="GA4" s="122"/>
      <c r="GB4" s="122"/>
      <c r="GC4" s="122"/>
      <c r="GD4" s="122"/>
      <c r="GE4" s="122"/>
      <c r="GF4" s="122"/>
      <c r="GG4" s="122"/>
      <c r="GH4" s="122"/>
      <c r="GI4" s="122"/>
      <c r="GJ4" s="122"/>
      <c r="GK4" s="122"/>
      <c r="GL4" s="122"/>
      <c r="GM4" s="122"/>
      <c r="GN4" s="122"/>
      <c r="GO4" s="122"/>
      <c r="GP4" s="122"/>
      <c r="GQ4" s="122"/>
      <c r="GR4" s="122"/>
      <c r="GS4" s="122"/>
      <c r="GT4" s="122"/>
      <c r="GU4" s="122"/>
      <c r="GV4" s="122"/>
      <c r="GW4" s="122"/>
      <c r="GX4" s="122"/>
      <c r="GY4" s="122"/>
      <c r="GZ4" s="122"/>
      <c r="HA4" s="122"/>
      <c r="HB4" s="122"/>
      <c r="HC4" s="122"/>
      <c r="HD4" s="122"/>
      <c r="HE4" s="122"/>
      <c r="HF4" s="122"/>
      <c r="HG4" s="122"/>
      <c r="HH4" s="122"/>
      <c r="HI4" s="122"/>
      <c r="HJ4" s="122"/>
      <c r="HK4" s="122"/>
      <c r="HL4" s="122"/>
      <c r="HM4" s="122"/>
      <c r="HN4" s="122"/>
      <c r="HO4" s="122"/>
      <c r="HP4" s="122"/>
      <c r="HQ4" s="122"/>
      <c r="HR4" s="122"/>
      <c r="HS4" s="122"/>
      <c r="HT4" s="122"/>
      <c r="HU4" s="122"/>
      <c r="HV4" s="122"/>
      <c r="HW4" s="122"/>
      <c r="HX4" s="122"/>
      <c r="HY4" s="122"/>
      <c r="HZ4" s="122"/>
      <c r="IA4" s="122"/>
      <c r="IB4" s="122"/>
      <c r="IC4" s="122"/>
      <c r="ID4" s="122"/>
      <c r="IE4" s="122"/>
      <c r="IF4" s="122"/>
      <c r="IG4" s="122"/>
      <c r="IH4" s="122"/>
      <c r="II4" s="122"/>
      <c r="IJ4" s="122"/>
      <c r="IK4" s="122"/>
      <c r="IL4" s="122"/>
      <c r="IM4" s="122"/>
      <c r="IN4" s="122"/>
      <c r="IO4" s="122"/>
      <c r="IP4" s="122"/>
      <c r="IQ4" s="122"/>
      <c r="IR4" s="122"/>
      <c r="IS4" s="122"/>
      <c r="IT4" s="122"/>
      <c r="IU4" s="122"/>
      <c r="IV4" s="122"/>
      <c r="IW4" s="122"/>
      <c r="IX4" s="122"/>
      <c r="IY4" s="122"/>
      <c r="IZ4" s="122"/>
      <c r="JA4" s="122"/>
      <c r="JB4" s="122"/>
      <c r="JC4" s="122"/>
      <c r="JD4" s="122"/>
      <c r="JE4" s="122"/>
      <c r="JF4" s="122"/>
      <c r="JG4" s="122"/>
      <c r="JH4" s="122"/>
      <c r="JI4" s="119">
        <f t="shared" ref="JI4:JI46" si="0">SUM(A4:JH4)</f>
        <v>361378.54</v>
      </c>
      <c r="JJ4" s="2">
        <v>373</v>
      </c>
      <c r="JK4" s="122">
        <v>346065.89</v>
      </c>
      <c r="JL4" s="125">
        <f t="shared" ref="JL4:JL56" si="1">+JI4-JK4</f>
        <v>15312.649999999965</v>
      </c>
      <c r="JM4" s="125"/>
      <c r="JN4" s="125"/>
      <c r="JO4" s="125"/>
      <c r="JP4" s="125"/>
    </row>
    <row r="5" spans="1:276" x14ac:dyDescent="0.25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2"/>
      <c r="CN5" s="122"/>
      <c r="CO5" s="122"/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  <c r="DB5" s="122"/>
      <c r="DC5" s="122"/>
      <c r="DD5" s="122"/>
      <c r="DE5" s="122"/>
      <c r="DF5" s="122"/>
      <c r="DG5" s="122"/>
      <c r="DH5" s="122"/>
      <c r="DI5" s="122"/>
      <c r="DJ5" s="122"/>
      <c r="DK5" s="122"/>
      <c r="DL5" s="122"/>
      <c r="DM5" s="122"/>
      <c r="DN5" s="122"/>
      <c r="DO5" s="122"/>
      <c r="DP5" s="122"/>
      <c r="DQ5" s="122"/>
      <c r="DR5" s="122"/>
      <c r="DS5" s="122"/>
      <c r="DT5" s="122"/>
      <c r="DU5" s="122"/>
      <c r="DV5" s="122"/>
      <c r="DW5" s="122"/>
      <c r="DX5" s="122"/>
      <c r="DY5" s="122"/>
      <c r="DZ5" s="122"/>
      <c r="EA5" s="122"/>
      <c r="EB5" s="122"/>
      <c r="EC5" s="122"/>
      <c r="ED5" s="122"/>
      <c r="EE5" s="122"/>
      <c r="EF5" s="122"/>
      <c r="EG5" s="122"/>
      <c r="EH5" s="122"/>
      <c r="EI5" s="122"/>
      <c r="EJ5" s="122"/>
      <c r="EK5" s="122"/>
      <c r="EL5" s="122"/>
      <c r="EM5" s="122"/>
      <c r="EN5" s="122"/>
      <c r="EO5" s="122"/>
      <c r="EP5" s="122"/>
      <c r="EQ5" s="122"/>
      <c r="ER5" s="122"/>
      <c r="ES5" s="122"/>
      <c r="ET5" s="122"/>
      <c r="EU5" s="122"/>
      <c r="EV5" s="122"/>
      <c r="EW5" s="122"/>
      <c r="EX5" s="122"/>
      <c r="EY5" s="122"/>
      <c r="EZ5" s="122"/>
      <c r="FA5" s="122"/>
      <c r="FB5" s="122"/>
      <c r="FC5" s="122"/>
      <c r="FD5" s="122"/>
      <c r="FE5" s="122"/>
      <c r="FF5" s="122"/>
      <c r="FG5" s="122"/>
      <c r="FH5" s="122"/>
      <c r="FI5" s="122"/>
      <c r="FJ5" s="122"/>
      <c r="FK5" s="122"/>
      <c r="FL5" s="122"/>
      <c r="FM5" s="122"/>
      <c r="FN5" s="122"/>
      <c r="FO5" s="122"/>
      <c r="FP5" s="122"/>
      <c r="FQ5" s="122">
        <v>158061</v>
      </c>
      <c r="FR5" s="122"/>
      <c r="FS5" s="122"/>
      <c r="FT5" s="122"/>
      <c r="FU5" s="122"/>
      <c r="FV5" s="122"/>
      <c r="FW5" s="122"/>
      <c r="FX5" s="122"/>
      <c r="FY5" s="122"/>
      <c r="FZ5" s="122"/>
      <c r="GA5" s="122"/>
      <c r="GB5" s="122"/>
      <c r="GC5" s="122"/>
      <c r="GD5" s="122"/>
      <c r="GE5" s="122"/>
      <c r="GF5" s="122"/>
      <c r="GG5" s="122"/>
      <c r="GH5" s="122"/>
      <c r="GI5" s="122"/>
      <c r="GJ5" s="122"/>
      <c r="GK5" s="122"/>
      <c r="GL5" s="122"/>
      <c r="GM5" s="122"/>
      <c r="GN5" s="122"/>
      <c r="GO5" s="122"/>
      <c r="GP5" s="122"/>
      <c r="GQ5" s="122"/>
      <c r="GR5" s="122"/>
      <c r="GS5" s="122"/>
      <c r="GT5" s="122"/>
      <c r="GU5" s="122"/>
      <c r="GV5" s="122"/>
      <c r="GW5" s="122"/>
      <c r="GX5" s="122"/>
      <c r="GY5" s="122"/>
      <c r="GZ5" s="122"/>
      <c r="HA5" s="122"/>
      <c r="HB5" s="122"/>
      <c r="HC5" s="122"/>
      <c r="HD5" s="122"/>
      <c r="HE5" s="122"/>
      <c r="HF5" s="122"/>
      <c r="HG5" s="122"/>
      <c r="HH5" s="122"/>
      <c r="HI5" s="122"/>
      <c r="HJ5" s="122"/>
      <c r="HK5" s="122"/>
      <c r="HL5" s="122"/>
      <c r="HM5" s="122"/>
      <c r="HN5" s="122"/>
      <c r="HO5" s="122"/>
      <c r="HP5" s="122"/>
      <c r="HQ5" s="122"/>
      <c r="HR5" s="122"/>
      <c r="HS5" s="122"/>
      <c r="HT5" s="122"/>
      <c r="HU5" s="122"/>
      <c r="HV5" s="122"/>
      <c r="HW5" s="122"/>
      <c r="HX5" s="122"/>
      <c r="HY5" s="122"/>
      <c r="HZ5" s="122"/>
      <c r="IA5" s="122"/>
      <c r="IB5" s="122"/>
      <c r="IC5" s="122"/>
      <c r="ID5" s="122"/>
      <c r="IE5" s="122"/>
      <c r="IF5" s="122"/>
      <c r="IG5" s="122"/>
      <c r="IH5" s="122"/>
      <c r="II5" s="122"/>
      <c r="IJ5" s="122"/>
      <c r="IK5" s="122"/>
      <c r="IL5" s="122"/>
      <c r="IM5" s="122"/>
      <c r="IN5" s="122"/>
      <c r="IO5" s="122"/>
      <c r="IP5" s="122"/>
      <c r="IQ5" s="122"/>
      <c r="IR5" s="122"/>
      <c r="IS5" s="122"/>
      <c r="IT5" s="122"/>
      <c r="IU5" s="122"/>
      <c r="IV5" s="122"/>
      <c r="IW5" s="122"/>
      <c r="IX5" s="122"/>
      <c r="IY5" s="122"/>
      <c r="IZ5" s="122"/>
      <c r="JA5" s="122"/>
      <c r="JB5" s="122"/>
      <c r="JC5" s="122"/>
      <c r="JD5" s="122"/>
      <c r="JE5" s="122"/>
      <c r="JF5" s="122"/>
      <c r="JG5" s="122"/>
      <c r="JH5" s="122"/>
      <c r="JI5" s="119">
        <f t="shared" si="0"/>
        <v>158061</v>
      </c>
      <c r="JJ5" s="2">
        <v>379</v>
      </c>
      <c r="JK5" s="122">
        <v>151363.5</v>
      </c>
      <c r="JL5" s="125">
        <f t="shared" si="1"/>
        <v>6697.5</v>
      </c>
      <c r="JM5" s="125"/>
      <c r="JN5" s="125"/>
      <c r="JO5" s="125"/>
      <c r="JP5" s="125"/>
    </row>
    <row r="6" spans="1:276" x14ac:dyDescent="0.25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  <c r="CL6" s="122"/>
      <c r="CM6" s="122"/>
      <c r="CN6" s="122"/>
      <c r="CO6" s="122"/>
      <c r="CP6" s="122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  <c r="DB6" s="122"/>
      <c r="DC6" s="122"/>
      <c r="DD6" s="122"/>
      <c r="DE6" s="122"/>
      <c r="DF6" s="122"/>
      <c r="DG6" s="122"/>
      <c r="DH6" s="122"/>
      <c r="DI6" s="122"/>
      <c r="DJ6" s="122"/>
      <c r="DK6" s="122">
        <v>15000</v>
      </c>
      <c r="DL6" s="122"/>
      <c r="DM6" s="122"/>
      <c r="DN6" s="122"/>
      <c r="DO6" s="122"/>
      <c r="DP6" s="122"/>
      <c r="DQ6" s="122"/>
      <c r="DR6" s="122"/>
      <c r="DS6" s="122"/>
      <c r="DT6" s="122"/>
      <c r="DU6" s="122"/>
      <c r="DV6" s="122"/>
      <c r="DW6" s="122"/>
      <c r="DX6" s="122"/>
      <c r="DY6" s="122"/>
      <c r="DZ6" s="122"/>
      <c r="EA6" s="122"/>
      <c r="EB6" s="122"/>
      <c r="EC6" s="122"/>
      <c r="ED6" s="122"/>
      <c r="EE6" s="122"/>
      <c r="EF6" s="122"/>
      <c r="EG6" s="122"/>
      <c r="EH6" s="122"/>
      <c r="EI6" s="122"/>
      <c r="EJ6" s="122"/>
      <c r="EK6" s="122"/>
      <c r="EL6" s="122"/>
      <c r="EM6" s="122"/>
      <c r="EN6" s="122"/>
      <c r="EO6" s="122"/>
      <c r="EP6" s="122"/>
      <c r="EQ6" s="122"/>
      <c r="ER6" s="122"/>
      <c r="ES6" s="122"/>
      <c r="ET6" s="122"/>
      <c r="EU6" s="122"/>
      <c r="EV6" s="122"/>
      <c r="EW6" s="122"/>
      <c r="EX6" s="122"/>
      <c r="EY6" s="122"/>
      <c r="EZ6" s="122"/>
      <c r="FA6" s="122"/>
      <c r="FB6" s="122"/>
      <c r="FC6" s="122"/>
      <c r="FD6" s="122"/>
      <c r="FE6" s="122"/>
      <c r="FF6" s="122"/>
      <c r="FG6" s="122"/>
      <c r="FH6" s="122"/>
      <c r="FI6" s="122"/>
      <c r="FJ6" s="122"/>
      <c r="FK6" s="122"/>
      <c r="FL6" s="122"/>
      <c r="FM6" s="122"/>
      <c r="FN6" s="122"/>
      <c r="FO6" s="122"/>
      <c r="FP6" s="122"/>
      <c r="FQ6" s="122"/>
      <c r="FR6" s="122"/>
      <c r="FS6" s="122"/>
      <c r="FT6" s="122"/>
      <c r="FU6" s="122"/>
      <c r="FV6" s="122"/>
      <c r="FW6" s="122"/>
      <c r="FX6" s="122"/>
      <c r="FY6" s="122"/>
      <c r="FZ6" s="122"/>
      <c r="GA6" s="122"/>
      <c r="GB6" s="122"/>
      <c r="GC6" s="122"/>
      <c r="GD6" s="122"/>
      <c r="GE6" s="122"/>
      <c r="GF6" s="122"/>
      <c r="GG6" s="122"/>
      <c r="GH6" s="122"/>
      <c r="GI6" s="122"/>
      <c r="GJ6" s="122"/>
      <c r="GK6" s="122"/>
      <c r="GL6" s="122"/>
      <c r="GM6" s="122"/>
      <c r="GN6" s="122"/>
      <c r="GO6" s="122"/>
      <c r="GP6" s="122"/>
      <c r="GQ6" s="122"/>
      <c r="GR6" s="122"/>
      <c r="GS6" s="122"/>
      <c r="GT6" s="122"/>
      <c r="GU6" s="122"/>
      <c r="GV6" s="122"/>
      <c r="GW6" s="122"/>
      <c r="GX6" s="122"/>
      <c r="GY6" s="122"/>
      <c r="GZ6" s="122"/>
      <c r="HA6" s="122"/>
      <c r="HB6" s="122"/>
      <c r="HC6" s="122"/>
      <c r="HD6" s="122"/>
      <c r="HE6" s="122"/>
      <c r="HF6" s="122"/>
      <c r="HG6" s="122"/>
      <c r="HH6" s="122"/>
      <c r="HI6" s="122"/>
      <c r="HJ6" s="122"/>
      <c r="HK6" s="122"/>
      <c r="HL6" s="122"/>
      <c r="HM6" s="122"/>
      <c r="HN6" s="122"/>
      <c r="HO6" s="122"/>
      <c r="HP6" s="122"/>
      <c r="HQ6" s="122"/>
      <c r="HR6" s="122"/>
      <c r="HS6" s="122"/>
      <c r="HT6" s="122"/>
      <c r="HU6" s="122"/>
      <c r="HV6" s="122"/>
      <c r="HW6" s="122"/>
      <c r="HX6" s="122"/>
      <c r="HY6" s="122"/>
      <c r="HZ6" s="122"/>
      <c r="IA6" s="122"/>
      <c r="IB6" s="122"/>
      <c r="IC6" s="122"/>
      <c r="ID6" s="122"/>
      <c r="IE6" s="122"/>
      <c r="IF6" s="122"/>
      <c r="IG6" s="122"/>
      <c r="IH6" s="122"/>
      <c r="II6" s="122"/>
      <c r="IJ6" s="122"/>
      <c r="IK6" s="122"/>
      <c r="IL6" s="122"/>
      <c r="IM6" s="122"/>
      <c r="IN6" s="122"/>
      <c r="IO6" s="122"/>
      <c r="IP6" s="122"/>
      <c r="IQ6" s="122"/>
      <c r="IR6" s="122"/>
      <c r="IS6" s="122"/>
      <c r="IT6" s="122"/>
      <c r="IU6" s="122"/>
      <c r="IV6" s="122"/>
      <c r="IW6" s="122"/>
      <c r="IX6" s="122"/>
      <c r="IY6" s="122"/>
      <c r="IZ6" s="122"/>
      <c r="JA6" s="122"/>
      <c r="JB6" s="122"/>
      <c r="JC6" s="122"/>
      <c r="JD6" s="122"/>
      <c r="JE6" s="122"/>
      <c r="JF6" s="122"/>
      <c r="JG6" s="122"/>
      <c r="JH6" s="122"/>
      <c r="JI6" s="119">
        <f t="shared" si="0"/>
        <v>15000</v>
      </c>
      <c r="JJ6" s="2">
        <v>380</v>
      </c>
      <c r="JK6" s="122">
        <v>15000</v>
      </c>
      <c r="JL6" s="125">
        <f t="shared" si="1"/>
        <v>0</v>
      </c>
      <c r="JM6" s="125"/>
      <c r="JN6" s="125"/>
      <c r="JO6" s="125"/>
      <c r="JP6" s="125"/>
    </row>
    <row r="7" spans="1:276" x14ac:dyDescent="0.25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  <c r="DB7" s="122"/>
      <c r="DC7" s="122"/>
      <c r="DD7" s="122"/>
      <c r="DE7" s="122"/>
      <c r="DF7" s="122"/>
      <c r="DG7" s="122"/>
      <c r="DH7" s="122"/>
      <c r="DI7" s="122"/>
      <c r="DJ7" s="122"/>
      <c r="DK7" s="122">
        <v>14000</v>
      </c>
      <c r="DL7" s="122"/>
      <c r="DM7" s="122"/>
      <c r="DN7" s="122"/>
      <c r="DO7" s="122"/>
      <c r="DP7" s="122"/>
      <c r="DQ7" s="122"/>
      <c r="DR7" s="122"/>
      <c r="DS7" s="122"/>
      <c r="DT7" s="122"/>
      <c r="DU7" s="122"/>
      <c r="DV7" s="122"/>
      <c r="DW7" s="122"/>
      <c r="DX7" s="122"/>
      <c r="DY7" s="122"/>
      <c r="DZ7" s="122"/>
      <c r="EA7" s="122"/>
      <c r="EB7" s="122"/>
      <c r="EC7" s="122"/>
      <c r="ED7" s="122"/>
      <c r="EE7" s="122"/>
      <c r="EF7" s="122"/>
      <c r="EG7" s="122"/>
      <c r="EH7" s="122"/>
      <c r="EI7" s="122"/>
      <c r="EJ7" s="122"/>
      <c r="EK7" s="122"/>
      <c r="EL7" s="122"/>
      <c r="EM7" s="122"/>
      <c r="EN7" s="122"/>
      <c r="EO7" s="122"/>
      <c r="EP7" s="122"/>
      <c r="EQ7" s="122"/>
      <c r="ER7" s="122"/>
      <c r="ES7" s="122"/>
      <c r="ET7" s="122"/>
      <c r="EU7" s="122"/>
      <c r="EV7" s="122"/>
      <c r="EW7" s="122"/>
      <c r="EX7" s="122"/>
      <c r="EY7" s="122"/>
      <c r="EZ7" s="122"/>
      <c r="FA7" s="122"/>
      <c r="FB7" s="122"/>
      <c r="FC7" s="122"/>
      <c r="FD7" s="122"/>
      <c r="FE7" s="122"/>
      <c r="FF7" s="122"/>
      <c r="FG7" s="122"/>
      <c r="FH7" s="122"/>
      <c r="FI7" s="122"/>
      <c r="FJ7" s="122"/>
      <c r="FK7" s="122"/>
      <c r="FL7" s="122"/>
      <c r="FM7" s="122"/>
      <c r="FN7" s="122"/>
      <c r="FO7" s="122"/>
      <c r="FP7" s="122"/>
      <c r="FQ7" s="122"/>
      <c r="FR7" s="122"/>
      <c r="FS7" s="122"/>
      <c r="FT7" s="122"/>
      <c r="FU7" s="122"/>
      <c r="FV7" s="122"/>
      <c r="FW7" s="122"/>
      <c r="FX7" s="122"/>
      <c r="FY7" s="122"/>
      <c r="FZ7" s="122"/>
      <c r="GA7" s="122"/>
      <c r="GB7" s="122"/>
      <c r="GC7" s="122"/>
      <c r="GD7" s="122"/>
      <c r="GE7" s="122"/>
      <c r="GF7" s="122"/>
      <c r="GG7" s="122"/>
      <c r="GH7" s="122"/>
      <c r="GI7" s="122"/>
      <c r="GJ7" s="122"/>
      <c r="GK7" s="122"/>
      <c r="GL7" s="122"/>
      <c r="GM7" s="122"/>
      <c r="GN7" s="122"/>
      <c r="GO7" s="122"/>
      <c r="GP7" s="122"/>
      <c r="GQ7" s="122"/>
      <c r="GR7" s="122"/>
      <c r="GS7" s="122"/>
      <c r="GT7" s="122"/>
      <c r="GU7" s="122"/>
      <c r="GV7" s="122"/>
      <c r="GW7" s="122"/>
      <c r="GX7" s="122"/>
      <c r="GY7" s="122"/>
      <c r="GZ7" s="122"/>
      <c r="HA7" s="122"/>
      <c r="HB7" s="122"/>
      <c r="HC7" s="122"/>
      <c r="HD7" s="122"/>
      <c r="HE7" s="122"/>
      <c r="HF7" s="122"/>
      <c r="HG7" s="122"/>
      <c r="HH7" s="122"/>
      <c r="HI7" s="122"/>
      <c r="HJ7" s="122"/>
      <c r="HK7" s="122"/>
      <c r="HL7" s="122"/>
      <c r="HM7" s="122"/>
      <c r="HN7" s="122"/>
      <c r="HO7" s="122"/>
      <c r="HP7" s="122"/>
      <c r="HQ7" s="122"/>
      <c r="HR7" s="122"/>
      <c r="HS7" s="122"/>
      <c r="HT7" s="122"/>
      <c r="HU7" s="122"/>
      <c r="HV7" s="122"/>
      <c r="HW7" s="122"/>
      <c r="HX7" s="122"/>
      <c r="HY7" s="122"/>
      <c r="HZ7" s="122"/>
      <c r="IA7" s="122"/>
      <c r="IB7" s="122"/>
      <c r="IC7" s="122"/>
      <c r="ID7" s="122"/>
      <c r="IE7" s="122"/>
      <c r="IF7" s="122"/>
      <c r="IG7" s="122"/>
      <c r="IH7" s="122"/>
      <c r="II7" s="122"/>
      <c r="IJ7" s="122"/>
      <c r="IK7" s="122"/>
      <c r="IL7" s="122"/>
      <c r="IM7" s="122"/>
      <c r="IN7" s="122"/>
      <c r="IO7" s="122"/>
      <c r="IP7" s="122"/>
      <c r="IQ7" s="122"/>
      <c r="IR7" s="122"/>
      <c r="IS7" s="122"/>
      <c r="IT7" s="122"/>
      <c r="IU7" s="122"/>
      <c r="IV7" s="122"/>
      <c r="IW7" s="122"/>
      <c r="IX7" s="122"/>
      <c r="IY7" s="122"/>
      <c r="IZ7" s="122"/>
      <c r="JA7" s="122"/>
      <c r="JB7" s="122"/>
      <c r="JC7" s="122"/>
      <c r="JD7" s="122"/>
      <c r="JE7" s="122"/>
      <c r="JF7" s="122"/>
      <c r="JG7" s="122"/>
      <c r="JH7" s="122"/>
      <c r="JI7" s="119">
        <f t="shared" si="0"/>
        <v>14000</v>
      </c>
      <c r="JJ7" s="2">
        <v>381</v>
      </c>
      <c r="JK7" s="122">
        <v>14000</v>
      </c>
      <c r="JL7" s="125">
        <f t="shared" si="1"/>
        <v>0</v>
      </c>
      <c r="JM7" s="125"/>
      <c r="JN7" s="125"/>
      <c r="JO7" s="125"/>
      <c r="JP7" s="125"/>
    </row>
    <row r="8" spans="1:276" x14ac:dyDescent="0.25">
      <c r="A8" s="122"/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2"/>
      <c r="BQ8" s="122"/>
      <c r="BR8" s="122"/>
      <c r="BS8" s="122"/>
      <c r="BT8" s="122"/>
      <c r="BU8" s="122"/>
      <c r="BV8" s="122"/>
      <c r="BW8" s="122"/>
      <c r="BX8" s="122"/>
      <c r="BY8" s="122"/>
      <c r="BZ8" s="122"/>
      <c r="CA8" s="122"/>
      <c r="CB8" s="122"/>
      <c r="CC8" s="122"/>
      <c r="CD8" s="122"/>
      <c r="CE8" s="122"/>
      <c r="CF8" s="122"/>
      <c r="CG8" s="122"/>
      <c r="CH8" s="122"/>
      <c r="CI8" s="122"/>
      <c r="CJ8" s="122"/>
      <c r="CK8" s="122"/>
      <c r="CL8" s="122"/>
      <c r="CM8" s="122"/>
      <c r="CN8" s="122"/>
      <c r="CO8" s="122"/>
      <c r="CP8" s="122"/>
      <c r="CQ8" s="122"/>
      <c r="CR8" s="122"/>
      <c r="CS8" s="122"/>
      <c r="CT8" s="122"/>
      <c r="CU8" s="122"/>
      <c r="CV8" s="122"/>
      <c r="CW8" s="122"/>
      <c r="CX8" s="122"/>
      <c r="CY8" s="122"/>
      <c r="CZ8" s="122"/>
      <c r="DA8" s="122"/>
      <c r="DB8" s="122"/>
      <c r="DC8" s="122"/>
      <c r="DD8" s="122"/>
      <c r="DE8" s="122"/>
      <c r="DF8" s="122"/>
      <c r="DG8" s="122"/>
      <c r="DH8" s="122"/>
      <c r="DI8" s="122"/>
      <c r="DJ8" s="122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/>
      <c r="EB8" s="122"/>
      <c r="EC8" s="122"/>
      <c r="ED8" s="122"/>
      <c r="EE8" s="122"/>
      <c r="EF8" s="122"/>
      <c r="EG8" s="122"/>
      <c r="EH8" s="122"/>
      <c r="EI8" s="122"/>
      <c r="EJ8" s="122"/>
      <c r="EK8" s="122"/>
      <c r="EL8" s="122"/>
      <c r="EM8" s="122"/>
      <c r="EN8" s="122"/>
      <c r="EO8" s="122"/>
      <c r="EP8" s="122"/>
      <c r="EQ8" s="122"/>
      <c r="ER8" s="122"/>
      <c r="ES8" s="122"/>
      <c r="ET8" s="122"/>
      <c r="EU8" s="122"/>
      <c r="EV8" s="122"/>
      <c r="EW8" s="122"/>
      <c r="EX8" s="122"/>
      <c r="EY8" s="122"/>
      <c r="EZ8" s="122"/>
      <c r="FA8" s="122"/>
      <c r="FB8" s="122"/>
      <c r="FC8" s="122"/>
      <c r="FD8" s="122"/>
      <c r="FE8" s="122"/>
      <c r="FF8" s="122"/>
      <c r="FG8" s="122"/>
      <c r="FH8" s="122"/>
      <c r="FI8" s="122"/>
      <c r="FJ8" s="122"/>
      <c r="FK8" s="122"/>
      <c r="FL8" s="122"/>
      <c r="FM8" s="122"/>
      <c r="FN8" s="122"/>
      <c r="FO8" s="122"/>
      <c r="FP8" s="122"/>
      <c r="FQ8" s="122"/>
      <c r="FR8" s="122"/>
      <c r="FS8" s="122"/>
      <c r="FT8" s="122"/>
      <c r="FU8" s="122"/>
      <c r="FV8" s="122"/>
      <c r="FW8" s="122"/>
      <c r="FX8" s="122"/>
      <c r="FY8" s="122"/>
      <c r="FZ8" s="122"/>
      <c r="GA8" s="122"/>
      <c r="GB8" s="122"/>
      <c r="GC8" s="122"/>
      <c r="GD8" s="122"/>
      <c r="GE8" s="122"/>
      <c r="GF8" s="122"/>
      <c r="GG8" s="122"/>
      <c r="GH8" s="122"/>
      <c r="GI8" s="122"/>
      <c r="GJ8" s="122"/>
      <c r="GK8" s="122"/>
      <c r="GL8" s="122"/>
      <c r="GM8" s="122"/>
      <c r="GN8" s="122"/>
      <c r="GO8" s="122"/>
      <c r="GP8" s="122"/>
      <c r="GQ8" s="122"/>
      <c r="GR8" s="122"/>
      <c r="GS8" s="122"/>
      <c r="GT8" s="122"/>
      <c r="GU8" s="122"/>
      <c r="GV8" s="122"/>
      <c r="GW8" s="122"/>
      <c r="GX8" s="122"/>
      <c r="GY8" s="122"/>
      <c r="GZ8" s="122"/>
      <c r="HA8" s="122"/>
      <c r="HB8" s="122"/>
      <c r="HC8" s="122"/>
      <c r="HD8" s="122"/>
      <c r="HE8" s="122"/>
      <c r="HF8" s="122"/>
      <c r="HG8" s="122"/>
      <c r="HH8" s="122">
        <v>413000</v>
      </c>
      <c r="HI8" s="122"/>
      <c r="HJ8" s="122"/>
      <c r="HK8" s="122"/>
      <c r="HL8" s="122"/>
      <c r="HM8" s="122"/>
      <c r="HN8" s="122"/>
      <c r="HO8" s="122"/>
      <c r="HP8" s="122"/>
      <c r="HQ8" s="122"/>
      <c r="HR8" s="122"/>
      <c r="HS8" s="122"/>
      <c r="HT8" s="122"/>
      <c r="HU8" s="122"/>
      <c r="HV8" s="122"/>
      <c r="HW8" s="122"/>
      <c r="HX8" s="122"/>
      <c r="HY8" s="122"/>
      <c r="HZ8" s="122"/>
      <c r="IA8" s="122"/>
      <c r="IB8" s="122"/>
      <c r="IC8" s="122"/>
      <c r="ID8" s="122"/>
      <c r="IE8" s="122"/>
      <c r="IF8" s="122"/>
      <c r="IG8" s="122"/>
      <c r="IH8" s="122"/>
      <c r="II8" s="122"/>
      <c r="IJ8" s="122"/>
      <c r="IK8" s="122"/>
      <c r="IL8" s="122"/>
      <c r="IM8" s="122"/>
      <c r="IN8" s="122"/>
      <c r="IO8" s="122"/>
      <c r="IP8" s="122"/>
      <c r="IQ8" s="122"/>
      <c r="IR8" s="122"/>
      <c r="IS8" s="122"/>
      <c r="IT8" s="122"/>
      <c r="IU8" s="122"/>
      <c r="IV8" s="122"/>
      <c r="IW8" s="122"/>
      <c r="IX8" s="122"/>
      <c r="IY8" s="122"/>
      <c r="IZ8" s="122"/>
      <c r="JA8" s="122"/>
      <c r="JB8" s="122"/>
      <c r="JC8" s="122"/>
      <c r="JD8" s="122"/>
      <c r="JE8" s="122"/>
      <c r="JF8" s="122"/>
      <c r="JG8" s="122"/>
      <c r="JH8" s="122"/>
      <c r="JI8" s="119">
        <f t="shared" si="0"/>
        <v>413000</v>
      </c>
      <c r="JJ8" s="2">
        <v>382</v>
      </c>
      <c r="JK8" s="122">
        <v>395500</v>
      </c>
      <c r="JL8" s="125">
        <f t="shared" si="1"/>
        <v>17500</v>
      </c>
      <c r="JM8" s="125"/>
      <c r="JN8" s="125"/>
      <c r="JO8" s="125"/>
      <c r="JP8" s="125"/>
    </row>
    <row r="9" spans="1:276" x14ac:dyDescent="0.25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122"/>
      <c r="BR9" s="122"/>
      <c r="BS9" s="122"/>
      <c r="BT9" s="122"/>
      <c r="BU9" s="122"/>
      <c r="BV9" s="122"/>
      <c r="BW9" s="122"/>
      <c r="BX9" s="122"/>
      <c r="BY9" s="122"/>
      <c r="BZ9" s="122"/>
      <c r="CA9" s="122"/>
      <c r="CB9" s="122"/>
      <c r="CC9" s="122"/>
      <c r="CD9" s="122"/>
      <c r="CE9" s="122"/>
      <c r="CF9" s="122"/>
      <c r="CG9" s="122"/>
      <c r="CH9" s="122"/>
      <c r="CI9" s="122"/>
      <c r="CJ9" s="122"/>
      <c r="CK9" s="122"/>
      <c r="CL9" s="122"/>
      <c r="CM9" s="122"/>
      <c r="CN9" s="122"/>
      <c r="CO9" s="122"/>
      <c r="CP9" s="122"/>
      <c r="CQ9" s="122"/>
      <c r="CR9" s="122"/>
      <c r="CS9" s="122"/>
      <c r="CT9" s="122"/>
      <c r="CU9" s="122"/>
      <c r="CV9" s="122"/>
      <c r="CW9" s="122"/>
      <c r="CX9" s="122"/>
      <c r="CY9" s="122"/>
      <c r="CZ9" s="122"/>
      <c r="DA9" s="122"/>
      <c r="DB9" s="122"/>
      <c r="DC9" s="122"/>
      <c r="DD9" s="122"/>
      <c r="DE9" s="122"/>
      <c r="DF9" s="122"/>
      <c r="DG9" s="122"/>
      <c r="DH9" s="122"/>
      <c r="DI9" s="122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/>
      <c r="EB9" s="122"/>
      <c r="EC9" s="122"/>
      <c r="ED9" s="122"/>
      <c r="EE9" s="122"/>
      <c r="EF9" s="122"/>
      <c r="EG9" s="122"/>
      <c r="EH9" s="122"/>
      <c r="EI9" s="122"/>
      <c r="EJ9" s="122"/>
      <c r="EK9" s="122"/>
      <c r="EL9" s="122"/>
      <c r="EM9" s="122"/>
      <c r="EN9" s="122"/>
      <c r="EO9" s="122"/>
      <c r="EP9" s="122"/>
      <c r="EQ9" s="122"/>
      <c r="ER9" s="122"/>
      <c r="ES9" s="122"/>
      <c r="ET9" s="122"/>
      <c r="EU9" s="122"/>
      <c r="EV9" s="122"/>
      <c r="EW9" s="122"/>
      <c r="EX9" s="122"/>
      <c r="EY9" s="122"/>
      <c r="EZ9" s="122"/>
      <c r="FA9" s="122"/>
      <c r="FB9" s="122"/>
      <c r="FC9" s="122"/>
      <c r="FD9" s="122"/>
      <c r="FE9" s="122"/>
      <c r="FF9" s="122"/>
      <c r="FG9" s="122"/>
      <c r="FH9" s="122"/>
      <c r="FI9" s="122"/>
      <c r="FJ9" s="122"/>
      <c r="FK9" s="122"/>
      <c r="FL9" s="122"/>
      <c r="FM9" s="122"/>
      <c r="FN9" s="122"/>
      <c r="FO9" s="122"/>
      <c r="FP9" s="122"/>
      <c r="FQ9" s="122"/>
      <c r="FR9" s="122"/>
      <c r="FS9" s="122"/>
      <c r="FT9" s="122"/>
      <c r="FU9" s="122"/>
      <c r="FV9" s="122"/>
      <c r="FW9" s="122"/>
      <c r="FX9" s="122"/>
      <c r="FY9" s="122"/>
      <c r="FZ9" s="122"/>
      <c r="GA9" s="122"/>
      <c r="GB9" s="122">
        <v>175173.19</v>
      </c>
      <c r="GC9" s="122"/>
      <c r="GD9" s="122"/>
      <c r="GE9" s="122"/>
      <c r="GF9" s="122"/>
      <c r="GG9" s="122"/>
      <c r="GH9" s="122"/>
      <c r="GI9" s="122"/>
      <c r="GJ9" s="122"/>
      <c r="GK9" s="122"/>
      <c r="GL9" s="122"/>
      <c r="GM9" s="122"/>
      <c r="GN9" s="122"/>
      <c r="GO9" s="122"/>
      <c r="GP9" s="122"/>
      <c r="GQ9" s="122"/>
      <c r="GR9" s="122"/>
      <c r="GS9" s="122"/>
      <c r="GT9" s="122"/>
      <c r="GU9" s="122"/>
      <c r="GV9" s="122"/>
      <c r="GW9" s="122"/>
      <c r="GX9" s="122"/>
      <c r="GY9" s="122"/>
      <c r="GZ9" s="122"/>
      <c r="HA9" s="122"/>
      <c r="HB9" s="122"/>
      <c r="HC9" s="122"/>
      <c r="HD9" s="122"/>
      <c r="HE9" s="122"/>
      <c r="HF9" s="122"/>
      <c r="HG9" s="122"/>
      <c r="HH9" s="122"/>
      <c r="HI9" s="122"/>
      <c r="HJ9" s="122"/>
      <c r="HK9" s="122"/>
      <c r="HL9" s="122"/>
      <c r="HM9" s="122"/>
      <c r="HN9" s="122"/>
      <c r="HO9" s="122"/>
      <c r="HP9" s="122"/>
      <c r="HQ9" s="122"/>
      <c r="HR9" s="122"/>
      <c r="HS9" s="122"/>
      <c r="HT9" s="122"/>
      <c r="HU9" s="122"/>
      <c r="HV9" s="122"/>
      <c r="HW9" s="122"/>
      <c r="HX9" s="122"/>
      <c r="HY9" s="122"/>
      <c r="HZ9" s="122"/>
      <c r="IA9" s="122"/>
      <c r="IB9" s="122"/>
      <c r="IC9" s="122"/>
      <c r="ID9" s="122"/>
      <c r="IE9" s="122"/>
      <c r="IF9" s="122"/>
      <c r="IG9" s="122"/>
      <c r="IH9" s="122"/>
      <c r="II9" s="122"/>
      <c r="IJ9" s="122"/>
      <c r="IK9" s="122"/>
      <c r="IL9" s="122"/>
      <c r="IM9" s="122"/>
      <c r="IN9" s="122"/>
      <c r="IO9" s="122"/>
      <c r="IP9" s="122"/>
      <c r="IQ9" s="122"/>
      <c r="IR9" s="122"/>
      <c r="IS9" s="122"/>
      <c r="IT9" s="122"/>
      <c r="IU9" s="122"/>
      <c r="IV9" s="122"/>
      <c r="IW9" s="122"/>
      <c r="IX9" s="122"/>
      <c r="IY9" s="122"/>
      <c r="IZ9" s="122"/>
      <c r="JA9" s="122"/>
      <c r="JB9" s="122"/>
      <c r="JC9" s="122"/>
      <c r="JD9" s="122"/>
      <c r="JE9" s="122"/>
      <c r="JF9" s="122"/>
      <c r="JG9" s="122"/>
      <c r="JH9" s="122"/>
      <c r="JI9" s="119">
        <f t="shared" si="0"/>
        <v>175173.19</v>
      </c>
      <c r="JJ9" s="2">
        <v>383</v>
      </c>
      <c r="JK9" s="122">
        <v>166414.53</v>
      </c>
      <c r="JL9" s="125">
        <f t="shared" si="1"/>
        <v>8758.6600000000035</v>
      </c>
      <c r="JM9" s="125"/>
      <c r="JN9" s="125"/>
      <c r="JO9" s="125"/>
      <c r="JP9" s="125"/>
    </row>
    <row r="10" spans="1:276" x14ac:dyDescent="0.25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  <c r="CE10" s="122"/>
      <c r="CF10" s="122"/>
      <c r="CG10" s="122"/>
      <c r="CH10" s="122"/>
      <c r="CI10" s="122"/>
      <c r="CJ10" s="122"/>
      <c r="CK10" s="122"/>
      <c r="CL10" s="122"/>
      <c r="CM10" s="122"/>
      <c r="CN10" s="122"/>
      <c r="CO10" s="122"/>
      <c r="CP10" s="122"/>
      <c r="CQ10" s="122"/>
      <c r="CR10" s="122"/>
      <c r="CS10" s="122"/>
      <c r="CT10" s="122"/>
      <c r="CU10" s="122"/>
      <c r="CV10" s="122"/>
      <c r="CW10" s="122"/>
      <c r="CX10" s="122"/>
      <c r="CY10" s="122"/>
      <c r="CZ10" s="122"/>
      <c r="DA10" s="122"/>
      <c r="DB10" s="122"/>
      <c r="DC10" s="122"/>
      <c r="DD10" s="122"/>
      <c r="DE10" s="122"/>
      <c r="DF10" s="122"/>
      <c r="DG10" s="122"/>
      <c r="DH10" s="122"/>
      <c r="DI10" s="122"/>
      <c r="DJ10" s="122"/>
      <c r="DK10" s="122"/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/>
      <c r="EB10" s="122"/>
      <c r="EC10" s="122"/>
      <c r="ED10" s="122"/>
      <c r="EE10" s="122"/>
      <c r="EF10" s="122"/>
      <c r="EG10" s="122"/>
      <c r="EH10" s="122"/>
      <c r="EI10" s="122"/>
      <c r="EJ10" s="122"/>
      <c r="EK10" s="122"/>
      <c r="EL10" s="122"/>
      <c r="EM10" s="122"/>
      <c r="EN10" s="122"/>
      <c r="EO10" s="122"/>
      <c r="EP10" s="122"/>
      <c r="EQ10" s="122"/>
      <c r="ER10" s="122"/>
      <c r="ES10" s="122"/>
      <c r="ET10" s="122"/>
      <c r="EU10" s="122"/>
      <c r="EV10" s="122"/>
      <c r="EW10" s="122"/>
      <c r="EX10" s="122"/>
      <c r="EY10" s="122"/>
      <c r="EZ10" s="122"/>
      <c r="FA10" s="122"/>
      <c r="FB10" s="122"/>
      <c r="FC10" s="122"/>
      <c r="FD10" s="122"/>
      <c r="FE10" s="122"/>
      <c r="FF10" s="122"/>
      <c r="FG10" s="122"/>
      <c r="FH10" s="122"/>
      <c r="FI10" s="122"/>
      <c r="FJ10" s="122"/>
      <c r="FK10" s="122"/>
      <c r="FL10" s="122"/>
      <c r="FM10" s="122"/>
      <c r="FN10" s="122"/>
      <c r="FO10" s="122"/>
      <c r="FP10" s="122"/>
      <c r="FQ10" s="122"/>
      <c r="FR10" s="122"/>
      <c r="FS10" s="122"/>
      <c r="FT10" s="122"/>
      <c r="FU10" s="122"/>
      <c r="FV10" s="122"/>
      <c r="FW10" s="122"/>
      <c r="FX10" s="122"/>
      <c r="FY10" s="122"/>
      <c r="FZ10" s="122"/>
      <c r="GA10" s="122"/>
      <c r="GB10" s="122">
        <v>244226.81</v>
      </c>
      <c r="GC10" s="122"/>
      <c r="GD10" s="122"/>
      <c r="GE10" s="122"/>
      <c r="GF10" s="122"/>
      <c r="GG10" s="122"/>
      <c r="GH10" s="122"/>
      <c r="GI10" s="122"/>
      <c r="GJ10" s="122"/>
      <c r="GK10" s="122"/>
      <c r="GL10" s="122"/>
      <c r="GM10" s="122"/>
      <c r="GN10" s="122"/>
      <c r="GO10" s="122"/>
      <c r="GP10" s="122"/>
      <c r="GQ10" s="122"/>
      <c r="GR10" s="122"/>
      <c r="GS10" s="122"/>
      <c r="GT10" s="122"/>
      <c r="GU10" s="122"/>
      <c r="GV10" s="122"/>
      <c r="GW10" s="122"/>
      <c r="GX10" s="122"/>
      <c r="GY10" s="122"/>
      <c r="GZ10" s="122"/>
      <c r="HA10" s="122"/>
      <c r="HB10" s="122"/>
      <c r="HC10" s="122"/>
      <c r="HD10" s="122"/>
      <c r="HE10" s="122"/>
      <c r="HF10" s="122"/>
      <c r="HG10" s="122"/>
      <c r="HH10" s="122"/>
      <c r="HI10" s="122"/>
      <c r="HJ10" s="122"/>
      <c r="HK10" s="122"/>
      <c r="HL10" s="122"/>
      <c r="HM10" s="122"/>
      <c r="HN10" s="122"/>
      <c r="HO10" s="122"/>
      <c r="HP10" s="122"/>
      <c r="HQ10" s="122"/>
      <c r="HR10" s="122"/>
      <c r="HS10" s="122"/>
      <c r="HT10" s="122"/>
      <c r="HU10" s="122"/>
      <c r="HV10" s="122"/>
      <c r="HW10" s="122"/>
      <c r="HX10" s="122"/>
      <c r="HY10" s="122"/>
      <c r="HZ10" s="122"/>
      <c r="IA10" s="122"/>
      <c r="IB10" s="122"/>
      <c r="IC10" s="122"/>
      <c r="ID10" s="122"/>
      <c r="IE10" s="122"/>
      <c r="IF10" s="122"/>
      <c r="IG10" s="122"/>
      <c r="IH10" s="122"/>
      <c r="II10" s="122"/>
      <c r="IJ10" s="122"/>
      <c r="IK10" s="122"/>
      <c r="IL10" s="122"/>
      <c r="IM10" s="122"/>
      <c r="IN10" s="122"/>
      <c r="IO10" s="122"/>
      <c r="IP10" s="122"/>
      <c r="IQ10" s="122"/>
      <c r="IR10" s="122"/>
      <c r="IS10" s="122"/>
      <c r="IT10" s="122"/>
      <c r="IU10" s="122"/>
      <c r="IV10" s="122"/>
      <c r="IW10" s="122"/>
      <c r="IX10" s="122"/>
      <c r="IY10" s="122"/>
      <c r="IZ10" s="122"/>
      <c r="JA10" s="122"/>
      <c r="JB10" s="122"/>
      <c r="JC10" s="122"/>
      <c r="JD10" s="122"/>
      <c r="JE10" s="122"/>
      <c r="JF10" s="122"/>
      <c r="JG10" s="122"/>
      <c r="JH10" s="122"/>
      <c r="JI10" s="119">
        <f t="shared" si="0"/>
        <v>244226.81</v>
      </c>
      <c r="JJ10" s="2">
        <v>384</v>
      </c>
      <c r="JK10" s="122">
        <v>233878.22</v>
      </c>
      <c r="JL10" s="125">
        <f t="shared" si="1"/>
        <v>10348.589999999997</v>
      </c>
      <c r="JM10" s="125"/>
      <c r="JN10" s="125"/>
      <c r="JO10" s="125"/>
      <c r="JP10" s="125"/>
    </row>
    <row r="11" spans="1:276" x14ac:dyDescent="0.25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  <c r="BQ11" s="122"/>
      <c r="BR11" s="122"/>
      <c r="BS11" s="122"/>
      <c r="BT11" s="122"/>
      <c r="BU11" s="122"/>
      <c r="BV11" s="122"/>
      <c r="BW11" s="122"/>
      <c r="BX11" s="122"/>
      <c r="BY11" s="122"/>
      <c r="BZ11" s="122"/>
      <c r="CA11" s="122"/>
      <c r="CB11" s="122"/>
      <c r="CC11" s="122"/>
      <c r="CD11" s="122"/>
      <c r="CE11" s="122"/>
      <c r="CF11" s="122"/>
      <c r="CG11" s="122"/>
      <c r="CH11" s="122"/>
      <c r="CI11" s="122"/>
      <c r="CJ11" s="122"/>
      <c r="CK11" s="122"/>
      <c r="CL11" s="122"/>
      <c r="CM11" s="122"/>
      <c r="CN11" s="122"/>
      <c r="CO11" s="122"/>
      <c r="CP11" s="122"/>
      <c r="CQ11" s="122"/>
      <c r="CR11" s="122"/>
      <c r="CS11" s="122"/>
      <c r="CT11" s="122"/>
      <c r="CU11" s="122"/>
      <c r="CV11" s="122"/>
      <c r="CW11" s="122"/>
      <c r="CX11" s="122"/>
      <c r="CY11" s="122"/>
      <c r="CZ11" s="122"/>
      <c r="DA11" s="122"/>
      <c r="DB11" s="122"/>
      <c r="DC11" s="122"/>
      <c r="DD11" s="122"/>
      <c r="DE11" s="122"/>
      <c r="DF11" s="122"/>
      <c r="DG11" s="122"/>
      <c r="DH11" s="122"/>
      <c r="DI11" s="122"/>
      <c r="DJ11" s="122"/>
      <c r="DK11" s="122"/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22"/>
      <c r="DZ11" s="122"/>
      <c r="EA11" s="122"/>
      <c r="EB11" s="122"/>
      <c r="EC11" s="122"/>
      <c r="ED11" s="122"/>
      <c r="EE11" s="122"/>
      <c r="EF11" s="122"/>
      <c r="EG11" s="122"/>
      <c r="EH11" s="122"/>
      <c r="EI11" s="122"/>
      <c r="EJ11" s="122"/>
      <c r="EK11" s="122"/>
      <c r="EL11" s="122"/>
      <c r="EM11" s="122"/>
      <c r="EN11" s="122"/>
      <c r="EO11" s="122"/>
      <c r="EP11" s="122"/>
      <c r="EQ11" s="122"/>
      <c r="ER11" s="122"/>
      <c r="ES11" s="122"/>
      <c r="ET11" s="122"/>
      <c r="EU11" s="122"/>
      <c r="EV11" s="122"/>
      <c r="EW11" s="122"/>
      <c r="EX11" s="122"/>
      <c r="EY11" s="122"/>
      <c r="EZ11" s="122"/>
      <c r="FA11" s="122"/>
      <c r="FB11" s="122"/>
      <c r="FC11" s="122"/>
      <c r="FD11" s="122"/>
      <c r="FE11" s="122"/>
      <c r="FF11" s="122"/>
      <c r="FG11" s="122"/>
      <c r="FH11" s="122"/>
      <c r="FI11" s="122"/>
      <c r="FJ11" s="122"/>
      <c r="FK11" s="122"/>
      <c r="FL11" s="122"/>
      <c r="FM11" s="122"/>
      <c r="FN11" s="122"/>
      <c r="FO11" s="122"/>
      <c r="FP11" s="122"/>
      <c r="FQ11" s="122"/>
      <c r="FR11" s="122"/>
      <c r="FS11" s="122"/>
      <c r="FT11" s="122"/>
      <c r="FU11" s="122"/>
      <c r="FV11" s="122"/>
      <c r="FW11" s="122">
        <v>41819.199999999997</v>
      </c>
      <c r="FX11" s="122"/>
      <c r="FY11" s="122"/>
      <c r="FZ11" s="122"/>
      <c r="GA11" s="122"/>
      <c r="GB11" s="122"/>
      <c r="GC11" s="122"/>
      <c r="GD11" s="122"/>
      <c r="GE11" s="122"/>
      <c r="GF11" s="122"/>
      <c r="GG11" s="122"/>
      <c r="GH11" s="122"/>
      <c r="GI11" s="122"/>
      <c r="GJ11" s="122"/>
      <c r="GK11" s="122"/>
      <c r="GL11" s="122"/>
      <c r="GM11" s="122"/>
      <c r="GN11" s="122"/>
      <c r="GO11" s="122"/>
      <c r="GP11" s="122"/>
      <c r="GQ11" s="122"/>
      <c r="GR11" s="122"/>
      <c r="GS11" s="122"/>
      <c r="GT11" s="122"/>
      <c r="GU11" s="122"/>
      <c r="GV11" s="122"/>
      <c r="GW11" s="122"/>
      <c r="GX11" s="122"/>
      <c r="GY11" s="122"/>
      <c r="GZ11" s="122"/>
      <c r="HA11" s="122"/>
      <c r="HB11" s="122"/>
      <c r="HC11" s="122"/>
      <c r="HD11" s="122"/>
      <c r="HE11" s="122"/>
      <c r="HF11" s="122"/>
      <c r="HG11" s="122"/>
      <c r="HH11" s="122"/>
      <c r="HI11" s="122"/>
      <c r="HJ11" s="122"/>
      <c r="HK11" s="122"/>
      <c r="HL11" s="122"/>
      <c r="HM11" s="122"/>
      <c r="HN11" s="122"/>
      <c r="HO11" s="122"/>
      <c r="HP11" s="122"/>
      <c r="HQ11" s="122"/>
      <c r="HR11" s="122"/>
      <c r="HS11" s="122"/>
      <c r="HT11" s="122"/>
      <c r="HU11" s="122"/>
      <c r="HV11" s="122"/>
      <c r="HW11" s="122"/>
      <c r="HX11" s="122"/>
      <c r="HY11" s="122"/>
      <c r="HZ11" s="122"/>
      <c r="IA11" s="122"/>
      <c r="IB11" s="122"/>
      <c r="IC11" s="122"/>
      <c r="ID11" s="122"/>
      <c r="IE11" s="122"/>
      <c r="IF11" s="122"/>
      <c r="IG11" s="122"/>
      <c r="IH11" s="122"/>
      <c r="II11" s="122"/>
      <c r="IJ11" s="122"/>
      <c r="IK11" s="122"/>
      <c r="IL11" s="122"/>
      <c r="IM11" s="122"/>
      <c r="IN11" s="122"/>
      <c r="IO11" s="122"/>
      <c r="IP11" s="122"/>
      <c r="IQ11" s="122"/>
      <c r="IR11" s="122"/>
      <c r="IS11" s="122"/>
      <c r="IT11" s="122"/>
      <c r="IU11" s="122"/>
      <c r="IV11" s="122"/>
      <c r="IW11" s="122"/>
      <c r="IX11" s="122"/>
      <c r="IY11" s="122"/>
      <c r="IZ11" s="122"/>
      <c r="JA11" s="122"/>
      <c r="JB11" s="122"/>
      <c r="JC11" s="122"/>
      <c r="JD11" s="122"/>
      <c r="JE11" s="122"/>
      <c r="JF11" s="122"/>
      <c r="JG11" s="122"/>
      <c r="JH11" s="122"/>
      <c r="JI11" s="119">
        <f t="shared" si="0"/>
        <v>41819.199999999997</v>
      </c>
      <c r="JJ11" s="2">
        <v>385</v>
      </c>
      <c r="JK11" s="122">
        <v>40047.199999999997</v>
      </c>
      <c r="JL11" s="125">
        <f t="shared" si="1"/>
        <v>1772</v>
      </c>
      <c r="JM11" s="125"/>
      <c r="JN11" s="125"/>
      <c r="JO11" s="125"/>
      <c r="JP11" s="125"/>
    </row>
    <row r="12" spans="1:276" x14ac:dyDescent="0.25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/>
      <c r="CI12" s="122"/>
      <c r="CJ12" s="122"/>
      <c r="CK12" s="122"/>
      <c r="CL12" s="122"/>
      <c r="CM12" s="122"/>
      <c r="CN12" s="122"/>
      <c r="CO12" s="122"/>
      <c r="CP12" s="122"/>
      <c r="CQ12" s="122"/>
      <c r="CR12" s="122"/>
      <c r="CS12" s="122"/>
      <c r="CT12" s="122"/>
      <c r="CU12" s="122"/>
      <c r="CV12" s="122"/>
      <c r="CW12" s="122"/>
      <c r="CX12" s="122"/>
      <c r="CY12" s="122"/>
      <c r="CZ12" s="122"/>
      <c r="DA12" s="122"/>
      <c r="DB12" s="122"/>
      <c r="DC12" s="122"/>
      <c r="DD12" s="122"/>
      <c r="DE12" s="122"/>
      <c r="DF12" s="122"/>
      <c r="DG12" s="122"/>
      <c r="DH12" s="122"/>
      <c r="DI12" s="122"/>
      <c r="DJ12" s="122"/>
      <c r="DK12" s="122"/>
      <c r="DL12" s="122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22"/>
      <c r="DZ12" s="122"/>
      <c r="EA12" s="122"/>
      <c r="EB12" s="122"/>
      <c r="EC12" s="122"/>
      <c r="ED12" s="122"/>
      <c r="EE12" s="122"/>
      <c r="EF12" s="122"/>
      <c r="EG12" s="122"/>
      <c r="EH12" s="122"/>
      <c r="EI12" s="122"/>
      <c r="EJ12" s="122"/>
      <c r="EK12" s="122"/>
      <c r="EL12" s="122"/>
      <c r="EM12" s="122"/>
      <c r="EN12" s="122"/>
      <c r="EO12" s="122"/>
      <c r="EP12" s="122"/>
      <c r="EQ12" s="122"/>
      <c r="ER12" s="122"/>
      <c r="ES12" s="122"/>
      <c r="ET12" s="122"/>
      <c r="EU12" s="122"/>
      <c r="EV12" s="122"/>
      <c r="EW12" s="122"/>
      <c r="EX12" s="122"/>
      <c r="EY12" s="122"/>
      <c r="EZ12" s="122"/>
      <c r="FA12" s="122"/>
      <c r="FB12" s="122"/>
      <c r="FC12" s="122"/>
      <c r="FD12" s="122"/>
      <c r="FE12" s="122"/>
      <c r="FF12" s="122"/>
      <c r="FG12" s="122"/>
      <c r="FH12" s="122"/>
      <c r="FI12" s="122"/>
      <c r="FJ12" s="122"/>
      <c r="FK12" s="122"/>
      <c r="FL12" s="122"/>
      <c r="FM12" s="122"/>
      <c r="FN12" s="122"/>
      <c r="FO12" s="122"/>
      <c r="FP12" s="122"/>
      <c r="FQ12" s="122"/>
      <c r="FR12" s="122"/>
      <c r="FS12" s="122"/>
      <c r="FT12" s="122"/>
      <c r="FU12" s="122"/>
      <c r="FV12" s="122"/>
      <c r="FW12" s="122"/>
      <c r="FX12" s="122"/>
      <c r="FY12" s="122"/>
      <c r="FZ12" s="122"/>
      <c r="GA12" s="122"/>
      <c r="GB12" s="122"/>
      <c r="GC12" s="122"/>
      <c r="GD12" s="122"/>
      <c r="GE12" s="122"/>
      <c r="GF12" s="122"/>
      <c r="GG12" s="122"/>
      <c r="GH12" s="122"/>
      <c r="GI12" s="122"/>
      <c r="GJ12" s="122"/>
      <c r="GK12" s="122"/>
      <c r="GL12" s="122"/>
      <c r="GM12" s="122"/>
      <c r="GN12" s="122"/>
      <c r="GO12" s="122"/>
      <c r="GP12" s="122"/>
      <c r="GQ12" s="122"/>
      <c r="GR12" s="122"/>
      <c r="GS12" s="122"/>
      <c r="GT12" s="122"/>
      <c r="GU12" s="122"/>
      <c r="GV12" s="122"/>
      <c r="GW12" s="122"/>
      <c r="GX12" s="122"/>
      <c r="GY12" s="122"/>
      <c r="GZ12" s="122"/>
      <c r="HA12" s="122"/>
      <c r="HB12" s="122"/>
      <c r="HC12" s="122"/>
      <c r="HD12" s="122"/>
      <c r="HE12" s="122"/>
      <c r="HF12" s="122"/>
      <c r="HG12" s="122"/>
      <c r="HH12" s="122"/>
      <c r="HI12" s="122"/>
      <c r="HJ12" s="122"/>
      <c r="HK12" s="122"/>
      <c r="HL12" s="122"/>
      <c r="HM12" s="122"/>
      <c r="HN12" s="122"/>
      <c r="HO12" s="122"/>
      <c r="HP12" s="122"/>
      <c r="HQ12" s="122"/>
      <c r="HR12" s="122"/>
      <c r="HS12" s="122"/>
      <c r="HT12" s="122"/>
      <c r="HU12" s="122"/>
      <c r="HV12" s="122"/>
      <c r="HW12" s="122"/>
      <c r="HX12" s="122"/>
      <c r="HY12" s="122"/>
      <c r="HZ12" s="122"/>
      <c r="IA12" s="122"/>
      <c r="IB12" s="122"/>
      <c r="IC12" s="122"/>
      <c r="ID12" s="122"/>
      <c r="IE12" s="122"/>
      <c r="IF12" s="122"/>
      <c r="IG12" s="122"/>
      <c r="IH12" s="122"/>
      <c r="II12" s="122"/>
      <c r="IJ12" s="122"/>
      <c r="IK12" s="122"/>
      <c r="IL12" s="122"/>
      <c r="IM12" s="122"/>
      <c r="IN12" s="122"/>
      <c r="IO12" s="122"/>
      <c r="IP12" s="122"/>
      <c r="IQ12" s="122"/>
      <c r="IR12" s="122"/>
      <c r="IS12" s="122"/>
      <c r="IT12" s="122"/>
      <c r="IU12" s="122"/>
      <c r="IV12" s="122"/>
      <c r="IW12" s="122"/>
      <c r="IX12" s="122"/>
      <c r="IY12" s="122"/>
      <c r="IZ12" s="122"/>
      <c r="JA12" s="122"/>
      <c r="JB12" s="122"/>
      <c r="JC12" s="122"/>
      <c r="JD12" s="122"/>
      <c r="JE12" s="122"/>
      <c r="JF12" s="122"/>
      <c r="JG12" s="122"/>
      <c r="JH12" s="122"/>
      <c r="JI12" s="119">
        <f t="shared" si="0"/>
        <v>0</v>
      </c>
      <c r="JJ12" s="2">
        <v>386</v>
      </c>
      <c r="JK12" s="122">
        <v>0</v>
      </c>
      <c r="JL12" s="125">
        <f t="shared" si="1"/>
        <v>0</v>
      </c>
      <c r="JM12" s="125"/>
      <c r="JN12" s="125"/>
      <c r="JO12" s="125"/>
      <c r="JP12" s="125"/>
    </row>
    <row r="13" spans="1:276" x14ac:dyDescent="0.25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  <c r="CB13" s="122"/>
      <c r="CC13" s="122"/>
      <c r="CD13" s="122"/>
      <c r="CE13" s="122"/>
      <c r="CF13" s="122"/>
      <c r="CG13" s="122"/>
      <c r="CH13" s="122"/>
      <c r="CI13" s="122"/>
      <c r="CJ13" s="122"/>
      <c r="CK13" s="122"/>
      <c r="CL13" s="122"/>
      <c r="CM13" s="122"/>
      <c r="CN13" s="122"/>
      <c r="CO13" s="122"/>
      <c r="CP13" s="122"/>
      <c r="CQ13" s="122"/>
      <c r="CR13" s="122"/>
      <c r="CS13" s="122"/>
      <c r="CT13" s="122"/>
      <c r="CU13" s="122">
        <v>185260</v>
      </c>
      <c r="CV13" s="122"/>
      <c r="CW13" s="122"/>
      <c r="CX13" s="122"/>
      <c r="CY13" s="122"/>
      <c r="CZ13" s="122"/>
      <c r="DA13" s="122"/>
      <c r="DB13" s="122"/>
      <c r="DC13" s="122"/>
      <c r="DD13" s="122"/>
      <c r="DE13" s="122"/>
      <c r="DF13" s="122"/>
      <c r="DG13" s="122"/>
      <c r="DH13" s="122"/>
      <c r="DI13" s="122"/>
      <c r="DJ13" s="122"/>
      <c r="DK13" s="122"/>
      <c r="DL13" s="122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122"/>
      <c r="DY13" s="122"/>
      <c r="DZ13" s="122"/>
      <c r="EA13" s="122"/>
      <c r="EB13" s="122"/>
      <c r="EC13" s="122"/>
      <c r="ED13" s="122"/>
      <c r="EE13" s="122"/>
      <c r="EF13" s="122"/>
      <c r="EG13" s="122"/>
      <c r="EH13" s="122"/>
      <c r="EI13" s="122"/>
      <c r="EJ13" s="122"/>
      <c r="EK13" s="122"/>
      <c r="EL13" s="122"/>
      <c r="EM13" s="122"/>
      <c r="EN13" s="122"/>
      <c r="EO13" s="122"/>
      <c r="EP13" s="122"/>
      <c r="EQ13" s="122"/>
      <c r="ER13" s="122"/>
      <c r="ES13" s="122"/>
      <c r="ET13" s="122"/>
      <c r="EU13" s="122"/>
      <c r="EV13" s="122"/>
      <c r="EW13" s="122"/>
      <c r="EX13" s="122"/>
      <c r="EY13" s="122"/>
      <c r="EZ13" s="122"/>
      <c r="FA13" s="122"/>
      <c r="FB13" s="122"/>
      <c r="FC13" s="122"/>
      <c r="FD13" s="122"/>
      <c r="FE13" s="122"/>
      <c r="FF13" s="122"/>
      <c r="FG13" s="122"/>
      <c r="FH13" s="122"/>
      <c r="FI13" s="122"/>
      <c r="FJ13" s="122"/>
      <c r="FK13" s="122"/>
      <c r="FL13" s="122"/>
      <c r="FM13" s="122"/>
      <c r="FN13" s="122"/>
      <c r="FO13" s="122"/>
      <c r="FP13" s="122"/>
      <c r="FQ13" s="122"/>
      <c r="FR13" s="122"/>
      <c r="FS13" s="122"/>
      <c r="FT13" s="122"/>
      <c r="FU13" s="122"/>
      <c r="FV13" s="122"/>
      <c r="FW13" s="122"/>
      <c r="FX13" s="122"/>
      <c r="FY13" s="122"/>
      <c r="FZ13" s="122"/>
      <c r="GA13" s="122"/>
      <c r="GB13" s="122"/>
      <c r="GC13" s="122"/>
      <c r="GD13" s="122"/>
      <c r="GE13" s="122"/>
      <c r="GF13" s="122"/>
      <c r="GG13" s="122"/>
      <c r="GH13" s="122"/>
      <c r="GI13" s="122"/>
      <c r="GJ13" s="122"/>
      <c r="GK13" s="122"/>
      <c r="GL13" s="122"/>
      <c r="GM13" s="122"/>
      <c r="GN13" s="122"/>
      <c r="GO13" s="122"/>
      <c r="GP13" s="122"/>
      <c r="GQ13" s="122"/>
      <c r="GR13" s="122"/>
      <c r="GS13" s="122"/>
      <c r="GT13" s="122"/>
      <c r="GU13" s="122"/>
      <c r="GV13" s="122"/>
      <c r="GW13" s="122"/>
      <c r="GX13" s="122"/>
      <c r="GY13" s="122"/>
      <c r="GZ13" s="122"/>
      <c r="HA13" s="122"/>
      <c r="HB13" s="122"/>
      <c r="HC13" s="122"/>
      <c r="HD13" s="122"/>
      <c r="HE13" s="122"/>
      <c r="HF13" s="122"/>
      <c r="HG13" s="122"/>
      <c r="HH13" s="122"/>
      <c r="HI13" s="122"/>
      <c r="HJ13" s="122"/>
      <c r="HK13" s="122"/>
      <c r="HL13" s="122"/>
      <c r="HM13" s="122"/>
      <c r="HN13" s="122"/>
      <c r="HO13" s="122"/>
      <c r="HP13" s="122"/>
      <c r="HQ13" s="122"/>
      <c r="HR13" s="122"/>
      <c r="HS13" s="122"/>
      <c r="HT13" s="122"/>
      <c r="HU13" s="122"/>
      <c r="HV13" s="122"/>
      <c r="HW13" s="122"/>
      <c r="HX13" s="122"/>
      <c r="HY13" s="122"/>
      <c r="HZ13" s="122"/>
      <c r="IA13" s="122"/>
      <c r="IB13" s="122"/>
      <c r="IC13" s="122"/>
      <c r="ID13" s="122"/>
      <c r="IE13" s="122"/>
      <c r="IF13" s="122"/>
      <c r="IG13" s="122"/>
      <c r="IH13" s="122"/>
      <c r="II13" s="122"/>
      <c r="IJ13" s="122"/>
      <c r="IK13" s="122"/>
      <c r="IL13" s="122"/>
      <c r="IM13" s="122"/>
      <c r="IN13" s="122"/>
      <c r="IO13" s="122"/>
      <c r="IP13" s="122"/>
      <c r="IQ13" s="122"/>
      <c r="IR13" s="122"/>
      <c r="IS13" s="122"/>
      <c r="IT13" s="122"/>
      <c r="IU13" s="122"/>
      <c r="IV13" s="122"/>
      <c r="IW13" s="122"/>
      <c r="IX13" s="122"/>
      <c r="IY13" s="122"/>
      <c r="IZ13" s="122"/>
      <c r="JA13" s="122"/>
      <c r="JB13" s="122"/>
      <c r="JC13" s="122"/>
      <c r="JD13" s="122"/>
      <c r="JE13" s="122"/>
      <c r="JF13" s="122"/>
      <c r="JG13" s="122"/>
      <c r="JH13" s="122"/>
      <c r="JI13" s="119">
        <f t="shared" si="0"/>
        <v>185260</v>
      </c>
      <c r="JJ13" s="2">
        <v>387</v>
      </c>
      <c r="JK13" s="122">
        <v>177410</v>
      </c>
      <c r="JL13" s="125">
        <f t="shared" si="1"/>
        <v>7850</v>
      </c>
      <c r="JM13" s="125"/>
      <c r="JN13" s="125"/>
      <c r="JO13" s="125"/>
      <c r="JP13" s="125"/>
    </row>
    <row r="14" spans="1:276" x14ac:dyDescent="0.25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  <c r="CA14" s="122"/>
      <c r="CB14" s="122"/>
      <c r="CC14" s="122"/>
      <c r="CD14" s="122"/>
      <c r="CE14" s="122"/>
      <c r="CF14" s="122"/>
      <c r="CG14" s="122"/>
      <c r="CH14" s="122"/>
      <c r="CI14" s="122"/>
      <c r="CJ14" s="122"/>
      <c r="CK14" s="122"/>
      <c r="CL14" s="122"/>
      <c r="CM14" s="122"/>
      <c r="CN14" s="122"/>
      <c r="CO14" s="122"/>
      <c r="CP14" s="122"/>
      <c r="CQ14" s="122"/>
      <c r="CR14" s="122"/>
      <c r="CS14" s="122"/>
      <c r="CT14" s="122"/>
      <c r="CU14" s="122"/>
      <c r="CV14" s="122"/>
      <c r="CW14" s="122"/>
      <c r="CX14" s="122"/>
      <c r="CY14" s="122"/>
      <c r="CZ14" s="122"/>
      <c r="DA14" s="122"/>
      <c r="DB14" s="122"/>
      <c r="DC14" s="122"/>
      <c r="DD14" s="122"/>
      <c r="DE14" s="122"/>
      <c r="DF14" s="122"/>
      <c r="DG14" s="122"/>
      <c r="DH14" s="122"/>
      <c r="DI14" s="122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22"/>
      <c r="DZ14" s="122"/>
      <c r="EA14" s="122"/>
      <c r="EB14" s="122"/>
      <c r="EC14" s="122"/>
      <c r="ED14" s="122"/>
      <c r="EE14" s="122"/>
      <c r="EF14" s="122"/>
      <c r="EG14" s="122"/>
      <c r="EH14" s="122"/>
      <c r="EI14" s="122"/>
      <c r="EJ14" s="122"/>
      <c r="EK14" s="122"/>
      <c r="EL14" s="122"/>
      <c r="EM14" s="122"/>
      <c r="EN14" s="122"/>
      <c r="EO14" s="122"/>
      <c r="EP14" s="122"/>
      <c r="EQ14" s="122"/>
      <c r="ER14" s="122"/>
      <c r="ES14" s="122"/>
      <c r="ET14" s="122"/>
      <c r="EU14" s="122"/>
      <c r="EV14" s="122"/>
      <c r="EW14" s="122"/>
      <c r="EX14" s="122"/>
      <c r="EY14" s="122"/>
      <c r="EZ14" s="122"/>
      <c r="FA14" s="122"/>
      <c r="FB14" s="122"/>
      <c r="FC14" s="122"/>
      <c r="FD14" s="122">
        <v>21952</v>
      </c>
      <c r="FE14" s="122"/>
      <c r="FF14" s="122"/>
      <c r="FG14" s="122"/>
      <c r="FH14" s="122"/>
      <c r="FI14" s="122"/>
      <c r="FJ14" s="122"/>
      <c r="FK14" s="122"/>
      <c r="FL14" s="122"/>
      <c r="FM14" s="122"/>
      <c r="FN14" s="122"/>
      <c r="FO14" s="122"/>
      <c r="FP14" s="122"/>
      <c r="FQ14" s="122"/>
      <c r="FR14" s="122"/>
      <c r="FS14" s="122"/>
      <c r="FT14" s="122"/>
      <c r="FU14" s="122"/>
      <c r="FV14" s="122"/>
      <c r="FW14" s="122"/>
      <c r="FX14" s="122"/>
      <c r="FY14" s="122"/>
      <c r="FZ14" s="122"/>
      <c r="GA14" s="122"/>
      <c r="GB14" s="122"/>
      <c r="GC14" s="122"/>
      <c r="GD14" s="122"/>
      <c r="GE14" s="122"/>
      <c r="GF14" s="122"/>
      <c r="GG14" s="122"/>
      <c r="GH14" s="122"/>
      <c r="GI14" s="122"/>
      <c r="GJ14" s="122"/>
      <c r="GK14" s="122"/>
      <c r="GL14" s="122"/>
      <c r="GM14" s="122"/>
      <c r="GN14" s="122"/>
      <c r="GO14" s="122"/>
      <c r="GP14" s="122"/>
      <c r="GQ14" s="122"/>
      <c r="GR14" s="122"/>
      <c r="GS14" s="122"/>
      <c r="GT14" s="122"/>
      <c r="GU14" s="122"/>
      <c r="GV14" s="122"/>
      <c r="GW14" s="122"/>
      <c r="GX14" s="122"/>
      <c r="GY14" s="122"/>
      <c r="GZ14" s="122"/>
      <c r="HA14" s="122"/>
      <c r="HB14" s="122"/>
      <c r="HC14" s="122"/>
      <c r="HD14" s="122"/>
      <c r="HE14" s="122"/>
      <c r="HF14" s="122"/>
      <c r="HG14" s="122"/>
      <c r="HH14" s="122"/>
      <c r="HI14" s="122"/>
      <c r="HJ14" s="122"/>
      <c r="HK14" s="122"/>
      <c r="HL14" s="122"/>
      <c r="HM14" s="122"/>
      <c r="HN14" s="122"/>
      <c r="HO14" s="122"/>
      <c r="HP14" s="122"/>
      <c r="HQ14" s="122"/>
      <c r="HR14" s="122"/>
      <c r="HS14" s="122"/>
      <c r="HT14" s="122"/>
      <c r="HU14" s="122"/>
      <c r="HV14" s="122"/>
      <c r="HW14" s="122"/>
      <c r="HX14" s="122"/>
      <c r="HY14" s="122"/>
      <c r="HZ14" s="122"/>
      <c r="IA14" s="122"/>
      <c r="IB14" s="122"/>
      <c r="IC14" s="122"/>
      <c r="ID14" s="122"/>
      <c r="IE14" s="122"/>
      <c r="IF14" s="122"/>
      <c r="IG14" s="122"/>
      <c r="IH14" s="122"/>
      <c r="II14" s="122"/>
      <c r="IJ14" s="122"/>
      <c r="IK14" s="122"/>
      <c r="IL14" s="122"/>
      <c r="IM14" s="122"/>
      <c r="IN14" s="122"/>
      <c r="IO14" s="122"/>
      <c r="IP14" s="122"/>
      <c r="IQ14" s="122"/>
      <c r="IR14" s="122"/>
      <c r="IS14" s="122"/>
      <c r="IT14" s="122"/>
      <c r="IU14" s="122"/>
      <c r="IV14" s="122"/>
      <c r="IW14" s="122"/>
      <c r="IX14" s="122"/>
      <c r="IY14" s="122"/>
      <c r="IZ14" s="122"/>
      <c r="JA14" s="122"/>
      <c r="JB14" s="122"/>
      <c r="JC14" s="122"/>
      <c r="JD14" s="122"/>
      <c r="JE14" s="122"/>
      <c r="JF14" s="122"/>
      <c r="JG14" s="122"/>
      <c r="JH14" s="122"/>
      <c r="JI14" s="119">
        <f t="shared" si="0"/>
        <v>21952</v>
      </c>
      <c r="JJ14" s="2">
        <v>388</v>
      </c>
      <c r="JK14" s="122">
        <v>21952</v>
      </c>
      <c r="JL14" s="125">
        <f t="shared" si="1"/>
        <v>0</v>
      </c>
      <c r="JM14" s="125"/>
      <c r="JN14" s="125"/>
      <c r="JO14" s="125"/>
      <c r="JP14" s="125"/>
    </row>
    <row r="15" spans="1:276" x14ac:dyDescent="0.25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>
        <v>25000</v>
      </c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122"/>
      <c r="BS15" s="122"/>
      <c r="BT15" s="122"/>
      <c r="BU15" s="122"/>
      <c r="BV15" s="122"/>
      <c r="BW15" s="122"/>
      <c r="BX15" s="122"/>
      <c r="BY15" s="122"/>
      <c r="BZ15" s="122"/>
      <c r="CA15" s="122"/>
      <c r="CB15" s="122"/>
      <c r="CC15" s="122"/>
      <c r="CD15" s="122"/>
      <c r="CE15" s="122"/>
      <c r="CF15" s="122"/>
      <c r="CG15" s="122"/>
      <c r="CH15" s="122"/>
      <c r="CI15" s="122"/>
      <c r="CJ15" s="122"/>
      <c r="CK15" s="122"/>
      <c r="CL15" s="122"/>
      <c r="CM15" s="122"/>
      <c r="CN15" s="122"/>
      <c r="CO15" s="122"/>
      <c r="CP15" s="122"/>
      <c r="CQ15" s="122"/>
      <c r="CR15" s="122"/>
      <c r="CS15" s="122"/>
      <c r="CT15" s="122"/>
      <c r="CU15" s="122"/>
      <c r="CV15" s="122"/>
      <c r="CW15" s="122"/>
      <c r="CX15" s="122"/>
      <c r="CY15" s="122"/>
      <c r="CZ15" s="122"/>
      <c r="DA15" s="122"/>
      <c r="DB15" s="122"/>
      <c r="DC15" s="122"/>
      <c r="DD15" s="122"/>
      <c r="DE15" s="122"/>
      <c r="DF15" s="122"/>
      <c r="DG15" s="122"/>
      <c r="DH15" s="122"/>
      <c r="DI15" s="122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22"/>
      <c r="DZ15" s="122"/>
      <c r="EA15" s="122"/>
      <c r="EB15" s="122"/>
      <c r="EC15" s="122"/>
      <c r="ED15" s="122"/>
      <c r="EE15" s="122"/>
      <c r="EF15" s="122"/>
      <c r="EG15" s="122"/>
      <c r="EH15" s="122"/>
      <c r="EI15" s="122"/>
      <c r="EJ15" s="122"/>
      <c r="EK15" s="122"/>
      <c r="EL15" s="122"/>
      <c r="EM15" s="122"/>
      <c r="EN15" s="122"/>
      <c r="EO15" s="122"/>
      <c r="EP15" s="122"/>
      <c r="EQ15" s="122"/>
      <c r="ER15" s="122"/>
      <c r="ES15" s="122"/>
      <c r="ET15" s="122"/>
      <c r="EU15" s="122"/>
      <c r="EV15" s="122"/>
      <c r="EW15" s="122"/>
      <c r="EX15" s="122"/>
      <c r="EY15" s="122"/>
      <c r="EZ15" s="122"/>
      <c r="FA15" s="122"/>
      <c r="FB15" s="122"/>
      <c r="FC15" s="122"/>
      <c r="FD15" s="122"/>
      <c r="FE15" s="122"/>
      <c r="FF15" s="122"/>
      <c r="FG15" s="122"/>
      <c r="FH15" s="122"/>
      <c r="FI15" s="122"/>
      <c r="FJ15" s="122"/>
      <c r="FK15" s="122"/>
      <c r="FL15" s="122"/>
      <c r="FM15" s="122"/>
      <c r="FN15" s="122"/>
      <c r="FO15" s="122"/>
      <c r="FP15" s="122"/>
      <c r="FQ15" s="122"/>
      <c r="FR15" s="122"/>
      <c r="FS15" s="122"/>
      <c r="FT15" s="122"/>
      <c r="FU15" s="122"/>
      <c r="FV15" s="122"/>
      <c r="FW15" s="122"/>
      <c r="FX15" s="122"/>
      <c r="FY15" s="122"/>
      <c r="FZ15" s="122"/>
      <c r="GA15" s="122"/>
      <c r="GB15" s="122"/>
      <c r="GC15" s="122"/>
      <c r="GD15" s="122"/>
      <c r="GE15" s="122"/>
      <c r="GF15" s="122"/>
      <c r="GG15" s="122"/>
      <c r="GH15" s="122"/>
      <c r="GI15" s="122"/>
      <c r="GJ15" s="122"/>
      <c r="GK15" s="122"/>
      <c r="GL15" s="122"/>
      <c r="GM15" s="122"/>
      <c r="GN15" s="122"/>
      <c r="GO15" s="122"/>
      <c r="GP15" s="122"/>
      <c r="GQ15" s="122"/>
      <c r="GR15" s="122"/>
      <c r="GS15" s="122"/>
      <c r="GT15" s="122"/>
      <c r="GU15" s="122"/>
      <c r="GV15" s="122"/>
      <c r="GW15" s="122"/>
      <c r="GX15" s="122"/>
      <c r="GY15" s="122"/>
      <c r="GZ15" s="122"/>
      <c r="HA15" s="122"/>
      <c r="HB15" s="122"/>
      <c r="HC15" s="122"/>
      <c r="HD15" s="122"/>
      <c r="HE15" s="122"/>
      <c r="HF15" s="122"/>
      <c r="HG15" s="122"/>
      <c r="HH15" s="122"/>
      <c r="HI15" s="122"/>
      <c r="HJ15" s="122"/>
      <c r="HK15" s="122"/>
      <c r="HL15" s="122"/>
      <c r="HM15" s="122"/>
      <c r="HN15" s="122"/>
      <c r="HO15" s="122"/>
      <c r="HP15" s="122"/>
      <c r="HQ15" s="122"/>
      <c r="HR15" s="122"/>
      <c r="HS15" s="122"/>
      <c r="HT15" s="122"/>
      <c r="HU15" s="122"/>
      <c r="HV15" s="122"/>
      <c r="HW15" s="122"/>
      <c r="HX15" s="122"/>
      <c r="HY15" s="122"/>
      <c r="HZ15" s="122"/>
      <c r="IA15" s="122"/>
      <c r="IB15" s="122"/>
      <c r="IC15" s="122"/>
      <c r="ID15" s="122"/>
      <c r="IE15" s="122"/>
      <c r="IF15" s="122"/>
      <c r="IG15" s="122"/>
      <c r="IH15" s="122"/>
      <c r="II15" s="122"/>
      <c r="IJ15" s="122"/>
      <c r="IK15" s="122"/>
      <c r="IL15" s="122"/>
      <c r="IM15" s="122"/>
      <c r="IN15" s="122"/>
      <c r="IO15" s="122"/>
      <c r="IP15" s="122"/>
      <c r="IQ15" s="122"/>
      <c r="IR15" s="122"/>
      <c r="IS15" s="122"/>
      <c r="IT15" s="122"/>
      <c r="IU15" s="122"/>
      <c r="IV15" s="122"/>
      <c r="IW15" s="122"/>
      <c r="IX15" s="122"/>
      <c r="IY15" s="122"/>
      <c r="IZ15" s="122"/>
      <c r="JA15" s="122"/>
      <c r="JB15" s="122"/>
      <c r="JC15" s="122"/>
      <c r="JD15" s="122"/>
      <c r="JE15" s="122"/>
      <c r="JF15" s="122"/>
      <c r="JG15" s="122"/>
      <c r="JH15" s="122"/>
      <c r="JI15" s="119">
        <f t="shared" si="0"/>
        <v>25000</v>
      </c>
      <c r="JJ15" s="2">
        <v>389</v>
      </c>
      <c r="JK15" s="122">
        <v>25000</v>
      </c>
      <c r="JL15" s="125">
        <f t="shared" si="1"/>
        <v>0</v>
      </c>
      <c r="JM15" s="125"/>
      <c r="JN15" s="125"/>
      <c r="JO15" s="125"/>
      <c r="JP15" s="125"/>
    </row>
    <row r="16" spans="1:276" x14ac:dyDescent="0.25">
      <c r="A16" s="122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122"/>
      <c r="BS16" s="122"/>
      <c r="BT16" s="122"/>
      <c r="BU16" s="122"/>
      <c r="BV16" s="122"/>
      <c r="BW16" s="122"/>
      <c r="BX16" s="122"/>
      <c r="BY16" s="122"/>
      <c r="BZ16" s="122"/>
      <c r="CA16" s="122"/>
      <c r="CB16" s="122"/>
      <c r="CC16" s="122"/>
      <c r="CD16" s="122"/>
      <c r="CE16" s="122"/>
      <c r="CF16" s="122"/>
      <c r="CG16" s="122"/>
      <c r="CH16" s="122"/>
      <c r="CI16" s="122"/>
      <c r="CJ16" s="122"/>
      <c r="CK16" s="122"/>
      <c r="CL16" s="122"/>
      <c r="CM16" s="122"/>
      <c r="CN16" s="122"/>
      <c r="CO16" s="122"/>
      <c r="CP16" s="122"/>
      <c r="CQ16" s="122"/>
      <c r="CR16" s="122"/>
      <c r="CS16" s="122"/>
      <c r="CT16" s="122"/>
      <c r="CU16" s="122"/>
      <c r="CV16" s="122"/>
      <c r="CW16" s="122"/>
      <c r="CX16" s="122"/>
      <c r="CY16" s="122"/>
      <c r="CZ16" s="122"/>
      <c r="DA16" s="122"/>
      <c r="DB16" s="122"/>
      <c r="DC16" s="122"/>
      <c r="DD16" s="122">
        <v>244260</v>
      </c>
      <c r="DE16" s="122"/>
      <c r="DF16" s="122"/>
      <c r="DG16" s="122"/>
      <c r="DH16" s="122"/>
      <c r="DI16" s="122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/>
      <c r="EB16" s="122"/>
      <c r="EC16" s="122"/>
      <c r="ED16" s="122"/>
      <c r="EE16" s="122"/>
      <c r="EF16" s="122"/>
      <c r="EG16" s="122"/>
      <c r="EH16" s="122"/>
      <c r="EI16" s="122"/>
      <c r="EJ16" s="122"/>
      <c r="EK16" s="122"/>
      <c r="EL16" s="122"/>
      <c r="EM16" s="122"/>
      <c r="EN16" s="122"/>
      <c r="EO16" s="122"/>
      <c r="EP16" s="122"/>
      <c r="EQ16" s="122"/>
      <c r="ER16" s="122"/>
      <c r="ES16" s="122"/>
      <c r="ET16" s="122"/>
      <c r="EU16" s="122"/>
      <c r="EV16" s="122"/>
      <c r="EW16" s="122"/>
      <c r="EX16" s="122"/>
      <c r="EY16" s="122"/>
      <c r="EZ16" s="122"/>
      <c r="FA16" s="122"/>
      <c r="FB16" s="122"/>
      <c r="FC16" s="122"/>
      <c r="FD16" s="122"/>
      <c r="FE16" s="122"/>
      <c r="FF16" s="122"/>
      <c r="FG16" s="122"/>
      <c r="FH16" s="122"/>
      <c r="FI16" s="122"/>
      <c r="FJ16" s="122"/>
      <c r="FK16" s="122"/>
      <c r="FL16" s="122"/>
      <c r="FM16" s="122"/>
      <c r="FN16" s="122"/>
      <c r="FO16" s="122"/>
      <c r="FP16" s="122"/>
      <c r="FQ16" s="122"/>
      <c r="FR16" s="122"/>
      <c r="FS16" s="122"/>
      <c r="FT16" s="122"/>
      <c r="FU16" s="122"/>
      <c r="FV16" s="122"/>
      <c r="FW16" s="122"/>
      <c r="FX16" s="122"/>
      <c r="FY16" s="122"/>
      <c r="FZ16" s="122"/>
      <c r="GA16" s="122"/>
      <c r="GB16" s="122"/>
      <c r="GC16" s="122"/>
      <c r="GD16" s="122"/>
      <c r="GE16" s="122"/>
      <c r="GF16" s="122"/>
      <c r="GG16" s="122"/>
      <c r="GH16" s="122"/>
      <c r="GI16" s="122"/>
      <c r="GJ16" s="122"/>
      <c r="GK16" s="122"/>
      <c r="GL16" s="122"/>
      <c r="GM16" s="122"/>
      <c r="GN16" s="122"/>
      <c r="GO16" s="122"/>
      <c r="GP16" s="122"/>
      <c r="GQ16" s="122"/>
      <c r="GR16" s="122"/>
      <c r="GS16" s="122"/>
      <c r="GT16" s="122"/>
      <c r="GU16" s="122"/>
      <c r="GV16" s="122"/>
      <c r="GW16" s="122"/>
      <c r="GX16" s="122"/>
      <c r="GY16" s="122"/>
      <c r="GZ16" s="122"/>
      <c r="HA16" s="122"/>
      <c r="HB16" s="122"/>
      <c r="HC16" s="122"/>
      <c r="HD16" s="122"/>
      <c r="HE16" s="122"/>
      <c r="HF16" s="122"/>
      <c r="HG16" s="122"/>
      <c r="HH16" s="122"/>
      <c r="HI16" s="122"/>
      <c r="HJ16" s="122"/>
      <c r="HK16" s="122"/>
      <c r="HL16" s="122"/>
      <c r="HM16" s="122"/>
      <c r="HN16" s="122"/>
      <c r="HO16" s="122"/>
      <c r="HP16" s="122"/>
      <c r="HQ16" s="122"/>
      <c r="HR16" s="122"/>
      <c r="HS16" s="122"/>
      <c r="HT16" s="122"/>
      <c r="HU16" s="122"/>
      <c r="HV16" s="122"/>
      <c r="HW16" s="122"/>
      <c r="HX16" s="122"/>
      <c r="HY16" s="122"/>
      <c r="HZ16" s="122"/>
      <c r="IA16" s="122"/>
      <c r="IB16" s="122"/>
      <c r="IC16" s="122"/>
      <c r="ID16" s="122"/>
      <c r="IE16" s="122"/>
      <c r="IF16" s="122"/>
      <c r="IG16" s="122"/>
      <c r="IH16" s="122"/>
      <c r="II16" s="122"/>
      <c r="IJ16" s="122"/>
      <c r="IK16" s="122"/>
      <c r="IL16" s="122"/>
      <c r="IM16" s="122"/>
      <c r="IN16" s="122"/>
      <c r="IO16" s="122"/>
      <c r="IP16" s="122"/>
      <c r="IQ16" s="122"/>
      <c r="IR16" s="122"/>
      <c r="IS16" s="122"/>
      <c r="IT16" s="122"/>
      <c r="IU16" s="122"/>
      <c r="IV16" s="122"/>
      <c r="IW16" s="122"/>
      <c r="IX16" s="122"/>
      <c r="IY16" s="122"/>
      <c r="IZ16" s="122"/>
      <c r="JA16" s="122"/>
      <c r="JB16" s="122"/>
      <c r="JC16" s="122"/>
      <c r="JD16" s="122"/>
      <c r="JE16" s="122"/>
      <c r="JF16" s="122"/>
      <c r="JG16" s="122"/>
      <c r="JH16" s="122"/>
      <c r="JI16" s="119">
        <f t="shared" si="0"/>
        <v>244260</v>
      </c>
      <c r="JJ16" s="2">
        <v>390</v>
      </c>
      <c r="JK16" s="122">
        <v>233910</v>
      </c>
      <c r="JL16" s="125">
        <f t="shared" si="1"/>
        <v>10350</v>
      </c>
      <c r="JM16" s="125"/>
      <c r="JN16" s="125"/>
      <c r="JO16" s="125"/>
      <c r="JP16" s="125"/>
    </row>
    <row r="17" spans="1:276" x14ac:dyDescent="0.25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22"/>
      <c r="EC17" s="122"/>
      <c r="ED17" s="122"/>
      <c r="EE17" s="122"/>
      <c r="EF17" s="122"/>
      <c r="EG17" s="122"/>
      <c r="EH17" s="122"/>
      <c r="EI17" s="122"/>
      <c r="EJ17" s="122"/>
      <c r="EK17" s="122"/>
      <c r="EL17" s="122"/>
      <c r="EM17" s="122"/>
      <c r="EN17" s="122"/>
      <c r="EO17" s="122"/>
      <c r="EP17" s="122"/>
      <c r="EQ17" s="122"/>
      <c r="ER17" s="122"/>
      <c r="ES17" s="122"/>
      <c r="ET17" s="122"/>
      <c r="EU17" s="122"/>
      <c r="EV17" s="122"/>
      <c r="EW17" s="122"/>
      <c r="EX17" s="122"/>
      <c r="EY17" s="122"/>
      <c r="EZ17" s="122"/>
      <c r="FA17" s="122"/>
      <c r="FB17" s="122"/>
      <c r="FC17" s="122"/>
      <c r="FD17" s="122"/>
      <c r="FE17" s="122"/>
      <c r="FF17" s="122"/>
      <c r="FG17" s="122"/>
      <c r="FH17" s="122"/>
      <c r="FI17" s="122"/>
      <c r="FJ17" s="122"/>
      <c r="FK17" s="122"/>
      <c r="FL17" s="122"/>
      <c r="FM17" s="122"/>
      <c r="FN17" s="122">
        <v>140797.6</v>
      </c>
      <c r="FO17" s="122"/>
      <c r="FP17" s="122"/>
      <c r="FQ17" s="122"/>
      <c r="FR17" s="122"/>
      <c r="FS17" s="122"/>
      <c r="FT17" s="122"/>
      <c r="FU17" s="122"/>
      <c r="FV17" s="122"/>
      <c r="FW17" s="122"/>
      <c r="FX17" s="122"/>
      <c r="FY17" s="122"/>
      <c r="FZ17" s="122"/>
      <c r="GA17" s="122"/>
      <c r="GB17" s="122"/>
      <c r="GC17" s="122"/>
      <c r="GD17" s="122"/>
      <c r="GE17" s="122"/>
      <c r="GF17" s="122"/>
      <c r="GG17" s="122"/>
      <c r="GH17" s="122"/>
      <c r="GI17" s="122"/>
      <c r="GJ17" s="122"/>
      <c r="GK17" s="122"/>
      <c r="GL17" s="122"/>
      <c r="GM17" s="122"/>
      <c r="GN17" s="122"/>
      <c r="GO17" s="122"/>
      <c r="GP17" s="122"/>
      <c r="GQ17" s="122"/>
      <c r="GR17" s="122"/>
      <c r="GS17" s="122"/>
      <c r="GT17" s="122"/>
      <c r="GU17" s="122"/>
      <c r="GV17" s="122"/>
      <c r="GW17" s="122"/>
      <c r="GX17" s="122"/>
      <c r="GY17" s="122"/>
      <c r="GZ17" s="122"/>
      <c r="HA17" s="122"/>
      <c r="HB17" s="122"/>
      <c r="HC17" s="122"/>
      <c r="HD17" s="122"/>
      <c r="HE17" s="122"/>
      <c r="HF17" s="122"/>
      <c r="HG17" s="122"/>
      <c r="HH17" s="122"/>
      <c r="HI17" s="122"/>
      <c r="HJ17" s="122"/>
      <c r="HK17" s="122"/>
      <c r="HL17" s="122"/>
      <c r="HM17" s="122"/>
      <c r="HN17" s="122"/>
      <c r="HO17" s="122"/>
      <c r="HP17" s="122"/>
      <c r="HQ17" s="122"/>
      <c r="HR17" s="122"/>
      <c r="HS17" s="122"/>
      <c r="HT17" s="122"/>
      <c r="HU17" s="122"/>
      <c r="HV17" s="122"/>
      <c r="HW17" s="122"/>
      <c r="HX17" s="122"/>
      <c r="HY17" s="122"/>
      <c r="HZ17" s="122"/>
      <c r="IA17" s="122"/>
      <c r="IB17" s="122"/>
      <c r="IC17" s="122"/>
      <c r="ID17" s="122"/>
      <c r="IE17" s="122"/>
      <c r="IF17" s="122"/>
      <c r="IG17" s="122"/>
      <c r="IH17" s="122"/>
      <c r="II17" s="122"/>
      <c r="IJ17" s="122"/>
      <c r="IK17" s="122"/>
      <c r="IL17" s="122"/>
      <c r="IM17" s="122"/>
      <c r="IN17" s="122"/>
      <c r="IO17" s="122"/>
      <c r="IP17" s="122"/>
      <c r="IQ17" s="122"/>
      <c r="IR17" s="122"/>
      <c r="IS17" s="122"/>
      <c r="IT17" s="122"/>
      <c r="IU17" s="122"/>
      <c r="IV17" s="122"/>
      <c r="IW17" s="122"/>
      <c r="IX17" s="122"/>
      <c r="IY17" s="122"/>
      <c r="IZ17" s="122"/>
      <c r="JA17" s="122"/>
      <c r="JB17" s="122"/>
      <c r="JC17" s="122"/>
      <c r="JD17" s="122"/>
      <c r="JE17" s="122"/>
      <c r="JF17" s="122"/>
      <c r="JG17" s="122"/>
      <c r="JH17" s="122"/>
      <c r="JI17" s="119">
        <f t="shared" si="0"/>
        <v>140797.6</v>
      </c>
      <c r="JJ17" s="2">
        <v>391</v>
      </c>
      <c r="JK17" s="122">
        <v>134831.6</v>
      </c>
      <c r="JL17" s="125">
        <f t="shared" si="1"/>
        <v>5966</v>
      </c>
      <c r="JM17" s="125"/>
      <c r="JN17" s="125"/>
      <c r="JO17" s="125"/>
      <c r="JP17" s="125"/>
    </row>
    <row r="18" spans="1:276" x14ac:dyDescent="0.25">
      <c r="A18" s="122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122"/>
      <c r="ED18" s="122"/>
      <c r="EE18" s="122"/>
      <c r="EF18" s="122"/>
      <c r="EG18" s="122"/>
      <c r="EH18" s="122"/>
      <c r="EI18" s="122"/>
      <c r="EJ18" s="122"/>
      <c r="EK18" s="122"/>
      <c r="EL18" s="122"/>
      <c r="EM18" s="122"/>
      <c r="EN18" s="122"/>
      <c r="EO18" s="122"/>
      <c r="EP18" s="122"/>
      <c r="EQ18" s="122"/>
      <c r="ER18" s="122"/>
      <c r="ES18" s="122"/>
      <c r="ET18" s="122"/>
      <c r="EU18" s="122"/>
      <c r="EV18" s="122"/>
      <c r="EW18" s="122"/>
      <c r="EX18" s="122"/>
      <c r="EY18" s="122"/>
      <c r="EZ18" s="122"/>
      <c r="FA18" s="122"/>
      <c r="FB18" s="122"/>
      <c r="FC18" s="122"/>
      <c r="FD18" s="122"/>
      <c r="FE18" s="122"/>
      <c r="FF18" s="122"/>
      <c r="FG18" s="122"/>
      <c r="FH18" s="122"/>
      <c r="FI18" s="122"/>
      <c r="FJ18" s="122"/>
      <c r="FK18" s="122"/>
      <c r="FL18" s="122"/>
      <c r="FM18" s="122"/>
      <c r="FN18" s="122"/>
      <c r="FO18" s="122"/>
      <c r="FP18" s="122"/>
      <c r="FQ18" s="122"/>
      <c r="FR18" s="122"/>
      <c r="FS18" s="122"/>
      <c r="FT18" s="122"/>
      <c r="FU18" s="122"/>
      <c r="FV18" s="122"/>
      <c r="FW18" s="122"/>
      <c r="FX18" s="122"/>
      <c r="FY18" s="122"/>
      <c r="FZ18" s="122"/>
      <c r="GA18" s="122"/>
      <c r="GB18" s="122"/>
      <c r="GC18" s="122"/>
      <c r="GD18" s="122"/>
      <c r="GE18" s="122"/>
      <c r="GF18" s="122"/>
      <c r="GG18" s="122"/>
      <c r="GH18" s="122"/>
      <c r="GI18" s="122"/>
      <c r="GJ18" s="122"/>
      <c r="GK18" s="122"/>
      <c r="GL18" s="122"/>
      <c r="GM18" s="122"/>
      <c r="GN18" s="122"/>
      <c r="GO18" s="122"/>
      <c r="GP18" s="122"/>
      <c r="GQ18" s="122"/>
      <c r="GR18" s="122">
        <v>1899800</v>
      </c>
      <c r="GS18" s="122"/>
      <c r="GT18" s="122"/>
      <c r="GU18" s="122"/>
      <c r="GV18" s="122"/>
      <c r="GW18" s="122"/>
      <c r="GX18" s="122"/>
      <c r="GY18" s="122"/>
      <c r="GZ18" s="122"/>
      <c r="HA18" s="122"/>
      <c r="HB18" s="122"/>
      <c r="HC18" s="122"/>
      <c r="HD18" s="122"/>
      <c r="HE18" s="122"/>
      <c r="HF18" s="122"/>
      <c r="HG18" s="122"/>
      <c r="HH18" s="122"/>
      <c r="HI18" s="122"/>
      <c r="HJ18" s="122"/>
      <c r="HK18" s="122"/>
      <c r="HL18" s="122"/>
      <c r="HM18" s="122"/>
      <c r="HN18" s="122"/>
      <c r="HO18" s="122"/>
      <c r="HP18" s="122"/>
      <c r="HQ18" s="122"/>
      <c r="HR18" s="122"/>
      <c r="HS18" s="122"/>
      <c r="HT18" s="122"/>
      <c r="HU18" s="122"/>
      <c r="HV18" s="122"/>
      <c r="HW18" s="122"/>
      <c r="HX18" s="122"/>
      <c r="HY18" s="122"/>
      <c r="HZ18" s="122"/>
      <c r="IA18" s="122"/>
      <c r="IB18" s="122"/>
      <c r="IC18" s="122"/>
      <c r="ID18" s="122"/>
      <c r="IE18" s="122"/>
      <c r="IF18" s="122"/>
      <c r="IG18" s="122"/>
      <c r="IH18" s="122"/>
      <c r="II18" s="122"/>
      <c r="IJ18" s="122"/>
      <c r="IK18" s="122"/>
      <c r="IL18" s="122"/>
      <c r="IM18" s="122"/>
      <c r="IN18" s="122"/>
      <c r="IO18" s="122"/>
      <c r="IP18" s="122"/>
      <c r="IQ18" s="122"/>
      <c r="IR18" s="122"/>
      <c r="IS18" s="122"/>
      <c r="IT18" s="122"/>
      <c r="IU18" s="122"/>
      <c r="IV18" s="122"/>
      <c r="IW18" s="122"/>
      <c r="IX18" s="122"/>
      <c r="IY18" s="122"/>
      <c r="IZ18" s="122"/>
      <c r="JA18" s="122"/>
      <c r="JB18" s="122"/>
      <c r="JC18" s="122"/>
      <c r="JD18" s="122"/>
      <c r="JE18" s="122"/>
      <c r="JF18" s="122"/>
      <c r="JG18" s="122"/>
      <c r="JH18" s="122"/>
      <c r="JI18" s="119">
        <f t="shared" si="0"/>
        <v>1899800</v>
      </c>
      <c r="JJ18" s="2">
        <v>392</v>
      </c>
      <c r="JK18" s="122">
        <v>1819300</v>
      </c>
      <c r="JL18" s="125">
        <f t="shared" si="1"/>
        <v>80500</v>
      </c>
      <c r="JM18" s="125"/>
      <c r="JN18" s="125"/>
      <c r="JO18" s="125"/>
      <c r="JP18" s="125"/>
    </row>
    <row r="19" spans="1:276" x14ac:dyDescent="0.25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>
        <v>16520</v>
      </c>
      <c r="DF19" s="122"/>
      <c r="DG19" s="122"/>
      <c r="DH19" s="122"/>
      <c r="DI19" s="122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22"/>
      <c r="EC19" s="122"/>
      <c r="ED19" s="122"/>
      <c r="EE19" s="122"/>
      <c r="EF19" s="122"/>
      <c r="EG19" s="122"/>
      <c r="EH19" s="122"/>
      <c r="EI19" s="122"/>
      <c r="EJ19" s="122"/>
      <c r="EK19" s="122"/>
      <c r="EL19" s="122"/>
      <c r="EM19" s="122"/>
      <c r="EN19" s="122"/>
      <c r="EO19" s="122"/>
      <c r="EP19" s="122"/>
      <c r="EQ19" s="122"/>
      <c r="ER19" s="122"/>
      <c r="ES19" s="122"/>
      <c r="ET19" s="122"/>
      <c r="EU19" s="122"/>
      <c r="EV19" s="122"/>
      <c r="EW19" s="122"/>
      <c r="EX19" s="122"/>
      <c r="EY19" s="122"/>
      <c r="EZ19" s="122"/>
      <c r="FA19" s="122"/>
      <c r="FB19" s="122"/>
      <c r="FC19" s="122"/>
      <c r="FD19" s="122"/>
      <c r="FE19" s="122"/>
      <c r="FF19" s="122"/>
      <c r="FG19" s="122"/>
      <c r="FH19" s="122"/>
      <c r="FI19" s="122"/>
      <c r="FJ19" s="122"/>
      <c r="FK19" s="122"/>
      <c r="FL19" s="122"/>
      <c r="FM19" s="122"/>
      <c r="FN19" s="122"/>
      <c r="FO19" s="122"/>
      <c r="FP19" s="122"/>
      <c r="FQ19" s="122"/>
      <c r="FR19" s="122"/>
      <c r="FS19" s="122"/>
      <c r="FT19" s="122"/>
      <c r="FU19" s="122"/>
      <c r="FV19" s="122"/>
      <c r="FW19" s="122"/>
      <c r="FX19" s="122"/>
      <c r="FY19" s="122"/>
      <c r="FZ19" s="122"/>
      <c r="GA19" s="122"/>
      <c r="GB19" s="122"/>
      <c r="GC19" s="122"/>
      <c r="GD19" s="122"/>
      <c r="GE19" s="122"/>
      <c r="GF19" s="122"/>
      <c r="GG19" s="122"/>
      <c r="GH19" s="122"/>
      <c r="GI19" s="122"/>
      <c r="GJ19" s="122"/>
      <c r="GK19" s="122"/>
      <c r="GL19" s="122"/>
      <c r="GM19" s="122"/>
      <c r="GN19" s="122"/>
      <c r="GO19" s="122"/>
      <c r="GP19" s="122"/>
      <c r="GQ19" s="122"/>
      <c r="GR19" s="122"/>
      <c r="GS19" s="122"/>
      <c r="GT19" s="122"/>
      <c r="GU19" s="122"/>
      <c r="GV19" s="122"/>
      <c r="GW19" s="122"/>
      <c r="GX19" s="122"/>
      <c r="GY19" s="122"/>
      <c r="GZ19" s="122"/>
      <c r="HA19" s="122"/>
      <c r="HB19" s="122"/>
      <c r="HC19" s="122"/>
      <c r="HD19" s="122"/>
      <c r="HE19" s="122"/>
      <c r="HF19" s="122"/>
      <c r="HG19" s="122"/>
      <c r="HH19" s="122"/>
      <c r="HI19" s="122"/>
      <c r="HJ19" s="122"/>
      <c r="HK19" s="122"/>
      <c r="HL19" s="122"/>
      <c r="HM19" s="122"/>
      <c r="HN19" s="122"/>
      <c r="HO19" s="122"/>
      <c r="HP19" s="122"/>
      <c r="HQ19" s="122"/>
      <c r="HR19" s="122"/>
      <c r="HS19" s="122"/>
      <c r="HT19" s="122"/>
      <c r="HU19" s="122"/>
      <c r="HV19" s="122"/>
      <c r="HW19" s="122"/>
      <c r="HX19" s="122"/>
      <c r="HY19" s="122"/>
      <c r="HZ19" s="122"/>
      <c r="IA19" s="122"/>
      <c r="IB19" s="122"/>
      <c r="IC19" s="122"/>
      <c r="ID19" s="122"/>
      <c r="IE19" s="122"/>
      <c r="IF19" s="122"/>
      <c r="IG19" s="122"/>
      <c r="IH19" s="122"/>
      <c r="II19" s="122"/>
      <c r="IJ19" s="122"/>
      <c r="IK19" s="122"/>
      <c r="IL19" s="122"/>
      <c r="IM19" s="122"/>
      <c r="IN19" s="122"/>
      <c r="IO19" s="122"/>
      <c r="IP19" s="122"/>
      <c r="IQ19" s="122"/>
      <c r="IR19" s="122"/>
      <c r="IS19" s="122"/>
      <c r="IT19" s="122"/>
      <c r="IU19" s="122"/>
      <c r="IV19" s="122"/>
      <c r="IW19" s="122"/>
      <c r="IX19" s="122"/>
      <c r="IY19" s="122"/>
      <c r="IZ19" s="122"/>
      <c r="JA19" s="122"/>
      <c r="JB19" s="122"/>
      <c r="JC19" s="122"/>
      <c r="JD19" s="122"/>
      <c r="JE19" s="122"/>
      <c r="JF19" s="122"/>
      <c r="JG19" s="122"/>
      <c r="JH19" s="122"/>
      <c r="JI19" s="119">
        <f t="shared" si="0"/>
        <v>16520</v>
      </c>
      <c r="JJ19" s="2">
        <v>393</v>
      </c>
      <c r="JK19" s="122">
        <v>16520</v>
      </c>
      <c r="JL19" s="125">
        <f t="shared" si="1"/>
        <v>0</v>
      </c>
      <c r="JM19" s="125"/>
      <c r="JN19" s="125"/>
      <c r="JO19" s="125"/>
      <c r="JP19" s="125"/>
    </row>
    <row r="20" spans="1:276" x14ac:dyDescent="0.25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>
        <v>41400</v>
      </c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  <c r="EE20" s="122"/>
      <c r="EF20" s="122"/>
      <c r="EG20" s="122"/>
      <c r="EH20" s="122"/>
      <c r="EI20" s="122"/>
      <c r="EJ20" s="122"/>
      <c r="EK20" s="122"/>
      <c r="EL20" s="122"/>
      <c r="EM20" s="122"/>
      <c r="EN20" s="122"/>
      <c r="EO20" s="122"/>
      <c r="EP20" s="122"/>
      <c r="EQ20" s="122"/>
      <c r="ER20" s="122"/>
      <c r="ES20" s="122"/>
      <c r="ET20" s="122"/>
      <c r="EU20" s="122"/>
      <c r="EV20" s="122"/>
      <c r="EW20" s="122"/>
      <c r="EX20" s="122"/>
      <c r="EY20" s="122"/>
      <c r="EZ20" s="122"/>
      <c r="FA20" s="122"/>
      <c r="FB20" s="122"/>
      <c r="FC20" s="122"/>
      <c r="FD20" s="122"/>
      <c r="FE20" s="122"/>
      <c r="FF20" s="122"/>
      <c r="FG20" s="122"/>
      <c r="FH20" s="122"/>
      <c r="FI20" s="122"/>
      <c r="FJ20" s="122"/>
      <c r="FK20" s="122"/>
      <c r="FL20" s="122"/>
      <c r="FM20" s="122"/>
      <c r="FN20" s="122"/>
      <c r="FO20" s="122"/>
      <c r="FP20" s="122"/>
      <c r="FQ20" s="122"/>
      <c r="FR20" s="122"/>
      <c r="FS20" s="122"/>
      <c r="FT20" s="122"/>
      <c r="FU20" s="122"/>
      <c r="FV20" s="122"/>
      <c r="FW20" s="122"/>
      <c r="FX20" s="122"/>
      <c r="FY20" s="122"/>
      <c r="FZ20" s="122"/>
      <c r="GA20" s="122"/>
      <c r="GB20" s="122"/>
      <c r="GC20" s="122"/>
      <c r="GD20" s="122"/>
      <c r="GE20" s="122"/>
      <c r="GF20" s="122"/>
      <c r="GG20" s="122"/>
      <c r="GH20" s="122"/>
      <c r="GI20" s="122"/>
      <c r="GJ20" s="122"/>
      <c r="GK20" s="122"/>
      <c r="GL20" s="122"/>
      <c r="GM20" s="122"/>
      <c r="GN20" s="122"/>
      <c r="GO20" s="122"/>
      <c r="GP20" s="122"/>
      <c r="GQ20" s="122"/>
      <c r="GR20" s="122"/>
      <c r="GS20" s="122"/>
      <c r="GT20" s="122"/>
      <c r="GU20" s="122"/>
      <c r="GV20" s="122"/>
      <c r="GW20" s="122"/>
      <c r="GX20" s="122"/>
      <c r="GY20" s="122"/>
      <c r="GZ20" s="122"/>
      <c r="HA20" s="122"/>
      <c r="HB20" s="122"/>
      <c r="HC20" s="122"/>
      <c r="HD20" s="122"/>
      <c r="HE20" s="122"/>
      <c r="HF20" s="122"/>
      <c r="HG20" s="122"/>
      <c r="HH20" s="122"/>
      <c r="HI20" s="122"/>
      <c r="HJ20" s="122"/>
      <c r="HK20" s="122"/>
      <c r="HL20" s="122"/>
      <c r="HM20" s="122"/>
      <c r="HN20" s="122"/>
      <c r="HO20" s="122"/>
      <c r="HP20" s="122"/>
      <c r="HQ20" s="122"/>
      <c r="HR20" s="122"/>
      <c r="HS20" s="122"/>
      <c r="HT20" s="122"/>
      <c r="HU20" s="122"/>
      <c r="HV20" s="122"/>
      <c r="HW20" s="122"/>
      <c r="HX20" s="122"/>
      <c r="HY20" s="122"/>
      <c r="HZ20" s="122"/>
      <c r="IA20" s="122"/>
      <c r="IB20" s="122"/>
      <c r="IC20" s="122"/>
      <c r="ID20" s="122"/>
      <c r="IE20" s="122"/>
      <c r="IF20" s="122"/>
      <c r="IG20" s="122"/>
      <c r="IH20" s="122"/>
      <c r="II20" s="122"/>
      <c r="IJ20" s="122"/>
      <c r="IK20" s="122"/>
      <c r="IL20" s="122"/>
      <c r="IM20" s="122"/>
      <c r="IN20" s="122"/>
      <c r="IO20" s="122"/>
      <c r="IP20" s="122"/>
      <c r="IQ20" s="122"/>
      <c r="IR20" s="122"/>
      <c r="IS20" s="122"/>
      <c r="IT20" s="122"/>
      <c r="IU20" s="122"/>
      <c r="IV20" s="122"/>
      <c r="IW20" s="122"/>
      <c r="IX20" s="122"/>
      <c r="IY20" s="122"/>
      <c r="IZ20" s="122"/>
      <c r="JA20" s="122"/>
      <c r="JB20" s="122"/>
      <c r="JC20" s="122"/>
      <c r="JD20" s="122"/>
      <c r="JE20" s="122"/>
      <c r="JF20" s="122"/>
      <c r="JG20" s="122"/>
      <c r="JH20" s="122"/>
      <c r="JI20" s="119">
        <f t="shared" si="0"/>
        <v>41400</v>
      </c>
      <c r="JJ20" s="2">
        <v>394</v>
      </c>
      <c r="JK20" s="122">
        <v>41400</v>
      </c>
      <c r="JL20" s="125">
        <f t="shared" si="1"/>
        <v>0</v>
      </c>
      <c r="JM20" s="125"/>
      <c r="JN20" s="125"/>
      <c r="JO20" s="125"/>
      <c r="JP20" s="125"/>
    </row>
    <row r="21" spans="1:276" x14ac:dyDescent="0.25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  <c r="BZ21" s="122"/>
      <c r="CA21" s="122"/>
      <c r="CB21" s="122"/>
      <c r="CC21" s="122"/>
      <c r="CD21" s="122"/>
      <c r="CE21" s="122"/>
      <c r="CF21" s="122"/>
      <c r="CG21" s="122"/>
      <c r="CH21" s="122"/>
      <c r="CI21" s="122"/>
      <c r="CJ21" s="122"/>
      <c r="CK21" s="122"/>
      <c r="CL21" s="122"/>
      <c r="CM21" s="122"/>
      <c r="CN21" s="122"/>
      <c r="CO21" s="122"/>
      <c r="CP21" s="122"/>
      <c r="CQ21" s="122"/>
      <c r="CR21" s="122"/>
      <c r="CS21" s="122"/>
      <c r="CT21" s="122"/>
      <c r="CU21" s="122"/>
      <c r="CV21" s="122"/>
      <c r="CW21" s="122"/>
      <c r="CX21" s="122"/>
      <c r="CY21" s="122"/>
      <c r="CZ21" s="122"/>
      <c r="DA21" s="122"/>
      <c r="DB21" s="122"/>
      <c r="DC21" s="122"/>
      <c r="DD21" s="122"/>
      <c r="DE21" s="122"/>
      <c r="DF21" s="122"/>
      <c r="DG21" s="122"/>
      <c r="DH21" s="122"/>
      <c r="DI21" s="122"/>
      <c r="DJ21" s="122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>
        <v>270000</v>
      </c>
      <c r="EB21" s="122"/>
      <c r="EC21" s="122"/>
      <c r="ED21" s="122"/>
      <c r="EE21" s="122"/>
      <c r="EF21" s="122"/>
      <c r="EG21" s="122"/>
      <c r="EH21" s="122"/>
      <c r="EI21" s="122"/>
      <c r="EJ21" s="122"/>
      <c r="EK21" s="122"/>
      <c r="EL21" s="122"/>
      <c r="EM21" s="122"/>
      <c r="EN21" s="122"/>
      <c r="EO21" s="122"/>
      <c r="EP21" s="122"/>
      <c r="EQ21" s="122"/>
      <c r="ER21" s="122"/>
      <c r="ES21" s="122"/>
      <c r="ET21" s="122"/>
      <c r="EU21" s="122"/>
      <c r="EV21" s="122"/>
      <c r="EW21" s="122"/>
      <c r="EX21" s="122"/>
      <c r="EY21" s="122"/>
      <c r="EZ21" s="122"/>
      <c r="FA21" s="122"/>
      <c r="FB21" s="122"/>
      <c r="FC21" s="122"/>
      <c r="FD21" s="122"/>
      <c r="FE21" s="122"/>
      <c r="FF21" s="122"/>
      <c r="FG21" s="122"/>
      <c r="FH21" s="122"/>
      <c r="FI21" s="122"/>
      <c r="FJ21" s="122"/>
      <c r="FK21" s="122"/>
      <c r="FL21" s="122"/>
      <c r="FM21" s="122"/>
      <c r="FN21" s="122"/>
      <c r="FO21" s="122"/>
      <c r="FP21" s="122"/>
      <c r="FQ21" s="122"/>
      <c r="FR21" s="122"/>
      <c r="FS21" s="122"/>
      <c r="FT21" s="122"/>
      <c r="FU21" s="122"/>
      <c r="FV21" s="122"/>
      <c r="FW21" s="122"/>
      <c r="FX21" s="122"/>
      <c r="FY21" s="122"/>
      <c r="FZ21" s="122"/>
      <c r="GA21" s="122"/>
      <c r="GB21" s="122"/>
      <c r="GC21" s="122"/>
      <c r="GD21" s="122"/>
      <c r="GE21" s="122"/>
      <c r="GF21" s="122"/>
      <c r="GG21" s="122"/>
      <c r="GH21" s="122"/>
      <c r="GI21" s="122"/>
      <c r="GJ21" s="122"/>
      <c r="GK21" s="122"/>
      <c r="GL21" s="122"/>
      <c r="GM21" s="122"/>
      <c r="GN21" s="122"/>
      <c r="GO21" s="122"/>
      <c r="GP21" s="122"/>
      <c r="GQ21" s="122"/>
      <c r="GR21" s="122"/>
      <c r="GS21" s="122"/>
      <c r="GT21" s="122"/>
      <c r="GU21" s="122"/>
      <c r="GV21" s="122"/>
      <c r="GW21" s="122"/>
      <c r="GX21" s="122"/>
      <c r="GY21" s="122"/>
      <c r="GZ21" s="122"/>
      <c r="HA21" s="122"/>
      <c r="HB21" s="122"/>
      <c r="HC21" s="122"/>
      <c r="HD21" s="122"/>
      <c r="HE21" s="122"/>
      <c r="HF21" s="122"/>
      <c r="HG21" s="122"/>
      <c r="HH21" s="122"/>
      <c r="HI21" s="122"/>
      <c r="HJ21" s="122"/>
      <c r="HK21" s="122"/>
      <c r="HL21" s="122"/>
      <c r="HM21" s="122"/>
      <c r="HN21" s="122"/>
      <c r="HO21" s="122"/>
      <c r="HP21" s="122"/>
      <c r="HQ21" s="122"/>
      <c r="HR21" s="122"/>
      <c r="HS21" s="122"/>
      <c r="HT21" s="122"/>
      <c r="HU21" s="122"/>
      <c r="HV21" s="122"/>
      <c r="HW21" s="122"/>
      <c r="HX21" s="122"/>
      <c r="HY21" s="122"/>
      <c r="HZ21" s="122"/>
      <c r="IA21" s="122"/>
      <c r="IB21" s="122"/>
      <c r="IC21" s="122"/>
      <c r="ID21" s="122"/>
      <c r="IE21" s="122"/>
      <c r="IF21" s="122"/>
      <c r="IG21" s="122"/>
      <c r="IH21" s="122"/>
      <c r="II21" s="122"/>
      <c r="IJ21" s="122"/>
      <c r="IK21" s="122"/>
      <c r="IL21" s="122"/>
      <c r="IM21" s="122"/>
      <c r="IN21" s="122"/>
      <c r="IO21" s="122"/>
      <c r="IP21" s="122"/>
      <c r="IQ21" s="122"/>
      <c r="IR21" s="122"/>
      <c r="IS21" s="122"/>
      <c r="IT21" s="122"/>
      <c r="IU21" s="122"/>
      <c r="IV21" s="122"/>
      <c r="IW21" s="122"/>
      <c r="IX21" s="122"/>
      <c r="IY21" s="122"/>
      <c r="IZ21" s="122"/>
      <c r="JA21" s="122"/>
      <c r="JB21" s="122"/>
      <c r="JC21" s="122"/>
      <c r="JD21" s="122"/>
      <c r="JE21" s="122"/>
      <c r="JF21" s="122"/>
      <c r="JG21" s="122"/>
      <c r="JH21" s="122"/>
      <c r="JI21" s="119">
        <f t="shared" si="0"/>
        <v>270000</v>
      </c>
      <c r="JJ21" s="2">
        <v>395</v>
      </c>
      <c r="JK21" s="122">
        <v>256500</v>
      </c>
      <c r="JL21" s="125">
        <f t="shared" si="1"/>
        <v>13500</v>
      </c>
      <c r="JM21" s="125"/>
      <c r="JN21" s="125"/>
      <c r="JO21" s="125"/>
      <c r="JP21" s="125"/>
    </row>
    <row r="22" spans="1:276" ht="15.75" x14ac:dyDescent="0.3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2"/>
      <c r="BO22" s="122"/>
      <c r="BP22" s="122"/>
      <c r="BQ22" s="122"/>
      <c r="BR22" s="122"/>
      <c r="BS22" s="122"/>
      <c r="BT22" s="122"/>
      <c r="BU22" s="122"/>
      <c r="BV22" s="122"/>
      <c r="BW22" s="122"/>
      <c r="BX22" s="122"/>
      <c r="BY22" s="122"/>
      <c r="BZ22" s="122"/>
      <c r="CA22" s="122"/>
      <c r="CB22" s="122"/>
      <c r="CC22" s="122"/>
      <c r="CD22" s="122"/>
      <c r="CE22" s="122"/>
      <c r="CF22" s="122"/>
      <c r="CG22" s="122"/>
      <c r="CH22" s="122"/>
      <c r="CI22" s="122"/>
      <c r="CJ22" s="122"/>
      <c r="CK22" s="122"/>
      <c r="CL22" s="122"/>
      <c r="CM22" s="122"/>
      <c r="CN22" s="122"/>
      <c r="CO22" s="122"/>
      <c r="CP22" s="122"/>
      <c r="CQ22" s="122"/>
      <c r="CR22" s="122"/>
      <c r="CS22" s="122"/>
      <c r="CT22" s="122"/>
      <c r="CU22" s="122"/>
      <c r="CV22" s="122"/>
      <c r="CW22" s="122"/>
      <c r="CX22" s="122"/>
      <c r="CY22" s="122"/>
      <c r="CZ22" s="122"/>
      <c r="DA22" s="122"/>
      <c r="DB22" s="122"/>
      <c r="DC22" s="122"/>
      <c r="DD22" s="122"/>
      <c r="DE22" s="122"/>
      <c r="DF22" s="122"/>
      <c r="DG22" s="122"/>
      <c r="DH22" s="122"/>
      <c r="DI22" s="122"/>
      <c r="DJ22" s="122"/>
      <c r="DK22" s="122"/>
      <c r="DL22" s="122"/>
      <c r="DM22" s="122"/>
      <c r="DN22" s="122"/>
      <c r="DO22" s="122"/>
      <c r="DP22" s="122"/>
      <c r="DQ22" s="122"/>
      <c r="DR22" s="122"/>
      <c r="DS22" s="122"/>
      <c r="DT22" s="122"/>
      <c r="DU22" s="122"/>
      <c r="DV22" s="122"/>
      <c r="DW22" s="122"/>
      <c r="DX22" s="122"/>
      <c r="DY22" s="122"/>
      <c r="DZ22" s="122"/>
      <c r="EA22" s="122"/>
      <c r="EB22" s="122"/>
      <c r="EC22" s="122"/>
      <c r="ED22" s="122"/>
      <c r="EE22" s="122"/>
      <c r="EF22" s="122"/>
      <c r="EG22" s="122"/>
      <c r="EH22" s="122"/>
      <c r="EI22" s="122"/>
      <c r="EJ22" s="122"/>
      <c r="EK22" s="122"/>
      <c r="EL22" s="122"/>
      <c r="EM22" s="122"/>
      <c r="EN22" s="122"/>
      <c r="EO22" s="122"/>
      <c r="EP22" s="122"/>
      <c r="EQ22" s="122"/>
      <c r="ER22" s="122"/>
      <c r="ES22" s="122"/>
      <c r="ET22" s="122"/>
      <c r="EU22" s="122"/>
      <c r="EV22" s="122"/>
      <c r="EW22" s="122"/>
      <c r="EX22" s="122"/>
      <c r="EY22" s="122"/>
      <c r="EZ22" s="122"/>
      <c r="FA22" s="137"/>
      <c r="FB22" s="122"/>
      <c r="FC22" s="122"/>
      <c r="FD22" s="122"/>
      <c r="FE22" s="122"/>
      <c r="FF22" s="122"/>
      <c r="FG22" s="122"/>
      <c r="FH22" s="122"/>
      <c r="FI22" s="122"/>
      <c r="FJ22" s="122"/>
      <c r="FK22" s="122"/>
      <c r="FL22" s="122"/>
      <c r="FM22" s="122"/>
      <c r="FN22" s="122"/>
      <c r="FO22" s="122"/>
      <c r="FP22" s="122"/>
      <c r="FQ22" s="122">
        <v>262500</v>
      </c>
      <c r="FR22" s="122"/>
      <c r="FS22" s="122"/>
      <c r="FT22" s="122"/>
      <c r="FU22" s="122"/>
      <c r="FV22" s="122"/>
      <c r="FW22" s="122"/>
      <c r="FX22" s="122"/>
      <c r="FY22" s="122"/>
      <c r="FZ22" s="122"/>
      <c r="GA22" s="122"/>
      <c r="GB22" s="122"/>
      <c r="GC22" s="122"/>
      <c r="GD22" s="122"/>
      <c r="GE22" s="122"/>
      <c r="GF22" s="122"/>
      <c r="GG22" s="122"/>
      <c r="GH22" s="122"/>
      <c r="GI22" s="122"/>
      <c r="GJ22" s="122"/>
      <c r="GK22" s="122"/>
      <c r="GL22" s="122"/>
      <c r="GM22" s="122"/>
      <c r="GN22" s="122"/>
      <c r="GO22" s="122"/>
      <c r="GP22" s="122"/>
      <c r="GQ22" s="122"/>
      <c r="GR22" s="122"/>
      <c r="GS22" s="122"/>
      <c r="GT22" s="122"/>
      <c r="GU22" s="122"/>
      <c r="GV22" s="122"/>
      <c r="GW22" s="122"/>
      <c r="GX22" s="122"/>
      <c r="GY22" s="122"/>
      <c r="GZ22" s="122"/>
      <c r="HA22" s="122"/>
      <c r="HB22" s="122"/>
      <c r="HC22" s="122"/>
      <c r="HD22" s="122"/>
      <c r="HE22" s="122"/>
      <c r="HF22" s="122"/>
      <c r="HG22" s="122"/>
      <c r="HH22" s="122"/>
      <c r="HI22" s="122"/>
      <c r="HJ22" s="122"/>
      <c r="HK22" s="122"/>
      <c r="HL22" s="122"/>
      <c r="HM22" s="122"/>
      <c r="HN22" s="122"/>
      <c r="HO22" s="122"/>
      <c r="HP22" s="122"/>
      <c r="HQ22" s="122"/>
      <c r="HR22" s="122"/>
      <c r="HS22" s="122"/>
      <c r="HT22" s="122"/>
      <c r="HU22" s="122"/>
      <c r="HV22" s="122"/>
      <c r="HW22" s="122"/>
      <c r="HX22" s="122"/>
      <c r="HY22" s="122"/>
      <c r="HZ22" s="122"/>
      <c r="IA22" s="122"/>
      <c r="IB22" s="122"/>
      <c r="IC22" s="122"/>
      <c r="ID22" s="122"/>
      <c r="IE22" s="122"/>
      <c r="IF22" s="122"/>
      <c r="IG22" s="122"/>
      <c r="IH22" s="122"/>
      <c r="II22" s="122"/>
      <c r="IJ22" s="122"/>
      <c r="IK22" s="122"/>
      <c r="IL22" s="122"/>
      <c r="IM22" s="122"/>
      <c r="IN22" s="122"/>
      <c r="IO22" s="122"/>
      <c r="IP22" s="122"/>
      <c r="IQ22" s="122"/>
      <c r="IR22" s="122"/>
      <c r="IS22" s="122"/>
      <c r="IT22" s="122"/>
      <c r="IU22" s="122"/>
      <c r="IV22" s="122"/>
      <c r="IW22" s="122"/>
      <c r="IX22" s="122"/>
      <c r="IY22" s="122"/>
      <c r="IZ22" s="122"/>
      <c r="JA22" s="122"/>
      <c r="JB22" s="122"/>
      <c r="JC22" s="122"/>
      <c r="JD22" s="122"/>
      <c r="JE22" s="122"/>
      <c r="JF22" s="122"/>
      <c r="JG22" s="122"/>
      <c r="JH22" s="122"/>
      <c r="JI22" s="119">
        <f t="shared" si="0"/>
        <v>262500</v>
      </c>
      <c r="JJ22" s="2">
        <v>396</v>
      </c>
      <c r="JK22" s="122">
        <v>249375</v>
      </c>
      <c r="JL22" s="125">
        <f t="shared" si="1"/>
        <v>13125</v>
      </c>
      <c r="JM22" s="125"/>
      <c r="JN22" s="125"/>
      <c r="JO22" s="125"/>
      <c r="JP22" s="125"/>
    </row>
    <row r="23" spans="1:276" x14ac:dyDescent="0.25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  <c r="DN23" s="122"/>
      <c r="DO23" s="122"/>
      <c r="DP23" s="122"/>
      <c r="DQ23" s="122"/>
      <c r="DR23" s="122"/>
      <c r="DS23" s="122"/>
      <c r="DT23" s="122"/>
      <c r="DU23" s="122"/>
      <c r="DV23" s="122"/>
      <c r="DW23" s="122"/>
      <c r="DX23" s="122"/>
      <c r="DY23" s="122"/>
      <c r="DZ23" s="122"/>
      <c r="EA23" s="122"/>
      <c r="EB23" s="122"/>
      <c r="EC23" s="122"/>
      <c r="ED23" s="122"/>
      <c r="EE23" s="122"/>
      <c r="EF23" s="122"/>
      <c r="EG23" s="122"/>
      <c r="EH23" s="122"/>
      <c r="EI23" s="122"/>
      <c r="EJ23" s="122"/>
      <c r="EK23" s="122"/>
      <c r="EL23" s="122"/>
      <c r="EM23" s="122"/>
      <c r="EN23" s="122"/>
      <c r="EO23" s="122"/>
      <c r="EP23" s="122"/>
      <c r="EQ23" s="122"/>
      <c r="ER23" s="122"/>
      <c r="ES23" s="122"/>
      <c r="ET23" s="122"/>
      <c r="EU23" s="122"/>
      <c r="EV23" s="122"/>
      <c r="EW23" s="122"/>
      <c r="EX23" s="122"/>
      <c r="EY23" s="122"/>
      <c r="EZ23" s="122"/>
      <c r="FA23" s="122">
        <v>172000</v>
      </c>
      <c r="FB23" s="122"/>
      <c r="FC23" s="122"/>
      <c r="FD23" s="122"/>
      <c r="FE23" s="122"/>
      <c r="FF23" s="122"/>
      <c r="FG23" s="122"/>
      <c r="FH23" s="122"/>
      <c r="FI23" s="122"/>
      <c r="FJ23" s="122"/>
      <c r="FK23" s="122"/>
      <c r="FL23" s="122"/>
      <c r="FM23" s="122"/>
      <c r="FN23" s="122"/>
      <c r="FO23" s="122"/>
      <c r="FP23" s="122"/>
      <c r="FQ23" s="122"/>
      <c r="FR23" s="122"/>
      <c r="FS23" s="122"/>
      <c r="FT23" s="122"/>
      <c r="FU23" s="122"/>
      <c r="FV23" s="122"/>
      <c r="FW23" s="122"/>
      <c r="FX23" s="122"/>
      <c r="FY23" s="122"/>
      <c r="FZ23" s="122"/>
      <c r="GA23" s="122"/>
      <c r="GB23" s="122"/>
      <c r="GC23" s="122"/>
      <c r="GD23" s="122"/>
      <c r="GE23" s="122"/>
      <c r="GF23" s="122"/>
      <c r="GG23" s="122"/>
      <c r="GH23" s="122"/>
      <c r="GI23" s="122"/>
      <c r="GJ23" s="122"/>
      <c r="GK23" s="122"/>
      <c r="GL23" s="122"/>
      <c r="GM23" s="122"/>
      <c r="GN23" s="122"/>
      <c r="GO23" s="122"/>
      <c r="GP23" s="122"/>
      <c r="GQ23" s="122"/>
      <c r="GR23" s="122"/>
      <c r="GS23" s="122"/>
      <c r="GT23" s="122"/>
      <c r="GU23" s="122"/>
      <c r="GV23" s="122"/>
      <c r="GW23" s="122"/>
      <c r="GX23" s="122"/>
      <c r="GY23" s="122"/>
      <c r="GZ23" s="122"/>
      <c r="HA23" s="122"/>
      <c r="HB23" s="122"/>
      <c r="HC23" s="122"/>
      <c r="HD23" s="122"/>
      <c r="HE23" s="122"/>
      <c r="HF23" s="122"/>
      <c r="HG23" s="122"/>
      <c r="HH23" s="122"/>
      <c r="HI23" s="122"/>
      <c r="HJ23" s="122"/>
      <c r="HK23" s="122"/>
      <c r="HL23" s="122"/>
      <c r="HM23" s="122"/>
      <c r="HN23" s="122"/>
      <c r="HO23" s="122"/>
      <c r="HP23" s="122"/>
      <c r="HQ23" s="122"/>
      <c r="HR23" s="122"/>
      <c r="HS23" s="122"/>
      <c r="HT23" s="122"/>
      <c r="HU23" s="122"/>
      <c r="HV23" s="122"/>
      <c r="HW23" s="122"/>
      <c r="HX23" s="122"/>
      <c r="HY23" s="122"/>
      <c r="HZ23" s="122"/>
      <c r="IA23" s="122"/>
      <c r="IB23" s="122"/>
      <c r="IC23" s="122"/>
      <c r="ID23" s="122"/>
      <c r="IE23" s="122"/>
      <c r="IF23" s="122"/>
      <c r="IG23" s="122"/>
      <c r="IH23" s="122"/>
      <c r="II23" s="122"/>
      <c r="IJ23" s="122"/>
      <c r="IK23" s="122"/>
      <c r="IL23" s="122"/>
      <c r="IM23" s="122"/>
      <c r="IN23" s="122"/>
      <c r="IO23" s="122"/>
      <c r="IP23" s="122"/>
      <c r="IQ23" s="122"/>
      <c r="IR23" s="122"/>
      <c r="IS23" s="122"/>
      <c r="IT23" s="122"/>
      <c r="IU23" s="122"/>
      <c r="IV23" s="122"/>
      <c r="IW23" s="122"/>
      <c r="IX23" s="122"/>
      <c r="IY23" s="122"/>
      <c r="IZ23" s="122"/>
      <c r="JA23" s="122"/>
      <c r="JB23" s="122"/>
      <c r="JC23" s="122"/>
      <c r="JD23" s="122"/>
      <c r="JE23" s="122"/>
      <c r="JF23" s="122"/>
      <c r="JG23" s="122"/>
      <c r="JH23" s="122"/>
      <c r="JI23" s="119">
        <f t="shared" si="0"/>
        <v>172000</v>
      </c>
      <c r="JJ23" s="2">
        <v>397</v>
      </c>
      <c r="JK23" s="122">
        <v>170573.26</v>
      </c>
      <c r="JL23" s="125">
        <f t="shared" si="1"/>
        <v>1426.7399999999907</v>
      </c>
      <c r="JM23" s="125"/>
      <c r="JN23" s="125"/>
      <c r="JO23" s="125"/>
      <c r="JP23" s="125"/>
    </row>
    <row r="24" spans="1:276" ht="15.75" x14ac:dyDescent="0.3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>
        <v>92925</v>
      </c>
      <c r="DL24" s="122"/>
      <c r="DM24" s="122"/>
      <c r="DN24" s="122"/>
      <c r="DO24" s="122"/>
      <c r="DP24" s="122"/>
      <c r="DQ24" s="122"/>
      <c r="DR24" s="122"/>
      <c r="DS24" s="122"/>
      <c r="DT24" s="122"/>
      <c r="DU24" s="122"/>
      <c r="DV24" s="122"/>
      <c r="DW24" s="122"/>
      <c r="DX24" s="122"/>
      <c r="DY24" s="122"/>
      <c r="DZ24" s="122"/>
      <c r="EA24" s="122"/>
      <c r="EB24" s="122"/>
      <c r="EC24" s="122"/>
      <c r="ED24" s="122"/>
      <c r="EE24" s="122"/>
      <c r="EF24" s="122"/>
      <c r="EG24" s="122"/>
      <c r="EH24" s="122"/>
      <c r="EI24" s="122"/>
      <c r="EJ24" s="122"/>
      <c r="EK24" s="122"/>
      <c r="EL24" s="122"/>
      <c r="EM24" s="122"/>
      <c r="EN24" s="122"/>
      <c r="EO24" s="122"/>
      <c r="EP24" s="122"/>
      <c r="EQ24" s="122"/>
      <c r="ER24" s="122"/>
      <c r="ES24" s="122"/>
      <c r="ET24" s="122"/>
      <c r="EU24" s="122"/>
      <c r="EV24" s="122"/>
      <c r="EW24" s="122"/>
      <c r="EX24" s="122"/>
      <c r="EY24" s="122"/>
      <c r="EZ24" s="122"/>
      <c r="FA24" s="122"/>
      <c r="FB24" s="122"/>
      <c r="FC24" s="122"/>
      <c r="FD24" s="137"/>
      <c r="FE24" s="122"/>
      <c r="FF24" s="122"/>
      <c r="FG24" s="122"/>
      <c r="FH24" s="122"/>
      <c r="FI24" s="122"/>
      <c r="FJ24" s="122"/>
      <c r="FK24" s="122"/>
      <c r="FL24" s="122"/>
      <c r="FM24" s="122"/>
      <c r="FN24" s="122"/>
      <c r="FO24" s="122"/>
      <c r="FP24" s="122"/>
      <c r="FQ24" s="122"/>
      <c r="FR24" s="122"/>
      <c r="FS24" s="122"/>
      <c r="FT24" s="122"/>
      <c r="FU24" s="122"/>
      <c r="FV24" s="122"/>
      <c r="FW24" s="122"/>
      <c r="FX24" s="122"/>
      <c r="FY24" s="122"/>
      <c r="FZ24" s="122"/>
      <c r="GA24" s="122"/>
      <c r="GB24" s="122"/>
      <c r="GC24" s="122"/>
      <c r="GD24" s="122"/>
      <c r="GE24" s="122"/>
      <c r="GF24" s="122"/>
      <c r="GG24" s="122"/>
      <c r="GH24" s="122"/>
      <c r="GI24" s="122"/>
      <c r="GJ24" s="122"/>
      <c r="GK24" s="122"/>
      <c r="GL24" s="122"/>
      <c r="GM24" s="122"/>
      <c r="GN24" s="122"/>
      <c r="GO24" s="122"/>
      <c r="GP24" s="122"/>
      <c r="GQ24" s="122"/>
      <c r="GR24" s="122"/>
      <c r="GS24" s="122"/>
      <c r="GT24" s="122"/>
      <c r="GU24" s="122"/>
      <c r="GV24" s="122"/>
      <c r="GW24" s="122"/>
      <c r="GX24" s="122"/>
      <c r="GY24" s="122"/>
      <c r="GZ24" s="122"/>
      <c r="HA24" s="122"/>
      <c r="HB24" s="122"/>
      <c r="HC24" s="122"/>
      <c r="HD24" s="122"/>
      <c r="HE24" s="122"/>
      <c r="HF24" s="122"/>
      <c r="HG24" s="122"/>
      <c r="HH24" s="122"/>
      <c r="HI24" s="122"/>
      <c r="HJ24" s="122"/>
      <c r="HK24" s="122"/>
      <c r="HL24" s="122"/>
      <c r="HM24" s="122"/>
      <c r="HN24" s="122"/>
      <c r="HO24" s="122"/>
      <c r="HP24" s="122"/>
      <c r="HQ24" s="122"/>
      <c r="HR24" s="122"/>
      <c r="HS24" s="122"/>
      <c r="HT24" s="122"/>
      <c r="HU24" s="122"/>
      <c r="HV24" s="122"/>
      <c r="HW24" s="122"/>
      <c r="HX24" s="122"/>
      <c r="HY24" s="122"/>
      <c r="HZ24" s="122"/>
      <c r="IA24" s="122"/>
      <c r="IB24" s="122"/>
      <c r="IC24" s="122"/>
      <c r="ID24" s="122"/>
      <c r="IE24" s="122"/>
      <c r="IF24" s="122"/>
      <c r="IG24" s="122"/>
      <c r="IH24" s="122"/>
      <c r="II24" s="122"/>
      <c r="IJ24" s="122"/>
      <c r="IK24" s="122"/>
      <c r="IL24" s="122"/>
      <c r="IM24" s="122"/>
      <c r="IN24" s="122"/>
      <c r="IO24" s="122"/>
      <c r="IP24" s="122"/>
      <c r="IQ24" s="122"/>
      <c r="IR24" s="122"/>
      <c r="IS24" s="122"/>
      <c r="IT24" s="122"/>
      <c r="IU24" s="122"/>
      <c r="IV24" s="122"/>
      <c r="IW24" s="122"/>
      <c r="IX24" s="122"/>
      <c r="IY24" s="122"/>
      <c r="IZ24" s="122"/>
      <c r="JA24" s="122"/>
      <c r="JB24" s="122"/>
      <c r="JC24" s="122"/>
      <c r="JD24" s="122"/>
      <c r="JE24" s="122"/>
      <c r="JF24" s="122"/>
      <c r="JG24" s="122"/>
      <c r="JH24" s="122"/>
      <c r="JI24" s="119">
        <f t="shared" si="0"/>
        <v>92925</v>
      </c>
      <c r="JJ24" s="2">
        <v>398</v>
      </c>
      <c r="JK24" s="122">
        <v>88278.75</v>
      </c>
      <c r="JL24" s="125">
        <f t="shared" si="1"/>
        <v>4646.25</v>
      </c>
      <c r="JM24" s="125"/>
      <c r="JN24" s="125"/>
      <c r="JO24" s="125"/>
      <c r="JP24" s="125"/>
    </row>
    <row r="25" spans="1:276" ht="15.75" x14ac:dyDescent="0.3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  <c r="DE25" s="122">
        <v>10000</v>
      </c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22"/>
      <c r="DQ25" s="122"/>
      <c r="DR25" s="122"/>
      <c r="DS25" s="122"/>
      <c r="DT25" s="122"/>
      <c r="DU25" s="122"/>
      <c r="DV25" s="122"/>
      <c r="DW25" s="122"/>
      <c r="DX25" s="122"/>
      <c r="DY25" s="122"/>
      <c r="DZ25" s="122"/>
      <c r="EA25" s="137"/>
      <c r="EB25" s="122"/>
      <c r="EC25" s="122"/>
      <c r="ED25" s="122"/>
      <c r="EE25" s="122"/>
      <c r="EF25" s="122"/>
      <c r="EG25" s="122"/>
      <c r="EH25" s="122"/>
      <c r="EI25" s="122"/>
      <c r="EJ25" s="122"/>
      <c r="EK25" s="122"/>
      <c r="EL25" s="122"/>
      <c r="EM25" s="122"/>
      <c r="EN25" s="122"/>
      <c r="EO25" s="122"/>
      <c r="EP25" s="122"/>
      <c r="EQ25" s="122"/>
      <c r="ER25" s="122"/>
      <c r="ES25" s="122"/>
      <c r="ET25" s="122"/>
      <c r="EU25" s="122"/>
      <c r="EV25" s="122"/>
      <c r="EW25" s="122"/>
      <c r="EX25" s="122"/>
      <c r="EY25" s="122"/>
      <c r="EZ25" s="122"/>
      <c r="FA25" s="122"/>
      <c r="FB25" s="122"/>
      <c r="FC25" s="122"/>
      <c r="FD25" s="122"/>
      <c r="FE25" s="122"/>
      <c r="FF25" s="122"/>
      <c r="FG25" s="122"/>
      <c r="FH25" s="122"/>
      <c r="FI25" s="122"/>
      <c r="FJ25" s="122"/>
      <c r="FK25" s="122"/>
      <c r="FL25" s="122"/>
      <c r="FM25" s="122"/>
      <c r="FN25" s="122"/>
      <c r="FO25" s="122"/>
      <c r="FP25" s="122"/>
      <c r="FQ25" s="122"/>
      <c r="FR25" s="122"/>
      <c r="FS25" s="122"/>
      <c r="FT25" s="122"/>
      <c r="FU25" s="122"/>
      <c r="FV25" s="122"/>
      <c r="FW25" s="122"/>
      <c r="FX25" s="122"/>
      <c r="FY25" s="122"/>
      <c r="FZ25" s="122"/>
      <c r="GA25" s="122"/>
      <c r="GB25" s="122"/>
      <c r="GC25" s="122"/>
      <c r="GD25" s="122"/>
      <c r="GE25" s="122"/>
      <c r="GF25" s="122"/>
      <c r="GG25" s="122"/>
      <c r="GH25" s="122"/>
      <c r="GI25" s="122"/>
      <c r="GJ25" s="122"/>
      <c r="GK25" s="122"/>
      <c r="GL25" s="122"/>
      <c r="GM25" s="122"/>
      <c r="GN25" s="122"/>
      <c r="GO25" s="122"/>
      <c r="GP25" s="122"/>
      <c r="GQ25" s="122"/>
      <c r="GR25" s="122"/>
      <c r="GS25" s="122"/>
      <c r="GT25" s="122"/>
      <c r="GU25" s="122"/>
      <c r="GV25" s="122"/>
      <c r="GW25" s="122"/>
      <c r="GX25" s="122"/>
      <c r="GY25" s="122"/>
      <c r="GZ25" s="122"/>
      <c r="HA25" s="122"/>
      <c r="HB25" s="122"/>
      <c r="HC25" s="122"/>
      <c r="HD25" s="122"/>
      <c r="HE25" s="122"/>
      <c r="HF25" s="122"/>
      <c r="HG25" s="122"/>
      <c r="HH25" s="122"/>
      <c r="HI25" s="122"/>
      <c r="HJ25" s="122"/>
      <c r="HK25" s="122"/>
      <c r="HL25" s="122"/>
      <c r="HM25" s="122"/>
      <c r="HN25" s="122"/>
      <c r="HO25" s="122"/>
      <c r="HP25" s="122"/>
      <c r="HQ25" s="122"/>
      <c r="HR25" s="122"/>
      <c r="HS25" s="122"/>
      <c r="HT25" s="122"/>
      <c r="HU25" s="122"/>
      <c r="HV25" s="122"/>
      <c r="HW25" s="122"/>
      <c r="HX25" s="122"/>
      <c r="HY25" s="122"/>
      <c r="HZ25" s="122"/>
      <c r="IA25" s="122"/>
      <c r="IB25" s="122"/>
      <c r="IC25" s="122"/>
      <c r="ID25" s="122"/>
      <c r="IE25" s="122"/>
      <c r="IF25" s="122"/>
      <c r="IG25" s="122"/>
      <c r="IH25" s="122"/>
      <c r="II25" s="122"/>
      <c r="IJ25" s="122"/>
      <c r="IK25" s="122"/>
      <c r="IL25" s="122"/>
      <c r="IM25" s="122"/>
      <c r="IN25" s="122"/>
      <c r="IO25" s="122"/>
      <c r="IP25" s="122"/>
      <c r="IQ25" s="122"/>
      <c r="IR25" s="122"/>
      <c r="IS25" s="122"/>
      <c r="IT25" s="122"/>
      <c r="IU25" s="122"/>
      <c r="IV25" s="122"/>
      <c r="IW25" s="122"/>
      <c r="IX25" s="122"/>
      <c r="IY25" s="122"/>
      <c r="IZ25" s="122"/>
      <c r="JA25" s="122"/>
      <c r="JB25" s="122"/>
      <c r="JC25" s="122"/>
      <c r="JD25" s="122"/>
      <c r="JE25" s="122"/>
      <c r="JF25" s="122"/>
      <c r="JG25" s="122"/>
      <c r="JH25" s="122"/>
      <c r="JI25" s="119">
        <f t="shared" si="0"/>
        <v>10000</v>
      </c>
      <c r="JJ25" s="2">
        <v>399</v>
      </c>
      <c r="JK25" s="122">
        <v>10000</v>
      </c>
      <c r="JL25" s="125">
        <f t="shared" si="1"/>
        <v>0</v>
      </c>
      <c r="JM25" s="125"/>
      <c r="JN25" s="125"/>
      <c r="JO25" s="125"/>
      <c r="JP25" s="125"/>
    </row>
    <row r="26" spans="1:276" ht="15.75" x14ac:dyDescent="0.3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37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/>
      <c r="DL26" s="122"/>
      <c r="DM26" s="122"/>
      <c r="DN26" s="122"/>
      <c r="DO26" s="122"/>
      <c r="DP26" s="122"/>
      <c r="DQ26" s="122"/>
      <c r="DR26" s="122"/>
      <c r="DS26" s="122"/>
      <c r="DT26" s="122"/>
      <c r="DU26" s="122"/>
      <c r="DV26" s="122"/>
      <c r="DW26" s="122"/>
      <c r="DX26" s="122"/>
      <c r="DY26" s="122"/>
      <c r="DZ26" s="122"/>
      <c r="EA26" s="122">
        <v>114300</v>
      </c>
      <c r="EB26" s="122"/>
      <c r="EC26" s="122"/>
      <c r="ED26" s="122"/>
      <c r="EE26" s="122"/>
      <c r="EF26" s="122"/>
      <c r="EG26" s="122"/>
      <c r="EH26" s="122"/>
      <c r="EI26" s="122"/>
      <c r="EJ26" s="122"/>
      <c r="EK26" s="122"/>
      <c r="EL26" s="122"/>
      <c r="EM26" s="122"/>
      <c r="EN26" s="122"/>
      <c r="EO26" s="122"/>
      <c r="EP26" s="122"/>
      <c r="EQ26" s="122"/>
      <c r="ER26" s="122"/>
      <c r="ES26" s="122"/>
      <c r="ET26" s="122"/>
      <c r="EU26" s="122"/>
      <c r="EV26" s="122"/>
      <c r="EW26" s="122"/>
      <c r="EX26" s="122"/>
      <c r="EY26" s="122"/>
      <c r="EZ26" s="122"/>
      <c r="FA26" s="122"/>
      <c r="FB26" s="122"/>
      <c r="FC26" s="122"/>
      <c r="FD26" s="122"/>
      <c r="FE26" s="122"/>
      <c r="FF26" s="122"/>
      <c r="FG26" s="122"/>
      <c r="FH26" s="122"/>
      <c r="FI26" s="122"/>
      <c r="FJ26" s="122"/>
      <c r="FK26" s="122"/>
      <c r="FL26" s="122"/>
      <c r="FM26" s="122"/>
      <c r="FN26" s="122"/>
      <c r="FO26" s="122"/>
      <c r="FP26" s="122"/>
      <c r="FQ26" s="122"/>
      <c r="FR26" s="122"/>
      <c r="FS26" s="122"/>
      <c r="FT26" s="122"/>
      <c r="FU26" s="122"/>
      <c r="FV26" s="122"/>
      <c r="FW26" s="122"/>
      <c r="FX26" s="122"/>
      <c r="FY26" s="122"/>
      <c r="FZ26" s="122"/>
      <c r="GA26" s="122"/>
      <c r="GB26" s="122"/>
      <c r="GC26" s="122"/>
      <c r="GD26" s="122"/>
      <c r="GE26" s="122"/>
      <c r="GF26" s="122"/>
      <c r="GG26" s="122"/>
      <c r="GH26" s="122"/>
      <c r="GI26" s="122"/>
      <c r="GJ26" s="122"/>
      <c r="GK26" s="122"/>
      <c r="GL26" s="122"/>
      <c r="GM26" s="122"/>
      <c r="GN26" s="122"/>
      <c r="GO26" s="122"/>
      <c r="GP26" s="122"/>
      <c r="GQ26" s="122"/>
      <c r="GR26" s="122"/>
      <c r="GS26" s="122"/>
      <c r="GT26" s="122"/>
      <c r="GU26" s="122"/>
      <c r="GV26" s="122"/>
      <c r="GW26" s="122"/>
      <c r="GX26" s="122"/>
      <c r="GY26" s="122"/>
      <c r="GZ26" s="122"/>
      <c r="HA26" s="122"/>
      <c r="HB26" s="122"/>
      <c r="HC26" s="122"/>
      <c r="HD26" s="122"/>
      <c r="HE26" s="122"/>
      <c r="HF26" s="122"/>
      <c r="HG26" s="122"/>
      <c r="HH26" s="122"/>
      <c r="HI26" s="122"/>
      <c r="HJ26" s="122"/>
      <c r="HK26" s="122"/>
      <c r="HL26" s="122"/>
      <c r="HM26" s="122"/>
      <c r="HN26" s="122"/>
      <c r="HO26" s="122"/>
      <c r="HP26" s="122"/>
      <c r="HQ26" s="122"/>
      <c r="HR26" s="122"/>
      <c r="HS26" s="122"/>
      <c r="HT26" s="122"/>
      <c r="HU26" s="122"/>
      <c r="HV26" s="122"/>
      <c r="HW26" s="122"/>
      <c r="HX26" s="122"/>
      <c r="HY26" s="122"/>
      <c r="HZ26" s="122"/>
      <c r="IA26" s="122"/>
      <c r="IB26" s="122"/>
      <c r="IC26" s="122"/>
      <c r="ID26" s="122"/>
      <c r="IE26" s="122"/>
      <c r="IF26" s="122"/>
      <c r="IG26" s="122"/>
      <c r="IH26" s="122"/>
      <c r="II26" s="122"/>
      <c r="IJ26" s="122"/>
      <c r="IK26" s="122"/>
      <c r="IL26" s="122"/>
      <c r="IM26" s="122"/>
      <c r="IN26" s="122"/>
      <c r="IO26" s="122"/>
      <c r="IP26" s="122"/>
      <c r="IQ26" s="122"/>
      <c r="IR26" s="122"/>
      <c r="IS26" s="122"/>
      <c r="IT26" s="122"/>
      <c r="IU26" s="122"/>
      <c r="IV26" s="122"/>
      <c r="IW26" s="122"/>
      <c r="IX26" s="122"/>
      <c r="IY26" s="122"/>
      <c r="IZ26" s="122"/>
      <c r="JA26" s="122"/>
      <c r="JB26" s="122"/>
      <c r="JC26" s="122"/>
      <c r="JD26" s="122"/>
      <c r="JE26" s="122"/>
      <c r="JF26" s="122"/>
      <c r="JG26" s="122"/>
      <c r="JH26" s="122"/>
      <c r="JI26" s="119">
        <f t="shared" si="0"/>
        <v>114300</v>
      </c>
      <c r="JJ26" s="2">
        <v>400</v>
      </c>
      <c r="JK26" s="122">
        <v>108585</v>
      </c>
      <c r="JL26" s="125">
        <f t="shared" si="1"/>
        <v>5715</v>
      </c>
      <c r="JM26" s="125"/>
      <c r="JN26" s="125"/>
      <c r="JO26" s="125"/>
      <c r="JP26" s="125"/>
    </row>
    <row r="27" spans="1:276" x14ac:dyDescent="0.25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S27" s="122"/>
      <c r="BT27" s="122"/>
      <c r="BU27" s="122"/>
      <c r="BV27" s="122"/>
      <c r="BW27" s="122"/>
      <c r="BX27" s="122"/>
      <c r="BY27" s="122"/>
      <c r="BZ27" s="122"/>
      <c r="CA27" s="122"/>
      <c r="CB27" s="122"/>
      <c r="CC27" s="122"/>
      <c r="CD27" s="122"/>
      <c r="CE27" s="122"/>
      <c r="CF27" s="122"/>
      <c r="CG27" s="122"/>
      <c r="CH27" s="122"/>
      <c r="CI27" s="122"/>
      <c r="CJ27" s="122"/>
      <c r="CK27" s="122"/>
      <c r="CL27" s="122"/>
      <c r="CM27" s="122"/>
      <c r="CN27" s="122"/>
      <c r="CO27" s="122"/>
      <c r="CP27" s="122"/>
      <c r="CQ27" s="122"/>
      <c r="CR27" s="122"/>
      <c r="CS27" s="122"/>
      <c r="CT27" s="122"/>
      <c r="CU27" s="122"/>
      <c r="CV27" s="122"/>
      <c r="CW27" s="122"/>
      <c r="CX27" s="122"/>
      <c r="CY27" s="122"/>
      <c r="CZ27" s="122"/>
      <c r="DA27" s="122"/>
      <c r="DB27" s="122"/>
      <c r="DC27" s="122"/>
      <c r="DD27" s="122"/>
      <c r="DE27" s="122"/>
      <c r="DF27" s="122"/>
      <c r="DG27" s="122"/>
      <c r="DH27" s="122"/>
      <c r="DI27" s="122"/>
      <c r="DJ27" s="122"/>
      <c r="DK27" s="122"/>
      <c r="DL27" s="122"/>
      <c r="DM27" s="122"/>
      <c r="DN27" s="122"/>
      <c r="DO27" s="122"/>
      <c r="DP27" s="122"/>
      <c r="DQ27" s="122"/>
      <c r="DR27" s="122"/>
      <c r="DS27" s="122"/>
      <c r="DT27" s="122"/>
      <c r="DU27" s="122"/>
      <c r="DV27" s="122"/>
      <c r="DW27" s="122"/>
      <c r="DX27" s="122"/>
      <c r="DY27" s="122"/>
      <c r="DZ27" s="122"/>
      <c r="EA27" s="122"/>
      <c r="EB27" s="122"/>
      <c r="EC27" s="122"/>
      <c r="ED27" s="122"/>
      <c r="EE27" s="122">
        <v>298561.91999999998</v>
      </c>
      <c r="EF27" s="122"/>
      <c r="EG27" s="122"/>
      <c r="EH27" s="122"/>
      <c r="EI27" s="122"/>
      <c r="EJ27" s="122"/>
      <c r="EK27" s="122"/>
      <c r="EL27" s="122"/>
      <c r="EM27" s="122"/>
      <c r="EN27" s="122"/>
      <c r="EO27" s="122"/>
      <c r="EP27" s="122"/>
      <c r="EQ27" s="122"/>
      <c r="ER27" s="122"/>
      <c r="ES27" s="122"/>
      <c r="ET27" s="122"/>
      <c r="EU27" s="122"/>
      <c r="EV27" s="122"/>
      <c r="EW27" s="122"/>
      <c r="EX27" s="122"/>
      <c r="EY27" s="122"/>
      <c r="EZ27" s="122"/>
      <c r="FA27" s="122"/>
      <c r="FB27" s="122"/>
      <c r="FC27" s="122"/>
      <c r="FD27" s="122"/>
      <c r="FE27" s="122"/>
      <c r="FF27" s="122"/>
      <c r="FG27" s="122"/>
      <c r="FH27" s="122"/>
      <c r="FI27" s="122"/>
      <c r="FJ27" s="122"/>
      <c r="FK27" s="122"/>
      <c r="FL27" s="122"/>
      <c r="FM27" s="122"/>
      <c r="FN27" s="122"/>
      <c r="FO27" s="122"/>
      <c r="FP27" s="122"/>
      <c r="FQ27" s="122"/>
      <c r="FR27" s="122"/>
      <c r="FS27" s="122"/>
      <c r="FT27" s="122"/>
      <c r="FU27" s="122"/>
      <c r="FV27" s="122"/>
      <c r="FW27" s="122"/>
      <c r="FX27" s="122"/>
      <c r="FY27" s="122"/>
      <c r="FZ27" s="122"/>
      <c r="GA27" s="122"/>
      <c r="GB27" s="122"/>
      <c r="GC27" s="122"/>
      <c r="GD27" s="122"/>
      <c r="GE27" s="122"/>
      <c r="GF27" s="122"/>
      <c r="GG27" s="122"/>
      <c r="GH27" s="122"/>
      <c r="GI27" s="122"/>
      <c r="GJ27" s="122"/>
      <c r="GK27" s="122"/>
      <c r="GL27" s="122"/>
      <c r="GM27" s="122"/>
      <c r="GN27" s="122"/>
      <c r="GO27" s="122"/>
      <c r="GP27" s="122"/>
      <c r="GQ27" s="122"/>
      <c r="GR27" s="122"/>
      <c r="GS27" s="122"/>
      <c r="GT27" s="122"/>
      <c r="GU27" s="122"/>
      <c r="GV27" s="122"/>
      <c r="GW27" s="122"/>
      <c r="GX27" s="122"/>
      <c r="GY27" s="122"/>
      <c r="GZ27" s="122"/>
      <c r="HA27" s="122"/>
      <c r="HB27" s="122"/>
      <c r="HC27" s="122"/>
      <c r="HD27" s="122"/>
      <c r="HE27" s="122"/>
      <c r="HF27" s="122"/>
      <c r="HG27" s="122"/>
      <c r="HH27" s="122"/>
      <c r="HI27" s="122"/>
      <c r="HJ27" s="122"/>
      <c r="HK27" s="122"/>
      <c r="HL27" s="122"/>
      <c r="HM27" s="122"/>
      <c r="HN27" s="122"/>
      <c r="HO27" s="122"/>
      <c r="HP27" s="122"/>
      <c r="HQ27" s="122"/>
      <c r="HR27" s="122"/>
      <c r="HS27" s="122"/>
      <c r="HT27" s="122"/>
      <c r="HU27" s="122"/>
      <c r="HV27" s="122"/>
      <c r="HW27" s="122"/>
      <c r="HX27" s="122"/>
      <c r="HY27" s="122"/>
      <c r="HZ27" s="122"/>
      <c r="IA27" s="122"/>
      <c r="IB27" s="122"/>
      <c r="IC27" s="122"/>
      <c r="ID27" s="122"/>
      <c r="IE27" s="122"/>
      <c r="IF27" s="122"/>
      <c r="IG27" s="122"/>
      <c r="IH27" s="122"/>
      <c r="II27" s="122"/>
      <c r="IJ27" s="122"/>
      <c r="IK27" s="122"/>
      <c r="IL27" s="122"/>
      <c r="IM27" s="122"/>
      <c r="IN27" s="122"/>
      <c r="IO27" s="122"/>
      <c r="IP27" s="122"/>
      <c r="IQ27" s="122"/>
      <c r="IR27" s="122"/>
      <c r="IS27" s="122"/>
      <c r="IT27" s="122"/>
      <c r="IU27" s="122"/>
      <c r="IV27" s="122"/>
      <c r="IW27" s="122"/>
      <c r="IX27" s="122"/>
      <c r="IY27" s="122"/>
      <c r="IZ27" s="122"/>
      <c r="JA27" s="122"/>
      <c r="JB27" s="122"/>
      <c r="JC27" s="122"/>
      <c r="JD27" s="122"/>
      <c r="JE27" s="122"/>
      <c r="JF27" s="122"/>
      <c r="JG27" s="122"/>
      <c r="JH27" s="122"/>
      <c r="JI27" s="119">
        <f t="shared" si="0"/>
        <v>298561.91999999998</v>
      </c>
      <c r="JJ27" s="2">
        <v>401</v>
      </c>
      <c r="JK27" s="122">
        <v>272247.99</v>
      </c>
      <c r="JL27" s="125">
        <f t="shared" si="1"/>
        <v>26313.929999999993</v>
      </c>
      <c r="JM27" s="125"/>
      <c r="JN27" s="125"/>
      <c r="JO27" s="125"/>
      <c r="JP27" s="125"/>
    </row>
    <row r="28" spans="1:276" x14ac:dyDescent="0.25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  <c r="BQ28" s="122"/>
      <c r="BR28" s="122"/>
      <c r="BS28" s="122"/>
      <c r="BT28" s="122"/>
      <c r="BU28" s="122"/>
      <c r="BV28" s="122"/>
      <c r="BW28" s="122"/>
      <c r="BX28" s="122"/>
      <c r="BY28" s="122"/>
      <c r="BZ28" s="122"/>
      <c r="CA28" s="122"/>
      <c r="CB28" s="122"/>
      <c r="CC28" s="122"/>
      <c r="CD28" s="122"/>
      <c r="CE28" s="122"/>
      <c r="CF28" s="122"/>
      <c r="CG28" s="122"/>
      <c r="CH28" s="122"/>
      <c r="CI28" s="122"/>
      <c r="CJ28" s="122"/>
      <c r="CK28" s="122"/>
      <c r="CL28" s="122"/>
      <c r="CM28" s="122"/>
      <c r="CN28" s="122"/>
      <c r="CO28" s="122"/>
      <c r="CP28" s="122"/>
      <c r="CQ28" s="122"/>
      <c r="CR28" s="122"/>
      <c r="CS28" s="122"/>
      <c r="CT28" s="122"/>
      <c r="CU28" s="122"/>
      <c r="CV28" s="122"/>
      <c r="CW28" s="122"/>
      <c r="CX28" s="122"/>
      <c r="CY28" s="122"/>
      <c r="CZ28" s="122"/>
      <c r="DA28" s="122"/>
      <c r="DB28" s="122"/>
      <c r="DC28" s="122"/>
      <c r="DD28" s="122"/>
      <c r="DE28" s="122"/>
      <c r="DF28" s="122"/>
      <c r="DG28" s="122"/>
      <c r="DH28" s="122"/>
      <c r="DI28" s="122"/>
      <c r="DJ28" s="122"/>
      <c r="DK28" s="122"/>
      <c r="DL28" s="122"/>
      <c r="DM28" s="122"/>
      <c r="DN28" s="122"/>
      <c r="DO28" s="122"/>
      <c r="DP28" s="122"/>
      <c r="DQ28" s="122"/>
      <c r="DR28" s="122"/>
      <c r="DS28" s="122"/>
      <c r="DT28" s="122"/>
      <c r="DU28" s="122"/>
      <c r="DV28" s="122"/>
      <c r="DW28" s="122"/>
      <c r="DX28" s="122"/>
      <c r="DY28" s="122"/>
      <c r="DZ28" s="122"/>
      <c r="EA28" s="122"/>
      <c r="EB28" s="122"/>
      <c r="EC28" s="122"/>
      <c r="ED28" s="122"/>
      <c r="EE28" s="122"/>
      <c r="EF28" s="122"/>
      <c r="EG28" s="122"/>
      <c r="EH28" s="122"/>
      <c r="EI28" s="122"/>
      <c r="EJ28" s="122"/>
      <c r="EK28" s="122"/>
      <c r="EL28" s="122"/>
      <c r="EM28" s="122"/>
      <c r="EN28" s="122"/>
      <c r="EO28" s="122"/>
      <c r="EP28" s="122"/>
      <c r="EQ28" s="122"/>
      <c r="ER28" s="122"/>
      <c r="ES28" s="122"/>
      <c r="ET28" s="122"/>
      <c r="EU28" s="122"/>
      <c r="EV28" s="122"/>
      <c r="EW28" s="122"/>
      <c r="EX28" s="122"/>
      <c r="EY28" s="122"/>
      <c r="EZ28" s="122"/>
      <c r="FA28" s="122"/>
      <c r="FB28" s="122"/>
      <c r="FC28" s="122"/>
      <c r="FD28" s="122"/>
      <c r="FE28" s="122"/>
      <c r="FF28" s="122"/>
      <c r="FG28" s="122"/>
      <c r="FH28" s="122"/>
      <c r="FI28" s="122"/>
      <c r="FJ28" s="122"/>
      <c r="FK28" s="122"/>
      <c r="FL28" s="122"/>
      <c r="FM28" s="122"/>
      <c r="FN28" s="122"/>
      <c r="FO28" s="122"/>
      <c r="FP28" s="122"/>
      <c r="FQ28" s="122"/>
      <c r="FR28" s="122"/>
      <c r="FS28" s="122"/>
      <c r="FT28" s="122"/>
      <c r="FU28" s="122"/>
      <c r="FV28" s="122"/>
      <c r="FW28" s="122"/>
      <c r="FX28" s="122"/>
      <c r="FY28" s="122"/>
      <c r="FZ28" s="122"/>
      <c r="GA28" s="122"/>
      <c r="GB28" s="122"/>
      <c r="GC28" s="122"/>
      <c r="GD28" s="122"/>
      <c r="GE28" s="122"/>
      <c r="GF28" s="122"/>
      <c r="GG28" s="122"/>
      <c r="GH28" s="122">
        <v>182234.7</v>
      </c>
      <c r="GI28" s="122"/>
      <c r="GJ28" s="122"/>
      <c r="GK28" s="122"/>
      <c r="GL28" s="122"/>
      <c r="GM28" s="122"/>
      <c r="GN28" s="122"/>
      <c r="GO28" s="122"/>
      <c r="GP28" s="122"/>
      <c r="GQ28" s="122"/>
      <c r="GR28" s="122"/>
      <c r="GS28" s="122"/>
      <c r="GT28" s="122"/>
      <c r="GU28" s="122"/>
      <c r="GV28" s="122"/>
      <c r="GW28" s="122"/>
      <c r="GX28" s="122"/>
      <c r="GY28" s="122"/>
      <c r="GZ28" s="122"/>
      <c r="HA28" s="122"/>
      <c r="HB28" s="122"/>
      <c r="HC28" s="122"/>
      <c r="HD28" s="122"/>
      <c r="HE28" s="122"/>
      <c r="HF28" s="122"/>
      <c r="HG28" s="122"/>
      <c r="HH28" s="122"/>
      <c r="HI28" s="122"/>
      <c r="HJ28" s="122"/>
      <c r="HK28" s="122"/>
      <c r="HL28" s="122"/>
      <c r="HM28" s="122"/>
      <c r="HN28" s="122"/>
      <c r="HO28" s="122"/>
      <c r="HP28" s="122"/>
      <c r="HQ28" s="122"/>
      <c r="HR28" s="122"/>
      <c r="HS28" s="122"/>
      <c r="HT28" s="122"/>
      <c r="HU28" s="122"/>
      <c r="HV28" s="122"/>
      <c r="HW28" s="122"/>
      <c r="HX28" s="122"/>
      <c r="HY28" s="122"/>
      <c r="HZ28" s="122"/>
      <c r="IA28" s="122"/>
      <c r="IB28" s="122"/>
      <c r="IC28" s="122"/>
      <c r="ID28" s="122"/>
      <c r="IE28" s="122"/>
      <c r="IF28" s="122"/>
      <c r="IG28" s="122"/>
      <c r="IH28" s="122"/>
      <c r="II28" s="122"/>
      <c r="IJ28" s="122"/>
      <c r="IK28" s="122"/>
      <c r="IL28" s="122"/>
      <c r="IM28" s="122"/>
      <c r="IN28" s="122"/>
      <c r="IO28" s="122"/>
      <c r="IP28" s="122"/>
      <c r="IQ28" s="122"/>
      <c r="IR28" s="122"/>
      <c r="IS28" s="122"/>
      <c r="IT28" s="122"/>
      <c r="IU28" s="122"/>
      <c r="IV28" s="122"/>
      <c r="IW28" s="122"/>
      <c r="IX28" s="122"/>
      <c r="IY28" s="122"/>
      <c r="IZ28" s="122"/>
      <c r="JA28" s="122"/>
      <c r="JB28" s="122"/>
      <c r="JC28" s="122"/>
      <c r="JD28" s="122"/>
      <c r="JE28" s="122"/>
      <c r="JF28" s="122"/>
      <c r="JG28" s="122"/>
      <c r="JH28" s="122"/>
      <c r="JI28" s="119">
        <f t="shared" si="0"/>
        <v>182234.7</v>
      </c>
      <c r="JJ28" s="2">
        <v>402</v>
      </c>
      <c r="JK28" s="122">
        <v>174512.67</v>
      </c>
      <c r="JL28" s="125">
        <f t="shared" si="1"/>
        <v>7722.0299999999988</v>
      </c>
      <c r="JM28" s="125"/>
      <c r="JN28" s="125"/>
      <c r="JO28" s="125"/>
      <c r="JP28" s="125"/>
    </row>
    <row r="29" spans="1:276" x14ac:dyDescent="0.25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>
        <v>221258.85</v>
      </c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2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2"/>
      <c r="CI29" s="122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2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2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/>
      <c r="EB29" s="122"/>
      <c r="EC29" s="122"/>
      <c r="ED29" s="122"/>
      <c r="EE29" s="122"/>
      <c r="EF29" s="122"/>
      <c r="EG29" s="122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2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2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2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/>
      <c r="GR29" s="122"/>
      <c r="GS29" s="122"/>
      <c r="GT29" s="122"/>
      <c r="GU29" s="122"/>
      <c r="GV29" s="122"/>
      <c r="GW29" s="122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2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2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  <c r="IV29" s="122"/>
      <c r="IW29" s="122"/>
      <c r="IX29" s="122"/>
      <c r="IY29" s="122"/>
      <c r="IZ29" s="122"/>
      <c r="JA29" s="122"/>
      <c r="JB29" s="122"/>
      <c r="JC29" s="122"/>
      <c r="JD29" s="122"/>
      <c r="JE29" s="122"/>
      <c r="JF29" s="122"/>
      <c r="JG29" s="122"/>
      <c r="JH29" s="122"/>
      <c r="JI29" s="119">
        <f t="shared" si="0"/>
        <v>221258.85</v>
      </c>
      <c r="JJ29" s="2">
        <v>403</v>
      </c>
      <c r="JK29" s="122">
        <v>211883.48</v>
      </c>
      <c r="JL29" s="125">
        <f t="shared" si="1"/>
        <v>9375.3699999999953</v>
      </c>
      <c r="JM29" s="125"/>
      <c r="JN29" s="125"/>
      <c r="JO29" s="125"/>
      <c r="JP29" s="125"/>
    </row>
    <row r="30" spans="1:276" x14ac:dyDescent="0.25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/>
      <c r="DO30" s="122"/>
      <c r="DP30" s="12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/>
      <c r="EB30" s="122"/>
      <c r="EC30" s="122"/>
      <c r="ED30" s="122"/>
      <c r="EE30" s="122"/>
      <c r="EF30" s="122"/>
      <c r="EG30" s="122"/>
      <c r="EH30" s="122"/>
      <c r="EI30" s="122"/>
      <c r="EJ30" s="122"/>
      <c r="EK30" s="122"/>
      <c r="EL30" s="122"/>
      <c r="EM30" s="122"/>
      <c r="EN30" s="122"/>
      <c r="EO30" s="122"/>
      <c r="EP30" s="122"/>
      <c r="EQ30" s="122"/>
      <c r="ER30" s="122"/>
      <c r="ES30" s="122"/>
      <c r="ET30" s="122"/>
      <c r="EU30" s="122"/>
      <c r="EV30" s="122"/>
      <c r="EW30" s="122"/>
      <c r="EX30" s="122"/>
      <c r="EY30" s="122"/>
      <c r="EZ30" s="122"/>
      <c r="FA30" s="122"/>
      <c r="FB30" s="122"/>
      <c r="FC30" s="122"/>
      <c r="FD30" s="122"/>
      <c r="FE30" s="122"/>
      <c r="FF30" s="122"/>
      <c r="FG30" s="122"/>
      <c r="FH30" s="122"/>
      <c r="FI30" s="122"/>
      <c r="FJ30" s="122"/>
      <c r="FK30" s="122"/>
      <c r="FL30" s="122"/>
      <c r="FM30" s="122"/>
      <c r="FN30" s="122"/>
      <c r="FO30" s="122"/>
      <c r="FP30" s="122"/>
      <c r="FQ30" s="122"/>
      <c r="FR30" s="122"/>
      <c r="FS30" s="122"/>
      <c r="FT30" s="122"/>
      <c r="FU30" s="122"/>
      <c r="FV30" s="122"/>
      <c r="FW30" s="122"/>
      <c r="FX30" s="122"/>
      <c r="FY30" s="122"/>
      <c r="FZ30" s="122"/>
      <c r="GA30" s="122"/>
      <c r="GB30" s="122"/>
      <c r="GC30" s="122"/>
      <c r="GD30" s="122"/>
      <c r="GE30" s="122"/>
      <c r="GF30" s="122"/>
      <c r="GG30" s="122"/>
      <c r="GH30" s="122">
        <v>260210.02</v>
      </c>
      <c r="GI30" s="122"/>
      <c r="GJ30" s="122"/>
      <c r="GK30" s="122"/>
      <c r="GL30" s="122"/>
      <c r="GM30" s="122"/>
      <c r="GN30" s="122"/>
      <c r="GO30" s="122"/>
      <c r="GP30" s="122"/>
      <c r="GQ30" s="122"/>
      <c r="GR30" s="122"/>
      <c r="GS30" s="122"/>
      <c r="GT30" s="122"/>
      <c r="GU30" s="122"/>
      <c r="GV30" s="122"/>
      <c r="GW30" s="122"/>
      <c r="GX30" s="122"/>
      <c r="GY30" s="122"/>
      <c r="GZ30" s="122"/>
      <c r="HA30" s="122"/>
      <c r="HB30" s="122"/>
      <c r="HC30" s="122"/>
      <c r="HD30" s="122"/>
      <c r="HE30" s="122"/>
      <c r="HF30" s="122"/>
      <c r="HG30" s="122"/>
      <c r="HH30" s="122"/>
      <c r="HI30" s="122"/>
      <c r="HJ30" s="122"/>
      <c r="HK30" s="122"/>
      <c r="HL30" s="122"/>
      <c r="HM30" s="122"/>
      <c r="HN30" s="122"/>
      <c r="HO30" s="122"/>
      <c r="HP30" s="122"/>
      <c r="HQ30" s="122"/>
      <c r="HR30" s="122"/>
      <c r="HS30" s="122"/>
      <c r="HT30" s="122"/>
      <c r="HU30" s="122"/>
      <c r="HV30" s="122"/>
      <c r="HW30" s="122"/>
      <c r="HX30" s="122"/>
      <c r="HY30" s="122"/>
      <c r="HZ30" s="122"/>
      <c r="IA30" s="122"/>
      <c r="IB30" s="122"/>
      <c r="IC30" s="122"/>
      <c r="ID30" s="122"/>
      <c r="IE30" s="122"/>
      <c r="IF30" s="122"/>
      <c r="IG30" s="122"/>
      <c r="IH30" s="122"/>
      <c r="II30" s="122"/>
      <c r="IJ30" s="122"/>
      <c r="IK30" s="122"/>
      <c r="IL30" s="122"/>
      <c r="IM30" s="122"/>
      <c r="IN30" s="122"/>
      <c r="IO30" s="122"/>
      <c r="IP30" s="122"/>
      <c r="IQ30" s="122"/>
      <c r="IR30" s="122"/>
      <c r="IS30" s="122"/>
      <c r="IT30" s="122"/>
      <c r="IU30" s="122"/>
      <c r="IV30" s="122"/>
      <c r="IW30" s="122"/>
      <c r="IX30" s="122"/>
      <c r="IY30" s="122"/>
      <c r="IZ30" s="122"/>
      <c r="JA30" s="122"/>
      <c r="JB30" s="122"/>
      <c r="JC30" s="122"/>
      <c r="JD30" s="122"/>
      <c r="JE30" s="122"/>
      <c r="JF30" s="122"/>
      <c r="JG30" s="122"/>
      <c r="JH30" s="122"/>
      <c r="JI30" s="119">
        <f t="shared" si="0"/>
        <v>260210.02</v>
      </c>
      <c r="JJ30" s="2">
        <v>404</v>
      </c>
      <c r="JK30" s="122">
        <v>249184.17</v>
      </c>
      <c r="JL30" s="125">
        <f t="shared" si="1"/>
        <v>11025.849999999977</v>
      </c>
      <c r="JM30" s="125"/>
      <c r="JN30" s="125"/>
      <c r="JO30" s="125"/>
      <c r="JP30" s="125"/>
    </row>
    <row r="31" spans="1:276" x14ac:dyDescent="0.25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  <c r="DN31" s="122"/>
      <c r="DO31" s="122"/>
      <c r="DP31" s="122"/>
      <c r="DQ31" s="122"/>
      <c r="DR31" s="122"/>
      <c r="DS31" s="122"/>
      <c r="DT31" s="122"/>
      <c r="DU31" s="122"/>
      <c r="DV31" s="122"/>
      <c r="DW31" s="122"/>
      <c r="DX31" s="122"/>
      <c r="DY31" s="122"/>
      <c r="DZ31" s="122"/>
      <c r="EA31" s="122"/>
      <c r="EB31" s="122"/>
      <c r="EC31" s="122"/>
      <c r="ED31" s="122"/>
      <c r="EE31" s="122"/>
      <c r="EF31" s="122"/>
      <c r="EG31" s="122"/>
      <c r="EH31" s="122"/>
      <c r="EI31" s="122"/>
      <c r="EJ31" s="122"/>
      <c r="EK31" s="122"/>
      <c r="EL31" s="122"/>
      <c r="EM31" s="122"/>
      <c r="EN31" s="122"/>
      <c r="EO31" s="122"/>
      <c r="EP31" s="122"/>
      <c r="EQ31" s="122"/>
      <c r="ER31" s="122"/>
      <c r="ES31" s="122"/>
      <c r="ET31" s="122"/>
      <c r="EU31" s="122"/>
      <c r="EV31" s="122"/>
      <c r="EW31" s="122"/>
      <c r="EX31" s="122"/>
      <c r="EY31" s="122"/>
      <c r="EZ31" s="122"/>
      <c r="FA31" s="122"/>
      <c r="FB31" s="122"/>
      <c r="FC31" s="122"/>
      <c r="FD31" s="122"/>
      <c r="FE31" s="122"/>
      <c r="FF31" s="122"/>
      <c r="FG31" s="122"/>
      <c r="FH31" s="122"/>
      <c r="FI31" s="122"/>
      <c r="FJ31" s="122"/>
      <c r="FK31" s="122"/>
      <c r="FL31" s="122"/>
      <c r="FM31" s="122"/>
      <c r="FN31" s="122"/>
      <c r="FO31" s="122"/>
      <c r="FP31" s="122"/>
      <c r="FQ31" s="122"/>
      <c r="FR31" s="122"/>
      <c r="FS31" s="122"/>
      <c r="FT31" s="122">
        <v>30444</v>
      </c>
      <c r="FU31" s="122"/>
      <c r="FV31" s="122"/>
      <c r="FW31" s="122"/>
      <c r="FX31" s="122"/>
      <c r="FY31" s="122"/>
      <c r="FZ31" s="122"/>
      <c r="GA31" s="122"/>
      <c r="GB31" s="122"/>
      <c r="GC31" s="122"/>
      <c r="GD31" s="122"/>
      <c r="GE31" s="122"/>
      <c r="GF31" s="122"/>
      <c r="GG31" s="122"/>
      <c r="GH31" s="122"/>
      <c r="GI31" s="122"/>
      <c r="GJ31" s="122"/>
      <c r="GK31" s="122"/>
      <c r="GL31" s="122"/>
      <c r="GM31" s="122"/>
      <c r="GN31" s="122"/>
      <c r="GO31" s="122"/>
      <c r="GP31" s="122"/>
      <c r="GQ31" s="122"/>
      <c r="GR31" s="122"/>
      <c r="GS31" s="122"/>
      <c r="GT31" s="122"/>
      <c r="GU31" s="122"/>
      <c r="GV31" s="122"/>
      <c r="GW31" s="122"/>
      <c r="GX31" s="122"/>
      <c r="GY31" s="122"/>
      <c r="GZ31" s="122"/>
      <c r="HA31" s="122"/>
      <c r="HB31" s="122"/>
      <c r="HC31" s="122"/>
      <c r="HD31" s="122"/>
      <c r="HE31" s="122"/>
      <c r="HF31" s="122"/>
      <c r="HG31" s="122"/>
      <c r="HH31" s="122"/>
      <c r="HI31" s="122"/>
      <c r="HJ31" s="122"/>
      <c r="HK31" s="122"/>
      <c r="HL31" s="122"/>
      <c r="HM31" s="122"/>
      <c r="HN31" s="122"/>
      <c r="HO31" s="122"/>
      <c r="HP31" s="122"/>
      <c r="HQ31" s="122"/>
      <c r="HR31" s="122"/>
      <c r="HS31" s="122"/>
      <c r="HT31" s="122"/>
      <c r="HU31" s="122"/>
      <c r="HV31" s="122"/>
      <c r="HW31" s="122"/>
      <c r="HX31" s="122"/>
      <c r="HY31" s="122"/>
      <c r="HZ31" s="122"/>
      <c r="IA31" s="122"/>
      <c r="IB31" s="122"/>
      <c r="IC31" s="122"/>
      <c r="ID31" s="122"/>
      <c r="IE31" s="122"/>
      <c r="IF31" s="122"/>
      <c r="IG31" s="122"/>
      <c r="IH31" s="122"/>
      <c r="II31" s="122"/>
      <c r="IJ31" s="122"/>
      <c r="IK31" s="122"/>
      <c r="IL31" s="122"/>
      <c r="IM31" s="122"/>
      <c r="IN31" s="122"/>
      <c r="IO31" s="122"/>
      <c r="IP31" s="122"/>
      <c r="IQ31" s="122"/>
      <c r="IR31" s="122"/>
      <c r="IS31" s="122"/>
      <c r="IT31" s="122"/>
      <c r="IU31" s="122"/>
      <c r="IV31" s="122"/>
      <c r="IW31" s="122"/>
      <c r="IX31" s="122"/>
      <c r="IY31" s="122"/>
      <c r="IZ31" s="122"/>
      <c r="JA31" s="122"/>
      <c r="JB31" s="122"/>
      <c r="JC31" s="122"/>
      <c r="JD31" s="122"/>
      <c r="JE31" s="122"/>
      <c r="JF31" s="122"/>
      <c r="JG31" s="122"/>
      <c r="JH31" s="122"/>
      <c r="JI31" s="119">
        <f t="shared" si="0"/>
        <v>30444</v>
      </c>
      <c r="JJ31" s="2">
        <v>405</v>
      </c>
      <c r="JK31" s="122">
        <v>30444</v>
      </c>
      <c r="JL31" s="125">
        <f t="shared" si="1"/>
        <v>0</v>
      </c>
      <c r="JM31" s="125"/>
      <c r="JN31" s="125"/>
      <c r="JO31" s="125"/>
      <c r="JP31" s="125"/>
    </row>
    <row r="32" spans="1:276" x14ac:dyDescent="0.25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/>
      <c r="DL32" s="122"/>
      <c r="DM32" s="122"/>
      <c r="DN32" s="122"/>
      <c r="DO32" s="122"/>
      <c r="DP32" s="122"/>
      <c r="DQ32" s="122"/>
      <c r="DR32" s="122"/>
      <c r="DS32" s="122"/>
      <c r="DT32" s="122"/>
      <c r="DU32" s="122"/>
      <c r="DV32" s="122"/>
      <c r="DW32" s="122"/>
      <c r="DX32" s="122"/>
      <c r="DY32" s="122"/>
      <c r="DZ32" s="122"/>
      <c r="EA32" s="122"/>
      <c r="EB32" s="122"/>
      <c r="EC32" s="122"/>
      <c r="ED32" s="122"/>
      <c r="EE32" s="122"/>
      <c r="EF32" s="122"/>
      <c r="EG32" s="122"/>
      <c r="EH32" s="122"/>
      <c r="EI32" s="122"/>
      <c r="EJ32" s="122"/>
      <c r="EK32" s="122"/>
      <c r="EL32" s="122"/>
      <c r="EM32" s="122"/>
      <c r="EN32" s="122"/>
      <c r="EO32" s="122"/>
      <c r="EP32" s="122"/>
      <c r="EQ32" s="122"/>
      <c r="ER32" s="122"/>
      <c r="ES32" s="122"/>
      <c r="ET32" s="122"/>
      <c r="EU32" s="122"/>
      <c r="EV32" s="122"/>
      <c r="EW32" s="122"/>
      <c r="EX32" s="122"/>
      <c r="EY32" s="122"/>
      <c r="EZ32" s="122"/>
      <c r="FA32" s="122"/>
      <c r="FB32" s="122"/>
      <c r="FC32" s="122"/>
      <c r="FD32" s="122"/>
      <c r="FE32" s="122"/>
      <c r="FF32" s="122"/>
      <c r="FG32" s="122"/>
      <c r="FH32" s="122"/>
      <c r="FI32" s="122"/>
      <c r="FJ32" s="122"/>
      <c r="FK32" s="122"/>
      <c r="FL32" s="122"/>
      <c r="FM32" s="122"/>
      <c r="FN32" s="122"/>
      <c r="FO32" s="122"/>
      <c r="FP32" s="122"/>
      <c r="FQ32" s="122"/>
      <c r="FR32" s="122"/>
      <c r="FS32" s="122"/>
      <c r="FT32" s="122">
        <v>34220</v>
      </c>
      <c r="FU32" s="122"/>
      <c r="FV32" s="122"/>
      <c r="FW32" s="122"/>
      <c r="FX32" s="122"/>
      <c r="FY32" s="122"/>
      <c r="FZ32" s="122"/>
      <c r="GA32" s="122"/>
      <c r="GB32" s="122"/>
      <c r="GC32" s="122"/>
      <c r="GD32" s="122"/>
      <c r="GE32" s="122"/>
      <c r="GF32" s="122"/>
      <c r="GG32" s="122"/>
      <c r="GH32" s="122"/>
      <c r="GI32" s="122"/>
      <c r="GJ32" s="122"/>
      <c r="GK32" s="122"/>
      <c r="GL32" s="122"/>
      <c r="GM32" s="122"/>
      <c r="GN32" s="122"/>
      <c r="GO32" s="122"/>
      <c r="GP32" s="122"/>
      <c r="GQ32" s="122"/>
      <c r="GR32" s="122"/>
      <c r="GS32" s="122"/>
      <c r="GT32" s="122"/>
      <c r="GU32" s="122"/>
      <c r="GV32" s="122"/>
      <c r="GW32" s="122"/>
      <c r="GX32" s="122"/>
      <c r="GY32" s="122"/>
      <c r="GZ32" s="122"/>
      <c r="HA32" s="122"/>
      <c r="HB32" s="122"/>
      <c r="HC32" s="122"/>
      <c r="HD32" s="122"/>
      <c r="HE32" s="122"/>
      <c r="HF32" s="122"/>
      <c r="HG32" s="122"/>
      <c r="HH32" s="122"/>
      <c r="HI32" s="122"/>
      <c r="HJ32" s="122"/>
      <c r="HK32" s="122"/>
      <c r="HL32" s="122"/>
      <c r="HM32" s="122"/>
      <c r="HN32" s="122"/>
      <c r="HO32" s="122"/>
      <c r="HP32" s="122"/>
      <c r="HQ32" s="122"/>
      <c r="HR32" s="122"/>
      <c r="HS32" s="122"/>
      <c r="HT32" s="122"/>
      <c r="HU32" s="122"/>
      <c r="HV32" s="122"/>
      <c r="HW32" s="122"/>
      <c r="HX32" s="122"/>
      <c r="HY32" s="122"/>
      <c r="HZ32" s="122"/>
      <c r="IA32" s="122"/>
      <c r="IB32" s="122"/>
      <c r="IC32" s="122"/>
      <c r="ID32" s="122"/>
      <c r="IE32" s="122"/>
      <c r="IF32" s="122"/>
      <c r="IG32" s="122"/>
      <c r="IH32" s="122"/>
      <c r="II32" s="122"/>
      <c r="IJ32" s="122"/>
      <c r="IK32" s="122"/>
      <c r="IL32" s="122"/>
      <c r="IM32" s="122"/>
      <c r="IN32" s="122"/>
      <c r="IO32" s="122"/>
      <c r="IP32" s="122"/>
      <c r="IQ32" s="122"/>
      <c r="IR32" s="122"/>
      <c r="IS32" s="122"/>
      <c r="IT32" s="122"/>
      <c r="IU32" s="122"/>
      <c r="IV32" s="122"/>
      <c r="IW32" s="122"/>
      <c r="IX32" s="122"/>
      <c r="IY32" s="122"/>
      <c r="IZ32" s="122"/>
      <c r="JA32" s="122"/>
      <c r="JB32" s="122"/>
      <c r="JC32" s="122"/>
      <c r="JD32" s="122"/>
      <c r="JE32" s="122"/>
      <c r="JF32" s="122"/>
      <c r="JG32" s="122"/>
      <c r="JH32" s="122"/>
      <c r="JI32" s="119">
        <f t="shared" si="0"/>
        <v>34220</v>
      </c>
      <c r="JJ32" s="2">
        <v>406</v>
      </c>
      <c r="JK32" s="122">
        <v>34220</v>
      </c>
      <c r="JL32" s="125">
        <f t="shared" si="1"/>
        <v>0</v>
      </c>
      <c r="JM32" s="125"/>
      <c r="JN32" s="125"/>
      <c r="JO32" s="125"/>
      <c r="JP32" s="125"/>
    </row>
    <row r="33" spans="1:276" x14ac:dyDescent="0.25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>
        <v>195000</v>
      </c>
      <c r="DF33" s="122"/>
      <c r="DG33" s="122"/>
      <c r="DH33" s="122"/>
      <c r="DI33" s="122"/>
      <c r="DJ33" s="122"/>
      <c r="DK33" s="122"/>
      <c r="DL33" s="122"/>
      <c r="DM33" s="122"/>
      <c r="DN33" s="122"/>
      <c r="DO33" s="122"/>
      <c r="DP33" s="122"/>
      <c r="DQ33" s="122"/>
      <c r="DR33" s="122"/>
      <c r="DS33" s="122"/>
      <c r="DT33" s="122"/>
      <c r="DU33" s="122"/>
      <c r="DV33" s="122"/>
      <c r="DW33" s="122"/>
      <c r="DX33" s="122"/>
      <c r="DY33" s="122"/>
      <c r="DZ33" s="122"/>
      <c r="EA33" s="122"/>
      <c r="EB33" s="122"/>
      <c r="EC33" s="122"/>
      <c r="ED33" s="122"/>
      <c r="EE33" s="122"/>
      <c r="EF33" s="122"/>
      <c r="EG33" s="122"/>
      <c r="EH33" s="122"/>
      <c r="EI33" s="122"/>
      <c r="EJ33" s="122"/>
      <c r="EK33" s="122"/>
      <c r="EL33" s="122"/>
      <c r="EM33" s="122"/>
      <c r="EN33" s="122"/>
      <c r="EO33" s="122"/>
      <c r="EP33" s="122"/>
      <c r="EQ33" s="122"/>
      <c r="ER33" s="122"/>
      <c r="ES33" s="122"/>
      <c r="ET33" s="122"/>
      <c r="EU33" s="122"/>
      <c r="EV33" s="122"/>
      <c r="EW33" s="122"/>
      <c r="EX33" s="122"/>
      <c r="EY33" s="122"/>
      <c r="EZ33" s="122"/>
      <c r="FA33" s="122"/>
      <c r="FB33" s="122"/>
      <c r="FC33" s="122"/>
      <c r="FD33" s="122"/>
      <c r="FE33" s="122"/>
      <c r="FF33" s="122"/>
      <c r="FG33" s="122"/>
      <c r="FH33" s="122"/>
      <c r="FI33" s="122"/>
      <c r="FJ33" s="122"/>
      <c r="FK33" s="122"/>
      <c r="FL33" s="122"/>
      <c r="FM33" s="122"/>
      <c r="FN33" s="122"/>
      <c r="FO33" s="122"/>
      <c r="FP33" s="122"/>
      <c r="FQ33" s="122"/>
      <c r="FR33" s="122"/>
      <c r="FS33" s="122"/>
      <c r="FT33" s="122"/>
      <c r="FU33" s="122"/>
      <c r="FV33" s="122"/>
      <c r="FW33" s="122"/>
      <c r="FX33" s="122"/>
      <c r="FY33" s="122"/>
      <c r="FZ33" s="122"/>
      <c r="GA33" s="122"/>
      <c r="GB33" s="122"/>
      <c r="GC33" s="122"/>
      <c r="GD33" s="122"/>
      <c r="GE33" s="122"/>
      <c r="GF33" s="122"/>
      <c r="GG33" s="122"/>
      <c r="GH33" s="122"/>
      <c r="GI33" s="122"/>
      <c r="GJ33" s="122"/>
      <c r="GK33" s="122"/>
      <c r="GL33" s="122"/>
      <c r="GM33" s="122"/>
      <c r="GN33" s="122"/>
      <c r="GO33" s="122"/>
      <c r="GP33" s="122"/>
      <c r="GQ33" s="122"/>
      <c r="GR33" s="122"/>
      <c r="GS33" s="122"/>
      <c r="GT33" s="122"/>
      <c r="GU33" s="122"/>
      <c r="GV33" s="122"/>
      <c r="GW33" s="122"/>
      <c r="GX33" s="122"/>
      <c r="GY33" s="122"/>
      <c r="GZ33" s="122"/>
      <c r="HA33" s="122"/>
      <c r="HB33" s="122"/>
      <c r="HC33" s="122"/>
      <c r="HD33" s="122"/>
      <c r="HE33" s="122"/>
      <c r="HF33" s="122"/>
      <c r="HG33" s="122"/>
      <c r="HH33" s="122"/>
      <c r="HI33" s="122"/>
      <c r="HJ33" s="122"/>
      <c r="HK33" s="122"/>
      <c r="HL33" s="122"/>
      <c r="HM33" s="122"/>
      <c r="HN33" s="122"/>
      <c r="HO33" s="122"/>
      <c r="HP33" s="122"/>
      <c r="HQ33" s="122"/>
      <c r="HR33" s="122"/>
      <c r="HS33" s="122"/>
      <c r="HT33" s="122"/>
      <c r="HU33" s="122"/>
      <c r="HV33" s="122"/>
      <c r="HW33" s="122"/>
      <c r="HX33" s="122"/>
      <c r="HY33" s="122"/>
      <c r="HZ33" s="122"/>
      <c r="IA33" s="122"/>
      <c r="IB33" s="122"/>
      <c r="IC33" s="122"/>
      <c r="ID33" s="122"/>
      <c r="IE33" s="122"/>
      <c r="IF33" s="122"/>
      <c r="IG33" s="122"/>
      <c r="IH33" s="122"/>
      <c r="II33" s="122"/>
      <c r="IJ33" s="122"/>
      <c r="IK33" s="122"/>
      <c r="IL33" s="122"/>
      <c r="IM33" s="122"/>
      <c r="IN33" s="122"/>
      <c r="IO33" s="122"/>
      <c r="IP33" s="122"/>
      <c r="IQ33" s="122"/>
      <c r="IR33" s="122"/>
      <c r="IS33" s="122"/>
      <c r="IT33" s="122"/>
      <c r="IU33" s="122"/>
      <c r="IV33" s="122"/>
      <c r="IW33" s="122"/>
      <c r="IX33" s="122"/>
      <c r="IY33" s="122"/>
      <c r="IZ33" s="122"/>
      <c r="JA33" s="122"/>
      <c r="JB33" s="122"/>
      <c r="JC33" s="122"/>
      <c r="JD33" s="122"/>
      <c r="JE33" s="122"/>
      <c r="JF33" s="122"/>
      <c r="JG33" s="122"/>
      <c r="JH33" s="122"/>
      <c r="JI33" s="119">
        <f t="shared" si="0"/>
        <v>195000</v>
      </c>
      <c r="JJ33" s="2">
        <v>407</v>
      </c>
      <c r="JK33" s="122">
        <v>195000</v>
      </c>
      <c r="JL33" s="125">
        <f t="shared" si="1"/>
        <v>0</v>
      </c>
      <c r="JM33" s="125"/>
      <c r="JN33" s="125"/>
      <c r="JO33" s="125"/>
      <c r="JP33" s="125"/>
    </row>
    <row r="34" spans="1:276" x14ac:dyDescent="0.25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  <c r="BQ34" s="122"/>
      <c r="BR34" s="122"/>
      <c r="BS34" s="122"/>
      <c r="BT34" s="122"/>
      <c r="BU34" s="122"/>
      <c r="BV34" s="122"/>
      <c r="BW34" s="122"/>
      <c r="BX34" s="122"/>
      <c r="BY34" s="122"/>
      <c r="BZ34" s="122"/>
      <c r="CA34" s="122"/>
      <c r="CB34" s="122"/>
      <c r="CC34" s="122"/>
      <c r="CD34" s="122"/>
      <c r="CE34" s="122"/>
      <c r="CF34" s="122"/>
      <c r="CG34" s="122"/>
      <c r="CH34" s="122"/>
      <c r="CI34" s="122"/>
      <c r="CJ34" s="122"/>
      <c r="CK34" s="122"/>
      <c r="CL34" s="122"/>
      <c r="CM34" s="122"/>
      <c r="CN34" s="122"/>
      <c r="CO34" s="122"/>
      <c r="CP34" s="122"/>
      <c r="CQ34" s="122"/>
      <c r="CR34" s="122"/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>
        <v>13260</v>
      </c>
      <c r="DF34" s="122"/>
      <c r="DG34" s="122"/>
      <c r="DH34" s="122"/>
      <c r="DI34" s="122"/>
      <c r="DJ34" s="122"/>
      <c r="DK34" s="122"/>
      <c r="DL34" s="122"/>
      <c r="DM34" s="122"/>
      <c r="DN34" s="122"/>
      <c r="DO34" s="122"/>
      <c r="DP34" s="122"/>
      <c r="DQ34" s="122"/>
      <c r="DR34" s="122"/>
      <c r="DS34" s="122"/>
      <c r="DT34" s="122"/>
      <c r="DU34" s="122"/>
      <c r="DV34" s="122"/>
      <c r="DW34" s="122"/>
      <c r="DX34" s="122"/>
      <c r="DY34" s="122"/>
      <c r="DZ34" s="122"/>
      <c r="EA34" s="122"/>
      <c r="EB34" s="122"/>
      <c r="EC34" s="122"/>
      <c r="ED34" s="122"/>
      <c r="EE34" s="122"/>
      <c r="EF34" s="122"/>
      <c r="EG34" s="122"/>
      <c r="EH34" s="122"/>
      <c r="EI34" s="122"/>
      <c r="EJ34" s="122"/>
      <c r="EK34" s="122"/>
      <c r="EL34" s="122"/>
      <c r="EM34" s="122"/>
      <c r="EN34" s="122"/>
      <c r="EO34" s="122"/>
      <c r="EP34" s="122"/>
      <c r="EQ34" s="122"/>
      <c r="ER34" s="122"/>
      <c r="ES34" s="122"/>
      <c r="ET34" s="122"/>
      <c r="EU34" s="122"/>
      <c r="EV34" s="122"/>
      <c r="EW34" s="122"/>
      <c r="EX34" s="122"/>
      <c r="EY34" s="122"/>
      <c r="EZ34" s="122"/>
      <c r="FA34" s="122"/>
      <c r="FB34" s="122"/>
      <c r="FC34" s="122"/>
      <c r="FD34" s="122"/>
      <c r="FE34" s="122"/>
      <c r="FF34" s="122"/>
      <c r="FG34" s="122"/>
      <c r="FH34" s="122"/>
      <c r="FI34" s="122"/>
      <c r="FJ34" s="122"/>
      <c r="FK34" s="122"/>
      <c r="FL34" s="122"/>
      <c r="FM34" s="122"/>
      <c r="FN34" s="122"/>
      <c r="FO34" s="122"/>
      <c r="FP34" s="122"/>
      <c r="FQ34" s="122"/>
      <c r="FR34" s="122"/>
      <c r="FS34" s="122"/>
      <c r="FT34" s="122"/>
      <c r="FU34" s="122"/>
      <c r="FV34" s="122"/>
      <c r="FW34" s="122"/>
      <c r="FX34" s="122"/>
      <c r="FY34" s="122"/>
      <c r="FZ34" s="122"/>
      <c r="GA34" s="122"/>
      <c r="GB34" s="122"/>
      <c r="GC34" s="122"/>
      <c r="GD34" s="122"/>
      <c r="GE34" s="122"/>
      <c r="GF34" s="122"/>
      <c r="GG34" s="122"/>
      <c r="GH34" s="122"/>
      <c r="GI34" s="122"/>
      <c r="GJ34" s="122"/>
      <c r="GK34" s="122"/>
      <c r="GL34" s="122"/>
      <c r="GM34" s="122"/>
      <c r="GN34" s="122"/>
      <c r="GO34" s="122"/>
      <c r="GP34" s="122"/>
      <c r="GQ34" s="122"/>
      <c r="GR34" s="122"/>
      <c r="GS34" s="122"/>
      <c r="GT34" s="122"/>
      <c r="GU34" s="122"/>
      <c r="GV34" s="122"/>
      <c r="GW34" s="122"/>
      <c r="GX34" s="122"/>
      <c r="GY34" s="122"/>
      <c r="GZ34" s="122"/>
      <c r="HA34" s="122"/>
      <c r="HB34" s="122"/>
      <c r="HC34" s="122"/>
      <c r="HD34" s="122"/>
      <c r="HE34" s="122"/>
      <c r="HF34" s="122"/>
      <c r="HG34" s="122"/>
      <c r="HH34" s="122"/>
      <c r="HI34" s="122"/>
      <c r="HJ34" s="122"/>
      <c r="HK34" s="122"/>
      <c r="HL34" s="122"/>
      <c r="HM34" s="122"/>
      <c r="HN34" s="122"/>
      <c r="HO34" s="122"/>
      <c r="HP34" s="122"/>
      <c r="HQ34" s="122"/>
      <c r="HR34" s="122"/>
      <c r="HS34" s="122"/>
      <c r="HT34" s="122"/>
      <c r="HU34" s="122"/>
      <c r="HV34" s="122"/>
      <c r="HW34" s="122"/>
      <c r="HX34" s="122"/>
      <c r="HY34" s="122"/>
      <c r="HZ34" s="122"/>
      <c r="IA34" s="122"/>
      <c r="IB34" s="122"/>
      <c r="IC34" s="122"/>
      <c r="ID34" s="122"/>
      <c r="IE34" s="122"/>
      <c r="IF34" s="122"/>
      <c r="IG34" s="122"/>
      <c r="IH34" s="122"/>
      <c r="II34" s="122"/>
      <c r="IJ34" s="122"/>
      <c r="IK34" s="122"/>
      <c r="IL34" s="122"/>
      <c r="IM34" s="122"/>
      <c r="IN34" s="122"/>
      <c r="IO34" s="122"/>
      <c r="IP34" s="122"/>
      <c r="IQ34" s="122"/>
      <c r="IR34" s="122"/>
      <c r="IS34" s="122"/>
      <c r="IT34" s="122"/>
      <c r="IU34" s="122"/>
      <c r="IV34" s="122"/>
      <c r="IW34" s="122"/>
      <c r="IX34" s="122"/>
      <c r="IY34" s="122"/>
      <c r="IZ34" s="122"/>
      <c r="JA34" s="122"/>
      <c r="JB34" s="122"/>
      <c r="JC34" s="122"/>
      <c r="JD34" s="122"/>
      <c r="JE34" s="122"/>
      <c r="JF34" s="122"/>
      <c r="JG34" s="122"/>
      <c r="JH34" s="122"/>
      <c r="JI34" s="119">
        <f t="shared" si="0"/>
        <v>13260</v>
      </c>
      <c r="JJ34" s="2">
        <v>408</v>
      </c>
      <c r="JK34" s="122">
        <v>13260</v>
      </c>
      <c r="JL34" s="125">
        <f t="shared" si="1"/>
        <v>0</v>
      </c>
      <c r="JM34" s="125"/>
      <c r="JN34" s="125"/>
      <c r="JO34" s="125"/>
      <c r="JP34" s="125"/>
    </row>
    <row r="35" spans="1:276" x14ac:dyDescent="0.2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  <c r="BR35" s="122"/>
      <c r="BS35" s="122"/>
      <c r="BT35" s="122"/>
      <c r="BU35" s="122"/>
      <c r="BV35" s="122"/>
      <c r="BW35" s="122"/>
      <c r="BX35" s="122"/>
      <c r="BY35" s="122"/>
      <c r="BZ35" s="122"/>
      <c r="CA35" s="122"/>
      <c r="CB35" s="122"/>
      <c r="CC35" s="122"/>
      <c r="CD35" s="122"/>
      <c r="CE35" s="122"/>
      <c r="CF35" s="122"/>
      <c r="CG35" s="122"/>
      <c r="CH35" s="122"/>
      <c r="CI35" s="122"/>
      <c r="CJ35" s="122"/>
      <c r="CK35" s="122"/>
      <c r="CL35" s="122"/>
      <c r="CM35" s="122"/>
      <c r="CN35" s="122"/>
      <c r="CO35" s="122"/>
      <c r="CP35" s="122"/>
      <c r="CQ35" s="122"/>
      <c r="CR35" s="122"/>
      <c r="CS35" s="122"/>
      <c r="CT35" s="122"/>
      <c r="CU35" s="122"/>
      <c r="CV35" s="122"/>
      <c r="CW35" s="122"/>
      <c r="CX35" s="122"/>
      <c r="CY35" s="122"/>
      <c r="CZ35" s="122"/>
      <c r="DA35" s="122"/>
      <c r="DB35" s="122"/>
      <c r="DC35" s="122"/>
      <c r="DD35" s="122"/>
      <c r="DE35" s="122"/>
      <c r="DF35" s="122"/>
      <c r="DG35" s="122"/>
      <c r="DH35" s="122"/>
      <c r="DI35" s="122"/>
      <c r="DJ35" s="122"/>
      <c r="DK35" s="122"/>
      <c r="DL35" s="122"/>
      <c r="DM35" s="122"/>
      <c r="DN35" s="122"/>
      <c r="DO35" s="122"/>
      <c r="DP35" s="122"/>
      <c r="DQ35" s="122"/>
      <c r="DR35" s="122"/>
      <c r="DS35" s="122"/>
      <c r="DT35" s="122"/>
      <c r="DU35" s="122"/>
      <c r="DV35" s="122"/>
      <c r="DW35" s="122"/>
      <c r="DX35" s="122"/>
      <c r="DY35" s="122"/>
      <c r="DZ35" s="122"/>
      <c r="EA35" s="122"/>
      <c r="EB35" s="122"/>
      <c r="EC35" s="122"/>
      <c r="ED35" s="122"/>
      <c r="EE35" s="122"/>
      <c r="EF35" s="122"/>
      <c r="EG35" s="122"/>
      <c r="EH35" s="122"/>
      <c r="EI35" s="122"/>
      <c r="EJ35" s="122"/>
      <c r="EK35" s="122"/>
      <c r="EL35" s="122"/>
      <c r="EM35" s="122"/>
      <c r="EN35" s="122"/>
      <c r="EO35" s="122"/>
      <c r="EP35" s="122"/>
      <c r="EQ35" s="122"/>
      <c r="ER35" s="122"/>
      <c r="ES35" s="122"/>
      <c r="ET35" s="122"/>
      <c r="EU35" s="122"/>
      <c r="EV35" s="122"/>
      <c r="EW35" s="122"/>
      <c r="EX35" s="122"/>
      <c r="EY35" s="122"/>
      <c r="EZ35" s="122"/>
      <c r="FA35" s="122"/>
      <c r="FB35" s="122"/>
      <c r="FC35" s="122"/>
      <c r="FD35" s="122"/>
      <c r="FE35" s="122"/>
      <c r="FF35" s="122"/>
      <c r="FG35" s="122"/>
      <c r="FH35" s="122"/>
      <c r="FI35" s="122"/>
      <c r="FJ35" s="122"/>
      <c r="FK35" s="122"/>
      <c r="FL35" s="122"/>
      <c r="FM35" s="122"/>
      <c r="FN35" s="122"/>
      <c r="FO35" s="122"/>
      <c r="FP35" s="122"/>
      <c r="FQ35" s="122"/>
      <c r="FR35" s="122"/>
      <c r="FS35" s="122"/>
      <c r="FT35" s="122"/>
      <c r="FU35" s="122"/>
      <c r="FV35" s="122"/>
      <c r="FW35" s="122"/>
      <c r="FX35" s="122"/>
      <c r="FY35" s="122"/>
      <c r="FZ35" s="122"/>
      <c r="GA35" s="122"/>
      <c r="GB35" s="122"/>
      <c r="GC35" s="122"/>
      <c r="GD35" s="122"/>
      <c r="GE35" s="122"/>
      <c r="GF35" s="122"/>
      <c r="GG35" s="122"/>
      <c r="GH35" s="122"/>
      <c r="GI35" s="122"/>
      <c r="GJ35" s="122"/>
      <c r="GK35" s="122"/>
      <c r="GL35" s="122"/>
      <c r="GM35" s="122"/>
      <c r="GN35" s="122"/>
      <c r="GO35" s="122"/>
      <c r="GP35" s="122"/>
      <c r="GQ35" s="122"/>
      <c r="GR35" s="122"/>
      <c r="GS35" s="122"/>
      <c r="GT35" s="122"/>
      <c r="GU35" s="122"/>
      <c r="GV35" s="122"/>
      <c r="GW35" s="122"/>
      <c r="GX35" s="122"/>
      <c r="GY35" s="122"/>
      <c r="GZ35" s="122"/>
      <c r="HA35" s="122"/>
      <c r="HB35" s="122"/>
      <c r="HC35" s="122"/>
      <c r="HD35" s="122"/>
      <c r="HE35" s="122"/>
      <c r="HF35" s="122"/>
      <c r="HG35" s="122"/>
      <c r="HH35" s="122"/>
      <c r="HI35" s="122"/>
      <c r="HJ35" s="122"/>
      <c r="HK35" s="122"/>
      <c r="HL35" s="122"/>
      <c r="HM35" s="122"/>
      <c r="HN35" s="122"/>
      <c r="HO35" s="122"/>
      <c r="HP35" s="122"/>
      <c r="HQ35" s="122"/>
      <c r="HR35" s="122"/>
      <c r="HS35" s="122"/>
      <c r="HT35" s="122"/>
      <c r="HU35" s="122"/>
      <c r="HV35" s="122"/>
      <c r="HW35" s="122"/>
      <c r="HX35" s="122"/>
      <c r="HY35" s="122"/>
      <c r="HZ35" s="122"/>
      <c r="IA35" s="122"/>
      <c r="IB35" s="122"/>
      <c r="IC35" s="122"/>
      <c r="ID35" s="122"/>
      <c r="IE35" s="122"/>
      <c r="IF35" s="122"/>
      <c r="IG35" s="122"/>
      <c r="IH35" s="122"/>
      <c r="II35" s="122"/>
      <c r="IJ35" s="122"/>
      <c r="IK35" s="122"/>
      <c r="IL35" s="122"/>
      <c r="IM35" s="122"/>
      <c r="IN35" s="122"/>
      <c r="IO35" s="122"/>
      <c r="IP35" s="122"/>
      <c r="IQ35" s="122"/>
      <c r="IR35" s="122"/>
      <c r="IS35" s="122"/>
      <c r="IT35" s="122"/>
      <c r="IU35" s="122"/>
      <c r="IV35" s="122"/>
      <c r="IW35" s="122"/>
      <c r="IX35" s="122"/>
      <c r="IY35" s="122"/>
      <c r="IZ35" s="122"/>
      <c r="JA35" s="122"/>
      <c r="JB35" s="122"/>
      <c r="JC35" s="122"/>
      <c r="JD35" s="122"/>
      <c r="JE35" s="122"/>
      <c r="JF35" s="122"/>
      <c r="JG35" s="122"/>
      <c r="JH35" s="122"/>
      <c r="JI35" s="119">
        <f t="shared" si="0"/>
        <v>0</v>
      </c>
      <c r="JJ35" s="2">
        <v>37317</v>
      </c>
      <c r="JK35" s="122">
        <v>0</v>
      </c>
      <c r="JL35" s="125">
        <f t="shared" si="1"/>
        <v>0</v>
      </c>
      <c r="JM35" s="125"/>
      <c r="JN35" s="125"/>
      <c r="JO35" s="125"/>
      <c r="JP35" s="125"/>
    </row>
    <row r="36" spans="1:276" x14ac:dyDescent="0.25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/>
      <c r="DL36" s="122"/>
      <c r="DM36" s="122"/>
      <c r="DN36" s="122"/>
      <c r="DO36" s="122"/>
      <c r="DP36" s="122"/>
      <c r="DQ36" s="122"/>
      <c r="DR36" s="122"/>
      <c r="DS36" s="122"/>
      <c r="DT36" s="122"/>
      <c r="DU36" s="122"/>
      <c r="DV36" s="122"/>
      <c r="DW36" s="122"/>
      <c r="DX36" s="122"/>
      <c r="DY36" s="122"/>
      <c r="DZ36" s="122"/>
      <c r="EA36" s="122"/>
      <c r="EB36" s="122"/>
      <c r="EC36" s="122"/>
      <c r="ED36" s="122"/>
      <c r="EE36" s="122"/>
      <c r="EF36" s="122"/>
      <c r="EG36" s="122"/>
      <c r="EH36" s="122"/>
      <c r="EI36" s="122"/>
      <c r="EJ36" s="122"/>
      <c r="EK36" s="122"/>
      <c r="EL36" s="122"/>
      <c r="EM36" s="122"/>
      <c r="EN36" s="122"/>
      <c r="EO36" s="122"/>
      <c r="EP36" s="122"/>
      <c r="EQ36" s="122"/>
      <c r="ER36" s="122"/>
      <c r="ES36" s="122"/>
      <c r="ET36" s="122"/>
      <c r="EU36" s="122"/>
      <c r="EV36" s="122"/>
      <c r="EW36" s="122"/>
      <c r="EX36" s="122"/>
      <c r="EY36" s="122"/>
      <c r="EZ36" s="122"/>
      <c r="FA36" s="122"/>
      <c r="FB36" s="122"/>
      <c r="FC36" s="122"/>
      <c r="FD36" s="122"/>
      <c r="FE36" s="122"/>
      <c r="FF36" s="122"/>
      <c r="FG36" s="122"/>
      <c r="FH36" s="122"/>
      <c r="FI36" s="122"/>
      <c r="FJ36" s="122"/>
      <c r="FK36" s="122"/>
      <c r="FL36" s="122"/>
      <c r="FM36" s="122"/>
      <c r="FN36" s="122"/>
      <c r="FO36" s="122"/>
      <c r="FP36" s="122"/>
      <c r="FQ36" s="122"/>
      <c r="FR36" s="122"/>
      <c r="FS36" s="122"/>
      <c r="FT36" s="122"/>
      <c r="FU36" s="122"/>
      <c r="FV36" s="122"/>
      <c r="FW36" s="122"/>
      <c r="FX36" s="122"/>
      <c r="FY36" s="122"/>
      <c r="FZ36" s="122"/>
      <c r="GA36" s="122">
        <v>56945.15</v>
      </c>
      <c r="GB36" s="122"/>
      <c r="GC36" s="122"/>
      <c r="GD36" s="122"/>
      <c r="GE36" s="122"/>
      <c r="GF36" s="122"/>
      <c r="GG36" s="122"/>
      <c r="GH36" s="122"/>
      <c r="GI36" s="122"/>
      <c r="GJ36" s="122"/>
      <c r="GK36" s="122"/>
      <c r="GL36" s="122"/>
      <c r="GM36" s="122"/>
      <c r="GN36" s="122"/>
      <c r="GO36" s="122"/>
      <c r="GP36" s="122"/>
      <c r="GQ36" s="122"/>
      <c r="GR36" s="122"/>
      <c r="GS36" s="122"/>
      <c r="GT36" s="122"/>
      <c r="GU36" s="122"/>
      <c r="GV36" s="122"/>
      <c r="GW36" s="122"/>
      <c r="GX36" s="122"/>
      <c r="GY36" s="122"/>
      <c r="GZ36" s="122"/>
      <c r="HA36" s="122"/>
      <c r="HB36" s="122"/>
      <c r="HC36" s="122"/>
      <c r="HD36" s="122"/>
      <c r="HE36" s="122"/>
      <c r="HF36" s="122"/>
      <c r="HG36" s="122"/>
      <c r="HH36" s="122"/>
      <c r="HI36" s="122"/>
      <c r="HJ36" s="122"/>
      <c r="HK36" s="122"/>
      <c r="HL36" s="122"/>
      <c r="HM36" s="122"/>
      <c r="HN36" s="122"/>
      <c r="HO36" s="122"/>
      <c r="HP36" s="122"/>
      <c r="HQ36" s="122"/>
      <c r="HR36" s="122"/>
      <c r="HS36" s="122"/>
      <c r="HT36" s="122"/>
      <c r="HU36" s="122"/>
      <c r="HV36" s="122"/>
      <c r="HW36" s="122"/>
      <c r="HX36" s="122"/>
      <c r="HY36" s="122"/>
      <c r="HZ36" s="122"/>
      <c r="IA36" s="122"/>
      <c r="IB36" s="122"/>
      <c r="IC36" s="122"/>
      <c r="ID36" s="122"/>
      <c r="IE36" s="122"/>
      <c r="IF36" s="122"/>
      <c r="IG36" s="122"/>
      <c r="IH36" s="122"/>
      <c r="II36" s="122"/>
      <c r="IJ36" s="122"/>
      <c r="IK36" s="122"/>
      <c r="IL36" s="122"/>
      <c r="IM36" s="122"/>
      <c r="IN36" s="122"/>
      <c r="IO36" s="122"/>
      <c r="IP36" s="122"/>
      <c r="IQ36" s="122"/>
      <c r="IR36" s="122"/>
      <c r="IS36" s="122"/>
      <c r="IT36" s="122"/>
      <c r="IU36" s="122"/>
      <c r="IV36" s="122"/>
      <c r="IW36" s="122"/>
      <c r="IX36" s="122"/>
      <c r="IY36" s="122"/>
      <c r="IZ36" s="122"/>
      <c r="JA36" s="122"/>
      <c r="JB36" s="122"/>
      <c r="JC36" s="122"/>
      <c r="JD36" s="122"/>
      <c r="JE36" s="122"/>
      <c r="JF36" s="122"/>
      <c r="JG36" s="122"/>
      <c r="JH36" s="122"/>
      <c r="JI36" s="119">
        <f t="shared" si="0"/>
        <v>56945.15</v>
      </c>
      <c r="JJ36" s="2">
        <v>37318</v>
      </c>
      <c r="JK36" s="122">
        <v>56945.15</v>
      </c>
      <c r="JL36" s="125">
        <f t="shared" si="1"/>
        <v>0</v>
      </c>
      <c r="JM36" s="125"/>
      <c r="JN36" s="125"/>
      <c r="JO36" s="125"/>
      <c r="JP36" s="125"/>
    </row>
    <row r="37" spans="1:276" x14ac:dyDescent="0.25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  <c r="BU37" s="122"/>
      <c r="BV37" s="122"/>
      <c r="BW37" s="122">
        <v>21673.47</v>
      </c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  <c r="CI37" s="122"/>
      <c r="CJ37" s="122"/>
      <c r="CK37" s="122"/>
      <c r="CL37" s="122"/>
      <c r="CM37" s="122"/>
      <c r="CN37" s="122"/>
      <c r="CO37" s="122"/>
      <c r="CP37" s="122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/>
      <c r="DL37" s="122"/>
      <c r="DM37" s="122"/>
      <c r="DN37" s="122"/>
      <c r="DO37" s="122"/>
      <c r="DP37" s="122"/>
      <c r="DQ37" s="122"/>
      <c r="DR37" s="122"/>
      <c r="DS37" s="122"/>
      <c r="DT37" s="122"/>
      <c r="DU37" s="122"/>
      <c r="DV37" s="122"/>
      <c r="DW37" s="122"/>
      <c r="DX37" s="122"/>
      <c r="DY37" s="122"/>
      <c r="DZ37" s="122"/>
      <c r="EA37" s="122"/>
      <c r="EB37" s="122"/>
      <c r="EC37" s="122"/>
      <c r="ED37" s="122"/>
      <c r="EE37" s="122"/>
      <c r="EF37" s="122"/>
      <c r="EG37" s="122"/>
      <c r="EH37" s="122"/>
      <c r="EI37" s="122"/>
      <c r="EJ37" s="122"/>
      <c r="EK37" s="122"/>
      <c r="EL37" s="122"/>
      <c r="EM37" s="122"/>
      <c r="EN37" s="122"/>
      <c r="EO37" s="122"/>
      <c r="EP37" s="122"/>
      <c r="EQ37" s="122"/>
      <c r="ER37" s="122"/>
      <c r="ES37" s="122"/>
      <c r="ET37" s="122"/>
      <c r="EU37" s="122"/>
      <c r="EV37" s="122"/>
      <c r="EW37" s="122"/>
      <c r="EX37" s="122"/>
      <c r="EY37" s="122"/>
      <c r="EZ37" s="122"/>
      <c r="FA37" s="122"/>
      <c r="FB37" s="122"/>
      <c r="FC37" s="122"/>
      <c r="FD37" s="122"/>
      <c r="FE37" s="122"/>
      <c r="FF37" s="122"/>
      <c r="FG37" s="122"/>
      <c r="FH37" s="122"/>
      <c r="FI37" s="122"/>
      <c r="FJ37" s="122"/>
      <c r="FK37" s="122"/>
      <c r="FL37" s="122"/>
      <c r="FM37" s="122"/>
      <c r="FN37" s="122"/>
      <c r="FO37" s="122"/>
      <c r="FP37" s="122"/>
      <c r="FQ37" s="122"/>
      <c r="FR37" s="122"/>
      <c r="FS37" s="122"/>
      <c r="FT37" s="122"/>
      <c r="FU37" s="122"/>
      <c r="FV37" s="122"/>
      <c r="FW37" s="122"/>
      <c r="FX37" s="122"/>
      <c r="FY37" s="122"/>
      <c r="FZ37" s="122"/>
      <c r="GA37" s="122"/>
      <c r="GB37" s="122"/>
      <c r="GC37" s="122"/>
      <c r="GD37" s="122"/>
      <c r="GE37" s="122"/>
      <c r="GF37" s="122"/>
      <c r="GG37" s="122"/>
      <c r="GH37" s="122"/>
      <c r="GI37" s="122"/>
      <c r="GJ37" s="122"/>
      <c r="GK37" s="122"/>
      <c r="GL37" s="122"/>
      <c r="GM37" s="122"/>
      <c r="GN37" s="122"/>
      <c r="GO37" s="122"/>
      <c r="GP37" s="122"/>
      <c r="GQ37" s="122"/>
      <c r="GR37" s="122"/>
      <c r="GS37" s="122"/>
      <c r="GT37" s="122"/>
      <c r="GU37" s="122"/>
      <c r="GV37" s="122"/>
      <c r="GW37" s="122"/>
      <c r="GX37" s="122"/>
      <c r="GY37" s="122"/>
      <c r="GZ37" s="122"/>
      <c r="HA37" s="122"/>
      <c r="HB37" s="122"/>
      <c r="HC37" s="122"/>
      <c r="HD37" s="122"/>
      <c r="HE37" s="122"/>
      <c r="HF37" s="122"/>
      <c r="HG37" s="122"/>
      <c r="HH37" s="122"/>
      <c r="HI37" s="122"/>
      <c r="HJ37" s="122"/>
      <c r="HK37" s="122"/>
      <c r="HL37" s="122"/>
      <c r="HM37" s="122"/>
      <c r="HN37" s="122"/>
      <c r="HO37" s="122"/>
      <c r="HP37" s="122"/>
      <c r="HQ37" s="122"/>
      <c r="HR37" s="122"/>
      <c r="HS37" s="122"/>
      <c r="HT37" s="122"/>
      <c r="HU37" s="122"/>
      <c r="HV37" s="122"/>
      <c r="HW37" s="122"/>
      <c r="HX37" s="122"/>
      <c r="HY37" s="122"/>
      <c r="HZ37" s="122"/>
      <c r="IA37" s="122"/>
      <c r="IB37" s="122"/>
      <c r="IC37" s="122"/>
      <c r="ID37" s="122"/>
      <c r="IE37" s="122"/>
      <c r="IF37" s="122"/>
      <c r="IG37" s="122"/>
      <c r="IH37" s="122"/>
      <c r="II37" s="122"/>
      <c r="IJ37" s="122"/>
      <c r="IK37" s="122"/>
      <c r="IL37" s="122"/>
      <c r="IM37" s="122"/>
      <c r="IN37" s="122"/>
      <c r="IO37" s="122"/>
      <c r="IP37" s="122"/>
      <c r="IQ37" s="122"/>
      <c r="IR37" s="122"/>
      <c r="IS37" s="122"/>
      <c r="IT37" s="122"/>
      <c r="IU37" s="122"/>
      <c r="IV37" s="122"/>
      <c r="IW37" s="122"/>
      <c r="IX37" s="122"/>
      <c r="IY37" s="122"/>
      <c r="IZ37" s="122"/>
      <c r="JA37" s="122"/>
      <c r="JB37" s="122"/>
      <c r="JC37" s="122"/>
      <c r="JD37" s="122"/>
      <c r="JE37" s="122"/>
      <c r="JF37" s="122"/>
      <c r="JG37" s="122"/>
      <c r="JH37" s="122"/>
      <c r="JI37" s="119">
        <f t="shared" si="0"/>
        <v>21673.47</v>
      </c>
      <c r="JJ37" s="2">
        <v>37319</v>
      </c>
      <c r="JK37" s="122">
        <v>18000</v>
      </c>
      <c r="JL37" s="125">
        <f t="shared" si="1"/>
        <v>3673.4700000000012</v>
      </c>
      <c r="JM37" s="125"/>
      <c r="JN37" s="125"/>
      <c r="JO37" s="125"/>
      <c r="JP37" s="125"/>
    </row>
    <row r="38" spans="1:276" x14ac:dyDescent="0.25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  <c r="BU38" s="122"/>
      <c r="BV38" s="122"/>
      <c r="BW38" s="122">
        <v>18061.22</v>
      </c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/>
      <c r="CJ38" s="122"/>
      <c r="CK38" s="122"/>
      <c r="CL38" s="122"/>
      <c r="CM38" s="122"/>
      <c r="CN38" s="122"/>
      <c r="CO38" s="122"/>
      <c r="CP38" s="122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  <c r="DN38" s="122"/>
      <c r="DO38" s="122"/>
      <c r="DP38" s="122"/>
      <c r="DQ38" s="122"/>
      <c r="DR38" s="122"/>
      <c r="DS38" s="122"/>
      <c r="DT38" s="122"/>
      <c r="DU38" s="122"/>
      <c r="DV38" s="122"/>
      <c r="DW38" s="122"/>
      <c r="DX38" s="122"/>
      <c r="DY38" s="122"/>
      <c r="DZ38" s="122"/>
      <c r="EA38" s="122"/>
      <c r="EB38" s="122"/>
      <c r="EC38" s="122"/>
      <c r="ED38" s="122"/>
      <c r="EE38" s="122"/>
      <c r="EF38" s="122"/>
      <c r="EG38" s="122"/>
      <c r="EH38" s="122"/>
      <c r="EI38" s="122"/>
      <c r="EJ38" s="122"/>
      <c r="EK38" s="122"/>
      <c r="EL38" s="122"/>
      <c r="EM38" s="122"/>
      <c r="EN38" s="122"/>
      <c r="EO38" s="122"/>
      <c r="EP38" s="122"/>
      <c r="EQ38" s="122"/>
      <c r="ER38" s="122"/>
      <c r="ES38" s="122"/>
      <c r="ET38" s="122"/>
      <c r="EU38" s="122"/>
      <c r="EV38" s="122"/>
      <c r="EW38" s="122"/>
      <c r="EX38" s="122"/>
      <c r="EY38" s="122"/>
      <c r="EZ38" s="122"/>
      <c r="FA38" s="122"/>
      <c r="FB38" s="122"/>
      <c r="FC38" s="122"/>
      <c r="FD38" s="122"/>
      <c r="FE38" s="122"/>
      <c r="FF38" s="122"/>
      <c r="FG38" s="122"/>
      <c r="FH38" s="122"/>
      <c r="FI38" s="122"/>
      <c r="FJ38" s="122"/>
      <c r="FK38" s="122"/>
      <c r="FL38" s="122"/>
      <c r="FM38" s="122"/>
      <c r="FN38" s="122"/>
      <c r="FO38" s="122"/>
      <c r="FP38" s="122"/>
      <c r="FQ38" s="122"/>
      <c r="FR38" s="122"/>
      <c r="FS38" s="122"/>
      <c r="FT38" s="122"/>
      <c r="FU38" s="122"/>
      <c r="FV38" s="122"/>
      <c r="FW38" s="122"/>
      <c r="FX38" s="122"/>
      <c r="FY38" s="122"/>
      <c r="FZ38" s="122"/>
      <c r="GA38" s="122"/>
      <c r="GB38" s="122"/>
      <c r="GC38" s="122"/>
      <c r="GD38" s="122"/>
      <c r="GE38" s="122"/>
      <c r="GF38" s="122"/>
      <c r="GG38" s="122"/>
      <c r="GH38" s="122"/>
      <c r="GI38" s="122"/>
      <c r="GJ38" s="122"/>
      <c r="GK38" s="122"/>
      <c r="GL38" s="122"/>
      <c r="GM38" s="122"/>
      <c r="GN38" s="122"/>
      <c r="GO38" s="122"/>
      <c r="GP38" s="122"/>
      <c r="GQ38" s="122"/>
      <c r="GR38" s="122"/>
      <c r="GS38" s="122"/>
      <c r="GT38" s="122"/>
      <c r="GU38" s="122"/>
      <c r="GV38" s="122"/>
      <c r="GW38" s="122"/>
      <c r="GX38" s="122"/>
      <c r="GY38" s="122"/>
      <c r="GZ38" s="122"/>
      <c r="HA38" s="122"/>
      <c r="HB38" s="122"/>
      <c r="HC38" s="122"/>
      <c r="HD38" s="122"/>
      <c r="HE38" s="122"/>
      <c r="HF38" s="122"/>
      <c r="HG38" s="122"/>
      <c r="HH38" s="122"/>
      <c r="HI38" s="122"/>
      <c r="HJ38" s="122"/>
      <c r="HK38" s="122"/>
      <c r="HL38" s="122"/>
      <c r="HM38" s="122"/>
      <c r="HN38" s="122"/>
      <c r="HO38" s="122"/>
      <c r="HP38" s="122"/>
      <c r="HQ38" s="122"/>
      <c r="HR38" s="122"/>
      <c r="HS38" s="122"/>
      <c r="HT38" s="122"/>
      <c r="HU38" s="122"/>
      <c r="HV38" s="122"/>
      <c r="HW38" s="122"/>
      <c r="HX38" s="122"/>
      <c r="HY38" s="122"/>
      <c r="HZ38" s="122"/>
      <c r="IA38" s="122"/>
      <c r="IB38" s="122"/>
      <c r="IC38" s="122"/>
      <c r="ID38" s="122"/>
      <c r="IE38" s="122"/>
      <c r="IF38" s="122"/>
      <c r="IG38" s="122"/>
      <c r="IH38" s="122"/>
      <c r="II38" s="122"/>
      <c r="IJ38" s="122"/>
      <c r="IK38" s="122"/>
      <c r="IL38" s="122"/>
      <c r="IM38" s="122"/>
      <c r="IN38" s="122"/>
      <c r="IO38" s="122"/>
      <c r="IP38" s="122"/>
      <c r="IQ38" s="122"/>
      <c r="IR38" s="122"/>
      <c r="IS38" s="122"/>
      <c r="IT38" s="122"/>
      <c r="IU38" s="122"/>
      <c r="IV38" s="122"/>
      <c r="IW38" s="122"/>
      <c r="IX38" s="122"/>
      <c r="IY38" s="122"/>
      <c r="IZ38" s="122"/>
      <c r="JA38" s="122"/>
      <c r="JB38" s="122"/>
      <c r="JC38" s="122"/>
      <c r="JD38" s="122"/>
      <c r="JE38" s="122"/>
      <c r="JF38" s="122"/>
      <c r="JG38" s="122"/>
      <c r="JH38" s="122"/>
      <c r="JI38" s="119">
        <f t="shared" si="0"/>
        <v>18061.22</v>
      </c>
      <c r="JJ38" s="2">
        <v>37320</v>
      </c>
      <c r="JK38" s="122">
        <v>15000</v>
      </c>
      <c r="JL38" s="125">
        <f t="shared" si="1"/>
        <v>3061.2200000000012</v>
      </c>
      <c r="JM38" s="125"/>
      <c r="JN38" s="125"/>
      <c r="JO38" s="125"/>
      <c r="JP38" s="125"/>
    </row>
    <row r="39" spans="1:276" x14ac:dyDescent="0.25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122"/>
      <c r="BS39" s="122"/>
      <c r="BT39" s="122"/>
      <c r="BU39" s="122"/>
      <c r="BV39" s="122"/>
      <c r="BW39" s="122">
        <v>18061.22</v>
      </c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  <c r="DN39" s="122"/>
      <c r="DO39" s="122"/>
      <c r="DP39" s="122"/>
      <c r="DQ39" s="122"/>
      <c r="DR39" s="122"/>
      <c r="DS39" s="122"/>
      <c r="DT39" s="122"/>
      <c r="DU39" s="122"/>
      <c r="DV39" s="122"/>
      <c r="DW39" s="122"/>
      <c r="DX39" s="122"/>
      <c r="DY39" s="122"/>
      <c r="DZ39" s="122"/>
      <c r="EA39" s="122"/>
      <c r="EB39" s="122"/>
      <c r="EC39" s="122"/>
      <c r="ED39" s="122"/>
      <c r="EE39" s="122"/>
      <c r="EF39" s="122"/>
      <c r="EG39" s="122"/>
      <c r="EH39" s="122"/>
      <c r="EI39" s="122"/>
      <c r="EJ39" s="122"/>
      <c r="EK39" s="122"/>
      <c r="EL39" s="122"/>
      <c r="EM39" s="122"/>
      <c r="EN39" s="122"/>
      <c r="EO39" s="122"/>
      <c r="EP39" s="122"/>
      <c r="EQ39" s="122"/>
      <c r="ER39" s="122"/>
      <c r="ES39" s="122"/>
      <c r="ET39" s="122"/>
      <c r="EU39" s="122"/>
      <c r="EV39" s="122"/>
      <c r="EW39" s="122"/>
      <c r="EX39" s="122"/>
      <c r="EY39" s="122"/>
      <c r="EZ39" s="122"/>
      <c r="FA39" s="122"/>
      <c r="FB39" s="122"/>
      <c r="FC39" s="122"/>
      <c r="FD39" s="122"/>
      <c r="FE39" s="122"/>
      <c r="FF39" s="122"/>
      <c r="FG39" s="122"/>
      <c r="FH39" s="122"/>
      <c r="FI39" s="122"/>
      <c r="FJ39" s="122"/>
      <c r="FK39" s="122"/>
      <c r="FL39" s="122"/>
      <c r="FM39" s="122"/>
      <c r="FN39" s="122"/>
      <c r="FO39" s="122"/>
      <c r="FP39" s="122"/>
      <c r="FQ39" s="122"/>
      <c r="FR39" s="122"/>
      <c r="FS39" s="122"/>
      <c r="FT39" s="122"/>
      <c r="FU39" s="122"/>
      <c r="FV39" s="122"/>
      <c r="FW39" s="122"/>
      <c r="FX39" s="122"/>
      <c r="FY39" s="122"/>
      <c r="FZ39" s="122"/>
      <c r="GA39" s="122"/>
      <c r="GB39" s="122"/>
      <c r="GC39" s="122"/>
      <c r="GD39" s="122"/>
      <c r="GE39" s="122"/>
      <c r="GF39" s="122"/>
      <c r="GG39" s="122"/>
      <c r="GH39" s="122"/>
      <c r="GI39" s="122"/>
      <c r="GJ39" s="122"/>
      <c r="GK39" s="122"/>
      <c r="GL39" s="122"/>
      <c r="GM39" s="122"/>
      <c r="GN39" s="122"/>
      <c r="GO39" s="122"/>
      <c r="GP39" s="122"/>
      <c r="GQ39" s="122"/>
      <c r="GR39" s="122"/>
      <c r="GS39" s="122"/>
      <c r="GT39" s="122"/>
      <c r="GU39" s="122"/>
      <c r="GV39" s="122"/>
      <c r="GW39" s="122"/>
      <c r="GX39" s="122"/>
      <c r="GY39" s="122"/>
      <c r="GZ39" s="122"/>
      <c r="HA39" s="122"/>
      <c r="HB39" s="122"/>
      <c r="HC39" s="122"/>
      <c r="HD39" s="122"/>
      <c r="HE39" s="122"/>
      <c r="HF39" s="122"/>
      <c r="HG39" s="122"/>
      <c r="HH39" s="122"/>
      <c r="HI39" s="122"/>
      <c r="HJ39" s="122"/>
      <c r="HK39" s="122"/>
      <c r="HL39" s="122"/>
      <c r="HM39" s="122"/>
      <c r="HN39" s="122"/>
      <c r="HO39" s="122"/>
      <c r="HP39" s="122"/>
      <c r="HQ39" s="122"/>
      <c r="HR39" s="122"/>
      <c r="HS39" s="122"/>
      <c r="HT39" s="122"/>
      <c r="HU39" s="122"/>
      <c r="HV39" s="122"/>
      <c r="HW39" s="122"/>
      <c r="HX39" s="122"/>
      <c r="HY39" s="122"/>
      <c r="HZ39" s="122"/>
      <c r="IA39" s="122"/>
      <c r="IB39" s="122"/>
      <c r="IC39" s="122"/>
      <c r="ID39" s="122"/>
      <c r="IE39" s="122"/>
      <c r="IF39" s="122"/>
      <c r="IG39" s="122"/>
      <c r="IH39" s="122"/>
      <c r="II39" s="122"/>
      <c r="IJ39" s="122"/>
      <c r="IK39" s="122"/>
      <c r="IL39" s="122"/>
      <c r="IM39" s="122"/>
      <c r="IN39" s="122"/>
      <c r="IO39" s="122"/>
      <c r="IP39" s="122"/>
      <c r="IQ39" s="122"/>
      <c r="IR39" s="122"/>
      <c r="IS39" s="122"/>
      <c r="IT39" s="122"/>
      <c r="IU39" s="122"/>
      <c r="IV39" s="122"/>
      <c r="IW39" s="122"/>
      <c r="IX39" s="122"/>
      <c r="IY39" s="122"/>
      <c r="IZ39" s="122"/>
      <c r="JA39" s="122"/>
      <c r="JB39" s="122"/>
      <c r="JC39" s="122"/>
      <c r="JD39" s="122"/>
      <c r="JE39" s="122"/>
      <c r="JF39" s="122"/>
      <c r="JG39" s="122"/>
      <c r="JH39" s="122"/>
      <c r="JI39" s="119">
        <f t="shared" si="0"/>
        <v>18061.22</v>
      </c>
      <c r="JJ39" s="2">
        <v>37321</v>
      </c>
      <c r="JK39" s="122">
        <v>15000</v>
      </c>
      <c r="JL39" s="125">
        <f t="shared" si="1"/>
        <v>3061.2200000000012</v>
      </c>
      <c r="JM39" s="125"/>
      <c r="JN39" s="125"/>
      <c r="JO39" s="125"/>
      <c r="JP39" s="125"/>
    </row>
    <row r="40" spans="1:276" x14ac:dyDescent="0.25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  <c r="BU40" s="122"/>
      <c r="BV40" s="122"/>
      <c r="BW40" s="122"/>
      <c r="BX40" s="122"/>
      <c r="BY40" s="122"/>
      <c r="BZ40" s="122"/>
      <c r="CA40" s="122"/>
      <c r="CB40" s="122"/>
      <c r="CC40" s="122"/>
      <c r="CD40" s="122"/>
      <c r="CE40" s="122"/>
      <c r="CF40" s="122"/>
      <c r="CG40" s="122"/>
      <c r="CH40" s="122"/>
      <c r="CI40" s="122"/>
      <c r="CJ40" s="122"/>
      <c r="CK40" s="122"/>
      <c r="CL40" s="122"/>
      <c r="CM40" s="122"/>
      <c r="CN40" s="122"/>
      <c r="CO40" s="122"/>
      <c r="CP40" s="122"/>
      <c r="CQ40" s="122"/>
      <c r="CR40" s="122"/>
      <c r="CS40" s="122"/>
      <c r="CT40" s="122"/>
      <c r="CU40" s="122"/>
      <c r="CV40" s="122"/>
      <c r="CW40" s="122"/>
      <c r="CX40" s="122"/>
      <c r="CY40" s="122"/>
      <c r="CZ40" s="122"/>
      <c r="DA40" s="122"/>
      <c r="DB40" s="122"/>
      <c r="DC40" s="122"/>
      <c r="DD40" s="122"/>
      <c r="DE40" s="122"/>
      <c r="DF40" s="122"/>
      <c r="DG40" s="122"/>
      <c r="DH40" s="122"/>
      <c r="DI40" s="122"/>
      <c r="DJ40" s="122"/>
      <c r="DK40" s="122"/>
      <c r="DL40" s="122"/>
      <c r="DM40" s="122"/>
      <c r="DN40" s="122"/>
      <c r="DO40" s="122"/>
      <c r="DP40" s="122"/>
      <c r="DQ40" s="122"/>
      <c r="DR40" s="122"/>
      <c r="DS40" s="122"/>
      <c r="DT40" s="122"/>
      <c r="DU40" s="122"/>
      <c r="DV40" s="122"/>
      <c r="DW40" s="122"/>
      <c r="DX40" s="122"/>
      <c r="DY40" s="122"/>
      <c r="DZ40" s="122"/>
      <c r="EA40" s="122"/>
      <c r="EB40" s="122"/>
      <c r="EC40" s="122"/>
      <c r="ED40" s="122"/>
      <c r="EE40" s="122"/>
      <c r="EF40" s="122"/>
      <c r="EG40" s="122"/>
      <c r="EH40" s="122"/>
      <c r="EI40" s="122"/>
      <c r="EJ40" s="122"/>
      <c r="EK40" s="122"/>
      <c r="EL40" s="122"/>
      <c r="EM40" s="122"/>
      <c r="EN40" s="122"/>
      <c r="EO40" s="122"/>
      <c r="EP40" s="122"/>
      <c r="EQ40" s="122"/>
      <c r="ER40" s="122"/>
      <c r="ES40" s="122"/>
      <c r="ET40" s="122"/>
      <c r="EU40" s="122"/>
      <c r="EV40" s="122"/>
      <c r="EW40" s="122"/>
      <c r="EX40" s="122"/>
      <c r="EY40" s="122"/>
      <c r="EZ40" s="122"/>
      <c r="FA40" s="122"/>
      <c r="FB40" s="122"/>
      <c r="FC40" s="122"/>
      <c r="FD40" s="122"/>
      <c r="FE40" s="122"/>
      <c r="FF40" s="122"/>
      <c r="FG40" s="122"/>
      <c r="FH40" s="122"/>
      <c r="FI40" s="122"/>
      <c r="FJ40" s="122"/>
      <c r="FK40" s="122"/>
      <c r="FL40" s="122"/>
      <c r="FM40" s="122"/>
      <c r="FN40" s="122"/>
      <c r="FO40" s="122"/>
      <c r="FP40" s="122"/>
      <c r="FQ40" s="122"/>
      <c r="FR40" s="122"/>
      <c r="FS40" s="122"/>
      <c r="FT40" s="122"/>
      <c r="FU40" s="122"/>
      <c r="FV40" s="122"/>
      <c r="FW40" s="122"/>
      <c r="FX40" s="122"/>
      <c r="FY40" s="122"/>
      <c r="FZ40" s="122"/>
      <c r="GA40" s="122"/>
      <c r="GB40" s="122"/>
      <c r="GC40" s="122">
        <v>3600</v>
      </c>
      <c r="GD40" s="122"/>
      <c r="GE40" s="122"/>
      <c r="GF40" s="122"/>
      <c r="GG40" s="122"/>
      <c r="GH40" s="122"/>
      <c r="GI40" s="122"/>
      <c r="GJ40" s="122"/>
      <c r="GK40" s="122"/>
      <c r="GL40" s="122"/>
      <c r="GM40" s="122"/>
      <c r="GN40" s="122"/>
      <c r="GO40" s="122"/>
      <c r="GP40" s="122"/>
      <c r="GQ40" s="122"/>
      <c r="GR40" s="122"/>
      <c r="GS40" s="122"/>
      <c r="GT40" s="122"/>
      <c r="GU40" s="122"/>
      <c r="GV40" s="122"/>
      <c r="GW40" s="122"/>
      <c r="GX40" s="122"/>
      <c r="GY40" s="122"/>
      <c r="GZ40" s="122"/>
      <c r="HA40" s="122"/>
      <c r="HB40" s="122"/>
      <c r="HC40" s="122"/>
      <c r="HD40" s="122"/>
      <c r="HE40" s="122"/>
      <c r="HF40" s="122"/>
      <c r="HG40" s="122"/>
      <c r="HH40" s="122"/>
      <c r="HI40" s="122"/>
      <c r="HJ40" s="122"/>
      <c r="HK40" s="122"/>
      <c r="HL40" s="122"/>
      <c r="HM40" s="122"/>
      <c r="HN40" s="122"/>
      <c r="HO40" s="122"/>
      <c r="HP40" s="122"/>
      <c r="HQ40" s="122"/>
      <c r="HR40" s="122"/>
      <c r="HS40" s="122"/>
      <c r="HT40" s="122"/>
      <c r="HU40" s="122"/>
      <c r="HV40" s="122"/>
      <c r="HW40" s="122"/>
      <c r="HX40" s="122"/>
      <c r="HY40" s="122"/>
      <c r="HZ40" s="122"/>
      <c r="IA40" s="122"/>
      <c r="IB40" s="122"/>
      <c r="IC40" s="122"/>
      <c r="ID40" s="122"/>
      <c r="IE40" s="122"/>
      <c r="IF40" s="122"/>
      <c r="IG40" s="122"/>
      <c r="IH40" s="122"/>
      <c r="II40" s="122"/>
      <c r="IJ40" s="122"/>
      <c r="IK40" s="122"/>
      <c r="IL40" s="122"/>
      <c r="IM40" s="122"/>
      <c r="IN40" s="122"/>
      <c r="IO40" s="122"/>
      <c r="IP40" s="122"/>
      <c r="IQ40" s="122"/>
      <c r="IR40" s="122"/>
      <c r="IS40" s="122"/>
      <c r="IT40" s="122"/>
      <c r="IU40" s="122"/>
      <c r="IV40" s="122"/>
      <c r="IW40" s="122"/>
      <c r="IX40" s="122"/>
      <c r="IY40" s="122"/>
      <c r="IZ40" s="122"/>
      <c r="JA40" s="122"/>
      <c r="JB40" s="122"/>
      <c r="JC40" s="122"/>
      <c r="JD40" s="122"/>
      <c r="JE40" s="122"/>
      <c r="JF40" s="122"/>
      <c r="JG40" s="122"/>
      <c r="JH40" s="122"/>
      <c r="JI40" s="119">
        <f t="shared" si="0"/>
        <v>3600</v>
      </c>
      <c r="JJ40" s="2">
        <v>37322</v>
      </c>
      <c r="JK40" s="122">
        <v>3600</v>
      </c>
      <c r="JL40" s="125">
        <f t="shared" si="1"/>
        <v>0</v>
      </c>
      <c r="JM40" s="125"/>
      <c r="JN40" s="125"/>
      <c r="JO40" s="125"/>
      <c r="JP40" s="125"/>
    </row>
    <row r="41" spans="1:276" x14ac:dyDescent="0.25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>
        <v>20000</v>
      </c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  <c r="BP41" s="122"/>
      <c r="BQ41" s="122"/>
      <c r="BR41" s="122"/>
      <c r="BS41" s="122"/>
      <c r="BT41" s="122"/>
      <c r="BU41" s="122"/>
      <c r="BV41" s="122"/>
      <c r="BW41" s="122"/>
      <c r="BX41" s="122"/>
      <c r="BY41" s="122"/>
      <c r="BZ41" s="122"/>
      <c r="CA41" s="122"/>
      <c r="CB41" s="122"/>
      <c r="CC41" s="122"/>
      <c r="CD41" s="122"/>
      <c r="CE41" s="122"/>
      <c r="CF41" s="122"/>
      <c r="CG41" s="122"/>
      <c r="CH41" s="122"/>
      <c r="CI41" s="122"/>
      <c r="CJ41" s="122"/>
      <c r="CK41" s="122"/>
      <c r="CL41" s="122"/>
      <c r="CM41" s="122"/>
      <c r="CN41" s="122"/>
      <c r="CO41" s="122"/>
      <c r="CP41" s="122"/>
      <c r="CQ41" s="122"/>
      <c r="CR41" s="122"/>
      <c r="CS41" s="122"/>
      <c r="CT41" s="122"/>
      <c r="CU41" s="122"/>
      <c r="CV41" s="122"/>
      <c r="CW41" s="122"/>
      <c r="CX41" s="122"/>
      <c r="CY41" s="122"/>
      <c r="CZ41" s="122"/>
      <c r="DA41" s="122"/>
      <c r="DB41" s="122"/>
      <c r="DC41" s="122"/>
      <c r="DD41" s="122"/>
      <c r="DE41" s="122"/>
      <c r="DF41" s="122"/>
      <c r="DG41" s="122"/>
      <c r="DH41" s="122"/>
      <c r="DI41" s="122"/>
      <c r="DJ41" s="122"/>
      <c r="DK41" s="122"/>
      <c r="DL41" s="122"/>
      <c r="DM41" s="122"/>
      <c r="DN41" s="122"/>
      <c r="DO41" s="122"/>
      <c r="DP41" s="122"/>
      <c r="DQ41" s="122"/>
      <c r="DR41" s="122"/>
      <c r="DS41" s="122"/>
      <c r="DT41" s="122"/>
      <c r="DU41" s="122"/>
      <c r="DV41" s="122"/>
      <c r="DW41" s="122"/>
      <c r="DX41" s="122"/>
      <c r="DY41" s="122"/>
      <c r="DZ41" s="122"/>
      <c r="EA41" s="122"/>
      <c r="EB41" s="122"/>
      <c r="EC41" s="122"/>
      <c r="ED41" s="122"/>
      <c r="EE41" s="122"/>
      <c r="EF41" s="122"/>
      <c r="EG41" s="122"/>
      <c r="EH41" s="122"/>
      <c r="EI41" s="122"/>
      <c r="EJ41" s="122"/>
      <c r="EK41" s="122"/>
      <c r="EL41" s="122"/>
      <c r="EM41" s="122"/>
      <c r="EN41" s="122"/>
      <c r="EO41" s="122"/>
      <c r="EP41" s="122"/>
      <c r="EQ41" s="122"/>
      <c r="ER41" s="122"/>
      <c r="ES41" s="122"/>
      <c r="ET41" s="122"/>
      <c r="EU41" s="122"/>
      <c r="EV41" s="122"/>
      <c r="EW41" s="122"/>
      <c r="EX41" s="122"/>
      <c r="EY41" s="122"/>
      <c r="EZ41" s="122"/>
      <c r="FA41" s="122"/>
      <c r="FB41" s="122"/>
      <c r="FC41" s="122"/>
      <c r="FD41" s="122"/>
      <c r="FE41" s="122"/>
      <c r="FF41" s="122"/>
      <c r="FG41" s="122"/>
      <c r="FH41" s="122"/>
      <c r="FI41" s="122"/>
      <c r="FJ41" s="122"/>
      <c r="FK41" s="122"/>
      <c r="FL41" s="122"/>
      <c r="FM41" s="122"/>
      <c r="FN41" s="122"/>
      <c r="FO41" s="122"/>
      <c r="FP41" s="122"/>
      <c r="FQ41" s="122"/>
      <c r="FR41" s="122"/>
      <c r="FS41" s="122"/>
      <c r="FT41" s="122"/>
      <c r="FU41" s="122"/>
      <c r="FV41" s="122"/>
      <c r="FW41" s="122"/>
      <c r="FX41" s="122"/>
      <c r="FY41" s="122"/>
      <c r="FZ41" s="122"/>
      <c r="GA41" s="122"/>
      <c r="GB41" s="122"/>
      <c r="GC41" s="122"/>
      <c r="GD41" s="122"/>
      <c r="GE41" s="122"/>
      <c r="GF41" s="122"/>
      <c r="GG41" s="122"/>
      <c r="GH41" s="122"/>
      <c r="GI41" s="122"/>
      <c r="GJ41" s="122"/>
      <c r="GK41" s="122"/>
      <c r="GL41" s="122"/>
      <c r="GM41" s="122"/>
      <c r="GN41" s="122"/>
      <c r="GO41" s="122"/>
      <c r="GP41" s="122"/>
      <c r="GQ41" s="122"/>
      <c r="GR41" s="122"/>
      <c r="GS41" s="122"/>
      <c r="GT41" s="122"/>
      <c r="GU41" s="122"/>
      <c r="GV41" s="122"/>
      <c r="GW41" s="122"/>
      <c r="GX41" s="122"/>
      <c r="GY41" s="122"/>
      <c r="GZ41" s="122"/>
      <c r="HA41" s="122"/>
      <c r="HB41" s="122"/>
      <c r="HC41" s="122"/>
      <c r="HD41" s="122"/>
      <c r="HE41" s="122"/>
      <c r="HF41" s="122"/>
      <c r="HG41" s="122"/>
      <c r="HH41" s="122"/>
      <c r="HI41" s="122"/>
      <c r="HJ41" s="122"/>
      <c r="HK41" s="122"/>
      <c r="HL41" s="122"/>
      <c r="HM41" s="122"/>
      <c r="HN41" s="122"/>
      <c r="HO41" s="122"/>
      <c r="HP41" s="122"/>
      <c r="HQ41" s="122"/>
      <c r="HR41" s="122"/>
      <c r="HS41" s="122"/>
      <c r="HT41" s="122"/>
      <c r="HU41" s="122"/>
      <c r="HV41" s="122"/>
      <c r="HW41" s="122"/>
      <c r="HX41" s="122"/>
      <c r="HY41" s="122"/>
      <c r="HZ41" s="122"/>
      <c r="IA41" s="122"/>
      <c r="IB41" s="122"/>
      <c r="IC41" s="122"/>
      <c r="ID41" s="122"/>
      <c r="IE41" s="122"/>
      <c r="IF41" s="122"/>
      <c r="IG41" s="122"/>
      <c r="IH41" s="122"/>
      <c r="II41" s="122"/>
      <c r="IJ41" s="122"/>
      <c r="IK41" s="122"/>
      <c r="IL41" s="122"/>
      <c r="IM41" s="122"/>
      <c r="IN41" s="122"/>
      <c r="IO41" s="122"/>
      <c r="IP41" s="122"/>
      <c r="IQ41" s="122"/>
      <c r="IR41" s="122"/>
      <c r="IS41" s="122"/>
      <c r="IT41" s="122"/>
      <c r="IU41" s="122"/>
      <c r="IV41" s="122"/>
      <c r="IW41" s="122"/>
      <c r="IX41" s="122"/>
      <c r="IY41" s="122"/>
      <c r="IZ41" s="122"/>
      <c r="JA41" s="122"/>
      <c r="JB41" s="122"/>
      <c r="JC41" s="122"/>
      <c r="JD41" s="122"/>
      <c r="JE41" s="122"/>
      <c r="JF41" s="122"/>
      <c r="JG41" s="122"/>
      <c r="JH41" s="122"/>
      <c r="JI41" s="119">
        <f t="shared" si="0"/>
        <v>20000</v>
      </c>
      <c r="JJ41" s="2">
        <v>37323</v>
      </c>
      <c r="JK41" s="122">
        <v>20000</v>
      </c>
      <c r="JL41" s="125">
        <f t="shared" si="1"/>
        <v>0</v>
      </c>
      <c r="JM41" s="125"/>
      <c r="JN41" s="125"/>
      <c r="JO41" s="125"/>
      <c r="JP41" s="125"/>
    </row>
    <row r="42" spans="1:276" ht="15.75" x14ac:dyDescent="0.3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122"/>
      <c r="BQ42" s="122"/>
      <c r="BR42" s="122"/>
      <c r="BS42" s="122"/>
      <c r="BT42" s="122"/>
      <c r="BU42" s="122"/>
      <c r="BV42" s="122"/>
      <c r="BW42" s="122"/>
      <c r="BX42" s="122"/>
      <c r="BY42" s="122"/>
      <c r="BZ42" s="122"/>
      <c r="CA42" s="122"/>
      <c r="CB42" s="122"/>
      <c r="CC42" s="122"/>
      <c r="CD42" s="122"/>
      <c r="CE42" s="122"/>
      <c r="CF42" s="122"/>
      <c r="CG42" s="122"/>
      <c r="CH42" s="122"/>
      <c r="CI42" s="122"/>
      <c r="CJ42" s="122"/>
      <c r="CK42" s="122"/>
      <c r="CL42" s="122"/>
      <c r="CM42" s="122"/>
      <c r="CN42" s="122"/>
      <c r="CO42" s="122"/>
      <c r="CP42" s="122"/>
      <c r="CQ42" s="122"/>
      <c r="CR42" s="122"/>
      <c r="CS42" s="122"/>
      <c r="CT42" s="122"/>
      <c r="CU42" s="122"/>
      <c r="CV42" s="122"/>
      <c r="CW42" s="122"/>
      <c r="CX42" s="122"/>
      <c r="CY42" s="122"/>
      <c r="CZ42" s="122"/>
      <c r="DA42" s="122"/>
      <c r="DB42" s="122"/>
      <c r="DC42" s="122"/>
      <c r="DD42" s="122"/>
      <c r="DE42" s="122"/>
      <c r="DF42" s="137">
        <v>14087.239999999996</v>
      </c>
      <c r="DG42" s="122"/>
      <c r="DH42" s="122"/>
      <c r="DI42" s="122"/>
      <c r="DJ42" s="122"/>
      <c r="DK42" s="122"/>
      <c r="DL42" s="122"/>
      <c r="DM42" s="122"/>
      <c r="DN42" s="122"/>
      <c r="DO42" s="122"/>
      <c r="DP42" s="122"/>
      <c r="DQ42" s="122"/>
      <c r="DR42" s="122"/>
      <c r="DS42" s="122"/>
      <c r="DT42" s="122"/>
      <c r="DU42" s="122"/>
      <c r="DV42" s="122"/>
      <c r="DW42" s="122"/>
      <c r="DX42" s="122"/>
      <c r="DY42" s="122"/>
      <c r="DZ42" s="122"/>
      <c r="EA42" s="122"/>
      <c r="EB42" s="122"/>
      <c r="EC42" s="122"/>
      <c r="ED42" s="122"/>
      <c r="EE42" s="122"/>
      <c r="EF42" s="122"/>
      <c r="EG42" s="122"/>
      <c r="EH42" s="122"/>
      <c r="EI42" s="122"/>
      <c r="EJ42" s="122"/>
      <c r="EK42" s="122"/>
      <c r="EL42" s="122"/>
      <c r="EM42" s="122"/>
      <c r="EN42" s="122"/>
      <c r="EO42" s="122"/>
      <c r="EP42" s="122"/>
      <c r="EQ42" s="122"/>
      <c r="ER42" s="122"/>
      <c r="ES42" s="122"/>
      <c r="ET42" s="122"/>
      <c r="EU42" s="122"/>
      <c r="EV42" s="122"/>
      <c r="EW42" s="122"/>
      <c r="EX42" s="122"/>
      <c r="EY42" s="122"/>
      <c r="EZ42" s="122"/>
      <c r="FA42" s="122"/>
      <c r="FB42" s="122"/>
      <c r="FC42" s="122"/>
      <c r="FD42" s="122"/>
      <c r="FE42" s="122"/>
      <c r="FF42" s="122"/>
      <c r="FG42" s="122"/>
      <c r="FH42" s="122"/>
      <c r="FI42" s="122"/>
      <c r="FJ42" s="122"/>
      <c r="FK42" s="122"/>
      <c r="FL42" s="122"/>
      <c r="FM42" s="122"/>
      <c r="FN42" s="122"/>
      <c r="FO42" s="122"/>
      <c r="FP42" s="122"/>
      <c r="FQ42" s="122"/>
      <c r="FR42" s="122"/>
      <c r="FS42" s="122"/>
      <c r="FT42" s="122"/>
      <c r="FU42" s="122"/>
      <c r="FV42" s="122"/>
      <c r="FW42" s="122"/>
      <c r="FX42" s="122"/>
      <c r="FY42" s="122"/>
      <c r="FZ42" s="122"/>
      <c r="GA42" s="122"/>
      <c r="GB42" s="122"/>
      <c r="GC42" s="122"/>
      <c r="GD42" s="122"/>
      <c r="GE42" s="122"/>
      <c r="GF42" s="122"/>
      <c r="GG42" s="122"/>
      <c r="GH42" s="122"/>
      <c r="GI42" s="122"/>
      <c r="GJ42" s="122"/>
      <c r="GK42" s="122"/>
      <c r="GL42" s="122"/>
      <c r="GM42" s="122"/>
      <c r="GN42" s="122"/>
      <c r="GO42" s="122"/>
      <c r="GP42" s="122"/>
      <c r="GQ42" s="122"/>
      <c r="GR42" s="122"/>
      <c r="GS42" s="122"/>
      <c r="GT42" s="122"/>
      <c r="GU42" s="122"/>
      <c r="GV42" s="122"/>
      <c r="GW42" s="122"/>
      <c r="GX42" s="122"/>
      <c r="GY42" s="122"/>
      <c r="GZ42" s="122"/>
      <c r="HA42" s="122"/>
      <c r="HB42" s="122"/>
      <c r="HC42" s="122"/>
      <c r="HD42" s="122"/>
      <c r="HE42" s="122"/>
      <c r="HF42" s="122"/>
      <c r="HG42" s="122"/>
      <c r="HH42" s="122"/>
      <c r="HI42" s="122"/>
      <c r="HJ42" s="122"/>
      <c r="HK42" s="122"/>
      <c r="HL42" s="122"/>
      <c r="HM42" s="122"/>
      <c r="HN42" s="122"/>
      <c r="HO42" s="122"/>
      <c r="HP42" s="122"/>
      <c r="HQ42" s="122"/>
      <c r="HR42" s="122"/>
      <c r="HS42" s="122"/>
      <c r="HT42" s="122"/>
      <c r="HU42" s="122"/>
      <c r="HV42" s="122"/>
      <c r="HW42" s="122"/>
      <c r="HX42" s="122"/>
      <c r="HY42" s="122"/>
      <c r="HZ42" s="122"/>
      <c r="IA42" s="122"/>
      <c r="IB42" s="122"/>
      <c r="IC42" s="122"/>
      <c r="ID42" s="122"/>
      <c r="IE42" s="122"/>
      <c r="IF42" s="122"/>
      <c r="IG42" s="122"/>
      <c r="IH42" s="122"/>
      <c r="II42" s="122"/>
      <c r="IJ42" s="122"/>
      <c r="IK42" s="122"/>
      <c r="IL42" s="122"/>
      <c r="IM42" s="122"/>
      <c r="IN42" s="122"/>
      <c r="IO42" s="122"/>
      <c r="IP42" s="122"/>
      <c r="IQ42" s="122"/>
      <c r="IR42" s="122"/>
      <c r="IS42" s="122"/>
      <c r="IT42" s="122"/>
      <c r="IU42" s="122"/>
      <c r="IV42" s="122"/>
      <c r="IW42" s="122"/>
      <c r="IX42" s="122"/>
      <c r="IY42" s="122"/>
      <c r="IZ42" s="122"/>
      <c r="JA42" s="122"/>
      <c r="JB42" s="122"/>
      <c r="JC42" s="122"/>
      <c r="JD42" s="122"/>
      <c r="JE42" s="122"/>
      <c r="JF42" s="122"/>
      <c r="JG42" s="122"/>
      <c r="JH42" s="122"/>
      <c r="JI42" s="119">
        <f t="shared" si="0"/>
        <v>14087.239999999996</v>
      </c>
      <c r="JJ42" s="2"/>
      <c r="JK42" s="122">
        <v>14087.239999999996</v>
      </c>
      <c r="JL42" s="125">
        <f t="shared" si="1"/>
        <v>0</v>
      </c>
      <c r="JM42" s="125"/>
      <c r="JN42" s="125"/>
      <c r="JO42" s="125"/>
      <c r="JP42" s="125"/>
    </row>
    <row r="43" spans="1:276" x14ac:dyDescent="0.25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122"/>
      <c r="DY43" s="122"/>
      <c r="DZ43" s="122"/>
      <c r="EA43" s="122"/>
      <c r="EB43" s="122"/>
      <c r="EC43" s="122"/>
      <c r="ED43" s="122"/>
      <c r="EE43" s="122"/>
      <c r="EF43" s="122"/>
      <c r="EG43" s="122"/>
      <c r="EH43" s="122"/>
      <c r="EI43" s="122"/>
      <c r="EJ43" s="122"/>
      <c r="EK43" s="122"/>
      <c r="EL43" s="122"/>
      <c r="EM43" s="122"/>
      <c r="EN43" s="122"/>
      <c r="EO43" s="122"/>
      <c r="EP43" s="122"/>
      <c r="EQ43" s="122"/>
      <c r="ER43" s="122"/>
      <c r="ES43" s="122"/>
      <c r="ET43" s="122"/>
      <c r="EU43" s="122"/>
      <c r="EV43" s="122"/>
      <c r="EW43" s="122"/>
      <c r="EX43" s="122"/>
      <c r="EY43" s="122"/>
      <c r="EZ43" s="122"/>
      <c r="FA43" s="122"/>
      <c r="FB43" s="122"/>
      <c r="FC43" s="122"/>
      <c r="FD43" s="122"/>
      <c r="FE43" s="122"/>
      <c r="FF43" s="122"/>
      <c r="FG43" s="122"/>
      <c r="FH43" s="122"/>
      <c r="FI43" s="122"/>
      <c r="FJ43" s="122"/>
      <c r="FK43" s="122"/>
      <c r="FL43" s="122"/>
      <c r="FM43" s="122"/>
      <c r="FN43" s="122"/>
      <c r="FO43" s="122"/>
      <c r="FP43" s="122"/>
      <c r="FQ43" s="122"/>
      <c r="FR43" s="122"/>
      <c r="FS43" s="122"/>
      <c r="FT43" s="122"/>
      <c r="FU43" s="122"/>
      <c r="FV43" s="122"/>
      <c r="FW43" s="122"/>
      <c r="FX43" s="122"/>
      <c r="FY43" s="122"/>
      <c r="FZ43" s="122"/>
      <c r="GA43" s="122"/>
      <c r="GB43" s="122"/>
      <c r="GC43" s="122"/>
      <c r="GD43" s="122"/>
      <c r="GE43" s="122"/>
      <c r="GF43" s="122"/>
      <c r="GG43" s="122"/>
      <c r="GH43" s="122"/>
      <c r="GI43" s="122"/>
      <c r="GJ43" s="122"/>
      <c r="GK43" s="122"/>
      <c r="GL43" s="122"/>
      <c r="GM43" s="122"/>
      <c r="GN43" s="122"/>
      <c r="GO43" s="122"/>
      <c r="GP43" s="122"/>
      <c r="GQ43" s="122"/>
      <c r="GR43" s="122"/>
      <c r="GS43" s="122"/>
      <c r="GT43" s="122"/>
      <c r="GU43" s="122"/>
      <c r="GV43" s="122"/>
      <c r="GW43" s="122"/>
      <c r="GX43" s="122"/>
      <c r="GY43" s="122"/>
      <c r="GZ43" s="122"/>
      <c r="HA43" s="122"/>
      <c r="HB43" s="122"/>
      <c r="HC43" s="122"/>
      <c r="HD43" s="122"/>
      <c r="HE43" s="122"/>
      <c r="HF43" s="122"/>
      <c r="HG43" s="122"/>
      <c r="HH43" s="122"/>
      <c r="HI43" s="122"/>
      <c r="HJ43" s="122"/>
      <c r="HK43" s="122"/>
      <c r="HL43" s="122"/>
      <c r="HM43" s="122"/>
      <c r="HN43" s="122"/>
      <c r="HO43" s="122"/>
      <c r="HP43" s="122"/>
      <c r="HQ43" s="122"/>
      <c r="HR43" s="122"/>
      <c r="HS43" s="122"/>
      <c r="HT43" s="122"/>
      <c r="HU43" s="122"/>
      <c r="HV43" s="122"/>
      <c r="HW43" s="122"/>
      <c r="HX43" s="122"/>
      <c r="HY43" s="122"/>
      <c r="HZ43" s="122"/>
      <c r="IA43" s="122"/>
      <c r="IB43" s="122"/>
      <c r="IC43" s="122"/>
      <c r="ID43" s="122"/>
      <c r="IE43" s="122"/>
      <c r="IF43" s="122"/>
      <c r="IG43" s="122"/>
      <c r="IH43" s="122"/>
      <c r="II43" s="122"/>
      <c r="IJ43" s="122"/>
      <c r="IK43" s="122"/>
      <c r="IL43" s="122"/>
      <c r="IM43" s="122"/>
      <c r="IN43" s="122"/>
      <c r="IO43" s="122"/>
      <c r="IP43" s="122"/>
      <c r="IQ43" s="122"/>
      <c r="IR43" s="122"/>
      <c r="IS43" s="122"/>
      <c r="IT43" s="122"/>
      <c r="IU43" s="122"/>
      <c r="IV43" s="122"/>
      <c r="IW43" s="122"/>
      <c r="IX43" s="122"/>
      <c r="IY43" s="122"/>
      <c r="IZ43" s="122"/>
      <c r="JA43" s="122"/>
      <c r="JB43" s="122"/>
      <c r="JC43" s="122"/>
      <c r="JD43" s="122"/>
      <c r="JE43" s="122"/>
      <c r="JF43" s="122"/>
      <c r="JG43" s="122"/>
      <c r="JH43" s="122"/>
      <c r="JI43" s="119">
        <f t="shared" si="0"/>
        <v>0</v>
      </c>
      <c r="JJ43" s="2"/>
      <c r="JK43" s="122"/>
      <c r="JL43" s="125">
        <f t="shared" si="1"/>
        <v>0</v>
      </c>
      <c r="JM43" s="125"/>
      <c r="JN43" s="125"/>
      <c r="JO43" s="125"/>
      <c r="JP43" s="125"/>
    </row>
    <row r="44" spans="1:276" x14ac:dyDescent="0.25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/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/>
      <c r="DL44" s="122"/>
      <c r="DM44" s="122"/>
      <c r="DN44" s="122"/>
      <c r="DO44" s="122"/>
      <c r="DP44" s="122"/>
      <c r="DQ44" s="122"/>
      <c r="DR44" s="122"/>
      <c r="DS44" s="122"/>
      <c r="DT44" s="122"/>
      <c r="DU44" s="122"/>
      <c r="DV44" s="122"/>
      <c r="DW44" s="122"/>
      <c r="DX44" s="122"/>
      <c r="DY44" s="122"/>
      <c r="DZ44" s="122"/>
      <c r="EA44" s="122"/>
      <c r="EB44" s="122"/>
      <c r="EC44" s="122"/>
      <c r="ED44" s="122"/>
      <c r="EE44" s="122"/>
      <c r="EF44" s="122"/>
      <c r="EG44" s="122"/>
      <c r="EH44" s="122"/>
      <c r="EI44" s="122"/>
      <c r="EJ44" s="122"/>
      <c r="EK44" s="122"/>
      <c r="EL44" s="122"/>
      <c r="EM44" s="122"/>
      <c r="EN44" s="122"/>
      <c r="EO44" s="122"/>
      <c r="EP44" s="122"/>
      <c r="EQ44" s="122"/>
      <c r="ER44" s="122"/>
      <c r="ES44" s="122"/>
      <c r="ET44" s="122"/>
      <c r="EU44" s="122"/>
      <c r="EV44" s="122"/>
      <c r="EW44" s="122"/>
      <c r="EX44" s="122"/>
      <c r="EY44" s="122"/>
      <c r="EZ44" s="122"/>
      <c r="FA44" s="122"/>
      <c r="FB44" s="122"/>
      <c r="FC44" s="122"/>
      <c r="FD44" s="122"/>
      <c r="FE44" s="122"/>
      <c r="FF44" s="122"/>
      <c r="FG44" s="122"/>
      <c r="FH44" s="122"/>
      <c r="FI44" s="122"/>
      <c r="FJ44" s="122"/>
      <c r="FK44" s="122"/>
      <c r="FL44" s="122"/>
      <c r="FM44" s="122"/>
      <c r="FN44" s="122"/>
      <c r="FO44" s="122"/>
      <c r="FP44" s="122"/>
      <c r="FQ44" s="122"/>
      <c r="FR44" s="122"/>
      <c r="FS44" s="122"/>
      <c r="FT44" s="122"/>
      <c r="FU44" s="122"/>
      <c r="FV44" s="122"/>
      <c r="FW44" s="122"/>
      <c r="FX44" s="122"/>
      <c r="FY44" s="122"/>
      <c r="FZ44" s="122"/>
      <c r="GA44" s="122"/>
      <c r="GB44" s="122"/>
      <c r="GC44" s="122"/>
      <c r="GD44" s="122"/>
      <c r="GE44" s="122"/>
      <c r="GF44" s="122"/>
      <c r="GG44" s="122"/>
      <c r="GH44" s="122"/>
      <c r="GI44" s="122"/>
      <c r="GJ44" s="122"/>
      <c r="GK44" s="122"/>
      <c r="GL44" s="122"/>
      <c r="GM44" s="122"/>
      <c r="GN44" s="122"/>
      <c r="GO44" s="122"/>
      <c r="GP44" s="122"/>
      <c r="GQ44" s="122"/>
      <c r="GR44" s="122"/>
      <c r="GS44" s="122"/>
      <c r="GT44" s="122"/>
      <c r="GU44" s="122"/>
      <c r="GV44" s="122"/>
      <c r="GW44" s="122"/>
      <c r="GX44" s="122"/>
      <c r="GY44" s="122"/>
      <c r="GZ44" s="122"/>
      <c r="HA44" s="122"/>
      <c r="HB44" s="122"/>
      <c r="HC44" s="122"/>
      <c r="HD44" s="122"/>
      <c r="HE44" s="122"/>
      <c r="HF44" s="122"/>
      <c r="HG44" s="122"/>
      <c r="HH44" s="122"/>
      <c r="HI44" s="122"/>
      <c r="HJ44" s="122"/>
      <c r="HK44" s="122"/>
      <c r="HL44" s="122"/>
      <c r="HM44" s="122"/>
      <c r="HN44" s="122"/>
      <c r="HO44" s="122"/>
      <c r="HP44" s="122"/>
      <c r="HQ44" s="122"/>
      <c r="HR44" s="122"/>
      <c r="HS44" s="122"/>
      <c r="HT44" s="122"/>
      <c r="HU44" s="122"/>
      <c r="HV44" s="122"/>
      <c r="HW44" s="122"/>
      <c r="HX44" s="122"/>
      <c r="HY44" s="122"/>
      <c r="HZ44" s="122"/>
      <c r="IA44" s="122"/>
      <c r="IB44" s="122"/>
      <c r="IC44" s="122"/>
      <c r="ID44" s="122"/>
      <c r="IE44" s="122"/>
      <c r="IF44" s="122"/>
      <c r="IG44" s="122"/>
      <c r="IH44" s="122"/>
      <c r="II44" s="122"/>
      <c r="IJ44" s="122"/>
      <c r="IK44" s="122"/>
      <c r="IL44" s="122"/>
      <c r="IM44" s="122"/>
      <c r="IN44" s="122"/>
      <c r="IO44" s="122"/>
      <c r="IP44" s="122"/>
      <c r="IQ44" s="122"/>
      <c r="IR44" s="122"/>
      <c r="IS44" s="122"/>
      <c r="IT44" s="122"/>
      <c r="IU44" s="122"/>
      <c r="IV44" s="122"/>
      <c r="IW44" s="122"/>
      <c r="IX44" s="122"/>
      <c r="IY44" s="122"/>
      <c r="IZ44" s="122"/>
      <c r="JA44" s="122"/>
      <c r="JB44" s="122"/>
      <c r="JC44" s="122"/>
      <c r="JD44" s="122"/>
      <c r="JE44" s="122"/>
      <c r="JF44" s="122"/>
      <c r="JG44" s="122"/>
      <c r="JH44" s="122"/>
      <c r="JI44" s="119">
        <f t="shared" si="0"/>
        <v>0</v>
      </c>
      <c r="JJ44" s="2"/>
      <c r="JK44" s="122"/>
      <c r="JL44" s="125">
        <f t="shared" si="1"/>
        <v>0</v>
      </c>
      <c r="JM44" s="125"/>
      <c r="JN44" s="125"/>
      <c r="JO44" s="125"/>
      <c r="JP44" s="125"/>
    </row>
    <row r="45" spans="1:276" x14ac:dyDescent="0.25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122"/>
      <c r="BS45" s="122"/>
      <c r="BT45" s="122"/>
      <c r="BU45" s="122"/>
      <c r="BV45" s="122"/>
      <c r="BW45" s="122"/>
      <c r="BX45" s="122"/>
      <c r="BY45" s="122"/>
      <c r="BZ45" s="122"/>
      <c r="CA45" s="122"/>
      <c r="CB45" s="122"/>
      <c r="CC45" s="122"/>
      <c r="CD45" s="122"/>
      <c r="CE45" s="122"/>
      <c r="CF45" s="122"/>
      <c r="CG45" s="122"/>
      <c r="CH45" s="122"/>
      <c r="CI45" s="122"/>
      <c r="CJ45" s="122"/>
      <c r="CK45" s="122"/>
      <c r="CL45" s="122"/>
      <c r="CM45" s="122"/>
      <c r="CN45" s="122"/>
      <c r="CO45" s="122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  <c r="DN45" s="122"/>
      <c r="DO45" s="122"/>
      <c r="DP45" s="122"/>
      <c r="DQ45" s="122"/>
      <c r="DR45" s="122"/>
      <c r="DS45" s="122"/>
      <c r="DT45" s="122"/>
      <c r="DU45" s="122"/>
      <c r="DV45" s="122"/>
      <c r="DW45" s="122"/>
      <c r="DX45" s="122"/>
      <c r="DY45" s="122"/>
      <c r="DZ45" s="122"/>
      <c r="EA45" s="122"/>
      <c r="EB45" s="122"/>
      <c r="EC45" s="122"/>
      <c r="ED45" s="122"/>
      <c r="EE45" s="122"/>
      <c r="EF45" s="122"/>
      <c r="EG45" s="122"/>
      <c r="EH45" s="122"/>
      <c r="EI45" s="122"/>
      <c r="EJ45" s="122"/>
      <c r="EK45" s="122"/>
      <c r="EL45" s="122"/>
      <c r="EM45" s="122"/>
      <c r="EN45" s="122"/>
      <c r="EO45" s="122"/>
      <c r="EP45" s="122"/>
      <c r="EQ45" s="122"/>
      <c r="ER45" s="122"/>
      <c r="ES45" s="122"/>
      <c r="ET45" s="122"/>
      <c r="EU45" s="122"/>
      <c r="EV45" s="122"/>
      <c r="EW45" s="122"/>
      <c r="EX45" s="122"/>
      <c r="EY45" s="122"/>
      <c r="EZ45" s="122"/>
      <c r="FA45" s="122"/>
      <c r="FB45" s="122"/>
      <c r="FC45" s="122"/>
      <c r="FD45" s="122"/>
      <c r="FE45" s="122"/>
      <c r="FF45" s="122"/>
      <c r="FG45" s="122"/>
      <c r="FH45" s="122"/>
      <c r="FI45" s="122"/>
      <c r="FJ45" s="122"/>
      <c r="FK45" s="122"/>
      <c r="FL45" s="122"/>
      <c r="FM45" s="122"/>
      <c r="FN45" s="122"/>
      <c r="FO45" s="122"/>
      <c r="FP45" s="122"/>
      <c r="FQ45" s="122"/>
      <c r="FR45" s="122"/>
      <c r="FS45" s="122"/>
      <c r="FT45" s="122"/>
      <c r="FU45" s="122"/>
      <c r="FV45" s="122"/>
      <c r="FW45" s="122"/>
      <c r="FX45" s="122"/>
      <c r="FY45" s="122"/>
      <c r="FZ45" s="122"/>
      <c r="GA45" s="122"/>
      <c r="GB45" s="122"/>
      <c r="GC45" s="122"/>
      <c r="GD45" s="122"/>
      <c r="GE45" s="122"/>
      <c r="GF45" s="122"/>
      <c r="GG45" s="122"/>
      <c r="GH45" s="122"/>
      <c r="GI45" s="122"/>
      <c r="GJ45" s="122"/>
      <c r="GK45" s="122"/>
      <c r="GL45" s="122"/>
      <c r="GM45" s="122"/>
      <c r="GN45" s="122"/>
      <c r="GO45" s="122"/>
      <c r="GP45" s="122"/>
      <c r="GQ45" s="122"/>
      <c r="GR45" s="122"/>
      <c r="GS45" s="122"/>
      <c r="GT45" s="122"/>
      <c r="GU45" s="122"/>
      <c r="GV45" s="122"/>
      <c r="GW45" s="122"/>
      <c r="GX45" s="122"/>
      <c r="GY45" s="122"/>
      <c r="GZ45" s="122"/>
      <c r="HA45" s="122"/>
      <c r="HB45" s="122"/>
      <c r="HC45" s="122"/>
      <c r="HD45" s="122"/>
      <c r="HE45" s="122"/>
      <c r="HF45" s="122"/>
      <c r="HG45" s="122"/>
      <c r="HH45" s="122"/>
      <c r="HI45" s="122"/>
      <c r="HJ45" s="122"/>
      <c r="HK45" s="122"/>
      <c r="HL45" s="122"/>
      <c r="HM45" s="122"/>
      <c r="HN45" s="122"/>
      <c r="HO45" s="122"/>
      <c r="HP45" s="122"/>
      <c r="HQ45" s="122"/>
      <c r="HR45" s="122"/>
      <c r="HS45" s="122"/>
      <c r="HT45" s="122"/>
      <c r="HU45" s="122"/>
      <c r="HV45" s="122"/>
      <c r="HW45" s="122"/>
      <c r="HX45" s="122"/>
      <c r="HY45" s="122"/>
      <c r="HZ45" s="122"/>
      <c r="IA45" s="122"/>
      <c r="IB45" s="122"/>
      <c r="IC45" s="122"/>
      <c r="ID45" s="122"/>
      <c r="IE45" s="122"/>
      <c r="IF45" s="122"/>
      <c r="IG45" s="122"/>
      <c r="IH45" s="122"/>
      <c r="II45" s="122"/>
      <c r="IJ45" s="122"/>
      <c r="IK45" s="122"/>
      <c r="IL45" s="122"/>
      <c r="IM45" s="122"/>
      <c r="IN45" s="122"/>
      <c r="IO45" s="122"/>
      <c r="IP45" s="122"/>
      <c r="IQ45" s="122"/>
      <c r="IR45" s="122"/>
      <c r="IS45" s="122"/>
      <c r="IT45" s="122"/>
      <c r="IU45" s="122"/>
      <c r="IV45" s="122"/>
      <c r="IW45" s="122"/>
      <c r="IX45" s="122"/>
      <c r="IY45" s="122"/>
      <c r="IZ45" s="122"/>
      <c r="JA45" s="122"/>
      <c r="JB45" s="122"/>
      <c r="JC45" s="122"/>
      <c r="JD45" s="122"/>
      <c r="JE45" s="122"/>
      <c r="JF45" s="122"/>
      <c r="JG45" s="122"/>
      <c r="JH45" s="122"/>
      <c r="JI45" s="119">
        <f t="shared" si="0"/>
        <v>0</v>
      </c>
      <c r="JJ45" s="2"/>
      <c r="JK45" s="122"/>
      <c r="JL45" s="125">
        <f t="shared" si="1"/>
        <v>0</v>
      </c>
      <c r="JM45" s="125"/>
      <c r="JN45" s="125"/>
      <c r="JO45" s="125"/>
      <c r="JP45" s="125"/>
    </row>
    <row r="46" spans="1:276" x14ac:dyDescent="0.25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122"/>
      <c r="CB46" s="122"/>
      <c r="CC46" s="122"/>
      <c r="CD46" s="122"/>
      <c r="CE46" s="122"/>
      <c r="CF46" s="122"/>
      <c r="CG46" s="122"/>
      <c r="CH46" s="122"/>
      <c r="CI46" s="122"/>
      <c r="CJ46" s="122"/>
      <c r="CK46" s="122"/>
      <c r="CL46" s="122"/>
      <c r="CM46" s="122"/>
      <c r="CN46" s="122"/>
      <c r="CO46" s="122"/>
      <c r="CP46" s="122"/>
      <c r="CQ46" s="122"/>
      <c r="CR46" s="122"/>
      <c r="CS46" s="122"/>
      <c r="CT46" s="122"/>
      <c r="CU46" s="122"/>
      <c r="CV46" s="122"/>
      <c r="CW46" s="122"/>
      <c r="CX46" s="122"/>
      <c r="CY46" s="122"/>
      <c r="CZ46" s="122"/>
      <c r="DA46" s="122"/>
      <c r="DB46" s="122"/>
      <c r="DC46" s="122"/>
      <c r="DD46" s="122"/>
      <c r="DE46" s="122"/>
      <c r="DF46" s="122"/>
      <c r="DG46" s="122"/>
      <c r="DH46" s="122"/>
      <c r="DI46" s="122"/>
      <c r="DJ46" s="122"/>
      <c r="DK46" s="122"/>
      <c r="DL46" s="122"/>
      <c r="DM46" s="122"/>
      <c r="DN46" s="122"/>
      <c r="DO46" s="122"/>
      <c r="DP46" s="122"/>
      <c r="DQ46" s="122"/>
      <c r="DR46" s="122"/>
      <c r="DS46" s="122"/>
      <c r="DT46" s="122"/>
      <c r="DU46" s="122"/>
      <c r="DV46" s="122"/>
      <c r="DW46" s="122"/>
      <c r="DX46" s="122"/>
      <c r="DY46" s="122"/>
      <c r="DZ46" s="122"/>
      <c r="EA46" s="122"/>
      <c r="EB46" s="122"/>
      <c r="EC46" s="122"/>
      <c r="ED46" s="122"/>
      <c r="EE46" s="122"/>
      <c r="EF46" s="122"/>
      <c r="EG46" s="122"/>
      <c r="EH46" s="122"/>
      <c r="EI46" s="122"/>
      <c r="EJ46" s="122"/>
      <c r="EK46" s="122"/>
      <c r="EL46" s="122"/>
      <c r="EM46" s="122"/>
      <c r="EN46" s="122"/>
      <c r="EO46" s="122"/>
      <c r="EP46" s="122"/>
      <c r="EQ46" s="122"/>
      <c r="ER46" s="122"/>
      <c r="ES46" s="122"/>
      <c r="ET46" s="122"/>
      <c r="EU46" s="122"/>
      <c r="EV46" s="122"/>
      <c r="EW46" s="122"/>
      <c r="EX46" s="122"/>
      <c r="EY46" s="122"/>
      <c r="EZ46" s="122"/>
      <c r="FA46" s="122"/>
      <c r="FB46" s="122"/>
      <c r="FC46" s="122"/>
      <c r="FD46" s="122"/>
      <c r="FE46" s="122"/>
      <c r="FF46" s="122"/>
      <c r="FG46" s="122"/>
      <c r="FH46" s="122"/>
      <c r="FI46" s="122"/>
      <c r="FJ46" s="122"/>
      <c r="FK46" s="122"/>
      <c r="FL46" s="122"/>
      <c r="FM46" s="122"/>
      <c r="FN46" s="122"/>
      <c r="FO46" s="122"/>
      <c r="FP46" s="122"/>
      <c r="FQ46" s="122"/>
      <c r="FR46" s="122"/>
      <c r="FS46" s="122"/>
      <c r="FT46" s="122"/>
      <c r="FU46" s="122"/>
      <c r="FV46" s="122"/>
      <c r="FW46" s="122"/>
      <c r="FX46" s="122"/>
      <c r="FY46" s="122"/>
      <c r="FZ46" s="122"/>
      <c r="GA46" s="122"/>
      <c r="GB46" s="122"/>
      <c r="GC46" s="122"/>
      <c r="GD46" s="122"/>
      <c r="GE46" s="122"/>
      <c r="GF46" s="122"/>
      <c r="GG46" s="122"/>
      <c r="GH46" s="122"/>
      <c r="GI46" s="122"/>
      <c r="GJ46" s="122"/>
      <c r="GK46" s="122"/>
      <c r="GL46" s="122"/>
      <c r="GM46" s="122"/>
      <c r="GN46" s="122"/>
      <c r="GO46" s="122"/>
      <c r="GP46" s="122"/>
      <c r="GQ46" s="122"/>
      <c r="GR46" s="122"/>
      <c r="GS46" s="122"/>
      <c r="GT46" s="122"/>
      <c r="GU46" s="122"/>
      <c r="GV46" s="122"/>
      <c r="GW46" s="122"/>
      <c r="GX46" s="122"/>
      <c r="GY46" s="122"/>
      <c r="GZ46" s="122"/>
      <c r="HA46" s="122"/>
      <c r="HB46" s="122"/>
      <c r="HC46" s="122"/>
      <c r="HD46" s="122"/>
      <c r="HE46" s="122"/>
      <c r="HF46" s="122"/>
      <c r="HG46" s="122"/>
      <c r="HH46" s="122"/>
      <c r="HI46" s="122"/>
      <c r="HJ46" s="122"/>
      <c r="HK46" s="122"/>
      <c r="HL46" s="122"/>
      <c r="HM46" s="122"/>
      <c r="HN46" s="122"/>
      <c r="HO46" s="122"/>
      <c r="HP46" s="122"/>
      <c r="HQ46" s="122"/>
      <c r="HR46" s="122"/>
      <c r="HS46" s="122"/>
      <c r="HT46" s="122"/>
      <c r="HU46" s="122"/>
      <c r="HV46" s="122"/>
      <c r="HW46" s="122"/>
      <c r="HX46" s="122"/>
      <c r="HY46" s="122"/>
      <c r="HZ46" s="122"/>
      <c r="IA46" s="122"/>
      <c r="IB46" s="122"/>
      <c r="IC46" s="122"/>
      <c r="ID46" s="122"/>
      <c r="IE46" s="122"/>
      <c r="IF46" s="122"/>
      <c r="IG46" s="122"/>
      <c r="IH46" s="122"/>
      <c r="II46" s="122"/>
      <c r="IJ46" s="122"/>
      <c r="IK46" s="122"/>
      <c r="IL46" s="122"/>
      <c r="IM46" s="122"/>
      <c r="IN46" s="122"/>
      <c r="IO46" s="122"/>
      <c r="IP46" s="122"/>
      <c r="IQ46" s="122"/>
      <c r="IR46" s="122"/>
      <c r="IS46" s="122"/>
      <c r="IT46" s="122"/>
      <c r="IU46" s="122"/>
      <c r="IV46" s="122"/>
      <c r="IW46" s="122"/>
      <c r="IX46" s="122"/>
      <c r="IY46" s="122"/>
      <c r="IZ46" s="122"/>
      <c r="JA46" s="122"/>
      <c r="JB46" s="122"/>
      <c r="JC46" s="122"/>
      <c r="JD46" s="122"/>
      <c r="JE46" s="122"/>
      <c r="JF46" s="122"/>
      <c r="JG46" s="122"/>
      <c r="JH46" s="122"/>
      <c r="JI46" s="119">
        <f t="shared" si="0"/>
        <v>0</v>
      </c>
      <c r="JJ46" s="2"/>
      <c r="JK46" s="122"/>
      <c r="JL46" s="125">
        <f t="shared" si="1"/>
        <v>0</v>
      </c>
      <c r="JM46" s="125"/>
      <c r="JN46" s="125"/>
      <c r="JO46" s="125"/>
      <c r="JP46" s="125"/>
    </row>
    <row r="47" spans="1:27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25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19">
        <f t="shared" ref="JI47:JI75" si="2">SUM(A47:JH47)</f>
        <v>0</v>
      </c>
      <c r="JJ47" s="2"/>
      <c r="JK47" s="122"/>
      <c r="JL47" s="125">
        <f t="shared" si="1"/>
        <v>0</v>
      </c>
      <c r="JM47" s="125"/>
      <c r="JN47" s="125"/>
      <c r="JO47" s="125"/>
      <c r="JP47" s="125"/>
    </row>
    <row r="48" spans="1:276" x14ac:dyDescent="0.25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  <c r="BP48" s="122"/>
      <c r="BQ48" s="122"/>
      <c r="BR48" s="122"/>
      <c r="BS48" s="122"/>
      <c r="BT48" s="122"/>
      <c r="BU48" s="122"/>
      <c r="BV48" s="122"/>
      <c r="BW48" s="122"/>
      <c r="BX48" s="122"/>
      <c r="BY48" s="122"/>
      <c r="BZ48" s="122"/>
      <c r="CA48" s="122"/>
      <c r="CB48" s="122"/>
      <c r="CC48" s="122"/>
      <c r="CD48" s="122"/>
      <c r="CE48" s="122"/>
      <c r="CF48" s="122"/>
      <c r="CG48" s="122"/>
      <c r="CH48" s="122"/>
      <c r="CI48" s="122"/>
      <c r="CJ48" s="122"/>
      <c r="CK48" s="122"/>
      <c r="CL48" s="122"/>
      <c r="CM48" s="122"/>
      <c r="CN48" s="122"/>
      <c r="CO48" s="122"/>
      <c r="CP48" s="122"/>
      <c r="CQ48" s="122"/>
      <c r="CR48" s="122"/>
      <c r="CS48" s="122"/>
      <c r="CT48" s="122"/>
      <c r="CU48" s="122"/>
      <c r="CV48" s="122"/>
      <c r="CW48" s="122"/>
      <c r="CX48" s="122"/>
      <c r="CY48" s="122"/>
      <c r="CZ48" s="122"/>
      <c r="DA48" s="122"/>
      <c r="DB48" s="122"/>
      <c r="DC48" s="122"/>
      <c r="DD48" s="122"/>
      <c r="DE48" s="122"/>
      <c r="DF48" s="122"/>
      <c r="DG48" s="122"/>
      <c r="DH48" s="122"/>
      <c r="DI48" s="122"/>
      <c r="DJ48" s="122"/>
      <c r="DK48" s="122"/>
      <c r="DL48" s="122"/>
      <c r="DM48" s="122"/>
      <c r="DN48" s="122"/>
      <c r="DO48" s="122"/>
      <c r="DP48" s="122"/>
      <c r="DQ48" s="122"/>
      <c r="DR48" s="122"/>
      <c r="DS48" s="122"/>
      <c r="DT48" s="122"/>
      <c r="DU48" s="122"/>
      <c r="DV48" s="122"/>
      <c r="DW48" s="122"/>
      <c r="DX48" s="122"/>
      <c r="DY48" s="122"/>
      <c r="DZ48" s="122"/>
      <c r="EA48" s="122"/>
      <c r="EB48" s="122"/>
      <c r="EC48" s="122"/>
      <c r="ED48" s="122"/>
      <c r="EE48" s="122"/>
      <c r="EF48" s="122"/>
      <c r="EG48" s="122"/>
      <c r="EH48" s="122"/>
      <c r="EI48" s="122"/>
      <c r="EJ48" s="122"/>
      <c r="EK48" s="122"/>
      <c r="EL48" s="122"/>
      <c r="EM48" s="122"/>
      <c r="EN48" s="122"/>
      <c r="EO48" s="122"/>
      <c r="EP48" s="122"/>
      <c r="EQ48" s="122"/>
      <c r="ER48" s="122"/>
      <c r="ES48" s="122"/>
      <c r="ET48" s="122"/>
      <c r="EU48" s="122"/>
      <c r="EV48" s="122"/>
      <c r="EW48" s="122"/>
      <c r="EX48" s="122"/>
      <c r="EY48" s="122"/>
      <c r="EZ48" s="122"/>
      <c r="FA48" s="122"/>
      <c r="FB48" s="122"/>
      <c r="FC48" s="122"/>
      <c r="FD48" s="122"/>
      <c r="FE48" s="122"/>
      <c r="FF48" s="122"/>
      <c r="FG48" s="122"/>
      <c r="FH48" s="122"/>
      <c r="FI48" s="122"/>
      <c r="FJ48" s="122"/>
      <c r="FK48" s="122"/>
      <c r="FL48" s="122"/>
      <c r="FM48" s="122"/>
      <c r="FN48" s="122"/>
      <c r="FO48" s="122"/>
      <c r="FP48" s="122"/>
      <c r="FQ48" s="122"/>
      <c r="FR48" s="122"/>
      <c r="FS48" s="122"/>
      <c r="FT48" s="122"/>
      <c r="FU48" s="122"/>
      <c r="FV48" s="122"/>
      <c r="FW48" s="122"/>
      <c r="FX48" s="122"/>
      <c r="FY48" s="122"/>
      <c r="FZ48" s="122"/>
      <c r="GA48" s="122"/>
      <c r="GB48" s="122"/>
      <c r="GC48" s="122"/>
      <c r="GD48" s="122"/>
      <c r="GE48" s="122"/>
      <c r="GF48" s="122"/>
      <c r="GG48" s="122"/>
      <c r="GH48" s="122"/>
      <c r="GI48" s="122"/>
      <c r="GJ48" s="122"/>
      <c r="GK48" s="122"/>
      <c r="GL48" s="122"/>
      <c r="GM48" s="122"/>
      <c r="GN48" s="122"/>
      <c r="GO48" s="122"/>
      <c r="GP48" s="122"/>
      <c r="GQ48" s="122"/>
      <c r="GR48" s="122"/>
      <c r="GS48" s="122"/>
      <c r="GT48" s="122"/>
      <c r="GU48" s="122"/>
      <c r="GV48" s="122"/>
      <c r="GW48" s="122"/>
      <c r="GX48" s="122"/>
      <c r="GY48" s="122"/>
      <c r="GZ48" s="122"/>
      <c r="HA48" s="122"/>
      <c r="HB48" s="122"/>
      <c r="HC48" s="122"/>
      <c r="HD48" s="122"/>
      <c r="HE48" s="122"/>
      <c r="HF48" s="122"/>
      <c r="HG48" s="122"/>
      <c r="HH48" s="122"/>
      <c r="HI48" s="122"/>
      <c r="HJ48" s="122"/>
      <c r="HK48" s="122"/>
      <c r="HL48" s="122"/>
      <c r="HM48" s="122"/>
      <c r="HN48" s="122"/>
      <c r="HO48" s="122"/>
      <c r="HP48" s="122"/>
      <c r="HQ48" s="122"/>
      <c r="HR48" s="122"/>
      <c r="HS48" s="122"/>
      <c r="HT48" s="122"/>
      <c r="HU48" s="122"/>
      <c r="HV48" s="122"/>
      <c r="HW48" s="122"/>
      <c r="HX48" s="122"/>
      <c r="HY48" s="122"/>
      <c r="HZ48" s="122"/>
      <c r="IA48" s="122"/>
      <c r="IB48" s="122"/>
      <c r="IC48" s="122"/>
      <c r="ID48" s="122"/>
      <c r="IE48" s="122"/>
      <c r="IF48" s="122"/>
      <c r="IG48" s="122"/>
      <c r="IH48" s="122"/>
      <c r="II48" s="122"/>
      <c r="IJ48" s="122"/>
      <c r="IK48" s="122"/>
      <c r="IL48" s="122"/>
      <c r="IM48" s="122"/>
      <c r="IN48" s="122"/>
      <c r="IO48" s="122"/>
      <c r="IP48" s="122"/>
      <c r="IQ48" s="122"/>
      <c r="IR48" s="122"/>
      <c r="IS48" s="122"/>
      <c r="IT48" s="122"/>
      <c r="IU48" s="122"/>
      <c r="IV48" s="122"/>
      <c r="IW48" s="122"/>
      <c r="IX48" s="122"/>
      <c r="IY48" s="122"/>
      <c r="IZ48" s="122"/>
      <c r="JA48" s="122"/>
      <c r="JB48" s="122"/>
      <c r="JC48" s="122"/>
      <c r="JD48" s="122"/>
      <c r="JE48" s="122"/>
      <c r="JF48" s="122"/>
      <c r="JG48" s="122"/>
      <c r="JH48" s="122"/>
      <c r="JI48" s="119">
        <f t="shared" si="2"/>
        <v>0</v>
      </c>
      <c r="JJ48" s="2"/>
      <c r="JK48" s="122"/>
      <c r="JL48" s="125">
        <f t="shared" si="1"/>
        <v>0</v>
      </c>
      <c r="JM48" s="125"/>
      <c r="JN48" s="125"/>
      <c r="JO48" s="125"/>
      <c r="JP48" s="125"/>
    </row>
    <row r="49" spans="1:276" x14ac:dyDescent="0.25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/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  <c r="DW49" s="122"/>
      <c r="DX49" s="122"/>
      <c r="DY49" s="122"/>
      <c r="DZ49" s="122"/>
      <c r="EA49" s="122"/>
      <c r="EB49" s="122"/>
      <c r="EC49" s="122"/>
      <c r="ED49" s="122"/>
      <c r="EE49" s="122"/>
      <c r="EF49" s="122"/>
      <c r="EG49" s="122"/>
      <c r="EH49" s="122"/>
      <c r="EI49" s="122"/>
      <c r="EJ49" s="122"/>
      <c r="EK49" s="122"/>
      <c r="EL49" s="122"/>
      <c r="EM49" s="122"/>
      <c r="EN49" s="122"/>
      <c r="EO49" s="122"/>
      <c r="EP49" s="122"/>
      <c r="EQ49" s="122"/>
      <c r="ER49" s="122"/>
      <c r="ES49" s="122"/>
      <c r="ET49" s="122"/>
      <c r="EU49" s="122"/>
      <c r="EV49" s="122"/>
      <c r="EW49" s="122"/>
      <c r="EX49" s="122"/>
      <c r="EY49" s="122"/>
      <c r="EZ49" s="122"/>
      <c r="FA49" s="122"/>
      <c r="FB49" s="122"/>
      <c r="FC49" s="122"/>
      <c r="FD49" s="122"/>
      <c r="FE49" s="122"/>
      <c r="FF49" s="122"/>
      <c r="FG49" s="122"/>
      <c r="FH49" s="122"/>
      <c r="FI49" s="122"/>
      <c r="FJ49" s="122"/>
      <c r="FK49" s="122"/>
      <c r="FL49" s="122"/>
      <c r="FM49" s="122"/>
      <c r="FN49" s="122"/>
      <c r="FO49" s="122"/>
      <c r="FP49" s="122"/>
      <c r="FQ49" s="122"/>
      <c r="FR49" s="122"/>
      <c r="FS49" s="122"/>
      <c r="FT49" s="122"/>
      <c r="FU49" s="122"/>
      <c r="FV49" s="122"/>
      <c r="FW49" s="122"/>
      <c r="FX49" s="122"/>
      <c r="FY49" s="122"/>
      <c r="FZ49" s="122"/>
      <c r="GA49" s="122"/>
      <c r="GB49" s="122"/>
      <c r="GC49" s="122"/>
      <c r="GD49" s="122"/>
      <c r="GE49" s="122"/>
      <c r="GF49" s="122"/>
      <c r="GG49" s="122"/>
      <c r="GH49" s="122"/>
      <c r="GI49" s="122"/>
      <c r="GJ49" s="122"/>
      <c r="GK49" s="122"/>
      <c r="GL49" s="122"/>
      <c r="GM49" s="122"/>
      <c r="GN49" s="122"/>
      <c r="GO49" s="122"/>
      <c r="GP49" s="122"/>
      <c r="GQ49" s="122"/>
      <c r="GR49" s="122"/>
      <c r="GS49" s="122"/>
      <c r="GT49" s="122"/>
      <c r="GU49" s="122"/>
      <c r="GV49" s="122"/>
      <c r="GW49" s="122"/>
      <c r="GX49" s="122"/>
      <c r="GY49" s="122"/>
      <c r="GZ49" s="122"/>
      <c r="HA49" s="122"/>
      <c r="HB49" s="122"/>
      <c r="HC49" s="122"/>
      <c r="HD49" s="122"/>
      <c r="HE49" s="122"/>
      <c r="HF49" s="122"/>
      <c r="HG49" s="122"/>
      <c r="HH49" s="122"/>
      <c r="HI49" s="122"/>
      <c r="HJ49" s="122"/>
      <c r="HK49" s="122"/>
      <c r="HL49" s="122"/>
      <c r="HM49" s="122"/>
      <c r="HN49" s="122"/>
      <c r="HO49" s="122"/>
      <c r="HP49" s="122"/>
      <c r="HQ49" s="122"/>
      <c r="HR49" s="122"/>
      <c r="HS49" s="122"/>
      <c r="HT49" s="122"/>
      <c r="HU49" s="122"/>
      <c r="HV49" s="122"/>
      <c r="HW49" s="122"/>
      <c r="HX49" s="122"/>
      <c r="HY49" s="122"/>
      <c r="HZ49" s="122"/>
      <c r="IA49" s="122"/>
      <c r="IB49" s="122"/>
      <c r="IC49" s="122"/>
      <c r="ID49" s="122"/>
      <c r="IE49" s="122"/>
      <c r="IF49" s="122"/>
      <c r="IG49" s="122"/>
      <c r="IH49" s="122"/>
      <c r="II49" s="122"/>
      <c r="IJ49" s="122"/>
      <c r="IK49" s="122"/>
      <c r="IL49" s="122"/>
      <c r="IM49" s="122"/>
      <c r="IN49" s="122"/>
      <c r="IO49" s="122"/>
      <c r="IP49" s="122"/>
      <c r="IQ49" s="122"/>
      <c r="IR49" s="122"/>
      <c r="IS49" s="122"/>
      <c r="IT49" s="122"/>
      <c r="IU49" s="122"/>
      <c r="IV49" s="122"/>
      <c r="IW49" s="122"/>
      <c r="IX49" s="122"/>
      <c r="IY49" s="122"/>
      <c r="IZ49" s="122"/>
      <c r="JA49" s="122"/>
      <c r="JB49" s="122"/>
      <c r="JC49" s="122"/>
      <c r="JD49" s="122"/>
      <c r="JE49" s="122"/>
      <c r="JF49" s="122"/>
      <c r="JG49" s="122"/>
      <c r="JH49" s="122"/>
      <c r="JI49" s="119">
        <f t="shared" si="2"/>
        <v>0</v>
      </c>
      <c r="JJ49" s="2"/>
      <c r="JK49" s="122"/>
      <c r="JL49" s="125">
        <f t="shared" si="1"/>
        <v>0</v>
      </c>
      <c r="JM49" s="125"/>
      <c r="JN49" s="125"/>
      <c r="JO49" s="125"/>
      <c r="JP49" s="125"/>
    </row>
    <row r="50" spans="1:276" x14ac:dyDescent="0.25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22"/>
      <c r="DS50" s="122"/>
      <c r="DT50" s="122"/>
      <c r="DU50" s="122"/>
      <c r="DV50" s="122"/>
      <c r="DW50" s="122"/>
      <c r="DX50" s="122"/>
      <c r="DY50" s="122"/>
      <c r="DZ50" s="122"/>
      <c r="EA50" s="122"/>
      <c r="EB50" s="122"/>
      <c r="EC50" s="122"/>
      <c r="ED50" s="122"/>
      <c r="EE50" s="122"/>
      <c r="EF50" s="122"/>
      <c r="EG50" s="122"/>
      <c r="EH50" s="122"/>
      <c r="EI50" s="122"/>
      <c r="EJ50" s="122"/>
      <c r="EK50" s="122"/>
      <c r="EL50" s="122"/>
      <c r="EM50" s="122"/>
      <c r="EN50" s="122"/>
      <c r="EO50" s="122"/>
      <c r="EP50" s="122"/>
      <c r="EQ50" s="122"/>
      <c r="ER50" s="122"/>
      <c r="ES50" s="122"/>
      <c r="ET50" s="122"/>
      <c r="EU50" s="122"/>
      <c r="EV50" s="122"/>
      <c r="EW50" s="122"/>
      <c r="EX50" s="122"/>
      <c r="EY50" s="122"/>
      <c r="EZ50" s="122"/>
      <c r="FA50" s="122"/>
      <c r="FB50" s="122"/>
      <c r="FC50" s="122"/>
      <c r="FD50" s="122"/>
      <c r="FE50" s="122"/>
      <c r="FF50" s="122"/>
      <c r="FG50" s="122"/>
      <c r="FH50" s="122"/>
      <c r="FI50" s="122"/>
      <c r="FJ50" s="122"/>
      <c r="FK50" s="122"/>
      <c r="FL50" s="122"/>
      <c r="FM50" s="122"/>
      <c r="FN50" s="122"/>
      <c r="FO50" s="122"/>
      <c r="FP50" s="122"/>
      <c r="FQ50" s="122"/>
      <c r="FR50" s="122"/>
      <c r="FS50" s="122"/>
      <c r="FT50" s="122"/>
      <c r="FU50" s="122"/>
      <c r="FV50" s="122"/>
      <c r="FW50" s="122"/>
      <c r="FX50" s="122"/>
      <c r="FY50" s="122"/>
      <c r="FZ50" s="122"/>
      <c r="GA50" s="122"/>
      <c r="GB50" s="122"/>
      <c r="GC50" s="122"/>
      <c r="GD50" s="122"/>
      <c r="GE50" s="122"/>
      <c r="GF50" s="122"/>
      <c r="GG50" s="122"/>
      <c r="GH50" s="122"/>
      <c r="GI50" s="122"/>
      <c r="GJ50" s="122"/>
      <c r="GK50" s="122"/>
      <c r="GL50" s="122"/>
      <c r="GM50" s="122"/>
      <c r="GN50" s="122"/>
      <c r="GO50" s="122"/>
      <c r="GP50" s="122"/>
      <c r="GQ50" s="122"/>
      <c r="GR50" s="122"/>
      <c r="GS50" s="122"/>
      <c r="GT50" s="122"/>
      <c r="GU50" s="122"/>
      <c r="GV50" s="122"/>
      <c r="GW50" s="122"/>
      <c r="GX50" s="122"/>
      <c r="GY50" s="122"/>
      <c r="GZ50" s="122"/>
      <c r="HA50" s="122"/>
      <c r="HB50" s="122"/>
      <c r="HC50" s="122"/>
      <c r="HD50" s="122"/>
      <c r="HE50" s="122"/>
      <c r="HF50" s="122"/>
      <c r="HG50" s="122"/>
      <c r="HH50" s="122"/>
      <c r="HI50" s="122"/>
      <c r="HJ50" s="122"/>
      <c r="HK50" s="122"/>
      <c r="HL50" s="122"/>
      <c r="HM50" s="122"/>
      <c r="HN50" s="122"/>
      <c r="HO50" s="122"/>
      <c r="HP50" s="122"/>
      <c r="HQ50" s="122"/>
      <c r="HR50" s="122"/>
      <c r="HS50" s="122"/>
      <c r="HT50" s="122"/>
      <c r="HU50" s="122"/>
      <c r="HV50" s="122"/>
      <c r="HW50" s="122"/>
      <c r="HX50" s="122"/>
      <c r="HY50" s="122"/>
      <c r="HZ50" s="122"/>
      <c r="IA50" s="122"/>
      <c r="IB50" s="122"/>
      <c r="IC50" s="122"/>
      <c r="ID50" s="122"/>
      <c r="IE50" s="122"/>
      <c r="IF50" s="122"/>
      <c r="IG50" s="122"/>
      <c r="IH50" s="122"/>
      <c r="II50" s="122"/>
      <c r="IJ50" s="122"/>
      <c r="IK50" s="122"/>
      <c r="IL50" s="122"/>
      <c r="IM50" s="122"/>
      <c r="IN50" s="122"/>
      <c r="IO50" s="122"/>
      <c r="IP50" s="122"/>
      <c r="IQ50" s="122"/>
      <c r="IR50" s="122"/>
      <c r="IS50" s="122"/>
      <c r="IT50" s="122"/>
      <c r="IU50" s="122"/>
      <c r="IV50" s="122"/>
      <c r="IW50" s="122"/>
      <c r="IX50" s="122"/>
      <c r="IY50" s="122"/>
      <c r="IZ50" s="122"/>
      <c r="JA50" s="122"/>
      <c r="JB50" s="122"/>
      <c r="JC50" s="122"/>
      <c r="JD50" s="122"/>
      <c r="JE50" s="122"/>
      <c r="JF50" s="122"/>
      <c r="JG50" s="122"/>
      <c r="JH50" s="122"/>
      <c r="JI50" s="119">
        <f t="shared" si="2"/>
        <v>0</v>
      </c>
      <c r="JJ50" s="2"/>
      <c r="JK50" s="122"/>
      <c r="JL50" s="125">
        <f t="shared" si="1"/>
        <v>0</v>
      </c>
      <c r="JM50" s="125"/>
      <c r="JN50" s="125"/>
      <c r="JO50" s="125"/>
      <c r="JP50" s="125"/>
    </row>
    <row r="51" spans="1:276" x14ac:dyDescent="0.25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/>
      <c r="DL51" s="122"/>
      <c r="DM51" s="122"/>
      <c r="DN51" s="122"/>
      <c r="DO51" s="122"/>
      <c r="DP51" s="122"/>
      <c r="DQ51" s="122"/>
      <c r="DR51" s="122"/>
      <c r="DS51" s="122"/>
      <c r="DT51" s="122"/>
      <c r="DU51" s="122"/>
      <c r="DV51" s="122"/>
      <c r="DW51" s="122"/>
      <c r="DX51" s="122"/>
      <c r="DY51" s="122"/>
      <c r="DZ51" s="122"/>
      <c r="EA51" s="122"/>
      <c r="EB51" s="122"/>
      <c r="EC51" s="122"/>
      <c r="ED51" s="122"/>
      <c r="EE51" s="122"/>
      <c r="EF51" s="122"/>
      <c r="EG51" s="122"/>
      <c r="EH51" s="122"/>
      <c r="EI51" s="122"/>
      <c r="EJ51" s="122"/>
      <c r="EK51" s="122"/>
      <c r="EL51" s="122"/>
      <c r="EM51" s="122"/>
      <c r="EN51" s="122"/>
      <c r="EO51" s="122"/>
      <c r="EP51" s="122"/>
      <c r="EQ51" s="122"/>
      <c r="ER51" s="122"/>
      <c r="ES51" s="122"/>
      <c r="ET51" s="122"/>
      <c r="EU51" s="122"/>
      <c r="EV51" s="122"/>
      <c r="EW51" s="122"/>
      <c r="EX51" s="122"/>
      <c r="EY51" s="122"/>
      <c r="EZ51" s="122"/>
      <c r="FA51" s="122"/>
      <c r="FB51" s="122"/>
      <c r="FC51" s="122"/>
      <c r="FD51" s="122"/>
      <c r="FE51" s="122"/>
      <c r="FF51" s="122"/>
      <c r="FG51" s="122"/>
      <c r="FH51" s="122"/>
      <c r="FI51" s="122"/>
      <c r="FJ51" s="122"/>
      <c r="FK51" s="122"/>
      <c r="FL51" s="122"/>
      <c r="FM51" s="122"/>
      <c r="FN51" s="122"/>
      <c r="FO51" s="122"/>
      <c r="FP51" s="122"/>
      <c r="FQ51" s="122"/>
      <c r="FR51" s="122"/>
      <c r="FS51" s="122"/>
      <c r="FT51" s="122"/>
      <c r="FU51" s="122"/>
      <c r="FV51" s="122"/>
      <c r="FW51" s="122"/>
      <c r="FX51" s="122"/>
      <c r="FY51" s="122"/>
      <c r="FZ51" s="122"/>
      <c r="GA51" s="122"/>
      <c r="GB51" s="122"/>
      <c r="GC51" s="122"/>
      <c r="GD51" s="122"/>
      <c r="GE51" s="122"/>
      <c r="GF51" s="122"/>
      <c r="GG51" s="122"/>
      <c r="GH51" s="122"/>
      <c r="GI51" s="122"/>
      <c r="GJ51" s="122"/>
      <c r="GK51" s="122"/>
      <c r="GL51" s="122"/>
      <c r="GM51" s="122"/>
      <c r="GN51" s="122"/>
      <c r="GO51" s="122"/>
      <c r="GP51" s="122"/>
      <c r="GQ51" s="122"/>
      <c r="GR51" s="122"/>
      <c r="GS51" s="122"/>
      <c r="GT51" s="122"/>
      <c r="GU51" s="122"/>
      <c r="GV51" s="122"/>
      <c r="GW51" s="122"/>
      <c r="GX51" s="122"/>
      <c r="GY51" s="122"/>
      <c r="GZ51" s="122"/>
      <c r="HA51" s="122"/>
      <c r="HB51" s="122"/>
      <c r="HC51" s="122"/>
      <c r="HD51" s="122"/>
      <c r="HE51" s="122"/>
      <c r="HF51" s="122"/>
      <c r="HG51" s="122"/>
      <c r="HH51" s="122"/>
      <c r="HI51" s="122"/>
      <c r="HJ51" s="122"/>
      <c r="HK51" s="122"/>
      <c r="HL51" s="122"/>
      <c r="HM51" s="122"/>
      <c r="HN51" s="122"/>
      <c r="HO51" s="122"/>
      <c r="HP51" s="122"/>
      <c r="HQ51" s="122"/>
      <c r="HR51" s="122"/>
      <c r="HS51" s="122"/>
      <c r="HT51" s="122"/>
      <c r="HU51" s="122"/>
      <c r="HV51" s="122"/>
      <c r="HW51" s="122"/>
      <c r="HX51" s="122"/>
      <c r="HY51" s="122"/>
      <c r="HZ51" s="122"/>
      <c r="IA51" s="122"/>
      <c r="IB51" s="122"/>
      <c r="IC51" s="122"/>
      <c r="ID51" s="122"/>
      <c r="IE51" s="122"/>
      <c r="IF51" s="122"/>
      <c r="IG51" s="122"/>
      <c r="IH51" s="122"/>
      <c r="II51" s="122"/>
      <c r="IJ51" s="122"/>
      <c r="IK51" s="122"/>
      <c r="IL51" s="122"/>
      <c r="IM51" s="122"/>
      <c r="IN51" s="122"/>
      <c r="IO51" s="122"/>
      <c r="IP51" s="122"/>
      <c r="IQ51" s="122"/>
      <c r="IR51" s="122"/>
      <c r="IS51" s="122"/>
      <c r="IT51" s="122"/>
      <c r="IU51" s="122"/>
      <c r="IV51" s="122"/>
      <c r="IW51" s="122"/>
      <c r="IX51" s="122"/>
      <c r="IY51" s="122"/>
      <c r="IZ51" s="122"/>
      <c r="JA51" s="122"/>
      <c r="JB51" s="122"/>
      <c r="JC51" s="122"/>
      <c r="JD51" s="122"/>
      <c r="JE51" s="122"/>
      <c r="JF51" s="122"/>
      <c r="JG51" s="122"/>
      <c r="JH51" s="122"/>
      <c r="JI51" s="119">
        <f t="shared" si="2"/>
        <v>0</v>
      </c>
      <c r="JJ51" s="2"/>
      <c r="JK51" s="122"/>
      <c r="JL51" s="125">
        <f t="shared" si="1"/>
        <v>0</v>
      </c>
      <c r="JM51" s="125"/>
      <c r="JN51" s="125"/>
      <c r="JO51" s="125"/>
      <c r="JP51" s="125"/>
    </row>
    <row r="52" spans="1:276" x14ac:dyDescent="0.25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F52" s="122"/>
      <c r="CG52" s="122"/>
      <c r="CH52" s="122"/>
      <c r="CI52" s="122"/>
      <c r="CJ52" s="122"/>
      <c r="CK52" s="122"/>
      <c r="CL52" s="122"/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  <c r="DN52" s="122"/>
      <c r="DO52" s="122"/>
      <c r="DP52" s="122"/>
      <c r="DQ52" s="122"/>
      <c r="DR52" s="122"/>
      <c r="DS52" s="122"/>
      <c r="DT52" s="122"/>
      <c r="DU52" s="122"/>
      <c r="DV52" s="122"/>
      <c r="DW52" s="122"/>
      <c r="DX52" s="122"/>
      <c r="DY52" s="122"/>
      <c r="DZ52" s="122"/>
      <c r="EA52" s="122"/>
      <c r="EB52" s="122"/>
      <c r="EC52" s="122"/>
      <c r="ED52" s="122"/>
      <c r="EE52" s="122"/>
      <c r="EF52" s="122"/>
      <c r="EG52" s="122"/>
      <c r="EH52" s="122"/>
      <c r="EI52" s="122"/>
      <c r="EJ52" s="122"/>
      <c r="EK52" s="122"/>
      <c r="EL52" s="122"/>
      <c r="EM52" s="122"/>
      <c r="EN52" s="122"/>
      <c r="EO52" s="122"/>
      <c r="EP52" s="122"/>
      <c r="EQ52" s="122"/>
      <c r="ER52" s="122"/>
      <c r="ES52" s="122"/>
      <c r="ET52" s="122"/>
      <c r="EU52" s="122"/>
      <c r="EV52" s="122"/>
      <c r="EW52" s="122"/>
      <c r="EX52" s="122"/>
      <c r="EY52" s="122"/>
      <c r="EZ52" s="122"/>
      <c r="FA52" s="122"/>
      <c r="FB52" s="122"/>
      <c r="FC52" s="122"/>
      <c r="FD52" s="122"/>
      <c r="FE52" s="122"/>
      <c r="FF52" s="122"/>
      <c r="FG52" s="122"/>
      <c r="FH52" s="122"/>
      <c r="FI52" s="122"/>
      <c r="FJ52" s="122"/>
      <c r="FK52" s="122"/>
      <c r="FL52" s="122"/>
      <c r="FM52" s="122"/>
      <c r="FN52" s="122"/>
      <c r="FO52" s="122"/>
      <c r="FP52" s="122"/>
      <c r="FQ52" s="122"/>
      <c r="FR52" s="122"/>
      <c r="FS52" s="122"/>
      <c r="FT52" s="122"/>
      <c r="FU52" s="122"/>
      <c r="FV52" s="122"/>
      <c r="FW52" s="122"/>
      <c r="FX52" s="122"/>
      <c r="FY52" s="122"/>
      <c r="FZ52" s="122"/>
      <c r="GA52" s="122"/>
      <c r="GB52" s="122"/>
      <c r="GC52" s="122"/>
      <c r="GD52" s="122"/>
      <c r="GE52" s="122"/>
      <c r="GF52" s="122"/>
      <c r="GG52" s="122"/>
      <c r="GH52" s="122"/>
      <c r="GI52" s="122"/>
      <c r="GJ52" s="122"/>
      <c r="GK52" s="122"/>
      <c r="GL52" s="122"/>
      <c r="GM52" s="122"/>
      <c r="GN52" s="122"/>
      <c r="GO52" s="122"/>
      <c r="GP52" s="122"/>
      <c r="GQ52" s="122"/>
      <c r="GR52" s="122"/>
      <c r="GS52" s="122"/>
      <c r="GT52" s="122"/>
      <c r="GU52" s="122"/>
      <c r="GV52" s="122"/>
      <c r="GW52" s="122"/>
      <c r="GX52" s="122"/>
      <c r="GY52" s="122"/>
      <c r="GZ52" s="122"/>
      <c r="HA52" s="122"/>
      <c r="HB52" s="122"/>
      <c r="HC52" s="122"/>
      <c r="HD52" s="122"/>
      <c r="HE52" s="122"/>
      <c r="HF52" s="122"/>
      <c r="HG52" s="122"/>
      <c r="HH52" s="122"/>
      <c r="HI52" s="122"/>
      <c r="HJ52" s="122"/>
      <c r="HK52" s="122"/>
      <c r="HL52" s="122"/>
      <c r="HM52" s="122"/>
      <c r="HN52" s="122"/>
      <c r="HO52" s="122"/>
      <c r="HP52" s="122"/>
      <c r="HQ52" s="122"/>
      <c r="HR52" s="122"/>
      <c r="HS52" s="122"/>
      <c r="HT52" s="122"/>
      <c r="HU52" s="122"/>
      <c r="HV52" s="122"/>
      <c r="HW52" s="122"/>
      <c r="HX52" s="122"/>
      <c r="HY52" s="122"/>
      <c r="HZ52" s="122"/>
      <c r="IA52" s="122"/>
      <c r="IB52" s="122"/>
      <c r="IC52" s="122"/>
      <c r="ID52" s="122"/>
      <c r="IE52" s="122"/>
      <c r="IF52" s="122"/>
      <c r="IG52" s="122"/>
      <c r="IH52" s="122"/>
      <c r="II52" s="122"/>
      <c r="IJ52" s="122"/>
      <c r="IK52" s="122"/>
      <c r="IL52" s="122"/>
      <c r="IM52" s="122"/>
      <c r="IN52" s="122"/>
      <c r="IO52" s="122"/>
      <c r="IP52" s="122"/>
      <c r="IQ52" s="122"/>
      <c r="IR52" s="122"/>
      <c r="IS52" s="122"/>
      <c r="IT52" s="122"/>
      <c r="IU52" s="122"/>
      <c r="IV52" s="122"/>
      <c r="IW52" s="122"/>
      <c r="IX52" s="122"/>
      <c r="IY52" s="122"/>
      <c r="IZ52" s="122"/>
      <c r="JA52" s="122"/>
      <c r="JB52" s="122"/>
      <c r="JC52" s="122"/>
      <c r="JD52" s="122"/>
      <c r="JE52" s="122"/>
      <c r="JF52" s="122"/>
      <c r="JG52" s="122"/>
      <c r="JH52" s="122"/>
      <c r="JI52" s="119">
        <f t="shared" si="2"/>
        <v>0</v>
      </c>
      <c r="JJ52" s="2"/>
      <c r="JK52" s="122"/>
      <c r="JL52" s="125">
        <f t="shared" si="1"/>
        <v>0</v>
      </c>
      <c r="JM52" s="125"/>
      <c r="JN52" s="125"/>
      <c r="JO52" s="125"/>
      <c r="JP52" s="125"/>
    </row>
    <row r="53" spans="1:276" x14ac:dyDescent="0.25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  <c r="BP53" s="122"/>
      <c r="BQ53" s="122"/>
      <c r="BR53" s="122"/>
      <c r="BS53" s="122"/>
      <c r="BT53" s="122"/>
      <c r="BU53" s="122"/>
      <c r="BV53" s="122"/>
      <c r="BW53" s="122"/>
      <c r="BX53" s="122"/>
      <c r="BY53" s="122"/>
      <c r="BZ53" s="122"/>
      <c r="CA53" s="122"/>
      <c r="CB53" s="122"/>
      <c r="CC53" s="122"/>
      <c r="CD53" s="122"/>
      <c r="CE53" s="122"/>
      <c r="CF53" s="122"/>
      <c r="CG53" s="122"/>
      <c r="CH53" s="122"/>
      <c r="CI53" s="122"/>
      <c r="CJ53" s="122"/>
      <c r="CK53" s="122"/>
      <c r="CL53" s="122"/>
      <c r="CM53" s="122"/>
      <c r="CN53" s="122"/>
      <c r="CO53" s="122"/>
      <c r="CP53" s="122"/>
      <c r="CQ53" s="122"/>
      <c r="CR53" s="122"/>
      <c r="CS53" s="122"/>
      <c r="CT53" s="122"/>
      <c r="CU53" s="122"/>
      <c r="CV53" s="122"/>
      <c r="CW53" s="122"/>
      <c r="CX53" s="122"/>
      <c r="CY53" s="122"/>
      <c r="CZ53" s="122"/>
      <c r="DA53" s="122"/>
      <c r="DB53" s="122"/>
      <c r="DC53" s="122"/>
      <c r="DD53" s="122"/>
      <c r="DE53" s="122"/>
      <c r="DF53" s="122"/>
      <c r="DG53" s="122"/>
      <c r="DH53" s="122"/>
      <c r="DI53" s="122"/>
      <c r="DJ53" s="122"/>
      <c r="DK53" s="122"/>
      <c r="DL53" s="122"/>
      <c r="DM53" s="122"/>
      <c r="DN53" s="122"/>
      <c r="DO53" s="122"/>
      <c r="DP53" s="122"/>
      <c r="DQ53" s="122"/>
      <c r="DR53" s="122"/>
      <c r="DS53" s="122"/>
      <c r="DT53" s="122"/>
      <c r="DU53" s="122"/>
      <c r="DV53" s="122"/>
      <c r="DW53" s="122"/>
      <c r="DX53" s="122"/>
      <c r="DY53" s="122"/>
      <c r="DZ53" s="122"/>
      <c r="EA53" s="122"/>
      <c r="EB53" s="122"/>
      <c r="EC53" s="122"/>
      <c r="ED53" s="122"/>
      <c r="EE53" s="122"/>
      <c r="EF53" s="122"/>
      <c r="EG53" s="122"/>
      <c r="EH53" s="122"/>
      <c r="EI53" s="122"/>
      <c r="EJ53" s="122"/>
      <c r="EK53" s="122"/>
      <c r="EL53" s="122"/>
      <c r="EM53" s="122"/>
      <c r="EN53" s="122"/>
      <c r="EO53" s="122"/>
      <c r="EP53" s="122"/>
      <c r="EQ53" s="122"/>
      <c r="ER53" s="122"/>
      <c r="ES53" s="122"/>
      <c r="ET53" s="122"/>
      <c r="EU53" s="122"/>
      <c r="EV53" s="122"/>
      <c r="EW53" s="122"/>
      <c r="EX53" s="122"/>
      <c r="EY53" s="122"/>
      <c r="EZ53" s="122"/>
      <c r="FA53" s="122"/>
      <c r="FB53" s="122"/>
      <c r="FC53" s="122"/>
      <c r="FD53" s="122"/>
      <c r="FE53" s="122"/>
      <c r="FF53" s="122"/>
      <c r="FG53" s="122"/>
      <c r="FH53" s="122"/>
      <c r="FI53" s="122"/>
      <c r="FJ53" s="122"/>
      <c r="FK53" s="122"/>
      <c r="FL53" s="122"/>
      <c r="FM53" s="122"/>
      <c r="FN53" s="122"/>
      <c r="FO53" s="122"/>
      <c r="FP53" s="122"/>
      <c r="FQ53" s="122"/>
      <c r="FR53" s="122"/>
      <c r="FS53" s="122"/>
      <c r="FT53" s="122"/>
      <c r="FU53" s="122"/>
      <c r="FV53" s="122"/>
      <c r="FW53" s="122"/>
      <c r="FX53" s="122"/>
      <c r="FY53" s="122"/>
      <c r="FZ53" s="122"/>
      <c r="GA53" s="122"/>
      <c r="GB53" s="122"/>
      <c r="GC53" s="122"/>
      <c r="GD53" s="122"/>
      <c r="GE53" s="122"/>
      <c r="GF53" s="122"/>
      <c r="GG53" s="122"/>
      <c r="GH53" s="122"/>
      <c r="GI53" s="122"/>
      <c r="GJ53" s="122"/>
      <c r="GK53" s="122"/>
      <c r="GL53" s="122"/>
      <c r="GM53" s="122"/>
      <c r="GN53" s="122"/>
      <c r="GO53" s="122"/>
      <c r="GP53" s="122"/>
      <c r="GQ53" s="122"/>
      <c r="GR53" s="122"/>
      <c r="GS53" s="122"/>
      <c r="GT53" s="122"/>
      <c r="GU53" s="122"/>
      <c r="GV53" s="122"/>
      <c r="GW53" s="122"/>
      <c r="GX53" s="122"/>
      <c r="GY53" s="122"/>
      <c r="GZ53" s="122"/>
      <c r="HA53" s="122"/>
      <c r="HB53" s="122"/>
      <c r="HC53" s="122"/>
      <c r="HD53" s="122"/>
      <c r="HE53" s="122"/>
      <c r="HF53" s="122"/>
      <c r="HG53" s="122"/>
      <c r="HH53" s="122"/>
      <c r="HI53" s="122"/>
      <c r="HJ53" s="122"/>
      <c r="HK53" s="122"/>
      <c r="HL53" s="122"/>
      <c r="HM53" s="122"/>
      <c r="HN53" s="122"/>
      <c r="HO53" s="122"/>
      <c r="HP53" s="122"/>
      <c r="HQ53" s="122"/>
      <c r="HR53" s="122"/>
      <c r="HS53" s="122"/>
      <c r="HT53" s="122"/>
      <c r="HU53" s="122"/>
      <c r="HV53" s="122"/>
      <c r="HW53" s="122"/>
      <c r="HX53" s="122"/>
      <c r="HY53" s="122"/>
      <c r="HZ53" s="122"/>
      <c r="IA53" s="122"/>
      <c r="IB53" s="122"/>
      <c r="IC53" s="122"/>
      <c r="ID53" s="122"/>
      <c r="IE53" s="122"/>
      <c r="IF53" s="122"/>
      <c r="IG53" s="122"/>
      <c r="IH53" s="122"/>
      <c r="II53" s="122"/>
      <c r="IJ53" s="122"/>
      <c r="IK53" s="122"/>
      <c r="IL53" s="122"/>
      <c r="IM53" s="122"/>
      <c r="IN53" s="122"/>
      <c r="IO53" s="122"/>
      <c r="IP53" s="122"/>
      <c r="IQ53" s="122"/>
      <c r="IR53" s="122"/>
      <c r="IS53" s="122"/>
      <c r="IT53" s="122"/>
      <c r="IU53" s="122"/>
      <c r="IV53" s="122"/>
      <c r="IW53" s="122"/>
      <c r="IX53" s="122"/>
      <c r="IY53" s="122"/>
      <c r="IZ53" s="122"/>
      <c r="JA53" s="122"/>
      <c r="JB53" s="122"/>
      <c r="JC53" s="122"/>
      <c r="JD53" s="122"/>
      <c r="JE53" s="122"/>
      <c r="JF53" s="122"/>
      <c r="JG53" s="122"/>
      <c r="JH53" s="122"/>
      <c r="JI53" s="119">
        <f t="shared" si="2"/>
        <v>0</v>
      </c>
      <c r="JJ53" s="2"/>
      <c r="JK53" s="122"/>
      <c r="JL53" s="125">
        <f t="shared" si="1"/>
        <v>0</v>
      </c>
      <c r="JM53" s="125"/>
      <c r="JN53" s="125"/>
      <c r="JO53" s="125"/>
      <c r="JP53" s="125"/>
    </row>
    <row r="54" spans="1:276" x14ac:dyDescent="0.25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  <c r="BP54" s="122"/>
      <c r="BQ54" s="122"/>
      <c r="BR54" s="122"/>
      <c r="BS54" s="122"/>
      <c r="BT54" s="122"/>
      <c r="BU54" s="122"/>
      <c r="BV54" s="122"/>
      <c r="BW54" s="122"/>
      <c r="BX54" s="122"/>
      <c r="BY54" s="122"/>
      <c r="BZ54" s="122"/>
      <c r="CA54" s="122"/>
      <c r="CB54" s="122"/>
      <c r="CC54" s="122"/>
      <c r="CD54" s="122"/>
      <c r="CE54" s="122"/>
      <c r="CF54" s="122"/>
      <c r="CG54" s="122"/>
      <c r="CH54" s="122"/>
      <c r="CI54" s="122"/>
      <c r="CJ54" s="122"/>
      <c r="CK54" s="122"/>
      <c r="CL54" s="122"/>
      <c r="CM54" s="122"/>
      <c r="CN54" s="122"/>
      <c r="CO54" s="122"/>
      <c r="CP54" s="122"/>
      <c r="CQ54" s="122"/>
      <c r="CR54" s="122"/>
      <c r="CS54" s="122"/>
      <c r="CT54" s="122"/>
      <c r="CU54" s="122"/>
      <c r="CV54" s="122"/>
      <c r="CW54" s="122"/>
      <c r="CX54" s="122"/>
      <c r="CY54" s="122"/>
      <c r="CZ54" s="122"/>
      <c r="DA54" s="122"/>
      <c r="DB54" s="122"/>
      <c r="DC54" s="122"/>
      <c r="DD54" s="122"/>
      <c r="DE54" s="122"/>
      <c r="DF54" s="122"/>
      <c r="DG54" s="122"/>
      <c r="DH54" s="122"/>
      <c r="DI54" s="122"/>
      <c r="DJ54" s="122"/>
      <c r="DK54" s="122"/>
      <c r="DL54" s="122"/>
      <c r="DM54" s="122"/>
      <c r="DN54" s="122"/>
      <c r="DO54" s="122"/>
      <c r="DP54" s="122"/>
      <c r="DQ54" s="122"/>
      <c r="DR54" s="122"/>
      <c r="DS54" s="122"/>
      <c r="DT54" s="122"/>
      <c r="DU54" s="122"/>
      <c r="DV54" s="122"/>
      <c r="DW54" s="122"/>
      <c r="DX54" s="122"/>
      <c r="DY54" s="122"/>
      <c r="DZ54" s="122"/>
      <c r="EA54" s="122"/>
      <c r="EB54" s="122"/>
      <c r="EC54" s="122"/>
      <c r="ED54" s="122"/>
      <c r="EE54" s="122"/>
      <c r="EF54" s="122"/>
      <c r="EG54" s="122"/>
      <c r="EH54" s="122"/>
      <c r="EI54" s="122"/>
      <c r="EJ54" s="122"/>
      <c r="EK54" s="122"/>
      <c r="EL54" s="122"/>
      <c r="EM54" s="122"/>
      <c r="EN54" s="122"/>
      <c r="EO54" s="122"/>
      <c r="EP54" s="122"/>
      <c r="EQ54" s="122"/>
      <c r="ER54" s="122"/>
      <c r="ES54" s="122"/>
      <c r="ET54" s="122"/>
      <c r="EU54" s="122"/>
      <c r="EV54" s="122"/>
      <c r="EW54" s="122"/>
      <c r="EX54" s="122"/>
      <c r="EY54" s="122"/>
      <c r="EZ54" s="122"/>
      <c r="FA54" s="122"/>
      <c r="FB54" s="122"/>
      <c r="FC54" s="122"/>
      <c r="FD54" s="122"/>
      <c r="FE54" s="122"/>
      <c r="FF54" s="122"/>
      <c r="FG54" s="122"/>
      <c r="FH54" s="122"/>
      <c r="FI54" s="122"/>
      <c r="FJ54" s="122"/>
      <c r="FK54" s="122"/>
      <c r="FL54" s="122"/>
      <c r="FM54" s="122"/>
      <c r="FN54" s="122"/>
      <c r="FO54" s="122"/>
      <c r="FP54" s="122"/>
      <c r="FQ54" s="122"/>
      <c r="FR54" s="122"/>
      <c r="FS54" s="122"/>
      <c r="FT54" s="122"/>
      <c r="FU54" s="122"/>
      <c r="FV54" s="122"/>
      <c r="FW54" s="122"/>
      <c r="FX54" s="122"/>
      <c r="FY54" s="122"/>
      <c r="FZ54" s="122"/>
      <c r="GA54" s="122"/>
      <c r="GB54" s="122"/>
      <c r="GC54" s="122"/>
      <c r="GD54" s="122"/>
      <c r="GE54" s="122"/>
      <c r="GF54" s="122"/>
      <c r="GG54" s="122"/>
      <c r="GH54" s="122"/>
      <c r="GI54" s="122"/>
      <c r="GJ54" s="122"/>
      <c r="GK54" s="122"/>
      <c r="GL54" s="122"/>
      <c r="GM54" s="122"/>
      <c r="GN54" s="122"/>
      <c r="GO54" s="122"/>
      <c r="GP54" s="122"/>
      <c r="GQ54" s="122"/>
      <c r="GR54" s="122"/>
      <c r="GS54" s="122"/>
      <c r="GT54" s="122"/>
      <c r="GU54" s="122"/>
      <c r="GV54" s="122"/>
      <c r="GW54" s="122"/>
      <c r="GX54" s="122"/>
      <c r="GY54" s="122"/>
      <c r="GZ54" s="122"/>
      <c r="HA54" s="122"/>
      <c r="HB54" s="122"/>
      <c r="HC54" s="122"/>
      <c r="HD54" s="122"/>
      <c r="HE54" s="122"/>
      <c r="HF54" s="122"/>
      <c r="HG54" s="122"/>
      <c r="HH54" s="122"/>
      <c r="HI54" s="122"/>
      <c r="HJ54" s="122"/>
      <c r="HK54" s="122"/>
      <c r="HL54" s="122"/>
      <c r="HM54" s="122"/>
      <c r="HN54" s="122"/>
      <c r="HO54" s="122"/>
      <c r="HP54" s="122"/>
      <c r="HQ54" s="122"/>
      <c r="HR54" s="122"/>
      <c r="HS54" s="122"/>
      <c r="HT54" s="122"/>
      <c r="HU54" s="122"/>
      <c r="HV54" s="122"/>
      <c r="HW54" s="122"/>
      <c r="HX54" s="122"/>
      <c r="HY54" s="122"/>
      <c r="HZ54" s="122"/>
      <c r="IA54" s="122"/>
      <c r="IB54" s="122"/>
      <c r="IC54" s="122"/>
      <c r="ID54" s="122"/>
      <c r="IE54" s="122"/>
      <c r="IF54" s="122"/>
      <c r="IG54" s="122"/>
      <c r="IH54" s="122"/>
      <c r="II54" s="122"/>
      <c r="IJ54" s="122"/>
      <c r="IK54" s="122"/>
      <c r="IL54" s="122"/>
      <c r="IM54" s="122"/>
      <c r="IN54" s="122"/>
      <c r="IO54" s="122"/>
      <c r="IP54" s="122"/>
      <c r="IQ54" s="122"/>
      <c r="IR54" s="122"/>
      <c r="IS54" s="122"/>
      <c r="IT54" s="122"/>
      <c r="IU54" s="122"/>
      <c r="IV54" s="122"/>
      <c r="IW54" s="122"/>
      <c r="IX54" s="122"/>
      <c r="IY54" s="122"/>
      <c r="IZ54" s="122"/>
      <c r="JA54" s="122"/>
      <c r="JB54" s="122"/>
      <c r="JC54" s="122"/>
      <c r="JD54" s="122"/>
      <c r="JE54" s="122"/>
      <c r="JF54" s="122"/>
      <c r="JG54" s="122"/>
      <c r="JH54" s="122"/>
      <c r="JI54" s="119">
        <f t="shared" si="2"/>
        <v>0</v>
      </c>
      <c r="JJ54" s="2"/>
      <c r="JK54" s="122"/>
      <c r="JL54" s="125">
        <f t="shared" si="1"/>
        <v>0</v>
      </c>
      <c r="JM54" s="125"/>
      <c r="JN54" s="125"/>
      <c r="JO54" s="125"/>
      <c r="JP54" s="125"/>
    </row>
    <row r="55" spans="1:276" x14ac:dyDescent="0.25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  <c r="BQ55" s="122"/>
      <c r="BR55" s="122"/>
      <c r="BS55" s="122"/>
      <c r="BT55" s="122"/>
      <c r="BU55" s="122"/>
      <c r="BV55" s="122"/>
      <c r="BW55" s="122"/>
      <c r="BX55" s="122"/>
      <c r="BY55" s="122"/>
      <c r="BZ55" s="122"/>
      <c r="CA55" s="122"/>
      <c r="CB55" s="122"/>
      <c r="CC55" s="122"/>
      <c r="CD55" s="122"/>
      <c r="CE55" s="122"/>
      <c r="CF55" s="122"/>
      <c r="CG55" s="122"/>
      <c r="CH55" s="122"/>
      <c r="CI55" s="122"/>
      <c r="CJ55" s="122"/>
      <c r="CK55" s="122"/>
      <c r="CL55" s="122"/>
      <c r="CM55" s="122"/>
      <c r="CN55" s="122"/>
      <c r="CO55" s="122"/>
      <c r="CP55" s="122"/>
      <c r="CQ55" s="122"/>
      <c r="CR55" s="122"/>
      <c r="CS55" s="122"/>
      <c r="CT55" s="122"/>
      <c r="CU55" s="122"/>
      <c r="CV55" s="122"/>
      <c r="CW55" s="122"/>
      <c r="CX55" s="122"/>
      <c r="CY55" s="122"/>
      <c r="CZ55" s="122"/>
      <c r="DA55" s="122"/>
      <c r="DB55" s="122"/>
      <c r="DC55" s="122"/>
      <c r="DD55" s="122"/>
      <c r="DE55" s="122"/>
      <c r="DF55" s="122"/>
      <c r="DG55" s="122"/>
      <c r="DH55" s="122"/>
      <c r="DI55" s="122"/>
      <c r="DJ55" s="122"/>
      <c r="DK55" s="122"/>
      <c r="DL55" s="122"/>
      <c r="DM55" s="122"/>
      <c r="DN55" s="122"/>
      <c r="DO55" s="122"/>
      <c r="DP55" s="122"/>
      <c r="DQ55" s="122"/>
      <c r="DR55" s="122"/>
      <c r="DS55" s="122"/>
      <c r="DT55" s="122"/>
      <c r="DU55" s="122"/>
      <c r="DV55" s="122"/>
      <c r="DW55" s="122"/>
      <c r="DX55" s="122"/>
      <c r="DY55" s="122"/>
      <c r="DZ55" s="122"/>
      <c r="EA55" s="122"/>
      <c r="EB55" s="122"/>
      <c r="EC55" s="122"/>
      <c r="ED55" s="122"/>
      <c r="EE55" s="122"/>
      <c r="EF55" s="122"/>
      <c r="EG55" s="122"/>
      <c r="EH55" s="122"/>
      <c r="EI55" s="122"/>
      <c r="EJ55" s="122"/>
      <c r="EK55" s="122"/>
      <c r="EL55" s="122"/>
      <c r="EM55" s="122"/>
      <c r="EN55" s="122"/>
      <c r="EO55" s="122"/>
      <c r="EP55" s="122"/>
      <c r="EQ55" s="122"/>
      <c r="ER55" s="122"/>
      <c r="ES55" s="122"/>
      <c r="ET55" s="122"/>
      <c r="EU55" s="122"/>
      <c r="EV55" s="122"/>
      <c r="EW55" s="122"/>
      <c r="EX55" s="122"/>
      <c r="EY55" s="122"/>
      <c r="EZ55" s="122"/>
      <c r="FA55" s="122"/>
      <c r="FB55" s="122"/>
      <c r="FC55" s="122"/>
      <c r="FD55" s="122"/>
      <c r="FE55" s="122"/>
      <c r="FF55" s="122"/>
      <c r="FG55" s="122"/>
      <c r="FH55" s="122"/>
      <c r="FI55" s="122"/>
      <c r="FJ55" s="122"/>
      <c r="FK55" s="122"/>
      <c r="FL55" s="122"/>
      <c r="FM55" s="122"/>
      <c r="FN55" s="122"/>
      <c r="FO55" s="122"/>
      <c r="FP55" s="122"/>
      <c r="FQ55" s="122"/>
      <c r="FR55" s="122"/>
      <c r="FS55" s="122"/>
      <c r="FT55" s="122"/>
      <c r="FU55" s="122"/>
      <c r="FV55" s="122"/>
      <c r="FW55" s="122"/>
      <c r="FX55" s="122"/>
      <c r="FY55" s="122"/>
      <c r="FZ55" s="122"/>
      <c r="GA55" s="122"/>
      <c r="GB55" s="122"/>
      <c r="GC55" s="122"/>
      <c r="GD55" s="122"/>
      <c r="GE55" s="122"/>
      <c r="GF55" s="122"/>
      <c r="GG55" s="122"/>
      <c r="GH55" s="122"/>
      <c r="GI55" s="122"/>
      <c r="GJ55" s="122"/>
      <c r="GK55" s="122"/>
      <c r="GL55" s="122"/>
      <c r="GM55" s="122"/>
      <c r="GN55" s="122"/>
      <c r="GO55" s="122"/>
      <c r="GP55" s="122"/>
      <c r="GQ55" s="122"/>
      <c r="GR55" s="122"/>
      <c r="GS55" s="122"/>
      <c r="GT55" s="122"/>
      <c r="GU55" s="122"/>
      <c r="GV55" s="122"/>
      <c r="GW55" s="122"/>
      <c r="GX55" s="122"/>
      <c r="GY55" s="122"/>
      <c r="GZ55" s="122"/>
      <c r="HA55" s="122"/>
      <c r="HB55" s="122"/>
      <c r="HC55" s="122"/>
      <c r="HD55" s="122"/>
      <c r="HE55" s="122"/>
      <c r="HF55" s="122"/>
      <c r="HG55" s="122"/>
      <c r="HH55" s="122"/>
      <c r="HI55" s="122"/>
      <c r="HJ55" s="122"/>
      <c r="HK55" s="122"/>
      <c r="HL55" s="122"/>
      <c r="HM55" s="122"/>
      <c r="HN55" s="122"/>
      <c r="HO55" s="122"/>
      <c r="HP55" s="122"/>
      <c r="HQ55" s="122"/>
      <c r="HR55" s="122"/>
      <c r="HS55" s="122"/>
      <c r="HT55" s="122"/>
      <c r="HU55" s="122"/>
      <c r="HV55" s="122"/>
      <c r="HW55" s="122"/>
      <c r="HX55" s="122"/>
      <c r="HY55" s="122"/>
      <c r="HZ55" s="122"/>
      <c r="IA55" s="122"/>
      <c r="IB55" s="122"/>
      <c r="IC55" s="122"/>
      <c r="ID55" s="122"/>
      <c r="IE55" s="122"/>
      <c r="IF55" s="122"/>
      <c r="IG55" s="122"/>
      <c r="IH55" s="122"/>
      <c r="II55" s="122"/>
      <c r="IJ55" s="122"/>
      <c r="IK55" s="122"/>
      <c r="IL55" s="122"/>
      <c r="IM55" s="122"/>
      <c r="IN55" s="122"/>
      <c r="IO55" s="122"/>
      <c r="IP55" s="122"/>
      <c r="IQ55" s="122"/>
      <c r="IR55" s="122"/>
      <c r="IS55" s="122"/>
      <c r="IT55" s="122"/>
      <c r="IU55" s="122"/>
      <c r="IV55" s="122"/>
      <c r="IW55" s="122"/>
      <c r="IX55" s="122"/>
      <c r="IY55" s="122"/>
      <c r="IZ55" s="122"/>
      <c r="JA55" s="122"/>
      <c r="JB55" s="122"/>
      <c r="JC55" s="122"/>
      <c r="JD55" s="122"/>
      <c r="JE55" s="122"/>
      <c r="JF55" s="122"/>
      <c r="JG55" s="122"/>
      <c r="JH55" s="122"/>
      <c r="JI55" s="119">
        <f t="shared" si="2"/>
        <v>0</v>
      </c>
      <c r="JJ55" s="2"/>
      <c r="JK55" s="122"/>
      <c r="JL55" s="125">
        <f t="shared" si="1"/>
        <v>0</v>
      </c>
      <c r="JM55" s="125"/>
      <c r="JN55" s="125"/>
      <c r="JO55" s="125"/>
      <c r="JP55" s="125"/>
    </row>
    <row r="56" spans="1:276" x14ac:dyDescent="0.25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  <c r="BP56" s="122"/>
      <c r="BQ56" s="122"/>
      <c r="BR56" s="122"/>
      <c r="BS56" s="122"/>
      <c r="BT56" s="122"/>
      <c r="BU56" s="122"/>
      <c r="BV56" s="122"/>
      <c r="BW56" s="122"/>
      <c r="BX56" s="122"/>
      <c r="BY56" s="122"/>
      <c r="BZ56" s="122"/>
      <c r="CA56" s="122"/>
      <c r="CB56" s="122"/>
      <c r="CC56" s="122"/>
      <c r="CD56" s="122"/>
      <c r="CE56" s="122"/>
      <c r="CF56" s="122"/>
      <c r="CG56" s="122"/>
      <c r="CH56" s="122"/>
      <c r="CI56" s="122"/>
      <c r="CJ56" s="122"/>
      <c r="CK56" s="122"/>
      <c r="CL56" s="122"/>
      <c r="CM56" s="122"/>
      <c r="CN56" s="122"/>
      <c r="CO56" s="122"/>
      <c r="CP56" s="122"/>
      <c r="CQ56" s="122"/>
      <c r="CR56" s="122"/>
      <c r="CS56" s="122"/>
      <c r="CT56" s="122"/>
      <c r="CU56" s="122"/>
      <c r="CV56" s="122"/>
      <c r="CW56" s="122"/>
      <c r="CX56" s="122"/>
      <c r="CY56" s="122"/>
      <c r="CZ56" s="122"/>
      <c r="DA56" s="122"/>
      <c r="DB56" s="122"/>
      <c r="DC56" s="122"/>
      <c r="DD56" s="122"/>
      <c r="DE56" s="122"/>
      <c r="DF56" s="122"/>
      <c r="DG56" s="122"/>
      <c r="DH56" s="122"/>
      <c r="DI56" s="122"/>
      <c r="DJ56" s="122"/>
      <c r="DK56" s="122"/>
      <c r="DL56" s="122"/>
      <c r="DM56" s="122"/>
      <c r="DN56" s="122"/>
      <c r="DO56" s="122"/>
      <c r="DP56" s="122"/>
      <c r="DQ56" s="122"/>
      <c r="DR56" s="122"/>
      <c r="DS56" s="122"/>
      <c r="DT56" s="122"/>
      <c r="DU56" s="122"/>
      <c r="DV56" s="122"/>
      <c r="DW56" s="122"/>
      <c r="DX56" s="122"/>
      <c r="DY56" s="122"/>
      <c r="DZ56" s="122"/>
      <c r="EA56" s="122"/>
      <c r="EB56" s="122"/>
      <c r="EC56" s="122"/>
      <c r="ED56" s="122"/>
      <c r="EE56" s="122"/>
      <c r="EF56" s="122"/>
      <c r="EG56" s="122"/>
      <c r="EH56" s="122"/>
      <c r="EI56" s="122"/>
      <c r="EJ56" s="122"/>
      <c r="EK56" s="122"/>
      <c r="EL56" s="122"/>
      <c r="EM56" s="122"/>
      <c r="EN56" s="122"/>
      <c r="EO56" s="122"/>
      <c r="EP56" s="122"/>
      <c r="EQ56" s="122"/>
      <c r="ER56" s="122"/>
      <c r="ES56" s="122"/>
      <c r="ET56" s="122"/>
      <c r="EU56" s="122"/>
      <c r="EV56" s="122"/>
      <c r="EW56" s="122"/>
      <c r="EX56" s="122"/>
      <c r="EY56" s="122"/>
      <c r="EZ56" s="122"/>
      <c r="FA56" s="122"/>
      <c r="FB56" s="122"/>
      <c r="FC56" s="122"/>
      <c r="FD56" s="122"/>
      <c r="FE56" s="122"/>
      <c r="FF56" s="122"/>
      <c r="FG56" s="122"/>
      <c r="FH56" s="122"/>
      <c r="FI56" s="122"/>
      <c r="FJ56" s="122"/>
      <c r="FK56" s="122"/>
      <c r="FL56" s="122"/>
      <c r="FM56" s="122"/>
      <c r="FN56" s="122"/>
      <c r="FO56" s="122"/>
      <c r="FP56" s="122"/>
      <c r="FQ56" s="122"/>
      <c r="FR56" s="122"/>
      <c r="FS56" s="122"/>
      <c r="FT56" s="122"/>
      <c r="FU56" s="122"/>
      <c r="FV56" s="122"/>
      <c r="FW56" s="122"/>
      <c r="FX56" s="122"/>
      <c r="FY56" s="122"/>
      <c r="FZ56" s="122"/>
      <c r="GA56" s="122"/>
      <c r="GB56" s="122"/>
      <c r="GC56" s="122"/>
      <c r="GD56" s="122"/>
      <c r="GE56" s="122"/>
      <c r="GF56" s="122"/>
      <c r="GG56" s="122"/>
      <c r="GH56" s="122"/>
      <c r="GI56" s="122"/>
      <c r="GJ56" s="122"/>
      <c r="GK56" s="122"/>
      <c r="GL56" s="122"/>
      <c r="GM56" s="122"/>
      <c r="GN56" s="122"/>
      <c r="GO56" s="122"/>
      <c r="GP56" s="122"/>
      <c r="GQ56" s="122"/>
      <c r="GR56" s="122"/>
      <c r="GS56" s="122"/>
      <c r="GT56" s="122"/>
      <c r="GU56" s="122"/>
      <c r="GV56" s="122"/>
      <c r="GW56" s="122"/>
      <c r="GX56" s="122"/>
      <c r="GY56" s="122"/>
      <c r="GZ56" s="122"/>
      <c r="HA56" s="122"/>
      <c r="HB56" s="122"/>
      <c r="HC56" s="122"/>
      <c r="HD56" s="122"/>
      <c r="HE56" s="122"/>
      <c r="HF56" s="122"/>
      <c r="HG56" s="122"/>
      <c r="HH56" s="122"/>
      <c r="HI56" s="122"/>
      <c r="HJ56" s="122"/>
      <c r="HK56" s="122"/>
      <c r="HL56" s="122"/>
      <c r="HM56" s="122"/>
      <c r="HN56" s="122"/>
      <c r="HO56" s="122"/>
      <c r="HP56" s="122"/>
      <c r="HQ56" s="122"/>
      <c r="HR56" s="122"/>
      <c r="HS56" s="122"/>
      <c r="HT56" s="122"/>
      <c r="HU56" s="122"/>
      <c r="HV56" s="122"/>
      <c r="HW56" s="122"/>
      <c r="HX56" s="122"/>
      <c r="HY56" s="122"/>
      <c r="HZ56" s="122"/>
      <c r="IA56" s="122"/>
      <c r="IB56" s="122"/>
      <c r="IC56" s="122"/>
      <c r="ID56" s="122"/>
      <c r="IE56" s="122"/>
      <c r="IF56" s="122"/>
      <c r="IG56" s="122"/>
      <c r="IH56" s="122"/>
      <c r="II56" s="122"/>
      <c r="IJ56" s="122"/>
      <c r="IK56" s="122"/>
      <c r="IL56" s="122"/>
      <c r="IM56" s="122"/>
      <c r="IN56" s="122"/>
      <c r="IO56" s="122"/>
      <c r="IP56" s="122"/>
      <c r="IQ56" s="122"/>
      <c r="IR56" s="122"/>
      <c r="IS56" s="122"/>
      <c r="IT56" s="122"/>
      <c r="IU56" s="122"/>
      <c r="IV56" s="122"/>
      <c r="IW56" s="122"/>
      <c r="IX56" s="122"/>
      <c r="IY56" s="122"/>
      <c r="IZ56" s="122"/>
      <c r="JA56" s="122"/>
      <c r="JB56" s="122"/>
      <c r="JC56" s="122"/>
      <c r="JD56" s="122"/>
      <c r="JE56" s="122"/>
      <c r="JF56" s="122"/>
      <c r="JG56" s="122"/>
      <c r="JH56" s="122"/>
      <c r="JI56" s="119">
        <f t="shared" si="2"/>
        <v>0</v>
      </c>
      <c r="JJ56" s="2"/>
      <c r="JK56" s="122"/>
      <c r="JL56" s="125">
        <f t="shared" si="1"/>
        <v>0</v>
      </c>
      <c r="JM56" s="125"/>
      <c r="JN56" s="125"/>
      <c r="JO56" s="125"/>
      <c r="JP56" s="125"/>
    </row>
    <row r="57" spans="1:276" x14ac:dyDescent="0.25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  <c r="BP57" s="122"/>
      <c r="BQ57" s="122"/>
      <c r="BR57" s="122"/>
      <c r="BS57" s="122"/>
      <c r="BT57" s="122"/>
      <c r="BU57" s="122"/>
      <c r="BV57" s="122"/>
      <c r="BW57" s="122"/>
      <c r="BX57" s="122"/>
      <c r="BY57" s="122"/>
      <c r="BZ57" s="122"/>
      <c r="CA57" s="122"/>
      <c r="CB57" s="122"/>
      <c r="CC57" s="122"/>
      <c r="CD57" s="122"/>
      <c r="CE57" s="122"/>
      <c r="CF57" s="122"/>
      <c r="CG57" s="122"/>
      <c r="CH57" s="122"/>
      <c r="CI57" s="122"/>
      <c r="CJ57" s="122"/>
      <c r="CK57" s="122"/>
      <c r="CL57" s="122"/>
      <c r="CM57" s="122"/>
      <c r="CN57" s="122"/>
      <c r="CO57" s="122"/>
      <c r="CP57" s="122"/>
      <c r="CQ57" s="122"/>
      <c r="CR57" s="122"/>
      <c r="CS57" s="122"/>
      <c r="CT57" s="122"/>
      <c r="CU57" s="122"/>
      <c r="CV57" s="122"/>
      <c r="CW57" s="122"/>
      <c r="CX57" s="122"/>
      <c r="CY57" s="122"/>
      <c r="CZ57" s="122"/>
      <c r="DA57" s="122"/>
      <c r="DB57" s="122"/>
      <c r="DC57" s="122"/>
      <c r="DD57" s="122"/>
      <c r="DE57" s="122"/>
      <c r="DF57" s="122"/>
      <c r="DG57" s="122"/>
      <c r="DH57" s="122"/>
      <c r="DI57" s="122"/>
      <c r="DJ57" s="122"/>
      <c r="DK57" s="122"/>
      <c r="DL57" s="122"/>
      <c r="DM57" s="122"/>
      <c r="DN57" s="122"/>
      <c r="DO57" s="122"/>
      <c r="DP57" s="122"/>
      <c r="DQ57" s="122"/>
      <c r="DR57" s="122"/>
      <c r="DS57" s="122"/>
      <c r="DT57" s="122"/>
      <c r="DU57" s="122"/>
      <c r="DV57" s="122"/>
      <c r="DW57" s="122"/>
      <c r="DX57" s="122"/>
      <c r="DY57" s="122"/>
      <c r="DZ57" s="122"/>
      <c r="EA57" s="122"/>
      <c r="EB57" s="122"/>
      <c r="EC57" s="122"/>
      <c r="ED57" s="122"/>
      <c r="EE57" s="122"/>
      <c r="EF57" s="122"/>
      <c r="EG57" s="122"/>
      <c r="EH57" s="122"/>
      <c r="EI57" s="122"/>
      <c r="EJ57" s="122"/>
      <c r="EK57" s="122"/>
      <c r="EL57" s="122"/>
      <c r="EM57" s="122"/>
      <c r="EN57" s="122"/>
      <c r="EO57" s="122"/>
      <c r="EP57" s="122"/>
      <c r="EQ57" s="122"/>
      <c r="ER57" s="122"/>
      <c r="ES57" s="122"/>
      <c r="ET57" s="122"/>
      <c r="EU57" s="122"/>
      <c r="EV57" s="122"/>
      <c r="EW57" s="122"/>
      <c r="EX57" s="122"/>
      <c r="EY57" s="122"/>
      <c r="EZ57" s="122"/>
      <c r="FA57" s="122"/>
      <c r="FB57" s="122"/>
      <c r="FC57" s="122"/>
      <c r="FD57" s="122"/>
      <c r="FE57" s="122"/>
      <c r="FF57" s="122"/>
      <c r="FG57" s="122"/>
      <c r="FH57" s="122"/>
      <c r="FI57" s="122"/>
      <c r="FJ57" s="122"/>
      <c r="FK57" s="122"/>
      <c r="FL57" s="122"/>
      <c r="FM57" s="122"/>
      <c r="FN57" s="122"/>
      <c r="FO57" s="122"/>
      <c r="FP57" s="122"/>
      <c r="FQ57" s="122"/>
      <c r="FR57" s="122"/>
      <c r="FS57" s="122"/>
      <c r="FT57" s="122"/>
      <c r="FU57" s="122"/>
      <c r="FV57" s="122"/>
      <c r="FW57" s="122"/>
      <c r="FX57" s="122"/>
      <c r="FY57" s="122"/>
      <c r="FZ57" s="122"/>
      <c r="GA57" s="122"/>
      <c r="GB57" s="122"/>
      <c r="GC57" s="122"/>
      <c r="GD57" s="122"/>
      <c r="GE57" s="122"/>
      <c r="GF57" s="122"/>
      <c r="GG57" s="122"/>
      <c r="GH57" s="122"/>
      <c r="GI57" s="122"/>
      <c r="GJ57" s="122"/>
      <c r="GK57" s="122"/>
      <c r="GL57" s="122"/>
      <c r="GM57" s="122"/>
      <c r="GN57" s="122"/>
      <c r="GO57" s="122"/>
      <c r="GP57" s="122"/>
      <c r="GQ57" s="122"/>
      <c r="GR57" s="122"/>
      <c r="GS57" s="122"/>
      <c r="GT57" s="122"/>
      <c r="GU57" s="122"/>
      <c r="GV57" s="122"/>
      <c r="GW57" s="122"/>
      <c r="GX57" s="122"/>
      <c r="GY57" s="122"/>
      <c r="GZ57" s="122"/>
      <c r="HA57" s="122"/>
      <c r="HB57" s="122"/>
      <c r="HC57" s="122"/>
      <c r="HD57" s="122"/>
      <c r="HE57" s="122"/>
      <c r="HF57" s="122"/>
      <c r="HG57" s="122"/>
      <c r="HH57" s="122"/>
      <c r="HI57" s="122"/>
      <c r="HJ57" s="122"/>
      <c r="HK57" s="122"/>
      <c r="HL57" s="122"/>
      <c r="HM57" s="122"/>
      <c r="HN57" s="122"/>
      <c r="HO57" s="122"/>
      <c r="HP57" s="122"/>
      <c r="HQ57" s="122"/>
      <c r="HR57" s="122"/>
      <c r="HS57" s="122"/>
      <c r="HT57" s="122"/>
      <c r="HU57" s="122"/>
      <c r="HV57" s="122"/>
      <c r="HW57" s="122"/>
      <c r="HX57" s="122"/>
      <c r="HY57" s="122"/>
      <c r="HZ57" s="122"/>
      <c r="IA57" s="122"/>
      <c r="IB57" s="122"/>
      <c r="IC57" s="122"/>
      <c r="ID57" s="122"/>
      <c r="IE57" s="122"/>
      <c r="IF57" s="122"/>
      <c r="IG57" s="122"/>
      <c r="IH57" s="122"/>
      <c r="II57" s="122"/>
      <c r="IJ57" s="122"/>
      <c r="IK57" s="122"/>
      <c r="IL57" s="122"/>
      <c r="IM57" s="122"/>
      <c r="IN57" s="122"/>
      <c r="IO57" s="122"/>
      <c r="IP57" s="122"/>
      <c r="IQ57" s="122"/>
      <c r="IR57" s="122"/>
      <c r="IS57" s="122"/>
      <c r="IT57" s="122"/>
      <c r="IU57" s="122"/>
      <c r="IV57" s="122"/>
      <c r="IW57" s="122"/>
      <c r="IX57" s="122"/>
      <c r="IY57" s="122"/>
      <c r="IZ57" s="122"/>
      <c r="JA57" s="122"/>
      <c r="JB57" s="122"/>
      <c r="JC57" s="122"/>
      <c r="JD57" s="122"/>
      <c r="JE57" s="122"/>
      <c r="JF57" s="122"/>
      <c r="JG57" s="122"/>
      <c r="JH57" s="122"/>
      <c r="JI57" s="119">
        <f t="shared" si="2"/>
        <v>0</v>
      </c>
      <c r="JJ57" s="2"/>
      <c r="JK57" s="122"/>
      <c r="JL57" s="125">
        <f t="shared" ref="JL57" si="3">+JI57-JK57</f>
        <v>0</v>
      </c>
      <c r="JM57" s="125"/>
      <c r="JN57" s="125"/>
      <c r="JO57" s="125"/>
      <c r="JP57" s="125"/>
    </row>
    <row r="58" spans="1:276" x14ac:dyDescent="0.25">
      <c r="A58" s="119">
        <f>SUM(A3:A57)</f>
        <v>0</v>
      </c>
      <c r="B58" s="119">
        <f t="shared" ref="B58:BM58" si="4">SUM(B3:B57)</f>
        <v>0</v>
      </c>
      <c r="C58" s="119">
        <f t="shared" si="4"/>
        <v>0</v>
      </c>
      <c r="D58" s="119">
        <f t="shared" si="4"/>
        <v>0</v>
      </c>
      <c r="E58" s="119">
        <f t="shared" si="4"/>
        <v>0</v>
      </c>
      <c r="F58" s="119">
        <f t="shared" si="4"/>
        <v>0</v>
      </c>
      <c r="G58" s="119">
        <f t="shared" si="4"/>
        <v>0</v>
      </c>
      <c r="H58" s="119">
        <f t="shared" si="4"/>
        <v>0</v>
      </c>
      <c r="I58" s="119">
        <f t="shared" si="4"/>
        <v>0</v>
      </c>
      <c r="J58" s="119">
        <f t="shared" si="4"/>
        <v>0</v>
      </c>
      <c r="K58" s="119">
        <f t="shared" si="4"/>
        <v>0</v>
      </c>
      <c r="L58" s="119">
        <f t="shared" si="4"/>
        <v>0</v>
      </c>
      <c r="M58" s="119">
        <f t="shared" si="4"/>
        <v>0</v>
      </c>
      <c r="N58" s="119">
        <f t="shared" si="4"/>
        <v>0</v>
      </c>
      <c r="O58" s="119">
        <f t="shared" si="4"/>
        <v>0</v>
      </c>
      <c r="P58" s="119">
        <f t="shared" si="4"/>
        <v>0</v>
      </c>
      <c r="Q58" s="119">
        <f t="shared" si="4"/>
        <v>0</v>
      </c>
      <c r="R58" s="119">
        <f t="shared" si="4"/>
        <v>0</v>
      </c>
      <c r="S58" s="119">
        <f t="shared" si="4"/>
        <v>0</v>
      </c>
      <c r="T58" s="119">
        <f t="shared" si="4"/>
        <v>0</v>
      </c>
      <c r="U58" s="119">
        <f t="shared" si="4"/>
        <v>0</v>
      </c>
      <c r="V58" s="119">
        <f t="shared" si="4"/>
        <v>0</v>
      </c>
      <c r="W58" s="119">
        <f t="shared" si="4"/>
        <v>0</v>
      </c>
      <c r="X58" s="119">
        <f t="shared" si="4"/>
        <v>0</v>
      </c>
      <c r="Y58" s="119">
        <f t="shared" si="4"/>
        <v>0</v>
      </c>
      <c r="Z58" s="119">
        <f t="shared" si="4"/>
        <v>0</v>
      </c>
      <c r="AA58" s="119">
        <f t="shared" si="4"/>
        <v>0</v>
      </c>
      <c r="AB58" s="119">
        <f t="shared" si="4"/>
        <v>0</v>
      </c>
      <c r="AC58" s="119">
        <f t="shared" si="4"/>
        <v>0</v>
      </c>
      <c r="AD58" s="119">
        <f t="shared" si="4"/>
        <v>0</v>
      </c>
      <c r="AE58" s="119">
        <f t="shared" si="4"/>
        <v>0</v>
      </c>
      <c r="AF58" s="119">
        <f t="shared" si="4"/>
        <v>0</v>
      </c>
      <c r="AG58" s="119">
        <f t="shared" si="4"/>
        <v>0</v>
      </c>
      <c r="AH58" s="119">
        <f t="shared" si="4"/>
        <v>0</v>
      </c>
      <c r="AI58" s="119">
        <f t="shared" si="4"/>
        <v>0</v>
      </c>
      <c r="AJ58" s="119">
        <f t="shared" si="4"/>
        <v>0</v>
      </c>
      <c r="AK58" s="119">
        <f t="shared" si="4"/>
        <v>0</v>
      </c>
      <c r="AL58" s="119">
        <f t="shared" si="4"/>
        <v>0</v>
      </c>
      <c r="AM58" s="119">
        <f t="shared" si="4"/>
        <v>0</v>
      </c>
      <c r="AN58" s="119">
        <f t="shared" si="4"/>
        <v>0</v>
      </c>
      <c r="AO58" s="119">
        <f t="shared" si="4"/>
        <v>0</v>
      </c>
      <c r="AP58" s="119">
        <f t="shared" si="4"/>
        <v>0</v>
      </c>
      <c r="AQ58" s="119">
        <f t="shared" si="4"/>
        <v>0</v>
      </c>
      <c r="AR58" s="119">
        <f t="shared" si="4"/>
        <v>0</v>
      </c>
      <c r="AS58" s="119">
        <f t="shared" si="4"/>
        <v>0</v>
      </c>
      <c r="AT58" s="119">
        <f t="shared" si="4"/>
        <v>0</v>
      </c>
      <c r="AU58" s="119">
        <f t="shared" si="4"/>
        <v>0</v>
      </c>
      <c r="AV58" s="119">
        <f t="shared" si="4"/>
        <v>0</v>
      </c>
      <c r="AW58" s="119">
        <f t="shared" si="4"/>
        <v>745000</v>
      </c>
      <c r="AX58" s="119">
        <f t="shared" si="4"/>
        <v>221258.85</v>
      </c>
      <c r="AY58" s="119">
        <f t="shared" si="4"/>
        <v>0</v>
      </c>
      <c r="AZ58" s="119">
        <f t="shared" si="4"/>
        <v>0</v>
      </c>
      <c r="BA58" s="119">
        <f t="shared" si="4"/>
        <v>0</v>
      </c>
      <c r="BB58" s="119">
        <f t="shared" si="4"/>
        <v>20000</v>
      </c>
      <c r="BC58" s="119">
        <f t="shared" si="4"/>
        <v>0</v>
      </c>
      <c r="BD58" s="119">
        <f t="shared" si="4"/>
        <v>0</v>
      </c>
      <c r="BE58" s="119">
        <f t="shared" si="4"/>
        <v>0</v>
      </c>
      <c r="BF58" s="119">
        <f t="shared" si="4"/>
        <v>0</v>
      </c>
      <c r="BG58" s="119">
        <f t="shared" si="4"/>
        <v>0</v>
      </c>
      <c r="BH58" s="119">
        <f t="shared" si="4"/>
        <v>0</v>
      </c>
      <c r="BI58" s="119">
        <f t="shared" si="4"/>
        <v>0</v>
      </c>
      <c r="BJ58" s="119">
        <f t="shared" si="4"/>
        <v>0</v>
      </c>
      <c r="BK58" s="119">
        <f t="shared" si="4"/>
        <v>0</v>
      </c>
      <c r="BL58" s="119">
        <f t="shared" si="4"/>
        <v>0</v>
      </c>
      <c r="BM58" s="119">
        <f t="shared" si="4"/>
        <v>0</v>
      </c>
      <c r="BN58" s="119">
        <f t="shared" ref="BN58:DY58" si="5">SUM(BN3:BN57)</f>
        <v>0</v>
      </c>
      <c r="BO58" s="119">
        <f t="shared" si="5"/>
        <v>0</v>
      </c>
      <c r="BP58" s="119">
        <f t="shared" si="5"/>
        <v>0</v>
      </c>
      <c r="BQ58" s="119">
        <f t="shared" si="5"/>
        <v>0</v>
      </c>
      <c r="BR58" s="119">
        <f t="shared" si="5"/>
        <v>0</v>
      </c>
      <c r="BS58" s="119">
        <f t="shared" si="5"/>
        <v>0</v>
      </c>
      <c r="BT58" s="119">
        <f t="shared" si="5"/>
        <v>0</v>
      </c>
      <c r="BU58" s="119">
        <f t="shared" si="5"/>
        <v>0</v>
      </c>
      <c r="BV58" s="119">
        <f t="shared" si="5"/>
        <v>0</v>
      </c>
      <c r="BW58" s="119">
        <f t="shared" si="5"/>
        <v>57795.91</v>
      </c>
      <c r="BX58" s="119">
        <f t="shared" si="5"/>
        <v>0</v>
      </c>
      <c r="BY58" s="119">
        <f t="shared" si="5"/>
        <v>0</v>
      </c>
      <c r="BZ58" s="119">
        <f t="shared" si="5"/>
        <v>0</v>
      </c>
      <c r="CA58" s="119">
        <f t="shared" si="5"/>
        <v>0</v>
      </c>
      <c r="CB58" s="119">
        <f t="shared" si="5"/>
        <v>0</v>
      </c>
      <c r="CC58" s="119">
        <f t="shared" si="5"/>
        <v>0</v>
      </c>
      <c r="CD58" s="119">
        <f t="shared" si="5"/>
        <v>0</v>
      </c>
      <c r="CE58" s="119">
        <f t="shared" si="5"/>
        <v>0</v>
      </c>
      <c r="CF58" s="119">
        <f t="shared" si="5"/>
        <v>0</v>
      </c>
      <c r="CG58" s="119">
        <f t="shared" si="5"/>
        <v>0</v>
      </c>
      <c r="CH58" s="119">
        <f t="shared" si="5"/>
        <v>0</v>
      </c>
      <c r="CI58" s="119">
        <f t="shared" si="5"/>
        <v>0</v>
      </c>
      <c r="CJ58" s="119">
        <f t="shared" si="5"/>
        <v>0</v>
      </c>
      <c r="CK58" s="119">
        <f t="shared" si="5"/>
        <v>0</v>
      </c>
      <c r="CL58" s="119">
        <f t="shared" si="5"/>
        <v>361378.54</v>
      </c>
      <c r="CM58" s="119">
        <f t="shared" si="5"/>
        <v>0</v>
      </c>
      <c r="CN58" s="119">
        <f t="shared" si="5"/>
        <v>0</v>
      </c>
      <c r="CO58" s="119">
        <f t="shared" si="5"/>
        <v>0</v>
      </c>
      <c r="CP58" s="119">
        <f t="shared" si="5"/>
        <v>0</v>
      </c>
      <c r="CQ58" s="119">
        <f t="shared" si="5"/>
        <v>0</v>
      </c>
      <c r="CR58" s="119">
        <f t="shared" si="5"/>
        <v>0</v>
      </c>
      <c r="CS58" s="119">
        <f t="shared" si="5"/>
        <v>0</v>
      </c>
      <c r="CT58" s="119">
        <f t="shared" si="5"/>
        <v>0</v>
      </c>
      <c r="CU58" s="119">
        <f t="shared" si="5"/>
        <v>185260</v>
      </c>
      <c r="CV58" s="119">
        <f t="shared" si="5"/>
        <v>0</v>
      </c>
      <c r="CW58" s="119">
        <f t="shared" si="5"/>
        <v>0</v>
      </c>
      <c r="CX58" s="119">
        <f t="shared" si="5"/>
        <v>0</v>
      </c>
      <c r="CY58" s="119">
        <f t="shared" si="5"/>
        <v>0</v>
      </c>
      <c r="CZ58" s="119">
        <f t="shared" si="5"/>
        <v>0</v>
      </c>
      <c r="DA58" s="119">
        <f t="shared" si="5"/>
        <v>0</v>
      </c>
      <c r="DB58" s="119">
        <f t="shared" si="5"/>
        <v>0</v>
      </c>
      <c r="DC58" s="119">
        <f t="shared" si="5"/>
        <v>0</v>
      </c>
      <c r="DD58" s="119">
        <f t="shared" si="5"/>
        <v>244260</v>
      </c>
      <c r="DE58" s="119">
        <f t="shared" si="5"/>
        <v>234780</v>
      </c>
      <c r="DF58" s="119">
        <f t="shared" si="5"/>
        <v>14087.239999999996</v>
      </c>
      <c r="DG58" s="119">
        <f t="shared" si="5"/>
        <v>0</v>
      </c>
      <c r="DH58" s="119">
        <f t="shared" si="5"/>
        <v>0</v>
      </c>
      <c r="DI58" s="119">
        <f t="shared" si="5"/>
        <v>0</v>
      </c>
      <c r="DJ58" s="119">
        <f t="shared" si="5"/>
        <v>0</v>
      </c>
      <c r="DK58" s="119">
        <f t="shared" si="5"/>
        <v>163325</v>
      </c>
      <c r="DL58" s="119">
        <f t="shared" si="5"/>
        <v>0</v>
      </c>
      <c r="DM58" s="119">
        <f t="shared" si="5"/>
        <v>0</v>
      </c>
      <c r="DN58" s="119">
        <f t="shared" si="5"/>
        <v>0</v>
      </c>
      <c r="DO58" s="119">
        <f t="shared" si="5"/>
        <v>0</v>
      </c>
      <c r="DP58" s="119">
        <f t="shared" si="5"/>
        <v>0</v>
      </c>
      <c r="DQ58" s="119">
        <f t="shared" si="5"/>
        <v>0</v>
      </c>
      <c r="DR58" s="119">
        <f t="shared" si="5"/>
        <v>0</v>
      </c>
      <c r="DS58" s="119">
        <f t="shared" si="5"/>
        <v>0</v>
      </c>
      <c r="DT58" s="119">
        <f t="shared" si="5"/>
        <v>0</v>
      </c>
      <c r="DU58" s="119">
        <f t="shared" si="5"/>
        <v>0</v>
      </c>
      <c r="DV58" s="119">
        <f t="shared" si="5"/>
        <v>0</v>
      </c>
      <c r="DW58" s="119">
        <f t="shared" si="5"/>
        <v>0</v>
      </c>
      <c r="DX58" s="119">
        <f t="shared" si="5"/>
        <v>0</v>
      </c>
      <c r="DY58" s="119">
        <f t="shared" si="5"/>
        <v>0</v>
      </c>
      <c r="DZ58" s="119">
        <f t="shared" ref="DZ58:GK58" si="6">SUM(DZ3:DZ57)</f>
        <v>0</v>
      </c>
      <c r="EA58" s="119">
        <f t="shared" si="6"/>
        <v>384300</v>
      </c>
      <c r="EB58" s="119">
        <f t="shared" si="6"/>
        <v>0</v>
      </c>
      <c r="EC58" s="119">
        <f t="shared" si="6"/>
        <v>0</v>
      </c>
      <c r="ED58" s="119">
        <f t="shared" si="6"/>
        <v>0</v>
      </c>
      <c r="EE58" s="119">
        <f t="shared" si="6"/>
        <v>298561.91999999998</v>
      </c>
      <c r="EF58" s="119">
        <f t="shared" si="6"/>
        <v>0</v>
      </c>
      <c r="EG58" s="119">
        <f t="shared" si="6"/>
        <v>0</v>
      </c>
      <c r="EH58" s="119">
        <f t="shared" si="6"/>
        <v>0</v>
      </c>
      <c r="EI58" s="119">
        <f t="shared" si="6"/>
        <v>0</v>
      </c>
      <c r="EJ58" s="119">
        <f t="shared" si="6"/>
        <v>0</v>
      </c>
      <c r="EK58" s="119">
        <f t="shared" si="6"/>
        <v>0</v>
      </c>
      <c r="EL58" s="119">
        <f t="shared" si="6"/>
        <v>0</v>
      </c>
      <c r="EM58" s="119">
        <f t="shared" si="6"/>
        <v>0</v>
      </c>
      <c r="EN58" s="119">
        <f t="shared" si="6"/>
        <v>0</v>
      </c>
      <c r="EO58" s="119">
        <f t="shared" si="6"/>
        <v>0</v>
      </c>
      <c r="EP58" s="119">
        <f t="shared" si="6"/>
        <v>0</v>
      </c>
      <c r="EQ58" s="119">
        <f t="shared" si="6"/>
        <v>0</v>
      </c>
      <c r="ER58" s="119">
        <f t="shared" si="6"/>
        <v>0</v>
      </c>
      <c r="ES58" s="119">
        <f t="shared" si="6"/>
        <v>0</v>
      </c>
      <c r="ET58" s="119">
        <f t="shared" si="6"/>
        <v>0</v>
      </c>
      <c r="EU58" s="119">
        <f t="shared" si="6"/>
        <v>0</v>
      </c>
      <c r="EV58" s="119">
        <f t="shared" si="6"/>
        <v>0</v>
      </c>
      <c r="EW58" s="119">
        <f t="shared" si="6"/>
        <v>0</v>
      </c>
      <c r="EX58" s="119">
        <f t="shared" si="6"/>
        <v>0</v>
      </c>
      <c r="EY58" s="119">
        <f t="shared" si="6"/>
        <v>0</v>
      </c>
      <c r="EZ58" s="119">
        <f t="shared" si="6"/>
        <v>0</v>
      </c>
      <c r="FA58" s="119">
        <f t="shared" si="6"/>
        <v>172000</v>
      </c>
      <c r="FB58" s="119">
        <f t="shared" si="6"/>
        <v>0</v>
      </c>
      <c r="FC58" s="119">
        <f t="shared" si="6"/>
        <v>0</v>
      </c>
      <c r="FD58" s="119">
        <f t="shared" si="6"/>
        <v>21952</v>
      </c>
      <c r="FE58" s="119">
        <f t="shared" si="6"/>
        <v>0</v>
      </c>
      <c r="FF58" s="119">
        <f t="shared" si="6"/>
        <v>0</v>
      </c>
      <c r="FG58" s="119">
        <f t="shared" si="6"/>
        <v>0</v>
      </c>
      <c r="FH58" s="119">
        <f t="shared" si="6"/>
        <v>0</v>
      </c>
      <c r="FI58" s="119">
        <f t="shared" si="6"/>
        <v>0</v>
      </c>
      <c r="FJ58" s="119">
        <f t="shared" si="6"/>
        <v>0</v>
      </c>
      <c r="FK58" s="119">
        <f t="shared" si="6"/>
        <v>0</v>
      </c>
      <c r="FL58" s="119">
        <f t="shared" si="6"/>
        <v>0</v>
      </c>
      <c r="FM58" s="119">
        <f t="shared" si="6"/>
        <v>0</v>
      </c>
      <c r="FN58" s="119">
        <f t="shared" si="6"/>
        <v>140797.6</v>
      </c>
      <c r="FO58" s="119">
        <f t="shared" si="6"/>
        <v>0</v>
      </c>
      <c r="FP58" s="119">
        <f t="shared" si="6"/>
        <v>0</v>
      </c>
      <c r="FQ58" s="119">
        <f t="shared" si="6"/>
        <v>420561</v>
      </c>
      <c r="FR58" s="119">
        <f t="shared" si="6"/>
        <v>0</v>
      </c>
      <c r="FS58" s="119">
        <f t="shared" si="6"/>
        <v>0</v>
      </c>
      <c r="FT58" s="119">
        <f t="shared" si="6"/>
        <v>64664</v>
      </c>
      <c r="FU58" s="119">
        <f t="shared" si="6"/>
        <v>0</v>
      </c>
      <c r="FV58" s="119">
        <f t="shared" si="6"/>
        <v>0</v>
      </c>
      <c r="FW58" s="119">
        <f t="shared" si="6"/>
        <v>41819.199999999997</v>
      </c>
      <c r="FX58" s="119">
        <f t="shared" si="6"/>
        <v>0</v>
      </c>
      <c r="FY58" s="119">
        <f t="shared" si="6"/>
        <v>0</v>
      </c>
      <c r="FZ58" s="119">
        <f t="shared" si="6"/>
        <v>0</v>
      </c>
      <c r="GA58" s="119">
        <f t="shared" si="6"/>
        <v>56945.15</v>
      </c>
      <c r="GB58" s="119">
        <f t="shared" si="6"/>
        <v>419400</v>
      </c>
      <c r="GC58" s="119">
        <f t="shared" si="6"/>
        <v>3600</v>
      </c>
      <c r="GD58" s="119">
        <f t="shared" si="6"/>
        <v>0</v>
      </c>
      <c r="GE58" s="119">
        <f t="shared" si="6"/>
        <v>0</v>
      </c>
      <c r="GF58" s="119">
        <f t="shared" si="6"/>
        <v>0</v>
      </c>
      <c r="GG58" s="119">
        <f t="shared" si="6"/>
        <v>0</v>
      </c>
      <c r="GH58" s="119">
        <f t="shared" si="6"/>
        <v>442444.72</v>
      </c>
      <c r="GI58" s="119">
        <f t="shared" si="6"/>
        <v>0</v>
      </c>
      <c r="GJ58" s="119">
        <f t="shared" si="6"/>
        <v>0</v>
      </c>
      <c r="GK58" s="119">
        <f t="shared" si="6"/>
        <v>0</v>
      </c>
      <c r="GL58" s="119">
        <f t="shared" ref="GL58:IW58" si="7">SUM(GL3:GL57)</f>
        <v>0</v>
      </c>
      <c r="GM58" s="119">
        <f t="shared" si="7"/>
        <v>0</v>
      </c>
      <c r="GN58" s="119">
        <f t="shared" si="7"/>
        <v>0</v>
      </c>
      <c r="GO58" s="119">
        <f t="shared" si="7"/>
        <v>0</v>
      </c>
      <c r="GP58" s="119">
        <f t="shared" si="7"/>
        <v>0</v>
      </c>
      <c r="GQ58" s="119">
        <f t="shared" si="7"/>
        <v>0</v>
      </c>
      <c r="GR58" s="119">
        <f t="shared" si="7"/>
        <v>1899800</v>
      </c>
      <c r="GS58" s="119">
        <f t="shared" si="7"/>
        <v>0</v>
      </c>
      <c r="GT58" s="119">
        <f t="shared" si="7"/>
        <v>0</v>
      </c>
      <c r="GU58" s="119">
        <f t="shared" si="7"/>
        <v>0</v>
      </c>
      <c r="GV58" s="119">
        <f t="shared" si="7"/>
        <v>0</v>
      </c>
      <c r="GW58" s="119">
        <f t="shared" si="7"/>
        <v>0</v>
      </c>
      <c r="GX58" s="119">
        <f t="shared" si="7"/>
        <v>0</v>
      </c>
      <c r="GY58" s="119">
        <f t="shared" si="7"/>
        <v>0</v>
      </c>
      <c r="GZ58" s="119">
        <f t="shared" si="7"/>
        <v>0</v>
      </c>
      <c r="HA58" s="119">
        <f t="shared" si="7"/>
        <v>0</v>
      </c>
      <c r="HB58" s="119">
        <f t="shared" si="7"/>
        <v>0</v>
      </c>
      <c r="HC58" s="119">
        <f t="shared" si="7"/>
        <v>0</v>
      </c>
      <c r="HD58" s="119">
        <f t="shared" si="7"/>
        <v>0</v>
      </c>
      <c r="HE58" s="119">
        <f t="shared" si="7"/>
        <v>0</v>
      </c>
      <c r="HF58" s="119">
        <f t="shared" si="7"/>
        <v>0</v>
      </c>
      <c r="HG58" s="119">
        <f t="shared" si="7"/>
        <v>0</v>
      </c>
      <c r="HH58" s="119">
        <f t="shared" si="7"/>
        <v>413000</v>
      </c>
      <c r="HI58" s="119">
        <f t="shared" si="7"/>
        <v>0</v>
      </c>
      <c r="HJ58" s="119">
        <f t="shared" si="7"/>
        <v>0</v>
      </c>
      <c r="HK58" s="119">
        <f t="shared" si="7"/>
        <v>0</v>
      </c>
      <c r="HL58" s="119">
        <f t="shared" si="7"/>
        <v>0</v>
      </c>
      <c r="HM58" s="119">
        <f t="shared" si="7"/>
        <v>0</v>
      </c>
      <c r="HN58" s="119">
        <f t="shared" si="7"/>
        <v>0</v>
      </c>
      <c r="HO58" s="119">
        <f t="shared" si="7"/>
        <v>0</v>
      </c>
      <c r="HP58" s="119">
        <f t="shared" si="7"/>
        <v>0</v>
      </c>
      <c r="HQ58" s="119">
        <f t="shared" si="7"/>
        <v>0</v>
      </c>
      <c r="HR58" s="119">
        <f t="shared" si="7"/>
        <v>0</v>
      </c>
      <c r="HS58" s="119">
        <f t="shared" si="7"/>
        <v>0</v>
      </c>
      <c r="HT58" s="119">
        <f t="shared" si="7"/>
        <v>0</v>
      </c>
      <c r="HU58" s="119">
        <f t="shared" si="7"/>
        <v>0</v>
      </c>
      <c r="HV58" s="119">
        <f t="shared" si="7"/>
        <v>0</v>
      </c>
      <c r="HW58" s="119">
        <f t="shared" si="7"/>
        <v>0</v>
      </c>
      <c r="HX58" s="119">
        <f t="shared" si="7"/>
        <v>0</v>
      </c>
      <c r="HY58" s="119">
        <f t="shared" si="7"/>
        <v>0</v>
      </c>
      <c r="HZ58" s="119">
        <f t="shared" si="7"/>
        <v>0</v>
      </c>
      <c r="IA58" s="119">
        <f t="shared" si="7"/>
        <v>0</v>
      </c>
      <c r="IB58" s="119">
        <f t="shared" si="7"/>
        <v>0</v>
      </c>
      <c r="IC58" s="119">
        <f t="shared" si="7"/>
        <v>0</v>
      </c>
      <c r="ID58" s="119">
        <f t="shared" si="7"/>
        <v>0</v>
      </c>
      <c r="IE58" s="119">
        <f t="shared" si="7"/>
        <v>0</v>
      </c>
      <c r="IF58" s="119">
        <f t="shared" si="7"/>
        <v>0</v>
      </c>
      <c r="IG58" s="119">
        <f t="shared" si="7"/>
        <v>0</v>
      </c>
      <c r="IH58" s="119">
        <f t="shared" si="7"/>
        <v>0</v>
      </c>
      <c r="II58" s="119">
        <f t="shared" si="7"/>
        <v>0</v>
      </c>
      <c r="IJ58" s="119">
        <f t="shared" si="7"/>
        <v>0</v>
      </c>
      <c r="IK58" s="119">
        <f t="shared" si="7"/>
        <v>0</v>
      </c>
      <c r="IL58" s="119">
        <f t="shared" si="7"/>
        <v>0</v>
      </c>
      <c r="IM58" s="119">
        <f t="shared" si="7"/>
        <v>0</v>
      </c>
      <c r="IN58" s="119">
        <f t="shared" si="7"/>
        <v>0</v>
      </c>
      <c r="IO58" s="119">
        <f t="shared" si="7"/>
        <v>0</v>
      </c>
      <c r="IP58" s="119">
        <f t="shared" si="7"/>
        <v>0</v>
      </c>
      <c r="IQ58" s="119">
        <f t="shared" si="7"/>
        <v>0</v>
      </c>
      <c r="IR58" s="119">
        <f t="shared" si="7"/>
        <v>0</v>
      </c>
      <c r="IS58" s="119">
        <f t="shared" si="7"/>
        <v>0</v>
      </c>
      <c r="IT58" s="119">
        <f t="shared" si="7"/>
        <v>0</v>
      </c>
      <c r="IU58" s="119">
        <f t="shared" si="7"/>
        <v>0</v>
      </c>
      <c r="IV58" s="119">
        <f t="shared" si="7"/>
        <v>0</v>
      </c>
      <c r="IW58" s="119">
        <f t="shared" si="7"/>
        <v>0</v>
      </c>
      <c r="IX58" s="119">
        <f t="shared" ref="IX58:JH58" si="8">SUM(IX3:IX57)</f>
        <v>0</v>
      </c>
      <c r="IY58" s="119">
        <f t="shared" si="8"/>
        <v>0</v>
      </c>
      <c r="IZ58" s="119">
        <f t="shared" si="8"/>
        <v>0</v>
      </c>
      <c r="JA58" s="119">
        <f t="shared" si="8"/>
        <v>0</v>
      </c>
      <c r="JB58" s="119">
        <f t="shared" si="8"/>
        <v>0</v>
      </c>
      <c r="JC58" s="119">
        <f t="shared" si="8"/>
        <v>0</v>
      </c>
      <c r="JD58" s="119">
        <f t="shared" si="8"/>
        <v>0</v>
      </c>
      <c r="JE58" s="119">
        <f t="shared" si="8"/>
        <v>0</v>
      </c>
      <c r="JF58" s="119">
        <f t="shared" si="8"/>
        <v>0</v>
      </c>
      <c r="JG58" s="119">
        <f t="shared" si="8"/>
        <v>0</v>
      </c>
      <c r="JH58" s="119">
        <f t="shared" si="8"/>
        <v>0</v>
      </c>
      <c r="JI58" s="119">
        <f>SUM(JI3:JI57)</f>
        <v>7026991.129999999</v>
      </c>
      <c r="JJ58" s="2"/>
      <c r="JK58" s="122">
        <f t="shared" ref="JK58:JP58" si="9">SUM(JK3:JK57)</f>
        <v>6723289.6500000004</v>
      </c>
      <c r="JL58" s="122">
        <f t="shared" si="9"/>
        <v>303701.47999999986</v>
      </c>
      <c r="JM58" s="122">
        <f t="shared" si="9"/>
        <v>0</v>
      </c>
      <c r="JN58" s="122">
        <f t="shared" si="9"/>
        <v>0</v>
      </c>
      <c r="JO58" s="122">
        <f t="shared" si="9"/>
        <v>0</v>
      </c>
      <c r="JP58" s="122">
        <f t="shared" si="9"/>
        <v>0</v>
      </c>
    </row>
    <row r="59" spans="1:276" ht="15.75" x14ac:dyDescent="0.25">
      <c r="A59" s="118">
        <v>211101</v>
      </c>
      <c r="B59" s="118">
        <v>211102</v>
      </c>
      <c r="C59" s="118">
        <v>211103</v>
      </c>
      <c r="D59" s="118">
        <v>211104</v>
      </c>
      <c r="E59" s="118">
        <v>211105</v>
      </c>
      <c r="F59" s="118">
        <v>211106</v>
      </c>
      <c r="G59" s="118">
        <v>211203</v>
      </c>
      <c r="H59" s="118">
        <v>211205</v>
      </c>
      <c r="I59" s="118">
        <v>211206</v>
      </c>
      <c r="J59" s="118">
        <v>211208</v>
      </c>
      <c r="K59" s="118">
        <v>211209</v>
      </c>
      <c r="L59" s="118">
        <v>211211</v>
      </c>
      <c r="M59" s="118">
        <v>211301</v>
      </c>
      <c r="N59" s="118">
        <v>211401</v>
      </c>
      <c r="O59" s="118">
        <v>211501</v>
      </c>
      <c r="P59" s="118">
        <v>211502</v>
      </c>
      <c r="Q59" s="118">
        <v>211503</v>
      </c>
      <c r="R59" s="118">
        <v>211504</v>
      </c>
      <c r="S59" s="118">
        <v>212101</v>
      </c>
      <c r="T59" s="118">
        <v>212201</v>
      </c>
      <c r="U59" s="118">
        <v>212203</v>
      </c>
      <c r="V59" s="118">
        <v>212204</v>
      </c>
      <c r="W59" s="118">
        <v>212205</v>
      </c>
      <c r="X59" s="118">
        <v>212206</v>
      </c>
      <c r="Y59" s="118">
        <v>212207</v>
      </c>
      <c r="Z59" s="118">
        <v>212208</v>
      </c>
      <c r="AA59" s="118">
        <v>212209</v>
      </c>
      <c r="AB59" s="118">
        <v>212210</v>
      </c>
      <c r="AC59" s="118">
        <v>213101</v>
      </c>
      <c r="AD59" s="118">
        <v>213102</v>
      </c>
      <c r="AE59" s="118">
        <v>213201</v>
      </c>
      <c r="AF59" s="118">
        <v>213202</v>
      </c>
      <c r="AG59" s="118">
        <v>214101</v>
      </c>
      <c r="AH59" s="118">
        <v>214201</v>
      </c>
      <c r="AI59" s="118">
        <v>214202</v>
      </c>
      <c r="AJ59" s="118">
        <v>214203</v>
      </c>
      <c r="AK59" s="118">
        <v>215101</v>
      </c>
      <c r="AL59" s="118">
        <v>215201</v>
      </c>
      <c r="AM59" s="118">
        <v>215301</v>
      </c>
      <c r="AN59" s="118">
        <v>215401</v>
      </c>
      <c r="AO59" s="118">
        <v>221101</v>
      </c>
      <c r="AP59" s="118">
        <v>221201</v>
      </c>
      <c r="AQ59" s="118">
        <v>221301</v>
      </c>
      <c r="AR59" s="118">
        <v>221401</v>
      </c>
      <c r="AS59" s="118">
        <v>221501</v>
      </c>
      <c r="AT59" s="118">
        <v>221601</v>
      </c>
      <c r="AU59" s="118">
        <v>221602</v>
      </c>
      <c r="AV59" s="118">
        <v>221701</v>
      </c>
      <c r="AW59" s="118">
        <v>221801</v>
      </c>
      <c r="AX59" s="118">
        <v>222101</v>
      </c>
      <c r="AY59" s="118">
        <v>222201</v>
      </c>
      <c r="AZ59" s="118">
        <v>223101</v>
      </c>
      <c r="BA59" s="118">
        <v>223201</v>
      </c>
      <c r="BB59" s="118">
        <v>224101</v>
      </c>
      <c r="BC59" s="118">
        <v>224201</v>
      </c>
      <c r="BD59" s="118">
        <v>224301</v>
      </c>
      <c r="BE59" s="118">
        <v>224401</v>
      </c>
      <c r="BF59" s="118">
        <v>225101</v>
      </c>
      <c r="BG59" s="118">
        <v>225201</v>
      </c>
      <c r="BH59" s="118">
        <v>225301</v>
      </c>
      <c r="BI59" s="118">
        <v>225302</v>
      </c>
      <c r="BJ59" s="118">
        <v>225303</v>
      </c>
      <c r="BK59" s="118">
        <v>225304</v>
      </c>
      <c r="BL59" s="118">
        <v>225305</v>
      </c>
      <c r="BM59" s="118">
        <v>225401</v>
      </c>
      <c r="BN59" s="118">
        <v>225501</v>
      </c>
      <c r="BO59" s="118">
        <v>225601</v>
      </c>
      <c r="BP59" s="118">
        <v>225701</v>
      </c>
      <c r="BQ59" s="118">
        <v>225801</v>
      </c>
      <c r="BR59" s="118">
        <v>225901</v>
      </c>
      <c r="BS59" s="118">
        <v>226101</v>
      </c>
      <c r="BT59" s="118">
        <v>226201</v>
      </c>
      <c r="BU59" s="118">
        <v>226301</v>
      </c>
      <c r="BV59" s="118">
        <v>226401</v>
      </c>
      <c r="BW59" s="118">
        <v>227101</v>
      </c>
      <c r="BX59" s="118">
        <v>227102</v>
      </c>
      <c r="BY59" s="118">
        <v>227103</v>
      </c>
      <c r="BZ59" s="118">
        <v>227104</v>
      </c>
      <c r="CA59" s="118">
        <v>227105</v>
      </c>
      <c r="CB59" s="118">
        <v>227106</v>
      </c>
      <c r="CC59" s="118">
        <v>227107</v>
      </c>
      <c r="CD59" s="118">
        <v>227199</v>
      </c>
      <c r="CE59" s="118">
        <v>227201</v>
      </c>
      <c r="CF59" s="118">
        <v>227202</v>
      </c>
      <c r="CG59" s="118">
        <v>227203</v>
      </c>
      <c r="CH59" s="118">
        <v>227204</v>
      </c>
      <c r="CI59" s="118">
        <v>227205</v>
      </c>
      <c r="CJ59" s="118">
        <v>227206</v>
      </c>
      <c r="CK59" s="118">
        <v>227207</v>
      </c>
      <c r="CL59" s="118">
        <v>227208</v>
      </c>
      <c r="CM59" s="118">
        <v>227299</v>
      </c>
      <c r="CN59" s="118">
        <v>227301</v>
      </c>
      <c r="CO59" s="118">
        <v>228101</v>
      </c>
      <c r="CP59" s="118">
        <v>228201</v>
      </c>
      <c r="CQ59" s="118">
        <v>228301</v>
      </c>
      <c r="CR59" s="118">
        <v>228401</v>
      </c>
      <c r="CS59" s="118">
        <v>228501</v>
      </c>
      <c r="CT59" s="118">
        <v>228502</v>
      </c>
      <c r="CU59" s="118">
        <v>228503</v>
      </c>
      <c r="CV59" s="118">
        <v>228601</v>
      </c>
      <c r="CW59" s="118">
        <v>228602</v>
      </c>
      <c r="CX59" s="118">
        <v>228603</v>
      </c>
      <c r="CY59" s="118">
        <v>228604</v>
      </c>
      <c r="CZ59" s="118">
        <v>228701</v>
      </c>
      <c r="DA59" s="118">
        <v>228702</v>
      </c>
      <c r="DB59" s="118">
        <v>228703</v>
      </c>
      <c r="DC59" s="118">
        <v>228704</v>
      </c>
      <c r="DD59" s="118">
        <v>228705</v>
      </c>
      <c r="DE59" s="118">
        <v>228706</v>
      </c>
      <c r="DF59" s="118">
        <v>228801</v>
      </c>
      <c r="DG59" s="118">
        <v>228802</v>
      </c>
      <c r="DH59" s="118">
        <v>228803</v>
      </c>
      <c r="DI59" s="118">
        <v>229201</v>
      </c>
      <c r="DJ59" s="118">
        <v>229203</v>
      </c>
      <c r="DK59" s="118">
        <v>231101</v>
      </c>
      <c r="DL59" s="118">
        <v>231102</v>
      </c>
      <c r="DM59" s="118">
        <v>231201</v>
      </c>
      <c r="DN59" s="118">
        <v>231301</v>
      </c>
      <c r="DO59" s="118">
        <v>231302</v>
      </c>
      <c r="DP59" s="118">
        <v>231303</v>
      </c>
      <c r="DQ59" s="118">
        <v>231401</v>
      </c>
      <c r="DR59" s="118">
        <v>232101</v>
      </c>
      <c r="DS59" s="118">
        <v>232201</v>
      </c>
      <c r="DT59" s="118">
        <v>232301</v>
      </c>
      <c r="DU59" s="118">
        <v>233101</v>
      </c>
      <c r="DV59" s="118">
        <v>233201</v>
      </c>
      <c r="DW59" s="118">
        <v>233301</v>
      </c>
      <c r="DX59" s="118">
        <v>233401</v>
      </c>
      <c r="DY59" s="118">
        <v>233501</v>
      </c>
      <c r="DZ59" s="118">
        <v>233601</v>
      </c>
      <c r="EA59" s="118">
        <v>234101</v>
      </c>
      <c r="EB59" s="118">
        <v>234201</v>
      </c>
      <c r="EC59" s="118">
        <v>235101</v>
      </c>
      <c r="ED59" s="118">
        <v>235201</v>
      </c>
      <c r="EE59" s="118">
        <v>235301</v>
      </c>
      <c r="EF59" s="118">
        <v>235401</v>
      </c>
      <c r="EG59" s="118">
        <v>235501</v>
      </c>
      <c r="EH59" s="118">
        <v>236101</v>
      </c>
      <c r="EI59" s="118">
        <v>236102</v>
      </c>
      <c r="EJ59" s="118">
        <v>236103</v>
      </c>
      <c r="EK59" s="118">
        <v>236104</v>
      </c>
      <c r="EL59" s="118">
        <v>236105</v>
      </c>
      <c r="EM59" s="118">
        <v>236201</v>
      </c>
      <c r="EN59" s="118">
        <v>236202</v>
      </c>
      <c r="EO59" s="118">
        <v>236203</v>
      </c>
      <c r="EP59" s="118">
        <v>236304</v>
      </c>
      <c r="EQ59" s="118">
        <v>236305</v>
      </c>
      <c r="ER59" s="118">
        <v>236306</v>
      </c>
      <c r="ES59" s="118">
        <v>236401</v>
      </c>
      <c r="ET59" s="118">
        <v>236402</v>
      </c>
      <c r="EU59" s="118">
        <v>236403</v>
      </c>
      <c r="EV59" s="118">
        <v>236404</v>
      </c>
      <c r="EW59" s="118">
        <v>236405</v>
      </c>
      <c r="EX59" s="118">
        <v>236406</v>
      </c>
      <c r="EY59" s="118">
        <v>236407</v>
      </c>
      <c r="EZ59" s="118">
        <v>236901</v>
      </c>
      <c r="FA59" s="118">
        <v>237101</v>
      </c>
      <c r="FB59" s="118">
        <v>237102</v>
      </c>
      <c r="FC59" s="118">
        <v>237103</v>
      </c>
      <c r="FD59" s="118">
        <v>237104</v>
      </c>
      <c r="FE59" s="118">
        <v>237105</v>
      </c>
      <c r="FF59" s="118">
        <v>237106</v>
      </c>
      <c r="FG59" s="118">
        <v>237107</v>
      </c>
      <c r="FH59" s="118">
        <v>237201</v>
      </c>
      <c r="FI59" s="118">
        <v>237202</v>
      </c>
      <c r="FJ59" s="118">
        <v>237203</v>
      </c>
      <c r="FK59" s="118">
        <v>237204</v>
      </c>
      <c r="FL59" s="118">
        <v>237205</v>
      </c>
      <c r="FM59" s="118">
        <v>237206</v>
      </c>
      <c r="FN59" s="118">
        <v>237299</v>
      </c>
      <c r="FO59" s="118">
        <v>238101</v>
      </c>
      <c r="FP59" s="118">
        <v>238201</v>
      </c>
      <c r="FQ59" s="118">
        <v>239101</v>
      </c>
      <c r="FR59" s="118">
        <v>239102</v>
      </c>
      <c r="FS59" s="118">
        <v>239201</v>
      </c>
      <c r="FT59" s="118">
        <v>239301</v>
      </c>
      <c r="FU59" s="118">
        <v>239401</v>
      </c>
      <c r="FV59" s="118">
        <v>239501</v>
      </c>
      <c r="FW59" s="118">
        <v>239601</v>
      </c>
      <c r="FX59" s="118">
        <v>239701</v>
      </c>
      <c r="FY59" s="118">
        <v>239801</v>
      </c>
      <c r="FZ59" s="118">
        <v>239802</v>
      </c>
      <c r="GA59" s="118">
        <v>239901</v>
      </c>
      <c r="GB59" s="118">
        <v>239904</v>
      </c>
      <c r="GC59" s="118">
        <v>241201</v>
      </c>
      <c r="GD59" s="118">
        <v>241202</v>
      </c>
      <c r="GE59" s="118">
        <v>241203</v>
      </c>
      <c r="GF59" s="118">
        <v>241204</v>
      </c>
      <c r="GG59" s="118">
        <v>241205</v>
      </c>
      <c r="GH59" s="118">
        <v>261101</v>
      </c>
      <c r="GI59" s="118">
        <v>261201</v>
      </c>
      <c r="GJ59" s="118">
        <v>261301</v>
      </c>
      <c r="GK59" s="118">
        <v>261401</v>
      </c>
      <c r="GL59" s="118">
        <v>261901</v>
      </c>
      <c r="GM59" s="118">
        <v>262101</v>
      </c>
      <c r="GN59" s="118">
        <v>262201</v>
      </c>
      <c r="GO59" s="118">
        <v>262301</v>
      </c>
      <c r="GP59" s="118">
        <v>262401</v>
      </c>
      <c r="GQ59" s="118">
        <v>263101</v>
      </c>
      <c r="GR59" s="118">
        <v>263201</v>
      </c>
      <c r="GS59" s="118">
        <v>263301</v>
      </c>
      <c r="GT59" s="118">
        <v>263401</v>
      </c>
      <c r="GU59" s="118">
        <v>264101</v>
      </c>
      <c r="GV59" s="118">
        <v>264201</v>
      </c>
      <c r="GW59" s="118">
        <v>264301</v>
      </c>
      <c r="GX59" s="118">
        <v>264401</v>
      </c>
      <c r="GY59" s="118">
        <v>264501</v>
      </c>
      <c r="GZ59" s="118">
        <v>264601</v>
      </c>
      <c r="HA59" s="118">
        <v>264701</v>
      </c>
      <c r="HB59" s="118">
        <v>264801</v>
      </c>
      <c r="HC59" s="118">
        <v>265101</v>
      </c>
      <c r="HD59" s="118">
        <v>265201</v>
      </c>
      <c r="HE59" s="118">
        <v>265301</v>
      </c>
      <c r="HF59" s="118">
        <v>265401</v>
      </c>
      <c r="HG59" s="118">
        <v>265501</v>
      </c>
      <c r="HH59" s="118">
        <v>265601</v>
      </c>
      <c r="HI59" s="118">
        <v>265701</v>
      </c>
      <c r="HJ59" s="118">
        <v>265801</v>
      </c>
      <c r="HK59" s="118">
        <v>266101</v>
      </c>
      <c r="HL59" s="118">
        <v>266201</v>
      </c>
      <c r="HM59" s="118">
        <v>267101</v>
      </c>
      <c r="HN59" s="118">
        <v>267201</v>
      </c>
      <c r="HO59" s="118">
        <v>267301</v>
      </c>
      <c r="HP59" s="118">
        <v>267401</v>
      </c>
      <c r="HQ59" s="118">
        <v>267501</v>
      </c>
      <c r="HR59" s="118">
        <v>267601</v>
      </c>
      <c r="HS59" s="118">
        <v>267701</v>
      </c>
      <c r="HT59" s="118">
        <v>267801</v>
      </c>
      <c r="HU59" s="118">
        <v>267901</v>
      </c>
      <c r="HV59" s="118">
        <v>268101</v>
      </c>
      <c r="HW59" s="118">
        <v>268201</v>
      </c>
      <c r="HX59" s="118">
        <v>268301</v>
      </c>
      <c r="HY59" s="118">
        <v>268302</v>
      </c>
      <c r="HZ59" s="118">
        <v>268401</v>
      </c>
      <c r="IA59" s="118">
        <v>268501</v>
      </c>
      <c r="IB59" s="118">
        <v>268601</v>
      </c>
      <c r="IC59" s="118">
        <v>268701</v>
      </c>
      <c r="ID59" s="118">
        <v>268802</v>
      </c>
      <c r="IE59" s="118">
        <v>268803</v>
      </c>
      <c r="IF59" s="118">
        <v>268804</v>
      </c>
      <c r="IG59" s="118">
        <v>268901</v>
      </c>
      <c r="IH59" s="118">
        <v>269101</v>
      </c>
      <c r="II59" s="118">
        <v>269102</v>
      </c>
      <c r="IJ59" s="118">
        <v>269201</v>
      </c>
      <c r="IK59" s="118">
        <v>269202</v>
      </c>
      <c r="IL59" s="118">
        <v>269301</v>
      </c>
      <c r="IM59" s="118">
        <v>269401</v>
      </c>
      <c r="IN59" s="118">
        <v>269501</v>
      </c>
      <c r="IO59" s="118">
        <v>269502</v>
      </c>
      <c r="IP59" s="118">
        <v>269503</v>
      </c>
      <c r="IQ59" s="118">
        <v>2269901</v>
      </c>
      <c r="IR59" s="118">
        <v>271101</v>
      </c>
      <c r="IS59" s="118">
        <v>271201</v>
      </c>
      <c r="IT59" s="118">
        <v>271301</v>
      </c>
      <c r="IU59" s="118">
        <v>271401</v>
      </c>
      <c r="IV59" s="118">
        <v>272101</v>
      </c>
      <c r="IW59" s="118">
        <v>272201</v>
      </c>
      <c r="IX59" s="118">
        <v>272301</v>
      </c>
      <c r="IY59" s="118">
        <v>272401</v>
      </c>
      <c r="IZ59" s="118">
        <v>272501</v>
      </c>
      <c r="JA59" s="118">
        <v>272601</v>
      </c>
      <c r="JB59" s="118">
        <v>272701</v>
      </c>
      <c r="JC59" s="118">
        <v>272801</v>
      </c>
      <c r="JD59" s="118">
        <v>272901</v>
      </c>
      <c r="JE59" s="118">
        <v>273101</v>
      </c>
      <c r="JF59" s="118">
        <v>273201</v>
      </c>
      <c r="JG59" s="118">
        <v>274101</v>
      </c>
      <c r="JH59" s="118">
        <v>274201</v>
      </c>
      <c r="JI59" s="119"/>
      <c r="JJ59" s="123"/>
      <c r="JK59" s="123"/>
    </row>
    <row r="60" spans="1:276" x14ac:dyDescent="0.25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  <c r="AP60" s="122"/>
      <c r="AQ60" s="122"/>
      <c r="AR60" s="122"/>
      <c r="AS60" s="122"/>
      <c r="AT60" s="122"/>
      <c r="AU60" s="122"/>
      <c r="AV60" s="122"/>
      <c r="AW60" s="122"/>
      <c r="AX60" s="122"/>
      <c r="AY60" s="122"/>
      <c r="AZ60" s="122"/>
      <c r="BA60" s="122"/>
      <c r="BB60" s="122"/>
      <c r="BC60" s="122"/>
      <c r="BD60" s="122"/>
      <c r="BE60" s="122"/>
      <c r="BF60" s="122"/>
      <c r="BG60" s="122"/>
      <c r="BH60" s="122"/>
      <c r="BI60" s="122"/>
      <c r="BJ60" s="122"/>
      <c r="BK60" s="122"/>
      <c r="BL60" s="122"/>
      <c r="BM60" s="122"/>
      <c r="BN60" s="122"/>
      <c r="BO60" s="122"/>
      <c r="BP60" s="122"/>
      <c r="BQ60" s="122"/>
      <c r="BR60" s="122"/>
      <c r="BS60" s="122"/>
      <c r="BT60" s="122"/>
      <c r="BU60" s="122"/>
      <c r="BV60" s="122"/>
      <c r="BW60" s="122"/>
      <c r="BX60" s="122"/>
      <c r="BY60" s="122"/>
      <c r="BZ60" s="122"/>
      <c r="CA60" s="122"/>
      <c r="CB60" s="122"/>
      <c r="CC60" s="122"/>
      <c r="CD60" s="122"/>
      <c r="CE60" s="122"/>
      <c r="CF60" s="122"/>
      <c r="CG60" s="122"/>
      <c r="CH60" s="122"/>
      <c r="CI60" s="122"/>
      <c r="CJ60" s="122"/>
      <c r="CK60" s="122"/>
      <c r="CL60" s="122"/>
      <c r="CM60" s="122"/>
      <c r="CN60" s="122"/>
      <c r="CO60" s="122"/>
      <c r="CP60" s="122"/>
      <c r="CQ60" s="122"/>
      <c r="CR60" s="122"/>
      <c r="CS60" s="122"/>
      <c r="CT60" s="122"/>
      <c r="CU60" s="122"/>
      <c r="CV60" s="122"/>
      <c r="CW60" s="122"/>
      <c r="CX60" s="122"/>
      <c r="CY60" s="122"/>
      <c r="CZ60" s="122"/>
      <c r="DA60" s="122"/>
      <c r="DB60" s="122"/>
      <c r="DC60" s="122"/>
      <c r="DD60" s="122"/>
      <c r="DE60" s="122"/>
      <c r="DF60" s="122"/>
      <c r="DG60" s="122"/>
      <c r="DH60" s="122"/>
      <c r="DI60" s="122"/>
      <c r="DJ60" s="122"/>
      <c r="DK60" s="122"/>
      <c r="DL60" s="122"/>
      <c r="DM60" s="122"/>
      <c r="DN60" s="122"/>
      <c r="DO60" s="122"/>
      <c r="DP60" s="122"/>
      <c r="DQ60" s="122"/>
      <c r="DR60" s="122"/>
      <c r="DS60" s="122"/>
      <c r="DT60" s="122"/>
      <c r="DU60" s="122"/>
      <c r="DV60" s="122"/>
      <c r="DW60" s="122"/>
      <c r="DX60" s="122"/>
      <c r="DY60" s="122"/>
      <c r="DZ60" s="122"/>
      <c r="EA60" s="122"/>
      <c r="EB60" s="122"/>
      <c r="EC60" s="122"/>
      <c r="ED60" s="122"/>
      <c r="EE60" s="122"/>
      <c r="EF60" s="122"/>
      <c r="EG60" s="122"/>
      <c r="EH60" s="122"/>
      <c r="EI60" s="122"/>
      <c r="EJ60" s="122"/>
      <c r="EK60" s="122"/>
      <c r="EL60" s="122"/>
      <c r="EM60" s="122"/>
      <c r="EN60" s="122"/>
      <c r="EO60" s="122"/>
      <c r="EP60" s="122"/>
      <c r="EQ60" s="122"/>
      <c r="ER60" s="122"/>
      <c r="ES60" s="122"/>
      <c r="ET60" s="122"/>
      <c r="EU60" s="122"/>
      <c r="EV60" s="122"/>
      <c r="EW60" s="122"/>
      <c r="EX60" s="122"/>
      <c r="EY60" s="122"/>
      <c r="EZ60" s="122"/>
      <c r="FA60" s="122"/>
      <c r="FB60" s="122"/>
      <c r="FC60" s="122"/>
      <c r="FD60" s="122"/>
      <c r="FE60" s="122"/>
      <c r="FF60" s="122"/>
      <c r="FG60" s="122"/>
      <c r="FH60" s="122"/>
      <c r="FI60" s="122"/>
      <c r="FJ60" s="122"/>
      <c r="FK60" s="122"/>
      <c r="FL60" s="122"/>
      <c r="FM60" s="122"/>
      <c r="FN60" s="122"/>
      <c r="FO60" s="122"/>
      <c r="FP60" s="122"/>
      <c r="FQ60" s="122"/>
      <c r="FR60" s="122"/>
      <c r="FS60" s="122"/>
      <c r="FT60" s="122"/>
      <c r="FU60" s="122"/>
      <c r="FV60" s="122"/>
      <c r="FW60" s="122"/>
      <c r="FX60" s="122"/>
      <c r="FY60" s="122"/>
      <c r="FZ60" s="122"/>
      <c r="GA60" s="122"/>
      <c r="GB60" s="122"/>
      <c r="GC60" s="122"/>
      <c r="GD60" s="122"/>
      <c r="GE60" s="122"/>
      <c r="GF60" s="122"/>
      <c r="GG60" s="122"/>
      <c r="GH60" s="122"/>
      <c r="GI60" s="122"/>
      <c r="GJ60" s="122"/>
      <c r="GK60" s="122"/>
      <c r="GL60" s="122"/>
      <c r="GM60" s="122"/>
      <c r="GN60" s="122"/>
      <c r="GO60" s="122"/>
      <c r="GP60" s="122"/>
      <c r="GQ60" s="122"/>
      <c r="GR60" s="122"/>
      <c r="GS60" s="122"/>
      <c r="GT60" s="122"/>
      <c r="GU60" s="122"/>
      <c r="GV60" s="122"/>
      <c r="GW60" s="122"/>
      <c r="GX60" s="122"/>
      <c r="GY60" s="122"/>
      <c r="GZ60" s="122"/>
      <c r="HA60" s="122"/>
      <c r="HB60" s="122"/>
      <c r="HC60" s="122"/>
      <c r="HD60" s="122"/>
      <c r="HE60" s="122"/>
      <c r="HF60" s="122"/>
      <c r="HG60" s="122"/>
      <c r="HH60" s="122"/>
      <c r="HI60" s="122"/>
      <c r="HJ60" s="122"/>
      <c r="HK60" s="122"/>
      <c r="HL60" s="122"/>
      <c r="HM60" s="122"/>
      <c r="HN60" s="122"/>
      <c r="HO60" s="122"/>
      <c r="HP60" s="122"/>
      <c r="HQ60" s="122"/>
      <c r="HR60" s="122"/>
      <c r="HS60" s="122"/>
      <c r="HT60" s="122"/>
      <c r="HU60" s="122"/>
      <c r="HV60" s="122"/>
      <c r="HW60" s="122"/>
      <c r="HX60" s="122"/>
      <c r="HY60" s="122"/>
      <c r="HZ60" s="122"/>
      <c r="IA60" s="122"/>
      <c r="IB60" s="122"/>
      <c r="IC60" s="122"/>
      <c r="ID60" s="122"/>
      <c r="IE60" s="122"/>
      <c r="IF60" s="122"/>
      <c r="IG60" s="122"/>
      <c r="IH60" s="122"/>
      <c r="II60" s="122"/>
      <c r="IJ60" s="122"/>
      <c r="IK60" s="122"/>
      <c r="IL60" s="122"/>
      <c r="IM60" s="122"/>
      <c r="IN60" s="122"/>
      <c r="IO60" s="122"/>
      <c r="IP60" s="122"/>
      <c r="IQ60" s="122"/>
      <c r="IR60" s="122"/>
      <c r="IS60" s="122"/>
      <c r="IT60" s="122"/>
      <c r="IU60" s="122"/>
      <c r="IV60" s="122"/>
      <c r="IW60" s="122"/>
      <c r="IX60" s="122"/>
      <c r="IY60" s="122"/>
      <c r="IZ60" s="122"/>
      <c r="JA60" s="122"/>
      <c r="JB60" s="122"/>
      <c r="JC60" s="122"/>
      <c r="JD60" s="122"/>
      <c r="JE60" s="122"/>
      <c r="JF60" s="122"/>
      <c r="JG60" s="122"/>
      <c r="JH60" s="122"/>
      <c r="JI60" s="119">
        <f t="shared" si="2"/>
        <v>0</v>
      </c>
      <c r="JJ60" s="2"/>
      <c r="JK60" s="2"/>
    </row>
    <row r="61" spans="1:276" x14ac:dyDescent="0.25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  <c r="AS61" s="122"/>
      <c r="AT61" s="122"/>
      <c r="AU61" s="122"/>
      <c r="AV61" s="122"/>
      <c r="AW61" s="122"/>
      <c r="AX61" s="122"/>
      <c r="AY61" s="122"/>
      <c r="AZ61" s="122"/>
      <c r="BA61" s="122"/>
      <c r="BB61" s="122"/>
      <c r="BC61" s="122"/>
      <c r="BD61" s="122"/>
      <c r="BE61" s="122"/>
      <c r="BF61" s="122"/>
      <c r="BG61" s="122"/>
      <c r="BH61" s="122"/>
      <c r="BI61" s="122"/>
      <c r="BJ61" s="122"/>
      <c r="BK61" s="122"/>
      <c r="BL61" s="122"/>
      <c r="BM61" s="122"/>
      <c r="BN61" s="122"/>
      <c r="BO61" s="122"/>
      <c r="BP61" s="122"/>
      <c r="BQ61" s="122"/>
      <c r="BR61" s="122"/>
      <c r="BS61" s="122"/>
      <c r="BT61" s="122"/>
      <c r="BU61" s="122"/>
      <c r="BV61" s="122"/>
      <c r="BW61" s="122"/>
      <c r="BX61" s="122"/>
      <c r="BY61" s="122"/>
      <c r="BZ61" s="122"/>
      <c r="CA61" s="122"/>
      <c r="CB61" s="122"/>
      <c r="CC61" s="122"/>
      <c r="CD61" s="122"/>
      <c r="CE61" s="122"/>
      <c r="CF61" s="122"/>
      <c r="CG61" s="122"/>
      <c r="CH61" s="122"/>
      <c r="CI61" s="122"/>
      <c r="CJ61" s="122"/>
      <c r="CK61" s="122"/>
      <c r="CL61" s="122"/>
      <c r="CM61" s="122"/>
      <c r="CN61" s="122"/>
      <c r="CO61" s="122"/>
      <c r="CP61" s="122"/>
      <c r="CQ61" s="122"/>
      <c r="CR61" s="122"/>
      <c r="CS61" s="122"/>
      <c r="CT61" s="122"/>
      <c r="CU61" s="122"/>
      <c r="CV61" s="122"/>
      <c r="CW61" s="122"/>
      <c r="CX61" s="122"/>
      <c r="CY61" s="122"/>
      <c r="CZ61" s="122"/>
      <c r="DA61" s="122"/>
      <c r="DB61" s="122"/>
      <c r="DC61" s="122"/>
      <c r="DD61" s="122"/>
      <c r="DE61" s="122"/>
      <c r="DF61" s="122"/>
      <c r="DG61" s="122"/>
      <c r="DH61" s="122"/>
      <c r="DI61" s="122"/>
      <c r="DJ61" s="122"/>
      <c r="DK61" s="122"/>
      <c r="DL61" s="122"/>
      <c r="DM61" s="122"/>
      <c r="DN61" s="122"/>
      <c r="DO61" s="122"/>
      <c r="DP61" s="122"/>
      <c r="DQ61" s="122"/>
      <c r="DR61" s="122"/>
      <c r="DS61" s="122"/>
      <c r="DT61" s="122"/>
      <c r="DU61" s="122"/>
      <c r="DV61" s="122"/>
      <c r="DW61" s="122"/>
      <c r="DX61" s="122"/>
      <c r="DY61" s="122"/>
      <c r="DZ61" s="122"/>
      <c r="EA61" s="122"/>
      <c r="EB61" s="122"/>
      <c r="EC61" s="122"/>
      <c r="ED61" s="122"/>
      <c r="EE61" s="122"/>
      <c r="EF61" s="122"/>
      <c r="EG61" s="122"/>
      <c r="EH61" s="122"/>
      <c r="EI61" s="122"/>
      <c r="EJ61" s="122"/>
      <c r="EK61" s="122"/>
      <c r="EL61" s="122"/>
      <c r="EM61" s="122"/>
      <c r="EN61" s="122"/>
      <c r="EO61" s="122"/>
      <c r="EP61" s="122"/>
      <c r="EQ61" s="122"/>
      <c r="ER61" s="122"/>
      <c r="ES61" s="122"/>
      <c r="ET61" s="122"/>
      <c r="EU61" s="122"/>
      <c r="EV61" s="122"/>
      <c r="EW61" s="122"/>
      <c r="EX61" s="122"/>
      <c r="EY61" s="122"/>
      <c r="EZ61" s="122"/>
      <c r="FA61" s="122"/>
      <c r="FB61" s="122"/>
      <c r="FC61" s="122"/>
      <c r="FD61" s="122"/>
      <c r="FE61" s="122"/>
      <c r="FF61" s="122"/>
      <c r="FG61" s="122"/>
      <c r="FH61" s="122"/>
      <c r="FI61" s="122"/>
      <c r="FJ61" s="122"/>
      <c r="FK61" s="122"/>
      <c r="FL61" s="122"/>
      <c r="FM61" s="122"/>
      <c r="FN61" s="122"/>
      <c r="FO61" s="122"/>
      <c r="FP61" s="122"/>
      <c r="FQ61" s="122"/>
      <c r="FR61" s="122"/>
      <c r="FS61" s="122"/>
      <c r="FT61" s="122"/>
      <c r="FU61" s="122"/>
      <c r="FV61" s="122"/>
      <c r="FW61" s="122"/>
      <c r="FX61" s="122"/>
      <c r="FY61" s="122"/>
      <c r="FZ61" s="122"/>
      <c r="GA61" s="122"/>
      <c r="GB61" s="122"/>
      <c r="GC61" s="122"/>
      <c r="GD61" s="122"/>
      <c r="GE61" s="122"/>
      <c r="GF61" s="122"/>
      <c r="GG61" s="122"/>
      <c r="GH61" s="122"/>
      <c r="GI61" s="122"/>
      <c r="GJ61" s="122"/>
      <c r="GK61" s="122"/>
      <c r="GL61" s="122"/>
      <c r="GM61" s="122"/>
      <c r="GN61" s="122"/>
      <c r="GO61" s="122"/>
      <c r="GP61" s="122"/>
      <c r="GQ61" s="122"/>
      <c r="GR61" s="122"/>
      <c r="GS61" s="122"/>
      <c r="GT61" s="122"/>
      <c r="GU61" s="122"/>
      <c r="GV61" s="122"/>
      <c r="GW61" s="122"/>
      <c r="GX61" s="122"/>
      <c r="GY61" s="122"/>
      <c r="GZ61" s="122"/>
      <c r="HA61" s="122"/>
      <c r="HB61" s="122"/>
      <c r="HC61" s="122"/>
      <c r="HD61" s="122"/>
      <c r="HE61" s="122"/>
      <c r="HF61" s="122"/>
      <c r="HG61" s="122"/>
      <c r="HH61" s="122"/>
      <c r="HI61" s="122"/>
      <c r="HJ61" s="122"/>
      <c r="HK61" s="122"/>
      <c r="HL61" s="122"/>
      <c r="HM61" s="122"/>
      <c r="HN61" s="122"/>
      <c r="HO61" s="122"/>
      <c r="HP61" s="122"/>
      <c r="HQ61" s="122"/>
      <c r="HR61" s="122"/>
      <c r="HS61" s="122"/>
      <c r="HT61" s="122"/>
      <c r="HU61" s="122"/>
      <c r="HV61" s="122"/>
      <c r="HW61" s="122"/>
      <c r="HX61" s="122"/>
      <c r="HY61" s="122"/>
      <c r="HZ61" s="122"/>
      <c r="IA61" s="122"/>
      <c r="IB61" s="122"/>
      <c r="IC61" s="122"/>
      <c r="ID61" s="122"/>
      <c r="IE61" s="122"/>
      <c r="IF61" s="122"/>
      <c r="IG61" s="122"/>
      <c r="IH61" s="122"/>
      <c r="II61" s="122"/>
      <c r="IJ61" s="122"/>
      <c r="IK61" s="122"/>
      <c r="IL61" s="122"/>
      <c r="IM61" s="122"/>
      <c r="IN61" s="122"/>
      <c r="IO61" s="122"/>
      <c r="IP61" s="122"/>
      <c r="IQ61" s="122"/>
      <c r="IR61" s="122"/>
      <c r="IS61" s="122"/>
      <c r="IT61" s="122"/>
      <c r="IU61" s="122"/>
      <c r="IV61" s="122"/>
      <c r="IW61" s="122"/>
      <c r="IX61" s="122"/>
      <c r="IY61" s="122"/>
      <c r="IZ61" s="122"/>
      <c r="JA61" s="122"/>
      <c r="JB61" s="122"/>
      <c r="JC61" s="122"/>
      <c r="JD61" s="122"/>
      <c r="JE61" s="122"/>
      <c r="JF61" s="122"/>
      <c r="JG61" s="122"/>
      <c r="JH61" s="122"/>
      <c r="JI61" s="119">
        <f t="shared" si="2"/>
        <v>0</v>
      </c>
      <c r="JJ61" s="2"/>
      <c r="JK61" s="2"/>
    </row>
    <row r="62" spans="1:276" x14ac:dyDescent="0.25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  <c r="AS62" s="122"/>
      <c r="AT62" s="122"/>
      <c r="AU62" s="122"/>
      <c r="AV62" s="122"/>
      <c r="AW62" s="122"/>
      <c r="AX62" s="122"/>
      <c r="AY62" s="122"/>
      <c r="AZ62" s="122"/>
      <c r="BA62" s="122"/>
      <c r="BB62" s="122"/>
      <c r="BC62" s="122"/>
      <c r="BD62" s="122"/>
      <c r="BE62" s="122"/>
      <c r="BF62" s="122"/>
      <c r="BG62" s="122"/>
      <c r="BH62" s="122"/>
      <c r="BI62" s="122"/>
      <c r="BJ62" s="122"/>
      <c r="BK62" s="122"/>
      <c r="BL62" s="122"/>
      <c r="BM62" s="122"/>
      <c r="BN62" s="122"/>
      <c r="BO62" s="122"/>
      <c r="BP62" s="122"/>
      <c r="BQ62" s="122"/>
      <c r="BR62" s="122"/>
      <c r="BS62" s="122"/>
      <c r="BT62" s="122"/>
      <c r="BU62" s="122"/>
      <c r="BV62" s="122"/>
      <c r="BW62" s="122"/>
      <c r="BX62" s="122"/>
      <c r="BY62" s="122"/>
      <c r="BZ62" s="122"/>
      <c r="CA62" s="122"/>
      <c r="CB62" s="122"/>
      <c r="CC62" s="122"/>
      <c r="CD62" s="122"/>
      <c r="CE62" s="122"/>
      <c r="CF62" s="122"/>
      <c r="CG62" s="122"/>
      <c r="CH62" s="122"/>
      <c r="CI62" s="122"/>
      <c r="CJ62" s="122"/>
      <c r="CK62" s="122"/>
      <c r="CL62" s="122"/>
      <c r="CM62" s="122"/>
      <c r="CN62" s="122"/>
      <c r="CO62" s="122"/>
      <c r="CP62" s="122"/>
      <c r="CQ62" s="122"/>
      <c r="CR62" s="122"/>
      <c r="CS62" s="122"/>
      <c r="CT62" s="122"/>
      <c r="CU62" s="122"/>
      <c r="CV62" s="122"/>
      <c r="CW62" s="122"/>
      <c r="CX62" s="122"/>
      <c r="CY62" s="122"/>
      <c r="CZ62" s="122"/>
      <c r="DA62" s="122"/>
      <c r="DB62" s="122"/>
      <c r="DC62" s="122"/>
      <c r="DD62" s="122"/>
      <c r="DE62" s="122"/>
      <c r="DF62" s="122"/>
      <c r="DG62" s="122"/>
      <c r="DH62" s="122"/>
      <c r="DI62" s="122"/>
      <c r="DJ62" s="122"/>
      <c r="DK62" s="122"/>
      <c r="DL62" s="122"/>
      <c r="DM62" s="122"/>
      <c r="DN62" s="122"/>
      <c r="DO62" s="122"/>
      <c r="DP62" s="122"/>
      <c r="DQ62" s="122"/>
      <c r="DR62" s="122"/>
      <c r="DS62" s="122"/>
      <c r="DT62" s="122"/>
      <c r="DU62" s="122"/>
      <c r="DV62" s="122"/>
      <c r="DW62" s="122"/>
      <c r="DX62" s="122"/>
      <c r="DY62" s="122"/>
      <c r="DZ62" s="122"/>
      <c r="EA62" s="122"/>
      <c r="EB62" s="122"/>
      <c r="EC62" s="122"/>
      <c r="ED62" s="122"/>
      <c r="EE62" s="122"/>
      <c r="EF62" s="122"/>
      <c r="EG62" s="122"/>
      <c r="EH62" s="122"/>
      <c r="EI62" s="122"/>
      <c r="EJ62" s="122"/>
      <c r="EK62" s="122"/>
      <c r="EL62" s="122"/>
      <c r="EM62" s="122"/>
      <c r="EN62" s="122"/>
      <c r="EO62" s="122"/>
      <c r="EP62" s="122"/>
      <c r="EQ62" s="122"/>
      <c r="ER62" s="122"/>
      <c r="ES62" s="122"/>
      <c r="ET62" s="122"/>
      <c r="EU62" s="122"/>
      <c r="EV62" s="122"/>
      <c r="EW62" s="122"/>
      <c r="EX62" s="122"/>
      <c r="EY62" s="122"/>
      <c r="EZ62" s="122"/>
      <c r="FA62" s="122"/>
      <c r="FB62" s="122"/>
      <c r="FC62" s="122"/>
      <c r="FD62" s="122"/>
      <c r="FE62" s="122"/>
      <c r="FF62" s="122"/>
      <c r="FG62" s="122"/>
      <c r="FH62" s="122"/>
      <c r="FI62" s="122"/>
      <c r="FJ62" s="122"/>
      <c r="FK62" s="122"/>
      <c r="FL62" s="122"/>
      <c r="FM62" s="122"/>
      <c r="FN62" s="122"/>
      <c r="FO62" s="122"/>
      <c r="FP62" s="122"/>
      <c r="FQ62" s="122"/>
      <c r="FR62" s="122"/>
      <c r="FS62" s="122"/>
      <c r="FT62" s="122"/>
      <c r="FU62" s="122"/>
      <c r="FV62" s="122"/>
      <c r="FW62" s="122"/>
      <c r="FX62" s="122"/>
      <c r="FY62" s="122"/>
      <c r="FZ62" s="122"/>
      <c r="GA62" s="122"/>
      <c r="GB62" s="122"/>
      <c r="GC62" s="122"/>
      <c r="GD62" s="122"/>
      <c r="GE62" s="122"/>
      <c r="GF62" s="122"/>
      <c r="GG62" s="122"/>
      <c r="GH62" s="122"/>
      <c r="GI62" s="122"/>
      <c r="GJ62" s="122"/>
      <c r="GK62" s="122"/>
      <c r="GL62" s="122"/>
      <c r="GM62" s="122"/>
      <c r="GN62" s="122"/>
      <c r="GO62" s="122"/>
      <c r="GP62" s="122"/>
      <c r="GQ62" s="122"/>
      <c r="GR62" s="122"/>
      <c r="GS62" s="122"/>
      <c r="GT62" s="122"/>
      <c r="GU62" s="122"/>
      <c r="GV62" s="122"/>
      <c r="GW62" s="122"/>
      <c r="GX62" s="122"/>
      <c r="GY62" s="122"/>
      <c r="GZ62" s="122"/>
      <c r="HA62" s="122"/>
      <c r="HB62" s="122"/>
      <c r="HC62" s="122"/>
      <c r="HD62" s="122"/>
      <c r="HE62" s="122"/>
      <c r="HF62" s="122"/>
      <c r="HG62" s="122"/>
      <c r="HH62" s="122"/>
      <c r="HI62" s="122"/>
      <c r="HJ62" s="122"/>
      <c r="HK62" s="122"/>
      <c r="HL62" s="122"/>
      <c r="HM62" s="122"/>
      <c r="HN62" s="122"/>
      <c r="HO62" s="122"/>
      <c r="HP62" s="122"/>
      <c r="HQ62" s="122"/>
      <c r="HR62" s="122"/>
      <c r="HS62" s="122"/>
      <c r="HT62" s="122"/>
      <c r="HU62" s="122"/>
      <c r="HV62" s="122"/>
      <c r="HW62" s="122"/>
      <c r="HX62" s="122"/>
      <c r="HY62" s="122"/>
      <c r="HZ62" s="122"/>
      <c r="IA62" s="122"/>
      <c r="IB62" s="122"/>
      <c r="IC62" s="122"/>
      <c r="ID62" s="122"/>
      <c r="IE62" s="122"/>
      <c r="IF62" s="122"/>
      <c r="IG62" s="122"/>
      <c r="IH62" s="122"/>
      <c r="II62" s="122"/>
      <c r="IJ62" s="122"/>
      <c r="IK62" s="122"/>
      <c r="IL62" s="122"/>
      <c r="IM62" s="122"/>
      <c r="IN62" s="122"/>
      <c r="IO62" s="122"/>
      <c r="IP62" s="122"/>
      <c r="IQ62" s="122"/>
      <c r="IR62" s="122"/>
      <c r="IS62" s="122"/>
      <c r="IT62" s="122"/>
      <c r="IU62" s="122"/>
      <c r="IV62" s="122"/>
      <c r="IW62" s="122"/>
      <c r="IX62" s="122"/>
      <c r="IY62" s="122"/>
      <c r="IZ62" s="122"/>
      <c r="JA62" s="122"/>
      <c r="JB62" s="122"/>
      <c r="JC62" s="122"/>
      <c r="JD62" s="122"/>
      <c r="JE62" s="122"/>
      <c r="JF62" s="122"/>
      <c r="JG62" s="122"/>
      <c r="JH62" s="122"/>
      <c r="JI62" s="119">
        <f t="shared" si="2"/>
        <v>0</v>
      </c>
      <c r="JJ62" s="2"/>
      <c r="JK62" s="2"/>
    </row>
    <row r="63" spans="1:276" x14ac:dyDescent="0.25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22"/>
      <c r="BB63" s="122"/>
      <c r="BC63" s="122"/>
      <c r="BD63" s="122"/>
      <c r="BE63" s="122"/>
      <c r="BF63" s="122"/>
      <c r="BG63" s="122"/>
      <c r="BH63" s="122"/>
      <c r="BI63" s="122"/>
      <c r="BJ63" s="122"/>
      <c r="BK63" s="122"/>
      <c r="BL63" s="122"/>
      <c r="BM63" s="122"/>
      <c r="BN63" s="122"/>
      <c r="BO63" s="122"/>
      <c r="BP63" s="122"/>
      <c r="BQ63" s="122"/>
      <c r="BR63" s="122"/>
      <c r="BS63" s="122"/>
      <c r="BT63" s="122"/>
      <c r="BU63" s="122"/>
      <c r="BV63" s="122"/>
      <c r="BW63" s="122"/>
      <c r="BX63" s="122"/>
      <c r="BY63" s="122"/>
      <c r="BZ63" s="122"/>
      <c r="CA63" s="122"/>
      <c r="CB63" s="122"/>
      <c r="CC63" s="122"/>
      <c r="CD63" s="122"/>
      <c r="CE63" s="122"/>
      <c r="CF63" s="122"/>
      <c r="CG63" s="122"/>
      <c r="CH63" s="122"/>
      <c r="CI63" s="122"/>
      <c r="CJ63" s="122"/>
      <c r="CK63" s="122"/>
      <c r="CL63" s="122"/>
      <c r="CM63" s="122"/>
      <c r="CN63" s="122"/>
      <c r="CO63" s="122"/>
      <c r="CP63" s="122"/>
      <c r="CQ63" s="122"/>
      <c r="CR63" s="122"/>
      <c r="CS63" s="122"/>
      <c r="CT63" s="122"/>
      <c r="CU63" s="122"/>
      <c r="CV63" s="122"/>
      <c r="CW63" s="122"/>
      <c r="CX63" s="122"/>
      <c r="CY63" s="122"/>
      <c r="CZ63" s="122"/>
      <c r="DA63" s="122"/>
      <c r="DB63" s="122"/>
      <c r="DC63" s="122"/>
      <c r="DD63" s="122"/>
      <c r="DE63" s="122"/>
      <c r="DF63" s="122"/>
      <c r="DG63" s="122"/>
      <c r="DH63" s="122"/>
      <c r="DI63" s="122"/>
      <c r="DJ63" s="122"/>
      <c r="DK63" s="122"/>
      <c r="DL63" s="122"/>
      <c r="DM63" s="122"/>
      <c r="DN63" s="122"/>
      <c r="DO63" s="122"/>
      <c r="DP63" s="122"/>
      <c r="DQ63" s="122"/>
      <c r="DR63" s="122"/>
      <c r="DS63" s="122"/>
      <c r="DT63" s="122"/>
      <c r="DU63" s="122"/>
      <c r="DV63" s="122"/>
      <c r="DW63" s="122"/>
      <c r="DX63" s="122"/>
      <c r="DY63" s="122"/>
      <c r="DZ63" s="122"/>
      <c r="EA63" s="122"/>
      <c r="EB63" s="122"/>
      <c r="EC63" s="122"/>
      <c r="ED63" s="122"/>
      <c r="EE63" s="122"/>
      <c r="EF63" s="122"/>
      <c r="EG63" s="122"/>
      <c r="EH63" s="122"/>
      <c r="EI63" s="122"/>
      <c r="EJ63" s="122"/>
      <c r="EK63" s="122"/>
      <c r="EL63" s="122"/>
      <c r="EM63" s="122"/>
      <c r="EN63" s="122"/>
      <c r="EO63" s="122"/>
      <c r="EP63" s="122"/>
      <c r="EQ63" s="122"/>
      <c r="ER63" s="122"/>
      <c r="ES63" s="122"/>
      <c r="ET63" s="122"/>
      <c r="EU63" s="122"/>
      <c r="EV63" s="122"/>
      <c r="EW63" s="122"/>
      <c r="EX63" s="122"/>
      <c r="EY63" s="122"/>
      <c r="EZ63" s="122"/>
      <c r="FA63" s="122"/>
      <c r="FB63" s="122"/>
      <c r="FC63" s="122"/>
      <c r="FD63" s="122"/>
      <c r="FE63" s="122"/>
      <c r="FF63" s="122"/>
      <c r="FG63" s="122"/>
      <c r="FH63" s="122"/>
      <c r="FI63" s="122"/>
      <c r="FJ63" s="122"/>
      <c r="FK63" s="122"/>
      <c r="FL63" s="122"/>
      <c r="FM63" s="122"/>
      <c r="FN63" s="122"/>
      <c r="FO63" s="122"/>
      <c r="FP63" s="122"/>
      <c r="FQ63" s="122"/>
      <c r="FR63" s="122"/>
      <c r="FS63" s="122"/>
      <c r="FT63" s="122"/>
      <c r="FU63" s="122"/>
      <c r="FV63" s="122"/>
      <c r="FW63" s="122"/>
      <c r="FX63" s="122"/>
      <c r="FY63" s="122"/>
      <c r="FZ63" s="122"/>
      <c r="GA63" s="122"/>
      <c r="GB63" s="122"/>
      <c r="GC63" s="122"/>
      <c r="GD63" s="122"/>
      <c r="GE63" s="122"/>
      <c r="GF63" s="122"/>
      <c r="GG63" s="122"/>
      <c r="GH63" s="122"/>
      <c r="GI63" s="122"/>
      <c r="GJ63" s="122"/>
      <c r="GK63" s="122"/>
      <c r="GL63" s="122"/>
      <c r="GM63" s="122"/>
      <c r="GN63" s="122"/>
      <c r="GO63" s="122"/>
      <c r="GP63" s="122"/>
      <c r="GQ63" s="122"/>
      <c r="GR63" s="122"/>
      <c r="GS63" s="122"/>
      <c r="GT63" s="122"/>
      <c r="GU63" s="122"/>
      <c r="GV63" s="122"/>
      <c r="GW63" s="122"/>
      <c r="GX63" s="122"/>
      <c r="GY63" s="122"/>
      <c r="GZ63" s="122"/>
      <c r="HA63" s="122"/>
      <c r="HB63" s="122"/>
      <c r="HC63" s="122"/>
      <c r="HD63" s="122"/>
      <c r="HE63" s="122"/>
      <c r="HF63" s="122"/>
      <c r="HG63" s="122"/>
      <c r="HH63" s="122"/>
      <c r="HI63" s="122"/>
      <c r="HJ63" s="122"/>
      <c r="HK63" s="122"/>
      <c r="HL63" s="122"/>
      <c r="HM63" s="122"/>
      <c r="HN63" s="122"/>
      <c r="HO63" s="122"/>
      <c r="HP63" s="122"/>
      <c r="HQ63" s="122"/>
      <c r="HR63" s="122"/>
      <c r="HS63" s="122"/>
      <c r="HT63" s="122"/>
      <c r="HU63" s="122"/>
      <c r="HV63" s="122"/>
      <c r="HW63" s="122"/>
      <c r="HX63" s="122"/>
      <c r="HY63" s="122"/>
      <c r="HZ63" s="122"/>
      <c r="IA63" s="122"/>
      <c r="IB63" s="122"/>
      <c r="IC63" s="122"/>
      <c r="ID63" s="122"/>
      <c r="IE63" s="122"/>
      <c r="IF63" s="122"/>
      <c r="IG63" s="122"/>
      <c r="IH63" s="122"/>
      <c r="II63" s="122"/>
      <c r="IJ63" s="122"/>
      <c r="IK63" s="122"/>
      <c r="IL63" s="122"/>
      <c r="IM63" s="122"/>
      <c r="IN63" s="122"/>
      <c r="IO63" s="122"/>
      <c r="IP63" s="122"/>
      <c r="IQ63" s="122"/>
      <c r="IR63" s="122"/>
      <c r="IS63" s="122"/>
      <c r="IT63" s="122"/>
      <c r="IU63" s="122"/>
      <c r="IV63" s="122"/>
      <c r="IW63" s="122"/>
      <c r="IX63" s="122"/>
      <c r="IY63" s="122"/>
      <c r="IZ63" s="122"/>
      <c r="JA63" s="122"/>
      <c r="JB63" s="122"/>
      <c r="JC63" s="122"/>
      <c r="JD63" s="122"/>
      <c r="JE63" s="122"/>
      <c r="JF63" s="122"/>
      <c r="JG63" s="122"/>
      <c r="JH63" s="122"/>
      <c r="JI63" s="119">
        <f t="shared" si="2"/>
        <v>0</v>
      </c>
      <c r="JJ63" s="2"/>
      <c r="JK63" s="2"/>
    </row>
    <row r="64" spans="1:276" x14ac:dyDescent="0.25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22"/>
      <c r="AT64" s="122"/>
      <c r="AU64" s="122"/>
      <c r="AV64" s="122"/>
      <c r="AW64" s="122"/>
      <c r="AX64" s="122"/>
      <c r="AY64" s="122"/>
      <c r="AZ64" s="122"/>
      <c r="BA64" s="122"/>
      <c r="BB64" s="122"/>
      <c r="BC64" s="122"/>
      <c r="BD64" s="122"/>
      <c r="BE64" s="122"/>
      <c r="BF64" s="122"/>
      <c r="BG64" s="122"/>
      <c r="BH64" s="122"/>
      <c r="BI64" s="122"/>
      <c r="BJ64" s="122"/>
      <c r="BK64" s="122"/>
      <c r="BL64" s="122"/>
      <c r="BM64" s="122"/>
      <c r="BN64" s="122"/>
      <c r="BO64" s="122"/>
      <c r="BP64" s="122"/>
      <c r="BQ64" s="122"/>
      <c r="BR64" s="122"/>
      <c r="BS64" s="122"/>
      <c r="BT64" s="122"/>
      <c r="BU64" s="122"/>
      <c r="BV64" s="122"/>
      <c r="BW64" s="122"/>
      <c r="BX64" s="122"/>
      <c r="BY64" s="122"/>
      <c r="BZ64" s="122"/>
      <c r="CA64" s="122"/>
      <c r="CB64" s="122"/>
      <c r="CC64" s="122"/>
      <c r="CD64" s="122"/>
      <c r="CE64" s="122"/>
      <c r="CF64" s="122"/>
      <c r="CG64" s="122"/>
      <c r="CH64" s="122"/>
      <c r="CI64" s="122"/>
      <c r="CJ64" s="122"/>
      <c r="CK64" s="122"/>
      <c r="CL64" s="122"/>
      <c r="CM64" s="122"/>
      <c r="CN64" s="122"/>
      <c r="CO64" s="122"/>
      <c r="CP64" s="122"/>
      <c r="CQ64" s="122"/>
      <c r="CR64" s="122"/>
      <c r="CS64" s="122"/>
      <c r="CT64" s="122"/>
      <c r="CU64" s="122"/>
      <c r="CV64" s="122"/>
      <c r="CW64" s="122"/>
      <c r="CX64" s="122"/>
      <c r="CY64" s="122"/>
      <c r="CZ64" s="122"/>
      <c r="DA64" s="122"/>
      <c r="DB64" s="122"/>
      <c r="DC64" s="122"/>
      <c r="DD64" s="122"/>
      <c r="DE64" s="122"/>
      <c r="DF64" s="122"/>
      <c r="DG64" s="122"/>
      <c r="DH64" s="122"/>
      <c r="DI64" s="122"/>
      <c r="DJ64" s="122"/>
      <c r="DK64" s="122"/>
      <c r="DL64" s="122"/>
      <c r="DM64" s="122"/>
      <c r="DN64" s="122"/>
      <c r="DO64" s="122"/>
      <c r="DP64" s="122"/>
      <c r="DQ64" s="122"/>
      <c r="DR64" s="122"/>
      <c r="DS64" s="122"/>
      <c r="DT64" s="122"/>
      <c r="DU64" s="122"/>
      <c r="DV64" s="122"/>
      <c r="DW64" s="122"/>
      <c r="DX64" s="122"/>
      <c r="DY64" s="122"/>
      <c r="DZ64" s="122"/>
      <c r="EA64" s="122"/>
      <c r="EB64" s="122"/>
      <c r="EC64" s="122"/>
      <c r="ED64" s="122"/>
      <c r="EE64" s="122"/>
      <c r="EF64" s="122"/>
      <c r="EG64" s="122"/>
      <c r="EH64" s="122"/>
      <c r="EI64" s="122"/>
      <c r="EJ64" s="122"/>
      <c r="EK64" s="122"/>
      <c r="EL64" s="122"/>
      <c r="EM64" s="122"/>
      <c r="EN64" s="122"/>
      <c r="EO64" s="122"/>
      <c r="EP64" s="122"/>
      <c r="EQ64" s="122"/>
      <c r="ER64" s="122"/>
      <c r="ES64" s="122"/>
      <c r="ET64" s="122"/>
      <c r="EU64" s="122"/>
      <c r="EV64" s="122"/>
      <c r="EW64" s="122"/>
      <c r="EX64" s="122"/>
      <c r="EY64" s="122"/>
      <c r="EZ64" s="122"/>
      <c r="FA64" s="122"/>
      <c r="FB64" s="122"/>
      <c r="FC64" s="122"/>
      <c r="FD64" s="122"/>
      <c r="FE64" s="122"/>
      <c r="FF64" s="122"/>
      <c r="FG64" s="122"/>
      <c r="FH64" s="122"/>
      <c r="FI64" s="122"/>
      <c r="FJ64" s="122"/>
      <c r="FK64" s="122"/>
      <c r="FL64" s="122"/>
      <c r="FM64" s="122"/>
      <c r="FN64" s="122"/>
      <c r="FO64" s="122"/>
      <c r="FP64" s="122"/>
      <c r="FQ64" s="122"/>
      <c r="FR64" s="122"/>
      <c r="FS64" s="122"/>
      <c r="FT64" s="122"/>
      <c r="FU64" s="122"/>
      <c r="FV64" s="122"/>
      <c r="FW64" s="122"/>
      <c r="FX64" s="122"/>
      <c r="FY64" s="122"/>
      <c r="FZ64" s="122"/>
      <c r="GA64" s="122"/>
      <c r="GB64" s="122"/>
      <c r="GC64" s="122"/>
      <c r="GD64" s="122"/>
      <c r="GE64" s="122"/>
      <c r="GF64" s="122"/>
      <c r="GG64" s="122"/>
      <c r="GH64" s="122"/>
      <c r="GI64" s="122"/>
      <c r="GJ64" s="122"/>
      <c r="GK64" s="122"/>
      <c r="GL64" s="122"/>
      <c r="GM64" s="122"/>
      <c r="GN64" s="122"/>
      <c r="GO64" s="122"/>
      <c r="GP64" s="122"/>
      <c r="GQ64" s="122"/>
      <c r="GR64" s="122"/>
      <c r="GS64" s="122"/>
      <c r="GT64" s="122"/>
      <c r="GU64" s="122"/>
      <c r="GV64" s="122"/>
      <c r="GW64" s="122"/>
      <c r="GX64" s="122"/>
      <c r="GY64" s="122"/>
      <c r="GZ64" s="122"/>
      <c r="HA64" s="122"/>
      <c r="HB64" s="122"/>
      <c r="HC64" s="122"/>
      <c r="HD64" s="122"/>
      <c r="HE64" s="122"/>
      <c r="HF64" s="122"/>
      <c r="HG64" s="122"/>
      <c r="HH64" s="122"/>
      <c r="HI64" s="122"/>
      <c r="HJ64" s="122"/>
      <c r="HK64" s="122"/>
      <c r="HL64" s="122"/>
      <c r="HM64" s="122"/>
      <c r="HN64" s="122"/>
      <c r="HO64" s="122"/>
      <c r="HP64" s="122"/>
      <c r="HQ64" s="122"/>
      <c r="HR64" s="122"/>
      <c r="HS64" s="122"/>
      <c r="HT64" s="122"/>
      <c r="HU64" s="122"/>
      <c r="HV64" s="122"/>
      <c r="HW64" s="122"/>
      <c r="HX64" s="122"/>
      <c r="HY64" s="122"/>
      <c r="HZ64" s="122"/>
      <c r="IA64" s="122"/>
      <c r="IB64" s="122"/>
      <c r="IC64" s="122"/>
      <c r="ID64" s="122"/>
      <c r="IE64" s="122"/>
      <c r="IF64" s="122"/>
      <c r="IG64" s="122"/>
      <c r="IH64" s="122"/>
      <c r="II64" s="122"/>
      <c r="IJ64" s="122"/>
      <c r="IK64" s="122"/>
      <c r="IL64" s="122"/>
      <c r="IM64" s="122"/>
      <c r="IN64" s="122"/>
      <c r="IO64" s="122"/>
      <c r="IP64" s="122"/>
      <c r="IQ64" s="122"/>
      <c r="IR64" s="122"/>
      <c r="IS64" s="122"/>
      <c r="IT64" s="122"/>
      <c r="IU64" s="122"/>
      <c r="IV64" s="122"/>
      <c r="IW64" s="122"/>
      <c r="IX64" s="122"/>
      <c r="IY64" s="122"/>
      <c r="IZ64" s="122"/>
      <c r="JA64" s="122"/>
      <c r="JB64" s="122"/>
      <c r="JC64" s="122"/>
      <c r="JD64" s="122"/>
      <c r="JE64" s="122"/>
      <c r="JF64" s="122"/>
      <c r="JG64" s="122"/>
      <c r="JH64" s="122"/>
      <c r="JI64" s="119">
        <f t="shared" si="2"/>
        <v>0</v>
      </c>
      <c r="JJ64" s="2"/>
      <c r="JK64" s="2"/>
    </row>
    <row r="65" spans="1:271" x14ac:dyDescent="0.25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22"/>
      <c r="AX65" s="122"/>
      <c r="AY65" s="122"/>
      <c r="AZ65" s="122"/>
      <c r="BA65" s="122"/>
      <c r="BB65" s="122"/>
      <c r="BC65" s="122"/>
      <c r="BD65" s="122"/>
      <c r="BE65" s="122"/>
      <c r="BF65" s="122"/>
      <c r="BG65" s="122"/>
      <c r="BH65" s="122"/>
      <c r="BI65" s="122"/>
      <c r="BJ65" s="122"/>
      <c r="BK65" s="122"/>
      <c r="BL65" s="122"/>
      <c r="BM65" s="122"/>
      <c r="BN65" s="122"/>
      <c r="BO65" s="122"/>
      <c r="BP65" s="122"/>
      <c r="BQ65" s="122"/>
      <c r="BR65" s="122"/>
      <c r="BS65" s="122"/>
      <c r="BT65" s="122"/>
      <c r="BU65" s="122"/>
      <c r="BV65" s="122"/>
      <c r="BW65" s="122"/>
      <c r="BX65" s="122"/>
      <c r="BY65" s="122"/>
      <c r="BZ65" s="122"/>
      <c r="CA65" s="122"/>
      <c r="CB65" s="122"/>
      <c r="CC65" s="122"/>
      <c r="CD65" s="122"/>
      <c r="CE65" s="122"/>
      <c r="CF65" s="122"/>
      <c r="CG65" s="122"/>
      <c r="CH65" s="122"/>
      <c r="CI65" s="122"/>
      <c r="CJ65" s="122"/>
      <c r="CK65" s="122"/>
      <c r="CL65" s="122"/>
      <c r="CM65" s="122"/>
      <c r="CN65" s="122"/>
      <c r="CO65" s="122"/>
      <c r="CP65" s="122"/>
      <c r="CQ65" s="122"/>
      <c r="CR65" s="122"/>
      <c r="CS65" s="122"/>
      <c r="CT65" s="122"/>
      <c r="CU65" s="122"/>
      <c r="CV65" s="122"/>
      <c r="CW65" s="122"/>
      <c r="CX65" s="122"/>
      <c r="CY65" s="122"/>
      <c r="CZ65" s="122"/>
      <c r="DA65" s="122"/>
      <c r="DB65" s="122"/>
      <c r="DC65" s="122"/>
      <c r="DD65" s="122"/>
      <c r="DE65" s="122"/>
      <c r="DF65" s="122"/>
      <c r="DG65" s="122"/>
      <c r="DH65" s="122"/>
      <c r="DI65" s="122"/>
      <c r="DJ65" s="122"/>
      <c r="DK65" s="122"/>
      <c r="DL65" s="122"/>
      <c r="DM65" s="122"/>
      <c r="DN65" s="122"/>
      <c r="DO65" s="122"/>
      <c r="DP65" s="122"/>
      <c r="DQ65" s="122"/>
      <c r="DR65" s="122"/>
      <c r="DS65" s="122"/>
      <c r="DT65" s="122"/>
      <c r="DU65" s="122"/>
      <c r="DV65" s="122"/>
      <c r="DW65" s="122"/>
      <c r="DX65" s="122"/>
      <c r="DY65" s="122"/>
      <c r="DZ65" s="122"/>
      <c r="EA65" s="122"/>
      <c r="EB65" s="122"/>
      <c r="EC65" s="122"/>
      <c r="ED65" s="122"/>
      <c r="EE65" s="122"/>
      <c r="EF65" s="122"/>
      <c r="EG65" s="122"/>
      <c r="EH65" s="122"/>
      <c r="EI65" s="122"/>
      <c r="EJ65" s="122"/>
      <c r="EK65" s="122"/>
      <c r="EL65" s="122"/>
      <c r="EM65" s="122"/>
      <c r="EN65" s="122"/>
      <c r="EO65" s="122"/>
      <c r="EP65" s="122"/>
      <c r="EQ65" s="122"/>
      <c r="ER65" s="122"/>
      <c r="ES65" s="122"/>
      <c r="ET65" s="122"/>
      <c r="EU65" s="122"/>
      <c r="EV65" s="122"/>
      <c r="EW65" s="122"/>
      <c r="EX65" s="122"/>
      <c r="EY65" s="122"/>
      <c r="EZ65" s="122"/>
      <c r="FA65" s="122"/>
      <c r="FB65" s="122"/>
      <c r="FC65" s="122"/>
      <c r="FD65" s="122"/>
      <c r="FE65" s="122"/>
      <c r="FF65" s="122"/>
      <c r="FG65" s="122"/>
      <c r="FH65" s="122"/>
      <c r="FI65" s="122"/>
      <c r="FJ65" s="122"/>
      <c r="FK65" s="122"/>
      <c r="FL65" s="122"/>
      <c r="FM65" s="122"/>
      <c r="FN65" s="122"/>
      <c r="FO65" s="122"/>
      <c r="FP65" s="122"/>
      <c r="FQ65" s="122"/>
      <c r="FR65" s="122"/>
      <c r="FS65" s="122"/>
      <c r="FT65" s="122"/>
      <c r="FU65" s="122"/>
      <c r="FV65" s="122"/>
      <c r="FW65" s="122"/>
      <c r="FX65" s="122"/>
      <c r="FY65" s="122"/>
      <c r="FZ65" s="122"/>
      <c r="GA65" s="122"/>
      <c r="GB65" s="122"/>
      <c r="GC65" s="122"/>
      <c r="GD65" s="122"/>
      <c r="GE65" s="122"/>
      <c r="GF65" s="122"/>
      <c r="GG65" s="122"/>
      <c r="GH65" s="122"/>
      <c r="GI65" s="122"/>
      <c r="GJ65" s="122"/>
      <c r="GK65" s="122"/>
      <c r="GL65" s="122"/>
      <c r="GM65" s="122"/>
      <c r="GN65" s="122"/>
      <c r="GO65" s="122"/>
      <c r="GP65" s="122"/>
      <c r="GQ65" s="122"/>
      <c r="GR65" s="122"/>
      <c r="GS65" s="122"/>
      <c r="GT65" s="122"/>
      <c r="GU65" s="122"/>
      <c r="GV65" s="122"/>
      <c r="GW65" s="122"/>
      <c r="GX65" s="122"/>
      <c r="GY65" s="122"/>
      <c r="GZ65" s="122"/>
      <c r="HA65" s="122"/>
      <c r="HB65" s="122"/>
      <c r="HC65" s="122"/>
      <c r="HD65" s="122"/>
      <c r="HE65" s="122"/>
      <c r="HF65" s="122"/>
      <c r="HG65" s="122"/>
      <c r="HH65" s="122"/>
      <c r="HI65" s="122"/>
      <c r="HJ65" s="122"/>
      <c r="HK65" s="122"/>
      <c r="HL65" s="122"/>
      <c r="HM65" s="122"/>
      <c r="HN65" s="122"/>
      <c r="HO65" s="122"/>
      <c r="HP65" s="122"/>
      <c r="HQ65" s="122"/>
      <c r="HR65" s="122"/>
      <c r="HS65" s="122"/>
      <c r="HT65" s="122"/>
      <c r="HU65" s="122"/>
      <c r="HV65" s="122"/>
      <c r="HW65" s="122"/>
      <c r="HX65" s="122"/>
      <c r="HY65" s="122"/>
      <c r="HZ65" s="122"/>
      <c r="IA65" s="122"/>
      <c r="IB65" s="122"/>
      <c r="IC65" s="122"/>
      <c r="ID65" s="122"/>
      <c r="IE65" s="122"/>
      <c r="IF65" s="122"/>
      <c r="IG65" s="122"/>
      <c r="IH65" s="122"/>
      <c r="II65" s="122"/>
      <c r="IJ65" s="122"/>
      <c r="IK65" s="122"/>
      <c r="IL65" s="122"/>
      <c r="IM65" s="122"/>
      <c r="IN65" s="122"/>
      <c r="IO65" s="122"/>
      <c r="IP65" s="122"/>
      <c r="IQ65" s="122"/>
      <c r="IR65" s="122"/>
      <c r="IS65" s="122"/>
      <c r="IT65" s="122"/>
      <c r="IU65" s="122"/>
      <c r="IV65" s="122"/>
      <c r="IW65" s="122"/>
      <c r="IX65" s="122"/>
      <c r="IY65" s="122"/>
      <c r="IZ65" s="122"/>
      <c r="JA65" s="122"/>
      <c r="JB65" s="122"/>
      <c r="JC65" s="122"/>
      <c r="JD65" s="122"/>
      <c r="JE65" s="122"/>
      <c r="JF65" s="122"/>
      <c r="JG65" s="122"/>
      <c r="JH65" s="122"/>
      <c r="JI65" s="119">
        <f t="shared" si="2"/>
        <v>0</v>
      </c>
      <c r="JJ65" s="2"/>
      <c r="JK65" s="2"/>
    </row>
    <row r="66" spans="1:271" x14ac:dyDescent="0.25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  <c r="AS66" s="122"/>
      <c r="AT66" s="122"/>
      <c r="AU66" s="122"/>
      <c r="AV66" s="122"/>
      <c r="AW66" s="122"/>
      <c r="AX66" s="122"/>
      <c r="AY66" s="122"/>
      <c r="AZ66" s="122"/>
      <c r="BA66" s="122"/>
      <c r="BB66" s="122"/>
      <c r="BC66" s="122"/>
      <c r="BD66" s="122"/>
      <c r="BE66" s="122"/>
      <c r="BF66" s="122"/>
      <c r="BG66" s="122"/>
      <c r="BH66" s="122"/>
      <c r="BI66" s="122"/>
      <c r="BJ66" s="122"/>
      <c r="BK66" s="122"/>
      <c r="BL66" s="122"/>
      <c r="BM66" s="122"/>
      <c r="BN66" s="122"/>
      <c r="BO66" s="122"/>
      <c r="BP66" s="122"/>
      <c r="BQ66" s="122"/>
      <c r="BR66" s="122"/>
      <c r="BS66" s="122"/>
      <c r="BT66" s="122"/>
      <c r="BU66" s="122"/>
      <c r="BV66" s="122"/>
      <c r="BW66" s="122"/>
      <c r="BX66" s="122"/>
      <c r="BY66" s="122"/>
      <c r="BZ66" s="122"/>
      <c r="CA66" s="122"/>
      <c r="CB66" s="122"/>
      <c r="CC66" s="122"/>
      <c r="CD66" s="122"/>
      <c r="CE66" s="122"/>
      <c r="CF66" s="122"/>
      <c r="CG66" s="122"/>
      <c r="CH66" s="122"/>
      <c r="CI66" s="122"/>
      <c r="CJ66" s="122"/>
      <c r="CK66" s="122"/>
      <c r="CL66" s="122"/>
      <c r="CM66" s="122"/>
      <c r="CN66" s="122"/>
      <c r="CO66" s="122"/>
      <c r="CP66" s="122"/>
      <c r="CQ66" s="122"/>
      <c r="CR66" s="122"/>
      <c r="CS66" s="122"/>
      <c r="CT66" s="122"/>
      <c r="CU66" s="122"/>
      <c r="CV66" s="122"/>
      <c r="CW66" s="122"/>
      <c r="CX66" s="122"/>
      <c r="CY66" s="122"/>
      <c r="CZ66" s="122"/>
      <c r="DA66" s="122"/>
      <c r="DB66" s="122"/>
      <c r="DC66" s="122"/>
      <c r="DD66" s="122"/>
      <c r="DE66" s="122"/>
      <c r="DF66" s="122"/>
      <c r="DG66" s="122"/>
      <c r="DH66" s="122"/>
      <c r="DI66" s="122"/>
      <c r="DJ66" s="122"/>
      <c r="DK66" s="122"/>
      <c r="DL66" s="122"/>
      <c r="DM66" s="122"/>
      <c r="DN66" s="122"/>
      <c r="DO66" s="122"/>
      <c r="DP66" s="122"/>
      <c r="DQ66" s="122"/>
      <c r="DR66" s="122"/>
      <c r="DS66" s="122"/>
      <c r="DT66" s="122"/>
      <c r="DU66" s="122"/>
      <c r="DV66" s="122"/>
      <c r="DW66" s="122"/>
      <c r="DX66" s="122"/>
      <c r="DY66" s="122"/>
      <c r="DZ66" s="122"/>
      <c r="EA66" s="122"/>
      <c r="EB66" s="122"/>
      <c r="EC66" s="122"/>
      <c r="ED66" s="122"/>
      <c r="EE66" s="122"/>
      <c r="EF66" s="122"/>
      <c r="EG66" s="122"/>
      <c r="EH66" s="122"/>
      <c r="EI66" s="122"/>
      <c r="EJ66" s="122"/>
      <c r="EK66" s="122"/>
      <c r="EL66" s="122"/>
      <c r="EM66" s="122"/>
      <c r="EN66" s="122"/>
      <c r="EO66" s="122"/>
      <c r="EP66" s="122"/>
      <c r="EQ66" s="122"/>
      <c r="ER66" s="122"/>
      <c r="ES66" s="122"/>
      <c r="ET66" s="122"/>
      <c r="EU66" s="122"/>
      <c r="EV66" s="122"/>
      <c r="EW66" s="122"/>
      <c r="EX66" s="122"/>
      <c r="EY66" s="122"/>
      <c r="EZ66" s="122"/>
      <c r="FA66" s="122"/>
      <c r="FB66" s="122"/>
      <c r="FC66" s="122"/>
      <c r="FD66" s="122"/>
      <c r="FE66" s="122"/>
      <c r="FF66" s="122"/>
      <c r="FG66" s="122"/>
      <c r="FH66" s="122"/>
      <c r="FI66" s="122"/>
      <c r="FJ66" s="122"/>
      <c r="FK66" s="122"/>
      <c r="FL66" s="122"/>
      <c r="FM66" s="122"/>
      <c r="FN66" s="122"/>
      <c r="FO66" s="122"/>
      <c r="FP66" s="122"/>
      <c r="FQ66" s="122"/>
      <c r="FR66" s="122"/>
      <c r="FS66" s="122"/>
      <c r="FT66" s="122"/>
      <c r="FU66" s="122"/>
      <c r="FV66" s="122"/>
      <c r="FW66" s="122"/>
      <c r="FX66" s="122"/>
      <c r="FY66" s="122"/>
      <c r="FZ66" s="122"/>
      <c r="GA66" s="122"/>
      <c r="GB66" s="122"/>
      <c r="GC66" s="122"/>
      <c r="GD66" s="122"/>
      <c r="GE66" s="122"/>
      <c r="GF66" s="122"/>
      <c r="GG66" s="122"/>
      <c r="GH66" s="122"/>
      <c r="GI66" s="122"/>
      <c r="GJ66" s="122"/>
      <c r="GK66" s="122"/>
      <c r="GL66" s="122"/>
      <c r="GM66" s="122"/>
      <c r="GN66" s="122"/>
      <c r="GO66" s="122"/>
      <c r="GP66" s="122"/>
      <c r="GQ66" s="122"/>
      <c r="GR66" s="122"/>
      <c r="GS66" s="122"/>
      <c r="GT66" s="122"/>
      <c r="GU66" s="122"/>
      <c r="GV66" s="122"/>
      <c r="GW66" s="122"/>
      <c r="GX66" s="122"/>
      <c r="GY66" s="122"/>
      <c r="GZ66" s="122"/>
      <c r="HA66" s="122"/>
      <c r="HB66" s="122"/>
      <c r="HC66" s="122"/>
      <c r="HD66" s="122"/>
      <c r="HE66" s="122"/>
      <c r="HF66" s="122"/>
      <c r="HG66" s="122"/>
      <c r="HH66" s="122"/>
      <c r="HI66" s="122"/>
      <c r="HJ66" s="122"/>
      <c r="HK66" s="122"/>
      <c r="HL66" s="122"/>
      <c r="HM66" s="122"/>
      <c r="HN66" s="122"/>
      <c r="HO66" s="122"/>
      <c r="HP66" s="122"/>
      <c r="HQ66" s="122"/>
      <c r="HR66" s="122"/>
      <c r="HS66" s="122"/>
      <c r="HT66" s="122"/>
      <c r="HU66" s="122"/>
      <c r="HV66" s="122"/>
      <c r="HW66" s="122"/>
      <c r="HX66" s="122"/>
      <c r="HY66" s="122"/>
      <c r="HZ66" s="122"/>
      <c r="IA66" s="122"/>
      <c r="IB66" s="122"/>
      <c r="IC66" s="122"/>
      <c r="ID66" s="122"/>
      <c r="IE66" s="122"/>
      <c r="IF66" s="122"/>
      <c r="IG66" s="122"/>
      <c r="IH66" s="122"/>
      <c r="II66" s="122"/>
      <c r="IJ66" s="122"/>
      <c r="IK66" s="122"/>
      <c r="IL66" s="122"/>
      <c r="IM66" s="122"/>
      <c r="IN66" s="122"/>
      <c r="IO66" s="122"/>
      <c r="IP66" s="122"/>
      <c r="IQ66" s="122"/>
      <c r="IR66" s="122"/>
      <c r="IS66" s="122"/>
      <c r="IT66" s="122"/>
      <c r="IU66" s="122"/>
      <c r="IV66" s="122"/>
      <c r="IW66" s="122"/>
      <c r="IX66" s="122"/>
      <c r="IY66" s="122"/>
      <c r="IZ66" s="122"/>
      <c r="JA66" s="122"/>
      <c r="JB66" s="122"/>
      <c r="JC66" s="122"/>
      <c r="JD66" s="122"/>
      <c r="JE66" s="122"/>
      <c r="JF66" s="122"/>
      <c r="JG66" s="122"/>
      <c r="JH66" s="122"/>
      <c r="JI66" s="119">
        <f t="shared" si="2"/>
        <v>0</v>
      </c>
      <c r="JJ66" s="2"/>
      <c r="JK66" s="2"/>
    </row>
    <row r="67" spans="1:271" x14ac:dyDescent="0.25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  <c r="AS67" s="122"/>
      <c r="AT67" s="122"/>
      <c r="AU67" s="122"/>
      <c r="AV67" s="122"/>
      <c r="AW67" s="122"/>
      <c r="AX67" s="122"/>
      <c r="AY67" s="122"/>
      <c r="AZ67" s="122"/>
      <c r="BA67" s="122"/>
      <c r="BB67" s="122"/>
      <c r="BC67" s="122"/>
      <c r="BD67" s="122"/>
      <c r="BE67" s="122"/>
      <c r="BF67" s="122"/>
      <c r="BG67" s="122"/>
      <c r="BH67" s="122"/>
      <c r="BI67" s="122"/>
      <c r="BJ67" s="122"/>
      <c r="BK67" s="122"/>
      <c r="BL67" s="122"/>
      <c r="BM67" s="122"/>
      <c r="BN67" s="122"/>
      <c r="BO67" s="122"/>
      <c r="BP67" s="122"/>
      <c r="BQ67" s="122"/>
      <c r="BR67" s="122"/>
      <c r="BS67" s="122"/>
      <c r="BT67" s="122"/>
      <c r="BU67" s="122"/>
      <c r="BV67" s="122"/>
      <c r="BW67" s="122"/>
      <c r="BX67" s="122"/>
      <c r="BY67" s="122"/>
      <c r="BZ67" s="122"/>
      <c r="CA67" s="122"/>
      <c r="CB67" s="122"/>
      <c r="CC67" s="122"/>
      <c r="CD67" s="122"/>
      <c r="CE67" s="122"/>
      <c r="CF67" s="122"/>
      <c r="CG67" s="122"/>
      <c r="CH67" s="122"/>
      <c r="CI67" s="122"/>
      <c r="CJ67" s="122"/>
      <c r="CK67" s="122"/>
      <c r="CL67" s="122"/>
      <c r="CM67" s="122"/>
      <c r="CN67" s="122"/>
      <c r="CO67" s="122"/>
      <c r="CP67" s="122"/>
      <c r="CQ67" s="122"/>
      <c r="CR67" s="122"/>
      <c r="CS67" s="122"/>
      <c r="CT67" s="122"/>
      <c r="CU67" s="122"/>
      <c r="CV67" s="122"/>
      <c r="CW67" s="122"/>
      <c r="CX67" s="122"/>
      <c r="CY67" s="122"/>
      <c r="CZ67" s="122"/>
      <c r="DA67" s="122"/>
      <c r="DB67" s="122"/>
      <c r="DC67" s="122"/>
      <c r="DD67" s="122"/>
      <c r="DE67" s="122"/>
      <c r="DF67" s="122"/>
      <c r="DG67" s="122"/>
      <c r="DH67" s="122"/>
      <c r="DI67" s="122"/>
      <c r="DJ67" s="122"/>
      <c r="DK67" s="122"/>
      <c r="DL67" s="122"/>
      <c r="DM67" s="122"/>
      <c r="DN67" s="122"/>
      <c r="DO67" s="122"/>
      <c r="DP67" s="122"/>
      <c r="DQ67" s="122"/>
      <c r="DR67" s="122"/>
      <c r="DS67" s="122"/>
      <c r="DT67" s="122"/>
      <c r="DU67" s="122"/>
      <c r="DV67" s="122"/>
      <c r="DW67" s="122"/>
      <c r="DX67" s="122"/>
      <c r="DY67" s="122"/>
      <c r="DZ67" s="122"/>
      <c r="EA67" s="122"/>
      <c r="EB67" s="122"/>
      <c r="EC67" s="122"/>
      <c r="ED67" s="122"/>
      <c r="EE67" s="122"/>
      <c r="EF67" s="122"/>
      <c r="EG67" s="122"/>
      <c r="EH67" s="122"/>
      <c r="EI67" s="122"/>
      <c r="EJ67" s="122"/>
      <c r="EK67" s="122"/>
      <c r="EL67" s="122"/>
      <c r="EM67" s="122"/>
      <c r="EN67" s="122"/>
      <c r="EO67" s="122"/>
      <c r="EP67" s="122"/>
      <c r="EQ67" s="122"/>
      <c r="ER67" s="122"/>
      <c r="ES67" s="122"/>
      <c r="ET67" s="122"/>
      <c r="EU67" s="122"/>
      <c r="EV67" s="122"/>
      <c r="EW67" s="122"/>
      <c r="EX67" s="122"/>
      <c r="EY67" s="122"/>
      <c r="EZ67" s="122"/>
      <c r="FA67" s="122"/>
      <c r="FB67" s="122"/>
      <c r="FC67" s="122"/>
      <c r="FD67" s="122"/>
      <c r="FE67" s="122"/>
      <c r="FF67" s="122"/>
      <c r="FG67" s="122"/>
      <c r="FH67" s="122"/>
      <c r="FI67" s="122"/>
      <c r="FJ67" s="122"/>
      <c r="FK67" s="122"/>
      <c r="FL67" s="122"/>
      <c r="FM67" s="122"/>
      <c r="FN67" s="122"/>
      <c r="FO67" s="122"/>
      <c r="FP67" s="122"/>
      <c r="FQ67" s="122"/>
      <c r="FR67" s="122"/>
      <c r="FS67" s="122"/>
      <c r="FT67" s="122"/>
      <c r="FU67" s="122"/>
      <c r="FV67" s="122"/>
      <c r="FW67" s="122"/>
      <c r="FX67" s="122"/>
      <c r="FY67" s="122"/>
      <c r="FZ67" s="122"/>
      <c r="GA67" s="122"/>
      <c r="GB67" s="122"/>
      <c r="GC67" s="122"/>
      <c r="GD67" s="122"/>
      <c r="GE67" s="122"/>
      <c r="GF67" s="122"/>
      <c r="GG67" s="122"/>
      <c r="GH67" s="122"/>
      <c r="GI67" s="122"/>
      <c r="GJ67" s="122"/>
      <c r="GK67" s="122"/>
      <c r="GL67" s="122"/>
      <c r="GM67" s="122"/>
      <c r="GN67" s="122"/>
      <c r="GO67" s="122"/>
      <c r="GP67" s="122"/>
      <c r="GQ67" s="122"/>
      <c r="GR67" s="122"/>
      <c r="GS67" s="122"/>
      <c r="GT67" s="122"/>
      <c r="GU67" s="122"/>
      <c r="GV67" s="122"/>
      <c r="GW67" s="122"/>
      <c r="GX67" s="122"/>
      <c r="GY67" s="122"/>
      <c r="GZ67" s="122"/>
      <c r="HA67" s="122"/>
      <c r="HB67" s="122"/>
      <c r="HC67" s="122"/>
      <c r="HD67" s="122"/>
      <c r="HE67" s="122"/>
      <c r="HF67" s="122"/>
      <c r="HG67" s="122"/>
      <c r="HH67" s="122"/>
      <c r="HI67" s="122"/>
      <c r="HJ67" s="122"/>
      <c r="HK67" s="122"/>
      <c r="HL67" s="122"/>
      <c r="HM67" s="122"/>
      <c r="HN67" s="122"/>
      <c r="HO67" s="122"/>
      <c r="HP67" s="122"/>
      <c r="HQ67" s="122"/>
      <c r="HR67" s="122"/>
      <c r="HS67" s="122"/>
      <c r="HT67" s="122"/>
      <c r="HU67" s="122"/>
      <c r="HV67" s="122"/>
      <c r="HW67" s="122"/>
      <c r="HX67" s="122"/>
      <c r="HY67" s="122"/>
      <c r="HZ67" s="122"/>
      <c r="IA67" s="122"/>
      <c r="IB67" s="122"/>
      <c r="IC67" s="122"/>
      <c r="ID67" s="122"/>
      <c r="IE67" s="122"/>
      <c r="IF67" s="122"/>
      <c r="IG67" s="122"/>
      <c r="IH67" s="122"/>
      <c r="II67" s="122"/>
      <c r="IJ67" s="122"/>
      <c r="IK67" s="122"/>
      <c r="IL67" s="122"/>
      <c r="IM67" s="122"/>
      <c r="IN67" s="122"/>
      <c r="IO67" s="122"/>
      <c r="IP67" s="122"/>
      <c r="IQ67" s="122"/>
      <c r="IR67" s="122"/>
      <c r="IS67" s="122"/>
      <c r="IT67" s="122"/>
      <c r="IU67" s="122"/>
      <c r="IV67" s="122"/>
      <c r="IW67" s="122"/>
      <c r="IX67" s="122"/>
      <c r="IY67" s="122"/>
      <c r="IZ67" s="122"/>
      <c r="JA67" s="122"/>
      <c r="JB67" s="122"/>
      <c r="JC67" s="122"/>
      <c r="JD67" s="122"/>
      <c r="JE67" s="122"/>
      <c r="JF67" s="122"/>
      <c r="JG67" s="122"/>
      <c r="JH67" s="122"/>
      <c r="JI67" s="119">
        <f t="shared" si="2"/>
        <v>0</v>
      </c>
      <c r="JJ67" s="2"/>
      <c r="JK67" s="2"/>
    </row>
    <row r="68" spans="1:271" x14ac:dyDescent="0.25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122"/>
      <c r="AQ68" s="122"/>
      <c r="AR68" s="122"/>
      <c r="AS68" s="122"/>
      <c r="AT68" s="122"/>
      <c r="AU68" s="122"/>
      <c r="AV68" s="122"/>
      <c r="AW68" s="122"/>
      <c r="AX68" s="122"/>
      <c r="AY68" s="122"/>
      <c r="AZ68" s="122"/>
      <c r="BA68" s="122"/>
      <c r="BB68" s="122"/>
      <c r="BC68" s="122"/>
      <c r="BD68" s="122"/>
      <c r="BE68" s="122"/>
      <c r="BF68" s="122"/>
      <c r="BG68" s="122"/>
      <c r="BH68" s="122"/>
      <c r="BI68" s="122"/>
      <c r="BJ68" s="122"/>
      <c r="BK68" s="122"/>
      <c r="BL68" s="122"/>
      <c r="BM68" s="122"/>
      <c r="BN68" s="122"/>
      <c r="BO68" s="122"/>
      <c r="BP68" s="122"/>
      <c r="BQ68" s="122"/>
      <c r="BR68" s="122"/>
      <c r="BS68" s="122"/>
      <c r="BT68" s="122"/>
      <c r="BU68" s="122"/>
      <c r="BV68" s="122"/>
      <c r="BW68" s="122"/>
      <c r="BX68" s="122"/>
      <c r="BY68" s="122"/>
      <c r="BZ68" s="122"/>
      <c r="CA68" s="122"/>
      <c r="CB68" s="122"/>
      <c r="CC68" s="122"/>
      <c r="CD68" s="122"/>
      <c r="CE68" s="122"/>
      <c r="CF68" s="122"/>
      <c r="CG68" s="122"/>
      <c r="CH68" s="122"/>
      <c r="CI68" s="122"/>
      <c r="CJ68" s="122"/>
      <c r="CK68" s="122"/>
      <c r="CL68" s="122"/>
      <c r="CM68" s="122"/>
      <c r="CN68" s="122"/>
      <c r="CO68" s="122"/>
      <c r="CP68" s="122"/>
      <c r="CQ68" s="122"/>
      <c r="CR68" s="122"/>
      <c r="CS68" s="122"/>
      <c r="CT68" s="122"/>
      <c r="CU68" s="122"/>
      <c r="CV68" s="122"/>
      <c r="CW68" s="122"/>
      <c r="CX68" s="122"/>
      <c r="CY68" s="122"/>
      <c r="CZ68" s="122"/>
      <c r="DA68" s="122"/>
      <c r="DB68" s="122"/>
      <c r="DC68" s="122"/>
      <c r="DD68" s="122"/>
      <c r="DE68" s="122"/>
      <c r="DF68" s="122"/>
      <c r="DG68" s="122"/>
      <c r="DH68" s="122"/>
      <c r="DI68" s="122"/>
      <c r="DJ68" s="122"/>
      <c r="DK68" s="122"/>
      <c r="DL68" s="122"/>
      <c r="DM68" s="122"/>
      <c r="DN68" s="122"/>
      <c r="DO68" s="122"/>
      <c r="DP68" s="122"/>
      <c r="DQ68" s="122"/>
      <c r="DR68" s="122"/>
      <c r="DS68" s="122"/>
      <c r="DT68" s="122"/>
      <c r="DU68" s="122"/>
      <c r="DV68" s="122"/>
      <c r="DW68" s="122"/>
      <c r="DX68" s="122"/>
      <c r="DY68" s="122"/>
      <c r="DZ68" s="122"/>
      <c r="EA68" s="122"/>
      <c r="EB68" s="122"/>
      <c r="EC68" s="122"/>
      <c r="ED68" s="122"/>
      <c r="EE68" s="122"/>
      <c r="EF68" s="122"/>
      <c r="EG68" s="122"/>
      <c r="EH68" s="122"/>
      <c r="EI68" s="122"/>
      <c r="EJ68" s="122"/>
      <c r="EK68" s="122"/>
      <c r="EL68" s="122"/>
      <c r="EM68" s="122"/>
      <c r="EN68" s="122"/>
      <c r="EO68" s="122"/>
      <c r="EP68" s="122"/>
      <c r="EQ68" s="122"/>
      <c r="ER68" s="122"/>
      <c r="ES68" s="122"/>
      <c r="ET68" s="122"/>
      <c r="EU68" s="122"/>
      <c r="EV68" s="122"/>
      <c r="EW68" s="122"/>
      <c r="EX68" s="122"/>
      <c r="EY68" s="122"/>
      <c r="EZ68" s="122"/>
      <c r="FA68" s="122"/>
      <c r="FB68" s="122"/>
      <c r="FC68" s="122"/>
      <c r="FD68" s="122"/>
      <c r="FE68" s="122"/>
      <c r="FF68" s="122"/>
      <c r="FG68" s="122"/>
      <c r="FH68" s="122"/>
      <c r="FI68" s="122"/>
      <c r="FJ68" s="122"/>
      <c r="FK68" s="122"/>
      <c r="FL68" s="122"/>
      <c r="FM68" s="122"/>
      <c r="FN68" s="122"/>
      <c r="FO68" s="122"/>
      <c r="FP68" s="122"/>
      <c r="FQ68" s="122"/>
      <c r="FR68" s="122"/>
      <c r="FS68" s="122"/>
      <c r="FT68" s="122"/>
      <c r="FU68" s="122"/>
      <c r="FV68" s="122"/>
      <c r="FW68" s="122"/>
      <c r="FX68" s="122"/>
      <c r="FY68" s="122"/>
      <c r="FZ68" s="122"/>
      <c r="GA68" s="122"/>
      <c r="GB68" s="122"/>
      <c r="GC68" s="122"/>
      <c r="GD68" s="122"/>
      <c r="GE68" s="122"/>
      <c r="GF68" s="122"/>
      <c r="GG68" s="122"/>
      <c r="GH68" s="122"/>
      <c r="GI68" s="122"/>
      <c r="GJ68" s="122"/>
      <c r="GK68" s="122"/>
      <c r="GL68" s="122"/>
      <c r="GM68" s="122"/>
      <c r="GN68" s="122"/>
      <c r="GO68" s="122"/>
      <c r="GP68" s="122"/>
      <c r="GQ68" s="122"/>
      <c r="GR68" s="122"/>
      <c r="GS68" s="122"/>
      <c r="GT68" s="122"/>
      <c r="GU68" s="122"/>
      <c r="GV68" s="122"/>
      <c r="GW68" s="122"/>
      <c r="GX68" s="122"/>
      <c r="GY68" s="122"/>
      <c r="GZ68" s="122"/>
      <c r="HA68" s="122"/>
      <c r="HB68" s="122"/>
      <c r="HC68" s="122"/>
      <c r="HD68" s="122"/>
      <c r="HE68" s="122"/>
      <c r="HF68" s="122"/>
      <c r="HG68" s="122"/>
      <c r="HH68" s="122"/>
      <c r="HI68" s="122"/>
      <c r="HJ68" s="122"/>
      <c r="HK68" s="122"/>
      <c r="HL68" s="122"/>
      <c r="HM68" s="122"/>
      <c r="HN68" s="122"/>
      <c r="HO68" s="122"/>
      <c r="HP68" s="122"/>
      <c r="HQ68" s="122"/>
      <c r="HR68" s="122"/>
      <c r="HS68" s="122"/>
      <c r="HT68" s="122"/>
      <c r="HU68" s="122"/>
      <c r="HV68" s="122"/>
      <c r="HW68" s="122"/>
      <c r="HX68" s="122"/>
      <c r="HY68" s="122"/>
      <c r="HZ68" s="122"/>
      <c r="IA68" s="122"/>
      <c r="IB68" s="122"/>
      <c r="IC68" s="122"/>
      <c r="ID68" s="122"/>
      <c r="IE68" s="122"/>
      <c r="IF68" s="122"/>
      <c r="IG68" s="122"/>
      <c r="IH68" s="122"/>
      <c r="II68" s="122"/>
      <c r="IJ68" s="122"/>
      <c r="IK68" s="122"/>
      <c r="IL68" s="122"/>
      <c r="IM68" s="122"/>
      <c r="IN68" s="122"/>
      <c r="IO68" s="122"/>
      <c r="IP68" s="122"/>
      <c r="IQ68" s="122"/>
      <c r="IR68" s="122"/>
      <c r="IS68" s="122"/>
      <c r="IT68" s="122"/>
      <c r="IU68" s="122"/>
      <c r="IV68" s="122"/>
      <c r="IW68" s="122"/>
      <c r="IX68" s="122"/>
      <c r="IY68" s="122"/>
      <c r="IZ68" s="122"/>
      <c r="JA68" s="122"/>
      <c r="JB68" s="122"/>
      <c r="JC68" s="122"/>
      <c r="JD68" s="122"/>
      <c r="JE68" s="122"/>
      <c r="JF68" s="122"/>
      <c r="JG68" s="122"/>
      <c r="JH68" s="122"/>
      <c r="JI68" s="119">
        <f t="shared" si="2"/>
        <v>0</v>
      </c>
      <c r="JJ68" s="2"/>
      <c r="JK68" s="2"/>
    </row>
    <row r="69" spans="1:271" x14ac:dyDescent="0.25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22"/>
      <c r="BC69" s="122"/>
      <c r="BD69" s="122"/>
      <c r="BE69" s="122"/>
      <c r="BF69" s="122"/>
      <c r="BG69" s="122"/>
      <c r="BH69" s="122"/>
      <c r="BI69" s="122"/>
      <c r="BJ69" s="122"/>
      <c r="BK69" s="122"/>
      <c r="BL69" s="122"/>
      <c r="BM69" s="122"/>
      <c r="BN69" s="122"/>
      <c r="BO69" s="122"/>
      <c r="BP69" s="122"/>
      <c r="BQ69" s="122"/>
      <c r="BR69" s="122"/>
      <c r="BS69" s="122"/>
      <c r="BT69" s="122"/>
      <c r="BU69" s="122"/>
      <c r="BV69" s="122"/>
      <c r="BW69" s="122"/>
      <c r="BX69" s="122"/>
      <c r="BY69" s="122"/>
      <c r="BZ69" s="122"/>
      <c r="CA69" s="122"/>
      <c r="CB69" s="122"/>
      <c r="CC69" s="122"/>
      <c r="CD69" s="122"/>
      <c r="CE69" s="122"/>
      <c r="CF69" s="122"/>
      <c r="CG69" s="122"/>
      <c r="CH69" s="122"/>
      <c r="CI69" s="122"/>
      <c r="CJ69" s="122"/>
      <c r="CK69" s="122"/>
      <c r="CL69" s="122"/>
      <c r="CM69" s="122"/>
      <c r="CN69" s="122"/>
      <c r="CO69" s="122"/>
      <c r="CP69" s="122"/>
      <c r="CQ69" s="122"/>
      <c r="CR69" s="122"/>
      <c r="CS69" s="122"/>
      <c r="CT69" s="122"/>
      <c r="CU69" s="122"/>
      <c r="CV69" s="122"/>
      <c r="CW69" s="122"/>
      <c r="CX69" s="122"/>
      <c r="CY69" s="122"/>
      <c r="CZ69" s="122"/>
      <c r="DA69" s="122"/>
      <c r="DB69" s="122"/>
      <c r="DC69" s="122"/>
      <c r="DD69" s="122"/>
      <c r="DE69" s="122"/>
      <c r="DF69" s="122"/>
      <c r="DG69" s="122"/>
      <c r="DH69" s="122"/>
      <c r="DI69" s="122"/>
      <c r="DJ69" s="122"/>
      <c r="DK69" s="122"/>
      <c r="DL69" s="122"/>
      <c r="DM69" s="122"/>
      <c r="DN69" s="122"/>
      <c r="DO69" s="122"/>
      <c r="DP69" s="122"/>
      <c r="DQ69" s="122"/>
      <c r="DR69" s="122"/>
      <c r="DS69" s="122"/>
      <c r="DT69" s="122"/>
      <c r="DU69" s="122"/>
      <c r="DV69" s="122"/>
      <c r="DW69" s="122"/>
      <c r="DX69" s="122"/>
      <c r="DY69" s="122"/>
      <c r="DZ69" s="122"/>
      <c r="EA69" s="122"/>
      <c r="EB69" s="122"/>
      <c r="EC69" s="122"/>
      <c r="ED69" s="122"/>
      <c r="EE69" s="122"/>
      <c r="EF69" s="122"/>
      <c r="EG69" s="122"/>
      <c r="EH69" s="122"/>
      <c r="EI69" s="122"/>
      <c r="EJ69" s="122"/>
      <c r="EK69" s="122"/>
      <c r="EL69" s="122"/>
      <c r="EM69" s="122"/>
      <c r="EN69" s="122"/>
      <c r="EO69" s="122"/>
      <c r="EP69" s="122"/>
      <c r="EQ69" s="122"/>
      <c r="ER69" s="122"/>
      <c r="ES69" s="122"/>
      <c r="ET69" s="122"/>
      <c r="EU69" s="122"/>
      <c r="EV69" s="122"/>
      <c r="EW69" s="122"/>
      <c r="EX69" s="122"/>
      <c r="EY69" s="122"/>
      <c r="EZ69" s="122"/>
      <c r="FA69" s="122"/>
      <c r="FB69" s="122"/>
      <c r="FC69" s="122"/>
      <c r="FD69" s="122"/>
      <c r="FE69" s="122"/>
      <c r="FF69" s="122"/>
      <c r="FG69" s="122"/>
      <c r="FH69" s="122"/>
      <c r="FI69" s="122"/>
      <c r="FJ69" s="122"/>
      <c r="FK69" s="122"/>
      <c r="FL69" s="122"/>
      <c r="FM69" s="122"/>
      <c r="FN69" s="122"/>
      <c r="FO69" s="122"/>
      <c r="FP69" s="122"/>
      <c r="FQ69" s="122"/>
      <c r="FR69" s="122"/>
      <c r="FS69" s="122"/>
      <c r="FT69" s="122"/>
      <c r="FU69" s="122"/>
      <c r="FV69" s="122"/>
      <c r="FW69" s="122"/>
      <c r="FX69" s="122"/>
      <c r="FY69" s="122"/>
      <c r="FZ69" s="122"/>
      <c r="GA69" s="122"/>
      <c r="GB69" s="122"/>
      <c r="GC69" s="122"/>
      <c r="GD69" s="122"/>
      <c r="GE69" s="122"/>
      <c r="GF69" s="122"/>
      <c r="GG69" s="122"/>
      <c r="GH69" s="122"/>
      <c r="GI69" s="122"/>
      <c r="GJ69" s="122"/>
      <c r="GK69" s="122"/>
      <c r="GL69" s="122"/>
      <c r="GM69" s="122"/>
      <c r="GN69" s="122"/>
      <c r="GO69" s="122"/>
      <c r="GP69" s="122"/>
      <c r="GQ69" s="122"/>
      <c r="GR69" s="122"/>
      <c r="GS69" s="122"/>
      <c r="GT69" s="122"/>
      <c r="GU69" s="122"/>
      <c r="GV69" s="122"/>
      <c r="GW69" s="122"/>
      <c r="GX69" s="122"/>
      <c r="GY69" s="122"/>
      <c r="GZ69" s="122"/>
      <c r="HA69" s="122"/>
      <c r="HB69" s="122"/>
      <c r="HC69" s="122"/>
      <c r="HD69" s="122"/>
      <c r="HE69" s="122"/>
      <c r="HF69" s="122"/>
      <c r="HG69" s="122"/>
      <c r="HH69" s="122"/>
      <c r="HI69" s="122"/>
      <c r="HJ69" s="122"/>
      <c r="HK69" s="122"/>
      <c r="HL69" s="122"/>
      <c r="HM69" s="122"/>
      <c r="HN69" s="122"/>
      <c r="HO69" s="122"/>
      <c r="HP69" s="122"/>
      <c r="HQ69" s="122"/>
      <c r="HR69" s="122"/>
      <c r="HS69" s="122"/>
      <c r="HT69" s="122"/>
      <c r="HU69" s="122"/>
      <c r="HV69" s="122"/>
      <c r="HW69" s="122"/>
      <c r="HX69" s="122"/>
      <c r="HY69" s="122"/>
      <c r="HZ69" s="122"/>
      <c r="IA69" s="122"/>
      <c r="IB69" s="122"/>
      <c r="IC69" s="122"/>
      <c r="ID69" s="122"/>
      <c r="IE69" s="122"/>
      <c r="IF69" s="122"/>
      <c r="IG69" s="122"/>
      <c r="IH69" s="122"/>
      <c r="II69" s="122"/>
      <c r="IJ69" s="122"/>
      <c r="IK69" s="122"/>
      <c r="IL69" s="122"/>
      <c r="IM69" s="122"/>
      <c r="IN69" s="122"/>
      <c r="IO69" s="122"/>
      <c r="IP69" s="122"/>
      <c r="IQ69" s="122"/>
      <c r="IR69" s="122"/>
      <c r="IS69" s="122"/>
      <c r="IT69" s="122"/>
      <c r="IU69" s="122"/>
      <c r="IV69" s="122"/>
      <c r="IW69" s="122"/>
      <c r="IX69" s="122"/>
      <c r="IY69" s="122"/>
      <c r="IZ69" s="122"/>
      <c r="JA69" s="122"/>
      <c r="JB69" s="122"/>
      <c r="JC69" s="122"/>
      <c r="JD69" s="122"/>
      <c r="JE69" s="122"/>
      <c r="JF69" s="122"/>
      <c r="JG69" s="122"/>
      <c r="JH69" s="122"/>
      <c r="JI69" s="119">
        <f t="shared" si="2"/>
        <v>0</v>
      </c>
      <c r="JJ69" s="2"/>
      <c r="JK69" s="2"/>
    </row>
    <row r="70" spans="1:271" x14ac:dyDescent="0.25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  <c r="AS70" s="122"/>
      <c r="AT70" s="122"/>
      <c r="AU70" s="122"/>
      <c r="AV70" s="122"/>
      <c r="AW70" s="122"/>
      <c r="AX70" s="122"/>
      <c r="AY70" s="122"/>
      <c r="AZ70" s="122"/>
      <c r="BA70" s="122"/>
      <c r="BB70" s="122"/>
      <c r="BC70" s="122"/>
      <c r="BD70" s="122"/>
      <c r="BE70" s="122"/>
      <c r="BF70" s="122"/>
      <c r="BG70" s="122"/>
      <c r="BH70" s="122"/>
      <c r="BI70" s="122"/>
      <c r="BJ70" s="122"/>
      <c r="BK70" s="122"/>
      <c r="BL70" s="122"/>
      <c r="BM70" s="122"/>
      <c r="BN70" s="122"/>
      <c r="BO70" s="122"/>
      <c r="BP70" s="122"/>
      <c r="BQ70" s="122"/>
      <c r="BR70" s="122"/>
      <c r="BS70" s="122"/>
      <c r="BT70" s="122"/>
      <c r="BU70" s="122"/>
      <c r="BV70" s="122"/>
      <c r="BW70" s="122"/>
      <c r="BX70" s="122"/>
      <c r="BY70" s="122"/>
      <c r="BZ70" s="122"/>
      <c r="CA70" s="122"/>
      <c r="CB70" s="122"/>
      <c r="CC70" s="122"/>
      <c r="CD70" s="122"/>
      <c r="CE70" s="122"/>
      <c r="CF70" s="122"/>
      <c r="CG70" s="122"/>
      <c r="CH70" s="122"/>
      <c r="CI70" s="122"/>
      <c r="CJ70" s="122"/>
      <c r="CK70" s="122"/>
      <c r="CL70" s="122"/>
      <c r="CM70" s="122"/>
      <c r="CN70" s="122"/>
      <c r="CO70" s="122"/>
      <c r="CP70" s="122"/>
      <c r="CQ70" s="122"/>
      <c r="CR70" s="122"/>
      <c r="CS70" s="122"/>
      <c r="CT70" s="122"/>
      <c r="CU70" s="122"/>
      <c r="CV70" s="122"/>
      <c r="CW70" s="122"/>
      <c r="CX70" s="122"/>
      <c r="CY70" s="122"/>
      <c r="CZ70" s="122"/>
      <c r="DA70" s="122"/>
      <c r="DB70" s="122"/>
      <c r="DC70" s="122"/>
      <c r="DD70" s="122"/>
      <c r="DE70" s="122"/>
      <c r="DF70" s="122"/>
      <c r="DG70" s="122"/>
      <c r="DH70" s="122"/>
      <c r="DI70" s="122"/>
      <c r="DJ70" s="122"/>
      <c r="DK70" s="122"/>
      <c r="DL70" s="122"/>
      <c r="DM70" s="122"/>
      <c r="DN70" s="122"/>
      <c r="DO70" s="122"/>
      <c r="DP70" s="122"/>
      <c r="DQ70" s="122"/>
      <c r="DR70" s="122"/>
      <c r="DS70" s="122"/>
      <c r="DT70" s="122"/>
      <c r="DU70" s="122"/>
      <c r="DV70" s="122"/>
      <c r="DW70" s="122"/>
      <c r="DX70" s="122"/>
      <c r="DY70" s="122"/>
      <c r="DZ70" s="122"/>
      <c r="EA70" s="122"/>
      <c r="EB70" s="122"/>
      <c r="EC70" s="122"/>
      <c r="ED70" s="122"/>
      <c r="EE70" s="122"/>
      <c r="EF70" s="122"/>
      <c r="EG70" s="122"/>
      <c r="EH70" s="122"/>
      <c r="EI70" s="122"/>
      <c r="EJ70" s="122"/>
      <c r="EK70" s="122"/>
      <c r="EL70" s="122"/>
      <c r="EM70" s="122"/>
      <c r="EN70" s="122"/>
      <c r="EO70" s="122"/>
      <c r="EP70" s="122"/>
      <c r="EQ70" s="122"/>
      <c r="ER70" s="122"/>
      <c r="ES70" s="122"/>
      <c r="ET70" s="122"/>
      <c r="EU70" s="122"/>
      <c r="EV70" s="122"/>
      <c r="EW70" s="122"/>
      <c r="EX70" s="122"/>
      <c r="EY70" s="122"/>
      <c r="EZ70" s="122"/>
      <c r="FA70" s="122"/>
      <c r="FB70" s="122"/>
      <c r="FC70" s="122"/>
      <c r="FD70" s="122"/>
      <c r="FE70" s="122"/>
      <c r="FF70" s="122"/>
      <c r="FG70" s="122"/>
      <c r="FH70" s="122"/>
      <c r="FI70" s="122"/>
      <c r="FJ70" s="122"/>
      <c r="FK70" s="122"/>
      <c r="FL70" s="122"/>
      <c r="FM70" s="122"/>
      <c r="FN70" s="122"/>
      <c r="FO70" s="122"/>
      <c r="FP70" s="122"/>
      <c r="FQ70" s="122"/>
      <c r="FR70" s="122"/>
      <c r="FS70" s="122"/>
      <c r="FT70" s="122"/>
      <c r="FU70" s="122"/>
      <c r="FV70" s="122"/>
      <c r="FW70" s="122"/>
      <c r="FX70" s="122"/>
      <c r="FY70" s="122"/>
      <c r="FZ70" s="122"/>
      <c r="GA70" s="122"/>
      <c r="GB70" s="122"/>
      <c r="GC70" s="122"/>
      <c r="GD70" s="122"/>
      <c r="GE70" s="122"/>
      <c r="GF70" s="122"/>
      <c r="GG70" s="122"/>
      <c r="GH70" s="122"/>
      <c r="GI70" s="122"/>
      <c r="GJ70" s="122"/>
      <c r="GK70" s="122"/>
      <c r="GL70" s="122"/>
      <c r="GM70" s="122"/>
      <c r="GN70" s="122"/>
      <c r="GO70" s="122"/>
      <c r="GP70" s="122"/>
      <c r="GQ70" s="122"/>
      <c r="GR70" s="122"/>
      <c r="GS70" s="122"/>
      <c r="GT70" s="122"/>
      <c r="GU70" s="122"/>
      <c r="GV70" s="122"/>
      <c r="GW70" s="122"/>
      <c r="GX70" s="122"/>
      <c r="GY70" s="122"/>
      <c r="GZ70" s="122"/>
      <c r="HA70" s="122"/>
      <c r="HB70" s="122"/>
      <c r="HC70" s="122"/>
      <c r="HD70" s="122"/>
      <c r="HE70" s="122"/>
      <c r="HF70" s="122"/>
      <c r="HG70" s="122"/>
      <c r="HH70" s="122"/>
      <c r="HI70" s="122"/>
      <c r="HJ70" s="122"/>
      <c r="HK70" s="122"/>
      <c r="HL70" s="122"/>
      <c r="HM70" s="122"/>
      <c r="HN70" s="122"/>
      <c r="HO70" s="122"/>
      <c r="HP70" s="122"/>
      <c r="HQ70" s="122"/>
      <c r="HR70" s="122"/>
      <c r="HS70" s="122"/>
      <c r="HT70" s="122"/>
      <c r="HU70" s="122"/>
      <c r="HV70" s="122"/>
      <c r="HW70" s="122"/>
      <c r="HX70" s="122"/>
      <c r="HY70" s="122"/>
      <c r="HZ70" s="122"/>
      <c r="IA70" s="122"/>
      <c r="IB70" s="122"/>
      <c r="IC70" s="122"/>
      <c r="ID70" s="122"/>
      <c r="IE70" s="122"/>
      <c r="IF70" s="122"/>
      <c r="IG70" s="122"/>
      <c r="IH70" s="122"/>
      <c r="II70" s="122"/>
      <c r="IJ70" s="122"/>
      <c r="IK70" s="122"/>
      <c r="IL70" s="122"/>
      <c r="IM70" s="122"/>
      <c r="IN70" s="122"/>
      <c r="IO70" s="122"/>
      <c r="IP70" s="122"/>
      <c r="IQ70" s="122"/>
      <c r="IR70" s="122"/>
      <c r="IS70" s="122"/>
      <c r="IT70" s="122"/>
      <c r="IU70" s="122"/>
      <c r="IV70" s="122"/>
      <c r="IW70" s="122"/>
      <c r="IX70" s="122"/>
      <c r="IY70" s="122"/>
      <c r="IZ70" s="122"/>
      <c r="JA70" s="122"/>
      <c r="JB70" s="122"/>
      <c r="JC70" s="122"/>
      <c r="JD70" s="122"/>
      <c r="JE70" s="122"/>
      <c r="JF70" s="122"/>
      <c r="JG70" s="122"/>
      <c r="JH70" s="122"/>
      <c r="JI70" s="119">
        <f t="shared" si="2"/>
        <v>0</v>
      </c>
      <c r="JJ70" s="2"/>
      <c r="JK70" s="2"/>
    </row>
    <row r="71" spans="1:271" x14ac:dyDescent="0.25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  <c r="AT71" s="122"/>
      <c r="AU71" s="122"/>
      <c r="AV71" s="122"/>
      <c r="AW71" s="122"/>
      <c r="AX71" s="122"/>
      <c r="AY71" s="122"/>
      <c r="AZ71" s="122"/>
      <c r="BA71" s="122"/>
      <c r="BB71" s="122"/>
      <c r="BC71" s="122"/>
      <c r="BD71" s="122"/>
      <c r="BE71" s="122"/>
      <c r="BF71" s="122"/>
      <c r="BG71" s="122"/>
      <c r="BH71" s="122"/>
      <c r="BI71" s="122"/>
      <c r="BJ71" s="122"/>
      <c r="BK71" s="122"/>
      <c r="BL71" s="122"/>
      <c r="BM71" s="122"/>
      <c r="BN71" s="122"/>
      <c r="BO71" s="122"/>
      <c r="BP71" s="122"/>
      <c r="BQ71" s="122"/>
      <c r="BR71" s="122"/>
      <c r="BS71" s="122"/>
      <c r="BT71" s="122"/>
      <c r="BU71" s="122"/>
      <c r="BV71" s="122"/>
      <c r="BW71" s="122"/>
      <c r="BX71" s="122"/>
      <c r="BY71" s="122"/>
      <c r="BZ71" s="122"/>
      <c r="CA71" s="122"/>
      <c r="CB71" s="122"/>
      <c r="CC71" s="122"/>
      <c r="CD71" s="122"/>
      <c r="CE71" s="122"/>
      <c r="CF71" s="122"/>
      <c r="CG71" s="122"/>
      <c r="CH71" s="122"/>
      <c r="CI71" s="122"/>
      <c r="CJ71" s="122"/>
      <c r="CK71" s="122"/>
      <c r="CL71" s="122"/>
      <c r="CM71" s="122"/>
      <c r="CN71" s="122"/>
      <c r="CO71" s="122"/>
      <c r="CP71" s="122"/>
      <c r="CQ71" s="122"/>
      <c r="CR71" s="122"/>
      <c r="CS71" s="122"/>
      <c r="CT71" s="122"/>
      <c r="CU71" s="122"/>
      <c r="CV71" s="122"/>
      <c r="CW71" s="122"/>
      <c r="CX71" s="122"/>
      <c r="CY71" s="122"/>
      <c r="CZ71" s="122"/>
      <c r="DA71" s="122"/>
      <c r="DB71" s="122"/>
      <c r="DC71" s="122"/>
      <c r="DD71" s="122"/>
      <c r="DE71" s="122"/>
      <c r="DF71" s="122"/>
      <c r="DG71" s="122"/>
      <c r="DH71" s="122"/>
      <c r="DI71" s="122"/>
      <c r="DJ71" s="122"/>
      <c r="DK71" s="122"/>
      <c r="DL71" s="122"/>
      <c r="DM71" s="122"/>
      <c r="DN71" s="122"/>
      <c r="DO71" s="122"/>
      <c r="DP71" s="122"/>
      <c r="DQ71" s="122"/>
      <c r="DR71" s="122"/>
      <c r="DS71" s="122"/>
      <c r="DT71" s="122"/>
      <c r="DU71" s="122"/>
      <c r="DV71" s="122"/>
      <c r="DW71" s="122"/>
      <c r="DX71" s="122"/>
      <c r="DY71" s="122"/>
      <c r="DZ71" s="122"/>
      <c r="EA71" s="122"/>
      <c r="EB71" s="122"/>
      <c r="EC71" s="122"/>
      <c r="ED71" s="122"/>
      <c r="EE71" s="122"/>
      <c r="EF71" s="122"/>
      <c r="EG71" s="122"/>
      <c r="EH71" s="122"/>
      <c r="EI71" s="122"/>
      <c r="EJ71" s="122"/>
      <c r="EK71" s="122"/>
      <c r="EL71" s="122"/>
      <c r="EM71" s="122"/>
      <c r="EN71" s="122"/>
      <c r="EO71" s="122"/>
      <c r="EP71" s="122"/>
      <c r="EQ71" s="122"/>
      <c r="ER71" s="122"/>
      <c r="ES71" s="122"/>
      <c r="ET71" s="122"/>
      <c r="EU71" s="122"/>
      <c r="EV71" s="122"/>
      <c r="EW71" s="122"/>
      <c r="EX71" s="122"/>
      <c r="EY71" s="122"/>
      <c r="EZ71" s="122"/>
      <c r="FA71" s="122"/>
      <c r="FB71" s="122"/>
      <c r="FC71" s="122"/>
      <c r="FD71" s="122"/>
      <c r="FE71" s="122"/>
      <c r="FF71" s="122"/>
      <c r="FG71" s="122"/>
      <c r="FH71" s="122"/>
      <c r="FI71" s="122"/>
      <c r="FJ71" s="122"/>
      <c r="FK71" s="122"/>
      <c r="FL71" s="122"/>
      <c r="FM71" s="122"/>
      <c r="FN71" s="122"/>
      <c r="FO71" s="122"/>
      <c r="FP71" s="122"/>
      <c r="FQ71" s="122"/>
      <c r="FR71" s="122"/>
      <c r="FS71" s="122"/>
      <c r="FT71" s="122"/>
      <c r="FU71" s="122"/>
      <c r="FV71" s="122"/>
      <c r="FW71" s="122"/>
      <c r="FX71" s="122"/>
      <c r="FY71" s="122"/>
      <c r="FZ71" s="122"/>
      <c r="GA71" s="122"/>
      <c r="GB71" s="122"/>
      <c r="GC71" s="122"/>
      <c r="GD71" s="122"/>
      <c r="GE71" s="122"/>
      <c r="GF71" s="122"/>
      <c r="GG71" s="122"/>
      <c r="GH71" s="122"/>
      <c r="GI71" s="122"/>
      <c r="GJ71" s="122"/>
      <c r="GK71" s="122"/>
      <c r="GL71" s="122"/>
      <c r="GM71" s="122"/>
      <c r="GN71" s="122"/>
      <c r="GO71" s="122"/>
      <c r="GP71" s="122"/>
      <c r="GQ71" s="122"/>
      <c r="GR71" s="122"/>
      <c r="GS71" s="122"/>
      <c r="GT71" s="122"/>
      <c r="GU71" s="122"/>
      <c r="GV71" s="122"/>
      <c r="GW71" s="122"/>
      <c r="GX71" s="122"/>
      <c r="GY71" s="122"/>
      <c r="GZ71" s="122"/>
      <c r="HA71" s="122"/>
      <c r="HB71" s="122"/>
      <c r="HC71" s="122"/>
      <c r="HD71" s="122"/>
      <c r="HE71" s="122"/>
      <c r="HF71" s="122"/>
      <c r="HG71" s="122"/>
      <c r="HH71" s="122"/>
      <c r="HI71" s="122"/>
      <c r="HJ71" s="122"/>
      <c r="HK71" s="122"/>
      <c r="HL71" s="122"/>
      <c r="HM71" s="122"/>
      <c r="HN71" s="122"/>
      <c r="HO71" s="122"/>
      <c r="HP71" s="122"/>
      <c r="HQ71" s="122"/>
      <c r="HR71" s="122"/>
      <c r="HS71" s="122"/>
      <c r="HT71" s="122"/>
      <c r="HU71" s="122"/>
      <c r="HV71" s="122"/>
      <c r="HW71" s="122"/>
      <c r="HX71" s="122"/>
      <c r="HY71" s="122"/>
      <c r="HZ71" s="122"/>
      <c r="IA71" s="122"/>
      <c r="IB71" s="122"/>
      <c r="IC71" s="122"/>
      <c r="ID71" s="122"/>
      <c r="IE71" s="122"/>
      <c r="IF71" s="122"/>
      <c r="IG71" s="122"/>
      <c r="IH71" s="122"/>
      <c r="II71" s="122"/>
      <c r="IJ71" s="122"/>
      <c r="IK71" s="122"/>
      <c r="IL71" s="122"/>
      <c r="IM71" s="122"/>
      <c r="IN71" s="122"/>
      <c r="IO71" s="122"/>
      <c r="IP71" s="122"/>
      <c r="IQ71" s="122"/>
      <c r="IR71" s="122"/>
      <c r="IS71" s="122"/>
      <c r="IT71" s="122"/>
      <c r="IU71" s="122"/>
      <c r="IV71" s="122"/>
      <c r="IW71" s="122"/>
      <c r="IX71" s="122"/>
      <c r="IY71" s="122"/>
      <c r="IZ71" s="122"/>
      <c r="JA71" s="122"/>
      <c r="JB71" s="122"/>
      <c r="JC71" s="122"/>
      <c r="JD71" s="122"/>
      <c r="JE71" s="122"/>
      <c r="JF71" s="122"/>
      <c r="JG71" s="122"/>
      <c r="JH71" s="122"/>
      <c r="JI71" s="119">
        <f t="shared" si="2"/>
        <v>0</v>
      </c>
      <c r="JJ71" s="2"/>
      <c r="JK71" s="2"/>
    </row>
    <row r="72" spans="1:271" x14ac:dyDescent="0.25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122"/>
      <c r="AQ72" s="122"/>
      <c r="AR72" s="122"/>
      <c r="AS72" s="122"/>
      <c r="AT72" s="122"/>
      <c r="AU72" s="122"/>
      <c r="AV72" s="122"/>
      <c r="AW72" s="122"/>
      <c r="AX72" s="122"/>
      <c r="AY72" s="122"/>
      <c r="AZ72" s="122"/>
      <c r="BA72" s="122"/>
      <c r="BB72" s="122"/>
      <c r="BC72" s="122"/>
      <c r="BD72" s="122"/>
      <c r="BE72" s="122"/>
      <c r="BF72" s="122"/>
      <c r="BG72" s="122"/>
      <c r="BH72" s="122"/>
      <c r="BI72" s="122"/>
      <c r="BJ72" s="122"/>
      <c r="BK72" s="122"/>
      <c r="BL72" s="122"/>
      <c r="BM72" s="122"/>
      <c r="BN72" s="122"/>
      <c r="BO72" s="122"/>
      <c r="BP72" s="122"/>
      <c r="BQ72" s="122"/>
      <c r="BR72" s="122"/>
      <c r="BS72" s="122"/>
      <c r="BT72" s="122"/>
      <c r="BU72" s="122"/>
      <c r="BV72" s="122"/>
      <c r="BW72" s="122"/>
      <c r="BX72" s="122"/>
      <c r="BY72" s="122"/>
      <c r="BZ72" s="122"/>
      <c r="CA72" s="122"/>
      <c r="CB72" s="122"/>
      <c r="CC72" s="122"/>
      <c r="CD72" s="122"/>
      <c r="CE72" s="122"/>
      <c r="CF72" s="122"/>
      <c r="CG72" s="122"/>
      <c r="CH72" s="122"/>
      <c r="CI72" s="122"/>
      <c r="CJ72" s="122"/>
      <c r="CK72" s="122"/>
      <c r="CL72" s="122"/>
      <c r="CM72" s="122"/>
      <c r="CN72" s="122"/>
      <c r="CO72" s="122"/>
      <c r="CP72" s="122"/>
      <c r="CQ72" s="122"/>
      <c r="CR72" s="122"/>
      <c r="CS72" s="122"/>
      <c r="CT72" s="122"/>
      <c r="CU72" s="122"/>
      <c r="CV72" s="122"/>
      <c r="CW72" s="122"/>
      <c r="CX72" s="122"/>
      <c r="CY72" s="122"/>
      <c r="CZ72" s="122"/>
      <c r="DA72" s="122"/>
      <c r="DB72" s="122"/>
      <c r="DC72" s="122"/>
      <c r="DD72" s="122"/>
      <c r="DE72" s="122"/>
      <c r="DF72" s="122"/>
      <c r="DG72" s="122"/>
      <c r="DH72" s="122"/>
      <c r="DI72" s="122"/>
      <c r="DJ72" s="122"/>
      <c r="DK72" s="122"/>
      <c r="DL72" s="122"/>
      <c r="DM72" s="122"/>
      <c r="DN72" s="122"/>
      <c r="DO72" s="122"/>
      <c r="DP72" s="122"/>
      <c r="DQ72" s="122"/>
      <c r="DR72" s="122"/>
      <c r="DS72" s="122"/>
      <c r="DT72" s="122"/>
      <c r="DU72" s="122"/>
      <c r="DV72" s="122"/>
      <c r="DW72" s="122"/>
      <c r="DX72" s="122"/>
      <c r="DY72" s="122"/>
      <c r="DZ72" s="122"/>
      <c r="EA72" s="122"/>
      <c r="EB72" s="122"/>
      <c r="EC72" s="122"/>
      <c r="ED72" s="122"/>
      <c r="EE72" s="122"/>
      <c r="EF72" s="122"/>
      <c r="EG72" s="122"/>
      <c r="EH72" s="122"/>
      <c r="EI72" s="122"/>
      <c r="EJ72" s="122"/>
      <c r="EK72" s="122"/>
      <c r="EL72" s="122"/>
      <c r="EM72" s="122"/>
      <c r="EN72" s="122"/>
      <c r="EO72" s="122"/>
      <c r="EP72" s="122"/>
      <c r="EQ72" s="122"/>
      <c r="ER72" s="122"/>
      <c r="ES72" s="122"/>
      <c r="ET72" s="122"/>
      <c r="EU72" s="122"/>
      <c r="EV72" s="122"/>
      <c r="EW72" s="122"/>
      <c r="EX72" s="122"/>
      <c r="EY72" s="122"/>
      <c r="EZ72" s="122"/>
      <c r="FA72" s="122"/>
      <c r="FB72" s="122"/>
      <c r="FC72" s="122"/>
      <c r="FD72" s="122"/>
      <c r="FE72" s="122"/>
      <c r="FF72" s="122"/>
      <c r="FG72" s="122"/>
      <c r="FH72" s="122"/>
      <c r="FI72" s="122"/>
      <c r="FJ72" s="122"/>
      <c r="FK72" s="122"/>
      <c r="FL72" s="122"/>
      <c r="FM72" s="122"/>
      <c r="FN72" s="122"/>
      <c r="FO72" s="122"/>
      <c r="FP72" s="122"/>
      <c r="FQ72" s="122"/>
      <c r="FR72" s="122"/>
      <c r="FS72" s="122"/>
      <c r="FT72" s="122"/>
      <c r="FU72" s="122"/>
      <c r="FV72" s="122"/>
      <c r="FW72" s="122"/>
      <c r="FX72" s="122"/>
      <c r="FY72" s="122"/>
      <c r="FZ72" s="122"/>
      <c r="GA72" s="122"/>
      <c r="GB72" s="122"/>
      <c r="GC72" s="122"/>
      <c r="GD72" s="122"/>
      <c r="GE72" s="122"/>
      <c r="GF72" s="122"/>
      <c r="GG72" s="122"/>
      <c r="GH72" s="122"/>
      <c r="GI72" s="122"/>
      <c r="GJ72" s="122"/>
      <c r="GK72" s="122"/>
      <c r="GL72" s="122"/>
      <c r="GM72" s="122"/>
      <c r="GN72" s="122"/>
      <c r="GO72" s="122"/>
      <c r="GP72" s="122"/>
      <c r="GQ72" s="122"/>
      <c r="GR72" s="122"/>
      <c r="GS72" s="122"/>
      <c r="GT72" s="122"/>
      <c r="GU72" s="122"/>
      <c r="GV72" s="122"/>
      <c r="GW72" s="122"/>
      <c r="GX72" s="122"/>
      <c r="GY72" s="122"/>
      <c r="GZ72" s="122"/>
      <c r="HA72" s="122"/>
      <c r="HB72" s="122"/>
      <c r="HC72" s="122"/>
      <c r="HD72" s="122"/>
      <c r="HE72" s="122"/>
      <c r="HF72" s="122"/>
      <c r="HG72" s="122"/>
      <c r="HH72" s="122"/>
      <c r="HI72" s="122"/>
      <c r="HJ72" s="122"/>
      <c r="HK72" s="122"/>
      <c r="HL72" s="122"/>
      <c r="HM72" s="122"/>
      <c r="HN72" s="122"/>
      <c r="HO72" s="122"/>
      <c r="HP72" s="122"/>
      <c r="HQ72" s="122"/>
      <c r="HR72" s="122"/>
      <c r="HS72" s="122"/>
      <c r="HT72" s="122"/>
      <c r="HU72" s="122"/>
      <c r="HV72" s="122"/>
      <c r="HW72" s="122"/>
      <c r="HX72" s="122"/>
      <c r="HY72" s="122"/>
      <c r="HZ72" s="122"/>
      <c r="IA72" s="122"/>
      <c r="IB72" s="122"/>
      <c r="IC72" s="122"/>
      <c r="ID72" s="122"/>
      <c r="IE72" s="122"/>
      <c r="IF72" s="122"/>
      <c r="IG72" s="122"/>
      <c r="IH72" s="122"/>
      <c r="II72" s="122"/>
      <c r="IJ72" s="122"/>
      <c r="IK72" s="122"/>
      <c r="IL72" s="122"/>
      <c r="IM72" s="122"/>
      <c r="IN72" s="122"/>
      <c r="IO72" s="122"/>
      <c r="IP72" s="122"/>
      <c r="IQ72" s="122"/>
      <c r="IR72" s="122"/>
      <c r="IS72" s="122"/>
      <c r="IT72" s="122"/>
      <c r="IU72" s="122"/>
      <c r="IV72" s="122"/>
      <c r="IW72" s="122"/>
      <c r="IX72" s="122"/>
      <c r="IY72" s="122"/>
      <c r="IZ72" s="122"/>
      <c r="JA72" s="122"/>
      <c r="JB72" s="122"/>
      <c r="JC72" s="122"/>
      <c r="JD72" s="122"/>
      <c r="JE72" s="122"/>
      <c r="JF72" s="122"/>
      <c r="JG72" s="122"/>
      <c r="JH72" s="122"/>
      <c r="JI72" s="119">
        <f t="shared" si="2"/>
        <v>0</v>
      </c>
      <c r="JJ72" s="2"/>
      <c r="JK72" s="2"/>
    </row>
    <row r="73" spans="1:271" x14ac:dyDescent="0.25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/>
      <c r="AQ73" s="122"/>
      <c r="AR73" s="122"/>
      <c r="AS73" s="122"/>
      <c r="AT73" s="122"/>
      <c r="AU73" s="122"/>
      <c r="AV73" s="122"/>
      <c r="AW73" s="122"/>
      <c r="AX73" s="122"/>
      <c r="AY73" s="122"/>
      <c r="AZ73" s="122"/>
      <c r="BA73" s="122"/>
      <c r="BB73" s="122"/>
      <c r="BC73" s="122"/>
      <c r="BD73" s="122"/>
      <c r="BE73" s="122"/>
      <c r="BF73" s="122"/>
      <c r="BG73" s="122"/>
      <c r="BH73" s="122"/>
      <c r="BI73" s="122"/>
      <c r="BJ73" s="122"/>
      <c r="BK73" s="122"/>
      <c r="BL73" s="122"/>
      <c r="BM73" s="122"/>
      <c r="BN73" s="122"/>
      <c r="BO73" s="122"/>
      <c r="BP73" s="122"/>
      <c r="BQ73" s="122"/>
      <c r="BR73" s="122"/>
      <c r="BS73" s="122"/>
      <c r="BT73" s="122"/>
      <c r="BU73" s="122"/>
      <c r="BV73" s="122"/>
      <c r="BW73" s="122"/>
      <c r="BX73" s="122"/>
      <c r="BY73" s="122"/>
      <c r="BZ73" s="122"/>
      <c r="CA73" s="122"/>
      <c r="CB73" s="122"/>
      <c r="CC73" s="122"/>
      <c r="CD73" s="122"/>
      <c r="CE73" s="122"/>
      <c r="CF73" s="122"/>
      <c r="CG73" s="122"/>
      <c r="CH73" s="122"/>
      <c r="CI73" s="122"/>
      <c r="CJ73" s="122"/>
      <c r="CK73" s="122"/>
      <c r="CL73" s="122"/>
      <c r="CM73" s="122"/>
      <c r="CN73" s="122"/>
      <c r="CO73" s="122"/>
      <c r="CP73" s="122"/>
      <c r="CQ73" s="122"/>
      <c r="CR73" s="122"/>
      <c r="CS73" s="122"/>
      <c r="CT73" s="122"/>
      <c r="CU73" s="122"/>
      <c r="CV73" s="122"/>
      <c r="CW73" s="122"/>
      <c r="CX73" s="122"/>
      <c r="CY73" s="122"/>
      <c r="CZ73" s="122"/>
      <c r="DA73" s="122"/>
      <c r="DB73" s="122"/>
      <c r="DC73" s="122"/>
      <c r="DD73" s="122"/>
      <c r="DE73" s="122"/>
      <c r="DF73" s="122"/>
      <c r="DG73" s="122"/>
      <c r="DH73" s="122"/>
      <c r="DI73" s="122"/>
      <c r="DJ73" s="122"/>
      <c r="DK73" s="122"/>
      <c r="DL73" s="122"/>
      <c r="DM73" s="122"/>
      <c r="DN73" s="122"/>
      <c r="DO73" s="122"/>
      <c r="DP73" s="122"/>
      <c r="DQ73" s="122"/>
      <c r="DR73" s="122"/>
      <c r="DS73" s="122"/>
      <c r="DT73" s="122"/>
      <c r="DU73" s="122"/>
      <c r="DV73" s="122"/>
      <c r="DW73" s="122"/>
      <c r="DX73" s="122"/>
      <c r="DY73" s="122"/>
      <c r="DZ73" s="122"/>
      <c r="EA73" s="122"/>
      <c r="EB73" s="122"/>
      <c r="EC73" s="122"/>
      <c r="ED73" s="122"/>
      <c r="EE73" s="122"/>
      <c r="EF73" s="122"/>
      <c r="EG73" s="122"/>
      <c r="EH73" s="122"/>
      <c r="EI73" s="122"/>
      <c r="EJ73" s="122"/>
      <c r="EK73" s="122"/>
      <c r="EL73" s="122"/>
      <c r="EM73" s="122"/>
      <c r="EN73" s="122"/>
      <c r="EO73" s="122"/>
      <c r="EP73" s="122"/>
      <c r="EQ73" s="122"/>
      <c r="ER73" s="122"/>
      <c r="ES73" s="122"/>
      <c r="ET73" s="122"/>
      <c r="EU73" s="122"/>
      <c r="EV73" s="122"/>
      <c r="EW73" s="122"/>
      <c r="EX73" s="122"/>
      <c r="EY73" s="122"/>
      <c r="EZ73" s="122"/>
      <c r="FA73" s="122"/>
      <c r="FB73" s="122"/>
      <c r="FC73" s="122"/>
      <c r="FD73" s="122"/>
      <c r="FE73" s="122"/>
      <c r="FF73" s="122"/>
      <c r="FG73" s="122"/>
      <c r="FH73" s="122"/>
      <c r="FI73" s="122"/>
      <c r="FJ73" s="122"/>
      <c r="FK73" s="122"/>
      <c r="FL73" s="122"/>
      <c r="FM73" s="122"/>
      <c r="FN73" s="122"/>
      <c r="FO73" s="122"/>
      <c r="FP73" s="122"/>
      <c r="FQ73" s="122"/>
      <c r="FR73" s="122"/>
      <c r="FS73" s="122"/>
      <c r="FT73" s="122"/>
      <c r="FU73" s="122"/>
      <c r="FV73" s="122"/>
      <c r="FW73" s="122"/>
      <c r="FX73" s="122"/>
      <c r="FY73" s="122"/>
      <c r="FZ73" s="122"/>
      <c r="GA73" s="122"/>
      <c r="GB73" s="122"/>
      <c r="GC73" s="122"/>
      <c r="GD73" s="122"/>
      <c r="GE73" s="122"/>
      <c r="GF73" s="122"/>
      <c r="GG73" s="122"/>
      <c r="GH73" s="122"/>
      <c r="GI73" s="122"/>
      <c r="GJ73" s="122"/>
      <c r="GK73" s="122"/>
      <c r="GL73" s="122"/>
      <c r="GM73" s="122"/>
      <c r="GN73" s="122"/>
      <c r="GO73" s="122"/>
      <c r="GP73" s="122"/>
      <c r="GQ73" s="122"/>
      <c r="GR73" s="122"/>
      <c r="GS73" s="122"/>
      <c r="GT73" s="122"/>
      <c r="GU73" s="122"/>
      <c r="GV73" s="122"/>
      <c r="GW73" s="122"/>
      <c r="GX73" s="122"/>
      <c r="GY73" s="122"/>
      <c r="GZ73" s="122"/>
      <c r="HA73" s="122"/>
      <c r="HB73" s="122"/>
      <c r="HC73" s="122"/>
      <c r="HD73" s="122"/>
      <c r="HE73" s="122"/>
      <c r="HF73" s="122"/>
      <c r="HG73" s="122"/>
      <c r="HH73" s="122"/>
      <c r="HI73" s="122"/>
      <c r="HJ73" s="122"/>
      <c r="HK73" s="122"/>
      <c r="HL73" s="122"/>
      <c r="HM73" s="122"/>
      <c r="HN73" s="122"/>
      <c r="HO73" s="122"/>
      <c r="HP73" s="122"/>
      <c r="HQ73" s="122"/>
      <c r="HR73" s="122"/>
      <c r="HS73" s="122"/>
      <c r="HT73" s="122"/>
      <c r="HU73" s="122"/>
      <c r="HV73" s="122"/>
      <c r="HW73" s="122"/>
      <c r="HX73" s="122"/>
      <c r="HY73" s="122"/>
      <c r="HZ73" s="122"/>
      <c r="IA73" s="122"/>
      <c r="IB73" s="122"/>
      <c r="IC73" s="122"/>
      <c r="ID73" s="122"/>
      <c r="IE73" s="122"/>
      <c r="IF73" s="122"/>
      <c r="IG73" s="122"/>
      <c r="IH73" s="122"/>
      <c r="II73" s="122"/>
      <c r="IJ73" s="122"/>
      <c r="IK73" s="122"/>
      <c r="IL73" s="122"/>
      <c r="IM73" s="122"/>
      <c r="IN73" s="122"/>
      <c r="IO73" s="122"/>
      <c r="IP73" s="122"/>
      <c r="IQ73" s="122"/>
      <c r="IR73" s="122"/>
      <c r="IS73" s="122"/>
      <c r="IT73" s="122"/>
      <c r="IU73" s="122"/>
      <c r="IV73" s="122"/>
      <c r="IW73" s="122"/>
      <c r="IX73" s="122"/>
      <c r="IY73" s="122"/>
      <c r="IZ73" s="122"/>
      <c r="JA73" s="122"/>
      <c r="JB73" s="122"/>
      <c r="JC73" s="122"/>
      <c r="JD73" s="122"/>
      <c r="JE73" s="122"/>
      <c r="JF73" s="122"/>
      <c r="JG73" s="122"/>
      <c r="JH73" s="122"/>
      <c r="JI73" s="119">
        <f t="shared" si="2"/>
        <v>0</v>
      </c>
      <c r="JJ73" s="2"/>
      <c r="JK73" s="2"/>
    </row>
    <row r="74" spans="1:271" x14ac:dyDescent="0.25">
      <c r="A74" s="119">
        <f>SUM(A60:A73)</f>
        <v>0</v>
      </c>
      <c r="B74" s="119">
        <f t="shared" ref="B74:BM74" si="10">SUM(B60:B73)</f>
        <v>0</v>
      </c>
      <c r="C74" s="119">
        <f t="shared" si="10"/>
        <v>0</v>
      </c>
      <c r="D74" s="119">
        <f t="shared" si="10"/>
        <v>0</v>
      </c>
      <c r="E74" s="119">
        <f t="shared" si="10"/>
        <v>0</v>
      </c>
      <c r="F74" s="119">
        <f t="shared" si="10"/>
        <v>0</v>
      </c>
      <c r="G74" s="119">
        <f t="shared" si="10"/>
        <v>0</v>
      </c>
      <c r="H74" s="119">
        <f t="shared" si="10"/>
        <v>0</v>
      </c>
      <c r="I74" s="119">
        <f t="shared" si="10"/>
        <v>0</v>
      </c>
      <c r="J74" s="119">
        <f t="shared" si="10"/>
        <v>0</v>
      </c>
      <c r="K74" s="119">
        <f t="shared" si="10"/>
        <v>0</v>
      </c>
      <c r="L74" s="119">
        <f t="shared" si="10"/>
        <v>0</v>
      </c>
      <c r="M74" s="119">
        <f t="shared" si="10"/>
        <v>0</v>
      </c>
      <c r="N74" s="119">
        <f t="shared" si="10"/>
        <v>0</v>
      </c>
      <c r="O74" s="119">
        <f t="shared" si="10"/>
        <v>0</v>
      </c>
      <c r="P74" s="119">
        <f t="shared" si="10"/>
        <v>0</v>
      </c>
      <c r="Q74" s="119">
        <f t="shared" si="10"/>
        <v>0</v>
      </c>
      <c r="R74" s="119">
        <f t="shared" si="10"/>
        <v>0</v>
      </c>
      <c r="S74" s="119">
        <f t="shared" si="10"/>
        <v>0</v>
      </c>
      <c r="T74" s="119">
        <f t="shared" si="10"/>
        <v>0</v>
      </c>
      <c r="U74" s="119">
        <f t="shared" si="10"/>
        <v>0</v>
      </c>
      <c r="V74" s="119">
        <f t="shared" si="10"/>
        <v>0</v>
      </c>
      <c r="W74" s="119">
        <f t="shared" si="10"/>
        <v>0</v>
      </c>
      <c r="X74" s="119">
        <f t="shared" si="10"/>
        <v>0</v>
      </c>
      <c r="Y74" s="119">
        <f t="shared" si="10"/>
        <v>0</v>
      </c>
      <c r="Z74" s="119">
        <f t="shared" si="10"/>
        <v>0</v>
      </c>
      <c r="AA74" s="119">
        <f t="shared" si="10"/>
        <v>0</v>
      </c>
      <c r="AB74" s="119">
        <f t="shared" si="10"/>
        <v>0</v>
      </c>
      <c r="AC74" s="119">
        <f t="shared" si="10"/>
        <v>0</v>
      </c>
      <c r="AD74" s="119">
        <f t="shared" si="10"/>
        <v>0</v>
      </c>
      <c r="AE74" s="119">
        <f t="shared" si="10"/>
        <v>0</v>
      </c>
      <c r="AF74" s="119">
        <f t="shared" si="10"/>
        <v>0</v>
      </c>
      <c r="AG74" s="119">
        <f t="shared" si="10"/>
        <v>0</v>
      </c>
      <c r="AH74" s="119">
        <f t="shared" si="10"/>
        <v>0</v>
      </c>
      <c r="AI74" s="119">
        <f t="shared" si="10"/>
        <v>0</v>
      </c>
      <c r="AJ74" s="119">
        <f t="shared" si="10"/>
        <v>0</v>
      </c>
      <c r="AK74" s="119">
        <f t="shared" si="10"/>
        <v>0</v>
      </c>
      <c r="AL74" s="119">
        <f t="shared" si="10"/>
        <v>0</v>
      </c>
      <c r="AM74" s="119">
        <f t="shared" si="10"/>
        <v>0</v>
      </c>
      <c r="AN74" s="119">
        <f t="shared" si="10"/>
        <v>0</v>
      </c>
      <c r="AO74" s="119">
        <f t="shared" si="10"/>
        <v>0</v>
      </c>
      <c r="AP74" s="119">
        <f t="shared" si="10"/>
        <v>0</v>
      </c>
      <c r="AQ74" s="119">
        <f t="shared" si="10"/>
        <v>0</v>
      </c>
      <c r="AR74" s="119">
        <f t="shared" si="10"/>
        <v>0</v>
      </c>
      <c r="AS74" s="119">
        <f t="shared" si="10"/>
        <v>0</v>
      </c>
      <c r="AT74" s="119">
        <f t="shared" si="10"/>
        <v>0</v>
      </c>
      <c r="AU74" s="119">
        <f t="shared" si="10"/>
        <v>0</v>
      </c>
      <c r="AV74" s="119">
        <f t="shared" si="10"/>
        <v>0</v>
      </c>
      <c r="AW74" s="119">
        <f t="shared" si="10"/>
        <v>0</v>
      </c>
      <c r="AX74" s="119">
        <f t="shared" si="10"/>
        <v>0</v>
      </c>
      <c r="AY74" s="119">
        <f t="shared" si="10"/>
        <v>0</v>
      </c>
      <c r="AZ74" s="119">
        <f t="shared" si="10"/>
        <v>0</v>
      </c>
      <c r="BA74" s="119">
        <f t="shared" si="10"/>
        <v>0</v>
      </c>
      <c r="BB74" s="119">
        <f t="shared" si="10"/>
        <v>0</v>
      </c>
      <c r="BC74" s="119">
        <f t="shared" si="10"/>
        <v>0</v>
      </c>
      <c r="BD74" s="119">
        <f t="shared" si="10"/>
        <v>0</v>
      </c>
      <c r="BE74" s="119">
        <f t="shared" si="10"/>
        <v>0</v>
      </c>
      <c r="BF74" s="119">
        <f t="shared" si="10"/>
        <v>0</v>
      </c>
      <c r="BG74" s="119">
        <f t="shared" si="10"/>
        <v>0</v>
      </c>
      <c r="BH74" s="119">
        <f t="shared" si="10"/>
        <v>0</v>
      </c>
      <c r="BI74" s="119">
        <f t="shared" si="10"/>
        <v>0</v>
      </c>
      <c r="BJ74" s="119">
        <f t="shared" si="10"/>
        <v>0</v>
      </c>
      <c r="BK74" s="119">
        <f t="shared" si="10"/>
        <v>0</v>
      </c>
      <c r="BL74" s="119">
        <f t="shared" si="10"/>
        <v>0</v>
      </c>
      <c r="BM74" s="119">
        <f t="shared" si="10"/>
        <v>0</v>
      </c>
      <c r="BN74" s="119">
        <f t="shared" ref="BN74:DY74" si="11">SUM(BN60:BN73)</f>
        <v>0</v>
      </c>
      <c r="BO74" s="119">
        <f t="shared" si="11"/>
        <v>0</v>
      </c>
      <c r="BP74" s="119">
        <f t="shared" si="11"/>
        <v>0</v>
      </c>
      <c r="BQ74" s="119">
        <f t="shared" si="11"/>
        <v>0</v>
      </c>
      <c r="BR74" s="119">
        <f t="shared" si="11"/>
        <v>0</v>
      </c>
      <c r="BS74" s="119">
        <f t="shared" si="11"/>
        <v>0</v>
      </c>
      <c r="BT74" s="119">
        <f t="shared" si="11"/>
        <v>0</v>
      </c>
      <c r="BU74" s="119">
        <f t="shared" si="11"/>
        <v>0</v>
      </c>
      <c r="BV74" s="119">
        <f t="shared" si="11"/>
        <v>0</v>
      </c>
      <c r="BW74" s="119">
        <f t="shared" si="11"/>
        <v>0</v>
      </c>
      <c r="BX74" s="119">
        <f t="shared" si="11"/>
        <v>0</v>
      </c>
      <c r="BY74" s="119">
        <f t="shared" si="11"/>
        <v>0</v>
      </c>
      <c r="BZ74" s="119">
        <f t="shared" si="11"/>
        <v>0</v>
      </c>
      <c r="CA74" s="119">
        <f t="shared" si="11"/>
        <v>0</v>
      </c>
      <c r="CB74" s="119">
        <f t="shared" si="11"/>
        <v>0</v>
      </c>
      <c r="CC74" s="119">
        <f t="shared" si="11"/>
        <v>0</v>
      </c>
      <c r="CD74" s="119">
        <f t="shared" si="11"/>
        <v>0</v>
      </c>
      <c r="CE74" s="119">
        <f t="shared" si="11"/>
        <v>0</v>
      </c>
      <c r="CF74" s="119">
        <f t="shared" si="11"/>
        <v>0</v>
      </c>
      <c r="CG74" s="119">
        <f t="shared" si="11"/>
        <v>0</v>
      </c>
      <c r="CH74" s="119">
        <f t="shared" si="11"/>
        <v>0</v>
      </c>
      <c r="CI74" s="119">
        <f t="shared" si="11"/>
        <v>0</v>
      </c>
      <c r="CJ74" s="119">
        <f t="shared" si="11"/>
        <v>0</v>
      </c>
      <c r="CK74" s="119">
        <f t="shared" si="11"/>
        <v>0</v>
      </c>
      <c r="CL74" s="119">
        <f t="shared" si="11"/>
        <v>0</v>
      </c>
      <c r="CM74" s="119">
        <f t="shared" si="11"/>
        <v>0</v>
      </c>
      <c r="CN74" s="119">
        <f t="shared" si="11"/>
        <v>0</v>
      </c>
      <c r="CO74" s="119">
        <f t="shared" si="11"/>
        <v>0</v>
      </c>
      <c r="CP74" s="119">
        <f t="shared" si="11"/>
        <v>0</v>
      </c>
      <c r="CQ74" s="119">
        <f t="shared" si="11"/>
        <v>0</v>
      </c>
      <c r="CR74" s="119">
        <f t="shared" si="11"/>
        <v>0</v>
      </c>
      <c r="CS74" s="119">
        <f t="shared" si="11"/>
        <v>0</v>
      </c>
      <c r="CT74" s="119">
        <f t="shared" si="11"/>
        <v>0</v>
      </c>
      <c r="CU74" s="119">
        <f t="shared" si="11"/>
        <v>0</v>
      </c>
      <c r="CV74" s="119">
        <f t="shared" si="11"/>
        <v>0</v>
      </c>
      <c r="CW74" s="119">
        <f t="shared" si="11"/>
        <v>0</v>
      </c>
      <c r="CX74" s="119">
        <f t="shared" si="11"/>
        <v>0</v>
      </c>
      <c r="CY74" s="119">
        <f t="shared" si="11"/>
        <v>0</v>
      </c>
      <c r="CZ74" s="119">
        <f t="shared" si="11"/>
        <v>0</v>
      </c>
      <c r="DA74" s="119">
        <f t="shared" si="11"/>
        <v>0</v>
      </c>
      <c r="DB74" s="119">
        <f t="shared" si="11"/>
        <v>0</v>
      </c>
      <c r="DC74" s="119">
        <f t="shared" si="11"/>
        <v>0</v>
      </c>
      <c r="DD74" s="119">
        <f t="shared" si="11"/>
        <v>0</v>
      </c>
      <c r="DE74" s="119">
        <f t="shared" si="11"/>
        <v>0</v>
      </c>
      <c r="DF74" s="119">
        <f t="shared" si="11"/>
        <v>0</v>
      </c>
      <c r="DG74" s="119">
        <f t="shared" si="11"/>
        <v>0</v>
      </c>
      <c r="DH74" s="119">
        <f t="shared" si="11"/>
        <v>0</v>
      </c>
      <c r="DI74" s="119">
        <f t="shared" si="11"/>
        <v>0</v>
      </c>
      <c r="DJ74" s="119">
        <f t="shared" si="11"/>
        <v>0</v>
      </c>
      <c r="DK74" s="119">
        <f t="shared" si="11"/>
        <v>0</v>
      </c>
      <c r="DL74" s="119">
        <f t="shared" si="11"/>
        <v>0</v>
      </c>
      <c r="DM74" s="119">
        <f t="shared" si="11"/>
        <v>0</v>
      </c>
      <c r="DN74" s="119">
        <f t="shared" si="11"/>
        <v>0</v>
      </c>
      <c r="DO74" s="119">
        <f t="shared" si="11"/>
        <v>0</v>
      </c>
      <c r="DP74" s="119">
        <f t="shared" si="11"/>
        <v>0</v>
      </c>
      <c r="DQ74" s="119">
        <f t="shared" si="11"/>
        <v>0</v>
      </c>
      <c r="DR74" s="119">
        <f t="shared" si="11"/>
        <v>0</v>
      </c>
      <c r="DS74" s="119">
        <f t="shared" si="11"/>
        <v>0</v>
      </c>
      <c r="DT74" s="119">
        <f t="shared" si="11"/>
        <v>0</v>
      </c>
      <c r="DU74" s="119">
        <f t="shared" si="11"/>
        <v>0</v>
      </c>
      <c r="DV74" s="119">
        <f t="shared" si="11"/>
        <v>0</v>
      </c>
      <c r="DW74" s="119">
        <f t="shared" si="11"/>
        <v>0</v>
      </c>
      <c r="DX74" s="119">
        <f t="shared" si="11"/>
        <v>0</v>
      </c>
      <c r="DY74" s="119">
        <f t="shared" si="11"/>
        <v>0</v>
      </c>
      <c r="DZ74" s="119">
        <f t="shared" ref="DZ74:GK74" si="12">SUM(DZ60:DZ73)</f>
        <v>0</v>
      </c>
      <c r="EA74" s="119">
        <f t="shared" si="12"/>
        <v>0</v>
      </c>
      <c r="EB74" s="119">
        <f t="shared" si="12"/>
        <v>0</v>
      </c>
      <c r="EC74" s="119">
        <f t="shared" si="12"/>
        <v>0</v>
      </c>
      <c r="ED74" s="119">
        <f t="shared" si="12"/>
        <v>0</v>
      </c>
      <c r="EE74" s="119">
        <f t="shared" si="12"/>
        <v>0</v>
      </c>
      <c r="EF74" s="119">
        <f t="shared" si="12"/>
        <v>0</v>
      </c>
      <c r="EG74" s="119">
        <f t="shared" si="12"/>
        <v>0</v>
      </c>
      <c r="EH74" s="119">
        <f t="shared" si="12"/>
        <v>0</v>
      </c>
      <c r="EI74" s="119">
        <f t="shared" si="12"/>
        <v>0</v>
      </c>
      <c r="EJ74" s="119">
        <f t="shared" si="12"/>
        <v>0</v>
      </c>
      <c r="EK74" s="119">
        <f t="shared" si="12"/>
        <v>0</v>
      </c>
      <c r="EL74" s="119">
        <f t="shared" si="12"/>
        <v>0</v>
      </c>
      <c r="EM74" s="119">
        <f t="shared" si="12"/>
        <v>0</v>
      </c>
      <c r="EN74" s="119">
        <f t="shared" si="12"/>
        <v>0</v>
      </c>
      <c r="EO74" s="119">
        <f t="shared" si="12"/>
        <v>0</v>
      </c>
      <c r="EP74" s="119">
        <f t="shared" si="12"/>
        <v>0</v>
      </c>
      <c r="EQ74" s="119">
        <f t="shared" si="12"/>
        <v>0</v>
      </c>
      <c r="ER74" s="119">
        <f t="shared" si="12"/>
        <v>0</v>
      </c>
      <c r="ES74" s="119">
        <f t="shared" si="12"/>
        <v>0</v>
      </c>
      <c r="ET74" s="119">
        <f t="shared" si="12"/>
        <v>0</v>
      </c>
      <c r="EU74" s="119">
        <f t="shared" si="12"/>
        <v>0</v>
      </c>
      <c r="EV74" s="119">
        <f t="shared" si="12"/>
        <v>0</v>
      </c>
      <c r="EW74" s="119">
        <f t="shared" si="12"/>
        <v>0</v>
      </c>
      <c r="EX74" s="119">
        <f t="shared" si="12"/>
        <v>0</v>
      </c>
      <c r="EY74" s="119">
        <f t="shared" si="12"/>
        <v>0</v>
      </c>
      <c r="EZ74" s="119">
        <f t="shared" si="12"/>
        <v>0</v>
      </c>
      <c r="FA74" s="119">
        <f t="shared" si="12"/>
        <v>0</v>
      </c>
      <c r="FB74" s="119">
        <f t="shared" si="12"/>
        <v>0</v>
      </c>
      <c r="FC74" s="119">
        <f t="shared" si="12"/>
        <v>0</v>
      </c>
      <c r="FD74" s="119">
        <f t="shared" si="12"/>
        <v>0</v>
      </c>
      <c r="FE74" s="119">
        <f t="shared" si="12"/>
        <v>0</v>
      </c>
      <c r="FF74" s="119">
        <f t="shared" si="12"/>
        <v>0</v>
      </c>
      <c r="FG74" s="119">
        <f t="shared" si="12"/>
        <v>0</v>
      </c>
      <c r="FH74" s="119">
        <f t="shared" si="12"/>
        <v>0</v>
      </c>
      <c r="FI74" s="119">
        <f t="shared" si="12"/>
        <v>0</v>
      </c>
      <c r="FJ74" s="119">
        <f t="shared" si="12"/>
        <v>0</v>
      </c>
      <c r="FK74" s="119">
        <f t="shared" si="12"/>
        <v>0</v>
      </c>
      <c r="FL74" s="119">
        <f t="shared" si="12"/>
        <v>0</v>
      </c>
      <c r="FM74" s="119">
        <f t="shared" si="12"/>
        <v>0</v>
      </c>
      <c r="FN74" s="119">
        <f t="shared" si="12"/>
        <v>0</v>
      </c>
      <c r="FO74" s="119">
        <f t="shared" si="12"/>
        <v>0</v>
      </c>
      <c r="FP74" s="119">
        <f t="shared" si="12"/>
        <v>0</v>
      </c>
      <c r="FQ74" s="119">
        <f t="shared" si="12"/>
        <v>0</v>
      </c>
      <c r="FR74" s="119">
        <f t="shared" si="12"/>
        <v>0</v>
      </c>
      <c r="FS74" s="119">
        <f t="shared" si="12"/>
        <v>0</v>
      </c>
      <c r="FT74" s="119">
        <f t="shared" si="12"/>
        <v>0</v>
      </c>
      <c r="FU74" s="119">
        <f t="shared" si="12"/>
        <v>0</v>
      </c>
      <c r="FV74" s="119">
        <f t="shared" si="12"/>
        <v>0</v>
      </c>
      <c r="FW74" s="119">
        <f t="shared" si="12"/>
        <v>0</v>
      </c>
      <c r="FX74" s="119">
        <f t="shared" si="12"/>
        <v>0</v>
      </c>
      <c r="FY74" s="119">
        <f t="shared" si="12"/>
        <v>0</v>
      </c>
      <c r="FZ74" s="119">
        <f t="shared" si="12"/>
        <v>0</v>
      </c>
      <c r="GA74" s="119">
        <f t="shared" si="12"/>
        <v>0</v>
      </c>
      <c r="GB74" s="119">
        <f t="shared" si="12"/>
        <v>0</v>
      </c>
      <c r="GC74" s="119">
        <f t="shared" si="12"/>
        <v>0</v>
      </c>
      <c r="GD74" s="119">
        <f t="shared" si="12"/>
        <v>0</v>
      </c>
      <c r="GE74" s="119">
        <f t="shared" si="12"/>
        <v>0</v>
      </c>
      <c r="GF74" s="119">
        <f t="shared" si="12"/>
        <v>0</v>
      </c>
      <c r="GG74" s="119">
        <f t="shared" si="12"/>
        <v>0</v>
      </c>
      <c r="GH74" s="119">
        <f t="shared" si="12"/>
        <v>0</v>
      </c>
      <c r="GI74" s="119">
        <f t="shared" si="12"/>
        <v>0</v>
      </c>
      <c r="GJ74" s="119">
        <f t="shared" si="12"/>
        <v>0</v>
      </c>
      <c r="GK74" s="119">
        <f t="shared" si="12"/>
        <v>0</v>
      </c>
      <c r="GL74" s="119">
        <f t="shared" ref="GL74:IW74" si="13">SUM(GL60:GL73)</f>
        <v>0</v>
      </c>
      <c r="GM74" s="119">
        <f t="shared" si="13"/>
        <v>0</v>
      </c>
      <c r="GN74" s="119">
        <f t="shared" si="13"/>
        <v>0</v>
      </c>
      <c r="GO74" s="119">
        <f t="shared" si="13"/>
        <v>0</v>
      </c>
      <c r="GP74" s="119">
        <f t="shared" si="13"/>
        <v>0</v>
      </c>
      <c r="GQ74" s="119">
        <f t="shared" si="13"/>
        <v>0</v>
      </c>
      <c r="GR74" s="119">
        <f t="shared" si="13"/>
        <v>0</v>
      </c>
      <c r="GS74" s="119">
        <f t="shared" si="13"/>
        <v>0</v>
      </c>
      <c r="GT74" s="119">
        <f t="shared" si="13"/>
        <v>0</v>
      </c>
      <c r="GU74" s="119">
        <f t="shared" si="13"/>
        <v>0</v>
      </c>
      <c r="GV74" s="119">
        <f t="shared" si="13"/>
        <v>0</v>
      </c>
      <c r="GW74" s="119">
        <f t="shared" si="13"/>
        <v>0</v>
      </c>
      <c r="GX74" s="119">
        <f t="shared" si="13"/>
        <v>0</v>
      </c>
      <c r="GY74" s="119">
        <f t="shared" si="13"/>
        <v>0</v>
      </c>
      <c r="GZ74" s="119">
        <f t="shared" si="13"/>
        <v>0</v>
      </c>
      <c r="HA74" s="119">
        <f t="shared" si="13"/>
        <v>0</v>
      </c>
      <c r="HB74" s="119">
        <f t="shared" si="13"/>
        <v>0</v>
      </c>
      <c r="HC74" s="119">
        <f t="shared" si="13"/>
        <v>0</v>
      </c>
      <c r="HD74" s="119">
        <f t="shared" si="13"/>
        <v>0</v>
      </c>
      <c r="HE74" s="119">
        <f t="shared" si="13"/>
        <v>0</v>
      </c>
      <c r="HF74" s="119">
        <f t="shared" si="13"/>
        <v>0</v>
      </c>
      <c r="HG74" s="119">
        <f t="shared" si="13"/>
        <v>0</v>
      </c>
      <c r="HH74" s="119">
        <f t="shared" si="13"/>
        <v>0</v>
      </c>
      <c r="HI74" s="119">
        <f t="shared" si="13"/>
        <v>0</v>
      </c>
      <c r="HJ74" s="119">
        <f t="shared" si="13"/>
        <v>0</v>
      </c>
      <c r="HK74" s="119">
        <f t="shared" si="13"/>
        <v>0</v>
      </c>
      <c r="HL74" s="119">
        <f t="shared" si="13"/>
        <v>0</v>
      </c>
      <c r="HM74" s="119">
        <f t="shared" si="13"/>
        <v>0</v>
      </c>
      <c r="HN74" s="119">
        <f t="shared" si="13"/>
        <v>0</v>
      </c>
      <c r="HO74" s="119">
        <f t="shared" si="13"/>
        <v>0</v>
      </c>
      <c r="HP74" s="119">
        <f t="shared" si="13"/>
        <v>0</v>
      </c>
      <c r="HQ74" s="119">
        <f t="shared" si="13"/>
        <v>0</v>
      </c>
      <c r="HR74" s="119">
        <f t="shared" si="13"/>
        <v>0</v>
      </c>
      <c r="HS74" s="119">
        <f t="shared" si="13"/>
        <v>0</v>
      </c>
      <c r="HT74" s="119">
        <f t="shared" si="13"/>
        <v>0</v>
      </c>
      <c r="HU74" s="119">
        <f t="shared" si="13"/>
        <v>0</v>
      </c>
      <c r="HV74" s="119">
        <f t="shared" si="13"/>
        <v>0</v>
      </c>
      <c r="HW74" s="119">
        <f t="shared" si="13"/>
        <v>0</v>
      </c>
      <c r="HX74" s="119">
        <f t="shared" si="13"/>
        <v>0</v>
      </c>
      <c r="HY74" s="119">
        <f t="shared" si="13"/>
        <v>0</v>
      </c>
      <c r="HZ74" s="119">
        <f t="shared" si="13"/>
        <v>0</v>
      </c>
      <c r="IA74" s="119">
        <f t="shared" si="13"/>
        <v>0</v>
      </c>
      <c r="IB74" s="119">
        <f t="shared" si="13"/>
        <v>0</v>
      </c>
      <c r="IC74" s="119">
        <f t="shared" si="13"/>
        <v>0</v>
      </c>
      <c r="ID74" s="119">
        <f t="shared" si="13"/>
        <v>0</v>
      </c>
      <c r="IE74" s="119">
        <f t="shared" si="13"/>
        <v>0</v>
      </c>
      <c r="IF74" s="119">
        <f t="shared" si="13"/>
        <v>0</v>
      </c>
      <c r="IG74" s="119">
        <f t="shared" si="13"/>
        <v>0</v>
      </c>
      <c r="IH74" s="119">
        <f t="shared" si="13"/>
        <v>0</v>
      </c>
      <c r="II74" s="119">
        <f t="shared" si="13"/>
        <v>0</v>
      </c>
      <c r="IJ74" s="119">
        <f t="shared" si="13"/>
        <v>0</v>
      </c>
      <c r="IK74" s="119">
        <f t="shared" si="13"/>
        <v>0</v>
      </c>
      <c r="IL74" s="119">
        <f t="shared" si="13"/>
        <v>0</v>
      </c>
      <c r="IM74" s="119">
        <f t="shared" si="13"/>
        <v>0</v>
      </c>
      <c r="IN74" s="119">
        <f t="shared" si="13"/>
        <v>0</v>
      </c>
      <c r="IO74" s="119">
        <f t="shared" si="13"/>
        <v>0</v>
      </c>
      <c r="IP74" s="119">
        <f t="shared" si="13"/>
        <v>0</v>
      </c>
      <c r="IQ74" s="119">
        <f t="shared" si="13"/>
        <v>0</v>
      </c>
      <c r="IR74" s="119">
        <f t="shared" si="13"/>
        <v>0</v>
      </c>
      <c r="IS74" s="119">
        <f t="shared" si="13"/>
        <v>0</v>
      </c>
      <c r="IT74" s="119">
        <f t="shared" si="13"/>
        <v>0</v>
      </c>
      <c r="IU74" s="119">
        <f t="shared" si="13"/>
        <v>0</v>
      </c>
      <c r="IV74" s="119">
        <f t="shared" si="13"/>
        <v>0</v>
      </c>
      <c r="IW74" s="119">
        <f t="shared" si="13"/>
        <v>0</v>
      </c>
      <c r="IX74" s="119">
        <f t="shared" ref="IX74:JH74" si="14">SUM(IX60:IX73)</f>
        <v>0</v>
      </c>
      <c r="IY74" s="119">
        <f t="shared" si="14"/>
        <v>0</v>
      </c>
      <c r="IZ74" s="119">
        <f t="shared" si="14"/>
        <v>0</v>
      </c>
      <c r="JA74" s="119">
        <f t="shared" si="14"/>
        <v>0</v>
      </c>
      <c r="JB74" s="119">
        <f t="shared" si="14"/>
        <v>0</v>
      </c>
      <c r="JC74" s="119">
        <f t="shared" si="14"/>
        <v>0</v>
      </c>
      <c r="JD74" s="119">
        <f t="shared" si="14"/>
        <v>0</v>
      </c>
      <c r="JE74" s="119">
        <f t="shared" si="14"/>
        <v>0</v>
      </c>
      <c r="JF74" s="119">
        <f t="shared" si="14"/>
        <v>0</v>
      </c>
      <c r="JG74" s="119">
        <f t="shared" si="14"/>
        <v>0</v>
      </c>
      <c r="JH74" s="119">
        <f t="shared" si="14"/>
        <v>0</v>
      </c>
      <c r="JI74" s="119">
        <f t="shared" si="2"/>
        <v>0</v>
      </c>
      <c r="JJ74" s="2"/>
      <c r="JK74" s="2"/>
    </row>
    <row r="75" spans="1:271" x14ac:dyDescent="0.25">
      <c r="A75" s="119">
        <f>A58+A74</f>
        <v>0</v>
      </c>
      <c r="B75" s="119">
        <f t="shared" ref="B75:BM75" si="15">B58+B74</f>
        <v>0</v>
      </c>
      <c r="C75" s="119">
        <f t="shared" si="15"/>
        <v>0</v>
      </c>
      <c r="D75" s="119">
        <f t="shared" si="15"/>
        <v>0</v>
      </c>
      <c r="E75" s="119">
        <f t="shared" si="15"/>
        <v>0</v>
      </c>
      <c r="F75" s="119">
        <f t="shared" si="15"/>
        <v>0</v>
      </c>
      <c r="G75" s="119">
        <f t="shared" si="15"/>
        <v>0</v>
      </c>
      <c r="H75" s="119">
        <f t="shared" si="15"/>
        <v>0</v>
      </c>
      <c r="I75" s="119">
        <f t="shared" si="15"/>
        <v>0</v>
      </c>
      <c r="J75" s="119">
        <f t="shared" si="15"/>
        <v>0</v>
      </c>
      <c r="K75" s="119">
        <f t="shared" si="15"/>
        <v>0</v>
      </c>
      <c r="L75" s="119">
        <f t="shared" si="15"/>
        <v>0</v>
      </c>
      <c r="M75" s="119">
        <f t="shared" si="15"/>
        <v>0</v>
      </c>
      <c r="N75" s="119">
        <f t="shared" si="15"/>
        <v>0</v>
      </c>
      <c r="O75" s="119">
        <f t="shared" si="15"/>
        <v>0</v>
      </c>
      <c r="P75" s="119">
        <f t="shared" si="15"/>
        <v>0</v>
      </c>
      <c r="Q75" s="119">
        <f t="shared" si="15"/>
        <v>0</v>
      </c>
      <c r="R75" s="119">
        <f t="shared" si="15"/>
        <v>0</v>
      </c>
      <c r="S75" s="119">
        <f t="shared" si="15"/>
        <v>0</v>
      </c>
      <c r="T75" s="119">
        <f t="shared" si="15"/>
        <v>0</v>
      </c>
      <c r="U75" s="119">
        <f t="shared" si="15"/>
        <v>0</v>
      </c>
      <c r="V75" s="119">
        <f t="shared" si="15"/>
        <v>0</v>
      </c>
      <c r="W75" s="119">
        <f t="shared" si="15"/>
        <v>0</v>
      </c>
      <c r="X75" s="119">
        <f t="shared" si="15"/>
        <v>0</v>
      </c>
      <c r="Y75" s="119">
        <f t="shared" si="15"/>
        <v>0</v>
      </c>
      <c r="Z75" s="119">
        <f t="shared" si="15"/>
        <v>0</v>
      </c>
      <c r="AA75" s="119">
        <f t="shared" si="15"/>
        <v>0</v>
      </c>
      <c r="AB75" s="119">
        <f t="shared" si="15"/>
        <v>0</v>
      </c>
      <c r="AC75" s="119">
        <f t="shared" si="15"/>
        <v>0</v>
      </c>
      <c r="AD75" s="119">
        <f t="shared" si="15"/>
        <v>0</v>
      </c>
      <c r="AE75" s="119">
        <f t="shared" si="15"/>
        <v>0</v>
      </c>
      <c r="AF75" s="119">
        <f t="shared" si="15"/>
        <v>0</v>
      </c>
      <c r="AG75" s="119">
        <f t="shared" si="15"/>
        <v>0</v>
      </c>
      <c r="AH75" s="119">
        <f t="shared" si="15"/>
        <v>0</v>
      </c>
      <c r="AI75" s="119">
        <f t="shared" si="15"/>
        <v>0</v>
      </c>
      <c r="AJ75" s="119">
        <f t="shared" si="15"/>
        <v>0</v>
      </c>
      <c r="AK75" s="119">
        <f t="shared" si="15"/>
        <v>0</v>
      </c>
      <c r="AL75" s="119">
        <f t="shared" si="15"/>
        <v>0</v>
      </c>
      <c r="AM75" s="119">
        <f t="shared" si="15"/>
        <v>0</v>
      </c>
      <c r="AN75" s="119">
        <f t="shared" si="15"/>
        <v>0</v>
      </c>
      <c r="AO75" s="119">
        <f t="shared" si="15"/>
        <v>0</v>
      </c>
      <c r="AP75" s="119">
        <f t="shared" si="15"/>
        <v>0</v>
      </c>
      <c r="AQ75" s="119">
        <f t="shared" si="15"/>
        <v>0</v>
      </c>
      <c r="AR75" s="119">
        <f t="shared" si="15"/>
        <v>0</v>
      </c>
      <c r="AS75" s="119">
        <f t="shared" si="15"/>
        <v>0</v>
      </c>
      <c r="AT75" s="119">
        <f t="shared" si="15"/>
        <v>0</v>
      </c>
      <c r="AU75" s="119">
        <f t="shared" si="15"/>
        <v>0</v>
      </c>
      <c r="AV75" s="119">
        <f t="shared" si="15"/>
        <v>0</v>
      </c>
      <c r="AW75" s="119">
        <f>AW58+AW74</f>
        <v>745000</v>
      </c>
      <c r="AX75" s="119">
        <f t="shared" si="15"/>
        <v>221258.85</v>
      </c>
      <c r="AY75" s="119">
        <f t="shared" si="15"/>
        <v>0</v>
      </c>
      <c r="AZ75" s="119">
        <f t="shared" si="15"/>
        <v>0</v>
      </c>
      <c r="BA75" s="119">
        <f t="shared" si="15"/>
        <v>0</v>
      </c>
      <c r="BB75" s="119">
        <f t="shared" si="15"/>
        <v>20000</v>
      </c>
      <c r="BC75" s="119">
        <f t="shared" si="15"/>
        <v>0</v>
      </c>
      <c r="BD75" s="119">
        <f t="shared" si="15"/>
        <v>0</v>
      </c>
      <c r="BE75" s="119">
        <f t="shared" si="15"/>
        <v>0</v>
      </c>
      <c r="BF75" s="119">
        <f t="shared" si="15"/>
        <v>0</v>
      </c>
      <c r="BG75" s="119">
        <f t="shared" si="15"/>
        <v>0</v>
      </c>
      <c r="BH75" s="119">
        <f t="shared" si="15"/>
        <v>0</v>
      </c>
      <c r="BI75" s="119">
        <f t="shared" si="15"/>
        <v>0</v>
      </c>
      <c r="BJ75" s="119">
        <f t="shared" si="15"/>
        <v>0</v>
      </c>
      <c r="BK75" s="119">
        <f t="shared" si="15"/>
        <v>0</v>
      </c>
      <c r="BL75" s="119">
        <f t="shared" si="15"/>
        <v>0</v>
      </c>
      <c r="BM75" s="119">
        <f t="shared" si="15"/>
        <v>0</v>
      </c>
      <c r="BN75" s="119">
        <f t="shared" ref="BN75:DY75" si="16">BN58+BN74</f>
        <v>0</v>
      </c>
      <c r="BO75" s="119">
        <f t="shared" si="16"/>
        <v>0</v>
      </c>
      <c r="BP75" s="119">
        <f t="shared" si="16"/>
        <v>0</v>
      </c>
      <c r="BQ75" s="119">
        <f t="shared" si="16"/>
        <v>0</v>
      </c>
      <c r="BR75" s="119">
        <f t="shared" si="16"/>
        <v>0</v>
      </c>
      <c r="BS75" s="119">
        <f t="shared" si="16"/>
        <v>0</v>
      </c>
      <c r="BT75" s="119">
        <f t="shared" si="16"/>
        <v>0</v>
      </c>
      <c r="BU75" s="119">
        <f t="shared" si="16"/>
        <v>0</v>
      </c>
      <c r="BV75" s="119">
        <f t="shared" si="16"/>
        <v>0</v>
      </c>
      <c r="BW75" s="119">
        <f t="shared" si="16"/>
        <v>57795.91</v>
      </c>
      <c r="BX75" s="119">
        <f t="shared" si="16"/>
        <v>0</v>
      </c>
      <c r="BY75" s="119">
        <f t="shared" si="16"/>
        <v>0</v>
      </c>
      <c r="BZ75" s="119">
        <f t="shared" si="16"/>
        <v>0</v>
      </c>
      <c r="CA75" s="119">
        <f t="shared" si="16"/>
        <v>0</v>
      </c>
      <c r="CB75" s="119">
        <f t="shared" si="16"/>
        <v>0</v>
      </c>
      <c r="CC75" s="119">
        <f t="shared" si="16"/>
        <v>0</v>
      </c>
      <c r="CD75" s="119">
        <f t="shared" si="16"/>
        <v>0</v>
      </c>
      <c r="CE75" s="119">
        <f t="shared" si="16"/>
        <v>0</v>
      </c>
      <c r="CF75" s="119">
        <f t="shared" si="16"/>
        <v>0</v>
      </c>
      <c r="CG75" s="119">
        <f t="shared" si="16"/>
        <v>0</v>
      </c>
      <c r="CH75" s="119">
        <f t="shared" si="16"/>
        <v>0</v>
      </c>
      <c r="CI75" s="119">
        <f t="shared" si="16"/>
        <v>0</v>
      </c>
      <c r="CJ75" s="119">
        <f t="shared" si="16"/>
        <v>0</v>
      </c>
      <c r="CK75" s="119">
        <f t="shared" si="16"/>
        <v>0</v>
      </c>
      <c r="CL75" s="119">
        <f t="shared" si="16"/>
        <v>361378.54</v>
      </c>
      <c r="CM75" s="119">
        <f t="shared" si="16"/>
        <v>0</v>
      </c>
      <c r="CN75" s="119">
        <f t="shared" si="16"/>
        <v>0</v>
      </c>
      <c r="CO75" s="119">
        <f t="shared" si="16"/>
        <v>0</v>
      </c>
      <c r="CP75" s="119">
        <f t="shared" si="16"/>
        <v>0</v>
      </c>
      <c r="CQ75" s="119">
        <f t="shared" si="16"/>
        <v>0</v>
      </c>
      <c r="CR75" s="119">
        <f t="shared" si="16"/>
        <v>0</v>
      </c>
      <c r="CS75" s="119">
        <f t="shared" si="16"/>
        <v>0</v>
      </c>
      <c r="CT75" s="119">
        <f t="shared" si="16"/>
        <v>0</v>
      </c>
      <c r="CU75" s="119">
        <f t="shared" si="16"/>
        <v>185260</v>
      </c>
      <c r="CV75" s="119">
        <f t="shared" si="16"/>
        <v>0</v>
      </c>
      <c r="CW75" s="119">
        <f t="shared" si="16"/>
        <v>0</v>
      </c>
      <c r="CX75" s="119">
        <f t="shared" si="16"/>
        <v>0</v>
      </c>
      <c r="CY75" s="119">
        <f t="shared" si="16"/>
        <v>0</v>
      </c>
      <c r="CZ75" s="119">
        <f t="shared" si="16"/>
        <v>0</v>
      </c>
      <c r="DA75" s="119">
        <f t="shared" si="16"/>
        <v>0</v>
      </c>
      <c r="DB75" s="119">
        <f t="shared" si="16"/>
        <v>0</v>
      </c>
      <c r="DC75" s="119">
        <f t="shared" si="16"/>
        <v>0</v>
      </c>
      <c r="DD75" s="119">
        <f t="shared" si="16"/>
        <v>244260</v>
      </c>
      <c r="DE75" s="119">
        <f t="shared" si="16"/>
        <v>234780</v>
      </c>
      <c r="DF75" s="119">
        <f t="shared" si="16"/>
        <v>14087.239999999996</v>
      </c>
      <c r="DG75" s="119">
        <f t="shared" si="16"/>
        <v>0</v>
      </c>
      <c r="DH75" s="119">
        <f t="shared" si="16"/>
        <v>0</v>
      </c>
      <c r="DI75" s="119">
        <f t="shared" si="16"/>
        <v>0</v>
      </c>
      <c r="DJ75" s="119">
        <f t="shared" si="16"/>
        <v>0</v>
      </c>
      <c r="DK75" s="119">
        <f t="shared" si="16"/>
        <v>163325</v>
      </c>
      <c r="DL75" s="119">
        <f t="shared" si="16"/>
        <v>0</v>
      </c>
      <c r="DM75" s="119">
        <f t="shared" si="16"/>
        <v>0</v>
      </c>
      <c r="DN75" s="119">
        <f t="shared" si="16"/>
        <v>0</v>
      </c>
      <c r="DO75" s="119">
        <f t="shared" si="16"/>
        <v>0</v>
      </c>
      <c r="DP75" s="119">
        <f t="shared" si="16"/>
        <v>0</v>
      </c>
      <c r="DQ75" s="119">
        <f t="shared" si="16"/>
        <v>0</v>
      </c>
      <c r="DR75" s="119">
        <f t="shared" si="16"/>
        <v>0</v>
      </c>
      <c r="DS75" s="119">
        <f t="shared" si="16"/>
        <v>0</v>
      </c>
      <c r="DT75" s="119">
        <f t="shared" si="16"/>
        <v>0</v>
      </c>
      <c r="DU75" s="119">
        <f t="shared" si="16"/>
        <v>0</v>
      </c>
      <c r="DV75" s="119">
        <f t="shared" si="16"/>
        <v>0</v>
      </c>
      <c r="DW75" s="119">
        <f t="shared" si="16"/>
        <v>0</v>
      </c>
      <c r="DX75" s="119">
        <f t="shared" si="16"/>
        <v>0</v>
      </c>
      <c r="DY75" s="119">
        <f t="shared" si="16"/>
        <v>0</v>
      </c>
      <c r="DZ75" s="119">
        <f t="shared" ref="DZ75:GK75" si="17">DZ58+DZ74</f>
        <v>0</v>
      </c>
      <c r="EA75" s="119">
        <f t="shared" si="17"/>
        <v>384300</v>
      </c>
      <c r="EB75" s="119">
        <f t="shared" si="17"/>
        <v>0</v>
      </c>
      <c r="EC75" s="119">
        <f t="shared" si="17"/>
        <v>0</v>
      </c>
      <c r="ED75" s="119">
        <f t="shared" si="17"/>
        <v>0</v>
      </c>
      <c r="EE75" s="119">
        <f t="shared" si="17"/>
        <v>298561.91999999998</v>
      </c>
      <c r="EF75" s="119">
        <f t="shared" si="17"/>
        <v>0</v>
      </c>
      <c r="EG75" s="119">
        <f t="shared" si="17"/>
        <v>0</v>
      </c>
      <c r="EH75" s="119">
        <f t="shared" si="17"/>
        <v>0</v>
      </c>
      <c r="EI75" s="119">
        <f t="shared" si="17"/>
        <v>0</v>
      </c>
      <c r="EJ75" s="119">
        <f t="shared" si="17"/>
        <v>0</v>
      </c>
      <c r="EK75" s="119">
        <f t="shared" si="17"/>
        <v>0</v>
      </c>
      <c r="EL75" s="119">
        <f t="shared" si="17"/>
        <v>0</v>
      </c>
      <c r="EM75" s="119">
        <f t="shared" si="17"/>
        <v>0</v>
      </c>
      <c r="EN75" s="119">
        <f t="shared" si="17"/>
        <v>0</v>
      </c>
      <c r="EO75" s="119">
        <f t="shared" si="17"/>
        <v>0</v>
      </c>
      <c r="EP75" s="119">
        <f t="shared" si="17"/>
        <v>0</v>
      </c>
      <c r="EQ75" s="119">
        <f t="shared" si="17"/>
        <v>0</v>
      </c>
      <c r="ER75" s="119">
        <f t="shared" si="17"/>
        <v>0</v>
      </c>
      <c r="ES75" s="119">
        <f t="shared" si="17"/>
        <v>0</v>
      </c>
      <c r="ET75" s="119">
        <f t="shared" si="17"/>
        <v>0</v>
      </c>
      <c r="EU75" s="119">
        <f t="shared" si="17"/>
        <v>0</v>
      </c>
      <c r="EV75" s="119">
        <f t="shared" si="17"/>
        <v>0</v>
      </c>
      <c r="EW75" s="119">
        <f t="shared" si="17"/>
        <v>0</v>
      </c>
      <c r="EX75" s="119">
        <f t="shared" si="17"/>
        <v>0</v>
      </c>
      <c r="EY75" s="119">
        <f t="shared" si="17"/>
        <v>0</v>
      </c>
      <c r="EZ75" s="119">
        <f t="shared" si="17"/>
        <v>0</v>
      </c>
      <c r="FA75" s="119">
        <f t="shared" si="17"/>
        <v>172000</v>
      </c>
      <c r="FB75" s="119">
        <f t="shared" si="17"/>
        <v>0</v>
      </c>
      <c r="FC75" s="119">
        <f t="shared" si="17"/>
        <v>0</v>
      </c>
      <c r="FD75" s="119">
        <f t="shared" si="17"/>
        <v>21952</v>
      </c>
      <c r="FE75" s="119">
        <f t="shared" si="17"/>
        <v>0</v>
      </c>
      <c r="FF75" s="119">
        <f t="shared" si="17"/>
        <v>0</v>
      </c>
      <c r="FG75" s="119">
        <f t="shared" si="17"/>
        <v>0</v>
      </c>
      <c r="FH75" s="119">
        <f t="shared" si="17"/>
        <v>0</v>
      </c>
      <c r="FI75" s="119">
        <f t="shared" si="17"/>
        <v>0</v>
      </c>
      <c r="FJ75" s="119">
        <f t="shared" si="17"/>
        <v>0</v>
      </c>
      <c r="FK75" s="119">
        <f t="shared" si="17"/>
        <v>0</v>
      </c>
      <c r="FL75" s="119">
        <f t="shared" si="17"/>
        <v>0</v>
      </c>
      <c r="FM75" s="119">
        <f t="shared" si="17"/>
        <v>0</v>
      </c>
      <c r="FN75" s="119">
        <f t="shared" si="17"/>
        <v>140797.6</v>
      </c>
      <c r="FO75" s="119">
        <f t="shared" si="17"/>
        <v>0</v>
      </c>
      <c r="FP75" s="119">
        <f t="shared" si="17"/>
        <v>0</v>
      </c>
      <c r="FQ75" s="119">
        <f t="shared" si="17"/>
        <v>420561</v>
      </c>
      <c r="FR75" s="119">
        <f t="shared" si="17"/>
        <v>0</v>
      </c>
      <c r="FS75" s="119">
        <f t="shared" si="17"/>
        <v>0</v>
      </c>
      <c r="FT75" s="119">
        <f t="shared" si="17"/>
        <v>64664</v>
      </c>
      <c r="FU75" s="119">
        <f t="shared" si="17"/>
        <v>0</v>
      </c>
      <c r="FV75" s="119">
        <f t="shared" si="17"/>
        <v>0</v>
      </c>
      <c r="FW75" s="119">
        <f t="shared" si="17"/>
        <v>41819.199999999997</v>
      </c>
      <c r="FX75" s="119">
        <f t="shared" si="17"/>
        <v>0</v>
      </c>
      <c r="FY75" s="119">
        <f t="shared" si="17"/>
        <v>0</v>
      </c>
      <c r="FZ75" s="119">
        <f t="shared" si="17"/>
        <v>0</v>
      </c>
      <c r="GA75" s="119">
        <f t="shared" si="17"/>
        <v>56945.15</v>
      </c>
      <c r="GB75" s="119">
        <f t="shared" si="17"/>
        <v>419400</v>
      </c>
      <c r="GC75" s="119">
        <f t="shared" si="17"/>
        <v>3600</v>
      </c>
      <c r="GD75" s="119">
        <f t="shared" si="17"/>
        <v>0</v>
      </c>
      <c r="GE75" s="119">
        <f t="shared" si="17"/>
        <v>0</v>
      </c>
      <c r="GF75" s="119">
        <f t="shared" si="17"/>
        <v>0</v>
      </c>
      <c r="GG75" s="119">
        <f t="shared" si="17"/>
        <v>0</v>
      </c>
      <c r="GH75" s="119">
        <f t="shared" si="17"/>
        <v>442444.72</v>
      </c>
      <c r="GI75" s="119">
        <f t="shared" si="17"/>
        <v>0</v>
      </c>
      <c r="GJ75" s="119">
        <f t="shared" si="17"/>
        <v>0</v>
      </c>
      <c r="GK75" s="119">
        <f t="shared" si="17"/>
        <v>0</v>
      </c>
      <c r="GL75" s="119">
        <f t="shared" ref="GL75:IW75" si="18">GL58+GL74</f>
        <v>0</v>
      </c>
      <c r="GM75" s="119">
        <f t="shared" si="18"/>
        <v>0</v>
      </c>
      <c r="GN75" s="119">
        <f t="shared" si="18"/>
        <v>0</v>
      </c>
      <c r="GO75" s="119">
        <f t="shared" si="18"/>
        <v>0</v>
      </c>
      <c r="GP75" s="119">
        <f t="shared" si="18"/>
        <v>0</v>
      </c>
      <c r="GQ75" s="119">
        <f t="shared" si="18"/>
        <v>0</v>
      </c>
      <c r="GR75" s="119">
        <f t="shared" si="18"/>
        <v>1899800</v>
      </c>
      <c r="GS75" s="119">
        <f t="shared" si="18"/>
        <v>0</v>
      </c>
      <c r="GT75" s="119">
        <f t="shared" si="18"/>
        <v>0</v>
      </c>
      <c r="GU75" s="119">
        <f t="shared" si="18"/>
        <v>0</v>
      </c>
      <c r="GV75" s="119">
        <f t="shared" si="18"/>
        <v>0</v>
      </c>
      <c r="GW75" s="119">
        <f t="shared" si="18"/>
        <v>0</v>
      </c>
      <c r="GX75" s="119">
        <f t="shared" si="18"/>
        <v>0</v>
      </c>
      <c r="GY75" s="119">
        <f t="shared" si="18"/>
        <v>0</v>
      </c>
      <c r="GZ75" s="119">
        <f t="shared" si="18"/>
        <v>0</v>
      </c>
      <c r="HA75" s="119">
        <f t="shared" si="18"/>
        <v>0</v>
      </c>
      <c r="HB75" s="119">
        <f t="shared" si="18"/>
        <v>0</v>
      </c>
      <c r="HC75" s="119">
        <f t="shared" si="18"/>
        <v>0</v>
      </c>
      <c r="HD75" s="119">
        <f t="shared" si="18"/>
        <v>0</v>
      </c>
      <c r="HE75" s="119">
        <f t="shared" si="18"/>
        <v>0</v>
      </c>
      <c r="HF75" s="119">
        <f t="shared" si="18"/>
        <v>0</v>
      </c>
      <c r="HG75" s="119">
        <f t="shared" si="18"/>
        <v>0</v>
      </c>
      <c r="HH75" s="119">
        <f t="shared" si="18"/>
        <v>413000</v>
      </c>
      <c r="HI75" s="119">
        <f t="shared" si="18"/>
        <v>0</v>
      </c>
      <c r="HJ75" s="119">
        <f t="shared" si="18"/>
        <v>0</v>
      </c>
      <c r="HK75" s="119">
        <f t="shared" si="18"/>
        <v>0</v>
      </c>
      <c r="HL75" s="119">
        <f t="shared" si="18"/>
        <v>0</v>
      </c>
      <c r="HM75" s="119">
        <f t="shared" si="18"/>
        <v>0</v>
      </c>
      <c r="HN75" s="119">
        <f t="shared" si="18"/>
        <v>0</v>
      </c>
      <c r="HO75" s="119">
        <f t="shared" si="18"/>
        <v>0</v>
      </c>
      <c r="HP75" s="119">
        <f t="shared" si="18"/>
        <v>0</v>
      </c>
      <c r="HQ75" s="119">
        <f t="shared" si="18"/>
        <v>0</v>
      </c>
      <c r="HR75" s="119">
        <f t="shared" si="18"/>
        <v>0</v>
      </c>
      <c r="HS75" s="119">
        <f t="shared" si="18"/>
        <v>0</v>
      </c>
      <c r="HT75" s="119">
        <f t="shared" si="18"/>
        <v>0</v>
      </c>
      <c r="HU75" s="119">
        <f t="shared" si="18"/>
        <v>0</v>
      </c>
      <c r="HV75" s="119">
        <f t="shared" si="18"/>
        <v>0</v>
      </c>
      <c r="HW75" s="119">
        <f t="shared" si="18"/>
        <v>0</v>
      </c>
      <c r="HX75" s="119">
        <f t="shared" si="18"/>
        <v>0</v>
      </c>
      <c r="HY75" s="119">
        <f t="shared" si="18"/>
        <v>0</v>
      </c>
      <c r="HZ75" s="119">
        <f t="shared" si="18"/>
        <v>0</v>
      </c>
      <c r="IA75" s="119">
        <f t="shared" si="18"/>
        <v>0</v>
      </c>
      <c r="IB75" s="119">
        <f t="shared" si="18"/>
        <v>0</v>
      </c>
      <c r="IC75" s="119">
        <f t="shared" si="18"/>
        <v>0</v>
      </c>
      <c r="ID75" s="119">
        <f t="shared" si="18"/>
        <v>0</v>
      </c>
      <c r="IE75" s="119">
        <f t="shared" si="18"/>
        <v>0</v>
      </c>
      <c r="IF75" s="119">
        <f t="shared" si="18"/>
        <v>0</v>
      </c>
      <c r="IG75" s="119">
        <f t="shared" si="18"/>
        <v>0</v>
      </c>
      <c r="IH75" s="119">
        <f t="shared" si="18"/>
        <v>0</v>
      </c>
      <c r="II75" s="119">
        <f t="shared" si="18"/>
        <v>0</v>
      </c>
      <c r="IJ75" s="119">
        <f t="shared" si="18"/>
        <v>0</v>
      </c>
      <c r="IK75" s="119">
        <f t="shared" si="18"/>
        <v>0</v>
      </c>
      <c r="IL75" s="119">
        <f t="shared" si="18"/>
        <v>0</v>
      </c>
      <c r="IM75" s="119">
        <f t="shared" si="18"/>
        <v>0</v>
      </c>
      <c r="IN75" s="119">
        <f t="shared" si="18"/>
        <v>0</v>
      </c>
      <c r="IO75" s="119">
        <f t="shared" si="18"/>
        <v>0</v>
      </c>
      <c r="IP75" s="119">
        <f t="shared" si="18"/>
        <v>0</v>
      </c>
      <c r="IQ75" s="119">
        <f t="shared" si="18"/>
        <v>0</v>
      </c>
      <c r="IR75" s="119">
        <f t="shared" si="18"/>
        <v>0</v>
      </c>
      <c r="IS75" s="119">
        <f t="shared" si="18"/>
        <v>0</v>
      </c>
      <c r="IT75" s="119">
        <f t="shared" si="18"/>
        <v>0</v>
      </c>
      <c r="IU75" s="119">
        <f t="shared" si="18"/>
        <v>0</v>
      </c>
      <c r="IV75" s="119">
        <f t="shared" si="18"/>
        <v>0</v>
      </c>
      <c r="IW75" s="119">
        <f t="shared" si="18"/>
        <v>0</v>
      </c>
      <c r="IX75" s="119">
        <f t="shared" ref="IX75:JH75" si="19">IX58+IX74</f>
        <v>0</v>
      </c>
      <c r="IY75" s="119">
        <f t="shared" si="19"/>
        <v>0</v>
      </c>
      <c r="IZ75" s="119">
        <f t="shared" si="19"/>
        <v>0</v>
      </c>
      <c r="JA75" s="119">
        <f t="shared" si="19"/>
        <v>0</v>
      </c>
      <c r="JB75" s="119">
        <f t="shared" si="19"/>
        <v>0</v>
      </c>
      <c r="JC75" s="119">
        <f t="shared" si="19"/>
        <v>0</v>
      </c>
      <c r="JD75" s="119">
        <f t="shared" si="19"/>
        <v>0</v>
      </c>
      <c r="JE75" s="119">
        <f t="shared" si="19"/>
        <v>0</v>
      </c>
      <c r="JF75" s="119">
        <f t="shared" si="19"/>
        <v>0</v>
      </c>
      <c r="JG75" s="119">
        <f t="shared" si="19"/>
        <v>0</v>
      </c>
      <c r="JH75" s="119">
        <f t="shared" si="19"/>
        <v>0</v>
      </c>
      <c r="JI75" s="119">
        <f t="shared" si="2"/>
        <v>7026991.1299999999</v>
      </c>
      <c r="JJ75" s="2"/>
      <c r="JK75" s="2"/>
    </row>
  </sheetData>
  <mergeCells count="1">
    <mergeCell ref="A1:JH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3"/>
  <sheetViews>
    <sheetView topLeftCell="A20" zoomScale="90" zoomScaleNormal="90" workbookViewId="0">
      <selection activeCell="A45" sqref="A45"/>
    </sheetView>
  </sheetViews>
  <sheetFormatPr baseColWidth="10" defaultColWidth="11.42578125" defaultRowHeight="12.75" x14ac:dyDescent="0.2"/>
  <cols>
    <col min="1" max="1" width="64.42578125" style="3" customWidth="1"/>
    <col min="2" max="2" width="18.7109375" style="3" customWidth="1"/>
    <col min="3" max="3" width="18" style="3" customWidth="1"/>
    <col min="4" max="4" width="17.7109375" style="3" customWidth="1"/>
    <col min="5" max="5" width="21" style="3" customWidth="1"/>
    <col min="6" max="16384" width="11.42578125" style="3"/>
  </cols>
  <sheetData>
    <row r="1" spans="1:5" ht="33" x14ac:dyDescent="0.45">
      <c r="A1" s="437" t="s">
        <v>77</v>
      </c>
      <c r="B1" s="437"/>
      <c r="C1" s="437"/>
      <c r="D1" s="437"/>
      <c r="E1" s="437"/>
    </row>
    <row r="2" spans="1:5" ht="20.25" x14ac:dyDescent="0.3">
      <c r="A2" s="438" t="str">
        <f>'CONS. FUENTES FINAN'!A6</f>
        <v>HOSPITAL MATERNO INFANTIL SAN LORENZO DE LOS MINA</v>
      </c>
      <c r="B2" s="438"/>
      <c r="C2" s="438"/>
      <c r="D2" s="438"/>
      <c r="E2" s="438"/>
    </row>
    <row r="3" spans="1:5" ht="15.75" x14ac:dyDescent="0.25">
      <c r="A3" s="439" t="s">
        <v>424</v>
      </c>
      <c r="B3" s="439"/>
      <c r="C3" s="439"/>
      <c r="D3" s="439"/>
      <c r="E3" s="439"/>
    </row>
    <row r="4" spans="1:5" ht="15.75" x14ac:dyDescent="0.25">
      <c r="A4" s="439"/>
      <c r="B4" s="439"/>
      <c r="C4" s="439"/>
      <c r="D4" s="439"/>
      <c r="E4" s="439"/>
    </row>
    <row r="5" spans="1:5" ht="16.5" thickBot="1" x14ac:dyDescent="0.3">
      <c r="A5" s="117"/>
      <c r="B5" s="117"/>
      <c r="C5" s="117"/>
      <c r="D5" s="117"/>
      <c r="E5" s="117"/>
    </row>
    <row r="6" spans="1:5" x14ac:dyDescent="0.2">
      <c r="A6" s="440" t="s">
        <v>372</v>
      </c>
      <c r="B6" s="442" t="s">
        <v>642</v>
      </c>
      <c r="C6" s="444" t="s">
        <v>371</v>
      </c>
      <c r="D6" s="440" t="s">
        <v>328</v>
      </c>
      <c r="E6" s="440" t="s">
        <v>72</v>
      </c>
    </row>
    <row r="7" spans="1:5" ht="20.25" customHeight="1" thickBot="1" x14ac:dyDescent="0.25">
      <c r="A7" s="441"/>
      <c r="B7" s="443"/>
      <c r="C7" s="445"/>
      <c r="D7" s="441"/>
      <c r="E7" s="441"/>
    </row>
    <row r="8" spans="1:5" ht="20.25" x14ac:dyDescent="0.25">
      <c r="A8" s="113" t="s">
        <v>370</v>
      </c>
      <c r="B8" s="112"/>
      <c r="C8" s="112"/>
      <c r="D8" s="111"/>
      <c r="E8" s="110"/>
    </row>
    <row r="9" spans="1:5" ht="18.75" x14ac:dyDescent="0.3">
      <c r="A9" s="116" t="s">
        <v>369</v>
      </c>
      <c r="B9" s="105">
        <f>'CONS. FUENTES FINAN'!G245+'CONS. FUENTES FINAN'!G315</f>
        <v>7603116.1199999992</v>
      </c>
      <c r="C9" s="105">
        <f>'CONS. FUENTES FINAN'!H245+'CONS. FUENTES FINAN'!H315</f>
        <v>448964</v>
      </c>
      <c r="D9" s="105">
        <f>SUM(B9:C9)</f>
        <v>8052080.1199999992</v>
      </c>
      <c r="E9" s="107">
        <f>+D9/D12</f>
        <v>0.79216828122686622</v>
      </c>
    </row>
    <row r="10" spans="1:5" ht="18.75" x14ac:dyDescent="0.3">
      <c r="A10" s="108" t="s">
        <v>368</v>
      </c>
      <c r="B10" s="105">
        <f>'CONS. FUENTES FINAN'!G302</f>
        <v>0</v>
      </c>
      <c r="C10" s="105">
        <f>'CONS. FUENTES FINAN'!H302</f>
        <v>140797.6</v>
      </c>
      <c r="D10" s="105">
        <f>SUM(B10:C10)</f>
        <v>140797.6</v>
      </c>
      <c r="E10" s="107">
        <f>+D10/D12</f>
        <v>1.385174900530769E-2</v>
      </c>
    </row>
    <row r="11" spans="1:5" ht="18.75" x14ac:dyDescent="0.3">
      <c r="A11" s="108" t="s">
        <v>367</v>
      </c>
      <c r="B11" s="105">
        <f>'CONS. FUENTES FINAN'!G296+'CONS. FUENTES FINAN'!G297+'CONS. FUENTES FINAN'!G298</f>
        <v>1971730.37</v>
      </c>
      <c r="C11" s="105">
        <f>'CONS. FUENTES FINAN'!H296+'CONS. FUENTES FINAN'!H297+'CONS. FUENTES FINAN'!H298</f>
        <v>0</v>
      </c>
      <c r="D11" s="105">
        <f>SUM(B11:C11)</f>
        <v>1971730.37</v>
      </c>
      <c r="E11" s="107">
        <f>+D11/D12</f>
        <v>0.19397996976782605</v>
      </c>
    </row>
    <row r="12" spans="1:5" ht="18.75" x14ac:dyDescent="0.3">
      <c r="A12" s="115" t="s">
        <v>348</v>
      </c>
      <c r="B12" s="101">
        <f>SUM(B9:B11)</f>
        <v>9574846.4899999984</v>
      </c>
      <c r="C12" s="101">
        <f>SUM(C9:C11)</f>
        <v>589761.6</v>
      </c>
      <c r="D12" s="101">
        <f>SUM(D9:D11)</f>
        <v>10164608.09</v>
      </c>
      <c r="E12" s="114">
        <f>+D12/D39</f>
        <v>6.1807876468094602E-2</v>
      </c>
    </row>
    <row r="13" spans="1:5" ht="20.25" x14ac:dyDescent="0.25">
      <c r="A13" s="113" t="s">
        <v>366</v>
      </c>
      <c r="B13" s="112"/>
      <c r="C13" s="112"/>
      <c r="D13" s="111"/>
      <c r="E13" s="110"/>
    </row>
    <row r="14" spans="1:5" ht="18.75" x14ac:dyDescent="0.3">
      <c r="A14" s="108" t="s">
        <v>365</v>
      </c>
      <c r="B14" s="105">
        <f>'CONS. FUENTES FINAN'!G157+'CONS. FUENTES FINAN'!G188+'CONS. FUENTES FINAN'!G223+'CONS. FUENTES FINAN'!G252+'CONS. FUENTES FINAN'!G254+'CONS. FUENTES FINAN'!G256+'CONS. FUENTES FINAN'!G258+'CONS. FUENTES FINAN'!G261+'CONS. FUENTES FINAN'!G292+'CONS. FUENTES FINAN'!G293+'CONS. FUENTES FINAN'!G299+'CONS. FUENTES FINAN'!G300+'CONS. FUENTES FINAN'!G301+'CONS. FUENTES FINAN'!G324</f>
        <v>1627102.14</v>
      </c>
      <c r="C14" s="105">
        <f>'CONS. FUENTES FINAN'!H157+'CONS. FUENTES FINAN'!H188+'CONS. FUENTES FINAN'!H223+'CONS. FUENTES FINAN'!H252+'CONS. FUENTES FINAN'!H254+'CONS. FUENTES FINAN'!H256+'CONS. FUENTES FINAN'!H258+'CONS. FUENTES FINAN'!H261+'CONS. FUENTES FINAN'!H292+'CONS. FUENTES FINAN'!H293+'CONS. FUENTES FINAN'!H299+'CONS. FUENTES FINAN'!H300+'CONS. FUENTES FINAN'!H301+'CONS. FUENTES FINAN'!H324</f>
        <v>902996.36999999988</v>
      </c>
      <c r="D14" s="104">
        <f>SUM(B14:C14)</f>
        <v>2530098.5099999998</v>
      </c>
      <c r="E14" s="107">
        <f>+D14/D16</f>
        <v>0.98374007075055281</v>
      </c>
    </row>
    <row r="15" spans="1:5" ht="18.75" x14ac:dyDescent="0.3">
      <c r="A15" s="108" t="s">
        <v>364</v>
      </c>
      <c r="B15" s="105">
        <f>'CONS. FUENTES FINAN'!G320</f>
        <v>0</v>
      </c>
      <c r="C15" s="105">
        <f>'CONS. FUENTES FINAN'!H320</f>
        <v>41819.199999999997</v>
      </c>
      <c r="D15" s="104">
        <f>SUM(B15:C15)</f>
        <v>41819.199999999997</v>
      </c>
      <c r="E15" s="107">
        <f>+D15/D16</f>
        <v>1.6259929249447098E-2</v>
      </c>
    </row>
    <row r="16" spans="1:5" ht="18.75" x14ac:dyDescent="0.3">
      <c r="A16" s="115" t="s">
        <v>348</v>
      </c>
      <c r="B16" s="101">
        <f>SUM(B14:B15)</f>
        <v>1627102.14</v>
      </c>
      <c r="C16" s="101">
        <f>SUM(C14:C15)</f>
        <v>944815.56999999983</v>
      </c>
      <c r="D16" s="101">
        <f>SUM(D14:D15)</f>
        <v>2571917.71</v>
      </c>
      <c r="E16" s="114">
        <f>+D16/D39</f>
        <v>1.5639045863674293E-2</v>
      </c>
    </row>
    <row r="17" spans="1:5" ht="20.25" x14ac:dyDescent="0.25">
      <c r="A17" s="113" t="s">
        <v>363</v>
      </c>
      <c r="B17" s="112"/>
      <c r="C17" s="112"/>
      <c r="D17" s="111"/>
      <c r="E17" s="110"/>
    </row>
    <row r="18" spans="1:5" ht="18.75" x14ac:dyDescent="0.3">
      <c r="A18" s="109" t="s">
        <v>362</v>
      </c>
      <c r="B18" s="105">
        <f>'CONS. FUENTES FINAN'!G26</f>
        <v>133740812.23000002</v>
      </c>
      <c r="C18" s="105">
        <f>'CONS. FUENTES FINAN'!H26</f>
        <v>0</v>
      </c>
      <c r="D18" s="104">
        <f t="shared" ref="D18:D33" si="0">SUM(B18:C18)</f>
        <v>133740812.23000002</v>
      </c>
      <c r="E18" s="107">
        <f>+D18/D34</f>
        <v>0.9488348213675184</v>
      </c>
    </row>
    <row r="19" spans="1:5" ht="18.75" x14ac:dyDescent="0.3">
      <c r="A19" s="108" t="s">
        <v>361</v>
      </c>
      <c r="B19" s="105">
        <f>'CONS. FUENTES FINAN'!G91+'CONS. FUENTES FINAN'!G93+'CONS. FUENTES FINAN'!G95+'CONS. FUENTES FINAN'!G97</f>
        <v>0</v>
      </c>
      <c r="C19" s="105">
        <f>'CONS. FUENTES FINAN'!H91+'CONS. FUENTES FINAN'!H93+'CONS. FUENTES FINAN'!H95+'CONS. FUENTES FINAN'!H97</f>
        <v>0</v>
      </c>
      <c r="D19" s="104">
        <f t="shared" si="0"/>
        <v>0</v>
      </c>
      <c r="E19" s="107">
        <f>+D19/D34</f>
        <v>0</v>
      </c>
    </row>
    <row r="20" spans="1:5" ht="18.75" x14ac:dyDescent="0.3">
      <c r="A20" s="108" t="s">
        <v>422</v>
      </c>
      <c r="B20" s="104">
        <f>'CONS. FUENTES FINAN'!G99+'CONS. FUENTES FINAN'!G102+'CONS. FUENTES FINAN'!G104</f>
        <v>60535</v>
      </c>
      <c r="C20" s="104">
        <f>'CONS. FUENTES FINAN'!H99+'CONS. FUENTES FINAN'!H102+'CONS. FUENTES FINAN'!H104</f>
        <v>745000</v>
      </c>
      <c r="D20" s="104">
        <f t="shared" si="0"/>
        <v>805535</v>
      </c>
      <c r="E20" s="107">
        <f>+D20/D34</f>
        <v>5.7149320770973743E-3</v>
      </c>
    </row>
    <row r="21" spans="1:5" ht="18.75" x14ac:dyDescent="0.3">
      <c r="A21" s="108" t="s">
        <v>360</v>
      </c>
      <c r="B21" s="104">
        <f>'CONS. FUENTES FINAN'!G111</f>
        <v>0</v>
      </c>
      <c r="C21" s="104">
        <f>'CONS. FUENTES FINAN'!H111</f>
        <v>0</v>
      </c>
      <c r="D21" s="104">
        <f t="shared" si="0"/>
        <v>0</v>
      </c>
      <c r="E21" s="107">
        <f>+D21/D34</f>
        <v>0</v>
      </c>
    </row>
    <row r="22" spans="1:5" ht="18.75" x14ac:dyDescent="0.3">
      <c r="A22" s="108" t="s">
        <v>359</v>
      </c>
      <c r="B22" s="104">
        <f>'CONS. FUENTES FINAN'!G116</f>
        <v>0</v>
      </c>
      <c r="C22" s="104">
        <f>'CONS. FUENTES FINAN'!H116</f>
        <v>20000</v>
      </c>
      <c r="D22" s="104">
        <f t="shared" si="0"/>
        <v>20000</v>
      </c>
      <c r="E22" s="107">
        <f>+D22/D34</f>
        <v>1.4189158949263223E-4</v>
      </c>
    </row>
    <row r="23" spans="1:5" ht="18.75" x14ac:dyDescent="0.3">
      <c r="A23" s="108" t="s">
        <v>358</v>
      </c>
      <c r="B23" s="104">
        <f>'CONS. FUENTES FINAN'!G125</f>
        <v>0</v>
      </c>
      <c r="C23" s="104">
        <f>'CONS. FUENTES FINAN'!H125</f>
        <v>0</v>
      </c>
      <c r="D23" s="104">
        <f t="shared" si="0"/>
        <v>0</v>
      </c>
      <c r="E23" s="107">
        <f>+D23/D34</f>
        <v>0</v>
      </c>
    </row>
    <row r="24" spans="1:5" ht="18.75" x14ac:dyDescent="0.3">
      <c r="A24" s="108" t="s">
        <v>357</v>
      </c>
      <c r="B24" s="104">
        <f>'CONS. FUENTES FINAN'!G182</f>
        <v>0</v>
      </c>
      <c r="C24" s="104">
        <f>'CONS. FUENTES FINAN'!H182</f>
        <v>0</v>
      </c>
      <c r="D24" s="104">
        <f t="shared" si="0"/>
        <v>0</v>
      </c>
      <c r="E24" s="107">
        <f>+D24/D34</f>
        <v>0</v>
      </c>
    </row>
    <row r="25" spans="1:5" ht="18.75" x14ac:dyDescent="0.3">
      <c r="A25" s="108" t="s">
        <v>356</v>
      </c>
      <c r="B25" s="105">
        <f>'CONS. FUENTES FINAN'!G109+'CONS. FUENTES FINAN'!G312</f>
        <v>225498</v>
      </c>
      <c r="C25" s="105">
        <f>'CONS. FUENTES FINAN'!H109+'CONS. FUENTES FINAN'!H312</f>
        <v>0</v>
      </c>
      <c r="D25" s="104">
        <f t="shared" si="0"/>
        <v>225498</v>
      </c>
      <c r="E25" s="107">
        <f>+D25/D34</f>
        <v>1.5998134823704789E-3</v>
      </c>
    </row>
    <row r="26" spans="1:5" ht="18.75" x14ac:dyDescent="0.3">
      <c r="A26" s="108" t="s">
        <v>355</v>
      </c>
      <c r="B26" s="104">
        <f>'CONS. FUENTES FINAN'!G208+'CONS. FUENTES FINAN'!G214+'CONS. FUENTES FINAN'!G217+'CONS. FUENTES FINAN'!G219</f>
        <v>292565.2</v>
      </c>
      <c r="C26" s="104">
        <f>'CONS. FUENTES FINAN'!H208+'CONS. FUENTES FINAN'!H214+'CONS. FUENTES FINAN'!H217+'CONS. FUENTES FINAN'!H219</f>
        <v>163325</v>
      </c>
      <c r="D26" s="104">
        <f t="shared" si="0"/>
        <v>455890.2</v>
      </c>
      <c r="E26" s="107">
        <f>+D26/D34</f>
        <v>3.2343492556056999E-3</v>
      </c>
    </row>
    <row r="27" spans="1:5" ht="18.75" x14ac:dyDescent="0.3">
      <c r="A27" s="108" t="s">
        <v>354</v>
      </c>
      <c r="B27" s="104">
        <f>'CONS. FUENTES FINAN'!G232</f>
        <v>1655540</v>
      </c>
      <c r="C27" s="104">
        <f>'CONS. FUENTES FINAN'!H232</f>
        <v>0</v>
      </c>
      <c r="D27" s="104">
        <f t="shared" si="0"/>
        <v>1655540</v>
      </c>
      <c r="E27" s="107">
        <f>+D27/D34</f>
        <v>1.1745360103431617E-2</v>
      </c>
    </row>
    <row r="28" spans="1:5" ht="18.75" x14ac:dyDescent="0.3">
      <c r="A28" s="108" t="s">
        <v>353</v>
      </c>
      <c r="B28" s="104">
        <f>'CONS. FUENTES FINAN'!G259</f>
        <v>18154.650000000001</v>
      </c>
      <c r="C28" s="104">
        <f>'CONS. FUENTES FINAN'!H259</f>
        <v>0</v>
      </c>
      <c r="D28" s="104">
        <f t="shared" si="0"/>
        <v>18154.650000000001</v>
      </c>
      <c r="E28" s="107">
        <f>+D28/D34</f>
        <v>1.2879960725912078E-4</v>
      </c>
    </row>
    <row r="29" spans="1:5" ht="18.75" x14ac:dyDescent="0.3">
      <c r="A29" s="108" t="s">
        <v>352</v>
      </c>
      <c r="B29" s="104">
        <f>'CONS. FUENTES FINAN'!G288</f>
        <v>0</v>
      </c>
      <c r="C29" s="104">
        <f>'CONS. FUENTES FINAN'!H288</f>
        <v>172000</v>
      </c>
      <c r="D29" s="104">
        <f t="shared" si="0"/>
        <v>172000</v>
      </c>
      <c r="E29" s="107">
        <f>+D29/D34</f>
        <v>1.2202676696366371E-3</v>
      </c>
    </row>
    <row r="30" spans="1:5" ht="18.75" x14ac:dyDescent="0.3">
      <c r="A30" s="108" t="s">
        <v>11</v>
      </c>
      <c r="B30" s="104">
        <f>'CONS. FUENTES FINAN'!G289+'CONS. FUENTES FINAN'!G290</f>
        <v>0</v>
      </c>
      <c r="C30" s="104">
        <f>'CONS. FUENTES FINAN'!H289+'CONS. FUENTES FINAN'!H290</f>
        <v>0</v>
      </c>
      <c r="D30" s="104">
        <f t="shared" si="0"/>
        <v>0</v>
      </c>
      <c r="E30" s="107">
        <f>+D30/D34</f>
        <v>0</v>
      </c>
    </row>
    <row r="31" spans="1:5" ht="18.75" x14ac:dyDescent="0.3">
      <c r="A31" s="108" t="s">
        <v>351</v>
      </c>
      <c r="B31" s="104">
        <f>'CONS. FUENTES FINAN'!G291+'CONS. FUENTES FINAN'!G294</f>
        <v>0</v>
      </c>
      <c r="C31" s="104">
        <f>'CONS. FUENTES FINAN'!H291+'CONS. FUENTES FINAN'!H294</f>
        <v>21952</v>
      </c>
      <c r="D31" s="104">
        <f t="shared" si="0"/>
        <v>21952</v>
      </c>
      <c r="E31" s="107">
        <f>+D31/D34</f>
        <v>1.5574020862711311E-4</v>
      </c>
    </row>
    <row r="32" spans="1:5" ht="18.75" x14ac:dyDescent="0.3">
      <c r="A32" s="108" t="s">
        <v>350</v>
      </c>
      <c r="B32" s="104">
        <f>'CONS. FUENTES FINAN'!G309</f>
        <v>1373621</v>
      </c>
      <c r="C32" s="104">
        <f>'CONS. FUENTES FINAN'!H309</f>
        <v>420561</v>
      </c>
      <c r="D32" s="104">
        <f t="shared" si="0"/>
        <v>1794182</v>
      </c>
      <c r="E32" s="107">
        <f>+D32/D34</f>
        <v>1.2728966790953493E-2</v>
      </c>
    </row>
    <row r="33" spans="1:5" ht="18.75" x14ac:dyDescent="0.3">
      <c r="A33" s="106" t="s">
        <v>349</v>
      </c>
      <c r="B33" s="105">
        <f>'CONS. FUENTES FINAN'!G89+'CONS. FUENTES FINAN'!G107+'CONS. FUENTES FINAN'!G148+'CONS. FUENTES FINAN'!G180+'CONS. FUENTES FINAN'!G184+'CONS. FUENTES FINAN'!G186+'CONS. FUENTES FINAN'!G192+'CONS. FUENTES FINAN'!G197+'CONS. FUENTES FINAN'!G204+'CONS. FUENTES FINAN'!G225+'CONS. FUENTES FINAN'!G303+'CONS. FUENTES FINAN'!G316+'CONS. FUENTES FINAN'!G318+'CONS. FUENTES FINAN'!G322+'CONS. FUENTES FINAN'!G327+'CONS. FUENTES FINAN'!G330</f>
        <v>848786.03</v>
      </c>
      <c r="C33" s="105">
        <f>'CONS. FUENTES FINAN'!H89+'CONS. FUENTES FINAN'!H107+'CONS. FUENTES FINAN'!H148+'CONS. FUENTES FINAN'!H180+'CONS. FUENTES FINAN'!H184+'CONS. FUENTES FINAN'!H186+'CONS. FUENTES FINAN'!H192+'CONS. FUENTES FINAN'!H197+'CONS. FUENTES FINAN'!H204+'CONS. FUENTES FINAN'!H225+'CONS. FUENTES FINAN'!H303+'CONS. FUENTES FINAN'!H316+'CONS. FUENTES FINAN'!H318+'CONS. FUENTES FINAN'!H322+'CONS. FUENTES FINAN'!H327+'CONS. FUENTES FINAN'!H330</f>
        <v>1194331.24</v>
      </c>
      <c r="D33" s="104">
        <f t="shared" si="0"/>
        <v>2043117.27</v>
      </c>
      <c r="E33" s="107">
        <f>+D33/D34</f>
        <v>1.4495057848007371E-2</v>
      </c>
    </row>
    <row r="34" spans="1:5" ht="18.75" x14ac:dyDescent="0.3">
      <c r="A34" s="115" t="s">
        <v>348</v>
      </c>
      <c r="B34" s="101">
        <f>SUM(B17:B33)</f>
        <v>138215512.11000001</v>
      </c>
      <c r="C34" s="101">
        <f>SUM(C17:C33)</f>
        <v>2737169.24</v>
      </c>
      <c r="D34" s="101">
        <f>SUM(D17:D33)</f>
        <v>140952681.35000002</v>
      </c>
      <c r="E34" s="114">
        <f>+D34/D39</f>
        <v>0.85709019369850625</v>
      </c>
    </row>
    <row r="35" spans="1:5" ht="20.25" x14ac:dyDescent="0.25">
      <c r="A35" s="113" t="s">
        <v>421</v>
      </c>
      <c r="B35" s="112"/>
      <c r="C35" s="112"/>
      <c r="D35" s="111"/>
      <c r="E35" s="110"/>
    </row>
    <row r="36" spans="1:5" ht="18.75" x14ac:dyDescent="0.3">
      <c r="A36" s="109" t="s">
        <v>168</v>
      </c>
      <c r="B36" s="105">
        <f>'CONS. FUENTES FINAN'!G336</f>
        <v>8010447.2599999988</v>
      </c>
      <c r="C36" s="105">
        <f>'CONS. FUENTES FINAN'!H336</f>
        <v>2755244.7199999997</v>
      </c>
      <c r="D36" s="105">
        <f>SUM(B36:C36)</f>
        <v>10765691.979999999</v>
      </c>
      <c r="E36" s="103">
        <f>+D36/D38</f>
        <v>1</v>
      </c>
    </row>
    <row r="37" spans="1:5" ht="19.5" thickBot="1" x14ac:dyDescent="0.35">
      <c r="A37" s="126" t="s">
        <v>101</v>
      </c>
      <c r="B37" s="127">
        <f>'CONS. FUENTES FINAN'!G463</f>
        <v>0</v>
      </c>
      <c r="C37" s="127">
        <f>'CONS. FUENTES FINAN'!H463</f>
        <v>0</v>
      </c>
      <c r="D37" s="127">
        <f>SUM(B37:C37)</f>
        <v>0</v>
      </c>
      <c r="E37" s="103">
        <f>+D37/D38</f>
        <v>0</v>
      </c>
    </row>
    <row r="38" spans="1:5" ht="16.5" thickBot="1" x14ac:dyDescent="0.3">
      <c r="A38" s="102" t="s">
        <v>348</v>
      </c>
      <c r="B38" s="128">
        <f>SUM(B36:B37)</f>
        <v>8010447.2599999988</v>
      </c>
      <c r="C38" s="129">
        <f>SUM(C36:C37)</f>
        <v>2755244.7199999997</v>
      </c>
      <c r="D38" s="129">
        <f>SUM(D36:D37)</f>
        <v>10765691.979999999</v>
      </c>
      <c r="E38" s="100">
        <f>+D38/D39</f>
        <v>6.5462883969724869E-2</v>
      </c>
    </row>
    <row r="39" spans="1:5" ht="19.5" thickBot="1" x14ac:dyDescent="0.35">
      <c r="A39" s="98" t="s">
        <v>347</v>
      </c>
      <c r="B39" s="99">
        <f>+B12+B16+B34+B38</f>
        <v>157427908</v>
      </c>
      <c r="C39" s="99">
        <f>+C12+C16+C34+C38</f>
        <v>7026991.1299999999</v>
      </c>
      <c r="D39" s="99">
        <f>+D12+D16+D34+D38</f>
        <v>164454899.13000003</v>
      </c>
      <c r="E39" s="96">
        <f>+E12+E16+E34+E38</f>
        <v>1</v>
      </c>
    </row>
    <row r="40" spans="1:5" ht="19.5" thickBot="1" x14ac:dyDescent="0.35">
      <c r="A40" s="98" t="s">
        <v>346</v>
      </c>
      <c r="B40" s="97">
        <f>+B39/D39</f>
        <v>0.95727101371151457</v>
      </c>
      <c r="C40" s="97">
        <f>+C39/D39</f>
        <v>4.2728986288485274E-2</v>
      </c>
      <c r="D40" s="97">
        <f>+B40+C40</f>
        <v>0.99999999999999989</v>
      </c>
      <c r="E40" s="96"/>
    </row>
    <row r="42" spans="1:5" ht="26.25" x14ac:dyDescent="0.4">
      <c r="A42" s="95"/>
    </row>
    <row r="43" spans="1:5" ht="26.25" x14ac:dyDescent="0.4">
      <c r="A43" s="95"/>
    </row>
  </sheetData>
  <mergeCells count="9">
    <mergeCell ref="A1:E1"/>
    <mergeCell ref="A2:E2"/>
    <mergeCell ref="A3:E3"/>
    <mergeCell ref="A4:E4"/>
    <mergeCell ref="A6:A7"/>
    <mergeCell ref="B6:B7"/>
    <mergeCell ref="C6:C7"/>
    <mergeCell ref="D6:D7"/>
    <mergeCell ref="E6:E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83"/>
  <sheetViews>
    <sheetView view="pageBreakPreview" zoomScale="60" zoomScaleNormal="90" workbookViewId="0">
      <pane xSplit="1" ySplit="7" topLeftCell="C8" activePane="bottomRight" state="frozen"/>
      <selection pane="topRight" activeCell="B1" sqref="B1"/>
      <selection pane="bottomLeft" activeCell="A8" sqref="A8"/>
      <selection pane="bottomRight" activeCell="A27" sqref="A27"/>
    </sheetView>
  </sheetViews>
  <sheetFormatPr baseColWidth="10" defaultColWidth="9.140625" defaultRowHeight="15" x14ac:dyDescent="0.25"/>
  <cols>
    <col min="1" max="1" width="71.140625" style="140" customWidth="1"/>
    <col min="2" max="2" width="25.140625" customWidth="1"/>
    <col min="3" max="4" width="21.28515625" bestFit="1" customWidth="1"/>
    <col min="5" max="5" width="21.5703125" bestFit="1" customWidth="1"/>
    <col min="6" max="6" width="15.85546875" customWidth="1"/>
    <col min="7" max="7" width="19.140625" bestFit="1" customWidth="1"/>
    <col min="8" max="8" width="20.140625" bestFit="1" customWidth="1"/>
    <col min="9" max="9" width="19.140625" bestFit="1" customWidth="1"/>
    <col min="10" max="10" width="19" bestFit="1" customWidth="1"/>
    <col min="11" max="11" width="15.85546875" customWidth="1"/>
    <col min="12" max="12" width="22.28515625" bestFit="1" customWidth="1"/>
    <col min="13" max="13" width="20.5703125" bestFit="1" customWidth="1"/>
    <col min="14" max="14" width="21.28515625" bestFit="1" customWidth="1"/>
    <col min="15" max="15" width="22" bestFit="1" customWidth="1"/>
    <col min="16" max="16" width="13.42578125" hidden="1" customWidth="1"/>
  </cols>
  <sheetData>
    <row r="1" spans="1:15" ht="18.75" x14ac:dyDescent="0.25">
      <c r="A1" s="446" t="s">
        <v>537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</row>
    <row r="2" spans="1:15" ht="18.75" x14ac:dyDescent="0.25">
      <c r="A2" s="446" t="s">
        <v>536</v>
      </c>
      <c r="B2" s="446"/>
      <c r="C2" s="446"/>
      <c r="D2" s="446"/>
      <c r="E2" s="446"/>
      <c r="F2" s="446"/>
      <c r="G2" s="446"/>
      <c r="H2" s="446"/>
      <c r="I2" s="446"/>
      <c r="J2" s="446"/>
      <c r="K2" s="446"/>
      <c r="L2" s="446"/>
      <c r="M2" s="446"/>
      <c r="N2" s="446"/>
      <c r="O2" s="446"/>
    </row>
    <row r="3" spans="1:15" ht="18.75" customHeight="1" x14ac:dyDescent="0.25">
      <c r="A3" s="447" t="s">
        <v>643</v>
      </c>
      <c r="B3" s="447"/>
      <c r="C3" s="447"/>
      <c r="D3" s="447"/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47"/>
    </row>
    <row r="4" spans="1:15" x14ac:dyDescent="0.25">
      <c r="A4" s="392" t="s">
        <v>534</v>
      </c>
      <c r="B4" s="392"/>
      <c r="C4" s="392"/>
      <c r="D4" s="392"/>
      <c r="E4" s="392"/>
      <c r="F4" s="392"/>
      <c r="G4" s="392"/>
      <c r="H4" s="392"/>
      <c r="I4" s="392"/>
      <c r="J4" s="392"/>
      <c r="K4" s="392"/>
      <c r="L4" s="392"/>
      <c r="M4" s="392"/>
      <c r="N4" s="392"/>
      <c r="O4" s="392"/>
    </row>
    <row r="5" spans="1:15" x14ac:dyDescent="0.25">
      <c r="L5" s="139"/>
      <c r="M5" s="139"/>
      <c r="N5" s="139"/>
      <c r="O5" s="139"/>
    </row>
    <row r="6" spans="1:15" ht="48" customHeight="1" x14ac:dyDescent="0.25">
      <c r="A6" s="352" t="s">
        <v>533</v>
      </c>
      <c r="B6" s="448" t="s">
        <v>538</v>
      </c>
      <c r="C6" s="449"/>
      <c r="D6" s="449"/>
      <c r="E6" s="449"/>
      <c r="F6" s="450"/>
      <c r="G6" s="453" t="s">
        <v>539</v>
      </c>
      <c r="H6" s="453"/>
      <c r="I6" s="453"/>
      <c r="J6" s="453"/>
      <c r="K6" s="450"/>
      <c r="L6" s="454" t="s">
        <v>540</v>
      </c>
      <c r="M6" s="455"/>
      <c r="N6" s="455"/>
      <c r="O6" s="456"/>
    </row>
    <row r="7" spans="1:15" x14ac:dyDescent="0.25">
      <c r="A7" s="152" t="s">
        <v>519</v>
      </c>
      <c r="B7" s="162" t="s">
        <v>541</v>
      </c>
      <c r="C7" s="162" t="s">
        <v>542</v>
      </c>
      <c r="D7" s="162" t="s">
        <v>543</v>
      </c>
      <c r="E7" s="162" t="s">
        <v>544</v>
      </c>
      <c r="F7" s="451"/>
      <c r="G7" s="162" t="s">
        <v>541</v>
      </c>
      <c r="H7" s="162" t="s">
        <v>542</v>
      </c>
      <c r="I7" s="162" t="s">
        <v>543</v>
      </c>
      <c r="J7" s="162" t="s">
        <v>544</v>
      </c>
      <c r="K7" s="451"/>
      <c r="L7" s="162" t="s">
        <v>541</v>
      </c>
      <c r="M7" s="162" t="s">
        <v>542</v>
      </c>
      <c r="N7" s="162" t="s">
        <v>543</v>
      </c>
      <c r="O7" s="162" t="s">
        <v>544</v>
      </c>
    </row>
    <row r="8" spans="1:15" x14ac:dyDescent="0.25">
      <c r="A8" s="156" t="s">
        <v>518</v>
      </c>
      <c r="B8" s="163">
        <f>SUM(B9:B13)</f>
        <v>198560735.68000001</v>
      </c>
      <c r="C8" s="163">
        <f>SUM(C9:C13)</f>
        <v>199770321.81</v>
      </c>
      <c r="D8" s="163">
        <f>SUM(D9:D13)</f>
        <v>214758440.84000003</v>
      </c>
      <c r="E8" s="163">
        <f>SUM(E9:E13)</f>
        <v>206727659.55999997</v>
      </c>
      <c r="F8" s="451"/>
      <c r="G8" s="163">
        <f>SUM(G9:G13)</f>
        <v>5231553.59</v>
      </c>
      <c r="H8" s="163">
        <f>SUM(H9:H13)</f>
        <v>0</v>
      </c>
      <c r="I8" s="163">
        <f>SUM(I9:I13)</f>
        <v>4413127.5500000007</v>
      </c>
      <c r="J8" s="163">
        <f>SUM(J9:J13)</f>
        <v>0</v>
      </c>
      <c r="K8" s="451"/>
      <c r="L8" s="164">
        <f t="shared" ref="L8:O9" si="0">SUM(B8+G8)</f>
        <v>203792289.27000001</v>
      </c>
      <c r="M8" s="164">
        <f t="shared" si="0"/>
        <v>199770321.81</v>
      </c>
      <c r="N8" s="164">
        <f t="shared" si="0"/>
        <v>219171568.39000005</v>
      </c>
      <c r="O8" s="164">
        <f t="shared" si="0"/>
        <v>206727659.55999997</v>
      </c>
    </row>
    <row r="9" spans="1:15" x14ac:dyDescent="0.25">
      <c r="A9" s="361" t="s">
        <v>517</v>
      </c>
      <c r="B9" s="165">
        <f>SUM('TRANSFERENCIA CORRIENTE'!C10:E10)</f>
        <v>163945204.59</v>
      </c>
      <c r="C9" s="165">
        <f>SUM('TRANSFERENCIA CORRIENTE'!F10:H10)</f>
        <v>164084780.69</v>
      </c>
      <c r="D9" s="165">
        <f>SUM('TRANSFERENCIA CORRIENTE'!I10:K10)</f>
        <v>177501202.04000002</v>
      </c>
      <c r="E9" s="165">
        <f>SUM('TRANSFERENCIA CORRIENTE'!L10:N10)</f>
        <v>181531107.69999999</v>
      </c>
      <c r="F9" s="451"/>
      <c r="G9" s="165">
        <f>SUM(VS!C10:E10)</f>
        <v>0</v>
      </c>
      <c r="H9" s="165">
        <f>SUM(VS!F10:H10)</f>
        <v>0</v>
      </c>
      <c r="I9" s="165">
        <f>SUM(VS!I10:K10)</f>
        <v>0</v>
      </c>
      <c r="J9" s="166">
        <f>SUM(VS!L10:N10)</f>
        <v>0</v>
      </c>
      <c r="K9" s="451"/>
      <c r="L9" s="269">
        <f t="shared" si="0"/>
        <v>163945204.59</v>
      </c>
      <c r="M9" s="269">
        <f t="shared" si="0"/>
        <v>164084780.69</v>
      </c>
      <c r="N9" s="269">
        <f t="shared" si="0"/>
        <v>177501202.04000002</v>
      </c>
      <c r="O9" s="269">
        <f t="shared" si="0"/>
        <v>181531107.69999999</v>
      </c>
    </row>
    <row r="10" spans="1:15" x14ac:dyDescent="0.25">
      <c r="A10" s="361" t="s">
        <v>516</v>
      </c>
      <c r="B10" s="165">
        <f>SUM('TRANSFERENCIA CORRIENTE'!C11:E11)</f>
        <v>9594398.8000000007</v>
      </c>
      <c r="C10" s="165">
        <f>SUM('TRANSFERENCIA CORRIENTE'!F11:H11)</f>
        <v>10535798.949999999</v>
      </c>
      <c r="D10" s="165">
        <f>SUM('TRANSFERENCIA CORRIENTE'!I11:K11)</f>
        <v>10034891.41</v>
      </c>
      <c r="E10" s="165">
        <f>SUM('TRANSFERENCIA CORRIENTE'!L11:N11)</f>
        <v>6610497.3200000003</v>
      </c>
      <c r="F10" s="451"/>
      <c r="G10" s="165">
        <f>SUM(VS!C11:E11)</f>
        <v>5231553.59</v>
      </c>
      <c r="H10" s="165">
        <f>SUM(VS!F11:H11)</f>
        <v>0</v>
      </c>
      <c r="I10" s="165">
        <f>SUM(VS!I11:K11)</f>
        <v>4413127.5500000007</v>
      </c>
      <c r="J10" s="166">
        <f>SUM(VS!L11:N11)</f>
        <v>0</v>
      </c>
      <c r="K10" s="451"/>
      <c r="L10" s="269">
        <f t="shared" ref="L10:M13" si="1">SUM(B10+G10)</f>
        <v>14825952.390000001</v>
      </c>
      <c r="M10" s="269">
        <f t="shared" si="1"/>
        <v>10535798.949999999</v>
      </c>
      <c r="N10" s="269">
        <f t="shared" ref="N10:O13" si="2">SUM(D10+I10)</f>
        <v>14448018.960000001</v>
      </c>
      <c r="O10" s="269">
        <f t="shared" si="2"/>
        <v>6610497.3200000003</v>
      </c>
    </row>
    <row r="11" spans="1:15" x14ac:dyDescent="0.25">
      <c r="A11" s="361" t="s">
        <v>515</v>
      </c>
      <c r="B11" s="165">
        <f>SUM('TRANSFERENCIA CORRIENTE'!C12:E12)</f>
        <v>0</v>
      </c>
      <c r="C11" s="165">
        <f>SUM('TRANSFERENCIA CORRIENTE'!F12:H12)</f>
        <v>0</v>
      </c>
      <c r="D11" s="165">
        <f>SUM('TRANSFERENCIA CORRIENTE'!I12:K12)</f>
        <v>0</v>
      </c>
      <c r="E11" s="165">
        <f>SUM('TRANSFERENCIA CORRIENTE'!L12:N12)</f>
        <v>0</v>
      </c>
      <c r="F11" s="451"/>
      <c r="G11" s="165">
        <f>SUM(VS!C12:E12)</f>
        <v>0</v>
      </c>
      <c r="H11" s="165">
        <f>SUM(VS!F12:H12)</f>
        <v>0</v>
      </c>
      <c r="I11" s="165">
        <f>SUM(VS!I12:K12)</f>
        <v>0</v>
      </c>
      <c r="J11" s="166">
        <f>SUM(VS!L12:N12)</f>
        <v>0</v>
      </c>
      <c r="K11" s="451"/>
      <c r="L11" s="269">
        <f t="shared" si="1"/>
        <v>0</v>
      </c>
      <c r="M11" s="269">
        <f t="shared" si="1"/>
        <v>0</v>
      </c>
      <c r="N11" s="269">
        <f t="shared" si="2"/>
        <v>0</v>
      </c>
      <c r="O11" s="269">
        <f t="shared" si="2"/>
        <v>0</v>
      </c>
    </row>
    <row r="12" spans="1:15" x14ac:dyDescent="0.25">
      <c r="A12" s="361" t="s">
        <v>514</v>
      </c>
      <c r="B12" s="165">
        <f>SUM('TRANSFERENCIA CORRIENTE'!C13:E13)</f>
        <v>0</v>
      </c>
      <c r="C12" s="165">
        <f>SUM('TRANSFERENCIA CORRIENTE'!F13:H13)</f>
        <v>0</v>
      </c>
      <c r="D12" s="165">
        <f>SUM('TRANSFERENCIA CORRIENTE'!I13:K13)</f>
        <v>0</v>
      </c>
      <c r="E12" s="165">
        <f>SUM('TRANSFERENCIA CORRIENTE'!L13:N13)</f>
        <v>0</v>
      </c>
      <c r="F12" s="451"/>
      <c r="G12" s="165">
        <f>SUM(VS!C13:E13)</f>
        <v>0</v>
      </c>
      <c r="H12" s="165">
        <f>SUM(VS!F13:H13)</f>
        <v>0</v>
      </c>
      <c r="I12" s="165">
        <f>SUM(VS!I13:K13)</f>
        <v>0</v>
      </c>
      <c r="J12" s="166">
        <f>SUM(VS!L13:N13)</f>
        <v>0</v>
      </c>
      <c r="K12" s="451"/>
      <c r="L12" s="269">
        <f t="shared" si="1"/>
        <v>0</v>
      </c>
      <c r="M12" s="269">
        <f t="shared" si="1"/>
        <v>0</v>
      </c>
      <c r="N12" s="269">
        <f t="shared" si="2"/>
        <v>0</v>
      </c>
      <c r="O12" s="269">
        <f t="shared" si="2"/>
        <v>0</v>
      </c>
    </row>
    <row r="13" spans="1:15" x14ac:dyDescent="0.25">
      <c r="A13" s="361" t="s">
        <v>513</v>
      </c>
      <c r="B13" s="165">
        <f>SUM('TRANSFERENCIA CORRIENTE'!C14:E14)</f>
        <v>25021132.289999999</v>
      </c>
      <c r="C13" s="165">
        <f>SUM('TRANSFERENCIA CORRIENTE'!F14:H14)</f>
        <v>25149742.170000002</v>
      </c>
      <c r="D13" s="165">
        <f>SUM('TRANSFERENCIA CORRIENTE'!I14:K14)</f>
        <v>27222347.390000001</v>
      </c>
      <c r="E13" s="165">
        <f>SUM('TRANSFERENCIA CORRIENTE'!L14:N14)</f>
        <v>18586054.539999999</v>
      </c>
      <c r="F13" s="451"/>
      <c r="G13" s="165">
        <f>SUM(VS!C14:E14)</f>
        <v>0</v>
      </c>
      <c r="H13" s="165">
        <f>SUM(VS!F14:H14)</f>
        <v>0</v>
      </c>
      <c r="I13" s="165">
        <f>SUM(VS!I14:K14)</f>
        <v>0</v>
      </c>
      <c r="J13" s="166">
        <f>SUM(VS!L14:N14)</f>
        <v>0</v>
      </c>
      <c r="K13" s="451"/>
      <c r="L13" s="269">
        <f t="shared" si="1"/>
        <v>25021132.289999999</v>
      </c>
      <c r="M13" s="269">
        <f t="shared" si="1"/>
        <v>25149742.170000002</v>
      </c>
      <c r="N13" s="269">
        <f t="shared" si="2"/>
        <v>27222347.390000001</v>
      </c>
      <c r="O13" s="269">
        <f t="shared" si="2"/>
        <v>18586054.539999999</v>
      </c>
    </row>
    <row r="14" spans="1:15" s="168" customFormat="1" x14ac:dyDescent="0.25">
      <c r="A14" s="156" t="s">
        <v>512</v>
      </c>
      <c r="B14" s="163">
        <f>SUM(B15:B23)</f>
        <v>9308364.879999999</v>
      </c>
      <c r="C14" s="163">
        <f>SUM(C15:C23)</f>
        <v>10131818.199999999</v>
      </c>
      <c r="D14" s="163">
        <f>SUM(D15:D23)</f>
        <v>11703689.689999999</v>
      </c>
      <c r="E14" s="163">
        <f>SUM(E15:E23)</f>
        <v>2689695.1999999997</v>
      </c>
      <c r="F14" s="451"/>
      <c r="G14" s="163">
        <f>SUM(G15:G23)</f>
        <v>8306683.8499999996</v>
      </c>
      <c r="H14" s="163">
        <f>SUM(H15:H23)</f>
        <v>7239413.7899999991</v>
      </c>
      <c r="I14" s="163">
        <f>SUM(I15:I23)</f>
        <v>10378415.750000002</v>
      </c>
      <c r="J14" s="163">
        <f>SUM(J15:J23)</f>
        <v>4048661.9299999997</v>
      </c>
      <c r="K14" s="451"/>
      <c r="L14" s="164">
        <f>SUM(B14+G14)</f>
        <v>17615048.729999997</v>
      </c>
      <c r="M14" s="164">
        <f t="shared" ref="M14:O29" si="3">SUM(C14+H14)</f>
        <v>17371231.989999998</v>
      </c>
      <c r="N14" s="164">
        <f t="shared" si="3"/>
        <v>22082105.440000001</v>
      </c>
      <c r="O14" s="164">
        <f t="shared" si="3"/>
        <v>6738357.129999999</v>
      </c>
    </row>
    <row r="15" spans="1:15" x14ac:dyDescent="0.25">
      <c r="A15" s="361" t="s">
        <v>511</v>
      </c>
      <c r="B15" s="165">
        <f>SUM('TRANSFERENCIA CORRIENTE'!C16:E16)</f>
        <v>2020024.3</v>
      </c>
      <c r="C15" s="165">
        <f>SUM('TRANSFERENCIA CORRIENTE'!F16:H16)</f>
        <v>181605</v>
      </c>
      <c r="D15" s="165">
        <f>SUM('TRANSFERENCIA CORRIENTE'!J16:L16)</f>
        <v>181605</v>
      </c>
      <c r="E15" s="165">
        <f>SUM('TRANSFERENCIA CORRIENTE'!L16:N16)</f>
        <v>121070</v>
      </c>
      <c r="F15" s="451"/>
      <c r="G15" s="165">
        <f>SUM(VS!C16:E16)</f>
        <v>2341561.92</v>
      </c>
      <c r="H15" s="165">
        <f>SUM(VS!F16:H16)</f>
        <v>2348580.7199999997</v>
      </c>
      <c r="I15" s="165">
        <f>SUM(VS!I16:K16)</f>
        <v>2876937.56</v>
      </c>
      <c r="J15" s="166">
        <f>SUM(VS!L16:N16)</f>
        <v>1913099.93</v>
      </c>
      <c r="K15" s="451"/>
      <c r="L15" s="269">
        <f t="shared" ref="L15:L23" si="4">SUM(B15+G15)</f>
        <v>4361586.22</v>
      </c>
      <c r="M15" s="269">
        <f t="shared" si="3"/>
        <v>2530185.7199999997</v>
      </c>
      <c r="N15" s="269">
        <f t="shared" si="3"/>
        <v>3058542.56</v>
      </c>
      <c r="O15" s="269">
        <f t="shared" si="3"/>
        <v>2034169.93</v>
      </c>
    </row>
    <row r="16" spans="1:15" x14ac:dyDescent="0.25">
      <c r="A16" s="361" t="s">
        <v>510</v>
      </c>
      <c r="B16" s="165">
        <f>SUM('TRANSFERENCIA CORRIENTE'!C17:E17)</f>
        <v>324206.83</v>
      </c>
      <c r="C16" s="165">
        <f>SUM('TRANSFERENCIA CORRIENTE'!F17:H17)</f>
        <v>351993.82999999996</v>
      </c>
      <c r="D16" s="165">
        <f>SUM('TRANSFERENCIA CORRIENTE'!J17:L17)</f>
        <v>190472.3</v>
      </c>
      <c r="E16" s="165">
        <f>SUM('TRANSFERENCIA CORRIENTE'!L17:N17)</f>
        <v>54044</v>
      </c>
      <c r="F16" s="451"/>
      <c r="G16" s="165">
        <f>SUM(VS!C17:E17)</f>
        <v>0</v>
      </c>
      <c r="H16" s="165">
        <f>SUM(VS!F17:H17)</f>
        <v>310139.40000000002</v>
      </c>
      <c r="I16" s="165">
        <f>SUM(VS!I17:K17)</f>
        <v>1187725.17</v>
      </c>
      <c r="J16" s="166">
        <f>SUM(VS!L17:N17)</f>
        <v>221258.85</v>
      </c>
      <c r="K16" s="451"/>
      <c r="L16" s="269">
        <f t="shared" si="4"/>
        <v>324206.83</v>
      </c>
      <c r="M16" s="269">
        <f t="shared" si="3"/>
        <v>662133.23</v>
      </c>
      <c r="N16" s="269">
        <f t="shared" si="3"/>
        <v>1378197.47</v>
      </c>
      <c r="O16" s="269">
        <f t="shared" si="3"/>
        <v>275302.84999999998</v>
      </c>
    </row>
    <row r="17" spans="1:15" x14ac:dyDescent="0.25">
      <c r="A17" s="361" t="s">
        <v>509</v>
      </c>
      <c r="B17" s="165">
        <f>SUM('TRANSFERENCIA CORRIENTE'!C18:E18)</f>
        <v>0</v>
      </c>
      <c r="C17" s="165">
        <f>SUM('TRANSFERENCIA CORRIENTE'!F18:H18)</f>
        <v>0</v>
      </c>
      <c r="D17" s="165">
        <f>SUM('TRANSFERENCIA CORRIENTE'!J18:L18)</f>
        <v>0</v>
      </c>
      <c r="E17" s="165">
        <f>SUM('TRANSFERENCIA CORRIENTE'!L18:N18)</f>
        <v>0</v>
      </c>
      <c r="F17" s="451"/>
      <c r="G17" s="165">
        <f>SUM(VS!C18:E18)</f>
        <v>0</v>
      </c>
      <c r="H17" s="165">
        <f>SUM(VS!F18:H18)</f>
        <v>0</v>
      </c>
      <c r="I17" s="165">
        <f>SUM(VS!I18:K18)</f>
        <v>0</v>
      </c>
      <c r="J17" s="166">
        <f>SUM(VS!L18:N18)</f>
        <v>40000</v>
      </c>
      <c r="K17" s="451"/>
      <c r="L17" s="269">
        <f t="shared" si="4"/>
        <v>0</v>
      </c>
      <c r="M17" s="269">
        <f t="shared" si="3"/>
        <v>0</v>
      </c>
      <c r="N17" s="269">
        <f t="shared" si="3"/>
        <v>0</v>
      </c>
      <c r="O17" s="269">
        <f t="shared" si="3"/>
        <v>40000</v>
      </c>
    </row>
    <row r="18" spans="1:15" x14ac:dyDescent="0.25">
      <c r="A18" s="361" t="s">
        <v>508</v>
      </c>
      <c r="B18" s="165">
        <f>SUM('TRANSFERENCIA CORRIENTE'!C19:E19)</f>
        <v>0</v>
      </c>
      <c r="C18" s="165">
        <f>SUM('TRANSFERENCIA CORRIENTE'!F19:H19)</f>
        <v>0</v>
      </c>
      <c r="D18" s="165">
        <f>SUM('TRANSFERENCIA CORRIENTE'!J19:L19)</f>
        <v>0</v>
      </c>
      <c r="E18" s="165">
        <f>SUM('TRANSFERENCIA CORRIENTE'!L19:N19)</f>
        <v>0</v>
      </c>
      <c r="F18" s="451"/>
      <c r="G18" s="165">
        <f>SUM(VS!C19:E19)</f>
        <v>56000</v>
      </c>
      <c r="H18" s="165">
        <f>SUM(VS!F19:H19)</f>
        <v>96000</v>
      </c>
      <c r="I18" s="165">
        <f>SUM(VS!I19:K19)</f>
        <v>76000</v>
      </c>
      <c r="J18" s="166">
        <f>SUM(VS!L19:N19)</f>
        <v>20000</v>
      </c>
      <c r="K18" s="451"/>
      <c r="L18" s="269">
        <f t="shared" si="4"/>
        <v>56000</v>
      </c>
      <c r="M18" s="269">
        <f t="shared" si="3"/>
        <v>96000</v>
      </c>
      <c r="N18" s="269">
        <f t="shared" si="3"/>
        <v>76000</v>
      </c>
      <c r="O18" s="269">
        <f t="shared" si="3"/>
        <v>20000</v>
      </c>
    </row>
    <row r="19" spans="1:15" x14ac:dyDescent="0.25">
      <c r="A19" s="361" t="s">
        <v>507</v>
      </c>
      <c r="B19" s="165">
        <f>SUM('TRANSFERENCIA CORRIENTE'!C20:E20)</f>
        <v>0</v>
      </c>
      <c r="C19" s="165">
        <f>SUM('TRANSFERENCIA CORRIENTE'!F20:H20)</f>
        <v>150000</v>
      </c>
      <c r="D19" s="165">
        <f>SUM('TRANSFERENCIA CORRIENTE'!J20:L20)</f>
        <v>448561.91999999998</v>
      </c>
      <c r="E19" s="165">
        <f>SUM('TRANSFERENCIA CORRIENTE'!L20:N20)</f>
        <v>298561.91999999998</v>
      </c>
      <c r="F19" s="451"/>
      <c r="G19" s="165">
        <f>SUM(VS!C20:E20)</f>
        <v>519625.15</v>
      </c>
      <c r="H19" s="165">
        <f>SUM(VS!F20:H20)</f>
        <v>759170.42</v>
      </c>
      <c r="I19" s="165">
        <f>SUM(VS!I20:K20)</f>
        <v>927025.6399999999</v>
      </c>
      <c r="J19" s="166">
        <f>SUM(VS!L20:N20)</f>
        <v>298143.38</v>
      </c>
      <c r="K19" s="451"/>
      <c r="L19" s="269">
        <f t="shared" si="4"/>
        <v>519625.15</v>
      </c>
      <c r="M19" s="269">
        <f t="shared" si="3"/>
        <v>909170.42</v>
      </c>
      <c r="N19" s="269">
        <f t="shared" si="3"/>
        <v>1375587.5599999998</v>
      </c>
      <c r="O19" s="269">
        <f t="shared" si="3"/>
        <v>596705.30000000005</v>
      </c>
    </row>
    <row r="20" spans="1:15" x14ac:dyDescent="0.25">
      <c r="A20" s="361" t="s">
        <v>506</v>
      </c>
      <c r="B20" s="165">
        <f>SUM('TRANSFERENCIA CORRIENTE'!C21:E21)</f>
        <v>0</v>
      </c>
      <c r="C20" s="165">
        <f>SUM('TRANSFERENCIA CORRIENTE'!F21:H21)</f>
        <v>0</v>
      </c>
      <c r="D20" s="165">
        <f>SUM('TRANSFERENCIA CORRIENTE'!J21:L21)</f>
        <v>0</v>
      </c>
      <c r="E20" s="165">
        <f>SUM('TRANSFERENCIA CORRIENTE'!L21:N21)</f>
        <v>0</v>
      </c>
      <c r="F20" s="451"/>
      <c r="G20" s="165">
        <f>SUM(VS!C21:E21)</f>
        <v>0</v>
      </c>
      <c r="H20" s="165">
        <f>SUM(VS!F21:H21)</f>
        <v>0</v>
      </c>
      <c r="I20" s="165">
        <f>SUM(VS!I21:K21)</f>
        <v>0</v>
      </c>
      <c r="J20" s="166">
        <f>SUM(VS!L21:N21)</f>
        <v>3449.08</v>
      </c>
      <c r="K20" s="451"/>
      <c r="L20" s="269">
        <f t="shared" si="4"/>
        <v>0</v>
      </c>
      <c r="M20" s="269">
        <f t="shared" si="3"/>
        <v>0</v>
      </c>
      <c r="N20" s="269">
        <f t="shared" si="3"/>
        <v>0</v>
      </c>
      <c r="O20" s="269">
        <f t="shared" si="3"/>
        <v>3449.08</v>
      </c>
    </row>
    <row r="21" spans="1:15" ht="30" x14ac:dyDescent="0.25">
      <c r="A21" s="361" t="s">
        <v>505</v>
      </c>
      <c r="B21" s="165">
        <f>SUM('TRANSFERENCIA CORRIENTE'!C22:E22)</f>
        <v>6474433.75</v>
      </c>
      <c r="C21" s="165">
        <f>SUM('TRANSFERENCIA CORRIENTE'!F22:H22)</f>
        <v>5611474.3300000001</v>
      </c>
      <c r="D21" s="165">
        <f>SUM('TRANSFERENCIA CORRIENTE'!J22:L22)</f>
        <v>4467039.47</v>
      </c>
      <c r="E21" s="165">
        <f>SUM('TRANSFERENCIA CORRIENTE'!L22:N22)</f>
        <v>1669019.2799999998</v>
      </c>
      <c r="F21" s="451"/>
      <c r="G21" s="165">
        <f>SUM(VS!C22:E22)</f>
        <v>4556850.12</v>
      </c>
      <c r="H21" s="165">
        <f>SUM(VS!F22:H22)</f>
        <v>1040817.5700000001</v>
      </c>
      <c r="I21" s="165">
        <f>SUM(VS!I22:K22)</f>
        <v>3360268.75</v>
      </c>
      <c r="J21" s="166">
        <f>SUM(VS!L22:N22)</f>
        <v>425674.45</v>
      </c>
      <c r="K21" s="451"/>
      <c r="L21" s="269">
        <f t="shared" si="4"/>
        <v>11031283.870000001</v>
      </c>
      <c r="M21" s="269">
        <f t="shared" si="3"/>
        <v>6652291.9000000004</v>
      </c>
      <c r="N21" s="269">
        <f t="shared" si="3"/>
        <v>7827308.2199999997</v>
      </c>
      <c r="O21" s="269">
        <f>SUM(E21+J21)</f>
        <v>2094693.7299999997</v>
      </c>
    </row>
    <row r="22" spans="1:15" x14ac:dyDescent="0.25">
      <c r="A22" s="361" t="s">
        <v>504</v>
      </c>
      <c r="B22" s="165">
        <f>SUM('TRANSFERENCIA CORRIENTE'!C23:E23)</f>
        <v>489700</v>
      </c>
      <c r="C22" s="165">
        <f>SUM('TRANSFERENCIA CORRIENTE'!F23:H23)</f>
        <v>413000</v>
      </c>
      <c r="D22" s="165">
        <f>SUM('TRANSFERENCIA CORRIENTE'!J23:L23)</f>
        <v>4101500</v>
      </c>
      <c r="E22" s="165">
        <f>SUM('TRANSFERENCIA CORRIENTE'!L23:N23)</f>
        <v>547000</v>
      </c>
      <c r="F22" s="451"/>
      <c r="G22" s="165">
        <f>SUM(VS!C23:E23)</f>
        <v>832646.66</v>
      </c>
      <c r="H22" s="165">
        <f>SUM(VS!F23:H23)</f>
        <v>1774418.2799999998</v>
      </c>
      <c r="I22" s="165">
        <f>SUM(VS!I23:K23)</f>
        <v>1400729.0799999998</v>
      </c>
      <c r="J22" s="166">
        <f>SUM(VS!L23:N23)</f>
        <v>1127036.24</v>
      </c>
      <c r="K22" s="451"/>
      <c r="L22" s="269">
        <f t="shared" si="4"/>
        <v>1322346.6600000001</v>
      </c>
      <c r="M22" s="269">
        <f t="shared" si="3"/>
        <v>2187418.2799999998</v>
      </c>
      <c r="N22" s="269">
        <f t="shared" si="3"/>
        <v>5502229.0800000001</v>
      </c>
      <c r="O22" s="269">
        <f t="shared" si="3"/>
        <v>1674036.24</v>
      </c>
    </row>
    <row r="23" spans="1:15" x14ac:dyDescent="0.25">
      <c r="A23" s="361" t="s">
        <v>503</v>
      </c>
      <c r="B23" s="165">
        <f>SUM('TRANSFERENCIA CORRIENTE'!C24:E24)</f>
        <v>0</v>
      </c>
      <c r="C23" s="165">
        <f>SUM('TRANSFERENCIA CORRIENTE'!F24:H24)</f>
        <v>3423745.04</v>
      </c>
      <c r="D23" s="165">
        <f>SUM('TRANSFERENCIA CORRIENTE'!J24:L24)</f>
        <v>2314511</v>
      </c>
      <c r="E23" s="165">
        <f>SUM('TRANSFERENCIA CORRIENTE'!L24:N24)</f>
        <v>0</v>
      </c>
      <c r="F23" s="451"/>
      <c r="G23" s="165">
        <f>SUM(VS!C24:E24)</f>
        <v>0</v>
      </c>
      <c r="H23" s="165">
        <f>SUM(VS!F24:H24)</f>
        <v>910287.4</v>
      </c>
      <c r="I23" s="165">
        <f>SUM(VS!I24:K24)</f>
        <v>549729.55000000005</v>
      </c>
      <c r="J23" s="166">
        <f>SUM(VS!L24:N24)</f>
        <v>0</v>
      </c>
      <c r="K23" s="451"/>
      <c r="L23" s="167">
        <f t="shared" si="4"/>
        <v>0</v>
      </c>
      <c r="M23" s="167">
        <f t="shared" si="3"/>
        <v>4334032.4400000004</v>
      </c>
      <c r="N23" s="167">
        <f t="shared" si="3"/>
        <v>2864240.55</v>
      </c>
      <c r="O23" s="167">
        <f t="shared" si="3"/>
        <v>0</v>
      </c>
    </row>
    <row r="24" spans="1:15" s="168" customFormat="1" x14ac:dyDescent="0.25">
      <c r="A24" s="156" t="s">
        <v>502</v>
      </c>
      <c r="B24" s="163">
        <f>SUM(B25:B33)</f>
        <v>46153283.390000001</v>
      </c>
      <c r="C24" s="163">
        <f>SUM(C25:C33)</f>
        <v>52385650.660000004</v>
      </c>
      <c r="D24" s="163">
        <f>SUM(D25:D33)</f>
        <v>103786940.22999999</v>
      </c>
      <c r="E24" s="163">
        <f>SUM(E25:E33)</f>
        <v>45676288.18</v>
      </c>
      <c r="F24" s="451"/>
      <c r="G24" s="163">
        <f>SUM(G25:G33)</f>
        <v>7292547.2799999993</v>
      </c>
      <c r="H24" s="163">
        <f>SUM(H25:H33)</f>
        <v>6552680.6099999994</v>
      </c>
      <c r="I24" s="163">
        <f>SUM(I25:I33)</f>
        <v>9091857.0700000003</v>
      </c>
      <c r="J24" s="163">
        <f>SUM(J25:J33)</f>
        <v>8069838.1299999999</v>
      </c>
      <c r="K24" s="451"/>
      <c r="L24" s="164">
        <f>SUM(B24+G24)</f>
        <v>53445830.670000002</v>
      </c>
      <c r="M24" s="164">
        <f t="shared" si="3"/>
        <v>58938331.270000003</v>
      </c>
      <c r="N24" s="164">
        <f t="shared" si="3"/>
        <v>112878797.29999998</v>
      </c>
      <c r="O24" s="164">
        <f t="shared" si="3"/>
        <v>53746126.310000002</v>
      </c>
    </row>
    <row r="25" spans="1:15" x14ac:dyDescent="0.25">
      <c r="A25" s="361" t="s">
        <v>501</v>
      </c>
      <c r="B25" s="165">
        <f>SUM('TRANSFERENCIA CORRIENTE'!C26:E26)</f>
        <v>3713897.2399999998</v>
      </c>
      <c r="C25" s="165">
        <f>SUM('TRANSFERENCIA CORRIENTE'!F26:H26)</f>
        <v>4866999.25</v>
      </c>
      <c r="D25" s="165">
        <f>SUM('TRANSFERENCIA CORRIENTE'!I23:K23)</f>
        <v>3779000</v>
      </c>
      <c r="E25" s="165">
        <f>SUM('TRANSFERENCIA CORRIENTE'!L26:N26)</f>
        <v>1904370.2</v>
      </c>
      <c r="F25" s="451"/>
      <c r="G25" s="165">
        <f>SUM(VS!C26:E26)</f>
        <v>1500755.8</v>
      </c>
      <c r="H25" s="165">
        <f>SUM(VS!F26:H26)</f>
        <v>663230</v>
      </c>
      <c r="I25" s="165">
        <f>SUM(VS!I26:K26)</f>
        <v>1574425.6600000001</v>
      </c>
      <c r="J25" s="166">
        <f>SUM(VS!L26:N26)</f>
        <v>448552</v>
      </c>
      <c r="K25" s="451"/>
      <c r="L25" s="167">
        <f t="shared" ref="L25:O40" si="5">SUM(B25+G25)</f>
        <v>5214653.04</v>
      </c>
      <c r="M25" s="167">
        <f t="shared" si="3"/>
        <v>5530229.25</v>
      </c>
      <c r="N25" s="167">
        <f t="shared" si="3"/>
        <v>5353425.66</v>
      </c>
      <c r="O25" s="167">
        <f t="shared" si="3"/>
        <v>2352922.2000000002</v>
      </c>
    </row>
    <row r="26" spans="1:15" x14ac:dyDescent="0.25">
      <c r="A26" s="361" t="s">
        <v>500</v>
      </c>
      <c r="B26" s="165">
        <f>SUM('TRANSFERENCIA CORRIENTE'!C27:E27)</f>
        <v>61630.73</v>
      </c>
      <c r="C26" s="165">
        <f>SUM('TRANSFERENCIA CORRIENTE'!F27:H27)</f>
        <v>2375399.4299999997</v>
      </c>
      <c r="D26" s="165">
        <f>SUM('TRANSFERENCIA CORRIENTE'!I24:K24)</f>
        <v>2314511</v>
      </c>
      <c r="E26" s="165">
        <f>SUM('TRANSFERENCIA CORRIENTE'!L27:N27)</f>
        <v>624994.03</v>
      </c>
      <c r="F26" s="451"/>
      <c r="G26" s="165">
        <f>SUM(VS!C27:E27)</f>
        <v>0</v>
      </c>
      <c r="H26" s="165">
        <f>SUM(VS!F27:H27)</f>
        <v>346306.4</v>
      </c>
      <c r="I26" s="165">
        <f>SUM(VS!I27:K27)</f>
        <v>0</v>
      </c>
      <c r="J26" s="166">
        <f>SUM(VS!L27:N27)</f>
        <v>0</v>
      </c>
      <c r="K26" s="451"/>
      <c r="L26" s="269">
        <f t="shared" si="5"/>
        <v>61630.73</v>
      </c>
      <c r="M26" s="269">
        <f t="shared" si="3"/>
        <v>2721705.8299999996</v>
      </c>
      <c r="N26" s="269">
        <f t="shared" si="3"/>
        <v>2314511</v>
      </c>
      <c r="O26" s="269">
        <f t="shared" si="3"/>
        <v>624994.03</v>
      </c>
    </row>
    <row r="27" spans="1:15" x14ac:dyDescent="0.25">
      <c r="A27" s="361" t="s">
        <v>499</v>
      </c>
      <c r="B27" s="165">
        <f>SUM('TRANSFERENCIA CORRIENTE'!C28:E28)</f>
        <v>1826911.8399999999</v>
      </c>
      <c r="C27" s="165">
        <f>SUM('TRANSFERENCIA CORRIENTE'!F28:H28)</f>
        <v>2991695.71</v>
      </c>
      <c r="D27" s="165">
        <f>SUM('TRANSFERENCIA CORRIENTE'!I25:K25)</f>
        <v>65609607.189999998</v>
      </c>
      <c r="E27" s="165">
        <f>SUM('TRANSFERENCIA CORRIENTE'!L28:N28)</f>
        <v>2540026</v>
      </c>
      <c r="F27" s="451"/>
      <c r="G27" s="165">
        <f>SUM(VS!C28:E28)</f>
        <v>251163</v>
      </c>
      <c r="H27" s="165">
        <f>SUM(VS!F28:H28)</f>
        <v>803989</v>
      </c>
      <c r="I27" s="165">
        <f>SUM(VS!I28:K28)</f>
        <v>734332.03</v>
      </c>
      <c r="J27" s="166">
        <f>SUM(VS!L28:N28)</f>
        <v>0</v>
      </c>
      <c r="K27" s="451"/>
      <c r="L27" s="269">
        <f t="shared" si="5"/>
        <v>2078074.8399999999</v>
      </c>
      <c r="M27" s="269">
        <f t="shared" si="3"/>
        <v>3795684.71</v>
      </c>
      <c r="N27" s="269">
        <f t="shared" si="3"/>
        <v>66343939.219999999</v>
      </c>
      <c r="O27" s="269">
        <f t="shared" si="3"/>
        <v>2540026</v>
      </c>
    </row>
    <row r="28" spans="1:15" x14ac:dyDescent="0.25">
      <c r="A28" s="361" t="s">
        <v>498</v>
      </c>
      <c r="B28" s="165">
        <f>SUM('TRANSFERENCIA CORRIENTE'!C29:E29)</f>
        <v>10797335.800000001</v>
      </c>
      <c r="C28" s="165">
        <f>SUM('TRANSFERENCIA CORRIENTE'!F29:H29)</f>
        <v>12009356.6</v>
      </c>
      <c r="D28" s="165">
        <f>SUM('TRANSFERENCIA CORRIENTE'!I26:K26)</f>
        <v>6044845.1100000003</v>
      </c>
      <c r="E28" s="165">
        <f>SUM('TRANSFERENCIA CORRIENTE'!L29:N29)</f>
        <v>6533049.2999999998</v>
      </c>
      <c r="F28" s="451"/>
      <c r="G28" s="165">
        <f>SUM(VS!C29:E29)</f>
        <v>558000</v>
      </c>
      <c r="H28" s="165">
        <f>SUM(VS!F29:H29)</f>
        <v>402220.76</v>
      </c>
      <c r="I28" s="165">
        <f>SUM(VS!I29:K29)</f>
        <v>496000</v>
      </c>
      <c r="J28" s="166">
        <f>SUM(VS!L29:N29)</f>
        <v>2567560</v>
      </c>
      <c r="K28" s="451"/>
      <c r="L28" s="269">
        <f t="shared" si="5"/>
        <v>11355335.800000001</v>
      </c>
      <c r="M28" s="269">
        <f t="shared" si="3"/>
        <v>12411577.359999999</v>
      </c>
      <c r="N28" s="269">
        <f t="shared" si="3"/>
        <v>6540845.1100000003</v>
      </c>
      <c r="O28" s="269">
        <f t="shared" si="3"/>
        <v>9100609.3000000007</v>
      </c>
    </row>
    <row r="29" spans="1:15" x14ac:dyDescent="0.25">
      <c r="A29" s="361" t="s">
        <v>497</v>
      </c>
      <c r="B29" s="165">
        <f>SUM('TRANSFERENCIA CORRIENTE'!C30:E30)</f>
        <v>334708.95</v>
      </c>
      <c r="C29" s="165">
        <f>SUM('TRANSFERENCIA CORRIENTE'!F30:H30)</f>
        <v>1024240.4299999999</v>
      </c>
      <c r="D29" s="165">
        <f>SUM('TRANSFERENCIA CORRIENTE'!I27:K27)</f>
        <v>3015806.75</v>
      </c>
      <c r="E29" s="165">
        <f>SUM('TRANSFERENCIA CORRIENTE'!L30:N30)</f>
        <v>641356.08000000007</v>
      </c>
      <c r="F29" s="451"/>
      <c r="G29" s="165">
        <f>SUM(VS!C30:E30)</f>
        <v>567494.87</v>
      </c>
      <c r="H29" s="165">
        <f>SUM(VS!F30:H30)</f>
        <v>0</v>
      </c>
      <c r="I29" s="165">
        <f>SUM(VS!I30:K30)</f>
        <v>140314.78</v>
      </c>
      <c r="J29" s="166">
        <f>SUM(VS!L30:N30)</f>
        <v>298561.91999999998</v>
      </c>
      <c r="K29" s="451"/>
      <c r="L29" s="269">
        <f t="shared" si="5"/>
        <v>902203.82000000007</v>
      </c>
      <c r="M29" s="269">
        <f t="shared" si="3"/>
        <v>1024240.4299999999</v>
      </c>
      <c r="N29" s="269">
        <f t="shared" si="3"/>
        <v>3156121.53</v>
      </c>
      <c r="O29" s="269">
        <f t="shared" si="3"/>
        <v>939918</v>
      </c>
    </row>
    <row r="30" spans="1:15" x14ac:dyDescent="0.25">
      <c r="A30" s="361" t="s">
        <v>496</v>
      </c>
      <c r="B30" s="165">
        <f>SUM('TRANSFERENCIA CORRIENTE'!C31:E31)</f>
        <v>11630.98</v>
      </c>
      <c r="C30" s="165">
        <f>SUM('TRANSFERENCIA CORRIENTE'!F31:H31)</f>
        <v>667620.59</v>
      </c>
      <c r="D30" s="165">
        <f>SUM('TRANSFERENCIA CORRIENTE'!I28:K28)</f>
        <v>2859834.36</v>
      </c>
      <c r="E30" s="165">
        <f>SUM('TRANSFERENCIA CORRIENTE'!L31:N31)</f>
        <v>236465.7</v>
      </c>
      <c r="F30" s="451"/>
      <c r="G30" s="165">
        <f>SUM(VS!C31:E31)</f>
        <v>293957.3</v>
      </c>
      <c r="H30" s="165">
        <f>SUM(VS!F31:H31)</f>
        <v>0</v>
      </c>
      <c r="I30" s="165">
        <f>SUM(VS!I31:K31)</f>
        <v>211552.06</v>
      </c>
      <c r="J30" s="166">
        <f>SUM(VS!L31:N31)</f>
        <v>875.01</v>
      </c>
      <c r="K30" s="451"/>
      <c r="L30" s="269">
        <f t="shared" si="5"/>
        <v>305588.27999999997</v>
      </c>
      <c r="M30" s="269">
        <f t="shared" si="5"/>
        <v>667620.59</v>
      </c>
      <c r="N30" s="269">
        <f t="shared" si="5"/>
        <v>3071386.42</v>
      </c>
      <c r="O30" s="269">
        <f t="shared" si="5"/>
        <v>237340.71000000002</v>
      </c>
    </row>
    <row r="31" spans="1:15" x14ac:dyDescent="0.25">
      <c r="A31" s="361" t="s">
        <v>495</v>
      </c>
      <c r="B31" s="165">
        <f>SUM('TRANSFERENCIA CORRIENTE'!C32:E32)</f>
        <v>8910101.959999999</v>
      </c>
      <c r="C31" s="165">
        <f>SUM('TRANSFERENCIA CORRIENTE'!F32:H32)</f>
        <v>10068979.180000002</v>
      </c>
      <c r="D31" s="165">
        <f>SUM('TRANSFERENCIA CORRIENTE'!I29:K29)</f>
        <v>19203378</v>
      </c>
      <c r="E31" s="165">
        <f>SUM('TRANSFERENCIA CORRIENTE'!L32:N32)</f>
        <v>21413947.470000003</v>
      </c>
      <c r="F31" s="451"/>
      <c r="G31" s="165">
        <f>SUM(VS!C32:E32)</f>
        <v>1660334.56</v>
      </c>
      <c r="H31" s="165">
        <f>SUM(VS!F32:H32)</f>
        <v>1500202</v>
      </c>
      <c r="I31" s="165">
        <f>SUM(VS!I32:K32)</f>
        <v>2324461.02</v>
      </c>
      <c r="J31" s="166">
        <f>SUM(VS!L32:N32)</f>
        <v>1113655</v>
      </c>
      <c r="K31" s="451"/>
      <c r="L31" s="269">
        <f t="shared" si="5"/>
        <v>10570436.52</v>
      </c>
      <c r="M31" s="269">
        <f t="shared" si="5"/>
        <v>11569181.180000002</v>
      </c>
      <c r="N31" s="269">
        <f t="shared" si="5"/>
        <v>21527839.02</v>
      </c>
      <c r="O31" s="269">
        <f t="shared" si="5"/>
        <v>22527602.470000003</v>
      </c>
    </row>
    <row r="32" spans="1:15" ht="30" x14ac:dyDescent="0.25">
      <c r="A32" s="361" t="s">
        <v>494</v>
      </c>
      <c r="B32" s="165">
        <f>SUM('TRANSFERENCIA CORRIENTE'!C33:E33)</f>
        <v>0</v>
      </c>
      <c r="C32" s="165">
        <f>SUM('TRANSFERENCIA CORRIENTE'!F33:H33)</f>
        <v>0</v>
      </c>
      <c r="D32" s="165">
        <f>SUM('TRANSFERENCIA CORRIENTE'!I30:K30)</f>
        <v>673453.82</v>
      </c>
      <c r="E32" s="165">
        <f>SUM('TRANSFERENCIA CORRIENTE'!L33:N33)</f>
        <v>0</v>
      </c>
      <c r="F32" s="451"/>
      <c r="G32" s="165">
        <f>SUM(VS!C33:E33)</f>
        <v>0</v>
      </c>
      <c r="H32" s="165">
        <f>SUM(VS!F33:H33)</f>
        <v>0</v>
      </c>
      <c r="I32" s="165">
        <f>SUM(VS!I33:K33)</f>
        <v>0</v>
      </c>
      <c r="J32" s="166">
        <f>SUM(VS!L33:N33)</f>
        <v>0</v>
      </c>
      <c r="K32" s="451"/>
      <c r="L32" s="269">
        <f t="shared" si="5"/>
        <v>0</v>
      </c>
      <c r="M32" s="269">
        <f t="shared" si="5"/>
        <v>0</v>
      </c>
      <c r="N32" s="269">
        <f t="shared" si="5"/>
        <v>673453.82</v>
      </c>
      <c r="O32" s="269">
        <f t="shared" si="5"/>
        <v>0</v>
      </c>
    </row>
    <row r="33" spans="1:15" x14ac:dyDescent="0.25">
      <c r="A33" s="361" t="s">
        <v>493</v>
      </c>
      <c r="B33" s="165">
        <f>SUM('TRANSFERENCIA CORRIENTE'!C34:E34)</f>
        <v>20497065.890000001</v>
      </c>
      <c r="C33" s="165">
        <f>SUM('TRANSFERENCIA CORRIENTE'!F34:H34)</f>
        <v>18381359.469999999</v>
      </c>
      <c r="D33" s="165">
        <f>SUM('TRANSFERENCIA CORRIENTE'!I31:K31)</f>
        <v>286504</v>
      </c>
      <c r="E33" s="165">
        <f>SUM('TRANSFERENCIA CORRIENTE'!L34:N34)</f>
        <v>11782079.4</v>
      </c>
      <c r="F33" s="451"/>
      <c r="G33" s="165">
        <f>SUM(VS!C34:E34)</f>
        <v>2460841.75</v>
      </c>
      <c r="H33" s="165">
        <f>SUM(VS!F34:H34)</f>
        <v>2836732.4499999997</v>
      </c>
      <c r="I33" s="165">
        <f>SUM(VS!I34:K34)</f>
        <v>3610771.5199999996</v>
      </c>
      <c r="J33" s="166">
        <f>SUM(VS!L34:N34)</f>
        <v>3640634.2</v>
      </c>
      <c r="K33" s="451"/>
      <c r="L33" s="269">
        <f t="shared" si="5"/>
        <v>22957907.640000001</v>
      </c>
      <c r="M33" s="269">
        <f t="shared" si="5"/>
        <v>21218091.919999998</v>
      </c>
      <c r="N33" s="269">
        <f t="shared" si="5"/>
        <v>3897275.5199999996</v>
      </c>
      <c r="O33" s="269">
        <f t="shared" si="5"/>
        <v>15422713.600000001</v>
      </c>
    </row>
    <row r="34" spans="1:15" s="168" customFormat="1" x14ac:dyDescent="0.25">
      <c r="A34" s="156" t="s">
        <v>492</v>
      </c>
      <c r="B34" s="163">
        <f>SUM(B35:B41)</f>
        <v>0</v>
      </c>
      <c r="C34" s="163">
        <f>SUM(C35:C41)</f>
        <v>0</v>
      </c>
      <c r="D34" s="163">
        <f>SUM(D35:D41)</f>
        <v>0</v>
      </c>
      <c r="E34" s="163">
        <f>SUM(E35:E41)</f>
        <v>0</v>
      </c>
      <c r="F34" s="451"/>
      <c r="G34" s="163">
        <f>SUM(G35:G41)</f>
        <v>287786.7</v>
      </c>
      <c r="H34" s="163">
        <f>SUM(H35:H41)</f>
        <v>1223981</v>
      </c>
      <c r="I34" s="163">
        <f>SUM(I35:I41)</f>
        <v>122771</v>
      </c>
      <c r="J34" s="163">
        <f>SUM(J35:J41)</f>
        <v>3600</v>
      </c>
      <c r="K34" s="451"/>
      <c r="L34" s="164">
        <f t="shared" si="5"/>
        <v>287786.7</v>
      </c>
      <c r="M34" s="164">
        <f t="shared" si="5"/>
        <v>1223981</v>
      </c>
      <c r="N34" s="164">
        <f t="shared" si="5"/>
        <v>122771</v>
      </c>
      <c r="O34" s="164">
        <f t="shared" si="5"/>
        <v>3600</v>
      </c>
    </row>
    <row r="35" spans="1:15" x14ac:dyDescent="0.25">
      <c r="A35" s="361" t="s">
        <v>491</v>
      </c>
      <c r="B35" s="165">
        <f>SUM('TRANSFERENCIA CORRIENTE'!C36:E36)</f>
        <v>0</v>
      </c>
      <c r="C35" s="165">
        <f>SUM('TRANSFERENCIA CORRIENTE'!F36:H36)</f>
        <v>0</v>
      </c>
      <c r="D35" s="165">
        <f>SUM('TRANSFERENCIA CORRIENTE'!I36:K36)</f>
        <v>0</v>
      </c>
      <c r="E35" s="165">
        <f>SUM('TRANSFERENCIA CORRIENTE'!L36:N36)</f>
        <v>0</v>
      </c>
      <c r="F35" s="451"/>
      <c r="G35" s="165">
        <f>SUM(VS!C36:E36)</f>
        <v>287786.7</v>
      </c>
      <c r="H35" s="165">
        <f>SUM(VS!F36:H36)</f>
        <v>1223981</v>
      </c>
      <c r="I35" s="165">
        <f>SUM(VS!I36:K36)</f>
        <v>122771</v>
      </c>
      <c r="J35" s="166">
        <f>SUM(VS!L36:N36)</f>
        <v>3600</v>
      </c>
      <c r="K35" s="451"/>
      <c r="L35" s="269">
        <f t="shared" si="5"/>
        <v>287786.7</v>
      </c>
      <c r="M35" s="269">
        <f t="shared" si="5"/>
        <v>1223981</v>
      </c>
      <c r="N35" s="269">
        <f t="shared" si="5"/>
        <v>122771</v>
      </c>
      <c r="O35" s="269">
        <f t="shared" si="5"/>
        <v>3600</v>
      </c>
    </row>
    <row r="36" spans="1:15" x14ac:dyDescent="0.25">
      <c r="A36" s="361" t="s">
        <v>490</v>
      </c>
      <c r="B36" s="165">
        <f>SUM('TRANSFERENCIA CORRIENTE'!C37:E37)</f>
        <v>0</v>
      </c>
      <c r="C36" s="165">
        <f>SUM('TRANSFERENCIA CORRIENTE'!F37:H37)</f>
        <v>0</v>
      </c>
      <c r="D36" s="165">
        <f>SUM('TRANSFERENCIA CORRIENTE'!I37:K37)</f>
        <v>0</v>
      </c>
      <c r="E36" s="165">
        <f>SUM('TRANSFERENCIA CORRIENTE'!L37:N37)</f>
        <v>0</v>
      </c>
      <c r="F36" s="451"/>
      <c r="G36" s="165">
        <f>SUM(VS!C37:E37)</f>
        <v>0</v>
      </c>
      <c r="H36" s="165">
        <f>SUM(VS!F37:H37)</f>
        <v>0</v>
      </c>
      <c r="I36" s="165">
        <f>SUM(VS!I37:K37)</f>
        <v>0</v>
      </c>
      <c r="J36" s="166">
        <f>SUM(VS!L37:N37)</f>
        <v>0</v>
      </c>
      <c r="K36" s="451"/>
      <c r="L36" s="269">
        <f t="shared" si="5"/>
        <v>0</v>
      </c>
      <c r="M36" s="269">
        <f t="shared" si="5"/>
        <v>0</v>
      </c>
      <c r="N36" s="269">
        <f t="shared" si="5"/>
        <v>0</v>
      </c>
      <c r="O36" s="269">
        <f t="shared" si="5"/>
        <v>0</v>
      </c>
    </row>
    <row r="37" spans="1:15" x14ac:dyDescent="0.25">
      <c r="A37" s="361" t="s">
        <v>489</v>
      </c>
      <c r="B37" s="165">
        <f>SUM('TRANSFERENCIA CORRIENTE'!C38:E38)</f>
        <v>0</v>
      </c>
      <c r="C37" s="165">
        <f>SUM('TRANSFERENCIA CORRIENTE'!F38:H38)</f>
        <v>0</v>
      </c>
      <c r="D37" s="165">
        <f>SUM('TRANSFERENCIA CORRIENTE'!I38:K38)</f>
        <v>0</v>
      </c>
      <c r="E37" s="165">
        <f>SUM('TRANSFERENCIA CORRIENTE'!L38:N38)</f>
        <v>0</v>
      </c>
      <c r="F37" s="451"/>
      <c r="G37" s="165">
        <f>SUM(VS!C38:E38)</f>
        <v>0</v>
      </c>
      <c r="H37" s="165">
        <f>SUM(VS!F38:H38)</f>
        <v>0</v>
      </c>
      <c r="I37" s="165">
        <f>SUM(VS!I38:K38)</f>
        <v>0</v>
      </c>
      <c r="J37" s="166">
        <f>SUM(VS!L38:N38)</f>
        <v>0</v>
      </c>
      <c r="K37" s="451"/>
      <c r="L37" s="269">
        <f t="shared" si="5"/>
        <v>0</v>
      </c>
      <c r="M37" s="269">
        <f t="shared" si="5"/>
        <v>0</v>
      </c>
      <c r="N37" s="269">
        <f t="shared" si="5"/>
        <v>0</v>
      </c>
      <c r="O37" s="269">
        <f t="shared" si="5"/>
        <v>0</v>
      </c>
    </row>
    <row r="38" spans="1:15" x14ac:dyDescent="0.25">
      <c r="A38" s="361" t="s">
        <v>488</v>
      </c>
      <c r="B38" s="165">
        <f>SUM('TRANSFERENCIA CORRIENTE'!C39:E39)</f>
        <v>0</v>
      </c>
      <c r="C38" s="165">
        <f>SUM('TRANSFERENCIA CORRIENTE'!F39:H39)</f>
        <v>0</v>
      </c>
      <c r="D38" s="165">
        <f>SUM('TRANSFERENCIA CORRIENTE'!I39:K39)</f>
        <v>0</v>
      </c>
      <c r="E38" s="165">
        <f>SUM('TRANSFERENCIA CORRIENTE'!L39:N39)</f>
        <v>0</v>
      </c>
      <c r="F38" s="451"/>
      <c r="G38" s="165">
        <f>SUM(VS!C39:E39)</f>
        <v>0</v>
      </c>
      <c r="H38" s="165">
        <f>SUM(VS!F39:H39)</f>
        <v>0</v>
      </c>
      <c r="I38" s="165">
        <f>SUM(VS!I39:K39)</f>
        <v>0</v>
      </c>
      <c r="J38" s="166">
        <f>SUM(VS!L39:N39)</f>
        <v>0</v>
      </c>
      <c r="K38" s="451"/>
      <c r="L38" s="269">
        <f t="shared" si="5"/>
        <v>0</v>
      </c>
      <c r="M38" s="269">
        <f t="shared" si="5"/>
        <v>0</v>
      </c>
      <c r="N38" s="269">
        <f t="shared" si="5"/>
        <v>0</v>
      </c>
      <c r="O38" s="269">
        <f t="shared" si="5"/>
        <v>0</v>
      </c>
    </row>
    <row r="39" spans="1:15" ht="30" x14ac:dyDescent="0.25">
      <c r="A39" s="361" t="s">
        <v>487</v>
      </c>
      <c r="B39" s="165">
        <f>SUM('TRANSFERENCIA CORRIENTE'!C40:E40)</f>
        <v>0</v>
      </c>
      <c r="C39" s="165">
        <f>SUM('TRANSFERENCIA CORRIENTE'!F40:H40)</f>
        <v>0</v>
      </c>
      <c r="D39" s="165">
        <f>SUM('TRANSFERENCIA CORRIENTE'!I40:K40)</f>
        <v>0</v>
      </c>
      <c r="E39" s="165">
        <f>SUM('TRANSFERENCIA CORRIENTE'!L40:N40)</f>
        <v>0</v>
      </c>
      <c r="F39" s="451"/>
      <c r="G39" s="165">
        <f>SUM(VS!C40:E40)</f>
        <v>0</v>
      </c>
      <c r="H39" s="165">
        <f>SUM(VS!F40:H40)</f>
        <v>0</v>
      </c>
      <c r="I39" s="165">
        <f>SUM(VS!I40:K40)</f>
        <v>0</v>
      </c>
      <c r="J39" s="166">
        <f>SUM(VS!L40:N40)</f>
        <v>0</v>
      </c>
      <c r="K39" s="451"/>
      <c r="L39" s="269">
        <f t="shared" si="5"/>
        <v>0</v>
      </c>
      <c r="M39" s="269">
        <f t="shared" si="5"/>
        <v>0</v>
      </c>
      <c r="N39" s="269">
        <f t="shared" si="5"/>
        <v>0</v>
      </c>
      <c r="O39" s="269">
        <f t="shared" si="5"/>
        <v>0</v>
      </c>
    </row>
    <row r="40" spans="1:15" x14ac:dyDescent="0.25">
      <c r="A40" s="361" t="s">
        <v>486</v>
      </c>
      <c r="B40" s="165">
        <f>SUM('TRANSFERENCIA CORRIENTE'!C41:E41)</f>
        <v>0</v>
      </c>
      <c r="C40" s="165">
        <f>SUM('TRANSFERENCIA CORRIENTE'!F41:H41)</f>
        <v>0</v>
      </c>
      <c r="D40" s="165">
        <f>SUM('TRANSFERENCIA CORRIENTE'!I41:K41)</f>
        <v>0</v>
      </c>
      <c r="E40" s="165">
        <f>SUM('TRANSFERENCIA CORRIENTE'!L41:N41)</f>
        <v>0</v>
      </c>
      <c r="F40" s="451"/>
      <c r="G40" s="165">
        <f>SUM(VS!C41:E41)</f>
        <v>0</v>
      </c>
      <c r="H40" s="165">
        <f>SUM(VS!F41:H41)</f>
        <v>0</v>
      </c>
      <c r="I40" s="165">
        <f>SUM(VS!I41:K41)</f>
        <v>0</v>
      </c>
      <c r="J40" s="166">
        <f>SUM(VS!L41:N41)</f>
        <v>0</v>
      </c>
      <c r="K40" s="451"/>
      <c r="L40" s="269">
        <f t="shared" si="5"/>
        <v>0</v>
      </c>
      <c r="M40" s="269">
        <f t="shared" si="5"/>
        <v>0</v>
      </c>
      <c r="N40" s="269">
        <f t="shared" si="5"/>
        <v>0</v>
      </c>
      <c r="O40" s="269">
        <f t="shared" si="5"/>
        <v>0</v>
      </c>
    </row>
    <row r="41" spans="1:15" x14ac:dyDescent="0.25">
      <c r="A41" s="361" t="s">
        <v>485</v>
      </c>
      <c r="B41" s="165">
        <f>SUM('TRANSFERENCIA CORRIENTE'!C42:E42)</f>
        <v>0</v>
      </c>
      <c r="C41" s="165">
        <f>SUM('TRANSFERENCIA CORRIENTE'!F42:H42)</f>
        <v>0</v>
      </c>
      <c r="D41" s="165">
        <f>SUM('TRANSFERENCIA CORRIENTE'!I42:K42)</f>
        <v>0</v>
      </c>
      <c r="E41" s="165">
        <f>SUM('TRANSFERENCIA CORRIENTE'!L42:N42)</f>
        <v>0</v>
      </c>
      <c r="F41" s="451"/>
      <c r="G41" s="165">
        <f>SUM(VS!C42:E42)</f>
        <v>0</v>
      </c>
      <c r="H41" s="165">
        <f>SUM(VS!F42:H42)</f>
        <v>0</v>
      </c>
      <c r="I41" s="165">
        <f>SUM(VS!I42:K42)</f>
        <v>0</v>
      </c>
      <c r="J41" s="166">
        <f>SUM(VS!L42:N42)</f>
        <v>0</v>
      </c>
      <c r="K41" s="451"/>
      <c r="L41" s="269">
        <f t="shared" ref="L41:O56" si="6">SUM(B41+G41)</f>
        <v>0</v>
      </c>
      <c r="M41" s="269">
        <f t="shared" si="6"/>
        <v>0</v>
      </c>
      <c r="N41" s="269">
        <f t="shared" si="6"/>
        <v>0</v>
      </c>
      <c r="O41" s="269">
        <f t="shared" si="6"/>
        <v>0</v>
      </c>
    </row>
    <row r="42" spans="1:15" x14ac:dyDescent="0.25">
      <c r="A42" s="156" t="s">
        <v>484</v>
      </c>
      <c r="B42" s="163">
        <f>SUM(B43:B49)</f>
        <v>0</v>
      </c>
      <c r="C42" s="163">
        <f>SUM(C43:C49)</f>
        <v>0</v>
      </c>
      <c r="D42" s="163">
        <f>SUM(D43:D49)</f>
        <v>0</v>
      </c>
      <c r="E42" s="163">
        <f>SUM(E43:E49)</f>
        <v>0</v>
      </c>
      <c r="F42" s="451"/>
      <c r="G42" s="163">
        <f>SUM(G43:G49)</f>
        <v>0</v>
      </c>
      <c r="H42" s="163">
        <f>SUM(H43:H49)</f>
        <v>0</v>
      </c>
      <c r="I42" s="163">
        <f>SUM(I43:I49)</f>
        <v>0</v>
      </c>
      <c r="J42" s="163">
        <f>SUM(J43:J49)</f>
        <v>0</v>
      </c>
      <c r="K42" s="451"/>
      <c r="L42" s="164">
        <f>SUM(B42+G42)</f>
        <v>0</v>
      </c>
      <c r="M42" s="164">
        <f t="shared" si="6"/>
        <v>0</v>
      </c>
      <c r="N42" s="164">
        <f>SUM(D42+I42)</f>
        <v>0</v>
      </c>
      <c r="O42" s="164">
        <f>SUM(E42+J42)</f>
        <v>0</v>
      </c>
    </row>
    <row r="43" spans="1:15" x14ac:dyDescent="0.25">
      <c r="A43" s="361" t="s">
        <v>483</v>
      </c>
      <c r="B43" s="165">
        <f>SUM('TRANSFERENCIA CORRIENTE'!C44:E44)</f>
        <v>0</v>
      </c>
      <c r="C43" s="165">
        <f>SUM('TRANSFERENCIA CORRIENTE'!F44:H44)</f>
        <v>0</v>
      </c>
      <c r="D43" s="165">
        <f>SUM('TRANSFERENCIA CORRIENTE'!I44:K44)</f>
        <v>0</v>
      </c>
      <c r="E43" s="165">
        <f>SUM('TRANSFERENCIA CORRIENTE'!L44:N44)</f>
        <v>0</v>
      </c>
      <c r="F43" s="451"/>
      <c r="G43" s="165">
        <f>SUM(VS!C44:E44)</f>
        <v>0</v>
      </c>
      <c r="H43" s="165">
        <f>SUM(VS!F44:H44)</f>
        <v>0</v>
      </c>
      <c r="I43" s="165">
        <f>SUM(VS!I44:K44)</f>
        <v>0</v>
      </c>
      <c r="J43" s="166">
        <f>SUM(VS!L44:N44)</f>
        <v>0</v>
      </c>
      <c r="K43" s="451"/>
      <c r="L43" s="167">
        <f t="shared" ref="L43:L49" si="7">SUM(B43+G43)</f>
        <v>0</v>
      </c>
      <c r="M43" s="167">
        <f t="shared" si="6"/>
        <v>0</v>
      </c>
      <c r="N43" s="167">
        <f t="shared" si="6"/>
        <v>0</v>
      </c>
      <c r="O43" s="167">
        <f t="shared" si="6"/>
        <v>0</v>
      </c>
    </row>
    <row r="44" spans="1:15" x14ac:dyDescent="0.25">
      <c r="A44" s="361" t="s">
        <v>482</v>
      </c>
      <c r="B44" s="165">
        <f>SUM('TRANSFERENCIA CORRIENTE'!C45:E45)</f>
        <v>0</v>
      </c>
      <c r="C44" s="165">
        <f>SUM('TRANSFERENCIA CORRIENTE'!F45:H45)</f>
        <v>0</v>
      </c>
      <c r="D44" s="165">
        <f>SUM('TRANSFERENCIA CORRIENTE'!I45:K45)</f>
        <v>0</v>
      </c>
      <c r="E44" s="165">
        <f>SUM('TRANSFERENCIA CORRIENTE'!L45:N45)</f>
        <v>0</v>
      </c>
      <c r="F44" s="451"/>
      <c r="G44" s="165">
        <f>SUM(VS!C45:E45)</f>
        <v>0</v>
      </c>
      <c r="H44" s="165">
        <f>SUM(VS!F45:H45)</f>
        <v>0</v>
      </c>
      <c r="I44" s="165">
        <f>SUM(VS!I45:K45)</f>
        <v>0</v>
      </c>
      <c r="J44" s="166">
        <f>SUM(VS!L45:N45)</f>
        <v>0</v>
      </c>
      <c r="K44" s="451"/>
      <c r="L44" s="167">
        <f t="shared" si="7"/>
        <v>0</v>
      </c>
      <c r="M44" s="167">
        <f t="shared" si="6"/>
        <v>0</v>
      </c>
      <c r="N44" s="167">
        <f t="shared" si="6"/>
        <v>0</v>
      </c>
      <c r="O44" s="167">
        <f t="shared" si="6"/>
        <v>0</v>
      </c>
    </row>
    <row r="45" spans="1:15" x14ac:dyDescent="0.25">
      <c r="A45" s="361" t="s">
        <v>481</v>
      </c>
      <c r="B45" s="165">
        <f>SUM('TRANSFERENCIA CORRIENTE'!C46:E46)</f>
        <v>0</v>
      </c>
      <c r="C45" s="165">
        <f>SUM('TRANSFERENCIA CORRIENTE'!F46:H46)</f>
        <v>0</v>
      </c>
      <c r="D45" s="165">
        <f>SUM('TRANSFERENCIA CORRIENTE'!I46:K46)</f>
        <v>0</v>
      </c>
      <c r="E45" s="165">
        <f>SUM('TRANSFERENCIA CORRIENTE'!L46:N46)</f>
        <v>0</v>
      </c>
      <c r="F45" s="451"/>
      <c r="G45" s="165">
        <f>SUM(VS!C46:E46)</f>
        <v>0</v>
      </c>
      <c r="H45" s="165">
        <f>SUM(VS!F46:H46)</f>
        <v>0</v>
      </c>
      <c r="I45" s="165">
        <f>SUM(VS!I46:K46)</f>
        <v>0</v>
      </c>
      <c r="J45" s="166">
        <f>SUM(VS!L46:N46)</f>
        <v>0</v>
      </c>
      <c r="K45" s="451"/>
      <c r="L45" s="167">
        <f t="shared" si="7"/>
        <v>0</v>
      </c>
      <c r="M45" s="167">
        <f t="shared" si="6"/>
        <v>0</v>
      </c>
      <c r="N45" s="167">
        <f t="shared" si="6"/>
        <v>0</v>
      </c>
      <c r="O45" s="167">
        <f t="shared" si="6"/>
        <v>0</v>
      </c>
    </row>
    <row r="46" spans="1:15" x14ac:dyDescent="0.25">
      <c r="A46" s="361" t="s">
        <v>480</v>
      </c>
      <c r="B46" s="165">
        <f>SUM('TRANSFERENCIA CORRIENTE'!C47:E47)</f>
        <v>0</v>
      </c>
      <c r="C46" s="165">
        <f>SUM('TRANSFERENCIA CORRIENTE'!F47:H47)</f>
        <v>0</v>
      </c>
      <c r="D46" s="165">
        <f>SUM('TRANSFERENCIA CORRIENTE'!I47:K47)</f>
        <v>0</v>
      </c>
      <c r="E46" s="165">
        <f>SUM('TRANSFERENCIA CORRIENTE'!L47:N47)</f>
        <v>0</v>
      </c>
      <c r="F46" s="451"/>
      <c r="G46" s="165">
        <f>SUM(VS!C47:E47)</f>
        <v>0</v>
      </c>
      <c r="H46" s="165">
        <f>SUM(VS!F47:H47)</f>
        <v>0</v>
      </c>
      <c r="I46" s="165">
        <f>SUM(VS!I47:K47)</f>
        <v>0</v>
      </c>
      <c r="J46" s="166">
        <f>SUM(VS!L47:N47)</f>
        <v>0</v>
      </c>
      <c r="K46" s="451"/>
      <c r="L46" s="167">
        <f t="shared" si="7"/>
        <v>0</v>
      </c>
      <c r="M46" s="167">
        <f t="shared" si="6"/>
        <v>0</v>
      </c>
      <c r="N46" s="167">
        <f t="shared" si="6"/>
        <v>0</v>
      </c>
      <c r="O46" s="167">
        <f t="shared" si="6"/>
        <v>0</v>
      </c>
    </row>
    <row r="47" spans="1:15" x14ac:dyDescent="0.25">
      <c r="A47" s="361" t="s">
        <v>479</v>
      </c>
      <c r="B47" s="165">
        <f>SUM('TRANSFERENCIA CORRIENTE'!C48:E48)</f>
        <v>0</v>
      </c>
      <c r="C47" s="165">
        <f>SUM('TRANSFERENCIA CORRIENTE'!F48:H48)</f>
        <v>0</v>
      </c>
      <c r="D47" s="165">
        <f>SUM('TRANSFERENCIA CORRIENTE'!I48:K48)</f>
        <v>0</v>
      </c>
      <c r="E47" s="165">
        <f>SUM('TRANSFERENCIA CORRIENTE'!L48:N48)</f>
        <v>0</v>
      </c>
      <c r="F47" s="451"/>
      <c r="G47" s="165">
        <f>SUM(VS!C48:E48)</f>
        <v>0</v>
      </c>
      <c r="H47" s="165">
        <f>SUM(VS!F48:H48)</f>
        <v>0</v>
      </c>
      <c r="I47" s="165">
        <f>SUM(VS!I48:K48)</f>
        <v>0</v>
      </c>
      <c r="J47" s="166">
        <f>SUM(VS!L48:N48)</f>
        <v>0</v>
      </c>
      <c r="K47" s="451"/>
      <c r="L47" s="167">
        <f t="shared" si="7"/>
        <v>0</v>
      </c>
      <c r="M47" s="167">
        <f t="shared" si="6"/>
        <v>0</v>
      </c>
      <c r="N47" s="167">
        <f t="shared" si="6"/>
        <v>0</v>
      </c>
      <c r="O47" s="167">
        <f t="shared" si="6"/>
        <v>0</v>
      </c>
    </row>
    <row r="48" spans="1:15" x14ac:dyDescent="0.25">
      <c r="A48" s="361" t="s">
        <v>478</v>
      </c>
      <c r="B48" s="165">
        <f>SUM('TRANSFERENCIA CORRIENTE'!C49:E49)</f>
        <v>0</v>
      </c>
      <c r="C48" s="165">
        <f>SUM('TRANSFERENCIA CORRIENTE'!F49:H49)</f>
        <v>0</v>
      </c>
      <c r="D48" s="165">
        <f>SUM('TRANSFERENCIA CORRIENTE'!I49:K49)</f>
        <v>0</v>
      </c>
      <c r="E48" s="165">
        <f>SUM('TRANSFERENCIA CORRIENTE'!L49:N49)</f>
        <v>0</v>
      </c>
      <c r="F48" s="451"/>
      <c r="G48" s="165">
        <f>SUM(VS!C49:E49)</f>
        <v>0</v>
      </c>
      <c r="H48" s="165">
        <f>SUM(VS!F49:H49)</f>
        <v>0</v>
      </c>
      <c r="I48" s="165">
        <f>SUM(VS!I49:K49)</f>
        <v>0</v>
      </c>
      <c r="J48" s="166">
        <f>SUM(VS!L49:N49)</f>
        <v>0</v>
      </c>
      <c r="K48" s="451"/>
      <c r="L48" s="167">
        <f t="shared" si="7"/>
        <v>0</v>
      </c>
      <c r="M48" s="167">
        <f t="shared" si="6"/>
        <v>0</v>
      </c>
      <c r="N48" s="167">
        <f t="shared" si="6"/>
        <v>0</v>
      </c>
      <c r="O48" s="167">
        <f t="shared" si="6"/>
        <v>0</v>
      </c>
    </row>
    <row r="49" spans="1:15" x14ac:dyDescent="0.25">
      <c r="A49" s="361" t="s">
        <v>477</v>
      </c>
      <c r="B49" s="165">
        <f>SUM('TRANSFERENCIA CORRIENTE'!C50:E50)</f>
        <v>0</v>
      </c>
      <c r="C49" s="165">
        <f>SUM('TRANSFERENCIA CORRIENTE'!F50:H50)</f>
        <v>0</v>
      </c>
      <c r="D49" s="165">
        <f>SUM('TRANSFERENCIA CORRIENTE'!I50:K50)</f>
        <v>0</v>
      </c>
      <c r="E49" s="165">
        <f>SUM('TRANSFERENCIA CORRIENTE'!L50:N50)</f>
        <v>0</v>
      </c>
      <c r="F49" s="451"/>
      <c r="G49" s="165">
        <f>SUM(VS!C50:E50)</f>
        <v>0</v>
      </c>
      <c r="H49" s="165">
        <f>SUM(VS!F50:H50)</f>
        <v>0</v>
      </c>
      <c r="I49" s="165">
        <f>SUM(VS!I50:K50)</f>
        <v>0</v>
      </c>
      <c r="J49" s="166">
        <f>SUM(VS!L50:N50)</f>
        <v>0</v>
      </c>
      <c r="K49" s="451"/>
      <c r="L49" s="167">
        <f t="shared" si="7"/>
        <v>0</v>
      </c>
      <c r="M49" s="167">
        <f t="shared" si="6"/>
        <v>0</v>
      </c>
      <c r="N49" s="167">
        <f t="shared" si="6"/>
        <v>0</v>
      </c>
      <c r="O49" s="167">
        <f t="shared" si="6"/>
        <v>0</v>
      </c>
    </row>
    <row r="50" spans="1:15" s="168" customFormat="1" x14ac:dyDescent="0.25">
      <c r="A50" s="156" t="s">
        <v>476</v>
      </c>
      <c r="B50" s="163">
        <f>SUM(B51:B59)</f>
        <v>17857866.620000001</v>
      </c>
      <c r="C50" s="163">
        <f>SUM(C51:C59)</f>
        <v>14943854.869999999</v>
      </c>
      <c r="D50" s="163">
        <f>SUM(D51:D59)</f>
        <v>25711104.620000001</v>
      </c>
      <c r="E50" s="163">
        <f>SUM(E51:E59)</f>
        <v>11447711.82</v>
      </c>
      <c r="F50" s="451"/>
      <c r="G50" s="163">
        <f>SUM(G51:G59)</f>
        <v>5076044.21</v>
      </c>
      <c r="H50" s="163">
        <f>SUM(H51:H59)</f>
        <v>5383431.1500000004</v>
      </c>
      <c r="I50" s="163">
        <f>SUM(I51:I59)</f>
        <v>5370952.4399999995</v>
      </c>
      <c r="J50" s="163">
        <f>SUM(J51:J59)</f>
        <v>3065952.0700000003</v>
      </c>
      <c r="K50" s="451"/>
      <c r="L50" s="164">
        <f>SUM(B50+G50)</f>
        <v>22933910.830000002</v>
      </c>
      <c r="M50" s="164">
        <f t="shared" si="6"/>
        <v>20327286.02</v>
      </c>
      <c r="N50" s="164">
        <f t="shared" si="6"/>
        <v>31082057.060000002</v>
      </c>
      <c r="O50" s="164">
        <f t="shared" si="6"/>
        <v>14513663.890000001</v>
      </c>
    </row>
    <row r="51" spans="1:15" x14ac:dyDescent="0.25">
      <c r="A51" s="361" t="s">
        <v>475</v>
      </c>
      <c r="B51" s="165">
        <f>SUM('TRANSFERENCIA CORRIENTE'!C52:E52)</f>
        <v>1110625.8599999999</v>
      </c>
      <c r="C51" s="165">
        <f>SUM('TRANSFERENCIA CORRIENTE'!F52:H52)</f>
        <v>3586435.0700000003</v>
      </c>
      <c r="D51" s="165">
        <f>SUM('TRANSFERENCIA CORRIENTE'!I52:K52)</f>
        <v>6119237.2999999998</v>
      </c>
      <c r="E51" s="165">
        <f>SUM('TRANSFERENCIA CORRIENTE'!L52:N52)</f>
        <v>1243565.23</v>
      </c>
      <c r="F51" s="451"/>
      <c r="G51" s="165">
        <f>SUM(VS!C52:E52)</f>
        <v>0</v>
      </c>
      <c r="H51" s="165">
        <f>SUM(VS!F52:H52)</f>
        <v>7995.01</v>
      </c>
      <c r="I51" s="165">
        <f>SUM(VS!I52:K52)</f>
        <v>2929997.9699999997</v>
      </c>
      <c r="J51" s="166">
        <f>SUM(VS!L52:N52)</f>
        <v>450430.95999999996</v>
      </c>
      <c r="K51" s="451"/>
      <c r="L51" s="269">
        <f t="shared" ref="L51:O66" si="8">SUM(B51+G51)</f>
        <v>1110625.8599999999</v>
      </c>
      <c r="M51" s="269">
        <f t="shared" si="6"/>
        <v>3594430.08</v>
      </c>
      <c r="N51" s="269">
        <f t="shared" si="6"/>
        <v>9049235.2699999996</v>
      </c>
      <c r="O51" s="269">
        <f t="shared" si="6"/>
        <v>1693996.19</v>
      </c>
    </row>
    <row r="52" spans="1:15" x14ac:dyDescent="0.25">
      <c r="A52" s="361" t="s">
        <v>474</v>
      </c>
      <c r="B52" s="165">
        <f>SUM('TRANSFERENCIA CORRIENTE'!C53:E53)</f>
        <v>0</v>
      </c>
      <c r="C52" s="165">
        <f>SUM('TRANSFERENCIA CORRIENTE'!F53:H53)</f>
        <v>182926.74</v>
      </c>
      <c r="D52" s="165">
        <f>SUM('TRANSFERENCIA CORRIENTE'!I53:K53)</f>
        <v>0</v>
      </c>
      <c r="E52" s="165">
        <f>SUM('TRANSFERENCIA CORRIENTE'!L53:N53)</f>
        <v>0</v>
      </c>
      <c r="F52" s="451"/>
      <c r="G52" s="165">
        <f>SUM(VS!C53:E53)</f>
        <v>0</v>
      </c>
      <c r="H52" s="165">
        <f>SUM(VS!F53:H53)</f>
        <v>1399834</v>
      </c>
      <c r="I52" s="165">
        <f>SUM(VS!I53:K53)</f>
        <v>389046</v>
      </c>
      <c r="J52" s="166">
        <f>SUM(VS!L53:N53)</f>
        <v>0</v>
      </c>
      <c r="K52" s="451"/>
      <c r="L52" s="269">
        <f t="shared" si="8"/>
        <v>0</v>
      </c>
      <c r="M52" s="269">
        <f t="shared" si="6"/>
        <v>1582760.74</v>
      </c>
      <c r="N52" s="269">
        <f t="shared" si="6"/>
        <v>389046</v>
      </c>
      <c r="O52" s="269">
        <f t="shared" si="6"/>
        <v>0</v>
      </c>
    </row>
    <row r="53" spans="1:15" x14ac:dyDescent="0.25">
      <c r="A53" s="361" t="s">
        <v>473</v>
      </c>
      <c r="B53" s="165">
        <f>SUM('TRANSFERENCIA CORRIENTE'!C54:E54)</f>
        <v>16744040.790000001</v>
      </c>
      <c r="C53" s="165">
        <f>SUM('TRANSFERENCIA CORRIENTE'!F54:H54)</f>
        <v>6663622.5700000003</v>
      </c>
      <c r="D53" s="165">
        <f>SUM('TRANSFERENCIA CORRIENTE'!I54:K54)</f>
        <v>10518535.07</v>
      </c>
      <c r="E53" s="165">
        <f>SUM('TRANSFERENCIA CORRIENTE'!L54:N54)</f>
        <v>9135364.7199999988</v>
      </c>
      <c r="F53" s="451"/>
      <c r="G53" s="165">
        <f>SUM(VS!C54:E54)</f>
        <v>2963024.84</v>
      </c>
      <c r="H53" s="165">
        <f>SUM(VS!F54:H54)</f>
        <v>3975602.14</v>
      </c>
      <c r="I53" s="165">
        <f>SUM(VS!I54:K54)</f>
        <v>1710444.46</v>
      </c>
      <c r="J53" s="166">
        <f>SUM(VS!L54:N54)</f>
        <v>2012071.1</v>
      </c>
      <c r="K53" s="451"/>
      <c r="L53" s="269">
        <f t="shared" si="8"/>
        <v>19707065.630000003</v>
      </c>
      <c r="M53" s="269">
        <f t="shared" si="6"/>
        <v>10639224.710000001</v>
      </c>
      <c r="N53" s="269">
        <f t="shared" si="6"/>
        <v>12228979.530000001</v>
      </c>
      <c r="O53" s="269">
        <f t="shared" si="6"/>
        <v>11147435.819999998</v>
      </c>
    </row>
    <row r="54" spans="1:15" x14ac:dyDescent="0.25">
      <c r="A54" s="361" t="s">
        <v>472</v>
      </c>
      <c r="B54" s="165">
        <f>SUM('TRANSFERENCIA CORRIENTE'!C55:E55)</f>
        <v>0</v>
      </c>
      <c r="C54" s="165">
        <f>SUM('TRANSFERENCIA CORRIENTE'!F55:H55)</f>
        <v>0</v>
      </c>
      <c r="D54" s="165">
        <f>SUM('TRANSFERENCIA CORRIENTE'!I55:K55)</f>
        <v>0</v>
      </c>
      <c r="E54" s="165">
        <f>SUM('TRANSFERENCIA CORRIENTE'!L55:N55)</f>
        <v>0</v>
      </c>
      <c r="F54" s="451"/>
      <c r="G54" s="165">
        <f>SUM(VS!C55:E55)</f>
        <v>107609.37</v>
      </c>
      <c r="H54" s="165">
        <f>SUM(VS!F55:H55)</f>
        <v>0</v>
      </c>
      <c r="I54" s="165">
        <f>SUM(VS!I55:K55)</f>
        <v>0</v>
      </c>
      <c r="J54" s="166">
        <f>SUM(VS!L55:N55)</f>
        <v>0</v>
      </c>
      <c r="K54" s="451"/>
      <c r="L54" s="269">
        <f t="shared" si="8"/>
        <v>107609.37</v>
      </c>
      <c r="M54" s="269">
        <f t="shared" si="6"/>
        <v>0</v>
      </c>
      <c r="N54" s="269">
        <f t="shared" si="6"/>
        <v>0</v>
      </c>
      <c r="O54" s="269">
        <f t="shared" si="6"/>
        <v>0</v>
      </c>
    </row>
    <row r="55" spans="1:15" x14ac:dyDescent="0.25">
      <c r="A55" s="361" t="s">
        <v>471</v>
      </c>
      <c r="B55" s="165">
        <f>SUM('TRANSFERENCIA CORRIENTE'!C56:E56)</f>
        <v>3199.97</v>
      </c>
      <c r="C55" s="165">
        <f>SUM('TRANSFERENCIA CORRIENTE'!F56:H56)</f>
        <v>4165309.55</v>
      </c>
      <c r="D55" s="165">
        <f>SUM('TRANSFERENCIA CORRIENTE'!I56:K56)</f>
        <v>9007252.25</v>
      </c>
      <c r="E55" s="165">
        <f>SUM('TRANSFERENCIA CORRIENTE'!L56:N56)</f>
        <v>1068781.8700000001</v>
      </c>
      <c r="F55" s="451"/>
      <c r="G55" s="165">
        <f>SUM(VS!C56:E56)</f>
        <v>2005410</v>
      </c>
      <c r="H55" s="165">
        <f>SUM(VS!F56:H56)</f>
        <v>0</v>
      </c>
      <c r="I55" s="165">
        <f>SUM(VS!I56:K56)</f>
        <v>282700.01</v>
      </c>
      <c r="J55" s="166">
        <f>SUM(VS!L56:N56)</f>
        <v>603450.01</v>
      </c>
      <c r="K55" s="451"/>
      <c r="L55" s="269">
        <f t="shared" si="8"/>
        <v>2008609.97</v>
      </c>
      <c r="M55" s="269">
        <f t="shared" si="6"/>
        <v>4165309.55</v>
      </c>
      <c r="N55" s="269">
        <f t="shared" si="6"/>
        <v>9289952.2599999998</v>
      </c>
      <c r="O55" s="269">
        <f t="shared" si="6"/>
        <v>1672231.8800000001</v>
      </c>
    </row>
    <row r="56" spans="1:15" x14ac:dyDescent="0.25">
      <c r="A56" s="361" t="s">
        <v>470</v>
      </c>
      <c r="B56" s="165">
        <f>SUM('TRANSFERENCIA CORRIENTE'!C57:E57)</f>
        <v>0</v>
      </c>
      <c r="C56" s="165">
        <f>SUM('TRANSFERENCIA CORRIENTE'!F57:H57)</f>
        <v>0</v>
      </c>
      <c r="D56" s="165">
        <f>SUM('TRANSFERENCIA CORRIENTE'!I57:K57)</f>
        <v>66080</v>
      </c>
      <c r="E56" s="165">
        <f>SUM('TRANSFERENCIA CORRIENTE'!L57:N57)</f>
        <v>0</v>
      </c>
      <c r="F56" s="451"/>
      <c r="G56" s="165">
        <f>SUM(VS!C57:E57)</f>
        <v>0</v>
      </c>
      <c r="H56" s="165">
        <f>SUM(VS!F57:H57)</f>
        <v>0</v>
      </c>
      <c r="I56" s="165">
        <f>SUM(VS!I57:K57)</f>
        <v>58764</v>
      </c>
      <c r="J56" s="166">
        <f>SUM(VS!L57:N57)</f>
        <v>0</v>
      </c>
      <c r="K56" s="451"/>
      <c r="L56" s="269">
        <f t="shared" si="8"/>
        <v>0</v>
      </c>
      <c r="M56" s="269">
        <f t="shared" si="6"/>
        <v>0</v>
      </c>
      <c r="N56" s="269">
        <f t="shared" si="6"/>
        <v>124844</v>
      </c>
      <c r="O56" s="269">
        <f t="shared" si="6"/>
        <v>0</v>
      </c>
    </row>
    <row r="57" spans="1:15" x14ac:dyDescent="0.25">
      <c r="A57" s="361" t="s">
        <v>469</v>
      </c>
      <c r="B57" s="165">
        <f>SUM('TRANSFERENCIA CORRIENTE'!C58:E58)</f>
        <v>0</v>
      </c>
      <c r="C57" s="165">
        <f>SUM('TRANSFERENCIA CORRIENTE'!F58:H58)</f>
        <v>0</v>
      </c>
      <c r="D57" s="165">
        <f>SUM('TRANSFERENCIA CORRIENTE'!I58:K58)</f>
        <v>0</v>
      </c>
      <c r="E57" s="165">
        <f>SUM('TRANSFERENCIA CORRIENTE'!L58:N58)</f>
        <v>0</v>
      </c>
      <c r="F57" s="451"/>
      <c r="G57" s="165">
        <f>SUM(VS!C58:E58)</f>
        <v>0</v>
      </c>
      <c r="H57" s="165">
        <f>SUM(VS!F58:H58)</f>
        <v>0</v>
      </c>
      <c r="I57" s="165">
        <f>SUM(VS!I58:K58)</f>
        <v>0</v>
      </c>
      <c r="J57" s="166">
        <f>SUM(VS!L58:N58)</f>
        <v>0</v>
      </c>
      <c r="K57" s="451"/>
      <c r="L57" s="269">
        <f t="shared" si="8"/>
        <v>0</v>
      </c>
      <c r="M57" s="269">
        <f t="shared" si="8"/>
        <v>0</v>
      </c>
      <c r="N57" s="269">
        <f t="shared" si="8"/>
        <v>0</v>
      </c>
      <c r="O57" s="269">
        <f t="shared" si="8"/>
        <v>0</v>
      </c>
    </row>
    <row r="58" spans="1:15" x14ac:dyDescent="0.25">
      <c r="A58" s="361" t="s">
        <v>468</v>
      </c>
      <c r="B58" s="165">
        <f>SUM('TRANSFERENCIA CORRIENTE'!C59:E59)</f>
        <v>0</v>
      </c>
      <c r="C58" s="165">
        <f>SUM('TRANSFERENCIA CORRIENTE'!F59:H59)</f>
        <v>0</v>
      </c>
      <c r="D58" s="165">
        <f>SUM('TRANSFERENCIA CORRIENTE'!I59:K59)</f>
        <v>0</v>
      </c>
      <c r="E58" s="165">
        <f>SUM('TRANSFERENCIA CORRIENTE'!L59:N59)</f>
        <v>0</v>
      </c>
      <c r="F58" s="451"/>
      <c r="G58" s="165">
        <f>SUM(VS!C59:E59)</f>
        <v>0</v>
      </c>
      <c r="H58" s="165">
        <f>SUM(VS!F59:H59)</f>
        <v>0</v>
      </c>
      <c r="I58" s="165">
        <f>SUM(VS!I59:K59)</f>
        <v>0</v>
      </c>
      <c r="J58" s="166">
        <f>SUM(VS!L59:N59)</f>
        <v>0</v>
      </c>
      <c r="K58" s="451"/>
      <c r="L58" s="269">
        <f t="shared" si="8"/>
        <v>0</v>
      </c>
      <c r="M58" s="269">
        <f t="shared" si="8"/>
        <v>0</v>
      </c>
      <c r="N58" s="269">
        <f t="shared" si="8"/>
        <v>0</v>
      </c>
      <c r="O58" s="269">
        <f t="shared" si="8"/>
        <v>0</v>
      </c>
    </row>
    <row r="59" spans="1:15" x14ac:dyDescent="0.25">
      <c r="A59" s="361" t="s">
        <v>467</v>
      </c>
      <c r="B59" s="165">
        <f>SUM('TRANSFERENCIA CORRIENTE'!C60:E60)</f>
        <v>0</v>
      </c>
      <c r="C59" s="165">
        <f>SUM('TRANSFERENCIA CORRIENTE'!F60:H60)</f>
        <v>345560.94</v>
      </c>
      <c r="D59" s="165">
        <f>SUM('TRANSFERENCIA CORRIENTE'!I60:K60)</f>
        <v>0</v>
      </c>
      <c r="E59" s="165">
        <f>SUM('TRANSFERENCIA CORRIENTE'!L60:N60)</f>
        <v>0</v>
      </c>
      <c r="F59" s="451"/>
      <c r="G59" s="165">
        <f>SUM(VS!C60:E60)</f>
        <v>0</v>
      </c>
      <c r="H59" s="165">
        <f>SUM(VS!F60:H60)</f>
        <v>0</v>
      </c>
      <c r="I59" s="165">
        <f>SUM(VS!I60:K60)</f>
        <v>0</v>
      </c>
      <c r="J59" s="166">
        <f>SUM(VS!L60:N60)</f>
        <v>0</v>
      </c>
      <c r="K59" s="451"/>
      <c r="L59" s="269">
        <f t="shared" si="8"/>
        <v>0</v>
      </c>
      <c r="M59" s="269">
        <f t="shared" si="8"/>
        <v>345560.94</v>
      </c>
      <c r="N59" s="269">
        <f t="shared" si="8"/>
        <v>0</v>
      </c>
      <c r="O59" s="269">
        <f t="shared" si="8"/>
        <v>0</v>
      </c>
    </row>
    <row r="60" spans="1:15" s="168" customFormat="1" x14ac:dyDescent="0.25">
      <c r="A60" s="156" t="s">
        <v>466</v>
      </c>
      <c r="B60" s="163">
        <f>SUM(B61:B64)</f>
        <v>0</v>
      </c>
      <c r="C60" s="163">
        <f>SUM(C61:C64)</f>
        <v>0</v>
      </c>
      <c r="D60" s="163">
        <f>SUM(D61:D64)</f>
        <v>0</v>
      </c>
      <c r="E60" s="163">
        <f>SUM(E61:E64)</f>
        <v>0</v>
      </c>
      <c r="F60" s="451"/>
      <c r="G60" s="163">
        <f>SUM(G61:G64)</f>
        <v>0</v>
      </c>
      <c r="H60" s="163">
        <f>SUM(H61:H64)</f>
        <v>0</v>
      </c>
      <c r="I60" s="163">
        <f>SUM(I61:I64)</f>
        <v>0</v>
      </c>
      <c r="J60" s="163">
        <f>SUM(J61:J64)</f>
        <v>0</v>
      </c>
      <c r="K60" s="451"/>
      <c r="L60" s="169">
        <f t="shared" ref="L60:L72" si="9">SUM(B60+G60)</f>
        <v>0</v>
      </c>
      <c r="M60" s="169">
        <f t="shared" si="8"/>
        <v>0</v>
      </c>
      <c r="N60" s="169">
        <f t="shared" si="8"/>
        <v>0</v>
      </c>
      <c r="O60" s="169">
        <f t="shared" si="8"/>
        <v>0</v>
      </c>
    </row>
    <row r="61" spans="1:15" x14ac:dyDescent="0.25">
      <c r="A61" s="361" t="s">
        <v>465</v>
      </c>
      <c r="B61" s="165">
        <f>SUM('TRANSFERENCIA CORRIENTE'!C62:E62)</f>
        <v>0</v>
      </c>
      <c r="C61" s="165">
        <f>SUM('TRANSFERENCIA CORRIENTE'!F62:H62)</f>
        <v>0</v>
      </c>
      <c r="D61" s="165">
        <f>SUM('TRANSFERENCIA CORRIENTE'!I62:K62)</f>
        <v>0</v>
      </c>
      <c r="E61" s="165">
        <f>SUM('TRANSFERENCIA CORRIENTE'!L62:N62)</f>
        <v>0</v>
      </c>
      <c r="F61" s="451"/>
      <c r="G61" s="165">
        <f>SUM(VS!C62:E62)</f>
        <v>0</v>
      </c>
      <c r="H61" s="165">
        <f>SUM(VS!F62:H62)</f>
        <v>0</v>
      </c>
      <c r="I61" s="165">
        <f>SUM(VS!I62:K62)</f>
        <v>0</v>
      </c>
      <c r="J61" s="166">
        <f>SUM(VS!L62:N62)</f>
        <v>0</v>
      </c>
      <c r="K61" s="451"/>
      <c r="L61" s="167">
        <f t="shared" si="9"/>
        <v>0</v>
      </c>
      <c r="M61" s="167">
        <f t="shared" si="8"/>
        <v>0</v>
      </c>
      <c r="N61" s="167">
        <f t="shared" si="8"/>
        <v>0</v>
      </c>
      <c r="O61" s="167">
        <f t="shared" si="8"/>
        <v>0</v>
      </c>
    </row>
    <row r="62" spans="1:15" x14ac:dyDescent="0.25">
      <c r="A62" s="361" t="s">
        <v>464</v>
      </c>
      <c r="B62" s="165">
        <f>SUM('TRANSFERENCIA CORRIENTE'!C63:E63)</f>
        <v>0</v>
      </c>
      <c r="C62" s="165">
        <f>SUM('TRANSFERENCIA CORRIENTE'!F63:H63)</f>
        <v>0</v>
      </c>
      <c r="D62" s="165">
        <f>SUM('TRANSFERENCIA CORRIENTE'!I63:K63)</f>
        <v>0</v>
      </c>
      <c r="E62" s="165">
        <f>SUM('TRANSFERENCIA CORRIENTE'!L63:N63)</f>
        <v>0</v>
      </c>
      <c r="F62" s="451"/>
      <c r="G62" s="165">
        <f>SUM(VS!C63:E63)</f>
        <v>0</v>
      </c>
      <c r="H62" s="165">
        <f>SUM(VS!F63:H63)</f>
        <v>0</v>
      </c>
      <c r="I62" s="165">
        <f>SUM(VS!I63:K63)</f>
        <v>0</v>
      </c>
      <c r="J62" s="166">
        <f>SUM(VS!L63:N63)</f>
        <v>0</v>
      </c>
      <c r="K62" s="451"/>
      <c r="L62" s="167">
        <f t="shared" si="9"/>
        <v>0</v>
      </c>
      <c r="M62" s="167">
        <f t="shared" si="8"/>
        <v>0</v>
      </c>
      <c r="N62" s="167">
        <f t="shared" si="8"/>
        <v>0</v>
      </c>
      <c r="O62" s="167">
        <f t="shared" si="8"/>
        <v>0</v>
      </c>
    </row>
    <row r="63" spans="1:15" x14ac:dyDescent="0.25">
      <c r="A63" s="361" t="s">
        <v>463</v>
      </c>
      <c r="B63" s="165">
        <f>SUM('TRANSFERENCIA CORRIENTE'!C64:E64)</f>
        <v>0</v>
      </c>
      <c r="C63" s="165">
        <f>SUM('TRANSFERENCIA CORRIENTE'!F64:H64)</f>
        <v>0</v>
      </c>
      <c r="D63" s="165">
        <f>SUM('TRANSFERENCIA CORRIENTE'!I64:K64)</f>
        <v>0</v>
      </c>
      <c r="E63" s="165">
        <f>SUM('TRANSFERENCIA CORRIENTE'!L64:N64)</f>
        <v>0</v>
      </c>
      <c r="F63" s="451"/>
      <c r="G63" s="165">
        <f>SUM(VS!C64:E64)</f>
        <v>0</v>
      </c>
      <c r="H63" s="165">
        <f>SUM(VS!F64:H64)</f>
        <v>0</v>
      </c>
      <c r="I63" s="165">
        <f>SUM(VS!I64:K64)</f>
        <v>0</v>
      </c>
      <c r="J63" s="166">
        <f>SUM(VS!L64:N64)</f>
        <v>0</v>
      </c>
      <c r="K63" s="451"/>
      <c r="L63" s="167">
        <f t="shared" si="9"/>
        <v>0</v>
      </c>
      <c r="M63" s="167">
        <f t="shared" si="8"/>
        <v>0</v>
      </c>
      <c r="N63" s="167">
        <f t="shared" si="8"/>
        <v>0</v>
      </c>
      <c r="O63" s="167">
        <f t="shared" si="8"/>
        <v>0</v>
      </c>
    </row>
    <row r="64" spans="1:15" ht="30" x14ac:dyDescent="0.25">
      <c r="A64" s="361" t="s">
        <v>462</v>
      </c>
      <c r="B64" s="165">
        <f>SUM('TRANSFERENCIA CORRIENTE'!C65:E65)</f>
        <v>0</v>
      </c>
      <c r="C64" s="165">
        <f>SUM('TRANSFERENCIA CORRIENTE'!F65:H65)</f>
        <v>0</v>
      </c>
      <c r="D64" s="165">
        <f>SUM('TRANSFERENCIA CORRIENTE'!I65:K65)</f>
        <v>0</v>
      </c>
      <c r="E64" s="165">
        <f>SUM('TRANSFERENCIA CORRIENTE'!L65:N65)</f>
        <v>0</v>
      </c>
      <c r="F64" s="451"/>
      <c r="G64" s="165">
        <f>SUM(VS!C65:E65)</f>
        <v>0</v>
      </c>
      <c r="H64" s="165">
        <f>SUM(VS!F65:H65)</f>
        <v>0</v>
      </c>
      <c r="I64" s="165">
        <f>SUM(VS!I65:K65)</f>
        <v>0</v>
      </c>
      <c r="J64" s="166">
        <f>SUM(VS!L65:N65)</f>
        <v>0</v>
      </c>
      <c r="K64" s="451"/>
      <c r="L64" s="167">
        <f t="shared" si="9"/>
        <v>0</v>
      </c>
      <c r="M64" s="167">
        <f t="shared" si="8"/>
        <v>0</v>
      </c>
      <c r="N64" s="167">
        <f t="shared" si="8"/>
        <v>0</v>
      </c>
      <c r="O64" s="167">
        <f t="shared" si="8"/>
        <v>0</v>
      </c>
    </row>
    <row r="65" spans="1:15" s="168" customFormat="1" x14ac:dyDescent="0.25">
      <c r="A65" s="156" t="s">
        <v>461</v>
      </c>
      <c r="B65" s="163">
        <f>SUM(B66:B67)</f>
        <v>0</v>
      </c>
      <c r="C65" s="163">
        <f>SUM(C66:C67)</f>
        <v>0</v>
      </c>
      <c r="D65" s="163">
        <f>SUM(D66:D67)</f>
        <v>0</v>
      </c>
      <c r="E65" s="163">
        <f>SUM(E66:E67)</f>
        <v>0</v>
      </c>
      <c r="F65" s="451"/>
      <c r="G65" s="163">
        <f>SUM(G66:G67)</f>
        <v>0</v>
      </c>
      <c r="H65" s="163">
        <f>SUM(H66:H67)</f>
        <v>0</v>
      </c>
      <c r="I65" s="163">
        <f>SUM(I66:I67)</f>
        <v>0</v>
      </c>
      <c r="J65" s="163">
        <f>SUM(J66:J67)</f>
        <v>0</v>
      </c>
      <c r="K65" s="451"/>
      <c r="L65" s="169">
        <f t="shared" si="9"/>
        <v>0</v>
      </c>
      <c r="M65" s="169">
        <f t="shared" si="8"/>
        <v>0</v>
      </c>
      <c r="N65" s="169">
        <f t="shared" si="8"/>
        <v>0</v>
      </c>
      <c r="O65" s="169">
        <f t="shared" si="8"/>
        <v>0</v>
      </c>
    </row>
    <row r="66" spans="1:15" x14ac:dyDescent="0.25">
      <c r="A66" s="361" t="s">
        <v>460</v>
      </c>
      <c r="B66" s="165">
        <f>SUM('TRANSFERENCIA CORRIENTE'!C67:E67)</f>
        <v>0</v>
      </c>
      <c r="C66" s="165">
        <f>SUM('TRANSFERENCIA CORRIENTE'!F67:H67)</f>
        <v>0</v>
      </c>
      <c r="D66" s="165">
        <f>SUM('TRANSFERENCIA CORRIENTE'!I67:K67)</f>
        <v>0</v>
      </c>
      <c r="E66" s="165">
        <f>SUM('TRANSFERENCIA CORRIENTE'!L67:N67)</f>
        <v>0</v>
      </c>
      <c r="F66" s="451"/>
      <c r="G66" s="165">
        <f>SUM(VS!C67:E67)</f>
        <v>0</v>
      </c>
      <c r="H66" s="165">
        <f>SUM(VS!F67:H67)</f>
        <v>0</v>
      </c>
      <c r="I66" s="165">
        <f>SUM(VS!I67:K67)</f>
        <v>0</v>
      </c>
      <c r="J66" s="166">
        <f>SUM(VS!L67:N67)</f>
        <v>0</v>
      </c>
      <c r="K66" s="451"/>
      <c r="L66" s="167">
        <f t="shared" si="9"/>
        <v>0</v>
      </c>
      <c r="M66" s="167">
        <f>SUM(C66+H66)</f>
        <v>0</v>
      </c>
      <c r="N66" s="167">
        <f t="shared" si="8"/>
        <v>0</v>
      </c>
      <c r="O66" s="167">
        <f t="shared" si="8"/>
        <v>0</v>
      </c>
    </row>
    <row r="67" spans="1:15" x14ac:dyDescent="0.25">
      <c r="A67" s="361" t="s">
        <v>459</v>
      </c>
      <c r="B67" s="165">
        <f>SUM('TRANSFERENCIA CORRIENTE'!C68:E68)</f>
        <v>0</v>
      </c>
      <c r="C67" s="165">
        <f>SUM('TRANSFERENCIA CORRIENTE'!F68:H68)</f>
        <v>0</v>
      </c>
      <c r="D67" s="165">
        <f>SUM('TRANSFERENCIA CORRIENTE'!I68:K68)</f>
        <v>0</v>
      </c>
      <c r="E67" s="165">
        <f>SUM('TRANSFERENCIA CORRIENTE'!L68:N68)</f>
        <v>0</v>
      </c>
      <c r="F67" s="451"/>
      <c r="G67" s="165">
        <f>SUM(VS!C68:E68)</f>
        <v>0</v>
      </c>
      <c r="H67" s="165">
        <f>SUM(VS!F68:H68)</f>
        <v>0</v>
      </c>
      <c r="I67" s="165">
        <f>SUM(VS!I68:K68)</f>
        <v>0</v>
      </c>
      <c r="J67" s="166">
        <f>SUM(VS!L68:N68)</f>
        <v>0</v>
      </c>
      <c r="K67" s="451"/>
      <c r="L67" s="167">
        <f t="shared" si="9"/>
        <v>0</v>
      </c>
      <c r="M67" s="167">
        <f>SUM(C67+H67)</f>
        <v>0</v>
      </c>
      <c r="N67" s="167">
        <f>SUM(D67+I67)</f>
        <v>0</v>
      </c>
      <c r="O67" s="167">
        <f>SUM(E67+J67)</f>
        <v>0</v>
      </c>
    </row>
    <row r="68" spans="1:15" s="168" customFormat="1" x14ac:dyDescent="0.25">
      <c r="A68" s="156" t="s">
        <v>458</v>
      </c>
      <c r="B68" s="163">
        <f>SUM(B69:B71)</f>
        <v>0</v>
      </c>
      <c r="C68" s="163">
        <f>SUM(C69:C71)</f>
        <v>0</v>
      </c>
      <c r="D68" s="163">
        <f>SUM(D69:D71)</f>
        <v>0</v>
      </c>
      <c r="E68" s="163">
        <f>SUM(E69:E71)</f>
        <v>0</v>
      </c>
      <c r="F68" s="451"/>
      <c r="G68" s="163">
        <f>SUM(G69:G71)</f>
        <v>0</v>
      </c>
      <c r="H68" s="163">
        <f>SUM(H69:H71)</f>
        <v>0</v>
      </c>
      <c r="I68" s="163">
        <f>SUM(I69:I71)</f>
        <v>0</v>
      </c>
      <c r="J68" s="163">
        <f>SUM(J69:J71)</f>
        <v>0</v>
      </c>
      <c r="K68" s="451"/>
      <c r="L68" s="169">
        <f t="shared" si="9"/>
        <v>0</v>
      </c>
      <c r="M68" s="169">
        <f t="shared" ref="M68:O82" si="10">SUM(C68+H68)</f>
        <v>0</v>
      </c>
      <c r="N68" s="169">
        <f t="shared" si="10"/>
        <v>0</v>
      </c>
      <c r="O68" s="169">
        <f t="shared" si="10"/>
        <v>0</v>
      </c>
    </row>
    <row r="69" spans="1:15" x14ac:dyDescent="0.25">
      <c r="A69" s="361" t="s">
        <v>457</v>
      </c>
      <c r="B69" s="165">
        <f>SUM('TRANSFERENCIA CORRIENTE'!C70:E70)</f>
        <v>0</v>
      </c>
      <c r="C69" s="165">
        <f>SUM('TRANSFERENCIA CORRIENTE'!F70:H70)</f>
        <v>0</v>
      </c>
      <c r="D69" s="165">
        <f>SUM('TRANSFERENCIA CORRIENTE'!I70:K70)</f>
        <v>0</v>
      </c>
      <c r="E69" s="165">
        <f>SUM('TRANSFERENCIA CORRIENTE'!L70:N70)</f>
        <v>0</v>
      </c>
      <c r="F69" s="451"/>
      <c r="G69" s="165">
        <f>SUM(VS!C70:E70)</f>
        <v>0</v>
      </c>
      <c r="H69" s="165">
        <f>SUM(VS!F70:H70)</f>
        <v>0</v>
      </c>
      <c r="I69" s="165">
        <f>SUM(VS!I70:K70)</f>
        <v>0</v>
      </c>
      <c r="J69" s="166">
        <f>SUM(VS!L70:N70)</f>
        <v>0</v>
      </c>
      <c r="K69" s="451"/>
      <c r="L69" s="167">
        <f t="shared" si="9"/>
        <v>0</v>
      </c>
      <c r="M69" s="167">
        <f t="shared" si="10"/>
        <v>0</v>
      </c>
      <c r="N69" s="167">
        <f t="shared" si="10"/>
        <v>0</v>
      </c>
      <c r="O69" s="167">
        <f t="shared" si="10"/>
        <v>0</v>
      </c>
    </row>
    <row r="70" spans="1:15" x14ac:dyDescent="0.25">
      <c r="A70" s="361" t="s">
        <v>456</v>
      </c>
      <c r="B70" s="165">
        <f>SUM('TRANSFERENCIA CORRIENTE'!C71:E71)</f>
        <v>0</v>
      </c>
      <c r="C70" s="165">
        <f>SUM('TRANSFERENCIA CORRIENTE'!F71:H71)</f>
        <v>0</v>
      </c>
      <c r="D70" s="165">
        <f>SUM('TRANSFERENCIA CORRIENTE'!I71:K71)</f>
        <v>0</v>
      </c>
      <c r="E70" s="165">
        <f>SUM('TRANSFERENCIA CORRIENTE'!L71:N71)</f>
        <v>0</v>
      </c>
      <c r="F70" s="451"/>
      <c r="G70" s="165">
        <f>SUM(VS!C71:E71)</f>
        <v>0</v>
      </c>
      <c r="H70" s="165">
        <f>SUM(VS!F71:H71)</f>
        <v>0</v>
      </c>
      <c r="I70" s="165">
        <f>SUM(VS!I71:K71)</f>
        <v>0</v>
      </c>
      <c r="J70" s="166">
        <f>SUM(VS!L71:N71)</f>
        <v>0</v>
      </c>
      <c r="K70" s="451"/>
      <c r="L70" s="167">
        <f t="shared" si="9"/>
        <v>0</v>
      </c>
      <c r="M70" s="167">
        <f t="shared" si="10"/>
        <v>0</v>
      </c>
      <c r="N70" s="167">
        <f t="shared" si="10"/>
        <v>0</v>
      </c>
      <c r="O70" s="167">
        <f t="shared" si="10"/>
        <v>0</v>
      </c>
    </row>
    <row r="71" spans="1:15" x14ac:dyDescent="0.25">
      <c r="A71" s="361" t="s">
        <v>455</v>
      </c>
      <c r="B71" s="165">
        <f>SUM('TRANSFERENCIA CORRIENTE'!C72:E72)</f>
        <v>0</v>
      </c>
      <c r="C71" s="165">
        <f>SUM('TRANSFERENCIA CORRIENTE'!F72:H72)</f>
        <v>0</v>
      </c>
      <c r="D71" s="165">
        <f>SUM('TRANSFERENCIA CORRIENTE'!I72:K72)</f>
        <v>0</v>
      </c>
      <c r="E71" s="165">
        <f>SUM('TRANSFERENCIA CORRIENTE'!L72:N72)</f>
        <v>0</v>
      </c>
      <c r="F71" s="451"/>
      <c r="G71" s="165"/>
      <c r="H71" s="165">
        <f>SUM(VS!F72:H72)</f>
        <v>0</v>
      </c>
      <c r="I71" s="165">
        <f>SUM(VS!I72:K72)</f>
        <v>0</v>
      </c>
      <c r="J71" s="166">
        <f>SUM(VS!L72:N72)</f>
        <v>0</v>
      </c>
      <c r="K71" s="451"/>
      <c r="L71" s="167">
        <f t="shared" si="9"/>
        <v>0</v>
      </c>
      <c r="M71" s="167">
        <f t="shared" si="10"/>
        <v>0</v>
      </c>
      <c r="N71" s="167">
        <f t="shared" si="10"/>
        <v>0</v>
      </c>
      <c r="O71" s="167">
        <f t="shared" si="10"/>
        <v>0</v>
      </c>
    </row>
    <row r="72" spans="1:15" s="168" customFormat="1" x14ac:dyDescent="0.25">
      <c r="A72" s="156" t="s">
        <v>454</v>
      </c>
      <c r="B72" s="163">
        <f>+B8+B14+B24+B34+B42+B50+B60+B65+B68</f>
        <v>271880250.56999999</v>
      </c>
      <c r="C72" s="163">
        <f>+C8+C14+C24+C34+C42+C50+C60+C65+C68</f>
        <v>277231645.53999996</v>
      </c>
      <c r="D72" s="163">
        <f>+D8+D14+D24+D34+D42+D50+D60+D65+D68</f>
        <v>355960175.38</v>
      </c>
      <c r="E72" s="163">
        <f>+E8+E14+E24+E34+E42+E50+E60+E65+E68</f>
        <v>266541354.75999996</v>
      </c>
      <c r="F72" s="451"/>
      <c r="G72" s="163">
        <f>+G8+G14+G24+G34+G42+G50+G60+G65+G68</f>
        <v>26194615.629999999</v>
      </c>
      <c r="H72" s="163">
        <f>+H8+H14+H24+H34+H42+H50+H60+H65+H68</f>
        <v>20399506.549999997</v>
      </c>
      <c r="I72" s="163">
        <f>+I8+I14+I24+I34+I42+I50+I60+I65+I68</f>
        <v>29377123.810000002</v>
      </c>
      <c r="J72" s="163">
        <f>+J8+J14+J24+J34+J42+J50+J60+J65+J68</f>
        <v>15188052.129999999</v>
      </c>
      <c r="K72" s="451"/>
      <c r="L72" s="169">
        <f t="shared" si="9"/>
        <v>298074866.19999999</v>
      </c>
      <c r="M72" s="169">
        <f t="shared" si="10"/>
        <v>297631152.08999997</v>
      </c>
      <c r="N72" s="169">
        <f t="shared" si="10"/>
        <v>385337299.19</v>
      </c>
      <c r="O72" s="169">
        <f t="shared" si="10"/>
        <v>281729406.88999999</v>
      </c>
    </row>
    <row r="73" spans="1:15" x14ac:dyDescent="0.25">
      <c r="A73" s="152" t="s">
        <v>453</v>
      </c>
      <c r="B73" s="165">
        <f>SUM('TRANSFERENCIA CORRIENTE'!C74:E74)</f>
        <v>0</v>
      </c>
      <c r="C73" s="165">
        <f>SUM('TRANSFERENCIA CORRIENTE'!F74:H74)</f>
        <v>0</v>
      </c>
      <c r="D73" s="165">
        <f>SUM('TRANSFERENCIA CORRIENTE'!I74:K74)</f>
        <v>0</v>
      </c>
      <c r="E73" s="165">
        <f>SUM('TRANSFERENCIA CORRIENTE'!L74:N74)</f>
        <v>0</v>
      </c>
      <c r="F73" s="451"/>
      <c r="G73" s="165">
        <f>SUM(VS!C74:E74)</f>
        <v>0</v>
      </c>
      <c r="H73" s="165">
        <f>SUM(VS!F74:H74)</f>
        <v>0</v>
      </c>
      <c r="I73" s="165">
        <f>SUM(VS!I74:K74)</f>
        <v>0</v>
      </c>
      <c r="J73" s="166">
        <f>SUM(VS!L74:N74)</f>
        <v>0</v>
      </c>
      <c r="K73" s="451"/>
      <c r="L73" s="167">
        <f t="shared" ref="L73:L81" si="11">SUM(B73+G73)</f>
        <v>0</v>
      </c>
      <c r="M73" s="167">
        <f t="shared" si="10"/>
        <v>0</v>
      </c>
      <c r="N73" s="167">
        <f t="shared" si="10"/>
        <v>0</v>
      </c>
      <c r="O73" s="167">
        <f t="shared" si="10"/>
        <v>0</v>
      </c>
    </row>
    <row r="74" spans="1:15" x14ac:dyDescent="0.25">
      <c r="A74" s="152" t="s">
        <v>452</v>
      </c>
      <c r="B74" s="165">
        <f>SUM('TRANSFERENCIA CORRIENTE'!C75:E75)</f>
        <v>0</v>
      </c>
      <c r="C74" s="165">
        <f>SUM('TRANSFERENCIA CORRIENTE'!F75:H75)</f>
        <v>0</v>
      </c>
      <c r="D74" s="165">
        <f>SUM('TRANSFERENCIA CORRIENTE'!I75:K75)</f>
        <v>0</v>
      </c>
      <c r="E74" s="165">
        <f>SUM('TRANSFERENCIA CORRIENTE'!L75:N75)</f>
        <v>0</v>
      </c>
      <c r="F74" s="451"/>
      <c r="G74" s="165">
        <f>SUM(VS!C75:E75)</f>
        <v>0</v>
      </c>
      <c r="H74" s="165">
        <f>SUM(VS!F75:H75)</f>
        <v>0</v>
      </c>
      <c r="I74" s="165">
        <f>SUM(VS!I75:K75)</f>
        <v>0</v>
      </c>
      <c r="J74" s="166">
        <f>SUM(VS!L75:N75)</f>
        <v>0</v>
      </c>
      <c r="K74" s="451"/>
      <c r="L74" s="167">
        <f t="shared" si="11"/>
        <v>0</v>
      </c>
      <c r="M74" s="167">
        <f t="shared" si="10"/>
        <v>0</v>
      </c>
      <c r="N74" s="167">
        <f t="shared" si="10"/>
        <v>0</v>
      </c>
      <c r="O74" s="167">
        <f t="shared" si="10"/>
        <v>0</v>
      </c>
    </row>
    <row r="75" spans="1:15" x14ac:dyDescent="0.25">
      <c r="A75" s="361" t="s">
        <v>451</v>
      </c>
      <c r="B75" s="165">
        <f>SUM('TRANSFERENCIA CORRIENTE'!C76:E76)</f>
        <v>0</v>
      </c>
      <c r="C75" s="165">
        <f>SUM('TRANSFERENCIA CORRIENTE'!F76:H76)</f>
        <v>0</v>
      </c>
      <c r="D75" s="165">
        <f>SUM('TRANSFERENCIA CORRIENTE'!I76:K76)</f>
        <v>0</v>
      </c>
      <c r="E75" s="165">
        <f>SUM('TRANSFERENCIA CORRIENTE'!L76:N76)</f>
        <v>0</v>
      </c>
      <c r="F75" s="451"/>
      <c r="G75" s="165">
        <f>SUM(VS!C76:E76)</f>
        <v>0</v>
      </c>
      <c r="H75" s="165">
        <f>SUM(VS!F76:H76)</f>
        <v>0</v>
      </c>
      <c r="I75" s="165">
        <f>SUM(VS!I76:K76)</f>
        <v>0</v>
      </c>
      <c r="J75" s="166">
        <f>SUM(VS!L76:N76)</f>
        <v>0</v>
      </c>
      <c r="K75" s="451"/>
      <c r="L75" s="167">
        <f t="shared" si="11"/>
        <v>0</v>
      </c>
      <c r="M75" s="167">
        <f t="shared" si="10"/>
        <v>0</v>
      </c>
      <c r="N75" s="167">
        <f t="shared" si="10"/>
        <v>0</v>
      </c>
      <c r="O75" s="167">
        <f t="shared" si="10"/>
        <v>0</v>
      </c>
    </row>
    <row r="76" spans="1:15" x14ac:dyDescent="0.25">
      <c r="A76" s="361" t="s">
        <v>450</v>
      </c>
      <c r="B76" s="165">
        <f>SUM('TRANSFERENCIA CORRIENTE'!C77:E77)</f>
        <v>0</v>
      </c>
      <c r="C76" s="165">
        <f>SUM('TRANSFERENCIA CORRIENTE'!F77:H77)</f>
        <v>0</v>
      </c>
      <c r="D76" s="165">
        <f>SUM('TRANSFERENCIA CORRIENTE'!I77:K77)</f>
        <v>0</v>
      </c>
      <c r="E76" s="165">
        <f>SUM('TRANSFERENCIA CORRIENTE'!L77:N77)</f>
        <v>0</v>
      </c>
      <c r="F76" s="451"/>
      <c r="G76" s="165">
        <f>SUM(VS!C77:E77)</f>
        <v>0</v>
      </c>
      <c r="H76" s="165">
        <f>SUM(VS!F77:H77)</f>
        <v>0</v>
      </c>
      <c r="I76" s="165">
        <f>SUM(VS!I77:K77)</f>
        <v>0</v>
      </c>
      <c r="J76" s="166">
        <f>SUM(VS!L77:N77)</f>
        <v>0</v>
      </c>
      <c r="K76" s="451"/>
      <c r="L76" s="167">
        <f t="shared" si="11"/>
        <v>0</v>
      </c>
      <c r="M76" s="167">
        <f t="shared" si="10"/>
        <v>0</v>
      </c>
      <c r="N76" s="167">
        <f t="shared" si="10"/>
        <v>0</v>
      </c>
      <c r="O76" s="167">
        <f t="shared" si="10"/>
        <v>0</v>
      </c>
    </row>
    <row r="77" spans="1:15" x14ac:dyDescent="0.25">
      <c r="A77" s="152" t="s">
        <v>449</v>
      </c>
      <c r="B77" s="165">
        <f>SUM('TRANSFERENCIA CORRIENTE'!C78:E78)</f>
        <v>0</v>
      </c>
      <c r="C77" s="165">
        <f>SUM('TRANSFERENCIA CORRIENTE'!F78:H78)</f>
        <v>0</v>
      </c>
      <c r="D77" s="165">
        <f>SUM('TRANSFERENCIA CORRIENTE'!I78:K78)</f>
        <v>0</v>
      </c>
      <c r="E77" s="165">
        <f>SUM('TRANSFERENCIA CORRIENTE'!L78:N78)</f>
        <v>0</v>
      </c>
      <c r="F77" s="451"/>
      <c r="G77" s="165">
        <f>SUM(VS!C78:E78)</f>
        <v>0</v>
      </c>
      <c r="H77" s="165">
        <f>SUM(VS!F78:H78)</f>
        <v>0</v>
      </c>
      <c r="I77" s="165">
        <f>SUM(VS!I78:K78)</f>
        <v>0</v>
      </c>
      <c r="J77" s="166">
        <f>SUM(VS!L78:N78)</f>
        <v>0</v>
      </c>
      <c r="K77" s="451"/>
      <c r="L77" s="167">
        <f t="shared" si="11"/>
        <v>0</v>
      </c>
      <c r="M77" s="167">
        <f t="shared" si="10"/>
        <v>0</v>
      </c>
      <c r="N77" s="167">
        <f t="shared" si="10"/>
        <v>0</v>
      </c>
      <c r="O77" s="167">
        <f t="shared" si="10"/>
        <v>0</v>
      </c>
    </row>
    <row r="78" spans="1:15" x14ac:dyDescent="0.25">
      <c r="A78" s="361" t="s">
        <v>448</v>
      </c>
      <c r="B78" s="165">
        <f>SUM('TRANSFERENCIA CORRIENTE'!C79:E79)</f>
        <v>0</v>
      </c>
      <c r="C78" s="165">
        <f>SUM('TRANSFERENCIA CORRIENTE'!F79:H79)</f>
        <v>0</v>
      </c>
      <c r="D78" s="165">
        <f>SUM('TRANSFERENCIA CORRIENTE'!I79:K79)</f>
        <v>0</v>
      </c>
      <c r="E78" s="165">
        <f>SUM('TRANSFERENCIA CORRIENTE'!L79:N79)</f>
        <v>0</v>
      </c>
      <c r="F78" s="451"/>
      <c r="G78" s="165">
        <f>SUM(VS!C79:E79)</f>
        <v>0</v>
      </c>
      <c r="H78" s="165">
        <f>SUM(VS!F79:H79)</f>
        <v>0</v>
      </c>
      <c r="I78" s="165">
        <f>SUM(VS!I79:K79)</f>
        <v>0</v>
      </c>
      <c r="J78" s="166">
        <f>SUM(VS!L79:N79)</f>
        <v>0</v>
      </c>
      <c r="K78" s="451"/>
      <c r="L78" s="167">
        <f t="shared" si="11"/>
        <v>0</v>
      </c>
      <c r="M78" s="167">
        <f t="shared" si="10"/>
        <v>0</v>
      </c>
      <c r="N78" s="167">
        <f t="shared" si="10"/>
        <v>0</v>
      </c>
      <c r="O78" s="167">
        <f t="shared" si="10"/>
        <v>0</v>
      </c>
    </row>
    <row r="79" spans="1:15" x14ac:dyDescent="0.25">
      <c r="A79" s="361" t="s">
        <v>447</v>
      </c>
      <c r="B79" s="165">
        <f>SUM('TRANSFERENCIA CORRIENTE'!C80:E80)</f>
        <v>0</v>
      </c>
      <c r="C79" s="165">
        <f>SUM('TRANSFERENCIA CORRIENTE'!F80:H80)</f>
        <v>0</v>
      </c>
      <c r="D79" s="165">
        <f>SUM('TRANSFERENCIA CORRIENTE'!I80:K80)</f>
        <v>0</v>
      </c>
      <c r="E79" s="165">
        <f>SUM('TRANSFERENCIA CORRIENTE'!L80:N80)</f>
        <v>0</v>
      </c>
      <c r="F79" s="451"/>
      <c r="G79" s="165">
        <f>SUM(VS!C80:E80)</f>
        <v>0</v>
      </c>
      <c r="H79" s="165">
        <f>SUM(VS!F80:H80)</f>
        <v>0</v>
      </c>
      <c r="I79" s="165">
        <f>SUM(VS!I80:K80)</f>
        <v>0</v>
      </c>
      <c r="J79" s="166">
        <f>SUM(VS!L80:N80)</f>
        <v>0</v>
      </c>
      <c r="K79" s="451"/>
      <c r="L79" s="167">
        <f t="shared" si="11"/>
        <v>0</v>
      </c>
      <c r="M79" s="167">
        <f t="shared" si="10"/>
        <v>0</v>
      </c>
      <c r="N79" s="167">
        <f t="shared" si="10"/>
        <v>0</v>
      </c>
      <c r="O79" s="167">
        <f t="shared" si="10"/>
        <v>0</v>
      </c>
    </row>
    <row r="80" spans="1:15" x14ac:dyDescent="0.25">
      <c r="A80" s="152" t="s">
        <v>446</v>
      </c>
      <c r="B80" s="165">
        <f>SUM('TRANSFERENCIA CORRIENTE'!C81:E81)</f>
        <v>0</v>
      </c>
      <c r="C80" s="165">
        <f>SUM('TRANSFERENCIA CORRIENTE'!F81:H81)</f>
        <v>0</v>
      </c>
      <c r="D80" s="165">
        <f>SUM('TRANSFERENCIA CORRIENTE'!I81:K81)</f>
        <v>0</v>
      </c>
      <c r="E80" s="165">
        <f>SUM('TRANSFERENCIA CORRIENTE'!L81:N81)</f>
        <v>0</v>
      </c>
      <c r="F80" s="451"/>
      <c r="G80" s="165">
        <f>SUM(VS!C81:E81)</f>
        <v>0</v>
      </c>
      <c r="H80" s="165">
        <f>SUM(VS!F81:H81)</f>
        <v>0</v>
      </c>
      <c r="I80" s="165">
        <f>SUM(VS!I81:K81)</f>
        <v>0</v>
      </c>
      <c r="J80" s="166">
        <f>SUM(VS!L81:N81)</f>
        <v>0</v>
      </c>
      <c r="K80" s="451"/>
      <c r="L80" s="167">
        <f t="shared" si="11"/>
        <v>0</v>
      </c>
      <c r="M80" s="167">
        <f t="shared" si="10"/>
        <v>0</v>
      </c>
      <c r="N80" s="167">
        <f t="shared" si="10"/>
        <v>0</v>
      </c>
      <c r="O80" s="167">
        <f t="shared" si="10"/>
        <v>0</v>
      </c>
    </row>
    <row r="81" spans="1:15" x14ac:dyDescent="0.25">
      <c r="A81" s="361" t="s">
        <v>445</v>
      </c>
      <c r="B81" s="165">
        <f>SUM('TRANSFERENCIA CORRIENTE'!C82:E82)</f>
        <v>0</v>
      </c>
      <c r="C81" s="165">
        <f>SUM('TRANSFERENCIA CORRIENTE'!F82:H82)</f>
        <v>0</v>
      </c>
      <c r="D81" s="165">
        <f>SUM('TRANSFERENCIA CORRIENTE'!I82:K82)</f>
        <v>0</v>
      </c>
      <c r="E81" s="165">
        <f>SUM('TRANSFERENCIA CORRIENTE'!L82:N82)</f>
        <v>0</v>
      </c>
      <c r="F81" s="451"/>
      <c r="G81" s="165">
        <f>SUM(VS!C82:E82)</f>
        <v>0</v>
      </c>
      <c r="H81" s="165">
        <f>SUM(VS!F82:H82)</f>
        <v>0</v>
      </c>
      <c r="I81" s="165">
        <f>SUM(VS!I82:K82)</f>
        <v>0</v>
      </c>
      <c r="J81" s="166">
        <f>SUM(VS!L82:N82)</f>
        <v>0</v>
      </c>
      <c r="K81" s="451"/>
      <c r="L81" s="167">
        <f t="shared" si="11"/>
        <v>0</v>
      </c>
      <c r="M81" s="167">
        <f t="shared" si="10"/>
        <v>0</v>
      </c>
      <c r="N81" s="167">
        <f t="shared" si="10"/>
        <v>0</v>
      </c>
      <c r="O81" s="167">
        <f t="shared" si="10"/>
        <v>0</v>
      </c>
    </row>
    <row r="82" spans="1:15" s="168" customFormat="1" x14ac:dyDescent="0.25">
      <c r="A82" s="156" t="s">
        <v>444</v>
      </c>
      <c r="B82" s="163">
        <f>SUM(B83)</f>
        <v>271880250.56999999</v>
      </c>
      <c r="C82" s="163">
        <f>SUM(C83)</f>
        <v>277231645.53999996</v>
      </c>
      <c r="D82" s="163">
        <f>SUM(D83)</f>
        <v>320499510.06</v>
      </c>
      <c r="E82" s="163">
        <f>SUM(E83)</f>
        <v>266541354.76000005</v>
      </c>
      <c r="F82" s="451"/>
      <c r="G82" s="163">
        <f>SUM(G83)</f>
        <v>26194615.629999999</v>
      </c>
      <c r="H82" s="163">
        <f>SUM(H83)</f>
        <v>20399506.550000001</v>
      </c>
      <c r="I82" s="163">
        <f>SUM(I83)</f>
        <v>29377123.810000002</v>
      </c>
      <c r="J82" s="163">
        <f>SUM(J83)</f>
        <v>15188052.129999999</v>
      </c>
      <c r="K82" s="451"/>
      <c r="L82" s="169">
        <f>SUM(B82+G82)</f>
        <v>298074866.19999999</v>
      </c>
      <c r="M82" s="169">
        <f t="shared" si="10"/>
        <v>297631152.08999997</v>
      </c>
      <c r="N82" s="169">
        <f t="shared" si="10"/>
        <v>349876633.87</v>
      </c>
      <c r="O82" s="169">
        <f t="shared" si="10"/>
        <v>281729406.89000005</v>
      </c>
    </row>
    <row r="83" spans="1:15" ht="15.75" x14ac:dyDescent="0.25">
      <c r="A83" s="170" t="s">
        <v>443</v>
      </c>
      <c r="B83" s="165">
        <f>SUM('TRANSFERENCIA CORRIENTE'!C85:E85)</f>
        <v>271880250.56999999</v>
      </c>
      <c r="C83" s="165">
        <f>SUM('TRANSFERENCIA CORRIENTE'!F85:H85)</f>
        <v>277231645.53999996</v>
      </c>
      <c r="D83" s="165">
        <f>SUM('TRANSFERENCIA CORRIENTE'!I85:K85)</f>
        <v>320499510.06</v>
      </c>
      <c r="E83" s="165">
        <f>SUM('TRANSFERENCIA CORRIENTE'!L85:N85)</f>
        <v>266541354.76000005</v>
      </c>
      <c r="F83" s="452"/>
      <c r="G83" s="165">
        <f>SUM(VS!C85:E85)</f>
        <v>26194615.629999999</v>
      </c>
      <c r="H83" s="165">
        <f>SUM(VS!F85:H85)</f>
        <v>20399506.550000001</v>
      </c>
      <c r="I83" s="165">
        <f>SUM(VS!I85:K85)</f>
        <v>29377123.810000002</v>
      </c>
      <c r="J83" s="165">
        <f>SUM(VS!L85:N85)</f>
        <v>15188052.129999999</v>
      </c>
      <c r="K83" s="452"/>
      <c r="L83" s="167">
        <f>SUM(B83+G83)</f>
        <v>298074866.19999999</v>
      </c>
      <c r="M83" s="167">
        <f>SUM(C83+H83)</f>
        <v>297631152.08999997</v>
      </c>
      <c r="N83" s="167">
        <f>SUM(D83+I83)</f>
        <v>349876633.87</v>
      </c>
      <c r="O83" s="167">
        <f>SUM(E83+J83)</f>
        <v>281729406.89000005</v>
      </c>
    </row>
  </sheetData>
  <mergeCells count="9">
    <mergeCell ref="A1:O1"/>
    <mergeCell ref="A2:O2"/>
    <mergeCell ref="A3:O3"/>
    <mergeCell ref="A4:O4"/>
    <mergeCell ref="B6:E6"/>
    <mergeCell ref="F6:F83"/>
    <mergeCell ref="G6:J6"/>
    <mergeCell ref="K6:K83"/>
    <mergeCell ref="L6:O6"/>
  </mergeCells>
  <pageMargins left="0.11811023622047245" right="0.11811023622047245" top="0.74803149606299213" bottom="0.74803149606299213" header="0.31496062992125984" footer="0.31496062992125984"/>
  <pageSetup scale="37" orientation="landscape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92D20-A474-403D-B3AE-761E42171B5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2"/>
  <sheetViews>
    <sheetView view="pageBreakPreview" topLeftCell="A40" zoomScale="60" zoomScaleNormal="82" workbookViewId="0">
      <selection activeCell="V69" sqref="V69"/>
    </sheetView>
  </sheetViews>
  <sheetFormatPr baseColWidth="10" defaultColWidth="9.140625" defaultRowHeight="15" x14ac:dyDescent="0.25"/>
  <cols>
    <col min="1" max="1" width="48.42578125" bestFit="1" customWidth="1"/>
    <col min="2" max="2" width="17" bestFit="1" customWidth="1"/>
    <col min="3" max="4" width="14.28515625" bestFit="1" customWidth="1"/>
    <col min="5" max="5" width="15.28515625" bestFit="1" customWidth="1"/>
    <col min="6" max="8" width="14.28515625" bestFit="1" customWidth="1"/>
    <col min="9" max="9" width="15.28515625" bestFit="1" customWidth="1"/>
    <col min="10" max="10" width="14.28515625" bestFit="1" customWidth="1"/>
    <col min="11" max="13" width="15.28515625" bestFit="1" customWidth="1"/>
    <col min="14" max="14" width="18.7109375" bestFit="1" customWidth="1"/>
  </cols>
  <sheetData>
    <row r="1" spans="1:14" ht="18.75" x14ac:dyDescent="0.25">
      <c r="A1" s="446" t="s">
        <v>77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</row>
    <row r="2" spans="1:14" ht="18.75" x14ac:dyDescent="0.25">
      <c r="A2" s="446" t="s">
        <v>657</v>
      </c>
      <c r="B2" s="446"/>
      <c r="C2" s="446"/>
      <c r="D2" s="446"/>
      <c r="E2" s="446"/>
      <c r="F2" s="446"/>
      <c r="G2" s="446"/>
      <c r="H2" s="446"/>
      <c r="I2" s="446"/>
      <c r="J2" s="446"/>
      <c r="K2" s="446"/>
      <c r="L2" s="446"/>
      <c r="M2" s="446"/>
      <c r="N2" s="446"/>
    </row>
    <row r="3" spans="1:14" ht="18.75" x14ac:dyDescent="0.25">
      <c r="A3" s="446" t="s">
        <v>535</v>
      </c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46"/>
      <c r="M3" s="446"/>
      <c r="N3" s="446"/>
    </row>
    <row r="4" spans="1:14" ht="15.75" x14ac:dyDescent="0.25">
      <c r="A4" s="447" t="s">
        <v>644</v>
      </c>
      <c r="B4" s="447"/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7"/>
    </row>
    <row r="5" spans="1:14" x14ac:dyDescent="0.25">
      <c r="A5" s="392" t="s">
        <v>534</v>
      </c>
      <c r="B5" s="392"/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</row>
    <row r="7" spans="1:14" ht="15.75" x14ac:dyDescent="0.25">
      <c r="A7" s="159" t="s">
        <v>533</v>
      </c>
      <c r="B7" s="158" t="s">
        <v>532</v>
      </c>
      <c r="C7" s="158" t="s">
        <v>531</v>
      </c>
      <c r="D7" s="158" t="s">
        <v>530</v>
      </c>
      <c r="E7" s="158" t="s">
        <v>529</v>
      </c>
      <c r="F7" s="158" t="s">
        <v>528</v>
      </c>
      <c r="G7" s="158" t="s">
        <v>527</v>
      </c>
      <c r="H7" s="158" t="s">
        <v>526</v>
      </c>
      <c r="I7" s="158" t="s">
        <v>525</v>
      </c>
      <c r="J7" s="158" t="s">
        <v>524</v>
      </c>
      <c r="K7" s="158" t="s">
        <v>523</v>
      </c>
      <c r="L7" s="158" t="s">
        <v>522</v>
      </c>
      <c r="M7" s="158" t="s">
        <v>521</v>
      </c>
      <c r="N7" s="158" t="s">
        <v>520</v>
      </c>
    </row>
    <row r="8" spans="1:14" x14ac:dyDescent="0.25">
      <c r="A8" s="152" t="s">
        <v>519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</row>
    <row r="9" spans="1:14" x14ac:dyDescent="0.25">
      <c r="A9" s="156" t="s">
        <v>518</v>
      </c>
      <c r="B9" s="275">
        <f>SUM(B10:B14)</f>
        <v>819817157.88999999</v>
      </c>
      <c r="C9" s="154">
        <v>65091179.920000002</v>
      </c>
      <c r="D9" s="154">
        <v>67131935.939999998</v>
      </c>
      <c r="E9" s="154">
        <v>66337619.82</v>
      </c>
      <c r="F9" s="154">
        <v>66556155.68</v>
      </c>
      <c r="G9" s="154">
        <v>66630550.850000001</v>
      </c>
      <c r="H9" s="154">
        <v>66583615.279999994</v>
      </c>
      <c r="I9" s="154">
        <v>71335675.949999988</v>
      </c>
      <c r="J9" s="154">
        <v>71831261.010000005</v>
      </c>
      <c r="K9" s="154">
        <f>SUM(K10:K14)</f>
        <v>71591503.879999995</v>
      </c>
      <c r="L9" s="154">
        <f>SUM(L10:L14)</f>
        <v>72986847.329999998</v>
      </c>
      <c r="M9" s="154">
        <f>SUM(M10:M14)</f>
        <v>133740812.23000002</v>
      </c>
      <c r="N9" s="154">
        <v>0</v>
      </c>
    </row>
    <row r="10" spans="1:14" x14ac:dyDescent="0.25">
      <c r="A10" s="150" t="s">
        <v>517</v>
      </c>
      <c r="B10" s="153">
        <f>SUM(C10:N10)</f>
        <v>687062295.01999998</v>
      </c>
      <c r="C10" s="149">
        <v>53640338.710000001</v>
      </c>
      <c r="D10" s="149">
        <v>55586128.810000002</v>
      </c>
      <c r="E10" s="149">
        <v>54718737.07</v>
      </c>
      <c r="F10" s="149">
        <v>54771097.32</v>
      </c>
      <c r="G10" s="149">
        <v>54445140.43</v>
      </c>
      <c r="H10" s="149">
        <v>54868542.939999998</v>
      </c>
      <c r="I10" s="149">
        <v>58925421.189999998</v>
      </c>
      <c r="J10" s="149">
        <v>59410355.990000002</v>
      </c>
      <c r="K10" s="149">
        <v>59165424.859999999</v>
      </c>
      <c r="L10" s="149">
        <v>60398098.329999998</v>
      </c>
      <c r="M10" s="149">
        <v>121133009.37</v>
      </c>
      <c r="N10" s="149"/>
    </row>
    <row r="11" spans="1:14" x14ac:dyDescent="0.25">
      <c r="A11" s="150" t="s">
        <v>516</v>
      </c>
      <c r="B11" s="153">
        <f t="shared" ref="B11:B14" si="0">SUM(C11:N11)</f>
        <v>36775586.480000004</v>
      </c>
      <c r="C11" s="149">
        <v>3196999.6</v>
      </c>
      <c r="D11" s="149">
        <v>3197999.6</v>
      </c>
      <c r="E11" s="149">
        <v>3199399.6</v>
      </c>
      <c r="F11" s="149">
        <v>3384964.48</v>
      </c>
      <c r="G11" s="149">
        <v>3807608.31</v>
      </c>
      <c r="H11" s="149">
        <v>3343226.16</v>
      </c>
      <c r="I11" s="149">
        <v>3344880.19</v>
      </c>
      <c r="J11" s="149">
        <v>3368105.61</v>
      </c>
      <c r="K11" s="149">
        <v>3321905.61</v>
      </c>
      <c r="L11" s="149">
        <v>3295047.14</v>
      </c>
      <c r="M11" s="149">
        <v>3315450.18</v>
      </c>
      <c r="N11" s="149"/>
    </row>
    <row r="12" spans="1:14" x14ac:dyDescent="0.25">
      <c r="A12" s="150" t="s">
        <v>515</v>
      </c>
      <c r="B12" s="153">
        <f t="shared" si="0"/>
        <v>0</v>
      </c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</row>
    <row r="13" spans="1:14" x14ac:dyDescent="0.25">
      <c r="A13" s="150" t="s">
        <v>514</v>
      </c>
      <c r="B13" s="153">
        <f t="shared" si="0"/>
        <v>0</v>
      </c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</row>
    <row r="14" spans="1:14" x14ac:dyDescent="0.25">
      <c r="A14" s="150" t="s">
        <v>513</v>
      </c>
      <c r="B14" s="153">
        <f t="shared" si="0"/>
        <v>95979276.389999986</v>
      </c>
      <c r="C14" s="149">
        <v>8253841.6100000003</v>
      </c>
      <c r="D14" s="149">
        <v>8347807.5300000003</v>
      </c>
      <c r="E14" s="149">
        <v>8419483.1500000004</v>
      </c>
      <c r="F14" s="149">
        <v>8400093.8800000008</v>
      </c>
      <c r="G14" s="149">
        <v>8377802.1100000003</v>
      </c>
      <c r="H14" s="149">
        <v>8371846.1799999997</v>
      </c>
      <c r="I14" s="149">
        <v>9065374.5700000003</v>
      </c>
      <c r="J14" s="149">
        <v>9052799.4100000001</v>
      </c>
      <c r="K14" s="149">
        <v>9104173.4100000001</v>
      </c>
      <c r="L14" s="149">
        <v>9293701.8599999994</v>
      </c>
      <c r="M14" s="149">
        <v>9292352.6799999997</v>
      </c>
      <c r="N14" s="149"/>
    </row>
    <row r="15" spans="1:14" x14ac:dyDescent="0.25">
      <c r="A15" s="156" t="s">
        <v>512</v>
      </c>
      <c r="B15" s="275">
        <f>SUM(C15:N15)</f>
        <v>36550235.690000005</v>
      </c>
      <c r="C15" s="154">
        <v>0</v>
      </c>
      <c r="D15" s="154">
        <v>1336968.6400000001</v>
      </c>
      <c r="E15" s="154">
        <v>7971396.2400000002</v>
      </c>
      <c r="F15" s="154">
        <v>210535</v>
      </c>
      <c r="G15" s="154">
        <v>1680824.82</v>
      </c>
      <c r="H15" s="154">
        <v>8240458.3799999999</v>
      </c>
      <c r="I15" s="154">
        <v>3509565.78</v>
      </c>
      <c r="J15" s="154">
        <v>3128332.8</v>
      </c>
      <c r="K15" s="154">
        <f>SUM(K16:K24)</f>
        <v>7782458.8300000001</v>
      </c>
      <c r="L15" s="154">
        <f>SUM(L16:L24)</f>
        <v>792898.06</v>
      </c>
      <c r="M15" s="154">
        <f>SUM(M16:M24)</f>
        <v>1896797.14</v>
      </c>
      <c r="N15" s="154">
        <v>0</v>
      </c>
    </row>
    <row r="16" spans="1:14" x14ac:dyDescent="0.25">
      <c r="A16" s="150" t="s">
        <v>511</v>
      </c>
      <c r="B16" s="153">
        <f t="shared" ref="B16:B24" si="1">SUM(C16:N16)</f>
        <v>2504304.2999999998</v>
      </c>
      <c r="C16" s="149"/>
      <c r="D16" s="149"/>
      <c r="E16" s="149">
        <v>2020024.3</v>
      </c>
      <c r="F16" s="149">
        <v>60535</v>
      </c>
      <c r="G16" s="149">
        <v>60535</v>
      </c>
      <c r="H16" s="149">
        <v>60535</v>
      </c>
      <c r="I16" s="149">
        <v>60535</v>
      </c>
      <c r="J16" s="149">
        <v>60535</v>
      </c>
      <c r="K16" s="149">
        <v>60535</v>
      </c>
      <c r="L16" s="149">
        <v>60535</v>
      </c>
      <c r="M16" s="149">
        <v>60535</v>
      </c>
      <c r="N16" s="149"/>
    </row>
    <row r="17" spans="1:14" ht="30" x14ac:dyDescent="0.25">
      <c r="A17" s="150" t="s">
        <v>510</v>
      </c>
      <c r="B17" s="153">
        <f t="shared" si="1"/>
        <v>866672.96000000008</v>
      </c>
      <c r="C17" s="149"/>
      <c r="D17" s="149">
        <v>324206.83</v>
      </c>
      <c r="E17" s="149"/>
      <c r="F17" s="149"/>
      <c r="G17" s="149">
        <v>32889.839999999997</v>
      </c>
      <c r="H17" s="149">
        <v>319103.99</v>
      </c>
      <c r="I17" s="149"/>
      <c r="J17" s="149">
        <v>88795</v>
      </c>
      <c r="K17" s="149">
        <v>47633.3</v>
      </c>
      <c r="L17" s="149">
        <v>54044</v>
      </c>
      <c r="M17" s="149"/>
      <c r="N17" s="149"/>
    </row>
    <row r="18" spans="1:14" x14ac:dyDescent="0.25">
      <c r="A18" s="150" t="s">
        <v>509</v>
      </c>
      <c r="B18" s="153">
        <f t="shared" si="1"/>
        <v>0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</row>
    <row r="19" spans="1:14" x14ac:dyDescent="0.25">
      <c r="A19" s="150" t="s">
        <v>508</v>
      </c>
      <c r="B19" s="153">
        <f t="shared" si="1"/>
        <v>0</v>
      </c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</row>
    <row r="20" spans="1:14" x14ac:dyDescent="0.25">
      <c r="A20" s="150" t="s">
        <v>507</v>
      </c>
      <c r="B20" s="153">
        <f t="shared" si="1"/>
        <v>598561.91999999993</v>
      </c>
      <c r="C20" s="149"/>
      <c r="D20" s="149"/>
      <c r="E20" s="149"/>
      <c r="F20" s="149">
        <v>150000</v>
      </c>
      <c r="G20" s="149"/>
      <c r="H20" s="149"/>
      <c r="I20" s="149"/>
      <c r="J20" s="149">
        <v>150000</v>
      </c>
      <c r="K20" s="149"/>
      <c r="L20" s="149">
        <v>298561.91999999998</v>
      </c>
      <c r="M20" s="149"/>
      <c r="N20" s="149"/>
    </row>
    <row r="21" spans="1:14" x14ac:dyDescent="0.25">
      <c r="A21" s="150" t="s">
        <v>506</v>
      </c>
      <c r="B21" s="153">
        <f t="shared" si="1"/>
        <v>0</v>
      </c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</row>
    <row r="22" spans="1:14" ht="45" x14ac:dyDescent="0.25">
      <c r="A22" s="150" t="s">
        <v>505</v>
      </c>
      <c r="B22" s="153">
        <f t="shared" si="1"/>
        <v>21613740.470000003</v>
      </c>
      <c r="C22" s="149"/>
      <c r="D22" s="149">
        <v>523061.81</v>
      </c>
      <c r="E22" s="149">
        <v>5951371.9400000004</v>
      </c>
      <c r="F22" s="149"/>
      <c r="G22" s="149">
        <v>1174399.98</v>
      </c>
      <c r="H22" s="149">
        <v>4437074.3499999996</v>
      </c>
      <c r="I22" s="149">
        <v>3449030.78</v>
      </c>
      <c r="J22" s="149">
        <v>2829002.8</v>
      </c>
      <c r="K22" s="149">
        <v>1580779.53</v>
      </c>
      <c r="L22" s="149">
        <v>57257.14</v>
      </c>
      <c r="M22" s="149">
        <v>1611762.14</v>
      </c>
      <c r="N22" s="149"/>
    </row>
    <row r="23" spans="1:14" ht="30" x14ac:dyDescent="0.25">
      <c r="A23" s="150" t="s">
        <v>504</v>
      </c>
      <c r="B23" s="153">
        <f t="shared" si="1"/>
        <v>5228700</v>
      </c>
      <c r="C23" s="149"/>
      <c r="D23" s="149">
        <v>489700</v>
      </c>
      <c r="E23" s="149"/>
      <c r="F23" s="149"/>
      <c r="G23" s="149">
        <v>413000</v>
      </c>
      <c r="H23" s="149"/>
      <c r="I23" s="149"/>
      <c r="J23" s="149"/>
      <c r="K23" s="149">
        <v>3779000</v>
      </c>
      <c r="L23" s="149">
        <v>322500</v>
      </c>
      <c r="M23" s="149">
        <v>224500</v>
      </c>
      <c r="N23" s="149"/>
    </row>
    <row r="24" spans="1:14" x14ac:dyDescent="0.25">
      <c r="A24" s="150" t="s">
        <v>503</v>
      </c>
      <c r="B24" s="153">
        <f t="shared" si="1"/>
        <v>5738256.04</v>
      </c>
      <c r="C24" s="149"/>
      <c r="D24" s="149"/>
      <c r="E24" s="149"/>
      <c r="F24" s="149"/>
      <c r="G24" s="149"/>
      <c r="H24" s="149">
        <v>3423745.04</v>
      </c>
      <c r="I24" s="149"/>
      <c r="J24" s="149"/>
      <c r="K24" s="149">
        <v>2314511</v>
      </c>
      <c r="L24" s="149"/>
      <c r="M24" s="149"/>
      <c r="N24" s="149"/>
    </row>
    <row r="25" spans="1:14" x14ac:dyDescent="0.25">
      <c r="A25" s="156" t="s">
        <v>502</v>
      </c>
      <c r="B25" s="154">
        <f>SUM(B26:B34)</f>
        <v>209824829.42000002</v>
      </c>
      <c r="C25" s="154">
        <f>SUM(C26:C34)</f>
        <v>4970600.3900000006</v>
      </c>
      <c r="D25" s="154">
        <f>SUM(D26:D34)</f>
        <v>14433131.48</v>
      </c>
      <c r="E25" s="154">
        <f t="shared" ref="E25:N25" si="2">SUM(E26:E34)</f>
        <v>26749551.519999996</v>
      </c>
      <c r="F25" s="154">
        <f t="shared" si="2"/>
        <v>20368607.43</v>
      </c>
      <c r="G25" s="154">
        <f t="shared" si="2"/>
        <v>16608512.82</v>
      </c>
      <c r="H25" s="154">
        <f t="shared" si="2"/>
        <v>15408530.41</v>
      </c>
      <c r="I25" s="154">
        <f t="shared" si="2"/>
        <v>26146219.530000001</v>
      </c>
      <c r="J25" s="154">
        <f t="shared" si="2"/>
        <v>14321739.58</v>
      </c>
      <c r="K25" s="154">
        <f t="shared" si="2"/>
        <v>25141648.079999998</v>
      </c>
      <c r="L25" s="154">
        <f t="shared" si="2"/>
        <v>31896436.810000002</v>
      </c>
      <c r="M25" s="154">
        <f t="shared" si="2"/>
        <v>13779851.370000001</v>
      </c>
      <c r="N25" s="154">
        <f t="shared" si="2"/>
        <v>0</v>
      </c>
    </row>
    <row r="26" spans="1:14" ht="30" x14ac:dyDescent="0.25">
      <c r="A26" s="150" t="s">
        <v>501</v>
      </c>
      <c r="B26" s="359">
        <f>SUM(C26:N26)</f>
        <v>16530111.800000001</v>
      </c>
      <c r="C26" s="149"/>
      <c r="D26" s="149">
        <v>591460.4</v>
      </c>
      <c r="E26" s="149">
        <v>3122436.84</v>
      </c>
      <c r="F26" s="149">
        <v>812515</v>
      </c>
      <c r="G26" s="149">
        <v>1657538</v>
      </c>
      <c r="H26" s="149">
        <v>2396946.25</v>
      </c>
      <c r="I26" s="149">
        <v>1787251.81</v>
      </c>
      <c r="J26" s="149">
        <v>2077230.72</v>
      </c>
      <c r="K26" s="149">
        <v>2180362.58</v>
      </c>
      <c r="L26" s="149">
        <v>1611805</v>
      </c>
      <c r="M26" s="149">
        <v>292565.2</v>
      </c>
      <c r="N26" s="149"/>
    </row>
    <row r="27" spans="1:14" x14ac:dyDescent="0.25">
      <c r="A27" s="150" t="s">
        <v>500</v>
      </c>
      <c r="B27" s="359">
        <f t="shared" ref="B27:B34" si="3">SUM(C27:N27)</f>
        <v>6077830.9400000004</v>
      </c>
      <c r="C27" s="149"/>
      <c r="D27" s="149">
        <v>61630.73</v>
      </c>
      <c r="E27" s="149"/>
      <c r="F27" s="149">
        <v>1562980.47</v>
      </c>
      <c r="G27" s="149"/>
      <c r="H27" s="149">
        <v>812418.96</v>
      </c>
      <c r="I27" s="149">
        <v>1577150.69</v>
      </c>
      <c r="J27" s="149">
        <v>180540</v>
      </c>
      <c r="K27" s="149">
        <v>1258116.06</v>
      </c>
      <c r="L27" s="149">
        <v>67260</v>
      </c>
      <c r="M27" s="149">
        <v>557734.03</v>
      </c>
      <c r="N27" s="149"/>
    </row>
    <row r="28" spans="1:14" ht="30" x14ac:dyDescent="0.25">
      <c r="A28" s="150" t="s">
        <v>499</v>
      </c>
      <c r="B28" s="359">
        <f t="shared" si="3"/>
        <v>10218467.91</v>
      </c>
      <c r="C28" s="149"/>
      <c r="D28" s="149">
        <v>352366.67</v>
      </c>
      <c r="E28" s="149">
        <v>1474545.17</v>
      </c>
      <c r="F28" s="149">
        <v>1510942.21</v>
      </c>
      <c r="G28" s="149">
        <v>765138.96</v>
      </c>
      <c r="H28" s="149">
        <v>715614.54</v>
      </c>
      <c r="I28" s="149">
        <v>1579886.66</v>
      </c>
      <c r="J28" s="149">
        <v>912967.7</v>
      </c>
      <c r="K28" s="149">
        <v>366980</v>
      </c>
      <c r="L28" s="149">
        <v>884486</v>
      </c>
      <c r="M28" s="149">
        <v>1655540</v>
      </c>
      <c r="N28" s="149"/>
    </row>
    <row r="29" spans="1:14" x14ac:dyDescent="0.25">
      <c r="A29" s="150" t="s">
        <v>498</v>
      </c>
      <c r="B29" s="359">
        <f t="shared" si="3"/>
        <v>48543119.700000003</v>
      </c>
      <c r="C29" s="149">
        <v>1862880</v>
      </c>
      <c r="D29" s="149">
        <v>2014526.8</v>
      </c>
      <c r="E29" s="149">
        <v>6919929</v>
      </c>
      <c r="F29" s="149">
        <v>6349109</v>
      </c>
      <c r="G29" s="149">
        <v>2637285.6</v>
      </c>
      <c r="H29" s="149">
        <v>3022962</v>
      </c>
      <c r="I29" s="149">
        <v>6806505</v>
      </c>
      <c r="J29" s="149">
        <v>2962573</v>
      </c>
      <c r="K29" s="149">
        <v>9434300</v>
      </c>
      <c r="L29" s="149">
        <v>2958714.3</v>
      </c>
      <c r="M29" s="149">
        <v>3574335</v>
      </c>
      <c r="N29" s="149"/>
    </row>
    <row r="30" spans="1:14" ht="30" x14ac:dyDescent="0.25">
      <c r="A30" s="150" t="s">
        <v>497</v>
      </c>
      <c r="B30" s="359">
        <f t="shared" si="3"/>
        <v>2673759.2800000003</v>
      </c>
      <c r="C30" s="149"/>
      <c r="D30" s="149"/>
      <c r="E30" s="149">
        <v>334708.95</v>
      </c>
      <c r="F30" s="149">
        <v>506546.35</v>
      </c>
      <c r="G30" s="149">
        <v>384413.08</v>
      </c>
      <c r="H30" s="149">
        <v>133281</v>
      </c>
      <c r="I30" s="149">
        <v>655140.22</v>
      </c>
      <c r="J30" s="149">
        <v>18313.599999999999</v>
      </c>
      <c r="K30" s="149"/>
      <c r="L30" s="149">
        <v>623201.43000000005</v>
      </c>
      <c r="M30" s="149">
        <v>18154.650000000001</v>
      </c>
      <c r="N30" s="149"/>
    </row>
    <row r="31" spans="1:14" ht="30" x14ac:dyDescent="0.25">
      <c r="A31" s="150" t="s">
        <v>496</v>
      </c>
      <c r="B31" s="359">
        <f t="shared" si="3"/>
        <v>1202221.27</v>
      </c>
      <c r="C31" s="149"/>
      <c r="D31" s="149">
        <v>11630.98</v>
      </c>
      <c r="E31" s="149"/>
      <c r="F31" s="149">
        <v>351015.88</v>
      </c>
      <c r="G31" s="149">
        <v>215177.81</v>
      </c>
      <c r="H31" s="149">
        <v>101426.9</v>
      </c>
      <c r="I31" s="149"/>
      <c r="J31" s="149">
        <v>286504</v>
      </c>
      <c r="K31" s="149"/>
      <c r="L31" s="149">
        <v>236465.7</v>
      </c>
      <c r="M31" s="149"/>
      <c r="N31" s="149"/>
    </row>
    <row r="32" spans="1:14" ht="30" x14ac:dyDescent="0.25">
      <c r="A32" s="150" t="s">
        <v>495</v>
      </c>
      <c r="B32" s="359">
        <f t="shared" si="3"/>
        <v>51823569.559999995</v>
      </c>
      <c r="C32" s="149">
        <v>1844663.41</v>
      </c>
      <c r="D32" s="149">
        <v>3902915.53</v>
      </c>
      <c r="E32" s="149">
        <v>3162523.02</v>
      </c>
      <c r="F32" s="149">
        <v>2759191.89</v>
      </c>
      <c r="G32" s="149">
        <v>4409677.4800000004</v>
      </c>
      <c r="H32" s="149">
        <v>2900109.81</v>
      </c>
      <c r="I32" s="149">
        <v>4028536.75</v>
      </c>
      <c r="J32" s="149">
        <v>2398943.98</v>
      </c>
      <c r="K32" s="149">
        <v>5003060.22</v>
      </c>
      <c r="L32" s="149">
        <v>19442217.100000001</v>
      </c>
      <c r="M32" s="149">
        <v>1971730.37</v>
      </c>
      <c r="N32" s="149"/>
    </row>
    <row r="33" spans="1:14" ht="30" x14ac:dyDescent="0.25">
      <c r="A33" s="150" t="s">
        <v>494</v>
      </c>
      <c r="B33" s="359">
        <f t="shared" si="3"/>
        <v>0</v>
      </c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</row>
    <row r="34" spans="1:14" x14ac:dyDescent="0.25">
      <c r="A34" s="150" t="s">
        <v>493</v>
      </c>
      <c r="B34" s="359">
        <f t="shared" si="3"/>
        <v>72755748.959999993</v>
      </c>
      <c r="C34" s="149">
        <v>1263056.98</v>
      </c>
      <c r="D34" s="149">
        <v>7498600.3700000001</v>
      </c>
      <c r="E34" s="149">
        <v>11735408.539999999</v>
      </c>
      <c r="F34" s="149">
        <v>6516306.6299999999</v>
      </c>
      <c r="G34" s="149">
        <v>6539281.8899999997</v>
      </c>
      <c r="H34" s="149">
        <v>5325770.95</v>
      </c>
      <c r="I34" s="149">
        <v>9711748.4000000004</v>
      </c>
      <c r="J34" s="149">
        <v>5484666.5800000001</v>
      </c>
      <c r="K34" s="149">
        <v>6898829.2199999997</v>
      </c>
      <c r="L34" s="149">
        <v>6072287.2800000003</v>
      </c>
      <c r="M34" s="149">
        <v>5709792.1200000001</v>
      </c>
      <c r="N34" s="149"/>
    </row>
    <row r="35" spans="1:14" x14ac:dyDescent="0.25">
      <c r="A35" s="156" t="s">
        <v>492</v>
      </c>
      <c r="B35" s="155">
        <v>0</v>
      </c>
      <c r="C35" s="154">
        <v>0</v>
      </c>
      <c r="D35" s="154">
        <v>0</v>
      </c>
      <c r="E35" s="154">
        <v>0</v>
      </c>
      <c r="F35" s="154">
        <v>0</v>
      </c>
      <c r="G35" s="154">
        <v>0</v>
      </c>
      <c r="H35" s="154">
        <v>0</v>
      </c>
      <c r="I35" s="154">
        <v>0</v>
      </c>
      <c r="J35" s="154">
        <v>0</v>
      </c>
      <c r="K35" s="154">
        <f>SUM(K36:K42)</f>
        <v>0</v>
      </c>
      <c r="L35" s="154">
        <v>0</v>
      </c>
      <c r="M35" s="154">
        <v>0</v>
      </c>
      <c r="N35" s="154">
        <v>0</v>
      </c>
    </row>
    <row r="36" spans="1:14" ht="30" x14ac:dyDescent="0.25">
      <c r="A36" s="150" t="s">
        <v>491</v>
      </c>
      <c r="B36" s="153">
        <v>0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</row>
    <row r="37" spans="1:14" ht="30" x14ac:dyDescent="0.25">
      <c r="A37" s="150" t="s">
        <v>490</v>
      </c>
      <c r="B37" s="153">
        <v>0</v>
      </c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</row>
    <row r="38" spans="1:14" ht="30" x14ac:dyDescent="0.25">
      <c r="A38" s="150" t="s">
        <v>489</v>
      </c>
      <c r="B38" s="153">
        <v>0</v>
      </c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</row>
    <row r="39" spans="1:14" ht="30" x14ac:dyDescent="0.25">
      <c r="A39" s="150" t="s">
        <v>488</v>
      </c>
      <c r="B39" s="153">
        <v>0</v>
      </c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</row>
    <row r="40" spans="1:14" ht="30" x14ac:dyDescent="0.25">
      <c r="A40" s="150" t="s">
        <v>487</v>
      </c>
      <c r="B40" s="153">
        <v>0</v>
      </c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</row>
    <row r="41" spans="1:14" ht="30" x14ac:dyDescent="0.25">
      <c r="A41" s="150" t="s">
        <v>486</v>
      </c>
      <c r="B41" s="153">
        <v>0</v>
      </c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</row>
    <row r="42" spans="1:14" ht="30" x14ac:dyDescent="0.25">
      <c r="A42" s="150" t="s">
        <v>485</v>
      </c>
      <c r="B42" s="153">
        <v>0</v>
      </c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</row>
    <row r="43" spans="1:14" x14ac:dyDescent="0.25">
      <c r="A43" s="156" t="s">
        <v>484</v>
      </c>
      <c r="B43" s="155">
        <v>0</v>
      </c>
      <c r="C43" s="154">
        <v>0</v>
      </c>
      <c r="D43" s="154">
        <v>0</v>
      </c>
      <c r="E43" s="154">
        <v>0</v>
      </c>
      <c r="F43" s="154">
        <v>0</v>
      </c>
      <c r="G43" s="154">
        <v>0</v>
      </c>
      <c r="H43" s="154">
        <v>0</v>
      </c>
      <c r="I43" s="154">
        <v>0</v>
      </c>
      <c r="J43" s="154">
        <v>0</v>
      </c>
      <c r="K43" s="154">
        <f>SUM(K44:K50)</f>
        <v>0</v>
      </c>
      <c r="L43" s="154">
        <v>0</v>
      </c>
      <c r="M43" s="154">
        <v>0</v>
      </c>
      <c r="N43" s="154">
        <v>0</v>
      </c>
    </row>
    <row r="44" spans="1:14" ht="30" x14ac:dyDescent="0.25">
      <c r="A44" s="150" t="s">
        <v>483</v>
      </c>
      <c r="B44" s="153">
        <v>0</v>
      </c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</row>
    <row r="45" spans="1:14" ht="30" x14ac:dyDescent="0.25">
      <c r="A45" s="150" t="s">
        <v>482</v>
      </c>
      <c r="B45" s="153">
        <v>0</v>
      </c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</row>
    <row r="46" spans="1:14" ht="30" x14ac:dyDescent="0.25">
      <c r="A46" s="150" t="s">
        <v>481</v>
      </c>
      <c r="B46" s="153">
        <v>0</v>
      </c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</row>
    <row r="47" spans="1:14" ht="30" x14ac:dyDescent="0.25">
      <c r="A47" s="150" t="s">
        <v>480</v>
      </c>
      <c r="B47" s="153">
        <v>0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</row>
    <row r="48" spans="1:14" ht="30" x14ac:dyDescent="0.25">
      <c r="A48" s="150" t="s">
        <v>479</v>
      </c>
      <c r="B48" s="153">
        <v>0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</row>
    <row r="49" spans="1:14" ht="30" x14ac:dyDescent="0.25">
      <c r="A49" s="150" t="s">
        <v>478</v>
      </c>
      <c r="B49" s="153">
        <v>0</v>
      </c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</row>
    <row r="50" spans="1:14" ht="30" x14ac:dyDescent="0.25">
      <c r="A50" s="150" t="s">
        <v>477</v>
      </c>
      <c r="B50" s="153">
        <v>0</v>
      </c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</row>
    <row r="51" spans="1:14" x14ac:dyDescent="0.25">
      <c r="A51" s="156" t="s">
        <v>476</v>
      </c>
      <c r="B51" s="154">
        <f>SUM(C51:N51)</f>
        <v>69960537.930000007</v>
      </c>
      <c r="C51" s="154">
        <v>0</v>
      </c>
      <c r="D51" s="154">
        <f>SUM(D52:D60)</f>
        <v>6461017.2600000007</v>
      </c>
      <c r="E51" s="154">
        <f t="shared" ref="E51:N51" si="4">SUM(E52:E60)</f>
        <v>11396849.360000001</v>
      </c>
      <c r="F51" s="154">
        <f t="shared" si="4"/>
        <v>4665041.3900000006</v>
      </c>
      <c r="G51" s="154">
        <f t="shared" si="4"/>
        <v>6580673.1400000006</v>
      </c>
      <c r="H51" s="154">
        <f t="shared" si="4"/>
        <v>3698140.34</v>
      </c>
      <c r="I51" s="154">
        <f t="shared" si="4"/>
        <v>9300722.7199999988</v>
      </c>
      <c r="J51" s="154">
        <f t="shared" si="4"/>
        <v>10590778.550000001</v>
      </c>
      <c r="K51" s="154">
        <f t="shared" si="4"/>
        <v>5819603.3499999996</v>
      </c>
      <c r="L51" s="154">
        <f t="shared" si="4"/>
        <v>3437264.56</v>
      </c>
      <c r="M51" s="154">
        <f t="shared" si="4"/>
        <v>8010447.2599999988</v>
      </c>
      <c r="N51" s="154">
        <f t="shared" si="4"/>
        <v>0</v>
      </c>
    </row>
    <row r="52" spans="1:14" x14ac:dyDescent="0.25">
      <c r="A52" s="150" t="s">
        <v>475</v>
      </c>
      <c r="B52" s="359">
        <f t="shared" ref="B52:B60" si="5">SUM(C52:N52)</f>
        <v>12059863.460000001</v>
      </c>
      <c r="C52" s="149"/>
      <c r="D52" s="149">
        <v>432420.86</v>
      </c>
      <c r="E52" s="149">
        <v>678205</v>
      </c>
      <c r="F52" s="149">
        <v>1812434.48</v>
      </c>
      <c r="G52" s="149">
        <v>231484.25</v>
      </c>
      <c r="H52" s="149">
        <v>1542516.34</v>
      </c>
      <c r="I52" s="149">
        <v>2268904.39</v>
      </c>
      <c r="J52" s="149">
        <v>2704062.94</v>
      </c>
      <c r="K52" s="149">
        <v>1146269.97</v>
      </c>
      <c r="L52" s="149">
        <v>1114944.21</v>
      </c>
      <c r="M52" s="149">
        <v>128621.02</v>
      </c>
      <c r="N52" s="149"/>
    </row>
    <row r="53" spans="1:14" ht="30" x14ac:dyDescent="0.25">
      <c r="A53" s="150" t="s">
        <v>474</v>
      </c>
      <c r="B53" s="359">
        <f t="shared" si="5"/>
        <v>182926.74</v>
      </c>
      <c r="C53" s="149"/>
      <c r="D53" s="149"/>
      <c r="E53" s="149"/>
      <c r="F53" s="149"/>
      <c r="G53" s="149">
        <v>182926.74</v>
      </c>
      <c r="H53" s="149"/>
      <c r="I53" s="149"/>
      <c r="J53" s="149"/>
      <c r="K53" s="149"/>
      <c r="L53" s="149"/>
      <c r="M53" s="149"/>
      <c r="N53" s="149"/>
    </row>
    <row r="54" spans="1:14" ht="30" x14ac:dyDescent="0.25">
      <c r="A54" s="150" t="s">
        <v>473</v>
      </c>
      <c r="B54" s="359">
        <f t="shared" si="5"/>
        <v>43061563.149999999</v>
      </c>
      <c r="C54" s="149"/>
      <c r="D54" s="149">
        <v>6028596.4000000004</v>
      </c>
      <c r="E54" s="149">
        <v>10715444.390000001</v>
      </c>
      <c r="F54" s="149">
        <v>2635786.91</v>
      </c>
      <c r="G54" s="149">
        <v>2285211.66</v>
      </c>
      <c r="H54" s="149">
        <v>1742624</v>
      </c>
      <c r="I54" s="149">
        <v>5025506.72</v>
      </c>
      <c r="J54" s="149">
        <v>1295400.17</v>
      </c>
      <c r="K54" s="149">
        <v>4197628.18</v>
      </c>
      <c r="L54" s="149">
        <v>1318181.54</v>
      </c>
      <c r="M54" s="149">
        <v>7817183.1799999997</v>
      </c>
      <c r="N54" s="149"/>
    </row>
    <row r="55" spans="1:14" ht="30" x14ac:dyDescent="0.25">
      <c r="A55" s="150" t="s">
        <v>472</v>
      </c>
      <c r="B55" s="359">
        <f t="shared" si="5"/>
        <v>0</v>
      </c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</row>
    <row r="56" spans="1:14" ht="30" x14ac:dyDescent="0.25">
      <c r="A56" s="150" t="s">
        <v>471</v>
      </c>
      <c r="B56" s="359">
        <f t="shared" si="5"/>
        <v>14244543.640000001</v>
      </c>
      <c r="C56" s="149"/>
      <c r="D56" s="149"/>
      <c r="E56" s="149">
        <v>3199.97</v>
      </c>
      <c r="F56" s="149">
        <v>216820</v>
      </c>
      <c r="G56" s="149">
        <v>3535489.55</v>
      </c>
      <c r="H56" s="149">
        <v>413000</v>
      </c>
      <c r="I56" s="149">
        <v>2006311.61</v>
      </c>
      <c r="J56" s="149">
        <v>6591315.4400000004</v>
      </c>
      <c r="K56" s="149">
        <v>409625.2</v>
      </c>
      <c r="L56" s="149">
        <v>1004138.81</v>
      </c>
      <c r="M56" s="149">
        <v>64643.06</v>
      </c>
      <c r="N56" s="149"/>
    </row>
    <row r="57" spans="1:14" x14ac:dyDescent="0.25">
      <c r="A57" s="150" t="s">
        <v>470</v>
      </c>
      <c r="B57" s="359">
        <f t="shared" si="5"/>
        <v>66080</v>
      </c>
      <c r="C57" s="149"/>
      <c r="D57" s="149"/>
      <c r="E57" s="149"/>
      <c r="F57" s="149"/>
      <c r="G57" s="149"/>
      <c r="H57" s="149"/>
      <c r="I57" s="149"/>
      <c r="J57" s="149"/>
      <c r="K57" s="149">
        <v>66080</v>
      </c>
      <c r="L57" s="149"/>
      <c r="M57" s="149"/>
      <c r="N57" s="149"/>
    </row>
    <row r="58" spans="1:14" x14ac:dyDescent="0.25">
      <c r="A58" s="150" t="s">
        <v>469</v>
      </c>
      <c r="B58" s="359">
        <f t="shared" si="5"/>
        <v>0</v>
      </c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</row>
    <row r="59" spans="1:14" x14ac:dyDescent="0.25">
      <c r="A59" s="150" t="s">
        <v>468</v>
      </c>
      <c r="B59" s="359">
        <f t="shared" si="5"/>
        <v>0</v>
      </c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</row>
    <row r="60" spans="1:14" ht="30" x14ac:dyDescent="0.25">
      <c r="A60" s="150" t="s">
        <v>467</v>
      </c>
      <c r="B60" s="359">
        <f t="shared" si="5"/>
        <v>345560.94</v>
      </c>
      <c r="C60" s="149"/>
      <c r="D60" s="149"/>
      <c r="E60" s="149"/>
      <c r="F60" s="149"/>
      <c r="G60" s="149">
        <v>345560.94</v>
      </c>
      <c r="H60" s="149"/>
      <c r="I60" s="149"/>
      <c r="J60" s="149"/>
      <c r="K60" s="149"/>
      <c r="L60" s="149"/>
      <c r="M60" s="149"/>
      <c r="N60" s="149"/>
    </row>
    <row r="61" spans="1:14" x14ac:dyDescent="0.25">
      <c r="A61" s="156" t="s">
        <v>466</v>
      </c>
      <c r="B61" s="155">
        <v>0</v>
      </c>
      <c r="C61" s="154">
        <v>0</v>
      </c>
      <c r="D61" s="154">
        <v>0</v>
      </c>
      <c r="E61" s="154">
        <v>0</v>
      </c>
      <c r="F61" s="154">
        <v>0</v>
      </c>
      <c r="G61" s="154">
        <v>0</v>
      </c>
      <c r="H61" s="154">
        <v>0</v>
      </c>
      <c r="I61" s="154">
        <v>0</v>
      </c>
      <c r="J61" s="154">
        <v>0</v>
      </c>
      <c r="K61" s="154">
        <v>0</v>
      </c>
      <c r="L61" s="154">
        <v>0</v>
      </c>
      <c r="M61" s="154">
        <v>0</v>
      </c>
      <c r="N61" s="154">
        <v>0</v>
      </c>
    </row>
    <row r="62" spans="1:14" x14ac:dyDescent="0.25">
      <c r="A62" s="150" t="s">
        <v>465</v>
      </c>
      <c r="B62" s="153">
        <v>0</v>
      </c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</row>
    <row r="63" spans="1:14" x14ac:dyDescent="0.25">
      <c r="A63" s="150" t="s">
        <v>464</v>
      </c>
      <c r="B63" s="153">
        <v>0</v>
      </c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</row>
    <row r="64" spans="1:14" ht="30" x14ac:dyDescent="0.25">
      <c r="A64" s="150" t="s">
        <v>463</v>
      </c>
      <c r="B64" s="153">
        <v>0</v>
      </c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</row>
    <row r="65" spans="1:14" ht="45" x14ac:dyDescent="0.25">
      <c r="A65" s="150" t="s">
        <v>462</v>
      </c>
      <c r="B65" s="153">
        <v>0</v>
      </c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</row>
    <row r="66" spans="1:14" ht="30" x14ac:dyDescent="0.25">
      <c r="A66" s="156" t="s">
        <v>461</v>
      </c>
      <c r="B66" s="155">
        <v>0</v>
      </c>
      <c r="C66" s="154">
        <v>0</v>
      </c>
      <c r="D66" s="154">
        <v>0</v>
      </c>
      <c r="E66" s="154">
        <v>0</v>
      </c>
      <c r="F66" s="154">
        <v>0</v>
      </c>
      <c r="G66" s="154">
        <v>0</v>
      </c>
      <c r="H66" s="154">
        <v>0</v>
      </c>
      <c r="I66" s="154">
        <v>0</v>
      </c>
      <c r="J66" s="154">
        <v>0</v>
      </c>
      <c r="K66" s="154">
        <v>0</v>
      </c>
      <c r="L66" s="154">
        <v>0</v>
      </c>
      <c r="M66" s="154">
        <v>0</v>
      </c>
      <c r="N66" s="154">
        <v>0</v>
      </c>
    </row>
    <row r="67" spans="1:14" x14ac:dyDescent="0.25">
      <c r="A67" s="150" t="s">
        <v>460</v>
      </c>
      <c r="B67" s="153">
        <v>0</v>
      </c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</row>
    <row r="68" spans="1:14" ht="30" x14ac:dyDescent="0.25">
      <c r="A68" s="150" t="s">
        <v>459</v>
      </c>
      <c r="B68" s="153">
        <v>0</v>
      </c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</row>
    <row r="69" spans="1:14" x14ac:dyDescent="0.25">
      <c r="A69" s="156" t="s">
        <v>458</v>
      </c>
      <c r="B69" s="155">
        <v>0</v>
      </c>
      <c r="C69" s="154">
        <v>0</v>
      </c>
      <c r="D69" s="154">
        <v>0</v>
      </c>
      <c r="E69" s="154">
        <v>0</v>
      </c>
      <c r="F69" s="154">
        <v>0</v>
      </c>
      <c r="G69" s="154">
        <v>0</v>
      </c>
      <c r="H69" s="154">
        <v>0</v>
      </c>
      <c r="I69" s="154">
        <v>0</v>
      </c>
      <c r="J69" s="154">
        <v>0</v>
      </c>
      <c r="K69" s="154">
        <v>0</v>
      </c>
      <c r="L69" s="154">
        <v>0</v>
      </c>
      <c r="M69" s="154">
        <v>0</v>
      </c>
      <c r="N69" s="154">
        <v>0</v>
      </c>
    </row>
    <row r="70" spans="1:14" x14ac:dyDescent="0.25">
      <c r="A70" s="150" t="s">
        <v>457</v>
      </c>
      <c r="B70" s="153">
        <v>0</v>
      </c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</row>
    <row r="71" spans="1:14" x14ac:dyDescent="0.25">
      <c r="A71" s="150" t="s">
        <v>456</v>
      </c>
      <c r="B71" s="153">
        <v>0</v>
      </c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</row>
    <row r="72" spans="1:14" ht="30" x14ac:dyDescent="0.25">
      <c r="A72" s="150" t="s">
        <v>455</v>
      </c>
      <c r="B72" s="153">
        <v>0</v>
      </c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</row>
    <row r="73" spans="1:14" x14ac:dyDescent="0.25">
      <c r="A73" s="148" t="s">
        <v>454</v>
      </c>
      <c r="B73" s="147">
        <f>+B51+B43+B35+B25+B15+B9</f>
        <v>1136152760.9300001</v>
      </c>
      <c r="C73" s="147">
        <f t="shared" ref="C73:N73" si="6">+C51+C43+C35+C25+C15+C9</f>
        <v>70061780.310000002</v>
      </c>
      <c r="D73" s="147">
        <f t="shared" si="6"/>
        <v>89363053.319999993</v>
      </c>
      <c r="E73" s="147">
        <f t="shared" si="6"/>
        <v>112455416.94</v>
      </c>
      <c r="F73" s="147">
        <f t="shared" si="6"/>
        <v>91800339.5</v>
      </c>
      <c r="G73" s="147">
        <f t="shared" si="6"/>
        <v>91500561.629999995</v>
      </c>
      <c r="H73" s="147">
        <f t="shared" si="6"/>
        <v>93930744.409999996</v>
      </c>
      <c r="I73" s="147">
        <f t="shared" si="6"/>
        <v>110292183.97999999</v>
      </c>
      <c r="J73" s="147">
        <f t="shared" si="6"/>
        <v>99872111.940000013</v>
      </c>
      <c r="K73" s="147">
        <f t="shared" si="6"/>
        <v>110335214.13999999</v>
      </c>
      <c r="L73" s="147">
        <f t="shared" si="6"/>
        <v>109113446.76000001</v>
      </c>
      <c r="M73" s="147">
        <f t="shared" si="6"/>
        <v>157427908.00000003</v>
      </c>
      <c r="N73" s="147">
        <f t="shared" si="6"/>
        <v>0</v>
      </c>
    </row>
    <row r="74" spans="1:14" x14ac:dyDescent="0.25">
      <c r="A74" s="152" t="s">
        <v>453</v>
      </c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</row>
    <row r="75" spans="1:14" x14ac:dyDescent="0.25">
      <c r="A75" s="152" t="s">
        <v>452</v>
      </c>
      <c r="B75" s="125"/>
      <c r="C75" s="151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</row>
    <row r="76" spans="1:14" ht="30" x14ac:dyDescent="0.25">
      <c r="A76" s="150" t="s">
        <v>451</v>
      </c>
      <c r="B76" s="125"/>
      <c r="C76" s="149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</row>
    <row r="77" spans="1:14" ht="30" x14ac:dyDescent="0.25">
      <c r="A77" s="150" t="s">
        <v>450</v>
      </c>
      <c r="B77" s="125"/>
      <c r="C77" s="149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</row>
    <row r="78" spans="1:14" x14ac:dyDescent="0.25">
      <c r="A78" s="152" t="s">
        <v>449</v>
      </c>
      <c r="B78" s="125"/>
      <c r="C78" s="151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</row>
    <row r="79" spans="1:14" x14ac:dyDescent="0.25">
      <c r="A79" s="150" t="s">
        <v>448</v>
      </c>
      <c r="B79" s="125"/>
      <c r="C79" s="149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</row>
    <row r="80" spans="1:14" x14ac:dyDescent="0.25">
      <c r="A80" s="150" t="s">
        <v>447</v>
      </c>
      <c r="B80" s="125"/>
      <c r="C80" s="149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</row>
    <row r="81" spans="1:14" x14ac:dyDescent="0.25">
      <c r="A81" s="152" t="s">
        <v>446</v>
      </c>
      <c r="B81" s="125"/>
      <c r="C81" s="151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</row>
    <row r="82" spans="1:14" ht="30" x14ac:dyDescent="0.25">
      <c r="A82" s="150" t="s">
        <v>445</v>
      </c>
      <c r="B82" s="125"/>
      <c r="C82" s="149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</row>
    <row r="83" spans="1:14" x14ac:dyDescent="0.25">
      <c r="A83" s="148" t="s">
        <v>444</v>
      </c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</row>
    <row r="84" spans="1:14" x14ac:dyDescent="0.25">
      <c r="A84" s="1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</row>
    <row r="85" spans="1:14" ht="15.75" x14ac:dyDescent="0.25">
      <c r="A85" s="146" t="s">
        <v>443</v>
      </c>
      <c r="B85" s="145">
        <f t="shared" ref="B85:K85" si="7">+B73</f>
        <v>1136152760.9300001</v>
      </c>
      <c r="C85" s="145">
        <f t="shared" si="7"/>
        <v>70061780.310000002</v>
      </c>
      <c r="D85" s="145">
        <f t="shared" si="7"/>
        <v>89363053.319999993</v>
      </c>
      <c r="E85" s="145">
        <f t="shared" si="7"/>
        <v>112455416.94</v>
      </c>
      <c r="F85" s="145">
        <f t="shared" si="7"/>
        <v>91800339.5</v>
      </c>
      <c r="G85" s="145">
        <f t="shared" si="7"/>
        <v>91500561.629999995</v>
      </c>
      <c r="H85" s="145">
        <f t="shared" si="7"/>
        <v>93930744.409999996</v>
      </c>
      <c r="I85" s="145">
        <f t="shared" si="7"/>
        <v>110292183.97999999</v>
      </c>
      <c r="J85" s="145">
        <f t="shared" si="7"/>
        <v>99872111.940000013</v>
      </c>
      <c r="K85" s="145">
        <f t="shared" si="7"/>
        <v>110335214.13999999</v>
      </c>
      <c r="L85" s="145">
        <f>+L73</f>
        <v>109113446.76000001</v>
      </c>
      <c r="M85" s="145">
        <f>+M73</f>
        <v>157427908.00000003</v>
      </c>
      <c r="N85" s="145">
        <f>+N73</f>
        <v>0</v>
      </c>
    </row>
    <row r="86" spans="1:14" x14ac:dyDescent="0.25">
      <c r="A86" t="s">
        <v>442</v>
      </c>
      <c r="B86" s="222"/>
    </row>
    <row r="87" spans="1:14" x14ac:dyDescent="0.25">
      <c r="A87" t="s">
        <v>682</v>
      </c>
    </row>
    <row r="88" spans="1:14" x14ac:dyDescent="0.25">
      <c r="A88" t="s">
        <v>924</v>
      </c>
    </row>
    <row r="92" spans="1:14" x14ac:dyDescent="0.25">
      <c r="B92" s="222"/>
    </row>
  </sheetData>
  <mergeCells count="5">
    <mergeCell ref="A1:N1"/>
    <mergeCell ref="A2:N2"/>
    <mergeCell ref="A3:N3"/>
    <mergeCell ref="A4:N4"/>
    <mergeCell ref="A5:N5"/>
  </mergeCells>
  <pageMargins left="0.70866141732283472" right="0.70866141732283472" top="0.74803149606299213" bottom="0.74803149606299213" header="0.31496062992125984" footer="0.31496062992125984"/>
  <pageSetup scale="47" orientation="landscape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8"/>
  <sheetViews>
    <sheetView view="pageBreakPreview" topLeftCell="A58" zoomScale="60" zoomScaleNormal="90" workbookViewId="0">
      <selection activeCell="N105" sqref="N105"/>
    </sheetView>
  </sheetViews>
  <sheetFormatPr baseColWidth="10" defaultColWidth="9.140625" defaultRowHeight="15" x14ac:dyDescent="0.25"/>
  <cols>
    <col min="1" max="1" width="70.28515625" bestFit="1" customWidth="1"/>
    <col min="2" max="2" width="19.42578125" bestFit="1" customWidth="1"/>
    <col min="3" max="4" width="13.42578125" bestFit="1" customWidth="1"/>
    <col min="5" max="5" width="18.42578125" bestFit="1" customWidth="1"/>
    <col min="6" max="10" width="13.42578125" bestFit="1" customWidth="1"/>
    <col min="11" max="11" width="14.5703125" bestFit="1" customWidth="1"/>
    <col min="12" max="12" width="13.42578125" bestFit="1" customWidth="1"/>
    <col min="13" max="13" width="15.7109375" bestFit="1" customWidth="1"/>
    <col min="14" max="14" width="15.140625" bestFit="1" customWidth="1"/>
  </cols>
  <sheetData>
    <row r="1" spans="1:14" ht="18.75" x14ac:dyDescent="0.25">
      <c r="A1" s="446" t="s">
        <v>77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</row>
    <row r="2" spans="1:14" ht="18.75" x14ac:dyDescent="0.25">
      <c r="A2" s="446" t="s">
        <v>657</v>
      </c>
      <c r="B2" s="446"/>
      <c r="C2" s="446"/>
      <c r="D2" s="446"/>
      <c r="E2" s="446"/>
      <c r="F2" s="446"/>
      <c r="G2" s="446"/>
      <c r="H2" s="446"/>
      <c r="I2" s="446"/>
      <c r="J2" s="446"/>
      <c r="K2" s="446"/>
      <c r="L2" s="446"/>
      <c r="M2" s="446"/>
      <c r="N2" s="446"/>
    </row>
    <row r="3" spans="1:14" ht="18.75" x14ac:dyDescent="0.25">
      <c r="A3" s="446" t="s">
        <v>535</v>
      </c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46"/>
      <c r="M3" s="446"/>
      <c r="N3" s="446"/>
    </row>
    <row r="4" spans="1:14" ht="15.75" x14ac:dyDescent="0.25">
      <c r="A4" s="447" t="s">
        <v>681</v>
      </c>
      <c r="B4" s="447"/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7"/>
    </row>
    <row r="5" spans="1:14" x14ac:dyDescent="0.25">
      <c r="A5" s="392" t="s">
        <v>534</v>
      </c>
      <c r="B5" s="392"/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</row>
    <row r="7" spans="1:14" ht="15.75" x14ac:dyDescent="0.25">
      <c r="A7" s="159" t="s">
        <v>533</v>
      </c>
      <c r="B7" s="274" t="s">
        <v>532</v>
      </c>
      <c r="C7" s="274" t="s">
        <v>531</v>
      </c>
      <c r="D7" s="274" t="s">
        <v>530</v>
      </c>
      <c r="E7" s="158" t="s">
        <v>529</v>
      </c>
      <c r="F7" s="158" t="s">
        <v>528</v>
      </c>
      <c r="G7" s="158" t="s">
        <v>527</v>
      </c>
      <c r="H7" s="158" t="s">
        <v>526</v>
      </c>
      <c r="I7" s="158" t="s">
        <v>525</v>
      </c>
      <c r="J7" s="158" t="s">
        <v>524</v>
      </c>
      <c r="K7" s="158" t="s">
        <v>523</v>
      </c>
      <c r="L7" s="158" t="s">
        <v>522</v>
      </c>
      <c r="M7" s="158" t="s">
        <v>521</v>
      </c>
      <c r="N7" s="158" t="s">
        <v>520</v>
      </c>
    </row>
    <row r="8" spans="1:14" x14ac:dyDescent="0.25">
      <c r="A8" s="152" t="s">
        <v>519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</row>
    <row r="9" spans="1:14" x14ac:dyDescent="0.25">
      <c r="A9" s="156" t="s">
        <v>518</v>
      </c>
      <c r="B9" s="154">
        <f>SUM(C9:N9)</f>
        <v>9644681.1400000006</v>
      </c>
      <c r="C9" s="154">
        <v>0</v>
      </c>
      <c r="D9" s="154">
        <v>0</v>
      </c>
      <c r="E9" s="154">
        <v>5231553.59</v>
      </c>
      <c r="F9" s="154">
        <v>0</v>
      </c>
      <c r="G9" s="154">
        <v>0</v>
      </c>
      <c r="H9" s="154">
        <v>0</v>
      </c>
      <c r="I9" s="154">
        <v>0</v>
      </c>
      <c r="J9" s="154">
        <v>0</v>
      </c>
      <c r="K9" s="154">
        <f>SUM(K10:K14)</f>
        <v>4413127.5500000007</v>
      </c>
      <c r="L9" s="154">
        <v>0</v>
      </c>
      <c r="M9" s="154">
        <f>SUM(M10:M14)</f>
        <v>0</v>
      </c>
      <c r="N9" s="154">
        <v>0</v>
      </c>
    </row>
    <row r="10" spans="1:14" x14ac:dyDescent="0.25">
      <c r="A10" s="150" t="s">
        <v>517</v>
      </c>
      <c r="B10" s="151">
        <f t="shared" ref="B10:B72" si="0">SUM(C10:N10)</f>
        <v>0</v>
      </c>
      <c r="C10" s="149"/>
      <c r="D10" s="149"/>
      <c r="E10" s="149"/>
      <c r="F10" s="149"/>
      <c r="G10" s="149"/>
      <c r="H10" s="149"/>
      <c r="I10" s="149"/>
      <c r="J10" s="149"/>
      <c r="K10" s="122"/>
      <c r="L10" s="149"/>
      <c r="M10" s="149"/>
      <c r="N10" s="149"/>
    </row>
    <row r="11" spans="1:14" x14ac:dyDescent="0.25">
      <c r="A11" s="150" t="s">
        <v>516</v>
      </c>
      <c r="B11" s="151">
        <f t="shared" si="0"/>
        <v>9644681.1400000006</v>
      </c>
      <c r="C11" s="149"/>
      <c r="D11" s="149"/>
      <c r="E11" s="149">
        <v>5231553.59</v>
      </c>
      <c r="F11" s="149"/>
      <c r="G11" s="149"/>
      <c r="H11" s="149"/>
      <c r="I11" s="149"/>
      <c r="J11" s="149"/>
      <c r="K11" s="122">
        <v>4413127.5500000007</v>
      </c>
      <c r="L11" s="149"/>
      <c r="M11" s="149"/>
      <c r="N11" s="149"/>
    </row>
    <row r="12" spans="1:14" x14ac:dyDescent="0.25">
      <c r="A12" s="150" t="s">
        <v>515</v>
      </c>
      <c r="B12" s="151">
        <f t="shared" si="0"/>
        <v>0</v>
      </c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</row>
    <row r="13" spans="1:14" x14ac:dyDescent="0.25">
      <c r="A13" s="150" t="s">
        <v>514</v>
      </c>
      <c r="B13" s="151">
        <f t="shared" si="0"/>
        <v>0</v>
      </c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</row>
    <row r="14" spans="1:14" x14ac:dyDescent="0.25">
      <c r="A14" s="150" t="s">
        <v>513</v>
      </c>
      <c r="B14" s="151">
        <f t="shared" si="0"/>
        <v>0</v>
      </c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</row>
    <row r="15" spans="1:14" x14ac:dyDescent="0.25">
      <c r="A15" s="156" t="s">
        <v>512</v>
      </c>
      <c r="B15" s="154">
        <f>SUM(C15:N15)</f>
        <v>29973175.32</v>
      </c>
      <c r="C15" s="154">
        <v>2733844.2800000003</v>
      </c>
      <c r="D15" s="154">
        <v>1213383.3500000001</v>
      </c>
      <c r="E15" s="154">
        <v>4359456.22</v>
      </c>
      <c r="F15" s="154">
        <v>1256712.0899999999</v>
      </c>
      <c r="G15" s="154">
        <v>2044062.6</v>
      </c>
      <c r="H15" s="154">
        <v>3938639.0999999996</v>
      </c>
      <c r="I15" s="154">
        <v>5012155.75</v>
      </c>
      <c r="J15" s="154">
        <v>3808523.8099999996</v>
      </c>
      <c r="K15" s="154">
        <f>SUM(K16:K24)</f>
        <v>1557736.19</v>
      </c>
      <c r="L15" s="154">
        <f>SUM(L16:L24)</f>
        <v>1964841.3900000001</v>
      </c>
      <c r="M15" s="154">
        <f>SUM(M16:M24)</f>
        <v>2083820.54</v>
      </c>
      <c r="N15" s="154">
        <v>0</v>
      </c>
    </row>
    <row r="16" spans="1:14" x14ac:dyDescent="0.25">
      <c r="A16" s="150" t="s">
        <v>511</v>
      </c>
      <c r="B16" s="360">
        <f t="shared" ref="B16:B24" si="1">SUM(C16:N16)</f>
        <v>9480180.129999999</v>
      </c>
      <c r="C16" s="149">
        <v>351316.33</v>
      </c>
      <c r="D16" s="149">
        <v>259054.4</v>
      </c>
      <c r="E16" s="149">
        <v>1731191.19</v>
      </c>
      <c r="F16" s="149">
        <v>285608.3</v>
      </c>
      <c r="G16" s="149">
        <v>1098463.42</v>
      </c>
      <c r="H16" s="149">
        <v>964509</v>
      </c>
      <c r="I16" s="149">
        <v>1781904.05</v>
      </c>
      <c r="J16" s="149">
        <v>933611.83</v>
      </c>
      <c r="K16" s="149">
        <v>161421.68</v>
      </c>
      <c r="L16" s="149">
        <v>1168099.93</v>
      </c>
      <c r="M16" s="149">
        <v>745000</v>
      </c>
      <c r="N16" s="149"/>
    </row>
    <row r="17" spans="1:14" x14ac:dyDescent="0.25">
      <c r="A17" s="150" t="s">
        <v>510</v>
      </c>
      <c r="B17" s="360">
        <f t="shared" si="1"/>
        <v>1719123.4200000002</v>
      </c>
      <c r="C17" s="149"/>
      <c r="D17" s="149"/>
      <c r="E17" s="149"/>
      <c r="F17" s="149"/>
      <c r="G17" s="149"/>
      <c r="H17" s="149">
        <v>310139.40000000002</v>
      </c>
      <c r="I17" s="149">
        <v>581445</v>
      </c>
      <c r="J17" s="149">
        <v>336559.6</v>
      </c>
      <c r="K17" s="149">
        <v>269720.57</v>
      </c>
      <c r="L17" s="149"/>
      <c r="M17" s="149">
        <v>221258.85</v>
      </c>
      <c r="N17" s="149"/>
    </row>
    <row r="18" spans="1:14" x14ac:dyDescent="0.25">
      <c r="A18" s="150" t="s">
        <v>509</v>
      </c>
      <c r="B18" s="360">
        <f t="shared" si="1"/>
        <v>40000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>
        <v>40000</v>
      </c>
      <c r="M18" s="149"/>
      <c r="N18" s="149"/>
    </row>
    <row r="19" spans="1:14" ht="18" customHeight="1" x14ac:dyDescent="0.25">
      <c r="A19" s="150" t="s">
        <v>508</v>
      </c>
      <c r="B19" s="360">
        <f t="shared" si="1"/>
        <v>248000</v>
      </c>
      <c r="C19" s="149"/>
      <c r="D19" s="149">
        <v>24000</v>
      </c>
      <c r="E19" s="149">
        <v>32000</v>
      </c>
      <c r="F19" s="149"/>
      <c r="G19" s="149">
        <v>76000</v>
      </c>
      <c r="H19" s="149">
        <v>20000</v>
      </c>
      <c r="I19" s="149">
        <v>8000</v>
      </c>
      <c r="J19" s="149"/>
      <c r="K19" s="149">
        <v>68000</v>
      </c>
      <c r="L19" s="149"/>
      <c r="M19" s="149">
        <v>20000</v>
      </c>
      <c r="N19" s="149"/>
    </row>
    <row r="20" spans="1:14" x14ac:dyDescent="0.25">
      <c r="A20" s="150" t="s">
        <v>507</v>
      </c>
      <c r="B20" s="360">
        <f t="shared" si="1"/>
        <v>2503964.59</v>
      </c>
      <c r="C20" s="149">
        <v>266664.25</v>
      </c>
      <c r="D20" s="149">
        <v>252960.9</v>
      </c>
      <c r="E20" s="149"/>
      <c r="F20" s="149">
        <v>229519.78</v>
      </c>
      <c r="G20" s="149">
        <v>529650.64</v>
      </c>
      <c r="H20" s="149"/>
      <c r="I20" s="149">
        <v>298861.53999999998</v>
      </c>
      <c r="J20" s="149">
        <v>628164.1</v>
      </c>
      <c r="K20" s="149"/>
      <c r="L20" s="149">
        <v>298143.38</v>
      </c>
      <c r="M20" s="149"/>
      <c r="N20" s="149"/>
    </row>
    <row r="21" spans="1:14" x14ac:dyDescent="0.25">
      <c r="A21" s="150" t="s">
        <v>506</v>
      </c>
      <c r="B21" s="360">
        <f t="shared" si="1"/>
        <v>3449.08</v>
      </c>
      <c r="C21" s="149"/>
      <c r="D21" s="149"/>
      <c r="E21" s="149"/>
      <c r="F21" s="149"/>
      <c r="G21" s="149"/>
      <c r="H21" s="149"/>
      <c r="I21" s="149"/>
      <c r="J21" s="149"/>
      <c r="K21" s="149"/>
      <c r="L21" s="149">
        <v>3449.08</v>
      </c>
      <c r="M21" s="149"/>
      <c r="N21" s="149"/>
    </row>
    <row r="22" spans="1:14" ht="30" x14ac:dyDescent="0.25">
      <c r="A22" s="150" t="s">
        <v>505</v>
      </c>
      <c r="B22" s="360">
        <f t="shared" si="1"/>
        <v>9383610.8900000006</v>
      </c>
      <c r="C22" s="149">
        <v>2064518.35</v>
      </c>
      <c r="D22" s="149">
        <v>472756.61000000004</v>
      </c>
      <c r="E22" s="149">
        <v>2019575.16</v>
      </c>
      <c r="F22" s="149">
        <v>199877.53</v>
      </c>
      <c r="G22" s="149">
        <v>205899.14</v>
      </c>
      <c r="H22" s="149">
        <v>635040.9</v>
      </c>
      <c r="I22" s="149">
        <v>1632573.28</v>
      </c>
      <c r="J22" s="149">
        <v>925675.21</v>
      </c>
      <c r="K22" s="149">
        <v>802020.26</v>
      </c>
      <c r="L22" s="149">
        <v>6500</v>
      </c>
      <c r="M22" s="149">
        <v>419174.45</v>
      </c>
      <c r="N22" s="149"/>
    </row>
    <row r="23" spans="1:14" x14ac:dyDescent="0.25">
      <c r="A23" s="150" t="s">
        <v>504</v>
      </c>
      <c r="B23" s="360">
        <f t="shared" si="1"/>
        <v>5134830.26</v>
      </c>
      <c r="C23" s="149">
        <v>51345.35</v>
      </c>
      <c r="D23" s="149">
        <v>204611.44</v>
      </c>
      <c r="E23" s="149">
        <v>576689.87</v>
      </c>
      <c r="F23" s="149">
        <v>541706.48</v>
      </c>
      <c r="G23" s="149">
        <v>134049.4</v>
      </c>
      <c r="H23" s="149">
        <v>1098662.3999999999</v>
      </c>
      <c r="I23" s="149">
        <v>709371.88</v>
      </c>
      <c r="J23" s="149">
        <v>524832.27</v>
      </c>
      <c r="K23" s="149">
        <v>166524.93</v>
      </c>
      <c r="L23" s="149">
        <v>448649</v>
      </c>
      <c r="M23" s="149">
        <v>678387.24</v>
      </c>
      <c r="N23" s="149"/>
    </row>
    <row r="24" spans="1:14" x14ac:dyDescent="0.25">
      <c r="A24" s="150" t="s">
        <v>503</v>
      </c>
      <c r="B24" s="360">
        <f t="shared" si="1"/>
        <v>1460016.95</v>
      </c>
      <c r="C24" s="149"/>
      <c r="D24" s="149"/>
      <c r="E24" s="149"/>
      <c r="F24" s="149"/>
      <c r="G24" s="149"/>
      <c r="H24" s="149">
        <v>910287.4</v>
      </c>
      <c r="I24" s="149"/>
      <c r="J24" s="149">
        <v>459680.8</v>
      </c>
      <c r="K24" s="149">
        <v>90048.75</v>
      </c>
      <c r="L24" s="149"/>
      <c r="M24" s="149"/>
      <c r="N24" s="149"/>
    </row>
    <row r="25" spans="1:14" x14ac:dyDescent="0.25">
      <c r="A25" s="156" t="s">
        <v>502</v>
      </c>
      <c r="B25" s="154">
        <f>SUM(B26:B34)</f>
        <v>31006923.09</v>
      </c>
      <c r="C25" s="154">
        <f t="shared" ref="C25:M25" si="2">SUM(C26:C34)</f>
        <v>3062630.67</v>
      </c>
      <c r="D25" s="154">
        <f t="shared" si="2"/>
        <v>2432378.29</v>
      </c>
      <c r="E25" s="154">
        <f t="shared" si="2"/>
        <v>1797538.3199999998</v>
      </c>
      <c r="F25" s="154">
        <f t="shared" si="2"/>
        <v>2995765.1999999997</v>
      </c>
      <c r="G25" s="154">
        <f t="shared" si="2"/>
        <v>2557401.6</v>
      </c>
      <c r="H25" s="154">
        <f t="shared" si="2"/>
        <v>999513.81</v>
      </c>
      <c r="I25" s="154">
        <f t="shared" si="2"/>
        <v>3444623.87</v>
      </c>
      <c r="J25" s="154">
        <f t="shared" si="2"/>
        <v>2478357.52</v>
      </c>
      <c r="K25" s="154">
        <f t="shared" si="2"/>
        <v>3168875.6799999997</v>
      </c>
      <c r="L25" s="154">
        <f t="shared" si="2"/>
        <v>5885512.2599999998</v>
      </c>
      <c r="M25" s="154">
        <f t="shared" si="2"/>
        <v>2184325.87</v>
      </c>
      <c r="N25" s="154">
        <v>0</v>
      </c>
    </row>
    <row r="26" spans="1:14" x14ac:dyDescent="0.25">
      <c r="A26" s="150" t="s">
        <v>501</v>
      </c>
      <c r="B26" s="151">
        <f t="shared" si="0"/>
        <v>4186963.46</v>
      </c>
      <c r="C26" s="149">
        <v>541265</v>
      </c>
      <c r="D26" s="149">
        <v>300691.8</v>
      </c>
      <c r="E26" s="149">
        <v>658799</v>
      </c>
      <c r="F26" s="149">
        <v>94850</v>
      </c>
      <c r="G26" s="149">
        <v>355075</v>
      </c>
      <c r="H26" s="149">
        <v>213305</v>
      </c>
      <c r="I26" s="149">
        <v>360730</v>
      </c>
      <c r="J26" s="149">
        <v>166750</v>
      </c>
      <c r="K26" s="149">
        <v>1046945.66</v>
      </c>
      <c r="L26" s="149">
        <v>285227</v>
      </c>
      <c r="M26" s="149">
        <v>163325</v>
      </c>
      <c r="N26" s="149"/>
    </row>
    <row r="27" spans="1:14" x14ac:dyDescent="0.25">
      <c r="A27" s="150" t="s">
        <v>500</v>
      </c>
      <c r="B27" s="151">
        <f t="shared" si="0"/>
        <v>346306.4</v>
      </c>
      <c r="C27" s="149"/>
      <c r="D27" s="149"/>
      <c r="E27" s="149"/>
      <c r="F27" s="149"/>
      <c r="G27" s="149">
        <v>141128</v>
      </c>
      <c r="H27" s="149">
        <v>205178.4</v>
      </c>
      <c r="I27" s="149"/>
      <c r="J27" s="149"/>
      <c r="K27" s="149"/>
      <c r="L27" s="149"/>
      <c r="M27" s="149"/>
      <c r="N27" s="149"/>
    </row>
    <row r="28" spans="1:14" x14ac:dyDescent="0.25">
      <c r="A28" s="150" t="s">
        <v>499</v>
      </c>
      <c r="B28" s="151">
        <f t="shared" si="0"/>
        <v>1789484.03</v>
      </c>
      <c r="C28" s="149">
        <v>85550</v>
      </c>
      <c r="D28" s="149">
        <v>107616</v>
      </c>
      <c r="E28" s="149">
        <v>57997</v>
      </c>
      <c r="F28" s="149">
        <v>196824</v>
      </c>
      <c r="G28" s="149">
        <v>607165</v>
      </c>
      <c r="H28" s="149"/>
      <c r="I28" s="149">
        <v>26550</v>
      </c>
      <c r="J28" s="149">
        <v>690182</v>
      </c>
      <c r="K28" s="149">
        <v>17600.03</v>
      </c>
      <c r="L28" s="149"/>
      <c r="M28" s="149"/>
      <c r="N28" s="149"/>
    </row>
    <row r="29" spans="1:14" x14ac:dyDescent="0.25">
      <c r="A29" s="150" t="s">
        <v>498</v>
      </c>
      <c r="B29" s="151">
        <f t="shared" si="0"/>
        <v>4023780.76</v>
      </c>
      <c r="C29" s="149">
        <v>308000</v>
      </c>
      <c r="D29" s="149"/>
      <c r="E29" s="149">
        <v>250000</v>
      </c>
      <c r="F29" s="149">
        <v>92000</v>
      </c>
      <c r="G29" s="149">
        <v>130100</v>
      </c>
      <c r="H29" s="149">
        <v>180120.76</v>
      </c>
      <c r="I29" s="149">
        <v>152800</v>
      </c>
      <c r="J29" s="149">
        <v>269200</v>
      </c>
      <c r="K29" s="149">
        <v>74000</v>
      </c>
      <c r="L29" s="149">
        <v>2183260</v>
      </c>
      <c r="M29" s="149">
        <v>384300</v>
      </c>
      <c r="N29" s="149"/>
    </row>
    <row r="30" spans="1:14" x14ac:dyDescent="0.25">
      <c r="A30" s="150" t="s">
        <v>497</v>
      </c>
      <c r="B30" s="151">
        <f t="shared" si="0"/>
        <v>1006371.5700000001</v>
      </c>
      <c r="C30" s="149"/>
      <c r="D30" s="149">
        <v>249831.2</v>
      </c>
      <c r="E30" s="149">
        <v>317663.67</v>
      </c>
      <c r="F30" s="149"/>
      <c r="G30" s="149"/>
      <c r="H30" s="149"/>
      <c r="I30" s="149">
        <v>77390.009999999995</v>
      </c>
      <c r="J30" s="149">
        <v>62924.77</v>
      </c>
      <c r="K30" s="149"/>
      <c r="L30" s="149"/>
      <c r="M30" s="149">
        <v>298561.91999999998</v>
      </c>
      <c r="N30" s="149"/>
    </row>
    <row r="31" spans="1:14" x14ac:dyDescent="0.25">
      <c r="A31" s="150" t="s">
        <v>496</v>
      </c>
      <c r="B31" s="151">
        <f t="shared" si="0"/>
        <v>506384.37</v>
      </c>
      <c r="C31" s="149"/>
      <c r="D31" s="149">
        <v>183732.33</v>
      </c>
      <c r="E31" s="149">
        <v>110224.97</v>
      </c>
      <c r="F31" s="149"/>
      <c r="G31" s="149"/>
      <c r="H31" s="149"/>
      <c r="I31" s="149">
        <v>24157.95</v>
      </c>
      <c r="J31" s="149">
        <v>187394.11</v>
      </c>
      <c r="K31" s="149"/>
      <c r="L31" s="149">
        <v>875.01</v>
      </c>
      <c r="M31" s="149"/>
      <c r="N31" s="149"/>
    </row>
    <row r="32" spans="1:14" x14ac:dyDescent="0.25">
      <c r="A32" s="150" t="s">
        <v>495</v>
      </c>
      <c r="B32" s="151">
        <f t="shared" si="0"/>
        <v>6598652.5800000001</v>
      </c>
      <c r="C32" s="149">
        <v>228412.84</v>
      </c>
      <c r="D32" s="149">
        <v>1114592.73</v>
      </c>
      <c r="E32" s="149">
        <v>317328.99</v>
      </c>
      <c r="F32" s="149">
        <v>226537</v>
      </c>
      <c r="G32" s="149">
        <v>1065923</v>
      </c>
      <c r="H32" s="149">
        <v>207742</v>
      </c>
      <c r="I32" s="149">
        <v>1044515</v>
      </c>
      <c r="J32" s="149">
        <v>250850.02</v>
      </c>
      <c r="K32" s="149">
        <v>1029096</v>
      </c>
      <c r="L32" s="149">
        <v>778905.4</v>
      </c>
      <c r="M32" s="149">
        <v>334749.59999999998</v>
      </c>
      <c r="N32" s="149"/>
    </row>
    <row r="33" spans="1:14" ht="30" x14ac:dyDescent="0.25">
      <c r="A33" s="150" t="s">
        <v>494</v>
      </c>
      <c r="B33" s="151">
        <f t="shared" si="0"/>
        <v>0</v>
      </c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</row>
    <row r="34" spans="1:14" x14ac:dyDescent="0.25">
      <c r="A34" s="150" t="s">
        <v>493</v>
      </c>
      <c r="B34" s="151">
        <f t="shared" si="0"/>
        <v>12548979.919999998</v>
      </c>
      <c r="C34" s="149">
        <v>1899402.83</v>
      </c>
      <c r="D34" s="149">
        <v>475914.23</v>
      </c>
      <c r="E34" s="149">
        <v>85524.69</v>
      </c>
      <c r="F34" s="149">
        <v>2385554.1999999997</v>
      </c>
      <c r="G34" s="149">
        <v>258010.6</v>
      </c>
      <c r="H34" s="149">
        <v>193167.65</v>
      </c>
      <c r="I34" s="149">
        <v>1758480.91</v>
      </c>
      <c r="J34" s="149">
        <v>851056.62</v>
      </c>
      <c r="K34" s="149">
        <v>1001233.99</v>
      </c>
      <c r="L34" s="149">
        <v>2637244.85</v>
      </c>
      <c r="M34" s="149">
        <v>1003389.35</v>
      </c>
      <c r="N34" s="149"/>
    </row>
    <row r="35" spans="1:14" x14ac:dyDescent="0.25">
      <c r="A35" s="156" t="s">
        <v>492</v>
      </c>
      <c r="B35" s="154">
        <f>SUM(B36:B42)</f>
        <v>1638138.7</v>
      </c>
      <c r="C35" s="154">
        <f t="shared" ref="C35:N35" si="3">SUM(C36:C42)</f>
        <v>136966.70000000001</v>
      </c>
      <c r="D35" s="154">
        <f t="shared" si="3"/>
        <v>23400</v>
      </c>
      <c r="E35" s="154">
        <f t="shared" si="3"/>
        <v>127420</v>
      </c>
      <c r="F35" s="154">
        <f t="shared" si="3"/>
        <v>624573</v>
      </c>
      <c r="G35" s="154">
        <f t="shared" si="3"/>
        <v>480808</v>
      </c>
      <c r="H35" s="154">
        <f t="shared" si="3"/>
        <v>118600</v>
      </c>
      <c r="I35" s="154">
        <f t="shared" si="3"/>
        <v>67571</v>
      </c>
      <c r="J35" s="154">
        <f t="shared" si="3"/>
        <v>33600</v>
      </c>
      <c r="K35" s="154">
        <f t="shared" si="3"/>
        <v>21600</v>
      </c>
      <c r="L35" s="154">
        <f t="shared" si="3"/>
        <v>0</v>
      </c>
      <c r="M35" s="154">
        <f t="shared" si="3"/>
        <v>3600</v>
      </c>
      <c r="N35" s="154">
        <f t="shared" si="3"/>
        <v>0</v>
      </c>
    </row>
    <row r="36" spans="1:14" x14ac:dyDescent="0.25">
      <c r="A36" s="150" t="s">
        <v>491</v>
      </c>
      <c r="B36" s="151">
        <f t="shared" si="0"/>
        <v>1638138.7</v>
      </c>
      <c r="C36" s="149">
        <v>136966.70000000001</v>
      </c>
      <c r="D36" s="149">
        <v>23400</v>
      </c>
      <c r="E36" s="149">
        <v>127420</v>
      </c>
      <c r="F36" s="149">
        <v>624573</v>
      </c>
      <c r="G36" s="149">
        <v>480808</v>
      </c>
      <c r="H36" s="149">
        <v>118600</v>
      </c>
      <c r="I36" s="149">
        <v>67571</v>
      </c>
      <c r="J36" s="149">
        <v>33600</v>
      </c>
      <c r="K36" s="149">
        <v>21600</v>
      </c>
      <c r="L36" s="149"/>
      <c r="M36" s="149">
        <v>3600</v>
      </c>
      <c r="N36" s="149"/>
    </row>
    <row r="37" spans="1:14" x14ac:dyDescent="0.25">
      <c r="A37" s="150" t="s">
        <v>490</v>
      </c>
      <c r="B37" s="151">
        <f t="shared" si="0"/>
        <v>0</v>
      </c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</row>
    <row r="38" spans="1:14" x14ac:dyDescent="0.25">
      <c r="A38" s="150" t="s">
        <v>489</v>
      </c>
      <c r="B38" s="151">
        <f t="shared" si="0"/>
        <v>0</v>
      </c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</row>
    <row r="39" spans="1:14" ht="30" x14ac:dyDescent="0.25">
      <c r="A39" s="150" t="s">
        <v>488</v>
      </c>
      <c r="B39" s="151">
        <f t="shared" si="0"/>
        <v>0</v>
      </c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</row>
    <row r="40" spans="1:14" ht="30" x14ac:dyDescent="0.25">
      <c r="A40" s="150" t="s">
        <v>487</v>
      </c>
      <c r="B40" s="151">
        <f t="shared" si="0"/>
        <v>0</v>
      </c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</row>
    <row r="41" spans="1:14" x14ac:dyDescent="0.25">
      <c r="A41" s="150" t="s">
        <v>486</v>
      </c>
      <c r="B41" s="151">
        <f t="shared" si="0"/>
        <v>0</v>
      </c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</row>
    <row r="42" spans="1:14" x14ac:dyDescent="0.25">
      <c r="A42" s="150" t="s">
        <v>485</v>
      </c>
      <c r="B42" s="151">
        <f t="shared" si="0"/>
        <v>0</v>
      </c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</row>
    <row r="43" spans="1:14" x14ac:dyDescent="0.25">
      <c r="A43" s="156" t="s">
        <v>484</v>
      </c>
      <c r="B43" s="154">
        <f t="shared" si="0"/>
        <v>0</v>
      </c>
      <c r="C43" s="154">
        <v>0</v>
      </c>
      <c r="D43" s="154">
        <v>0</v>
      </c>
      <c r="E43" s="154">
        <v>0</v>
      </c>
      <c r="F43" s="154">
        <v>0</v>
      </c>
      <c r="G43" s="154">
        <v>0</v>
      </c>
      <c r="H43" s="154">
        <v>0</v>
      </c>
      <c r="I43" s="154">
        <v>0</v>
      </c>
      <c r="J43" s="154">
        <v>0</v>
      </c>
      <c r="K43" s="154">
        <f>SUM(K44:K50)</f>
        <v>0</v>
      </c>
      <c r="L43" s="154">
        <v>0</v>
      </c>
      <c r="M43" s="154">
        <v>0</v>
      </c>
      <c r="N43" s="154">
        <v>0</v>
      </c>
    </row>
    <row r="44" spans="1:14" x14ac:dyDescent="0.25">
      <c r="A44" s="150" t="s">
        <v>483</v>
      </c>
      <c r="B44" s="151">
        <f t="shared" si="0"/>
        <v>0</v>
      </c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</row>
    <row r="45" spans="1:14" x14ac:dyDescent="0.25">
      <c r="A45" s="150" t="s">
        <v>482</v>
      </c>
      <c r="B45" s="151">
        <f t="shared" si="0"/>
        <v>0</v>
      </c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</row>
    <row r="46" spans="1:14" x14ac:dyDescent="0.25">
      <c r="A46" s="150" t="s">
        <v>481</v>
      </c>
      <c r="B46" s="151">
        <f t="shared" si="0"/>
        <v>0</v>
      </c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</row>
    <row r="47" spans="1:14" ht="30" x14ac:dyDescent="0.25">
      <c r="A47" s="150" t="s">
        <v>480</v>
      </c>
      <c r="B47" s="151">
        <f t="shared" si="0"/>
        <v>0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</row>
    <row r="48" spans="1:14" ht="30" x14ac:dyDescent="0.25">
      <c r="A48" s="150" t="s">
        <v>479</v>
      </c>
      <c r="B48" s="151">
        <f t="shared" si="0"/>
        <v>0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</row>
    <row r="49" spans="1:14" x14ac:dyDescent="0.25">
      <c r="A49" s="150" t="s">
        <v>478</v>
      </c>
      <c r="B49" s="151">
        <f t="shared" si="0"/>
        <v>0</v>
      </c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</row>
    <row r="50" spans="1:14" x14ac:dyDescent="0.25">
      <c r="A50" s="150" t="s">
        <v>477</v>
      </c>
      <c r="B50" s="151">
        <f t="shared" si="0"/>
        <v>0</v>
      </c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</row>
    <row r="51" spans="1:14" x14ac:dyDescent="0.25">
      <c r="A51" s="156" t="s">
        <v>476</v>
      </c>
      <c r="B51" s="154">
        <f>SUM(B52:B60)</f>
        <v>18896379.869999997</v>
      </c>
      <c r="C51" s="154">
        <f t="shared" ref="C51:N51" si="4">SUM(C52:C60)</f>
        <v>887994.84</v>
      </c>
      <c r="D51" s="154">
        <f t="shared" si="4"/>
        <v>3887510</v>
      </c>
      <c r="E51" s="154">
        <f t="shared" si="4"/>
        <v>300539.37</v>
      </c>
      <c r="F51" s="154">
        <f t="shared" si="4"/>
        <v>0</v>
      </c>
      <c r="G51" s="154">
        <f t="shared" si="4"/>
        <v>3927042.19</v>
      </c>
      <c r="H51" s="154">
        <f t="shared" si="4"/>
        <v>1456388.96</v>
      </c>
      <c r="I51" s="154">
        <f t="shared" si="4"/>
        <v>730510.01</v>
      </c>
      <c r="J51" s="154">
        <f t="shared" si="4"/>
        <v>2395076.41</v>
      </c>
      <c r="K51" s="154">
        <f t="shared" si="4"/>
        <v>2245366.02</v>
      </c>
      <c r="L51" s="154">
        <f t="shared" si="4"/>
        <v>310707.35000000003</v>
      </c>
      <c r="M51" s="154">
        <f t="shared" si="4"/>
        <v>2755244.7199999997</v>
      </c>
      <c r="N51" s="154">
        <f t="shared" si="4"/>
        <v>0</v>
      </c>
    </row>
    <row r="52" spans="1:14" x14ac:dyDescent="0.25">
      <c r="A52" s="150" t="s">
        <v>475</v>
      </c>
      <c r="B52" s="151">
        <f t="shared" si="0"/>
        <v>3388423.9400000004</v>
      </c>
      <c r="C52" s="149"/>
      <c r="D52" s="149"/>
      <c r="E52" s="149"/>
      <c r="F52" s="149"/>
      <c r="G52" s="149"/>
      <c r="H52" s="149">
        <v>7995.01</v>
      </c>
      <c r="I52" s="149"/>
      <c r="J52" s="149">
        <v>684631.95</v>
      </c>
      <c r="K52" s="149">
        <v>2245366.02</v>
      </c>
      <c r="L52" s="149">
        <v>7986.24</v>
      </c>
      <c r="M52" s="149">
        <v>442444.72</v>
      </c>
      <c r="N52" s="149"/>
    </row>
    <row r="53" spans="1:14" x14ac:dyDescent="0.25">
      <c r="A53" s="150" t="s">
        <v>474</v>
      </c>
      <c r="B53" s="151">
        <f t="shared" si="0"/>
        <v>1788880</v>
      </c>
      <c r="C53" s="149"/>
      <c r="D53" s="149"/>
      <c r="E53" s="149"/>
      <c r="F53" s="149"/>
      <c r="G53" s="149"/>
      <c r="H53" s="149">
        <v>1399834</v>
      </c>
      <c r="I53" s="149">
        <v>389046</v>
      </c>
      <c r="J53" s="149"/>
      <c r="K53" s="149"/>
      <c r="L53" s="149"/>
      <c r="M53" s="149"/>
      <c r="N53" s="149"/>
    </row>
    <row r="54" spans="1:14" x14ac:dyDescent="0.25">
      <c r="A54" s="150" t="s">
        <v>473</v>
      </c>
      <c r="B54" s="151">
        <f t="shared" si="0"/>
        <v>10661142.539999999</v>
      </c>
      <c r="C54" s="149">
        <v>887994.84</v>
      </c>
      <c r="D54" s="149">
        <v>2075030</v>
      </c>
      <c r="E54" s="149"/>
      <c r="F54" s="149"/>
      <c r="G54" s="149">
        <v>3927042.19</v>
      </c>
      <c r="H54" s="149">
        <v>48559.95</v>
      </c>
      <c r="I54" s="149"/>
      <c r="J54" s="149">
        <v>1710444.46</v>
      </c>
      <c r="K54" s="149"/>
      <c r="L54" s="149">
        <v>112271.1</v>
      </c>
      <c r="M54" s="149">
        <v>1899800</v>
      </c>
      <c r="N54" s="149"/>
    </row>
    <row r="55" spans="1:14" x14ac:dyDescent="0.25">
      <c r="A55" s="150" t="s">
        <v>472</v>
      </c>
      <c r="B55" s="151">
        <f t="shared" si="0"/>
        <v>107609.37</v>
      </c>
      <c r="C55" s="149"/>
      <c r="D55" s="149"/>
      <c r="E55" s="149">
        <v>107609.37</v>
      </c>
      <c r="F55" s="149"/>
      <c r="G55" s="149"/>
      <c r="H55" s="149"/>
      <c r="I55" s="149"/>
      <c r="J55" s="149"/>
      <c r="K55" s="149"/>
      <c r="L55" s="149"/>
      <c r="M55" s="149"/>
      <c r="N55" s="149"/>
    </row>
    <row r="56" spans="1:14" x14ac:dyDescent="0.25">
      <c r="A56" s="150" t="s">
        <v>471</v>
      </c>
      <c r="B56" s="151">
        <f t="shared" si="0"/>
        <v>2891560.0199999996</v>
      </c>
      <c r="C56" s="149"/>
      <c r="D56" s="149">
        <v>1812480</v>
      </c>
      <c r="E56" s="149">
        <v>192930</v>
      </c>
      <c r="F56" s="149"/>
      <c r="G56" s="149"/>
      <c r="H56" s="149"/>
      <c r="I56" s="149">
        <v>282700.01</v>
      </c>
      <c r="J56" s="149"/>
      <c r="K56" s="149"/>
      <c r="L56" s="149">
        <v>190450.01</v>
      </c>
      <c r="M56" s="149">
        <v>413000</v>
      </c>
      <c r="N56" s="149"/>
    </row>
    <row r="57" spans="1:14" x14ac:dyDescent="0.25">
      <c r="A57" s="150" t="s">
        <v>470</v>
      </c>
      <c r="B57" s="151">
        <f t="shared" si="0"/>
        <v>58764</v>
      </c>
      <c r="C57" s="149"/>
      <c r="D57" s="149"/>
      <c r="E57" s="149"/>
      <c r="F57" s="149"/>
      <c r="G57" s="149"/>
      <c r="H57" s="149"/>
      <c r="I57" s="149">
        <v>58764</v>
      </c>
      <c r="J57" s="149"/>
      <c r="K57" s="149"/>
      <c r="L57" s="149"/>
      <c r="M57" s="149"/>
      <c r="N57" s="149"/>
    </row>
    <row r="58" spans="1:14" x14ac:dyDescent="0.25">
      <c r="A58" s="150" t="s">
        <v>469</v>
      </c>
      <c r="B58" s="151">
        <f t="shared" si="0"/>
        <v>0</v>
      </c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</row>
    <row r="59" spans="1:14" x14ac:dyDescent="0.25">
      <c r="A59" s="150" t="s">
        <v>468</v>
      </c>
      <c r="B59" s="151">
        <f t="shared" si="0"/>
        <v>0</v>
      </c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</row>
    <row r="60" spans="1:14" x14ac:dyDescent="0.25">
      <c r="A60" s="150" t="s">
        <v>467</v>
      </c>
      <c r="B60" s="151">
        <f t="shared" si="0"/>
        <v>0</v>
      </c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</row>
    <row r="61" spans="1:14" x14ac:dyDescent="0.25">
      <c r="A61" s="156" t="s">
        <v>466</v>
      </c>
      <c r="B61" s="154">
        <f t="shared" si="0"/>
        <v>0</v>
      </c>
      <c r="C61" s="154">
        <v>0</v>
      </c>
      <c r="D61" s="154">
        <v>0</v>
      </c>
      <c r="E61" s="154">
        <v>0</v>
      </c>
      <c r="F61" s="154">
        <v>0</v>
      </c>
      <c r="G61" s="154">
        <v>0</v>
      </c>
      <c r="H61" s="154">
        <v>0</v>
      </c>
      <c r="I61" s="154">
        <v>0</v>
      </c>
      <c r="J61" s="154">
        <v>0</v>
      </c>
      <c r="K61" s="154">
        <f>SUM(K62:K65)</f>
        <v>0</v>
      </c>
      <c r="L61" s="154">
        <v>0</v>
      </c>
      <c r="M61" s="154">
        <f>SUM(M62:M65)</f>
        <v>0</v>
      </c>
      <c r="N61" s="154">
        <v>0</v>
      </c>
    </row>
    <row r="62" spans="1:14" x14ac:dyDescent="0.25">
      <c r="A62" s="150" t="s">
        <v>465</v>
      </c>
      <c r="B62" s="151">
        <f t="shared" si="0"/>
        <v>0</v>
      </c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</row>
    <row r="63" spans="1:14" x14ac:dyDescent="0.25">
      <c r="A63" s="150" t="s">
        <v>464</v>
      </c>
      <c r="B63" s="151">
        <f t="shared" si="0"/>
        <v>0</v>
      </c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</row>
    <row r="64" spans="1:14" x14ac:dyDescent="0.25">
      <c r="A64" s="150" t="s">
        <v>463</v>
      </c>
      <c r="B64" s="151">
        <f t="shared" si="0"/>
        <v>0</v>
      </c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</row>
    <row r="65" spans="1:14" ht="30" x14ac:dyDescent="0.25">
      <c r="A65" s="150" t="s">
        <v>462</v>
      </c>
      <c r="B65" s="151">
        <f t="shared" si="0"/>
        <v>0</v>
      </c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</row>
    <row r="66" spans="1:14" x14ac:dyDescent="0.25">
      <c r="A66" s="156" t="s">
        <v>461</v>
      </c>
      <c r="B66" s="154">
        <f t="shared" si="0"/>
        <v>0</v>
      </c>
      <c r="C66" s="154">
        <v>0</v>
      </c>
      <c r="D66" s="154">
        <v>0</v>
      </c>
      <c r="E66" s="154">
        <v>0</v>
      </c>
      <c r="F66" s="154">
        <v>0</v>
      </c>
      <c r="G66" s="154">
        <v>0</v>
      </c>
      <c r="H66" s="154">
        <v>0</v>
      </c>
      <c r="I66" s="154">
        <v>0</v>
      </c>
      <c r="J66" s="154">
        <v>0</v>
      </c>
      <c r="K66" s="154">
        <v>0</v>
      </c>
      <c r="L66" s="154">
        <v>0</v>
      </c>
      <c r="M66" s="154">
        <f>SUM(M67:M68)</f>
        <v>0</v>
      </c>
      <c r="N66" s="154">
        <v>0</v>
      </c>
    </row>
    <row r="67" spans="1:14" x14ac:dyDescent="0.25">
      <c r="A67" s="150" t="s">
        <v>460</v>
      </c>
      <c r="B67" s="149">
        <f t="shared" si="0"/>
        <v>0</v>
      </c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</row>
    <row r="68" spans="1:14" x14ac:dyDescent="0.25">
      <c r="A68" s="150" t="s">
        <v>459</v>
      </c>
      <c r="B68" s="149">
        <f t="shared" si="0"/>
        <v>0</v>
      </c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</row>
    <row r="69" spans="1:14" x14ac:dyDescent="0.25">
      <c r="A69" s="156" t="s">
        <v>458</v>
      </c>
      <c r="B69" s="154">
        <f t="shared" si="0"/>
        <v>0</v>
      </c>
      <c r="C69" s="154">
        <v>0</v>
      </c>
      <c r="D69" s="154">
        <v>0</v>
      </c>
      <c r="E69" s="154">
        <v>0</v>
      </c>
      <c r="F69" s="154">
        <v>0</v>
      </c>
      <c r="G69" s="154">
        <v>0</v>
      </c>
      <c r="H69" s="154">
        <v>0</v>
      </c>
      <c r="I69" s="154">
        <v>0</v>
      </c>
      <c r="J69" s="154">
        <v>0</v>
      </c>
      <c r="K69" s="154">
        <v>0</v>
      </c>
      <c r="L69" s="154">
        <v>0</v>
      </c>
      <c r="M69" s="154">
        <f>SUM(M70:M72)</f>
        <v>0</v>
      </c>
      <c r="N69" s="154">
        <v>0</v>
      </c>
    </row>
    <row r="70" spans="1:14" x14ac:dyDescent="0.25">
      <c r="A70" s="150" t="s">
        <v>457</v>
      </c>
      <c r="B70" s="149">
        <f t="shared" si="0"/>
        <v>0</v>
      </c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</row>
    <row r="71" spans="1:14" x14ac:dyDescent="0.25">
      <c r="A71" s="150" t="s">
        <v>456</v>
      </c>
      <c r="B71" s="149">
        <f t="shared" si="0"/>
        <v>0</v>
      </c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</row>
    <row r="72" spans="1:14" x14ac:dyDescent="0.25">
      <c r="A72" s="150" t="s">
        <v>455</v>
      </c>
      <c r="B72" s="149">
        <f t="shared" si="0"/>
        <v>0</v>
      </c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</row>
    <row r="73" spans="1:14" x14ac:dyDescent="0.25">
      <c r="A73" s="148" t="s">
        <v>454</v>
      </c>
      <c r="B73" s="147">
        <f>+B9+B15+B25+B35+B43+B51+B61+B66+B69</f>
        <v>91159298.120000005</v>
      </c>
      <c r="C73" s="147">
        <f t="shared" ref="C73:N73" si="5">+C9+C15+C25+C35+C43+C51+C61+C66+C69</f>
        <v>6821436.4900000002</v>
      </c>
      <c r="D73" s="147">
        <f t="shared" si="5"/>
        <v>7556671.6400000006</v>
      </c>
      <c r="E73" s="147">
        <f t="shared" si="5"/>
        <v>11816507.499999998</v>
      </c>
      <c r="F73" s="147">
        <f t="shared" si="5"/>
        <v>4877050.2899999991</v>
      </c>
      <c r="G73" s="147">
        <f t="shared" si="5"/>
        <v>9009314.3900000006</v>
      </c>
      <c r="H73" s="147">
        <f t="shared" si="5"/>
        <v>6513141.8700000001</v>
      </c>
      <c r="I73" s="147">
        <f t="shared" si="5"/>
        <v>9254860.6300000008</v>
      </c>
      <c r="J73" s="147">
        <f t="shared" si="5"/>
        <v>8715557.7400000002</v>
      </c>
      <c r="K73" s="147">
        <f t="shared" si="5"/>
        <v>11406705.439999999</v>
      </c>
      <c r="L73" s="147">
        <f t="shared" si="5"/>
        <v>8161061</v>
      </c>
      <c r="M73" s="147">
        <f t="shared" si="5"/>
        <v>7026991.1299999999</v>
      </c>
      <c r="N73" s="147">
        <f t="shared" si="5"/>
        <v>0</v>
      </c>
    </row>
    <row r="74" spans="1:14" x14ac:dyDescent="0.25">
      <c r="A74" s="152" t="s">
        <v>453</v>
      </c>
      <c r="B74" s="151">
        <f t="shared" ref="B74:B84" si="6">SUM(C74:N74)</f>
        <v>0</v>
      </c>
      <c r="C74" s="151"/>
      <c r="D74" s="151"/>
      <c r="E74" s="160"/>
      <c r="F74" s="160"/>
      <c r="G74" s="160"/>
      <c r="H74" s="160"/>
      <c r="I74" s="160"/>
      <c r="J74" s="160"/>
      <c r="K74" s="160"/>
      <c r="L74" s="160"/>
      <c r="M74" s="160"/>
      <c r="N74" s="160"/>
    </row>
    <row r="75" spans="1:14" x14ac:dyDescent="0.25">
      <c r="A75" s="152" t="s">
        <v>452</v>
      </c>
      <c r="B75" s="151">
        <f t="shared" si="6"/>
        <v>0</v>
      </c>
      <c r="C75" s="151"/>
      <c r="D75" s="125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150" t="s">
        <v>451</v>
      </c>
      <c r="B76" s="149">
        <f t="shared" si="6"/>
        <v>0</v>
      </c>
      <c r="C76" s="149"/>
      <c r="D76" s="125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150" t="s">
        <v>450</v>
      </c>
      <c r="B77" s="149">
        <f t="shared" si="6"/>
        <v>0</v>
      </c>
      <c r="C77" s="149"/>
      <c r="D77" s="125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52" t="s">
        <v>449</v>
      </c>
      <c r="B78" s="151">
        <f t="shared" si="6"/>
        <v>0</v>
      </c>
      <c r="C78" s="151"/>
      <c r="D78" s="125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50" t="s">
        <v>448</v>
      </c>
      <c r="B79" s="149">
        <f t="shared" si="6"/>
        <v>0</v>
      </c>
      <c r="C79" s="149"/>
      <c r="D79" s="125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150" t="s">
        <v>447</v>
      </c>
      <c r="B80" s="149">
        <f t="shared" si="6"/>
        <v>0</v>
      </c>
      <c r="C80" s="149"/>
      <c r="D80" s="125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52" t="s">
        <v>446</v>
      </c>
      <c r="B81" s="151">
        <f t="shared" si="6"/>
        <v>0</v>
      </c>
      <c r="C81" s="151"/>
      <c r="D81" s="125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5">
      <c r="A82" s="150" t="s">
        <v>445</v>
      </c>
      <c r="B82" s="149">
        <f t="shared" si="6"/>
        <v>0</v>
      </c>
      <c r="C82" s="149"/>
      <c r="D82" s="125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148" t="s">
        <v>444</v>
      </c>
      <c r="B83" s="147">
        <f t="shared" si="6"/>
        <v>0</v>
      </c>
      <c r="C83" s="147"/>
      <c r="D83" s="147"/>
      <c r="E83" s="161"/>
      <c r="F83" s="161"/>
      <c r="G83" s="161"/>
      <c r="H83" s="161"/>
      <c r="I83" s="161"/>
      <c r="J83" s="161"/>
      <c r="K83" s="161"/>
      <c r="L83" s="161"/>
      <c r="M83" s="161"/>
      <c r="N83" s="161"/>
    </row>
    <row r="84" spans="1:14" x14ac:dyDescent="0.25">
      <c r="A84" s="1"/>
      <c r="B84" s="125">
        <f t="shared" si="6"/>
        <v>0</v>
      </c>
      <c r="C84" s="125"/>
      <c r="D84" s="125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x14ac:dyDescent="0.25">
      <c r="A85" s="146" t="s">
        <v>443</v>
      </c>
      <c r="B85" s="145">
        <f>+B83+B73</f>
        <v>91159298.120000005</v>
      </c>
      <c r="C85" s="145">
        <f t="shared" ref="C85:N85" si="7">+C83+C73</f>
        <v>6821436.4900000002</v>
      </c>
      <c r="D85" s="145">
        <f t="shared" si="7"/>
        <v>7556671.6400000006</v>
      </c>
      <c r="E85" s="145">
        <f t="shared" si="7"/>
        <v>11816507.499999998</v>
      </c>
      <c r="F85" s="145">
        <f t="shared" si="7"/>
        <v>4877050.2899999991</v>
      </c>
      <c r="G85" s="145">
        <f t="shared" si="7"/>
        <v>9009314.3900000006</v>
      </c>
      <c r="H85" s="145">
        <f t="shared" si="7"/>
        <v>6513141.8700000001</v>
      </c>
      <c r="I85" s="145">
        <f t="shared" si="7"/>
        <v>9254860.6300000008</v>
      </c>
      <c r="J85" s="145">
        <f t="shared" si="7"/>
        <v>8715557.7400000002</v>
      </c>
      <c r="K85" s="145">
        <f t="shared" si="7"/>
        <v>11406705.439999999</v>
      </c>
      <c r="L85" s="145">
        <f t="shared" si="7"/>
        <v>8161061</v>
      </c>
      <c r="M85" s="145">
        <f t="shared" si="7"/>
        <v>7026991.1299999999</v>
      </c>
      <c r="N85" s="145">
        <f t="shared" si="7"/>
        <v>0</v>
      </c>
    </row>
    <row r="86" spans="1:14" x14ac:dyDescent="0.25">
      <c r="A86" t="s">
        <v>442</v>
      </c>
    </row>
    <row r="87" spans="1:14" x14ac:dyDescent="0.25">
      <c r="A87" t="s">
        <v>682</v>
      </c>
      <c r="E87" s="222"/>
    </row>
    <row r="88" spans="1:14" x14ac:dyDescent="0.25">
      <c r="A88" t="s">
        <v>924</v>
      </c>
    </row>
  </sheetData>
  <mergeCells count="5">
    <mergeCell ref="A1:N1"/>
    <mergeCell ref="A2:N2"/>
    <mergeCell ref="A3:N3"/>
    <mergeCell ref="A4:N4"/>
    <mergeCell ref="A5:N5"/>
  </mergeCells>
  <pageMargins left="0.70866141732283472" right="0.70866141732283472" top="0.74803149606299213" bottom="0.74803149606299213" header="0.31496062992125984" footer="0.31496062992125984"/>
  <pageSetup scale="45" orientation="landscape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4:I34"/>
  <sheetViews>
    <sheetView zoomScale="90" zoomScaleNormal="90" workbookViewId="0">
      <selection activeCell="F30" sqref="F30"/>
    </sheetView>
  </sheetViews>
  <sheetFormatPr baseColWidth="10" defaultColWidth="11.42578125" defaultRowHeight="15" x14ac:dyDescent="0.25"/>
  <cols>
    <col min="1" max="1" width="103.85546875" bestFit="1" customWidth="1"/>
    <col min="3" max="3" width="13.140625" customWidth="1"/>
    <col min="4" max="4" width="23.28515625" customWidth="1"/>
    <col min="5" max="5" width="15.42578125" customWidth="1"/>
    <col min="6" max="6" width="16.85546875" customWidth="1"/>
    <col min="7" max="7" width="17.5703125" customWidth="1"/>
  </cols>
  <sheetData>
    <row r="4" spans="1:9" ht="18.75" x14ac:dyDescent="0.3">
      <c r="A4" s="397" t="s">
        <v>545</v>
      </c>
      <c r="B4" s="397"/>
      <c r="C4" s="397"/>
      <c r="D4" s="397"/>
      <c r="E4" s="397"/>
      <c r="F4" s="397"/>
      <c r="G4" s="397"/>
    </row>
    <row r="5" spans="1:9" ht="18.75" x14ac:dyDescent="0.3">
      <c r="A5" s="397" t="s">
        <v>701</v>
      </c>
      <c r="B5" s="397"/>
      <c r="C5" s="397"/>
      <c r="D5" s="397"/>
      <c r="E5" s="397"/>
      <c r="F5" s="397"/>
      <c r="G5" s="397"/>
    </row>
    <row r="6" spans="1:9" ht="18.75" x14ac:dyDescent="0.3">
      <c r="A6" s="397" t="s">
        <v>934</v>
      </c>
      <c r="B6" s="397"/>
      <c r="C6" s="397"/>
      <c r="D6" s="397"/>
      <c r="E6" s="397"/>
      <c r="F6" s="397"/>
      <c r="G6" s="397"/>
    </row>
    <row r="7" spans="1:9" ht="19.5" thickBot="1" x14ac:dyDescent="0.35">
      <c r="A7" s="457" t="s">
        <v>657</v>
      </c>
      <c r="B7" s="457"/>
      <c r="C7" s="457"/>
      <c r="D7" s="457"/>
      <c r="E7" s="457"/>
      <c r="F7" s="457"/>
      <c r="G7" s="457"/>
    </row>
    <row r="8" spans="1:9" ht="15.75" x14ac:dyDescent="0.25">
      <c r="A8" s="171" t="s">
        <v>546</v>
      </c>
      <c r="B8" s="458" t="s">
        <v>547</v>
      </c>
      <c r="C8" s="459"/>
      <c r="D8" s="282" t="s">
        <v>548</v>
      </c>
      <c r="E8" s="283" t="s">
        <v>549</v>
      </c>
      <c r="F8" s="284" t="s">
        <v>550</v>
      </c>
      <c r="G8" s="285" t="s">
        <v>551</v>
      </c>
    </row>
    <row r="9" spans="1:9" ht="15.75" x14ac:dyDescent="0.25">
      <c r="A9" s="462" t="s">
        <v>434</v>
      </c>
      <c r="B9" s="464" t="s">
        <v>552</v>
      </c>
      <c r="C9" s="465"/>
      <c r="D9" s="286"/>
      <c r="E9" s="466" t="s">
        <v>553</v>
      </c>
      <c r="F9" s="467"/>
      <c r="G9" s="468"/>
    </row>
    <row r="10" spans="1:9" ht="31.5" x14ac:dyDescent="0.25">
      <c r="A10" s="463"/>
      <c r="B10" s="286" t="s">
        <v>554</v>
      </c>
      <c r="C10" s="286" t="s">
        <v>555</v>
      </c>
      <c r="D10" s="286" t="s">
        <v>433</v>
      </c>
      <c r="E10" s="287" t="s">
        <v>556</v>
      </c>
      <c r="F10" s="172" t="s">
        <v>557</v>
      </c>
      <c r="G10" s="173" t="s">
        <v>558</v>
      </c>
    </row>
    <row r="11" spans="1:9" x14ac:dyDescent="0.25">
      <c r="A11" s="175" t="s">
        <v>702</v>
      </c>
      <c r="B11" s="288"/>
      <c r="C11" s="179"/>
      <c r="D11" s="125"/>
      <c r="E11" s="2"/>
      <c r="F11" s="2"/>
      <c r="G11" s="174"/>
    </row>
    <row r="12" spans="1:9" x14ac:dyDescent="0.25">
      <c r="A12" s="175" t="s">
        <v>559</v>
      </c>
      <c r="B12" s="278">
        <v>44470</v>
      </c>
      <c r="C12" s="279">
        <v>45991</v>
      </c>
      <c r="D12" s="125">
        <f>13514741.06+303701.48</f>
        <v>13818442.540000001</v>
      </c>
      <c r="E12" s="2"/>
      <c r="F12" s="2"/>
      <c r="G12" s="174"/>
      <c r="H12" s="184"/>
    </row>
    <row r="13" spans="1:9" x14ac:dyDescent="0.25">
      <c r="A13" s="175" t="s">
        <v>560</v>
      </c>
      <c r="B13" s="278">
        <v>45505</v>
      </c>
      <c r="C13" s="279">
        <v>45991</v>
      </c>
      <c r="D13" s="258">
        <f>4817972.08-4413127.55+1227716.05+745396.13+892519.41</f>
        <v>3270476.1200000006</v>
      </c>
      <c r="E13" s="289"/>
      <c r="F13" s="2"/>
      <c r="G13" s="174"/>
      <c r="H13" s="184"/>
    </row>
    <row r="14" spans="1:9" x14ac:dyDescent="0.25">
      <c r="A14" s="175" t="s">
        <v>561</v>
      </c>
      <c r="B14" s="179"/>
      <c r="C14" s="179"/>
      <c r="D14" s="258"/>
      <c r="E14" s="2"/>
      <c r="F14" s="2"/>
      <c r="G14" s="174"/>
      <c r="H14" s="184"/>
    </row>
    <row r="15" spans="1:9" x14ac:dyDescent="0.25">
      <c r="A15" s="175" t="s">
        <v>562</v>
      </c>
      <c r="B15" s="179"/>
      <c r="C15" s="179"/>
      <c r="D15" s="258"/>
      <c r="E15" s="290"/>
      <c r="F15" s="2"/>
      <c r="G15" s="174"/>
      <c r="I15" s="178"/>
    </row>
    <row r="16" spans="1:9" x14ac:dyDescent="0.25">
      <c r="A16" s="175" t="s">
        <v>563</v>
      </c>
      <c r="B16" s="179"/>
      <c r="C16" s="278"/>
      <c r="D16" s="258"/>
      <c r="E16" s="2"/>
      <c r="F16" s="2"/>
      <c r="G16" s="174"/>
    </row>
    <row r="17" spans="1:7" x14ac:dyDescent="0.25">
      <c r="A17" s="175" t="s">
        <v>564</v>
      </c>
      <c r="B17" s="179"/>
      <c r="C17" s="179"/>
      <c r="D17" s="258"/>
      <c r="E17" s="2"/>
      <c r="F17" s="2"/>
      <c r="G17" s="174"/>
    </row>
    <row r="18" spans="1:7" x14ac:dyDescent="0.25">
      <c r="A18" s="175" t="s">
        <v>565</v>
      </c>
      <c r="B18" s="1"/>
      <c r="C18" s="1"/>
      <c r="D18" s="1"/>
      <c r="E18" s="1"/>
      <c r="F18" s="1"/>
      <c r="G18" s="176"/>
    </row>
    <row r="19" spans="1:7" ht="15.75" thickBot="1" x14ac:dyDescent="0.3">
      <c r="A19" s="291" t="s">
        <v>328</v>
      </c>
      <c r="B19" s="292"/>
      <c r="C19" s="292"/>
      <c r="D19" s="293">
        <v>18332713.140000001</v>
      </c>
      <c r="E19" s="293"/>
      <c r="F19" s="293"/>
      <c r="G19" s="294"/>
    </row>
    <row r="20" spans="1:7" ht="18" customHeight="1" x14ac:dyDescent="0.25"/>
    <row r="21" spans="1:7" ht="15.75" x14ac:dyDescent="0.25">
      <c r="A21" s="177" t="s">
        <v>566</v>
      </c>
    </row>
    <row r="23" spans="1:7" x14ac:dyDescent="0.25">
      <c r="E23" s="184"/>
    </row>
    <row r="25" spans="1:7" x14ac:dyDescent="0.25">
      <c r="A25" s="390" t="s">
        <v>567</v>
      </c>
      <c r="B25" s="390"/>
      <c r="D25" s="390" t="s">
        <v>568</v>
      </c>
      <c r="E25" s="390"/>
      <c r="F25" s="390"/>
      <c r="G25" s="390"/>
    </row>
    <row r="27" spans="1:7" x14ac:dyDescent="0.25">
      <c r="A27" s="262"/>
      <c r="C27" s="262"/>
      <c r="D27" s="262"/>
    </row>
    <row r="28" spans="1:7" x14ac:dyDescent="0.25">
      <c r="A28" s="460"/>
      <c r="B28" s="460"/>
      <c r="D28" s="460"/>
      <c r="E28" s="460"/>
      <c r="F28" s="460"/>
      <c r="G28" s="460"/>
    </row>
    <row r="29" spans="1:7" x14ac:dyDescent="0.25">
      <c r="A29" s="469"/>
      <c r="B29" s="469"/>
      <c r="D29" s="469"/>
      <c r="E29" s="469"/>
    </row>
    <row r="30" spans="1:7" x14ac:dyDescent="0.25">
      <c r="A30" s="264"/>
      <c r="C30" s="460"/>
      <c r="D30" s="460"/>
    </row>
    <row r="31" spans="1:7" x14ac:dyDescent="0.25">
      <c r="A31" s="265"/>
      <c r="C31" s="461"/>
      <c r="D31" s="461"/>
    </row>
    <row r="32" spans="1:7" x14ac:dyDescent="0.25">
      <c r="A32" s="142"/>
    </row>
    <row r="33" spans="1:7" x14ac:dyDescent="0.25">
      <c r="A33" s="390"/>
      <c r="B33" s="390"/>
      <c r="C33" s="390"/>
      <c r="D33" s="390"/>
      <c r="E33" s="390"/>
      <c r="F33" s="390"/>
      <c r="G33" s="390"/>
    </row>
    <row r="34" spans="1:7" x14ac:dyDescent="0.25">
      <c r="A34" s="262" t="s">
        <v>569</v>
      </c>
      <c r="B34" s="262"/>
      <c r="C34" s="262"/>
      <c r="D34" s="262"/>
    </row>
  </sheetData>
  <mergeCells count="17">
    <mergeCell ref="C30:D30"/>
    <mergeCell ref="C31:D31"/>
    <mergeCell ref="A33:G33"/>
    <mergeCell ref="A9:A10"/>
    <mergeCell ref="B9:C9"/>
    <mergeCell ref="E9:G9"/>
    <mergeCell ref="A25:B25"/>
    <mergeCell ref="D25:G25"/>
    <mergeCell ref="A28:B28"/>
    <mergeCell ref="D28:G28"/>
    <mergeCell ref="A29:B29"/>
    <mergeCell ref="D29:E29"/>
    <mergeCell ref="A4:G4"/>
    <mergeCell ref="A5:G5"/>
    <mergeCell ref="A6:G6"/>
    <mergeCell ref="A7:G7"/>
    <mergeCell ref="B8:C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G63"/>
  <sheetViews>
    <sheetView topLeftCell="A32" zoomScaleNormal="100" workbookViewId="0">
      <selection activeCell="A46" sqref="A46:E47"/>
    </sheetView>
  </sheetViews>
  <sheetFormatPr baseColWidth="10" defaultColWidth="11.42578125" defaultRowHeight="15" x14ac:dyDescent="0.25"/>
  <cols>
    <col min="1" max="1" width="21.5703125" customWidth="1"/>
    <col min="2" max="2" width="24.7109375" customWidth="1"/>
    <col min="3" max="3" width="24.42578125" bestFit="1" customWidth="1"/>
    <col min="4" max="4" width="19.85546875" customWidth="1"/>
    <col min="5" max="5" width="19.5703125" customWidth="1"/>
    <col min="6" max="6" width="14.140625" bestFit="1" customWidth="1"/>
  </cols>
  <sheetData>
    <row r="3" spans="1:7" ht="23.25" x14ac:dyDescent="0.35">
      <c r="A3" s="472" t="s">
        <v>570</v>
      </c>
      <c r="B3" s="472"/>
      <c r="C3" s="472"/>
      <c r="D3" s="472"/>
      <c r="E3" s="472"/>
    </row>
    <row r="4" spans="1:7" ht="18.75" x14ac:dyDescent="0.3">
      <c r="A4" s="397" t="s">
        <v>571</v>
      </c>
      <c r="B4" s="397"/>
      <c r="C4" s="397"/>
      <c r="D4" s="397"/>
      <c r="E4" s="397"/>
    </row>
    <row r="5" spans="1:7" ht="18.75" x14ac:dyDescent="0.3">
      <c r="A5" s="144"/>
      <c r="B5" s="144"/>
      <c r="C5" s="144"/>
      <c r="D5" s="144"/>
      <c r="E5" s="144"/>
    </row>
    <row r="6" spans="1:7" x14ac:dyDescent="0.25">
      <c r="A6" s="473" t="s">
        <v>572</v>
      </c>
      <c r="B6" s="473"/>
      <c r="C6" s="473"/>
      <c r="D6" s="473"/>
      <c r="E6" s="473"/>
    </row>
    <row r="7" spans="1:7" ht="15.75" thickBot="1" x14ac:dyDescent="0.3">
      <c r="A7" s="474" t="s">
        <v>935</v>
      </c>
      <c r="B7" s="474"/>
      <c r="C7" s="474"/>
      <c r="D7" s="474"/>
      <c r="E7" s="474"/>
    </row>
    <row r="8" spans="1:7" ht="22.5" x14ac:dyDescent="0.25">
      <c r="A8" s="299" t="s">
        <v>573</v>
      </c>
      <c r="B8" s="300" t="s">
        <v>574</v>
      </c>
      <c r="C8" s="300" t="s">
        <v>575</v>
      </c>
      <c r="D8" s="301" t="s">
        <v>576</v>
      </c>
      <c r="E8" s="301" t="s">
        <v>577</v>
      </c>
    </row>
    <row r="9" spans="1:7" s="131" customFormat="1" x14ac:dyDescent="0.25">
      <c r="A9" s="482" t="s">
        <v>578</v>
      </c>
      <c r="B9" s="302" t="s">
        <v>645</v>
      </c>
      <c r="C9" s="303"/>
      <c r="D9" s="304"/>
      <c r="E9" s="305">
        <f>89977894.99+50197656.33</f>
        <v>140175551.31999999</v>
      </c>
    </row>
    <row r="10" spans="1:7" x14ac:dyDescent="0.25">
      <c r="A10" s="483"/>
      <c r="B10" s="302" t="s">
        <v>694</v>
      </c>
      <c r="C10" s="303"/>
      <c r="D10" s="304"/>
      <c r="E10" s="305">
        <v>12923034.529999999</v>
      </c>
    </row>
    <row r="11" spans="1:7" x14ac:dyDescent="0.25">
      <c r="A11" s="484"/>
      <c r="B11" s="302" t="s">
        <v>695</v>
      </c>
      <c r="C11" s="303"/>
      <c r="D11" s="304"/>
      <c r="E11" s="305">
        <v>3169632.08</v>
      </c>
    </row>
    <row r="12" spans="1:7" x14ac:dyDescent="0.25">
      <c r="A12" s="475" t="s">
        <v>579</v>
      </c>
      <c r="B12" s="475"/>
      <c r="C12" s="306"/>
      <c r="D12" s="306"/>
      <c r="E12" s="307">
        <f>SUM(E9:E11)</f>
        <v>156268217.93000001</v>
      </c>
    </row>
    <row r="13" spans="1:7" x14ac:dyDescent="0.25">
      <c r="A13" s="476" t="s">
        <v>580</v>
      </c>
      <c r="B13" s="325" t="s">
        <v>581</v>
      </c>
      <c r="C13" s="308">
        <v>45964</v>
      </c>
      <c r="D13" s="309"/>
      <c r="E13" s="310">
        <v>3879690.42</v>
      </c>
      <c r="G13" s="180"/>
    </row>
    <row r="14" spans="1:7" x14ac:dyDescent="0.25">
      <c r="A14" s="477"/>
      <c r="B14" s="325" t="s">
        <v>926</v>
      </c>
      <c r="C14" s="308">
        <v>45965</v>
      </c>
      <c r="D14" s="311"/>
      <c r="E14" s="310">
        <v>50000</v>
      </c>
      <c r="G14" s="180"/>
    </row>
    <row r="15" spans="1:7" x14ac:dyDescent="0.25">
      <c r="A15" s="477"/>
      <c r="B15" s="325" t="s">
        <v>926</v>
      </c>
      <c r="C15" s="308">
        <v>45966</v>
      </c>
      <c r="D15" s="311"/>
      <c r="E15" s="310">
        <v>50000</v>
      </c>
      <c r="G15" s="180"/>
    </row>
    <row r="16" spans="1:7" s="131" customFormat="1" x14ac:dyDescent="0.25">
      <c r="A16" s="477"/>
      <c r="B16" s="325" t="s">
        <v>581</v>
      </c>
      <c r="C16" s="329">
        <v>45972</v>
      </c>
      <c r="D16" s="316"/>
      <c r="E16" s="330">
        <v>500</v>
      </c>
      <c r="G16" s="249"/>
    </row>
    <row r="17" spans="1:7" s="131" customFormat="1" x14ac:dyDescent="0.25">
      <c r="A17" s="477"/>
      <c r="B17" s="328" t="s">
        <v>927</v>
      </c>
      <c r="C17" s="329">
        <v>45974</v>
      </c>
      <c r="D17" s="316"/>
      <c r="E17" s="330">
        <v>12492.5</v>
      </c>
      <c r="G17" s="249"/>
    </row>
    <row r="18" spans="1:7" x14ac:dyDescent="0.25">
      <c r="A18" s="477"/>
      <c r="B18" s="325" t="s">
        <v>581</v>
      </c>
      <c r="C18" s="329">
        <v>45975</v>
      </c>
      <c r="D18" s="316"/>
      <c r="E18" s="330">
        <v>6000</v>
      </c>
    </row>
    <row r="19" spans="1:7" x14ac:dyDescent="0.25">
      <c r="A19" s="477"/>
      <c r="B19" s="328" t="s">
        <v>928</v>
      </c>
      <c r="C19" s="329">
        <v>45979</v>
      </c>
      <c r="D19" s="316"/>
      <c r="E19" s="330">
        <v>310138.92</v>
      </c>
    </row>
    <row r="20" spans="1:7" x14ac:dyDescent="0.25">
      <c r="A20" s="477"/>
      <c r="B20" s="328" t="s">
        <v>932</v>
      </c>
      <c r="C20" s="329">
        <v>45979</v>
      </c>
      <c r="D20" s="316"/>
      <c r="E20" s="330">
        <v>2110440.7999999998</v>
      </c>
    </row>
    <row r="21" spans="1:7" x14ac:dyDescent="0.25">
      <c r="A21" s="477"/>
      <c r="B21" s="328" t="s">
        <v>931</v>
      </c>
      <c r="C21" s="329">
        <v>45979</v>
      </c>
      <c r="D21" s="316"/>
      <c r="E21" s="330">
        <v>18188.8</v>
      </c>
    </row>
    <row r="22" spans="1:7" x14ac:dyDescent="0.25">
      <c r="A22" s="477"/>
      <c r="B22" s="328" t="s">
        <v>733</v>
      </c>
      <c r="C22" s="329">
        <v>45980</v>
      </c>
      <c r="D22" s="316"/>
      <c r="E22" s="330">
        <v>848860.46</v>
      </c>
    </row>
    <row r="23" spans="1:7" x14ac:dyDescent="0.25">
      <c r="A23" s="477"/>
      <c r="B23" s="328" t="s">
        <v>622</v>
      </c>
      <c r="C23" s="329">
        <v>45980</v>
      </c>
      <c r="D23" s="316"/>
      <c r="E23" s="330">
        <v>70034.89</v>
      </c>
    </row>
    <row r="24" spans="1:7" x14ac:dyDescent="0.25">
      <c r="A24" s="477"/>
      <c r="B24" s="328" t="s">
        <v>930</v>
      </c>
      <c r="C24" s="329">
        <v>45981</v>
      </c>
      <c r="D24" s="316"/>
      <c r="E24" s="330">
        <v>6044.93</v>
      </c>
    </row>
    <row r="25" spans="1:7" x14ac:dyDescent="0.25">
      <c r="A25" s="477"/>
      <c r="B25" s="328" t="s">
        <v>930</v>
      </c>
      <c r="C25" s="329">
        <v>45981</v>
      </c>
      <c r="D25" s="316"/>
      <c r="E25" s="330">
        <v>67416</v>
      </c>
    </row>
    <row r="26" spans="1:7" x14ac:dyDescent="0.25">
      <c r="A26" s="477"/>
      <c r="B26" s="328" t="s">
        <v>930</v>
      </c>
      <c r="C26" s="329">
        <v>45981</v>
      </c>
      <c r="D26" s="316"/>
      <c r="E26" s="330">
        <v>3248.15</v>
      </c>
    </row>
    <row r="27" spans="1:7" x14ac:dyDescent="0.25">
      <c r="A27" s="477"/>
      <c r="B27" s="328" t="s">
        <v>930</v>
      </c>
      <c r="C27" s="329">
        <v>45981</v>
      </c>
      <c r="D27" s="316"/>
      <c r="E27" s="330">
        <v>80190.399999999994</v>
      </c>
    </row>
    <row r="28" spans="1:7" x14ac:dyDescent="0.25">
      <c r="A28" s="477"/>
      <c r="B28" s="328" t="s">
        <v>930</v>
      </c>
      <c r="C28" s="329">
        <v>45981</v>
      </c>
      <c r="D28" s="316"/>
      <c r="E28" s="330">
        <v>156815.26999999999</v>
      </c>
    </row>
    <row r="29" spans="1:7" x14ac:dyDescent="0.25">
      <c r="A29" s="477"/>
      <c r="B29" s="328" t="s">
        <v>930</v>
      </c>
      <c r="C29" s="329">
        <v>45981</v>
      </c>
      <c r="D29" s="316"/>
      <c r="E29" s="330">
        <v>293688.84999999998</v>
      </c>
    </row>
    <row r="30" spans="1:7" x14ac:dyDescent="0.25">
      <c r="A30" s="477"/>
      <c r="B30" s="328" t="s">
        <v>930</v>
      </c>
      <c r="C30" s="329">
        <v>45981</v>
      </c>
      <c r="D30" s="316"/>
      <c r="E30" s="330">
        <v>38223.050000000003</v>
      </c>
    </row>
    <row r="31" spans="1:7" x14ac:dyDescent="0.25">
      <c r="A31" s="477"/>
      <c r="B31" s="328" t="s">
        <v>697</v>
      </c>
      <c r="C31" s="329">
        <v>45985</v>
      </c>
      <c r="D31" s="316"/>
      <c r="E31" s="330">
        <v>22069.48</v>
      </c>
    </row>
    <row r="32" spans="1:7" x14ac:dyDescent="0.25">
      <c r="A32" s="353"/>
      <c r="B32" s="328" t="s">
        <v>698</v>
      </c>
      <c r="C32" s="329">
        <v>45988</v>
      </c>
      <c r="D32" s="316"/>
      <c r="E32" s="330">
        <v>61001.21</v>
      </c>
    </row>
    <row r="33" spans="1:6" x14ac:dyDescent="0.25">
      <c r="A33" s="353"/>
      <c r="B33" s="328" t="s">
        <v>929</v>
      </c>
      <c r="C33" s="329">
        <v>45989</v>
      </c>
      <c r="D33" s="316"/>
      <c r="E33" s="330">
        <v>37260.480000000003</v>
      </c>
    </row>
    <row r="34" spans="1:6" x14ac:dyDescent="0.25">
      <c r="A34" s="353"/>
      <c r="B34" s="328" t="s">
        <v>699</v>
      </c>
      <c r="C34" s="329">
        <v>45989</v>
      </c>
      <c r="D34" s="316"/>
      <c r="E34" s="330">
        <v>802889.48</v>
      </c>
    </row>
    <row r="35" spans="1:6" x14ac:dyDescent="0.25">
      <c r="A35" s="475" t="s">
        <v>734</v>
      </c>
      <c r="B35" s="475"/>
      <c r="C35" s="306"/>
      <c r="D35" s="306"/>
      <c r="E35" s="307">
        <f>SUM(E13:E34)</f>
        <v>8925194.0899999999</v>
      </c>
      <c r="F35" s="184"/>
    </row>
    <row r="36" spans="1:6" x14ac:dyDescent="0.25">
      <c r="A36" s="477"/>
      <c r="B36" s="141" t="s">
        <v>590</v>
      </c>
      <c r="C36" s="313"/>
      <c r="D36" s="311"/>
      <c r="E36" s="310">
        <v>0</v>
      </c>
    </row>
    <row r="37" spans="1:6" ht="23.25" x14ac:dyDescent="0.25">
      <c r="A37" s="477"/>
      <c r="B37" s="312" t="s">
        <v>649</v>
      </c>
      <c r="C37" s="313" t="s">
        <v>933</v>
      </c>
      <c r="D37" s="314"/>
      <c r="E37" s="315">
        <v>168425</v>
      </c>
      <c r="F37" s="140"/>
    </row>
    <row r="38" spans="1:6" ht="22.5" x14ac:dyDescent="0.25">
      <c r="A38" s="477"/>
      <c r="B38" s="362" t="s">
        <v>591</v>
      </c>
      <c r="C38" s="316"/>
      <c r="D38" s="314"/>
      <c r="E38" s="316"/>
    </row>
    <row r="39" spans="1:6" ht="24.75" customHeight="1" x14ac:dyDescent="0.25">
      <c r="A39" s="477"/>
      <c r="B39" s="317" t="s">
        <v>592</v>
      </c>
      <c r="C39" s="313" t="s">
        <v>933</v>
      </c>
      <c r="D39" s="314"/>
      <c r="E39" s="330">
        <v>30000</v>
      </c>
    </row>
    <row r="40" spans="1:6" ht="34.5" x14ac:dyDescent="0.25">
      <c r="A40" s="318"/>
      <c r="B40" s="317" t="s">
        <v>593</v>
      </c>
      <c r="C40" s="319"/>
      <c r="D40" s="314"/>
      <c r="E40" s="320"/>
    </row>
    <row r="41" spans="1:6" ht="19.5" customHeight="1" x14ac:dyDescent="0.25">
      <c r="A41" s="318"/>
      <c r="B41" s="321" t="s">
        <v>696</v>
      </c>
      <c r="C41" s="313" t="s">
        <v>933</v>
      </c>
      <c r="D41" s="311"/>
      <c r="E41" s="322">
        <v>185750</v>
      </c>
    </row>
    <row r="42" spans="1:6" x14ac:dyDescent="0.25">
      <c r="A42" s="478" t="s">
        <v>579</v>
      </c>
      <c r="B42" s="479"/>
      <c r="C42" s="306"/>
      <c r="D42" s="306"/>
      <c r="E42" s="307">
        <f>+E37+E41+E36+E39</f>
        <v>384175</v>
      </c>
      <c r="F42" s="180"/>
    </row>
    <row r="43" spans="1:6" x14ac:dyDescent="0.25">
      <c r="A43" s="480" t="s">
        <v>594</v>
      </c>
      <c r="B43" s="481"/>
      <c r="C43" s="323"/>
      <c r="D43" s="323"/>
      <c r="E43" s="324">
        <f>+E42+E35+E12</f>
        <v>165577587.02000001</v>
      </c>
      <c r="F43" s="180"/>
    </row>
    <row r="44" spans="1:6" x14ac:dyDescent="0.25">
      <c r="A44" s="181"/>
      <c r="B44" s="181"/>
      <c r="C44" s="182"/>
      <c r="D44" s="182"/>
      <c r="E44" s="183"/>
      <c r="F44" s="180"/>
    </row>
    <row r="45" spans="1:6" x14ac:dyDescent="0.25">
      <c r="A45" s="181"/>
      <c r="B45" s="181"/>
      <c r="C45" s="182"/>
      <c r="D45" s="182"/>
      <c r="E45" s="183"/>
    </row>
    <row r="46" spans="1:6" x14ac:dyDescent="0.25">
      <c r="A46" s="471" t="s">
        <v>936</v>
      </c>
      <c r="B46" s="471"/>
      <c r="C46" s="471"/>
      <c r="D46" s="471"/>
      <c r="E46" s="471"/>
      <c r="F46" s="180"/>
    </row>
    <row r="47" spans="1:6" x14ac:dyDescent="0.25">
      <c r="A47" s="471"/>
      <c r="B47" s="471"/>
      <c r="C47" s="471"/>
      <c r="D47" s="471"/>
      <c r="E47" s="471"/>
    </row>
    <row r="49" spans="1:5" x14ac:dyDescent="0.25">
      <c r="A49" s="470" t="s">
        <v>925</v>
      </c>
      <c r="B49" s="470"/>
      <c r="C49" s="470"/>
      <c r="D49" s="470"/>
      <c r="E49" s="470"/>
    </row>
    <row r="50" spans="1:5" hidden="1" x14ac:dyDescent="0.25"/>
    <row r="51" spans="1:5" x14ac:dyDescent="0.25">
      <c r="A51" s="252" t="s">
        <v>656</v>
      </c>
      <c r="B51" s="252" t="s">
        <v>655</v>
      </c>
      <c r="C51" s="252" t="s">
        <v>654</v>
      </c>
      <c r="D51" s="251" t="s">
        <v>653</v>
      </c>
      <c r="E51" s="250"/>
    </row>
    <row r="52" spans="1:5" x14ac:dyDescent="0.25">
      <c r="A52" s="124" t="s">
        <v>700</v>
      </c>
      <c r="B52" s="125">
        <v>2685939.81</v>
      </c>
      <c r="C52" s="280">
        <v>3066800.79</v>
      </c>
      <c r="D52" s="276">
        <v>2685939.81</v>
      </c>
      <c r="E52" s="142"/>
    </row>
    <row r="53" spans="1:5" x14ac:dyDescent="0.25">
      <c r="A53" s="124" t="s">
        <v>703</v>
      </c>
      <c r="B53" s="295">
        <v>169898734.47</v>
      </c>
      <c r="C53" s="295">
        <v>169898734.47</v>
      </c>
      <c r="D53" s="295">
        <v>169898734.47</v>
      </c>
      <c r="E53" s="130"/>
    </row>
    <row r="54" spans="1:5" x14ac:dyDescent="0.25">
      <c r="A54" s="124" t="s">
        <v>704</v>
      </c>
      <c r="B54" s="295">
        <v>3768456.56</v>
      </c>
      <c r="C54" s="295">
        <v>3768456.56</v>
      </c>
      <c r="D54" s="295">
        <v>3768456.56</v>
      </c>
      <c r="E54" s="130"/>
    </row>
    <row r="55" spans="1:5" x14ac:dyDescent="0.25">
      <c r="A55" s="124" t="s">
        <v>705</v>
      </c>
      <c r="B55" s="295">
        <v>4423428.71</v>
      </c>
      <c r="C55" s="295">
        <v>4423428.71</v>
      </c>
      <c r="D55" s="295">
        <v>4423428.71</v>
      </c>
      <c r="E55" s="262"/>
    </row>
    <row r="56" spans="1:5" x14ac:dyDescent="0.25">
      <c r="A56" s="124"/>
      <c r="B56" s="296">
        <f>SUM(B52:B55)</f>
        <v>180776559.55000001</v>
      </c>
      <c r="C56" s="296">
        <f>SUM(C52:C55)</f>
        <v>181157420.53</v>
      </c>
      <c r="D56" s="296">
        <f>SUM(D52:D55)</f>
        <v>180776559.55000001</v>
      </c>
      <c r="E56" s="262"/>
    </row>
    <row r="57" spans="1:5" x14ac:dyDescent="0.25">
      <c r="A57" s="281"/>
      <c r="B57" s="281"/>
      <c r="C57" s="281"/>
      <c r="D57" s="281"/>
      <c r="E57" s="262"/>
    </row>
    <row r="58" spans="1:5" x14ac:dyDescent="0.25">
      <c r="A58" s="281"/>
      <c r="B58" s="281"/>
      <c r="C58" s="281"/>
      <c r="D58" s="281"/>
      <c r="E58" s="262"/>
    </row>
    <row r="59" spans="1:5" x14ac:dyDescent="0.25">
      <c r="A59" s="281"/>
      <c r="B59" s="281"/>
      <c r="C59" s="281"/>
      <c r="D59" s="281"/>
      <c r="E59" s="262"/>
    </row>
    <row r="60" spans="1:5" x14ac:dyDescent="0.25">
      <c r="A60" s="390" t="s">
        <v>567</v>
      </c>
      <c r="B60" s="390"/>
      <c r="D60" s="390" t="s">
        <v>568</v>
      </c>
      <c r="E60" s="390"/>
    </row>
    <row r="61" spans="1:5" x14ac:dyDescent="0.25">
      <c r="A61" s="142"/>
      <c r="B61" s="142" t="s">
        <v>652</v>
      </c>
      <c r="D61" t="s">
        <v>651</v>
      </c>
    </row>
    <row r="62" spans="1:5" x14ac:dyDescent="0.25">
      <c r="A62" s="390" t="s">
        <v>595</v>
      </c>
      <c r="B62" s="390"/>
      <c r="C62" s="390"/>
      <c r="D62" s="390"/>
      <c r="E62" s="390"/>
    </row>
    <row r="63" spans="1:5" x14ac:dyDescent="0.25">
      <c r="A63" s="130"/>
      <c r="B63" s="390" t="s">
        <v>650</v>
      </c>
      <c r="C63" s="390"/>
      <c r="D63" s="390"/>
      <c r="E63" s="390"/>
    </row>
  </sheetData>
  <mergeCells count="17">
    <mergeCell ref="A46:E47"/>
    <mergeCell ref="A3:E3"/>
    <mergeCell ref="A4:E4"/>
    <mergeCell ref="A6:E6"/>
    <mergeCell ref="A7:E7"/>
    <mergeCell ref="A12:B12"/>
    <mergeCell ref="A13:A31"/>
    <mergeCell ref="A35:B35"/>
    <mergeCell ref="A36:A39"/>
    <mergeCell ref="A42:B42"/>
    <mergeCell ref="A43:B43"/>
    <mergeCell ref="A9:A11"/>
    <mergeCell ref="A60:B60"/>
    <mergeCell ref="D60:E60"/>
    <mergeCell ref="A62:E62"/>
    <mergeCell ref="B63:E63"/>
    <mergeCell ref="A49:E49"/>
  </mergeCells>
  <pageMargins left="0.70866141732283472" right="0.70866141732283472" top="0.74803149606299213" bottom="0.74803149606299213" header="0.31496062992125984" footer="0.31496062992125984"/>
  <pageSetup scale="70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E746-F09D-48E4-8A36-AE66589B96BD}">
  <dimension ref="A1:D33"/>
  <sheetViews>
    <sheetView topLeftCell="A10" workbookViewId="0">
      <selection activeCell="B31" sqref="B31"/>
    </sheetView>
  </sheetViews>
  <sheetFormatPr baseColWidth="10" defaultColWidth="9.140625" defaultRowHeight="15" x14ac:dyDescent="0.25"/>
  <cols>
    <col min="1" max="2" width="11.5703125" style="184" bestFit="1" customWidth="1"/>
  </cols>
  <sheetData>
    <row r="1" spans="1:4" x14ac:dyDescent="0.25">
      <c r="A1" s="184">
        <v>7800</v>
      </c>
      <c r="B1" s="184">
        <v>11000</v>
      </c>
      <c r="D1">
        <v>11000</v>
      </c>
    </row>
    <row r="2" spans="1:4" x14ac:dyDescent="0.25">
      <c r="A2" s="184">
        <v>5100</v>
      </c>
      <c r="B2" s="184">
        <v>45000</v>
      </c>
      <c r="D2">
        <v>45000</v>
      </c>
    </row>
    <row r="3" spans="1:4" x14ac:dyDescent="0.25">
      <c r="A3" s="184">
        <v>900</v>
      </c>
      <c r="B3" s="184">
        <v>13100</v>
      </c>
      <c r="D3">
        <v>13100</v>
      </c>
    </row>
    <row r="4" spans="1:4" x14ac:dyDescent="0.25">
      <c r="A4" s="184">
        <v>5100</v>
      </c>
      <c r="B4" s="184">
        <v>74050</v>
      </c>
      <c r="D4">
        <v>74050</v>
      </c>
    </row>
    <row r="5" spans="1:4" x14ac:dyDescent="0.25">
      <c r="A5" s="184">
        <v>11400</v>
      </c>
      <c r="B5" s="184">
        <v>42900</v>
      </c>
      <c r="D5">
        <v>42900</v>
      </c>
    </row>
    <row r="6" spans="1:4" x14ac:dyDescent="0.25">
      <c r="A6" s="184">
        <v>11500</v>
      </c>
      <c r="B6" s="184">
        <v>43800</v>
      </c>
      <c r="D6">
        <v>43800</v>
      </c>
    </row>
    <row r="7" spans="1:4" x14ac:dyDescent="0.25">
      <c r="A7" s="184">
        <v>4600</v>
      </c>
      <c r="B7" s="184">
        <v>57000</v>
      </c>
      <c r="D7">
        <v>57000</v>
      </c>
    </row>
    <row r="8" spans="1:4" x14ac:dyDescent="0.25">
      <c r="A8" s="184">
        <v>5000</v>
      </c>
      <c r="B8" s="184">
        <v>12200</v>
      </c>
    </row>
    <row r="9" spans="1:4" x14ac:dyDescent="0.25">
      <c r="A9" s="184">
        <v>13200</v>
      </c>
      <c r="B9" s="184">
        <v>4500</v>
      </c>
    </row>
    <row r="10" spans="1:4" x14ac:dyDescent="0.25">
      <c r="A10" s="184">
        <v>5300</v>
      </c>
    </row>
    <row r="11" spans="1:4" x14ac:dyDescent="0.25">
      <c r="A11" s="184">
        <v>1400</v>
      </c>
    </row>
    <row r="12" spans="1:4" x14ac:dyDescent="0.25">
      <c r="A12" s="184">
        <v>3300</v>
      </c>
    </row>
    <row r="13" spans="1:4" x14ac:dyDescent="0.25">
      <c r="A13" s="184">
        <v>4700</v>
      </c>
    </row>
    <row r="14" spans="1:4" x14ac:dyDescent="0.25">
      <c r="A14" s="184">
        <v>7300</v>
      </c>
    </row>
    <row r="15" spans="1:4" x14ac:dyDescent="0.25">
      <c r="A15" s="184">
        <v>2750</v>
      </c>
    </row>
    <row r="16" spans="1:4" x14ac:dyDescent="0.25">
      <c r="A16" s="184">
        <v>5400</v>
      </c>
    </row>
    <row r="17" spans="1:2" x14ac:dyDescent="0.25">
      <c r="A17" s="184">
        <v>5000</v>
      </c>
    </row>
    <row r="18" spans="1:2" x14ac:dyDescent="0.25">
      <c r="A18" s="184">
        <v>4500</v>
      </c>
    </row>
    <row r="19" spans="1:2" x14ac:dyDescent="0.25">
      <c r="A19" s="184">
        <v>5300</v>
      </c>
    </row>
    <row r="20" spans="1:2" x14ac:dyDescent="0.25">
      <c r="A20" s="184">
        <v>5450</v>
      </c>
    </row>
    <row r="21" spans="1:2" x14ac:dyDescent="0.25">
      <c r="A21" s="184">
        <v>8800</v>
      </c>
    </row>
    <row r="22" spans="1:2" x14ac:dyDescent="0.25">
      <c r="A22" s="184">
        <v>2500</v>
      </c>
    </row>
    <row r="23" spans="1:2" x14ac:dyDescent="0.25">
      <c r="A23" s="184">
        <v>8150</v>
      </c>
    </row>
    <row r="24" spans="1:2" x14ac:dyDescent="0.25">
      <c r="A24" s="184">
        <v>5600</v>
      </c>
    </row>
    <row r="25" spans="1:2" x14ac:dyDescent="0.25">
      <c r="A25" s="184">
        <v>8400</v>
      </c>
    </row>
    <row r="26" spans="1:2" x14ac:dyDescent="0.25">
      <c r="A26" s="184">
        <v>7000</v>
      </c>
    </row>
    <row r="27" spans="1:2" x14ac:dyDescent="0.25">
      <c r="A27" s="184">
        <v>6900</v>
      </c>
    </row>
    <row r="28" spans="1:2" x14ac:dyDescent="0.25">
      <c r="A28" s="184">
        <v>6200</v>
      </c>
    </row>
    <row r="29" spans="1:2" x14ac:dyDescent="0.25">
      <c r="A29" s="184">
        <v>14000</v>
      </c>
    </row>
    <row r="30" spans="1:2" x14ac:dyDescent="0.25">
      <c r="A30" s="184">
        <v>3200</v>
      </c>
    </row>
    <row r="31" spans="1:2" x14ac:dyDescent="0.25">
      <c r="A31" s="184">
        <f>SUM(A1:A30)</f>
        <v>185750</v>
      </c>
      <c r="B31" s="184">
        <f>SUM(B1:B30)</f>
        <v>303550</v>
      </c>
    </row>
    <row r="32" spans="1:2" x14ac:dyDescent="0.25">
      <c r="A32" s="184">
        <v>191950</v>
      </c>
    </row>
    <row r="33" spans="1:1" x14ac:dyDescent="0.25">
      <c r="A33" s="184">
        <f>+A31-A32</f>
        <v>-6200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48"/>
  <sheetViews>
    <sheetView view="pageBreakPreview" topLeftCell="F1" zoomScale="69" zoomScaleNormal="69" zoomScaleSheetLayoutView="69" workbookViewId="0">
      <pane ySplit="6" topLeftCell="A37" activePane="bottomLeft" state="frozen"/>
      <selection activeCell="C1" sqref="C1"/>
      <selection pane="bottomLeft" activeCell="R49" sqref="R49"/>
    </sheetView>
  </sheetViews>
  <sheetFormatPr baseColWidth="10" defaultColWidth="14.140625" defaultRowHeight="30" customHeight="1" x14ac:dyDescent="0.25"/>
  <cols>
    <col min="1" max="1" width="5.5703125" customWidth="1"/>
    <col min="2" max="2" width="49" bestFit="1" customWidth="1"/>
    <col min="3" max="3" width="26.7109375" hidden="1" customWidth="1"/>
    <col min="4" max="4" width="27.7109375" bestFit="1" customWidth="1"/>
    <col min="5" max="5" width="8" bestFit="1" customWidth="1"/>
    <col min="6" max="6" width="9.140625" style="140" customWidth="1"/>
    <col min="7" max="9" width="7.42578125" bestFit="1" customWidth="1"/>
    <col min="10" max="10" width="14.85546875" customWidth="1"/>
    <col min="11" max="11" width="16.7109375" customWidth="1"/>
    <col min="12" max="12" width="15.42578125" customWidth="1"/>
    <col min="13" max="13" width="12.28515625" customWidth="1"/>
    <col min="14" max="21" width="15.42578125" customWidth="1"/>
    <col min="22" max="22" width="22.42578125" customWidth="1"/>
    <col min="23" max="23" width="18" bestFit="1" customWidth="1"/>
    <col min="24" max="24" width="44.85546875" style="140" customWidth="1"/>
  </cols>
  <sheetData>
    <row r="1" spans="1:24" ht="30" customHeight="1" x14ac:dyDescent="0.3">
      <c r="A1" s="488" t="s">
        <v>739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8"/>
      <c r="N1" s="488"/>
      <c r="O1" s="488"/>
      <c r="P1" s="488"/>
      <c r="Q1" s="488"/>
      <c r="R1" s="488"/>
      <c r="S1" s="488"/>
      <c r="T1" s="488"/>
      <c r="U1" s="488"/>
      <c r="V1" s="488"/>
      <c r="W1" s="488"/>
    </row>
    <row r="2" spans="1:24" s="131" customFormat="1" ht="30" customHeight="1" x14ac:dyDescent="0.25">
      <c r="A2" s="489" t="s">
        <v>740</v>
      </c>
      <c r="B2" s="489"/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89"/>
      <c r="Q2" s="489"/>
      <c r="R2" s="489"/>
      <c r="S2" s="489"/>
      <c r="T2" s="489"/>
      <c r="U2" s="489"/>
      <c r="V2" s="489"/>
      <c r="W2" s="489"/>
      <c r="X2" s="377"/>
    </row>
    <row r="3" spans="1:24" s="131" customFormat="1" ht="30" customHeight="1" x14ac:dyDescent="0.25">
      <c r="A3" s="490" t="s">
        <v>741</v>
      </c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377"/>
    </row>
    <row r="4" spans="1:24" ht="30" customHeight="1" x14ac:dyDescent="0.25">
      <c r="A4" s="491" t="s">
        <v>742</v>
      </c>
      <c r="B4" s="493" t="s">
        <v>743</v>
      </c>
      <c r="C4" s="333"/>
      <c r="D4" s="333"/>
      <c r="E4" s="495" t="s">
        <v>744</v>
      </c>
      <c r="F4" s="496"/>
      <c r="G4" s="496"/>
      <c r="H4" s="496"/>
      <c r="I4" s="496"/>
      <c r="J4" s="496"/>
      <c r="K4" s="497"/>
      <c r="L4" s="334"/>
      <c r="M4" s="334"/>
      <c r="N4" s="334"/>
      <c r="O4" s="334"/>
      <c r="P4" s="334"/>
      <c r="Q4" s="334"/>
      <c r="R4" s="334"/>
      <c r="S4" s="334"/>
      <c r="T4" s="334"/>
      <c r="U4" s="334"/>
      <c r="V4" s="334"/>
    </row>
    <row r="5" spans="1:24" ht="30" customHeight="1" x14ac:dyDescent="0.25">
      <c r="A5" s="492"/>
      <c r="B5" s="494"/>
      <c r="C5" s="335" t="s">
        <v>745</v>
      </c>
      <c r="D5" s="335" t="s">
        <v>746</v>
      </c>
      <c r="E5" s="367" t="s">
        <v>747</v>
      </c>
      <c r="F5" s="379" t="s">
        <v>748</v>
      </c>
      <c r="G5" s="355">
        <v>2020</v>
      </c>
      <c r="H5" s="355">
        <v>2021</v>
      </c>
      <c r="I5" s="355">
        <v>2022</v>
      </c>
      <c r="J5" s="355">
        <v>2023</v>
      </c>
      <c r="K5" s="355">
        <v>2024</v>
      </c>
      <c r="L5" s="368" t="s">
        <v>749</v>
      </c>
      <c r="M5" s="368" t="s">
        <v>715</v>
      </c>
      <c r="N5" s="368" t="s">
        <v>716</v>
      </c>
      <c r="O5" s="368" t="s">
        <v>717</v>
      </c>
      <c r="P5" s="368" t="s">
        <v>718</v>
      </c>
      <c r="Q5" s="356" t="s">
        <v>719</v>
      </c>
      <c r="R5" s="356" t="s">
        <v>720</v>
      </c>
      <c r="S5" s="356" t="s">
        <v>722</v>
      </c>
      <c r="T5" s="356" t="s">
        <v>721</v>
      </c>
      <c r="U5" s="356" t="s">
        <v>725</v>
      </c>
      <c r="V5" s="368" t="s">
        <v>949</v>
      </c>
      <c r="W5" s="378" t="s">
        <v>348</v>
      </c>
      <c r="X5" s="378" t="s">
        <v>950</v>
      </c>
    </row>
    <row r="6" spans="1:24" ht="30" customHeight="1" x14ac:dyDescent="0.25">
      <c r="A6" s="366">
        <v>1</v>
      </c>
      <c r="B6" s="338" t="s">
        <v>706</v>
      </c>
      <c r="C6" s="338"/>
      <c r="D6" s="338" t="s">
        <v>750</v>
      </c>
      <c r="E6" s="371"/>
      <c r="F6" s="380"/>
      <c r="G6" s="371"/>
      <c r="H6" s="371"/>
      <c r="I6" s="371"/>
      <c r="J6" s="372">
        <v>287920</v>
      </c>
      <c r="K6" s="373"/>
      <c r="L6" s="373"/>
      <c r="M6" s="373"/>
      <c r="N6" s="373"/>
      <c r="O6" s="373"/>
      <c r="P6" s="373"/>
      <c r="Q6" s="373"/>
      <c r="R6" s="373"/>
      <c r="S6" s="373"/>
      <c r="T6" s="373"/>
      <c r="U6" s="373"/>
      <c r="V6" s="373"/>
      <c r="W6" s="373">
        <f>SUM(J6:V6)</f>
        <v>287920</v>
      </c>
      <c r="X6" s="140" t="s">
        <v>951</v>
      </c>
    </row>
    <row r="7" spans="1:24" ht="30" customHeight="1" x14ac:dyDescent="0.25">
      <c r="A7" s="339">
        <v>2</v>
      </c>
      <c r="B7" s="337" t="s">
        <v>707</v>
      </c>
      <c r="C7" s="337"/>
      <c r="D7" s="337" t="s">
        <v>750</v>
      </c>
      <c r="E7" s="341"/>
      <c r="F7" s="381"/>
      <c r="G7" s="341"/>
      <c r="H7" s="341"/>
      <c r="I7" s="341"/>
      <c r="J7" s="365">
        <v>220483.05</v>
      </c>
      <c r="K7" s="341"/>
      <c r="L7" s="341"/>
      <c r="M7" s="341"/>
      <c r="N7" s="341"/>
      <c r="O7" s="341"/>
      <c r="P7" s="341"/>
      <c r="Q7" s="341"/>
      <c r="R7" s="341"/>
      <c r="S7" s="341"/>
      <c r="T7" s="341"/>
      <c r="U7" s="341"/>
      <c r="V7" s="341"/>
      <c r="W7" s="369">
        <f t="shared" ref="W7:W34" si="0">SUM(J7:V7)</f>
        <v>220483.05</v>
      </c>
      <c r="X7" s="140" t="s">
        <v>951</v>
      </c>
    </row>
    <row r="8" spans="1:24" ht="30" customHeight="1" x14ac:dyDescent="0.25">
      <c r="A8" s="339">
        <v>3</v>
      </c>
      <c r="B8" s="336" t="s">
        <v>675</v>
      </c>
      <c r="C8" s="336"/>
      <c r="D8" s="336" t="s">
        <v>750</v>
      </c>
      <c r="E8" s="341"/>
      <c r="F8" s="381"/>
      <c r="G8" s="341"/>
      <c r="H8" s="341"/>
      <c r="I8" s="341"/>
      <c r="J8" s="365">
        <v>4182</v>
      </c>
      <c r="K8" s="341"/>
      <c r="L8" s="341"/>
      <c r="M8" s="341"/>
      <c r="N8" s="341"/>
      <c r="O8" s="341"/>
      <c r="P8" s="341"/>
      <c r="Q8" s="341"/>
      <c r="R8" s="341"/>
      <c r="S8" s="341"/>
      <c r="T8" s="341"/>
      <c r="U8" s="341"/>
      <c r="V8" s="341"/>
      <c r="W8" s="369">
        <f t="shared" si="0"/>
        <v>4182</v>
      </c>
      <c r="X8" s="140" t="s">
        <v>954</v>
      </c>
    </row>
    <row r="9" spans="1:24" ht="30" customHeight="1" x14ac:dyDescent="0.25">
      <c r="A9" s="339">
        <v>4</v>
      </c>
      <c r="B9" s="337" t="s">
        <v>711</v>
      </c>
      <c r="C9" s="336"/>
      <c r="D9" s="336" t="s">
        <v>750</v>
      </c>
      <c r="E9" s="341"/>
      <c r="F9" s="381"/>
      <c r="G9" s="341"/>
      <c r="H9" s="341"/>
      <c r="I9" s="341"/>
      <c r="J9" s="341"/>
      <c r="K9" s="365">
        <v>162462.39999999999</v>
      </c>
      <c r="L9" s="341"/>
      <c r="M9" s="341"/>
      <c r="N9" s="341"/>
      <c r="O9" s="341"/>
      <c r="P9" s="341"/>
      <c r="Q9" s="341"/>
      <c r="R9" s="341"/>
      <c r="S9" s="341"/>
      <c r="T9" s="341"/>
      <c r="U9" s="341"/>
      <c r="V9" s="341"/>
      <c r="W9" s="369">
        <f t="shared" si="0"/>
        <v>162462.39999999999</v>
      </c>
      <c r="X9" s="140" t="s">
        <v>954</v>
      </c>
    </row>
    <row r="10" spans="1:24" ht="30" customHeight="1" x14ac:dyDescent="0.25">
      <c r="A10" s="339">
        <v>5</v>
      </c>
      <c r="B10" s="337" t="s">
        <v>708</v>
      </c>
      <c r="C10" s="336"/>
      <c r="D10" s="336" t="s">
        <v>750</v>
      </c>
      <c r="E10" s="341"/>
      <c r="F10" s="381"/>
      <c r="G10" s="341"/>
      <c r="H10" s="341"/>
      <c r="I10" s="341"/>
      <c r="J10" s="341"/>
      <c r="K10" s="365">
        <v>16520</v>
      </c>
      <c r="L10" s="341"/>
      <c r="M10" s="341"/>
      <c r="N10" s="341"/>
      <c r="O10" s="341"/>
      <c r="P10" s="341"/>
      <c r="Q10" s="341"/>
      <c r="R10" s="341"/>
      <c r="S10" s="341"/>
      <c r="T10" s="341"/>
      <c r="U10" s="341"/>
      <c r="V10" s="341"/>
      <c r="W10" s="369">
        <f t="shared" si="0"/>
        <v>16520</v>
      </c>
      <c r="X10" s="140" t="s">
        <v>951</v>
      </c>
    </row>
    <row r="11" spans="1:24" ht="30" customHeight="1" x14ac:dyDescent="0.25">
      <c r="A11" s="339">
        <v>6</v>
      </c>
      <c r="B11" s="340" t="s">
        <v>710</v>
      </c>
      <c r="C11" s="336"/>
      <c r="D11" s="336" t="s">
        <v>750</v>
      </c>
      <c r="E11" s="341"/>
      <c r="F11" s="381"/>
      <c r="G11" s="341"/>
      <c r="H11" s="341"/>
      <c r="I11" s="341"/>
      <c r="J11" s="341"/>
      <c r="K11" s="341"/>
      <c r="L11" s="365">
        <v>5691.23</v>
      </c>
      <c r="M11" s="341"/>
      <c r="N11" s="341"/>
      <c r="O11" s="341"/>
      <c r="P11" s="341"/>
      <c r="Q11" s="341"/>
      <c r="R11" s="341"/>
      <c r="S11" s="341"/>
      <c r="T11" s="341"/>
      <c r="U11" s="341"/>
      <c r="V11" s="341"/>
      <c r="W11" s="369">
        <f t="shared" si="0"/>
        <v>5691.23</v>
      </c>
      <c r="X11" s="140" t="s">
        <v>954</v>
      </c>
    </row>
    <row r="12" spans="1:24" ht="30" customHeight="1" x14ac:dyDescent="0.25">
      <c r="A12" s="339">
        <v>7</v>
      </c>
      <c r="B12" s="337" t="s">
        <v>712</v>
      </c>
      <c r="C12" s="336"/>
      <c r="D12" s="336" t="s">
        <v>750</v>
      </c>
      <c r="E12" s="341"/>
      <c r="F12" s="381"/>
      <c r="G12" s="341"/>
      <c r="H12" s="341"/>
      <c r="I12" s="341"/>
      <c r="J12" s="341"/>
      <c r="K12" s="341"/>
      <c r="L12" s="341"/>
      <c r="M12" s="341"/>
      <c r="N12" s="365">
        <v>9500</v>
      </c>
      <c r="O12" s="341"/>
      <c r="P12" s="341"/>
      <c r="Q12" s="341"/>
      <c r="R12" s="341"/>
      <c r="S12" s="341"/>
      <c r="T12" s="341"/>
      <c r="U12" s="341"/>
      <c r="V12" s="341"/>
      <c r="W12" s="369">
        <f t="shared" si="0"/>
        <v>9500</v>
      </c>
      <c r="X12" s="140" t="s">
        <v>954</v>
      </c>
    </row>
    <row r="13" spans="1:24" ht="30" customHeight="1" x14ac:dyDescent="0.25">
      <c r="A13" s="339">
        <v>8</v>
      </c>
      <c r="B13" s="337" t="s">
        <v>709</v>
      </c>
      <c r="C13" s="336"/>
      <c r="D13" s="336" t="s">
        <v>750</v>
      </c>
      <c r="E13" s="341"/>
      <c r="F13" s="381"/>
      <c r="G13" s="341"/>
      <c r="H13" s="341"/>
      <c r="I13" s="341"/>
      <c r="J13" s="341"/>
      <c r="K13" s="341"/>
      <c r="L13" s="341"/>
      <c r="M13" s="341"/>
      <c r="N13" s="341"/>
      <c r="O13" s="365">
        <v>13900</v>
      </c>
      <c r="P13" s="341"/>
      <c r="Q13" s="341"/>
      <c r="R13" s="341"/>
      <c r="S13" s="341"/>
      <c r="T13" s="341"/>
      <c r="U13" s="341"/>
      <c r="V13" s="341"/>
      <c r="W13" s="369">
        <f t="shared" si="0"/>
        <v>13900</v>
      </c>
      <c r="X13" s="140" t="s">
        <v>952</v>
      </c>
    </row>
    <row r="14" spans="1:24" ht="30" customHeight="1" x14ac:dyDescent="0.25">
      <c r="A14" s="339">
        <v>9</v>
      </c>
      <c r="B14" s="340" t="s">
        <v>709</v>
      </c>
      <c r="C14" s="336"/>
      <c r="D14" s="336" t="s">
        <v>750</v>
      </c>
      <c r="E14" s="341"/>
      <c r="F14" s="381"/>
      <c r="G14" s="341"/>
      <c r="H14" s="341"/>
      <c r="I14" s="341"/>
      <c r="J14" s="341"/>
      <c r="K14" s="341"/>
      <c r="L14" s="341"/>
      <c r="M14" s="341"/>
      <c r="N14" s="341"/>
      <c r="O14" s="341"/>
      <c r="P14" s="365">
        <v>18500</v>
      </c>
      <c r="Q14" s="341"/>
      <c r="R14" s="341"/>
      <c r="S14" s="341"/>
      <c r="T14" s="341"/>
      <c r="U14" s="341"/>
      <c r="V14" s="341"/>
      <c r="W14" s="369">
        <f t="shared" si="0"/>
        <v>18500</v>
      </c>
      <c r="X14" s="140" t="s">
        <v>952</v>
      </c>
    </row>
    <row r="15" spans="1:24" ht="30" customHeight="1" x14ac:dyDescent="0.25">
      <c r="A15" s="339">
        <v>10</v>
      </c>
      <c r="B15" s="340" t="s">
        <v>709</v>
      </c>
      <c r="C15" s="336"/>
      <c r="D15" s="336" t="s">
        <v>750</v>
      </c>
      <c r="E15" s="341"/>
      <c r="F15" s="381"/>
      <c r="G15" s="341"/>
      <c r="H15" s="341"/>
      <c r="I15" s="341"/>
      <c r="J15" s="341"/>
      <c r="K15" s="341"/>
      <c r="L15" s="341"/>
      <c r="M15" s="341"/>
      <c r="N15" s="341"/>
      <c r="O15" s="341"/>
      <c r="P15" s="341"/>
      <c r="Q15" s="365">
        <v>23625</v>
      </c>
      <c r="R15" s="341"/>
      <c r="S15" s="341"/>
      <c r="T15" s="341"/>
      <c r="U15" s="341"/>
      <c r="V15" s="341"/>
      <c r="W15" s="369">
        <f t="shared" si="0"/>
        <v>23625</v>
      </c>
      <c r="X15" s="140" t="s">
        <v>952</v>
      </c>
    </row>
    <row r="16" spans="1:24" ht="30" customHeight="1" x14ac:dyDescent="0.25">
      <c r="A16" s="339">
        <v>11</v>
      </c>
      <c r="B16" s="337" t="s">
        <v>712</v>
      </c>
      <c r="C16" s="336"/>
      <c r="D16" s="336" t="s">
        <v>750</v>
      </c>
      <c r="E16" s="341"/>
      <c r="F16" s="38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65">
        <v>2700</v>
      </c>
      <c r="R16" s="341"/>
      <c r="S16" s="341"/>
      <c r="T16" s="341"/>
      <c r="U16" s="341"/>
      <c r="V16" s="341"/>
      <c r="W16" s="369">
        <f t="shared" si="0"/>
        <v>2700</v>
      </c>
      <c r="X16" s="140" t="s">
        <v>954</v>
      </c>
    </row>
    <row r="17" spans="1:24" ht="30" customHeight="1" x14ac:dyDescent="0.25">
      <c r="A17" s="339">
        <v>12</v>
      </c>
      <c r="B17" s="337" t="s">
        <v>712</v>
      </c>
      <c r="C17" s="336"/>
      <c r="D17" s="336" t="s">
        <v>750</v>
      </c>
      <c r="E17" s="341"/>
      <c r="F17" s="38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65">
        <v>15750</v>
      </c>
      <c r="R17" s="341"/>
      <c r="S17" s="341"/>
      <c r="T17" s="341"/>
      <c r="U17" s="341"/>
      <c r="V17" s="341"/>
      <c r="W17" s="369">
        <f t="shared" si="0"/>
        <v>15750</v>
      </c>
      <c r="X17" s="140" t="s">
        <v>954</v>
      </c>
    </row>
    <row r="18" spans="1:24" ht="30" customHeight="1" x14ac:dyDescent="0.25">
      <c r="A18" s="339">
        <v>13</v>
      </c>
      <c r="B18" s="337" t="s">
        <v>712</v>
      </c>
      <c r="C18" s="336"/>
      <c r="D18" s="336" t="s">
        <v>750</v>
      </c>
      <c r="E18" s="341"/>
      <c r="F18" s="38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65">
        <v>12660</v>
      </c>
      <c r="S18" s="341"/>
      <c r="T18" s="341"/>
      <c r="U18" s="341"/>
      <c r="V18" s="341"/>
      <c r="W18" s="369">
        <f t="shared" si="0"/>
        <v>12660</v>
      </c>
      <c r="X18" s="140" t="s">
        <v>954</v>
      </c>
    </row>
    <row r="19" spans="1:24" ht="30" customHeight="1" x14ac:dyDescent="0.25">
      <c r="A19" s="339">
        <v>14</v>
      </c>
      <c r="B19" s="340" t="s">
        <v>709</v>
      </c>
      <c r="C19" s="336"/>
      <c r="D19" s="336" t="s">
        <v>750</v>
      </c>
      <c r="E19" s="341"/>
      <c r="F19" s="381"/>
      <c r="G19" s="341"/>
      <c r="H19" s="341"/>
      <c r="I19" s="341"/>
      <c r="J19" s="341"/>
      <c r="K19" s="341"/>
      <c r="L19" s="341"/>
      <c r="M19" s="341"/>
      <c r="N19" s="341"/>
      <c r="O19" s="341"/>
      <c r="P19" s="341"/>
      <c r="Q19" s="341"/>
      <c r="R19" s="365">
        <v>16100</v>
      </c>
      <c r="S19" s="341"/>
      <c r="T19" s="341"/>
      <c r="U19" s="341"/>
      <c r="V19" s="341"/>
      <c r="W19" s="369">
        <f t="shared" si="0"/>
        <v>16100</v>
      </c>
      <c r="X19" s="140" t="s">
        <v>952</v>
      </c>
    </row>
    <row r="20" spans="1:24" ht="30" customHeight="1" x14ac:dyDescent="0.25">
      <c r="A20" s="339">
        <v>15</v>
      </c>
      <c r="B20" s="340" t="s">
        <v>724</v>
      </c>
      <c r="C20" s="336"/>
      <c r="D20" s="336" t="s">
        <v>750</v>
      </c>
      <c r="E20" s="341"/>
      <c r="F20" s="381"/>
      <c r="G20" s="341"/>
      <c r="H20" s="341"/>
      <c r="I20" s="341"/>
      <c r="J20" s="341"/>
      <c r="K20" s="341"/>
      <c r="L20" s="341"/>
      <c r="M20" s="341"/>
      <c r="N20" s="341"/>
      <c r="O20" s="341"/>
      <c r="P20" s="341"/>
      <c r="Q20" s="341"/>
      <c r="R20" s="341"/>
      <c r="S20" s="365">
        <v>10792.8</v>
      </c>
      <c r="T20" s="341"/>
      <c r="U20" s="341"/>
      <c r="V20" s="341"/>
      <c r="W20" s="369">
        <f t="shared" si="0"/>
        <v>10792.8</v>
      </c>
      <c r="X20" s="140" t="s">
        <v>952</v>
      </c>
    </row>
    <row r="21" spans="1:24" ht="30" customHeight="1" x14ac:dyDescent="0.25">
      <c r="A21" s="339">
        <f>+A20+1</f>
        <v>16</v>
      </c>
      <c r="B21" s="340" t="s">
        <v>709</v>
      </c>
      <c r="C21" s="336"/>
      <c r="D21" s="336" t="s">
        <v>750</v>
      </c>
      <c r="E21" s="341"/>
      <c r="F21" s="38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65">
        <v>950</v>
      </c>
      <c r="T21" s="341"/>
      <c r="U21" s="341"/>
      <c r="V21" s="341"/>
      <c r="W21" s="369">
        <f t="shared" si="0"/>
        <v>950</v>
      </c>
      <c r="X21" s="140" t="s">
        <v>952</v>
      </c>
    </row>
    <row r="22" spans="1:24" ht="30" customHeight="1" x14ac:dyDescent="0.25">
      <c r="A22" s="339">
        <f t="shared" ref="A22:A45" si="1">+A21+1</f>
        <v>17</v>
      </c>
      <c r="B22" s="340" t="s">
        <v>714</v>
      </c>
      <c r="C22" s="336"/>
      <c r="D22" s="336" t="s">
        <v>750</v>
      </c>
      <c r="E22" s="341"/>
      <c r="F22" s="381"/>
      <c r="G22" s="341"/>
      <c r="H22" s="341"/>
      <c r="I22" s="341"/>
      <c r="J22" s="341"/>
      <c r="K22" s="341"/>
      <c r="L22" s="341"/>
      <c r="M22" s="341"/>
      <c r="N22" s="341"/>
      <c r="O22" s="341"/>
      <c r="P22" s="341"/>
      <c r="Q22" s="341"/>
      <c r="R22" s="341"/>
      <c r="S22" s="365">
        <v>16520</v>
      </c>
      <c r="T22" s="341"/>
      <c r="U22" s="341"/>
      <c r="V22" s="341"/>
      <c r="W22" s="369">
        <f t="shared" si="0"/>
        <v>16520</v>
      </c>
      <c r="X22" s="140" t="s">
        <v>952</v>
      </c>
    </row>
    <row r="23" spans="1:24" ht="30" customHeight="1" x14ac:dyDescent="0.25">
      <c r="A23" s="339">
        <f t="shared" si="1"/>
        <v>18</v>
      </c>
      <c r="B23" s="340" t="s">
        <v>709</v>
      </c>
      <c r="C23" s="336"/>
      <c r="D23" s="336" t="s">
        <v>750</v>
      </c>
      <c r="E23" s="341"/>
      <c r="F23" s="381"/>
      <c r="G23" s="341"/>
      <c r="H23" s="341"/>
      <c r="I23" s="341"/>
      <c r="J23" s="341"/>
      <c r="K23" s="341"/>
      <c r="L23" s="341"/>
      <c r="M23" s="341"/>
      <c r="N23" s="341"/>
      <c r="O23" s="341"/>
      <c r="P23" s="341"/>
      <c r="Q23" s="341"/>
      <c r="R23" s="341"/>
      <c r="S23" s="341"/>
      <c r="T23" s="341"/>
      <c r="U23" s="365">
        <v>17150</v>
      </c>
      <c r="V23" s="341"/>
      <c r="W23" s="369">
        <f t="shared" si="0"/>
        <v>17150</v>
      </c>
      <c r="X23" s="140" t="s">
        <v>952</v>
      </c>
    </row>
    <row r="24" spans="1:24" ht="30" customHeight="1" x14ac:dyDescent="0.25">
      <c r="A24" s="339">
        <f t="shared" si="1"/>
        <v>19</v>
      </c>
      <c r="B24" s="340" t="s">
        <v>713</v>
      </c>
      <c r="C24" s="336"/>
      <c r="D24" s="336" t="s">
        <v>750</v>
      </c>
      <c r="E24" s="341"/>
      <c r="F24" s="381"/>
      <c r="G24" s="341"/>
      <c r="H24" s="341"/>
      <c r="I24" s="341"/>
      <c r="J24" s="341"/>
      <c r="K24" s="341"/>
      <c r="L24" s="341"/>
      <c r="M24" s="341"/>
      <c r="N24" s="341"/>
      <c r="O24" s="341"/>
      <c r="P24" s="341"/>
      <c r="Q24" s="341"/>
      <c r="R24" s="341"/>
      <c r="S24" s="341"/>
      <c r="T24" s="341"/>
      <c r="U24" s="365">
        <v>73546.12</v>
      </c>
      <c r="V24" s="341"/>
      <c r="W24" s="369">
        <f t="shared" si="0"/>
        <v>73546.12</v>
      </c>
      <c r="X24" s="140" t="s">
        <v>953</v>
      </c>
    </row>
    <row r="25" spans="1:24" ht="30" customHeight="1" x14ac:dyDescent="0.25">
      <c r="A25" s="339">
        <f t="shared" si="1"/>
        <v>20</v>
      </c>
      <c r="B25" s="340" t="s">
        <v>709</v>
      </c>
      <c r="C25" s="336"/>
      <c r="D25" s="336" t="s">
        <v>750</v>
      </c>
      <c r="E25" s="341"/>
      <c r="F25" s="381"/>
      <c r="G25" s="341"/>
      <c r="H25" s="341"/>
      <c r="I25" s="341"/>
      <c r="J25" s="341"/>
      <c r="K25" s="341"/>
      <c r="L25" s="341"/>
      <c r="M25" s="341"/>
      <c r="N25" s="341"/>
      <c r="O25" s="341"/>
      <c r="P25" s="341"/>
      <c r="Q25" s="341"/>
      <c r="R25" s="341"/>
      <c r="S25" s="341"/>
      <c r="T25" s="341"/>
      <c r="U25" s="341"/>
      <c r="V25" s="365">
        <v>39250</v>
      </c>
      <c r="W25" s="369">
        <f t="shared" si="0"/>
        <v>39250</v>
      </c>
      <c r="X25" s="140" t="s">
        <v>953</v>
      </c>
    </row>
    <row r="26" spans="1:24" ht="30" customHeight="1" x14ac:dyDescent="0.25">
      <c r="A26" s="339">
        <f t="shared" si="1"/>
        <v>21</v>
      </c>
      <c r="B26" s="340" t="s">
        <v>938</v>
      </c>
      <c r="C26" s="336"/>
      <c r="D26" s="336" t="s">
        <v>750</v>
      </c>
      <c r="E26" s="341"/>
      <c r="F26" s="381"/>
      <c r="G26" s="341"/>
      <c r="H26" s="341"/>
      <c r="I26" s="341"/>
      <c r="J26" s="341"/>
      <c r="K26" s="341"/>
      <c r="L26" s="341"/>
      <c r="M26" s="341"/>
      <c r="N26" s="341"/>
      <c r="O26" s="341"/>
      <c r="P26" s="341"/>
      <c r="Q26" s="341"/>
      <c r="R26" s="341"/>
      <c r="S26" s="341"/>
      <c r="T26" s="341"/>
      <c r="U26" s="341"/>
      <c r="V26" s="365">
        <v>472000</v>
      </c>
      <c r="W26" s="369">
        <f t="shared" si="0"/>
        <v>472000</v>
      </c>
      <c r="X26" s="140" t="s">
        <v>953</v>
      </c>
    </row>
    <row r="27" spans="1:24" ht="30" customHeight="1" x14ac:dyDescent="0.25">
      <c r="A27" s="339">
        <f t="shared" si="1"/>
        <v>22</v>
      </c>
      <c r="B27" s="340" t="s">
        <v>939</v>
      </c>
      <c r="C27" s="336"/>
      <c r="D27" s="336" t="s">
        <v>750</v>
      </c>
      <c r="E27" s="341"/>
      <c r="F27" s="381"/>
      <c r="G27" s="341"/>
      <c r="H27" s="341"/>
      <c r="I27" s="341"/>
      <c r="J27" s="341"/>
      <c r="K27" s="341"/>
      <c r="L27" s="341"/>
      <c r="M27" s="341"/>
      <c r="N27" s="341"/>
      <c r="O27" s="341"/>
      <c r="P27" s="341"/>
      <c r="Q27" s="341"/>
      <c r="R27" s="341"/>
      <c r="S27" s="341"/>
      <c r="T27" s="341"/>
      <c r="U27" s="341"/>
      <c r="V27" s="365">
        <v>30680</v>
      </c>
      <c r="W27" s="369">
        <f t="shared" si="0"/>
        <v>30680</v>
      </c>
      <c r="X27" s="140" t="s">
        <v>953</v>
      </c>
    </row>
    <row r="28" spans="1:24" ht="30" customHeight="1" x14ac:dyDescent="0.25">
      <c r="A28" s="339">
        <f t="shared" si="1"/>
        <v>23</v>
      </c>
      <c r="B28" s="340" t="s">
        <v>940</v>
      </c>
      <c r="C28" s="336"/>
      <c r="D28" s="336" t="s">
        <v>750</v>
      </c>
      <c r="E28" s="341"/>
      <c r="F28" s="381"/>
      <c r="G28" s="341"/>
      <c r="H28" s="341"/>
      <c r="I28" s="341"/>
      <c r="J28" s="341"/>
      <c r="K28" s="341"/>
      <c r="L28" s="341"/>
      <c r="M28" s="341"/>
      <c r="N28" s="341"/>
      <c r="O28" s="341"/>
      <c r="P28" s="341"/>
      <c r="Q28" s="341"/>
      <c r="R28" s="341"/>
      <c r="S28" s="341"/>
      <c r="T28" s="341"/>
      <c r="U28" s="341"/>
      <c r="V28" s="365">
        <v>7861.63</v>
      </c>
      <c r="W28" s="369">
        <f t="shared" si="0"/>
        <v>7861.63</v>
      </c>
      <c r="X28" s="140" t="s">
        <v>953</v>
      </c>
    </row>
    <row r="29" spans="1:24" ht="30" customHeight="1" x14ac:dyDescent="0.25">
      <c r="A29" s="339">
        <f t="shared" si="1"/>
        <v>24</v>
      </c>
      <c r="B29" s="340" t="s">
        <v>675</v>
      </c>
      <c r="C29" s="336"/>
      <c r="D29" s="336" t="s">
        <v>750</v>
      </c>
      <c r="E29" s="341"/>
      <c r="F29" s="381"/>
      <c r="G29" s="341"/>
      <c r="H29" s="341"/>
      <c r="I29" s="341"/>
      <c r="J29" s="341"/>
      <c r="K29" s="341"/>
      <c r="L29" s="341"/>
      <c r="M29" s="341"/>
      <c r="N29" s="341"/>
      <c r="O29" s="341"/>
      <c r="P29" s="341"/>
      <c r="Q29" s="341"/>
      <c r="R29" s="341"/>
      <c r="S29" s="341"/>
      <c r="T29" s="341"/>
      <c r="U29" s="341"/>
      <c r="V29" s="365">
        <v>533138</v>
      </c>
      <c r="W29" s="369">
        <f t="shared" si="0"/>
        <v>533138</v>
      </c>
      <c r="X29" s="140" t="s">
        <v>953</v>
      </c>
    </row>
    <row r="30" spans="1:24" ht="30" customHeight="1" x14ac:dyDescent="0.25">
      <c r="A30" s="339">
        <f t="shared" si="1"/>
        <v>25</v>
      </c>
      <c r="B30" s="340" t="s">
        <v>662</v>
      </c>
      <c r="C30" s="336"/>
      <c r="D30" s="336" t="s">
        <v>750</v>
      </c>
      <c r="E30" s="341"/>
      <c r="F30" s="381"/>
      <c r="G30" s="341"/>
      <c r="H30" s="341"/>
      <c r="I30" s="341"/>
      <c r="J30" s="341"/>
      <c r="K30" s="341"/>
      <c r="L30" s="341"/>
      <c r="M30" s="341"/>
      <c r="N30" s="341"/>
      <c r="O30" s="341"/>
      <c r="P30" s="341"/>
      <c r="Q30" s="341"/>
      <c r="R30" s="341"/>
      <c r="S30" s="341"/>
      <c r="T30" s="341"/>
      <c r="U30" s="341"/>
      <c r="V30" s="365">
        <v>556517.39</v>
      </c>
      <c r="W30" s="369">
        <f t="shared" si="0"/>
        <v>556517.39</v>
      </c>
      <c r="X30" s="140" t="s">
        <v>953</v>
      </c>
    </row>
    <row r="31" spans="1:24" ht="30" customHeight="1" x14ac:dyDescent="0.25">
      <c r="A31" s="339">
        <f t="shared" si="1"/>
        <v>26</v>
      </c>
      <c r="B31" s="340" t="s">
        <v>677</v>
      </c>
      <c r="C31" s="336"/>
      <c r="D31" s="336" t="s">
        <v>750</v>
      </c>
      <c r="E31" s="341"/>
      <c r="F31" s="381"/>
      <c r="G31" s="341"/>
      <c r="H31" s="341"/>
      <c r="I31" s="341"/>
      <c r="J31" s="341"/>
      <c r="K31" s="341"/>
      <c r="L31" s="341"/>
      <c r="M31" s="341"/>
      <c r="N31" s="341"/>
      <c r="O31" s="341"/>
      <c r="P31" s="341"/>
      <c r="Q31" s="341"/>
      <c r="R31" s="341"/>
      <c r="S31" s="341"/>
      <c r="T31" s="341"/>
      <c r="U31" s="341"/>
      <c r="V31" s="365">
        <v>525496.48</v>
      </c>
      <c r="W31" s="369">
        <f t="shared" si="0"/>
        <v>525496.48</v>
      </c>
      <c r="X31" s="140" t="s">
        <v>953</v>
      </c>
    </row>
    <row r="32" spans="1:24" ht="30" customHeight="1" x14ac:dyDescent="0.25">
      <c r="A32" s="339">
        <f t="shared" si="1"/>
        <v>27</v>
      </c>
      <c r="B32" s="340" t="s">
        <v>688</v>
      </c>
      <c r="C32" s="336"/>
      <c r="D32" s="336" t="s">
        <v>750</v>
      </c>
      <c r="E32" s="341"/>
      <c r="F32" s="38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65">
        <v>193848</v>
      </c>
      <c r="W32" s="369">
        <f t="shared" si="0"/>
        <v>193848</v>
      </c>
      <c r="X32" s="140" t="s">
        <v>953</v>
      </c>
    </row>
    <row r="33" spans="1:24" ht="30" customHeight="1" x14ac:dyDescent="0.25">
      <c r="A33" s="339">
        <f t="shared" si="1"/>
        <v>28</v>
      </c>
      <c r="B33" s="340" t="s">
        <v>675</v>
      </c>
      <c r="C33" s="336"/>
      <c r="D33" s="336" t="s">
        <v>750</v>
      </c>
      <c r="E33" s="341"/>
      <c r="F33" s="381"/>
      <c r="G33" s="341"/>
      <c r="H33" s="341"/>
      <c r="I33" s="341"/>
      <c r="J33" s="341"/>
      <c r="K33" s="341"/>
      <c r="L33" s="341"/>
      <c r="M33" s="341"/>
      <c r="N33" s="341"/>
      <c r="O33" s="341"/>
      <c r="P33" s="341"/>
      <c r="Q33" s="341"/>
      <c r="R33" s="341"/>
      <c r="S33" s="341"/>
      <c r="T33" s="341"/>
      <c r="U33" s="341"/>
      <c r="V33" s="365">
        <v>21564</v>
      </c>
      <c r="W33" s="369">
        <f t="shared" si="0"/>
        <v>21564</v>
      </c>
      <c r="X33" s="140" t="s">
        <v>953</v>
      </c>
    </row>
    <row r="34" spans="1:24" ht="30" customHeight="1" x14ac:dyDescent="0.25">
      <c r="A34" s="339">
        <f t="shared" si="1"/>
        <v>29</v>
      </c>
      <c r="B34" s="340" t="s">
        <v>691</v>
      </c>
      <c r="C34" s="336"/>
      <c r="D34" s="336" t="s">
        <v>750</v>
      </c>
      <c r="E34" s="341"/>
      <c r="F34" s="381"/>
      <c r="G34" s="341"/>
      <c r="H34" s="341"/>
      <c r="I34" s="341"/>
      <c r="J34" s="341"/>
      <c r="K34" s="341"/>
      <c r="L34" s="341"/>
      <c r="M34" s="341"/>
      <c r="N34" s="341"/>
      <c r="O34" s="341"/>
      <c r="P34" s="341"/>
      <c r="Q34" s="341"/>
      <c r="R34" s="341"/>
      <c r="S34" s="341"/>
      <c r="T34" s="341"/>
      <c r="U34" s="341"/>
      <c r="V34" s="365">
        <v>147671.4</v>
      </c>
      <c r="W34" s="369">
        <f t="shared" si="0"/>
        <v>147671.4</v>
      </c>
      <c r="X34" s="140" t="s">
        <v>953</v>
      </c>
    </row>
    <row r="35" spans="1:24" ht="30" customHeight="1" x14ac:dyDescent="0.25">
      <c r="A35" s="339">
        <f t="shared" si="1"/>
        <v>30</v>
      </c>
      <c r="B35" s="340" t="s">
        <v>941</v>
      </c>
      <c r="C35" s="336"/>
      <c r="D35" s="336" t="s">
        <v>750</v>
      </c>
      <c r="E35" s="341"/>
      <c r="F35" s="38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65">
        <v>183810</v>
      </c>
      <c r="W35" s="369">
        <f t="shared" ref="W35:W45" si="2">SUM(J35:V35)</f>
        <v>183810</v>
      </c>
      <c r="X35" s="140" t="s">
        <v>953</v>
      </c>
    </row>
    <row r="36" spans="1:24" ht="30" customHeight="1" x14ac:dyDescent="0.25">
      <c r="A36" s="339">
        <f t="shared" si="1"/>
        <v>31</v>
      </c>
      <c r="B36" s="340" t="s">
        <v>942</v>
      </c>
      <c r="C36" s="336"/>
      <c r="D36" s="336" t="s">
        <v>750</v>
      </c>
      <c r="E36" s="341"/>
      <c r="F36" s="38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65">
        <v>112214</v>
      </c>
      <c r="W36" s="369">
        <f t="shared" si="2"/>
        <v>112214</v>
      </c>
      <c r="X36" s="140" t="s">
        <v>953</v>
      </c>
    </row>
    <row r="37" spans="1:24" ht="30" customHeight="1" x14ac:dyDescent="0.25">
      <c r="A37" s="339">
        <f t="shared" si="1"/>
        <v>32</v>
      </c>
      <c r="B37" s="340" t="s">
        <v>943</v>
      </c>
      <c r="C37" s="336"/>
      <c r="D37" s="336" t="s">
        <v>750</v>
      </c>
      <c r="E37" s="341"/>
      <c r="F37" s="381"/>
      <c r="G37" s="341"/>
      <c r="H37" s="341"/>
      <c r="I37" s="341"/>
      <c r="J37" s="341"/>
      <c r="K37" s="341"/>
      <c r="L37" s="341"/>
      <c r="M37" s="341"/>
      <c r="N37" s="341"/>
      <c r="O37" s="341"/>
      <c r="P37" s="341"/>
      <c r="Q37" s="341"/>
      <c r="R37" s="341"/>
      <c r="S37" s="341"/>
      <c r="T37" s="341"/>
      <c r="U37" s="341"/>
      <c r="V37" s="365">
        <v>138340</v>
      </c>
      <c r="W37" s="369">
        <f t="shared" si="2"/>
        <v>138340</v>
      </c>
      <c r="X37" s="140" t="s">
        <v>953</v>
      </c>
    </row>
    <row r="38" spans="1:24" ht="30" customHeight="1" x14ac:dyDescent="0.25">
      <c r="A38" s="339">
        <f t="shared" si="1"/>
        <v>33</v>
      </c>
      <c r="B38" s="340" t="s">
        <v>944</v>
      </c>
      <c r="C38" s="336"/>
      <c r="D38" s="336" t="s">
        <v>750</v>
      </c>
      <c r="E38" s="341"/>
      <c r="F38" s="381"/>
      <c r="G38" s="341"/>
      <c r="H38" s="341"/>
      <c r="I38" s="341"/>
      <c r="J38" s="341"/>
      <c r="K38" s="341"/>
      <c r="L38" s="341"/>
      <c r="M38" s="341"/>
      <c r="N38" s="341"/>
      <c r="O38" s="341"/>
      <c r="P38" s="341"/>
      <c r="Q38" s="341"/>
      <c r="R38" s="341"/>
      <c r="S38" s="341"/>
      <c r="T38" s="341"/>
      <c r="U38" s="341"/>
      <c r="V38" s="365">
        <v>24010</v>
      </c>
      <c r="W38" s="369">
        <f t="shared" si="2"/>
        <v>24010</v>
      </c>
      <c r="X38" s="140" t="s">
        <v>953</v>
      </c>
    </row>
    <row r="39" spans="1:24" ht="30" customHeight="1" x14ac:dyDescent="0.25">
      <c r="A39" s="339">
        <f t="shared" si="1"/>
        <v>34</v>
      </c>
      <c r="B39" s="340" t="s">
        <v>945</v>
      </c>
      <c r="C39" s="336"/>
      <c r="D39" s="336" t="s">
        <v>750</v>
      </c>
      <c r="E39" s="341"/>
      <c r="F39" s="38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65">
        <v>247800</v>
      </c>
      <c r="W39" s="369">
        <f t="shared" si="2"/>
        <v>247800</v>
      </c>
      <c r="X39" s="140" t="s">
        <v>953</v>
      </c>
    </row>
    <row r="40" spans="1:24" ht="30" customHeight="1" x14ac:dyDescent="0.25">
      <c r="A40" s="339">
        <f t="shared" si="1"/>
        <v>35</v>
      </c>
      <c r="B40" s="340" t="s">
        <v>946</v>
      </c>
      <c r="C40" s="336"/>
      <c r="D40" s="336" t="s">
        <v>750</v>
      </c>
      <c r="E40" s="341"/>
      <c r="F40" s="38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65">
        <v>357942.95</v>
      </c>
      <c r="W40" s="369">
        <f t="shared" si="2"/>
        <v>357942.95</v>
      </c>
      <c r="X40" s="140" t="s">
        <v>953</v>
      </c>
    </row>
    <row r="41" spans="1:24" ht="30" customHeight="1" x14ac:dyDescent="0.25">
      <c r="A41" s="339">
        <f t="shared" si="1"/>
        <v>36</v>
      </c>
      <c r="B41" s="340" t="s">
        <v>947</v>
      </c>
      <c r="C41" s="336"/>
      <c r="D41" s="336" t="s">
        <v>750</v>
      </c>
      <c r="E41" s="341"/>
      <c r="F41" s="38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65">
        <v>185850</v>
      </c>
      <c r="W41" s="369">
        <f t="shared" si="2"/>
        <v>185850</v>
      </c>
      <c r="X41" s="140" t="s">
        <v>953</v>
      </c>
    </row>
    <row r="42" spans="1:24" ht="30" customHeight="1" x14ac:dyDescent="0.25">
      <c r="A42" s="339">
        <f t="shared" si="1"/>
        <v>37</v>
      </c>
      <c r="B42" s="340" t="s">
        <v>948</v>
      </c>
      <c r="C42" s="336"/>
      <c r="D42" s="336" t="s">
        <v>750</v>
      </c>
      <c r="E42" s="341"/>
      <c r="F42" s="381"/>
      <c r="G42" s="341"/>
      <c r="H42" s="341"/>
      <c r="I42" s="341"/>
      <c r="J42" s="341"/>
      <c r="K42" s="341"/>
      <c r="L42" s="341"/>
      <c r="M42" s="341"/>
      <c r="N42" s="341"/>
      <c r="O42" s="341"/>
      <c r="P42" s="341"/>
      <c r="Q42" s="341"/>
      <c r="R42" s="341"/>
      <c r="S42" s="341"/>
      <c r="T42" s="341"/>
      <c r="U42" s="341"/>
      <c r="V42" s="365">
        <v>271400</v>
      </c>
      <c r="W42" s="369">
        <f t="shared" si="2"/>
        <v>271400</v>
      </c>
      <c r="X42" s="140" t="s">
        <v>953</v>
      </c>
    </row>
    <row r="43" spans="1:24" ht="30" customHeight="1" x14ac:dyDescent="0.25">
      <c r="A43" s="339">
        <f t="shared" si="1"/>
        <v>38</v>
      </c>
      <c r="B43" s="340" t="s">
        <v>712</v>
      </c>
      <c r="C43" s="336"/>
      <c r="D43" s="336" t="s">
        <v>750</v>
      </c>
      <c r="E43" s="341"/>
      <c r="F43" s="381"/>
      <c r="G43" s="341"/>
      <c r="H43" s="341"/>
      <c r="I43" s="341"/>
      <c r="J43" s="341"/>
      <c r="K43" s="341"/>
      <c r="L43" s="341"/>
      <c r="M43" s="341"/>
      <c r="N43" s="341"/>
      <c r="O43" s="341"/>
      <c r="P43" s="341"/>
      <c r="Q43" s="365">
        <v>3900</v>
      </c>
      <c r="R43" s="341"/>
      <c r="S43" s="341"/>
      <c r="T43" s="341"/>
      <c r="U43" s="341"/>
      <c r="V43" s="341"/>
      <c r="W43" s="369">
        <f t="shared" si="2"/>
        <v>3900</v>
      </c>
      <c r="X43" s="140" t="s">
        <v>954</v>
      </c>
    </row>
    <row r="44" spans="1:24" ht="30" customHeight="1" x14ac:dyDescent="0.25">
      <c r="A44" s="339">
        <f t="shared" si="1"/>
        <v>39</v>
      </c>
      <c r="B44" s="340" t="s">
        <v>712</v>
      </c>
      <c r="C44" s="336"/>
      <c r="D44" s="336" t="s">
        <v>750</v>
      </c>
      <c r="E44" s="341"/>
      <c r="F44" s="38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65">
        <v>9060</v>
      </c>
      <c r="R44" s="341"/>
      <c r="S44" s="341"/>
      <c r="T44" s="341"/>
      <c r="U44" s="341"/>
      <c r="V44" s="341"/>
      <c r="W44" s="369">
        <f t="shared" si="2"/>
        <v>9060</v>
      </c>
      <c r="X44" s="140" t="s">
        <v>954</v>
      </c>
    </row>
    <row r="45" spans="1:24" ht="30" customHeight="1" x14ac:dyDescent="0.25">
      <c r="A45" s="339">
        <f t="shared" si="1"/>
        <v>40</v>
      </c>
      <c r="B45" s="340" t="s">
        <v>712</v>
      </c>
      <c r="C45" s="336"/>
      <c r="D45" s="336" t="s">
        <v>750</v>
      </c>
      <c r="E45" s="341"/>
      <c r="F45" s="38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65">
        <v>9120</v>
      </c>
      <c r="R45" s="341"/>
      <c r="S45" s="341"/>
      <c r="T45" s="341"/>
      <c r="U45" s="341"/>
      <c r="V45" s="341"/>
      <c r="W45" s="369">
        <f t="shared" si="2"/>
        <v>9120</v>
      </c>
      <c r="X45" s="140" t="s">
        <v>954</v>
      </c>
    </row>
    <row r="46" spans="1:24" ht="30" customHeight="1" x14ac:dyDescent="0.25">
      <c r="A46" s="339"/>
      <c r="B46" s="375"/>
      <c r="C46" s="375"/>
      <c r="D46" s="375"/>
      <c r="E46" s="376">
        <f>SUM(E6:E25)</f>
        <v>0</v>
      </c>
      <c r="F46" s="382">
        <f>SUM(F6:F25)</f>
        <v>0</v>
      </c>
      <c r="G46" s="376">
        <f>SUM(G6:G25)</f>
        <v>0</v>
      </c>
      <c r="H46" s="376">
        <f>SUM(H6:H25)</f>
        <v>0</v>
      </c>
      <c r="I46" s="376">
        <f>SUM(I6:I25)</f>
        <v>0</v>
      </c>
      <c r="J46" s="376">
        <f>SUM(J6:J45)</f>
        <v>512585.05</v>
      </c>
      <c r="K46" s="376">
        <f t="shared" ref="K46:V46" si="3">SUM(K6:K45)</f>
        <v>178982.39999999999</v>
      </c>
      <c r="L46" s="376">
        <f t="shared" si="3"/>
        <v>5691.23</v>
      </c>
      <c r="M46" s="376">
        <f t="shared" si="3"/>
        <v>0</v>
      </c>
      <c r="N46" s="376">
        <f t="shared" si="3"/>
        <v>9500</v>
      </c>
      <c r="O46" s="376">
        <f t="shared" si="3"/>
        <v>13900</v>
      </c>
      <c r="P46" s="376">
        <f t="shared" si="3"/>
        <v>18500</v>
      </c>
      <c r="Q46" s="376">
        <f t="shared" si="3"/>
        <v>64155</v>
      </c>
      <c r="R46" s="376">
        <f t="shared" si="3"/>
        <v>28760</v>
      </c>
      <c r="S46" s="376">
        <f t="shared" si="3"/>
        <v>28262.799999999999</v>
      </c>
      <c r="T46" s="376">
        <f t="shared" si="3"/>
        <v>0</v>
      </c>
      <c r="U46" s="376">
        <f t="shared" si="3"/>
        <v>90696.12</v>
      </c>
      <c r="V46" s="376">
        <f t="shared" si="3"/>
        <v>4049393.85</v>
      </c>
      <c r="W46" s="370">
        <f>SUM(W6:W45)</f>
        <v>5000426.45</v>
      </c>
    </row>
    <row r="47" spans="1:24" ht="30" customHeight="1" x14ac:dyDescent="0.25">
      <c r="A47" s="485" t="s">
        <v>594</v>
      </c>
      <c r="B47" s="486"/>
      <c r="C47" s="486"/>
      <c r="D47" s="486"/>
      <c r="E47" s="486"/>
      <c r="F47" s="486"/>
      <c r="G47" s="486"/>
      <c r="H47" s="486"/>
      <c r="I47" s="486"/>
      <c r="J47" s="486"/>
      <c r="K47" s="487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54"/>
      <c r="W47" s="374">
        <f>+W46</f>
        <v>5000426.45</v>
      </c>
    </row>
    <row r="48" spans="1:24" ht="30" customHeight="1" x14ac:dyDescent="0.25">
      <c r="Q48" t="s">
        <v>547</v>
      </c>
    </row>
  </sheetData>
  <sortState xmlns:xlrd2="http://schemas.microsoft.com/office/spreadsheetml/2017/richdata2" ref="A7:E46">
    <sortCondition ref="D7:D46"/>
  </sortState>
  <mergeCells count="7">
    <mergeCell ref="A47:K47"/>
    <mergeCell ref="A1:W1"/>
    <mergeCell ref="A2:W2"/>
    <mergeCell ref="A3:W3"/>
    <mergeCell ref="A4:A5"/>
    <mergeCell ref="B4:B5"/>
    <mergeCell ref="E4:K4"/>
  </mergeCells>
  <phoneticPr fontId="44" type="noConversion"/>
  <pageMargins left="0" right="0.11811023622047245" top="0.74803149606299213" bottom="0.74803149606299213" header="0.31496062992125984" footer="0.31496062992125984"/>
  <pageSetup paperSize="5" scale="44" orientation="landscape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69"/>
  <sheetViews>
    <sheetView zoomScale="53" zoomScaleNormal="53" workbookViewId="0">
      <selection activeCell="G35" sqref="G35"/>
    </sheetView>
  </sheetViews>
  <sheetFormatPr baseColWidth="10" defaultColWidth="11.42578125" defaultRowHeight="15" x14ac:dyDescent="0.25"/>
  <cols>
    <col min="1" max="1" width="26.28515625" bestFit="1" customWidth="1"/>
    <col min="2" max="2" width="44" customWidth="1"/>
    <col min="3" max="3" width="25" bestFit="1" customWidth="1"/>
    <col min="4" max="4" width="23.85546875" bestFit="1" customWidth="1"/>
    <col min="5" max="8" width="25" bestFit="1" customWidth="1"/>
    <col min="9" max="9" width="24.42578125" bestFit="1" customWidth="1"/>
    <col min="10" max="11" width="25" bestFit="1" customWidth="1"/>
    <col min="12" max="13" width="24.42578125" bestFit="1" customWidth="1"/>
    <col min="14" max="14" width="25" bestFit="1" customWidth="1"/>
    <col min="15" max="15" width="24.42578125" bestFit="1" customWidth="1"/>
    <col min="16" max="17" width="25.7109375" bestFit="1" customWidth="1"/>
    <col min="18" max="18" width="25" bestFit="1" customWidth="1"/>
    <col min="19" max="19" width="25.7109375" bestFit="1" customWidth="1"/>
    <col min="20" max="21" width="25" bestFit="1" customWidth="1"/>
    <col min="22" max="22" width="24.42578125" bestFit="1" customWidth="1"/>
    <col min="23" max="23" width="25.7109375" bestFit="1" customWidth="1"/>
    <col min="24" max="24" width="24.42578125" bestFit="1" customWidth="1"/>
    <col min="25" max="25" width="18.42578125" bestFit="1" customWidth="1"/>
    <col min="26" max="26" width="16.28515625" bestFit="1" customWidth="1"/>
    <col min="27" max="27" width="16" hidden="1" customWidth="1"/>
  </cols>
  <sheetData>
    <row r="1" spans="1:26" x14ac:dyDescent="0.25">
      <c r="A1" s="263"/>
      <c r="J1" s="184"/>
      <c r="M1" s="184"/>
    </row>
    <row r="2" spans="1:26" ht="28.5" x14ac:dyDescent="0.45">
      <c r="A2" s="500" t="s">
        <v>596</v>
      </c>
      <c r="B2" s="500"/>
      <c r="C2" s="500"/>
      <c r="D2" s="500"/>
      <c r="E2" s="500"/>
      <c r="F2" s="500"/>
      <c r="G2" s="500"/>
      <c r="H2" s="500"/>
      <c r="I2" s="500"/>
      <c r="J2" s="500"/>
      <c r="K2" s="500"/>
      <c r="L2" s="185"/>
      <c r="M2" s="184"/>
    </row>
    <row r="3" spans="1:26" ht="23.25" x14ac:dyDescent="0.35">
      <c r="A3" s="501" t="s">
        <v>597</v>
      </c>
      <c r="B3" s="501"/>
      <c r="C3" s="501"/>
      <c r="D3" s="501"/>
      <c r="E3" s="501"/>
      <c r="F3" s="501"/>
      <c r="G3" s="501"/>
      <c r="H3" s="501"/>
      <c r="I3" s="501"/>
      <c r="J3" s="501"/>
      <c r="K3" s="501"/>
      <c r="L3" s="185"/>
      <c r="M3" s="184"/>
    </row>
    <row r="4" spans="1:26" ht="18.75" x14ac:dyDescent="0.3">
      <c r="A4" s="502" t="s">
        <v>598</v>
      </c>
      <c r="B4" s="502"/>
      <c r="C4" s="502"/>
      <c r="D4" s="502"/>
      <c r="E4" s="502"/>
      <c r="F4" s="502"/>
      <c r="G4" s="502"/>
      <c r="H4" s="502"/>
      <c r="I4" s="502"/>
      <c r="J4" s="502"/>
      <c r="K4" s="502"/>
      <c r="L4" s="185"/>
      <c r="M4" s="184"/>
    </row>
    <row r="5" spans="1:26" x14ac:dyDescent="0.25">
      <c r="A5" s="263"/>
      <c r="E5" s="503" t="s">
        <v>599</v>
      </c>
      <c r="F5" s="392"/>
      <c r="J5" s="184"/>
      <c r="M5" s="184"/>
    </row>
    <row r="6" spans="1:26" ht="23.25" x14ac:dyDescent="0.35">
      <c r="A6" s="186" t="s">
        <v>600</v>
      </c>
      <c r="B6" s="186" t="s">
        <v>657</v>
      </c>
      <c r="C6" s="186"/>
      <c r="D6" s="186"/>
      <c r="E6" s="186"/>
      <c r="F6" s="186"/>
      <c r="G6" s="186"/>
      <c r="H6" s="186"/>
      <c r="I6" s="186"/>
      <c r="J6" s="187"/>
      <c r="K6" s="188"/>
      <c r="L6" s="189"/>
      <c r="M6" s="190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2"/>
    </row>
    <row r="7" spans="1:26" ht="15.75" thickBot="1" x14ac:dyDescent="0.3">
      <c r="A7" s="193"/>
      <c r="B7" s="194"/>
      <c r="C7" s="194"/>
      <c r="D7" s="194"/>
      <c r="E7" s="194"/>
      <c r="F7" s="194"/>
      <c r="G7" s="194"/>
      <c r="H7" s="194"/>
      <c r="I7" s="194"/>
      <c r="J7" s="195"/>
      <c r="K7" s="194"/>
      <c r="L7" s="194"/>
      <c r="M7" s="184"/>
    </row>
    <row r="8" spans="1:26" ht="18.75" x14ac:dyDescent="0.25">
      <c r="A8" s="504" t="s">
        <v>574</v>
      </c>
      <c r="B8" s="505"/>
      <c r="C8" s="506" t="s">
        <v>601</v>
      </c>
      <c r="D8" s="507"/>
      <c r="E8" s="508" t="s">
        <v>602</v>
      </c>
      <c r="F8" s="508"/>
      <c r="G8" s="508" t="s">
        <v>603</v>
      </c>
      <c r="H8" s="508"/>
      <c r="I8" s="508" t="s">
        <v>604</v>
      </c>
      <c r="J8" s="508"/>
      <c r="K8" s="508" t="s">
        <v>605</v>
      </c>
      <c r="L8" s="508"/>
      <c r="M8" s="508" t="s">
        <v>606</v>
      </c>
      <c r="N8" s="508"/>
      <c r="O8" s="508" t="s">
        <v>607</v>
      </c>
      <c r="P8" s="508"/>
      <c r="Q8" s="508" t="s">
        <v>608</v>
      </c>
      <c r="R8" s="508"/>
      <c r="S8" s="508" t="s">
        <v>609</v>
      </c>
      <c r="T8" s="508"/>
      <c r="U8" s="508" t="s">
        <v>610</v>
      </c>
      <c r="V8" s="508"/>
      <c r="W8" s="508" t="s">
        <v>611</v>
      </c>
      <c r="X8" s="508"/>
      <c r="Y8" s="508" t="s">
        <v>612</v>
      </c>
      <c r="Z8" s="508"/>
    </row>
    <row r="9" spans="1:26" ht="18.75" x14ac:dyDescent="0.25">
      <c r="A9" s="196"/>
      <c r="B9" s="196"/>
      <c r="C9" s="266" t="s">
        <v>613</v>
      </c>
      <c r="D9" s="266" t="s">
        <v>614</v>
      </c>
      <c r="E9" s="266" t="s">
        <v>613</v>
      </c>
      <c r="F9" s="266" t="s">
        <v>614</v>
      </c>
      <c r="G9" s="266" t="s">
        <v>613</v>
      </c>
      <c r="H9" s="266" t="s">
        <v>614</v>
      </c>
      <c r="I9" s="266" t="s">
        <v>613</v>
      </c>
      <c r="J9" s="197" t="s">
        <v>614</v>
      </c>
      <c r="K9" s="266" t="s">
        <v>613</v>
      </c>
      <c r="L9" s="266" t="s">
        <v>614</v>
      </c>
      <c r="M9" s="197" t="s">
        <v>613</v>
      </c>
      <c r="N9" s="266" t="s">
        <v>614</v>
      </c>
      <c r="O9" s="266" t="s">
        <v>613</v>
      </c>
      <c r="P9" s="266" t="s">
        <v>614</v>
      </c>
      <c r="Q9" s="266" t="s">
        <v>613</v>
      </c>
      <c r="R9" s="266" t="s">
        <v>614</v>
      </c>
      <c r="S9" s="266" t="s">
        <v>613</v>
      </c>
      <c r="T9" s="266" t="s">
        <v>614</v>
      </c>
      <c r="U9" s="266" t="s">
        <v>613</v>
      </c>
      <c r="V9" s="266" t="s">
        <v>614</v>
      </c>
      <c r="W9" s="266" t="s">
        <v>613</v>
      </c>
      <c r="X9" s="266" t="s">
        <v>614</v>
      </c>
      <c r="Y9" s="266" t="s">
        <v>613</v>
      </c>
      <c r="Z9" s="266" t="s">
        <v>614</v>
      </c>
    </row>
    <row r="10" spans="1:26" ht="18.75" x14ac:dyDescent="0.3">
      <c r="A10" s="198">
        <v>1</v>
      </c>
      <c r="B10" s="199" t="s">
        <v>615</v>
      </c>
      <c r="C10" s="200">
        <v>4027257.33</v>
      </c>
      <c r="D10" s="200">
        <v>4833111.5</v>
      </c>
      <c r="E10" s="201">
        <v>4840265.29</v>
      </c>
      <c r="F10" s="201">
        <v>5841673.1500000004</v>
      </c>
      <c r="G10" s="201">
        <v>3159909.72</v>
      </c>
      <c r="H10" s="201">
        <v>4645181.3899999997</v>
      </c>
      <c r="I10" s="202">
        <v>1946482.71</v>
      </c>
      <c r="J10" s="201">
        <v>3053879.97</v>
      </c>
      <c r="K10" s="202">
        <v>3199661.24</v>
      </c>
      <c r="L10" s="201">
        <v>3249661.24</v>
      </c>
      <c r="M10" s="201">
        <v>5356651.46</v>
      </c>
      <c r="N10" s="201"/>
      <c r="O10" s="203">
        <v>4812753.51</v>
      </c>
      <c r="P10" s="203">
        <v>5346295.1399999997</v>
      </c>
      <c r="Q10" s="203">
        <v>7413343.7400000002</v>
      </c>
      <c r="R10" s="203">
        <v>4903253.51</v>
      </c>
      <c r="S10" s="203">
        <v>5095748.9000000004</v>
      </c>
      <c r="T10" s="203">
        <v>7386343.7400000002</v>
      </c>
      <c r="U10" s="202">
        <v>3962152.9</v>
      </c>
      <c r="V10" s="202">
        <v>2015276.3</v>
      </c>
      <c r="W10" s="202">
        <v>7112050.7999999998</v>
      </c>
      <c r="X10" s="202">
        <f>3879690.42+50000+50000+6000+500</f>
        <v>3986190.42</v>
      </c>
      <c r="Y10" s="202"/>
      <c r="Z10" s="204"/>
    </row>
    <row r="11" spans="1:26" ht="18.75" x14ac:dyDescent="0.3">
      <c r="A11" s="198">
        <v>2</v>
      </c>
      <c r="B11" s="199" t="s">
        <v>616</v>
      </c>
      <c r="C11" s="200">
        <v>1094583.75</v>
      </c>
      <c r="D11" s="200"/>
      <c r="E11" s="201">
        <v>2417181.13</v>
      </c>
      <c r="F11" s="201">
        <v>2152926.5099999998</v>
      </c>
      <c r="G11" s="201">
        <v>2645113.9</v>
      </c>
      <c r="H11" s="201">
        <v>1041144.31</v>
      </c>
      <c r="I11" s="202">
        <v>3267715.24</v>
      </c>
      <c r="J11" s="201">
        <v>2326714.9500000002</v>
      </c>
      <c r="K11" s="202">
        <v>2490193.7200000002</v>
      </c>
      <c r="L11" s="201">
        <v>2588374.06</v>
      </c>
      <c r="M11" s="201">
        <v>1240459.8799999999</v>
      </c>
      <c r="N11" s="201">
        <v>2927464.43</v>
      </c>
      <c r="O11" s="203">
        <v>2661675.0099999998</v>
      </c>
      <c r="P11" s="203">
        <v>2432528.0099999998</v>
      </c>
      <c r="Q11" s="203">
        <v>2570895.81</v>
      </c>
      <c r="R11" s="203">
        <v>1219321.3899999999</v>
      </c>
      <c r="S11" s="203">
        <v>2390951.16</v>
      </c>
      <c r="T11" s="203">
        <f>2528895.81+50000</f>
        <v>2578895.81</v>
      </c>
      <c r="U11" s="202">
        <v>2495962.56</v>
      </c>
      <c r="V11" s="202">
        <v>2521542.4300000002</v>
      </c>
      <c r="W11" s="202">
        <v>1571156.8</v>
      </c>
      <c r="X11" s="202">
        <v>2110440.7999999998</v>
      </c>
      <c r="Y11" s="202"/>
      <c r="Z11" s="204"/>
    </row>
    <row r="12" spans="1:26" ht="18.75" x14ac:dyDescent="0.3">
      <c r="A12" s="198">
        <v>3</v>
      </c>
      <c r="B12" s="199" t="s">
        <v>617</v>
      </c>
      <c r="C12" s="200">
        <v>0</v>
      </c>
      <c r="D12" s="200">
        <v>0</v>
      </c>
      <c r="E12" s="201">
        <v>10985.64</v>
      </c>
      <c r="F12" s="201"/>
      <c r="G12" s="201">
        <v>0</v>
      </c>
      <c r="H12" s="201"/>
      <c r="I12" s="201"/>
      <c r="J12" s="201"/>
      <c r="K12" s="202">
        <v>2134.86</v>
      </c>
      <c r="L12" s="201">
        <v>13000</v>
      </c>
      <c r="M12" s="201">
        <v>30812.76</v>
      </c>
      <c r="N12" s="201"/>
      <c r="O12" s="203">
        <v>21145.63</v>
      </c>
      <c r="P12" s="203"/>
      <c r="Q12" s="203">
        <v>30463.1</v>
      </c>
      <c r="R12" s="203">
        <v>30468.55</v>
      </c>
      <c r="S12" s="203">
        <v>18188.8</v>
      </c>
      <c r="T12" s="203"/>
      <c r="U12" s="202">
        <v>13049.24</v>
      </c>
      <c r="V12" s="202"/>
      <c r="W12" s="202">
        <v>16090.03</v>
      </c>
      <c r="X12" s="202">
        <v>18188.8</v>
      </c>
      <c r="Y12" s="202"/>
      <c r="Z12" s="202"/>
    </row>
    <row r="13" spans="1:26" ht="18.75" x14ac:dyDescent="0.3">
      <c r="A13" s="198">
        <v>4</v>
      </c>
      <c r="B13" s="199" t="s">
        <v>679</v>
      </c>
      <c r="C13" s="200"/>
      <c r="D13" s="200"/>
      <c r="E13" s="201"/>
      <c r="F13" s="201"/>
      <c r="G13" s="201"/>
      <c r="H13" s="201"/>
      <c r="I13" s="201"/>
      <c r="J13" s="201"/>
      <c r="K13" s="202"/>
      <c r="L13" s="201"/>
      <c r="M13" s="201">
        <v>2580</v>
      </c>
      <c r="N13" s="201"/>
      <c r="O13" s="203"/>
      <c r="P13" s="203"/>
      <c r="Q13" s="203"/>
      <c r="R13" s="203">
        <v>2580</v>
      </c>
      <c r="S13" s="203"/>
      <c r="T13" s="203"/>
      <c r="U13" s="202"/>
      <c r="V13" s="202"/>
      <c r="W13" s="202"/>
      <c r="X13" s="202"/>
      <c r="Y13" s="202"/>
      <c r="Z13" s="202"/>
    </row>
    <row r="14" spans="1:26" ht="18.75" x14ac:dyDescent="0.3">
      <c r="A14" s="498" t="s">
        <v>618</v>
      </c>
      <c r="B14" s="498"/>
      <c r="C14" s="205">
        <v>5121841.08</v>
      </c>
      <c r="D14" s="205">
        <v>4833111.5</v>
      </c>
      <c r="E14" s="206">
        <v>7268432.0599999996</v>
      </c>
      <c r="F14" s="206">
        <v>7994599.6600000001</v>
      </c>
      <c r="G14" s="206">
        <v>5805023.6200000001</v>
      </c>
      <c r="H14" s="206">
        <v>5686325.6999999993</v>
      </c>
      <c r="I14" s="206">
        <v>5214197.95</v>
      </c>
      <c r="J14" s="207">
        <v>5380594.9199999999</v>
      </c>
      <c r="K14" s="208">
        <v>5691989.8200000012</v>
      </c>
      <c r="L14" s="206">
        <v>5851035.3000000007</v>
      </c>
      <c r="M14" s="207">
        <v>6630504.0999999996</v>
      </c>
      <c r="N14" s="206">
        <v>2927464.43</v>
      </c>
      <c r="O14" s="270">
        <v>7495574.1499999994</v>
      </c>
      <c r="P14" s="208">
        <v>7778823.1499999994</v>
      </c>
      <c r="Q14" s="208">
        <v>10014702.65</v>
      </c>
      <c r="R14" s="208">
        <v>6153043.4499999993</v>
      </c>
      <c r="S14" s="208">
        <f>SUM(S10:S13)</f>
        <v>7504888.8600000003</v>
      </c>
      <c r="T14" s="208">
        <f t="shared" ref="T14:Z14" si="0">SUM(T10:T13)</f>
        <v>9965239.5500000007</v>
      </c>
      <c r="U14" s="208">
        <f t="shared" si="0"/>
        <v>6471164.7000000002</v>
      </c>
      <c r="V14" s="208">
        <f t="shared" si="0"/>
        <v>4536818.7300000004</v>
      </c>
      <c r="W14" s="208">
        <f>SUM(W10:W13)</f>
        <v>8699297.629999999</v>
      </c>
      <c r="X14" s="208">
        <f t="shared" si="0"/>
        <v>6114820.0199999996</v>
      </c>
      <c r="Y14" s="208">
        <f t="shared" si="0"/>
        <v>0</v>
      </c>
      <c r="Z14" s="208">
        <f t="shared" si="0"/>
        <v>0</v>
      </c>
    </row>
    <row r="15" spans="1:26" ht="18.75" x14ac:dyDescent="0.3">
      <c r="A15" s="198">
        <v>5</v>
      </c>
      <c r="B15" s="199" t="s">
        <v>619</v>
      </c>
      <c r="C15" s="200">
        <v>211714.57</v>
      </c>
      <c r="D15" s="209">
        <v>206908.45</v>
      </c>
      <c r="E15" s="201">
        <v>389860</v>
      </c>
      <c r="F15" s="201"/>
      <c r="G15" s="201">
        <v>189915.47999999998</v>
      </c>
      <c r="H15" s="201">
        <v>606511.88</v>
      </c>
      <c r="I15" s="202">
        <v>448858.04</v>
      </c>
      <c r="J15" s="201">
        <v>187591.59999999998</v>
      </c>
      <c r="K15" s="202">
        <v>173257.12</v>
      </c>
      <c r="L15" s="201">
        <v>442756.63</v>
      </c>
      <c r="M15" s="201">
        <v>274846.74</v>
      </c>
      <c r="N15" s="210"/>
      <c r="O15" s="202">
        <v>265950.63</v>
      </c>
      <c r="P15" s="202">
        <v>441505.67000000004</v>
      </c>
      <c r="Q15" s="202">
        <v>142766.48000000001</v>
      </c>
      <c r="R15" s="202">
        <v>130717.94</v>
      </c>
      <c r="S15" s="202">
        <f>80190.4+6545.23+196009.12</f>
        <v>282744.75</v>
      </c>
      <c r="T15" s="202">
        <f>87151.82+48471.2+133968.58+5754</f>
        <v>275345.59999999998</v>
      </c>
      <c r="U15" s="202">
        <f>67416+3960.5+295194.04</f>
        <v>366570.54</v>
      </c>
      <c r="V15" s="202"/>
      <c r="W15" s="202">
        <f>87744.4+14022.84+407190.87</f>
        <v>508958.11</v>
      </c>
      <c r="X15" s="202">
        <f>6044.93+67416+3248.15+80190.4+156815.27+293688.85+38223.05</f>
        <v>645626.65</v>
      </c>
      <c r="Y15" s="202"/>
      <c r="Z15" s="202"/>
    </row>
    <row r="16" spans="1:26" ht="18.75" x14ac:dyDescent="0.3">
      <c r="A16" s="198">
        <v>6</v>
      </c>
      <c r="B16" s="199" t="s">
        <v>620</v>
      </c>
      <c r="C16" s="200"/>
      <c r="D16" s="200"/>
      <c r="E16" s="201"/>
      <c r="F16" s="201"/>
      <c r="G16" s="201"/>
      <c r="H16" s="201"/>
      <c r="I16" s="202"/>
      <c r="J16" s="201"/>
      <c r="K16" s="202"/>
      <c r="L16" s="210"/>
      <c r="M16" s="201"/>
      <c r="N16" s="201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</row>
    <row r="17" spans="1:26" ht="18.75" x14ac:dyDescent="0.3">
      <c r="A17" s="198">
        <v>7</v>
      </c>
      <c r="B17" s="199" t="s">
        <v>621</v>
      </c>
      <c r="C17" s="200">
        <v>275352.44</v>
      </c>
      <c r="D17" s="200">
        <v>156983.54999999999</v>
      </c>
      <c r="E17" s="201">
        <v>222716.34</v>
      </c>
      <c r="F17" s="201">
        <v>272552.44</v>
      </c>
      <c r="G17" s="201">
        <v>73918.679999999993</v>
      </c>
      <c r="H17" s="201">
        <v>222620.34</v>
      </c>
      <c r="I17" s="202"/>
      <c r="J17" s="201">
        <v>73057.08</v>
      </c>
      <c r="K17" s="201"/>
      <c r="L17" s="201"/>
      <c r="M17" s="201">
        <v>443337.56</v>
      </c>
      <c r="N17" s="201"/>
      <c r="O17" s="201"/>
      <c r="P17" s="201">
        <v>417359.58</v>
      </c>
      <c r="Q17" s="201">
        <v>378719.69</v>
      </c>
      <c r="R17" s="201"/>
      <c r="S17" s="201">
        <v>356377.87</v>
      </c>
      <c r="T17" s="201">
        <v>372910.21</v>
      </c>
      <c r="U17" s="201"/>
      <c r="V17" s="201"/>
      <c r="W17" s="201">
        <v>628535.91</v>
      </c>
      <c r="X17" s="201"/>
      <c r="Y17" s="201"/>
      <c r="Z17" s="201"/>
    </row>
    <row r="18" spans="1:26" ht="18.75" x14ac:dyDescent="0.3">
      <c r="A18" s="198">
        <v>8</v>
      </c>
      <c r="B18" s="199" t="s">
        <v>586</v>
      </c>
      <c r="C18" s="200">
        <v>7848.94</v>
      </c>
      <c r="D18" s="200">
        <v>55135.74</v>
      </c>
      <c r="E18" s="201">
        <v>14338.35</v>
      </c>
      <c r="F18" s="201">
        <v>7848.94</v>
      </c>
      <c r="G18" s="201">
        <v>162551.53</v>
      </c>
      <c r="H18" s="201">
        <v>14338.35</v>
      </c>
      <c r="I18" s="202">
        <v>37897.65</v>
      </c>
      <c r="J18" s="201">
        <v>19489.759999999998</v>
      </c>
      <c r="K18" s="201">
        <v>45390.42</v>
      </c>
      <c r="L18" s="201">
        <v>155606.87</v>
      </c>
      <c r="M18" s="201">
        <v>166835.63</v>
      </c>
      <c r="N18" s="201">
        <v>79214.03</v>
      </c>
      <c r="O18" s="201">
        <v>19360.439999999999</v>
      </c>
      <c r="P18" s="201">
        <v>86993.18</v>
      </c>
      <c r="Q18" s="201">
        <v>13119.97</v>
      </c>
      <c r="R18" s="201">
        <v>77589.09</v>
      </c>
      <c r="S18" s="201">
        <v>66096.600000000006</v>
      </c>
      <c r="T18" s="201">
        <v>19188.28</v>
      </c>
      <c r="U18" s="202">
        <v>19865.349999999999</v>
      </c>
      <c r="V18" s="202"/>
      <c r="W18" s="202">
        <v>50524.35</v>
      </c>
      <c r="X18" s="202"/>
      <c r="Y18" s="202"/>
      <c r="Z18" s="202"/>
    </row>
    <row r="19" spans="1:26" ht="18.75" x14ac:dyDescent="0.3">
      <c r="A19" s="198">
        <v>9</v>
      </c>
      <c r="B19" s="199" t="s">
        <v>587</v>
      </c>
      <c r="C19" s="200"/>
      <c r="D19" s="200"/>
      <c r="E19" s="201"/>
      <c r="F19" s="201"/>
      <c r="G19" s="201"/>
      <c r="H19" s="201"/>
      <c r="I19" s="202"/>
      <c r="J19" s="201"/>
      <c r="K19" s="201"/>
      <c r="L19" s="201"/>
      <c r="M19" s="201"/>
      <c r="N19" s="201"/>
      <c r="O19" s="201"/>
      <c r="P19" s="201"/>
      <c r="Q19" s="201"/>
      <c r="R19" s="201"/>
      <c r="S19" s="201"/>
      <c r="T19" s="201"/>
      <c r="U19" s="202"/>
      <c r="V19" s="202"/>
      <c r="W19" s="211"/>
      <c r="X19" s="211"/>
      <c r="Y19" s="202"/>
      <c r="Z19" s="202"/>
    </row>
    <row r="20" spans="1:26" ht="18.75" x14ac:dyDescent="0.3">
      <c r="A20" s="198">
        <v>10</v>
      </c>
      <c r="B20" s="199" t="s">
        <v>622</v>
      </c>
      <c r="C20" s="200">
        <v>44770.98</v>
      </c>
      <c r="D20" s="200"/>
      <c r="E20" s="201">
        <v>16720.82</v>
      </c>
      <c r="F20" s="201">
        <v>97648.3</v>
      </c>
      <c r="G20" s="201">
        <v>83376.61</v>
      </c>
      <c r="H20" s="201">
        <v>34117.68</v>
      </c>
      <c r="I20" s="202">
        <v>77617.279999999999</v>
      </c>
      <c r="J20" s="201">
        <v>97704.2</v>
      </c>
      <c r="K20" s="201">
        <v>29761.8</v>
      </c>
      <c r="L20" s="201"/>
      <c r="M20" s="201">
        <v>50732.77</v>
      </c>
      <c r="N20" s="201">
        <v>102719.16</v>
      </c>
      <c r="O20" s="201">
        <v>38168.82</v>
      </c>
      <c r="P20" s="201">
        <v>48385.69</v>
      </c>
      <c r="Q20" s="201">
        <v>45135.37</v>
      </c>
      <c r="R20" s="201">
        <v>38168.82</v>
      </c>
      <c r="S20" s="201">
        <v>37253.629999999997</v>
      </c>
      <c r="T20" s="201"/>
      <c r="U20" s="202">
        <v>87793.49</v>
      </c>
      <c r="V20" s="202">
        <v>31403.87</v>
      </c>
      <c r="W20" s="202">
        <v>60465.440000000002</v>
      </c>
      <c r="X20" s="202"/>
      <c r="Y20" s="202"/>
      <c r="Z20" s="202"/>
    </row>
    <row r="21" spans="1:26" ht="18.75" x14ac:dyDescent="0.3">
      <c r="A21" s="198">
        <v>11</v>
      </c>
      <c r="B21" s="199" t="s">
        <v>623</v>
      </c>
      <c r="C21" s="200"/>
      <c r="D21" s="200"/>
      <c r="E21" s="201"/>
      <c r="F21" s="201"/>
      <c r="G21" s="201"/>
      <c r="H21" s="201"/>
      <c r="I21" s="202"/>
      <c r="J21" s="201"/>
      <c r="K21" s="201"/>
      <c r="L21" s="201"/>
      <c r="M21" s="201"/>
      <c r="N21" s="201"/>
      <c r="O21" s="201"/>
      <c r="P21" s="201"/>
      <c r="Q21" s="201"/>
      <c r="R21" s="201"/>
      <c r="S21" s="201"/>
      <c r="T21" s="201"/>
      <c r="U21" s="202"/>
      <c r="V21" s="202"/>
      <c r="W21" s="202"/>
      <c r="X21" s="202"/>
      <c r="Y21" s="202"/>
      <c r="Z21" s="202"/>
    </row>
    <row r="22" spans="1:26" ht="18.75" x14ac:dyDescent="0.3">
      <c r="A22" s="198">
        <v>12</v>
      </c>
      <c r="B22" s="199" t="s">
        <v>624</v>
      </c>
      <c r="C22" s="200">
        <v>7193.05</v>
      </c>
      <c r="D22" s="200">
        <v>15993.02</v>
      </c>
      <c r="E22" s="201">
        <v>28868.13</v>
      </c>
      <c r="F22" s="201">
        <v>9531.6</v>
      </c>
      <c r="G22" s="201">
        <v>10657.5</v>
      </c>
      <c r="H22" s="201">
        <v>77169.399999999994</v>
      </c>
      <c r="I22" s="202">
        <v>27941.11</v>
      </c>
      <c r="J22" s="201">
        <v>35261.18</v>
      </c>
      <c r="K22" s="201">
        <v>99169.27</v>
      </c>
      <c r="L22" s="201"/>
      <c r="M22" s="201">
        <v>36644.9</v>
      </c>
      <c r="N22" s="201">
        <v>8860.1</v>
      </c>
      <c r="O22" s="201">
        <v>19740.54</v>
      </c>
      <c r="P22" s="201"/>
      <c r="Q22" s="201">
        <v>13301.87</v>
      </c>
      <c r="R22" s="201">
        <v>26210.35</v>
      </c>
      <c r="S22" s="201">
        <v>72979.17</v>
      </c>
      <c r="T22" s="201">
        <v>36338.959999999999</v>
      </c>
      <c r="U22" s="202">
        <v>21293.38</v>
      </c>
      <c r="V22" s="202">
        <v>18494.98</v>
      </c>
      <c r="W22" s="202">
        <v>57553.05</v>
      </c>
      <c r="X22" s="202"/>
      <c r="Y22" s="202"/>
      <c r="Z22" s="202"/>
    </row>
    <row r="23" spans="1:26" ht="18.75" x14ac:dyDescent="0.3">
      <c r="A23" s="198">
        <v>13</v>
      </c>
      <c r="B23" s="199" t="s">
        <v>589</v>
      </c>
      <c r="C23" s="200">
        <v>269639.73</v>
      </c>
      <c r="D23" s="200">
        <v>234503.89</v>
      </c>
      <c r="E23" s="201">
        <v>617068.65</v>
      </c>
      <c r="F23" s="201"/>
      <c r="G23" s="201">
        <v>366095.18</v>
      </c>
      <c r="H23" s="201">
        <v>356314.76</v>
      </c>
      <c r="I23" s="202">
        <v>395799.78</v>
      </c>
      <c r="J23" s="201">
        <v>388735.9</v>
      </c>
      <c r="K23" s="201">
        <v>525599.56000000006</v>
      </c>
      <c r="L23" s="201">
        <v>493974.92</v>
      </c>
      <c r="M23" s="201">
        <v>236054.2</v>
      </c>
      <c r="N23" s="201">
        <v>213364.69</v>
      </c>
      <c r="O23" s="201">
        <v>651828.66</v>
      </c>
      <c r="P23" s="201">
        <v>649331.98</v>
      </c>
      <c r="Q23" s="201">
        <v>389838.41</v>
      </c>
      <c r="R23" s="201"/>
      <c r="S23" s="201">
        <v>1040980.33</v>
      </c>
      <c r="T23" s="201">
        <v>1062055.58</v>
      </c>
      <c r="U23" s="202">
        <v>1209329.18</v>
      </c>
      <c r="V23" s="202">
        <v>1183974.47</v>
      </c>
      <c r="W23" s="202">
        <v>807581.85</v>
      </c>
      <c r="X23" s="202">
        <v>802889.48</v>
      </c>
      <c r="Y23" s="202"/>
      <c r="Z23" s="202"/>
    </row>
    <row r="24" spans="1:26" ht="18.75" x14ac:dyDescent="0.3">
      <c r="A24" s="198">
        <v>14</v>
      </c>
      <c r="B24" s="199" t="s">
        <v>583</v>
      </c>
      <c r="C24" s="200">
        <v>69588.33</v>
      </c>
      <c r="D24" s="200"/>
      <c r="E24" s="201">
        <v>122630.62</v>
      </c>
      <c r="F24" s="201">
        <v>8262.07</v>
      </c>
      <c r="G24" s="201">
        <v>43770.8</v>
      </c>
      <c r="H24" s="201">
        <v>212345.21</v>
      </c>
      <c r="I24" s="202">
        <v>55860.67</v>
      </c>
      <c r="J24" s="201"/>
      <c r="K24" s="201">
        <v>109234.31</v>
      </c>
      <c r="L24" s="201"/>
      <c r="M24" s="201">
        <v>229878</v>
      </c>
      <c r="N24" s="201"/>
      <c r="O24" s="201">
        <v>216887.67</v>
      </c>
      <c r="P24" s="201"/>
      <c r="Q24" s="201">
        <v>178852.56</v>
      </c>
      <c r="R24" s="201"/>
      <c r="S24" s="201">
        <v>246860.42</v>
      </c>
      <c r="T24" s="201">
        <v>201903.47</v>
      </c>
      <c r="U24" s="202">
        <v>148382.76</v>
      </c>
      <c r="V24" s="202">
        <f>642600.65+329212.9</f>
        <v>971813.55</v>
      </c>
      <c r="W24" s="202">
        <v>329823.23</v>
      </c>
      <c r="X24" s="202"/>
      <c r="Y24" s="202"/>
      <c r="Z24" s="202"/>
    </row>
    <row r="25" spans="1:26" ht="18.75" x14ac:dyDescent="0.3">
      <c r="A25" s="198">
        <v>15</v>
      </c>
      <c r="B25" s="199" t="s">
        <v>582</v>
      </c>
      <c r="C25" s="200"/>
      <c r="D25" s="200"/>
      <c r="E25" s="201"/>
      <c r="F25" s="201"/>
      <c r="G25" s="201"/>
      <c r="H25" s="201"/>
      <c r="I25" s="202"/>
      <c r="J25" s="201"/>
      <c r="K25" s="201"/>
      <c r="L25" s="201"/>
      <c r="M25" s="201"/>
      <c r="N25" s="201"/>
      <c r="O25" s="201"/>
      <c r="P25" s="201"/>
      <c r="Q25" s="201"/>
      <c r="R25" s="201"/>
      <c r="S25" s="201"/>
      <c r="T25" s="201"/>
      <c r="U25" s="202"/>
      <c r="V25" s="202"/>
      <c r="W25" s="202"/>
      <c r="X25" s="202"/>
      <c r="Y25" s="202"/>
      <c r="Z25" s="202"/>
    </row>
    <row r="26" spans="1:26" ht="18.75" x14ac:dyDescent="0.3">
      <c r="A26" s="198">
        <v>16</v>
      </c>
      <c r="B26" s="199" t="s">
        <v>625</v>
      </c>
      <c r="C26" s="200"/>
      <c r="D26" s="200"/>
      <c r="E26" s="201"/>
      <c r="F26" s="201"/>
      <c r="G26" s="201"/>
      <c r="H26" s="201"/>
      <c r="I26" s="202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2"/>
      <c r="V26" s="202"/>
      <c r="W26" s="202"/>
      <c r="X26" s="202"/>
      <c r="Y26" s="202"/>
      <c r="Z26" s="202"/>
    </row>
    <row r="27" spans="1:26" ht="18.75" x14ac:dyDescent="0.3">
      <c r="A27" s="198">
        <v>17</v>
      </c>
      <c r="B27" s="199" t="s">
        <v>626</v>
      </c>
      <c r="C27" s="200">
        <v>1396</v>
      </c>
      <c r="D27" s="200"/>
      <c r="E27" s="201">
        <v>20821.36</v>
      </c>
      <c r="F27" s="201">
        <v>31949.94</v>
      </c>
      <c r="G27" s="201">
        <v>80842.17</v>
      </c>
      <c r="H27" s="201">
        <v>1396</v>
      </c>
      <c r="I27" s="202">
        <v>32922.74</v>
      </c>
      <c r="J27" s="201"/>
      <c r="K27" s="201">
        <v>3500</v>
      </c>
      <c r="L27" s="201">
        <v>32863.839999999997</v>
      </c>
      <c r="M27" s="201">
        <v>41032.92</v>
      </c>
      <c r="N27" s="201"/>
      <c r="O27" s="201">
        <v>11961.97</v>
      </c>
      <c r="P27" s="201"/>
      <c r="Q27" s="201">
        <v>12148</v>
      </c>
      <c r="R27" s="201">
        <v>12030.35</v>
      </c>
      <c r="S27" s="201">
        <v>22455.91</v>
      </c>
      <c r="T27" s="201"/>
      <c r="U27" s="202">
        <v>37260.879999999997</v>
      </c>
      <c r="V27" s="202">
        <v>7000</v>
      </c>
      <c r="W27" s="202">
        <v>5000</v>
      </c>
      <c r="X27" s="202">
        <v>37260.480000000003</v>
      </c>
      <c r="Y27" s="202"/>
      <c r="Z27" s="202"/>
    </row>
    <row r="28" spans="1:26" ht="18.75" x14ac:dyDescent="0.3">
      <c r="A28" s="198">
        <v>18</v>
      </c>
      <c r="B28" s="199" t="s">
        <v>627</v>
      </c>
      <c r="C28" s="200">
        <v>4869.5200000000004</v>
      </c>
      <c r="D28" s="200">
        <v>6475.14</v>
      </c>
      <c r="E28" s="201">
        <v>102975.46</v>
      </c>
      <c r="F28" s="201">
        <v>4869.5200000000004</v>
      </c>
      <c r="G28" s="201">
        <v>6619.63</v>
      </c>
      <c r="H28" s="201">
        <v>102672.34</v>
      </c>
      <c r="I28" s="202">
        <v>12257.4</v>
      </c>
      <c r="J28" s="201">
        <v>6619.63</v>
      </c>
      <c r="K28" s="201">
        <v>111906.17</v>
      </c>
      <c r="L28" s="201">
        <v>12182.4</v>
      </c>
      <c r="M28" s="201">
        <v>7768.47</v>
      </c>
      <c r="N28" s="201"/>
      <c r="O28" s="201">
        <v>11676.13</v>
      </c>
      <c r="P28" s="201">
        <v>118687.31</v>
      </c>
      <c r="Q28" s="201">
        <v>28902.560000000001</v>
      </c>
      <c r="R28" s="201">
        <v>7768.46</v>
      </c>
      <c r="S28" s="201">
        <v>7856.59</v>
      </c>
      <c r="T28" s="201">
        <v>28902.560000000001</v>
      </c>
      <c r="U28" s="202">
        <v>22304.52</v>
      </c>
      <c r="V28" s="202">
        <f>7586.59+9610.03</f>
        <v>17196.620000000003</v>
      </c>
      <c r="W28" s="202">
        <v>84258.25</v>
      </c>
      <c r="X28" s="202"/>
      <c r="Y28" s="202"/>
      <c r="Z28" s="202"/>
    </row>
    <row r="29" spans="1:26" ht="18.75" x14ac:dyDescent="0.3">
      <c r="A29" s="198">
        <v>19</v>
      </c>
      <c r="B29" s="199" t="s">
        <v>585</v>
      </c>
      <c r="C29" s="200">
        <v>76159.34</v>
      </c>
      <c r="D29" s="200"/>
      <c r="E29" s="201">
        <v>186957.88</v>
      </c>
      <c r="F29" s="201"/>
      <c r="G29" s="201">
        <v>136798.59</v>
      </c>
      <c r="H29" s="201"/>
      <c r="I29" s="202">
        <v>83229.31</v>
      </c>
      <c r="J29" s="201"/>
      <c r="K29" s="201">
        <v>9976.34</v>
      </c>
      <c r="L29" s="201"/>
      <c r="M29" s="201">
        <v>108970.25</v>
      </c>
      <c r="N29" s="201"/>
      <c r="O29" s="201">
        <v>49885.59</v>
      </c>
      <c r="P29" s="201">
        <v>444038.71</v>
      </c>
      <c r="Q29" s="201">
        <v>26648.23</v>
      </c>
      <c r="R29" s="201"/>
      <c r="S29" s="201">
        <v>12927.61</v>
      </c>
      <c r="T29" s="201"/>
      <c r="U29" s="202">
        <v>71868.649999999994</v>
      </c>
      <c r="V29" s="202"/>
      <c r="W29" s="202">
        <v>125975.2</v>
      </c>
      <c r="X29" s="202">
        <v>22069.48</v>
      </c>
      <c r="Y29" s="202"/>
      <c r="Z29" s="202"/>
    </row>
    <row r="30" spans="1:26" ht="18.75" x14ac:dyDescent="0.3">
      <c r="A30" s="198">
        <v>20</v>
      </c>
      <c r="B30" s="199" t="s">
        <v>588</v>
      </c>
      <c r="C30" s="200">
        <v>75131.09</v>
      </c>
      <c r="D30" s="200">
        <v>71992.2</v>
      </c>
      <c r="E30" s="201">
        <v>146560.32000000001</v>
      </c>
      <c r="F30" s="201"/>
      <c r="G30" s="201">
        <v>85258.31</v>
      </c>
      <c r="H30" s="201">
        <v>237322.18</v>
      </c>
      <c r="I30" s="202">
        <v>119188.62</v>
      </c>
      <c r="J30" s="201">
        <v>146560.32000000001</v>
      </c>
      <c r="K30" s="201">
        <v>58287.88</v>
      </c>
      <c r="L30" s="201">
        <v>84594.85</v>
      </c>
      <c r="M30" s="201">
        <v>97214.78</v>
      </c>
      <c r="N30" s="201"/>
      <c r="O30" s="201">
        <v>108900.79</v>
      </c>
      <c r="P30" s="201">
        <v>125937.38</v>
      </c>
      <c r="Q30" s="201">
        <v>40745.74</v>
      </c>
      <c r="R30" s="201"/>
      <c r="S30" s="201">
        <v>105146.53</v>
      </c>
      <c r="T30" s="201"/>
      <c r="U30" s="202">
        <v>55818.18</v>
      </c>
      <c r="V30" s="202">
        <v>40245.74</v>
      </c>
      <c r="W30" s="202">
        <v>106828.8</v>
      </c>
      <c r="X30" s="202"/>
      <c r="Y30" s="202"/>
      <c r="Z30" s="202"/>
    </row>
    <row r="31" spans="1:26" ht="18.75" x14ac:dyDescent="0.3">
      <c r="A31" s="198">
        <v>21</v>
      </c>
      <c r="B31" s="199" t="s">
        <v>628</v>
      </c>
      <c r="C31" s="200">
        <v>273646.7</v>
      </c>
      <c r="D31" s="200">
        <v>273646.7</v>
      </c>
      <c r="E31" s="201">
        <v>41285.9</v>
      </c>
      <c r="F31" s="201">
        <v>41071.9</v>
      </c>
      <c r="G31" s="201">
        <v>22435.77</v>
      </c>
      <c r="H31" s="201">
        <v>11220.43</v>
      </c>
      <c r="I31" s="202">
        <v>61608.05</v>
      </c>
      <c r="J31" s="201">
        <v>22435.77</v>
      </c>
      <c r="K31" s="201">
        <v>31245</v>
      </c>
      <c r="L31" s="201">
        <v>61607.99</v>
      </c>
      <c r="M31" s="201">
        <v>237194.17</v>
      </c>
      <c r="N31" s="201">
        <v>31240</v>
      </c>
      <c r="O31" s="201">
        <v>63128.33</v>
      </c>
      <c r="P31" s="201">
        <v>300322.5</v>
      </c>
      <c r="Q31" s="201">
        <v>88200.19</v>
      </c>
      <c r="R31" s="201"/>
      <c r="S31" s="201">
        <v>282288.73</v>
      </c>
      <c r="T31" s="201">
        <v>88060.19</v>
      </c>
      <c r="U31" s="202">
        <v>61039.21</v>
      </c>
      <c r="V31" s="202">
        <v>281564.03000000003</v>
      </c>
      <c r="W31" s="202">
        <v>148817.44</v>
      </c>
      <c r="X31" s="202">
        <v>61001.21</v>
      </c>
      <c r="Y31" s="202"/>
      <c r="Z31" s="202"/>
    </row>
    <row r="32" spans="1:26" ht="18.75" x14ac:dyDescent="0.3">
      <c r="A32" s="198">
        <v>22</v>
      </c>
      <c r="B32" s="199" t="s">
        <v>629</v>
      </c>
      <c r="C32" s="200">
        <v>48081.02</v>
      </c>
      <c r="D32" s="200">
        <v>48081.02</v>
      </c>
      <c r="E32" s="201">
        <v>217047.26</v>
      </c>
      <c r="F32" s="201"/>
      <c r="G32" s="201">
        <v>79962.77</v>
      </c>
      <c r="H32" s="201"/>
      <c r="I32" s="202">
        <v>61346.15</v>
      </c>
      <c r="J32" s="201"/>
      <c r="K32" s="201">
        <v>57351.74</v>
      </c>
      <c r="L32" s="201">
        <v>79987.570000000007</v>
      </c>
      <c r="M32" s="201">
        <v>10000</v>
      </c>
      <c r="N32" s="201"/>
      <c r="O32" s="201">
        <v>18399.990000000002</v>
      </c>
      <c r="P32" s="201">
        <v>36534.850000000006</v>
      </c>
      <c r="Q32" s="201">
        <v>38168.699999999997</v>
      </c>
      <c r="R32" s="201">
        <v>38168.699999999997</v>
      </c>
      <c r="S32" s="201">
        <v>165161.13</v>
      </c>
      <c r="T32" s="201"/>
      <c r="U32" s="202">
        <v>8284.7199999999993</v>
      </c>
      <c r="V32" s="202">
        <v>8284.7199999999993</v>
      </c>
      <c r="W32" s="203">
        <v>71332.28</v>
      </c>
      <c r="X32" s="203"/>
      <c r="Y32" s="202"/>
      <c r="Z32" s="202"/>
    </row>
    <row r="33" spans="1:26" ht="18.75" x14ac:dyDescent="0.3">
      <c r="A33" s="198">
        <v>23</v>
      </c>
      <c r="B33" s="199" t="s">
        <v>584</v>
      </c>
      <c r="C33" s="200">
        <v>28637.51</v>
      </c>
      <c r="D33" s="200"/>
      <c r="E33" s="201">
        <v>92478.63</v>
      </c>
      <c r="F33" s="201"/>
      <c r="G33" s="201">
        <v>2821.24</v>
      </c>
      <c r="H33" s="201"/>
      <c r="I33" s="202">
        <v>1604</v>
      </c>
      <c r="J33" s="201"/>
      <c r="K33" s="201">
        <v>3360</v>
      </c>
      <c r="L33" s="201"/>
      <c r="M33" s="201">
        <v>3319.22</v>
      </c>
      <c r="N33" s="201"/>
      <c r="O33" s="201">
        <v>4368.41</v>
      </c>
      <c r="P33" s="201">
        <v>181158.69</v>
      </c>
      <c r="Q33" s="201">
        <v>54351.55</v>
      </c>
      <c r="R33" s="201"/>
      <c r="S33" s="201">
        <v>2500</v>
      </c>
      <c r="T33" s="201">
        <v>11667.45</v>
      </c>
      <c r="U33" s="202">
        <v>2544.7199999999998</v>
      </c>
      <c r="V33" s="202"/>
      <c r="W33" s="203">
        <v>6279.36</v>
      </c>
      <c r="X33" s="203"/>
      <c r="Y33" s="202"/>
      <c r="Z33" s="202"/>
    </row>
    <row r="34" spans="1:26" ht="18.75" x14ac:dyDescent="0.3">
      <c r="A34" s="198">
        <v>24</v>
      </c>
      <c r="B34" s="199" t="s">
        <v>630</v>
      </c>
      <c r="C34" s="200"/>
      <c r="D34" s="200"/>
      <c r="E34" s="201"/>
      <c r="F34" s="201"/>
      <c r="G34" s="201"/>
      <c r="H34" s="201"/>
      <c r="I34" s="202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2"/>
      <c r="V34" s="202"/>
      <c r="W34" s="212"/>
      <c r="X34" s="212"/>
      <c r="Y34" s="202"/>
      <c r="Z34" s="202"/>
    </row>
    <row r="35" spans="1:26" ht="18.75" x14ac:dyDescent="0.3">
      <c r="A35" s="198">
        <v>25</v>
      </c>
      <c r="B35" s="199" t="s">
        <v>631</v>
      </c>
      <c r="C35" s="200"/>
      <c r="D35" s="200"/>
      <c r="E35" s="201"/>
      <c r="F35" s="201"/>
      <c r="G35" s="201"/>
      <c r="H35" s="201"/>
      <c r="I35" s="202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2"/>
      <c r="V35" s="202"/>
      <c r="W35" s="212"/>
      <c r="X35" s="212"/>
      <c r="Y35" s="202"/>
      <c r="Z35" s="202"/>
    </row>
    <row r="36" spans="1:26" ht="18.75" x14ac:dyDescent="0.3">
      <c r="A36" s="198">
        <v>26</v>
      </c>
      <c r="B36" s="199" t="s">
        <v>632</v>
      </c>
      <c r="C36" s="200">
        <v>259154.57</v>
      </c>
      <c r="D36" s="200"/>
      <c r="E36" s="201">
        <v>439967.13</v>
      </c>
      <c r="F36" s="201">
        <v>870590.25</v>
      </c>
      <c r="G36" s="201">
        <v>404678.83</v>
      </c>
      <c r="H36" s="201">
        <v>262926.38</v>
      </c>
      <c r="I36" s="202">
        <v>432554.37</v>
      </c>
      <c r="J36" s="201">
        <v>534014.43000000005</v>
      </c>
      <c r="K36" s="201">
        <v>317521.34000000003</v>
      </c>
      <c r="L36" s="201">
        <v>304098.74</v>
      </c>
      <c r="M36" s="201">
        <v>374483.12</v>
      </c>
      <c r="N36" s="201">
        <v>268649.03000000003</v>
      </c>
      <c r="O36" s="201">
        <v>442825.83</v>
      </c>
      <c r="P36" s="201">
        <v>313059.93</v>
      </c>
      <c r="Q36" s="201">
        <v>399800.36</v>
      </c>
      <c r="R36" s="201">
        <v>401045.51</v>
      </c>
      <c r="S36" s="201">
        <v>634790.11</v>
      </c>
      <c r="T36" s="201"/>
      <c r="U36" s="202">
        <v>317086.49</v>
      </c>
      <c r="V36" s="202">
        <v>357164.54</v>
      </c>
      <c r="W36" s="213">
        <v>444335.13</v>
      </c>
      <c r="X36" s="213"/>
      <c r="Y36" s="202"/>
      <c r="Z36" s="202"/>
    </row>
    <row r="37" spans="1:26" ht="18.75" x14ac:dyDescent="0.3">
      <c r="A37" s="198"/>
      <c r="B37" s="199" t="s">
        <v>680</v>
      </c>
      <c r="C37" s="200"/>
      <c r="D37" s="200"/>
      <c r="E37" s="201"/>
      <c r="F37" s="201"/>
      <c r="G37" s="201"/>
      <c r="H37" s="201"/>
      <c r="I37" s="202"/>
      <c r="J37" s="201"/>
      <c r="K37" s="201">
        <v>80323.320000000007</v>
      </c>
      <c r="L37" s="201"/>
      <c r="M37" s="201">
        <v>436800</v>
      </c>
      <c r="N37" s="201">
        <v>423700</v>
      </c>
      <c r="O37" s="201"/>
      <c r="P37" s="201"/>
      <c r="Q37" s="201"/>
      <c r="R37" s="201"/>
      <c r="S37" s="201"/>
      <c r="T37" s="201"/>
      <c r="U37" s="202">
        <v>311200</v>
      </c>
      <c r="V37" s="202"/>
      <c r="W37" s="213">
        <v>218750</v>
      </c>
      <c r="X37" s="213">
        <v>185750</v>
      </c>
      <c r="Y37" s="202"/>
      <c r="Z37" s="202"/>
    </row>
    <row r="38" spans="1:26" ht="18.75" x14ac:dyDescent="0.3">
      <c r="A38" s="498" t="s">
        <v>633</v>
      </c>
      <c r="B38" s="498"/>
      <c r="C38" s="205">
        <v>1653183.79</v>
      </c>
      <c r="D38" s="205">
        <v>1069719.71</v>
      </c>
      <c r="E38" s="205">
        <v>2660296.85</v>
      </c>
      <c r="F38" s="205">
        <v>1344324.96</v>
      </c>
      <c r="G38" s="205">
        <v>1749703.0900000003</v>
      </c>
      <c r="H38" s="205">
        <v>2138954.9500000002</v>
      </c>
      <c r="I38" s="206">
        <v>1848685.17</v>
      </c>
      <c r="J38" s="207">
        <v>1511469.87</v>
      </c>
      <c r="K38" s="208">
        <v>1655884.27</v>
      </c>
      <c r="L38" s="206">
        <v>1667673.81</v>
      </c>
      <c r="M38" s="206">
        <v>2755112.73</v>
      </c>
      <c r="N38" s="206">
        <v>1127747.01</v>
      </c>
      <c r="O38" s="270">
        <v>1923083.8</v>
      </c>
      <c r="P38" s="208">
        <v>3163315.47</v>
      </c>
      <c r="Q38" s="208">
        <v>1850699.6800000002</v>
      </c>
      <c r="R38" s="208">
        <v>731699.22</v>
      </c>
      <c r="S38" s="208">
        <f>SUM(S15:S36)</f>
        <v>3336419.3799999994</v>
      </c>
      <c r="T38" s="208">
        <f t="shared" ref="T38:Z38" si="1">SUM(T15:T36)</f>
        <v>2096372.3</v>
      </c>
      <c r="U38" s="208">
        <f>SUM(U15:U37)</f>
        <v>2740642.0700000003</v>
      </c>
      <c r="V38" s="208">
        <f t="shared" si="1"/>
        <v>2917142.5200000009</v>
      </c>
      <c r="W38" s="208">
        <f>SUM(W15:W37)</f>
        <v>3655018.3999999994</v>
      </c>
      <c r="X38" s="208">
        <f>SUM(X15:X37)</f>
        <v>1754597.2999999998</v>
      </c>
      <c r="Y38" s="208">
        <f t="shared" si="1"/>
        <v>0</v>
      </c>
      <c r="Z38" s="208">
        <f t="shared" si="1"/>
        <v>0</v>
      </c>
    </row>
    <row r="39" spans="1:26" ht="18.75" x14ac:dyDescent="0.25">
      <c r="A39" s="499" t="s">
        <v>540</v>
      </c>
      <c r="B39" s="499"/>
      <c r="C39" s="214">
        <v>6775024.8700000001</v>
      </c>
      <c r="D39" s="214">
        <v>5902831.21</v>
      </c>
      <c r="E39" s="214">
        <v>9928728.9100000001</v>
      </c>
      <c r="F39" s="214">
        <v>9338924.620000001</v>
      </c>
      <c r="G39" s="214">
        <v>7554726.7100000009</v>
      </c>
      <c r="H39" s="214">
        <v>7825280.6499999994</v>
      </c>
      <c r="I39" s="214">
        <v>7062883.1200000001</v>
      </c>
      <c r="J39" s="197">
        <v>6892064.79</v>
      </c>
      <c r="K39" s="214">
        <v>7347874.0900000017</v>
      </c>
      <c r="L39" s="214">
        <v>7518709.1100000013</v>
      </c>
      <c r="M39" s="197">
        <v>9385616.8300000001</v>
      </c>
      <c r="N39" s="214">
        <v>4055211.4400000004</v>
      </c>
      <c r="O39" s="214">
        <v>9418657.9499999993</v>
      </c>
      <c r="P39" s="214">
        <v>10942138.619999999</v>
      </c>
      <c r="Q39" s="214">
        <v>11865402.33</v>
      </c>
      <c r="R39" s="214">
        <v>6884742.669999999</v>
      </c>
      <c r="S39" s="214">
        <f>+S38+S14</f>
        <v>10841308.24</v>
      </c>
      <c r="T39" s="214">
        <f t="shared" ref="T39:Z39" si="2">+T38+T14</f>
        <v>12061611.850000001</v>
      </c>
      <c r="U39" s="214">
        <f>+U38+U14</f>
        <v>9211806.7699999996</v>
      </c>
      <c r="V39" s="214">
        <f t="shared" si="2"/>
        <v>7453961.2500000019</v>
      </c>
      <c r="W39" s="214">
        <f t="shared" si="2"/>
        <v>12354316.029999997</v>
      </c>
      <c r="X39" s="214">
        <f t="shared" si="2"/>
        <v>7869417.3199999994</v>
      </c>
      <c r="Y39" s="214">
        <f t="shared" si="2"/>
        <v>0</v>
      </c>
      <c r="Z39" s="214">
        <f t="shared" si="2"/>
        <v>0</v>
      </c>
    </row>
    <row r="40" spans="1:26" ht="18.75" hidden="1" x14ac:dyDescent="0.25">
      <c r="A40" s="215"/>
      <c r="B40" s="215"/>
      <c r="C40" s="216"/>
      <c r="D40" s="216"/>
      <c r="E40" s="216"/>
      <c r="F40" s="216"/>
      <c r="G40" s="216"/>
      <c r="H40" s="216"/>
      <c r="I40" s="216"/>
      <c r="J40" s="217"/>
      <c r="K40" s="216"/>
      <c r="L40" s="216"/>
      <c r="M40" s="217"/>
      <c r="N40" s="216"/>
      <c r="O40" s="271"/>
      <c r="P40" s="216"/>
      <c r="Q40" s="216"/>
      <c r="R40" s="216"/>
      <c r="S40" s="216"/>
      <c r="T40" s="216"/>
      <c r="U40" s="216"/>
      <c r="V40" s="216"/>
      <c r="W40" s="216"/>
      <c r="X40" s="216"/>
      <c r="Y40" s="216"/>
      <c r="Z40" s="216"/>
    </row>
    <row r="41" spans="1:26" ht="18.75" hidden="1" x14ac:dyDescent="0.3">
      <c r="A41" s="218"/>
      <c r="C41" s="219"/>
      <c r="D41" s="219"/>
      <c r="E41" s="185"/>
      <c r="F41" s="219"/>
      <c r="G41" s="185"/>
      <c r="H41" s="185"/>
      <c r="I41" s="185"/>
      <c r="J41" s="220"/>
      <c r="K41" s="185"/>
      <c r="L41" s="221"/>
      <c r="M41" s="184" t="s">
        <v>599</v>
      </c>
      <c r="Q41" s="222"/>
      <c r="W41" s="222"/>
      <c r="Y41" s="222"/>
    </row>
    <row r="42" spans="1:26" ht="18.75" hidden="1" x14ac:dyDescent="0.3">
      <c r="A42" s="223"/>
      <c r="B42" s="142"/>
      <c r="C42" s="219"/>
      <c r="D42" s="219"/>
      <c r="E42" s="224"/>
      <c r="F42" s="219"/>
      <c r="G42" s="185"/>
      <c r="H42" s="185"/>
      <c r="I42" s="185"/>
      <c r="J42" s="220"/>
      <c r="K42" s="185"/>
      <c r="L42" s="221"/>
      <c r="M42" s="184"/>
    </row>
    <row r="43" spans="1:26" ht="18.75" hidden="1" x14ac:dyDescent="0.25">
      <c r="B43" s="225"/>
      <c r="C43" s="226"/>
      <c r="D43" s="226"/>
      <c r="E43" s="226"/>
      <c r="F43" s="226"/>
      <c r="G43" s="226"/>
      <c r="H43" s="226"/>
      <c r="I43" s="226"/>
      <c r="J43" s="227"/>
      <c r="K43" s="226"/>
      <c r="L43" s="225"/>
      <c r="M43" s="184"/>
    </row>
    <row r="44" spans="1:26" ht="18.75" hidden="1" x14ac:dyDescent="0.3">
      <c r="B44" s="228"/>
      <c r="C44" s="229"/>
      <c r="D44" s="229"/>
      <c r="E44" s="229"/>
      <c r="F44" s="230"/>
      <c r="G44" s="231"/>
      <c r="H44" s="231"/>
      <c r="I44" s="231"/>
      <c r="J44" s="232"/>
      <c r="K44" s="231"/>
      <c r="L44" s="228"/>
      <c r="M44" s="184"/>
    </row>
    <row r="45" spans="1:26" ht="18.75" hidden="1" x14ac:dyDescent="0.3">
      <c r="B45" s="228"/>
      <c r="C45" s="229"/>
      <c r="D45" s="229"/>
      <c r="E45" s="229"/>
      <c r="F45" s="230"/>
      <c r="G45" s="231"/>
      <c r="H45" s="231"/>
      <c r="I45" s="231"/>
      <c r="J45" s="232"/>
      <c r="K45" s="231"/>
      <c r="L45" s="228"/>
      <c r="M45" s="184"/>
    </row>
    <row r="46" spans="1:26" ht="18.75" hidden="1" x14ac:dyDescent="0.3">
      <c r="B46" s="228"/>
      <c r="C46" s="229"/>
      <c r="D46" s="229"/>
      <c r="E46" s="229"/>
      <c r="F46" s="230"/>
      <c r="G46" s="231"/>
      <c r="H46" s="231"/>
      <c r="I46" s="231"/>
      <c r="J46" s="232"/>
      <c r="K46" s="231"/>
      <c r="L46" s="228"/>
      <c r="M46" s="184"/>
    </row>
    <row r="47" spans="1:26" ht="18.75" hidden="1" x14ac:dyDescent="0.3">
      <c r="B47" s="228"/>
      <c r="C47" s="229"/>
      <c r="D47" s="229"/>
      <c r="E47" s="229"/>
      <c r="F47" s="230"/>
      <c r="G47" s="231"/>
      <c r="H47" s="231"/>
      <c r="I47" s="231"/>
      <c r="J47" s="232"/>
      <c r="K47" s="231"/>
      <c r="L47" s="228"/>
      <c r="M47" s="184"/>
    </row>
    <row r="48" spans="1:26" ht="18.75" hidden="1" x14ac:dyDescent="0.3">
      <c r="B48" s="228"/>
      <c r="C48" s="229"/>
      <c r="D48" s="229"/>
      <c r="E48" s="229"/>
      <c r="F48" s="230"/>
      <c r="G48" s="231"/>
      <c r="H48" s="231"/>
      <c r="I48" s="231"/>
      <c r="J48" s="232"/>
      <c r="K48" s="231"/>
      <c r="L48" s="228"/>
      <c r="M48" s="184"/>
    </row>
    <row r="49" spans="2:23" ht="18.75" hidden="1" x14ac:dyDescent="0.3">
      <c r="B49" s="228"/>
      <c r="C49" s="229"/>
      <c r="D49" s="229"/>
      <c r="E49" s="229"/>
      <c r="F49" s="230"/>
      <c r="G49" s="231"/>
      <c r="H49" s="231"/>
      <c r="I49" s="231"/>
      <c r="J49" s="232"/>
      <c r="K49" s="231"/>
      <c r="L49" s="228"/>
      <c r="M49" s="184"/>
    </row>
    <row r="50" spans="2:23" ht="18.75" hidden="1" x14ac:dyDescent="0.3">
      <c r="B50" s="228"/>
      <c r="C50" s="229"/>
      <c r="D50" s="229"/>
      <c r="E50" s="229"/>
      <c r="F50" s="230"/>
      <c r="G50" s="231"/>
      <c r="H50" s="231"/>
      <c r="I50" s="231"/>
      <c r="J50" s="232"/>
      <c r="K50" s="231"/>
      <c r="L50" s="228"/>
      <c r="M50" s="184"/>
    </row>
    <row r="51" spans="2:23" ht="18.75" hidden="1" x14ac:dyDescent="0.3">
      <c r="B51" s="228"/>
      <c r="C51" s="229"/>
      <c r="D51" s="229"/>
      <c r="E51" s="229"/>
      <c r="F51" s="230"/>
      <c r="G51" s="231"/>
      <c r="H51" s="231"/>
      <c r="I51" s="231"/>
      <c r="J51" s="232"/>
      <c r="K51" s="231"/>
      <c r="L51" s="228"/>
      <c r="M51" s="184"/>
    </row>
    <row r="52" spans="2:23" ht="18.75" hidden="1" x14ac:dyDescent="0.3">
      <c r="B52" s="228"/>
      <c r="C52" s="229"/>
      <c r="D52" s="229"/>
      <c r="E52" s="229"/>
      <c r="F52" s="230"/>
      <c r="G52" s="231"/>
      <c r="H52" s="231"/>
      <c r="I52" s="231"/>
      <c r="J52" s="232"/>
      <c r="K52" s="231"/>
      <c r="L52" s="228"/>
      <c r="M52" s="184"/>
    </row>
    <row r="53" spans="2:23" ht="18.75" hidden="1" x14ac:dyDescent="0.3">
      <c r="B53" s="228"/>
      <c r="C53" s="229"/>
      <c r="D53" s="229"/>
      <c r="E53" s="229"/>
      <c r="F53" s="230"/>
      <c r="G53" s="231"/>
      <c r="H53" s="231"/>
      <c r="I53" s="231"/>
      <c r="J53" s="232"/>
      <c r="K53" s="231"/>
      <c r="L53" s="228"/>
      <c r="M53" s="184"/>
    </row>
    <row r="54" spans="2:23" ht="18.75" hidden="1" x14ac:dyDescent="0.3">
      <c r="B54" s="228"/>
      <c r="C54" s="229"/>
      <c r="D54" s="229"/>
      <c r="E54" s="229"/>
      <c r="F54" s="230"/>
      <c r="G54" s="231"/>
      <c r="H54" s="231"/>
      <c r="I54" s="231"/>
      <c r="J54" s="232"/>
      <c r="K54" s="231"/>
      <c r="L54" s="228"/>
      <c r="M54" s="184"/>
    </row>
    <row r="55" spans="2:23" ht="18.75" hidden="1" x14ac:dyDescent="0.3">
      <c r="B55" s="228"/>
      <c r="C55" s="229"/>
      <c r="D55" s="229"/>
      <c r="E55" s="229"/>
      <c r="F55" s="230"/>
      <c r="G55" s="231"/>
      <c r="H55" s="231"/>
      <c r="I55" s="231"/>
      <c r="J55" s="232"/>
      <c r="K55" s="231"/>
      <c r="L55" s="228"/>
      <c r="M55" s="184"/>
    </row>
    <row r="56" spans="2:23" ht="18.75" hidden="1" x14ac:dyDescent="0.3">
      <c r="B56" s="233"/>
      <c r="C56" s="234"/>
      <c r="D56" s="234"/>
      <c r="E56" s="234"/>
      <c r="F56" s="234"/>
      <c r="G56" s="185"/>
      <c r="H56" s="185"/>
      <c r="I56" s="185"/>
      <c r="J56" s="220"/>
      <c r="K56" s="185"/>
      <c r="L56" s="233"/>
      <c r="M56" s="184"/>
    </row>
    <row r="57" spans="2:23" ht="18.75" hidden="1" x14ac:dyDescent="0.3">
      <c r="B57" s="235"/>
      <c r="C57" s="185"/>
      <c r="D57" s="185"/>
      <c r="E57" s="185"/>
      <c r="F57" s="185"/>
      <c r="G57" s="185"/>
      <c r="H57" s="185"/>
      <c r="I57" s="185"/>
      <c r="J57" s="220"/>
      <c r="K57" s="185"/>
      <c r="L57" s="235"/>
      <c r="M57" s="184"/>
    </row>
    <row r="58" spans="2:23" ht="18.75" hidden="1" x14ac:dyDescent="0.25">
      <c r="B58" s="225"/>
      <c r="C58" s="226"/>
      <c r="D58" s="226"/>
      <c r="E58" s="226"/>
      <c r="F58" s="226"/>
      <c r="G58" s="226"/>
      <c r="H58" s="226"/>
      <c r="I58" s="226"/>
      <c r="J58" s="227"/>
      <c r="K58" s="226"/>
      <c r="L58" s="225"/>
      <c r="M58" s="184"/>
    </row>
    <row r="59" spans="2:23" ht="18.75" hidden="1" x14ac:dyDescent="0.3">
      <c r="B59" s="221"/>
      <c r="C59" s="219"/>
      <c r="D59" s="219"/>
      <c r="E59" s="185"/>
      <c r="F59" s="219"/>
      <c r="G59" s="185"/>
      <c r="H59" s="185"/>
      <c r="I59" s="185"/>
      <c r="J59" s="220"/>
      <c r="K59" s="185"/>
      <c r="L59" s="221"/>
      <c r="M59" s="184"/>
    </row>
    <row r="60" spans="2:23" ht="18.75" hidden="1" x14ac:dyDescent="0.3">
      <c r="B60" s="221"/>
      <c r="C60" s="219"/>
      <c r="D60" s="219"/>
      <c r="E60" s="185"/>
      <c r="F60" s="219"/>
      <c r="G60" s="185"/>
      <c r="H60" s="185"/>
      <c r="I60" s="185"/>
      <c r="J60" s="220"/>
      <c r="K60" s="185"/>
      <c r="L60" s="221"/>
      <c r="M60" s="184"/>
    </row>
    <row r="61" spans="2:23" ht="18.75" hidden="1" x14ac:dyDescent="0.3">
      <c r="B61" s="221"/>
      <c r="C61" s="219"/>
      <c r="D61" s="219"/>
      <c r="E61" s="185"/>
      <c r="F61" s="219"/>
      <c r="G61" s="185"/>
      <c r="H61" s="185"/>
      <c r="I61" s="185"/>
      <c r="J61" s="220"/>
      <c r="K61" s="185"/>
      <c r="L61" s="221"/>
      <c r="M61" s="184"/>
    </row>
    <row r="62" spans="2:23" ht="18.75" hidden="1" x14ac:dyDescent="0.3">
      <c r="B62" s="221" t="s">
        <v>599</v>
      </c>
      <c r="C62" s="219"/>
      <c r="D62" s="219"/>
      <c r="E62" s="185"/>
      <c r="F62" s="219"/>
      <c r="G62" s="185"/>
      <c r="H62" s="185"/>
      <c r="I62" s="185"/>
      <c r="J62" s="220"/>
      <c r="K62" s="185"/>
      <c r="L62" s="221"/>
      <c r="M62" s="184"/>
    </row>
    <row r="63" spans="2:23" ht="18.75" x14ac:dyDescent="0.3">
      <c r="B63" s="221"/>
      <c r="C63" s="219"/>
      <c r="D63" s="219"/>
      <c r="E63" s="185"/>
      <c r="F63" s="219"/>
      <c r="G63" s="185"/>
      <c r="H63" s="185"/>
      <c r="I63" s="185"/>
      <c r="J63" s="220"/>
      <c r="K63" s="185"/>
      <c r="L63" s="221"/>
      <c r="M63" s="184"/>
      <c r="U63" s="184"/>
    </row>
    <row r="64" spans="2:23" ht="18.75" x14ac:dyDescent="0.3">
      <c r="B64" s="221"/>
      <c r="C64" s="219"/>
      <c r="D64" s="219"/>
      <c r="E64" s="185"/>
      <c r="F64" s="219"/>
      <c r="G64" s="185"/>
      <c r="H64" s="185"/>
      <c r="I64" s="185"/>
      <c r="J64" s="220"/>
      <c r="K64" s="185"/>
      <c r="L64" s="221"/>
      <c r="M64" s="184"/>
      <c r="U64" s="222"/>
      <c r="V64" s="222"/>
      <c r="W64" s="222"/>
    </row>
    <row r="65" spans="2:13" ht="18.75" x14ac:dyDescent="0.3">
      <c r="B65" s="221"/>
      <c r="C65" s="219"/>
      <c r="D65" s="219"/>
      <c r="E65" s="185"/>
      <c r="F65" s="219"/>
      <c r="G65" s="185"/>
      <c r="H65" s="185"/>
      <c r="I65" s="185"/>
      <c r="J65" s="220"/>
      <c r="K65" s="185"/>
      <c r="L65" s="221"/>
      <c r="M65" s="184"/>
    </row>
    <row r="66" spans="2:13" ht="18.75" x14ac:dyDescent="0.3">
      <c r="B66" s="235"/>
      <c r="C66" s="185"/>
      <c r="D66" s="185"/>
      <c r="E66" s="185"/>
      <c r="F66" s="185"/>
      <c r="G66" s="185"/>
      <c r="H66" s="185"/>
      <c r="I66" s="185"/>
      <c r="J66" s="220"/>
      <c r="K66" s="185"/>
      <c r="L66" s="235"/>
      <c r="M66" s="184"/>
    </row>
    <row r="67" spans="2:13" ht="18.75" x14ac:dyDescent="0.3">
      <c r="B67" s="235"/>
      <c r="C67" s="185"/>
      <c r="D67" s="185"/>
      <c r="E67" s="185"/>
      <c r="F67" s="185"/>
      <c r="G67" s="185"/>
      <c r="H67" s="185"/>
      <c r="I67" s="185"/>
      <c r="J67" s="220"/>
      <c r="K67" s="185"/>
      <c r="L67" s="235"/>
      <c r="M67" s="184"/>
    </row>
    <row r="68" spans="2:13" ht="18.75" x14ac:dyDescent="0.3">
      <c r="B68" s="235"/>
      <c r="C68" s="185"/>
      <c r="D68" s="185"/>
      <c r="E68" s="185"/>
      <c r="F68" s="185"/>
      <c r="G68" s="185"/>
      <c r="H68" s="185"/>
      <c r="I68" s="185"/>
      <c r="J68" s="220"/>
      <c r="K68" s="185"/>
      <c r="L68" s="235"/>
      <c r="M68" s="184"/>
    </row>
    <row r="69" spans="2:13" ht="18.75" x14ac:dyDescent="0.3">
      <c r="B69" s="235"/>
      <c r="C69" s="185"/>
      <c r="D69" s="185"/>
      <c r="E69" s="185"/>
      <c r="F69" s="185"/>
      <c r="G69" s="185"/>
      <c r="H69" s="185"/>
      <c r="I69" s="185"/>
      <c r="J69" s="220"/>
      <c r="K69" s="185"/>
      <c r="L69" s="235"/>
      <c r="M69" s="184"/>
    </row>
  </sheetData>
  <mergeCells count="20">
    <mergeCell ref="Y8:Z8"/>
    <mergeCell ref="M8:N8"/>
    <mergeCell ref="O8:P8"/>
    <mergeCell ref="Q8:R8"/>
    <mergeCell ref="S8:T8"/>
    <mergeCell ref="U8:V8"/>
    <mergeCell ref="W8:X8"/>
    <mergeCell ref="A38:B38"/>
    <mergeCell ref="A39:B39"/>
    <mergeCell ref="A2:K2"/>
    <mergeCell ref="A3:K3"/>
    <mergeCell ref="A4:K4"/>
    <mergeCell ref="E5:F5"/>
    <mergeCell ref="A8:B8"/>
    <mergeCell ref="C8:D8"/>
    <mergeCell ref="E8:F8"/>
    <mergeCell ref="G8:H8"/>
    <mergeCell ref="I8:J8"/>
    <mergeCell ref="K8:L8"/>
    <mergeCell ref="A14:B14"/>
  </mergeCells>
  <pageMargins left="0.7" right="0.7" top="0.75" bottom="0.75" header="0.3" footer="0.3"/>
  <pageSetup scale="67" orientation="portrait" horizontalDpi="360" verticalDpi="36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0"/>
  <sheetViews>
    <sheetView view="pageBreakPreview" zoomScale="60" zoomScaleNormal="100" workbookViewId="0">
      <selection activeCell="K26" sqref="K26"/>
    </sheetView>
  </sheetViews>
  <sheetFormatPr baseColWidth="10" defaultColWidth="11.42578125" defaultRowHeight="15" x14ac:dyDescent="0.25"/>
  <cols>
    <col min="1" max="1" width="27.7109375" customWidth="1"/>
    <col min="2" max="2" width="19.7109375" bestFit="1" customWidth="1"/>
    <col min="3" max="3" width="17.85546875" bestFit="1" customWidth="1"/>
    <col min="4" max="4" width="18.5703125" customWidth="1"/>
    <col min="5" max="5" width="20.140625" customWidth="1"/>
  </cols>
  <sheetData>
    <row r="1" spans="1:8" ht="22.5" x14ac:dyDescent="0.3">
      <c r="A1" s="509" t="s">
        <v>636</v>
      </c>
      <c r="B1" s="509"/>
      <c r="C1" s="509"/>
      <c r="D1" s="509"/>
      <c r="E1" s="509"/>
      <c r="F1" s="509"/>
    </row>
    <row r="2" spans="1:8" ht="22.5" customHeight="1" x14ac:dyDescent="0.3">
      <c r="A2" s="510" t="s">
        <v>571</v>
      </c>
      <c r="B2" s="510"/>
      <c r="C2" s="510"/>
      <c r="D2" s="510"/>
      <c r="E2" s="510"/>
    </row>
    <row r="3" spans="1:8" ht="22.5" x14ac:dyDescent="0.3">
      <c r="A3" s="511" t="s">
        <v>637</v>
      </c>
      <c r="B3" s="511"/>
      <c r="C3" s="511"/>
      <c r="D3" s="511"/>
      <c r="E3" s="511"/>
    </row>
    <row r="4" spans="1:8" ht="18.75" x14ac:dyDescent="0.25">
      <c r="A4" s="236" t="s">
        <v>638</v>
      </c>
      <c r="B4" s="236" t="s">
        <v>639</v>
      </c>
      <c r="C4" s="236" t="s">
        <v>614</v>
      </c>
      <c r="D4" s="236" t="s">
        <v>640</v>
      </c>
      <c r="E4" s="236" t="s">
        <v>72</v>
      </c>
    </row>
    <row r="5" spans="1:8" ht="15.75" x14ac:dyDescent="0.25">
      <c r="A5" s="237" t="s">
        <v>646</v>
      </c>
      <c r="B5" s="238">
        <v>6775024.8700000001</v>
      </c>
      <c r="C5" s="239">
        <v>5902831.21</v>
      </c>
      <c r="D5" s="239">
        <v>102835</v>
      </c>
      <c r="E5" s="272">
        <f>+D5/B5</f>
        <v>1.5178542067846313E-2</v>
      </c>
    </row>
    <row r="6" spans="1:8" ht="15.75" x14ac:dyDescent="0.25">
      <c r="A6" s="237" t="s">
        <v>647</v>
      </c>
      <c r="B6" s="240">
        <v>9928728.9100000001</v>
      </c>
      <c r="C6" s="239">
        <v>9338924.6199999992</v>
      </c>
      <c r="D6" s="240">
        <v>221056.08000000002</v>
      </c>
      <c r="E6" s="272">
        <f t="shared" ref="E6:E15" si="0">+D6/B6</f>
        <v>2.2264288007436392E-2</v>
      </c>
    </row>
    <row r="7" spans="1:8" ht="15.75" x14ac:dyDescent="0.25">
      <c r="A7" s="237" t="s">
        <v>529</v>
      </c>
      <c r="B7" s="240">
        <v>7643032.2199999997</v>
      </c>
      <c r="C7" s="239">
        <v>7825280.6500000004</v>
      </c>
      <c r="D7" s="240">
        <v>99442.51</v>
      </c>
      <c r="E7" s="272">
        <f t="shared" si="0"/>
        <v>1.301087148890758E-2</v>
      </c>
    </row>
    <row r="8" spans="1:8" ht="15.75" x14ac:dyDescent="0.25">
      <c r="A8" s="237" t="s">
        <v>528</v>
      </c>
      <c r="B8" s="240">
        <v>6994829.1200000001</v>
      </c>
      <c r="C8" s="240">
        <v>6892064.790000001</v>
      </c>
      <c r="D8" s="240">
        <v>68054</v>
      </c>
      <c r="E8" s="272">
        <f t="shared" si="0"/>
        <v>9.7291869225820341E-3</v>
      </c>
    </row>
    <row r="9" spans="1:8" ht="15.75" x14ac:dyDescent="0.25">
      <c r="A9" s="237" t="s">
        <v>527</v>
      </c>
      <c r="B9" s="242">
        <v>7347874.0899999999</v>
      </c>
      <c r="C9" s="242">
        <v>7518709.1100000013</v>
      </c>
      <c r="D9" s="240">
        <v>116253.22</v>
      </c>
      <c r="E9" s="272">
        <f t="shared" si="0"/>
        <v>1.5821340781847829E-2</v>
      </c>
    </row>
    <row r="10" spans="1:8" ht="15.75" x14ac:dyDescent="0.25">
      <c r="A10" s="237" t="s">
        <v>526</v>
      </c>
      <c r="B10" s="242">
        <v>9385616.4299999997</v>
      </c>
      <c r="C10" s="242">
        <v>4055211.4400000004</v>
      </c>
      <c r="D10" s="240">
        <v>67756.320000000007</v>
      </c>
      <c r="E10" s="272">
        <f t="shared" si="0"/>
        <v>7.2191656781780515E-3</v>
      </c>
    </row>
    <row r="11" spans="1:8" ht="15.75" x14ac:dyDescent="0.25">
      <c r="A11" s="237" t="s">
        <v>525</v>
      </c>
      <c r="B11" s="242">
        <v>9418657.9499999993</v>
      </c>
      <c r="C11" s="242">
        <v>10942138.619999999</v>
      </c>
      <c r="D11" s="240">
        <v>116253.22</v>
      </c>
      <c r="E11" s="272">
        <f t="shared" si="0"/>
        <v>1.2342864622236336E-2</v>
      </c>
    </row>
    <row r="12" spans="1:8" ht="15.75" x14ac:dyDescent="0.25">
      <c r="A12" s="237" t="s">
        <v>524</v>
      </c>
      <c r="B12" s="242">
        <v>11865402.33</v>
      </c>
      <c r="C12" s="242">
        <v>6884742.669999999</v>
      </c>
      <c r="D12" s="240">
        <v>36950</v>
      </c>
      <c r="E12" s="272">
        <f t="shared" si="0"/>
        <v>3.1140958369845683E-3</v>
      </c>
    </row>
    <row r="13" spans="1:8" ht="15.75" x14ac:dyDescent="0.25">
      <c r="A13" s="237" t="s">
        <v>523</v>
      </c>
      <c r="B13" s="242">
        <v>11178188.24</v>
      </c>
      <c r="C13" s="242">
        <v>12061611.850000001</v>
      </c>
      <c r="D13" s="240">
        <v>88793.31</v>
      </c>
      <c r="E13" s="272">
        <f t="shared" si="0"/>
        <v>7.9434437937144636E-3</v>
      </c>
    </row>
    <row r="14" spans="1:8" ht="15.75" x14ac:dyDescent="0.25">
      <c r="A14" s="237" t="s">
        <v>648</v>
      </c>
      <c r="B14" s="242">
        <v>9211806.7700000014</v>
      </c>
      <c r="C14" s="242">
        <v>7453961.25</v>
      </c>
      <c r="D14" s="240">
        <v>102915.12</v>
      </c>
      <c r="E14" s="272">
        <f t="shared" si="0"/>
        <v>1.1172088447964697E-2</v>
      </c>
    </row>
    <row r="15" spans="1:8" ht="15.75" x14ac:dyDescent="0.25">
      <c r="A15" s="237" t="s">
        <v>521</v>
      </c>
      <c r="B15" s="242">
        <v>12354316.029999997</v>
      </c>
      <c r="C15" s="242">
        <v>7869417.3199999994</v>
      </c>
      <c r="D15" s="240">
        <v>145495.75</v>
      </c>
      <c r="E15" s="272">
        <f t="shared" si="0"/>
        <v>1.177691663761009E-2</v>
      </c>
      <c r="H15" t="s">
        <v>723</v>
      </c>
    </row>
    <row r="16" spans="1:8" ht="15.75" x14ac:dyDescent="0.25">
      <c r="A16" s="237" t="s">
        <v>520</v>
      </c>
      <c r="B16" s="242"/>
      <c r="C16" s="242"/>
      <c r="D16" s="240"/>
      <c r="E16" s="241"/>
    </row>
    <row r="17" spans="1:5" ht="18.75" x14ac:dyDescent="0.3">
      <c r="A17" s="243" t="s">
        <v>348</v>
      </c>
      <c r="B17" s="244">
        <f>SUM(B5:B16)</f>
        <v>102103476.95999999</v>
      </c>
      <c r="C17" s="244">
        <f>SUM(C5:C16)</f>
        <v>86744893.529999986</v>
      </c>
      <c r="D17" s="244">
        <f>SUM(D5:D16)</f>
        <v>1165804.5300000003</v>
      </c>
      <c r="E17" s="273">
        <f>+D17/B17</f>
        <v>1.141787297269725E-2</v>
      </c>
    </row>
    <row r="18" spans="1:5" ht="15.75" x14ac:dyDescent="0.25">
      <c r="A18" s="245"/>
      <c r="B18" s="246"/>
      <c r="C18" s="246"/>
      <c r="D18" s="246"/>
      <c r="E18" s="247"/>
    </row>
    <row r="19" spans="1:5" ht="15.75" x14ac:dyDescent="0.25">
      <c r="A19" s="218" t="s">
        <v>634</v>
      </c>
      <c r="B19" s="246"/>
      <c r="C19" s="246"/>
      <c r="D19" s="246"/>
      <c r="E19" s="247"/>
    </row>
    <row r="20" spans="1:5" ht="15.75" x14ac:dyDescent="0.25">
      <c r="A20" s="223" t="s">
        <v>635</v>
      </c>
      <c r="B20" s="246"/>
      <c r="C20" s="246"/>
      <c r="D20" s="246"/>
      <c r="E20" s="247"/>
    </row>
  </sheetData>
  <mergeCells count="3">
    <mergeCell ref="A1:F1"/>
    <mergeCell ref="A2:E2"/>
    <mergeCell ref="A3:E3"/>
  </mergeCells>
  <phoneticPr fontId="44" type="noConversion"/>
  <pageMargins left="0.7" right="0.7" top="0.75" bottom="0.75" header="0.3" footer="0.3"/>
  <pageSetup scale="86" orientation="portrait" r:id="rId1"/>
  <colBreaks count="1" manualBreakCount="1">
    <brk id="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461BEBD7864249BC2DAFCF9B0D2171" ma:contentTypeVersion="18" ma:contentTypeDescription="Create a new document." ma:contentTypeScope="" ma:versionID="0418eb84561f3acecd0bb14054beae6f">
  <xsd:schema xmlns:xsd="http://www.w3.org/2001/XMLSchema" xmlns:xs="http://www.w3.org/2001/XMLSchema" xmlns:p="http://schemas.microsoft.com/office/2006/metadata/properties" xmlns:ns1="http://schemas.microsoft.com/sharepoint/v3" xmlns:ns3="07c79e06-4b95-4bd7-9f70-1708916ba346" xmlns:ns4="66a0fbff-63c5-42e0-aeb3-a526626be49b" targetNamespace="http://schemas.microsoft.com/office/2006/metadata/properties" ma:root="true" ma:fieldsID="1d40ef237af0aaa82bdf647cdff22c06" ns1:_="" ns3:_="" ns4:_="">
    <xsd:import namespace="http://schemas.microsoft.com/sharepoint/v3"/>
    <xsd:import namespace="07c79e06-4b95-4bd7-9f70-1708916ba346"/>
    <xsd:import namespace="66a0fbff-63c5-42e0-aeb3-a526626be4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79e06-4b95-4bd7-9f70-1708916ba3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a0fbff-63c5-42e0-aeb3-a526626be49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07c79e06-4b95-4bd7-9f70-1708916ba346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9D16FF3-4C7A-43B0-81F3-BFC2D81C56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7c79e06-4b95-4bd7-9f70-1708916ba346"/>
    <ds:schemaRef ds:uri="66a0fbff-63c5-42e0-aeb3-a526626be4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2E94C1-626A-4224-9E7A-67B5210E35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2CB089-94A8-429F-A92D-B88DDF68251D}">
  <ds:schemaRefs>
    <ds:schemaRef ds:uri="http://schemas.microsoft.com/sharepoint/v3"/>
    <ds:schemaRef ds:uri="http://schemas.microsoft.com/office/2006/documentManagement/types"/>
    <ds:schemaRef ds:uri="http://purl.org/dc/elements/1.1/"/>
    <ds:schemaRef ds:uri="07c79e06-4b95-4bd7-9f70-1708916ba346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66a0fbff-63c5-42e0-aeb3-a526626be49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4</vt:i4>
      </vt:variant>
    </vt:vector>
  </HeadingPairs>
  <TitlesOfParts>
    <vt:vector size="20" baseType="lpstr">
      <vt:lpstr>RELACION DE PAGOS EMITIDOS</vt:lpstr>
      <vt:lpstr>RELACION ORDENES DE COMPRAS</vt:lpstr>
      <vt:lpstr>CONS. FUENTES FINAN</vt:lpstr>
      <vt:lpstr>CUENTA T FONDO 100</vt:lpstr>
      <vt:lpstr>CUENTA T VS</vt:lpstr>
      <vt:lpstr>GASTOS X ATENCION</vt:lpstr>
      <vt:lpstr>PLANTILLA PRESUPUESTO</vt:lpstr>
      <vt:lpstr>Sheet2</vt:lpstr>
      <vt:lpstr>TRANSFERENCIA CORRIENTE</vt:lpstr>
      <vt:lpstr>VS</vt:lpstr>
      <vt:lpstr>OBLIGACIONES PENDIENTES</vt:lpstr>
      <vt:lpstr>INGR SEGUN ORIGEN</vt:lpstr>
      <vt:lpstr>Sheet1</vt:lpstr>
      <vt:lpstr>DEUDA</vt:lpstr>
      <vt:lpstr>INGRESOS POR A.R.S</vt:lpstr>
      <vt:lpstr>GLOSA</vt:lpstr>
      <vt:lpstr>'CONS. FUENTES FINAN'!Área_de_impresión</vt:lpstr>
      <vt:lpstr>GLOSA!Área_de_impresión</vt:lpstr>
      <vt:lpstr>'INGR SEGUN ORIGEN'!Área_de_impresión</vt:lpstr>
      <vt:lpstr>'RELACION DE PAGOS EMITIDOS'!Área_de_impresión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Mayelin Mendez</dc:creator>
  <cp:lastModifiedBy>contabilidad</cp:lastModifiedBy>
  <cp:lastPrinted>2025-12-02T15:45:00Z</cp:lastPrinted>
  <dcterms:created xsi:type="dcterms:W3CDTF">2021-03-19T19:51:23Z</dcterms:created>
  <dcterms:modified xsi:type="dcterms:W3CDTF">2026-01-05T19:25:07Z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0x0101005E461BEBD7864249BC2DAFCF9B0D2171</vt:lpwstr>
  </property>
</Properties>
</file>
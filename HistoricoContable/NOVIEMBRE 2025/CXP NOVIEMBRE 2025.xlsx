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NOVIEMBRE 2025\"/>
    </mc:Choice>
  </mc:AlternateContent>
  <xr:revisionPtr revIDLastSave="0" documentId="13_ncr:1_{46A96789-41B6-454B-96FC-5B05DA7874C1}" xr6:coauthVersionLast="47" xr6:coauthVersionMax="47" xr10:uidLastSave="{00000000-0000-0000-0000-000000000000}"/>
  <bookViews>
    <workbookView xWindow="-120" yWindow="-120" windowWidth="24240" windowHeight="13140" xr2:uid="{8B45B908-955E-4344-92F5-FA810C8602A8}"/>
  </bookViews>
  <sheets>
    <sheet name="Hoja1" sheetId="1" r:id="rId1"/>
  </sheets>
  <definedNames>
    <definedName name="_xlnm.Print_Area" localSheetId="0">Hoja1!$A$1:$H$88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6" i="1" l="1"/>
  <c r="E6" i="1"/>
</calcChain>
</file>

<file path=xl/sharedStrings.xml><?xml version="1.0" encoding="utf-8"?>
<sst xmlns="http://schemas.openxmlformats.org/spreadsheetml/2006/main" count="284" uniqueCount="229">
  <si>
    <t>FECHA</t>
  </si>
  <si>
    <t xml:space="preserve"> </t>
  </si>
  <si>
    <t>ORDEN DE COMPRA</t>
  </si>
  <si>
    <t xml:space="preserve">MONTO DE LA ORDEN </t>
  </si>
  <si>
    <t>NCF</t>
  </si>
  <si>
    <t>N/C</t>
  </si>
  <si>
    <t>MONTO</t>
  </si>
  <si>
    <t>OBSERVACIONES</t>
  </si>
  <si>
    <t>UBICACIÓN</t>
  </si>
  <si>
    <t>B1500000003</t>
  </si>
  <si>
    <t xml:space="preserve">A&amp;S Importadora Medicas, SRL </t>
  </si>
  <si>
    <t>HSLM-DAF-CD-2025-0939</t>
  </si>
  <si>
    <t>HSLM-2025-01201</t>
  </si>
  <si>
    <t xml:space="preserve">  </t>
  </si>
  <si>
    <t>B1500002471</t>
  </si>
  <si>
    <t xml:space="preserve">AMMB IMPORTACION, SRL </t>
  </si>
  <si>
    <t>B1500000128</t>
  </si>
  <si>
    <t>B1500000154</t>
  </si>
  <si>
    <t>B1500000155</t>
  </si>
  <si>
    <t>B1500000157</t>
  </si>
  <si>
    <t>B1500000158</t>
  </si>
  <si>
    <t>Adler Amicis Valdez Marmolejos</t>
  </si>
  <si>
    <t>B1500000275</t>
  </si>
  <si>
    <t>HSLM-DAF-CD-2025-0912</t>
  </si>
  <si>
    <t>HSLM-2025-01152</t>
  </si>
  <si>
    <t>B1500000283</t>
  </si>
  <si>
    <t>Agua Planeta Azul, SA</t>
  </si>
  <si>
    <t>HSLM-DAF-CD-2025-0163</t>
  </si>
  <si>
    <t>HSLM-2025-00190</t>
  </si>
  <si>
    <t>HSLM-DAF-CD-2024-0491</t>
  </si>
  <si>
    <t>HSLM-2024-00779</t>
  </si>
  <si>
    <t>E450000009124</t>
  </si>
  <si>
    <t>HSLM-DAF-CD-2025-0365</t>
  </si>
  <si>
    <t>HSLM-2025-00461</t>
  </si>
  <si>
    <t>E450000014203</t>
  </si>
  <si>
    <t>E450000014210</t>
  </si>
  <si>
    <t>E450000014918</t>
  </si>
  <si>
    <t>E450000014204</t>
  </si>
  <si>
    <t>E450000010478</t>
  </si>
  <si>
    <t>E450000014925</t>
  </si>
  <si>
    <t>Air Liquide Dominicana, SAS</t>
  </si>
  <si>
    <t>Ameriline Pharmaceutical, SRL</t>
  </si>
  <si>
    <t>B1500000457</t>
  </si>
  <si>
    <t>B1500000643</t>
  </si>
  <si>
    <t>B1500000642</t>
  </si>
  <si>
    <t>Bello-Lab, SRL</t>
  </si>
  <si>
    <t>HSLM-DAF-CM-2025-0289</t>
  </si>
  <si>
    <t>HSLM-2025-01176</t>
  </si>
  <si>
    <t>B1500001127</t>
  </si>
  <si>
    <t>Bio Nova, SRL</t>
  </si>
  <si>
    <t>HSLM-DAF-CD-2025-0901</t>
  </si>
  <si>
    <t>HSLM-2025-01188</t>
  </si>
  <si>
    <t>E450000000046</t>
  </si>
  <si>
    <t>Bio Nuclear, SA</t>
  </si>
  <si>
    <t>B1500034323</t>
  </si>
  <si>
    <t>HSLM-DAF-CM-2025-0278</t>
  </si>
  <si>
    <t>HSLM-2025-01164</t>
  </si>
  <si>
    <t>E450000009040</t>
  </si>
  <si>
    <t>HSLM-DAF-CD-2025-0932</t>
  </si>
  <si>
    <t>HSLM-2025-01192</t>
  </si>
  <si>
    <t>E450000009108</t>
  </si>
  <si>
    <t>B1500000382</t>
  </si>
  <si>
    <t>B1500000400</t>
  </si>
  <si>
    <t>B1500000401</t>
  </si>
  <si>
    <t>B1500000403</t>
  </si>
  <si>
    <t>Ciencia Tecnología y Consultas, SRL (CIENTEC)</t>
  </si>
  <si>
    <t>B1500007449</t>
  </si>
  <si>
    <t>B1500000372</t>
  </si>
  <si>
    <t>Corporacion Medica A.G., SRL</t>
  </si>
  <si>
    <t>HSLM-DAF-CD-2025-0890</t>
  </si>
  <si>
    <t>HSLM-2025-01125</t>
  </si>
  <si>
    <t>HSLM-DAF-CD-2025-0900</t>
  </si>
  <si>
    <t>HSLM-2025-01144</t>
  </si>
  <si>
    <t>HSLM-DAF-CD-2025-0931</t>
  </si>
  <si>
    <t>HSLM-2025-01187</t>
  </si>
  <si>
    <t xml:space="preserve">CEM CARIBBEAN EQUIPMENT MEDICAL </t>
  </si>
  <si>
    <t>HSLM-DAF-CD-2025-0549</t>
  </si>
  <si>
    <t>HSLM-2025-00694</t>
  </si>
  <si>
    <t>B1500001498</t>
  </si>
  <si>
    <t>Cristina  Rosario Rosario</t>
  </si>
  <si>
    <t>B1500000371</t>
  </si>
  <si>
    <t>B1500000377</t>
  </si>
  <si>
    <t>B1500000375</t>
  </si>
  <si>
    <t>HSLM-DAF-CD-2025-0891</t>
  </si>
  <si>
    <t>HSLM-2025-01131</t>
  </si>
  <si>
    <t xml:space="preserve">DISTRIBUIDORA BRITO CONTRERAS SRL </t>
  </si>
  <si>
    <t>B1500000253</t>
  </si>
  <si>
    <t>HSLM-DAF-CD-2025-0934</t>
  </si>
  <si>
    <t>HSLM-2025-01197</t>
  </si>
  <si>
    <t>B1500000151</t>
  </si>
  <si>
    <t xml:space="preserve">ASENP QUALITY CONSULTING SRL </t>
  </si>
  <si>
    <t>HSLM-DAF-CM-2025-0185</t>
  </si>
  <si>
    <t>HSLM-2025-00768</t>
  </si>
  <si>
    <t>D, CORA INDUSTRIAL, S.R.L</t>
  </si>
  <si>
    <t>2023-00334</t>
  </si>
  <si>
    <t>B1500003173</t>
  </si>
  <si>
    <t>B1500000057</t>
  </si>
  <si>
    <t>Express Service Conserg Exsercon, SRL</t>
  </si>
  <si>
    <t>HSLM-DAF-CM-2025-0290</t>
  </si>
  <si>
    <t>HSLM-2025-01170</t>
  </si>
  <si>
    <t>B1500001361</t>
  </si>
  <si>
    <t xml:space="preserve">FARMACIA RUTH </t>
  </si>
  <si>
    <t>HSLM-DAF-CD-2025-0150</t>
  </si>
  <si>
    <t>HSLM-2025-00178</t>
  </si>
  <si>
    <t>B1500000385</t>
  </si>
  <si>
    <t>B1500000389</t>
  </si>
  <si>
    <t>Farmaco Internacional, SRL</t>
  </si>
  <si>
    <t>HSLM-DAF-CM-2025-0211</t>
  </si>
  <si>
    <t>HSLM-2025-00894</t>
  </si>
  <si>
    <t>E450000000144</t>
  </si>
  <si>
    <t>G &amp; M Gelmat Comercial, SRL</t>
  </si>
  <si>
    <t>B1500000187</t>
  </si>
  <si>
    <t>HSLM-DAF-CD-2025-0923</t>
  </si>
  <si>
    <t>HSLM-2025-01165</t>
  </si>
  <si>
    <t>B1500000204</t>
  </si>
  <si>
    <t>HSLM-DAF-CD-2025-0924</t>
  </si>
  <si>
    <t>HSLM-2025-01168</t>
  </si>
  <si>
    <t>B1500000205</t>
  </si>
  <si>
    <t>GA INTERPRISE IMPORT, SRL</t>
  </si>
  <si>
    <t>HSLM-DAF-CM-2023-0063</t>
  </si>
  <si>
    <t>HSLM-2023-00331</t>
  </si>
  <si>
    <t>B1500000102</t>
  </si>
  <si>
    <t>Gestiones Sanitarias &amp; Ambientales, SRL (GSA)</t>
  </si>
  <si>
    <t>B1500000473</t>
  </si>
  <si>
    <t>Global Multi-Pharma Dominicana THM, SRL</t>
  </si>
  <si>
    <t>B1500001186</t>
  </si>
  <si>
    <t>B1500001188</t>
  </si>
  <si>
    <t xml:space="preserve">GRUPO EIKOVA GROUP </t>
  </si>
  <si>
    <t>HSLM-DAF-CD-2025-0878</t>
  </si>
  <si>
    <t>HSLM-2025-01118</t>
  </si>
  <si>
    <t>B1500000399</t>
  </si>
  <si>
    <t>Grupo Xeron Medic SRL</t>
  </si>
  <si>
    <t>B1500000329</t>
  </si>
  <si>
    <t>B1500000328</t>
  </si>
  <si>
    <t>Hospifar, SRL</t>
  </si>
  <si>
    <t>E450000000704</t>
  </si>
  <si>
    <t>B1500000248</t>
  </si>
  <si>
    <t>B1500000160</t>
  </si>
  <si>
    <t>Xavier Vargas, Ingeniería Electromecánica, EIRL</t>
  </si>
  <si>
    <t>Insocorp, S.R.L.</t>
  </si>
  <si>
    <t>HSLM-DAF-CD-2024-0025</t>
  </si>
  <si>
    <t>HSLM-2024-00185</t>
  </si>
  <si>
    <t>B1500000174</t>
  </si>
  <si>
    <t>HSLM-2025-00763</t>
  </si>
  <si>
    <t>HSLM-2025-CM-2025-0221</t>
  </si>
  <si>
    <t>HSLM-2025-00909</t>
  </si>
  <si>
    <t>HSLM-2025-CM-2025-0253</t>
  </si>
  <si>
    <t>HSLM-2025-01057</t>
  </si>
  <si>
    <t>B1500000246</t>
  </si>
  <si>
    <t>HSLM-2025-CD-2025-0606</t>
  </si>
  <si>
    <t>B1500000247</t>
  </si>
  <si>
    <t>Lambda Diagnósticos, SRL</t>
  </si>
  <si>
    <t>HSLM-DAF-CM-2025-0280</t>
  </si>
  <si>
    <t>HSLM-2025-01178</t>
  </si>
  <si>
    <t>E4500000000273</t>
  </si>
  <si>
    <t xml:space="preserve">J. JIREH EQUIPOS MEDICOS SRL </t>
  </si>
  <si>
    <t xml:space="preserve">LINAMED SRL </t>
  </si>
  <si>
    <t>B1500000356</t>
  </si>
  <si>
    <t>Macrotech Farmacéutica, SRL</t>
  </si>
  <si>
    <t>E4500000002087</t>
  </si>
  <si>
    <t>B1500000064</t>
  </si>
  <si>
    <t>B1500000061</t>
  </si>
  <si>
    <t xml:space="preserve">MEDINA N SOLUTIONS SRL </t>
  </si>
  <si>
    <t>HSLM-DAF-CD-2025-0873</t>
  </si>
  <si>
    <t>HSLM-2025-01109</t>
  </si>
  <si>
    <t>HSLM-DAF-CD-2025-0897</t>
  </si>
  <si>
    <t>HSLM-2025-01140</t>
  </si>
  <si>
    <t>B1500000063</t>
  </si>
  <si>
    <t>HSLM-DAF-CD-2025-0938</t>
  </si>
  <si>
    <t>HSLM-2025-01199</t>
  </si>
  <si>
    <t>Morami, SRL</t>
  </si>
  <si>
    <t>OFICCLIN COMERCIAL, SRL</t>
  </si>
  <si>
    <t>HSLM-DAF-CD-2025-0921</t>
  </si>
  <si>
    <t>HSLM-2025-01167</t>
  </si>
  <si>
    <t>HSLM-DAF-CD-2025-0922</t>
  </si>
  <si>
    <t>HSLM-2025-01166</t>
  </si>
  <si>
    <t>OSIRIS &amp; CO,, S. A. (OSISA)</t>
  </si>
  <si>
    <t>HSLM-2025-01174</t>
  </si>
  <si>
    <t>E450000000059</t>
  </si>
  <si>
    <t>Empresa Rotricomercial, SRL</t>
  </si>
  <si>
    <t>HSLM-DAF-CD-2025-0920</t>
  </si>
  <si>
    <t>HSLM-2025-01163</t>
  </si>
  <si>
    <t>B1500000404</t>
  </si>
  <si>
    <t>ROPHARMA, SRL</t>
  </si>
  <si>
    <t>B1500001477</t>
  </si>
  <si>
    <t>HSLM-DAF-CD-2025-0917</t>
  </si>
  <si>
    <t>HSLM-2025-01161</t>
  </si>
  <si>
    <t>B1500001481</t>
  </si>
  <si>
    <t>HSLM-DAF-CD-2025-0918</t>
  </si>
  <si>
    <t>HSLM-2025-01160</t>
  </si>
  <si>
    <t>B1500001483</t>
  </si>
  <si>
    <t>HSLM-DAF-CD-2025-0930</t>
  </si>
  <si>
    <t>HSLM-2025-01190</t>
  </si>
  <si>
    <t>B1500001484</t>
  </si>
  <si>
    <t>HSLM-DAF-CD-2025-0929</t>
  </si>
  <si>
    <t>HSLM-2025-01189</t>
  </si>
  <si>
    <t>B1500001485</t>
  </si>
  <si>
    <t xml:space="preserve">Sandry Gomez Rodriguez </t>
  </si>
  <si>
    <t>HSLM-DAF-CM-2025-0178</t>
  </si>
  <si>
    <t>HSLM-DAF-CM-2025-0241</t>
  </si>
  <si>
    <t>HSLM-2025-01008</t>
  </si>
  <si>
    <t>HSLM-DAF-CM-2025-0240</t>
  </si>
  <si>
    <t>HSLM-2025-01002</t>
  </si>
  <si>
    <t>Super Latop Browsing SRL</t>
  </si>
  <si>
    <t>HSLM-DAF-CD-2025-0888</t>
  </si>
  <si>
    <t>HSLM-2025-01129</t>
  </si>
  <si>
    <t>SUPLIMED,SRL</t>
  </si>
  <si>
    <t>HSLM-DAF-CD-2025-02852</t>
  </si>
  <si>
    <t>HSLM-2025-01080</t>
  </si>
  <si>
    <t>E450000000324</t>
  </si>
  <si>
    <t xml:space="preserve">TONER DEPOT MULTISERVICIOS EORG </t>
  </si>
  <si>
    <t>HSLM-2025-00725</t>
  </si>
  <si>
    <t>E450000000519</t>
  </si>
  <si>
    <t>TROPIGAS.</t>
  </si>
  <si>
    <t>HSLM-2025-00730</t>
  </si>
  <si>
    <t>HSLM-DAF-CD-2025-00576</t>
  </si>
  <si>
    <t>E450000005523</t>
  </si>
  <si>
    <t xml:space="preserve">SOLUCIONES GARRIDO  CEDANO SRL </t>
  </si>
  <si>
    <t>HSLM-DAF-CM-2025-0271</t>
  </si>
  <si>
    <t>HSLM-2025-01126</t>
  </si>
  <si>
    <t>B150000000004</t>
  </si>
  <si>
    <t>B1500000438</t>
  </si>
  <si>
    <t>Ventas Diversas Farmaceuticas, SRL (VENDIFAR)</t>
  </si>
  <si>
    <t>E4500000045</t>
  </si>
  <si>
    <t xml:space="preserve">VANGUARDIA SALUD SRL </t>
  </si>
  <si>
    <t>E450000003793</t>
  </si>
  <si>
    <t>B1500000156</t>
  </si>
  <si>
    <t>E450000000268</t>
  </si>
  <si>
    <t>B1500000576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</si>
</sst>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107">
    <xf numFmtId="0" fontId="0" fillId="0" borderId="0" xfId="0"/>
    <xf numFmtId="0" fontId="6" fillId="0" borderId="0" xfId="0" applyFont="1"/>
    <xf numFmtId="0" fontId="1" fillId="0" borderId="0" xfId="0" applyFont="1"/>
    <xf numFmtId="0" fontId="13" fillId="0" borderId="0" xfId="0" applyFont="1"/>
    <xf numFmtId="17" fontId="14" fillId="0" borderId="0" xfId="2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43" fontId="7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3" fontId="7" fillId="4" borderId="0" xfId="1" applyFont="1" applyFill="1" applyBorder="1" applyAlignment="1">
      <alignment horizontal="center" vertical="center"/>
    </xf>
    <xf numFmtId="164" fontId="14" fillId="0" borderId="1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vertical="center"/>
    </xf>
    <xf numFmtId="164" fontId="12" fillId="0" borderId="1" xfId="2" applyNumberFormat="1" applyFont="1" applyFill="1" applyBorder="1" applyAlignment="1" applyProtection="1">
      <alignment horizontal="left" vertical="center" wrapText="1"/>
      <protection locked="0"/>
    </xf>
    <xf numFmtId="164" fontId="14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4" fillId="0" borderId="1" xfId="2" applyFont="1" applyFill="1" applyBorder="1" applyAlignment="1" applyProtection="1">
      <alignment horizontal="left" vertical="center" wrapText="1"/>
      <protection locked="0"/>
    </xf>
    <xf numFmtId="164" fontId="14" fillId="0" borderId="1" xfId="2" applyNumberFormat="1" applyFont="1" applyFill="1" applyBorder="1" applyAlignment="1" applyProtection="1">
      <alignment horizontal="left" vertical="center" wrapText="1"/>
      <protection locked="0"/>
    </xf>
    <xf numFmtId="164" fontId="1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>
      <alignment vertical="center"/>
    </xf>
    <xf numFmtId="0" fontId="11" fillId="0" borderId="1" xfId="0" applyFont="1" applyFill="1" applyBorder="1"/>
    <xf numFmtId="164" fontId="14" fillId="0" borderId="4" xfId="0" applyNumberFormat="1" applyFont="1" applyFill="1" applyBorder="1" applyAlignment="1" applyProtection="1">
      <alignment horizontal="left" vertical="center" wrapText="1"/>
      <protection locked="0"/>
    </xf>
    <xf numFmtId="0" fontId="9" fillId="0" borderId="4" xfId="0" applyFont="1" applyFill="1" applyBorder="1"/>
    <xf numFmtId="164" fontId="14" fillId="0" borderId="1" xfId="0" applyNumberFormat="1" applyFont="1" applyFill="1" applyBorder="1" applyAlignment="1" applyProtection="1">
      <alignment vertical="center" wrapText="1"/>
      <protection locked="0"/>
    </xf>
    <xf numFmtId="164" fontId="14" fillId="0" borderId="2" xfId="0" applyNumberFormat="1" applyFont="1" applyFill="1" applyBorder="1" applyAlignment="1" applyProtection="1">
      <alignment horizontal="left" vertical="center" wrapText="1"/>
      <protection locked="0"/>
    </xf>
    <xf numFmtId="0" fontId="8" fillId="0" borderId="4" xfId="0" applyFont="1" applyFill="1" applyBorder="1" applyAlignment="1">
      <alignment vertical="center"/>
    </xf>
    <xf numFmtId="164" fontId="12" fillId="0" borderId="4" xfId="2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/>
    <xf numFmtId="0" fontId="14" fillId="0" borderId="2" xfId="0" applyFont="1" applyFill="1" applyBorder="1" applyAlignment="1">
      <alignment vertical="center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1" fillId="0" borderId="0" xfId="0" applyFont="1" applyFill="1"/>
    <xf numFmtId="0" fontId="9" fillId="0" borderId="0" xfId="0" applyFont="1" applyFill="1"/>
    <xf numFmtId="0" fontId="16" fillId="0" borderId="3" xfId="0" applyFont="1" applyFill="1" applyBorder="1" applyAlignment="1">
      <alignment vertical="center"/>
    </xf>
    <xf numFmtId="0" fontId="9" fillId="0" borderId="1" xfId="0" applyFont="1" applyFill="1" applyBorder="1"/>
    <xf numFmtId="0" fontId="10" fillId="0" borderId="3" xfId="0" applyFont="1" applyFill="1" applyBorder="1" applyAlignment="1">
      <alignment vertical="center"/>
    </xf>
    <xf numFmtId="0" fontId="3" fillId="0" borderId="1" xfId="0" applyFont="1" applyFill="1" applyBorder="1"/>
    <xf numFmtId="0" fontId="7" fillId="0" borderId="3" xfId="0" applyFont="1" applyFill="1" applyBorder="1" applyAlignment="1">
      <alignment vertical="center"/>
    </xf>
    <xf numFmtId="0" fontId="2" fillId="0" borderId="1" xfId="0" applyFont="1" applyFill="1" applyBorder="1"/>
    <xf numFmtId="0" fontId="4" fillId="0" borderId="0" xfId="0" applyFont="1" applyFill="1"/>
    <xf numFmtId="0" fontId="8" fillId="0" borderId="5" xfId="0" applyFont="1" applyFill="1" applyBorder="1" applyAlignment="1">
      <alignment vertical="center"/>
    </xf>
    <xf numFmtId="0" fontId="3" fillId="0" borderId="0" xfId="0" applyFont="1" applyFill="1"/>
    <xf numFmtId="0" fontId="7" fillId="0" borderId="6" xfId="0" applyFont="1" applyFill="1" applyBorder="1" applyAlignment="1">
      <alignment vertical="center"/>
    </xf>
    <xf numFmtId="0" fontId="9" fillId="0" borderId="2" xfId="0" applyFont="1" applyFill="1" applyBorder="1"/>
    <xf numFmtId="0" fontId="7" fillId="0" borderId="1" xfId="0" applyFont="1" applyFill="1" applyBorder="1" applyAlignment="1">
      <alignment vertical="center"/>
    </xf>
    <xf numFmtId="0" fontId="3" fillId="0" borderId="6" xfId="0" applyFont="1" applyFill="1" applyBorder="1"/>
    <xf numFmtId="0" fontId="8" fillId="0" borderId="6" xfId="0" applyFont="1" applyFill="1" applyBorder="1" applyAlignment="1">
      <alignment vertical="center"/>
    </xf>
    <xf numFmtId="0" fontId="6" fillId="0" borderId="0" xfId="0" applyFont="1" applyFill="1"/>
    <xf numFmtId="0" fontId="7" fillId="0" borderId="5" xfId="0" applyFont="1" applyFill="1" applyBorder="1" applyAlignment="1">
      <alignment vertical="center"/>
    </xf>
    <xf numFmtId="0" fontId="8" fillId="0" borderId="1" xfId="0" applyFont="1" applyFill="1" applyBorder="1"/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164" fontId="17" fillId="0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43" fontId="17" fillId="0" borderId="1" xfId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64" fontId="11" fillId="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43" fontId="11" fillId="0" borderId="1" xfId="1" applyFont="1" applyFill="1" applyBorder="1" applyAlignment="1">
      <alignment vertical="center"/>
    </xf>
    <xf numFmtId="43" fontId="17" fillId="0" borderId="1" xfId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vertical="center"/>
    </xf>
    <xf numFmtId="0" fontId="0" fillId="0" borderId="1" xfId="0" applyFont="1" applyFill="1" applyBorder="1"/>
    <xf numFmtId="0" fontId="11" fillId="0" borderId="1" xfId="0" applyFont="1" applyFill="1" applyBorder="1" applyAlignment="1">
      <alignment vertical="center"/>
    </xf>
    <xf numFmtId="43" fontId="11" fillId="0" borderId="1" xfId="1" applyFont="1" applyFill="1" applyBorder="1"/>
    <xf numFmtId="43" fontId="17" fillId="0" borderId="1" xfId="1" applyFont="1" applyFill="1" applyBorder="1" applyAlignment="1">
      <alignment horizontal="left" vertical="center"/>
    </xf>
    <xf numFmtId="43" fontId="17" fillId="0" borderId="1" xfId="0" applyNumberFormat="1" applyFont="1" applyFill="1" applyBorder="1" applyAlignment="1">
      <alignment vertical="center"/>
    </xf>
    <xf numFmtId="164" fontId="17" fillId="0" borderId="2" xfId="0" applyNumberFormat="1" applyFont="1" applyFill="1" applyBorder="1" applyAlignment="1">
      <alignment horizontal="center" vertical="center"/>
    </xf>
    <xf numFmtId="164" fontId="17" fillId="0" borderId="2" xfId="0" applyNumberFormat="1" applyFont="1" applyFill="1" applyBorder="1" applyAlignment="1">
      <alignment vertical="center"/>
    </xf>
    <xf numFmtId="0" fontId="17" fillId="0" borderId="2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11" fillId="0" borderId="2" xfId="0" applyFont="1" applyFill="1" applyBorder="1"/>
    <xf numFmtId="43" fontId="17" fillId="0" borderId="2" xfId="0" applyNumberFormat="1" applyFont="1" applyFill="1" applyBorder="1" applyAlignment="1">
      <alignment vertical="center"/>
    </xf>
    <xf numFmtId="43" fontId="11" fillId="0" borderId="2" xfId="1" applyFont="1" applyFill="1" applyBorder="1"/>
    <xf numFmtId="0" fontId="17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left" vertical="center"/>
    </xf>
    <xf numFmtId="164" fontId="17" fillId="0" borderId="4" xfId="0" applyNumberFormat="1" applyFont="1" applyFill="1" applyBorder="1" applyAlignment="1">
      <alignment horizontal="center" vertical="center"/>
    </xf>
    <xf numFmtId="43" fontId="11" fillId="0" borderId="0" xfId="1" applyFont="1" applyFill="1" applyBorder="1"/>
    <xf numFmtId="0" fontId="11" fillId="0" borderId="4" xfId="0" applyFont="1" applyFill="1" applyBorder="1" applyAlignment="1">
      <alignment horizontal="left" vertical="center"/>
    </xf>
    <xf numFmtId="43" fontId="17" fillId="0" borderId="4" xfId="1" applyFont="1" applyFill="1" applyBorder="1" applyAlignment="1">
      <alignment vertical="center"/>
    </xf>
    <xf numFmtId="43" fontId="11" fillId="0" borderId="4" xfId="1" applyFont="1" applyFill="1" applyBorder="1"/>
    <xf numFmtId="14" fontId="11" fillId="0" borderId="4" xfId="0" applyNumberFormat="1" applyFont="1" applyFill="1" applyBorder="1" applyAlignment="1">
      <alignment horizontal="center"/>
    </xf>
    <xf numFmtId="164" fontId="17" fillId="0" borderId="4" xfId="0" applyNumberFormat="1" applyFont="1" applyFill="1" applyBorder="1" applyAlignment="1">
      <alignment vertical="center"/>
    </xf>
    <xf numFmtId="0" fontId="17" fillId="0" borderId="4" xfId="0" applyFont="1" applyFill="1" applyBorder="1" applyAlignment="1">
      <alignment horizontal="left" vertical="center"/>
    </xf>
    <xf numFmtId="0" fontId="0" fillId="0" borderId="4" xfId="0" applyFont="1" applyFill="1" applyBorder="1"/>
    <xf numFmtId="0" fontId="11" fillId="0" borderId="4" xfId="0" applyFont="1" applyFill="1" applyBorder="1" applyAlignment="1">
      <alignment horizontal="left"/>
    </xf>
    <xf numFmtId="0" fontId="6" fillId="0" borderId="4" xfId="0" applyFont="1" applyFill="1" applyBorder="1"/>
    <xf numFmtId="43" fontId="11" fillId="0" borderId="1" xfId="1" applyFont="1" applyFill="1" applyBorder="1" applyAlignment="1">
      <alignment horizontal="center" vertical="center"/>
    </xf>
    <xf numFmtId="43" fontId="17" fillId="0" borderId="2" xfId="1" applyFont="1" applyFill="1" applyBorder="1" applyAlignment="1">
      <alignment horizontal="center" vertical="center"/>
    </xf>
    <xf numFmtId="43" fontId="17" fillId="0" borderId="2" xfId="1" applyFont="1" applyFill="1" applyBorder="1" applyAlignment="1">
      <alignment horizontal="left" vertical="center"/>
    </xf>
    <xf numFmtId="0" fontId="17" fillId="0" borderId="4" xfId="0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164" fontId="11" fillId="0" borderId="4" xfId="0" applyNumberFormat="1" applyFont="1" applyFill="1" applyBorder="1" applyAlignment="1">
      <alignment horizontal="center" vertical="center"/>
    </xf>
    <xf numFmtId="164" fontId="11" fillId="0" borderId="4" xfId="0" applyNumberFormat="1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164" fontId="17" fillId="0" borderId="0" xfId="0" applyNumberFormat="1" applyFont="1" applyFill="1" applyBorder="1" applyAlignment="1">
      <alignment vertical="center"/>
    </xf>
    <xf numFmtId="43" fontId="17" fillId="0" borderId="1" xfId="1" applyFont="1" applyFill="1" applyBorder="1"/>
    <xf numFmtId="43" fontId="17" fillId="0" borderId="2" xfId="1" applyFont="1" applyFill="1" applyBorder="1" applyAlignment="1">
      <alignment vertical="center"/>
    </xf>
    <xf numFmtId="164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43" fontId="3" fillId="0" borderId="0" xfId="0" applyNumberFormat="1" applyFont="1"/>
  </cellXfs>
  <cellStyles count="4">
    <cellStyle name="Millares" xfId="1" builtinId="3"/>
    <cellStyle name="Normal" xfId="0" builtinId="0"/>
    <cellStyle name="Normal 2 2" xfId="2" xr:uid="{3FE473FB-BD8A-4453-9A90-B0C2864A7490}"/>
    <cellStyle name="Normal 3" xfId="3" xr:uid="{917DDF69-D3F3-479D-9570-84867855E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661B-824F-4CB8-AE05-B8A76E043511}">
  <dimension ref="A1:J86"/>
  <sheetViews>
    <sheetView tabSelected="1" view="pageBreakPreview" topLeftCell="B63" zoomScale="60" zoomScaleNormal="100" workbookViewId="0">
      <selection activeCell="H86" sqref="H86"/>
    </sheetView>
  </sheetViews>
  <sheetFormatPr baseColWidth="10" defaultRowHeight="15" x14ac:dyDescent="0.25"/>
  <cols>
    <col min="1" max="1" width="47.85546875" style="3" bestFit="1" customWidth="1"/>
    <col min="2" max="2" width="17.28515625" style="2" bestFit="1" customWidth="1"/>
    <col min="3" max="3" width="40.5703125" style="2" bestFit="1" customWidth="1"/>
    <col min="4" max="4" width="29" style="2" bestFit="1" customWidth="1"/>
    <col min="5" max="5" width="23.42578125" style="2" bestFit="1" customWidth="1"/>
    <col min="6" max="6" width="25.5703125" style="5" bestFit="1" customWidth="1"/>
    <col min="7" max="7" width="18.28515625" style="1" bestFit="1" customWidth="1"/>
    <col min="8" max="8" width="21.5703125" style="2" bestFit="1" customWidth="1"/>
    <col min="9" max="9" width="17.42578125" style="2" bestFit="1" customWidth="1"/>
    <col min="10" max="10" width="13.140625" style="2" bestFit="1" customWidth="1"/>
    <col min="11" max="11" width="0" style="2" hidden="1" customWidth="1"/>
    <col min="12" max="16384" width="11.42578125" style="2"/>
  </cols>
  <sheetData>
    <row r="1" spans="1:10" ht="15.75" x14ac:dyDescent="0.25">
      <c r="A1" s="4"/>
    </row>
    <row r="2" spans="1:10" ht="39" customHeight="1" x14ac:dyDescent="0.25">
      <c r="A2" s="6"/>
      <c r="B2" s="7" t="s">
        <v>0</v>
      </c>
      <c r="C2" s="8" t="s">
        <v>1</v>
      </c>
      <c r="D2" s="9" t="s">
        <v>2</v>
      </c>
      <c r="E2" s="10" t="s">
        <v>3</v>
      </c>
      <c r="F2" s="11" t="s">
        <v>4</v>
      </c>
      <c r="G2" s="11" t="s">
        <v>5</v>
      </c>
      <c r="H2" s="12" t="s">
        <v>6</v>
      </c>
      <c r="I2" s="13" t="s">
        <v>7</v>
      </c>
      <c r="J2" s="14" t="s">
        <v>8</v>
      </c>
    </row>
    <row r="3" spans="1:10" s="36" customFormat="1" ht="15.75" x14ac:dyDescent="0.25">
      <c r="A3" s="15" t="s">
        <v>118</v>
      </c>
      <c r="B3" s="57">
        <v>45055</v>
      </c>
      <c r="C3" s="58" t="s">
        <v>119</v>
      </c>
      <c r="D3" s="59" t="s">
        <v>120</v>
      </c>
      <c r="E3" s="60"/>
      <c r="F3" s="59" t="s">
        <v>121</v>
      </c>
      <c r="G3" s="61"/>
      <c r="H3" s="60">
        <v>287920</v>
      </c>
      <c r="I3" s="35"/>
      <c r="J3" s="16"/>
    </row>
    <row r="4" spans="1:10" s="36" customFormat="1" ht="15.75" x14ac:dyDescent="0.25">
      <c r="A4" s="17" t="s">
        <v>93</v>
      </c>
      <c r="B4" s="62">
        <v>45083</v>
      </c>
      <c r="C4" s="63"/>
      <c r="D4" s="64" t="s">
        <v>94</v>
      </c>
      <c r="E4" s="65"/>
      <c r="F4" s="64" t="s">
        <v>95</v>
      </c>
      <c r="G4" s="61"/>
      <c r="H4" s="60">
        <v>220483.05</v>
      </c>
      <c r="I4" s="35"/>
      <c r="J4" s="16"/>
    </row>
    <row r="5" spans="1:10" s="36" customFormat="1" ht="15.75" x14ac:dyDescent="0.25">
      <c r="A5" s="18" t="s">
        <v>53</v>
      </c>
      <c r="B5" s="57">
        <v>45092</v>
      </c>
      <c r="C5" s="58"/>
      <c r="D5" s="59"/>
      <c r="E5" s="60"/>
      <c r="F5" s="59" t="s">
        <v>54</v>
      </c>
      <c r="G5" s="61"/>
      <c r="H5" s="60">
        <v>4182</v>
      </c>
      <c r="I5" s="16"/>
      <c r="J5" s="16"/>
    </row>
    <row r="6" spans="1:10" s="36" customFormat="1" ht="28.5" customHeight="1" x14ac:dyDescent="0.25">
      <c r="A6" s="19" t="s">
        <v>139</v>
      </c>
      <c r="B6" s="57">
        <v>45394</v>
      </c>
      <c r="C6" s="58" t="s">
        <v>140</v>
      </c>
      <c r="D6" s="59" t="s">
        <v>141</v>
      </c>
      <c r="E6" s="65">
        <f>214382.4-H6</f>
        <v>51920</v>
      </c>
      <c r="F6" s="64" t="s">
        <v>142</v>
      </c>
      <c r="G6" s="60"/>
      <c r="H6" s="65">
        <v>162462.39999999999</v>
      </c>
      <c r="I6" s="16"/>
      <c r="J6" s="16"/>
    </row>
    <row r="7" spans="1:10" s="36" customFormat="1" ht="22.5" customHeight="1" x14ac:dyDescent="0.25">
      <c r="A7" s="15" t="s">
        <v>155</v>
      </c>
      <c r="B7" s="57">
        <v>45593</v>
      </c>
      <c r="C7" s="58"/>
      <c r="D7" s="59"/>
      <c r="E7" s="66"/>
      <c r="F7" s="59"/>
      <c r="G7" s="67"/>
      <c r="H7" s="66">
        <v>16520</v>
      </c>
      <c r="I7" s="16"/>
      <c r="J7" s="16"/>
    </row>
    <row r="8" spans="1:10" s="36" customFormat="1" ht="18.75" customHeight="1" x14ac:dyDescent="0.25">
      <c r="A8" s="20" t="s">
        <v>65</v>
      </c>
      <c r="B8" s="57">
        <v>45670</v>
      </c>
      <c r="C8" s="58"/>
      <c r="D8" s="59"/>
      <c r="E8" s="65"/>
      <c r="F8" s="59" t="s">
        <v>66</v>
      </c>
      <c r="G8" s="61"/>
      <c r="H8" s="60">
        <v>5691.23</v>
      </c>
      <c r="I8" s="16"/>
      <c r="J8" s="16"/>
    </row>
    <row r="9" spans="1:10" s="36" customFormat="1" ht="24" customHeight="1" x14ac:dyDescent="0.25">
      <c r="A9" s="20" t="s">
        <v>26</v>
      </c>
      <c r="B9" s="57">
        <v>45740</v>
      </c>
      <c r="C9" s="61" t="s">
        <v>29</v>
      </c>
      <c r="D9" s="59" t="s">
        <v>30</v>
      </c>
      <c r="E9" s="60"/>
      <c r="F9" s="59" t="s">
        <v>31</v>
      </c>
      <c r="G9" s="61"/>
      <c r="H9" s="60">
        <v>9500</v>
      </c>
      <c r="I9" s="16"/>
      <c r="J9" s="37"/>
    </row>
    <row r="10" spans="1:10" s="36" customFormat="1" ht="24" customHeight="1" x14ac:dyDescent="0.25">
      <c r="A10" s="21" t="s">
        <v>101</v>
      </c>
      <c r="B10" s="62">
        <v>45748</v>
      </c>
      <c r="C10" s="63" t="s">
        <v>102</v>
      </c>
      <c r="D10" s="64" t="s">
        <v>103</v>
      </c>
      <c r="E10" s="68"/>
      <c r="F10" s="64" t="s">
        <v>67</v>
      </c>
      <c r="G10" s="69"/>
      <c r="H10" s="65">
        <v>13900</v>
      </c>
      <c r="I10" s="16"/>
      <c r="J10" s="37"/>
    </row>
    <row r="11" spans="1:10" s="36" customFormat="1" ht="24" customHeight="1" x14ac:dyDescent="0.25">
      <c r="A11" s="21" t="s">
        <v>101</v>
      </c>
      <c r="B11" s="62">
        <v>45778</v>
      </c>
      <c r="C11" s="63" t="s">
        <v>102</v>
      </c>
      <c r="D11" s="64" t="s">
        <v>103</v>
      </c>
      <c r="E11" s="68"/>
      <c r="F11" s="64" t="s">
        <v>80</v>
      </c>
      <c r="G11" s="70"/>
      <c r="H11" s="68">
        <v>18500</v>
      </c>
      <c r="I11" s="16"/>
      <c r="J11" s="37"/>
    </row>
    <row r="12" spans="1:10" s="36" customFormat="1" ht="27" customHeight="1" x14ac:dyDescent="0.25">
      <c r="A12" s="15" t="s">
        <v>101</v>
      </c>
      <c r="B12" s="57">
        <v>45809</v>
      </c>
      <c r="C12" s="58" t="s">
        <v>102</v>
      </c>
      <c r="D12" s="59" t="s">
        <v>103</v>
      </c>
      <c r="E12" s="60"/>
      <c r="F12" s="59" t="s">
        <v>82</v>
      </c>
      <c r="G12" s="65"/>
      <c r="H12" s="60">
        <v>23625</v>
      </c>
      <c r="I12" s="16"/>
      <c r="J12" s="16"/>
    </row>
    <row r="13" spans="1:10" s="36" customFormat="1" ht="18.75" customHeight="1" x14ac:dyDescent="0.25">
      <c r="A13" s="20" t="s">
        <v>26</v>
      </c>
      <c r="B13" s="57">
        <v>45814</v>
      </c>
      <c r="C13" s="61" t="s">
        <v>32</v>
      </c>
      <c r="D13" s="59" t="s">
        <v>33</v>
      </c>
      <c r="E13" s="60"/>
      <c r="F13" s="59" t="s">
        <v>37</v>
      </c>
      <c r="G13" s="61"/>
      <c r="H13" s="60">
        <v>2700</v>
      </c>
      <c r="I13" s="35"/>
      <c r="J13" s="16"/>
    </row>
    <row r="14" spans="1:10" s="36" customFormat="1" ht="15.75" x14ac:dyDescent="0.25">
      <c r="A14" s="20" t="s">
        <v>26</v>
      </c>
      <c r="B14" s="57">
        <v>45814</v>
      </c>
      <c r="C14" s="61" t="s">
        <v>32</v>
      </c>
      <c r="D14" s="59" t="s">
        <v>33</v>
      </c>
      <c r="E14" s="60"/>
      <c r="F14" s="59" t="s">
        <v>38</v>
      </c>
      <c r="G14" s="61"/>
      <c r="H14" s="60">
        <v>15750</v>
      </c>
      <c r="I14" s="38" t="s">
        <v>1</v>
      </c>
      <c r="J14" s="16"/>
    </row>
    <row r="15" spans="1:10" s="36" customFormat="1" ht="29.25" customHeight="1" x14ac:dyDescent="0.25">
      <c r="A15" s="20" t="s">
        <v>26</v>
      </c>
      <c r="B15" s="57">
        <v>45840</v>
      </c>
      <c r="C15" s="61" t="s">
        <v>27</v>
      </c>
      <c r="D15" s="59" t="s">
        <v>28</v>
      </c>
      <c r="E15" s="60"/>
      <c r="F15" s="59" t="s">
        <v>39</v>
      </c>
      <c r="G15" s="61"/>
      <c r="H15" s="60">
        <v>12660</v>
      </c>
      <c r="I15" s="35"/>
      <c r="J15" s="16"/>
    </row>
    <row r="16" spans="1:10" s="36" customFormat="1" ht="24" customHeight="1" x14ac:dyDescent="0.25">
      <c r="A16" s="15" t="s">
        <v>101</v>
      </c>
      <c r="B16" s="57">
        <v>45841</v>
      </c>
      <c r="C16" s="58" t="s">
        <v>102</v>
      </c>
      <c r="D16" s="59" t="s">
        <v>103</v>
      </c>
      <c r="E16" s="60"/>
      <c r="F16" s="59" t="s">
        <v>81</v>
      </c>
      <c r="G16" s="65"/>
      <c r="H16" s="60">
        <v>16100</v>
      </c>
      <c r="I16" s="35"/>
      <c r="J16" s="16"/>
    </row>
    <row r="17" spans="1:10" s="36" customFormat="1" ht="17.25" customHeight="1" x14ac:dyDescent="0.25">
      <c r="A17" s="15" t="s">
        <v>75</v>
      </c>
      <c r="B17" s="57">
        <v>45870</v>
      </c>
      <c r="C17" s="58" t="s">
        <v>76</v>
      </c>
      <c r="D17" s="59" t="s">
        <v>77</v>
      </c>
      <c r="E17" s="71"/>
      <c r="F17" s="64" t="s">
        <v>78</v>
      </c>
      <c r="G17" s="67"/>
      <c r="H17" s="65">
        <v>10792.8</v>
      </c>
      <c r="I17" s="35"/>
      <c r="J17" s="39"/>
    </row>
    <row r="18" spans="1:10" s="36" customFormat="1" ht="27.75" customHeight="1" x14ac:dyDescent="0.25">
      <c r="A18" s="15" t="s">
        <v>101</v>
      </c>
      <c r="B18" s="57">
        <v>45876</v>
      </c>
      <c r="C18" s="58" t="s">
        <v>102</v>
      </c>
      <c r="D18" s="59" t="s">
        <v>103</v>
      </c>
      <c r="E18" s="60"/>
      <c r="F18" s="59" t="s">
        <v>61</v>
      </c>
      <c r="G18" s="65"/>
      <c r="H18" s="60">
        <v>950</v>
      </c>
      <c r="I18" s="35"/>
      <c r="J18" s="16"/>
    </row>
    <row r="19" spans="1:10" s="36" customFormat="1" ht="22.5" customHeight="1" x14ac:dyDescent="0.25">
      <c r="A19" s="15" t="s">
        <v>122</v>
      </c>
      <c r="B19" s="57">
        <v>45888</v>
      </c>
      <c r="C19" s="58"/>
      <c r="D19" s="59"/>
      <c r="E19" s="65"/>
      <c r="F19" s="64" t="s">
        <v>123</v>
      </c>
      <c r="G19" s="61"/>
      <c r="H19" s="65">
        <v>16520</v>
      </c>
      <c r="I19" s="35"/>
      <c r="J19" s="16"/>
    </row>
    <row r="20" spans="1:10" s="36" customFormat="1" ht="15.75" x14ac:dyDescent="0.25">
      <c r="A20" s="15" t="s">
        <v>101</v>
      </c>
      <c r="B20" s="57">
        <v>45931</v>
      </c>
      <c r="C20" s="58"/>
      <c r="D20" s="59"/>
      <c r="E20" s="60"/>
      <c r="F20" s="59" t="s">
        <v>104</v>
      </c>
      <c r="G20" s="65"/>
      <c r="H20" s="60">
        <v>17150</v>
      </c>
      <c r="I20" s="35"/>
      <c r="J20" s="16"/>
    </row>
    <row r="21" spans="1:10" s="36" customFormat="1" ht="15.75" x14ac:dyDescent="0.25">
      <c r="A21" s="21" t="s">
        <v>206</v>
      </c>
      <c r="B21" s="62">
        <v>45951</v>
      </c>
      <c r="C21" s="63" t="s">
        <v>207</v>
      </c>
      <c r="D21" s="63" t="s">
        <v>208</v>
      </c>
      <c r="E21" s="69"/>
      <c r="F21" s="64" t="s">
        <v>209</v>
      </c>
      <c r="G21" s="65">
        <v>25677.599999999999</v>
      </c>
      <c r="H21" s="71">
        <v>73546.12</v>
      </c>
      <c r="I21" s="35"/>
      <c r="J21" s="16"/>
    </row>
    <row r="22" spans="1:10" s="36" customFormat="1" ht="24" customHeight="1" x14ac:dyDescent="0.25">
      <c r="A22" s="15" t="s">
        <v>162</v>
      </c>
      <c r="B22" s="57">
        <v>45964</v>
      </c>
      <c r="C22" s="58" t="s">
        <v>163</v>
      </c>
      <c r="D22" s="59" t="s">
        <v>164</v>
      </c>
      <c r="E22" s="66"/>
      <c r="F22" s="72" t="s">
        <v>161</v>
      </c>
      <c r="G22" s="66"/>
      <c r="H22" s="66">
        <v>247149.87</v>
      </c>
      <c r="I22" s="40"/>
      <c r="J22" s="41"/>
    </row>
    <row r="23" spans="1:10" s="36" customFormat="1" ht="24" customHeight="1" x14ac:dyDescent="0.25">
      <c r="A23" s="20" t="s">
        <v>197</v>
      </c>
      <c r="B23" s="57">
        <v>45964</v>
      </c>
      <c r="C23" s="58" t="s">
        <v>201</v>
      </c>
      <c r="D23" s="59" t="s">
        <v>202</v>
      </c>
      <c r="E23" s="69"/>
      <c r="F23" s="59" t="s">
        <v>96</v>
      </c>
      <c r="G23" s="61"/>
      <c r="H23" s="60">
        <v>468280</v>
      </c>
      <c r="I23" s="40"/>
      <c r="J23" s="41"/>
    </row>
    <row r="24" spans="1:10" s="36" customFormat="1" ht="24" customHeight="1" x14ac:dyDescent="0.25">
      <c r="A24" s="20" t="s">
        <v>197</v>
      </c>
      <c r="B24" s="57">
        <v>45964</v>
      </c>
      <c r="C24" s="58" t="s">
        <v>199</v>
      </c>
      <c r="D24" s="59" t="s">
        <v>200</v>
      </c>
      <c r="E24" s="69"/>
      <c r="F24" s="59" t="s">
        <v>228</v>
      </c>
      <c r="G24" s="61"/>
      <c r="H24" s="60">
        <v>688500</v>
      </c>
      <c r="I24" s="40"/>
      <c r="J24" s="41"/>
    </row>
    <row r="25" spans="1:10" s="36" customFormat="1" ht="15.75" x14ac:dyDescent="0.25">
      <c r="A25" s="15" t="s">
        <v>68</v>
      </c>
      <c r="B25" s="57">
        <v>45965</v>
      </c>
      <c r="C25" s="58" t="s">
        <v>69</v>
      </c>
      <c r="D25" s="59" t="s">
        <v>70</v>
      </c>
      <c r="E25" s="69"/>
      <c r="F25" s="24" t="s">
        <v>89</v>
      </c>
      <c r="G25" s="73"/>
      <c r="H25" s="71">
        <v>257150</v>
      </c>
      <c r="I25" s="40"/>
      <c r="J25" s="16"/>
    </row>
    <row r="26" spans="1:10" s="36" customFormat="1" ht="15.75" x14ac:dyDescent="0.25">
      <c r="A26" s="15" t="s">
        <v>179</v>
      </c>
      <c r="B26" s="57">
        <v>45965</v>
      </c>
      <c r="C26" s="61"/>
      <c r="D26" s="59"/>
      <c r="E26" s="69"/>
      <c r="F26" s="64" t="s">
        <v>62</v>
      </c>
      <c r="G26" s="61"/>
      <c r="H26" s="71">
        <v>90000</v>
      </c>
      <c r="I26" s="35"/>
      <c r="J26" s="39"/>
    </row>
    <row r="27" spans="1:10" s="36" customFormat="1" ht="15.75" x14ac:dyDescent="0.25">
      <c r="A27" s="15" t="s">
        <v>101</v>
      </c>
      <c r="B27" s="57">
        <v>45965</v>
      </c>
      <c r="C27" s="58"/>
      <c r="D27" s="59"/>
      <c r="E27" s="60"/>
      <c r="F27" s="59" t="s">
        <v>105</v>
      </c>
      <c r="G27" s="65"/>
      <c r="H27" s="60">
        <v>39250</v>
      </c>
      <c r="I27" s="38"/>
      <c r="J27" s="39"/>
    </row>
    <row r="28" spans="1:10" s="36" customFormat="1" ht="15.75" x14ac:dyDescent="0.25">
      <c r="A28" s="17" t="s">
        <v>127</v>
      </c>
      <c r="B28" s="62">
        <v>45965</v>
      </c>
      <c r="C28" s="63" t="s">
        <v>128</v>
      </c>
      <c r="D28" s="64" t="s">
        <v>129</v>
      </c>
      <c r="E28" s="65"/>
      <c r="F28" s="64" t="s">
        <v>130</v>
      </c>
      <c r="G28" s="70"/>
      <c r="H28" s="65">
        <v>241664</v>
      </c>
      <c r="I28" s="42"/>
      <c r="J28" s="16"/>
    </row>
    <row r="29" spans="1:10" s="36" customFormat="1" ht="15.75" x14ac:dyDescent="0.25">
      <c r="A29" s="20" t="s">
        <v>183</v>
      </c>
      <c r="B29" s="57">
        <v>45965</v>
      </c>
      <c r="C29" s="58"/>
      <c r="D29" s="59"/>
      <c r="E29" s="69"/>
      <c r="F29" s="64" t="s">
        <v>184</v>
      </c>
      <c r="G29" s="61"/>
      <c r="H29" s="65">
        <v>260000</v>
      </c>
      <c r="I29" s="35"/>
      <c r="J29" s="39"/>
    </row>
    <row r="30" spans="1:10" s="36" customFormat="1" ht="15.75" x14ac:dyDescent="0.25">
      <c r="A30" s="22" t="s">
        <v>134</v>
      </c>
      <c r="B30" s="57">
        <v>45966</v>
      </c>
      <c r="C30" s="58"/>
      <c r="D30" s="59"/>
      <c r="E30" s="65"/>
      <c r="F30" s="64" t="s">
        <v>135</v>
      </c>
      <c r="G30" s="61"/>
      <c r="H30" s="65">
        <v>472000</v>
      </c>
      <c r="I30" s="35"/>
      <c r="J30" s="39"/>
    </row>
    <row r="31" spans="1:10" s="36" customFormat="1" ht="15.75" x14ac:dyDescent="0.25">
      <c r="A31" s="23" t="s">
        <v>217</v>
      </c>
      <c r="B31" s="57">
        <v>45966</v>
      </c>
      <c r="C31" s="58" t="s">
        <v>218</v>
      </c>
      <c r="D31" s="59" t="s">
        <v>219</v>
      </c>
      <c r="E31" s="69"/>
      <c r="F31" s="59" t="s">
        <v>220</v>
      </c>
      <c r="G31" s="61"/>
      <c r="H31" s="71">
        <v>733482.48</v>
      </c>
      <c r="I31" s="35"/>
      <c r="J31" s="39"/>
    </row>
    <row r="32" spans="1:10" s="36" customFormat="1" ht="15.75" x14ac:dyDescent="0.25">
      <c r="A32" s="22" t="s">
        <v>79</v>
      </c>
      <c r="B32" s="57">
        <v>45967</v>
      </c>
      <c r="C32" s="58" t="s">
        <v>83</v>
      </c>
      <c r="D32" s="59" t="s">
        <v>84</v>
      </c>
      <c r="E32" s="69"/>
      <c r="F32" s="64" t="s">
        <v>61</v>
      </c>
      <c r="G32" s="61"/>
      <c r="H32" s="65">
        <v>271990</v>
      </c>
      <c r="I32" s="35"/>
      <c r="J32" s="39"/>
    </row>
    <row r="33" spans="1:10" s="36" customFormat="1" ht="15.75" x14ac:dyDescent="0.25">
      <c r="A33" s="15" t="s">
        <v>170</v>
      </c>
      <c r="B33" s="57">
        <v>45967</v>
      </c>
      <c r="C33" s="58"/>
      <c r="D33" s="59"/>
      <c r="E33" s="69"/>
      <c r="F33" s="64" t="s">
        <v>227</v>
      </c>
      <c r="G33" s="61"/>
      <c r="H33" s="60">
        <v>208000</v>
      </c>
      <c r="I33" s="35"/>
      <c r="J33" s="39"/>
    </row>
    <row r="34" spans="1:10" s="36" customFormat="1" ht="29.25" customHeight="1" x14ac:dyDescent="0.25">
      <c r="A34" s="21" t="s">
        <v>90</v>
      </c>
      <c r="B34" s="62">
        <v>45968</v>
      </c>
      <c r="C34" s="63" t="s">
        <v>91</v>
      </c>
      <c r="D34" s="64" t="s">
        <v>92</v>
      </c>
      <c r="E34" s="65"/>
      <c r="F34" s="64" t="s">
        <v>9</v>
      </c>
      <c r="G34" s="60"/>
      <c r="H34" s="65">
        <v>1289204.28</v>
      </c>
      <c r="I34" s="35"/>
      <c r="J34" s="39"/>
    </row>
    <row r="35" spans="1:10" s="44" customFormat="1" ht="25.5" customHeight="1" x14ac:dyDescent="0.25">
      <c r="A35" s="15" t="s">
        <v>68</v>
      </c>
      <c r="B35" s="57">
        <v>45968</v>
      </c>
      <c r="C35" s="58"/>
      <c r="D35" s="59"/>
      <c r="E35" s="69"/>
      <c r="F35" s="24" t="s">
        <v>19</v>
      </c>
      <c r="G35" s="73"/>
      <c r="H35" s="71">
        <v>214099.20000000001</v>
      </c>
      <c r="I35" s="42"/>
      <c r="J35" s="43"/>
    </row>
    <row r="36" spans="1:10" s="36" customFormat="1" ht="18.75" customHeight="1" x14ac:dyDescent="0.25">
      <c r="A36" s="15" t="s">
        <v>68</v>
      </c>
      <c r="B36" s="57">
        <v>45968</v>
      </c>
      <c r="C36" s="58"/>
      <c r="D36" s="59"/>
      <c r="E36" s="69"/>
      <c r="F36" s="24" t="s">
        <v>226</v>
      </c>
      <c r="G36" s="73"/>
      <c r="H36" s="71">
        <v>241664</v>
      </c>
      <c r="I36" s="35"/>
      <c r="J36" s="39"/>
    </row>
    <row r="37" spans="1:10" s="36" customFormat="1" ht="22.5" customHeight="1" x14ac:dyDescent="0.25">
      <c r="A37" s="15" t="s">
        <v>68</v>
      </c>
      <c r="B37" s="57">
        <v>45968</v>
      </c>
      <c r="C37" s="58" t="s">
        <v>71</v>
      </c>
      <c r="D37" s="59" t="s">
        <v>72</v>
      </c>
      <c r="E37" s="69"/>
      <c r="F37" s="24" t="s">
        <v>18</v>
      </c>
      <c r="G37" s="73"/>
      <c r="H37" s="71">
        <v>242342.5</v>
      </c>
      <c r="I37" s="35"/>
      <c r="J37" s="39"/>
    </row>
    <row r="38" spans="1:10" s="36" customFormat="1" ht="24" customHeight="1" x14ac:dyDescent="0.25">
      <c r="A38" s="15" t="s">
        <v>68</v>
      </c>
      <c r="B38" s="57">
        <v>45968</v>
      </c>
      <c r="C38" s="58"/>
      <c r="D38" s="59"/>
      <c r="E38" s="69"/>
      <c r="F38" s="24" t="s">
        <v>17</v>
      </c>
      <c r="G38" s="73"/>
      <c r="H38" s="71">
        <v>247800</v>
      </c>
      <c r="I38" s="42"/>
      <c r="J38" s="39"/>
    </row>
    <row r="39" spans="1:10" s="36" customFormat="1" ht="15.75" x14ac:dyDescent="0.25">
      <c r="A39" s="15" t="s">
        <v>68</v>
      </c>
      <c r="B39" s="74">
        <v>45968</v>
      </c>
      <c r="C39" s="75"/>
      <c r="D39" s="76"/>
      <c r="E39" s="77"/>
      <c r="F39" s="78" t="s">
        <v>20</v>
      </c>
      <c r="G39" s="79"/>
      <c r="H39" s="80">
        <v>248700</v>
      </c>
      <c r="I39" s="35"/>
      <c r="J39" s="39"/>
    </row>
    <row r="40" spans="1:10" s="36" customFormat="1" ht="21" customHeight="1" x14ac:dyDescent="0.25">
      <c r="A40" s="20" t="s">
        <v>124</v>
      </c>
      <c r="B40" s="57">
        <v>45968</v>
      </c>
      <c r="C40" s="75"/>
      <c r="D40" s="59"/>
      <c r="E40" s="65"/>
      <c r="F40" s="76" t="s">
        <v>125</v>
      </c>
      <c r="G40" s="61"/>
      <c r="H40" s="60">
        <v>239304</v>
      </c>
      <c r="I40" s="35"/>
      <c r="J40" s="39"/>
    </row>
    <row r="41" spans="1:10" s="36" customFormat="1" ht="19.5" customHeight="1" x14ac:dyDescent="0.25">
      <c r="A41" s="23" t="s">
        <v>139</v>
      </c>
      <c r="B41" s="57">
        <v>45968</v>
      </c>
      <c r="C41" s="81" t="s">
        <v>149</v>
      </c>
      <c r="D41" s="59" t="s">
        <v>143</v>
      </c>
      <c r="E41" s="71"/>
      <c r="F41" s="82" t="s">
        <v>150</v>
      </c>
      <c r="G41" s="60"/>
      <c r="H41" s="71">
        <v>225993.60000000001</v>
      </c>
      <c r="I41" s="35"/>
      <c r="J41" s="39"/>
    </row>
    <row r="42" spans="1:10" s="36" customFormat="1" ht="17.25" customHeight="1" x14ac:dyDescent="0.25">
      <c r="A42" s="23" t="s">
        <v>139</v>
      </c>
      <c r="B42" s="57">
        <v>45968</v>
      </c>
      <c r="C42" s="61" t="s">
        <v>144</v>
      </c>
      <c r="D42" s="59" t="s">
        <v>145</v>
      </c>
      <c r="E42" s="24"/>
      <c r="F42" s="64" t="s">
        <v>136</v>
      </c>
      <c r="G42" s="60"/>
      <c r="H42" s="71">
        <v>354814.96</v>
      </c>
      <c r="I42" s="42"/>
      <c r="J42" s="39"/>
    </row>
    <row r="43" spans="1:10" s="36" customFormat="1" ht="17.25" customHeight="1" x14ac:dyDescent="0.25">
      <c r="A43" s="23" t="s">
        <v>139</v>
      </c>
      <c r="B43" s="83">
        <v>45968</v>
      </c>
      <c r="C43" s="61" t="s">
        <v>146</v>
      </c>
      <c r="D43" s="59" t="s">
        <v>147</v>
      </c>
      <c r="E43" s="84"/>
      <c r="F43" s="85" t="s">
        <v>148</v>
      </c>
      <c r="G43" s="86"/>
      <c r="H43" s="87">
        <v>784700</v>
      </c>
      <c r="I43" s="42"/>
      <c r="J43" s="39"/>
    </row>
    <row r="44" spans="1:10" s="36" customFormat="1" ht="15.75" x14ac:dyDescent="0.25">
      <c r="A44" s="25" t="s">
        <v>203</v>
      </c>
      <c r="B44" s="88">
        <v>45968</v>
      </c>
      <c r="C44" s="89" t="s">
        <v>204</v>
      </c>
      <c r="D44" s="90" t="s">
        <v>205</v>
      </c>
      <c r="E44" s="91"/>
      <c r="F44" s="92" t="s">
        <v>111</v>
      </c>
      <c r="G44" s="93"/>
      <c r="H44" s="87">
        <v>234000</v>
      </c>
      <c r="I44" s="35"/>
      <c r="J44" s="16"/>
    </row>
    <row r="45" spans="1:10" s="36" customFormat="1" ht="31.5" x14ac:dyDescent="0.25">
      <c r="A45" s="20" t="s">
        <v>138</v>
      </c>
      <c r="B45" s="57">
        <v>45972</v>
      </c>
      <c r="C45" s="58"/>
      <c r="D45" s="59"/>
      <c r="E45" s="69"/>
      <c r="F45" s="59" t="s">
        <v>86</v>
      </c>
      <c r="G45" s="61"/>
      <c r="H45" s="71">
        <v>165200</v>
      </c>
      <c r="I45" s="40"/>
      <c r="J45" s="16"/>
    </row>
    <row r="46" spans="1:10" s="36" customFormat="1" ht="15.75" x14ac:dyDescent="0.25">
      <c r="A46" s="20" t="s">
        <v>21</v>
      </c>
      <c r="B46" s="62">
        <v>45973</v>
      </c>
      <c r="C46" s="63" t="s">
        <v>23</v>
      </c>
      <c r="D46" s="64" t="s">
        <v>24</v>
      </c>
      <c r="E46" s="69"/>
      <c r="F46" s="64" t="s">
        <v>25</v>
      </c>
      <c r="G46" s="94"/>
      <c r="H46" s="71">
        <v>30680</v>
      </c>
      <c r="I46" s="45"/>
      <c r="J46" s="39"/>
    </row>
    <row r="47" spans="1:10" s="36" customFormat="1" ht="15.75" x14ac:dyDescent="0.25">
      <c r="A47" s="27" t="s">
        <v>40</v>
      </c>
      <c r="B47" s="57">
        <v>45973</v>
      </c>
      <c r="C47" s="58"/>
      <c r="D47" s="59"/>
      <c r="E47" s="60"/>
      <c r="F47" s="59" t="s">
        <v>225</v>
      </c>
      <c r="G47" s="61"/>
      <c r="H47" s="60">
        <v>7861.63</v>
      </c>
      <c r="I47" s="45"/>
      <c r="J47" s="39"/>
    </row>
    <row r="48" spans="1:10" s="36" customFormat="1" ht="15.75" x14ac:dyDescent="0.25">
      <c r="A48" s="18" t="s">
        <v>53</v>
      </c>
      <c r="B48" s="57">
        <v>45973</v>
      </c>
      <c r="C48" s="58" t="s">
        <v>55</v>
      </c>
      <c r="D48" s="59" t="s">
        <v>56</v>
      </c>
      <c r="E48" s="71"/>
      <c r="F48" s="59" t="s">
        <v>57</v>
      </c>
      <c r="G48" s="61"/>
      <c r="H48" s="60">
        <v>533138</v>
      </c>
      <c r="I48" s="45"/>
      <c r="J48" s="39"/>
    </row>
    <row r="49" spans="1:10" s="36" customFormat="1" ht="15.75" x14ac:dyDescent="0.25">
      <c r="A49" s="15" t="s">
        <v>179</v>
      </c>
      <c r="B49" s="57">
        <v>45973</v>
      </c>
      <c r="C49" s="61" t="s">
        <v>180</v>
      </c>
      <c r="D49" s="59" t="s">
        <v>181</v>
      </c>
      <c r="E49" s="69"/>
      <c r="F49" s="64" t="s">
        <v>63</v>
      </c>
      <c r="G49" s="61"/>
      <c r="H49" s="71">
        <v>270000</v>
      </c>
      <c r="I49" s="45"/>
      <c r="J49" s="39"/>
    </row>
    <row r="50" spans="1:10" s="36" customFormat="1" ht="15.75" x14ac:dyDescent="0.25">
      <c r="A50" s="15" t="s">
        <v>110</v>
      </c>
      <c r="B50" s="57">
        <v>45973</v>
      </c>
      <c r="C50" s="58" t="s">
        <v>115</v>
      </c>
      <c r="D50" s="59" t="s">
        <v>116</v>
      </c>
      <c r="E50" s="69"/>
      <c r="F50" s="64" t="s">
        <v>117</v>
      </c>
      <c r="G50" s="61"/>
      <c r="H50" s="65">
        <v>210266</v>
      </c>
      <c r="I50" s="35"/>
      <c r="J50" s="16"/>
    </row>
    <row r="51" spans="1:10" s="46" customFormat="1" ht="15.75" x14ac:dyDescent="0.25">
      <c r="A51" s="20" t="s">
        <v>124</v>
      </c>
      <c r="B51" s="57">
        <v>45973</v>
      </c>
      <c r="C51" s="58"/>
      <c r="D51" s="59"/>
      <c r="E51" s="65"/>
      <c r="F51" s="59" t="s">
        <v>126</v>
      </c>
      <c r="G51" s="61"/>
      <c r="H51" s="60">
        <v>169920</v>
      </c>
      <c r="I51" s="35"/>
      <c r="J51" s="39"/>
    </row>
    <row r="52" spans="1:10" s="46" customFormat="1" ht="15.75" x14ac:dyDescent="0.25">
      <c r="A52" s="20" t="s">
        <v>183</v>
      </c>
      <c r="B52" s="57">
        <v>45973</v>
      </c>
      <c r="C52" s="58" t="s">
        <v>185</v>
      </c>
      <c r="D52" s="59" t="s">
        <v>186</v>
      </c>
      <c r="E52" s="69"/>
      <c r="F52" s="64" t="s">
        <v>187</v>
      </c>
      <c r="G52" s="61"/>
      <c r="H52" s="65">
        <v>270000</v>
      </c>
      <c r="I52" s="47"/>
      <c r="J52" s="39"/>
    </row>
    <row r="53" spans="1:10" s="46" customFormat="1" ht="15.75" x14ac:dyDescent="0.25">
      <c r="A53" s="15" t="s">
        <v>97</v>
      </c>
      <c r="B53" s="57">
        <v>45974</v>
      </c>
      <c r="C53" s="58" t="s">
        <v>98</v>
      </c>
      <c r="D53" s="59" t="s">
        <v>99</v>
      </c>
      <c r="E53" s="69"/>
      <c r="F53" s="59" t="s">
        <v>100</v>
      </c>
      <c r="G53" s="61"/>
      <c r="H53" s="71">
        <v>1062128</v>
      </c>
      <c r="I53" s="35"/>
      <c r="J53" s="39"/>
    </row>
    <row r="54" spans="1:10" s="46" customFormat="1" ht="15.75" x14ac:dyDescent="0.25">
      <c r="A54" s="28" t="s">
        <v>162</v>
      </c>
      <c r="B54" s="74">
        <v>45974</v>
      </c>
      <c r="C54" s="75" t="s">
        <v>165</v>
      </c>
      <c r="D54" s="76" t="s">
        <v>166</v>
      </c>
      <c r="E54" s="95"/>
      <c r="F54" s="96" t="s">
        <v>167</v>
      </c>
      <c r="G54" s="95"/>
      <c r="H54" s="95">
        <v>270877.17</v>
      </c>
      <c r="I54" s="45"/>
      <c r="J54" s="48"/>
    </row>
    <row r="55" spans="1:10" s="41" customFormat="1" ht="16.5" customHeight="1" x14ac:dyDescent="0.25">
      <c r="A55" s="18" t="s">
        <v>176</v>
      </c>
      <c r="B55" s="57">
        <v>45974</v>
      </c>
      <c r="C55" s="58"/>
      <c r="D55" s="59" t="s">
        <v>177</v>
      </c>
      <c r="E55" s="60"/>
      <c r="F55" s="59" t="s">
        <v>178</v>
      </c>
      <c r="G55" s="61"/>
      <c r="H55" s="60">
        <v>405611.43</v>
      </c>
      <c r="I55" s="49"/>
      <c r="J55" s="39"/>
    </row>
    <row r="56" spans="1:10" s="41" customFormat="1" ht="18.75" customHeight="1" x14ac:dyDescent="0.25">
      <c r="A56" s="15" t="s">
        <v>179</v>
      </c>
      <c r="B56" s="57">
        <v>45975</v>
      </c>
      <c r="C56" s="61"/>
      <c r="D56" s="59"/>
      <c r="E56" s="69"/>
      <c r="F56" s="64" t="s">
        <v>182</v>
      </c>
      <c r="G56" s="61"/>
      <c r="H56" s="71">
        <v>270000</v>
      </c>
      <c r="J56" s="39"/>
    </row>
    <row r="57" spans="1:10" s="36" customFormat="1" ht="15.75" x14ac:dyDescent="0.25">
      <c r="A57" s="15" t="s">
        <v>110</v>
      </c>
      <c r="B57" s="83">
        <v>45975</v>
      </c>
      <c r="C57" s="58" t="s">
        <v>112</v>
      </c>
      <c r="D57" s="59" t="s">
        <v>113</v>
      </c>
      <c r="E57" s="91"/>
      <c r="F57" s="85" t="s">
        <v>114</v>
      </c>
      <c r="G57" s="97"/>
      <c r="H57" s="98">
        <v>212400</v>
      </c>
      <c r="I57" s="50"/>
      <c r="J57" s="26"/>
    </row>
    <row r="58" spans="1:10" s="36" customFormat="1" ht="15.75" x14ac:dyDescent="0.25">
      <c r="A58" s="30" t="s">
        <v>127</v>
      </c>
      <c r="B58" s="99">
        <v>45975</v>
      </c>
      <c r="C58" s="100"/>
      <c r="D58" s="85"/>
      <c r="E58" s="98"/>
      <c r="F58" s="85" t="s">
        <v>64</v>
      </c>
      <c r="G58" s="101"/>
      <c r="H58" s="98">
        <v>555827</v>
      </c>
      <c r="I58" s="51"/>
      <c r="J58" s="29"/>
    </row>
    <row r="59" spans="1:10" s="36" customFormat="1" ht="21.75" customHeight="1" x14ac:dyDescent="0.25">
      <c r="A59" s="15" t="s">
        <v>151</v>
      </c>
      <c r="B59" s="57">
        <v>45975</v>
      </c>
      <c r="C59" s="58" t="s">
        <v>152</v>
      </c>
      <c r="D59" s="59" t="s">
        <v>153</v>
      </c>
      <c r="E59" s="65"/>
      <c r="F59" s="64" t="s">
        <v>154</v>
      </c>
      <c r="G59" s="61"/>
      <c r="H59" s="65">
        <v>556517.39</v>
      </c>
      <c r="I59" s="35"/>
      <c r="J59" s="39"/>
    </row>
    <row r="60" spans="1:10" s="36" customFormat="1" ht="15.75" x14ac:dyDescent="0.25">
      <c r="A60" s="15" t="s">
        <v>158</v>
      </c>
      <c r="B60" s="57">
        <v>45975</v>
      </c>
      <c r="C60" s="58"/>
      <c r="D60" s="59"/>
      <c r="E60" s="69"/>
      <c r="F60" s="59" t="s">
        <v>159</v>
      </c>
      <c r="G60" s="61"/>
      <c r="H60" s="60">
        <v>525496.48</v>
      </c>
      <c r="I60" s="35"/>
      <c r="J60" s="39"/>
    </row>
    <row r="61" spans="1:10" s="36" customFormat="1" ht="15.75" x14ac:dyDescent="0.25">
      <c r="A61" s="15" t="s">
        <v>171</v>
      </c>
      <c r="B61" s="57">
        <v>45975</v>
      </c>
      <c r="C61" s="58" t="s">
        <v>172</v>
      </c>
      <c r="D61" s="59" t="s">
        <v>173</v>
      </c>
      <c r="E61" s="69"/>
      <c r="F61" s="59" t="s">
        <v>44</v>
      </c>
      <c r="G61" s="60">
        <v>161250</v>
      </c>
      <c r="H61" s="60">
        <v>48750</v>
      </c>
      <c r="I61" s="35"/>
      <c r="J61" s="16"/>
    </row>
    <row r="62" spans="1:10" s="36" customFormat="1" ht="15.75" x14ac:dyDescent="0.25">
      <c r="A62" s="15" t="s">
        <v>171</v>
      </c>
      <c r="B62" s="57">
        <v>45975</v>
      </c>
      <c r="C62" s="58" t="s">
        <v>174</v>
      </c>
      <c r="D62" s="59" t="s">
        <v>175</v>
      </c>
      <c r="E62" s="69"/>
      <c r="F62" s="59" t="s">
        <v>43</v>
      </c>
      <c r="G62" s="61"/>
      <c r="H62" s="60">
        <v>259700</v>
      </c>
      <c r="I62" s="35"/>
      <c r="J62" s="39"/>
    </row>
    <row r="63" spans="1:10" s="36" customFormat="1" ht="15.75" x14ac:dyDescent="0.25">
      <c r="A63" s="20" t="s">
        <v>183</v>
      </c>
      <c r="B63" s="57">
        <v>45975</v>
      </c>
      <c r="C63" s="102" t="s">
        <v>188</v>
      </c>
      <c r="D63" s="59" t="s">
        <v>189</v>
      </c>
      <c r="E63" s="69"/>
      <c r="F63" s="64" t="s">
        <v>190</v>
      </c>
      <c r="G63" s="61"/>
      <c r="H63" s="71">
        <v>237500</v>
      </c>
      <c r="I63" s="35"/>
      <c r="J63" s="39"/>
    </row>
    <row r="64" spans="1:10" s="36" customFormat="1" ht="15.75" x14ac:dyDescent="0.25">
      <c r="A64" s="20" t="s">
        <v>49</v>
      </c>
      <c r="B64" s="57">
        <v>45978</v>
      </c>
      <c r="C64" s="58" t="s">
        <v>50</v>
      </c>
      <c r="D64" s="59" t="s">
        <v>51</v>
      </c>
      <c r="E64" s="31"/>
      <c r="F64" s="59" t="s">
        <v>52</v>
      </c>
      <c r="G64" s="61"/>
      <c r="H64" s="103">
        <v>193848</v>
      </c>
      <c r="I64" s="35"/>
      <c r="J64" s="16"/>
    </row>
    <row r="65" spans="1:10" s="52" customFormat="1" ht="15.75" x14ac:dyDescent="0.25">
      <c r="A65" s="18" t="s">
        <v>53</v>
      </c>
      <c r="B65" s="57">
        <v>45978</v>
      </c>
      <c r="C65" s="58" t="s">
        <v>58</v>
      </c>
      <c r="D65" s="59" t="s">
        <v>59</v>
      </c>
      <c r="E65" s="71"/>
      <c r="F65" s="59" t="s">
        <v>60</v>
      </c>
      <c r="G65" s="61"/>
      <c r="H65" s="60">
        <v>21564</v>
      </c>
      <c r="I65" s="35"/>
      <c r="J65" s="16"/>
    </row>
    <row r="66" spans="1:10" s="36" customFormat="1" ht="15.75" x14ac:dyDescent="0.25">
      <c r="A66" s="15" t="s">
        <v>68</v>
      </c>
      <c r="B66" s="57">
        <v>45978</v>
      </c>
      <c r="C66" s="58" t="s">
        <v>73</v>
      </c>
      <c r="D66" s="59" t="s">
        <v>74</v>
      </c>
      <c r="E66" s="71"/>
      <c r="F66" s="24" t="s">
        <v>137</v>
      </c>
      <c r="G66" s="73"/>
      <c r="H66" s="71">
        <v>272500</v>
      </c>
      <c r="I66" s="35"/>
      <c r="J66" s="16"/>
    </row>
    <row r="67" spans="1:10" s="36" customFormat="1" ht="15.75" x14ac:dyDescent="0.25">
      <c r="A67" s="32" t="s">
        <v>45</v>
      </c>
      <c r="B67" s="74">
        <v>45979</v>
      </c>
      <c r="C67" s="75" t="s">
        <v>46</v>
      </c>
      <c r="D67" s="76" t="s">
        <v>47</v>
      </c>
      <c r="E67" s="104"/>
      <c r="F67" s="76" t="s">
        <v>48</v>
      </c>
      <c r="G67" s="81"/>
      <c r="H67" s="104">
        <v>147671.4</v>
      </c>
      <c r="I67" s="53"/>
      <c r="J67" s="48"/>
    </row>
    <row r="68" spans="1:10" s="24" customFormat="1" ht="24" customHeight="1" x14ac:dyDescent="0.25">
      <c r="A68" s="33" t="s">
        <v>106</v>
      </c>
      <c r="B68" s="62">
        <v>45979</v>
      </c>
      <c r="C68" s="63" t="s">
        <v>107</v>
      </c>
      <c r="D68" s="64" t="s">
        <v>108</v>
      </c>
      <c r="E68" s="71"/>
      <c r="F68" s="64" t="s">
        <v>109</v>
      </c>
      <c r="G68" s="70"/>
      <c r="H68" s="65">
        <v>808447.5</v>
      </c>
      <c r="I68" s="16"/>
      <c r="J68" s="54"/>
    </row>
    <row r="69" spans="1:10" s="36" customFormat="1" ht="15.75" x14ac:dyDescent="0.25">
      <c r="A69" s="23" t="s">
        <v>10</v>
      </c>
      <c r="B69" s="57">
        <v>45980</v>
      </c>
      <c r="C69" s="58" t="s">
        <v>11</v>
      </c>
      <c r="D69" s="59" t="s">
        <v>12</v>
      </c>
      <c r="E69" s="60" t="s">
        <v>13</v>
      </c>
      <c r="F69" s="59" t="s">
        <v>14</v>
      </c>
      <c r="G69" s="67"/>
      <c r="H69" s="66">
        <v>183810</v>
      </c>
      <c r="I69" s="16"/>
      <c r="J69" s="16"/>
    </row>
    <row r="70" spans="1:10" s="36" customFormat="1" ht="18.75" customHeight="1" x14ac:dyDescent="0.25">
      <c r="A70" s="15" t="s">
        <v>15</v>
      </c>
      <c r="B70" s="57">
        <v>45980</v>
      </c>
      <c r="C70" s="58"/>
      <c r="D70" s="59"/>
      <c r="E70" s="66"/>
      <c r="F70" s="59" t="s">
        <v>16</v>
      </c>
      <c r="G70" s="66"/>
      <c r="H70" s="66">
        <v>247800</v>
      </c>
      <c r="I70" s="16"/>
      <c r="J70" s="16"/>
    </row>
    <row r="71" spans="1:10" s="36" customFormat="1" ht="15.75" x14ac:dyDescent="0.25">
      <c r="A71" s="20" t="s">
        <v>183</v>
      </c>
      <c r="B71" s="57">
        <v>45980</v>
      </c>
      <c r="C71" s="58" t="s">
        <v>194</v>
      </c>
      <c r="D71" s="59" t="s">
        <v>195</v>
      </c>
      <c r="E71" s="69"/>
      <c r="F71" s="64" t="s">
        <v>196</v>
      </c>
      <c r="G71" s="61"/>
      <c r="H71" s="71">
        <v>241700</v>
      </c>
      <c r="I71" s="49"/>
      <c r="J71" s="16"/>
    </row>
    <row r="72" spans="1:10" s="36" customFormat="1" ht="15.75" x14ac:dyDescent="0.25">
      <c r="A72" s="20" t="s">
        <v>183</v>
      </c>
      <c r="B72" s="57">
        <v>45980</v>
      </c>
      <c r="C72" s="58" t="s">
        <v>191</v>
      </c>
      <c r="D72" s="59" t="s">
        <v>192</v>
      </c>
      <c r="E72" s="71"/>
      <c r="F72" s="64" t="s">
        <v>193</v>
      </c>
      <c r="G72" s="61"/>
      <c r="H72" s="71">
        <v>265000</v>
      </c>
      <c r="I72" s="49"/>
      <c r="J72" s="39"/>
    </row>
    <row r="73" spans="1:10" s="36" customFormat="1" ht="15.75" x14ac:dyDescent="0.25">
      <c r="A73" s="15" t="s">
        <v>224</v>
      </c>
      <c r="B73" s="57">
        <v>45981</v>
      </c>
      <c r="C73" s="58"/>
      <c r="D73" s="59"/>
      <c r="E73" s="65"/>
      <c r="F73" s="64" t="s">
        <v>221</v>
      </c>
      <c r="G73" s="61"/>
      <c r="H73" s="65">
        <v>112214</v>
      </c>
      <c r="I73" s="55"/>
      <c r="J73" s="16"/>
    </row>
    <row r="74" spans="1:10" s="36" customFormat="1" ht="15.75" x14ac:dyDescent="0.25">
      <c r="A74" s="15" t="s">
        <v>162</v>
      </c>
      <c r="B74" s="57">
        <v>45981</v>
      </c>
      <c r="C74" s="58" t="s">
        <v>168</v>
      </c>
      <c r="D74" s="59" t="s">
        <v>169</v>
      </c>
      <c r="E74" s="66"/>
      <c r="F74" s="72" t="s">
        <v>160</v>
      </c>
      <c r="G74" s="66"/>
      <c r="H74" s="66">
        <v>272381.34999999998</v>
      </c>
      <c r="I74" s="56"/>
      <c r="J74" s="16"/>
    </row>
    <row r="75" spans="1:10" s="36" customFormat="1" ht="15.75" x14ac:dyDescent="0.25">
      <c r="A75" s="15" t="s">
        <v>131</v>
      </c>
      <c r="B75" s="57">
        <v>45982</v>
      </c>
      <c r="C75" s="58"/>
      <c r="D75" s="59"/>
      <c r="E75" s="69"/>
      <c r="F75" s="59" t="s">
        <v>132</v>
      </c>
      <c r="G75" s="61"/>
      <c r="H75" s="71">
        <v>105857.02</v>
      </c>
      <c r="I75" s="56"/>
      <c r="J75" s="16"/>
    </row>
    <row r="76" spans="1:10" s="36" customFormat="1" ht="15.75" x14ac:dyDescent="0.25">
      <c r="A76" s="15" t="s">
        <v>131</v>
      </c>
      <c r="B76" s="57">
        <v>45982</v>
      </c>
      <c r="C76" s="58"/>
      <c r="D76" s="59"/>
      <c r="E76" s="69"/>
      <c r="F76" s="59" t="s">
        <v>133</v>
      </c>
      <c r="G76" s="61"/>
      <c r="H76" s="71">
        <v>229356</v>
      </c>
      <c r="I76" s="56"/>
      <c r="J76" s="16"/>
    </row>
    <row r="77" spans="1:10" s="36" customFormat="1" ht="15.75" x14ac:dyDescent="0.25">
      <c r="A77" s="15" t="s">
        <v>85</v>
      </c>
      <c r="B77" s="57">
        <v>45985</v>
      </c>
      <c r="C77" s="58" t="s">
        <v>87</v>
      </c>
      <c r="D77" s="59" t="s">
        <v>88</v>
      </c>
      <c r="E77" s="69"/>
      <c r="F77" s="59" t="s">
        <v>22</v>
      </c>
      <c r="G77" s="60"/>
      <c r="H77" s="60">
        <v>138340</v>
      </c>
      <c r="I77" s="56"/>
      <c r="J77" s="16"/>
    </row>
    <row r="78" spans="1:10" s="36" customFormat="1" ht="15.75" x14ac:dyDescent="0.25">
      <c r="A78" s="34" t="s">
        <v>213</v>
      </c>
      <c r="B78" s="62">
        <v>45987</v>
      </c>
      <c r="C78" s="63" t="s">
        <v>215</v>
      </c>
      <c r="D78" s="64" t="s">
        <v>214</v>
      </c>
      <c r="E78" s="65"/>
      <c r="F78" s="64" t="s">
        <v>216</v>
      </c>
      <c r="G78" s="65"/>
      <c r="H78" s="65">
        <v>24010</v>
      </c>
      <c r="I78" s="42"/>
      <c r="J78" s="16"/>
    </row>
    <row r="79" spans="1:10" s="36" customFormat="1" ht="15.75" x14ac:dyDescent="0.25">
      <c r="A79" s="33" t="s">
        <v>41</v>
      </c>
      <c r="B79" s="62">
        <v>45988</v>
      </c>
      <c r="C79" s="63"/>
      <c r="D79" s="64"/>
      <c r="E79" s="69"/>
      <c r="F79" s="64" t="s">
        <v>42</v>
      </c>
      <c r="G79" s="61"/>
      <c r="H79" s="65">
        <v>247800</v>
      </c>
      <c r="I79" s="16"/>
      <c r="J79" s="16"/>
    </row>
    <row r="80" spans="1:10" s="36" customFormat="1" ht="15.75" x14ac:dyDescent="0.25">
      <c r="A80" s="15" t="s">
        <v>210</v>
      </c>
      <c r="B80" s="105">
        <v>45988</v>
      </c>
      <c r="C80" s="58" t="s">
        <v>198</v>
      </c>
      <c r="D80" s="58" t="s">
        <v>211</v>
      </c>
      <c r="E80" s="60"/>
      <c r="F80" s="59" t="s">
        <v>212</v>
      </c>
      <c r="G80" s="61"/>
      <c r="H80" s="60">
        <v>357942.95</v>
      </c>
      <c r="I80" s="16"/>
      <c r="J80" s="16"/>
    </row>
    <row r="81" spans="1:10" s="36" customFormat="1" ht="31.5" x14ac:dyDescent="0.25">
      <c r="A81" s="15" t="s">
        <v>222</v>
      </c>
      <c r="B81" s="57">
        <v>45988</v>
      </c>
      <c r="C81" s="58"/>
      <c r="D81" s="58"/>
      <c r="E81" s="69"/>
      <c r="F81" s="59" t="s">
        <v>223</v>
      </c>
      <c r="G81" s="61"/>
      <c r="H81" s="60">
        <v>185850</v>
      </c>
      <c r="I81" s="16"/>
      <c r="J81" s="16"/>
    </row>
    <row r="82" spans="1:10" s="36" customFormat="1" ht="15.75" x14ac:dyDescent="0.25">
      <c r="A82" s="15" t="s">
        <v>156</v>
      </c>
      <c r="B82" s="57">
        <v>45989</v>
      </c>
      <c r="C82" s="58"/>
      <c r="D82" s="59"/>
      <c r="E82" s="65"/>
      <c r="F82" s="64" t="s">
        <v>157</v>
      </c>
      <c r="G82" s="61"/>
      <c r="H82" s="65">
        <v>271400</v>
      </c>
      <c r="I82" s="16"/>
      <c r="J82" s="16"/>
    </row>
    <row r="83" spans="1:10" s="36" customFormat="1" ht="15.75" x14ac:dyDescent="0.25">
      <c r="A83" s="20" t="s">
        <v>26</v>
      </c>
      <c r="B83" s="57"/>
      <c r="C83" s="61" t="s">
        <v>27</v>
      </c>
      <c r="D83" s="59" t="s">
        <v>28</v>
      </c>
      <c r="E83" s="60"/>
      <c r="F83" s="59" t="s">
        <v>36</v>
      </c>
      <c r="G83" s="61"/>
      <c r="H83" s="60">
        <v>3900</v>
      </c>
      <c r="I83" s="49"/>
      <c r="J83" s="16"/>
    </row>
    <row r="84" spans="1:10" s="36" customFormat="1" ht="15.75" x14ac:dyDescent="0.25">
      <c r="A84" s="20" t="s">
        <v>26</v>
      </c>
      <c r="B84" s="57"/>
      <c r="C84" s="61" t="s">
        <v>27</v>
      </c>
      <c r="D84" s="59" t="s">
        <v>28</v>
      </c>
      <c r="E84" s="60"/>
      <c r="F84" s="59" t="s">
        <v>34</v>
      </c>
      <c r="G84" s="61"/>
      <c r="H84" s="60">
        <v>9060</v>
      </c>
      <c r="I84" s="16"/>
      <c r="J84" s="16"/>
    </row>
    <row r="85" spans="1:10" s="36" customFormat="1" ht="15.75" x14ac:dyDescent="0.25">
      <c r="A85" s="20" t="s">
        <v>26</v>
      </c>
      <c r="B85" s="57"/>
      <c r="C85" s="61" t="s">
        <v>27</v>
      </c>
      <c r="D85" s="59" t="s">
        <v>28</v>
      </c>
      <c r="E85" s="60"/>
      <c r="F85" s="59" t="s">
        <v>35</v>
      </c>
      <c r="G85" s="61"/>
      <c r="H85" s="60">
        <v>9120</v>
      </c>
      <c r="I85" s="16"/>
      <c r="J85" s="16"/>
    </row>
    <row r="86" spans="1:10" x14ac:dyDescent="0.25">
      <c r="H86" s="106">
        <f>SUM(H3:H85)</f>
        <v>19640486.810000002</v>
      </c>
    </row>
  </sheetData>
  <sortState xmlns:xlrd2="http://schemas.microsoft.com/office/spreadsheetml/2017/richdata2" ref="A3:H85">
    <sortCondition ref="B3:B85"/>
  </sortState>
  <dataValidations count="1">
    <dataValidation type="list" allowBlank="1" showInputMessage="1" showErrorMessage="1" sqref="J28 J44:J45 J78 J66 J3 J14 J19 J21 J25 J58 J61 J50" xr:uid="{A048D10E-5BA1-4DC5-BD53-2267C994C28A}">
      <formula1>$A$2:$A$2</formula1>
    </dataValidation>
  </dataValidation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2025-12-04T14:03:53Z</cp:lastPrinted>
  <dcterms:created xsi:type="dcterms:W3CDTF">2025-12-01T20:14:53Z</dcterms:created>
  <dcterms:modified xsi:type="dcterms:W3CDTF">2025-12-04T14:04:15Z</dcterms:modified>
</cp:coreProperties>
</file>
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ontabilidad\Desktop\"/>
    </mc:Choice>
  </mc:AlternateContent>
  <xr:revisionPtr revIDLastSave="0" documentId="13_ncr:1_{1CD2B525-A0DD-4A2B-BC46-8C0CE5639F38}" xr6:coauthVersionLast="47" xr6:coauthVersionMax="47" xr10:uidLastSave="{00000000-0000-0000-0000-000000000000}"/>
  <bookViews>
    <workbookView xWindow="-120" yWindow="-120" windowWidth="24240" windowHeight="13140" firstSheet="2" activeTab="7" xr2:uid="{00000000-000D-0000-FFFF-FFFF00000000}"/>
  </bookViews>
  <sheets>
    <sheet name="FEBRERO 2025" sheetId="2" r:id="rId1"/>
    <sheet name="MARZO 2025" sheetId="1" r:id="rId2"/>
    <sheet name="ABRIL 2025" sheetId="3" r:id="rId3"/>
    <sheet name="MAYO 2025" sheetId="4" r:id="rId4"/>
    <sheet name="JUNIO 2025" sheetId="5" r:id="rId5"/>
    <sheet name="JULIO 2025" sheetId="6" r:id="rId6"/>
    <sheet name="AGOSTO 2025" sheetId="7" r:id="rId7"/>
    <sheet name="SEPT" sheetId="8" r:id="rId8"/>
    <sheet name="OCTUBRE 2025" sheetId="9" r:id="rId9"/>
    <sheet name="NOVIEMBRE 2025" sheetId="10" r:id="rId10"/>
  </sheets>
  <definedNames>
    <definedName name="_xlnm.Print_Area" localSheetId="2">'ABRIL 2025'!$A$1:$F$33</definedName>
    <definedName name="_xlnm.Print_Area" localSheetId="6">'AGOSTO 2025'!$A$1:$F$36</definedName>
    <definedName name="_xlnm.Print_Area" localSheetId="5">'JULIO 2025'!$A$1:$F$34</definedName>
    <definedName name="_xlnm.Print_Area" localSheetId="3">'MAYO 2025'!$A$1:$F$35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1" i="10" l="1"/>
  <c r="C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31" i="10" s="1"/>
  <c r="C32" i="9"/>
  <c r="C31" i="9"/>
  <c r="C31" i="8"/>
  <c r="E30" i="9"/>
  <c r="D30" i="9"/>
  <c r="C28" i="9"/>
  <c r="C30" i="9" s="1"/>
  <c r="D29" i="7"/>
  <c r="D31" i="7" s="1"/>
  <c r="F25" i="7"/>
  <c r="F18" i="7"/>
  <c r="F31" i="7" s="1"/>
  <c r="E29" i="6" l="1"/>
  <c r="D29" i="6"/>
  <c r="F28" i="6"/>
  <c r="F27" i="6"/>
  <c r="F18" i="6"/>
  <c r="E32" i="5" l="1"/>
  <c r="F31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E30" i="4" l="1"/>
  <c r="F30" i="4"/>
  <c r="D28" i="4" l="1"/>
  <c r="D27" i="4"/>
  <c r="D30" i="4" s="1"/>
  <c r="E28" i="3" l="1"/>
  <c r="F28" i="3" l="1"/>
  <c r="D27" i="3"/>
  <c r="D28" i="3" s="1"/>
  <c r="D30" i="3" s="1"/>
  <c r="D31" i="2" l="1"/>
  <c r="E31" i="2"/>
  <c r="F31" i="2"/>
  <c r="E29" i="1"/>
  <c r="F28" i="1"/>
  <c r="F29" i="1" s="1"/>
  <c r="D16" i="1"/>
  <c r="D22" i="1"/>
  <c r="D29" i="1" l="1"/>
  <c r="D32" i="5"/>
  <c r="F30" i="5"/>
  <c r="F32" i="5" s="1"/>
</calcChain>
</file>

<file path=xl/sharedStrings.xml><?xml version="1.0" encoding="utf-8"?>
<sst xmlns="http://schemas.openxmlformats.org/spreadsheetml/2006/main" count="670" uniqueCount="240">
  <si>
    <t>Servicio Nacional de Salud</t>
  </si>
  <si>
    <t>Dirección de Control y Fiscalización</t>
  </si>
  <si>
    <t>Hospital Materno Infantil San Lorenzo de Los Mina</t>
  </si>
  <si>
    <t>Region Santo Domingo Este</t>
  </si>
  <si>
    <t>(Valore expresados en RD$)</t>
  </si>
  <si>
    <t xml:space="preserve"> RNC: 4-30-04237-4</t>
  </si>
  <si>
    <t>comprobante fiscal</t>
  </si>
  <si>
    <t xml:space="preserve">ARS </t>
  </si>
  <si>
    <t xml:space="preserve">Valor Reclamado </t>
  </si>
  <si>
    <t>%GLOSADO</t>
  </si>
  <si>
    <t xml:space="preserve">Valor Neto </t>
  </si>
  <si>
    <t>HUMANO</t>
  </si>
  <si>
    <t>P. HUMANO</t>
  </si>
  <si>
    <t>MAPFRE AMB.</t>
  </si>
  <si>
    <t>MAPFRE EMERG.</t>
  </si>
  <si>
    <t>MAPFRE HOSP.</t>
  </si>
  <si>
    <t>RENACER</t>
  </si>
  <si>
    <t>meta salud</t>
  </si>
  <si>
    <t>APS</t>
  </si>
  <si>
    <t>YUNEN</t>
  </si>
  <si>
    <t>ASEMAP</t>
  </si>
  <si>
    <t xml:space="preserve">FUTURO </t>
  </si>
  <si>
    <t>MONUMENTAL</t>
  </si>
  <si>
    <t xml:space="preserve">RESERVAS </t>
  </si>
  <si>
    <t>CMD</t>
  </si>
  <si>
    <t>sigma</t>
  </si>
  <si>
    <t>GMA</t>
  </si>
  <si>
    <t>SEMMA</t>
  </si>
  <si>
    <t>B1500000295</t>
  </si>
  <si>
    <t>SENASA PENSIONADO</t>
  </si>
  <si>
    <t>B1500000294</t>
  </si>
  <si>
    <t xml:space="preserve">Contributivo </t>
  </si>
  <si>
    <t>SUBSIDIADO</t>
  </si>
  <si>
    <t>TOTAL</t>
  </si>
  <si>
    <t xml:space="preserve"> </t>
  </si>
  <si>
    <t>RNC: 4-30-04237-4</t>
  </si>
  <si>
    <t>146.60.32</t>
  </si>
  <si>
    <t>B1500000289</t>
  </si>
  <si>
    <t>B1500000288</t>
  </si>
  <si>
    <t>INFORME CIERRE MARZO 2025</t>
  </si>
  <si>
    <t>B1500000299</t>
  </si>
  <si>
    <t>B1500000300</t>
  </si>
  <si>
    <t>INFORME CIERRE FEBRERO 2025</t>
  </si>
  <si>
    <t>INFORME CIERRE ABRIL 2025</t>
  </si>
  <si>
    <t>B1500000304</t>
  </si>
  <si>
    <t>B1500000306</t>
  </si>
  <si>
    <t>B1500000307</t>
  </si>
  <si>
    <t>EXTRANJERAS</t>
  </si>
  <si>
    <t xml:space="preserve">                                                                                INFORME CIERRE MAYO 2025</t>
  </si>
  <si>
    <t>MONTO GLOSADO</t>
  </si>
  <si>
    <t>B0100001156</t>
  </si>
  <si>
    <t>B0100001157</t>
  </si>
  <si>
    <t>B0100001158</t>
  </si>
  <si>
    <t>B0100001159</t>
  </si>
  <si>
    <t>B0100001160</t>
  </si>
  <si>
    <t>B0100001161</t>
  </si>
  <si>
    <t>B0100001162</t>
  </si>
  <si>
    <t>B0100001163</t>
  </si>
  <si>
    <t>B0100001164</t>
  </si>
  <si>
    <t>B0100001165</t>
  </si>
  <si>
    <t>B0100001166</t>
  </si>
  <si>
    <t>B0100001167</t>
  </si>
  <si>
    <t>B0100001168</t>
  </si>
  <si>
    <t>B0100001169</t>
  </si>
  <si>
    <t>SIGMA</t>
  </si>
  <si>
    <t>B0100001170</t>
  </si>
  <si>
    <t>B0100001171</t>
  </si>
  <si>
    <t>META SALUD</t>
  </si>
  <si>
    <t>B1500000308</t>
  </si>
  <si>
    <t>B1500000309</t>
  </si>
  <si>
    <t>LARIMAR</t>
  </si>
  <si>
    <t xml:space="preserve">                                                                                INFORME CIERRE JUNIO 2025</t>
  </si>
  <si>
    <t>B0100001172</t>
  </si>
  <si>
    <t>B0100001173</t>
  </si>
  <si>
    <t>B0100001174</t>
  </si>
  <si>
    <t>B0100001175</t>
  </si>
  <si>
    <t>B0100001176</t>
  </si>
  <si>
    <t>B0100001178</t>
  </si>
  <si>
    <t>B0100001179</t>
  </si>
  <si>
    <t>B0100001180</t>
  </si>
  <si>
    <t>B0100001181</t>
  </si>
  <si>
    <t>B0100001182</t>
  </si>
  <si>
    <t>B0100001183</t>
  </si>
  <si>
    <t>B0100001184</t>
  </si>
  <si>
    <t>B0100001185</t>
  </si>
  <si>
    <t>B0100001186</t>
  </si>
  <si>
    <t>B0100001187</t>
  </si>
  <si>
    <t>B1500000310</t>
  </si>
  <si>
    <t>B1500000311</t>
  </si>
  <si>
    <t xml:space="preserve">                                                                                        CIERRE JULIO 2025</t>
  </si>
  <si>
    <t>B0100001188</t>
  </si>
  <si>
    <t>B0100001189</t>
  </si>
  <si>
    <t>B0100001190</t>
  </si>
  <si>
    <t>B0100001191</t>
  </si>
  <si>
    <t>B0100001192</t>
  </si>
  <si>
    <t>B0100001193</t>
  </si>
  <si>
    <t>B0100001194</t>
  </si>
  <si>
    <t>B0100001195</t>
  </si>
  <si>
    <t>B0100001196</t>
  </si>
  <si>
    <t>B0100001197</t>
  </si>
  <si>
    <t>B0100001198</t>
  </si>
  <si>
    <t>B0100001199</t>
  </si>
  <si>
    <t>B0100001200</t>
  </si>
  <si>
    <t>B0100001201</t>
  </si>
  <si>
    <t>B0100001202</t>
  </si>
  <si>
    <t>B0100001203</t>
  </si>
  <si>
    <t>B1500000312</t>
  </si>
  <si>
    <t>B1500000313</t>
  </si>
  <si>
    <t>B1500000314</t>
  </si>
  <si>
    <t xml:space="preserve">HUMANO </t>
  </si>
  <si>
    <t>MAPFRE AMB</t>
  </si>
  <si>
    <t xml:space="preserve">MAPFRE HOP. </t>
  </si>
  <si>
    <t xml:space="preserve">ARS FUTURO </t>
  </si>
  <si>
    <t xml:space="preserve">META SALUD </t>
  </si>
  <si>
    <t xml:space="preserve">MONUMENTAL </t>
  </si>
  <si>
    <t xml:space="preserve">APS </t>
  </si>
  <si>
    <t>SIMAG</t>
  </si>
  <si>
    <t>B1500000290</t>
  </si>
  <si>
    <t>B0100001101</t>
  </si>
  <si>
    <t>B0100001099</t>
  </si>
  <si>
    <t>B0100001085</t>
  </si>
  <si>
    <t>B0100001086</t>
  </si>
  <si>
    <t>B0100001087</t>
  </si>
  <si>
    <t>B0100001088</t>
  </si>
  <si>
    <t>B0100001089</t>
  </si>
  <si>
    <t>B0100001090</t>
  </si>
  <si>
    <t>B0100001091</t>
  </si>
  <si>
    <t>B0100001092</t>
  </si>
  <si>
    <t>B0100001093</t>
  </si>
  <si>
    <t>B0100001094</t>
  </si>
  <si>
    <t>B0100001095</t>
  </si>
  <si>
    <t>B0100001096</t>
  </si>
  <si>
    <t>B0100001097</t>
  </si>
  <si>
    <t>B0100001098</t>
  </si>
  <si>
    <t>B0100001107</t>
  </si>
  <si>
    <t>B0100001108</t>
  </si>
  <si>
    <t>B0100001104</t>
  </si>
  <si>
    <t>B0100001105</t>
  </si>
  <si>
    <t>B0100001106</t>
  </si>
  <si>
    <t>B0100001120</t>
  </si>
  <si>
    <t>B0100001118</t>
  </si>
  <si>
    <t>B0100001109</t>
  </si>
  <si>
    <t>B0100001119</t>
  </si>
  <si>
    <t>B0100001110</t>
  </si>
  <si>
    <t>B0100001112</t>
  </si>
  <si>
    <t>B0100001113</t>
  </si>
  <si>
    <t>B0100001114</t>
  </si>
  <si>
    <t>B0100001115</t>
  </si>
  <si>
    <t>B0100001116</t>
  </si>
  <si>
    <t>B0100001117</t>
  </si>
  <si>
    <t>B1500000293</t>
  </si>
  <si>
    <t>B0100001121</t>
  </si>
  <si>
    <t>B0100001122</t>
  </si>
  <si>
    <t>B0100001123</t>
  </si>
  <si>
    <t>B0100001124</t>
  </si>
  <si>
    <t>B0100001125</t>
  </si>
  <si>
    <t>B0100001127</t>
  </si>
  <si>
    <t>B0100001128</t>
  </si>
  <si>
    <t>B0100001129</t>
  </si>
  <si>
    <t>B0100001130</t>
  </si>
  <si>
    <t>B0100001131</t>
  </si>
  <si>
    <t>B0100001132</t>
  </si>
  <si>
    <t>B0100001136</t>
  </si>
  <si>
    <t>B0100001134</t>
  </si>
  <si>
    <t>B0100001135</t>
  </si>
  <si>
    <t>B0100001133</t>
  </si>
  <si>
    <t>B0100001141</t>
  </si>
  <si>
    <t>B0100001142</t>
  </si>
  <si>
    <t>B0100001143</t>
  </si>
  <si>
    <t>B0100001144</t>
  </si>
  <si>
    <t>B0100001145</t>
  </si>
  <si>
    <t>B0100001146</t>
  </si>
  <si>
    <t>B0100001147</t>
  </si>
  <si>
    <t>B0100001148</t>
  </si>
  <si>
    <t>B0100001149</t>
  </si>
  <si>
    <t>B0100001150</t>
  </si>
  <si>
    <t>B0100001151</t>
  </si>
  <si>
    <t>B0100001152</t>
  </si>
  <si>
    <t>B0100001153</t>
  </si>
  <si>
    <t>B0100001154</t>
  </si>
  <si>
    <t>B0100001155</t>
  </si>
  <si>
    <t xml:space="preserve">                                                                                        CIERRE AGOSTO  2025</t>
  </si>
  <si>
    <t>B0100001204</t>
  </si>
  <si>
    <t>B0100001205</t>
  </si>
  <si>
    <t>B0100001206</t>
  </si>
  <si>
    <t>B0100001207</t>
  </si>
  <si>
    <t>B0100001208</t>
  </si>
  <si>
    <t>B0100001209</t>
  </si>
  <si>
    <t>B0100001210</t>
  </si>
  <si>
    <t>B0100001211</t>
  </si>
  <si>
    <t>B0100001212</t>
  </si>
  <si>
    <t>B0100001213</t>
  </si>
  <si>
    <t>B0100001214</t>
  </si>
  <si>
    <t>B0100001215</t>
  </si>
  <si>
    <t>B0100001216</t>
  </si>
  <si>
    <t>B0100001217</t>
  </si>
  <si>
    <t>B0100001218</t>
  </si>
  <si>
    <t>B0100001219</t>
  </si>
  <si>
    <t>B1500000315</t>
  </si>
  <si>
    <t>B1500000316</t>
  </si>
  <si>
    <t>B1500000317</t>
  </si>
  <si>
    <t>CIERRE SEPTIEMBRE  2025 ( 10 DE OCTUBRE 2025)</t>
  </si>
  <si>
    <t>B0100001220</t>
  </si>
  <si>
    <t>B0100001221</t>
  </si>
  <si>
    <t>B0100001222</t>
  </si>
  <si>
    <t>B0100001223</t>
  </si>
  <si>
    <t>B0100001224</t>
  </si>
  <si>
    <t>B0100001225</t>
  </si>
  <si>
    <t>B0100001226</t>
  </si>
  <si>
    <t>B0100001227</t>
  </si>
  <si>
    <t>B0100001228</t>
  </si>
  <si>
    <t>B0100001229</t>
  </si>
  <si>
    <t>B0100001230</t>
  </si>
  <si>
    <t>B0100001231</t>
  </si>
  <si>
    <t>B0100001232</t>
  </si>
  <si>
    <t>B0100001233</t>
  </si>
  <si>
    <t>B0100001234</t>
  </si>
  <si>
    <t>B1500000318</t>
  </si>
  <si>
    <t>B1500000319</t>
  </si>
  <si>
    <t>B1500000320</t>
  </si>
  <si>
    <t xml:space="preserve">                                                                                        CIERRE OCTUBRE  2025</t>
  </si>
  <si>
    <t>B0100001236</t>
  </si>
  <si>
    <t>B0100001237</t>
  </si>
  <si>
    <t>B0100001238</t>
  </si>
  <si>
    <t>B0100001239</t>
  </si>
  <si>
    <t>B0100001240</t>
  </si>
  <si>
    <t>B0100001241</t>
  </si>
  <si>
    <t>B0100001242</t>
  </si>
  <si>
    <t>B0100001243</t>
  </si>
  <si>
    <t>B0100001244</t>
  </si>
  <si>
    <t>B0100001245</t>
  </si>
  <si>
    <t>B0100001246</t>
  </si>
  <si>
    <t>B0100001247</t>
  </si>
  <si>
    <t>B0100001248</t>
  </si>
  <si>
    <t>B0100001249</t>
  </si>
  <si>
    <t>B0100001250</t>
  </si>
  <si>
    <t>B0100001251</t>
  </si>
  <si>
    <t>B1500000321</t>
  </si>
  <si>
    <t>B1500000322</t>
  </si>
  <si>
    <t>B1500000323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</si>
</sst>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"/>
    <numFmt numFmtId="165" formatCode="0.00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26"/>
      <color theme="1"/>
      <name val="Cambria"/>
      <family val="1"/>
    </font>
    <font>
      <b/>
      <sz val="16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6"/>
      <color rgb="FF000000"/>
      <name val="Cambria"/>
      <family val="1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43" fontId="0" fillId="0" borderId="0" xfId="1" applyFont="1"/>
    <xf numFmtId="17" fontId="7" fillId="0" borderId="0" xfId="2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1" xfId="1" applyFont="1" applyFill="1" applyBorder="1"/>
    <xf numFmtId="43" fontId="9" fillId="0" borderId="1" xfId="1" applyFont="1" applyFill="1" applyBorder="1"/>
    <xf numFmtId="43" fontId="0" fillId="0" borderId="0" xfId="0" applyNumberFormat="1"/>
    <xf numFmtId="43" fontId="8" fillId="2" borderId="1" xfId="1" applyFont="1" applyFill="1" applyBorder="1"/>
    <xf numFmtId="0" fontId="11" fillId="0" borderId="0" xfId="0" applyFont="1"/>
    <xf numFmtId="0" fontId="7" fillId="0" borderId="0" xfId="0" applyFont="1" applyAlignment="1">
      <alignment vertical="center"/>
    </xf>
    <xf numFmtId="0" fontId="12" fillId="0" borderId="2" xfId="0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1" xfId="0" applyFont="1" applyFill="1" applyBorder="1"/>
    <xf numFmtId="0" fontId="14" fillId="0" borderId="1" xfId="0" applyFont="1" applyBorder="1"/>
    <xf numFmtId="4" fontId="14" fillId="0" borderId="1" xfId="0" applyNumberFormat="1" applyFont="1" applyBorder="1" applyAlignment="1">
      <alignment horizontal="right"/>
    </xf>
    <xf numFmtId="4" fontId="14" fillId="0" borderId="1" xfId="0" applyNumberFormat="1" applyFont="1" applyBorder="1"/>
    <xf numFmtId="0" fontId="14" fillId="0" borderId="1" xfId="0" applyFont="1" applyBorder="1" applyAlignment="1">
      <alignment horizontal="right"/>
    </xf>
    <xf numFmtId="4" fontId="15" fillId="0" borderId="1" xfId="0" applyNumberFormat="1" applyFont="1" applyBorder="1"/>
    <xf numFmtId="0" fontId="14" fillId="0" borderId="1" xfId="0" applyFont="1" applyBorder="1" applyAlignment="1">
      <alignment horizontal="center"/>
    </xf>
    <xf numFmtId="4" fontId="16" fillId="3" borderId="4" xfId="0" applyNumberFormat="1" applyFont="1" applyFill="1" applyBorder="1"/>
    <xf numFmtId="0" fontId="8" fillId="0" borderId="0" xfId="0" applyFont="1"/>
    <xf numFmtId="0" fontId="0" fillId="2" borderId="1" xfId="0" applyFont="1" applyFill="1" applyBorder="1" applyAlignment="1">
      <alignment horizontal="center"/>
    </xf>
    <xf numFmtId="43" fontId="1" fillId="2" borderId="1" xfId="1" applyFont="1" applyFill="1" applyBorder="1" applyAlignment="1">
      <alignment horizontal="center"/>
    </xf>
    <xf numFmtId="43" fontId="1" fillId="2" borderId="1" xfId="1" applyFont="1" applyFill="1" applyBorder="1"/>
    <xf numFmtId="0" fontId="9" fillId="0" borderId="1" xfId="0" applyFont="1" applyFill="1" applyBorder="1" applyAlignment="1"/>
    <xf numFmtId="4" fontId="0" fillId="0" borderId="1" xfId="0" applyNumberFormat="1" applyFont="1" applyBorder="1" applyAlignment="1">
      <alignment horizontal="right"/>
    </xf>
    <xf numFmtId="43" fontId="9" fillId="0" borderId="1" xfId="1" applyFont="1" applyFill="1" applyBorder="1" applyAlignment="1"/>
    <xf numFmtId="43" fontId="17" fillId="0" borderId="1" xfId="1" applyFont="1" applyFill="1" applyBorder="1"/>
    <xf numFmtId="0" fontId="9" fillId="0" borderId="1" xfId="0" applyFont="1" applyFill="1" applyBorder="1" applyAlignment="1">
      <alignment horizontal="center"/>
    </xf>
    <xf numFmtId="43" fontId="17" fillId="0" borderId="1" xfId="1" applyFont="1" applyFill="1" applyBorder="1" applyAlignment="1"/>
    <xf numFmtId="39" fontId="17" fillId="0" borderId="1" xfId="1" applyNumberFormat="1" applyFont="1" applyFill="1" applyBorder="1"/>
    <xf numFmtId="43" fontId="18" fillId="0" borderId="1" xfId="1" applyFont="1" applyFill="1" applyBorder="1"/>
    <xf numFmtId="43" fontId="9" fillId="2" borderId="1" xfId="1" applyFont="1" applyFill="1" applyBorder="1"/>
    <xf numFmtId="4" fontId="17" fillId="0" borderId="1" xfId="0" applyNumberFormat="1" applyFont="1" applyBorder="1" applyAlignment="1"/>
    <xf numFmtId="4" fontId="17" fillId="0" borderId="1" xfId="0" applyNumberFormat="1" applyFont="1" applyBorder="1" applyAlignment="1">
      <alignment horizontal="right"/>
    </xf>
    <xf numFmtId="43" fontId="17" fillId="0" borderId="1" xfId="1" applyFont="1" applyFill="1" applyBorder="1" applyAlignment="1">
      <alignment horizontal="right"/>
    </xf>
    <xf numFmtId="9" fontId="0" fillId="0" borderId="0" xfId="3" applyFont="1"/>
    <xf numFmtId="0" fontId="8" fillId="2" borderId="1" xfId="0" applyFont="1" applyFill="1" applyBorder="1" applyAlignment="1"/>
    <xf numFmtId="43" fontId="8" fillId="2" borderId="1" xfId="1" applyFont="1" applyFill="1" applyBorder="1" applyAlignment="1"/>
    <xf numFmtId="0" fontId="8" fillId="0" borderId="1" xfId="0" applyFont="1" applyFill="1" applyBorder="1" applyAlignment="1"/>
    <xf numFmtId="4" fontId="0" fillId="0" borderId="1" xfId="0" applyNumberFormat="1" applyFont="1" applyBorder="1" applyAlignment="1"/>
    <xf numFmtId="39" fontId="17" fillId="0" borderId="1" xfId="1" applyNumberFormat="1" applyFont="1" applyFill="1" applyBorder="1" applyAlignment="1"/>
    <xf numFmtId="43" fontId="18" fillId="0" borderId="1" xfId="1" applyFont="1" applyFill="1" applyBorder="1" applyAlignment="1"/>
    <xf numFmtId="0" fontId="20" fillId="0" borderId="0" xfId="0" applyFont="1"/>
    <xf numFmtId="43" fontId="20" fillId="0" borderId="0" xfId="1" applyFont="1"/>
    <xf numFmtId="0" fontId="6" fillId="2" borderId="1" xfId="0" applyFont="1" applyFill="1" applyBorder="1" applyAlignment="1"/>
    <xf numFmtId="43" fontId="6" fillId="2" borderId="1" xfId="1" applyFont="1" applyFill="1" applyBorder="1" applyAlignment="1"/>
    <xf numFmtId="0" fontId="6" fillId="0" borderId="1" xfId="0" applyFont="1" applyFill="1" applyBorder="1" applyAlignment="1"/>
    <xf numFmtId="43" fontId="20" fillId="0" borderId="0" xfId="0" applyNumberFormat="1" applyFont="1"/>
    <xf numFmtId="0" fontId="6" fillId="0" borderId="0" xfId="0" applyFont="1"/>
    <xf numFmtId="0" fontId="20" fillId="0" borderId="1" xfId="0" applyFont="1" applyFill="1" applyBorder="1" applyAlignment="1"/>
    <xf numFmtId="4" fontId="20" fillId="0" borderId="1" xfId="0" applyNumberFormat="1" applyFont="1" applyBorder="1" applyAlignment="1">
      <alignment horizontal="right"/>
    </xf>
    <xf numFmtId="43" fontId="20" fillId="0" borderId="1" xfId="1" applyFont="1" applyFill="1" applyBorder="1" applyAlignment="1"/>
    <xf numFmtId="43" fontId="21" fillId="0" borderId="1" xfId="1" applyFont="1" applyFill="1" applyBorder="1" applyAlignment="1">
      <alignment horizontal="right"/>
    </xf>
    <xf numFmtId="43" fontId="20" fillId="0" borderId="1" xfId="1" applyFont="1" applyFill="1" applyBorder="1" applyAlignment="1">
      <alignment horizontal="right"/>
    </xf>
    <xf numFmtId="39" fontId="20" fillId="0" borderId="1" xfId="1" applyNumberFormat="1" applyFont="1" applyFill="1" applyBorder="1" applyAlignment="1"/>
    <xf numFmtId="17" fontId="7" fillId="0" borderId="0" xfId="2" applyNumberFormat="1" applyFont="1" applyBorder="1" applyAlignment="1">
      <alignment vertical="center"/>
    </xf>
    <xf numFmtId="10" fontId="0" fillId="0" borderId="0" xfId="3" applyNumberFormat="1" applyFont="1"/>
    <xf numFmtId="43" fontId="8" fillId="0" borderId="1" xfId="1" applyFont="1" applyFill="1" applyBorder="1" applyAlignment="1"/>
    <xf numFmtId="43" fontId="23" fillId="0" borderId="1" xfId="1" applyFont="1" applyFill="1" applyBorder="1" applyAlignment="1"/>
    <xf numFmtId="39" fontId="23" fillId="0" borderId="1" xfId="1" applyNumberFormat="1" applyFont="1" applyFill="1" applyBorder="1" applyAlignment="1"/>
    <xf numFmtId="43" fontId="24" fillId="0" borderId="1" xfId="1" applyFont="1" applyFill="1" applyBorder="1" applyAlignment="1"/>
    <xf numFmtId="17" fontId="7" fillId="0" borderId="0" xfId="2" applyNumberFormat="1" applyFont="1" applyBorder="1" applyAlignment="1">
      <alignment vertical="center"/>
    </xf>
    <xf numFmtId="4" fontId="0" fillId="0" borderId="6" xfId="0" applyNumberFormat="1" applyFont="1" applyBorder="1" applyAlignment="1">
      <alignment horizontal="right"/>
    </xf>
    <xf numFmtId="43" fontId="18" fillId="0" borderId="1" xfId="1" applyFont="1" applyFill="1" applyBorder="1" applyAlignment="1">
      <alignment horizontal="right"/>
    </xf>
    <xf numFmtId="4" fontId="8" fillId="2" borderId="1" xfId="1" applyNumberFormat="1" applyFont="1" applyFill="1" applyBorder="1" applyAlignment="1">
      <alignment horizontal="right"/>
    </xf>
    <xf numFmtId="17" fontId="7" fillId="0" borderId="0" xfId="2" applyNumberFormat="1" applyFont="1" applyBorder="1" applyAlignment="1">
      <alignment vertical="center"/>
    </xf>
    <xf numFmtId="0" fontId="0" fillId="0" borderId="0" xfId="1" applyNumberFormat="1" applyFont="1"/>
    <xf numFmtId="0" fontId="0" fillId="0" borderId="0" xfId="0" applyNumberFormat="1"/>
    <xf numFmtId="0" fontId="1" fillId="0" borderId="0" xfId="1" applyNumberFormat="1" applyFont="1"/>
    <xf numFmtId="0" fontId="7" fillId="0" borderId="0" xfId="2" applyNumberFormat="1" applyFont="1" applyBorder="1" applyAlignment="1">
      <alignment vertical="center"/>
    </xf>
    <xf numFmtId="0" fontId="0" fillId="0" borderId="0" xfId="1" applyNumberFormat="1" applyFont="1" applyAlignment="1"/>
    <xf numFmtId="0" fontId="20" fillId="0" borderId="0" xfId="1" applyNumberFormat="1" applyFont="1" applyAlignment="1"/>
    <xf numFmtId="0" fontId="20" fillId="0" borderId="0" xfId="0" applyNumberFormat="1" applyFont="1"/>
    <xf numFmtId="0" fontId="20" fillId="4" borderId="1" xfId="0" applyFont="1" applyFill="1" applyBorder="1" applyAlignment="1"/>
    <xf numFmtId="43" fontId="20" fillId="4" borderId="1" xfId="1" applyFont="1" applyFill="1" applyBorder="1" applyAlignment="1"/>
    <xf numFmtId="4" fontId="20" fillId="4" borderId="1" xfId="0" applyNumberFormat="1" applyFont="1" applyFill="1" applyBorder="1" applyAlignment="1">
      <alignment horizontal="right"/>
    </xf>
    <xf numFmtId="43" fontId="21" fillId="4" borderId="1" xfId="1" applyFont="1" applyFill="1" applyBorder="1" applyAlignment="1">
      <alignment horizontal="right"/>
    </xf>
    <xf numFmtId="0" fontId="6" fillId="4" borderId="1" xfId="0" applyFont="1" applyFill="1" applyBorder="1" applyAlignment="1"/>
    <xf numFmtId="43" fontId="6" fillId="4" borderId="1" xfId="1" applyFont="1" applyFill="1" applyBorder="1" applyAlignment="1"/>
    <xf numFmtId="4" fontId="6" fillId="4" borderId="1" xfId="0" applyNumberFormat="1" applyFont="1" applyFill="1" applyBorder="1" applyAlignment="1">
      <alignment horizontal="right"/>
    </xf>
    <xf numFmtId="43" fontId="7" fillId="4" borderId="1" xfId="1" applyFont="1" applyFill="1" applyBorder="1" applyAlignment="1">
      <alignment horizontal="right"/>
    </xf>
    <xf numFmtId="0" fontId="9" fillId="4" borderId="1" xfId="0" applyFont="1" applyFill="1" applyBorder="1" applyAlignment="1"/>
    <xf numFmtId="43" fontId="9" fillId="4" borderId="1" xfId="1" applyFont="1" applyFill="1" applyBorder="1" applyAlignment="1"/>
    <xf numFmtId="4" fontId="0" fillId="4" borderId="1" xfId="0" applyNumberFormat="1" applyFont="1" applyFill="1" applyBorder="1" applyAlignment="1">
      <alignment horizontal="right"/>
    </xf>
    <xf numFmtId="43" fontId="17" fillId="4" borderId="1" xfId="1" applyFont="1" applyFill="1" applyBorder="1"/>
    <xf numFmtId="43" fontId="17" fillId="4" borderId="1" xfId="1" applyFont="1" applyFill="1" applyBorder="1" applyAlignment="1"/>
    <xf numFmtId="4" fontId="0" fillId="4" borderId="1" xfId="0" applyNumberFormat="1" applyFont="1" applyFill="1" applyBorder="1" applyAlignment="1"/>
    <xf numFmtId="0" fontId="0" fillId="0" borderId="0" xfId="0"/>
    <xf numFmtId="43" fontId="0" fillId="0" borderId="0" xfId="1" applyFont="1"/>
    <xf numFmtId="17" fontId="7" fillId="0" borderId="0" xfId="2" applyNumberFormat="1" applyFont="1" applyBorder="1" applyAlignment="1">
      <alignment vertical="center"/>
    </xf>
    <xf numFmtId="43" fontId="0" fillId="0" borderId="0" xfId="0" applyNumberFormat="1"/>
    <xf numFmtId="0" fontId="8" fillId="0" borderId="0" xfId="0" applyFont="1"/>
    <xf numFmtId="0" fontId="8" fillId="0" borderId="1" xfId="0" applyFont="1" applyFill="1" applyBorder="1" applyAlignment="1"/>
    <xf numFmtId="43" fontId="0" fillId="0" borderId="0" xfId="1" applyFont="1" applyAlignment="1"/>
    <xf numFmtId="0" fontId="8" fillId="2" borderId="8" xfId="0" applyFont="1" applyFill="1" applyBorder="1" applyAlignment="1"/>
    <xf numFmtId="0" fontId="8" fillId="2" borderId="9" xfId="0" applyFont="1" applyFill="1" applyBorder="1" applyAlignment="1"/>
    <xf numFmtId="43" fontId="8" fillId="2" borderId="9" xfId="1" applyFont="1" applyFill="1" applyBorder="1" applyAlignment="1"/>
    <xf numFmtId="43" fontId="8" fillId="2" borderId="10" xfId="1" applyFont="1" applyFill="1" applyBorder="1" applyAlignment="1"/>
    <xf numFmtId="43" fontId="8" fillId="2" borderId="12" xfId="1" applyFont="1" applyFill="1" applyBorder="1" applyAlignment="1"/>
    <xf numFmtId="4" fontId="8" fillId="2" borderId="13" xfId="1" applyNumberFormat="1" applyFont="1" applyFill="1" applyBorder="1" applyAlignment="1">
      <alignment horizontal="right"/>
    </xf>
    <xf numFmtId="4" fontId="9" fillId="0" borderId="1" xfId="0" applyNumberFormat="1" applyFont="1" applyBorder="1" applyAlignment="1"/>
    <xf numFmtId="43" fontId="15" fillId="0" borderId="1" xfId="1" applyFont="1" applyFill="1" applyBorder="1" applyAlignment="1"/>
    <xf numFmtId="0" fontId="4" fillId="0" borderId="0" xfId="2" applyFont="1"/>
    <xf numFmtId="0" fontId="22" fillId="0" borderId="0" xfId="2" applyFont="1"/>
    <xf numFmtId="17" fontId="19" fillId="0" borderId="0" xfId="2" applyNumberFormat="1" applyFont="1" applyAlignment="1">
      <alignment vertical="center"/>
    </xf>
    <xf numFmtId="17" fontId="7" fillId="0" borderId="0" xfId="2" applyNumberFormat="1" applyFont="1" applyAlignment="1">
      <alignment vertical="center"/>
    </xf>
    <xf numFmtId="0" fontId="8" fillId="2" borderId="8" xfId="0" applyFont="1" applyFill="1" applyBorder="1"/>
    <xf numFmtId="0" fontId="8" fillId="2" borderId="9" xfId="0" applyFont="1" applyFill="1" applyBorder="1"/>
    <xf numFmtId="43" fontId="8" fillId="2" borderId="14" xfId="1" applyFont="1" applyFill="1" applyBorder="1" applyAlignment="1"/>
    <xf numFmtId="43" fontId="8" fillId="2" borderId="15" xfId="1" applyFont="1" applyFill="1" applyBorder="1" applyAlignment="1"/>
    <xf numFmtId="0" fontId="9" fillId="0" borderId="1" xfId="0" applyFont="1" applyBorder="1"/>
    <xf numFmtId="4" fontId="25" fillId="0" borderId="1" xfId="0" applyNumberFormat="1" applyFont="1" applyBorder="1" applyAlignment="1">
      <alignment horizontal="right"/>
    </xf>
    <xf numFmtId="0" fontId="8" fillId="0" borderId="1" xfId="0" applyFont="1" applyBorder="1"/>
    <xf numFmtId="39" fontId="17" fillId="0" borderId="1" xfId="1" applyNumberFormat="1" applyFont="1" applyFill="1" applyBorder="1" applyAlignment="1">
      <alignment horizontal="right"/>
    </xf>
    <xf numFmtId="43" fontId="23" fillId="2" borderId="1" xfId="1" applyFont="1" applyFill="1" applyBorder="1" applyAlignment="1">
      <alignment horizontal="right"/>
    </xf>
    <xf numFmtId="165" fontId="0" fillId="0" borderId="0" xfId="3" applyNumberFormat="1" applyFont="1"/>
    <xf numFmtId="0" fontId="7" fillId="0" borderId="0" xfId="0" applyFont="1" applyAlignment="1">
      <alignment horizontal="center" vertical="center"/>
    </xf>
    <xf numFmtId="0" fontId="16" fillId="3" borderId="3" xfId="0" applyFont="1" applyFill="1" applyBorder="1" applyAlignment="1">
      <alignment horizontal="right"/>
    </xf>
    <xf numFmtId="0" fontId="16" fillId="3" borderId="7" xfId="0" applyFont="1" applyFill="1" applyBorder="1" applyAlignment="1">
      <alignment horizontal="right"/>
    </xf>
    <xf numFmtId="0" fontId="16" fillId="3" borderId="5" xfId="0" applyFont="1" applyFill="1" applyBorder="1" applyAlignment="1">
      <alignment horizontal="right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7" fontId="7" fillId="0" borderId="0" xfId="2" applyNumberFormat="1" applyFont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right"/>
    </xf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9" fillId="2" borderId="1" xfId="0" applyNumberFormat="1" applyFont="1" applyFill="1" applyBorder="1" applyAlignment="1">
      <alignment horizontal="right"/>
    </xf>
    <xf numFmtId="17" fontId="19" fillId="0" borderId="0" xfId="2" applyNumberFormat="1" applyFont="1" applyBorder="1" applyAlignment="1">
      <alignment vertical="center"/>
    </xf>
    <xf numFmtId="164" fontId="8" fillId="2" borderId="1" xfId="0" applyNumberFormat="1" applyFont="1" applyFill="1" applyBorder="1" applyAlignment="1"/>
    <xf numFmtId="0" fontId="8" fillId="0" borderId="0" xfId="0" applyFont="1" applyAlignment="1">
      <alignment horizontal="center"/>
    </xf>
    <xf numFmtId="17" fontId="7" fillId="0" borderId="0" xfId="2" applyNumberFormat="1" applyFont="1" applyBorder="1" applyAlignment="1">
      <alignment vertical="center"/>
    </xf>
    <xf numFmtId="164" fontId="6" fillId="2" borderId="1" xfId="0" applyNumberFormat="1" applyFont="1" applyFill="1" applyBorder="1" applyAlignment="1"/>
    <xf numFmtId="0" fontId="20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17" fontId="15" fillId="0" borderId="0" xfId="2" applyNumberFormat="1" applyFont="1" applyBorder="1" applyAlignment="1">
      <alignment vertical="center"/>
    </xf>
    <xf numFmtId="0" fontId="22" fillId="0" borderId="0" xfId="2" applyFont="1" applyAlignment="1">
      <alignment horizontal="center"/>
    </xf>
    <xf numFmtId="164" fontId="8" fillId="2" borderId="11" xfId="0" applyNumberFormat="1" applyFont="1" applyFill="1" applyBorder="1" applyAlignment="1"/>
    <xf numFmtId="164" fontId="8" fillId="2" borderId="12" xfId="0" applyNumberFormat="1" applyFont="1" applyFill="1" applyBorder="1" applyAlignment="1"/>
    <xf numFmtId="17" fontId="19" fillId="0" borderId="0" xfId="2" applyNumberFormat="1" applyFont="1" applyAlignment="1">
      <alignment horizontal="center" vertical="center"/>
    </xf>
    <xf numFmtId="164" fontId="8" fillId="2" borderId="11" xfId="0" applyNumberFormat="1" applyFont="1" applyFill="1" applyBorder="1"/>
    <xf numFmtId="164" fontId="8" fillId="2" borderId="16" xfId="0" applyNumberFormat="1" applyFont="1" applyFill="1" applyBorder="1"/>
    <xf numFmtId="17" fontId="19" fillId="0" borderId="0" xfId="2" applyNumberFormat="1" applyFont="1" applyAlignment="1">
      <alignment vertical="center"/>
    </xf>
    <xf numFmtId="17" fontId="7" fillId="0" borderId="17" xfId="2" applyNumberFormat="1" applyFont="1" applyBorder="1" applyAlignment="1">
      <alignment vertical="center"/>
    </xf>
    <xf numFmtId="17" fontId="7" fillId="0" borderId="18" xfId="2" applyNumberFormat="1" applyFont="1" applyBorder="1" applyAlignment="1">
      <alignment vertical="center"/>
    </xf>
    <xf numFmtId="17" fontId="7" fillId="0" borderId="19" xfId="2" applyNumberFormat="1" applyFont="1" applyBorder="1" applyAlignment="1">
      <alignment vertical="center"/>
    </xf>
    <xf numFmtId="0" fontId="8" fillId="2" borderId="1" xfId="0" applyFont="1" applyFill="1" applyBorder="1"/>
    <xf numFmtId="4" fontId="8" fillId="0" borderId="1" xfId="0" applyNumberFormat="1" applyFont="1" applyBorder="1" applyAlignment="1">
      <alignment horizontal="right"/>
    </xf>
    <xf numFmtId="43" fontId="23" fillId="0" borderId="1" xfId="1" applyFont="1" applyFill="1" applyBorder="1" applyAlignment="1">
      <alignment horizontal="right"/>
    </xf>
    <xf numFmtId="43" fontId="8" fillId="0" borderId="1" xfId="1" applyFont="1" applyFill="1" applyBorder="1" applyAlignment="1">
      <alignment horizontal="right"/>
    </xf>
    <xf numFmtId="0" fontId="16" fillId="0" borderId="1" xfId="0" applyFont="1" applyBorder="1" applyAlignment="1">
      <alignment horizontal="right"/>
    </xf>
    <xf numFmtId="39" fontId="8" fillId="0" borderId="1" xfId="1" applyNumberFormat="1" applyFont="1" applyFill="1" applyBorder="1" applyAlignment="1">
      <alignment horizontal="right"/>
    </xf>
    <xf numFmtId="164" fontId="8" fillId="2" borderId="1" xfId="0" applyNumberFormat="1" applyFont="1" applyFill="1" applyBorder="1"/>
    <xf numFmtId="43" fontId="8" fillId="2" borderId="1" xfId="1" applyFont="1" applyFill="1" applyBorder="1" applyAlignment="1">
      <alignment horizontal="right"/>
    </xf>
    <xf numFmtId="0" fontId="0" fillId="0" borderId="20" xfId="0" applyBorder="1"/>
    <xf numFmtId="0" fontId="0" fillId="0" borderId="21" xfId="0" applyBorder="1"/>
    <xf numFmtId="43" fontId="0" fillId="0" borderId="21" xfId="1" applyFont="1" applyBorder="1"/>
    <xf numFmtId="43" fontId="0" fillId="0" borderId="22" xfId="1" applyFont="1" applyBorder="1"/>
  </cellXfs>
  <cellStyles count="4">
    <cellStyle name="Millares" xfId="1" builtinId="3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167641</xdr:colOff>
      <xdr:row>0</xdr:row>
      <xdr:rowOff>154305</xdr:rowOff>
    </xdr:from>
    <xdr:ext cx="1619250" cy="561976"/>
    <xdr:pic>
      <xdr:nvPicPr>
        <xdr:cNvPr id="2" name="1 Imagen">
          <a:extLst>
            <a:ext uri="{FF2B5EF4-FFF2-40B4-BE49-F238E27FC236}">
              <a16:creationId xmlns:a16="http://schemas.microsoft.com/office/drawing/2014/main" id="{4B4CF1EF-1CBE-40CE-BBE8-7A28C5FBAD6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167641" y="154305"/>
          <a:ext cx="1619250" cy="5619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opLeftCell="A15" workbookViewId="0">
      <selection activeCell="A26" sqref="A26"/>
    </sheetView>
  </sheetViews>
  <sheetFormatPr baseColWidth="10" defaultColWidth="11.42578125" defaultRowHeight="15" x14ac:dyDescent="0.25"/>
  <cols>
    <col min="1" max="1" width="18.5703125" bestFit="1" customWidth="1"/>
    <col min="2" max="2" width="18.5703125" customWidth="1"/>
    <col min="3" max="3" width="26.140625" bestFit="1" customWidth="1"/>
    <col min="4" max="4" width="16.42578125" bestFit="1" customWidth="1"/>
    <col min="5" max="5" width="14.140625" bestFit="1" customWidth="1"/>
    <col min="6" max="6" width="16.42578125" bestFit="1" customWidth="1"/>
  </cols>
  <sheetData>
    <row r="1" spans="1:10" ht="33" x14ac:dyDescent="0.45">
      <c r="A1" s="122" t="s">
        <v>0</v>
      </c>
      <c r="B1" s="122"/>
      <c r="C1" s="122"/>
      <c r="D1" s="122"/>
      <c r="E1" s="122"/>
      <c r="F1" s="122"/>
      <c r="G1" s="9"/>
      <c r="H1" s="9"/>
      <c r="I1" s="9"/>
    </row>
    <row r="2" spans="1:10" ht="20.25" x14ac:dyDescent="0.3">
      <c r="A2" s="123" t="s">
        <v>1</v>
      </c>
      <c r="B2" s="123"/>
      <c r="C2" s="123"/>
      <c r="D2" s="123"/>
      <c r="E2" s="123"/>
      <c r="F2" s="123"/>
      <c r="G2" s="9"/>
      <c r="H2" s="9"/>
      <c r="I2" s="9"/>
    </row>
    <row r="3" spans="1:10" x14ac:dyDescent="0.25">
      <c r="A3" s="124" t="s">
        <v>2</v>
      </c>
      <c r="B3" s="124"/>
      <c r="C3" s="124"/>
      <c r="D3" s="124"/>
      <c r="E3" s="124"/>
      <c r="F3" s="124"/>
      <c r="G3" s="9"/>
      <c r="H3" s="9"/>
      <c r="I3" s="9"/>
    </row>
    <row r="4" spans="1:10" x14ac:dyDescent="0.25">
      <c r="A4" s="124" t="s">
        <v>3</v>
      </c>
      <c r="B4" s="124"/>
      <c r="C4" s="124"/>
      <c r="D4" s="124"/>
      <c r="E4" s="124"/>
      <c r="F4" s="124"/>
      <c r="G4" s="9"/>
      <c r="H4" s="9"/>
      <c r="I4" s="9"/>
    </row>
    <row r="5" spans="1:10" x14ac:dyDescent="0.25">
      <c r="A5" s="124" t="s">
        <v>4</v>
      </c>
      <c r="B5" s="124"/>
      <c r="C5" s="124"/>
      <c r="D5" s="124"/>
      <c r="E5" s="124"/>
      <c r="F5" s="124"/>
      <c r="G5" s="9"/>
      <c r="H5" s="9"/>
      <c r="I5">
        <v>102017174</v>
      </c>
      <c r="J5" t="s">
        <v>109</v>
      </c>
    </row>
    <row r="6" spans="1:10" x14ac:dyDescent="0.25">
      <c r="A6" s="125" t="s">
        <v>35</v>
      </c>
      <c r="B6" s="125"/>
      <c r="C6" s="125"/>
      <c r="D6" s="125"/>
      <c r="E6" s="125"/>
      <c r="F6" s="125"/>
      <c r="G6" s="9"/>
      <c r="H6" s="9"/>
      <c r="I6" s="9">
        <v>101864427</v>
      </c>
      <c r="J6" t="s">
        <v>12</v>
      </c>
    </row>
    <row r="7" spans="1:10" x14ac:dyDescent="0.25">
      <c r="A7" s="118" t="s">
        <v>42</v>
      </c>
      <c r="B7" s="118"/>
      <c r="C7" s="118"/>
      <c r="D7" s="118"/>
      <c r="E7" s="118"/>
      <c r="F7" s="118"/>
      <c r="G7" s="10"/>
      <c r="H7" s="9"/>
      <c r="I7" s="9">
        <v>101761581</v>
      </c>
      <c r="J7" t="s">
        <v>110</v>
      </c>
    </row>
    <row r="8" spans="1:10" x14ac:dyDescent="0.25">
      <c r="A8" s="11"/>
      <c r="B8" s="11"/>
      <c r="C8" s="11"/>
      <c r="D8" s="11"/>
      <c r="E8" s="11"/>
      <c r="F8" s="11"/>
      <c r="G8" s="9"/>
      <c r="H8" s="9"/>
      <c r="I8" s="9">
        <v>101761581</v>
      </c>
      <c r="J8" t="s">
        <v>14</v>
      </c>
    </row>
    <row r="9" spans="1:10" x14ac:dyDescent="0.25">
      <c r="A9" s="11"/>
      <c r="B9" s="11"/>
      <c r="C9" s="11"/>
      <c r="D9" s="11"/>
      <c r="E9" s="11"/>
      <c r="F9" s="11"/>
      <c r="G9" s="9"/>
      <c r="H9" s="9"/>
      <c r="I9" s="9">
        <v>101761581</v>
      </c>
      <c r="J9" t="s">
        <v>111</v>
      </c>
    </row>
    <row r="10" spans="1:10" x14ac:dyDescent="0.25">
      <c r="A10" s="12" t="s">
        <v>6</v>
      </c>
      <c r="B10" s="12"/>
      <c r="C10" s="12" t="s">
        <v>7</v>
      </c>
      <c r="D10" s="12" t="s">
        <v>8</v>
      </c>
      <c r="E10" s="13" t="s">
        <v>9</v>
      </c>
      <c r="F10" s="13" t="s">
        <v>10</v>
      </c>
      <c r="G10" s="9"/>
      <c r="H10" s="9"/>
      <c r="I10" s="9">
        <v>130296235</v>
      </c>
      <c r="J10" t="s">
        <v>112</v>
      </c>
    </row>
    <row r="11" spans="1:10" ht="18.75" x14ac:dyDescent="0.3">
      <c r="A11" s="14" t="s">
        <v>120</v>
      </c>
      <c r="B11" s="14">
        <v>102017174</v>
      </c>
      <c r="C11" s="14" t="s">
        <v>11</v>
      </c>
      <c r="D11" s="15">
        <v>16720.82</v>
      </c>
      <c r="E11" s="14"/>
      <c r="F11" s="15">
        <v>16720.82</v>
      </c>
      <c r="G11" s="9"/>
      <c r="H11" s="9"/>
      <c r="I11" s="9">
        <v>101687827</v>
      </c>
      <c r="J11" t="s">
        <v>20</v>
      </c>
    </row>
    <row r="12" spans="1:10" ht="18.75" x14ac:dyDescent="0.3">
      <c r="A12" s="14" t="s">
        <v>121</v>
      </c>
      <c r="B12" s="14">
        <v>101864427</v>
      </c>
      <c r="C12" s="14" t="s">
        <v>12</v>
      </c>
      <c r="D12" s="15">
        <v>439967.13</v>
      </c>
      <c r="E12" s="14"/>
      <c r="F12" s="15">
        <v>439967.13</v>
      </c>
      <c r="G12" s="9"/>
      <c r="H12" s="9"/>
      <c r="I12" s="9">
        <v>101064129</v>
      </c>
      <c r="J12" t="s">
        <v>24</v>
      </c>
    </row>
    <row r="13" spans="1:10" ht="18.75" x14ac:dyDescent="0.3">
      <c r="A13" s="14" t="s">
        <v>122</v>
      </c>
      <c r="B13" s="14">
        <v>101761581</v>
      </c>
      <c r="C13" s="14" t="s">
        <v>13</v>
      </c>
      <c r="D13" s="15">
        <v>65463.45</v>
      </c>
      <c r="E13" s="14"/>
      <c r="F13" s="15">
        <v>65463.45</v>
      </c>
      <c r="G13" s="9"/>
      <c r="H13" s="9"/>
      <c r="I13" s="9">
        <v>124032423</v>
      </c>
      <c r="J13" t="s">
        <v>113</v>
      </c>
    </row>
    <row r="14" spans="1:10" ht="18.75" x14ac:dyDescent="0.3">
      <c r="A14" s="14" t="s">
        <v>123</v>
      </c>
      <c r="B14" s="14">
        <v>101761581</v>
      </c>
      <c r="C14" s="14" t="s">
        <v>14</v>
      </c>
      <c r="D14" s="15">
        <v>12918.96</v>
      </c>
      <c r="E14" s="14"/>
      <c r="F14" s="15">
        <v>12918.96</v>
      </c>
      <c r="G14" s="9"/>
      <c r="H14" s="9"/>
      <c r="I14" s="9">
        <v>101886481</v>
      </c>
      <c r="J14" t="s">
        <v>16</v>
      </c>
    </row>
    <row r="15" spans="1:10" ht="18.75" x14ac:dyDescent="0.3">
      <c r="A15" s="14" t="s">
        <v>124</v>
      </c>
      <c r="B15" s="14">
        <v>101761581</v>
      </c>
      <c r="C15" s="14" t="s">
        <v>15</v>
      </c>
      <c r="D15" s="15">
        <v>311477.59000000003</v>
      </c>
      <c r="E15" s="14"/>
      <c r="F15" s="15">
        <v>311477.59000000003</v>
      </c>
      <c r="G15" s="9"/>
      <c r="H15" s="9"/>
      <c r="I15" s="9">
        <v>430089885</v>
      </c>
      <c r="J15" t="s">
        <v>23</v>
      </c>
    </row>
    <row r="16" spans="1:10" ht="18.75" x14ac:dyDescent="0.3">
      <c r="A16" s="14" t="s">
        <v>125</v>
      </c>
      <c r="B16" s="14">
        <v>101886481</v>
      </c>
      <c r="C16" s="14" t="s">
        <v>16</v>
      </c>
      <c r="D16" s="15">
        <v>222716.34</v>
      </c>
      <c r="E16" s="14"/>
      <c r="F16" s="15">
        <v>222716.34</v>
      </c>
      <c r="G16" s="9"/>
      <c r="H16" s="9"/>
      <c r="I16" s="9">
        <v>130058008</v>
      </c>
      <c r="J16" t="s">
        <v>114</v>
      </c>
    </row>
    <row r="17" spans="1:10" ht="18.75" x14ac:dyDescent="0.3">
      <c r="A17" s="14" t="s">
        <v>126</v>
      </c>
      <c r="B17" s="14">
        <v>124032423</v>
      </c>
      <c r="C17" s="14" t="s">
        <v>17</v>
      </c>
      <c r="D17" s="15">
        <v>20821.36</v>
      </c>
      <c r="E17" s="14"/>
      <c r="F17" s="15">
        <v>20821.36</v>
      </c>
      <c r="G17" s="9"/>
      <c r="H17" s="9"/>
      <c r="I17" s="9">
        <v>101875887</v>
      </c>
      <c r="J17" t="s">
        <v>19</v>
      </c>
    </row>
    <row r="18" spans="1:10" ht="18.75" x14ac:dyDescent="0.3">
      <c r="A18" s="14" t="s">
        <v>127</v>
      </c>
      <c r="B18" s="14">
        <v>130296235</v>
      </c>
      <c r="C18" s="14" t="s">
        <v>18</v>
      </c>
      <c r="D18" s="15">
        <v>122630.62</v>
      </c>
      <c r="E18" s="14"/>
      <c r="F18" s="15">
        <v>122630.62</v>
      </c>
      <c r="G18" s="9"/>
      <c r="H18" s="9"/>
      <c r="I18" s="9">
        <v>130296235</v>
      </c>
      <c r="J18" t="s">
        <v>115</v>
      </c>
    </row>
    <row r="19" spans="1:10" ht="18.75" x14ac:dyDescent="0.3">
      <c r="A19" s="14" t="s">
        <v>128</v>
      </c>
      <c r="B19" s="14">
        <v>101875887</v>
      </c>
      <c r="C19" s="14" t="s">
        <v>19</v>
      </c>
      <c r="D19" s="15">
        <v>14338.35</v>
      </c>
      <c r="E19" s="14"/>
      <c r="F19" s="15">
        <v>14338.35</v>
      </c>
      <c r="G19" s="9"/>
      <c r="H19" s="9"/>
      <c r="I19" s="9">
        <v>101024097</v>
      </c>
      <c r="J19" t="s">
        <v>26</v>
      </c>
    </row>
    <row r="20" spans="1:10" ht="18.75" x14ac:dyDescent="0.3">
      <c r="A20" s="14" t="s">
        <v>129</v>
      </c>
      <c r="B20" s="14">
        <v>101687827</v>
      </c>
      <c r="C20" s="14" t="s">
        <v>20</v>
      </c>
      <c r="D20" s="15">
        <v>102975.46</v>
      </c>
      <c r="E20" s="14"/>
      <c r="F20" s="15">
        <v>102975.46</v>
      </c>
      <c r="G20" s="9"/>
      <c r="H20" s="9"/>
      <c r="I20" s="9">
        <v>101788682</v>
      </c>
      <c r="J20" t="s">
        <v>116</v>
      </c>
    </row>
    <row r="21" spans="1:10" ht="18.75" x14ac:dyDescent="0.3">
      <c r="A21" s="14" t="s">
        <v>130</v>
      </c>
      <c r="B21" s="14">
        <v>130296235</v>
      </c>
      <c r="C21" s="14" t="s">
        <v>21</v>
      </c>
      <c r="D21" s="15">
        <v>617068.65</v>
      </c>
      <c r="E21" s="16">
        <v>4547.79</v>
      </c>
      <c r="F21" s="15">
        <v>612520.86</v>
      </c>
      <c r="G21" s="9"/>
      <c r="H21" s="9"/>
      <c r="I21" s="9">
        <v>401052662</v>
      </c>
      <c r="J21" t="s">
        <v>27</v>
      </c>
    </row>
    <row r="22" spans="1:10" ht="18.75" x14ac:dyDescent="0.3">
      <c r="A22" s="14" t="s">
        <v>131</v>
      </c>
      <c r="B22" s="14">
        <v>130058008</v>
      </c>
      <c r="C22" s="14" t="s">
        <v>22</v>
      </c>
      <c r="D22" s="15">
        <v>146560.32000000001</v>
      </c>
      <c r="E22" s="14"/>
      <c r="F22" s="17" t="s">
        <v>36</v>
      </c>
      <c r="G22" s="9"/>
      <c r="H22" s="9"/>
      <c r="I22" s="9">
        <v>401516454</v>
      </c>
      <c r="J22" t="s">
        <v>31</v>
      </c>
    </row>
    <row r="23" spans="1:10" ht="18.75" x14ac:dyDescent="0.3">
      <c r="A23" s="14" t="s">
        <v>132</v>
      </c>
      <c r="B23" s="14">
        <v>430089885</v>
      </c>
      <c r="C23" s="14" t="s">
        <v>23</v>
      </c>
      <c r="D23" s="15">
        <v>217047.26</v>
      </c>
      <c r="E23" s="14"/>
      <c r="F23" s="15">
        <v>217047.26</v>
      </c>
      <c r="G23" s="9"/>
      <c r="H23" s="9"/>
      <c r="I23" s="9"/>
    </row>
    <row r="24" spans="1:10" ht="18.75" x14ac:dyDescent="0.3">
      <c r="A24" s="14" t="s">
        <v>133</v>
      </c>
      <c r="B24" s="14">
        <v>101064129</v>
      </c>
      <c r="C24" s="14" t="s">
        <v>24</v>
      </c>
      <c r="D24" s="15">
        <v>41285.9</v>
      </c>
      <c r="E24" s="14"/>
      <c r="F24" s="16">
        <v>41285.9</v>
      </c>
      <c r="G24" s="9"/>
      <c r="H24" s="9"/>
      <c r="I24" s="9"/>
    </row>
    <row r="25" spans="1:10" ht="18.75" x14ac:dyDescent="0.3">
      <c r="A25" s="14" t="s">
        <v>119</v>
      </c>
      <c r="B25" s="14">
        <v>101788682</v>
      </c>
      <c r="C25" s="14" t="s">
        <v>25</v>
      </c>
      <c r="D25" s="15">
        <v>92478.63</v>
      </c>
      <c r="E25" s="14"/>
      <c r="F25" s="16">
        <v>92478.63</v>
      </c>
      <c r="G25" s="9"/>
      <c r="H25" s="9"/>
      <c r="I25" s="9"/>
    </row>
    <row r="26" spans="1:10" ht="18.75" x14ac:dyDescent="0.3">
      <c r="A26" s="14" t="s">
        <v>118</v>
      </c>
      <c r="B26" s="14">
        <v>101024097</v>
      </c>
      <c r="C26" s="14" t="s">
        <v>26</v>
      </c>
      <c r="D26" s="15">
        <v>186957.88</v>
      </c>
      <c r="E26" s="14"/>
      <c r="F26" s="16">
        <v>186957.88</v>
      </c>
      <c r="G26" s="9"/>
      <c r="H26" s="9"/>
      <c r="I26" s="9"/>
    </row>
    <row r="27" spans="1:10" ht="18.75" x14ac:dyDescent="0.3">
      <c r="A27" s="14" t="s">
        <v>117</v>
      </c>
      <c r="B27" s="14">
        <v>401052662</v>
      </c>
      <c r="C27" s="14" t="s">
        <v>27</v>
      </c>
      <c r="D27" s="15">
        <v>28868.13</v>
      </c>
      <c r="E27" s="14"/>
      <c r="F27" s="16">
        <v>28868.13</v>
      </c>
      <c r="G27" s="9"/>
      <c r="H27" s="9"/>
      <c r="I27" s="9"/>
    </row>
    <row r="28" spans="1:10" ht="18.75" x14ac:dyDescent="0.3">
      <c r="A28" s="14" t="s">
        <v>37</v>
      </c>
      <c r="B28" s="14">
        <v>401516454</v>
      </c>
      <c r="C28" s="14" t="s">
        <v>29</v>
      </c>
      <c r="D28" s="15">
        <v>10985.64</v>
      </c>
      <c r="E28" s="14"/>
      <c r="F28" s="16">
        <v>10985.64</v>
      </c>
      <c r="G28" s="9"/>
      <c r="H28" s="9"/>
      <c r="I28" s="9"/>
    </row>
    <row r="29" spans="1:10" ht="18.75" x14ac:dyDescent="0.3">
      <c r="A29" s="14" t="s">
        <v>38</v>
      </c>
      <c r="B29" s="14">
        <v>401516454</v>
      </c>
      <c r="C29" s="14" t="s">
        <v>31</v>
      </c>
      <c r="D29" s="15">
        <v>2417181.13</v>
      </c>
      <c r="E29" s="16">
        <v>68679.070000000007</v>
      </c>
      <c r="F29" s="18">
        <v>2348502.06</v>
      </c>
      <c r="G29" s="9"/>
      <c r="H29" s="9"/>
      <c r="I29" s="9"/>
    </row>
    <row r="30" spans="1:10" ht="18.75" x14ac:dyDescent="0.3">
      <c r="A30" s="19" t="s">
        <v>32</v>
      </c>
      <c r="B30" s="19"/>
      <c r="C30" s="14" t="s">
        <v>32</v>
      </c>
      <c r="D30" s="15">
        <v>4840265.29</v>
      </c>
      <c r="E30" s="16">
        <v>147829.22</v>
      </c>
      <c r="F30" s="18">
        <v>4595181.3899999997</v>
      </c>
      <c r="G30" s="9"/>
      <c r="H30" s="9"/>
      <c r="I30" s="9"/>
    </row>
    <row r="31" spans="1:10" ht="18.75" x14ac:dyDescent="0.3">
      <c r="A31" s="119" t="s">
        <v>33</v>
      </c>
      <c r="B31" s="120"/>
      <c r="C31" s="121"/>
      <c r="D31" s="20">
        <f t="shared" ref="D31:E31" si="0">SUM(D11:D30)</f>
        <v>9928728.9100000001</v>
      </c>
      <c r="E31" s="20">
        <f t="shared" si="0"/>
        <v>221056.08000000002</v>
      </c>
      <c r="F31" s="20">
        <f>SUM(F11:F30)</f>
        <v>9463857.8299999982</v>
      </c>
      <c r="G31" s="9"/>
      <c r="H31" s="9"/>
      <c r="I31" s="9"/>
    </row>
    <row r="32" spans="1:10" x14ac:dyDescent="0.25">
      <c r="A32" s="9"/>
      <c r="B32" s="9"/>
      <c r="C32" s="9"/>
      <c r="D32" s="9"/>
      <c r="E32" s="9"/>
      <c r="F32" s="9"/>
      <c r="G32" s="9"/>
      <c r="H32" s="9"/>
      <c r="I32" s="9"/>
    </row>
    <row r="33" spans="1:9" x14ac:dyDescent="0.25">
      <c r="A33" s="9"/>
      <c r="B33" s="9"/>
      <c r="C33" s="9"/>
      <c r="D33" s="9"/>
      <c r="E33" s="9"/>
      <c r="F33" s="9"/>
      <c r="G33" s="9"/>
      <c r="H33" s="9"/>
      <c r="I33" s="9"/>
    </row>
    <row r="34" spans="1:9" x14ac:dyDescent="0.25">
      <c r="A34" s="9"/>
      <c r="B34" s="9"/>
      <c r="C34" s="9"/>
      <c r="D34" s="9"/>
      <c r="E34" s="9"/>
      <c r="F34" s="9"/>
      <c r="G34" s="9"/>
      <c r="H34" s="9"/>
      <c r="I34" s="9"/>
    </row>
    <row r="35" spans="1:9" x14ac:dyDescent="0.25">
      <c r="A35" s="9"/>
      <c r="B35" s="9"/>
      <c r="C35" s="9"/>
      <c r="D35" s="9"/>
      <c r="E35" s="9"/>
      <c r="F35" s="9"/>
      <c r="G35" s="9"/>
      <c r="H35" s="9"/>
      <c r="I35" s="9"/>
    </row>
    <row r="36" spans="1:9" x14ac:dyDescent="0.25">
      <c r="A36" s="9" t="s">
        <v>34</v>
      </c>
      <c r="B36" s="9"/>
      <c r="C36" s="9"/>
      <c r="D36" s="9"/>
      <c r="E36" s="9"/>
      <c r="F36" s="9"/>
      <c r="G36" s="9"/>
      <c r="H36" s="9"/>
      <c r="I36" s="9"/>
    </row>
  </sheetData>
  <mergeCells count="8">
    <mergeCell ref="A7:F7"/>
    <mergeCell ref="A31:C31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topLeftCell="A12" workbookViewId="0">
      <selection activeCell="A24" sqref="A24"/>
    </sheetView>
  </sheetViews>
  <sheetFormatPr baseColWidth="10" defaultColWidth="11.42578125" defaultRowHeight="15" x14ac:dyDescent="0.25"/>
  <cols>
    <col min="1" max="1" width="20.85546875" bestFit="1" customWidth="1"/>
    <col min="2" max="2" width="20.85546875" customWidth="1"/>
    <col min="3" max="3" width="29.28515625" customWidth="1"/>
    <col min="4" max="4" width="25.7109375" style="1" bestFit="1" customWidth="1"/>
    <col min="5" max="5" width="14.140625" style="1" customWidth="1"/>
    <col min="6" max="6" width="21" style="1" bestFit="1" customWidth="1"/>
    <col min="7" max="7" width="17.28515625" style="69" customWidth="1"/>
    <col min="8" max="8" width="13.140625" style="1" bestFit="1" customWidth="1"/>
    <col min="9" max="9" width="14.140625" bestFit="1" customWidth="1"/>
  </cols>
  <sheetData>
    <row r="1" spans="1:10" ht="33" x14ac:dyDescent="0.45">
      <c r="A1" s="128" t="s">
        <v>0</v>
      </c>
      <c r="B1" s="128"/>
      <c r="C1" s="128"/>
      <c r="D1" s="128"/>
      <c r="E1" s="128"/>
      <c r="F1" s="128"/>
      <c r="G1" s="128"/>
      <c r="H1"/>
      <c r="I1" s="1"/>
    </row>
    <row r="2" spans="1:10" ht="20.25" x14ac:dyDescent="0.3">
      <c r="A2" s="129" t="s">
        <v>1</v>
      </c>
      <c r="B2" s="129"/>
      <c r="C2" s="129"/>
      <c r="D2" s="129"/>
      <c r="E2" s="129"/>
      <c r="F2" s="129"/>
      <c r="G2" s="129"/>
      <c r="H2"/>
      <c r="I2" s="1"/>
    </row>
    <row r="3" spans="1:10" x14ac:dyDescent="0.25">
      <c r="A3" s="130" t="s">
        <v>2</v>
      </c>
      <c r="B3" s="130"/>
      <c r="C3" s="130"/>
      <c r="D3" s="130"/>
      <c r="E3" s="130"/>
      <c r="F3" s="130"/>
      <c r="G3" s="130"/>
      <c r="H3"/>
      <c r="I3" s="1"/>
    </row>
    <row r="4" spans="1:10" x14ac:dyDescent="0.25">
      <c r="A4" s="130" t="s">
        <v>3</v>
      </c>
      <c r="B4" s="130"/>
      <c r="C4" s="130"/>
      <c r="D4" s="130"/>
      <c r="E4" s="130"/>
      <c r="F4" s="130"/>
      <c r="G4" s="130"/>
      <c r="H4"/>
      <c r="I4" s="1"/>
    </row>
    <row r="5" spans="1:10" x14ac:dyDescent="0.25">
      <c r="A5" s="130" t="s">
        <v>4</v>
      </c>
      <c r="B5" s="130"/>
      <c r="C5" s="130"/>
      <c r="D5" s="130"/>
      <c r="E5" s="130"/>
      <c r="F5" s="130"/>
      <c r="G5" s="130"/>
      <c r="H5"/>
      <c r="I5" s="1"/>
    </row>
    <row r="6" spans="1:10" x14ac:dyDescent="0.25">
      <c r="A6" s="131" t="s">
        <v>5</v>
      </c>
      <c r="B6" s="131"/>
      <c r="C6" s="131"/>
      <c r="D6" s="131"/>
      <c r="E6" s="131"/>
      <c r="F6" s="131"/>
      <c r="G6" s="131"/>
      <c r="H6"/>
      <c r="I6" s="1"/>
    </row>
    <row r="7" spans="1:10" x14ac:dyDescent="0.25">
      <c r="A7" s="126" t="s">
        <v>39</v>
      </c>
      <c r="B7" s="126"/>
      <c r="C7" s="126"/>
      <c r="D7" s="126"/>
      <c r="E7" s="126"/>
      <c r="F7" s="126"/>
      <c r="G7" s="126"/>
      <c r="H7" s="2"/>
      <c r="J7" s="1"/>
    </row>
    <row r="8" spans="1:10" x14ac:dyDescent="0.25">
      <c r="A8" s="3" t="s">
        <v>6</v>
      </c>
      <c r="B8" s="3"/>
      <c r="C8" s="3" t="s">
        <v>7</v>
      </c>
      <c r="D8" s="4" t="s">
        <v>8</v>
      </c>
      <c r="E8" s="5" t="s">
        <v>9</v>
      </c>
      <c r="F8" s="5" t="s">
        <v>10</v>
      </c>
      <c r="G8" s="68">
        <v>102017174</v>
      </c>
      <c r="H8" t="s">
        <v>109</v>
      </c>
    </row>
    <row r="9" spans="1:10" ht="18.75" x14ac:dyDescent="0.3">
      <c r="A9" s="25" t="s">
        <v>136</v>
      </c>
      <c r="B9" s="25">
        <v>101761581</v>
      </c>
      <c r="C9" s="27" t="s">
        <v>13</v>
      </c>
      <c r="D9" s="34">
        <v>53140.7</v>
      </c>
      <c r="E9" s="6"/>
      <c r="F9" s="35">
        <v>53140.7</v>
      </c>
      <c r="G9" s="68">
        <v>101864427</v>
      </c>
      <c r="H9" s="7" t="s">
        <v>12</v>
      </c>
    </row>
    <row r="10" spans="1:10" ht="18.75" x14ac:dyDescent="0.3">
      <c r="A10" s="25" t="s">
        <v>137</v>
      </c>
      <c r="B10" s="25">
        <v>101761581</v>
      </c>
      <c r="C10" s="27" t="s">
        <v>14</v>
      </c>
      <c r="D10" s="34">
        <v>6743.06</v>
      </c>
      <c r="E10" s="6"/>
      <c r="F10" s="35">
        <v>6743.06</v>
      </c>
      <c r="G10" s="68">
        <v>101761581</v>
      </c>
      <c r="H10" s="7" t="s">
        <v>110</v>
      </c>
    </row>
    <row r="11" spans="1:10" ht="18.75" x14ac:dyDescent="0.3">
      <c r="A11" s="25" t="s">
        <v>138</v>
      </c>
      <c r="B11" s="25">
        <v>101761581</v>
      </c>
      <c r="C11" s="27" t="s">
        <v>15</v>
      </c>
      <c r="D11" s="34">
        <v>130031.72</v>
      </c>
      <c r="E11" s="6"/>
      <c r="F11" s="35">
        <v>130031.72</v>
      </c>
      <c r="G11" s="68">
        <v>101761581</v>
      </c>
      <c r="H11" s="7" t="s">
        <v>14</v>
      </c>
    </row>
    <row r="12" spans="1:10" ht="18.75" x14ac:dyDescent="0.3">
      <c r="A12" s="25" t="s">
        <v>134</v>
      </c>
      <c r="B12" s="25">
        <v>102017174</v>
      </c>
      <c r="C12" s="25" t="s">
        <v>11</v>
      </c>
      <c r="D12" s="34">
        <v>83376.61</v>
      </c>
      <c r="E12" s="6"/>
      <c r="F12" s="35">
        <v>83376.61</v>
      </c>
      <c r="G12" s="68">
        <v>101761581</v>
      </c>
      <c r="H12" t="s">
        <v>111</v>
      </c>
    </row>
    <row r="13" spans="1:10" ht="18.75" x14ac:dyDescent="0.3">
      <c r="A13" s="25" t="s">
        <v>135</v>
      </c>
      <c r="B13" s="25">
        <v>101864427</v>
      </c>
      <c r="C13" s="27" t="s">
        <v>12</v>
      </c>
      <c r="D13" s="34">
        <v>404678.83</v>
      </c>
      <c r="E13" s="6"/>
      <c r="F13" s="35">
        <v>404678.83</v>
      </c>
      <c r="G13" s="68">
        <v>130296235</v>
      </c>
      <c r="H13" t="s">
        <v>112</v>
      </c>
    </row>
    <row r="14" spans="1:10" ht="18.75" x14ac:dyDescent="0.3">
      <c r="A14" s="25" t="s">
        <v>141</v>
      </c>
      <c r="B14" s="25">
        <v>130296235</v>
      </c>
      <c r="C14" s="27" t="s">
        <v>18</v>
      </c>
      <c r="D14" s="34">
        <v>43770.8</v>
      </c>
      <c r="E14" s="28"/>
      <c r="F14" s="26">
        <v>43770.8</v>
      </c>
      <c r="G14" s="68">
        <v>101687827</v>
      </c>
      <c r="H14" t="s">
        <v>20</v>
      </c>
    </row>
    <row r="15" spans="1:10" ht="18.75" x14ac:dyDescent="0.3">
      <c r="A15" s="25" t="s">
        <v>143</v>
      </c>
      <c r="B15" s="25">
        <v>101687827</v>
      </c>
      <c r="C15" s="27" t="s">
        <v>20</v>
      </c>
      <c r="D15" s="34">
        <v>6619.63</v>
      </c>
      <c r="E15" s="28"/>
      <c r="F15" s="26">
        <v>6619.63</v>
      </c>
      <c r="G15" s="68">
        <v>101064129</v>
      </c>
      <c r="H15" t="s">
        <v>24</v>
      </c>
    </row>
    <row r="16" spans="1:10" ht="18.75" x14ac:dyDescent="0.3">
      <c r="A16" s="25" t="s">
        <v>144</v>
      </c>
      <c r="B16" s="25">
        <v>130296235</v>
      </c>
      <c r="C16" s="27" t="s">
        <v>21</v>
      </c>
      <c r="D16" s="34">
        <f>F16+E16</f>
        <v>372255.06</v>
      </c>
      <c r="E16" s="28">
        <v>6159.88</v>
      </c>
      <c r="F16" s="26">
        <v>366095.18</v>
      </c>
      <c r="G16" s="68">
        <v>124032423</v>
      </c>
      <c r="H16" t="s">
        <v>113</v>
      </c>
    </row>
    <row r="17" spans="1:8" ht="18.75" x14ac:dyDescent="0.3">
      <c r="A17" s="25" t="s">
        <v>145</v>
      </c>
      <c r="B17" s="25">
        <v>130058008</v>
      </c>
      <c r="C17" s="27" t="s">
        <v>22</v>
      </c>
      <c r="D17" s="34">
        <v>85258.31</v>
      </c>
      <c r="E17" s="28"/>
      <c r="F17" s="26">
        <v>85258.31</v>
      </c>
      <c r="G17" s="70">
        <v>101886481</v>
      </c>
      <c r="H17" t="s">
        <v>16</v>
      </c>
    </row>
    <row r="18" spans="1:8" ht="18.75" x14ac:dyDescent="0.3">
      <c r="A18" s="25" t="s">
        <v>146</v>
      </c>
      <c r="B18" s="25">
        <v>430089885</v>
      </c>
      <c r="C18" s="27" t="s">
        <v>23</v>
      </c>
      <c r="D18" s="34">
        <v>79962.77</v>
      </c>
      <c r="E18" s="28"/>
      <c r="F18" s="26">
        <v>79962.77</v>
      </c>
      <c r="G18" s="68">
        <v>430089885</v>
      </c>
      <c r="H18" t="s">
        <v>23</v>
      </c>
    </row>
    <row r="19" spans="1:8" ht="18.75" x14ac:dyDescent="0.3">
      <c r="A19" s="25" t="s">
        <v>147</v>
      </c>
      <c r="B19" s="25">
        <v>101064129</v>
      </c>
      <c r="C19" s="27" t="s">
        <v>24</v>
      </c>
      <c r="D19" s="34">
        <v>22435.77</v>
      </c>
      <c r="E19" s="28"/>
      <c r="F19" s="26">
        <v>22435.77</v>
      </c>
      <c r="G19" s="68">
        <v>130058008</v>
      </c>
      <c r="H19" t="s">
        <v>114</v>
      </c>
    </row>
    <row r="20" spans="1:8" ht="18.75" x14ac:dyDescent="0.3">
      <c r="A20" s="25" t="s">
        <v>148</v>
      </c>
      <c r="B20" s="25">
        <v>101788682</v>
      </c>
      <c r="C20" s="27" t="s">
        <v>25</v>
      </c>
      <c r="D20" s="34">
        <v>2821.24</v>
      </c>
      <c r="E20" s="28"/>
      <c r="F20" s="26">
        <v>2821.24</v>
      </c>
      <c r="G20" s="68">
        <v>101875887</v>
      </c>
      <c r="H20" t="s">
        <v>19</v>
      </c>
    </row>
    <row r="21" spans="1:8" ht="18.75" x14ac:dyDescent="0.3">
      <c r="A21" s="25" t="s">
        <v>149</v>
      </c>
      <c r="B21" s="25">
        <v>101024097</v>
      </c>
      <c r="C21" s="27" t="s">
        <v>26</v>
      </c>
      <c r="D21" s="34">
        <v>136798.59</v>
      </c>
      <c r="E21" s="28"/>
      <c r="F21" s="26">
        <v>136798.59</v>
      </c>
      <c r="G21" s="68">
        <v>130296235</v>
      </c>
      <c r="H21" t="s">
        <v>115</v>
      </c>
    </row>
    <row r="22" spans="1:8" ht="18.75" x14ac:dyDescent="0.3">
      <c r="A22" s="25" t="s">
        <v>140</v>
      </c>
      <c r="B22" s="25">
        <v>124032423</v>
      </c>
      <c r="C22" s="27" t="s">
        <v>17</v>
      </c>
      <c r="D22" s="34">
        <f>F22+E22</f>
        <v>81556.77</v>
      </c>
      <c r="E22" s="28">
        <v>714.6</v>
      </c>
      <c r="F22" s="36">
        <v>80842.17</v>
      </c>
      <c r="G22" s="68">
        <v>101024097</v>
      </c>
      <c r="H22" t="s">
        <v>26</v>
      </c>
    </row>
    <row r="23" spans="1:8" ht="18.75" x14ac:dyDescent="0.3">
      <c r="A23" s="25" t="s">
        <v>142</v>
      </c>
      <c r="B23" s="25">
        <v>101875887</v>
      </c>
      <c r="C23" s="27" t="s">
        <v>19</v>
      </c>
      <c r="D23" s="34">
        <v>162551.53</v>
      </c>
      <c r="E23" s="28"/>
      <c r="F23" s="26">
        <v>162551.53</v>
      </c>
      <c r="G23" s="68">
        <v>101788682</v>
      </c>
      <c r="H23" t="s">
        <v>116</v>
      </c>
    </row>
    <row r="24" spans="1:8" ht="18.75" x14ac:dyDescent="0.3">
      <c r="A24" s="25" t="s">
        <v>139</v>
      </c>
      <c r="B24" s="25">
        <v>101886481</v>
      </c>
      <c r="C24" s="27" t="s">
        <v>16</v>
      </c>
      <c r="D24" s="34">
        <v>73918.679999999993</v>
      </c>
      <c r="E24" s="6"/>
      <c r="F24" s="35">
        <v>73918.679999999993</v>
      </c>
      <c r="G24" s="68">
        <v>401052662</v>
      </c>
      <c r="H24" t="s">
        <v>27</v>
      </c>
    </row>
    <row r="25" spans="1:8" ht="18.75" x14ac:dyDescent="0.3">
      <c r="A25" s="25" t="s">
        <v>150</v>
      </c>
      <c r="B25" s="25">
        <v>401052662</v>
      </c>
      <c r="C25" s="27" t="s">
        <v>27</v>
      </c>
      <c r="D25" s="34">
        <v>10657.5</v>
      </c>
      <c r="E25" s="28"/>
      <c r="F25" s="26">
        <v>10657.5</v>
      </c>
      <c r="G25" s="68">
        <v>401516454</v>
      </c>
      <c r="H25" t="s">
        <v>31</v>
      </c>
    </row>
    <row r="26" spans="1:8" ht="18.75" x14ac:dyDescent="0.3">
      <c r="A26" s="25" t="s">
        <v>30</v>
      </c>
      <c r="B26" s="25">
        <v>401516454</v>
      </c>
      <c r="C26" s="27" t="s">
        <v>31</v>
      </c>
      <c r="D26" s="34">
        <v>2645113.9</v>
      </c>
      <c r="E26" s="28">
        <v>11137</v>
      </c>
      <c r="F26" s="26">
        <v>2645113.9</v>
      </c>
      <c r="G26" s="68"/>
      <c r="H26"/>
    </row>
    <row r="27" spans="1:8" ht="18.75" x14ac:dyDescent="0.3">
      <c r="A27" s="25" t="s">
        <v>28</v>
      </c>
      <c r="B27" s="25">
        <v>401516454</v>
      </c>
      <c r="C27" s="27" t="s">
        <v>29</v>
      </c>
      <c r="D27" s="34">
        <v>13000</v>
      </c>
      <c r="E27" s="28"/>
      <c r="F27" s="26">
        <v>13000</v>
      </c>
      <c r="G27" s="68"/>
      <c r="H27"/>
    </row>
    <row r="28" spans="1:8" ht="18.75" x14ac:dyDescent="0.3">
      <c r="A28" s="29" t="s">
        <v>32</v>
      </c>
      <c r="B28" s="29"/>
      <c r="C28" s="6" t="s">
        <v>32</v>
      </c>
      <c r="D28" s="30">
        <v>3228340.75</v>
      </c>
      <c r="E28" s="31">
        <v>81431.03</v>
      </c>
      <c r="F28" s="32">
        <f>D28-E28</f>
        <v>3146909.72</v>
      </c>
      <c r="G28" s="68"/>
      <c r="H28"/>
    </row>
    <row r="29" spans="1:8" ht="18.75" x14ac:dyDescent="0.3">
      <c r="A29" s="127" t="s">
        <v>33</v>
      </c>
      <c r="B29" s="127"/>
      <c r="C29" s="127"/>
      <c r="D29" s="8">
        <f>SUM(D9:D28)</f>
        <v>7643032.2199999997</v>
      </c>
      <c r="E29" s="8">
        <f>SUM(E15:E28)</f>
        <v>99442.51</v>
      </c>
      <c r="F29" s="8">
        <f>SUM(F9:F28)</f>
        <v>7554726.7100000009</v>
      </c>
      <c r="G29" s="68"/>
      <c r="H29"/>
    </row>
    <row r="34" spans="1:1" x14ac:dyDescent="0.25">
      <c r="A34" t="s">
        <v>34</v>
      </c>
    </row>
  </sheetData>
  <sortState xmlns:xlrd2="http://schemas.microsoft.com/office/spreadsheetml/2017/richdata2" ref="A9:F27">
    <sortCondition ref="A9:A27"/>
  </sortState>
  <mergeCells count="8">
    <mergeCell ref="A7:G7"/>
    <mergeCell ref="A29:C29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topLeftCell="A7" zoomScaleNormal="100" workbookViewId="0">
      <selection activeCell="D26" sqref="D26"/>
    </sheetView>
  </sheetViews>
  <sheetFormatPr baseColWidth="10" defaultColWidth="11.42578125" defaultRowHeight="15" x14ac:dyDescent="0.25"/>
  <cols>
    <col min="1" max="1" width="20.85546875" bestFit="1" customWidth="1"/>
    <col min="2" max="2" width="20.85546875" customWidth="1"/>
    <col min="3" max="3" width="29.28515625" customWidth="1"/>
    <col min="4" max="4" width="25.7109375" style="1" bestFit="1" customWidth="1"/>
    <col min="5" max="5" width="14.42578125" style="1" bestFit="1" customWidth="1"/>
    <col min="6" max="6" width="18.140625" style="1" bestFit="1" customWidth="1"/>
    <col min="7" max="7" width="17.28515625" style="69" customWidth="1"/>
    <col min="8" max="8" width="13.140625" style="1" bestFit="1" customWidth="1"/>
    <col min="9" max="9" width="14.140625" bestFit="1" customWidth="1"/>
  </cols>
  <sheetData>
    <row r="1" spans="1:10" ht="33" x14ac:dyDescent="0.45">
      <c r="A1" s="128" t="s">
        <v>0</v>
      </c>
      <c r="B1" s="128"/>
      <c r="C1" s="128"/>
      <c r="D1" s="128"/>
      <c r="E1" s="128"/>
      <c r="F1" s="128"/>
      <c r="G1" s="128"/>
      <c r="H1"/>
      <c r="I1" s="1"/>
    </row>
    <row r="2" spans="1:10" ht="20.25" x14ac:dyDescent="0.3">
      <c r="A2" s="129" t="s">
        <v>1</v>
      </c>
      <c r="B2" s="129"/>
      <c r="C2" s="129"/>
      <c r="D2" s="129"/>
      <c r="E2" s="129"/>
      <c r="F2" s="129"/>
      <c r="G2" s="129"/>
      <c r="H2"/>
      <c r="I2" s="1"/>
    </row>
    <row r="3" spans="1:10" x14ac:dyDescent="0.25">
      <c r="A3" s="130" t="s">
        <v>2</v>
      </c>
      <c r="B3" s="130"/>
      <c r="C3" s="130"/>
      <c r="D3" s="130"/>
      <c r="E3" s="130"/>
      <c r="F3" s="130"/>
      <c r="G3" s="130"/>
      <c r="H3"/>
      <c r="I3" s="1"/>
    </row>
    <row r="4" spans="1:10" x14ac:dyDescent="0.25">
      <c r="A4" s="130" t="s">
        <v>3</v>
      </c>
      <c r="B4" s="130"/>
      <c r="C4" s="130"/>
      <c r="D4" s="130"/>
      <c r="E4" s="130"/>
      <c r="F4" s="130"/>
      <c r="G4" s="130"/>
      <c r="H4"/>
      <c r="I4" s="1"/>
    </row>
    <row r="5" spans="1:10" x14ac:dyDescent="0.25">
      <c r="A5" s="130" t="s">
        <v>4</v>
      </c>
      <c r="B5" s="130"/>
      <c r="C5" s="130"/>
      <c r="D5" s="130"/>
      <c r="E5" s="130"/>
      <c r="F5" s="130"/>
      <c r="G5" s="130"/>
      <c r="H5"/>
      <c r="I5" s="1"/>
    </row>
    <row r="6" spans="1:10" x14ac:dyDescent="0.25">
      <c r="A6" s="131" t="s">
        <v>5</v>
      </c>
      <c r="B6" s="131"/>
      <c r="C6" s="131"/>
      <c r="D6" s="131"/>
      <c r="E6" s="131"/>
      <c r="F6" s="131"/>
      <c r="G6" s="131"/>
      <c r="H6"/>
      <c r="I6" s="1"/>
    </row>
    <row r="7" spans="1:10" x14ac:dyDescent="0.25">
      <c r="A7" s="126" t="s">
        <v>43</v>
      </c>
      <c r="B7" s="126"/>
      <c r="C7" s="126"/>
      <c r="D7" s="126"/>
      <c r="E7" s="126"/>
      <c r="F7" s="126"/>
      <c r="G7" s="126"/>
      <c r="H7" s="67"/>
      <c r="J7" s="1"/>
    </row>
    <row r="8" spans="1:10" x14ac:dyDescent="0.25">
      <c r="A8" s="22" t="s">
        <v>6</v>
      </c>
      <c r="B8" s="22"/>
      <c r="C8" s="22" t="s">
        <v>7</v>
      </c>
      <c r="D8" s="23" t="s">
        <v>8</v>
      </c>
      <c r="E8" s="24" t="s">
        <v>9</v>
      </c>
      <c r="F8" s="24" t="s">
        <v>10</v>
      </c>
      <c r="G8" s="68">
        <v>102017174</v>
      </c>
      <c r="H8" t="s">
        <v>109</v>
      </c>
    </row>
    <row r="9" spans="1:10" ht="18.75" x14ac:dyDescent="0.3">
      <c r="A9" s="25" t="s">
        <v>151</v>
      </c>
      <c r="B9" s="25">
        <v>102017174</v>
      </c>
      <c r="C9" s="25" t="s">
        <v>11</v>
      </c>
      <c r="D9" s="26">
        <v>77617.279999999999</v>
      </c>
      <c r="E9" s="6"/>
      <c r="F9" s="26">
        <v>77617.279999999999</v>
      </c>
      <c r="G9" s="68">
        <v>101864427</v>
      </c>
      <c r="H9" s="7" t="s">
        <v>12</v>
      </c>
    </row>
    <row r="10" spans="1:10" ht="18.75" x14ac:dyDescent="0.3">
      <c r="A10" s="25" t="s">
        <v>152</v>
      </c>
      <c r="B10" s="25">
        <v>101864427</v>
      </c>
      <c r="C10" s="27" t="s">
        <v>12</v>
      </c>
      <c r="D10" s="26">
        <v>432554.37</v>
      </c>
      <c r="E10" s="6"/>
      <c r="F10" s="26">
        <v>432554.37</v>
      </c>
      <c r="G10" s="68">
        <v>101761581</v>
      </c>
      <c r="H10" s="7" t="s">
        <v>110</v>
      </c>
    </row>
    <row r="11" spans="1:10" ht="18.75" x14ac:dyDescent="0.3">
      <c r="A11" s="25" t="s">
        <v>153</v>
      </c>
      <c r="B11" s="25">
        <v>101761581</v>
      </c>
      <c r="C11" s="27" t="s">
        <v>13</v>
      </c>
      <c r="D11" s="26">
        <v>54068.800000000003</v>
      </c>
      <c r="E11" s="6"/>
      <c r="F11" s="26">
        <v>54068.800000000003</v>
      </c>
      <c r="G11" s="68">
        <v>101761581</v>
      </c>
      <c r="H11" s="7" t="s">
        <v>14</v>
      </c>
    </row>
    <row r="12" spans="1:10" ht="18.75" x14ac:dyDescent="0.3">
      <c r="A12" s="25" t="s">
        <v>154</v>
      </c>
      <c r="B12" s="25">
        <v>101761581</v>
      </c>
      <c r="C12" s="27" t="s">
        <v>14</v>
      </c>
      <c r="D12" s="26">
        <v>12721.58</v>
      </c>
      <c r="E12" s="6"/>
      <c r="F12" s="26">
        <v>12721.58</v>
      </c>
      <c r="G12" s="68">
        <v>101761581</v>
      </c>
      <c r="H12" t="s">
        <v>111</v>
      </c>
    </row>
    <row r="13" spans="1:10" ht="18.75" x14ac:dyDescent="0.3">
      <c r="A13" s="25" t="s">
        <v>155</v>
      </c>
      <c r="B13" s="25">
        <v>101761581</v>
      </c>
      <c r="C13" s="27" t="s">
        <v>15</v>
      </c>
      <c r="D13" s="26">
        <v>382067.66</v>
      </c>
      <c r="E13" s="6"/>
      <c r="F13" s="26">
        <v>382067.66</v>
      </c>
      <c r="G13" s="68">
        <v>130296235</v>
      </c>
      <c r="H13" t="s">
        <v>112</v>
      </c>
    </row>
    <row r="14" spans="1:10" ht="18.75" x14ac:dyDescent="0.3">
      <c r="A14" s="25" t="s">
        <v>156</v>
      </c>
      <c r="B14" s="25">
        <v>124032423</v>
      </c>
      <c r="C14" s="27" t="s">
        <v>17</v>
      </c>
      <c r="D14" s="26">
        <v>32922.74</v>
      </c>
      <c r="E14" s="28"/>
      <c r="F14" s="26">
        <v>32922.74</v>
      </c>
      <c r="G14" s="68">
        <v>101687827</v>
      </c>
      <c r="H14" t="s">
        <v>20</v>
      </c>
    </row>
    <row r="15" spans="1:10" ht="18.75" x14ac:dyDescent="0.3">
      <c r="A15" s="25" t="s">
        <v>157</v>
      </c>
      <c r="B15" s="25">
        <v>130296235</v>
      </c>
      <c r="C15" s="27" t="s">
        <v>18</v>
      </c>
      <c r="D15" s="26">
        <v>55860.67</v>
      </c>
      <c r="E15" s="28"/>
      <c r="F15" s="26">
        <v>55860.67</v>
      </c>
      <c r="G15" s="68">
        <v>101064129</v>
      </c>
      <c r="H15" t="s">
        <v>24</v>
      </c>
    </row>
    <row r="16" spans="1:10" ht="18.75" x14ac:dyDescent="0.3">
      <c r="A16" s="25" t="s">
        <v>158</v>
      </c>
      <c r="B16" s="25">
        <v>101875887</v>
      </c>
      <c r="C16" s="27" t="s">
        <v>19</v>
      </c>
      <c r="D16" s="26">
        <v>37897.65</v>
      </c>
      <c r="E16" s="28"/>
      <c r="F16" s="26">
        <v>37897.65</v>
      </c>
      <c r="G16" s="68">
        <v>124032423</v>
      </c>
      <c r="H16" t="s">
        <v>113</v>
      </c>
    </row>
    <row r="17" spans="1:8" ht="18.75" x14ac:dyDescent="0.3">
      <c r="A17" s="25" t="s">
        <v>159</v>
      </c>
      <c r="B17" s="25">
        <v>101687827</v>
      </c>
      <c r="C17" s="27" t="s">
        <v>20</v>
      </c>
      <c r="D17" s="26">
        <v>12257.4</v>
      </c>
      <c r="E17" s="28"/>
      <c r="F17" s="26">
        <v>12257.4</v>
      </c>
      <c r="G17" s="70">
        <v>101886481</v>
      </c>
      <c r="H17" t="s">
        <v>16</v>
      </c>
    </row>
    <row r="18" spans="1:8" ht="18.75" x14ac:dyDescent="0.3">
      <c r="A18" s="25" t="s">
        <v>160</v>
      </c>
      <c r="B18" s="25">
        <v>130296235</v>
      </c>
      <c r="C18" s="27" t="s">
        <v>21</v>
      </c>
      <c r="D18" s="26">
        <v>395799.78</v>
      </c>
      <c r="E18" s="28"/>
      <c r="F18" s="26">
        <v>395799.78</v>
      </c>
      <c r="G18" s="68">
        <v>430089885</v>
      </c>
      <c r="H18" t="s">
        <v>23</v>
      </c>
    </row>
    <row r="19" spans="1:8" ht="18.75" x14ac:dyDescent="0.3">
      <c r="A19" s="25" t="s">
        <v>161</v>
      </c>
      <c r="B19" s="25">
        <v>130058008</v>
      </c>
      <c r="C19" s="27" t="s">
        <v>22</v>
      </c>
      <c r="D19" s="26">
        <v>119188.62</v>
      </c>
      <c r="E19" s="28"/>
      <c r="F19" s="26">
        <v>119188.62</v>
      </c>
      <c r="G19" s="68">
        <v>130058008</v>
      </c>
      <c r="H19" t="s">
        <v>114</v>
      </c>
    </row>
    <row r="20" spans="1:8" ht="18.75" x14ac:dyDescent="0.3">
      <c r="A20" s="25" t="s">
        <v>165</v>
      </c>
      <c r="B20" s="25">
        <v>101024097</v>
      </c>
      <c r="C20" s="27" t="s">
        <v>26</v>
      </c>
      <c r="D20" s="26">
        <v>83229.31</v>
      </c>
      <c r="E20" s="28"/>
      <c r="F20" s="26">
        <v>83229.31</v>
      </c>
      <c r="G20" s="68">
        <v>101875887</v>
      </c>
      <c r="H20" t="s">
        <v>19</v>
      </c>
    </row>
    <row r="21" spans="1:8" ht="18.75" x14ac:dyDescent="0.3">
      <c r="A21" s="25" t="s">
        <v>163</v>
      </c>
      <c r="B21" s="25">
        <v>101064129</v>
      </c>
      <c r="C21" s="27" t="s">
        <v>24</v>
      </c>
      <c r="D21" s="26">
        <v>61608.05</v>
      </c>
      <c r="E21" s="28"/>
      <c r="F21" s="26">
        <v>61608.05</v>
      </c>
      <c r="G21" s="68">
        <v>130296235</v>
      </c>
      <c r="H21" t="s">
        <v>115</v>
      </c>
    </row>
    <row r="22" spans="1:8" ht="18.75" x14ac:dyDescent="0.3">
      <c r="A22" s="25" t="s">
        <v>164</v>
      </c>
      <c r="B22" s="25">
        <v>101788682</v>
      </c>
      <c r="C22" s="27" t="s">
        <v>25</v>
      </c>
      <c r="D22" s="26">
        <v>1604</v>
      </c>
      <c r="E22" s="28"/>
      <c r="F22" s="26">
        <v>1604</v>
      </c>
      <c r="G22" s="68">
        <v>101024097</v>
      </c>
      <c r="H22" t="s">
        <v>26</v>
      </c>
    </row>
    <row r="23" spans="1:8" ht="18.75" x14ac:dyDescent="0.3">
      <c r="A23" s="25" t="s">
        <v>162</v>
      </c>
      <c r="B23" s="25">
        <v>430089885</v>
      </c>
      <c r="C23" s="27" t="s">
        <v>23</v>
      </c>
      <c r="D23" s="26">
        <v>61346.15</v>
      </c>
      <c r="E23" s="28"/>
      <c r="F23" s="26">
        <v>61346.15</v>
      </c>
      <c r="G23" s="68">
        <v>101788682</v>
      </c>
      <c r="H23" t="s">
        <v>116</v>
      </c>
    </row>
    <row r="24" spans="1:8" ht="18.75" x14ac:dyDescent="0.3">
      <c r="A24" s="83" t="s">
        <v>40</v>
      </c>
      <c r="B24" s="83">
        <v>401052662</v>
      </c>
      <c r="C24" s="84" t="s">
        <v>27</v>
      </c>
      <c r="D24" s="85">
        <v>27941.11</v>
      </c>
      <c r="E24" s="86"/>
      <c r="F24" s="85">
        <v>27941.11</v>
      </c>
      <c r="G24" s="68">
        <v>401052662</v>
      </c>
      <c r="H24" t="s">
        <v>27</v>
      </c>
    </row>
    <row r="25" spans="1:8" ht="18.75" x14ac:dyDescent="0.3">
      <c r="A25" s="83" t="s">
        <v>40</v>
      </c>
      <c r="B25" s="83">
        <v>401516454</v>
      </c>
      <c r="C25" s="84" t="s">
        <v>29</v>
      </c>
      <c r="D25" s="85">
        <v>6959.16</v>
      </c>
      <c r="E25" s="86"/>
      <c r="F25" s="85">
        <v>6959.16</v>
      </c>
      <c r="G25" s="68">
        <v>401516454</v>
      </c>
      <c r="H25" t="s">
        <v>31</v>
      </c>
    </row>
    <row r="26" spans="1:8" ht="18.75" x14ac:dyDescent="0.3">
      <c r="A26" s="25" t="s">
        <v>41</v>
      </c>
      <c r="B26" s="25">
        <v>401516454</v>
      </c>
      <c r="C26" s="27" t="s">
        <v>31</v>
      </c>
      <c r="D26" s="26">
        <v>1939523.55</v>
      </c>
      <c r="E26" s="28"/>
      <c r="F26" s="26">
        <v>1939523.55</v>
      </c>
      <c r="G26" s="68"/>
      <c r="H26"/>
    </row>
    <row r="27" spans="1:8" ht="18.75" x14ac:dyDescent="0.3">
      <c r="A27" s="29" t="s">
        <v>32</v>
      </c>
      <c r="B27" s="29"/>
      <c r="C27" s="6" t="s">
        <v>32</v>
      </c>
      <c r="D27" s="30">
        <f>F27+E27</f>
        <v>3267715.24</v>
      </c>
      <c r="E27" s="31">
        <v>68054</v>
      </c>
      <c r="F27" s="32">
        <v>3199661.24</v>
      </c>
      <c r="G27" s="68"/>
      <c r="H27"/>
    </row>
    <row r="28" spans="1:8" ht="18.75" x14ac:dyDescent="0.3">
      <c r="A28" s="132" t="s">
        <v>33</v>
      </c>
      <c r="B28" s="132"/>
      <c r="C28" s="132"/>
      <c r="D28" s="33">
        <f>SUM(D9:D27)</f>
        <v>7062883.1200000001</v>
      </c>
      <c r="E28" s="33">
        <f>SUM(E9:E27)</f>
        <v>68054</v>
      </c>
      <c r="F28" s="33">
        <f>SUM(F9:F27)</f>
        <v>6994829.1200000001</v>
      </c>
      <c r="G28" s="68"/>
      <c r="H28"/>
    </row>
    <row r="29" spans="1:8" x14ac:dyDescent="0.25">
      <c r="G29" s="68"/>
      <c r="H29"/>
    </row>
    <row r="30" spans="1:8" x14ac:dyDescent="0.25">
      <c r="D30" s="1">
        <f>+D28-'MAYO 2025'!D30</f>
        <v>-401244.19000000134</v>
      </c>
      <c r="F30" s="37"/>
    </row>
    <row r="33" spans="1:1" x14ac:dyDescent="0.25">
      <c r="A33" t="s">
        <v>34</v>
      </c>
    </row>
  </sheetData>
  <sortState xmlns:xlrd2="http://schemas.microsoft.com/office/spreadsheetml/2017/richdata2" ref="A9:F26">
    <sortCondition ref="A9:A26"/>
  </sortState>
  <mergeCells count="8">
    <mergeCell ref="A7:G7"/>
    <mergeCell ref="A28:C28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scale="83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"/>
  <sheetViews>
    <sheetView view="pageBreakPreview" topLeftCell="A7" zoomScale="96" zoomScaleNormal="100" zoomScaleSheetLayoutView="96" workbookViewId="0">
      <selection activeCell="C23" sqref="C23"/>
    </sheetView>
  </sheetViews>
  <sheetFormatPr baseColWidth="10" defaultColWidth="11.42578125" defaultRowHeight="15" x14ac:dyDescent="0.25"/>
  <cols>
    <col min="1" max="1" width="23.140625" bestFit="1" customWidth="1"/>
    <col min="2" max="2" width="23.140625" customWidth="1"/>
    <col min="3" max="3" width="28" bestFit="1" customWidth="1"/>
    <col min="4" max="4" width="25.7109375" style="1" bestFit="1" customWidth="1"/>
    <col min="5" max="5" width="15.5703125" style="1" customWidth="1"/>
    <col min="6" max="6" width="18.140625" style="1" bestFit="1" customWidth="1"/>
    <col min="7" max="7" width="17.28515625" style="69" customWidth="1"/>
    <col min="8" max="8" width="13.140625" style="1" bestFit="1" customWidth="1"/>
    <col min="9" max="9" width="14.140625" bestFit="1" customWidth="1"/>
  </cols>
  <sheetData>
    <row r="1" spans="1:10" ht="33" x14ac:dyDescent="0.45">
      <c r="A1" s="128" t="s">
        <v>0</v>
      </c>
      <c r="B1" s="128"/>
      <c r="C1" s="128"/>
      <c r="D1" s="128"/>
      <c r="E1" s="128"/>
      <c r="F1" s="128"/>
      <c r="G1" s="128"/>
      <c r="H1"/>
      <c r="I1" s="1"/>
    </row>
    <row r="2" spans="1:10" ht="20.25" x14ac:dyDescent="0.3">
      <c r="A2" s="129" t="s">
        <v>1</v>
      </c>
      <c r="B2" s="129"/>
      <c r="C2" s="129"/>
      <c r="D2" s="129"/>
      <c r="E2" s="129"/>
      <c r="F2" s="129"/>
      <c r="G2" s="129"/>
      <c r="H2"/>
      <c r="I2" s="1"/>
    </row>
    <row r="3" spans="1:10" ht="18.75" x14ac:dyDescent="0.3">
      <c r="A3" s="135" t="s">
        <v>2</v>
      </c>
      <c r="B3" s="135"/>
      <c r="C3" s="135"/>
      <c r="D3" s="135"/>
      <c r="E3" s="135"/>
      <c r="F3" s="135"/>
      <c r="G3" s="135"/>
      <c r="H3"/>
      <c r="I3" s="1"/>
    </row>
    <row r="4" spans="1:10" ht="18.75" x14ac:dyDescent="0.3">
      <c r="A4" s="135" t="s">
        <v>3</v>
      </c>
      <c r="B4" s="135"/>
      <c r="C4" s="135"/>
      <c r="D4" s="135"/>
      <c r="E4" s="135"/>
      <c r="F4" s="135"/>
      <c r="G4" s="135"/>
      <c r="H4"/>
      <c r="I4" s="1"/>
    </row>
    <row r="5" spans="1:10" ht="18.75" x14ac:dyDescent="0.3">
      <c r="A5" s="135" t="s">
        <v>4</v>
      </c>
      <c r="B5" s="135"/>
      <c r="C5" s="135"/>
      <c r="D5" s="135"/>
      <c r="E5" s="135"/>
      <c r="F5" s="135"/>
      <c r="G5" s="135"/>
      <c r="H5"/>
      <c r="I5" s="1"/>
    </row>
    <row r="6" spans="1:10" ht="18.75" x14ac:dyDescent="0.3">
      <c r="A6" s="135" t="s">
        <v>5</v>
      </c>
      <c r="B6" s="135"/>
      <c r="C6" s="135"/>
      <c r="D6" s="135"/>
      <c r="E6" s="135"/>
      <c r="F6" s="135"/>
      <c r="G6" s="135"/>
      <c r="H6"/>
      <c r="I6" s="1"/>
    </row>
    <row r="7" spans="1:10" ht="18.75" x14ac:dyDescent="0.25">
      <c r="A7" s="133" t="s">
        <v>48</v>
      </c>
      <c r="B7" s="133"/>
      <c r="C7" s="133"/>
      <c r="D7" s="133"/>
      <c r="E7" s="133"/>
      <c r="F7" s="133"/>
      <c r="G7" s="133"/>
      <c r="H7" s="2"/>
      <c r="J7" s="1"/>
    </row>
    <row r="8" spans="1:10" x14ac:dyDescent="0.25">
      <c r="A8" s="2"/>
      <c r="B8" s="67"/>
      <c r="C8" s="2"/>
      <c r="D8" s="2"/>
      <c r="E8" s="2"/>
      <c r="F8" s="2"/>
      <c r="G8" s="71"/>
      <c r="H8" s="2"/>
      <c r="J8" s="1"/>
    </row>
    <row r="9" spans="1:10" ht="18.75" x14ac:dyDescent="0.3">
      <c r="A9" s="38" t="s">
        <v>6</v>
      </c>
      <c r="B9" s="38"/>
      <c r="C9" s="38" t="s">
        <v>7</v>
      </c>
      <c r="D9" s="39" t="s">
        <v>8</v>
      </c>
      <c r="E9" s="39" t="s">
        <v>9</v>
      </c>
      <c r="F9" s="39" t="s">
        <v>10</v>
      </c>
      <c r="G9" s="72">
        <v>102017174</v>
      </c>
      <c r="H9" t="s">
        <v>109</v>
      </c>
    </row>
    <row r="10" spans="1:10" ht="18.75" x14ac:dyDescent="0.3">
      <c r="A10" s="25" t="s">
        <v>166</v>
      </c>
      <c r="B10" s="25">
        <v>102017174</v>
      </c>
      <c r="C10" s="25" t="s">
        <v>11</v>
      </c>
      <c r="D10" s="41">
        <v>29761.8</v>
      </c>
      <c r="E10" s="27"/>
      <c r="F10" s="41">
        <v>29761.8</v>
      </c>
      <c r="G10" s="72">
        <v>101864427</v>
      </c>
      <c r="H10" s="7" t="s">
        <v>12</v>
      </c>
    </row>
    <row r="11" spans="1:10" ht="18.75" x14ac:dyDescent="0.3">
      <c r="A11" s="25" t="s">
        <v>167</v>
      </c>
      <c r="B11" s="25">
        <v>101864427</v>
      </c>
      <c r="C11" s="27" t="s">
        <v>12</v>
      </c>
      <c r="D11" s="41">
        <v>317521.34000000003</v>
      </c>
      <c r="E11" s="27"/>
      <c r="F11" s="41">
        <v>317521.34000000003</v>
      </c>
      <c r="G11" s="72">
        <v>101761581</v>
      </c>
      <c r="H11" s="7" t="s">
        <v>110</v>
      </c>
    </row>
    <row r="12" spans="1:10" ht="18.75" x14ac:dyDescent="0.3">
      <c r="A12" s="25" t="s">
        <v>168</v>
      </c>
      <c r="B12" s="25">
        <v>101761581</v>
      </c>
      <c r="C12" s="27" t="s">
        <v>13</v>
      </c>
      <c r="D12" s="41">
        <v>47703.199999999997</v>
      </c>
      <c r="E12" s="27"/>
      <c r="F12" s="41">
        <v>47703.199999999997</v>
      </c>
      <c r="G12" s="72">
        <v>101761581</v>
      </c>
      <c r="H12" s="7" t="s">
        <v>14</v>
      </c>
    </row>
    <row r="13" spans="1:10" ht="18.75" x14ac:dyDescent="0.3">
      <c r="A13" s="25" t="s">
        <v>169</v>
      </c>
      <c r="B13" s="25">
        <v>101761581</v>
      </c>
      <c r="C13" s="27" t="s">
        <v>14</v>
      </c>
      <c r="D13" s="41">
        <v>8425.36</v>
      </c>
      <c r="E13" s="27"/>
      <c r="F13" s="41">
        <v>8425.36</v>
      </c>
      <c r="G13" s="72">
        <v>101761581</v>
      </c>
      <c r="H13" t="s">
        <v>111</v>
      </c>
    </row>
    <row r="14" spans="1:10" ht="18.75" x14ac:dyDescent="0.3">
      <c r="A14" s="25" t="s">
        <v>170</v>
      </c>
      <c r="B14" s="25">
        <v>101761581</v>
      </c>
      <c r="C14" s="27" t="s">
        <v>15</v>
      </c>
      <c r="D14" s="41">
        <v>117128.56</v>
      </c>
      <c r="E14" s="27"/>
      <c r="F14" s="41">
        <v>117128.56</v>
      </c>
      <c r="G14" s="72">
        <v>130296235</v>
      </c>
      <c r="H14" t="s">
        <v>112</v>
      </c>
    </row>
    <row r="15" spans="1:10" ht="18.75" x14ac:dyDescent="0.3">
      <c r="A15" s="25" t="s">
        <v>171</v>
      </c>
      <c r="B15" s="25">
        <v>124032423</v>
      </c>
      <c r="C15" s="27" t="s">
        <v>17</v>
      </c>
      <c r="D15" s="41">
        <v>3500</v>
      </c>
      <c r="E15" s="30"/>
      <c r="F15" s="41">
        <v>3500</v>
      </c>
      <c r="G15" s="72">
        <v>101687827</v>
      </c>
      <c r="H15" s="21" t="s">
        <v>20</v>
      </c>
    </row>
    <row r="16" spans="1:10" ht="18.75" x14ac:dyDescent="0.3">
      <c r="A16" s="25" t="s">
        <v>172</v>
      </c>
      <c r="B16" s="25">
        <v>130296235</v>
      </c>
      <c r="C16" s="27" t="s">
        <v>18</v>
      </c>
      <c r="D16" s="41">
        <v>109234.31</v>
      </c>
      <c r="E16" s="30"/>
      <c r="F16" s="41">
        <v>109234.31</v>
      </c>
      <c r="G16" s="72">
        <v>101064129</v>
      </c>
      <c r="H16" t="s">
        <v>24</v>
      </c>
    </row>
    <row r="17" spans="1:9" ht="18.75" x14ac:dyDescent="0.3">
      <c r="A17" s="25" t="s">
        <v>173</v>
      </c>
      <c r="B17" s="25">
        <v>101875887</v>
      </c>
      <c r="C17" s="27" t="s">
        <v>19</v>
      </c>
      <c r="D17" s="41">
        <v>45390.42</v>
      </c>
      <c r="E17" s="30"/>
      <c r="F17" s="41">
        <v>45390.42</v>
      </c>
      <c r="G17" s="72">
        <v>124032423</v>
      </c>
      <c r="H17" t="s">
        <v>113</v>
      </c>
      <c r="I17" s="21"/>
    </row>
    <row r="18" spans="1:9" ht="18.75" x14ac:dyDescent="0.3">
      <c r="A18" s="25" t="s">
        <v>174</v>
      </c>
      <c r="B18" s="25">
        <v>101687827</v>
      </c>
      <c r="C18" s="27" t="s">
        <v>20</v>
      </c>
      <c r="D18" s="41">
        <v>111906.17</v>
      </c>
      <c r="E18" s="30"/>
      <c r="F18" s="41">
        <v>111906.17</v>
      </c>
      <c r="G18" s="72">
        <v>101886481</v>
      </c>
      <c r="H18" t="s">
        <v>16</v>
      </c>
    </row>
    <row r="19" spans="1:9" ht="18.75" x14ac:dyDescent="0.3">
      <c r="A19" s="25" t="s">
        <v>175</v>
      </c>
      <c r="B19" s="25">
        <v>130296235</v>
      </c>
      <c r="C19" s="27" t="s">
        <v>21</v>
      </c>
      <c r="D19" s="41">
        <v>525599.56000000006</v>
      </c>
      <c r="E19" s="30"/>
      <c r="F19" s="41">
        <v>525599.56000000006</v>
      </c>
      <c r="G19" s="72">
        <v>430089885</v>
      </c>
      <c r="H19" t="s">
        <v>23</v>
      </c>
    </row>
    <row r="20" spans="1:9" ht="18.75" x14ac:dyDescent="0.3">
      <c r="A20" s="25" t="s">
        <v>176</v>
      </c>
      <c r="B20" s="25">
        <v>130058008</v>
      </c>
      <c r="C20" s="27" t="s">
        <v>22</v>
      </c>
      <c r="D20" s="41">
        <v>58287.88</v>
      </c>
      <c r="E20" s="30"/>
      <c r="F20" s="41">
        <v>58287.88</v>
      </c>
      <c r="G20" s="72">
        <v>130058008</v>
      </c>
      <c r="H20" t="s">
        <v>114</v>
      </c>
    </row>
    <row r="21" spans="1:9" ht="18.75" x14ac:dyDescent="0.3">
      <c r="A21" s="25" t="s">
        <v>177</v>
      </c>
      <c r="B21" s="25">
        <v>430089885</v>
      </c>
      <c r="C21" s="27" t="s">
        <v>23</v>
      </c>
      <c r="D21" s="41">
        <v>57351.74</v>
      </c>
      <c r="E21" s="30"/>
      <c r="F21" s="41">
        <v>57351.74</v>
      </c>
      <c r="G21" s="72">
        <v>101875887</v>
      </c>
      <c r="H21" t="s">
        <v>19</v>
      </c>
    </row>
    <row r="22" spans="1:9" ht="18.75" x14ac:dyDescent="0.3">
      <c r="A22" s="25" t="s">
        <v>178</v>
      </c>
      <c r="B22" s="25">
        <v>101064129</v>
      </c>
      <c r="C22" s="27" t="s">
        <v>24</v>
      </c>
      <c r="D22" s="41">
        <v>31245</v>
      </c>
      <c r="E22" s="30"/>
      <c r="F22" s="41">
        <v>31245</v>
      </c>
      <c r="G22" s="72">
        <v>130296235</v>
      </c>
      <c r="H22" t="s">
        <v>115</v>
      </c>
    </row>
    <row r="23" spans="1:9" ht="18.75" x14ac:dyDescent="0.3">
      <c r="A23" s="25" t="s">
        <v>179</v>
      </c>
      <c r="B23" s="25">
        <v>101788682</v>
      </c>
      <c r="C23" s="27" t="s">
        <v>25</v>
      </c>
      <c r="D23" s="41">
        <v>3360</v>
      </c>
      <c r="E23" s="30"/>
      <c r="F23" s="41">
        <v>3360</v>
      </c>
      <c r="G23" s="72">
        <v>101024097</v>
      </c>
      <c r="H23" t="s">
        <v>26</v>
      </c>
    </row>
    <row r="24" spans="1:9" ht="18.75" x14ac:dyDescent="0.3">
      <c r="A24" s="25" t="s">
        <v>180</v>
      </c>
      <c r="B24" s="25">
        <v>101024097</v>
      </c>
      <c r="C24" s="27" t="s">
        <v>26</v>
      </c>
      <c r="D24" s="41">
        <v>9976.34</v>
      </c>
      <c r="E24" s="30"/>
      <c r="F24" s="41">
        <v>9976.34</v>
      </c>
      <c r="G24" s="72">
        <v>101788682</v>
      </c>
      <c r="H24" t="s">
        <v>116</v>
      </c>
    </row>
    <row r="25" spans="1:9" ht="18.75" x14ac:dyDescent="0.3">
      <c r="A25" s="25" t="s">
        <v>44</v>
      </c>
      <c r="B25" s="25">
        <v>401052662</v>
      </c>
      <c r="C25" s="27" t="s">
        <v>27</v>
      </c>
      <c r="D25" s="41">
        <v>99169.27</v>
      </c>
      <c r="E25" s="30"/>
      <c r="F25" s="41">
        <v>99169.27</v>
      </c>
      <c r="G25" s="72">
        <v>401052662</v>
      </c>
      <c r="H25" s="40" t="s">
        <v>27</v>
      </c>
    </row>
    <row r="26" spans="1:9" ht="18.75" x14ac:dyDescent="0.3">
      <c r="A26" s="25" t="s">
        <v>45</v>
      </c>
      <c r="B26" s="25">
        <v>401516454</v>
      </c>
      <c r="C26" s="27" t="s">
        <v>29</v>
      </c>
      <c r="D26" s="41">
        <v>2134.86</v>
      </c>
      <c r="E26" s="30"/>
      <c r="F26" s="41">
        <v>2134.86</v>
      </c>
      <c r="G26" s="72">
        <v>401516454</v>
      </c>
      <c r="H26" t="s">
        <v>31</v>
      </c>
    </row>
    <row r="27" spans="1:9" ht="18.75" x14ac:dyDescent="0.3">
      <c r="A27" s="83" t="s">
        <v>46</v>
      </c>
      <c r="B27" s="83">
        <v>401516454</v>
      </c>
      <c r="C27" s="84" t="s">
        <v>31</v>
      </c>
      <c r="D27" s="85">
        <f>F27+E27</f>
        <v>2537914.7400000002</v>
      </c>
      <c r="E27" s="87">
        <v>47721.02</v>
      </c>
      <c r="F27" s="85">
        <v>2490193.7200000002</v>
      </c>
      <c r="G27" s="72"/>
      <c r="H27"/>
    </row>
    <row r="28" spans="1:9" ht="18.75" x14ac:dyDescent="0.3">
      <c r="A28" s="25" t="s">
        <v>32</v>
      </c>
      <c r="B28" s="25"/>
      <c r="C28" s="27" t="s">
        <v>32</v>
      </c>
      <c r="D28" s="30">
        <f>F28+E28</f>
        <v>3268193.4400000004</v>
      </c>
      <c r="E28" s="42">
        <v>68532.2</v>
      </c>
      <c r="F28" s="43">
        <v>3199661.24</v>
      </c>
      <c r="G28" s="72"/>
      <c r="H28"/>
    </row>
    <row r="29" spans="1:9" ht="18.75" x14ac:dyDescent="0.3">
      <c r="A29" s="25" t="s">
        <v>47</v>
      </c>
      <c r="B29" s="25"/>
      <c r="C29" s="27"/>
      <c r="D29" s="30">
        <v>80323.320000000007</v>
      </c>
      <c r="E29" s="42"/>
      <c r="F29" s="43">
        <v>80323.320000000007</v>
      </c>
      <c r="G29" s="72"/>
      <c r="H29"/>
    </row>
    <row r="30" spans="1:9" ht="18.75" x14ac:dyDescent="0.3">
      <c r="A30" s="134" t="s">
        <v>33</v>
      </c>
      <c r="B30" s="134"/>
      <c r="C30" s="134"/>
      <c r="D30" s="39">
        <f>SUM(D10:D29)</f>
        <v>7464127.3100000015</v>
      </c>
      <c r="E30" s="39">
        <f>SUM(E10:E29)</f>
        <v>116253.22</v>
      </c>
      <c r="F30" s="39">
        <f t="shared" ref="F30" si="0">SUM(F10:F29)</f>
        <v>7347874.0900000008</v>
      </c>
      <c r="G30" s="72"/>
      <c r="H30"/>
    </row>
    <row r="32" spans="1:9" x14ac:dyDescent="0.25">
      <c r="D32" s="58"/>
    </row>
    <row r="35" spans="1:1" x14ac:dyDescent="0.25">
      <c r="A35" t="s">
        <v>34</v>
      </c>
    </row>
  </sheetData>
  <sortState xmlns:xlrd2="http://schemas.microsoft.com/office/spreadsheetml/2017/richdata2" ref="A10:F28">
    <sortCondition ref="A10:A28"/>
  </sortState>
  <mergeCells count="8">
    <mergeCell ref="A7:G7"/>
    <mergeCell ref="A30:C30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scale="7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7"/>
  <sheetViews>
    <sheetView topLeftCell="A6" zoomScale="89" zoomScaleNormal="89" workbookViewId="0">
      <selection activeCell="F38" sqref="F38"/>
    </sheetView>
  </sheetViews>
  <sheetFormatPr baseColWidth="10" defaultColWidth="11.42578125" defaultRowHeight="12.75" x14ac:dyDescent="0.2"/>
  <cols>
    <col min="1" max="1" width="20.85546875" style="44" bestFit="1" customWidth="1"/>
    <col min="2" max="2" width="20.85546875" style="44" customWidth="1"/>
    <col min="3" max="3" width="25.5703125" style="44" customWidth="1"/>
    <col min="4" max="4" width="25.7109375" style="45" bestFit="1" customWidth="1"/>
    <col min="5" max="5" width="23.5703125" style="45" customWidth="1"/>
    <col min="6" max="6" width="18.140625" style="45" bestFit="1" customWidth="1"/>
    <col min="7" max="7" width="17.28515625" style="74" customWidth="1"/>
    <col min="8" max="8" width="13.140625" style="45" bestFit="1" customWidth="1"/>
    <col min="9" max="9" width="14.140625" style="44" bestFit="1" customWidth="1"/>
    <col min="10" max="16384" width="11.42578125" style="44"/>
  </cols>
  <sheetData>
    <row r="1" spans="1:10" x14ac:dyDescent="0.2">
      <c r="A1" s="138" t="s">
        <v>0</v>
      </c>
      <c r="B1" s="138"/>
      <c r="C1" s="138"/>
      <c r="D1" s="138"/>
      <c r="E1" s="138"/>
      <c r="F1" s="138"/>
      <c r="G1" s="138"/>
      <c r="H1" s="44"/>
      <c r="I1" s="45"/>
    </row>
    <row r="2" spans="1:10" x14ac:dyDescent="0.2">
      <c r="A2" s="139" t="s">
        <v>1</v>
      </c>
      <c r="B2" s="139"/>
      <c r="C2" s="139"/>
      <c r="D2" s="139"/>
      <c r="E2" s="139"/>
      <c r="F2" s="139"/>
      <c r="G2" s="139"/>
      <c r="H2" s="44"/>
      <c r="I2" s="45"/>
    </row>
    <row r="3" spans="1:10" x14ac:dyDescent="0.2">
      <c r="A3" s="131" t="s">
        <v>2</v>
      </c>
      <c r="B3" s="131"/>
      <c r="C3" s="131"/>
      <c r="D3" s="131"/>
      <c r="E3" s="131"/>
      <c r="F3" s="131"/>
      <c r="G3" s="131"/>
      <c r="H3" s="44"/>
      <c r="I3" s="45"/>
    </row>
    <row r="4" spans="1:10" x14ac:dyDescent="0.2">
      <c r="A4" s="131" t="s">
        <v>3</v>
      </c>
      <c r="B4" s="131"/>
      <c r="C4" s="131"/>
      <c r="D4" s="131"/>
      <c r="E4" s="131"/>
      <c r="F4" s="131"/>
      <c r="G4" s="131"/>
      <c r="H4" s="44"/>
      <c r="I4" s="45"/>
    </row>
    <row r="5" spans="1:10" x14ac:dyDescent="0.2">
      <c r="A5" s="131" t="s">
        <v>4</v>
      </c>
      <c r="B5" s="131"/>
      <c r="C5" s="131"/>
      <c r="D5" s="131"/>
      <c r="E5" s="131"/>
      <c r="F5" s="131"/>
      <c r="G5" s="131"/>
      <c r="H5" s="44"/>
      <c r="I5" s="45"/>
    </row>
    <row r="6" spans="1:10" x14ac:dyDescent="0.2">
      <c r="A6" s="131" t="s">
        <v>5</v>
      </c>
      <c r="B6" s="131"/>
      <c r="C6" s="131"/>
      <c r="D6" s="131"/>
      <c r="E6" s="131"/>
      <c r="F6" s="131"/>
      <c r="G6" s="131"/>
      <c r="H6" s="44"/>
      <c r="I6" s="45"/>
    </row>
    <row r="7" spans="1:10" x14ac:dyDescent="0.2">
      <c r="A7" s="136" t="s">
        <v>71</v>
      </c>
      <c r="B7" s="136"/>
      <c r="C7" s="136"/>
      <c r="D7" s="136"/>
      <c r="E7" s="136"/>
      <c r="F7" s="136"/>
      <c r="G7" s="136"/>
      <c r="H7" s="2"/>
      <c r="J7" s="45"/>
    </row>
    <row r="8" spans="1:10" x14ac:dyDescent="0.2">
      <c r="A8" s="2"/>
      <c r="B8" s="67"/>
      <c r="C8" s="2"/>
      <c r="D8" s="2"/>
      <c r="E8" s="2"/>
      <c r="F8" s="2"/>
      <c r="G8" s="71"/>
      <c r="H8" s="2"/>
      <c r="J8" s="45"/>
    </row>
    <row r="9" spans="1:10" x14ac:dyDescent="0.2">
      <c r="A9" s="46" t="s">
        <v>6</v>
      </c>
      <c r="B9" s="46"/>
      <c r="C9" s="46" t="s">
        <v>7</v>
      </c>
      <c r="D9" s="47" t="s">
        <v>8</v>
      </c>
      <c r="E9" s="47" t="s">
        <v>49</v>
      </c>
      <c r="F9" s="47" t="s">
        <v>10</v>
      </c>
      <c r="G9" s="73"/>
      <c r="H9" s="44"/>
    </row>
    <row r="10" spans="1:10" x14ac:dyDescent="0.2">
      <c r="A10" s="51" t="s">
        <v>50</v>
      </c>
      <c r="B10" s="51">
        <v>102017174</v>
      </c>
      <c r="C10" s="51" t="s">
        <v>11</v>
      </c>
      <c r="D10" s="52">
        <v>50732.77</v>
      </c>
      <c r="E10" s="53"/>
      <c r="F10" s="54">
        <f t="shared" ref="F10:F29" si="0">+D10-E10</f>
        <v>50732.77</v>
      </c>
      <c r="G10" s="73">
        <v>102017174</v>
      </c>
      <c r="H10" s="49" t="s">
        <v>109</v>
      </c>
    </row>
    <row r="11" spans="1:10" x14ac:dyDescent="0.2">
      <c r="A11" s="51" t="s">
        <v>51</v>
      </c>
      <c r="B11" s="51">
        <v>101864427</v>
      </c>
      <c r="C11" s="53" t="s">
        <v>12</v>
      </c>
      <c r="D11" s="52">
        <v>374483.12</v>
      </c>
      <c r="E11" s="53"/>
      <c r="F11" s="54">
        <f t="shared" si="0"/>
        <v>374483.12</v>
      </c>
      <c r="G11" s="73">
        <v>101864427</v>
      </c>
      <c r="H11" s="49" t="s">
        <v>12</v>
      </c>
    </row>
    <row r="12" spans="1:10" x14ac:dyDescent="0.2">
      <c r="A12" s="51" t="s">
        <v>52</v>
      </c>
      <c r="B12" s="51">
        <v>101761581</v>
      </c>
      <c r="C12" s="53" t="s">
        <v>13</v>
      </c>
      <c r="D12" s="52">
        <v>48122.400000000001</v>
      </c>
      <c r="E12" s="53"/>
      <c r="F12" s="54">
        <f t="shared" si="0"/>
        <v>48122.400000000001</v>
      </c>
      <c r="G12" s="73">
        <v>101761581</v>
      </c>
      <c r="H12" s="49" t="s">
        <v>110</v>
      </c>
    </row>
    <row r="13" spans="1:10" x14ac:dyDescent="0.2">
      <c r="A13" s="51" t="s">
        <v>53</v>
      </c>
      <c r="B13" s="51">
        <v>101761581</v>
      </c>
      <c r="C13" s="53" t="s">
        <v>14</v>
      </c>
      <c r="D13" s="52">
        <v>9299.44</v>
      </c>
      <c r="E13" s="53"/>
      <c r="F13" s="54">
        <f t="shared" si="0"/>
        <v>9299.44</v>
      </c>
      <c r="G13" s="73">
        <v>101761581</v>
      </c>
      <c r="H13" s="44" t="s">
        <v>14</v>
      </c>
    </row>
    <row r="14" spans="1:10" x14ac:dyDescent="0.2">
      <c r="A14" s="51" t="s">
        <v>54</v>
      </c>
      <c r="B14" s="51">
        <v>101761581</v>
      </c>
      <c r="C14" s="53" t="s">
        <v>15</v>
      </c>
      <c r="D14" s="52">
        <v>217424.9</v>
      </c>
      <c r="E14" s="53"/>
      <c r="F14" s="54">
        <f t="shared" si="0"/>
        <v>217424.9</v>
      </c>
      <c r="G14" s="73">
        <v>101761581</v>
      </c>
      <c r="H14" s="44" t="s">
        <v>111</v>
      </c>
    </row>
    <row r="15" spans="1:10" x14ac:dyDescent="0.2">
      <c r="A15" s="51" t="s">
        <v>55</v>
      </c>
      <c r="B15" s="51">
        <v>101886481</v>
      </c>
      <c r="C15" s="53" t="s">
        <v>16</v>
      </c>
      <c r="D15" s="52">
        <v>443337.56</v>
      </c>
      <c r="E15" s="53"/>
      <c r="F15" s="54">
        <f t="shared" si="0"/>
        <v>443337.56</v>
      </c>
      <c r="G15" s="73">
        <v>130296235</v>
      </c>
      <c r="H15" s="44" t="s">
        <v>112</v>
      </c>
    </row>
    <row r="16" spans="1:10" x14ac:dyDescent="0.2">
      <c r="A16" s="51" t="s">
        <v>56</v>
      </c>
      <c r="B16" s="51">
        <v>130296235</v>
      </c>
      <c r="C16" s="53" t="s">
        <v>18</v>
      </c>
      <c r="D16" s="52">
        <v>229878</v>
      </c>
      <c r="E16" s="53"/>
      <c r="F16" s="54">
        <f t="shared" si="0"/>
        <v>229878</v>
      </c>
      <c r="G16" s="73">
        <v>101687827</v>
      </c>
      <c r="H16" s="50" t="s">
        <v>20</v>
      </c>
    </row>
    <row r="17" spans="1:11" x14ac:dyDescent="0.2">
      <c r="A17" s="51" t="s">
        <v>57</v>
      </c>
      <c r="B17" s="51">
        <v>101875887</v>
      </c>
      <c r="C17" s="53" t="s">
        <v>19</v>
      </c>
      <c r="D17" s="52">
        <v>166835.63</v>
      </c>
      <c r="E17" s="53"/>
      <c r="F17" s="54">
        <f t="shared" si="0"/>
        <v>166835.63</v>
      </c>
      <c r="G17" s="73">
        <v>101064129</v>
      </c>
      <c r="H17" s="44" t="s">
        <v>24</v>
      </c>
    </row>
    <row r="18" spans="1:11" x14ac:dyDescent="0.2">
      <c r="A18" s="51" t="s">
        <v>58</v>
      </c>
      <c r="B18" s="51">
        <v>101687827</v>
      </c>
      <c r="C18" s="53" t="s">
        <v>20</v>
      </c>
      <c r="D18" s="52">
        <v>7768.47</v>
      </c>
      <c r="E18" s="53"/>
      <c r="F18" s="54">
        <f t="shared" si="0"/>
        <v>7768.47</v>
      </c>
      <c r="G18" s="73">
        <v>124032423</v>
      </c>
      <c r="H18" s="44" t="s">
        <v>113</v>
      </c>
      <c r="I18" s="50"/>
    </row>
    <row r="19" spans="1:11" x14ac:dyDescent="0.2">
      <c r="A19" s="51" t="s">
        <v>59</v>
      </c>
      <c r="B19" s="51">
        <v>130296235</v>
      </c>
      <c r="C19" s="53" t="s">
        <v>21</v>
      </c>
      <c r="D19" s="52">
        <v>236054.2</v>
      </c>
      <c r="E19" s="53">
        <v>1400</v>
      </c>
      <c r="F19" s="54">
        <f t="shared" si="0"/>
        <v>234654.2</v>
      </c>
      <c r="G19" s="73">
        <v>101886481</v>
      </c>
      <c r="H19" s="44" t="s">
        <v>16</v>
      </c>
    </row>
    <row r="20" spans="1:11" x14ac:dyDescent="0.2">
      <c r="A20" s="51" t="s">
        <v>60</v>
      </c>
      <c r="B20" s="51">
        <v>130058008</v>
      </c>
      <c r="C20" s="53" t="s">
        <v>22</v>
      </c>
      <c r="D20" s="52">
        <v>97214.78</v>
      </c>
      <c r="E20" s="53"/>
      <c r="F20" s="54">
        <f t="shared" si="0"/>
        <v>97214.78</v>
      </c>
      <c r="G20" s="73">
        <v>430089885</v>
      </c>
      <c r="H20" s="44" t="s">
        <v>23</v>
      </c>
    </row>
    <row r="21" spans="1:11" x14ac:dyDescent="0.2">
      <c r="A21" s="51" t="s">
        <v>61</v>
      </c>
      <c r="B21" s="51">
        <v>430089885</v>
      </c>
      <c r="C21" s="53" t="s">
        <v>23</v>
      </c>
      <c r="D21" s="52">
        <v>10000</v>
      </c>
      <c r="E21" s="53"/>
      <c r="F21" s="54">
        <f t="shared" si="0"/>
        <v>10000</v>
      </c>
      <c r="G21" s="73">
        <v>130058008</v>
      </c>
      <c r="H21" s="44" t="s">
        <v>114</v>
      </c>
    </row>
    <row r="22" spans="1:11" x14ac:dyDescent="0.2">
      <c r="A22" s="51" t="s">
        <v>62</v>
      </c>
      <c r="B22" s="51">
        <v>101064129</v>
      </c>
      <c r="C22" s="53" t="s">
        <v>24</v>
      </c>
      <c r="D22" s="52">
        <v>237194.17</v>
      </c>
      <c r="E22" s="53"/>
      <c r="F22" s="54">
        <f t="shared" si="0"/>
        <v>237194.17</v>
      </c>
      <c r="G22" s="73">
        <v>101875887</v>
      </c>
      <c r="H22" s="44" t="s">
        <v>19</v>
      </c>
    </row>
    <row r="23" spans="1:11" x14ac:dyDescent="0.2">
      <c r="A23" s="51" t="s">
        <v>63</v>
      </c>
      <c r="B23" s="51">
        <v>101788682</v>
      </c>
      <c r="C23" s="53" t="s">
        <v>64</v>
      </c>
      <c r="D23" s="52">
        <v>3319.22</v>
      </c>
      <c r="E23" s="53"/>
      <c r="F23" s="54">
        <f t="shared" si="0"/>
        <v>3319.22</v>
      </c>
      <c r="G23" s="73">
        <v>130296235</v>
      </c>
      <c r="H23" s="44" t="s">
        <v>115</v>
      </c>
    </row>
    <row r="24" spans="1:11" x14ac:dyDescent="0.2">
      <c r="A24" s="51" t="s">
        <v>65</v>
      </c>
      <c r="B24" s="51">
        <v>101024097</v>
      </c>
      <c r="C24" s="53" t="s">
        <v>26</v>
      </c>
      <c r="D24" s="52">
        <v>108970.25</v>
      </c>
      <c r="E24" s="53"/>
      <c r="F24" s="54">
        <f t="shared" si="0"/>
        <v>108970.25</v>
      </c>
      <c r="G24" s="73">
        <v>101024097</v>
      </c>
      <c r="H24" s="44" t="s">
        <v>26</v>
      </c>
    </row>
    <row r="25" spans="1:11" x14ac:dyDescent="0.2">
      <c r="A25" s="51" t="s">
        <v>66</v>
      </c>
      <c r="B25" s="51">
        <v>124032423</v>
      </c>
      <c r="C25" s="53" t="s">
        <v>67</v>
      </c>
      <c r="D25" s="52">
        <v>41032.92</v>
      </c>
      <c r="E25" s="53"/>
      <c r="F25" s="54">
        <f t="shared" si="0"/>
        <v>41032.92</v>
      </c>
      <c r="G25" s="73">
        <v>101788682</v>
      </c>
      <c r="H25" s="44" t="s">
        <v>116</v>
      </c>
    </row>
    <row r="26" spans="1:11" x14ac:dyDescent="0.2">
      <c r="A26" s="51" t="s">
        <v>45</v>
      </c>
      <c r="B26" s="51">
        <v>401052662</v>
      </c>
      <c r="C26" s="53" t="s">
        <v>27</v>
      </c>
      <c r="D26" s="52">
        <v>36644.9</v>
      </c>
      <c r="E26" s="53"/>
      <c r="F26" s="54">
        <f t="shared" si="0"/>
        <v>36644.9</v>
      </c>
      <c r="G26" s="73">
        <v>401052662</v>
      </c>
      <c r="H26" s="48" t="s">
        <v>27</v>
      </c>
      <c r="K26" s="44">
        <v>4</v>
      </c>
    </row>
    <row r="27" spans="1:11" x14ac:dyDescent="0.2">
      <c r="A27" s="79" t="s">
        <v>46</v>
      </c>
      <c r="B27" s="79">
        <v>401516454</v>
      </c>
      <c r="C27" s="80" t="s">
        <v>29</v>
      </c>
      <c r="D27" s="81">
        <v>30812.76</v>
      </c>
      <c r="E27" s="80"/>
      <c r="F27" s="82">
        <f t="shared" si="0"/>
        <v>30812.76</v>
      </c>
      <c r="G27" s="73">
        <v>401516454</v>
      </c>
      <c r="H27" s="44" t="s">
        <v>31</v>
      </c>
    </row>
    <row r="28" spans="1:11" x14ac:dyDescent="0.2">
      <c r="A28" s="51" t="s">
        <v>68</v>
      </c>
      <c r="B28" s="51">
        <v>401516454</v>
      </c>
      <c r="C28" s="53" t="s">
        <v>31</v>
      </c>
      <c r="D28" s="52">
        <v>1240459.8799999999</v>
      </c>
      <c r="E28" s="53">
        <v>6000</v>
      </c>
      <c r="F28" s="54">
        <f t="shared" si="0"/>
        <v>1234459.8799999999</v>
      </c>
      <c r="G28" s="73"/>
      <c r="H28" s="44"/>
    </row>
    <row r="29" spans="1:11" x14ac:dyDescent="0.2">
      <c r="A29" s="75" t="s">
        <v>69</v>
      </c>
      <c r="B29" s="75">
        <v>401516454</v>
      </c>
      <c r="C29" s="76" t="s">
        <v>70</v>
      </c>
      <c r="D29" s="77">
        <v>2580</v>
      </c>
      <c r="E29" s="76"/>
      <c r="F29" s="78">
        <f t="shared" si="0"/>
        <v>2580</v>
      </c>
      <c r="G29" s="73"/>
      <c r="H29" s="44"/>
    </row>
    <row r="30" spans="1:11" x14ac:dyDescent="0.2">
      <c r="A30" s="51" t="s">
        <v>32</v>
      </c>
      <c r="B30" s="51"/>
      <c r="C30" s="53" t="s">
        <v>32</v>
      </c>
      <c r="D30" s="55">
        <v>5356651.46</v>
      </c>
      <c r="E30" s="56">
        <v>60356.32</v>
      </c>
      <c r="F30" s="54">
        <f t="shared" ref="F30" si="1">+D30-E30</f>
        <v>5296295.1399999997</v>
      </c>
      <c r="G30" s="73"/>
      <c r="H30" s="44"/>
    </row>
    <row r="31" spans="1:11" x14ac:dyDescent="0.2">
      <c r="A31" s="51" t="s">
        <v>47</v>
      </c>
      <c r="B31" s="51"/>
      <c r="C31" s="53"/>
      <c r="D31" s="55">
        <v>436800</v>
      </c>
      <c r="E31" s="56"/>
      <c r="F31" s="54">
        <f>+D31-E31</f>
        <v>436800</v>
      </c>
      <c r="G31" s="73"/>
      <c r="H31" s="44"/>
    </row>
    <row r="32" spans="1:11" x14ac:dyDescent="0.2">
      <c r="A32" s="137" t="s">
        <v>33</v>
      </c>
      <c r="B32" s="137"/>
      <c r="C32" s="137"/>
      <c r="D32" s="47">
        <f>SUM(D10:D31)</f>
        <v>9385616.8300000001</v>
      </c>
      <c r="E32" s="47">
        <f>SUM(E19:E31)</f>
        <v>67756.320000000007</v>
      </c>
      <c r="F32" s="47">
        <f>SUM(F10:F31)</f>
        <v>9317860.5099999998</v>
      </c>
      <c r="G32" s="73"/>
      <c r="H32" s="44"/>
    </row>
    <row r="37" spans="1:1" x14ac:dyDescent="0.2">
      <c r="A37" s="44" t="s">
        <v>34</v>
      </c>
    </row>
  </sheetData>
  <sortState xmlns:xlrd2="http://schemas.microsoft.com/office/spreadsheetml/2017/richdata2" ref="A10:F29">
    <sortCondition ref="A10:A29"/>
  </sortState>
  <mergeCells count="8">
    <mergeCell ref="A7:G7"/>
    <mergeCell ref="A32:C32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topLeftCell="A7" zoomScaleNormal="100" workbookViewId="0">
      <selection activeCell="D14" sqref="D14"/>
    </sheetView>
  </sheetViews>
  <sheetFormatPr baseColWidth="10" defaultColWidth="11.42578125" defaultRowHeight="15" x14ac:dyDescent="0.25"/>
  <cols>
    <col min="1" max="1" width="20.85546875" bestFit="1" customWidth="1"/>
    <col min="2" max="2" width="20.85546875" customWidth="1"/>
    <col min="3" max="3" width="28.7109375" bestFit="1" customWidth="1"/>
    <col min="4" max="4" width="22.85546875" style="1" bestFit="1" customWidth="1"/>
    <col min="5" max="5" width="24.42578125" style="1" bestFit="1" customWidth="1"/>
    <col min="6" max="6" width="18.140625" style="1" bestFit="1" customWidth="1"/>
    <col min="7" max="7" width="10" style="74" bestFit="1" customWidth="1"/>
    <col min="8" max="8" width="13.140625" style="45" bestFit="1" customWidth="1"/>
    <col min="9" max="9" width="14.140625" style="44" bestFit="1" customWidth="1"/>
  </cols>
  <sheetData>
    <row r="1" spans="1:10" ht="33" x14ac:dyDescent="0.45">
      <c r="A1" s="128" t="s">
        <v>0</v>
      </c>
      <c r="B1" s="128"/>
      <c r="C1" s="128"/>
      <c r="D1" s="128"/>
      <c r="E1" s="128"/>
      <c r="F1" s="128"/>
      <c r="G1" s="128"/>
      <c r="H1" s="44"/>
      <c r="I1" s="45"/>
    </row>
    <row r="2" spans="1:10" ht="18.75" x14ac:dyDescent="0.3">
      <c r="A2" s="141" t="s">
        <v>1</v>
      </c>
      <c r="B2" s="141"/>
      <c r="C2" s="141"/>
      <c r="D2" s="141"/>
      <c r="E2" s="141"/>
      <c r="F2" s="141"/>
      <c r="G2" s="141"/>
      <c r="H2" s="44"/>
      <c r="I2" s="45"/>
    </row>
    <row r="3" spans="1:10" ht="18.75" x14ac:dyDescent="0.3">
      <c r="A3" s="135" t="s">
        <v>2</v>
      </c>
      <c r="B3" s="135"/>
      <c r="C3" s="135"/>
      <c r="D3" s="135"/>
      <c r="E3" s="135"/>
      <c r="F3" s="135"/>
      <c r="G3" s="135"/>
      <c r="H3" s="44"/>
      <c r="I3" s="45"/>
    </row>
    <row r="4" spans="1:10" ht="18.75" x14ac:dyDescent="0.3">
      <c r="A4" s="135" t="s">
        <v>3</v>
      </c>
      <c r="B4" s="135"/>
      <c r="C4" s="135"/>
      <c r="D4" s="135"/>
      <c r="E4" s="135"/>
      <c r="F4" s="135"/>
      <c r="G4" s="135"/>
      <c r="H4" s="44"/>
      <c r="I4" s="45"/>
    </row>
    <row r="5" spans="1:10" ht="18.75" x14ac:dyDescent="0.3">
      <c r="A5" s="135" t="s">
        <v>4</v>
      </c>
      <c r="B5" s="135"/>
      <c r="C5" s="135"/>
      <c r="D5" s="135"/>
      <c r="E5" s="135"/>
      <c r="F5" s="135"/>
      <c r="G5" s="135"/>
      <c r="H5" s="44"/>
      <c r="I5" s="45"/>
    </row>
    <row r="6" spans="1:10" ht="18.75" x14ac:dyDescent="0.3">
      <c r="A6" s="135" t="s">
        <v>5</v>
      </c>
      <c r="B6" s="135"/>
      <c r="C6" s="135"/>
      <c r="D6" s="135"/>
      <c r="E6" s="135"/>
      <c r="F6" s="135"/>
      <c r="G6" s="135"/>
      <c r="H6" s="44"/>
      <c r="I6" s="45"/>
    </row>
    <row r="7" spans="1:10" ht="18.75" x14ac:dyDescent="0.25">
      <c r="A7" s="140"/>
      <c r="B7" s="140"/>
      <c r="C7" s="140"/>
      <c r="D7" s="140"/>
      <c r="E7" s="140"/>
      <c r="F7" s="140"/>
      <c r="G7" s="140"/>
      <c r="H7" s="67"/>
      <c r="J7" s="1"/>
    </row>
    <row r="8" spans="1:10" x14ac:dyDescent="0.25">
      <c r="A8" s="57"/>
      <c r="B8" s="67"/>
      <c r="C8" s="57"/>
      <c r="D8" s="57"/>
      <c r="E8" s="57"/>
      <c r="F8" s="57"/>
      <c r="G8" s="71"/>
      <c r="H8" s="67"/>
      <c r="J8" s="1"/>
    </row>
    <row r="9" spans="1:10" ht="18.75" x14ac:dyDescent="0.3">
      <c r="A9" s="38" t="s">
        <v>6</v>
      </c>
      <c r="B9" s="38"/>
      <c r="C9" s="38" t="s">
        <v>7</v>
      </c>
      <c r="D9" s="39" t="s">
        <v>8</v>
      </c>
      <c r="E9" s="39" t="s">
        <v>49</v>
      </c>
      <c r="F9" s="39" t="s">
        <v>10</v>
      </c>
      <c r="G9" s="73"/>
      <c r="H9" s="44"/>
    </row>
    <row r="10" spans="1:10" ht="18.75" x14ac:dyDescent="0.3">
      <c r="A10" s="25" t="s">
        <v>72</v>
      </c>
      <c r="B10" s="25">
        <v>102017174</v>
      </c>
      <c r="C10" s="25" t="s">
        <v>11</v>
      </c>
      <c r="D10" s="41">
        <v>38168.82</v>
      </c>
      <c r="E10" s="27"/>
      <c r="F10" s="41">
        <v>38168.82</v>
      </c>
      <c r="G10" s="73">
        <v>102017174</v>
      </c>
      <c r="H10" s="49" t="s">
        <v>109</v>
      </c>
    </row>
    <row r="11" spans="1:10" ht="18.75" x14ac:dyDescent="0.3">
      <c r="A11" s="25" t="s">
        <v>73</v>
      </c>
      <c r="B11" s="25">
        <v>101864427</v>
      </c>
      <c r="C11" s="27" t="s">
        <v>12</v>
      </c>
      <c r="D11" s="41">
        <v>442825.83</v>
      </c>
      <c r="E11" s="27"/>
      <c r="F11" s="41">
        <v>442825.83</v>
      </c>
      <c r="G11" s="73">
        <v>101864427</v>
      </c>
      <c r="H11" s="49" t="s">
        <v>12</v>
      </c>
    </row>
    <row r="12" spans="1:10" ht="18.75" x14ac:dyDescent="0.3">
      <c r="A12" s="25" t="s">
        <v>74</v>
      </c>
      <c r="B12" s="25">
        <v>101761581</v>
      </c>
      <c r="C12" s="27" t="s">
        <v>13</v>
      </c>
      <c r="D12" s="41">
        <v>58784.4</v>
      </c>
      <c r="E12" s="27"/>
      <c r="F12" s="41">
        <v>58784.4</v>
      </c>
      <c r="G12" s="73">
        <v>101761581</v>
      </c>
      <c r="H12" s="49" t="s">
        <v>110</v>
      </c>
    </row>
    <row r="13" spans="1:10" ht="18.75" x14ac:dyDescent="0.3">
      <c r="A13" s="25" t="s">
        <v>75</v>
      </c>
      <c r="B13" s="25">
        <v>101761581</v>
      </c>
      <c r="C13" s="27" t="s">
        <v>14</v>
      </c>
      <c r="D13" s="41">
        <v>11340.11</v>
      </c>
      <c r="E13" s="27"/>
      <c r="F13" s="41">
        <v>11340.11</v>
      </c>
      <c r="G13" s="73">
        <v>101761581</v>
      </c>
      <c r="H13" s="44" t="s">
        <v>14</v>
      </c>
    </row>
    <row r="14" spans="1:10" ht="18.75" x14ac:dyDescent="0.3">
      <c r="A14" s="25" t="s">
        <v>76</v>
      </c>
      <c r="B14" s="25">
        <v>101761581</v>
      </c>
      <c r="C14" s="27" t="s">
        <v>15</v>
      </c>
      <c r="D14" s="41">
        <v>195826.12</v>
      </c>
      <c r="E14" s="27"/>
      <c r="F14" s="41">
        <v>195826.12</v>
      </c>
      <c r="G14" s="73">
        <v>101761581</v>
      </c>
      <c r="H14" s="44" t="s">
        <v>111</v>
      </c>
    </row>
    <row r="15" spans="1:10" ht="18.75" x14ac:dyDescent="0.3">
      <c r="A15" s="25" t="s">
        <v>77</v>
      </c>
      <c r="B15" s="25">
        <v>130296235</v>
      </c>
      <c r="C15" s="27" t="s">
        <v>18</v>
      </c>
      <c r="D15" s="41">
        <v>216887.62</v>
      </c>
      <c r="E15" s="30"/>
      <c r="F15" s="41">
        <v>216887.67</v>
      </c>
      <c r="G15" s="73">
        <v>130296235</v>
      </c>
      <c r="H15" s="44" t="s">
        <v>112</v>
      </c>
    </row>
    <row r="16" spans="1:10" ht="18.75" x14ac:dyDescent="0.3">
      <c r="A16" s="25" t="s">
        <v>78</v>
      </c>
      <c r="B16" s="25">
        <v>101875887</v>
      </c>
      <c r="C16" s="27" t="s">
        <v>19</v>
      </c>
      <c r="D16" s="41">
        <v>19360.439999999999</v>
      </c>
      <c r="E16" s="30"/>
      <c r="F16" s="41">
        <v>19360.439999999999</v>
      </c>
      <c r="G16" s="73">
        <v>101687827</v>
      </c>
      <c r="H16" s="50" t="s">
        <v>20</v>
      </c>
    </row>
    <row r="17" spans="1:9" ht="18.75" x14ac:dyDescent="0.3">
      <c r="A17" s="25" t="s">
        <v>79</v>
      </c>
      <c r="B17" s="25">
        <v>101687827</v>
      </c>
      <c r="C17" s="27" t="s">
        <v>20</v>
      </c>
      <c r="D17" s="41">
        <v>11676.13</v>
      </c>
      <c r="E17" s="30"/>
      <c r="F17" s="41">
        <v>11676.13</v>
      </c>
      <c r="G17" s="73">
        <v>101064129</v>
      </c>
      <c r="H17" s="44" t="s">
        <v>24</v>
      </c>
    </row>
    <row r="18" spans="1:9" ht="18.75" x14ac:dyDescent="0.3">
      <c r="A18" s="25" t="s">
        <v>80</v>
      </c>
      <c r="B18" s="25">
        <v>130296235</v>
      </c>
      <c r="C18" s="27" t="s">
        <v>21</v>
      </c>
      <c r="D18" s="41">
        <v>664354.67000000004</v>
      </c>
      <c r="E18" s="30">
        <v>12526.01</v>
      </c>
      <c r="F18" s="41">
        <f>D18-E18</f>
        <v>651828.66</v>
      </c>
      <c r="G18" s="73">
        <v>124032423</v>
      </c>
      <c r="H18" s="44" t="s">
        <v>113</v>
      </c>
      <c r="I18" s="50"/>
    </row>
    <row r="19" spans="1:9" ht="18.75" x14ac:dyDescent="0.3">
      <c r="A19" s="25" t="s">
        <v>81</v>
      </c>
      <c r="B19" s="25">
        <v>130058008</v>
      </c>
      <c r="C19" s="27" t="s">
        <v>22</v>
      </c>
      <c r="D19" s="41">
        <v>108900.79</v>
      </c>
      <c r="E19" s="30"/>
      <c r="F19" s="41">
        <v>108900.79</v>
      </c>
      <c r="G19" s="73">
        <v>101886481</v>
      </c>
      <c r="H19" s="44" t="s">
        <v>16</v>
      </c>
    </row>
    <row r="20" spans="1:9" ht="18.75" x14ac:dyDescent="0.3">
      <c r="A20" s="25" t="s">
        <v>82</v>
      </c>
      <c r="B20" s="25">
        <v>430089885</v>
      </c>
      <c r="C20" s="27" t="s">
        <v>23</v>
      </c>
      <c r="D20" s="41">
        <v>18399.990000000002</v>
      </c>
      <c r="E20" s="30"/>
      <c r="F20" s="41">
        <v>18399.990000000002</v>
      </c>
      <c r="G20" s="73">
        <v>430089885</v>
      </c>
      <c r="H20" s="44" t="s">
        <v>23</v>
      </c>
    </row>
    <row r="21" spans="1:9" ht="18.75" x14ac:dyDescent="0.3">
      <c r="A21" s="25" t="s">
        <v>83</v>
      </c>
      <c r="B21" s="25">
        <v>101064129</v>
      </c>
      <c r="C21" s="27" t="s">
        <v>24</v>
      </c>
      <c r="D21" s="41">
        <v>63128.33</v>
      </c>
      <c r="E21" s="30"/>
      <c r="F21" s="41">
        <v>63128.33</v>
      </c>
      <c r="G21" s="73">
        <v>130058008</v>
      </c>
      <c r="H21" s="44" t="s">
        <v>114</v>
      </c>
    </row>
    <row r="22" spans="1:9" ht="18.75" x14ac:dyDescent="0.3">
      <c r="A22" s="25" t="s">
        <v>84</v>
      </c>
      <c r="B22" s="25">
        <v>101788682</v>
      </c>
      <c r="C22" s="27" t="s">
        <v>64</v>
      </c>
      <c r="D22" s="41">
        <v>4368.41</v>
      </c>
      <c r="E22" s="30"/>
      <c r="F22" s="41">
        <v>4368.41</v>
      </c>
      <c r="G22" s="73">
        <v>101875887</v>
      </c>
      <c r="H22" s="44" t="s">
        <v>19</v>
      </c>
    </row>
    <row r="23" spans="1:9" ht="18.75" x14ac:dyDescent="0.3">
      <c r="A23" s="25" t="s">
        <v>85</v>
      </c>
      <c r="B23" s="25">
        <v>101024097</v>
      </c>
      <c r="C23" s="27" t="s">
        <v>26</v>
      </c>
      <c r="D23" s="41">
        <v>49885.59</v>
      </c>
      <c r="E23" s="30"/>
      <c r="F23" s="41">
        <v>49885.59</v>
      </c>
      <c r="G23" s="73">
        <v>130296235</v>
      </c>
      <c r="H23" s="44" t="s">
        <v>115</v>
      </c>
    </row>
    <row r="24" spans="1:9" ht="18.75" x14ac:dyDescent="0.3">
      <c r="A24" s="25" t="s">
        <v>86</v>
      </c>
      <c r="B24" s="25">
        <v>124032423</v>
      </c>
      <c r="C24" s="27" t="s">
        <v>67</v>
      </c>
      <c r="D24" s="41">
        <v>11961.97</v>
      </c>
      <c r="E24" s="30"/>
      <c r="F24" s="41">
        <v>11961.97</v>
      </c>
      <c r="G24" s="73">
        <v>101024097</v>
      </c>
      <c r="H24" s="44" t="s">
        <v>26</v>
      </c>
    </row>
    <row r="25" spans="1:9" ht="18.75" x14ac:dyDescent="0.3">
      <c r="A25" s="83" t="s">
        <v>69</v>
      </c>
      <c r="B25" s="83">
        <v>401052662</v>
      </c>
      <c r="C25" s="84" t="s">
        <v>27</v>
      </c>
      <c r="D25" s="88">
        <v>19740.54</v>
      </c>
      <c r="E25" s="87"/>
      <c r="F25" s="88">
        <v>19740.54</v>
      </c>
      <c r="G25" s="73">
        <v>101788682</v>
      </c>
      <c r="H25" s="44" t="s">
        <v>116</v>
      </c>
    </row>
    <row r="26" spans="1:9" ht="18.75" x14ac:dyDescent="0.3">
      <c r="A26" s="25" t="s">
        <v>87</v>
      </c>
      <c r="B26" s="25">
        <v>401516454</v>
      </c>
      <c r="C26" s="27" t="s">
        <v>29</v>
      </c>
      <c r="D26" s="41">
        <v>21145.63</v>
      </c>
      <c r="E26" s="30"/>
      <c r="F26" s="41">
        <v>21145.63</v>
      </c>
      <c r="G26" s="73">
        <v>401052662</v>
      </c>
      <c r="H26" s="48" t="s">
        <v>27</v>
      </c>
    </row>
    <row r="27" spans="1:9" ht="18.75" x14ac:dyDescent="0.3">
      <c r="A27" s="25" t="s">
        <v>88</v>
      </c>
      <c r="B27" s="25">
        <v>401516454</v>
      </c>
      <c r="C27" s="27" t="s">
        <v>31</v>
      </c>
      <c r="D27" s="26">
        <v>2680138.35</v>
      </c>
      <c r="E27" s="30">
        <v>18463.34</v>
      </c>
      <c r="F27" s="26">
        <f>D27-E27</f>
        <v>2661675.0100000002</v>
      </c>
      <c r="G27" s="73">
        <v>401516454</v>
      </c>
      <c r="H27" s="44" t="s">
        <v>31</v>
      </c>
    </row>
    <row r="28" spans="1:9" ht="18.75" x14ac:dyDescent="0.3">
      <c r="A28" s="40" t="s">
        <v>32</v>
      </c>
      <c r="B28" s="40"/>
      <c r="C28" s="59" t="s">
        <v>32</v>
      </c>
      <c r="D28" s="60">
        <v>4853253.51</v>
      </c>
      <c r="E28" s="61">
        <v>40500</v>
      </c>
      <c r="F28" s="62">
        <f>D28-E28</f>
        <v>4812753.51</v>
      </c>
      <c r="G28" s="73"/>
      <c r="H28" s="44"/>
    </row>
    <row r="29" spans="1:9" ht="18.75" x14ac:dyDescent="0.3">
      <c r="A29" s="134" t="s">
        <v>33</v>
      </c>
      <c r="B29" s="134"/>
      <c r="C29" s="134"/>
      <c r="D29" s="39">
        <f>SUM(D10:D28)</f>
        <v>9490147.25</v>
      </c>
      <c r="E29" s="39">
        <f>SUM(E18:E28)</f>
        <v>71489.350000000006</v>
      </c>
      <c r="F29" s="39">
        <v>9418657.9499999993</v>
      </c>
      <c r="G29" s="73"/>
      <c r="H29" s="44"/>
    </row>
    <row r="30" spans="1:9" x14ac:dyDescent="0.25">
      <c r="G30" s="73"/>
      <c r="H30" s="44"/>
    </row>
    <row r="31" spans="1:9" x14ac:dyDescent="0.25">
      <c r="D31" s="58"/>
      <c r="G31" s="73"/>
      <c r="H31" s="44"/>
    </row>
    <row r="32" spans="1:9" x14ac:dyDescent="0.25">
      <c r="G32" s="73"/>
      <c r="H32" s="44"/>
    </row>
    <row r="34" spans="1:1" x14ac:dyDescent="0.25">
      <c r="A34" t="s">
        <v>34</v>
      </c>
    </row>
  </sheetData>
  <sortState xmlns:xlrd2="http://schemas.microsoft.com/office/spreadsheetml/2017/richdata2" ref="A10:F27">
    <sortCondition ref="A10:A27"/>
  </sortState>
  <mergeCells count="8">
    <mergeCell ref="A7:G7"/>
    <mergeCell ref="A29:C29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scale="8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6"/>
  <sheetViews>
    <sheetView topLeftCell="A10" zoomScaleNormal="100" workbookViewId="0">
      <selection activeCell="F12" sqref="F12"/>
    </sheetView>
  </sheetViews>
  <sheetFormatPr baseColWidth="10" defaultColWidth="11.42578125" defaultRowHeight="15" x14ac:dyDescent="0.25"/>
  <cols>
    <col min="1" max="1" width="20.85546875" bestFit="1" customWidth="1"/>
    <col min="2" max="2" width="20.85546875" customWidth="1"/>
    <col min="3" max="3" width="25.5703125" customWidth="1"/>
    <col min="4" max="4" width="25.7109375" style="1" bestFit="1" customWidth="1"/>
    <col min="5" max="5" width="23.5703125" style="1" customWidth="1"/>
    <col min="6" max="6" width="17.85546875" style="1" bestFit="1" customWidth="1"/>
    <col min="7" max="7" width="12.28515625" style="74" bestFit="1" customWidth="1"/>
    <col min="8" max="8" width="18" style="45" bestFit="1" customWidth="1"/>
    <col min="9" max="9" width="14.140625" bestFit="1" customWidth="1"/>
  </cols>
  <sheetData>
    <row r="1" spans="1:10" ht="33" x14ac:dyDescent="0.45">
      <c r="A1" s="128" t="s">
        <v>0</v>
      </c>
      <c r="B1" s="128"/>
      <c r="C1" s="128"/>
      <c r="D1" s="128"/>
      <c r="E1" s="128"/>
      <c r="F1" s="128"/>
      <c r="G1" s="128"/>
      <c r="H1" s="44"/>
      <c r="I1" s="1"/>
    </row>
    <row r="2" spans="1:10" ht="18.75" x14ac:dyDescent="0.3">
      <c r="A2" s="141" t="s">
        <v>1</v>
      </c>
      <c r="B2" s="141"/>
      <c r="C2" s="141"/>
      <c r="D2" s="141"/>
      <c r="E2" s="141"/>
      <c r="F2" s="141"/>
      <c r="G2" s="141"/>
      <c r="H2" s="44"/>
      <c r="I2" s="1"/>
    </row>
    <row r="3" spans="1:10" ht="18.75" x14ac:dyDescent="0.3">
      <c r="A3" s="135" t="s">
        <v>2</v>
      </c>
      <c r="B3" s="135"/>
      <c r="C3" s="135"/>
      <c r="D3" s="135"/>
      <c r="E3" s="135"/>
      <c r="F3" s="135"/>
      <c r="G3" s="135"/>
      <c r="H3" s="44"/>
      <c r="I3" s="1"/>
    </row>
    <row r="4" spans="1:10" ht="18.75" x14ac:dyDescent="0.3">
      <c r="A4" s="135" t="s">
        <v>3</v>
      </c>
      <c r="B4" s="135"/>
      <c r="C4" s="135"/>
      <c r="D4" s="135"/>
      <c r="E4" s="135"/>
      <c r="F4" s="135"/>
      <c r="G4" s="135"/>
      <c r="H4" s="44"/>
      <c r="I4" s="1"/>
    </row>
    <row r="5" spans="1:10" ht="18.75" x14ac:dyDescent="0.3">
      <c r="A5" s="135" t="s">
        <v>4</v>
      </c>
      <c r="B5" s="135"/>
      <c r="C5" s="135"/>
      <c r="D5" s="135"/>
      <c r="E5" s="135"/>
      <c r="F5" s="135"/>
      <c r="G5" s="135"/>
      <c r="H5" s="44"/>
      <c r="I5" s="1"/>
    </row>
    <row r="6" spans="1:10" ht="18.75" x14ac:dyDescent="0.3">
      <c r="A6" s="135" t="s">
        <v>5</v>
      </c>
      <c r="B6" s="135"/>
      <c r="C6" s="135"/>
      <c r="D6" s="135"/>
      <c r="E6" s="135"/>
      <c r="F6" s="135"/>
      <c r="G6" s="135"/>
      <c r="H6" s="44"/>
      <c r="I6" s="1"/>
    </row>
    <row r="7" spans="1:10" ht="18.75" x14ac:dyDescent="0.25">
      <c r="A7" s="133" t="s">
        <v>89</v>
      </c>
      <c r="B7" s="133"/>
      <c r="C7" s="133"/>
      <c r="D7" s="133"/>
      <c r="E7" s="133"/>
      <c r="F7" s="133"/>
      <c r="G7" s="133"/>
      <c r="H7" s="67"/>
      <c r="J7" s="1"/>
    </row>
    <row r="8" spans="1:10" x14ac:dyDescent="0.25">
      <c r="A8" s="63"/>
      <c r="B8" s="67"/>
      <c r="C8" s="63"/>
      <c r="D8" s="63"/>
      <c r="E8" s="63"/>
      <c r="F8" s="63"/>
      <c r="G8" s="71"/>
      <c r="H8" s="67"/>
      <c r="J8" s="1"/>
    </row>
    <row r="9" spans="1:10" ht="18.75" x14ac:dyDescent="0.3">
      <c r="A9" s="38" t="s">
        <v>6</v>
      </c>
      <c r="B9" s="38"/>
      <c r="C9" s="38" t="s">
        <v>7</v>
      </c>
      <c r="D9" s="39" t="s">
        <v>8</v>
      </c>
      <c r="E9" s="39" t="s">
        <v>49</v>
      </c>
      <c r="F9" s="39" t="s">
        <v>10</v>
      </c>
      <c r="G9" s="73"/>
      <c r="H9" s="44"/>
    </row>
    <row r="10" spans="1:10" ht="18.75" x14ac:dyDescent="0.3">
      <c r="A10" s="25" t="s">
        <v>90</v>
      </c>
      <c r="B10" s="25">
        <v>102017174</v>
      </c>
      <c r="C10" s="25" t="s">
        <v>11</v>
      </c>
      <c r="D10" s="26">
        <v>45135.37</v>
      </c>
      <c r="E10" s="27"/>
      <c r="F10" s="26">
        <v>45135.37</v>
      </c>
      <c r="G10" s="73">
        <v>102017174</v>
      </c>
      <c r="H10" s="49" t="s">
        <v>109</v>
      </c>
    </row>
    <row r="11" spans="1:10" ht="18.75" x14ac:dyDescent="0.3">
      <c r="A11" s="25" t="s">
        <v>91</v>
      </c>
      <c r="B11" s="25">
        <v>101864427</v>
      </c>
      <c r="C11" s="27" t="s">
        <v>12</v>
      </c>
      <c r="D11" s="26">
        <v>399800.36</v>
      </c>
      <c r="E11" s="27"/>
      <c r="F11" s="26">
        <v>399800.36</v>
      </c>
      <c r="G11" s="73">
        <v>101864427</v>
      </c>
      <c r="H11" s="49" t="s">
        <v>12</v>
      </c>
    </row>
    <row r="12" spans="1:10" ht="18.75" x14ac:dyDescent="0.3">
      <c r="A12" s="25" t="s">
        <v>92</v>
      </c>
      <c r="B12" s="25">
        <v>101761581</v>
      </c>
      <c r="C12" s="27" t="s">
        <v>13</v>
      </c>
      <c r="D12" s="26">
        <v>48471.199999999997</v>
      </c>
      <c r="E12" s="27"/>
      <c r="F12" s="26">
        <v>48471.199999999997</v>
      </c>
      <c r="G12" s="73">
        <v>101761581</v>
      </c>
      <c r="H12" s="49" t="s">
        <v>110</v>
      </c>
    </row>
    <row r="13" spans="1:10" ht="18.75" x14ac:dyDescent="0.3">
      <c r="A13" s="25" t="s">
        <v>93</v>
      </c>
      <c r="B13" s="25">
        <v>101761581</v>
      </c>
      <c r="C13" s="27" t="s">
        <v>14</v>
      </c>
      <c r="D13" s="26">
        <v>6141.9</v>
      </c>
      <c r="E13" s="27"/>
      <c r="F13" s="26">
        <v>6141.9</v>
      </c>
      <c r="G13" s="73">
        <v>101761581</v>
      </c>
      <c r="H13" s="44" t="s">
        <v>14</v>
      </c>
    </row>
    <row r="14" spans="1:10" ht="18.75" x14ac:dyDescent="0.3">
      <c r="A14" s="25" t="s">
        <v>94</v>
      </c>
      <c r="B14" s="25">
        <v>101761581</v>
      </c>
      <c r="C14" s="27" t="s">
        <v>15</v>
      </c>
      <c r="D14" s="26">
        <v>88153.38</v>
      </c>
      <c r="E14" s="27"/>
      <c r="F14" s="26">
        <v>88153.88</v>
      </c>
      <c r="G14" s="73">
        <v>101761581</v>
      </c>
      <c r="H14" s="44" t="s">
        <v>111</v>
      </c>
    </row>
    <row r="15" spans="1:10" ht="18.75" x14ac:dyDescent="0.3">
      <c r="A15" s="25" t="s">
        <v>95</v>
      </c>
      <c r="B15" s="25">
        <v>130296235</v>
      </c>
      <c r="C15" s="27" t="s">
        <v>18</v>
      </c>
      <c r="D15" s="64">
        <v>178852.56</v>
      </c>
      <c r="E15" s="30"/>
      <c r="F15" s="64">
        <v>178852.56</v>
      </c>
      <c r="G15" s="73">
        <v>130296235</v>
      </c>
      <c r="H15" s="44" t="s">
        <v>112</v>
      </c>
    </row>
    <row r="16" spans="1:10" ht="18.75" x14ac:dyDescent="0.3">
      <c r="A16" s="25" t="s">
        <v>96</v>
      </c>
      <c r="B16" s="25">
        <v>101875887</v>
      </c>
      <c r="C16" s="27" t="s">
        <v>19</v>
      </c>
      <c r="D16" s="26">
        <v>13119.97</v>
      </c>
      <c r="E16" s="30"/>
      <c r="F16" s="26">
        <v>13119.97</v>
      </c>
      <c r="G16" s="73">
        <v>101687827</v>
      </c>
      <c r="H16" s="50" t="s">
        <v>20</v>
      </c>
    </row>
    <row r="17" spans="1:9" ht="18.75" x14ac:dyDescent="0.3">
      <c r="A17" s="25" t="s">
        <v>97</v>
      </c>
      <c r="B17" s="25">
        <v>101687827</v>
      </c>
      <c r="C17" s="27" t="s">
        <v>20</v>
      </c>
      <c r="D17" s="26">
        <v>28902.560000000001</v>
      </c>
      <c r="E17" s="30"/>
      <c r="F17" s="26">
        <v>28902.560000000001</v>
      </c>
      <c r="G17" s="73">
        <v>101064129</v>
      </c>
      <c r="H17" s="44" t="s">
        <v>24</v>
      </c>
      <c r="I17" s="21"/>
    </row>
    <row r="18" spans="1:9" ht="18.75" x14ac:dyDescent="0.3">
      <c r="A18" s="25" t="s">
        <v>98</v>
      </c>
      <c r="B18" s="25">
        <v>130296235</v>
      </c>
      <c r="C18" s="27" t="s">
        <v>21</v>
      </c>
      <c r="D18" s="26">
        <v>389838.41</v>
      </c>
      <c r="E18" s="30">
        <v>2187.75</v>
      </c>
      <c r="F18" s="26">
        <f>D18-E18</f>
        <v>387650.66</v>
      </c>
      <c r="G18" s="73">
        <v>124032423</v>
      </c>
      <c r="H18" s="44" t="s">
        <v>113</v>
      </c>
    </row>
    <row r="19" spans="1:9" ht="18.75" x14ac:dyDescent="0.3">
      <c r="A19" s="25" t="s">
        <v>99</v>
      </c>
      <c r="B19" s="25">
        <v>130058008</v>
      </c>
      <c r="C19" s="27" t="s">
        <v>22</v>
      </c>
      <c r="D19" s="26">
        <v>40745.74</v>
      </c>
      <c r="E19" s="30"/>
      <c r="F19" s="26">
        <v>40745.74</v>
      </c>
      <c r="G19" s="73">
        <v>101886481</v>
      </c>
      <c r="H19" s="44" t="s">
        <v>16</v>
      </c>
    </row>
    <row r="20" spans="1:9" ht="18.75" x14ac:dyDescent="0.3">
      <c r="A20" s="25" t="s">
        <v>100</v>
      </c>
      <c r="B20" s="25">
        <v>430089885</v>
      </c>
      <c r="C20" s="27" t="s">
        <v>23</v>
      </c>
      <c r="D20" s="26">
        <v>38168.699999999997</v>
      </c>
      <c r="E20" s="30"/>
      <c r="F20" s="26">
        <v>38168.699999999997</v>
      </c>
      <c r="G20" s="73">
        <v>430089885</v>
      </c>
      <c r="H20" s="44" t="s">
        <v>23</v>
      </c>
    </row>
    <row r="21" spans="1:9" ht="18.75" x14ac:dyDescent="0.3">
      <c r="A21" s="25" t="s">
        <v>101</v>
      </c>
      <c r="B21" s="25">
        <v>101064129</v>
      </c>
      <c r="C21" s="27" t="s">
        <v>24</v>
      </c>
      <c r="D21" s="26">
        <v>88200.19</v>
      </c>
      <c r="E21" s="30"/>
      <c r="F21" s="26">
        <v>88200.19</v>
      </c>
      <c r="G21" s="73">
        <v>130058008</v>
      </c>
      <c r="H21" s="44" t="s">
        <v>114</v>
      </c>
    </row>
    <row r="22" spans="1:9" ht="18.75" x14ac:dyDescent="0.3">
      <c r="A22" s="25" t="s">
        <v>102</v>
      </c>
      <c r="B22" s="25">
        <v>101788682</v>
      </c>
      <c r="C22" s="27" t="s">
        <v>64</v>
      </c>
      <c r="D22" s="26">
        <v>54351.55</v>
      </c>
      <c r="E22" s="30"/>
      <c r="F22" s="26">
        <v>54351.55</v>
      </c>
      <c r="G22" s="73">
        <v>101875887</v>
      </c>
      <c r="H22" s="44" t="s">
        <v>19</v>
      </c>
    </row>
    <row r="23" spans="1:9" ht="18.75" x14ac:dyDescent="0.3">
      <c r="A23" s="25" t="s">
        <v>103</v>
      </c>
      <c r="B23" s="25">
        <v>101024097</v>
      </c>
      <c r="C23" s="27" t="s">
        <v>26</v>
      </c>
      <c r="D23" s="26">
        <v>26648.23</v>
      </c>
      <c r="E23" s="30"/>
      <c r="F23" s="26">
        <v>26648.23</v>
      </c>
      <c r="G23" s="73">
        <v>130296235</v>
      </c>
      <c r="H23" s="44" t="s">
        <v>115</v>
      </c>
    </row>
    <row r="24" spans="1:9" ht="18.75" x14ac:dyDescent="0.3">
      <c r="A24" s="25" t="s">
        <v>104</v>
      </c>
      <c r="B24" s="25">
        <v>124032423</v>
      </c>
      <c r="C24" s="27" t="s">
        <v>67</v>
      </c>
      <c r="D24" s="26">
        <v>12148</v>
      </c>
      <c r="E24" s="30"/>
      <c r="F24" s="26">
        <v>12148</v>
      </c>
      <c r="G24" s="73">
        <v>101024097</v>
      </c>
      <c r="H24" s="44" t="s">
        <v>26</v>
      </c>
    </row>
    <row r="25" spans="1:9" ht="18.75" x14ac:dyDescent="0.3">
      <c r="A25" s="25" t="s">
        <v>105</v>
      </c>
      <c r="B25" s="25">
        <v>101886481</v>
      </c>
      <c r="C25" s="27" t="s">
        <v>16</v>
      </c>
      <c r="D25" s="26">
        <v>378719.69</v>
      </c>
      <c r="E25" s="30">
        <v>1950</v>
      </c>
      <c r="F25" s="26">
        <f>D25-E25</f>
        <v>376769.69</v>
      </c>
      <c r="G25" s="73">
        <v>101788682</v>
      </c>
      <c r="H25" s="44" t="s">
        <v>116</v>
      </c>
    </row>
    <row r="26" spans="1:9" ht="18.75" x14ac:dyDescent="0.3">
      <c r="A26" s="25" t="s">
        <v>106</v>
      </c>
      <c r="B26" s="25">
        <v>401052662</v>
      </c>
      <c r="C26" s="27" t="s">
        <v>27</v>
      </c>
      <c r="D26" s="26">
        <v>13301.87</v>
      </c>
      <c r="E26" s="30"/>
      <c r="F26" s="26">
        <v>13301.87</v>
      </c>
      <c r="G26" s="73">
        <v>401052662</v>
      </c>
      <c r="H26" s="48" t="s">
        <v>27</v>
      </c>
    </row>
    <row r="27" spans="1:9" ht="18.75" x14ac:dyDescent="0.3">
      <c r="A27" s="25" t="s">
        <v>107</v>
      </c>
      <c r="B27" s="25">
        <v>401516454</v>
      </c>
      <c r="C27" s="27" t="s">
        <v>29</v>
      </c>
      <c r="D27" s="26">
        <v>30463.1</v>
      </c>
      <c r="E27" s="30"/>
      <c r="F27" s="26">
        <v>30463.1</v>
      </c>
      <c r="G27" s="73">
        <v>401516454</v>
      </c>
      <c r="H27" s="44" t="s">
        <v>31</v>
      </c>
    </row>
    <row r="28" spans="1:9" ht="18.75" x14ac:dyDescent="0.3">
      <c r="A28" s="25" t="s">
        <v>108</v>
      </c>
      <c r="B28" s="25">
        <v>401516454</v>
      </c>
      <c r="C28" s="27" t="s">
        <v>31</v>
      </c>
      <c r="D28" s="26">
        <v>2570895.81</v>
      </c>
      <c r="E28" s="30">
        <v>10000</v>
      </c>
      <c r="F28" s="26">
        <v>2528895.81</v>
      </c>
      <c r="G28" s="73"/>
      <c r="H28" s="44"/>
    </row>
    <row r="29" spans="1:9" ht="18.75" x14ac:dyDescent="0.3">
      <c r="A29" s="25" t="s">
        <v>32</v>
      </c>
      <c r="B29" s="25"/>
      <c r="C29" s="27" t="s">
        <v>32</v>
      </c>
      <c r="D29" s="30">
        <f>F29+E29</f>
        <v>7413343.7400000002</v>
      </c>
      <c r="E29" s="42">
        <v>25000</v>
      </c>
      <c r="F29" s="65">
        <v>7388343.7400000002</v>
      </c>
      <c r="G29" s="73"/>
      <c r="H29" s="44"/>
    </row>
    <row r="30" spans="1:9" ht="18.75" x14ac:dyDescent="0.3">
      <c r="A30" s="25" t="s">
        <v>47</v>
      </c>
      <c r="B30" s="25"/>
      <c r="C30" s="27" t="s">
        <v>47</v>
      </c>
      <c r="D30" s="30"/>
      <c r="E30" s="42"/>
      <c r="F30" s="65">
        <v>856850</v>
      </c>
      <c r="G30" s="73"/>
      <c r="H30" s="44"/>
    </row>
    <row r="31" spans="1:9" ht="18.75" x14ac:dyDescent="0.3">
      <c r="A31" s="134" t="s">
        <v>33</v>
      </c>
      <c r="B31" s="134"/>
      <c r="C31" s="134"/>
      <c r="D31" s="39">
        <f>SUM(D10:D30)</f>
        <v>11865402.33</v>
      </c>
      <c r="E31" s="39"/>
      <c r="F31" s="66">
        <f>SUM(F10:F30)</f>
        <v>12651115.08</v>
      </c>
      <c r="G31" s="73"/>
      <c r="H31" s="44"/>
    </row>
    <row r="32" spans="1:9" x14ac:dyDescent="0.25">
      <c r="G32" s="73"/>
      <c r="H32" s="44"/>
    </row>
    <row r="33" spans="1:6" x14ac:dyDescent="0.25">
      <c r="F33" s="68"/>
    </row>
    <row r="36" spans="1:6" x14ac:dyDescent="0.25">
      <c r="A36" t="s">
        <v>34</v>
      </c>
    </row>
  </sheetData>
  <mergeCells count="8">
    <mergeCell ref="A7:G7"/>
    <mergeCell ref="A31:C31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6481-31C6-4FB9-8D06-1455ED52D049}">
  <dimension ref="A1:I36"/>
  <sheetViews>
    <sheetView tabSelected="1" topLeftCell="A11" zoomScaleNormal="100" zoomScaleSheetLayoutView="95" workbookViewId="0">
      <selection activeCell="E27" sqref="E27"/>
    </sheetView>
  </sheetViews>
  <sheetFormatPr baseColWidth="10" defaultColWidth="9.140625" defaultRowHeight="15" x14ac:dyDescent="0.25"/>
  <cols>
    <col min="1" max="1" width="23.28515625" bestFit="1" customWidth="1"/>
    <col min="2" max="2" width="28.85546875" bestFit="1" customWidth="1"/>
    <col min="3" max="3" width="23" bestFit="1" customWidth="1"/>
    <col min="4" max="4" width="24.5703125" bestFit="1" customWidth="1"/>
    <col min="5" max="5" width="18.28515625" bestFit="1" customWidth="1"/>
  </cols>
  <sheetData>
    <row r="1" spans="1:9" ht="33" x14ac:dyDescent="0.45">
      <c r="A1" s="128" t="s">
        <v>0</v>
      </c>
      <c r="B1" s="128"/>
      <c r="C1" s="128"/>
      <c r="D1" s="128"/>
      <c r="E1" s="128"/>
      <c r="F1" s="128"/>
      <c r="G1" s="89"/>
      <c r="H1" s="90"/>
      <c r="I1" s="89"/>
    </row>
    <row r="2" spans="1:9" ht="18.75" x14ac:dyDescent="0.3">
      <c r="A2" s="141" t="s">
        <v>1</v>
      </c>
      <c r="B2" s="141"/>
      <c r="C2" s="141"/>
      <c r="D2" s="141"/>
      <c r="E2" s="141"/>
      <c r="F2" s="141"/>
      <c r="G2" s="89"/>
      <c r="H2" s="90"/>
      <c r="I2" s="89"/>
    </row>
    <row r="3" spans="1:9" ht="18.75" x14ac:dyDescent="0.3">
      <c r="A3" s="135" t="s">
        <v>2</v>
      </c>
      <c r="B3" s="135"/>
      <c r="C3" s="135"/>
      <c r="D3" s="135"/>
      <c r="E3" s="135"/>
      <c r="F3" s="135"/>
      <c r="G3" s="89"/>
      <c r="H3" s="90"/>
      <c r="I3" s="89"/>
    </row>
    <row r="4" spans="1:9" ht="18.75" x14ac:dyDescent="0.3">
      <c r="A4" s="135" t="s">
        <v>3</v>
      </c>
      <c r="B4" s="135"/>
      <c r="C4" s="135"/>
      <c r="D4" s="135"/>
      <c r="E4" s="135"/>
      <c r="F4" s="135"/>
      <c r="G4" s="89"/>
      <c r="H4" s="90"/>
      <c r="I4" s="89"/>
    </row>
    <row r="5" spans="1:9" ht="18.75" x14ac:dyDescent="0.3">
      <c r="A5" s="135" t="s">
        <v>4</v>
      </c>
      <c r="B5" s="135"/>
      <c r="C5" s="135"/>
      <c r="D5" s="135"/>
      <c r="E5" s="135"/>
      <c r="F5" s="135"/>
      <c r="G5" s="89"/>
      <c r="H5" s="90"/>
      <c r="I5" s="89"/>
    </row>
    <row r="6" spans="1:9" ht="18.75" x14ac:dyDescent="0.3">
      <c r="A6" s="135" t="s">
        <v>5</v>
      </c>
      <c r="B6" s="135"/>
      <c r="C6" s="135"/>
      <c r="D6" s="135"/>
      <c r="E6" s="135"/>
      <c r="F6" s="135"/>
      <c r="G6" s="89"/>
      <c r="H6" s="90"/>
      <c r="I6" s="89"/>
    </row>
    <row r="7" spans="1:9" ht="18.75" x14ac:dyDescent="0.25">
      <c r="A7" s="133" t="s">
        <v>181</v>
      </c>
      <c r="B7" s="133"/>
      <c r="C7" s="133"/>
      <c r="D7" s="133"/>
      <c r="E7" s="133"/>
      <c r="F7" s="133"/>
      <c r="G7" s="91"/>
      <c r="H7" s="89"/>
      <c r="I7" s="90"/>
    </row>
    <row r="8" spans="1:9" ht="15.75" thickBot="1" x14ac:dyDescent="0.3">
      <c r="A8" s="91"/>
      <c r="B8" s="91"/>
      <c r="C8" s="91"/>
      <c r="D8" s="91"/>
      <c r="E8" s="91"/>
      <c r="F8" s="91"/>
      <c r="G8" s="91"/>
      <c r="H8" s="89"/>
      <c r="I8" s="90"/>
    </row>
    <row r="9" spans="1:9" ht="18.75" x14ac:dyDescent="0.3">
      <c r="A9" s="96" t="s">
        <v>6</v>
      </c>
      <c r="B9" s="97" t="s">
        <v>7</v>
      </c>
      <c r="C9" s="98" t="s">
        <v>8</v>
      </c>
      <c r="D9" s="98" t="s">
        <v>49</v>
      </c>
      <c r="E9" s="99" t="s">
        <v>10</v>
      </c>
      <c r="F9" s="95"/>
      <c r="G9" s="89"/>
      <c r="H9" s="89"/>
      <c r="I9" s="89"/>
    </row>
    <row r="10" spans="1:9" ht="18.75" x14ac:dyDescent="0.3">
      <c r="A10" s="25" t="s">
        <v>182</v>
      </c>
      <c r="B10" s="25" t="s">
        <v>11</v>
      </c>
      <c r="C10" s="34">
        <v>37253.629999999997</v>
      </c>
      <c r="D10" s="27"/>
      <c r="E10" s="102">
        <v>37253.629999999997</v>
      </c>
      <c r="F10" s="95"/>
      <c r="G10" s="92"/>
      <c r="H10" s="89"/>
      <c r="I10" s="89"/>
    </row>
    <row r="11" spans="1:9" ht="18.75" x14ac:dyDescent="0.3">
      <c r="A11" s="25" t="s">
        <v>183</v>
      </c>
      <c r="B11" s="27" t="s">
        <v>12</v>
      </c>
      <c r="C11" s="34">
        <v>634790.11</v>
      </c>
      <c r="D11" s="27"/>
      <c r="E11" s="102">
        <v>634790.11</v>
      </c>
      <c r="F11" s="95"/>
      <c r="G11" s="92"/>
      <c r="H11" s="89"/>
      <c r="I11" s="89"/>
    </row>
    <row r="12" spans="1:9" ht="18.75" x14ac:dyDescent="0.3">
      <c r="A12" s="25" t="s">
        <v>184</v>
      </c>
      <c r="B12" s="27" t="s">
        <v>13</v>
      </c>
      <c r="C12" s="34">
        <v>80190.399999999994</v>
      </c>
      <c r="D12" s="27"/>
      <c r="E12" s="102">
        <v>80190.399999999994</v>
      </c>
      <c r="F12" s="95"/>
      <c r="G12" s="92"/>
      <c r="H12" s="89"/>
      <c r="I12" s="89"/>
    </row>
    <row r="13" spans="1:9" ht="18.75" x14ac:dyDescent="0.3">
      <c r="A13" s="25" t="s">
        <v>185</v>
      </c>
      <c r="B13" s="27" t="s">
        <v>14</v>
      </c>
      <c r="C13" s="34">
        <v>6545.23</v>
      </c>
      <c r="D13" s="27"/>
      <c r="E13" s="102">
        <v>6545.23</v>
      </c>
      <c r="F13" s="95"/>
      <c r="G13" s="89"/>
      <c r="H13" s="89"/>
      <c r="I13" s="89"/>
    </row>
    <row r="14" spans="1:9" ht="18.75" x14ac:dyDescent="0.3">
      <c r="A14" s="25" t="s">
        <v>186</v>
      </c>
      <c r="B14" s="27" t="s">
        <v>15</v>
      </c>
      <c r="C14" s="34">
        <v>196009.12</v>
      </c>
      <c r="D14" s="27"/>
      <c r="E14" s="102">
        <v>196009.12</v>
      </c>
      <c r="F14" s="95"/>
      <c r="G14" s="89"/>
      <c r="H14" s="89"/>
      <c r="I14" s="89"/>
    </row>
    <row r="15" spans="1:9" ht="18.75" x14ac:dyDescent="0.3">
      <c r="A15" s="25" t="s">
        <v>187</v>
      </c>
      <c r="B15" s="27" t="s">
        <v>18</v>
      </c>
      <c r="C15" s="34">
        <v>246860.42</v>
      </c>
      <c r="D15" s="30"/>
      <c r="E15" s="102">
        <v>246860.42</v>
      </c>
      <c r="F15" s="95"/>
      <c r="G15" s="93"/>
      <c r="H15" s="89"/>
      <c r="I15" s="89"/>
    </row>
    <row r="16" spans="1:9" ht="18.75" x14ac:dyDescent="0.3">
      <c r="A16" s="25" t="s">
        <v>188</v>
      </c>
      <c r="B16" s="27" t="s">
        <v>19</v>
      </c>
      <c r="C16" s="34">
        <v>66096.600000000006</v>
      </c>
      <c r="D16" s="30"/>
      <c r="E16" s="102">
        <v>66096.600000000006</v>
      </c>
      <c r="F16" s="95"/>
      <c r="G16" s="89"/>
      <c r="H16" s="89"/>
      <c r="I16" s="89"/>
    </row>
    <row r="17" spans="1:8" ht="18.75" x14ac:dyDescent="0.3">
      <c r="A17" s="25" t="s">
        <v>189</v>
      </c>
      <c r="B17" s="27" t="s">
        <v>20</v>
      </c>
      <c r="C17" s="34">
        <v>7586.59</v>
      </c>
      <c r="D17" s="30"/>
      <c r="E17" s="102">
        <v>7586.59</v>
      </c>
      <c r="F17" s="95"/>
      <c r="G17" s="89"/>
      <c r="H17" s="93"/>
    </row>
    <row r="18" spans="1:8" ht="18.75" x14ac:dyDescent="0.3">
      <c r="A18" s="25" t="s">
        <v>190</v>
      </c>
      <c r="B18" s="27" t="s">
        <v>21</v>
      </c>
      <c r="C18" s="34">
        <v>1040980.3300000001</v>
      </c>
      <c r="D18" s="30">
        <v>31468.68</v>
      </c>
      <c r="E18" s="102">
        <v>1009511.65</v>
      </c>
      <c r="F18" s="95"/>
      <c r="G18" s="89"/>
      <c r="H18" s="89"/>
    </row>
    <row r="19" spans="1:8" ht="18.75" x14ac:dyDescent="0.3">
      <c r="A19" s="25" t="s">
        <v>191</v>
      </c>
      <c r="B19" s="27" t="s">
        <v>22</v>
      </c>
      <c r="C19" s="34">
        <v>105146.53</v>
      </c>
      <c r="D19" s="30"/>
      <c r="E19" s="102">
        <v>105146.53</v>
      </c>
      <c r="F19" s="95"/>
      <c r="G19" s="89"/>
      <c r="H19" s="89"/>
    </row>
    <row r="20" spans="1:8" ht="18.75" x14ac:dyDescent="0.3">
      <c r="A20" s="25" t="s">
        <v>192</v>
      </c>
      <c r="B20" s="27" t="s">
        <v>23</v>
      </c>
      <c r="C20" s="34">
        <v>165161.13</v>
      </c>
      <c r="D20" s="30"/>
      <c r="E20" s="102">
        <v>165161.13</v>
      </c>
      <c r="F20" s="95"/>
      <c r="G20" s="89"/>
      <c r="H20" s="89"/>
    </row>
    <row r="21" spans="1:8" ht="18.75" x14ac:dyDescent="0.3">
      <c r="A21" s="25" t="s">
        <v>193</v>
      </c>
      <c r="B21" s="27" t="s">
        <v>24</v>
      </c>
      <c r="C21" s="34">
        <v>282288.73</v>
      </c>
      <c r="D21" s="30"/>
      <c r="E21" s="102">
        <v>282288.73</v>
      </c>
      <c r="F21" s="95"/>
      <c r="G21" s="89"/>
      <c r="H21" s="89"/>
    </row>
    <row r="22" spans="1:8" ht="18.75" x14ac:dyDescent="0.3">
      <c r="A22" s="25" t="s">
        <v>194</v>
      </c>
      <c r="B22" s="27" t="s">
        <v>64</v>
      </c>
      <c r="C22" s="34">
        <v>2500</v>
      </c>
      <c r="D22" s="30"/>
      <c r="E22" s="102">
        <v>2500</v>
      </c>
      <c r="F22" s="95"/>
      <c r="G22" s="89"/>
      <c r="H22" s="89"/>
    </row>
    <row r="23" spans="1:8" ht="18.75" x14ac:dyDescent="0.3">
      <c r="A23" s="25" t="s">
        <v>195</v>
      </c>
      <c r="B23" s="27" t="s">
        <v>26</v>
      </c>
      <c r="C23" s="34">
        <v>12927.61</v>
      </c>
      <c r="D23" s="30"/>
      <c r="E23" s="102">
        <v>12927.61</v>
      </c>
      <c r="F23" s="95"/>
      <c r="G23" s="89"/>
      <c r="H23" s="89"/>
    </row>
    <row r="24" spans="1:8" ht="18.75" x14ac:dyDescent="0.3">
      <c r="A24" s="25" t="s">
        <v>196</v>
      </c>
      <c r="B24" s="27" t="s">
        <v>67</v>
      </c>
      <c r="C24" s="34">
        <v>22455.91</v>
      </c>
      <c r="D24" s="30"/>
      <c r="E24" s="102">
        <v>22455.91</v>
      </c>
      <c r="F24" s="95"/>
      <c r="G24" s="89"/>
      <c r="H24" s="89"/>
    </row>
    <row r="25" spans="1:8" ht="18.75" x14ac:dyDescent="0.3">
      <c r="A25" s="25" t="s">
        <v>197</v>
      </c>
      <c r="B25" s="27" t="s">
        <v>16</v>
      </c>
      <c r="C25" s="34">
        <v>356377.87</v>
      </c>
      <c r="D25" s="30"/>
      <c r="E25" s="102">
        <v>356377.87</v>
      </c>
      <c r="F25" s="95"/>
      <c r="G25" s="89"/>
      <c r="H25" s="89"/>
    </row>
    <row r="26" spans="1:8" ht="18.75" x14ac:dyDescent="0.3">
      <c r="A26" s="25" t="s">
        <v>198</v>
      </c>
      <c r="B26" s="27" t="s">
        <v>27</v>
      </c>
      <c r="C26" s="34">
        <v>72979.17</v>
      </c>
      <c r="D26" s="30"/>
      <c r="E26" s="102">
        <v>72979.17</v>
      </c>
      <c r="F26" s="95"/>
      <c r="G26" s="94"/>
      <c r="H26" s="89"/>
    </row>
    <row r="27" spans="1:8" ht="18.75" x14ac:dyDescent="0.3">
      <c r="A27" s="25" t="s">
        <v>199</v>
      </c>
      <c r="B27" s="27" t="s">
        <v>29</v>
      </c>
      <c r="C27" s="34">
        <v>18188.8</v>
      </c>
      <c r="D27" s="30"/>
      <c r="E27" s="102">
        <v>18188.8</v>
      </c>
      <c r="F27" s="95"/>
      <c r="G27" s="89"/>
      <c r="H27" s="89"/>
    </row>
    <row r="28" spans="1:8" ht="18.75" x14ac:dyDescent="0.3">
      <c r="A28" s="25" t="s">
        <v>200</v>
      </c>
      <c r="B28" s="27" t="s">
        <v>31</v>
      </c>
      <c r="C28" s="34">
        <v>2390951.16</v>
      </c>
      <c r="D28" s="30">
        <v>12013.97</v>
      </c>
      <c r="E28" s="102">
        <v>2378937.19</v>
      </c>
      <c r="F28" s="95"/>
      <c r="G28" s="89"/>
      <c r="H28" s="89"/>
    </row>
    <row r="29" spans="1:8" ht="18.75" x14ac:dyDescent="0.3">
      <c r="A29" s="25" t="s">
        <v>32</v>
      </c>
      <c r="B29" s="27" t="s">
        <v>32</v>
      </c>
      <c r="C29" s="30">
        <v>5095748.9000000004</v>
      </c>
      <c r="D29" s="42">
        <v>45310.66</v>
      </c>
      <c r="E29" s="103">
        <v>5050438.24</v>
      </c>
      <c r="F29" s="95"/>
      <c r="G29" s="89"/>
      <c r="H29" s="89"/>
    </row>
    <row r="30" spans="1:8" ht="18.75" x14ac:dyDescent="0.3">
      <c r="A30" s="25" t="s">
        <v>47</v>
      </c>
      <c r="B30" s="27" t="s">
        <v>47</v>
      </c>
      <c r="C30" s="30">
        <v>0</v>
      </c>
      <c r="D30" s="42"/>
      <c r="E30" s="65">
        <v>337150</v>
      </c>
      <c r="F30" s="95"/>
      <c r="G30" s="89"/>
      <c r="H30" s="89"/>
    </row>
    <row r="31" spans="1:8" ht="19.5" thickBot="1" x14ac:dyDescent="0.35">
      <c r="A31" s="142" t="s">
        <v>33</v>
      </c>
      <c r="B31" s="143"/>
      <c r="C31" s="100">
        <f>SUM(C10:C30)</f>
        <v>10841038.24</v>
      </c>
      <c r="D31" s="100">
        <v>88793.31</v>
      </c>
      <c r="E31" s="101">
        <v>11089394.93</v>
      </c>
      <c r="F31" s="95"/>
      <c r="G31" s="89"/>
      <c r="H31" s="89"/>
    </row>
    <row r="33" spans="1:3" x14ac:dyDescent="0.25">
      <c r="C33" s="92"/>
    </row>
    <row r="34" spans="1:3" x14ac:dyDescent="0.25">
      <c r="C34" s="92"/>
    </row>
    <row r="36" spans="1:3" x14ac:dyDescent="0.25">
      <c r="A36" s="89" t="s">
        <v>34</v>
      </c>
    </row>
  </sheetData>
  <mergeCells count="8">
    <mergeCell ref="A7:F7"/>
    <mergeCell ref="A31:B31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  <pageSetup scale="76" orientation="landscape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CBEC-974B-4A42-99E8-431966CBDD06}">
  <dimension ref="A1:I35"/>
  <sheetViews>
    <sheetView topLeftCell="A9" workbookViewId="0">
      <selection activeCell="B20" sqref="B20"/>
    </sheetView>
  </sheetViews>
  <sheetFormatPr baseColWidth="10" defaultRowHeight="15" x14ac:dyDescent="0.25"/>
  <cols>
    <col min="1" max="1" width="23.140625" style="89" bestFit="1" customWidth="1"/>
    <col min="2" max="2" width="25.5703125" style="89" customWidth="1"/>
    <col min="3" max="3" width="25.7109375" style="90" bestFit="1" customWidth="1"/>
    <col min="4" max="4" width="23.5703125" style="90" customWidth="1"/>
    <col min="5" max="5" width="17.28515625" style="90" customWidth="1"/>
    <col min="6" max="6" width="17.28515625" style="89" customWidth="1"/>
    <col min="7" max="7" width="13.140625" style="90" bestFit="1" customWidth="1"/>
    <col min="8" max="8" width="14.140625" style="89" bestFit="1" customWidth="1"/>
    <col min="9" max="16384" width="11.42578125" style="89"/>
  </cols>
  <sheetData>
    <row r="1" spans="1:9" ht="33" x14ac:dyDescent="0.45">
      <c r="A1" s="128" t="s">
        <v>0</v>
      </c>
      <c r="B1" s="128"/>
      <c r="C1" s="128"/>
      <c r="D1" s="128"/>
      <c r="E1" s="128"/>
      <c r="F1" s="104"/>
      <c r="G1" s="89"/>
      <c r="H1" s="90"/>
    </row>
    <row r="2" spans="1:9" ht="18.75" x14ac:dyDescent="0.3">
      <c r="A2" s="141" t="s">
        <v>1</v>
      </c>
      <c r="B2" s="141"/>
      <c r="C2" s="141"/>
      <c r="D2" s="141"/>
      <c r="E2" s="141"/>
      <c r="F2" s="105"/>
      <c r="G2" s="89"/>
      <c r="H2" s="90"/>
    </row>
    <row r="3" spans="1:9" ht="18.75" x14ac:dyDescent="0.3">
      <c r="A3" s="135" t="s">
        <v>2</v>
      </c>
      <c r="B3" s="135"/>
      <c r="C3" s="135"/>
      <c r="D3" s="135"/>
      <c r="E3" s="135"/>
      <c r="F3" s="93"/>
      <c r="G3" s="89"/>
      <c r="H3" s="90"/>
    </row>
    <row r="4" spans="1:9" ht="18.75" x14ac:dyDescent="0.3">
      <c r="A4" s="135" t="s">
        <v>3</v>
      </c>
      <c r="B4" s="135"/>
      <c r="C4" s="135"/>
      <c r="D4" s="135"/>
      <c r="E4" s="135"/>
      <c r="F4" s="93"/>
      <c r="G4" s="89"/>
      <c r="H4" s="90"/>
    </row>
    <row r="5" spans="1:9" ht="18.75" x14ac:dyDescent="0.3">
      <c r="A5" s="135" t="s">
        <v>4</v>
      </c>
      <c r="B5" s="135"/>
      <c r="C5" s="135"/>
      <c r="D5" s="135"/>
      <c r="E5" s="135"/>
      <c r="F5" s="93"/>
      <c r="G5" s="89"/>
      <c r="H5" s="90"/>
    </row>
    <row r="6" spans="1:9" ht="18.75" x14ac:dyDescent="0.3">
      <c r="A6" s="135" t="s">
        <v>5</v>
      </c>
      <c r="B6" s="135"/>
      <c r="C6" s="135"/>
      <c r="D6" s="135"/>
      <c r="E6" s="135"/>
      <c r="F6" s="93"/>
      <c r="G6" s="89"/>
      <c r="H6" s="90"/>
    </row>
    <row r="7" spans="1:9" ht="18.75" x14ac:dyDescent="0.25">
      <c r="A7" s="144" t="s">
        <v>201</v>
      </c>
      <c r="B7" s="144"/>
      <c r="C7" s="144"/>
      <c r="D7" s="144"/>
      <c r="E7" s="144"/>
      <c r="F7" s="106"/>
      <c r="G7" s="107"/>
      <c r="I7" s="90"/>
    </row>
    <row r="8" spans="1:9" ht="15.75" thickBot="1" x14ac:dyDescent="0.3">
      <c r="A8" s="107"/>
      <c r="B8" s="107"/>
      <c r="C8" s="107"/>
      <c r="D8" s="107"/>
      <c r="E8" s="107"/>
      <c r="F8" s="107"/>
      <c r="G8" s="107"/>
      <c r="I8" s="90"/>
    </row>
    <row r="9" spans="1:9" ht="18.75" x14ac:dyDescent="0.3">
      <c r="A9" s="108" t="s">
        <v>6</v>
      </c>
      <c r="B9" s="109" t="s">
        <v>7</v>
      </c>
      <c r="C9" s="110" t="s">
        <v>8</v>
      </c>
      <c r="D9" s="39" t="s">
        <v>49</v>
      </c>
      <c r="E9" s="111" t="s">
        <v>10</v>
      </c>
      <c r="F9" s="95"/>
      <c r="G9" s="89"/>
    </row>
    <row r="10" spans="1:9" ht="18.75" x14ac:dyDescent="0.3">
      <c r="A10" s="112" t="s">
        <v>202</v>
      </c>
      <c r="B10" s="112" t="s">
        <v>11</v>
      </c>
      <c r="C10" s="35">
        <v>87793.49</v>
      </c>
      <c r="D10" s="36"/>
      <c r="E10" s="35">
        <v>87793.49</v>
      </c>
      <c r="F10" s="95"/>
      <c r="G10" s="92"/>
    </row>
    <row r="11" spans="1:9" ht="18.75" x14ac:dyDescent="0.3">
      <c r="A11" s="112" t="s">
        <v>203</v>
      </c>
      <c r="B11" s="27" t="s">
        <v>12</v>
      </c>
      <c r="C11" s="35">
        <v>317086.49</v>
      </c>
      <c r="D11" s="36"/>
      <c r="E11" s="35">
        <v>317086.49</v>
      </c>
      <c r="F11" s="95"/>
      <c r="G11" s="92"/>
    </row>
    <row r="12" spans="1:9" ht="18.75" x14ac:dyDescent="0.3">
      <c r="A12" s="112" t="s">
        <v>204</v>
      </c>
      <c r="B12" s="27" t="s">
        <v>13</v>
      </c>
      <c r="C12" s="35">
        <v>67416</v>
      </c>
      <c r="D12" s="36"/>
      <c r="E12" s="35">
        <v>67416</v>
      </c>
      <c r="F12" s="95"/>
      <c r="G12" s="92"/>
    </row>
    <row r="13" spans="1:9" ht="18.75" x14ac:dyDescent="0.3">
      <c r="A13" s="112" t="s">
        <v>205</v>
      </c>
      <c r="B13" s="27" t="s">
        <v>14</v>
      </c>
      <c r="C13" s="35">
        <v>3960.5</v>
      </c>
      <c r="D13" s="36"/>
      <c r="E13" s="35">
        <v>3960.5</v>
      </c>
      <c r="F13" s="95"/>
      <c r="G13" s="89"/>
    </row>
    <row r="14" spans="1:9" ht="18.75" x14ac:dyDescent="0.3">
      <c r="A14" s="112" t="s">
        <v>206</v>
      </c>
      <c r="B14" s="27" t="s">
        <v>15</v>
      </c>
      <c r="C14" s="35">
        <v>295194.03999999998</v>
      </c>
      <c r="D14" s="36"/>
      <c r="E14" s="35">
        <v>295194.03999999998</v>
      </c>
      <c r="F14" s="95"/>
      <c r="G14" s="89"/>
    </row>
    <row r="15" spans="1:9" ht="18.75" x14ac:dyDescent="0.3">
      <c r="A15" s="112" t="s">
        <v>207</v>
      </c>
      <c r="B15" s="27" t="s">
        <v>18</v>
      </c>
      <c r="C15" s="35">
        <v>148382.76</v>
      </c>
      <c r="D15" s="36"/>
      <c r="E15" s="35">
        <v>148382.76</v>
      </c>
      <c r="F15" s="95"/>
      <c r="G15" s="93"/>
    </row>
    <row r="16" spans="1:9" ht="18.75" x14ac:dyDescent="0.3">
      <c r="A16" s="112" t="s">
        <v>208</v>
      </c>
      <c r="B16" s="27" t="s">
        <v>19</v>
      </c>
      <c r="C16" s="35">
        <v>19865.349999999999</v>
      </c>
      <c r="D16" s="36"/>
      <c r="E16" s="35">
        <v>19865.349999999999</v>
      </c>
      <c r="F16" s="95"/>
      <c r="G16" s="89"/>
    </row>
    <row r="17" spans="1:8" ht="18.75" x14ac:dyDescent="0.3">
      <c r="A17" s="112" t="s">
        <v>209</v>
      </c>
      <c r="B17" s="27" t="s">
        <v>20</v>
      </c>
      <c r="C17" s="35">
        <v>22304.52</v>
      </c>
      <c r="D17" s="36"/>
      <c r="E17" s="35">
        <v>22304.52</v>
      </c>
      <c r="F17" s="95"/>
      <c r="G17" s="89"/>
      <c r="H17" s="93"/>
    </row>
    <row r="18" spans="1:8" ht="18.75" x14ac:dyDescent="0.3">
      <c r="A18" s="112" t="s">
        <v>210</v>
      </c>
      <c r="B18" s="27" t="s">
        <v>21</v>
      </c>
      <c r="C18" s="113">
        <v>1209329.18</v>
      </c>
      <c r="D18" s="36"/>
      <c r="E18" s="113">
        <v>1209329.18</v>
      </c>
      <c r="F18" s="95"/>
      <c r="G18" s="89"/>
    </row>
    <row r="19" spans="1:8" ht="18.75" x14ac:dyDescent="0.3">
      <c r="A19" s="112" t="s">
        <v>211</v>
      </c>
      <c r="B19" s="27" t="s">
        <v>22</v>
      </c>
      <c r="C19" s="35">
        <v>55818.18</v>
      </c>
      <c r="D19" s="36"/>
      <c r="E19" s="35">
        <v>55818.18</v>
      </c>
      <c r="F19" s="95"/>
      <c r="G19" s="89"/>
    </row>
    <row r="20" spans="1:8" ht="18.75" x14ac:dyDescent="0.3">
      <c r="A20" s="112" t="s">
        <v>212</v>
      </c>
      <c r="B20" s="27" t="s">
        <v>23</v>
      </c>
      <c r="C20" s="35">
        <v>8284.7199999999993</v>
      </c>
      <c r="D20" s="36"/>
      <c r="E20" s="35">
        <v>8284.7199999999993</v>
      </c>
      <c r="F20" s="95"/>
      <c r="G20" s="89"/>
    </row>
    <row r="21" spans="1:8" ht="18.75" x14ac:dyDescent="0.3">
      <c r="A21" s="112" t="s">
        <v>213</v>
      </c>
      <c r="B21" s="27" t="s">
        <v>24</v>
      </c>
      <c r="C21" s="35">
        <v>61039.21</v>
      </c>
      <c r="D21" s="36"/>
      <c r="E21" s="35">
        <v>61039.21</v>
      </c>
      <c r="F21" s="95"/>
      <c r="G21" s="89"/>
    </row>
    <row r="22" spans="1:8" ht="18.75" x14ac:dyDescent="0.3">
      <c r="A22" s="112" t="s">
        <v>214</v>
      </c>
      <c r="B22" s="27" t="s">
        <v>64</v>
      </c>
      <c r="C22" s="35">
        <v>2544.7199999999998</v>
      </c>
      <c r="D22" s="36"/>
      <c r="E22" s="35">
        <v>2544.7199999999998</v>
      </c>
      <c r="F22" s="95"/>
      <c r="G22" s="89"/>
    </row>
    <row r="23" spans="1:8" ht="18.75" x14ac:dyDescent="0.3">
      <c r="A23" s="112" t="s">
        <v>215</v>
      </c>
      <c r="B23" s="27" t="s">
        <v>26</v>
      </c>
      <c r="C23" s="36">
        <v>71868.649999999994</v>
      </c>
      <c r="D23" s="36"/>
      <c r="E23" s="36">
        <v>71868.649999999994</v>
      </c>
      <c r="F23" s="95"/>
      <c r="G23" s="89"/>
    </row>
    <row r="24" spans="1:8" ht="18.75" x14ac:dyDescent="0.3">
      <c r="A24" s="112" t="s">
        <v>216</v>
      </c>
      <c r="B24" s="27" t="s">
        <v>67</v>
      </c>
      <c r="C24" s="35">
        <v>37260.879999999997</v>
      </c>
      <c r="D24" s="36"/>
      <c r="E24" s="35">
        <v>37260.879999999997</v>
      </c>
      <c r="F24" s="95"/>
      <c r="G24" s="89"/>
    </row>
    <row r="25" spans="1:8" ht="18.75" x14ac:dyDescent="0.3">
      <c r="A25" s="112" t="s">
        <v>217</v>
      </c>
      <c r="B25" s="27" t="s">
        <v>27</v>
      </c>
      <c r="C25" s="35">
        <v>21293.38</v>
      </c>
      <c r="D25" s="36"/>
      <c r="E25" s="35">
        <v>21293.38</v>
      </c>
      <c r="F25" s="95"/>
      <c r="G25" s="114"/>
    </row>
    <row r="26" spans="1:8" ht="18.75" x14ac:dyDescent="0.3">
      <c r="A26" s="112" t="s">
        <v>218</v>
      </c>
      <c r="B26" s="27" t="s">
        <v>29</v>
      </c>
      <c r="C26" s="35">
        <v>13049.24</v>
      </c>
      <c r="D26" s="36"/>
      <c r="E26" s="35">
        <v>13049.24</v>
      </c>
      <c r="F26" s="95"/>
      <c r="G26" s="89"/>
    </row>
    <row r="27" spans="1:8" ht="18.75" x14ac:dyDescent="0.3">
      <c r="A27" s="112" t="s">
        <v>219</v>
      </c>
      <c r="B27" s="27" t="s">
        <v>31</v>
      </c>
      <c r="C27" s="35">
        <v>2495962.56</v>
      </c>
      <c r="D27" s="36">
        <v>20452.64</v>
      </c>
      <c r="E27" s="35">
        <v>2495962.56</v>
      </c>
      <c r="F27" s="95"/>
      <c r="G27" s="89"/>
    </row>
    <row r="28" spans="1:8" ht="18.75" x14ac:dyDescent="0.3">
      <c r="A28" s="112" t="s">
        <v>32</v>
      </c>
      <c r="B28" s="27" t="s">
        <v>32</v>
      </c>
      <c r="C28" s="36">
        <f>E28+D28</f>
        <v>3962152.9</v>
      </c>
      <c r="D28" s="115">
        <v>82462.48</v>
      </c>
      <c r="E28" s="65">
        <v>3879690.42</v>
      </c>
      <c r="F28" s="95"/>
      <c r="G28" s="89"/>
    </row>
    <row r="29" spans="1:8" ht="18.75" x14ac:dyDescent="0.3">
      <c r="A29" s="112" t="s">
        <v>47</v>
      </c>
      <c r="B29" s="27" t="s">
        <v>47</v>
      </c>
      <c r="C29" s="36">
        <v>0</v>
      </c>
      <c r="D29" s="115"/>
      <c r="E29" s="65">
        <v>311200</v>
      </c>
      <c r="F29" s="95"/>
      <c r="G29" s="89"/>
    </row>
    <row r="30" spans="1:8" ht="19.5" thickBot="1" x14ac:dyDescent="0.35">
      <c r="A30" s="145" t="s">
        <v>33</v>
      </c>
      <c r="B30" s="146"/>
      <c r="C30" s="116">
        <f>SUM(C10:C29)</f>
        <v>8900606.7700000014</v>
      </c>
      <c r="D30" s="116">
        <f t="shared" ref="D30:E30" si="0">SUM(D10:D29)</f>
        <v>102915.12</v>
      </c>
      <c r="E30" s="116">
        <f t="shared" si="0"/>
        <v>9129344.290000001</v>
      </c>
      <c r="F30" s="95"/>
      <c r="G30" s="89"/>
    </row>
    <row r="31" spans="1:8" x14ac:dyDescent="0.25">
      <c r="C31" s="90">
        <f>+C30-SEPT!C31</f>
        <v>-1940431.4699999988</v>
      </c>
    </row>
    <row r="32" spans="1:8" x14ac:dyDescent="0.25">
      <c r="C32" s="117">
        <f>+C31/C30</f>
        <v>-0.21801114464918647</v>
      </c>
    </row>
    <row r="35" spans="1:1" x14ac:dyDescent="0.25">
      <c r="A35" s="89" t="s">
        <v>34</v>
      </c>
    </row>
  </sheetData>
  <mergeCells count="8">
    <mergeCell ref="A7:E7"/>
    <mergeCell ref="A30:B30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7F7C-9CD5-47CB-8132-62B79992057D}">
  <dimension ref="A1:I36"/>
  <sheetViews>
    <sheetView topLeftCell="A10" workbookViewId="0">
      <selection activeCell="F12" sqref="F12"/>
    </sheetView>
  </sheetViews>
  <sheetFormatPr baseColWidth="10" defaultRowHeight="15" x14ac:dyDescent="0.25"/>
  <cols>
    <col min="1" max="2" width="22.42578125" style="89" customWidth="1"/>
    <col min="3" max="3" width="25.7109375" style="90" bestFit="1" customWidth="1"/>
    <col min="4" max="4" width="23.5703125" style="90" customWidth="1"/>
    <col min="5" max="5" width="18.140625" style="90" bestFit="1" customWidth="1"/>
    <col min="6" max="6" width="17.28515625" style="89" customWidth="1"/>
    <col min="7" max="7" width="13.140625" style="90" bestFit="1" customWidth="1"/>
    <col min="8" max="8" width="14.140625" style="89" bestFit="1" customWidth="1"/>
    <col min="9" max="16384" width="11.42578125" style="89"/>
  </cols>
  <sheetData>
    <row r="1" spans="1:9" ht="33" x14ac:dyDescent="0.45">
      <c r="A1" s="128" t="s">
        <v>0</v>
      </c>
      <c r="B1" s="128"/>
      <c r="C1" s="128"/>
      <c r="D1" s="128"/>
      <c r="E1" s="128"/>
      <c r="F1" s="128"/>
      <c r="G1" s="89"/>
      <c r="H1" s="90"/>
    </row>
    <row r="2" spans="1:9" ht="18.75" x14ac:dyDescent="0.3">
      <c r="A2" s="141" t="s">
        <v>1</v>
      </c>
      <c r="B2" s="141"/>
      <c r="C2" s="141"/>
      <c r="D2" s="141"/>
      <c r="E2" s="141"/>
      <c r="F2" s="141"/>
      <c r="G2" s="89"/>
      <c r="H2" s="90"/>
    </row>
    <row r="3" spans="1:9" ht="18.75" x14ac:dyDescent="0.3">
      <c r="A3" s="135" t="s">
        <v>2</v>
      </c>
      <c r="B3" s="135"/>
      <c r="C3" s="135"/>
      <c r="D3" s="135"/>
      <c r="E3" s="135"/>
      <c r="F3" s="135"/>
      <c r="G3" s="89"/>
      <c r="H3" s="90"/>
    </row>
    <row r="4" spans="1:9" ht="18.75" x14ac:dyDescent="0.3">
      <c r="A4" s="135" t="s">
        <v>3</v>
      </c>
      <c r="B4" s="135"/>
      <c r="C4" s="135"/>
      <c r="D4" s="135"/>
      <c r="E4" s="135"/>
      <c r="F4" s="135"/>
      <c r="G4" s="89"/>
      <c r="H4" s="90"/>
    </row>
    <row r="5" spans="1:9" ht="18.75" x14ac:dyDescent="0.3">
      <c r="A5" s="135" t="s">
        <v>4</v>
      </c>
      <c r="B5" s="135"/>
      <c r="C5" s="135"/>
      <c r="D5" s="135"/>
      <c r="E5" s="135"/>
      <c r="F5" s="135"/>
      <c r="G5" s="89"/>
      <c r="H5" s="90"/>
    </row>
    <row r="6" spans="1:9" ht="18.75" x14ac:dyDescent="0.3">
      <c r="A6" s="135" t="s">
        <v>5</v>
      </c>
      <c r="B6" s="135"/>
      <c r="C6" s="135"/>
      <c r="D6" s="135"/>
      <c r="E6" s="135"/>
      <c r="F6" s="135"/>
      <c r="G6" s="89"/>
      <c r="H6" s="90"/>
    </row>
    <row r="7" spans="1:9" ht="19.5" thickBot="1" x14ac:dyDescent="0.3">
      <c r="A7" s="147" t="s">
        <v>220</v>
      </c>
      <c r="B7" s="147"/>
      <c r="C7" s="147"/>
      <c r="D7" s="147"/>
      <c r="E7" s="147"/>
      <c r="F7" s="147"/>
      <c r="G7" s="107"/>
      <c r="I7" s="90"/>
    </row>
    <row r="8" spans="1:9" x14ac:dyDescent="0.25">
      <c r="A8" s="148"/>
      <c r="B8" s="149"/>
      <c r="C8" s="149"/>
      <c r="D8" s="149"/>
      <c r="E8" s="150"/>
      <c r="F8" s="107"/>
      <c r="G8" s="107"/>
      <c r="I8" s="90"/>
    </row>
    <row r="9" spans="1:9" ht="18.75" x14ac:dyDescent="0.3">
      <c r="A9" s="151" t="s">
        <v>6</v>
      </c>
      <c r="B9" s="151" t="s">
        <v>7</v>
      </c>
      <c r="C9" s="39" t="s">
        <v>8</v>
      </c>
      <c r="D9" s="39" t="s">
        <v>49</v>
      </c>
      <c r="E9" s="39" t="s">
        <v>10</v>
      </c>
      <c r="F9" s="95"/>
      <c r="G9" s="89"/>
    </row>
    <row r="10" spans="1:9" ht="18.75" x14ac:dyDescent="0.3">
      <c r="A10" s="114" t="s">
        <v>221</v>
      </c>
      <c r="B10" s="114" t="s">
        <v>11</v>
      </c>
      <c r="C10" s="152">
        <v>60465.4</v>
      </c>
      <c r="D10" s="153"/>
      <c r="E10" s="152">
        <f>+C10-D10</f>
        <v>60465.4</v>
      </c>
      <c r="F10" s="95"/>
      <c r="G10" s="92"/>
    </row>
    <row r="11" spans="1:9" ht="18.75" x14ac:dyDescent="0.3">
      <c r="A11" s="114" t="s">
        <v>222</v>
      </c>
      <c r="B11" s="59" t="s">
        <v>12</v>
      </c>
      <c r="C11" s="152">
        <v>444335.13</v>
      </c>
      <c r="D11" s="153"/>
      <c r="E11" s="152">
        <f>+C11-D11</f>
        <v>444335.13</v>
      </c>
      <c r="F11" s="95"/>
      <c r="G11" s="92"/>
    </row>
    <row r="12" spans="1:9" ht="18.75" x14ac:dyDescent="0.3">
      <c r="A12" s="114" t="s">
        <v>223</v>
      </c>
      <c r="B12" s="59" t="s">
        <v>13</v>
      </c>
      <c r="C12" s="152">
        <v>87744.4</v>
      </c>
      <c r="D12" s="153"/>
      <c r="E12" s="152">
        <f>+C12-D12</f>
        <v>87744.4</v>
      </c>
      <c r="F12" s="95"/>
      <c r="G12" s="92"/>
    </row>
    <row r="13" spans="1:9" ht="18.75" x14ac:dyDescent="0.3">
      <c r="A13" s="114" t="s">
        <v>224</v>
      </c>
      <c r="B13" s="59" t="s">
        <v>14</v>
      </c>
      <c r="C13" s="152">
        <v>14022.84</v>
      </c>
      <c r="D13" s="153"/>
      <c r="E13" s="152">
        <f>+C13-D13</f>
        <v>14022.84</v>
      </c>
      <c r="F13" s="95"/>
      <c r="G13" s="89"/>
    </row>
    <row r="14" spans="1:9" ht="18.75" x14ac:dyDescent="0.3">
      <c r="A14" s="114" t="s">
        <v>225</v>
      </c>
      <c r="B14" s="59" t="s">
        <v>15</v>
      </c>
      <c r="C14" s="152">
        <v>407190.87</v>
      </c>
      <c r="D14" s="153"/>
      <c r="E14" s="152">
        <f>+C14-D14</f>
        <v>407190.87</v>
      </c>
      <c r="F14" s="95"/>
      <c r="G14" s="89"/>
    </row>
    <row r="15" spans="1:9" ht="18.75" x14ac:dyDescent="0.3">
      <c r="A15" s="114" t="s">
        <v>226</v>
      </c>
      <c r="B15" s="59" t="s">
        <v>16</v>
      </c>
      <c r="C15" s="152">
        <v>646154.52</v>
      </c>
      <c r="D15" s="154">
        <v>17618.61</v>
      </c>
      <c r="E15" s="152">
        <f>+C15-D15</f>
        <v>628535.91</v>
      </c>
      <c r="F15" s="95"/>
      <c r="G15" s="89"/>
    </row>
    <row r="16" spans="1:9" ht="18.75" x14ac:dyDescent="0.3">
      <c r="A16" s="114" t="s">
        <v>227</v>
      </c>
      <c r="B16" s="59" t="s">
        <v>18</v>
      </c>
      <c r="C16" s="152">
        <v>329823.23</v>
      </c>
      <c r="D16" s="154"/>
      <c r="E16" s="152">
        <f>+C16-D16</f>
        <v>329823.23</v>
      </c>
      <c r="F16" s="95"/>
      <c r="G16" s="93"/>
    </row>
    <row r="17" spans="1:8" ht="18.75" x14ac:dyDescent="0.3">
      <c r="A17" s="114" t="s">
        <v>228</v>
      </c>
      <c r="B17" s="59" t="s">
        <v>19</v>
      </c>
      <c r="C17" s="152">
        <v>50524.35</v>
      </c>
      <c r="D17" s="154"/>
      <c r="E17" s="152">
        <f>+C17-D17</f>
        <v>50524.35</v>
      </c>
      <c r="F17" s="95"/>
      <c r="G17" s="89"/>
    </row>
    <row r="18" spans="1:8" ht="18.75" x14ac:dyDescent="0.3">
      <c r="A18" s="114" t="s">
        <v>229</v>
      </c>
      <c r="B18" s="59" t="s">
        <v>20</v>
      </c>
      <c r="C18" s="152">
        <v>96788.04</v>
      </c>
      <c r="D18" s="154">
        <v>12529.79</v>
      </c>
      <c r="E18" s="152">
        <f>+C18-D18</f>
        <v>84258.25</v>
      </c>
      <c r="F18" s="95"/>
      <c r="G18" s="89"/>
      <c r="H18" s="93"/>
    </row>
    <row r="19" spans="1:8" ht="18.75" x14ac:dyDescent="0.3">
      <c r="A19" s="114" t="s">
        <v>230</v>
      </c>
      <c r="B19" s="59" t="s">
        <v>21</v>
      </c>
      <c r="C19" s="155">
        <v>838912.04</v>
      </c>
      <c r="D19" s="154">
        <v>31330.19</v>
      </c>
      <c r="E19" s="152">
        <f>+C19-D19</f>
        <v>807581.85000000009</v>
      </c>
      <c r="F19" s="95"/>
      <c r="G19" s="89"/>
    </row>
    <row r="20" spans="1:8" ht="18.75" x14ac:dyDescent="0.3">
      <c r="A20" s="114" t="s">
        <v>231</v>
      </c>
      <c r="B20" s="59" t="s">
        <v>22</v>
      </c>
      <c r="C20" s="152">
        <v>106828.8</v>
      </c>
      <c r="D20" s="154"/>
      <c r="E20" s="152">
        <f>+C20-D20</f>
        <v>106828.8</v>
      </c>
      <c r="F20" s="95"/>
      <c r="G20" s="89"/>
    </row>
    <row r="21" spans="1:8" ht="18.75" x14ac:dyDescent="0.3">
      <c r="A21" s="114" t="s">
        <v>232</v>
      </c>
      <c r="B21" s="59" t="s">
        <v>23</v>
      </c>
      <c r="C21" s="152">
        <v>71332.28</v>
      </c>
      <c r="D21" s="154"/>
      <c r="E21" s="152">
        <f>+C21-D21</f>
        <v>71332.28</v>
      </c>
      <c r="F21" s="95"/>
      <c r="G21" s="89"/>
    </row>
    <row r="22" spans="1:8" ht="18.75" x14ac:dyDescent="0.3">
      <c r="A22" s="114" t="s">
        <v>233</v>
      </c>
      <c r="B22" s="59" t="s">
        <v>24</v>
      </c>
      <c r="C22" s="152">
        <v>148817.44</v>
      </c>
      <c r="D22" s="154"/>
      <c r="E22" s="152">
        <f>+C22-D22</f>
        <v>148817.44</v>
      </c>
      <c r="F22" s="95"/>
      <c r="G22" s="89"/>
    </row>
    <row r="23" spans="1:8" ht="18.75" x14ac:dyDescent="0.3">
      <c r="A23" s="114" t="s">
        <v>234</v>
      </c>
      <c r="B23" s="59" t="s">
        <v>64</v>
      </c>
      <c r="C23" s="152">
        <v>6279.36</v>
      </c>
      <c r="D23" s="154"/>
      <c r="E23" s="152">
        <f>+C23-D23</f>
        <v>6279.36</v>
      </c>
      <c r="F23" s="95"/>
      <c r="G23" s="89"/>
    </row>
    <row r="24" spans="1:8" ht="18.75" x14ac:dyDescent="0.3">
      <c r="A24" s="114" t="s">
        <v>235</v>
      </c>
      <c r="B24" s="59" t="s">
        <v>26</v>
      </c>
      <c r="C24" s="152">
        <v>125975.2</v>
      </c>
      <c r="D24" s="154"/>
      <c r="E24" s="152">
        <f>+C24-D24</f>
        <v>125975.2</v>
      </c>
      <c r="F24" s="95"/>
      <c r="G24" s="89"/>
    </row>
    <row r="25" spans="1:8" ht="18.75" x14ac:dyDescent="0.3">
      <c r="A25" s="114" t="s">
        <v>236</v>
      </c>
      <c r="B25" s="59" t="s">
        <v>67</v>
      </c>
      <c r="C25" s="152">
        <v>5000</v>
      </c>
      <c r="D25" s="154"/>
      <c r="E25" s="152">
        <f>+C25-D25</f>
        <v>5000</v>
      </c>
      <c r="F25" s="95"/>
      <c r="G25" s="89"/>
    </row>
    <row r="26" spans="1:8" ht="18.75" x14ac:dyDescent="0.3">
      <c r="A26" s="114" t="s">
        <v>237</v>
      </c>
      <c r="B26" s="59" t="s">
        <v>27</v>
      </c>
      <c r="C26" s="152">
        <v>57553.05</v>
      </c>
      <c r="D26" s="154"/>
      <c r="E26" s="152">
        <f>+C26-D26</f>
        <v>57553.05</v>
      </c>
      <c r="F26" s="95"/>
      <c r="G26" s="114"/>
    </row>
    <row r="27" spans="1:8" ht="18.75" x14ac:dyDescent="0.3">
      <c r="A27" s="114" t="s">
        <v>238</v>
      </c>
      <c r="B27" s="60" t="s">
        <v>29</v>
      </c>
      <c r="C27" s="152">
        <v>16090.03</v>
      </c>
      <c r="D27" s="154"/>
      <c r="E27" s="152">
        <f>+C27-D27</f>
        <v>16090.03</v>
      </c>
      <c r="F27" s="95"/>
      <c r="G27" s="89"/>
    </row>
    <row r="28" spans="1:8" ht="18.75" x14ac:dyDescent="0.3">
      <c r="A28" s="114" t="s">
        <v>239</v>
      </c>
      <c r="B28" s="59" t="s">
        <v>31</v>
      </c>
      <c r="C28" s="152">
        <v>1589837.46</v>
      </c>
      <c r="D28" s="154">
        <v>18680.66</v>
      </c>
      <c r="E28" s="152">
        <f>+C28-D28</f>
        <v>1571156.8</v>
      </c>
      <c r="F28" s="95"/>
      <c r="G28" s="89"/>
    </row>
    <row r="29" spans="1:8" ht="18.75" x14ac:dyDescent="0.3">
      <c r="A29" s="114" t="s">
        <v>32</v>
      </c>
      <c r="B29" s="59" t="s">
        <v>32</v>
      </c>
      <c r="C29" s="154">
        <v>7177387.2999999998</v>
      </c>
      <c r="D29" s="156">
        <v>65336.5</v>
      </c>
      <c r="E29" s="152">
        <f>+C29-D29</f>
        <v>7112050.7999999998</v>
      </c>
      <c r="F29" s="95"/>
      <c r="G29" s="89"/>
    </row>
    <row r="30" spans="1:8" ht="18.75" x14ac:dyDescent="0.3">
      <c r="A30" s="114" t="s">
        <v>47</v>
      </c>
      <c r="B30" s="59" t="s">
        <v>47</v>
      </c>
      <c r="C30" s="154">
        <v>218750</v>
      </c>
      <c r="D30" s="156"/>
      <c r="E30" s="152">
        <f>+C30-D30</f>
        <v>218750</v>
      </c>
      <c r="F30" s="95"/>
      <c r="G30" s="89"/>
    </row>
    <row r="31" spans="1:8" ht="18.75" x14ac:dyDescent="0.3">
      <c r="A31" s="157" t="s">
        <v>33</v>
      </c>
      <c r="B31" s="157"/>
      <c r="C31" s="158">
        <f>SUM(C10:C30)</f>
        <v>12499811.739999998</v>
      </c>
      <c r="D31" s="158">
        <f>SUM(D10:D30)</f>
        <v>145495.75</v>
      </c>
      <c r="E31" s="66">
        <f>SUM(E10:E30)</f>
        <v>12354315.989999998</v>
      </c>
      <c r="F31" s="95"/>
      <c r="G31" s="89"/>
    </row>
    <row r="32" spans="1:8" ht="15.75" thickBot="1" x14ac:dyDescent="0.3">
      <c r="A32" s="159"/>
      <c r="B32" s="160"/>
      <c r="C32" s="161"/>
      <c r="D32" s="161"/>
      <c r="E32" s="162"/>
    </row>
    <row r="36" spans="1:1" x14ac:dyDescent="0.25">
      <c r="A36" s="89" t="s">
        <v>34</v>
      </c>
    </row>
  </sheetData>
  <mergeCells count="8">
    <mergeCell ref="A7:F7"/>
    <mergeCell ref="A31:B31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4</vt:i4>
      </vt:variant>
    </vt:vector>
  </HeadingPairs>
  <TitlesOfParts>
    <vt:vector size="14" baseType="lpstr">
      <vt:lpstr>FEBRERO 2025</vt:lpstr>
      <vt:lpstr>MARZO 2025</vt:lpstr>
      <vt:lpstr>ABRIL 2025</vt:lpstr>
      <vt:lpstr>MAYO 2025</vt:lpstr>
      <vt:lpstr>JUNIO 2025</vt:lpstr>
      <vt:lpstr>JULIO 2025</vt:lpstr>
      <vt:lpstr>AGOSTO 2025</vt:lpstr>
      <vt:lpstr>SEPT</vt:lpstr>
      <vt:lpstr>OCTUBRE 2025</vt:lpstr>
      <vt:lpstr>NOVIEMBRE 2025</vt:lpstr>
      <vt:lpstr>'ABRIL 2025'!Área_de_impresión</vt:lpstr>
      <vt:lpstr>'AGOSTO 2025'!Área_de_impresión</vt:lpstr>
      <vt:lpstr>'JULIO 2025'!Área_de_impresión</vt:lpstr>
      <vt:lpstr>'MAYO 2025'!Área_de_impresión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cp:lastPrinted>2025-10-03T13:09:46Z</cp:lastPrinted>
  <dcterms:created xsi:type="dcterms:W3CDTF">2025-05-02T15:07:53Z</dcterms:created>
  <dcterms:modified xsi:type="dcterms:W3CDTF">2025-12-01T19:49:33Z</dcterms:modified>
</cp:coreProperties>
</file>
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OCTUBRE 2025\"/>
    </mc:Choice>
  </mc:AlternateContent>
  <xr:revisionPtr revIDLastSave="0" documentId="8_{0CBAFFB5-16C6-41A6-9D5D-BBF56039FDB2}" xr6:coauthVersionLast="47" xr6:coauthVersionMax="47" xr10:uidLastSave="{00000000-0000-0000-0000-000000000000}"/>
  <bookViews>
    <workbookView xWindow="-120" yWindow="-120" windowWidth="24240" windowHeight="13140" xr2:uid="{5728805D-B9E0-445B-B4E2-415F2D90169C}"/>
  </bookViews>
  <sheets>
    <sheet name="Hoja1" sheetId="1" r:id="rId1"/>
  </sheets>
  <definedNames>
    <definedName name="_xlnm.Print_Area" localSheetId="0">Hoja1!$A$1:$J$45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1" l="1"/>
  <c r="H34" i="1"/>
  <c r="I34" i="1"/>
  <c r="J34" i="1"/>
  <c r="F34" i="1"/>
</calcChain>
</file>

<file path=xl/sharedStrings.xml><?xml version="1.0" encoding="utf-8"?>
<sst xmlns="http://schemas.openxmlformats.org/spreadsheetml/2006/main" count="94" uniqueCount="65">
  <si>
    <t>Relación de Cuentas por Pagar por  Antigüedad de Saldo al 31 de octubre de 2025</t>
  </si>
  <si>
    <t>Nombre</t>
  </si>
  <si>
    <t>RNC / Cédula</t>
  </si>
  <si>
    <t>Núm. Factura u otro Documento</t>
  </si>
  <si>
    <t xml:space="preserve">Fecha </t>
  </si>
  <si>
    <t>Monto</t>
  </si>
  <si>
    <t>1 a 30 dias</t>
  </si>
  <si>
    <t xml:space="preserve">31 a 60 dias </t>
  </si>
  <si>
    <t xml:space="preserve">61 a 90 dias </t>
  </si>
  <si>
    <t>91 a 120 dias</t>
  </si>
  <si>
    <t xml:space="preserve">121 dias y más </t>
  </si>
  <si>
    <t>GA INTERPRISE IMPORT, SRL</t>
  </si>
  <si>
    <t>D, CORA INDUSTRIAL, S.R.L</t>
  </si>
  <si>
    <t>Bio Nuclear, SA</t>
  </si>
  <si>
    <t>Insocorp, S.R.L.</t>
  </si>
  <si>
    <t xml:space="preserve">J. JIREH EQUIPOS MEDICOS SRL </t>
  </si>
  <si>
    <t>Ciencia Tecnología y Consultas, SRL (CIENTEC)</t>
  </si>
  <si>
    <t>Agua Planeta Azul, SA</t>
  </si>
  <si>
    <t xml:space="preserve">FARMACIA RUTH </t>
  </si>
  <si>
    <t xml:space="preserve">CEM CARIBBEAN EQUIPMENT MEDICAL </t>
  </si>
  <si>
    <t>Gestiones Sanitarias &amp; Ambientales, SRL (GSA)</t>
  </si>
  <si>
    <t>SUPLIMED,SRL</t>
  </si>
  <si>
    <t>B1500000102</t>
  </si>
  <si>
    <t>B1500003173</t>
  </si>
  <si>
    <t>B1500034323</t>
  </si>
  <si>
    <t>B1500000174</t>
  </si>
  <si>
    <t>B1500007449</t>
  </si>
  <si>
    <t>E450000009124</t>
  </si>
  <si>
    <t>B1500000372</t>
  </si>
  <si>
    <t>B1500000371</t>
  </si>
  <si>
    <t>B1500000377</t>
  </si>
  <si>
    <t>E450000014204</t>
  </si>
  <si>
    <t>E450000014918</t>
  </si>
  <si>
    <t>E450000014203</t>
  </si>
  <si>
    <t>E450000014210</t>
  </si>
  <si>
    <t>E450000010478</t>
  </si>
  <si>
    <t>E450000014925</t>
  </si>
  <si>
    <t>B1500001498</t>
  </si>
  <si>
    <t>B1500000382</t>
  </si>
  <si>
    <t>B1500000473</t>
  </si>
  <si>
    <t>B1500000385</t>
  </si>
  <si>
    <t>B1500008029</t>
  </si>
  <si>
    <t>E450000000332</t>
  </si>
  <si>
    <t>E450000000343</t>
  </si>
  <si>
    <t>E450000000324</t>
  </si>
  <si>
    <t>Hospital: Hospital Materno Infantil San Lorenzo de los Mina</t>
  </si>
  <si>
    <t>SRS: Ozama</t>
  </si>
  <si>
    <t>TOTAL GENERAL</t>
  </si>
  <si>
    <t>131-91359-8</t>
  </si>
  <si>
    <t>130-20980-4</t>
  </si>
  <si>
    <t>101-07058-7</t>
  </si>
  <si>
    <t>132-30826-3</t>
  </si>
  <si>
    <t>130-63094-1</t>
  </si>
  <si>
    <t>101-09743-4</t>
  </si>
  <si>
    <t>101-50393-9</t>
  </si>
  <si>
    <t>132-07104-2</t>
  </si>
  <si>
    <t>101-19601-7</t>
  </si>
  <si>
    <t>130-25842-2</t>
  </si>
  <si>
    <t>___________________________</t>
  </si>
  <si>
    <t>Licdo. Eugenio Rosario</t>
  </si>
  <si>
    <t>Licda.  Milagros Martinez de la Rosa</t>
  </si>
  <si>
    <t>Encargado Administrativo y Financiero</t>
  </si>
  <si>
    <t>Contadora</t>
  </si>
  <si>
    <t>Dr. Armando Camejo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</si>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</sst>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yy;@"/>
  </numFmts>
  <fonts count="7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/>
    <xf numFmtId="0" fontId="1" fillId="0" borderId="1" xfId="0" applyFont="1" applyBorder="1"/>
    <xf numFmtId="164" fontId="1" fillId="0" borderId="1" xfId="1" applyNumberFormat="1" applyFont="1" applyBorder="1"/>
    <xf numFmtId="43" fontId="1" fillId="0" borderId="1" xfId="1" applyFont="1" applyBorder="1"/>
    <xf numFmtId="0" fontId="0" fillId="0" borderId="1" xfId="0" applyBorder="1"/>
    <xf numFmtId="43" fontId="0" fillId="0" borderId="1" xfId="1" applyFont="1" applyBorder="1"/>
    <xf numFmtId="43" fontId="6" fillId="0" borderId="1" xfId="1" applyFont="1" applyBorder="1"/>
    <xf numFmtId="0" fontId="5" fillId="0" borderId="2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14" fontId="5" fillId="0" borderId="0" xfId="0" applyNumberFormat="1" applyFont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1F1E-0DE4-41A3-B7BF-859B8543016B}">
  <dimension ref="A3:J48"/>
  <sheetViews>
    <sheetView tabSelected="1" view="pageBreakPreview" zoomScale="60" zoomScaleNormal="100" workbookViewId="0">
      <selection activeCell="L37" sqref="L37"/>
    </sheetView>
  </sheetViews>
  <sheetFormatPr baseColWidth="10" defaultColWidth="11" defaultRowHeight="15"/>
  <cols>
    <col min="1" max="1" width="39.33203125" bestFit="1" customWidth="1"/>
    <col min="2" max="2" width="14.21875" bestFit="1" customWidth="1"/>
    <col min="3" max="3" width="20.88671875" customWidth="1"/>
    <col min="4" max="4" width="9.88671875" style="3" customWidth="1"/>
    <col min="6" max="6" width="20.6640625" customWidth="1"/>
    <col min="8" max="8" width="12.88671875" bestFit="1" customWidth="1"/>
    <col min="9" max="9" width="13.109375" bestFit="1" customWidth="1"/>
    <col min="10" max="10" width="14.44140625" customWidth="1"/>
  </cols>
  <sheetData>
    <row r="3" spans="1:10" ht="18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1"/>
      <c r="B4" s="1"/>
      <c r="C4" s="1"/>
      <c r="D4" s="2"/>
      <c r="E4" s="1"/>
      <c r="F4" s="1"/>
      <c r="G4" s="1"/>
      <c r="H4" s="1"/>
      <c r="I4" s="1"/>
      <c r="J4" s="1"/>
    </row>
    <row r="5" spans="1:10" ht="15.75">
      <c r="A5" s="20" t="s">
        <v>45</v>
      </c>
      <c r="B5" s="20"/>
      <c r="C5" s="20"/>
      <c r="D5" s="20" t="s">
        <v>46</v>
      </c>
      <c r="E5" s="20"/>
      <c r="F5" s="20"/>
      <c r="G5" s="20"/>
      <c r="H5" s="20"/>
      <c r="I5" s="20"/>
      <c r="J5" s="20"/>
    </row>
    <row r="7" spans="1:10" ht="36.75" customHeight="1">
      <c r="A7" s="4" t="s">
        <v>1</v>
      </c>
      <c r="B7" s="4" t="s">
        <v>2</v>
      </c>
      <c r="C7" s="5" t="s">
        <v>3</v>
      </c>
      <c r="D7" s="6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</row>
    <row r="8" spans="1:10">
      <c r="A8" s="7" t="s">
        <v>11</v>
      </c>
      <c r="B8" s="7" t="s">
        <v>48</v>
      </c>
      <c r="C8" s="7" t="s">
        <v>22</v>
      </c>
      <c r="D8" s="8">
        <v>45055</v>
      </c>
      <c r="E8" s="9"/>
      <c r="F8" s="9"/>
      <c r="G8" s="9"/>
      <c r="H8" s="9"/>
      <c r="I8" s="9"/>
      <c r="J8" s="9">
        <v>287920</v>
      </c>
    </row>
    <row r="9" spans="1:10">
      <c r="A9" s="7" t="s">
        <v>12</v>
      </c>
      <c r="B9" s="7" t="s">
        <v>49</v>
      </c>
      <c r="C9" s="7" t="s">
        <v>23</v>
      </c>
      <c r="D9" s="8">
        <v>45083</v>
      </c>
      <c r="E9" s="9"/>
      <c r="F9" s="9"/>
      <c r="G9" s="9"/>
      <c r="H9" s="9"/>
      <c r="I9" s="9"/>
      <c r="J9" s="9">
        <v>220483.05</v>
      </c>
    </row>
    <row r="10" spans="1:10">
      <c r="A10" s="7" t="s">
        <v>13</v>
      </c>
      <c r="B10" s="7" t="s">
        <v>50</v>
      </c>
      <c r="C10" s="7" t="s">
        <v>24</v>
      </c>
      <c r="D10" s="8">
        <v>45092</v>
      </c>
      <c r="E10" s="9"/>
      <c r="F10" s="9"/>
      <c r="G10" s="9"/>
      <c r="H10" s="9"/>
      <c r="I10" s="9"/>
      <c r="J10" s="9">
        <v>4182</v>
      </c>
    </row>
    <row r="11" spans="1:10">
      <c r="A11" s="10" t="s">
        <v>14</v>
      </c>
      <c r="B11" s="10" t="s">
        <v>51</v>
      </c>
      <c r="C11" s="7" t="s">
        <v>25</v>
      </c>
      <c r="D11" s="8">
        <v>45394</v>
      </c>
      <c r="E11" s="11"/>
      <c r="F11" s="9"/>
      <c r="G11" s="9"/>
      <c r="H11" s="9"/>
      <c r="I11" s="9"/>
      <c r="J11" s="9">
        <v>162462.39999999999</v>
      </c>
    </row>
    <row r="12" spans="1:10">
      <c r="A12" s="10" t="s">
        <v>15</v>
      </c>
      <c r="B12" s="10" t="s">
        <v>52</v>
      </c>
      <c r="C12" s="7"/>
      <c r="D12" s="8">
        <v>45593</v>
      </c>
      <c r="E12" s="11"/>
      <c r="F12" s="9"/>
      <c r="G12" s="9"/>
      <c r="H12" s="9"/>
      <c r="I12" s="9"/>
      <c r="J12" s="9">
        <v>16520</v>
      </c>
    </row>
    <row r="13" spans="1:10">
      <c r="A13" s="10" t="s">
        <v>16</v>
      </c>
      <c r="B13" s="10" t="s">
        <v>53</v>
      </c>
      <c r="C13" s="7" t="s">
        <v>26</v>
      </c>
      <c r="D13" s="8">
        <v>45670</v>
      </c>
      <c r="E13" s="11"/>
      <c r="F13" s="9"/>
      <c r="G13" s="9"/>
      <c r="H13" s="9"/>
      <c r="I13" s="9"/>
      <c r="J13" s="9">
        <v>5691.23</v>
      </c>
    </row>
    <row r="14" spans="1:10">
      <c r="A14" s="10" t="s">
        <v>17</v>
      </c>
      <c r="B14" s="10" t="s">
        <v>54</v>
      </c>
      <c r="C14" s="7" t="s">
        <v>27</v>
      </c>
      <c r="D14" s="8">
        <v>45740</v>
      </c>
      <c r="E14" s="11"/>
      <c r="F14" s="9"/>
      <c r="G14" s="9"/>
      <c r="H14" s="9"/>
      <c r="I14" s="9"/>
      <c r="J14" s="9">
        <v>9500</v>
      </c>
    </row>
    <row r="15" spans="1:10">
      <c r="A15" s="10" t="s">
        <v>18</v>
      </c>
      <c r="B15" s="10" t="s">
        <v>55</v>
      </c>
      <c r="C15" s="7" t="s">
        <v>28</v>
      </c>
      <c r="D15" s="8">
        <v>45748</v>
      </c>
      <c r="E15" s="11"/>
      <c r="F15" s="9"/>
      <c r="G15" s="9"/>
      <c r="H15" s="9"/>
      <c r="I15" s="9"/>
      <c r="J15" s="9">
        <v>13900</v>
      </c>
    </row>
    <row r="16" spans="1:10">
      <c r="A16" s="10" t="s">
        <v>18</v>
      </c>
      <c r="B16" s="10" t="s">
        <v>55</v>
      </c>
      <c r="C16" s="7" t="s">
        <v>29</v>
      </c>
      <c r="D16" s="8">
        <v>45778</v>
      </c>
      <c r="E16" s="11"/>
      <c r="F16" s="9"/>
      <c r="G16" s="9"/>
      <c r="H16" s="9"/>
      <c r="I16" s="9"/>
      <c r="J16" s="9">
        <v>18500</v>
      </c>
    </row>
    <row r="17" spans="1:10">
      <c r="A17" s="10" t="s">
        <v>18</v>
      </c>
      <c r="B17" s="10" t="s">
        <v>55</v>
      </c>
      <c r="C17" s="7" t="s">
        <v>30</v>
      </c>
      <c r="D17" s="8">
        <v>45841</v>
      </c>
      <c r="E17" s="11"/>
      <c r="F17" s="9"/>
      <c r="G17" s="9"/>
      <c r="H17" s="9"/>
      <c r="I17" s="9"/>
      <c r="J17" s="9">
        <v>23625</v>
      </c>
    </row>
    <row r="18" spans="1:10">
      <c r="A18" s="10" t="s">
        <v>17</v>
      </c>
      <c r="B18" s="10" t="s">
        <v>54</v>
      </c>
      <c r="C18" s="7" t="s">
        <v>31</v>
      </c>
      <c r="D18" s="8">
        <v>45814</v>
      </c>
      <c r="E18" s="11"/>
      <c r="F18" s="9"/>
      <c r="G18" s="9"/>
      <c r="H18" s="9"/>
      <c r="I18" s="9"/>
      <c r="J18" s="9">
        <v>2700</v>
      </c>
    </row>
    <row r="19" spans="1:10">
      <c r="A19" s="10" t="s">
        <v>17</v>
      </c>
      <c r="B19" s="10" t="s">
        <v>54</v>
      </c>
      <c r="C19" s="7" t="s">
        <v>32</v>
      </c>
      <c r="D19" s="8">
        <v>45814</v>
      </c>
      <c r="E19" s="11"/>
      <c r="F19" s="9"/>
      <c r="G19" s="9"/>
      <c r="H19" s="9"/>
      <c r="I19" s="9"/>
      <c r="J19" s="9">
        <v>3900</v>
      </c>
    </row>
    <row r="20" spans="1:10">
      <c r="A20" s="10" t="s">
        <v>17</v>
      </c>
      <c r="B20" s="10" t="s">
        <v>54</v>
      </c>
      <c r="C20" s="7" t="s">
        <v>33</v>
      </c>
      <c r="D20" s="8">
        <v>45840</v>
      </c>
      <c r="E20" s="11"/>
      <c r="F20" s="9"/>
      <c r="G20" s="9"/>
      <c r="H20" s="9"/>
      <c r="I20" s="9"/>
      <c r="J20" s="9">
        <v>9060</v>
      </c>
    </row>
    <row r="21" spans="1:10">
      <c r="A21" s="10" t="s">
        <v>17</v>
      </c>
      <c r="B21" s="10" t="s">
        <v>54</v>
      </c>
      <c r="C21" s="7" t="s">
        <v>34</v>
      </c>
      <c r="D21" s="8">
        <v>45814</v>
      </c>
      <c r="E21" s="11"/>
      <c r="F21" s="9"/>
      <c r="G21" s="9"/>
      <c r="H21" s="9"/>
      <c r="I21" s="9"/>
      <c r="J21" s="9">
        <v>9120</v>
      </c>
    </row>
    <row r="22" spans="1:10">
      <c r="A22" s="10" t="s">
        <v>17</v>
      </c>
      <c r="B22" s="10" t="s">
        <v>54</v>
      </c>
      <c r="C22" s="7" t="s">
        <v>35</v>
      </c>
      <c r="D22" s="8">
        <v>45814</v>
      </c>
      <c r="E22" s="11"/>
      <c r="F22" s="9"/>
      <c r="G22" s="9"/>
      <c r="H22" s="9"/>
      <c r="I22" s="9"/>
      <c r="J22" s="9">
        <v>15750</v>
      </c>
    </row>
    <row r="23" spans="1:10">
      <c r="A23" s="10" t="s">
        <v>17</v>
      </c>
      <c r="B23" s="10" t="s">
        <v>54</v>
      </c>
      <c r="C23" s="7" t="s">
        <v>36</v>
      </c>
      <c r="D23" s="8">
        <v>45814</v>
      </c>
      <c r="E23" s="11"/>
      <c r="F23" s="9"/>
      <c r="G23" s="9"/>
      <c r="H23" s="9"/>
      <c r="I23" s="9">
        <v>12660</v>
      </c>
      <c r="J23" s="9"/>
    </row>
    <row r="24" spans="1:10">
      <c r="A24" s="10" t="s">
        <v>18</v>
      </c>
      <c r="B24" s="10" t="s">
        <v>55</v>
      </c>
      <c r="C24" s="7" t="s">
        <v>30</v>
      </c>
      <c r="D24" s="8">
        <v>45841</v>
      </c>
      <c r="E24" s="11"/>
      <c r="F24" s="9"/>
      <c r="G24" s="9"/>
      <c r="H24" s="9"/>
      <c r="I24" s="9">
        <v>16100</v>
      </c>
      <c r="J24" s="9"/>
    </row>
    <row r="25" spans="1:10">
      <c r="A25" s="10" t="s">
        <v>19</v>
      </c>
      <c r="B25" s="10"/>
      <c r="C25" s="7" t="s">
        <v>37</v>
      </c>
      <c r="D25" s="8">
        <v>45870</v>
      </c>
      <c r="E25" s="11"/>
      <c r="F25" s="9"/>
      <c r="G25" s="9"/>
      <c r="H25" s="9">
        <v>10792.8</v>
      </c>
      <c r="I25" s="9"/>
      <c r="J25" s="9"/>
    </row>
    <row r="26" spans="1:10">
      <c r="A26" s="10" t="s">
        <v>18</v>
      </c>
      <c r="B26" s="10" t="s">
        <v>55</v>
      </c>
      <c r="C26" s="7" t="s">
        <v>38</v>
      </c>
      <c r="D26" s="8">
        <v>45876</v>
      </c>
      <c r="E26" s="11"/>
      <c r="F26" s="9"/>
      <c r="G26" s="9"/>
      <c r="H26" s="9">
        <v>950</v>
      </c>
      <c r="I26" s="9"/>
      <c r="J26" s="9"/>
    </row>
    <row r="27" spans="1:10">
      <c r="A27" s="10" t="s">
        <v>20</v>
      </c>
      <c r="B27" s="10" t="s">
        <v>57</v>
      </c>
      <c r="C27" s="7" t="s">
        <v>39</v>
      </c>
      <c r="D27" s="8">
        <v>45888</v>
      </c>
      <c r="E27" s="11"/>
      <c r="F27" s="9"/>
      <c r="G27" s="9"/>
      <c r="H27" s="9">
        <v>16520</v>
      </c>
      <c r="I27" s="9"/>
      <c r="J27" s="9"/>
    </row>
    <row r="28" spans="1:10">
      <c r="A28" s="10" t="s">
        <v>18</v>
      </c>
      <c r="B28" s="10" t="s">
        <v>55</v>
      </c>
      <c r="C28" s="7" t="s">
        <v>40</v>
      </c>
      <c r="D28" s="8">
        <v>45931</v>
      </c>
      <c r="E28" s="11"/>
      <c r="F28" s="9">
        <v>17150</v>
      </c>
      <c r="G28" s="9"/>
      <c r="H28" s="9"/>
      <c r="I28" s="9"/>
      <c r="J28" s="9"/>
    </row>
    <row r="29" spans="1:10">
      <c r="A29" s="10" t="s">
        <v>16</v>
      </c>
      <c r="B29" s="10" t="s">
        <v>53</v>
      </c>
      <c r="C29" s="7" t="s">
        <v>41</v>
      </c>
      <c r="D29" s="8">
        <v>45932</v>
      </c>
      <c r="E29" s="11"/>
      <c r="F29" s="9">
        <v>5691.23</v>
      </c>
      <c r="G29" s="9"/>
      <c r="H29" s="9"/>
      <c r="I29" s="9"/>
      <c r="J29" s="9"/>
    </row>
    <row r="30" spans="1:10">
      <c r="A30" s="10" t="s">
        <v>21</v>
      </c>
      <c r="B30" s="10" t="s">
        <v>56</v>
      </c>
      <c r="C30" s="7" t="s">
        <v>44</v>
      </c>
      <c r="D30" s="8">
        <v>45951</v>
      </c>
      <c r="E30" s="11"/>
      <c r="F30" s="9">
        <v>73546.12</v>
      </c>
      <c r="G30" s="9"/>
      <c r="H30" s="9"/>
      <c r="I30" s="9"/>
      <c r="J30" s="9"/>
    </row>
    <row r="31" spans="1:10">
      <c r="A31" s="10" t="s">
        <v>21</v>
      </c>
      <c r="B31" s="10" t="s">
        <v>56</v>
      </c>
      <c r="C31" s="7" t="s">
        <v>42</v>
      </c>
      <c r="D31" s="8">
        <v>45957</v>
      </c>
      <c r="E31" s="11"/>
      <c r="F31" s="9">
        <v>224500</v>
      </c>
      <c r="G31" s="9"/>
      <c r="H31" s="9"/>
      <c r="I31" s="9"/>
      <c r="J31" s="9"/>
    </row>
    <row r="32" spans="1:10">
      <c r="A32" s="10" t="s">
        <v>21</v>
      </c>
      <c r="B32" s="10" t="s">
        <v>56</v>
      </c>
      <c r="C32" s="7" t="s">
        <v>43</v>
      </c>
      <c r="D32" s="8">
        <v>45959</v>
      </c>
      <c r="E32" s="11"/>
      <c r="F32" s="9">
        <v>102987.84</v>
      </c>
      <c r="G32" s="9"/>
      <c r="H32" s="9"/>
      <c r="I32" s="9"/>
      <c r="J32" s="9"/>
    </row>
    <row r="33" spans="1:10">
      <c r="A33" s="10"/>
      <c r="B33" s="10"/>
      <c r="C33" s="10"/>
      <c r="D33" s="8"/>
      <c r="E33" s="10"/>
      <c r="F33" s="9"/>
      <c r="G33" s="9"/>
      <c r="H33" s="9"/>
      <c r="I33" s="9"/>
      <c r="J33" s="9"/>
    </row>
    <row r="34" spans="1:10" ht="15.75">
      <c r="A34" s="21" t="s">
        <v>47</v>
      </c>
      <c r="B34" s="21"/>
      <c r="C34" s="21"/>
      <c r="D34" s="21"/>
      <c r="E34" s="21"/>
      <c r="F34" s="12">
        <f>SUM(F8:F33)</f>
        <v>423875.18999999994</v>
      </c>
      <c r="G34" s="12">
        <f t="shared" ref="G34:J34" si="0">SUM(G8:G33)</f>
        <v>0</v>
      </c>
      <c r="H34" s="12">
        <f t="shared" si="0"/>
        <v>28262.799999999999</v>
      </c>
      <c r="I34" s="12">
        <f t="shared" si="0"/>
        <v>28760</v>
      </c>
      <c r="J34" s="12">
        <f t="shared" si="0"/>
        <v>803313.67999999993</v>
      </c>
    </row>
    <row r="38" spans="1:10">
      <c r="A38" t="s">
        <v>58</v>
      </c>
    </row>
    <row r="39" spans="1:10" ht="15.75">
      <c r="A39" s="13" t="s">
        <v>59</v>
      </c>
      <c r="B39" s="14"/>
      <c r="C39" s="15"/>
      <c r="D39" s="18" t="s">
        <v>60</v>
      </c>
      <c r="E39" s="18"/>
      <c r="F39" s="18"/>
    </row>
    <row r="40" spans="1:10" ht="15.75">
      <c r="A40" s="16" t="s">
        <v>61</v>
      </c>
      <c r="B40" s="14"/>
      <c r="C40" s="15"/>
      <c r="D40" s="19" t="s">
        <v>62</v>
      </c>
      <c r="E40" s="19"/>
      <c r="F40" s="19"/>
    </row>
    <row r="41" spans="1:10" ht="15.75">
      <c r="A41" s="14"/>
      <c r="B41" s="14"/>
      <c r="C41" s="14"/>
      <c r="D41" s="17"/>
      <c r="E41" s="14"/>
      <c r="F41" s="14"/>
    </row>
    <row r="42" spans="1:10" ht="15.75">
      <c r="A42" s="14"/>
      <c r="B42" s="14"/>
      <c r="C42" s="14"/>
      <c r="D42" s="17"/>
      <c r="E42" s="14"/>
      <c r="F42" s="14"/>
    </row>
    <row r="43" spans="1:10" ht="15.75">
      <c r="A43" s="14"/>
      <c r="B43" s="14"/>
      <c r="C43" s="14"/>
      <c r="D43" s="17"/>
      <c r="E43" s="14"/>
      <c r="F43" s="14"/>
    </row>
    <row r="44" spans="1:10" ht="15.75">
      <c r="A44" s="14"/>
      <c r="B44" s="14"/>
      <c r="C44" s="14"/>
      <c r="D44" s="17"/>
      <c r="E44" s="14"/>
      <c r="F44" s="14"/>
    </row>
    <row r="45" spans="1:10" ht="15.75">
      <c r="A45" s="14"/>
      <c r="B45" s="14"/>
      <c r="C45" s="14"/>
      <c r="D45" s="17"/>
      <c r="E45" s="14"/>
      <c r="F45" s="14"/>
    </row>
    <row r="46" spans="1:10" ht="15.75">
      <c r="A46" s="18" t="s">
        <v>63</v>
      </c>
      <c r="B46" s="18"/>
      <c r="C46" s="14"/>
      <c r="D46" s="17"/>
      <c r="E46" s="14"/>
      <c r="F46" s="14"/>
    </row>
    <row r="47" spans="1:10" ht="15.75">
      <c r="A47" s="19" t="s">
        <v>64</v>
      </c>
      <c r="B47" s="19"/>
      <c r="C47" s="14"/>
      <c r="D47" s="17"/>
      <c r="E47" s="14"/>
      <c r="F47" s="14"/>
    </row>
    <row r="48" spans="1:10" ht="15.75">
      <c r="A48" s="14"/>
      <c r="B48" s="14"/>
      <c r="C48" s="14"/>
      <c r="D48" s="17"/>
      <c r="E48" s="14"/>
      <c r="F48" s="14"/>
    </row>
  </sheetData>
  <mergeCells count="8">
    <mergeCell ref="A3:J3"/>
    <mergeCell ref="D39:F39"/>
    <mergeCell ref="D40:F40"/>
    <mergeCell ref="A46:B46"/>
    <mergeCell ref="A47:B47"/>
    <mergeCell ref="A5:C5"/>
    <mergeCell ref="D5:J5"/>
    <mergeCell ref="A34:E34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 Matos</dc:creator>
  <cp:keywords/>
  <dc:description/>
  <cp:lastModifiedBy>contabilidad</cp:lastModifiedBy>
  <cp:revision/>
  <cp:lastPrinted>2025-11-17T17:32:09Z</cp:lastPrinted>
  <dcterms:created xsi:type="dcterms:W3CDTF">2025-11-17T15:38:03Z</dcterms:created>
  <dcterms:modified xsi:type="dcterms:W3CDTF">2025-11-17T17:39:25Z</dcterms:modified>
  <cp:category/>
  <cp:contentStatus/>
</cp:coreProperties>
</file>
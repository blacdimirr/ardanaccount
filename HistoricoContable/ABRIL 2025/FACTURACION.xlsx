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ABRIL 2025\"/>
    </mc:Choice>
  </mc:AlternateContent>
  <bookViews>
    <workbookView xWindow="0" yWindow="0" windowWidth="20490" windowHeight="7365" activeTab="2"/>
  </bookViews>
  <sheets>
    <sheet name="FEBRERO 2025" sheetId="2" r:id="rId1"/>
    <sheet name="MARZO 2025" sheetId="1" r:id="rId2"/>
    <sheet name="ABRIL 2025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3" l="1"/>
  <c r="C28" i="3"/>
  <c r="C27" i="3"/>
  <c r="C31" i="2" l="1"/>
  <c r="D31" i="2"/>
  <c r="E31" i="2"/>
  <c r="D29" i="1"/>
  <c r="E28" i="1"/>
  <c r="E29" i="1" s="1"/>
  <c r="C19" i="1"/>
  <c r="C15" i="1"/>
  <c r="C29" i="1" s="1"/>
</calcChain>
</file>

<file path=xl/sharedStrings.xml><?xml version="1.0" encoding="utf-8"?>
<sst xmlns="http://schemas.openxmlformats.org/spreadsheetml/2006/main" count="161" uniqueCount="94">
  <si>
    <t>Servicio Nacional de Salud</t>
  </si>
  <si>
    <t>Dirección de Control y Fiscalización</t>
  </si>
  <si>
    <t>Hospital Materno Infantil San Lorenzo de Los Mina</t>
  </si>
  <si>
    <t>Region Santo Domingo Este</t>
  </si>
  <si>
    <t>(Valore expresados en RD$)</t>
  </si>
  <si>
    <t xml:space="preserve"> RNC: 4-30-04237-4</t>
  </si>
  <si>
    <t>comprobante fiscal</t>
  </si>
  <si>
    <t xml:space="preserve">ARS </t>
  </si>
  <si>
    <t xml:space="preserve">Valor Reclamado </t>
  </si>
  <si>
    <t>%GLOSADO</t>
  </si>
  <si>
    <t xml:space="preserve">Valor Neto </t>
  </si>
  <si>
    <t>B01000001107</t>
  </si>
  <si>
    <t>HUMANO</t>
  </si>
  <si>
    <t>B01000001108</t>
  </si>
  <si>
    <t>P. HUMANO</t>
  </si>
  <si>
    <t>B01000001104</t>
  </si>
  <si>
    <t>MAPFRE AMB.</t>
  </si>
  <si>
    <t>B01000001105</t>
  </si>
  <si>
    <t>MAPFRE EMERG.</t>
  </si>
  <si>
    <t>B01000001106</t>
  </si>
  <si>
    <t>MAPFRE HOSP.</t>
  </si>
  <si>
    <t>B01000001120</t>
  </si>
  <si>
    <t>RENACER</t>
  </si>
  <si>
    <t>B01000001118</t>
  </si>
  <si>
    <t>meta salud</t>
  </si>
  <si>
    <t>B01000001109</t>
  </si>
  <si>
    <t>APS</t>
  </si>
  <si>
    <t>B01000001119</t>
  </si>
  <si>
    <t>YUNEN</t>
  </si>
  <si>
    <t>B01000001110</t>
  </si>
  <si>
    <t>ASEMAP</t>
  </si>
  <si>
    <t>B01000001112</t>
  </si>
  <si>
    <t xml:space="preserve">FUTURO </t>
  </si>
  <si>
    <t>B01000001113</t>
  </si>
  <si>
    <t>MONUMENTAL</t>
  </si>
  <si>
    <t>B01000001114</t>
  </si>
  <si>
    <t xml:space="preserve">RESERVAS </t>
  </si>
  <si>
    <t>B01000001115</t>
  </si>
  <si>
    <t>CMD</t>
  </si>
  <si>
    <t>b01000001116</t>
  </si>
  <si>
    <t>sigma</t>
  </si>
  <si>
    <t>B01000001117</t>
  </si>
  <si>
    <t>GMA</t>
  </si>
  <si>
    <t>B15000000293</t>
  </si>
  <si>
    <t>SEMMA</t>
  </si>
  <si>
    <t>B1500000295</t>
  </si>
  <si>
    <t>SENASA PENSIONADO</t>
  </si>
  <si>
    <t>B1500000294</t>
  </si>
  <si>
    <t xml:space="preserve">Contributivo </t>
  </si>
  <si>
    <t>SUBSIDIADO</t>
  </si>
  <si>
    <t>TOTAL</t>
  </si>
  <si>
    <t xml:space="preserve"> </t>
  </si>
  <si>
    <t>RNC: 4-30-04237-4</t>
  </si>
  <si>
    <t>B01000001085</t>
  </si>
  <si>
    <t>B01000001086</t>
  </si>
  <si>
    <t>B01000001087</t>
  </si>
  <si>
    <t>B01000001088</t>
  </si>
  <si>
    <t>B01000001089</t>
  </si>
  <si>
    <t>B01000001090</t>
  </si>
  <si>
    <t>B01000001091</t>
  </si>
  <si>
    <t>B01000001092</t>
  </si>
  <si>
    <t>B01000001093</t>
  </si>
  <si>
    <t>B01000001094</t>
  </si>
  <si>
    <t>B01000001095</t>
  </si>
  <si>
    <t>B01000001096</t>
  </si>
  <si>
    <t>146.60.32</t>
  </si>
  <si>
    <t>B01000001097</t>
  </si>
  <si>
    <t>B01000001098</t>
  </si>
  <si>
    <t>b01000001099</t>
  </si>
  <si>
    <t>B01000001101</t>
  </si>
  <si>
    <t>B15000000290</t>
  </si>
  <si>
    <t>B1500000289</t>
  </si>
  <si>
    <t>B1500000288</t>
  </si>
  <si>
    <t>INFORME CIERRE MARZO 2025</t>
  </si>
  <si>
    <t>B01000001121</t>
  </si>
  <si>
    <t>B01000001122</t>
  </si>
  <si>
    <t>B01000001123</t>
  </si>
  <si>
    <t>B01000001124</t>
  </si>
  <si>
    <t>B01000001125</t>
  </si>
  <si>
    <t>B01000001127</t>
  </si>
  <si>
    <t>B01000001128</t>
  </si>
  <si>
    <t>B01000001129</t>
  </si>
  <si>
    <t>B01000001130</t>
  </si>
  <si>
    <t>B01000001131</t>
  </si>
  <si>
    <t>B01000001132</t>
  </si>
  <si>
    <t>B01000001136</t>
  </si>
  <si>
    <t>B01000001134</t>
  </si>
  <si>
    <t>b01000001135</t>
  </si>
  <si>
    <t>B01000001133</t>
  </si>
  <si>
    <t>B15000000299</t>
  </si>
  <si>
    <t>B1500000299</t>
  </si>
  <si>
    <t>B1500000300</t>
  </si>
  <si>
    <t>INFORME CIERRE FEBRERO 2025</t>
  </si>
  <si>
    <t>INFORME CIERRE 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</si>
</sst>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6"/>
      <color theme="1"/>
      <name val="Cambria"/>
      <family val="1"/>
    </font>
    <font>
      <b/>
      <sz val="16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26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60">
    <xf numFmtId="0" fontId="0" fillId="0" borderId="0" xfId="0"/>
    <xf numFmtId="0" fontId="4" fillId="0" borderId="0" xfId="2" applyFont="1" applyAlignment="1">
      <alignment horizontal="center"/>
    </xf>
    <xf numFmtId="43" fontId="0" fillId="0" borderId="0" xfId="1" applyFont="1"/>
    <xf numFmtId="0" fontId="5" fillId="0" borderId="0" xfId="2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" fontId="7" fillId="0" borderId="0" xfId="2" applyNumberFormat="1" applyFont="1" applyBorder="1" applyAlignment="1">
      <alignment horizontal="center" vertical="center"/>
    </xf>
    <xf numFmtId="17" fontId="7" fillId="0" borderId="0" xfId="2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1" xfId="1" applyFont="1" applyFill="1" applyBorder="1"/>
    <xf numFmtId="0" fontId="8" fillId="0" borderId="1" xfId="0" applyFont="1" applyFill="1" applyBorder="1" applyAlignment="1"/>
    <xf numFmtId="4" fontId="9" fillId="0" borderId="1" xfId="0" applyNumberFormat="1" applyFont="1" applyBorder="1" applyAlignment="1"/>
    <xf numFmtId="43" fontId="10" fillId="0" borderId="1" xfId="1" applyFont="1" applyFill="1" applyBorder="1"/>
    <xf numFmtId="4" fontId="9" fillId="0" borderId="1" xfId="0" applyNumberFormat="1" applyFont="1" applyBorder="1" applyAlignment="1">
      <alignment horizontal="right"/>
    </xf>
    <xf numFmtId="43" fontId="0" fillId="0" borderId="0" xfId="0" applyNumberFormat="1"/>
    <xf numFmtId="43" fontId="8" fillId="0" borderId="1" xfId="1" applyFont="1" applyFill="1" applyBorder="1" applyAlignment="1"/>
    <xf numFmtId="43" fontId="9" fillId="0" borderId="1" xfId="1" applyFont="1" applyFill="1" applyBorder="1"/>
    <xf numFmtId="43" fontId="9" fillId="0" borderId="1" xfId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8" fillId="0" borderId="1" xfId="0" applyFont="1" applyFill="1" applyBorder="1" applyAlignment="1">
      <alignment horizontal="center"/>
    </xf>
    <xf numFmtId="43" fontId="8" fillId="0" borderId="1" xfId="1" applyFont="1" applyFill="1" applyBorder="1"/>
    <xf numFmtId="43" fontId="9" fillId="0" borderId="1" xfId="1" applyFont="1" applyFill="1" applyBorder="1" applyAlignment="1"/>
    <xf numFmtId="39" fontId="9" fillId="0" borderId="1" xfId="1" applyNumberFormat="1" applyFont="1" applyFill="1" applyBorder="1"/>
    <xf numFmtId="43" fontId="11" fillId="0" borderId="1" xfId="1" applyFont="1" applyFill="1" applyBorder="1"/>
    <xf numFmtId="164" fontId="8" fillId="2" borderId="1" xfId="0" applyNumberFormat="1" applyFont="1" applyFill="1" applyBorder="1" applyAlignment="1">
      <alignment horizontal="right"/>
    </xf>
    <xf numFmtId="43" fontId="8" fillId="2" borderId="1" xfId="1" applyFont="1" applyFill="1" applyBorder="1"/>
    <xf numFmtId="0" fontId="13" fillId="0" borderId="0" xfId="0" applyFont="1"/>
    <xf numFmtId="0" fontId="7" fillId="0" borderId="0" xfId="0" applyFont="1" applyAlignment="1">
      <alignment vertical="center"/>
    </xf>
    <xf numFmtId="0" fontId="14" fillId="0" borderId="2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1" xfId="0" applyFont="1" applyFill="1" applyBorder="1"/>
    <xf numFmtId="0" fontId="16" fillId="0" borderId="1" xfId="0" applyFont="1" applyBorder="1"/>
    <xf numFmtId="4" fontId="16" fillId="0" borderId="1" xfId="0" applyNumberFormat="1" applyFont="1" applyBorder="1" applyAlignment="1">
      <alignment horizontal="right"/>
    </xf>
    <xf numFmtId="4" fontId="16" fillId="0" borderId="1" xfId="0" applyNumberFormat="1" applyFont="1" applyBorder="1"/>
    <xf numFmtId="0" fontId="16" fillId="0" borderId="1" xfId="0" applyFont="1" applyBorder="1" applyAlignment="1">
      <alignment horizontal="right"/>
    </xf>
    <xf numFmtId="4" fontId="17" fillId="0" borderId="1" xfId="0" applyNumberFormat="1" applyFont="1" applyBorder="1"/>
    <xf numFmtId="0" fontId="16" fillId="0" borderId="1" xfId="0" applyFont="1" applyBorder="1" applyAlignment="1">
      <alignment horizontal="center"/>
    </xf>
    <xf numFmtId="4" fontId="18" fillId="3" borderId="4" xfId="0" applyNumberFormat="1" applyFont="1" applyFill="1" applyBorder="1"/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8" fillId="3" borderId="3" xfId="0" applyFont="1" applyFill="1" applyBorder="1" applyAlignment="1">
      <alignment horizontal="right"/>
    </xf>
    <xf numFmtId="0" fontId="18" fillId="3" borderId="5" xfId="0" applyFont="1" applyFill="1" applyBorder="1" applyAlignment="1">
      <alignment horizontal="right"/>
    </xf>
    <xf numFmtId="0" fontId="8" fillId="0" borderId="0" xfId="0" applyFont="1"/>
    <xf numFmtId="0" fontId="0" fillId="2" borderId="1" xfId="0" applyFont="1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43" fontId="1" fillId="2" borderId="1" xfId="1" applyFont="1" applyFill="1" applyBorder="1"/>
    <xf numFmtId="0" fontId="10" fillId="0" borderId="1" xfId="0" applyFont="1" applyFill="1" applyBorder="1" applyAlignment="1"/>
    <xf numFmtId="4" fontId="0" fillId="0" borderId="1" xfId="0" applyNumberFormat="1" applyFont="1" applyBorder="1" applyAlignment="1">
      <alignment horizontal="right"/>
    </xf>
    <xf numFmtId="43" fontId="10" fillId="0" borderId="1" xfId="1" applyFont="1" applyFill="1" applyBorder="1" applyAlignment="1"/>
    <xf numFmtId="43" fontId="19" fillId="0" borderId="1" xfId="1" applyFont="1" applyFill="1" applyBorder="1"/>
    <xf numFmtId="0" fontId="10" fillId="0" borderId="1" xfId="0" applyFont="1" applyFill="1" applyBorder="1" applyAlignment="1">
      <alignment horizontal="center"/>
    </xf>
    <xf numFmtId="43" fontId="19" fillId="0" borderId="1" xfId="1" applyFont="1" applyFill="1" applyBorder="1" applyAlignment="1"/>
    <xf numFmtId="39" fontId="19" fillId="0" borderId="1" xfId="1" applyNumberFormat="1" applyFont="1" applyFill="1" applyBorder="1"/>
    <xf numFmtId="43" fontId="20" fillId="0" borderId="1" xfId="1" applyFont="1" applyFill="1" applyBorder="1"/>
    <xf numFmtId="164" fontId="10" fillId="2" borderId="1" xfId="0" applyNumberFormat="1" applyFont="1" applyFill="1" applyBorder="1" applyAlignment="1">
      <alignment horizontal="right"/>
    </xf>
    <xf numFmtId="43" fontId="10" fillId="2" borderId="1" xfId="1" applyFont="1" applyFill="1" applyBorder="1"/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A8" sqref="A8"/>
    </sheetView>
  </sheetViews>
  <sheetFormatPr baseColWidth="10" defaultRowHeight="15" x14ac:dyDescent="0.25"/>
  <cols>
    <col min="1" max="1" width="18.5703125" bestFit="1" customWidth="1"/>
    <col min="2" max="2" width="26.140625" bestFit="1" customWidth="1"/>
    <col min="3" max="3" width="16.42578125" bestFit="1" customWidth="1"/>
    <col min="4" max="4" width="14.140625" bestFit="1" customWidth="1"/>
    <col min="5" max="5" width="16.42578125" bestFit="1" customWidth="1"/>
  </cols>
  <sheetData>
    <row r="1" spans="1:8" ht="33" x14ac:dyDescent="0.45">
      <c r="A1" s="39" t="s">
        <v>0</v>
      </c>
      <c r="B1" s="39"/>
      <c r="C1" s="39"/>
      <c r="D1" s="39"/>
      <c r="E1" s="39"/>
      <c r="F1" s="27"/>
      <c r="G1" s="27"/>
      <c r="H1" s="27"/>
    </row>
    <row r="2" spans="1:8" ht="20.25" x14ac:dyDescent="0.3">
      <c r="A2" s="40" t="s">
        <v>1</v>
      </c>
      <c r="B2" s="40"/>
      <c r="C2" s="40"/>
      <c r="D2" s="40"/>
      <c r="E2" s="40"/>
      <c r="F2" s="27"/>
      <c r="G2" s="27"/>
      <c r="H2" s="27"/>
    </row>
    <row r="3" spans="1:8" x14ac:dyDescent="0.25">
      <c r="A3" s="41" t="s">
        <v>2</v>
      </c>
      <c r="B3" s="41"/>
      <c r="C3" s="41"/>
      <c r="D3" s="41"/>
      <c r="E3" s="41"/>
      <c r="F3" s="27"/>
      <c r="G3" s="27"/>
      <c r="H3" s="27"/>
    </row>
    <row r="4" spans="1:8" x14ac:dyDescent="0.25">
      <c r="A4" s="41" t="s">
        <v>3</v>
      </c>
      <c r="B4" s="41"/>
      <c r="C4" s="41"/>
      <c r="D4" s="41"/>
      <c r="E4" s="41"/>
      <c r="F4" s="27"/>
      <c r="G4" s="27"/>
      <c r="H4" s="27"/>
    </row>
    <row r="5" spans="1:8" x14ac:dyDescent="0.25">
      <c r="A5" s="41" t="s">
        <v>4</v>
      </c>
      <c r="B5" s="41"/>
      <c r="C5" s="41"/>
      <c r="D5" s="41"/>
      <c r="E5" s="41"/>
      <c r="F5" s="27"/>
      <c r="G5" s="27"/>
      <c r="H5" s="27"/>
    </row>
    <row r="6" spans="1:8" x14ac:dyDescent="0.25">
      <c r="A6" s="42" t="s">
        <v>52</v>
      </c>
      <c r="B6" s="42"/>
      <c r="C6" s="42"/>
      <c r="D6" s="42"/>
      <c r="E6" s="42"/>
      <c r="F6" s="27"/>
      <c r="G6" s="27"/>
      <c r="H6" s="27"/>
    </row>
    <row r="7" spans="1:8" x14ac:dyDescent="0.25">
      <c r="A7" s="43" t="s">
        <v>92</v>
      </c>
      <c r="B7" s="43"/>
      <c r="C7" s="43"/>
      <c r="D7" s="43"/>
      <c r="E7" s="43"/>
      <c r="F7" s="28"/>
      <c r="G7" s="27"/>
      <c r="H7" s="27"/>
    </row>
    <row r="8" spans="1:8" x14ac:dyDescent="0.25">
      <c r="A8" s="29"/>
      <c r="B8" s="29"/>
      <c r="C8" s="29"/>
      <c r="D8" s="29"/>
      <c r="E8" s="29"/>
      <c r="F8" s="27"/>
      <c r="G8" s="27"/>
      <c r="H8" s="27"/>
    </row>
    <row r="9" spans="1:8" x14ac:dyDescent="0.25">
      <c r="A9" s="29"/>
      <c r="B9" s="29"/>
      <c r="C9" s="29"/>
      <c r="D9" s="29"/>
      <c r="E9" s="29"/>
      <c r="F9" s="27"/>
      <c r="G9" s="27"/>
      <c r="H9" s="27"/>
    </row>
    <row r="10" spans="1:8" x14ac:dyDescent="0.25">
      <c r="A10" s="30" t="s">
        <v>6</v>
      </c>
      <c r="B10" s="30" t="s">
        <v>7</v>
      </c>
      <c r="C10" s="30" t="s">
        <v>8</v>
      </c>
      <c r="D10" s="31" t="s">
        <v>9</v>
      </c>
      <c r="E10" s="31" t="s">
        <v>10</v>
      </c>
      <c r="F10" s="27"/>
      <c r="G10" s="27"/>
      <c r="H10" s="27"/>
    </row>
    <row r="11" spans="1:8" ht="18.75" x14ac:dyDescent="0.3">
      <c r="A11" s="32" t="s">
        <v>53</v>
      </c>
      <c r="B11" s="32" t="s">
        <v>12</v>
      </c>
      <c r="C11" s="33">
        <v>16720.82</v>
      </c>
      <c r="D11" s="32"/>
      <c r="E11" s="33">
        <v>16720.82</v>
      </c>
      <c r="F11" s="27"/>
      <c r="G11" s="27"/>
      <c r="H11" s="27"/>
    </row>
    <row r="12" spans="1:8" ht="18.75" x14ac:dyDescent="0.3">
      <c r="A12" s="32" t="s">
        <v>54</v>
      </c>
      <c r="B12" s="32" t="s">
        <v>14</v>
      </c>
      <c r="C12" s="33">
        <v>439967.13</v>
      </c>
      <c r="D12" s="32"/>
      <c r="E12" s="33">
        <v>439967.13</v>
      </c>
      <c r="F12" s="27"/>
      <c r="G12" s="27"/>
      <c r="H12" s="27"/>
    </row>
    <row r="13" spans="1:8" ht="18.75" x14ac:dyDescent="0.3">
      <c r="A13" s="32" t="s">
        <v>55</v>
      </c>
      <c r="B13" s="32" t="s">
        <v>16</v>
      </c>
      <c r="C13" s="33">
        <v>65463.45</v>
      </c>
      <c r="D13" s="32"/>
      <c r="E13" s="33">
        <v>65463.45</v>
      </c>
      <c r="F13" s="27"/>
      <c r="G13" s="27"/>
      <c r="H13" s="27"/>
    </row>
    <row r="14" spans="1:8" ht="18.75" x14ac:dyDescent="0.3">
      <c r="A14" s="32" t="s">
        <v>56</v>
      </c>
      <c r="B14" s="32" t="s">
        <v>18</v>
      </c>
      <c r="C14" s="33">
        <v>12918.96</v>
      </c>
      <c r="D14" s="32"/>
      <c r="E14" s="33">
        <v>12918.96</v>
      </c>
      <c r="F14" s="27"/>
      <c r="G14" s="27"/>
      <c r="H14" s="27"/>
    </row>
    <row r="15" spans="1:8" ht="18.75" x14ac:dyDescent="0.3">
      <c r="A15" s="32" t="s">
        <v>57</v>
      </c>
      <c r="B15" s="32" t="s">
        <v>20</v>
      </c>
      <c r="C15" s="33">
        <v>311477.59000000003</v>
      </c>
      <c r="D15" s="32"/>
      <c r="E15" s="33">
        <v>311477.59000000003</v>
      </c>
      <c r="F15" s="27"/>
      <c r="G15" s="27"/>
      <c r="H15" s="27"/>
    </row>
    <row r="16" spans="1:8" ht="18.75" x14ac:dyDescent="0.3">
      <c r="A16" s="32" t="s">
        <v>58</v>
      </c>
      <c r="B16" s="32" t="s">
        <v>22</v>
      </c>
      <c r="C16" s="33">
        <v>222716.34</v>
      </c>
      <c r="D16" s="32"/>
      <c r="E16" s="33">
        <v>222716.34</v>
      </c>
      <c r="F16" s="27"/>
      <c r="G16" s="27"/>
      <c r="H16" s="27"/>
    </row>
    <row r="17" spans="1:8" ht="18.75" x14ac:dyDescent="0.3">
      <c r="A17" s="32" t="s">
        <v>59</v>
      </c>
      <c r="B17" s="32" t="s">
        <v>24</v>
      </c>
      <c r="C17" s="33">
        <v>20821.36</v>
      </c>
      <c r="D17" s="32"/>
      <c r="E17" s="33">
        <v>20821.36</v>
      </c>
      <c r="F17" s="27"/>
      <c r="G17" s="27"/>
      <c r="H17" s="27"/>
    </row>
    <row r="18" spans="1:8" ht="18.75" x14ac:dyDescent="0.3">
      <c r="A18" s="32" t="s">
        <v>60</v>
      </c>
      <c r="B18" s="32" t="s">
        <v>26</v>
      </c>
      <c r="C18" s="33">
        <v>122630.62</v>
      </c>
      <c r="D18" s="32"/>
      <c r="E18" s="33">
        <v>122630.62</v>
      </c>
      <c r="F18" s="27"/>
      <c r="G18" s="27"/>
      <c r="H18" s="27"/>
    </row>
    <row r="19" spans="1:8" ht="18.75" x14ac:dyDescent="0.3">
      <c r="A19" s="32" t="s">
        <v>61</v>
      </c>
      <c r="B19" s="32" t="s">
        <v>28</v>
      </c>
      <c r="C19" s="33">
        <v>14338.35</v>
      </c>
      <c r="D19" s="32"/>
      <c r="E19" s="33">
        <v>14338.35</v>
      </c>
      <c r="F19" s="27"/>
      <c r="G19" s="27"/>
      <c r="H19" s="27"/>
    </row>
    <row r="20" spans="1:8" ht="18.75" x14ac:dyDescent="0.3">
      <c r="A20" s="32" t="s">
        <v>62</v>
      </c>
      <c r="B20" s="32" t="s">
        <v>30</v>
      </c>
      <c r="C20" s="33">
        <v>102975.46</v>
      </c>
      <c r="D20" s="32"/>
      <c r="E20" s="33">
        <v>102975.46</v>
      </c>
      <c r="F20" s="27"/>
      <c r="G20" s="27"/>
      <c r="H20" s="27"/>
    </row>
    <row r="21" spans="1:8" ht="18.75" x14ac:dyDescent="0.3">
      <c r="A21" s="32" t="s">
        <v>63</v>
      </c>
      <c r="B21" s="32" t="s">
        <v>32</v>
      </c>
      <c r="C21" s="33">
        <v>617068.65</v>
      </c>
      <c r="D21" s="34">
        <v>4547.79</v>
      </c>
      <c r="E21" s="33">
        <v>612520.86</v>
      </c>
      <c r="F21" s="27"/>
      <c r="G21" s="27"/>
      <c r="H21" s="27"/>
    </row>
    <row r="22" spans="1:8" ht="18.75" x14ac:dyDescent="0.3">
      <c r="A22" s="32" t="s">
        <v>64</v>
      </c>
      <c r="B22" s="32" t="s">
        <v>34</v>
      </c>
      <c r="C22" s="33">
        <v>146560.32000000001</v>
      </c>
      <c r="D22" s="32"/>
      <c r="E22" s="35" t="s">
        <v>65</v>
      </c>
      <c r="F22" s="27"/>
      <c r="G22" s="27"/>
      <c r="H22" s="27"/>
    </row>
    <row r="23" spans="1:8" ht="18.75" x14ac:dyDescent="0.3">
      <c r="A23" s="32" t="s">
        <v>66</v>
      </c>
      <c r="B23" s="32" t="s">
        <v>36</v>
      </c>
      <c r="C23" s="33">
        <v>217047.26</v>
      </c>
      <c r="D23" s="32"/>
      <c r="E23" s="33">
        <v>217047.26</v>
      </c>
      <c r="F23" s="27"/>
      <c r="G23" s="27"/>
      <c r="H23" s="27"/>
    </row>
    <row r="24" spans="1:8" ht="18.75" x14ac:dyDescent="0.3">
      <c r="A24" s="32" t="s">
        <v>67</v>
      </c>
      <c r="B24" s="32" t="s">
        <v>38</v>
      </c>
      <c r="C24" s="33">
        <v>41285.9</v>
      </c>
      <c r="D24" s="32"/>
      <c r="E24" s="34">
        <v>41285.9</v>
      </c>
      <c r="F24" s="27"/>
      <c r="G24" s="27"/>
      <c r="H24" s="27"/>
    </row>
    <row r="25" spans="1:8" ht="18.75" x14ac:dyDescent="0.3">
      <c r="A25" s="32" t="s">
        <v>68</v>
      </c>
      <c r="B25" s="32" t="s">
        <v>40</v>
      </c>
      <c r="C25" s="33">
        <v>92478.63</v>
      </c>
      <c r="D25" s="32"/>
      <c r="E25" s="34">
        <v>92478.63</v>
      </c>
      <c r="F25" s="27"/>
      <c r="G25" s="27"/>
      <c r="H25" s="27"/>
    </row>
    <row r="26" spans="1:8" ht="18.75" x14ac:dyDescent="0.3">
      <c r="A26" s="32" t="s">
        <v>69</v>
      </c>
      <c r="B26" s="32" t="s">
        <v>42</v>
      </c>
      <c r="C26" s="33">
        <v>186957.88</v>
      </c>
      <c r="D26" s="32"/>
      <c r="E26" s="34">
        <v>186957.88</v>
      </c>
      <c r="F26" s="27"/>
      <c r="G26" s="27"/>
      <c r="H26" s="27"/>
    </row>
    <row r="27" spans="1:8" ht="18.75" x14ac:dyDescent="0.3">
      <c r="A27" s="32" t="s">
        <v>70</v>
      </c>
      <c r="B27" s="32" t="s">
        <v>44</v>
      </c>
      <c r="C27" s="33">
        <v>28868.13</v>
      </c>
      <c r="D27" s="32"/>
      <c r="E27" s="34">
        <v>28868.13</v>
      </c>
      <c r="F27" s="27"/>
      <c r="G27" s="27"/>
      <c r="H27" s="27"/>
    </row>
    <row r="28" spans="1:8" ht="18.75" x14ac:dyDescent="0.3">
      <c r="A28" s="32" t="s">
        <v>71</v>
      </c>
      <c r="B28" s="32" t="s">
        <v>46</v>
      </c>
      <c r="C28" s="33">
        <v>10985.64</v>
      </c>
      <c r="D28" s="32"/>
      <c r="E28" s="34">
        <v>10985.64</v>
      </c>
      <c r="F28" s="27"/>
      <c r="G28" s="27"/>
      <c r="H28" s="27"/>
    </row>
    <row r="29" spans="1:8" ht="18.75" x14ac:dyDescent="0.3">
      <c r="A29" s="32" t="s">
        <v>72</v>
      </c>
      <c r="B29" s="32" t="s">
        <v>48</v>
      </c>
      <c r="C29" s="33">
        <v>2417181.13</v>
      </c>
      <c r="D29" s="34">
        <v>68679.070000000007</v>
      </c>
      <c r="E29" s="36">
        <v>2348502.06</v>
      </c>
      <c r="F29" s="27"/>
      <c r="G29" s="27"/>
      <c r="H29" s="27"/>
    </row>
    <row r="30" spans="1:8" ht="18.75" x14ac:dyDescent="0.3">
      <c r="A30" s="37" t="s">
        <v>49</v>
      </c>
      <c r="B30" s="32" t="s">
        <v>49</v>
      </c>
      <c r="C30" s="33">
        <v>4840265.29</v>
      </c>
      <c r="D30" s="34">
        <v>147829.22</v>
      </c>
      <c r="E30" s="36">
        <v>4595181.3899999997</v>
      </c>
      <c r="F30" s="27"/>
      <c r="G30" s="27"/>
      <c r="H30" s="27"/>
    </row>
    <row r="31" spans="1:8" ht="18.75" x14ac:dyDescent="0.3">
      <c r="A31" s="44" t="s">
        <v>50</v>
      </c>
      <c r="B31" s="45"/>
      <c r="C31" s="38">
        <f t="shared" ref="C31:D31" si="0">SUM(C11:C30)</f>
        <v>9928728.9100000001</v>
      </c>
      <c r="D31" s="38">
        <f t="shared" si="0"/>
        <v>221056.08000000002</v>
      </c>
      <c r="E31" s="38">
        <f>SUM(E11:E30)</f>
        <v>9463857.8299999982</v>
      </c>
      <c r="F31" s="27"/>
      <c r="G31" s="27"/>
      <c r="H31" s="27"/>
    </row>
    <row r="32" spans="1:8" x14ac:dyDescent="0.25">
      <c r="A32" s="27"/>
      <c r="B32" s="27"/>
      <c r="C32" s="27"/>
      <c r="D32" s="27"/>
      <c r="E32" s="27"/>
      <c r="F32" s="27"/>
      <c r="G32" s="27"/>
      <c r="H32" s="27"/>
    </row>
    <row r="33" spans="1:8" x14ac:dyDescent="0.25">
      <c r="A33" s="27"/>
      <c r="B33" s="27"/>
      <c r="C33" s="27"/>
      <c r="D33" s="27"/>
      <c r="E33" s="27"/>
      <c r="F33" s="27"/>
      <c r="G33" s="27"/>
      <c r="H33" s="27"/>
    </row>
    <row r="34" spans="1:8" x14ac:dyDescent="0.25">
      <c r="A34" s="27"/>
      <c r="B34" s="27"/>
      <c r="C34" s="27"/>
      <c r="D34" s="27"/>
      <c r="E34" s="27"/>
      <c r="F34" s="27"/>
      <c r="G34" s="27"/>
      <c r="H34" s="27"/>
    </row>
    <row r="35" spans="1:8" x14ac:dyDescent="0.25">
      <c r="A35" s="27"/>
      <c r="B35" s="27"/>
      <c r="C35" s="27"/>
      <c r="D35" s="27"/>
      <c r="E35" s="27"/>
      <c r="F35" s="27"/>
      <c r="G35" s="27"/>
      <c r="H35" s="27"/>
    </row>
    <row r="36" spans="1:8" x14ac:dyDescent="0.25">
      <c r="A36" s="27" t="s">
        <v>51</v>
      </c>
      <c r="B36" s="27"/>
      <c r="C36" s="27"/>
      <c r="D36" s="27"/>
      <c r="E36" s="27"/>
      <c r="F36" s="27"/>
      <c r="G36" s="27"/>
      <c r="H36" s="27"/>
    </row>
  </sheetData>
  <mergeCells count="8">
    <mergeCell ref="A7:E7"/>
    <mergeCell ref="A31:B31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A8" sqref="A8"/>
    </sheetView>
  </sheetViews>
  <sheetFormatPr baseColWidth="10" defaultRowHeight="15" x14ac:dyDescent="0.25"/>
  <cols>
    <col min="1" max="1" width="20.85546875" bestFit="1" customWidth="1"/>
    <col min="2" max="2" width="29.28515625" customWidth="1"/>
    <col min="3" max="3" width="25.7109375" style="2" bestFit="1" customWidth="1"/>
    <col min="4" max="4" width="14.140625" style="2" customWidth="1"/>
    <col min="5" max="5" width="21" style="2" bestFit="1" customWidth="1"/>
    <col min="6" max="6" width="17.28515625" customWidth="1"/>
    <col min="7" max="7" width="13.140625" style="2" bestFit="1" customWidth="1"/>
    <col min="8" max="8" width="14.140625" bestFit="1" customWidth="1"/>
  </cols>
  <sheetData>
    <row r="1" spans="1:9" ht="33" x14ac:dyDescent="0.45">
      <c r="A1" s="1" t="s">
        <v>0</v>
      </c>
      <c r="B1" s="1"/>
      <c r="C1" s="1"/>
      <c r="D1" s="1"/>
      <c r="E1" s="1"/>
      <c r="F1" s="1"/>
      <c r="G1"/>
      <c r="H1" s="2"/>
    </row>
    <row r="2" spans="1:9" ht="20.25" x14ac:dyDescent="0.3">
      <c r="A2" s="3" t="s">
        <v>1</v>
      </c>
      <c r="B2" s="3"/>
      <c r="C2" s="3"/>
      <c r="D2" s="3"/>
      <c r="E2" s="3"/>
      <c r="F2" s="3"/>
      <c r="G2"/>
      <c r="H2" s="2"/>
    </row>
    <row r="3" spans="1:9" x14ac:dyDescent="0.25">
      <c r="A3" s="4" t="s">
        <v>2</v>
      </c>
      <c r="B3" s="4"/>
      <c r="C3" s="4"/>
      <c r="D3" s="4"/>
      <c r="E3" s="4"/>
      <c r="F3" s="4"/>
      <c r="G3"/>
      <c r="H3" s="2"/>
    </row>
    <row r="4" spans="1:9" x14ac:dyDescent="0.25">
      <c r="A4" s="4" t="s">
        <v>3</v>
      </c>
      <c r="B4" s="4"/>
      <c r="C4" s="4"/>
      <c r="D4" s="4"/>
      <c r="E4" s="4"/>
      <c r="F4" s="4"/>
      <c r="G4"/>
      <c r="H4" s="2"/>
    </row>
    <row r="5" spans="1:9" x14ac:dyDescent="0.25">
      <c r="A5" s="4" t="s">
        <v>4</v>
      </c>
      <c r="B5" s="4"/>
      <c r="C5" s="4"/>
      <c r="D5" s="4"/>
      <c r="E5" s="4"/>
      <c r="F5" s="4"/>
      <c r="G5"/>
      <c r="H5" s="2"/>
    </row>
    <row r="6" spans="1:9" x14ac:dyDescent="0.25">
      <c r="A6" s="5" t="s">
        <v>5</v>
      </c>
      <c r="B6" s="5"/>
      <c r="C6" s="5"/>
      <c r="D6" s="5"/>
      <c r="E6" s="5"/>
      <c r="F6" s="5"/>
      <c r="G6"/>
      <c r="H6" s="2"/>
    </row>
    <row r="7" spans="1:9" x14ac:dyDescent="0.25">
      <c r="A7" s="6" t="s">
        <v>73</v>
      </c>
      <c r="B7" s="6"/>
      <c r="C7" s="6"/>
      <c r="D7" s="6"/>
      <c r="E7" s="6"/>
      <c r="F7" s="6"/>
      <c r="G7" s="7"/>
      <c r="I7" s="2"/>
    </row>
    <row r="8" spans="1:9" x14ac:dyDescent="0.25">
      <c r="A8" s="8" t="s">
        <v>6</v>
      </c>
      <c r="B8" s="8" t="s">
        <v>7</v>
      </c>
      <c r="C8" s="9" t="s">
        <v>8</v>
      </c>
      <c r="D8" s="10" t="s">
        <v>9</v>
      </c>
      <c r="E8" s="10" t="s">
        <v>10</v>
      </c>
      <c r="F8" s="2"/>
      <c r="G8"/>
    </row>
    <row r="9" spans="1:9" ht="18.75" x14ac:dyDescent="0.3">
      <c r="A9" s="11" t="s">
        <v>11</v>
      </c>
      <c r="B9" s="11" t="s">
        <v>12</v>
      </c>
      <c r="C9" s="12">
        <v>83376.61</v>
      </c>
      <c r="D9" s="13"/>
      <c r="E9" s="14">
        <v>83376.61</v>
      </c>
      <c r="F9" s="2"/>
      <c r="G9" s="15"/>
    </row>
    <row r="10" spans="1:9" ht="18.75" x14ac:dyDescent="0.3">
      <c r="A10" s="11" t="s">
        <v>13</v>
      </c>
      <c r="B10" s="16" t="s">
        <v>14</v>
      </c>
      <c r="C10" s="12">
        <v>404678.83</v>
      </c>
      <c r="D10" s="13"/>
      <c r="E10" s="14">
        <v>404678.83</v>
      </c>
      <c r="F10" s="2"/>
      <c r="G10" s="15"/>
    </row>
    <row r="11" spans="1:9" ht="18.75" x14ac:dyDescent="0.3">
      <c r="A11" s="11" t="s">
        <v>15</v>
      </c>
      <c r="B11" s="16" t="s">
        <v>16</v>
      </c>
      <c r="C11" s="12">
        <v>53140.7</v>
      </c>
      <c r="D11" s="13"/>
      <c r="E11" s="14">
        <v>53140.7</v>
      </c>
      <c r="F11" s="2"/>
      <c r="G11" s="15"/>
    </row>
    <row r="12" spans="1:9" ht="18.75" x14ac:dyDescent="0.3">
      <c r="A12" s="11" t="s">
        <v>17</v>
      </c>
      <c r="B12" s="16" t="s">
        <v>18</v>
      </c>
      <c r="C12" s="12">
        <v>6743.06</v>
      </c>
      <c r="D12" s="13"/>
      <c r="E12" s="14">
        <v>6743.06</v>
      </c>
      <c r="F12" s="2"/>
      <c r="G12"/>
    </row>
    <row r="13" spans="1:9" ht="18.75" x14ac:dyDescent="0.3">
      <c r="A13" s="11" t="s">
        <v>19</v>
      </c>
      <c r="B13" s="16" t="s">
        <v>20</v>
      </c>
      <c r="C13" s="12">
        <v>130031.72</v>
      </c>
      <c r="D13" s="13"/>
      <c r="E13" s="14">
        <v>130031.72</v>
      </c>
      <c r="F13" s="2"/>
      <c r="G13"/>
    </row>
    <row r="14" spans="1:9" ht="18.75" x14ac:dyDescent="0.3">
      <c r="A14" s="11" t="s">
        <v>21</v>
      </c>
      <c r="B14" s="16" t="s">
        <v>22</v>
      </c>
      <c r="C14" s="12">
        <v>73918.679999999993</v>
      </c>
      <c r="D14" s="13"/>
      <c r="E14" s="14">
        <v>73918.679999999993</v>
      </c>
      <c r="F14" s="2"/>
      <c r="G14"/>
    </row>
    <row r="15" spans="1:9" ht="18.75" x14ac:dyDescent="0.3">
      <c r="A15" s="11" t="s">
        <v>23</v>
      </c>
      <c r="B15" s="16" t="s">
        <v>24</v>
      </c>
      <c r="C15" s="12">
        <f>E15+D15</f>
        <v>81556.77</v>
      </c>
      <c r="D15" s="17">
        <v>714.6</v>
      </c>
      <c r="E15" s="18">
        <v>80842.17</v>
      </c>
      <c r="F15" s="2"/>
      <c r="G15"/>
    </row>
    <row r="16" spans="1:9" ht="18.75" x14ac:dyDescent="0.3">
      <c r="A16" s="11" t="s">
        <v>25</v>
      </c>
      <c r="B16" s="16" t="s">
        <v>26</v>
      </c>
      <c r="C16" s="12">
        <v>43770.8</v>
      </c>
      <c r="D16" s="17"/>
      <c r="E16" s="19">
        <v>43770.8</v>
      </c>
      <c r="F16" s="2"/>
      <c r="G16"/>
    </row>
    <row r="17" spans="1:7" ht="18.75" x14ac:dyDescent="0.3">
      <c r="A17" s="11" t="s">
        <v>27</v>
      </c>
      <c r="B17" s="16" t="s">
        <v>28</v>
      </c>
      <c r="C17" s="12">
        <v>162551.53</v>
      </c>
      <c r="D17" s="17"/>
      <c r="E17" s="19">
        <v>162551.53</v>
      </c>
      <c r="F17" s="2"/>
      <c r="G17"/>
    </row>
    <row r="18" spans="1:7" ht="18.75" x14ac:dyDescent="0.3">
      <c r="A18" s="11" t="s">
        <v>29</v>
      </c>
      <c r="B18" s="16" t="s">
        <v>30</v>
      </c>
      <c r="C18" s="12">
        <v>6619.63</v>
      </c>
      <c r="D18" s="17"/>
      <c r="E18" s="19">
        <v>6619.63</v>
      </c>
      <c r="F18" s="2"/>
      <c r="G18"/>
    </row>
    <row r="19" spans="1:7" ht="18.75" x14ac:dyDescent="0.3">
      <c r="A19" s="11" t="s">
        <v>31</v>
      </c>
      <c r="B19" s="16" t="s">
        <v>32</v>
      </c>
      <c r="C19" s="12">
        <f>E19+D19</f>
        <v>372255.06</v>
      </c>
      <c r="D19" s="17">
        <v>6159.88</v>
      </c>
      <c r="E19" s="19">
        <v>366095.18</v>
      </c>
      <c r="F19" s="2"/>
      <c r="G19"/>
    </row>
    <row r="20" spans="1:7" ht="18.75" x14ac:dyDescent="0.3">
      <c r="A20" s="11" t="s">
        <v>33</v>
      </c>
      <c r="B20" s="16" t="s">
        <v>34</v>
      </c>
      <c r="C20" s="12">
        <v>85258.31</v>
      </c>
      <c r="D20" s="17"/>
      <c r="E20" s="19">
        <v>85258.31</v>
      </c>
      <c r="F20" s="2"/>
      <c r="G20"/>
    </row>
    <row r="21" spans="1:7" ht="18.75" x14ac:dyDescent="0.3">
      <c r="A21" s="11" t="s">
        <v>35</v>
      </c>
      <c r="B21" s="16" t="s">
        <v>36</v>
      </c>
      <c r="C21" s="12">
        <v>79962.77</v>
      </c>
      <c r="D21" s="17"/>
      <c r="E21" s="19">
        <v>79962.77</v>
      </c>
      <c r="F21" s="2"/>
      <c r="G21"/>
    </row>
    <row r="22" spans="1:7" ht="18.75" x14ac:dyDescent="0.3">
      <c r="A22" s="11" t="s">
        <v>37</v>
      </c>
      <c r="B22" s="16" t="s">
        <v>38</v>
      </c>
      <c r="C22" s="12">
        <v>22435.77</v>
      </c>
      <c r="D22" s="17"/>
      <c r="E22" s="19">
        <v>22435.77</v>
      </c>
      <c r="F22" s="2"/>
      <c r="G22"/>
    </row>
    <row r="23" spans="1:7" ht="18.75" x14ac:dyDescent="0.3">
      <c r="A23" s="11" t="s">
        <v>39</v>
      </c>
      <c r="B23" s="16" t="s">
        <v>40</v>
      </c>
      <c r="C23" s="12">
        <v>2821.24</v>
      </c>
      <c r="D23" s="17"/>
      <c r="E23" s="19">
        <v>2821.24</v>
      </c>
      <c r="F23" s="2"/>
      <c r="G23"/>
    </row>
    <row r="24" spans="1:7" ht="18.75" x14ac:dyDescent="0.3">
      <c r="A24" s="11" t="s">
        <v>41</v>
      </c>
      <c r="B24" s="16" t="s">
        <v>42</v>
      </c>
      <c r="C24" s="12">
        <v>136798.59</v>
      </c>
      <c r="D24" s="17"/>
      <c r="E24" s="19">
        <v>136798.59</v>
      </c>
      <c r="F24" s="2"/>
      <c r="G24"/>
    </row>
    <row r="25" spans="1:7" ht="18.75" x14ac:dyDescent="0.3">
      <c r="A25" s="11" t="s">
        <v>43</v>
      </c>
      <c r="B25" s="16" t="s">
        <v>44</v>
      </c>
      <c r="C25" s="12">
        <v>10657.5</v>
      </c>
      <c r="D25" s="17"/>
      <c r="E25" s="19">
        <v>10657.5</v>
      </c>
      <c r="F25" s="2"/>
      <c r="G25"/>
    </row>
    <row r="26" spans="1:7" ht="18.75" x14ac:dyDescent="0.3">
      <c r="A26" s="11" t="s">
        <v>45</v>
      </c>
      <c r="B26" s="16" t="s">
        <v>46</v>
      </c>
      <c r="C26" s="12">
        <v>13000</v>
      </c>
      <c r="D26" s="17"/>
      <c r="E26" s="19">
        <v>13000</v>
      </c>
      <c r="F26" s="2"/>
      <c r="G26"/>
    </row>
    <row r="27" spans="1:7" ht="18.75" x14ac:dyDescent="0.3">
      <c r="A27" s="11" t="s">
        <v>47</v>
      </c>
      <c r="B27" s="16" t="s">
        <v>48</v>
      </c>
      <c r="C27" s="12">
        <v>2645113.9</v>
      </c>
      <c r="D27" s="17">
        <v>11137</v>
      </c>
      <c r="E27" s="19">
        <v>2645113.9</v>
      </c>
      <c r="F27" s="2"/>
      <c r="G27"/>
    </row>
    <row r="28" spans="1:7" ht="18.75" x14ac:dyDescent="0.3">
      <c r="A28" s="20" t="s">
        <v>49</v>
      </c>
      <c r="B28" s="21" t="s">
        <v>49</v>
      </c>
      <c r="C28" s="22">
        <v>3228340.75</v>
      </c>
      <c r="D28" s="23">
        <v>81431.03</v>
      </c>
      <c r="E28" s="24">
        <f>C28-D28</f>
        <v>3146909.72</v>
      </c>
      <c r="F28" s="2"/>
      <c r="G28"/>
    </row>
    <row r="29" spans="1:7" ht="18.75" x14ac:dyDescent="0.3">
      <c r="A29" s="25" t="s">
        <v>50</v>
      </c>
      <c r="B29" s="25"/>
      <c r="C29" s="26">
        <f>SUM(C9:C28)</f>
        <v>7643032.2200000007</v>
      </c>
      <c r="D29" s="26">
        <f>SUM(D15:D28)</f>
        <v>99442.51</v>
      </c>
      <c r="E29" s="26">
        <f>SUM(E9:E28)</f>
        <v>7554726.7100000009</v>
      </c>
      <c r="F29" s="2"/>
      <c r="G29"/>
    </row>
    <row r="34" spans="1:1" x14ac:dyDescent="0.25">
      <c r="A34" t="s">
        <v>51</v>
      </c>
    </row>
  </sheetData>
  <mergeCells count="8">
    <mergeCell ref="A7:F7"/>
    <mergeCell ref="A29:B29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D10" sqref="D10"/>
    </sheetView>
  </sheetViews>
  <sheetFormatPr baseColWidth="10" defaultRowHeight="15" x14ac:dyDescent="0.25"/>
  <cols>
    <col min="1" max="1" width="20.85546875" bestFit="1" customWidth="1"/>
    <col min="2" max="2" width="29.28515625" customWidth="1"/>
    <col min="3" max="3" width="25.7109375" style="2" bestFit="1" customWidth="1"/>
    <col min="4" max="4" width="12.7109375" style="2" bestFit="1" customWidth="1"/>
    <col min="5" max="5" width="16.5703125" style="2" customWidth="1"/>
    <col min="6" max="6" width="17.28515625" customWidth="1"/>
    <col min="7" max="7" width="13.140625" style="2" bestFit="1" customWidth="1"/>
    <col min="8" max="8" width="14.140625" bestFit="1" customWidth="1"/>
  </cols>
  <sheetData>
    <row r="1" spans="1:9" ht="33" x14ac:dyDescent="0.45">
      <c r="A1" s="1" t="s">
        <v>0</v>
      </c>
      <c r="B1" s="1"/>
      <c r="C1" s="1"/>
      <c r="D1" s="1"/>
      <c r="E1" s="1"/>
      <c r="F1" s="1"/>
      <c r="G1"/>
      <c r="H1" s="2"/>
    </row>
    <row r="2" spans="1:9" ht="20.25" x14ac:dyDescent="0.3">
      <c r="A2" s="3" t="s">
        <v>1</v>
      </c>
      <c r="B2" s="3"/>
      <c r="C2" s="3"/>
      <c r="D2" s="3"/>
      <c r="E2" s="3"/>
      <c r="F2" s="3"/>
      <c r="G2"/>
      <c r="H2" s="2"/>
    </row>
    <row r="3" spans="1:9" x14ac:dyDescent="0.25">
      <c r="A3" s="4" t="s">
        <v>2</v>
      </c>
      <c r="B3" s="4"/>
      <c r="C3" s="4"/>
      <c r="D3" s="4"/>
      <c r="E3" s="4"/>
      <c r="F3" s="4"/>
      <c r="G3"/>
      <c r="H3" s="2"/>
    </row>
    <row r="4" spans="1:9" x14ac:dyDescent="0.25">
      <c r="A4" s="4" t="s">
        <v>3</v>
      </c>
      <c r="B4" s="4"/>
      <c r="C4" s="4"/>
      <c r="D4" s="4"/>
      <c r="E4" s="4"/>
      <c r="F4" s="4"/>
      <c r="G4"/>
      <c r="H4" s="2"/>
    </row>
    <row r="5" spans="1:9" x14ac:dyDescent="0.25">
      <c r="A5" s="4" t="s">
        <v>4</v>
      </c>
      <c r="B5" s="4"/>
      <c r="C5" s="4"/>
      <c r="D5" s="4"/>
      <c r="E5" s="4"/>
      <c r="F5" s="4"/>
      <c r="G5"/>
      <c r="H5" s="2"/>
    </row>
    <row r="6" spans="1:9" x14ac:dyDescent="0.25">
      <c r="A6" s="5" t="s">
        <v>5</v>
      </c>
      <c r="B6" s="5"/>
      <c r="C6" s="5"/>
      <c r="D6" s="5"/>
      <c r="E6" s="5"/>
      <c r="F6" s="5"/>
      <c r="G6"/>
      <c r="H6" s="2"/>
    </row>
    <row r="7" spans="1:9" x14ac:dyDescent="0.25">
      <c r="A7" s="6" t="s">
        <v>93</v>
      </c>
      <c r="B7" s="6"/>
      <c r="C7" s="6"/>
      <c r="D7" s="6"/>
      <c r="E7" s="6"/>
      <c r="F7" s="6"/>
      <c r="G7" s="7"/>
      <c r="I7" s="2"/>
    </row>
    <row r="8" spans="1:9" x14ac:dyDescent="0.25">
      <c r="A8" s="47" t="s">
        <v>6</v>
      </c>
      <c r="B8" s="47" t="s">
        <v>7</v>
      </c>
      <c r="C8" s="48" t="s">
        <v>8</v>
      </c>
      <c r="D8" s="49" t="s">
        <v>9</v>
      </c>
      <c r="E8" s="49" t="s">
        <v>10</v>
      </c>
      <c r="F8" s="2"/>
      <c r="G8"/>
    </row>
    <row r="9" spans="1:9" ht="18.75" x14ac:dyDescent="0.3">
      <c r="A9" s="50" t="s">
        <v>74</v>
      </c>
      <c r="B9" s="50" t="s">
        <v>12</v>
      </c>
      <c r="C9" s="51">
        <v>77617.279999999999</v>
      </c>
      <c r="D9" s="13"/>
      <c r="E9" s="51">
        <v>77617.279999999999</v>
      </c>
      <c r="F9" s="2"/>
      <c r="G9" s="15"/>
    </row>
    <row r="10" spans="1:9" ht="18.75" x14ac:dyDescent="0.3">
      <c r="A10" s="50" t="s">
        <v>75</v>
      </c>
      <c r="B10" s="52" t="s">
        <v>14</v>
      </c>
      <c r="C10" s="51">
        <v>432554.37</v>
      </c>
      <c r="D10" s="13"/>
      <c r="E10" s="51">
        <v>432554.37</v>
      </c>
      <c r="F10" s="2"/>
      <c r="G10" s="15"/>
    </row>
    <row r="11" spans="1:9" ht="18.75" x14ac:dyDescent="0.3">
      <c r="A11" s="50" t="s">
        <v>76</v>
      </c>
      <c r="B11" s="52" t="s">
        <v>16</v>
      </c>
      <c r="C11" s="51">
        <v>54068.800000000003</v>
      </c>
      <c r="D11" s="13"/>
      <c r="E11" s="51">
        <v>54068.800000000003</v>
      </c>
      <c r="F11" s="2"/>
      <c r="G11" s="15"/>
    </row>
    <row r="12" spans="1:9" ht="18.75" x14ac:dyDescent="0.3">
      <c r="A12" s="50" t="s">
        <v>77</v>
      </c>
      <c r="B12" s="52" t="s">
        <v>18</v>
      </c>
      <c r="C12" s="51">
        <v>12721.58</v>
      </c>
      <c r="D12" s="13"/>
      <c r="E12" s="51">
        <v>12721.58</v>
      </c>
      <c r="F12" s="2"/>
      <c r="G12"/>
    </row>
    <row r="13" spans="1:9" ht="18.75" x14ac:dyDescent="0.3">
      <c r="A13" s="50" t="s">
        <v>78</v>
      </c>
      <c r="B13" s="52" t="s">
        <v>20</v>
      </c>
      <c r="C13" s="51">
        <v>382067.66</v>
      </c>
      <c r="D13" s="13"/>
      <c r="E13" s="51">
        <v>382067.66</v>
      </c>
      <c r="F13" s="2"/>
      <c r="G13"/>
    </row>
    <row r="14" spans="1:9" ht="18.75" x14ac:dyDescent="0.3">
      <c r="A14" s="50" t="s">
        <v>79</v>
      </c>
      <c r="B14" s="52" t="s">
        <v>24</v>
      </c>
      <c r="C14" s="51">
        <v>32922.74</v>
      </c>
      <c r="D14" s="53"/>
      <c r="E14" s="51">
        <v>32922.74</v>
      </c>
      <c r="F14" s="2"/>
      <c r="G14" s="46"/>
    </row>
    <row r="15" spans="1:9" ht="18.75" x14ac:dyDescent="0.3">
      <c r="A15" s="50" t="s">
        <v>80</v>
      </c>
      <c r="B15" s="52" t="s">
        <v>26</v>
      </c>
      <c r="C15" s="51">
        <v>55860.67</v>
      </c>
      <c r="D15" s="53"/>
      <c r="E15" s="51">
        <v>55860.67</v>
      </c>
      <c r="F15" s="2"/>
      <c r="G15"/>
    </row>
    <row r="16" spans="1:9" ht="18.75" x14ac:dyDescent="0.3">
      <c r="A16" s="50" t="s">
        <v>81</v>
      </c>
      <c r="B16" s="52" t="s">
        <v>28</v>
      </c>
      <c r="C16" s="51">
        <v>37897.65</v>
      </c>
      <c r="D16" s="53"/>
      <c r="E16" s="51">
        <v>37897.65</v>
      </c>
      <c r="F16" s="2"/>
      <c r="G16"/>
    </row>
    <row r="17" spans="1:7" ht="18.75" x14ac:dyDescent="0.3">
      <c r="A17" s="50" t="s">
        <v>82</v>
      </c>
      <c r="B17" s="52" t="s">
        <v>30</v>
      </c>
      <c r="C17" s="51">
        <v>12257.4</v>
      </c>
      <c r="D17" s="53"/>
      <c r="E17" s="51">
        <v>12257.4</v>
      </c>
      <c r="F17" s="2"/>
      <c r="G17"/>
    </row>
    <row r="18" spans="1:7" ht="18.75" x14ac:dyDescent="0.3">
      <c r="A18" s="50" t="s">
        <v>83</v>
      </c>
      <c r="B18" s="52" t="s">
        <v>32</v>
      </c>
      <c r="C18" s="51">
        <v>395799.78</v>
      </c>
      <c r="D18" s="53"/>
      <c r="E18" s="51">
        <v>395799.78</v>
      </c>
      <c r="F18" s="2"/>
      <c r="G18"/>
    </row>
    <row r="19" spans="1:7" ht="18.75" x14ac:dyDescent="0.3">
      <c r="A19" s="50" t="s">
        <v>84</v>
      </c>
      <c r="B19" s="52" t="s">
        <v>34</v>
      </c>
      <c r="C19" s="51">
        <v>119188.62</v>
      </c>
      <c r="D19" s="53"/>
      <c r="E19" s="51">
        <v>119188.62</v>
      </c>
      <c r="F19" s="2"/>
      <c r="G19"/>
    </row>
    <row r="20" spans="1:7" ht="18.75" x14ac:dyDescent="0.3">
      <c r="A20" s="50" t="s">
        <v>85</v>
      </c>
      <c r="B20" s="52" t="s">
        <v>36</v>
      </c>
      <c r="C20" s="51">
        <v>61346.15</v>
      </c>
      <c r="D20" s="53"/>
      <c r="E20" s="51">
        <v>61346.15</v>
      </c>
      <c r="F20" s="2"/>
      <c r="G20"/>
    </row>
    <row r="21" spans="1:7" ht="18.75" x14ac:dyDescent="0.3">
      <c r="A21" s="50" t="s">
        <v>86</v>
      </c>
      <c r="B21" s="52" t="s">
        <v>38</v>
      </c>
      <c r="C21" s="51">
        <v>61608.05</v>
      </c>
      <c r="D21" s="53"/>
      <c r="E21" s="51">
        <v>61608.05</v>
      </c>
      <c r="F21" s="2"/>
      <c r="G21"/>
    </row>
    <row r="22" spans="1:7" ht="18.75" x14ac:dyDescent="0.3">
      <c r="A22" s="50" t="s">
        <v>87</v>
      </c>
      <c r="B22" s="52" t="s">
        <v>40</v>
      </c>
      <c r="C22" s="51">
        <v>1604</v>
      </c>
      <c r="D22" s="53"/>
      <c r="E22" s="51">
        <v>1604</v>
      </c>
      <c r="F22" s="2"/>
      <c r="G22"/>
    </row>
    <row r="23" spans="1:7" ht="18.75" x14ac:dyDescent="0.3">
      <c r="A23" s="50" t="s">
        <v>88</v>
      </c>
      <c r="B23" s="52" t="s">
        <v>42</v>
      </c>
      <c r="C23" s="51">
        <v>83229.31</v>
      </c>
      <c r="D23" s="53"/>
      <c r="E23" s="51">
        <v>83229.31</v>
      </c>
      <c r="F23" s="2"/>
      <c r="G23"/>
    </row>
    <row r="24" spans="1:7" ht="18.75" x14ac:dyDescent="0.3">
      <c r="A24" s="50" t="s">
        <v>89</v>
      </c>
      <c r="B24" s="52" t="s">
        <v>44</v>
      </c>
      <c r="C24" s="51">
        <v>27941.11</v>
      </c>
      <c r="D24" s="53"/>
      <c r="E24" s="51">
        <v>27941.11</v>
      </c>
      <c r="F24" s="2"/>
      <c r="G24"/>
    </row>
    <row r="25" spans="1:7" ht="18.75" x14ac:dyDescent="0.3">
      <c r="A25" s="50" t="s">
        <v>90</v>
      </c>
      <c r="B25" s="52" t="s">
        <v>46</v>
      </c>
      <c r="C25" s="51">
        <v>6959.16</v>
      </c>
      <c r="D25" s="53"/>
      <c r="E25" s="51">
        <v>6959.16</v>
      </c>
      <c r="F25" s="2"/>
      <c r="G25"/>
    </row>
    <row r="26" spans="1:7" ht="18.75" x14ac:dyDescent="0.3">
      <c r="A26" s="50" t="s">
        <v>91</v>
      </c>
      <c r="B26" s="52" t="s">
        <v>48</v>
      </c>
      <c r="C26" s="51">
        <v>1939523.55</v>
      </c>
      <c r="D26" s="53"/>
      <c r="E26" s="51">
        <v>1939523.55</v>
      </c>
      <c r="F26" s="2"/>
      <c r="G26"/>
    </row>
    <row r="27" spans="1:7" ht="18.75" x14ac:dyDescent="0.3">
      <c r="A27" s="54" t="s">
        <v>49</v>
      </c>
      <c r="B27" s="13" t="s">
        <v>49</v>
      </c>
      <c r="C27" s="55">
        <f>E27+D27</f>
        <v>3267715.24</v>
      </c>
      <c r="D27" s="56">
        <v>68054</v>
      </c>
      <c r="E27" s="57">
        <v>3199661.24</v>
      </c>
      <c r="F27" s="2"/>
      <c r="G27"/>
    </row>
    <row r="28" spans="1:7" ht="18.75" x14ac:dyDescent="0.3">
      <c r="A28" s="58" t="s">
        <v>50</v>
      </c>
      <c r="B28" s="58"/>
      <c r="C28" s="59">
        <f>SUM(C9:C27)</f>
        <v>7062883.1200000001</v>
      </c>
      <c r="D28" s="59"/>
      <c r="E28" s="59">
        <f>SUM(E9:E27)</f>
        <v>6994829.1200000001</v>
      </c>
      <c r="F28" s="2"/>
      <c r="G28"/>
    </row>
    <row r="33" spans="1:1" x14ac:dyDescent="0.25">
      <c r="A33" t="s">
        <v>51</v>
      </c>
    </row>
  </sheetData>
  <mergeCells count="8">
    <mergeCell ref="A7:F7"/>
    <mergeCell ref="A28:B28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 2025</vt:lpstr>
      <vt:lpstr>MARZO 2025</vt:lpstr>
      <vt:lpstr>ABRIL 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2025-05-02T15:07:53Z</dcterms:created>
  <dcterms:modified xsi:type="dcterms:W3CDTF">2025-05-02T15:14:42Z</dcterms:modified>
</cp:coreProperties>
</file>
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ntabilidad\Desktop\DOCUMENTACION PORTAL DE TRANSPARENCIA\LIBROS DE BANCOS\AÑO 2025\AGOSTO 2025\"/>
    </mc:Choice>
  </mc:AlternateContent>
  <bookViews>
    <workbookView xWindow="0" yWindow="0" windowWidth="20490" windowHeight="7065"/>
  </bookViews>
  <sheets>
    <sheet name="Hoja1" sheetId="1" r:id="rId1"/>
  </sheets>
  <externalReferences>
    <externalReference r:id="rId2"/>
  </externalReferences>
  <definedNames>
    <definedName name="_xlnm.Print_Area" localSheetId="0">Hoja1!$A$1:$J$501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01" i="1" l="1"/>
  <c r="G501" i="1"/>
  <c r="G500" i="1" s="1"/>
  <c r="H500" i="1"/>
  <c r="H499" i="1"/>
  <c r="H498" i="1" s="1"/>
  <c r="G499" i="1"/>
  <c r="I498" i="1"/>
  <c r="G498" i="1"/>
  <c r="G497" i="1" s="1"/>
  <c r="H497" i="1"/>
  <c r="H496" i="1"/>
  <c r="H495" i="1" s="1"/>
  <c r="G496" i="1"/>
  <c r="I495" i="1"/>
  <c r="G495" i="1"/>
  <c r="H494" i="1"/>
  <c r="G494" i="1"/>
  <c r="G493" i="1" s="1"/>
  <c r="H493" i="1"/>
  <c r="H491" i="1"/>
  <c r="G491" i="1"/>
  <c r="G490" i="1" s="1"/>
  <c r="I490" i="1" s="1"/>
  <c r="H490" i="1"/>
  <c r="H489" i="1"/>
  <c r="H488" i="1" s="1"/>
  <c r="G489" i="1"/>
  <c r="I489" i="1" s="1"/>
  <c r="G488" i="1"/>
  <c r="I488" i="1" s="1"/>
  <c r="H487" i="1"/>
  <c r="G487" i="1"/>
  <c r="G486" i="1" s="1"/>
  <c r="H486" i="1"/>
  <c r="H485" i="1"/>
  <c r="H484" i="1" s="1"/>
  <c r="G485" i="1"/>
  <c r="I484" i="1"/>
  <c r="G484" i="1"/>
  <c r="H483" i="1"/>
  <c r="G483" i="1"/>
  <c r="G482" i="1" s="1"/>
  <c r="I482" i="1" s="1"/>
  <c r="H482" i="1"/>
  <c r="H481" i="1"/>
  <c r="H480" i="1" s="1"/>
  <c r="G481" i="1"/>
  <c r="I481" i="1" s="1"/>
  <c r="G480" i="1"/>
  <c r="I480" i="1" s="1"/>
  <c r="H479" i="1"/>
  <c r="G479" i="1"/>
  <c r="G478" i="1" s="1"/>
  <c r="H478" i="1"/>
  <c r="H477" i="1"/>
  <c r="H476" i="1" s="1"/>
  <c r="G477" i="1"/>
  <c r="I476" i="1"/>
  <c r="G476" i="1"/>
  <c r="H475" i="1"/>
  <c r="G475" i="1"/>
  <c r="G474" i="1" s="1"/>
  <c r="H474" i="1"/>
  <c r="H472" i="1"/>
  <c r="G472" i="1"/>
  <c r="G471" i="1" s="1"/>
  <c r="I471" i="1" s="1"/>
  <c r="H471" i="1"/>
  <c r="H470" i="1"/>
  <c r="H469" i="1" s="1"/>
  <c r="G470" i="1"/>
  <c r="I470" i="1" s="1"/>
  <c r="G469" i="1"/>
  <c r="I469" i="1" s="1"/>
  <c r="H468" i="1"/>
  <c r="G468" i="1"/>
  <c r="G467" i="1" s="1"/>
  <c r="H467" i="1"/>
  <c r="H466" i="1"/>
  <c r="H465" i="1" s="1"/>
  <c r="G466" i="1"/>
  <c r="I465" i="1"/>
  <c r="G465" i="1"/>
  <c r="H464" i="1"/>
  <c r="H462" i="1"/>
  <c r="H461" i="1" s="1"/>
  <c r="G462" i="1"/>
  <c r="I461" i="1"/>
  <c r="G461" i="1"/>
  <c r="H460" i="1"/>
  <c r="G460" i="1"/>
  <c r="I460" i="1" s="1"/>
  <c r="H459" i="1"/>
  <c r="G459" i="1"/>
  <c r="I459" i="1" s="1"/>
  <c r="H458" i="1"/>
  <c r="G458" i="1"/>
  <c r="H457" i="1"/>
  <c r="H456" i="1"/>
  <c r="H455" i="1" s="1"/>
  <c r="G456" i="1"/>
  <c r="I456" i="1" s="1"/>
  <c r="G455" i="1"/>
  <c r="I455" i="1" s="1"/>
  <c r="H454" i="1"/>
  <c r="G454" i="1"/>
  <c r="G453" i="1" s="1"/>
  <c r="H453" i="1"/>
  <c r="H452" i="1"/>
  <c r="G452" i="1"/>
  <c r="H451" i="1"/>
  <c r="G451" i="1"/>
  <c r="I451" i="1" s="1"/>
  <c r="G450" i="1"/>
  <c r="H449" i="1"/>
  <c r="G449" i="1"/>
  <c r="I449" i="1" s="1"/>
  <c r="H448" i="1"/>
  <c r="G448" i="1"/>
  <c r="G447" i="1" s="1"/>
  <c r="H447" i="1"/>
  <c r="H445" i="1"/>
  <c r="G445" i="1"/>
  <c r="G444" i="1" s="1"/>
  <c r="I444" i="1" s="1"/>
  <c r="H444" i="1"/>
  <c r="H443" i="1"/>
  <c r="G443" i="1"/>
  <c r="I443" i="1" s="1"/>
  <c r="H442" i="1"/>
  <c r="G442" i="1"/>
  <c r="H441" i="1"/>
  <c r="G441" i="1"/>
  <c r="I441" i="1" s="1"/>
  <c r="G440" i="1"/>
  <c r="H439" i="1"/>
  <c r="G439" i="1"/>
  <c r="G438" i="1" s="1"/>
  <c r="H438" i="1"/>
  <c r="H437" i="1"/>
  <c r="H436" i="1" s="1"/>
  <c r="G437" i="1"/>
  <c r="I436" i="1"/>
  <c r="G436" i="1"/>
  <c r="H435" i="1"/>
  <c r="G435" i="1"/>
  <c r="I435" i="1" s="1"/>
  <c r="H434" i="1"/>
  <c r="G434" i="1"/>
  <c r="I434" i="1" s="1"/>
  <c r="H433" i="1"/>
  <c r="G433" i="1"/>
  <c r="G432" i="1" s="1"/>
  <c r="I432" i="1" s="1"/>
  <c r="H432" i="1"/>
  <c r="H431" i="1"/>
  <c r="G431" i="1"/>
  <c r="I431" i="1" s="1"/>
  <c r="H430" i="1"/>
  <c r="H429" i="1" s="1"/>
  <c r="G430" i="1"/>
  <c r="I429" i="1"/>
  <c r="G429" i="1"/>
  <c r="H428" i="1"/>
  <c r="G428" i="1"/>
  <c r="G427" i="1" s="1"/>
  <c r="I427" i="1" s="1"/>
  <c r="H427" i="1"/>
  <c r="H426" i="1"/>
  <c r="H425" i="1" s="1"/>
  <c r="G426" i="1"/>
  <c r="I426" i="1" s="1"/>
  <c r="G425" i="1"/>
  <c r="H423" i="1"/>
  <c r="H422" i="1" s="1"/>
  <c r="G423" i="1"/>
  <c r="I423" i="1" s="1"/>
  <c r="G422" i="1"/>
  <c r="I422" i="1" s="1"/>
  <c r="H421" i="1"/>
  <c r="G421" i="1"/>
  <c r="G420" i="1" s="1"/>
  <c r="H420" i="1"/>
  <c r="H419" i="1"/>
  <c r="H418" i="1" s="1"/>
  <c r="G419" i="1"/>
  <c r="I418" i="1"/>
  <c r="G418" i="1"/>
  <c r="H417" i="1"/>
  <c r="G417" i="1"/>
  <c r="G416" i="1" s="1"/>
  <c r="I416" i="1" s="1"/>
  <c r="H416" i="1"/>
  <c r="H415" i="1"/>
  <c r="H414" i="1" s="1"/>
  <c r="G415" i="1"/>
  <c r="I415" i="1" s="1"/>
  <c r="G414" i="1"/>
  <c r="I414" i="1" s="1"/>
  <c r="H413" i="1"/>
  <c r="G413" i="1"/>
  <c r="G412" i="1" s="1"/>
  <c r="H412" i="1"/>
  <c r="H411" i="1"/>
  <c r="H410" i="1" s="1"/>
  <c r="G411" i="1"/>
  <c r="I410" i="1"/>
  <c r="G410" i="1"/>
  <c r="H409" i="1"/>
  <c r="G409" i="1"/>
  <c r="G408" i="1" s="1"/>
  <c r="I408" i="1" s="1"/>
  <c r="H408" i="1"/>
  <c r="H407" i="1"/>
  <c r="H406" i="1" s="1"/>
  <c r="G407" i="1"/>
  <c r="I407" i="1" s="1"/>
  <c r="G406" i="1"/>
  <c r="H404" i="1"/>
  <c r="H403" i="1" s="1"/>
  <c r="G404" i="1"/>
  <c r="I404" i="1" s="1"/>
  <c r="G403" i="1"/>
  <c r="I403" i="1" s="1"/>
  <c r="H402" i="1"/>
  <c r="G402" i="1"/>
  <c r="G401" i="1" s="1"/>
  <c r="H401" i="1"/>
  <c r="H400" i="1"/>
  <c r="H399" i="1"/>
  <c r="H398" i="1" s="1"/>
  <c r="G399" i="1"/>
  <c r="I398" i="1"/>
  <c r="G398" i="1"/>
  <c r="H397" i="1"/>
  <c r="G397" i="1"/>
  <c r="G396" i="1" s="1"/>
  <c r="I396" i="1" s="1"/>
  <c r="H396" i="1"/>
  <c r="H395" i="1"/>
  <c r="H394" i="1" s="1"/>
  <c r="G395" i="1"/>
  <c r="I395" i="1" s="1"/>
  <c r="G394" i="1"/>
  <c r="I394" i="1" s="1"/>
  <c r="H393" i="1"/>
  <c r="G393" i="1"/>
  <c r="G392" i="1" s="1"/>
  <c r="H392" i="1"/>
  <c r="H391" i="1"/>
  <c r="H390" i="1" s="1"/>
  <c r="G391" i="1"/>
  <c r="I390" i="1"/>
  <c r="G390" i="1"/>
  <c r="H389" i="1"/>
  <c r="G389" i="1"/>
  <c r="G388" i="1" s="1"/>
  <c r="I388" i="1" s="1"/>
  <c r="H388" i="1"/>
  <c r="H387" i="1"/>
  <c r="H386" i="1" s="1"/>
  <c r="G387" i="1"/>
  <c r="I387" i="1" s="1"/>
  <c r="G386" i="1"/>
  <c r="I386" i="1" s="1"/>
  <c r="H385" i="1"/>
  <c r="G385" i="1"/>
  <c r="G384" i="1" s="1"/>
  <c r="H384" i="1"/>
  <c r="H383" i="1" s="1"/>
  <c r="H382" i="1"/>
  <c r="G382" i="1"/>
  <c r="G381" i="1" s="1"/>
  <c r="H381" i="1"/>
  <c r="H380" i="1"/>
  <c r="H379" i="1" s="1"/>
  <c r="G380" i="1"/>
  <c r="I379" i="1"/>
  <c r="G379" i="1"/>
  <c r="H378" i="1"/>
  <c r="G378" i="1"/>
  <c r="G377" i="1" s="1"/>
  <c r="I377" i="1" s="1"/>
  <c r="H377" i="1"/>
  <c r="H376" i="1"/>
  <c r="H375" i="1" s="1"/>
  <c r="G376" i="1"/>
  <c r="I376" i="1" s="1"/>
  <c r="G375" i="1"/>
  <c r="I375" i="1" s="1"/>
  <c r="H374" i="1"/>
  <c r="G374" i="1"/>
  <c r="G373" i="1" s="1"/>
  <c r="H373" i="1"/>
  <c r="H372" i="1"/>
  <c r="H371" i="1" s="1"/>
  <c r="H366" i="1" s="1"/>
  <c r="G372" i="1"/>
  <c r="I371" i="1"/>
  <c r="G371" i="1"/>
  <c r="H370" i="1"/>
  <c r="G370" i="1"/>
  <c r="G369" i="1" s="1"/>
  <c r="I369" i="1" s="1"/>
  <c r="H369" i="1"/>
  <c r="H368" i="1"/>
  <c r="H367" i="1" s="1"/>
  <c r="G368" i="1"/>
  <c r="I368" i="1" s="1"/>
  <c r="G367" i="1"/>
  <c r="H365" i="1"/>
  <c r="H364" i="1" s="1"/>
  <c r="G365" i="1"/>
  <c r="I365" i="1" s="1"/>
  <c r="G364" i="1"/>
  <c r="I364" i="1" s="1"/>
  <c r="H363" i="1"/>
  <c r="G363" i="1"/>
  <c r="G362" i="1" s="1"/>
  <c r="H362" i="1"/>
  <c r="H361" i="1"/>
  <c r="H360" i="1" s="1"/>
  <c r="G361" i="1"/>
  <c r="I360" i="1"/>
  <c r="G360" i="1"/>
  <c r="H359" i="1"/>
  <c r="G359" i="1"/>
  <c r="G358" i="1" s="1"/>
  <c r="H358" i="1"/>
  <c r="H356" i="1"/>
  <c r="G356" i="1"/>
  <c r="G355" i="1" s="1"/>
  <c r="I355" i="1" s="1"/>
  <c r="H355" i="1"/>
  <c r="H354" i="1"/>
  <c r="H353" i="1" s="1"/>
  <c r="G354" i="1"/>
  <c r="I354" i="1" s="1"/>
  <c r="G353" i="1"/>
  <c r="I353" i="1" s="1"/>
  <c r="H352" i="1"/>
  <c r="G352" i="1"/>
  <c r="G351" i="1" s="1"/>
  <c r="H351" i="1"/>
  <c r="H348" i="1" s="1"/>
  <c r="H350" i="1"/>
  <c r="H349" i="1" s="1"/>
  <c r="G350" i="1"/>
  <c r="I349" i="1"/>
  <c r="G349" i="1"/>
  <c r="H347" i="1"/>
  <c r="H346" i="1" s="1"/>
  <c r="G347" i="1"/>
  <c r="I346" i="1"/>
  <c r="G346" i="1"/>
  <c r="H345" i="1"/>
  <c r="G345" i="1"/>
  <c r="G344" i="1" s="1"/>
  <c r="I344" i="1" s="1"/>
  <c r="H344" i="1"/>
  <c r="H343" i="1"/>
  <c r="H342" i="1" s="1"/>
  <c r="G343" i="1"/>
  <c r="I343" i="1" s="1"/>
  <c r="G342" i="1"/>
  <c r="I342" i="1" s="1"/>
  <c r="H341" i="1"/>
  <c r="G341" i="1"/>
  <c r="G340" i="1" s="1"/>
  <c r="H340" i="1"/>
  <c r="H337" i="1" s="1"/>
  <c r="H339" i="1"/>
  <c r="H338" i="1" s="1"/>
  <c r="G339" i="1"/>
  <c r="G338" i="1"/>
  <c r="G337" i="1" s="1"/>
  <c r="H335" i="1"/>
  <c r="G335" i="1"/>
  <c r="I335" i="1" s="1"/>
  <c r="H334" i="1"/>
  <c r="G334" i="1"/>
  <c r="H333" i="1"/>
  <c r="G333" i="1"/>
  <c r="I333" i="1" s="1"/>
  <c r="H332" i="1"/>
  <c r="G332" i="1"/>
  <c r="H331" i="1"/>
  <c r="G331" i="1"/>
  <c r="I331" i="1" s="1"/>
  <c r="H330" i="1"/>
  <c r="N18" i="1" s="1"/>
  <c r="G330" i="1"/>
  <c r="H329" i="1"/>
  <c r="G329" i="1"/>
  <c r="I329" i="1" s="1"/>
  <c r="H328" i="1"/>
  <c r="H327" i="1" s="1"/>
  <c r="G328" i="1"/>
  <c r="I327" i="1"/>
  <c r="G327" i="1"/>
  <c r="H326" i="1"/>
  <c r="G326" i="1"/>
  <c r="I326" i="1" s="1"/>
  <c r="H325" i="1"/>
  <c r="G325" i="1"/>
  <c r="H324" i="1"/>
  <c r="H323" i="1"/>
  <c r="H322" i="1" s="1"/>
  <c r="G323" i="1"/>
  <c r="I322" i="1"/>
  <c r="G322" i="1"/>
  <c r="H321" i="1"/>
  <c r="G321" i="1"/>
  <c r="G320" i="1" s="1"/>
  <c r="I320" i="1" s="1"/>
  <c r="H320" i="1"/>
  <c r="H319" i="1"/>
  <c r="H318" i="1" s="1"/>
  <c r="G319" i="1"/>
  <c r="I319" i="1" s="1"/>
  <c r="G318" i="1"/>
  <c r="I318" i="1" s="1"/>
  <c r="H317" i="1"/>
  <c r="G317" i="1"/>
  <c r="G316" i="1" s="1"/>
  <c r="H316" i="1"/>
  <c r="H315" i="1"/>
  <c r="H314" i="1" s="1"/>
  <c r="G315" i="1"/>
  <c r="I314" i="1"/>
  <c r="G314" i="1"/>
  <c r="H313" i="1"/>
  <c r="G313" i="1"/>
  <c r="G312" i="1" s="1"/>
  <c r="I312" i="1" s="1"/>
  <c r="H312" i="1"/>
  <c r="H311" i="1"/>
  <c r="G311" i="1"/>
  <c r="I311" i="1" s="1"/>
  <c r="H310" i="1"/>
  <c r="H309" i="1" s="1"/>
  <c r="G310" i="1"/>
  <c r="I309" i="1"/>
  <c r="G309" i="1"/>
  <c r="H308" i="1"/>
  <c r="H307" i="1"/>
  <c r="H306" i="1" s="1"/>
  <c r="G307" i="1"/>
  <c r="I306" i="1"/>
  <c r="G306" i="1"/>
  <c r="H305" i="1"/>
  <c r="G305" i="1"/>
  <c r="G304" i="1" s="1"/>
  <c r="I304" i="1" s="1"/>
  <c r="H304" i="1"/>
  <c r="H302" i="1"/>
  <c r="G302" i="1"/>
  <c r="I302" i="1" s="1"/>
  <c r="H301" i="1"/>
  <c r="G301" i="1"/>
  <c r="I301" i="1" s="1"/>
  <c r="H300" i="1"/>
  <c r="G300" i="1"/>
  <c r="I300" i="1" s="1"/>
  <c r="H299" i="1"/>
  <c r="G299" i="1"/>
  <c r="I299" i="1" s="1"/>
  <c r="H298" i="1"/>
  <c r="G298" i="1"/>
  <c r="I298" i="1" s="1"/>
  <c r="H297" i="1"/>
  <c r="G297" i="1"/>
  <c r="I297" i="1" s="1"/>
  <c r="H296" i="1"/>
  <c r="G296" i="1"/>
  <c r="G295" i="1" s="1"/>
  <c r="I295" i="1" s="1"/>
  <c r="H295" i="1"/>
  <c r="H294" i="1"/>
  <c r="G294" i="1"/>
  <c r="I294" i="1" s="1"/>
  <c r="H293" i="1"/>
  <c r="G293" i="1"/>
  <c r="H292" i="1"/>
  <c r="G292" i="1"/>
  <c r="I292" i="1" s="1"/>
  <c r="H291" i="1"/>
  <c r="G291" i="1"/>
  <c r="H290" i="1"/>
  <c r="G290" i="1"/>
  <c r="I290" i="1" s="1"/>
  <c r="H289" i="1"/>
  <c r="G289" i="1"/>
  <c r="H288" i="1"/>
  <c r="G288" i="1"/>
  <c r="I288" i="1" s="1"/>
  <c r="G287" i="1"/>
  <c r="G286" i="1" s="1"/>
  <c r="H285" i="1"/>
  <c r="H284" i="1" s="1"/>
  <c r="G285" i="1"/>
  <c r="I285" i="1" s="1"/>
  <c r="G284" i="1"/>
  <c r="I284" i="1" s="1"/>
  <c r="H283" i="1"/>
  <c r="G283" i="1"/>
  <c r="I283" i="1" s="1"/>
  <c r="H282" i="1"/>
  <c r="G282" i="1"/>
  <c r="I282" i="1" s="1"/>
  <c r="H281" i="1"/>
  <c r="G281" i="1"/>
  <c r="I281" i="1" s="1"/>
  <c r="H280" i="1"/>
  <c r="G280" i="1"/>
  <c r="I280" i="1" s="1"/>
  <c r="H279" i="1"/>
  <c r="G279" i="1"/>
  <c r="I279" i="1" s="1"/>
  <c r="H278" i="1"/>
  <c r="G278" i="1"/>
  <c r="I278" i="1" s="1"/>
  <c r="H277" i="1"/>
  <c r="G277" i="1"/>
  <c r="H276" i="1"/>
  <c r="H275" i="1"/>
  <c r="G275" i="1"/>
  <c r="H274" i="1"/>
  <c r="G274" i="1"/>
  <c r="I274" i="1" s="1"/>
  <c r="H273" i="1"/>
  <c r="H272" i="1" s="1"/>
  <c r="G273" i="1"/>
  <c r="I272" i="1"/>
  <c r="G272" i="1"/>
  <c r="H271" i="1"/>
  <c r="G271" i="1"/>
  <c r="I271" i="1" s="1"/>
  <c r="H270" i="1"/>
  <c r="G270" i="1"/>
  <c r="I270" i="1" s="1"/>
  <c r="H269" i="1"/>
  <c r="G269" i="1"/>
  <c r="G268" i="1" s="1"/>
  <c r="I268" i="1" s="1"/>
  <c r="H268" i="1"/>
  <c r="H267" i="1"/>
  <c r="G267" i="1"/>
  <c r="I267" i="1" s="1"/>
  <c r="H266" i="1"/>
  <c r="G266" i="1"/>
  <c r="H265" i="1"/>
  <c r="G265" i="1"/>
  <c r="I265" i="1" s="1"/>
  <c r="H264" i="1"/>
  <c r="G264" i="1"/>
  <c r="H263" i="1"/>
  <c r="G263" i="1"/>
  <c r="I263" i="1" s="1"/>
  <c r="G262" i="1"/>
  <c r="H260" i="1"/>
  <c r="H259" i="1" s="1"/>
  <c r="G260" i="1"/>
  <c r="I260" i="1" s="1"/>
  <c r="G259" i="1"/>
  <c r="I259" i="1" s="1"/>
  <c r="H258" i="1"/>
  <c r="G258" i="1"/>
  <c r="G257" i="1" s="1"/>
  <c r="H257" i="1"/>
  <c r="H256" i="1"/>
  <c r="H255" i="1" s="1"/>
  <c r="H250" i="1" s="1"/>
  <c r="G256" i="1"/>
  <c r="I255" i="1"/>
  <c r="G255" i="1"/>
  <c r="H254" i="1"/>
  <c r="G254" i="1"/>
  <c r="G253" i="1" s="1"/>
  <c r="I253" i="1" s="1"/>
  <c r="H253" i="1"/>
  <c r="H252" i="1"/>
  <c r="H251" i="1" s="1"/>
  <c r="G252" i="1"/>
  <c r="I252" i="1" s="1"/>
  <c r="G251" i="1"/>
  <c r="G250" i="1" s="1"/>
  <c r="H249" i="1"/>
  <c r="H248" i="1" s="1"/>
  <c r="G249" i="1"/>
  <c r="I249" i="1" s="1"/>
  <c r="G248" i="1"/>
  <c r="I248" i="1" s="1"/>
  <c r="H247" i="1"/>
  <c r="G247" i="1"/>
  <c r="G246" i="1" s="1"/>
  <c r="H246" i="1"/>
  <c r="H245" i="1" s="1"/>
  <c r="G245" i="1"/>
  <c r="I245" i="1" s="1"/>
  <c r="H244" i="1"/>
  <c r="G244" i="1"/>
  <c r="G243" i="1" s="1"/>
  <c r="H243" i="1"/>
  <c r="H242" i="1"/>
  <c r="H241" i="1" s="1"/>
  <c r="G242" i="1"/>
  <c r="I241" i="1"/>
  <c r="G241" i="1"/>
  <c r="H240" i="1"/>
  <c r="G240" i="1"/>
  <c r="G239" i="1" s="1"/>
  <c r="I239" i="1" s="1"/>
  <c r="H239" i="1"/>
  <c r="H238" i="1"/>
  <c r="H237" i="1" s="1"/>
  <c r="G238" i="1"/>
  <c r="I238" i="1" s="1"/>
  <c r="G237" i="1"/>
  <c r="I237" i="1" s="1"/>
  <c r="H236" i="1"/>
  <c r="G236" i="1"/>
  <c r="G235" i="1" s="1"/>
  <c r="H235" i="1"/>
  <c r="H234" i="1"/>
  <c r="H233" i="1" s="1"/>
  <c r="G234" i="1"/>
  <c r="I233" i="1"/>
  <c r="G233" i="1"/>
  <c r="H232" i="1"/>
  <c r="H231" i="1"/>
  <c r="H230" i="1" s="1"/>
  <c r="H225" i="1" s="1"/>
  <c r="G231" i="1"/>
  <c r="I230" i="1"/>
  <c r="G230" i="1"/>
  <c r="H229" i="1"/>
  <c r="G229" i="1"/>
  <c r="G228" i="1" s="1"/>
  <c r="I228" i="1" s="1"/>
  <c r="H228" i="1"/>
  <c r="H227" i="1"/>
  <c r="H226" i="1" s="1"/>
  <c r="G227" i="1"/>
  <c r="I227" i="1" s="1"/>
  <c r="G226" i="1"/>
  <c r="G225" i="1" s="1"/>
  <c r="H224" i="1"/>
  <c r="H223" i="1" s="1"/>
  <c r="G224" i="1"/>
  <c r="I224" i="1" s="1"/>
  <c r="G223" i="1"/>
  <c r="I223" i="1" s="1"/>
  <c r="H222" i="1"/>
  <c r="G222" i="1"/>
  <c r="I222" i="1" s="1"/>
  <c r="H221" i="1"/>
  <c r="G221" i="1"/>
  <c r="I221" i="1" s="1"/>
  <c r="H220" i="1"/>
  <c r="G220" i="1"/>
  <c r="H219" i="1"/>
  <c r="H218" i="1"/>
  <c r="H217" i="1" s="1"/>
  <c r="G218" i="1"/>
  <c r="I217" i="1"/>
  <c r="G217" i="1"/>
  <c r="H216" i="1"/>
  <c r="G216" i="1"/>
  <c r="I216" i="1" s="1"/>
  <c r="H215" i="1"/>
  <c r="G215" i="1"/>
  <c r="H214" i="1"/>
  <c r="H213" i="1" s="1"/>
  <c r="H211" i="1"/>
  <c r="G211" i="1"/>
  <c r="I211" i="1" s="1"/>
  <c r="H210" i="1"/>
  <c r="G210" i="1"/>
  <c r="G209" i="1" s="1"/>
  <c r="I209" i="1" s="1"/>
  <c r="H209" i="1"/>
  <c r="H208" i="1" s="1"/>
  <c r="H207" i="1"/>
  <c r="G207" i="1"/>
  <c r="I207" i="1" s="1"/>
  <c r="H206" i="1"/>
  <c r="G206" i="1"/>
  <c r="I206" i="1" s="1"/>
  <c r="H205" i="1"/>
  <c r="G205" i="1"/>
  <c r="G204" i="1" s="1"/>
  <c r="I204" i="1" s="1"/>
  <c r="H204" i="1"/>
  <c r="H203" i="1"/>
  <c r="G203" i="1"/>
  <c r="I203" i="1" s="1"/>
  <c r="H202" i="1"/>
  <c r="G202" i="1"/>
  <c r="H201" i="1"/>
  <c r="G201" i="1"/>
  <c r="I201" i="1" s="1"/>
  <c r="H200" i="1"/>
  <c r="G200" i="1"/>
  <c r="H199" i="1"/>
  <c r="G199" i="1"/>
  <c r="I199" i="1" s="1"/>
  <c r="H198" i="1"/>
  <c r="H197" i="1" s="1"/>
  <c r="G198" i="1"/>
  <c r="I197" i="1"/>
  <c r="G197" i="1"/>
  <c r="H196" i="1"/>
  <c r="G196" i="1"/>
  <c r="I196" i="1" s="1"/>
  <c r="H195" i="1"/>
  <c r="G195" i="1"/>
  <c r="I195" i="1" s="1"/>
  <c r="H194" i="1"/>
  <c r="G194" i="1"/>
  <c r="I194" i="1" s="1"/>
  <c r="H193" i="1"/>
  <c r="G193" i="1"/>
  <c r="H192" i="1"/>
  <c r="H191" i="1"/>
  <c r="G191" i="1"/>
  <c r="H190" i="1"/>
  <c r="G190" i="1"/>
  <c r="I190" i="1" s="1"/>
  <c r="H189" i="1"/>
  <c r="H188" i="1" s="1"/>
  <c r="G189" i="1"/>
  <c r="I188" i="1"/>
  <c r="G188" i="1"/>
  <c r="H187" i="1"/>
  <c r="G187" i="1"/>
  <c r="G186" i="1" s="1"/>
  <c r="I186" i="1" s="1"/>
  <c r="H186" i="1"/>
  <c r="H185" i="1"/>
  <c r="H184" i="1" s="1"/>
  <c r="G185" i="1"/>
  <c r="I185" i="1" s="1"/>
  <c r="G184" i="1"/>
  <c r="I184" i="1" s="1"/>
  <c r="H183" i="1"/>
  <c r="G183" i="1"/>
  <c r="G182" i="1" s="1"/>
  <c r="H182" i="1"/>
  <c r="H181" i="1"/>
  <c r="H180" i="1" s="1"/>
  <c r="G181" i="1"/>
  <c r="I180" i="1"/>
  <c r="G180" i="1"/>
  <c r="H179" i="1"/>
  <c r="H178" i="1"/>
  <c r="H177" i="1" s="1"/>
  <c r="G178" i="1"/>
  <c r="I177" i="1"/>
  <c r="G177" i="1"/>
  <c r="H176" i="1"/>
  <c r="G176" i="1"/>
  <c r="I176" i="1" s="1"/>
  <c r="H175" i="1"/>
  <c r="G175" i="1"/>
  <c r="I175" i="1" s="1"/>
  <c r="H174" i="1"/>
  <c r="G174" i="1"/>
  <c r="I174" i="1" s="1"/>
  <c r="H173" i="1"/>
  <c r="G173" i="1"/>
  <c r="I173" i="1" s="1"/>
  <c r="H172" i="1"/>
  <c r="G172" i="1"/>
  <c r="I172" i="1" s="1"/>
  <c r="H171" i="1"/>
  <c r="G171" i="1"/>
  <c r="I171" i="1" s="1"/>
  <c r="H170" i="1"/>
  <c r="G170" i="1"/>
  <c r="I170" i="1" s="1"/>
  <c r="H169" i="1"/>
  <c r="G169" i="1"/>
  <c r="I169" i="1" s="1"/>
  <c r="H168" i="1"/>
  <c r="G168" i="1"/>
  <c r="G167" i="1" s="1"/>
  <c r="I167" i="1" s="1"/>
  <c r="H167" i="1"/>
  <c r="H166" i="1"/>
  <c r="G166" i="1"/>
  <c r="I166" i="1" s="1"/>
  <c r="H165" i="1"/>
  <c r="G165" i="1"/>
  <c r="H164" i="1"/>
  <c r="G164" i="1"/>
  <c r="I164" i="1" s="1"/>
  <c r="H163" i="1"/>
  <c r="G163" i="1"/>
  <c r="H162" i="1"/>
  <c r="G162" i="1"/>
  <c r="I162" i="1" s="1"/>
  <c r="H161" i="1"/>
  <c r="G161" i="1"/>
  <c r="H160" i="1"/>
  <c r="G160" i="1"/>
  <c r="I160" i="1" s="1"/>
  <c r="H159" i="1"/>
  <c r="H158" i="1" s="1"/>
  <c r="G159" i="1"/>
  <c r="I158" i="1"/>
  <c r="G158" i="1"/>
  <c r="H157" i="1"/>
  <c r="H156" i="1"/>
  <c r="H155" i="1" s="1"/>
  <c r="G156" i="1"/>
  <c r="I155" i="1"/>
  <c r="G155" i="1"/>
  <c r="H154" i="1"/>
  <c r="G154" i="1"/>
  <c r="G153" i="1" s="1"/>
  <c r="I153" i="1" s="1"/>
  <c r="H153" i="1"/>
  <c r="H152" i="1"/>
  <c r="H151" i="1" s="1"/>
  <c r="G152" i="1"/>
  <c r="I152" i="1" s="1"/>
  <c r="G151" i="1"/>
  <c r="I151" i="1" s="1"/>
  <c r="H150" i="1"/>
  <c r="G150" i="1"/>
  <c r="G149" i="1" s="1"/>
  <c r="H149" i="1"/>
  <c r="H148" i="1" s="1"/>
  <c r="G148" i="1"/>
  <c r="I148" i="1" s="1"/>
  <c r="H147" i="1"/>
  <c r="G147" i="1"/>
  <c r="G146" i="1" s="1"/>
  <c r="H146" i="1"/>
  <c r="H145" i="1"/>
  <c r="H144" i="1" s="1"/>
  <c r="G145" i="1"/>
  <c r="I144" i="1"/>
  <c r="G144" i="1"/>
  <c r="H143" i="1"/>
  <c r="G143" i="1"/>
  <c r="G142" i="1" s="1"/>
  <c r="I142" i="1" s="1"/>
  <c r="H142" i="1"/>
  <c r="H141" i="1"/>
  <c r="H140" i="1" s="1"/>
  <c r="G141" i="1"/>
  <c r="I141" i="1" s="1"/>
  <c r="G140" i="1"/>
  <c r="I140" i="1" s="1"/>
  <c r="H139" i="1"/>
  <c r="G139" i="1"/>
  <c r="G138" i="1" s="1"/>
  <c r="H138" i="1"/>
  <c r="H137" i="1"/>
  <c r="H136" i="1" s="1"/>
  <c r="G137" i="1"/>
  <c r="I136" i="1"/>
  <c r="G136" i="1"/>
  <c r="H135" i="1"/>
  <c r="G135" i="1"/>
  <c r="I135" i="1" s="1"/>
  <c r="H134" i="1"/>
  <c r="G134" i="1"/>
  <c r="I134" i="1" s="1"/>
  <c r="H133" i="1"/>
  <c r="G133" i="1"/>
  <c r="I133" i="1" s="1"/>
  <c r="H132" i="1"/>
  <c r="G132" i="1"/>
  <c r="I132" i="1" s="1"/>
  <c r="H131" i="1"/>
  <c r="G131" i="1"/>
  <c r="G130" i="1" s="1"/>
  <c r="I130" i="1" s="1"/>
  <c r="H130" i="1"/>
  <c r="H129" i="1"/>
  <c r="H128" i="1" s="1"/>
  <c r="G129" i="1"/>
  <c r="I129" i="1" s="1"/>
  <c r="G128" i="1"/>
  <c r="I128" i="1" s="1"/>
  <c r="H127" i="1"/>
  <c r="G127" i="1"/>
  <c r="G126" i="1" s="1"/>
  <c r="H126" i="1"/>
  <c r="H125" i="1" s="1"/>
  <c r="G125" i="1"/>
  <c r="I125" i="1" s="1"/>
  <c r="H124" i="1"/>
  <c r="G124" i="1"/>
  <c r="G123" i="1" s="1"/>
  <c r="H123" i="1"/>
  <c r="H122" i="1"/>
  <c r="H121" i="1" s="1"/>
  <c r="G122" i="1"/>
  <c r="I121" i="1"/>
  <c r="G121" i="1"/>
  <c r="H120" i="1"/>
  <c r="G120" i="1"/>
  <c r="G119" i="1" s="1"/>
  <c r="I119" i="1" s="1"/>
  <c r="H119" i="1"/>
  <c r="H118" i="1"/>
  <c r="H117" i="1" s="1"/>
  <c r="H116" i="1" s="1"/>
  <c r="G118" i="1"/>
  <c r="I118" i="1" s="1"/>
  <c r="G117" i="1"/>
  <c r="G116" i="1" s="1"/>
  <c r="I116" i="1" s="1"/>
  <c r="H115" i="1"/>
  <c r="H114" i="1" s="1"/>
  <c r="G115" i="1"/>
  <c r="I115" i="1" s="1"/>
  <c r="G114" i="1"/>
  <c r="I114" i="1" s="1"/>
  <c r="H113" i="1"/>
  <c r="G113" i="1"/>
  <c r="G112" i="1" s="1"/>
  <c r="H112" i="1"/>
  <c r="H110" i="1"/>
  <c r="G110" i="1"/>
  <c r="G109" i="1" s="1"/>
  <c r="I109" i="1" s="1"/>
  <c r="H109" i="1"/>
  <c r="H108" i="1"/>
  <c r="H107" i="1" s="1"/>
  <c r="H106" i="1" s="1"/>
  <c r="G108" i="1"/>
  <c r="I108" i="1" s="1"/>
  <c r="G107" i="1"/>
  <c r="G106" i="1" s="1"/>
  <c r="I106" i="1" s="1"/>
  <c r="H105" i="1"/>
  <c r="H104" i="1" s="1"/>
  <c r="G105" i="1"/>
  <c r="I105" i="1" s="1"/>
  <c r="G104" i="1"/>
  <c r="I104" i="1" s="1"/>
  <c r="H103" i="1"/>
  <c r="G103" i="1"/>
  <c r="G102" i="1" s="1"/>
  <c r="I102" i="1" s="1"/>
  <c r="H102" i="1"/>
  <c r="H101" i="1"/>
  <c r="G101" i="1"/>
  <c r="I101" i="1" s="1"/>
  <c r="H100" i="1"/>
  <c r="H99" i="1" s="1"/>
  <c r="G100" i="1"/>
  <c r="I100" i="1" s="1"/>
  <c r="G99" i="1"/>
  <c r="I99" i="1" s="1"/>
  <c r="H98" i="1"/>
  <c r="G98" i="1"/>
  <c r="G97" i="1" s="1"/>
  <c r="I97" i="1" s="1"/>
  <c r="H97" i="1"/>
  <c r="H96" i="1"/>
  <c r="H95" i="1" s="1"/>
  <c r="G96" i="1"/>
  <c r="I96" i="1" s="1"/>
  <c r="G95" i="1"/>
  <c r="I95" i="1" s="1"/>
  <c r="H94" i="1"/>
  <c r="G94" i="1"/>
  <c r="G93" i="1" s="1"/>
  <c r="I93" i="1" s="1"/>
  <c r="H93" i="1"/>
  <c r="H92" i="1"/>
  <c r="H91" i="1" s="1"/>
  <c r="G92" i="1"/>
  <c r="I92" i="1" s="1"/>
  <c r="G91" i="1"/>
  <c r="I91" i="1" s="1"/>
  <c r="H90" i="1"/>
  <c r="G90" i="1"/>
  <c r="G89" i="1" s="1"/>
  <c r="H89" i="1"/>
  <c r="H86" i="1"/>
  <c r="G86" i="1"/>
  <c r="G85" i="1" s="1"/>
  <c r="I85" i="1" s="1"/>
  <c r="H85" i="1"/>
  <c r="H84" i="1"/>
  <c r="H83" i="1" s="1"/>
  <c r="G84" i="1"/>
  <c r="I84" i="1" s="1"/>
  <c r="G83" i="1"/>
  <c r="I83" i="1" s="1"/>
  <c r="H82" i="1"/>
  <c r="G82" i="1"/>
  <c r="G81" i="1" s="1"/>
  <c r="I81" i="1" s="1"/>
  <c r="H81" i="1"/>
  <c r="H80" i="1"/>
  <c r="H79" i="1" s="1"/>
  <c r="H78" i="1" s="1"/>
  <c r="G80" i="1"/>
  <c r="I80" i="1" s="1"/>
  <c r="G79" i="1"/>
  <c r="G78" i="1" s="1"/>
  <c r="I78" i="1" s="1"/>
  <c r="H77" i="1"/>
  <c r="G77" i="1"/>
  <c r="I77" i="1" s="1"/>
  <c r="H76" i="1"/>
  <c r="G76" i="1"/>
  <c r="I76" i="1" s="1"/>
  <c r="H75" i="1"/>
  <c r="H74" i="1" s="1"/>
  <c r="G75" i="1"/>
  <c r="I75" i="1" s="1"/>
  <c r="G74" i="1"/>
  <c r="I74" i="1" s="1"/>
  <c r="H73" i="1"/>
  <c r="G73" i="1"/>
  <c r="G72" i="1" s="1"/>
  <c r="H72" i="1"/>
  <c r="H70" i="1"/>
  <c r="G70" i="1"/>
  <c r="I70" i="1" s="1"/>
  <c r="H69" i="1"/>
  <c r="G69" i="1"/>
  <c r="G68" i="1" s="1"/>
  <c r="I68" i="1" s="1"/>
  <c r="H68" i="1"/>
  <c r="H67" i="1"/>
  <c r="G67" i="1"/>
  <c r="I67" i="1" s="1"/>
  <c r="H66" i="1"/>
  <c r="H65" i="1" s="1"/>
  <c r="H64" i="1" s="1"/>
  <c r="G66" i="1"/>
  <c r="I66" i="1" s="1"/>
  <c r="G65" i="1"/>
  <c r="G64" i="1" s="1"/>
  <c r="I64" i="1" s="1"/>
  <c r="H63" i="1"/>
  <c r="G63" i="1"/>
  <c r="I63" i="1" s="1"/>
  <c r="H62" i="1"/>
  <c r="G62" i="1"/>
  <c r="I62" i="1" s="1"/>
  <c r="H61" i="1"/>
  <c r="G61" i="1"/>
  <c r="I61" i="1" s="1"/>
  <c r="H60" i="1"/>
  <c r="G60" i="1"/>
  <c r="I60" i="1" s="1"/>
  <c r="H59" i="1"/>
  <c r="G59" i="1"/>
  <c r="I59" i="1" s="1"/>
  <c r="H58" i="1"/>
  <c r="G58" i="1"/>
  <c r="I58" i="1" s="1"/>
  <c r="H57" i="1"/>
  <c r="G57" i="1"/>
  <c r="I57" i="1" s="1"/>
  <c r="H56" i="1"/>
  <c r="G56" i="1"/>
  <c r="I56" i="1" s="1"/>
  <c r="H55" i="1"/>
  <c r="H54" i="1" s="1"/>
  <c r="G55" i="1"/>
  <c r="I55" i="1" s="1"/>
  <c r="G54" i="1"/>
  <c r="I54" i="1" s="1"/>
  <c r="H53" i="1"/>
  <c r="G53" i="1"/>
  <c r="G52" i="1" s="1"/>
  <c r="H52" i="1"/>
  <c r="H50" i="1"/>
  <c r="G50" i="1"/>
  <c r="I50" i="1" s="1"/>
  <c r="H49" i="1"/>
  <c r="G49" i="1"/>
  <c r="I49" i="1" s="1"/>
  <c r="H48" i="1"/>
  <c r="G48" i="1"/>
  <c r="I48" i="1" s="1"/>
  <c r="H47" i="1"/>
  <c r="G47" i="1"/>
  <c r="G46" i="1" s="1"/>
  <c r="I46" i="1" s="1"/>
  <c r="H46" i="1"/>
  <c r="H45" i="1"/>
  <c r="H44" i="1" s="1"/>
  <c r="G45" i="1"/>
  <c r="I45" i="1" s="1"/>
  <c r="G44" i="1"/>
  <c r="I44" i="1" s="1"/>
  <c r="H43" i="1"/>
  <c r="G43" i="1"/>
  <c r="G42" i="1" s="1"/>
  <c r="I42" i="1" s="1"/>
  <c r="H42" i="1"/>
  <c r="H41" i="1"/>
  <c r="G41" i="1"/>
  <c r="I41" i="1" s="1"/>
  <c r="H40" i="1"/>
  <c r="G40" i="1"/>
  <c r="I40" i="1" s="1"/>
  <c r="H39" i="1"/>
  <c r="G39" i="1"/>
  <c r="I39" i="1" s="1"/>
  <c r="H38" i="1"/>
  <c r="G38" i="1"/>
  <c r="I38" i="1" s="1"/>
  <c r="H37" i="1"/>
  <c r="G37" i="1"/>
  <c r="I37" i="1" s="1"/>
  <c r="H36" i="1"/>
  <c r="H35" i="1" s="1"/>
  <c r="G36" i="1"/>
  <c r="I36" i="1" s="1"/>
  <c r="G35" i="1"/>
  <c r="I35" i="1" s="1"/>
  <c r="H34" i="1"/>
  <c r="G34" i="1"/>
  <c r="I34" i="1" s="1"/>
  <c r="H33" i="1"/>
  <c r="G33" i="1"/>
  <c r="I33" i="1" s="1"/>
  <c r="H32" i="1"/>
  <c r="G32" i="1"/>
  <c r="I32" i="1" s="1"/>
  <c r="H31" i="1"/>
  <c r="G31" i="1"/>
  <c r="I31" i="1" s="1"/>
  <c r="H30" i="1"/>
  <c r="G30" i="1"/>
  <c r="I30" i="1" s="1"/>
  <c r="H29" i="1"/>
  <c r="G29" i="1"/>
  <c r="G28" i="1" s="1"/>
  <c r="H28" i="1"/>
  <c r="H27" i="1" s="1"/>
  <c r="N20" i="1"/>
  <c r="M20" i="1"/>
  <c r="M18" i="1"/>
  <c r="N17" i="1"/>
  <c r="M17" i="1"/>
  <c r="G16" i="1"/>
  <c r="G15" i="1"/>
  <c r="I17" i="1" s="1"/>
  <c r="I14" i="1"/>
  <c r="I52" i="1" l="1"/>
  <c r="G51" i="1"/>
  <c r="I72" i="1"/>
  <c r="G71" i="1"/>
  <c r="I89" i="1"/>
  <c r="G88" i="1"/>
  <c r="I112" i="1"/>
  <c r="G111" i="1"/>
  <c r="I28" i="1"/>
  <c r="G27" i="1"/>
  <c r="H51" i="1"/>
  <c r="H26" i="1" s="1"/>
  <c r="H71" i="1"/>
  <c r="H88" i="1"/>
  <c r="H111" i="1"/>
  <c r="I29" i="1"/>
  <c r="I43" i="1"/>
  <c r="I47" i="1"/>
  <c r="I53" i="1"/>
  <c r="I65" i="1"/>
  <c r="I69" i="1"/>
  <c r="I73" i="1"/>
  <c r="I79" i="1"/>
  <c r="I82" i="1"/>
  <c r="I86" i="1"/>
  <c r="I90" i="1"/>
  <c r="I94" i="1"/>
  <c r="I98" i="1"/>
  <c r="I103" i="1"/>
  <c r="I107" i="1"/>
  <c r="I110" i="1"/>
  <c r="I113" i="1"/>
  <c r="I117" i="1"/>
  <c r="I120" i="1"/>
  <c r="I131" i="1"/>
  <c r="I143" i="1"/>
  <c r="I154" i="1"/>
  <c r="I168" i="1"/>
  <c r="I187" i="1"/>
  <c r="I205" i="1"/>
  <c r="I210" i="1"/>
  <c r="I225" i="1"/>
  <c r="I229" i="1"/>
  <c r="I240" i="1"/>
  <c r="I250" i="1"/>
  <c r="I254" i="1"/>
  <c r="I269" i="1"/>
  <c r="I296" i="1"/>
  <c r="I305" i="1"/>
  <c r="I313" i="1"/>
  <c r="I321" i="1"/>
  <c r="I337" i="1"/>
  <c r="I345" i="1"/>
  <c r="I356" i="1"/>
  <c r="I370" i="1"/>
  <c r="I389" i="1"/>
  <c r="G405" i="1"/>
  <c r="I406" i="1"/>
  <c r="I417" i="1"/>
  <c r="G424" i="1"/>
  <c r="I425" i="1"/>
  <c r="I433" i="1"/>
  <c r="I474" i="1"/>
  <c r="G473" i="1"/>
  <c r="I475" i="1"/>
  <c r="I491" i="1"/>
  <c r="I122" i="1"/>
  <c r="I123" i="1"/>
  <c r="I124" i="1"/>
  <c r="I126" i="1"/>
  <c r="I127" i="1"/>
  <c r="I137" i="1"/>
  <c r="I138" i="1"/>
  <c r="I139" i="1"/>
  <c r="I145" i="1"/>
  <c r="I146" i="1"/>
  <c r="I147" i="1"/>
  <c r="I149" i="1"/>
  <c r="I150" i="1"/>
  <c r="I156" i="1"/>
  <c r="G157" i="1"/>
  <c r="I157" i="1" s="1"/>
  <c r="I159" i="1"/>
  <c r="I161" i="1"/>
  <c r="I163" i="1"/>
  <c r="I165" i="1"/>
  <c r="I178" i="1"/>
  <c r="I181" i="1"/>
  <c r="I182" i="1"/>
  <c r="I183" i="1"/>
  <c r="I189" i="1"/>
  <c r="I191" i="1"/>
  <c r="G192" i="1"/>
  <c r="I192" i="1" s="1"/>
  <c r="I193" i="1"/>
  <c r="I198" i="1"/>
  <c r="I200" i="1"/>
  <c r="I202" i="1"/>
  <c r="G208" i="1"/>
  <c r="I208" i="1" s="1"/>
  <c r="G214" i="1"/>
  <c r="I215" i="1"/>
  <c r="I218" i="1"/>
  <c r="G219" i="1"/>
  <c r="I219" i="1" s="1"/>
  <c r="I220" i="1"/>
  <c r="I226" i="1"/>
  <c r="I231" i="1"/>
  <c r="G232" i="1"/>
  <c r="I232" i="1" s="1"/>
  <c r="I234" i="1"/>
  <c r="I235" i="1"/>
  <c r="I236" i="1"/>
  <c r="I242" i="1"/>
  <c r="I243" i="1"/>
  <c r="I244" i="1"/>
  <c r="I246" i="1"/>
  <c r="I247" i="1"/>
  <c r="I251" i="1"/>
  <c r="I256" i="1"/>
  <c r="I257" i="1"/>
  <c r="I258" i="1"/>
  <c r="H262" i="1"/>
  <c r="H261" i="1" s="1"/>
  <c r="I264" i="1"/>
  <c r="I266" i="1"/>
  <c r="I273" i="1"/>
  <c r="I275" i="1"/>
  <c r="G276" i="1"/>
  <c r="I277" i="1"/>
  <c r="H287" i="1"/>
  <c r="H286" i="1" s="1"/>
  <c r="I286" i="1" s="1"/>
  <c r="I289" i="1"/>
  <c r="I291" i="1"/>
  <c r="I293" i="1"/>
  <c r="G303" i="1"/>
  <c r="I303" i="1" s="1"/>
  <c r="H303" i="1"/>
  <c r="I307" i="1"/>
  <c r="I310" i="1"/>
  <c r="I315" i="1"/>
  <c r="I316" i="1"/>
  <c r="I317" i="1"/>
  <c r="I323" i="1"/>
  <c r="G324" i="1"/>
  <c r="I324" i="1" s="1"/>
  <c r="I325" i="1"/>
  <c r="I328" i="1"/>
  <c r="I330" i="1"/>
  <c r="I332" i="1"/>
  <c r="I334" i="1"/>
  <c r="I338" i="1"/>
  <c r="I358" i="1"/>
  <c r="G357" i="1"/>
  <c r="I359" i="1"/>
  <c r="G366" i="1"/>
  <c r="I366" i="1" s="1"/>
  <c r="I367" i="1"/>
  <c r="I378" i="1"/>
  <c r="G383" i="1"/>
  <c r="I383" i="1" s="1"/>
  <c r="I397" i="1"/>
  <c r="I409" i="1"/>
  <c r="H405" i="1"/>
  <c r="I428" i="1"/>
  <c r="I447" i="1"/>
  <c r="I448" i="1"/>
  <c r="I339" i="1"/>
  <c r="I340" i="1"/>
  <c r="I341" i="1"/>
  <c r="I347" i="1"/>
  <c r="G348" i="1"/>
  <c r="I350" i="1"/>
  <c r="I351" i="1"/>
  <c r="I352" i="1"/>
  <c r="H357" i="1"/>
  <c r="I361" i="1"/>
  <c r="I362" i="1"/>
  <c r="I363" i="1"/>
  <c r="I372" i="1"/>
  <c r="I373" i="1"/>
  <c r="I374" i="1"/>
  <c r="I380" i="1"/>
  <c r="I381" i="1"/>
  <c r="I382" i="1"/>
  <c r="I384" i="1"/>
  <c r="I385" i="1"/>
  <c r="I391" i="1"/>
  <c r="I392" i="1"/>
  <c r="I393" i="1"/>
  <c r="I399" i="1"/>
  <c r="I401" i="1"/>
  <c r="G400" i="1"/>
  <c r="I400" i="1" s="1"/>
  <c r="I402" i="1"/>
  <c r="I411" i="1"/>
  <c r="I412" i="1"/>
  <c r="I413" i="1"/>
  <c r="I419" i="1"/>
  <c r="I420" i="1"/>
  <c r="I421" i="1"/>
  <c r="I430" i="1"/>
  <c r="I445" i="1"/>
  <c r="G457" i="1"/>
  <c r="I457" i="1" s="1"/>
  <c r="I458" i="1"/>
  <c r="I472" i="1"/>
  <c r="I483" i="1"/>
  <c r="I493" i="1"/>
  <c r="G492" i="1"/>
  <c r="I494" i="1"/>
  <c r="I437" i="1"/>
  <c r="I438" i="1"/>
  <c r="I439" i="1"/>
  <c r="H440" i="1"/>
  <c r="H424" i="1" s="1"/>
  <c r="I442" i="1"/>
  <c r="H450" i="1"/>
  <c r="H446" i="1" s="1"/>
  <c r="I452" i="1"/>
  <c r="I453" i="1"/>
  <c r="I454" i="1"/>
  <c r="I462" i="1"/>
  <c r="G464" i="1"/>
  <c r="I466" i="1"/>
  <c r="I467" i="1"/>
  <c r="I468" i="1"/>
  <c r="H473" i="1"/>
  <c r="H463" i="1" s="1"/>
  <c r="I477" i="1"/>
  <c r="I478" i="1"/>
  <c r="I479" i="1"/>
  <c r="I485" i="1"/>
  <c r="I486" i="1"/>
  <c r="I487" i="1"/>
  <c r="H492" i="1"/>
  <c r="I496" i="1"/>
  <c r="I497" i="1"/>
  <c r="I499" i="1"/>
  <c r="I500" i="1"/>
  <c r="I501" i="1"/>
  <c r="I492" i="1" l="1"/>
  <c r="I450" i="1"/>
  <c r="G446" i="1"/>
  <c r="I446" i="1" s="1"/>
  <c r="H212" i="1"/>
  <c r="I473" i="1"/>
  <c r="I405" i="1"/>
  <c r="I464" i="1"/>
  <c r="G463" i="1"/>
  <c r="I463" i="1" s="1"/>
  <c r="I440" i="1"/>
  <c r="H336" i="1"/>
  <c r="N19" i="1" s="1"/>
  <c r="I348" i="1"/>
  <c r="G336" i="1"/>
  <c r="I357" i="1"/>
  <c r="G308" i="1"/>
  <c r="I308" i="1" s="1"/>
  <c r="I287" i="1"/>
  <c r="I276" i="1"/>
  <c r="G261" i="1"/>
  <c r="I261" i="1" s="1"/>
  <c r="I262" i="1"/>
  <c r="I214" i="1"/>
  <c r="G213" i="1"/>
  <c r="G179" i="1"/>
  <c r="I179" i="1" s="1"/>
  <c r="I424" i="1"/>
  <c r="N15" i="1"/>
  <c r="I88" i="1"/>
  <c r="G87" i="1"/>
  <c r="I71" i="1"/>
  <c r="I51" i="1"/>
  <c r="H87" i="1"/>
  <c r="N16" i="1" s="1"/>
  <c r="I27" i="1"/>
  <c r="G26" i="1"/>
  <c r="I111" i="1"/>
  <c r="I26" i="1" l="1"/>
  <c r="M15" i="1"/>
  <c r="H25" i="1"/>
  <c r="I213" i="1"/>
  <c r="G212" i="1"/>
  <c r="I212" i="1" s="1"/>
  <c r="I336" i="1"/>
  <c r="M19" i="1"/>
  <c r="M16" i="1"/>
  <c r="I87" i="1"/>
  <c r="G25" i="1" l="1"/>
  <c r="I25" i="1" s="1"/>
  <c r="J212" i="1" s="1"/>
  <c r="J26" i="1" l="1"/>
  <c r="J336" i="1"/>
  <c r="J37" i="1"/>
  <c r="J39" i="1"/>
  <c r="J41" i="1"/>
  <c r="J66" i="1"/>
  <c r="J80" i="1"/>
  <c r="J108" i="1"/>
  <c r="J132" i="1"/>
  <c r="J134" i="1"/>
  <c r="J141" i="1"/>
  <c r="J170" i="1"/>
  <c r="J172" i="1"/>
  <c r="J174" i="1"/>
  <c r="J176" i="1"/>
  <c r="J206" i="1"/>
  <c r="J216" i="1"/>
  <c r="J249" i="1"/>
  <c r="J270" i="1"/>
  <c r="J274" i="1"/>
  <c r="J297" i="1"/>
  <c r="J299" i="1"/>
  <c r="J301" i="1"/>
  <c r="J311" i="1"/>
  <c r="J343" i="1"/>
  <c r="J395" i="1"/>
  <c r="J415" i="1"/>
  <c r="J441" i="1"/>
  <c r="J489" i="1"/>
  <c r="J31" i="1"/>
  <c r="J33" i="1"/>
  <c r="J48" i="1"/>
  <c r="J50" i="1"/>
  <c r="J55" i="1"/>
  <c r="J57" i="1"/>
  <c r="J59" i="1"/>
  <c r="J61" i="1"/>
  <c r="J63" i="1"/>
  <c r="J76" i="1"/>
  <c r="J96" i="1"/>
  <c r="J101" i="1"/>
  <c r="J129" i="1"/>
  <c r="J160" i="1"/>
  <c r="J164" i="1"/>
  <c r="J185" i="1"/>
  <c r="J195" i="1"/>
  <c r="J199" i="1"/>
  <c r="J203" i="1"/>
  <c r="J221" i="1"/>
  <c r="J227" i="1"/>
  <c r="J252" i="1"/>
  <c r="J265" i="1"/>
  <c r="J278" i="1"/>
  <c r="J280" i="1"/>
  <c r="J282" i="1"/>
  <c r="J288" i="1"/>
  <c r="J292" i="1"/>
  <c r="J319" i="1"/>
  <c r="J329" i="1"/>
  <c r="J333" i="1"/>
  <c r="J354" i="1"/>
  <c r="J376" i="1"/>
  <c r="J407" i="1"/>
  <c r="J431" i="1"/>
  <c r="J36" i="1"/>
  <c r="J38" i="1"/>
  <c r="J40" i="1"/>
  <c r="J45" i="1"/>
  <c r="J67" i="1"/>
  <c r="J84" i="1"/>
  <c r="J118" i="1"/>
  <c r="J133" i="1"/>
  <c r="J135" i="1"/>
  <c r="J169" i="1"/>
  <c r="J171" i="1"/>
  <c r="J173" i="1"/>
  <c r="J175" i="1"/>
  <c r="J190" i="1"/>
  <c r="J207" i="1"/>
  <c r="J224" i="1"/>
  <c r="J260" i="1"/>
  <c r="J271" i="1"/>
  <c r="J285" i="1"/>
  <c r="J298" i="1"/>
  <c r="J300" i="1"/>
  <c r="J302" i="1"/>
  <c r="J368" i="1"/>
  <c r="J404" i="1"/>
  <c r="J426" i="1"/>
  <c r="J460" i="1"/>
  <c r="J30" i="1"/>
  <c r="J32" i="1"/>
  <c r="J34" i="1"/>
  <c r="J49" i="1"/>
  <c r="J56" i="1"/>
  <c r="J58" i="1"/>
  <c r="J60" i="1"/>
  <c r="J62" i="1"/>
  <c r="J70" i="1"/>
  <c r="J75" i="1"/>
  <c r="J77" i="1"/>
  <c r="J92" i="1"/>
  <c r="J100" i="1"/>
  <c r="J105" i="1"/>
  <c r="J115" i="1"/>
  <c r="J152" i="1"/>
  <c r="J162" i="1"/>
  <c r="J166" i="1"/>
  <c r="J194" i="1"/>
  <c r="J196" i="1"/>
  <c r="J201" i="1"/>
  <c r="J211" i="1"/>
  <c r="J222" i="1"/>
  <c r="J238" i="1"/>
  <c r="J263" i="1"/>
  <c r="J267" i="1"/>
  <c r="J279" i="1"/>
  <c r="J281" i="1"/>
  <c r="J283" i="1"/>
  <c r="J290" i="1"/>
  <c r="J294" i="1"/>
  <c r="J326" i="1"/>
  <c r="J331" i="1"/>
  <c r="J335" i="1"/>
  <c r="J365" i="1"/>
  <c r="J387" i="1"/>
  <c r="J423" i="1"/>
  <c r="J451" i="1"/>
  <c r="J456" i="1"/>
  <c r="J470" i="1"/>
  <c r="J449" i="1"/>
  <c r="J443" i="1"/>
  <c r="J435" i="1"/>
  <c r="J459" i="1"/>
  <c r="J481" i="1"/>
  <c r="J479" i="1"/>
  <c r="J468" i="1"/>
  <c r="J462" i="1"/>
  <c r="J439" i="1"/>
  <c r="J458" i="1"/>
  <c r="J445" i="1"/>
  <c r="J413" i="1"/>
  <c r="J400" i="1"/>
  <c r="J385" i="1"/>
  <c r="J380" i="1"/>
  <c r="J361" i="1"/>
  <c r="J350" i="1"/>
  <c r="J409" i="1"/>
  <c r="J334" i="1"/>
  <c r="J325" i="1"/>
  <c r="J310" i="1"/>
  <c r="J291" i="1"/>
  <c r="J275" i="1"/>
  <c r="J256" i="1"/>
  <c r="J244" i="1"/>
  <c r="J215" i="1"/>
  <c r="J193" i="1"/>
  <c r="J183" i="1"/>
  <c r="J178" i="1"/>
  <c r="J159" i="1"/>
  <c r="J139" i="1"/>
  <c r="J491" i="1"/>
  <c r="J417" i="1"/>
  <c r="J501" i="1"/>
  <c r="J496" i="1"/>
  <c r="J485" i="1"/>
  <c r="J452" i="1"/>
  <c r="J472" i="1"/>
  <c r="J421" i="1"/>
  <c r="J402" i="1"/>
  <c r="J391" i="1"/>
  <c r="J372" i="1"/>
  <c r="J341" i="1"/>
  <c r="J448" i="1"/>
  <c r="J378" i="1"/>
  <c r="J332" i="1"/>
  <c r="J317" i="1"/>
  <c r="J289" i="1"/>
  <c r="J273" i="1"/>
  <c r="J234" i="1"/>
  <c r="J220" i="1"/>
  <c r="J202" i="1"/>
  <c r="J189" i="1"/>
  <c r="J165" i="1"/>
  <c r="J150" i="1"/>
  <c r="J145" i="1"/>
  <c r="J124" i="1"/>
  <c r="J475" i="1"/>
  <c r="J345" i="1"/>
  <c r="J296" i="1"/>
  <c r="J254" i="1"/>
  <c r="J210" i="1"/>
  <c r="J154" i="1"/>
  <c r="J110" i="1"/>
  <c r="J94" i="1"/>
  <c r="J69" i="1"/>
  <c r="J43" i="1"/>
  <c r="J356" i="1"/>
  <c r="J305" i="1"/>
  <c r="J205" i="1"/>
  <c r="J143" i="1"/>
  <c r="J113" i="1"/>
  <c r="J90" i="1"/>
  <c r="J73" i="1"/>
  <c r="J29" i="1"/>
  <c r="J477" i="1"/>
  <c r="J466" i="1"/>
  <c r="J442" i="1"/>
  <c r="J437" i="1"/>
  <c r="J483" i="1"/>
  <c r="J430" i="1"/>
  <c r="J411" i="1"/>
  <c r="J399" i="1"/>
  <c r="J382" i="1"/>
  <c r="J363" i="1"/>
  <c r="J352" i="1"/>
  <c r="J347" i="1"/>
  <c r="J428" i="1"/>
  <c r="J359" i="1"/>
  <c r="J330" i="1"/>
  <c r="J323" i="1"/>
  <c r="J307" i="1"/>
  <c r="J277" i="1"/>
  <c r="J266" i="1"/>
  <c r="J258" i="1"/>
  <c r="J247" i="1"/>
  <c r="J242" i="1"/>
  <c r="J200" i="1"/>
  <c r="J191" i="1"/>
  <c r="J181" i="1"/>
  <c r="J163" i="1"/>
  <c r="J156" i="1"/>
  <c r="J137" i="1"/>
  <c r="J499" i="1"/>
  <c r="J487" i="1"/>
  <c r="J454" i="1"/>
  <c r="J494" i="1"/>
  <c r="J419" i="1"/>
  <c r="J393" i="1"/>
  <c r="J374" i="1"/>
  <c r="J339" i="1"/>
  <c r="J397" i="1"/>
  <c r="J328" i="1"/>
  <c r="J315" i="1"/>
  <c r="J293" i="1"/>
  <c r="J264" i="1"/>
  <c r="J236" i="1"/>
  <c r="J231" i="1"/>
  <c r="J218" i="1"/>
  <c r="J198" i="1"/>
  <c r="J161" i="1"/>
  <c r="J147" i="1"/>
  <c r="J127" i="1"/>
  <c r="J122" i="1"/>
  <c r="J433" i="1"/>
  <c r="J370" i="1"/>
  <c r="J313" i="1"/>
  <c r="J269" i="1"/>
  <c r="J240" i="1"/>
  <c r="J187" i="1"/>
  <c r="J131" i="1"/>
  <c r="J103" i="1"/>
  <c r="J86" i="1"/>
  <c r="J53" i="1"/>
  <c r="J389" i="1"/>
  <c r="J321" i="1"/>
  <c r="J229" i="1"/>
  <c r="J168" i="1"/>
  <c r="J120" i="1"/>
  <c r="J98" i="1"/>
  <c r="J82" i="1"/>
  <c r="J47" i="1"/>
  <c r="J463" i="1"/>
  <c r="J87" i="1"/>
  <c r="J25" i="1" l="1"/>
</calcChain>
</file>

<file path=xl/sharedStrings.xml><?xml version="1.0" encoding="utf-8"?>
<sst xmlns="http://schemas.openxmlformats.org/spreadsheetml/2006/main" count="778" uniqueCount="388">
  <si>
    <t>Form. No.6 SRS</t>
  </si>
  <si>
    <t>Servicio Nacional de Salud</t>
  </si>
  <si>
    <t>Dirección de Fizcalización</t>
  </si>
  <si>
    <t>Consolidado de Ingresos y Gastos por Fuente de Financiamiento</t>
  </si>
  <si>
    <t>NOMBRE ESTABLECIMIENTO</t>
  </si>
  <si>
    <t>AGOSTO 2025</t>
  </si>
  <si>
    <t>Ingresos Generales:</t>
  </si>
  <si>
    <t>1.- Balance Inicial / Fuente:</t>
  </si>
  <si>
    <t>Anticipo Financiero</t>
  </si>
  <si>
    <t>Otros Aportes</t>
  </si>
  <si>
    <t>Contraseña: 0001</t>
  </si>
  <si>
    <t>Transferencias Corrientes</t>
  </si>
  <si>
    <t>Venta de Servicios</t>
  </si>
  <si>
    <t>2.- Ingresos por Fuente / Cuenta</t>
  </si>
  <si>
    <t>OBJETAL</t>
  </si>
  <si>
    <t>FR</t>
  </si>
  <si>
    <t>VS</t>
  </si>
  <si>
    <t>Aportes Nomina SNS</t>
  </si>
  <si>
    <t>TOTAL INGRESOS RDS</t>
  </si>
  <si>
    <t>Código Presupuestario</t>
  </si>
  <si>
    <t>Descripción Gasto por Cuenta</t>
  </si>
  <si>
    <t xml:space="preserve">Distribución del Gasto por Fuente de Financiamiento </t>
  </si>
  <si>
    <t>TOTAL</t>
  </si>
  <si>
    <t>%</t>
  </si>
  <si>
    <t>Tipo</t>
  </si>
  <si>
    <t>Objeto</t>
  </si>
  <si>
    <t>Cuenta</t>
  </si>
  <si>
    <t>Sub-Cuenta</t>
  </si>
  <si>
    <t>Auxiliar</t>
  </si>
  <si>
    <t>Fondo 100</t>
  </si>
  <si>
    <t>Venta de Servicios/    Otros Aportes</t>
  </si>
  <si>
    <t>Gastos</t>
  </si>
  <si>
    <t>Servicios Personales</t>
  </si>
  <si>
    <t>Remuneraciones</t>
  </si>
  <si>
    <t>Remuneraciones al personal fijo</t>
  </si>
  <si>
    <t>01</t>
  </si>
  <si>
    <t xml:space="preserve"> Sueldos a empleados fijos</t>
  </si>
  <si>
    <t>02</t>
  </si>
  <si>
    <t>Sueldos a médicos</t>
  </si>
  <si>
    <t>03</t>
  </si>
  <si>
    <t>Ascensos a militares</t>
  </si>
  <si>
    <t>04</t>
  </si>
  <si>
    <t>Nuevas plazas maestros</t>
  </si>
  <si>
    <t>05</t>
  </si>
  <si>
    <t>Incentivos y escalafón</t>
  </si>
  <si>
    <t>06</t>
  </si>
  <si>
    <t>Nuevas plazas a médicos</t>
  </si>
  <si>
    <t>Remuneraciones al personal con carácter transitorio</t>
  </si>
  <si>
    <t>Suplencias</t>
  </si>
  <si>
    <t>Sueldo al personal nominal en período probatorio</t>
  </si>
  <si>
    <t xml:space="preserve"> Jornales</t>
  </si>
  <si>
    <t>08</t>
  </si>
  <si>
    <t>Empleados temporales</t>
  </si>
  <si>
    <t>09</t>
  </si>
  <si>
    <t>Personal de carácter eventual</t>
  </si>
  <si>
    <t>11</t>
  </si>
  <si>
    <t>Interinato</t>
  </si>
  <si>
    <t>Sueldos al personal fijo en trámite de pensiones</t>
  </si>
  <si>
    <t>Sueldo anual no. 13</t>
  </si>
  <si>
    <t>Prestaciones económinas</t>
  </si>
  <si>
    <t>Pago de porcentaje por desvinculación de cargo</t>
  </si>
  <si>
    <t>Prestación laboral por desvinculación</t>
  </si>
  <si>
    <t>Proporción de vacaciones no disfrutadas</t>
  </si>
  <si>
    <t>Sobresueldos</t>
  </si>
  <si>
    <t>Primas por antigüedad</t>
  </si>
  <si>
    <t>Compensación</t>
  </si>
  <si>
    <t>Compensación por gastos de alimentación</t>
  </si>
  <si>
    <t>Pago de horas extraordinarias</t>
  </si>
  <si>
    <t>Prima de transporte</t>
  </si>
  <si>
    <t>Compensación servicios de Seguridad</t>
  </si>
  <si>
    <t>Incentivo por Rendimieto Individual</t>
  </si>
  <si>
    <t>07</t>
  </si>
  <si>
    <t>Compensación por distancia</t>
  </si>
  <si>
    <t>Compensaciones especiales</t>
  </si>
  <si>
    <t>Bono por desempeño a servidores de carrera</t>
  </si>
  <si>
    <t>Compensacion por cumplimiento de indicadores</t>
  </si>
  <si>
    <t>Dietas y Gastos de Representación</t>
  </si>
  <si>
    <t>Dietas</t>
  </si>
  <si>
    <t>Dietas en el país</t>
  </si>
  <si>
    <t>Dietas en el exterior</t>
  </si>
  <si>
    <t>Gastos de representación</t>
  </si>
  <si>
    <t>Gastos de representación en el país</t>
  </si>
  <si>
    <t>Gastos de representación en el exterior</t>
  </si>
  <si>
    <t>Gratificaciones y Bonificaciones</t>
  </si>
  <si>
    <t>Bonificaciones</t>
  </si>
  <si>
    <t>Otras Gratificaciones y Bonificaciones</t>
  </si>
  <si>
    <t>Bono escolar</t>
  </si>
  <si>
    <t>Gratificaciones por pasantías</t>
  </si>
  <si>
    <t>Gratificaciones por aniversario de institución</t>
  </si>
  <si>
    <t>Contribuciones a la Seguridad Social y Riesgo Laboral</t>
  </si>
  <si>
    <t>Contribuciones al seguro de salud</t>
  </si>
  <si>
    <t>Contribuciones al seguro de pensiones</t>
  </si>
  <si>
    <t>Contribuciones al seguro de riesgo laboral</t>
  </si>
  <si>
    <t>Contribuciones al plan de retiro complementario</t>
  </si>
  <si>
    <t>Servicios No Personales</t>
  </si>
  <si>
    <t>Servicios Básicos</t>
  </si>
  <si>
    <t>Radiocomunicación</t>
  </si>
  <si>
    <t>Servicios telefónico de larga distancia</t>
  </si>
  <si>
    <t>Teléfono local</t>
  </si>
  <si>
    <t>Telefax y correos</t>
  </si>
  <si>
    <t>Servicio de Internet y televisión por cable</t>
  </si>
  <si>
    <t>Electricidad</t>
  </si>
  <si>
    <t>Energía eléctrica</t>
  </si>
  <si>
    <t>Electricidad no cortable</t>
  </si>
  <si>
    <t>Agua</t>
  </si>
  <si>
    <t>Recolección de residuos sólidos</t>
  </si>
  <si>
    <t>Publicidad Impresión y Encuadernación</t>
  </si>
  <si>
    <t>Publicidad y propaganda</t>
  </si>
  <si>
    <t>Impresión y encuadernación</t>
  </si>
  <si>
    <t>Viáticos</t>
  </si>
  <si>
    <t>Viáticos dentro del país</t>
  </si>
  <si>
    <t>Viáticos fuera del país</t>
  </si>
  <si>
    <t>Transporte y Almacenaje</t>
  </si>
  <si>
    <t>Pasajes</t>
  </si>
  <si>
    <t>Fletes</t>
  </si>
  <si>
    <t>Almacenaje</t>
  </si>
  <si>
    <t>Peaje</t>
  </si>
  <si>
    <t>Alquileres y Rentas</t>
  </si>
  <si>
    <t>Alquileres y rentas de edificios y locales</t>
  </si>
  <si>
    <t>Alquileres de equipos de producción</t>
  </si>
  <si>
    <t>Alquileres de equipos electricos (plantas)</t>
  </si>
  <si>
    <t>Alquileres de maquinarias y equipos</t>
  </si>
  <si>
    <t>Alquiler de equipo educacional</t>
  </si>
  <si>
    <t>Alquiler de equipo de tecnologia y almacenamiento de datos</t>
  </si>
  <si>
    <t>Alquiler de equipo de comunicación</t>
  </si>
  <si>
    <t>Alquiler de equipo de oficina y muebles</t>
  </si>
  <si>
    <t>Alquiler de equipos sanitarios y de laboratorios</t>
  </si>
  <si>
    <t>Alquileres de equipos de transporte, tracción y elevación</t>
  </si>
  <si>
    <t>Alquiler de tierras</t>
  </si>
  <si>
    <t>Alquileres de terrenos</t>
  </si>
  <si>
    <t>Alquileres de equipos de construcción y movimiento de tierras</t>
  </si>
  <si>
    <t>Otros alquileres</t>
  </si>
  <si>
    <t>Derechos de uso</t>
  </si>
  <si>
    <t>Licencias informaticas</t>
  </si>
  <si>
    <t>Seguros</t>
  </si>
  <si>
    <t>Seguro de bienes inmuebles e infraestructura</t>
  </si>
  <si>
    <t>Seguro de bienes muebles</t>
  </si>
  <si>
    <t>Seguros de personas</t>
  </si>
  <si>
    <t>Seguros de la producción agrícola</t>
  </si>
  <si>
    <t>Servicios de Conservación, Reparaciones Menores e Instalaciones Temporales</t>
  </si>
  <si>
    <t>Obras Menores</t>
  </si>
  <si>
    <t>Obras menores en edificaciones</t>
  </si>
  <si>
    <t>Servicios especiales de mantenimiento y reparación</t>
  </si>
  <si>
    <t>Limpieza, desmalezamiento de tierras y terrenos</t>
  </si>
  <si>
    <t>Mantenimiento y reparación de obras civiles en instalaciones varias</t>
  </si>
  <si>
    <t>Obras en bienes de dominio público</t>
  </si>
  <si>
    <t>Instalaciones eléctricas</t>
  </si>
  <si>
    <t>Mantenimiento, reparacion, servicios de pintura y sus derivados</t>
  </si>
  <si>
    <t>99</t>
  </si>
  <si>
    <t>Otros mantenimientos, reparaciones y sus derivados, no identificados precedentemente</t>
  </si>
  <si>
    <t>Reparaciones de maquinarias y equipos</t>
  </si>
  <si>
    <t>Mantenimiento y reparación de equipo de oficina y muebles</t>
  </si>
  <si>
    <t>Mantenimiento y rep. de equipo de tecnologia e informatica</t>
  </si>
  <si>
    <t>Mantenimiento y reparación de equipo educacional</t>
  </si>
  <si>
    <t>Mantenimiento y reparación de equipos sanitarios y de laboratorio</t>
  </si>
  <si>
    <t>Mantenimiento y reparación de equipo de comunicación</t>
  </si>
  <si>
    <t>Mantenimiento y reparación de equipos de transporte, tracción y elevación</t>
  </si>
  <si>
    <t xml:space="preserve">Mant. Y reparacion de equipos industriales y produccion </t>
  </si>
  <si>
    <t>Servicios de Mant. Reparacion, desmonte e instalacion</t>
  </si>
  <si>
    <t>Otros servicios de mantenimiento y reparacion de maquinaria y equipos, no identificados anteriormente</t>
  </si>
  <si>
    <t>Instalaciones temporales</t>
  </si>
  <si>
    <t>Otros Servicios No Personales</t>
  </si>
  <si>
    <t>Gastos judiciales</t>
  </si>
  <si>
    <t>Comisiones y gastos bancarios</t>
  </si>
  <si>
    <t>Servicios sanitarios médicos y veterinarios</t>
  </si>
  <si>
    <t>Servicios funerarios y gastos conexos</t>
  </si>
  <si>
    <t>Fumigación, lavandería, limpieza e higiene</t>
  </si>
  <si>
    <t>Fumigación</t>
  </si>
  <si>
    <t>Lavandería</t>
  </si>
  <si>
    <t>Limpieza e higiene</t>
  </si>
  <si>
    <t>Organización de eventos y festividades</t>
  </si>
  <si>
    <t>Eventos generales</t>
  </si>
  <si>
    <t>Festividades</t>
  </si>
  <si>
    <t>Actuaciones deportivas</t>
  </si>
  <si>
    <t>Actuaciones artísticas</t>
  </si>
  <si>
    <t>Servicios Técnicos y Profesionales</t>
  </si>
  <si>
    <t>Estudios, investigaciones y análisis de factibilidad</t>
  </si>
  <si>
    <t>Servicios jurídicos</t>
  </si>
  <si>
    <t>Servicios de contabilidad y auditoria</t>
  </si>
  <si>
    <t>Servicios de capacitación</t>
  </si>
  <si>
    <t>Servicios de informática y sistemas computarizados</t>
  </si>
  <si>
    <t>Otros servicios técnicos profesionales</t>
  </si>
  <si>
    <t>Impuestos, derechos y tasas</t>
  </si>
  <si>
    <t>Impuestos</t>
  </si>
  <si>
    <t>Derechos</t>
  </si>
  <si>
    <t>Tasas</t>
  </si>
  <si>
    <t>Otras Contrataciones de Servicios</t>
  </si>
  <si>
    <t>Servicios de alimentación</t>
  </si>
  <si>
    <t xml:space="preserve">Servicios de alimentación </t>
  </si>
  <si>
    <t>Servicios de catering</t>
  </si>
  <si>
    <t>Materiales y Suministros</t>
  </si>
  <si>
    <t>Alimentos y Productos Agroforestales</t>
  </si>
  <si>
    <t>Alimentos y bebidas para personas</t>
  </si>
  <si>
    <t>Desayuno escolar</t>
  </si>
  <si>
    <t>Alimentos para animales</t>
  </si>
  <si>
    <t>Productos agroforestales y pecuarios</t>
  </si>
  <si>
    <t>Productos pecuarios</t>
  </si>
  <si>
    <t>Productos agrícolas</t>
  </si>
  <si>
    <t>Productos forestales</t>
  </si>
  <si>
    <t>Madera, corcho y sus manufacturas</t>
  </si>
  <si>
    <t>Textiles y Vestuarios</t>
  </si>
  <si>
    <t>Hilados y telas</t>
  </si>
  <si>
    <t>Acabados textiles</t>
  </si>
  <si>
    <t>Prendas de vestir</t>
  </si>
  <si>
    <t>Productos de Papel, Cartón e Impresos</t>
  </si>
  <si>
    <t>Papel de escritorio</t>
  </si>
  <si>
    <t>Papel y cartón</t>
  </si>
  <si>
    <t>Productos de artes gráficas</t>
  </si>
  <si>
    <t>Libros, revistas y periódicos</t>
  </si>
  <si>
    <t>Textos de enseñanza</t>
  </si>
  <si>
    <t>Especies timbrados y valoradas</t>
  </si>
  <si>
    <t>Productos Farmacéuticos</t>
  </si>
  <si>
    <t>Productos medicinales para uso humano</t>
  </si>
  <si>
    <t>Productos medicinales para uso veterinario</t>
  </si>
  <si>
    <t>Productos de Cuero, Caucho y Plásticos</t>
  </si>
  <si>
    <t>Cueros y pieles</t>
  </si>
  <si>
    <t>Artículos de cuero</t>
  </si>
  <si>
    <t>Llantas y neumáticos</t>
  </si>
  <si>
    <t>Artículos de caucho</t>
  </si>
  <si>
    <t>Artículos de plástico</t>
  </si>
  <si>
    <t>Productos de Minerales, Metálicos y No Metálicos</t>
  </si>
  <si>
    <t>Productos de cemento, cal, asbesto, yeso y arcilla</t>
  </si>
  <si>
    <t>Productos de cemento</t>
  </si>
  <si>
    <t>Productos de cal</t>
  </si>
  <si>
    <t>Productos de asbestos</t>
  </si>
  <si>
    <t>Productos de yeso</t>
  </si>
  <si>
    <t>Productos de arcilla y derivados</t>
  </si>
  <si>
    <t>Productos de vidrio, loza y porcelana</t>
  </si>
  <si>
    <t>Productos de vidrio</t>
  </si>
  <si>
    <t>Productos de loza</t>
  </si>
  <si>
    <t>Productos de porcelana</t>
  </si>
  <si>
    <t>Productos metálicos y sus derivados</t>
  </si>
  <si>
    <t>Herramientas menores</t>
  </si>
  <si>
    <t>Productos de hojalata</t>
  </si>
  <si>
    <t>Accesorios de metal</t>
  </si>
  <si>
    <t>Minerales</t>
  </si>
  <si>
    <t>Minerales metalíferos</t>
  </si>
  <si>
    <t>Petróleo crudo</t>
  </si>
  <si>
    <t>Carbón mineral</t>
  </si>
  <si>
    <t>Piedra, arcilla y arena</t>
  </si>
  <si>
    <t>Productos aislantes</t>
  </si>
  <si>
    <t>Productos abrasivos</t>
  </si>
  <si>
    <t>Otros minerales</t>
  </si>
  <si>
    <t>Otros Productos Minerales no metálicos</t>
  </si>
  <si>
    <t>Otros productos no metálicos</t>
  </si>
  <si>
    <t>Combustibles, Lubricantes, Productos Químicos y Conexos</t>
  </si>
  <si>
    <t>Combustibles y lubricantes</t>
  </si>
  <si>
    <t>Gasolina</t>
  </si>
  <si>
    <t>Gasoil</t>
  </si>
  <si>
    <t>Kerosén</t>
  </si>
  <si>
    <t>Gas GLP</t>
  </si>
  <si>
    <t>Aceites y Grasas</t>
  </si>
  <si>
    <t>Lubricantes</t>
  </si>
  <si>
    <t>Gas Natural</t>
  </si>
  <si>
    <t>Productos químicos y conexos</t>
  </si>
  <si>
    <t>Productos explosivos y Pirotecnia</t>
  </si>
  <si>
    <t>Productos Fotoquímicos</t>
  </si>
  <si>
    <t>Productos Químicos de uso Personal y Laboratorio</t>
  </si>
  <si>
    <t>Abonos y Fertilizantes</t>
  </si>
  <si>
    <t>Insecticidas, Fumigantes y Otros</t>
  </si>
  <si>
    <t>Pinturas, Lacas, Barnices, Diluyentes y Absorbentes para Pintura</t>
  </si>
  <si>
    <t>Otros Productos Quimicos y Conexos</t>
  </si>
  <si>
    <t>Gastos a ser Asignados Durante el Ejercicio (ART. 32 Y 33 Ley 423-06)</t>
  </si>
  <si>
    <t>5% a ser asignados durante el ejercicio para gastos corrientes</t>
  </si>
  <si>
    <t>1% a ser asignados durante el ej. para gastos corrientes por calamidad pública</t>
  </si>
  <si>
    <t>Productos y Útiles Varios</t>
  </si>
  <si>
    <t>Material para limpieza</t>
  </si>
  <si>
    <t>Útiles y materiales de limpieza e higiene</t>
  </si>
  <si>
    <t>Útiles y materiales de limpieza e higiene personal</t>
  </si>
  <si>
    <t>Útiles de escritorio, oficina, informática, escolares y de enseñanza</t>
  </si>
  <si>
    <t>Útiles y materiales de escritorio, oficina e informática</t>
  </si>
  <si>
    <t>Útiles menores médico quirúrgicos</t>
  </si>
  <si>
    <t>Útiles destinados a actividades deportivas y recreativas</t>
  </si>
  <si>
    <t>Útiles de cocina y comedor</t>
  </si>
  <si>
    <t>Productos eléctricos y afines</t>
  </si>
  <si>
    <t>Productos y útiles veterinarios</t>
  </si>
  <si>
    <t>Repuestos y accesorios menores</t>
  </si>
  <si>
    <t xml:space="preserve">Repuestos   </t>
  </si>
  <si>
    <t xml:space="preserve">Accesorios     </t>
  </si>
  <si>
    <t>Productos y útiles varios n.i.p.</t>
  </si>
  <si>
    <t>Productos y útiles e defensa y seguridad</t>
  </si>
  <si>
    <t>Ayudas y donaciones a personas</t>
  </si>
  <si>
    <t>Ayudas y donaciones programadas a hogares y personas</t>
  </si>
  <si>
    <t>Ayudas y donaciones ocasionales a hogares y personas</t>
  </si>
  <si>
    <t>Programa de repitencia escolar</t>
  </si>
  <si>
    <t>Subsidio obreros portuarios Ley 199-02</t>
  </si>
  <si>
    <t>Subsidios para viviendas económicas</t>
  </si>
  <si>
    <t>Bienes Muebles, Inmuebles e Intangibles</t>
  </si>
  <si>
    <t>Mobiliario Y Equipo</t>
  </si>
  <si>
    <t>Muebles, equipos de oficina y estantería</t>
  </si>
  <si>
    <t>Muebles de alojamiento, excepto de oficina y estantería</t>
  </si>
  <si>
    <t>Equipo de tecnologia de la informacion y comunicación</t>
  </si>
  <si>
    <t>Electrodomésticos</t>
  </si>
  <si>
    <t>Otros mobiliarios y equipos no identificados precedentemente</t>
  </si>
  <si>
    <t>Mobiliario y Eq. de Audio, Audiovisual, Recreativo y Educacional</t>
  </si>
  <si>
    <t>Equipos y aparatos audiovisuales</t>
  </si>
  <si>
    <t>Aparatos deportivos</t>
  </si>
  <si>
    <t>Cámaras fotográficas y de video</t>
  </si>
  <si>
    <t>Mobiliario y equipo educacional y recreativo</t>
  </si>
  <si>
    <t>Equipo e Instrumental, Científico Y Laboratorio</t>
  </si>
  <si>
    <t>Equipo médico y de laboratorio</t>
  </si>
  <si>
    <t>Instrumental médico y de laboratorio</t>
  </si>
  <si>
    <t>Equipo veterinario</t>
  </si>
  <si>
    <t>Equipo e instrumentos de medición científica</t>
  </si>
  <si>
    <t>Vehículos y Equipo de Transporte, Tracción y Elevación</t>
  </si>
  <si>
    <t>Automóviles y camiones</t>
  </si>
  <si>
    <t>Carrocerías y remolques</t>
  </si>
  <si>
    <t>Equipo aeronáutico</t>
  </si>
  <si>
    <t>Equipo ferroviario</t>
  </si>
  <si>
    <t>Embarcaciones</t>
  </si>
  <si>
    <t>Equipo de tracción</t>
  </si>
  <si>
    <t>Equipo de elevación</t>
  </si>
  <si>
    <t>Otros equipos de transporte</t>
  </si>
  <si>
    <t>Maquinaria, Otros Equipos y Herramientas</t>
  </si>
  <si>
    <t>Maquinaria y equipo agropecuario</t>
  </si>
  <si>
    <t>Maquinaria y equipo industrial</t>
  </si>
  <si>
    <t>Maquinaria y equipo de construcción</t>
  </si>
  <si>
    <t>Sistemas y equipos de climatización</t>
  </si>
  <si>
    <t>Equipo de comunicación, telecomunicaciones y señalamiento</t>
  </si>
  <si>
    <t>Equipo de generación eléctrica y a fines</t>
  </si>
  <si>
    <t>Máquinas-herramientas</t>
  </si>
  <si>
    <t>Otros equipos</t>
  </si>
  <si>
    <t>Equipos De Defensa Y Seguridad</t>
  </si>
  <si>
    <t>Equipos De Defensa</t>
  </si>
  <si>
    <t>`01</t>
  </si>
  <si>
    <t>Equipos de Seguridad</t>
  </si>
  <si>
    <t>Activos Biológicos Cultivables</t>
  </si>
  <si>
    <t>Bovinos</t>
  </si>
  <si>
    <t>Porcinos</t>
  </si>
  <si>
    <t>Aves</t>
  </si>
  <si>
    <t>Ovinos y caprinos</t>
  </si>
  <si>
    <t>Peces y acuicultura</t>
  </si>
  <si>
    <t>Equinos</t>
  </si>
  <si>
    <t>Especies menores y de zoológico</t>
  </si>
  <si>
    <t>Otros activos que generan producción recurrente</t>
  </si>
  <si>
    <t>Árboles, cultivos y plantas que generan productos recurrentes</t>
  </si>
  <si>
    <t>Bienes Intangibles</t>
  </si>
  <si>
    <t>Investigación y desarrollo</t>
  </si>
  <si>
    <t>Exploración y evaluación minera</t>
  </si>
  <si>
    <t>Programas de informática y base de datos</t>
  </si>
  <si>
    <t>Programas de informática</t>
  </si>
  <si>
    <t>Base de datos</t>
  </si>
  <si>
    <t>Originales para esparcimiento, literarios o artísticos</t>
  </si>
  <si>
    <t>Estudios de preinversión</t>
  </si>
  <si>
    <t>Marcas y patentes</t>
  </si>
  <si>
    <t>Concesiones</t>
  </si>
  <si>
    <t>Licencias intelectuales, industriales y comerciales</t>
  </si>
  <si>
    <t>`02</t>
  </si>
  <si>
    <t>Intelectuales</t>
  </si>
  <si>
    <t>`03</t>
  </si>
  <si>
    <t>Industriales</t>
  </si>
  <si>
    <t>`04</t>
  </si>
  <si>
    <t>Comerciales</t>
  </si>
  <si>
    <t>Otros activos intangibles</t>
  </si>
  <si>
    <t>Bienes Inmuebles</t>
  </si>
  <si>
    <t>Edificios residenciales (viviendas)</t>
  </si>
  <si>
    <t>Adquisición de mejoras residenciales</t>
  </si>
  <si>
    <t>Edificios no residenciales</t>
  </si>
  <si>
    <t>Adquisición de mejoras no residenciales</t>
  </si>
  <si>
    <t>Terrenos</t>
  </si>
  <si>
    <t>Tierras</t>
  </si>
  <si>
    <t>Objetos de valor</t>
  </si>
  <si>
    <t>Metales y piedras preciosas</t>
  </si>
  <si>
    <t>Antiguedades, bienes artisticos y otros objetos de arte</t>
  </si>
  <si>
    <t>Objetos del patrimonio culyural</t>
  </si>
  <si>
    <t>Otras estructuras</t>
  </si>
  <si>
    <t>Obras</t>
  </si>
  <si>
    <t>Obras En Edificaciones</t>
  </si>
  <si>
    <t>Obras para edificación residencial (viviendas)</t>
  </si>
  <si>
    <t>Obras para edificación no residencial</t>
  </si>
  <si>
    <t>Obras para edificación de otras estructuras</t>
  </si>
  <si>
    <t>Mejoras de tierras y terrenos</t>
  </si>
  <si>
    <t>Infraestructura</t>
  </si>
  <si>
    <t>Obras Hidráulicas Y Sanitarias</t>
  </si>
  <si>
    <t>Obras de Energía</t>
  </si>
  <si>
    <t>Obras de telecomunicaciones</t>
  </si>
  <si>
    <t>Infraestructura terrestre y obras anexas</t>
  </si>
  <si>
    <t>Infraestructura marítima y aérea</t>
  </si>
  <si>
    <t>Infraestructura y plantaciones agrícolas</t>
  </si>
  <si>
    <t>Obras urbanísticas</t>
  </si>
  <si>
    <t>Obras en cementerios</t>
  </si>
  <si>
    <t>Obras en plantas industriales, hidrocarburos y minas</t>
  </si>
  <si>
    <t>Construcciones En Bienes Concesionados</t>
  </si>
  <si>
    <t>Construcciones en bienes de uso público concesionados</t>
  </si>
  <si>
    <t>Construcciones en bienes de uso privado concesionados</t>
  </si>
  <si>
    <t>Gastos a Ser Asignados Durante el Ejercicio para Inversión (Art. 32 Y 33 Ley 423-06)</t>
  </si>
  <si>
    <t>5% a ser asignado durante el ejercicio para inversión</t>
  </si>
  <si>
    <t>1% a ser asignado durante el ejercicio para inversión por calamidad pública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</si>
</sst>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#,##0.00;[Red]#,##0.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8"/>
      <color rgb="FF0000CC"/>
      <name val="Calibri"/>
      <family val="2"/>
      <scheme val="minor"/>
    </font>
    <font>
      <b/>
      <sz val="20"/>
      <color rgb="FF0000CC"/>
      <name val="Calibri"/>
      <family val="2"/>
      <scheme val="minor"/>
    </font>
    <font>
      <b/>
      <sz val="14"/>
      <color rgb="FF0000CC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name val="Arial"/>
      <family val="2"/>
    </font>
    <font>
      <b/>
      <sz val="8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9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8"/>
      <name val="Cambria"/>
      <family val="1"/>
    </font>
    <font>
      <b/>
      <sz val="9"/>
      <name val="Cambria"/>
      <family val="1"/>
    </font>
    <font>
      <b/>
      <sz val="8"/>
      <name val="Calibri"/>
      <family val="2"/>
      <scheme val="minor"/>
    </font>
    <font>
      <b/>
      <strike/>
      <sz val="12"/>
      <name val="Calibri"/>
      <family val="2"/>
      <scheme val="minor"/>
    </font>
    <font>
      <b/>
      <sz val="10"/>
      <color indexed="8"/>
      <name val="Baskerville Old Face"/>
      <family val="1"/>
    </font>
    <font>
      <b/>
      <sz val="10"/>
      <name val="Baskerville Old Face"/>
      <family val="1"/>
    </font>
    <font>
      <sz val="11"/>
      <color indexed="8"/>
      <name val="Baskerville Old Face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1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5">
    <xf numFmtId="0" fontId="0" fillId="0" borderId="0"/>
    <xf numFmtId="0" fontId="2" fillId="0" borderId="0"/>
    <xf numFmtId="43" fontId="15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</cellStyleXfs>
  <cellXfs count="128">
    <xf numFmtId="0" fontId="0" fillId="0" borderId="0" xfId="0"/>
    <xf numFmtId="0" fontId="3" fillId="2" borderId="1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2" fillId="0" borderId="0" xfId="1"/>
    <xf numFmtId="0" fontId="4" fillId="2" borderId="4" xfId="1" applyFont="1" applyFill="1" applyBorder="1" applyAlignment="1">
      <alignment horizontal="center"/>
    </xf>
    <xf numFmtId="0" fontId="4" fillId="2" borderId="0" xfId="1" applyFont="1" applyFill="1" applyBorder="1" applyAlignment="1">
      <alignment horizontal="center"/>
    </xf>
    <xf numFmtId="0" fontId="4" fillId="2" borderId="5" xfId="1" applyFont="1" applyFill="1" applyBorder="1" applyAlignment="1">
      <alignment horizontal="center"/>
    </xf>
    <xf numFmtId="0" fontId="5" fillId="2" borderId="4" xfId="1" applyFont="1" applyFill="1" applyBorder="1" applyAlignment="1">
      <alignment horizontal="center"/>
    </xf>
    <xf numFmtId="0" fontId="5" fillId="2" borderId="0" xfId="1" applyFont="1" applyFill="1" applyBorder="1" applyAlignment="1">
      <alignment horizontal="center"/>
    </xf>
    <xf numFmtId="0" fontId="5" fillId="2" borderId="5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6" fillId="2" borderId="0" xfId="1" applyFont="1" applyFill="1" applyBorder="1" applyAlignment="1">
      <alignment horizontal="center"/>
    </xf>
    <xf numFmtId="0" fontId="6" fillId="2" borderId="5" xfId="1" applyFont="1" applyFill="1" applyBorder="1" applyAlignment="1">
      <alignment horizontal="center"/>
    </xf>
    <xf numFmtId="0" fontId="2" fillId="2" borderId="0" xfId="1" applyFill="1"/>
    <xf numFmtId="0" fontId="7" fillId="2" borderId="4" xfId="1" applyFont="1" applyFill="1" applyBorder="1" applyAlignment="1">
      <alignment horizontal="center"/>
    </xf>
    <xf numFmtId="0" fontId="7" fillId="2" borderId="0" xfId="1" applyFont="1" applyFill="1" applyBorder="1" applyAlignment="1">
      <alignment horizontal="center"/>
    </xf>
    <xf numFmtId="0" fontId="7" fillId="2" borderId="5" xfId="1" applyFont="1" applyFill="1" applyBorder="1" applyAlignment="1">
      <alignment horizontal="center"/>
    </xf>
    <xf numFmtId="0" fontId="8" fillId="3" borderId="4" xfId="1" applyFont="1" applyFill="1" applyBorder="1" applyAlignment="1">
      <alignment horizontal="center"/>
    </xf>
    <xf numFmtId="0" fontId="8" fillId="3" borderId="0" xfId="1" applyFont="1" applyFill="1" applyBorder="1" applyAlignment="1">
      <alignment horizontal="center"/>
    </xf>
    <xf numFmtId="0" fontId="8" fillId="3" borderId="5" xfId="1" applyFont="1" applyFill="1" applyBorder="1" applyAlignment="1">
      <alignment horizontal="center"/>
    </xf>
    <xf numFmtId="49" fontId="8" fillId="3" borderId="4" xfId="1" applyNumberFormat="1" applyFont="1" applyFill="1" applyBorder="1" applyAlignment="1">
      <alignment horizontal="center"/>
    </xf>
    <xf numFmtId="49" fontId="8" fillId="3" borderId="0" xfId="1" applyNumberFormat="1" applyFont="1" applyFill="1" applyBorder="1" applyAlignment="1">
      <alignment horizontal="center"/>
    </xf>
    <xf numFmtId="49" fontId="8" fillId="3" borderId="5" xfId="1" applyNumberFormat="1" applyFont="1" applyFill="1" applyBorder="1" applyAlignment="1">
      <alignment horizontal="center"/>
    </xf>
    <xf numFmtId="0" fontId="8" fillId="4" borderId="4" xfId="1" applyFont="1" applyFill="1" applyBorder="1" applyAlignment="1">
      <alignment horizontal="left"/>
    </xf>
    <xf numFmtId="0" fontId="8" fillId="4" borderId="0" xfId="1" applyFont="1" applyFill="1" applyAlignment="1">
      <alignment horizontal="left"/>
    </xf>
    <xf numFmtId="0" fontId="8" fillId="4" borderId="5" xfId="1" applyFont="1" applyFill="1" applyBorder="1" applyAlignment="1">
      <alignment horizontal="left"/>
    </xf>
    <xf numFmtId="0" fontId="9" fillId="3" borderId="4" xfId="1" applyFont="1" applyFill="1" applyBorder="1"/>
    <xf numFmtId="0" fontId="9" fillId="3" borderId="0" xfId="1" applyFont="1" applyFill="1"/>
    <xf numFmtId="0" fontId="10" fillId="3" borderId="0" xfId="1" applyFont="1" applyFill="1" applyAlignment="1">
      <alignment horizontal="left" indent="3"/>
    </xf>
    <xf numFmtId="0" fontId="10" fillId="2" borderId="0" xfId="1" applyFont="1" applyFill="1" applyAlignment="1">
      <alignment horizontal="center"/>
    </xf>
    <xf numFmtId="0" fontId="11" fillId="3" borderId="0" xfId="1" applyFont="1" applyFill="1"/>
    <xf numFmtId="0" fontId="10" fillId="2" borderId="5" xfId="1" applyFont="1" applyFill="1" applyBorder="1" applyAlignment="1">
      <alignment horizontal="center"/>
    </xf>
    <xf numFmtId="4" fontId="10" fillId="3" borderId="0" xfId="1" applyNumberFormat="1" applyFont="1" applyFill="1" applyAlignment="1">
      <alignment horizontal="left" indent="11"/>
    </xf>
    <xf numFmtId="4" fontId="11" fillId="3" borderId="6" xfId="1" applyNumberFormat="1" applyFont="1" applyFill="1" applyBorder="1"/>
    <xf numFmtId="4" fontId="12" fillId="3" borderId="0" xfId="1" applyNumberFormat="1" applyFont="1" applyFill="1" applyAlignment="1">
      <alignment horizontal="left" indent="2"/>
    </xf>
    <xf numFmtId="0" fontId="13" fillId="0" borderId="0" xfId="1" applyFont="1"/>
    <xf numFmtId="4" fontId="14" fillId="3" borderId="0" xfId="1" applyNumberFormat="1" applyFont="1" applyFill="1" applyAlignment="1">
      <alignment horizontal="left" indent="2"/>
    </xf>
    <xf numFmtId="4" fontId="11" fillId="3" borderId="0" xfId="1" applyNumberFormat="1" applyFont="1" applyFill="1"/>
    <xf numFmtId="4" fontId="11" fillId="3" borderId="7" xfId="1" applyNumberFormat="1" applyFont="1" applyFill="1" applyBorder="1"/>
    <xf numFmtId="4" fontId="10" fillId="3" borderId="0" xfId="1" applyNumberFormat="1" applyFont="1" applyFill="1" applyAlignment="1">
      <alignment horizontal="left" indent="2"/>
    </xf>
    <xf numFmtId="4" fontId="10" fillId="3" borderId="0" xfId="1" applyNumberFormat="1" applyFont="1" applyFill="1" applyAlignment="1">
      <alignment horizontal="left" indent="3"/>
    </xf>
    <xf numFmtId="164" fontId="2" fillId="0" borderId="0" xfId="1" applyNumberFormat="1"/>
    <xf numFmtId="4" fontId="11" fillId="3" borderId="2" xfId="1" applyNumberFormat="1" applyFont="1" applyFill="1" applyBorder="1"/>
    <xf numFmtId="43" fontId="10" fillId="0" borderId="0" xfId="2" applyFont="1" applyBorder="1" applyAlignment="1">
      <alignment horizontal="left"/>
    </xf>
    <xf numFmtId="4" fontId="8" fillId="3" borderId="0" xfId="1" applyNumberFormat="1" applyFont="1" applyFill="1" applyAlignment="1">
      <alignment horizontal="left" indent="11"/>
    </xf>
    <xf numFmtId="4" fontId="10" fillId="3" borderId="0" xfId="1" applyNumberFormat="1" applyFont="1" applyFill="1" applyAlignment="1">
      <alignment horizontal="center"/>
    </xf>
    <xf numFmtId="4" fontId="11" fillId="3" borderId="0" xfId="1" applyNumberFormat="1" applyFont="1" applyFill="1" applyAlignment="1">
      <alignment horizontal="center"/>
    </xf>
    <xf numFmtId="0" fontId="9" fillId="4" borderId="4" xfId="1" applyFont="1" applyFill="1" applyBorder="1"/>
    <xf numFmtId="0" fontId="8" fillId="4" borderId="0" xfId="1" applyFont="1" applyFill="1"/>
    <xf numFmtId="4" fontId="8" fillId="4" borderId="0" xfId="1" applyNumberFormat="1" applyFont="1" applyFill="1" applyAlignment="1">
      <alignment horizontal="left"/>
    </xf>
    <xf numFmtId="0" fontId="9" fillId="4" borderId="0" xfId="1" applyFont="1" applyFill="1"/>
    <xf numFmtId="4" fontId="8" fillId="4" borderId="0" xfId="1" applyNumberFormat="1" applyFont="1" applyFill="1"/>
    <xf numFmtId="4" fontId="9" fillId="4" borderId="0" xfId="1" applyNumberFormat="1" applyFont="1" applyFill="1"/>
    <xf numFmtId="4" fontId="12" fillId="4" borderId="0" xfId="1" applyNumberFormat="1" applyFont="1" applyFill="1"/>
    <xf numFmtId="0" fontId="10" fillId="2" borderId="4" xfId="1" applyFont="1" applyFill="1" applyBorder="1" applyAlignment="1">
      <alignment horizontal="center"/>
    </xf>
    <xf numFmtId="0" fontId="16" fillId="5" borderId="8" xfId="3" applyFont="1" applyFill="1" applyBorder="1" applyAlignment="1">
      <alignment horizontal="center"/>
    </xf>
    <xf numFmtId="0" fontId="17" fillId="5" borderId="9" xfId="3" applyFont="1" applyFill="1" applyBorder="1" applyAlignment="1">
      <alignment horizontal="center"/>
    </xf>
    <xf numFmtId="0" fontId="17" fillId="5" borderId="7" xfId="3" applyFont="1" applyFill="1" applyBorder="1" applyAlignment="1">
      <alignment horizontal="center"/>
    </xf>
    <xf numFmtId="0" fontId="17" fillId="5" borderId="8" xfId="3" applyFont="1" applyFill="1" applyBorder="1" applyAlignment="1">
      <alignment horizontal="center"/>
    </xf>
    <xf numFmtId="0" fontId="18" fillId="6" borderId="8" xfId="1" applyFont="1" applyFill="1" applyBorder="1" applyAlignment="1">
      <alignment horizontal="center" vertical="center"/>
    </xf>
    <xf numFmtId="0" fontId="19" fillId="6" borderId="10" xfId="1" applyFont="1" applyFill="1" applyBorder="1" applyAlignment="1">
      <alignment horizontal="center" vertical="center"/>
    </xf>
    <xf numFmtId="0" fontId="20" fillId="6" borderId="9" xfId="1" applyFont="1" applyFill="1" applyBorder="1" applyAlignment="1">
      <alignment horizontal="center" vertical="center" wrapText="1"/>
    </xf>
    <xf numFmtId="0" fontId="20" fillId="6" borderId="7" xfId="1" applyFont="1" applyFill="1" applyBorder="1" applyAlignment="1">
      <alignment horizontal="center" vertical="center" wrapText="1"/>
    </xf>
    <xf numFmtId="0" fontId="16" fillId="6" borderId="10" xfId="3" applyFont="1" applyFill="1" applyBorder="1" applyAlignment="1">
      <alignment horizontal="center" vertical="center" wrapText="1"/>
    </xf>
    <xf numFmtId="9" fontId="21" fillId="6" borderId="10" xfId="4" applyFont="1" applyFill="1" applyBorder="1" applyAlignment="1">
      <alignment horizontal="center" vertical="center"/>
    </xf>
    <xf numFmtId="0" fontId="16" fillId="6" borderId="10" xfId="3" applyFont="1" applyFill="1" applyBorder="1" applyAlignment="1">
      <alignment horizontal="center" vertical="center" textRotation="90"/>
    </xf>
    <xf numFmtId="0" fontId="19" fillId="6" borderId="11" xfId="1" applyFont="1" applyFill="1" applyBorder="1" applyAlignment="1">
      <alignment horizontal="center" vertical="center"/>
    </xf>
    <xf numFmtId="0" fontId="8" fillId="6" borderId="12" xfId="1" applyFont="1" applyFill="1" applyBorder="1" applyAlignment="1">
      <alignment horizontal="center" vertical="center" wrapText="1"/>
    </xf>
    <xf numFmtId="0" fontId="16" fillId="6" borderId="11" xfId="3" applyFont="1" applyFill="1" applyBorder="1" applyAlignment="1">
      <alignment horizontal="center" vertical="center" wrapText="1"/>
    </xf>
    <xf numFmtId="9" fontId="21" fillId="6" borderId="11" xfId="4" applyFont="1" applyFill="1" applyBorder="1" applyAlignment="1">
      <alignment horizontal="center" vertical="center"/>
    </xf>
    <xf numFmtId="0" fontId="2" fillId="0" borderId="0" xfId="1" applyAlignment="1">
      <alignment horizontal="center"/>
    </xf>
    <xf numFmtId="0" fontId="16" fillId="6" borderId="12" xfId="3" applyFont="1" applyFill="1" applyBorder="1" applyAlignment="1">
      <alignment horizontal="center" vertical="center" textRotation="90"/>
    </xf>
    <xf numFmtId="0" fontId="19" fillId="6" borderId="12" xfId="1" applyFont="1" applyFill="1" applyBorder="1" applyAlignment="1">
      <alignment horizontal="center" vertical="center"/>
    </xf>
    <xf numFmtId="0" fontId="8" fillId="6" borderId="8" xfId="1" applyFont="1" applyFill="1" applyBorder="1" applyAlignment="1">
      <alignment horizontal="center" vertical="center" wrapText="1"/>
    </xf>
    <xf numFmtId="0" fontId="16" fillId="6" borderId="12" xfId="3" applyFont="1" applyFill="1" applyBorder="1" applyAlignment="1">
      <alignment horizontal="center" vertical="center" wrapText="1"/>
    </xf>
    <xf numFmtId="9" fontId="21" fillId="6" borderId="12" xfId="4" applyFont="1" applyFill="1" applyBorder="1" applyAlignment="1">
      <alignment horizontal="center" vertical="center"/>
    </xf>
    <xf numFmtId="0" fontId="22" fillId="7" borderId="13" xfId="3" applyFont="1" applyFill="1" applyBorder="1" applyAlignment="1">
      <alignment vertical="top"/>
    </xf>
    <xf numFmtId="0" fontId="23" fillId="7" borderId="13" xfId="3" applyFont="1" applyFill="1" applyBorder="1" applyAlignment="1">
      <alignment horizontal="center" vertical="top"/>
    </xf>
    <xf numFmtId="0" fontId="23" fillId="7" borderId="13" xfId="3" applyFont="1" applyFill="1" applyBorder="1" applyAlignment="1">
      <alignment vertical="top"/>
    </xf>
    <xf numFmtId="164" fontId="23" fillId="7" borderId="13" xfId="2" applyNumberFormat="1" applyFont="1" applyFill="1" applyBorder="1" applyAlignment="1">
      <alignment vertical="top"/>
    </xf>
    <xf numFmtId="9" fontId="23" fillId="7" borderId="10" xfId="4" applyFont="1" applyFill="1" applyBorder="1" applyAlignment="1">
      <alignment vertical="top"/>
    </xf>
    <xf numFmtId="0" fontId="12" fillId="8" borderId="14" xfId="3" applyFont="1" applyFill="1" applyBorder="1" applyAlignment="1">
      <alignment vertical="top"/>
    </xf>
    <xf numFmtId="0" fontId="10" fillId="8" borderId="14" xfId="3" applyFont="1" applyFill="1" applyBorder="1" applyAlignment="1">
      <alignment horizontal="center" vertical="top"/>
    </xf>
    <xf numFmtId="0" fontId="10" fillId="8" borderId="14" xfId="3" applyFont="1" applyFill="1" applyBorder="1" applyAlignment="1">
      <alignment vertical="top"/>
    </xf>
    <xf numFmtId="164" fontId="10" fillId="8" borderId="14" xfId="2" applyNumberFormat="1" applyFont="1" applyFill="1" applyBorder="1" applyAlignment="1">
      <alignment vertical="top"/>
    </xf>
    <xf numFmtId="9" fontId="10" fillId="8" borderId="8" xfId="4" applyFont="1" applyFill="1" applyBorder="1" applyAlignment="1">
      <alignment vertical="top"/>
    </xf>
    <xf numFmtId="0" fontId="10" fillId="8" borderId="8" xfId="3" applyFont="1" applyFill="1" applyBorder="1" applyAlignment="1">
      <alignment vertical="top"/>
    </xf>
    <xf numFmtId="0" fontId="10" fillId="8" borderId="8" xfId="3" applyFont="1" applyFill="1" applyBorder="1" applyAlignment="1">
      <alignment horizontal="center" vertical="top"/>
    </xf>
    <xf numFmtId="164" fontId="10" fillId="8" borderId="8" xfId="2" applyNumberFormat="1" applyFont="1" applyFill="1" applyBorder="1" applyAlignment="1">
      <alignment vertical="top"/>
    </xf>
    <xf numFmtId="0" fontId="3" fillId="9" borderId="8" xfId="3" applyFont="1" applyFill="1" applyBorder="1" applyAlignment="1">
      <alignment vertical="top"/>
    </xf>
    <xf numFmtId="0" fontId="3" fillId="9" borderId="8" xfId="3" applyFont="1" applyFill="1" applyBorder="1" applyAlignment="1">
      <alignment horizontal="center" vertical="top"/>
    </xf>
    <xf numFmtId="164" fontId="3" fillId="9" borderId="8" xfId="2" applyNumberFormat="1" applyFont="1" applyFill="1" applyBorder="1" applyAlignment="1">
      <alignment vertical="top"/>
    </xf>
    <xf numFmtId="9" fontId="3" fillId="9" borderId="8" xfId="4" applyFont="1" applyFill="1" applyBorder="1" applyAlignment="1">
      <alignment vertical="top"/>
    </xf>
    <xf numFmtId="0" fontId="3" fillId="3" borderId="8" xfId="3" applyFont="1" applyFill="1" applyBorder="1" applyAlignment="1">
      <alignment vertical="top"/>
    </xf>
    <xf numFmtId="0" fontId="3" fillId="3" borderId="8" xfId="3" applyFont="1" applyFill="1" applyBorder="1" applyAlignment="1">
      <alignment horizontal="center" vertical="top"/>
    </xf>
    <xf numFmtId="0" fontId="3" fillId="3" borderId="8" xfId="3" quotePrefix="1" applyFont="1" applyFill="1" applyBorder="1" applyAlignment="1">
      <alignment horizontal="center" vertical="top"/>
    </xf>
    <xf numFmtId="164" fontId="3" fillId="3" borderId="8" xfId="2" applyNumberFormat="1" applyFont="1" applyFill="1" applyBorder="1" applyAlignment="1">
      <alignment vertical="top"/>
    </xf>
    <xf numFmtId="9" fontId="3" fillId="2" borderId="8" xfId="4" applyFont="1" applyFill="1" applyBorder="1" applyAlignment="1">
      <alignment vertical="top"/>
    </xf>
    <xf numFmtId="0" fontId="3" fillId="3" borderId="8" xfId="1" applyFont="1" applyFill="1" applyBorder="1" applyAlignment="1">
      <alignment vertical="top"/>
    </xf>
    <xf numFmtId="0" fontId="3" fillId="9" borderId="8" xfId="1" applyFont="1" applyFill="1" applyBorder="1" applyAlignment="1">
      <alignment vertical="top"/>
    </xf>
    <xf numFmtId="0" fontId="10" fillId="8" borderId="8" xfId="1" applyFont="1" applyFill="1" applyBorder="1" applyAlignment="1">
      <alignment vertical="top"/>
    </xf>
    <xf numFmtId="0" fontId="3" fillId="3" borderId="8" xfId="1" applyFont="1" applyFill="1" applyBorder="1" applyAlignment="1">
      <alignment vertical="top" wrapText="1"/>
    </xf>
    <xf numFmtId="0" fontId="10" fillId="8" borderId="8" xfId="3" applyFont="1" applyFill="1" applyBorder="1"/>
    <xf numFmtId="0" fontId="10" fillId="8" borderId="8" xfId="1" applyFont="1" applyFill="1" applyBorder="1"/>
    <xf numFmtId="0" fontId="3" fillId="9" borderId="8" xfId="3" applyFont="1" applyFill="1" applyBorder="1"/>
    <xf numFmtId="0" fontId="3" fillId="9" borderId="8" xfId="1" applyFont="1" applyFill="1" applyBorder="1"/>
    <xf numFmtId="0" fontId="3" fillId="3" borderId="8" xfId="3" applyFont="1" applyFill="1" applyBorder="1"/>
    <xf numFmtId="0" fontId="3" fillId="3" borderId="8" xfId="1" applyFont="1" applyFill="1" applyBorder="1"/>
    <xf numFmtId="0" fontId="10" fillId="8" borderId="8" xfId="3" applyFont="1" applyFill="1" applyBorder="1" applyAlignment="1">
      <alignment horizontal="center"/>
    </xf>
    <xf numFmtId="0" fontId="10" fillId="9" borderId="8" xfId="3" applyFont="1" applyFill="1" applyBorder="1" applyAlignment="1">
      <alignment horizontal="center" vertical="top"/>
    </xf>
    <xf numFmtId="0" fontId="3" fillId="8" borderId="8" xfId="3" applyFont="1" applyFill="1" applyBorder="1" applyAlignment="1">
      <alignment horizontal="center" vertical="top"/>
    </xf>
    <xf numFmtId="0" fontId="10" fillId="8" borderId="8" xfId="1" applyFont="1" applyFill="1" applyBorder="1" applyAlignment="1">
      <alignment wrapText="1"/>
    </xf>
    <xf numFmtId="0" fontId="3" fillId="3" borderId="8" xfId="1" applyFont="1" applyFill="1" applyBorder="1" applyAlignment="1">
      <alignment wrapText="1"/>
    </xf>
    <xf numFmtId="0" fontId="3" fillId="3" borderId="8" xfId="3" applyFont="1" applyFill="1" applyBorder="1" applyAlignment="1">
      <alignment vertical="top" wrapText="1"/>
    </xf>
    <xf numFmtId="0" fontId="3" fillId="9" borderId="8" xfId="3" applyFont="1" applyFill="1" applyBorder="1" applyAlignment="1">
      <alignment vertical="top" wrapText="1"/>
    </xf>
    <xf numFmtId="0" fontId="10" fillId="8" borderId="8" xfId="3" applyFont="1" applyFill="1" applyBorder="1" applyAlignment="1">
      <alignment vertical="top" wrapText="1"/>
    </xf>
    <xf numFmtId="0" fontId="3" fillId="3" borderId="8" xfId="3" applyFont="1" applyFill="1" applyBorder="1" applyAlignment="1">
      <alignment horizontal="justify" vertical="top" wrapText="1"/>
    </xf>
    <xf numFmtId="0" fontId="10" fillId="8" borderId="8" xfId="1" applyFont="1" applyFill="1" applyBorder="1" applyAlignment="1">
      <alignment vertical="top" wrapText="1"/>
    </xf>
    <xf numFmtId="0" fontId="3" fillId="9" borderId="8" xfId="1" applyFont="1" applyFill="1" applyBorder="1" applyAlignment="1">
      <alignment vertical="top" wrapText="1"/>
    </xf>
    <xf numFmtId="0" fontId="10" fillId="8" borderId="8" xfId="3" applyFont="1" applyFill="1" applyBorder="1" applyAlignment="1">
      <alignment horizontal="right" vertical="top"/>
    </xf>
    <xf numFmtId="0" fontId="10" fillId="8" borderId="8" xfId="3" applyFont="1" applyFill="1" applyBorder="1" applyAlignment="1">
      <alignment horizontal="left" vertical="top"/>
    </xf>
    <xf numFmtId="0" fontId="3" fillId="0" borderId="8" xfId="3" applyFont="1" applyBorder="1"/>
    <xf numFmtId="0" fontId="3" fillId="0" borderId="8" xfId="3" applyFont="1" applyBorder="1" applyAlignment="1">
      <alignment horizontal="center" vertical="top"/>
    </xf>
    <xf numFmtId="0" fontId="3" fillId="0" borderId="8" xfId="1" applyFont="1" applyBorder="1" applyAlignment="1">
      <alignment vertical="top" wrapText="1"/>
    </xf>
    <xf numFmtId="164" fontId="3" fillId="0" borderId="8" xfId="2" applyNumberFormat="1" applyFont="1" applyFill="1" applyBorder="1" applyAlignment="1">
      <alignment vertical="top"/>
    </xf>
    <xf numFmtId="0" fontId="24" fillId="0" borderId="0" xfId="1" applyFont="1"/>
    <xf numFmtId="9" fontId="24" fillId="0" borderId="0" xfId="1" applyNumberFormat="1" applyFont="1"/>
  </cellXfs>
  <cellStyles count="5">
    <cellStyle name="Millares 2 2" xfId="2"/>
    <cellStyle name="Normal" xfId="0" builtinId="0"/>
    <cellStyle name="Normal 2" xfId="1"/>
    <cellStyle name="Normal 2 2" xfId="3"/>
    <cellStyle name="Porcentaje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TRIZ%20ACTUALIZADA%20AGOSTO%202025%20actualizada%20Angeli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CION DE PAGOS EMITIDOS"/>
      <sheetName val="RELACION ORDENES DE COMPRAS"/>
      <sheetName val="CONS. FUENTES FINAN"/>
      <sheetName val="CUENTA T FONDO 100"/>
      <sheetName val="CUENTA T VS"/>
      <sheetName val="GASTOS X ATENCION"/>
      <sheetName val="PLANTILLA PRESUPUESTO"/>
      <sheetName val="TRANSFERENCIA CORRIENTE"/>
      <sheetName val="VS"/>
      <sheetName val="OBLIGACIONES PENDIENTES"/>
      <sheetName val="INGR SEGUN ORIGEN"/>
      <sheetName val="DEUDA"/>
      <sheetName val="INGRESOS POR A.R.S"/>
      <sheetName val="GLOSA"/>
      <sheetName val="conciliacion"/>
    </sheetNames>
    <sheetDataSet>
      <sheetData sheetId="0"/>
      <sheetData sheetId="1"/>
      <sheetData sheetId="2">
        <row r="212">
          <cell r="G212">
            <v>14321739.580000002</v>
          </cell>
          <cell r="H212">
            <v>2478357.52</v>
          </cell>
        </row>
        <row r="463">
          <cell r="G463">
            <v>0</v>
          </cell>
          <cell r="H463">
            <v>0</v>
          </cell>
        </row>
      </sheetData>
      <sheetData sheetId="3">
        <row r="461">
          <cell r="A461">
            <v>57719080.159999996</v>
          </cell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1112531.03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130000</v>
          </cell>
          <cell r="R461">
            <v>448744.8</v>
          </cell>
          <cell r="S461">
            <v>2702311.62</v>
          </cell>
          <cell r="T461">
            <v>0</v>
          </cell>
          <cell r="U461">
            <v>0</v>
          </cell>
          <cell r="V461">
            <v>0</v>
          </cell>
          <cell r="W461">
            <v>45000</v>
          </cell>
          <cell r="X461">
            <v>0</v>
          </cell>
          <cell r="Y461">
            <v>0</v>
          </cell>
          <cell r="Z461">
            <v>334200</v>
          </cell>
          <cell r="AA461">
            <v>0</v>
          </cell>
          <cell r="AB461">
            <v>286593.99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4171161.9400000004</v>
          </cell>
          <cell r="AL461">
            <v>4177046.06</v>
          </cell>
          <cell r="AM461">
            <v>704591.41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60535</v>
          </cell>
          <cell r="AW461">
            <v>0</v>
          </cell>
          <cell r="AX461">
            <v>0</v>
          </cell>
          <cell r="AY461">
            <v>88795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150000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0</v>
          </cell>
          <cell r="BY461">
            <v>0</v>
          </cell>
          <cell r="BZ461">
            <v>0</v>
          </cell>
          <cell r="CA461">
            <v>0</v>
          </cell>
          <cell r="CB461">
            <v>1829000</v>
          </cell>
          <cell r="CC461">
            <v>0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  <cell r="CL461">
            <v>1000002.8</v>
          </cell>
          <cell r="CM461">
            <v>0</v>
          </cell>
          <cell r="CN461">
            <v>0</v>
          </cell>
          <cell r="CO461">
            <v>0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  <cell r="CV461">
            <v>0</v>
          </cell>
          <cell r="CW461">
            <v>0</v>
          </cell>
          <cell r="CX461">
            <v>0</v>
          </cell>
          <cell r="CY461">
            <v>0</v>
          </cell>
          <cell r="CZ461">
            <v>0</v>
          </cell>
          <cell r="DA461">
            <v>0</v>
          </cell>
          <cell r="DB461">
            <v>0</v>
          </cell>
          <cell r="DC461">
            <v>0</v>
          </cell>
          <cell r="DD461">
            <v>0</v>
          </cell>
          <cell r="DE461">
            <v>0</v>
          </cell>
          <cell r="DF461">
            <v>0</v>
          </cell>
          <cell r="DG461">
            <v>0</v>
          </cell>
          <cell r="DH461">
            <v>0</v>
          </cell>
          <cell r="DI461">
            <v>0</v>
          </cell>
          <cell r="DJ461">
            <v>0</v>
          </cell>
          <cell r="DK461">
            <v>2077230.72</v>
          </cell>
          <cell r="DL461">
            <v>0</v>
          </cell>
          <cell r="DM461">
            <v>0</v>
          </cell>
          <cell r="DN461">
            <v>0</v>
          </cell>
          <cell r="DO461">
            <v>0</v>
          </cell>
          <cell r="DP461">
            <v>0</v>
          </cell>
          <cell r="DQ461">
            <v>0</v>
          </cell>
          <cell r="DR461">
            <v>0</v>
          </cell>
          <cell r="DS461">
            <v>53100</v>
          </cell>
          <cell r="DT461">
            <v>127440</v>
          </cell>
          <cell r="DU461">
            <v>10148</v>
          </cell>
          <cell r="DV461">
            <v>367469.7</v>
          </cell>
          <cell r="DW461">
            <v>535350</v>
          </cell>
          <cell r="DX461">
            <v>0</v>
          </cell>
          <cell r="DY461">
            <v>0</v>
          </cell>
          <cell r="DZ461">
            <v>0</v>
          </cell>
          <cell r="EA461">
            <v>2962573</v>
          </cell>
          <cell r="EB461">
            <v>0</v>
          </cell>
          <cell r="EC461">
            <v>0</v>
          </cell>
          <cell r="ED461">
            <v>0</v>
          </cell>
          <cell r="EE461">
            <v>0</v>
          </cell>
          <cell r="EF461">
            <v>14278</v>
          </cell>
          <cell r="EG461">
            <v>4035.6</v>
          </cell>
          <cell r="EH461">
            <v>0</v>
          </cell>
          <cell r="EI461">
            <v>0</v>
          </cell>
          <cell r="EJ461">
            <v>0</v>
          </cell>
          <cell r="EK461">
            <v>0</v>
          </cell>
          <cell r="EL461">
            <v>0</v>
          </cell>
          <cell r="EM461">
            <v>0</v>
          </cell>
          <cell r="EN461">
            <v>251015.5</v>
          </cell>
          <cell r="EO461">
            <v>0</v>
          </cell>
          <cell r="EP461">
            <v>2802.5</v>
          </cell>
          <cell r="EQ461">
            <v>0</v>
          </cell>
          <cell r="ER461">
            <v>32686</v>
          </cell>
          <cell r="ES461">
            <v>0</v>
          </cell>
          <cell r="ET461">
            <v>0</v>
          </cell>
          <cell r="EU461">
            <v>0</v>
          </cell>
          <cell r="EV461">
            <v>0</v>
          </cell>
          <cell r="EW461">
            <v>0</v>
          </cell>
          <cell r="EX461">
            <v>0</v>
          </cell>
          <cell r="EY461">
            <v>0</v>
          </cell>
          <cell r="EZ461">
            <v>0</v>
          </cell>
          <cell r="FA461">
            <v>0</v>
          </cell>
          <cell r="FB461">
            <v>0</v>
          </cell>
          <cell r="FC461">
            <v>0</v>
          </cell>
          <cell r="FD461">
            <v>0</v>
          </cell>
          <cell r="FE461">
            <v>0</v>
          </cell>
          <cell r="FF461">
            <v>0</v>
          </cell>
          <cell r="FG461">
            <v>0</v>
          </cell>
          <cell r="FH461">
            <v>0</v>
          </cell>
          <cell r="FI461">
            <v>0</v>
          </cell>
          <cell r="FJ461">
            <v>1643406.7000000002</v>
          </cell>
          <cell r="FK461">
            <v>0</v>
          </cell>
          <cell r="FL461">
            <v>0</v>
          </cell>
          <cell r="FM461">
            <v>155537.28</v>
          </cell>
          <cell r="FN461">
            <v>600000</v>
          </cell>
          <cell r="FO461">
            <v>0</v>
          </cell>
          <cell r="FP461">
            <v>0</v>
          </cell>
          <cell r="FQ461">
            <v>49986.22</v>
          </cell>
          <cell r="FR461">
            <v>0</v>
          </cell>
          <cell r="FS461">
            <v>670504.5</v>
          </cell>
          <cell r="FT461">
            <v>4188418.4600000004</v>
          </cell>
          <cell r="FU461">
            <v>0</v>
          </cell>
          <cell r="FV461">
            <v>325656.40000000002</v>
          </cell>
          <cell r="FW461">
            <v>175023.5</v>
          </cell>
          <cell r="FX461">
            <v>0</v>
          </cell>
          <cell r="FY461">
            <v>11357.5</v>
          </cell>
          <cell r="FZ461">
            <v>63720</v>
          </cell>
          <cell r="GA461">
            <v>0</v>
          </cell>
          <cell r="GB461">
            <v>0</v>
          </cell>
          <cell r="GC461">
            <v>0</v>
          </cell>
          <cell r="GD461">
            <v>0</v>
          </cell>
          <cell r="GE461">
            <v>0</v>
          </cell>
          <cell r="GF461">
            <v>0</v>
          </cell>
          <cell r="GG461">
            <v>0</v>
          </cell>
          <cell r="GH461">
            <v>937588.78</v>
          </cell>
          <cell r="GI461">
            <v>0</v>
          </cell>
          <cell r="GJ461">
            <v>1766474.16</v>
          </cell>
          <cell r="GK461">
            <v>0</v>
          </cell>
          <cell r="GL461">
            <v>0</v>
          </cell>
          <cell r="GM461">
            <v>0</v>
          </cell>
          <cell r="GN461">
            <v>0</v>
          </cell>
          <cell r="GO461">
            <v>0</v>
          </cell>
          <cell r="GP461">
            <v>0</v>
          </cell>
          <cell r="GQ461">
            <v>878388.16999999993</v>
          </cell>
          <cell r="GR461">
            <v>417012</v>
          </cell>
          <cell r="GS461">
            <v>0</v>
          </cell>
          <cell r="GT461">
            <v>0</v>
          </cell>
          <cell r="GU461">
            <v>0</v>
          </cell>
          <cell r="GV461">
            <v>0</v>
          </cell>
          <cell r="GW461">
            <v>0</v>
          </cell>
          <cell r="GX461">
            <v>0</v>
          </cell>
          <cell r="GY461">
            <v>0</v>
          </cell>
          <cell r="GZ461">
            <v>0</v>
          </cell>
          <cell r="HA461">
            <v>0</v>
          </cell>
          <cell r="HB461">
            <v>0</v>
          </cell>
          <cell r="HC461">
            <v>0</v>
          </cell>
          <cell r="HD461">
            <v>1013620</v>
          </cell>
          <cell r="HE461">
            <v>0</v>
          </cell>
          <cell r="HF461">
            <v>3351970</v>
          </cell>
          <cell r="HG461">
            <v>216185.44</v>
          </cell>
          <cell r="HH461">
            <v>2009540</v>
          </cell>
          <cell r="HI461">
            <v>0</v>
          </cell>
          <cell r="HJ461">
            <v>0</v>
          </cell>
          <cell r="HK461">
            <v>0</v>
          </cell>
          <cell r="HL461">
            <v>0</v>
          </cell>
          <cell r="HM461">
            <v>0</v>
          </cell>
          <cell r="HN461">
            <v>0</v>
          </cell>
          <cell r="HO461">
            <v>0</v>
          </cell>
          <cell r="HP461">
            <v>0</v>
          </cell>
          <cell r="HQ461">
            <v>0</v>
          </cell>
          <cell r="HR461">
            <v>0</v>
          </cell>
          <cell r="HS461">
            <v>0</v>
          </cell>
          <cell r="HT461">
            <v>0</v>
          </cell>
          <cell r="HU461">
            <v>0</v>
          </cell>
          <cell r="HV461">
            <v>0</v>
          </cell>
          <cell r="HW461">
            <v>0</v>
          </cell>
          <cell r="HX461">
            <v>0</v>
          </cell>
          <cell r="HY461">
            <v>0</v>
          </cell>
          <cell r="HZ461">
            <v>0</v>
          </cell>
          <cell r="IA461">
            <v>0</v>
          </cell>
          <cell r="IB461">
            <v>0</v>
          </cell>
          <cell r="IC461">
            <v>0</v>
          </cell>
          <cell r="ID461">
            <v>0</v>
          </cell>
          <cell r="IE461">
            <v>0</v>
          </cell>
          <cell r="IF461">
            <v>0</v>
          </cell>
          <cell r="IG461">
            <v>0</v>
          </cell>
          <cell r="IH461">
            <v>0</v>
          </cell>
          <cell r="II461">
            <v>0</v>
          </cell>
          <cell r="IJ461">
            <v>0</v>
          </cell>
          <cell r="IK461">
            <v>0</v>
          </cell>
          <cell r="IL461">
            <v>0</v>
          </cell>
          <cell r="IM461">
            <v>0</v>
          </cell>
          <cell r="IN461">
            <v>0</v>
          </cell>
          <cell r="IO461">
            <v>0</v>
          </cell>
          <cell r="IP461">
            <v>0</v>
          </cell>
          <cell r="IQ461">
            <v>0</v>
          </cell>
          <cell r="IR461">
            <v>0</v>
          </cell>
          <cell r="IS461">
            <v>0</v>
          </cell>
          <cell r="IT461">
            <v>0</v>
          </cell>
          <cell r="IU461">
            <v>0</v>
          </cell>
          <cell r="IV461">
            <v>0</v>
          </cell>
          <cell r="IW461">
            <v>0</v>
          </cell>
          <cell r="IX461">
            <v>0</v>
          </cell>
          <cell r="IY461">
            <v>0</v>
          </cell>
          <cell r="IZ461">
            <v>0</v>
          </cell>
          <cell r="JA461">
            <v>0</v>
          </cell>
          <cell r="JB461">
            <v>0</v>
          </cell>
          <cell r="JC461">
            <v>0</v>
          </cell>
          <cell r="JD461">
            <v>0</v>
          </cell>
          <cell r="JE461">
            <v>0</v>
          </cell>
          <cell r="JF461">
            <v>0</v>
          </cell>
          <cell r="JG461">
            <v>0</v>
          </cell>
          <cell r="JH461">
            <v>0</v>
          </cell>
        </row>
      </sheetData>
      <sheetData sheetId="4">
        <row r="225">
          <cell r="A225">
            <v>0</v>
          </cell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213611.83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720000</v>
          </cell>
          <cell r="AX225">
            <v>0</v>
          </cell>
          <cell r="AY225">
            <v>336559.6</v>
          </cell>
          <cell r="AZ225">
            <v>0</v>
          </cell>
          <cell r="BA225">
            <v>0</v>
          </cell>
          <cell r="BB225">
            <v>0</v>
          </cell>
          <cell r="BC225">
            <v>44000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628164.1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216800.19999999998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40000</v>
          </cell>
          <cell r="CD225">
            <v>0</v>
          </cell>
          <cell r="CE225">
            <v>30102.05</v>
          </cell>
          <cell r="CF225">
            <v>0</v>
          </cell>
          <cell r="CG225">
            <v>0</v>
          </cell>
          <cell r="CH225">
            <v>23010</v>
          </cell>
          <cell r="CI225">
            <v>0</v>
          </cell>
          <cell r="CJ225">
            <v>0</v>
          </cell>
          <cell r="CK225">
            <v>0</v>
          </cell>
          <cell r="CL225">
            <v>615762.96</v>
          </cell>
          <cell r="CM225">
            <v>0</v>
          </cell>
          <cell r="CN225">
            <v>0</v>
          </cell>
          <cell r="CO225">
            <v>0</v>
          </cell>
          <cell r="CP225">
            <v>13746.67</v>
          </cell>
          <cell r="CQ225">
            <v>195000</v>
          </cell>
          <cell r="CR225">
            <v>0</v>
          </cell>
          <cell r="CS225">
            <v>0</v>
          </cell>
          <cell r="CT225">
            <v>0</v>
          </cell>
          <cell r="CU225">
            <v>197673.60000000001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  <cell r="DD225">
            <v>0</v>
          </cell>
          <cell r="DE225">
            <v>108500</v>
          </cell>
          <cell r="DF225">
            <v>9912</v>
          </cell>
          <cell r="DG225">
            <v>0</v>
          </cell>
          <cell r="DH225">
            <v>0</v>
          </cell>
          <cell r="DI225">
            <v>0</v>
          </cell>
          <cell r="DJ225">
            <v>459680.8</v>
          </cell>
          <cell r="DK225">
            <v>166750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0</v>
          </cell>
          <cell r="DU225">
            <v>0</v>
          </cell>
          <cell r="DV225">
            <v>469640</v>
          </cell>
          <cell r="DW225">
            <v>220542</v>
          </cell>
          <cell r="DX225">
            <v>0</v>
          </cell>
          <cell r="DY225">
            <v>0</v>
          </cell>
          <cell r="DZ225">
            <v>0</v>
          </cell>
          <cell r="EA225">
            <v>269200</v>
          </cell>
          <cell r="EB225">
            <v>0</v>
          </cell>
          <cell r="EC225">
            <v>0</v>
          </cell>
          <cell r="ED225">
            <v>0</v>
          </cell>
          <cell r="EE225">
            <v>0</v>
          </cell>
          <cell r="EF225">
            <v>0</v>
          </cell>
          <cell r="EG225">
            <v>62924.77</v>
          </cell>
          <cell r="EH225">
            <v>0</v>
          </cell>
          <cell r="EI225">
            <v>0</v>
          </cell>
          <cell r="EJ225">
            <v>0</v>
          </cell>
          <cell r="EK225">
            <v>0</v>
          </cell>
          <cell r="EL225">
            <v>0</v>
          </cell>
          <cell r="EM225">
            <v>0</v>
          </cell>
          <cell r="EN225">
            <v>0</v>
          </cell>
          <cell r="EO225">
            <v>0</v>
          </cell>
          <cell r="EP225">
            <v>0</v>
          </cell>
          <cell r="EQ225">
            <v>0</v>
          </cell>
          <cell r="ER225">
            <v>187394.11</v>
          </cell>
          <cell r="ES225">
            <v>0</v>
          </cell>
          <cell r="ET225">
            <v>0</v>
          </cell>
          <cell r="EU225">
            <v>0</v>
          </cell>
          <cell r="EV225">
            <v>0</v>
          </cell>
          <cell r="EW225">
            <v>0</v>
          </cell>
          <cell r="EX225">
            <v>0</v>
          </cell>
          <cell r="EY225">
            <v>0</v>
          </cell>
          <cell r="EZ225">
            <v>0</v>
          </cell>
          <cell r="FA225">
            <v>172000</v>
          </cell>
          <cell r="FB225">
            <v>0</v>
          </cell>
          <cell r="FC225">
            <v>0</v>
          </cell>
          <cell r="FD225">
            <v>48020</v>
          </cell>
          <cell r="FE225">
            <v>0</v>
          </cell>
          <cell r="FF225">
            <v>0</v>
          </cell>
          <cell r="FG225">
            <v>0</v>
          </cell>
          <cell r="FH225">
            <v>0</v>
          </cell>
          <cell r="FI225">
            <v>0</v>
          </cell>
          <cell r="FJ225">
            <v>9600</v>
          </cell>
          <cell r="FK225">
            <v>0</v>
          </cell>
          <cell r="FL225">
            <v>0</v>
          </cell>
          <cell r="FM225">
            <v>0</v>
          </cell>
          <cell r="FN225">
            <v>21230.02</v>
          </cell>
          <cell r="FO225">
            <v>0</v>
          </cell>
          <cell r="FP225">
            <v>0</v>
          </cell>
          <cell r="FQ225">
            <v>238456.75999999998</v>
          </cell>
          <cell r="FR225">
            <v>0</v>
          </cell>
          <cell r="FS225">
            <v>0</v>
          </cell>
          <cell r="FT225">
            <v>438045</v>
          </cell>
          <cell r="FU225">
            <v>0</v>
          </cell>
          <cell r="FV225">
            <v>0</v>
          </cell>
          <cell r="FW225">
            <v>76228</v>
          </cell>
          <cell r="FX225">
            <v>0</v>
          </cell>
          <cell r="FY225">
            <v>0</v>
          </cell>
          <cell r="FZ225">
            <v>40800</v>
          </cell>
          <cell r="GA225">
            <v>57526.86</v>
          </cell>
          <cell r="GB225">
            <v>0</v>
          </cell>
          <cell r="GC225">
            <v>30000</v>
          </cell>
          <cell r="GD225">
            <v>3600</v>
          </cell>
          <cell r="GE225">
            <v>0</v>
          </cell>
          <cell r="GF225">
            <v>0</v>
          </cell>
          <cell r="GG225">
            <v>0</v>
          </cell>
          <cell r="GH225">
            <v>507584.75</v>
          </cell>
          <cell r="GI225">
            <v>0</v>
          </cell>
          <cell r="GJ225">
            <v>0</v>
          </cell>
          <cell r="GK225">
            <v>177047.2</v>
          </cell>
          <cell r="GL225">
            <v>0</v>
          </cell>
          <cell r="GM225">
            <v>0</v>
          </cell>
          <cell r="GN225">
            <v>0</v>
          </cell>
          <cell r="GO225">
            <v>0</v>
          </cell>
          <cell r="GP225">
            <v>0</v>
          </cell>
          <cell r="GQ225">
            <v>1230992.52</v>
          </cell>
          <cell r="GR225">
            <v>0</v>
          </cell>
          <cell r="GS225">
            <v>0</v>
          </cell>
          <cell r="GT225">
            <v>479451.94</v>
          </cell>
          <cell r="GU225">
            <v>0</v>
          </cell>
          <cell r="GV225">
            <v>0</v>
          </cell>
          <cell r="GX225">
            <v>0</v>
          </cell>
          <cell r="GY225">
            <v>0</v>
          </cell>
          <cell r="GZ225">
            <v>0</v>
          </cell>
          <cell r="HA225">
            <v>0</v>
          </cell>
          <cell r="HB225">
            <v>0</v>
          </cell>
          <cell r="HC225">
            <v>0</v>
          </cell>
          <cell r="HD225">
            <v>0</v>
          </cell>
          <cell r="HE225">
            <v>0</v>
          </cell>
          <cell r="HF225">
            <v>0</v>
          </cell>
          <cell r="HG225">
            <v>0</v>
          </cell>
          <cell r="HH225">
            <v>0</v>
          </cell>
          <cell r="HI225">
            <v>0</v>
          </cell>
          <cell r="HJ225">
            <v>0</v>
          </cell>
          <cell r="HK225">
            <v>0</v>
          </cell>
          <cell r="HL225">
            <v>0</v>
          </cell>
          <cell r="HM225">
            <v>0</v>
          </cell>
          <cell r="HN225">
            <v>0</v>
          </cell>
          <cell r="HO225">
            <v>0</v>
          </cell>
          <cell r="HP225">
            <v>0</v>
          </cell>
          <cell r="HQ225">
            <v>0</v>
          </cell>
          <cell r="HR225">
            <v>0</v>
          </cell>
          <cell r="HS225">
            <v>0</v>
          </cell>
          <cell r="HT225">
            <v>0</v>
          </cell>
          <cell r="HU225">
            <v>0</v>
          </cell>
          <cell r="HV225">
            <v>0</v>
          </cell>
          <cell r="HW225">
            <v>0</v>
          </cell>
          <cell r="HX225">
            <v>0</v>
          </cell>
          <cell r="HY225">
            <v>0</v>
          </cell>
          <cell r="HZ225">
            <v>0</v>
          </cell>
          <cell r="IA225">
            <v>0</v>
          </cell>
          <cell r="IB225">
            <v>0</v>
          </cell>
          <cell r="IC225">
            <v>0</v>
          </cell>
          <cell r="ID225">
            <v>0</v>
          </cell>
          <cell r="IE225">
            <v>0</v>
          </cell>
          <cell r="IF225">
            <v>0</v>
          </cell>
          <cell r="IG225">
            <v>0</v>
          </cell>
          <cell r="IH225">
            <v>0</v>
          </cell>
          <cell r="II225">
            <v>0</v>
          </cell>
          <cell r="IJ225">
            <v>0</v>
          </cell>
          <cell r="IK225">
            <v>0</v>
          </cell>
          <cell r="IL225">
            <v>0</v>
          </cell>
          <cell r="IM225">
            <v>0</v>
          </cell>
          <cell r="IN225">
            <v>0</v>
          </cell>
          <cell r="IO225">
            <v>0</v>
          </cell>
          <cell r="IP225">
            <v>0</v>
          </cell>
          <cell r="IQ225">
            <v>0</v>
          </cell>
          <cell r="IR225">
            <v>0</v>
          </cell>
          <cell r="IS225">
            <v>0</v>
          </cell>
          <cell r="IT225">
            <v>0</v>
          </cell>
          <cell r="IU225">
            <v>0</v>
          </cell>
          <cell r="IV225">
            <v>0</v>
          </cell>
          <cell r="IW225">
            <v>0</v>
          </cell>
          <cell r="IX225">
            <v>0</v>
          </cell>
          <cell r="IY225">
            <v>0</v>
          </cell>
          <cell r="IZ225">
            <v>0</v>
          </cell>
          <cell r="JA225">
            <v>0</v>
          </cell>
          <cell r="JB225">
            <v>0</v>
          </cell>
          <cell r="JC225">
            <v>0</v>
          </cell>
          <cell r="JD225">
            <v>0</v>
          </cell>
          <cell r="JE225">
            <v>0</v>
          </cell>
          <cell r="JF225">
            <v>0</v>
          </cell>
          <cell r="JG225">
            <v>0</v>
          </cell>
          <cell r="JH225">
            <v>0</v>
          </cell>
        </row>
      </sheetData>
      <sheetData sheetId="5"/>
      <sheetData sheetId="6"/>
      <sheetData sheetId="7"/>
      <sheetData sheetId="8"/>
      <sheetData sheetId="9"/>
      <sheetData sheetId="10">
        <row r="12">
          <cell r="E12">
            <v>100316795.08</v>
          </cell>
        </row>
        <row r="29">
          <cell r="E29">
            <v>6887322.669999999</v>
          </cell>
        </row>
        <row r="37">
          <cell r="E37">
            <v>590200</v>
          </cell>
        </row>
      </sheetData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1"/>
  <sheetViews>
    <sheetView tabSelected="1" view="pageBreakPreview" topLeftCell="A118" zoomScale="60" zoomScaleNormal="100" workbookViewId="0">
      <selection activeCell="F17" sqref="F17"/>
    </sheetView>
  </sheetViews>
  <sheetFormatPr baseColWidth="10" defaultColWidth="2.85546875" defaultRowHeight="12.75" x14ac:dyDescent="0.2"/>
  <cols>
    <col min="1" max="5" width="5.28515625" style="4" customWidth="1"/>
    <col min="6" max="6" width="62" style="4" customWidth="1"/>
    <col min="7" max="7" width="17.140625" style="4" customWidth="1"/>
    <col min="8" max="8" width="26.140625" style="4" customWidth="1"/>
    <col min="9" max="9" width="19.7109375" style="4" customWidth="1"/>
    <col min="10" max="10" width="24.42578125" style="4" customWidth="1"/>
    <col min="11" max="11" width="11.42578125" style="4" customWidth="1"/>
    <col min="12" max="12" width="14.5703125" style="4" bestFit="1" customWidth="1"/>
    <col min="13" max="13" width="15" style="4" bestFit="1" customWidth="1"/>
    <col min="14" max="15" width="14.5703125" style="4" bestFit="1" customWidth="1"/>
    <col min="16" max="252" width="11.42578125" style="4" customWidth="1"/>
    <col min="253" max="253" width="3.28515625" style="4" customWidth="1"/>
    <col min="254" max="254" width="4.140625" style="4" customWidth="1"/>
    <col min="255" max="16384" width="2.85546875" style="4"/>
  </cols>
  <sheetData>
    <row r="1" spans="1:14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spans="1:14" ht="23.25" x14ac:dyDescent="0.35">
      <c r="A2" s="5"/>
      <c r="B2" s="6"/>
      <c r="C2" s="6"/>
      <c r="D2" s="6"/>
      <c r="E2" s="6"/>
      <c r="F2" s="6"/>
      <c r="G2" s="6"/>
      <c r="H2" s="6"/>
      <c r="I2" s="6"/>
      <c r="J2" s="7"/>
    </row>
    <row r="3" spans="1:14" ht="26.25" x14ac:dyDescent="0.4">
      <c r="A3" s="8" t="s">
        <v>1</v>
      </c>
      <c r="B3" s="9"/>
      <c r="C3" s="9"/>
      <c r="D3" s="9"/>
      <c r="E3" s="9"/>
      <c r="F3" s="9"/>
      <c r="G3" s="9"/>
      <c r="H3" s="9"/>
      <c r="I3" s="9"/>
      <c r="J3" s="10"/>
    </row>
    <row r="4" spans="1:14" s="14" customFormat="1" ht="18.75" x14ac:dyDescent="0.3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3"/>
    </row>
    <row r="5" spans="1:14" ht="15" x14ac:dyDescent="0.25">
      <c r="A5" s="15" t="s">
        <v>3</v>
      </c>
      <c r="B5" s="16"/>
      <c r="C5" s="16"/>
      <c r="D5" s="16"/>
      <c r="E5" s="16"/>
      <c r="F5" s="16"/>
      <c r="G5" s="16"/>
      <c r="H5" s="16"/>
      <c r="I5" s="16"/>
      <c r="J5" s="17"/>
    </row>
    <row r="6" spans="1:14" ht="15.75" x14ac:dyDescent="0.25">
      <c r="A6" s="18" t="s">
        <v>4</v>
      </c>
      <c r="B6" s="19"/>
      <c r="C6" s="19"/>
      <c r="D6" s="19"/>
      <c r="E6" s="19"/>
      <c r="F6" s="19"/>
      <c r="G6" s="19"/>
      <c r="H6" s="19"/>
      <c r="I6" s="19"/>
      <c r="J6" s="20"/>
    </row>
    <row r="7" spans="1:14" ht="15.75" x14ac:dyDescent="0.25">
      <c r="A7" s="21" t="s">
        <v>5</v>
      </c>
      <c r="B7" s="22"/>
      <c r="C7" s="22"/>
      <c r="D7" s="22"/>
      <c r="E7" s="22"/>
      <c r="F7" s="22"/>
      <c r="G7" s="22"/>
      <c r="H7" s="22"/>
      <c r="I7" s="22"/>
      <c r="J7" s="23"/>
    </row>
    <row r="8" spans="1:14" ht="15.75" x14ac:dyDescent="0.25">
      <c r="A8" s="24"/>
      <c r="B8" s="25"/>
      <c r="C8" s="25" t="s">
        <v>6</v>
      </c>
      <c r="D8" s="25"/>
      <c r="E8" s="25"/>
      <c r="F8" s="25"/>
      <c r="G8" s="25"/>
      <c r="H8" s="25"/>
      <c r="I8" s="25"/>
      <c r="J8" s="26"/>
    </row>
    <row r="9" spans="1:14" ht="15.75" x14ac:dyDescent="0.25">
      <c r="A9" s="27"/>
      <c r="B9" s="28"/>
      <c r="C9" s="28"/>
      <c r="D9" s="28"/>
      <c r="E9" s="29" t="s">
        <v>7</v>
      </c>
      <c r="F9" s="30"/>
      <c r="G9" s="31"/>
      <c r="H9" s="31"/>
      <c r="I9" s="31"/>
      <c r="J9" s="32"/>
    </row>
    <row r="10" spans="1:14" ht="15.75" x14ac:dyDescent="0.25">
      <c r="A10" s="27"/>
      <c r="B10" s="28"/>
      <c r="C10" s="28"/>
      <c r="D10" s="28"/>
      <c r="E10" s="33" t="s">
        <v>8</v>
      </c>
      <c r="F10" s="30"/>
      <c r="G10" s="34"/>
      <c r="H10" s="35" t="s">
        <v>9</v>
      </c>
      <c r="I10" s="34"/>
      <c r="J10" s="32"/>
      <c r="L10" s="36" t="s">
        <v>10</v>
      </c>
    </row>
    <row r="11" spans="1:14" ht="15.75" x14ac:dyDescent="0.25">
      <c r="A11" s="27"/>
      <c r="B11" s="28"/>
      <c r="C11" s="28"/>
      <c r="D11" s="28"/>
      <c r="E11" s="33" t="s">
        <v>11</v>
      </c>
      <c r="F11" s="30"/>
      <c r="G11" s="34"/>
      <c r="H11" s="37"/>
      <c r="I11" s="38"/>
      <c r="J11" s="32"/>
    </row>
    <row r="12" spans="1:14" ht="15.75" x14ac:dyDescent="0.25">
      <c r="A12" s="27"/>
      <c r="B12" s="28"/>
      <c r="C12" s="28"/>
      <c r="D12" s="28"/>
      <c r="E12" s="33" t="s">
        <v>12</v>
      </c>
      <c r="F12" s="30"/>
      <c r="G12" s="39">
        <v>1771845.4899999984</v>
      </c>
      <c r="H12" s="40"/>
      <c r="I12" s="38"/>
      <c r="J12" s="32"/>
    </row>
    <row r="13" spans="1:14" ht="15.75" x14ac:dyDescent="0.25">
      <c r="A13" s="27"/>
      <c r="B13" s="28"/>
      <c r="C13" s="28"/>
      <c r="D13" s="28"/>
      <c r="E13" s="41" t="s">
        <v>13</v>
      </c>
      <c r="F13" s="30"/>
      <c r="G13" s="38"/>
      <c r="H13" s="38"/>
      <c r="I13" s="38"/>
      <c r="J13" s="32"/>
    </row>
    <row r="14" spans="1:14" ht="15.75" x14ac:dyDescent="0.25">
      <c r="A14" s="27"/>
      <c r="B14" s="28"/>
      <c r="C14" s="28"/>
      <c r="D14" s="28"/>
      <c r="E14" s="33" t="s">
        <v>8</v>
      </c>
      <c r="F14" s="30"/>
      <c r="G14" s="34"/>
      <c r="H14" s="35" t="s">
        <v>9</v>
      </c>
      <c r="I14" s="34">
        <f>+'[1]INGR SEGUN ORIGEN'!E37</f>
        <v>590200</v>
      </c>
      <c r="J14" s="32"/>
      <c r="L14" s="4" t="s">
        <v>14</v>
      </c>
      <c r="M14" s="4" t="s">
        <v>15</v>
      </c>
      <c r="N14" s="4" t="s">
        <v>16</v>
      </c>
    </row>
    <row r="15" spans="1:14" ht="15.75" x14ac:dyDescent="0.25">
      <c r="A15" s="27"/>
      <c r="B15" s="28"/>
      <c r="C15" s="28"/>
      <c r="D15" s="28"/>
      <c r="E15" s="33" t="s">
        <v>11</v>
      </c>
      <c r="F15" s="30"/>
      <c r="G15" s="39">
        <f>+'[1]INGR SEGUN ORIGEN'!E12</f>
        <v>100316795.08</v>
      </c>
      <c r="H15" s="40" t="s">
        <v>17</v>
      </c>
      <c r="I15" s="34"/>
      <c r="J15" s="32"/>
      <c r="L15" s="4">
        <v>2.1</v>
      </c>
      <c r="M15" s="42">
        <f>G26</f>
        <v>71831261.00999999</v>
      </c>
      <c r="N15" s="42">
        <f>H26</f>
        <v>0</v>
      </c>
    </row>
    <row r="16" spans="1:14" ht="15.75" x14ac:dyDescent="0.25">
      <c r="A16" s="27"/>
      <c r="B16" s="28"/>
      <c r="C16" s="28"/>
      <c r="D16" s="28"/>
      <c r="E16" s="33" t="s">
        <v>12</v>
      </c>
      <c r="F16" s="30"/>
      <c r="G16" s="39">
        <f>+'[1]INGR SEGUN ORIGEN'!E29</f>
        <v>6887322.669999999</v>
      </c>
      <c r="H16" s="40"/>
      <c r="I16" s="38"/>
      <c r="J16" s="32"/>
      <c r="L16" s="4">
        <v>2.2000000000000002</v>
      </c>
      <c r="M16" s="42">
        <f>G87</f>
        <v>3128332.8</v>
      </c>
      <c r="N16" s="42">
        <f>H87</f>
        <v>3852523.8099999996</v>
      </c>
    </row>
    <row r="17" spans="1:16" ht="15.75" x14ac:dyDescent="0.25">
      <c r="A17" s="27"/>
      <c r="B17" s="28"/>
      <c r="C17" s="28"/>
      <c r="D17" s="28"/>
      <c r="E17" s="33"/>
      <c r="F17" s="30"/>
      <c r="G17" s="43"/>
      <c r="H17" s="44" t="s">
        <v>18</v>
      </c>
      <c r="I17" s="34">
        <f>+G10+G11+G12+I10+G14+G15+G16+I14+I15</f>
        <v>109566163.23999999</v>
      </c>
      <c r="J17" s="32"/>
      <c r="L17" s="4">
        <v>2.2999999999999998</v>
      </c>
      <c r="M17" s="42">
        <f>'[1]CONS. FUENTES FINAN'!G212</f>
        <v>14321739.580000002</v>
      </c>
      <c r="N17" s="42">
        <f>'[1]CONS. FUENTES FINAN'!H212</f>
        <v>2478357.52</v>
      </c>
    </row>
    <row r="18" spans="1:16" ht="15.75" x14ac:dyDescent="0.25">
      <c r="A18" s="27"/>
      <c r="B18" s="28"/>
      <c r="C18" s="28"/>
      <c r="D18" s="28"/>
      <c r="E18" s="45"/>
      <c r="F18" s="46"/>
      <c r="G18" s="47"/>
      <c r="H18" s="47"/>
      <c r="I18" s="30"/>
      <c r="J18" s="32"/>
      <c r="L18" s="4">
        <v>2.4</v>
      </c>
      <c r="M18" s="42">
        <f>G330</f>
        <v>0</v>
      </c>
      <c r="N18" s="42">
        <f>H330</f>
        <v>33600</v>
      </c>
    </row>
    <row r="19" spans="1:16" ht="15.75" x14ac:dyDescent="0.25">
      <c r="A19" s="48"/>
      <c r="B19" s="49"/>
      <c r="C19" s="50"/>
      <c r="D19" s="49"/>
      <c r="E19" s="51"/>
      <c r="F19" s="52"/>
      <c r="G19" s="52"/>
      <c r="H19" s="52"/>
      <c r="I19" s="53"/>
      <c r="J19" s="54"/>
      <c r="L19" s="4">
        <v>2.6</v>
      </c>
      <c r="M19" s="42">
        <f>G336</f>
        <v>10590778.550000001</v>
      </c>
      <c r="N19" s="42">
        <f>H336</f>
        <v>2395076.41</v>
      </c>
    </row>
    <row r="20" spans="1:16" x14ac:dyDescent="0.2">
      <c r="A20" s="55"/>
      <c r="B20" s="30"/>
      <c r="C20" s="30"/>
      <c r="D20" s="30"/>
      <c r="E20" s="30"/>
      <c r="F20" s="30"/>
      <c r="G20" s="30"/>
      <c r="H20" s="30"/>
      <c r="I20" s="30"/>
      <c r="J20" s="32"/>
      <c r="L20" s="4">
        <v>2.7</v>
      </c>
      <c r="M20" s="42">
        <f>'[1]CONS. FUENTES FINAN'!G463</f>
        <v>0</v>
      </c>
      <c r="N20" s="42">
        <f>'[1]CONS. FUENTES FINAN'!H463</f>
        <v>0</v>
      </c>
    </row>
    <row r="21" spans="1:16" x14ac:dyDescent="0.2">
      <c r="A21" s="56">
        <v>1</v>
      </c>
      <c r="B21" s="56"/>
      <c r="C21" s="56"/>
      <c r="D21" s="56"/>
      <c r="E21" s="56"/>
      <c r="F21" s="56">
        <v>2</v>
      </c>
      <c r="G21" s="57">
        <v>3</v>
      </c>
      <c r="H21" s="58"/>
      <c r="I21" s="59">
        <v>4</v>
      </c>
      <c r="J21" s="59">
        <v>5</v>
      </c>
    </row>
    <row r="22" spans="1:16" ht="33.75" x14ac:dyDescent="0.2">
      <c r="A22" s="60" t="s">
        <v>19</v>
      </c>
      <c r="B22" s="60"/>
      <c r="C22" s="60"/>
      <c r="D22" s="60"/>
      <c r="E22" s="60"/>
      <c r="F22" s="61" t="s">
        <v>20</v>
      </c>
      <c r="G22" s="62" t="s">
        <v>21</v>
      </c>
      <c r="H22" s="63"/>
      <c r="I22" s="64" t="s">
        <v>22</v>
      </c>
      <c r="J22" s="65" t="s">
        <v>23</v>
      </c>
    </row>
    <row r="23" spans="1:16" ht="47.25" x14ac:dyDescent="0.2">
      <c r="A23" s="66" t="s">
        <v>24</v>
      </c>
      <c r="B23" s="66" t="s">
        <v>25</v>
      </c>
      <c r="C23" s="66" t="s">
        <v>26</v>
      </c>
      <c r="D23" s="66" t="s">
        <v>27</v>
      </c>
      <c r="E23" s="66" t="s">
        <v>28</v>
      </c>
      <c r="F23" s="67"/>
      <c r="G23" s="68" t="s">
        <v>29</v>
      </c>
      <c r="H23" s="68" t="s">
        <v>30</v>
      </c>
      <c r="I23" s="69"/>
      <c r="J23" s="70"/>
      <c r="L23" s="71"/>
      <c r="M23" s="71"/>
      <c r="N23" s="71"/>
      <c r="O23" s="71"/>
      <c r="P23" s="71"/>
    </row>
    <row r="24" spans="1:16" ht="15.75" x14ac:dyDescent="0.2">
      <c r="A24" s="72"/>
      <c r="B24" s="72"/>
      <c r="C24" s="72"/>
      <c r="D24" s="72"/>
      <c r="E24" s="72"/>
      <c r="F24" s="73"/>
      <c r="G24" s="74"/>
      <c r="H24" s="74"/>
      <c r="I24" s="75"/>
      <c r="J24" s="76"/>
      <c r="L24" s="71"/>
      <c r="M24" s="71"/>
      <c r="N24" s="71"/>
      <c r="O24" s="71"/>
      <c r="P24" s="71"/>
    </row>
    <row r="25" spans="1:16" ht="13.5" thickBot="1" x14ac:dyDescent="0.25">
      <c r="A25" s="77">
        <v>2</v>
      </c>
      <c r="B25" s="78"/>
      <c r="C25" s="78"/>
      <c r="D25" s="78"/>
      <c r="E25" s="78"/>
      <c r="F25" s="79" t="s">
        <v>31</v>
      </c>
      <c r="G25" s="80">
        <f>+G26+G87+G212+G330+G336+G463</f>
        <v>99872111.939999983</v>
      </c>
      <c r="H25" s="80">
        <f>+H26+H87+H212+H330+H336+H463</f>
        <v>8759557.7400000002</v>
      </c>
      <c r="I25" s="80">
        <f t="shared" ref="I25:I88" si="0">SUM(G25:H25)</f>
        <v>108631669.67999998</v>
      </c>
      <c r="J25" s="81">
        <f>+J26+J87+J212+J330+J336+J463</f>
        <v>1.0000000000000002</v>
      </c>
    </row>
    <row r="26" spans="1:16" ht="13.5" thickTop="1" x14ac:dyDescent="0.2">
      <c r="A26" s="82">
        <v>2</v>
      </c>
      <c r="B26" s="83">
        <v>1</v>
      </c>
      <c r="C26" s="83"/>
      <c r="D26" s="83"/>
      <c r="E26" s="83"/>
      <c r="F26" s="84" t="s">
        <v>32</v>
      </c>
      <c r="G26" s="85">
        <f>+G27+G51+G64+G71+G78</f>
        <v>71831261.00999999</v>
      </c>
      <c r="H26" s="85">
        <f>+H27+H51+H64+H71+H78</f>
        <v>0</v>
      </c>
      <c r="I26" s="85">
        <f t="shared" si="0"/>
        <v>71831261.00999999</v>
      </c>
      <c r="J26" s="86">
        <f>I26/$I$25</f>
        <v>0.66123683104195852</v>
      </c>
    </row>
    <row r="27" spans="1:16" x14ac:dyDescent="0.2">
      <c r="A27" s="87">
        <v>2</v>
      </c>
      <c r="B27" s="88">
        <v>1</v>
      </c>
      <c r="C27" s="88">
        <v>1</v>
      </c>
      <c r="D27" s="88"/>
      <c r="E27" s="88"/>
      <c r="F27" s="87" t="s">
        <v>33</v>
      </c>
      <c r="G27" s="89">
        <f>+G28+G35+G42+G44+G46</f>
        <v>59410355.989999995</v>
      </c>
      <c r="H27" s="89">
        <f>+H28+H35+H42+H44+H46</f>
        <v>0</v>
      </c>
      <c r="I27" s="89">
        <f t="shared" si="0"/>
        <v>59410355.989999995</v>
      </c>
      <c r="J27" s="86" t="e">
        <v>#DIV/0!</v>
      </c>
    </row>
    <row r="28" spans="1:16" x14ac:dyDescent="0.2">
      <c r="A28" s="90">
        <v>2</v>
      </c>
      <c r="B28" s="91">
        <v>1</v>
      </c>
      <c r="C28" s="91">
        <v>1</v>
      </c>
      <c r="D28" s="91">
        <v>1</v>
      </c>
      <c r="E28" s="91"/>
      <c r="F28" s="90" t="s">
        <v>34</v>
      </c>
      <c r="G28" s="92">
        <f>SUM(G29:G34)</f>
        <v>57719080.159999996</v>
      </c>
      <c r="H28" s="92">
        <f>SUM(H29:H34)</f>
        <v>0</v>
      </c>
      <c r="I28" s="92">
        <f t="shared" si="0"/>
        <v>57719080.159999996</v>
      </c>
      <c r="J28" s="93" t="e">
        <v>#DIV/0!</v>
      </c>
    </row>
    <row r="29" spans="1:16" x14ac:dyDescent="0.2">
      <c r="A29" s="94">
        <v>2</v>
      </c>
      <c r="B29" s="95">
        <v>1</v>
      </c>
      <c r="C29" s="95">
        <v>1</v>
      </c>
      <c r="D29" s="95">
        <v>1</v>
      </c>
      <c r="E29" s="96" t="s">
        <v>35</v>
      </c>
      <c r="F29" s="94" t="s">
        <v>36</v>
      </c>
      <c r="G29" s="97">
        <f>'[1]CUENTA T FONDO 100'!A461</f>
        <v>57719080.159999996</v>
      </c>
      <c r="H29" s="97">
        <f>'[1]CUENTA T VS'!A225</f>
        <v>0</v>
      </c>
      <c r="I29" s="97">
        <f t="shared" si="0"/>
        <v>57719080.159999996</v>
      </c>
      <c r="J29" s="98">
        <f t="shared" ref="J29:J34" si="1">I29/$I$25</f>
        <v>0.53132829800025227</v>
      </c>
    </row>
    <row r="30" spans="1:16" x14ac:dyDescent="0.2">
      <c r="A30" s="94">
        <v>2</v>
      </c>
      <c r="B30" s="95">
        <v>1</v>
      </c>
      <c r="C30" s="95">
        <v>1</v>
      </c>
      <c r="D30" s="95">
        <v>1</v>
      </c>
      <c r="E30" s="96" t="s">
        <v>37</v>
      </c>
      <c r="F30" s="99" t="s">
        <v>38</v>
      </c>
      <c r="G30" s="97">
        <f>'[1]CUENTA T FONDO 100'!B461</f>
        <v>0</v>
      </c>
      <c r="H30" s="97">
        <f>'[1]CUENTA T VS'!B225</f>
        <v>0</v>
      </c>
      <c r="I30" s="97">
        <f t="shared" si="0"/>
        <v>0</v>
      </c>
      <c r="J30" s="98">
        <f t="shared" si="1"/>
        <v>0</v>
      </c>
    </row>
    <row r="31" spans="1:16" x14ac:dyDescent="0.2">
      <c r="A31" s="94">
        <v>2</v>
      </c>
      <c r="B31" s="95">
        <v>1</v>
      </c>
      <c r="C31" s="95">
        <v>1</v>
      </c>
      <c r="D31" s="95">
        <v>1</v>
      </c>
      <c r="E31" s="96" t="s">
        <v>39</v>
      </c>
      <c r="F31" s="99" t="s">
        <v>40</v>
      </c>
      <c r="G31" s="97">
        <f>'[1]CUENTA T FONDO 100'!C461</f>
        <v>0</v>
      </c>
      <c r="H31" s="97">
        <f>'[1]CUENTA T VS'!C225</f>
        <v>0</v>
      </c>
      <c r="I31" s="97">
        <f t="shared" si="0"/>
        <v>0</v>
      </c>
      <c r="J31" s="98">
        <f t="shared" si="1"/>
        <v>0</v>
      </c>
    </row>
    <row r="32" spans="1:16" x14ac:dyDescent="0.2">
      <c r="A32" s="94">
        <v>2</v>
      </c>
      <c r="B32" s="95">
        <v>1</v>
      </c>
      <c r="C32" s="95">
        <v>1</v>
      </c>
      <c r="D32" s="95">
        <v>1</v>
      </c>
      <c r="E32" s="96" t="s">
        <v>41</v>
      </c>
      <c r="F32" s="99" t="s">
        <v>42</v>
      </c>
      <c r="G32" s="97">
        <f>'[1]CUENTA T FONDO 100'!D461</f>
        <v>0</v>
      </c>
      <c r="H32" s="97">
        <f>'[1]CUENTA T VS'!D225</f>
        <v>0</v>
      </c>
      <c r="I32" s="97">
        <f t="shared" si="0"/>
        <v>0</v>
      </c>
      <c r="J32" s="98">
        <f t="shared" si="1"/>
        <v>0</v>
      </c>
    </row>
    <row r="33" spans="1:10" x14ac:dyDescent="0.2">
      <c r="A33" s="94">
        <v>2</v>
      </c>
      <c r="B33" s="95">
        <v>1</v>
      </c>
      <c r="C33" s="95">
        <v>1</v>
      </c>
      <c r="D33" s="95">
        <v>1</v>
      </c>
      <c r="E33" s="96" t="s">
        <v>43</v>
      </c>
      <c r="F33" s="99" t="s">
        <v>44</v>
      </c>
      <c r="G33" s="97">
        <f>'[1]CUENTA T FONDO 100'!E461</f>
        <v>0</v>
      </c>
      <c r="H33" s="97">
        <f>'[1]CUENTA T VS'!E225</f>
        <v>0</v>
      </c>
      <c r="I33" s="97">
        <f t="shared" si="0"/>
        <v>0</v>
      </c>
      <c r="J33" s="98">
        <f t="shared" si="1"/>
        <v>0</v>
      </c>
    </row>
    <row r="34" spans="1:10" x14ac:dyDescent="0.2">
      <c r="A34" s="94">
        <v>2</v>
      </c>
      <c r="B34" s="95">
        <v>1</v>
      </c>
      <c r="C34" s="95">
        <v>1</v>
      </c>
      <c r="D34" s="95">
        <v>1</v>
      </c>
      <c r="E34" s="96" t="s">
        <v>45</v>
      </c>
      <c r="F34" s="99" t="s">
        <v>46</v>
      </c>
      <c r="G34" s="97">
        <f>'[1]CUENTA T FONDO 100'!F461</f>
        <v>0</v>
      </c>
      <c r="H34" s="97">
        <f>'[1]CUENTA T VS'!F225</f>
        <v>0</v>
      </c>
      <c r="I34" s="97">
        <f t="shared" si="0"/>
        <v>0</v>
      </c>
      <c r="J34" s="98">
        <f t="shared" si="1"/>
        <v>0</v>
      </c>
    </row>
    <row r="35" spans="1:10" x14ac:dyDescent="0.2">
      <c r="A35" s="90">
        <v>2</v>
      </c>
      <c r="B35" s="91">
        <v>1</v>
      </c>
      <c r="C35" s="91">
        <v>1</v>
      </c>
      <c r="D35" s="91">
        <v>2</v>
      </c>
      <c r="E35" s="91"/>
      <c r="F35" s="100" t="s">
        <v>47</v>
      </c>
      <c r="G35" s="92">
        <f>SUM(G36:G41)</f>
        <v>1112531.03</v>
      </c>
      <c r="H35" s="92">
        <f>SUM(H36:H41)</f>
        <v>0</v>
      </c>
      <c r="I35" s="92">
        <f t="shared" si="0"/>
        <v>1112531.03</v>
      </c>
      <c r="J35" s="93"/>
    </row>
    <row r="36" spans="1:10" x14ac:dyDescent="0.2">
      <c r="A36" s="94">
        <v>2</v>
      </c>
      <c r="B36" s="95">
        <v>1</v>
      </c>
      <c r="C36" s="95">
        <v>1</v>
      </c>
      <c r="D36" s="95">
        <v>2</v>
      </c>
      <c r="E36" s="96" t="s">
        <v>39</v>
      </c>
      <c r="F36" s="99" t="s">
        <v>48</v>
      </c>
      <c r="G36" s="97">
        <f>'[1]CUENTA T FONDO 100'!G461</f>
        <v>0</v>
      </c>
      <c r="H36" s="97">
        <f>'[1]CUENTA T VS'!G225</f>
        <v>0</v>
      </c>
      <c r="I36" s="97">
        <f t="shared" si="0"/>
        <v>0</v>
      </c>
      <c r="J36" s="98">
        <f t="shared" ref="J36:J41" si="2">I36/$I$25</f>
        <v>0</v>
      </c>
    </row>
    <row r="37" spans="1:10" x14ac:dyDescent="0.2">
      <c r="A37" s="94">
        <v>2</v>
      </c>
      <c r="B37" s="95">
        <v>1</v>
      </c>
      <c r="C37" s="95">
        <v>1</v>
      </c>
      <c r="D37" s="95">
        <v>2</v>
      </c>
      <c r="E37" s="96" t="s">
        <v>43</v>
      </c>
      <c r="F37" s="99" t="s">
        <v>49</v>
      </c>
      <c r="G37" s="97">
        <f>'[1]CUENTA T FONDO 100'!H461</f>
        <v>0</v>
      </c>
      <c r="H37" s="97">
        <f>'[1]CUENTA T VS'!H225</f>
        <v>0</v>
      </c>
      <c r="I37" s="97">
        <f t="shared" si="0"/>
        <v>0</v>
      </c>
      <c r="J37" s="98">
        <f t="shared" si="2"/>
        <v>0</v>
      </c>
    </row>
    <row r="38" spans="1:10" x14ac:dyDescent="0.2">
      <c r="A38" s="94">
        <v>2</v>
      </c>
      <c r="B38" s="95">
        <v>1</v>
      </c>
      <c r="C38" s="95">
        <v>1</v>
      </c>
      <c r="D38" s="95">
        <v>2</v>
      </c>
      <c r="E38" s="96" t="s">
        <v>45</v>
      </c>
      <c r="F38" s="99" t="s">
        <v>50</v>
      </c>
      <c r="G38" s="97">
        <f>'[1]CUENTA T FONDO 100'!I461</f>
        <v>0</v>
      </c>
      <c r="H38" s="97">
        <f>'[1]CUENTA T VS'!I225</f>
        <v>0</v>
      </c>
      <c r="I38" s="97">
        <f t="shared" si="0"/>
        <v>0</v>
      </c>
      <c r="J38" s="98">
        <f t="shared" si="2"/>
        <v>0</v>
      </c>
    </row>
    <row r="39" spans="1:10" x14ac:dyDescent="0.2">
      <c r="A39" s="94">
        <v>2</v>
      </c>
      <c r="B39" s="95">
        <v>1</v>
      </c>
      <c r="C39" s="95">
        <v>1</v>
      </c>
      <c r="D39" s="95">
        <v>2</v>
      </c>
      <c r="E39" s="96" t="s">
        <v>51</v>
      </c>
      <c r="F39" s="99" t="s">
        <v>52</v>
      </c>
      <c r="G39" s="97">
        <f>'[1]CUENTA T FONDO 100'!J461</f>
        <v>1112531.03</v>
      </c>
      <c r="H39" s="97">
        <f>'[1]CUENTA T VS'!J225</f>
        <v>0</v>
      </c>
      <c r="I39" s="97">
        <f t="shared" si="0"/>
        <v>1112531.03</v>
      </c>
      <c r="J39" s="98">
        <f t="shared" si="2"/>
        <v>1.0241313912206456E-2</v>
      </c>
    </row>
    <row r="40" spans="1:10" x14ac:dyDescent="0.2">
      <c r="A40" s="94">
        <v>2</v>
      </c>
      <c r="B40" s="95">
        <v>1</v>
      </c>
      <c r="C40" s="95">
        <v>1</v>
      </c>
      <c r="D40" s="95">
        <v>2</v>
      </c>
      <c r="E40" s="96" t="s">
        <v>53</v>
      </c>
      <c r="F40" s="99" t="s">
        <v>54</v>
      </c>
      <c r="G40" s="97">
        <f>'[1]CUENTA T FONDO 100'!K461</f>
        <v>0</v>
      </c>
      <c r="H40" s="97">
        <f>'[1]CUENTA T VS'!K225</f>
        <v>0</v>
      </c>
      <c r="I40" s="97">
        <f t="shared" si="0"/>
        <v>0</v>
      </c>
      <c r="J40" s="98">
        <f t="shared" si="2"/>
        <v>0</v>
      </c>
    </row>
    <row r="41" spans="1:10" x14ac:dyDescent="0.2">
      <c r="A41" s="94">
        <v>2</v>
      </c>
      <c r="B41" s="95">
        <v>1</v>
      </c>
      <c r="C41" s="95">
        <v>1</v>
      </c>
      <c r="D41" s="95">
        <v>2</v>
      </c>
      <c r="E41" s="96" t="s">
        <v>55</v>
      </c>
      <c r="F41" s="99" t="s">
        <v>56</v>
      </c>
      <c r="G41" s="97">
        <f>'[1]CUENTA T FONDO 100'!L461</f>
        <v>0</v>
      </c>
      <c r="H41" s="97">
        <f>'[1]CUENTA T VS'!L225</f>
        <v>0</v>
      </c>
      <c r="I41" s="97">
        <f t="shared" si="0"/>
        <v>0</v>
      </c>
      <c r="J41" s="98">
        <f t="shared" si="2"/>
        <v>0</v>
      </c>
    </row>
    <row r="42" spans="1:10" x14ac:dyDescent="0.2">
      <c r="A42" s="90">
        <v>2</v>
      </c>
      <c r="B42" s="91">
        <v>1</v>
      </c>
      <c r="C42" s="91">
        <v>1</v>
      </c>
      <c r="D42" s="91">
        <v>3</v>
      </c>
      <c r="E42" s="91"/>
      <c r="F42" s="100" t="s">
        <v>57</v>
      </c>
      <c r="G42" s="92">
        <f>SUM(G43)</f>
        <v>0</v>
      </c>
      <c r="H42" s="92">
        <f>SUM(H43)</f>
        <v>0</v>
      </c>
      <c r="I42" s="92">
        <f t="shared" si="0"/>
        <v>0</v>
      </c>
      <c r="J42" s="93"/>
    </row>
    <row r="43" spans="1:10" x14ac:dyDescent="0.2">
      <c r="A43" s="94">
        <v>2</v>
      </c>
      <c r="B43" s="95">
        <v>1</v>
      </c>
      <c r="C43" s="95">
        <v>1</v>
      </c>
      <c r="D43" s="95">
        <v>3</v>
      </c>
      <c r="E43" s="96" t="s">
        <v>35</v>
      </c>
      <c r="F43" s="99" t="s">
        <v>57</v>
      </c>
      <c r="G43" s="97">
        <f>'[1]CUENTA T FONDO 100'!M461</f>
        <v>0</v>
      </c>
      <c r="H43" s="97">
        <f>'[1]CUENTA T VS'!M225</f>
        <v>0</v>
      </c>
      <c r="I43" s="97">
        <f t="shared" si="0"/>
        <v>0</v>
      </c>
      <c r="J43" s="98">
        <f>I43/$I$25</f>
        <v>0</v>
      </c>
    </row>
    <row r="44" spans="1:10" x14ac:dyDescent="0.2">
      <c r="A44" s="90">
        <v>2</v>
      </c>
      <c r="B44" s="91">
        <v>1</v>
      </c>
      <c r="C44" s="91">
        <v>1</v>
      </c>
      <c r="D44" s="91">
        <v>4</v>
      </c>
      <c r="E44" s="91"/>
      <c r="F44" s="100" t="s">
        <v>58</v>
      </c>
      <c r="G44" s="92">
        <f>SUM(G45)</f>
        <v>0</v>
      </c>
      <c r="H44" s="92">
        <f>SUM(H45)</f>
        <v>0</v>
      </c>
      <c r="I44" s="92">
        <f t="shared" si="0"/>
        <v>0</v>
      </c>
      <c r="J44" s="93"/>
    </row>
    <row r="45" spans="1:10" x14ac:dyDescent="0.2">
      <c r="A45" s="94">
        <v>2</v>
      </c>
      <c r="B45" s="95">
        <v>1</v>
      </c>
      <c r="C45" s="95">
        <v>1</v>
      </c>
      <c r="D45" s="95">
        <v>4</v>
      </c>
      <c r="E45" s="96" t="s">
        <v>35</v>
      </c>
      <c r="F45" s="99" t="s">
        <v>58</v>
      </c>
      <c r="G45" s="97">
        <f>'[1]CUENTA T FONDO 100'!N461</f>
        <v>0</v>
      </c>
      <c r="H45" s="97">
        <f>'[1]CUENTA T VS'!N225</f>
        <v>0</v>
      </c>
      <c r="I45" s="97">
        <f t="shared" si="0"/>
        <v>0</v>
      </c>
      <c r="J45" s="98">
        <f>I45/$I$25</f>
        <v>0</v>
      </c>
    </row>
    <row r="46" spans="1:10" x14ac:dyDescent="0.2">
      <c r="A46" s="90">
        <v>2</v>
      </c>
      <c r="B46" s="91">
        <v>1</v>
      </c>
      <c r="C46" s="91">
        <v>1</v>
      </c>
      <c r="D46" s="91">
        <v>5</v>
      </c>
      <c r="E46" s="91"/>
      <c r="F46" s="100" t="s">
        <v>59</v>
      </c>
      <c r="G46" s="92">
        <f>SUM(G47:G50)</f>
        <v>578744.80000000005</v>
      </c>
      <c r="H46" s="92">
        <f>SUM(H47:H50)</f>
        <v>0</v>
      </c>
      <c r="I46" s="92">
        <f t="shared" si="0"/>
        <v>578744.80000000005</v>
      </c>
      <c r="J46" s="93"/>
    </row>
    <row r="47" spans="1:10" x14ac:dyDescent="0.2">
      <c r="A47" s="94">
        <v>2</v>
      </c>
      <c r="B47" s="95">
        <v>1</v>
      </c>
      <c r="C47" s="95">
        <v>1</v>
      </c>
      <c r="D47" s="95">
        <v>5</v>
      </c>
      <c r="E47" s="96" t="s">
        <v>35</v>
      </c>
      <c r="F47" s="99" t="s">
        <v>59</v>
      </c>
      <c r="G47" s="97">
        <f>'[1]CUENTA T FONDO 100'!O461</f>
        <v>0</v>
      </c>
      <c r="H47" s="97">
        <f>'[1]CUENTA T VS'!O225</f>
        <v>0</v>
      </c>
      <c r="I47" s="97">
        <f t="shared" si="0"/>
        <v>0</v>
      </c>
      <c r="J47" s="98">
        <f>I47/$I$25</f>
        <v>0</v>
      </c>
    </row>
    <row r="48" spans="1:10" x14ac:dyDescent="0.2">
      <c r="A48" s="94">
        <v>2</v>
      </c>
      <c r="B48" s="95">
        <v>1</v>
      </c>
      <c r="C48" s="95">
        <v>1</v>
      </c>
      <c r="D48" s="95">
        <v>5</v>
      </c>
      <c r="E48" s="96" t="s">
        <v>37</v>
      </c>
      <c r="F48" s="99" t="s">
        <v>60</v>
      </c>
      <c r="G48" s="97">
        <f>'[1]CUENTA T FONDO 100'!P461</f>
        <v>0</v>
      </c>
      <c r="H48" s="97">
        <f>'[1]CUENTA T VS'!P225</f>
        <v>0</v>
      </c>
      <c r="I48" s="97">
        <f t="shared" si="0"/>
        <v>0</v>
      </c>
      <c r="J48" s="98">
        <f>I48/$I$25</f>
        <v>0</v>
      </c>
    </row>
    <row r="49" spans="1:10" x14ac:dyDescent="0.2">
      <c r="A49" s="94">
        <v>2</v>
      </c>
      <c r="B49" s="95">
        <v>1</v>
      </c>
      <c r="C49" s="95">
        <v>1</v>
      </c>
      <c r="D49" s="95">
        <v>5</v>
      </c>
      <c r="E49" s="96" t="s">
        <v>39</v>
      </c>
      <c r="F49" s="99" t="s">
        <v>61</v>
      </c>
      <c r="G49" s="97">
        <f>'[1]CUENTA T FONDO 100'!Q461</f>
        <v>130000</v>
      </c>
      <c r="H49" s="97">
        <f>'[1]CUENTA T VS'!Q225</f>
        <v>0</v>
      </c>
      <c r="I49" s="97">
        <f t="shared" si="0"/>
        <v>130000</v>
      </c>
      <c r="J49" s="98">
        <f>I49/$I$25</f>
        <v>1.1967044268300895E-3</v>
      </c>
    </row>
    <row r="50" spans="1:10" x14ac:dyDescent="0.2">
      <c r="A50" s="94">
        <v>2</v>
      </c>
      <c r="B50" s="95">
        <v>1</v>
      </c>
      <c r="C50" s="95">
        <v>1</v>
      </c>
      <c r="D50" s="95">
        <v>5</v>
      </c>
      <c r="E50" s="96" t="s">
        <v>41</v>
      </c>
      <c r="F50" s="99" t="s">
        <v>62</v>
      </c>
      <c r="G50" s="97">
        <f>'[1]CUENTA T FONDO 100'!R461</f>
        <v>448744.8</v>
      </c>
      <c r="H50" s="97">
        <f>'[1]CUENTA T VS'!R225</f>
        <v>0</v>
      </c>
      <c r="I50" s="97">
        <f t="shared" si="0"/>
        <v>448744.8</v>
      </c>
      <c r="J50" s="98">
        <f>I50/$I$25</f>
        <v>4.1308837590537167E-3</v>
      </c>
    </row>
    <row r="51" spans="1:10" x14ac:dyDescent="0.2">
      <c r="A51" s="87">
        <v>2</v>
      </c>
      <c r="B51" s="88">
        <v>1</v>
      </c>
      <c r="C51" s="88">
        <v>2</v>
      </c>
      <c r="D51" s="88"/>
      <c r="E51" s="88"/>
      <c r="F51" s="101" t="s">
        <v>63</v>
      </c>
      <c r="G51" s="89">
        <f>+G52+G54</f>
        <v>3368105.6100000003</v>
      </c>
      <c r="H51" s="89">
        <f>+H52+H54</f>
        <v>0</v>
      </c>
      <c r="I51" s="89">
        <f t="shared" si="0"/>
        <v>3368105.6100000003</v>
      </c>
      <c r="J51" s="86"/>
    </row>
    <row r="52" spans="1:10" x14ac:dyDescent="0.2">
      <c r="A52" s="90">
        <v>2</v>
      </c>
      <c r="B52" s="91">
        <v>1</v>
      </c>
      <c r="C52" s="91">
        <v>2</v>
      </c>
      <c r="D52" s="91">
        <v>1</v>
      </c>
      <c r="E52" s="91"/>
      <c r="F52" s="100" t="s">
        <v>64</v>
      </c>
      <c r="G52" s="92">
        <f>SUM(G53)</f>
        <v>2702311.62</v>
      </c>
      <c r="H52" s="92">
        <f>SUM(H53)</f>
        <v>0</v>
      </c>
      <c r="I52" s="92">
        <f t="shared" si="0"/>
        <v>2702311.62</v>
      </c>
      <c r="J52" s="93"/>
    </row>
    <row r="53" spans="1:10" x14ac:dyDescent="0.2">
      <c r="A53" s="94">
        <v>2</v>
      </c>
      <c r="B53" s="95">
        <v>1</v>
      </c>
      <c r="C53" s="95">
        <v>2</v>
      </c>
      <c r="D53" s="95">
        <v>1</v>
      </c>
      <c r="E53" s="96" t="s">
        <v>35</v>
      </c>
      <c r="F53" s="99" t="s">
        <v>64</v>
      </c>
      <c r="G53" s="97">
        <f>'[1]CUENTA T FONDO 100'!S461</f>
        <v>2702311.62</v>
      </c>
      <c r="H53" s="97">
        <f>'[1]CUENTA T VS'!S225</f>
        <v>0</v>
      </c>
      <c r="I53" s="97">
        <f t="shared" si="0"/>
        <v>2702311.62</v>
      </c>
      <c r="J53" s="98">
        <f>I53/$I$25</f>
        <v>2.4875909833295316E-2</v>
      </c>
    </row>
    <row r="54" spans="1:10" x14ac:dyDescent="0.2">
      <c r="A54" s="90">
        <v>2</v>
      </c>
      <c r="B54" s="91">
        <v>1</v>
      </c>
      <c r="C54" s="91">
        <v>2</v>
      </c>
      <c r="D54" s="91">
        <v>2</v>
      </c>
      <c r="E54" s="91"/>
      <c r="F54" s="100" t="s">
        <v>65</v>
      </c>
      <c r="G54" s="92">
        <f>SUM(G55:G63)</f>
        <v>665793.99</v>
      </c>
      <c r="H54" s="92">
        <f>SUM(H55:H63)</f>
        <v>0</v>
      </c>
      <c r="I54" s="92">
        <f t="shared" si="0"/>
        <v>665793.99</v>
      </c>
      <c r="J54" s="93"/>
    </row>
    <row r="55" spans="1:10" x14ac:dyDescent="0.2">
      <c r="A55" s="94">
        <v>2</v>
      </c>
      <c r="B55" s="95">
        <v>1</v>
      </c>
      <c r="C55" s="95">
        <v>2</v>
      </c>
      <c r="D55" s="95">
        <v>2</v>
      </c>
      <c r="E55" s="96" t="s">
        <v>35</v>
      </c>
      <c r="F55" s="99" t="s">
        <v>66</v>
      </c>
      <c r="G55" s="97">
        <f>'[1]CUENTA T FONDO 100'!T461</f>
        <v>0</v>
      </c>
      <c r="H55" s="97">
        <f>'[1]CUENTA T VS'!T225</f>
        <v>0</v>
      </c>
      <c r="I55" s="97">
        <f t="shared" si="0"/>
        <v>0</v>
      </c>
      <c r="J55" s="98">
        <f t="shared" ref="J55:J63" si="3">I55/$I$25</f>
        <v>0</v>
      </c>
    </row>
    <row r="56" spans="1:10" x14ac:dyDescent="0.2">
      <c r="A56" s="94">
        <v>2</v>
      </c>
      <c r="B56" s="95">
        <v>1</v>
      </c>
      <c r="C56" s="95">
        <v>2</v>
      </c>
      <c r="D56" s="95">
        <v>2</v>
      </c>
      <c r="E56" s="96" t="s">
        <v>39</v>
      </c>
      <c r="F56" s="102" t="s">
        <v>67</v>
      </c>
      <c r="G56" s="97">
        <f>'[1]CUENTA T FONDO 100'!U461</f>
        <v>0</v>
      </c>
      <c r="H56" s="97">
        <f>'[1]CUENTA T VS'!U225</f>
        <v>0</v>
      </c>
      <c r="I56" s="97">
        <f t="shared" si="0"/>
        <v>0</v>
      </c>
      <c r="J56" s="98">
        <f t="shared" si="3"/>
        <v>0</v>
      </c>
    </row>
    <row r="57" spans="1:10" x14ac:dyDescent="0.2">
      <c r="A57" s="94">
        <v>2</v>
      </c>
      <c r="B57" s="95">
        <v>1</v>
      </c>
      <c r="C57" s="95">
        <v>2</v>
      </c>
      <c r="D57" s="95">
        <v>2</v>
      </c>
      <c r="E57" s="96" t="s">
        <v>41</v>
      </c>
      <c r="F57" s="99" t="s">
        <v>68</v>
      </c>
      <c r="G57" s="97">
        <f>'[1]CUENTA T FONDO 100'!V461</f>
        <v>0</v>
      </c>
      <c r="H57" s="97">
        <f>'[1]CUENTA T VS'!V225</f>
        <v>0</v>
      </c>
      <c r="I57" s="97">
        <f t="shared" si="0"/>
        <v>0</v>
      </c>
      <c r="J57" s="98">
        <f t="shared" si="3"/>
        <v>0</v>
      </c>
    </row>
    <row r="58" spans="1:10" x14ac:dyDescent="0.2">
      <c r="A58" s="94">
        <v>2</v>
      </c>
      <c r="B58" s="95">
        <v>1</v>
      </c>
      <c r="C58" s="95">
        <v>2</v>
      </c>
      <c r="D58" s="95">
        <v>2</v>
      </c>
      <c r="E58" s="96" t="s">
        <v>43</v>
      </c>
      <c r="F58" s="99" t="s">
        <v>69</v>
      </c>
      <c r="G58" s="97">
        <f>'[1]CUENTA T FONDO 100'!W461</f>
        <v>45000</v>
      </c>
      <c r="H58" s="97">
        <f>'[1]CUENTA T VS'!W225</f>
        <v>0</v>
      </c>
      <c r="I58" s="97">
        <f t="shared" si="0"/>
        <v>45000</v>
      </c>
      <c r="J58" s="98">
        <f t="shared" si="3"/>
        <v>4.1424384005656951E-4</v>
      </c>
    </row>
    <row r="59" spans="1:10" x14ac:dyDescent="0.2">
      <c r="A59" s="94">
        <v>2</v>
      </c>
      <c r="B59" s="95">
        <v>1</v>
      </c>
      <c r="C59" s="95">
        <v>2</v>
      </c>
      <c r="D59" s="95">
        <v>2</v>
      </c>
      <c r="E59" s="96" t="s">
        <v>45</v>
      </c>
      <c r="F59" s="99" t="s">
        <v>70</v>
      </c>
      <c r="G59" s="97">
        <f>'[1]CUENTA T FONDO 100'!X461</f>
        <v>0</v>
      </c>
      <c r="H59" s="97">
        <f>'[1]CUENTA T VS'!X225</f>
        <v>0</v>
      </c>
      <c r="I59" s="97">
        <f t="shared" si="0"/>
        <v>0</v>
      </c>
      <c r="J59" s="98">
        <f t="shared" si="3"/>
        <v>0</v>
      </c>
    </row>
    <row r="60" spans="1:10" x14ac:dyDescent="0.2">
      <c r="A60" s="94">
        <v>2</v>
      </c>
      <c r="B60" s="95">
        <v>1</v>
      </c>
      <c r="C60" s="95">
        <v>2</v>
      </c>
      <c r="D60" s="95">
        <v>2</v>
      </c>
      <c r="E60" s="96" t="s">
        <v>71</v>
      </c>
      <c r="F60" s="99" t="s">
        <v>72</v>
      </c>
      <c r="G60" s="97">
        <f>'[1]CUENTA T FONDO 100'!Y461</f>
        <v>0</v>
      </c>
      <c r="H60" s="97">
        <f>'[1]CUENTA T VS'!Y225</f>
        <v>0</v>
      </c>
      <c r="I60" s="97">
        <f t="shared" si="0"/>
        <v>0</v>
      </c>
      <c r="J60" s="98">
        <f t="shared" si="3"/>
        <v>0</v>
      </c>
    </row>
    <row r="61" spans="1:10" x14ac:dyDescent="0.2">
      <c r="A61" s="94">
        <v>2</v>
      </c>
      <c r="B61" s="95">
        <v>1</v>
      </c>
      <c r="C61" s="95">
        <v>2</v>
      </c>
      <c r="D61" s="95">
        <v>2</v>
      </c>
      <c r="E61" s="96" t="s">
        <v>51</v>
      </c>
      <c r="F61" s="99" t="s">
        <v>73</v>
      </c>
      <c r="G61" s="97">
        <f>'[1]CUENTA T FONDO 100'!Z461</f>
        <v>334200</v>
      </c>
      <c r="H61" s="97">
        <f>'[1]CUENTA T VS'!Z225</f>
        <v>0</v>
      </c>
      <c r="I61" s="97">
        <f t="shared" si="0"/>
        <v>334200</v>
      </c>
      <c r="J61" s="98">
        <f t="shared" si="3"/>
        <v>3.076450918820123E-3</v>
      </c>
    </row>
    <row r="62" spans="1:10" x14ac:dyDescent="0.2">
      <c r="A62" s="94">
        <v>2</v>
      </c>
      <c r="B62" s="95">
        <v>1</v>
      </c>
      <c r="C62" s="95">
        <v>2</v>
      </c>
      <c r="D62" s="95">
        <v>2</v>
      </c>
      <c r="E62" s="96" t="s">
        <v>53</v>
      </c>
      <c r="F62" s="99" t="s">
        <v>74</v>
      </c>
      <c r="G62" s="97">
        <f>'[1]CUENTA T FONDO 100'!AA461</f>
        <v>0</v>
      </c>
      <c r="H62" s="97">
        <f>'[1]CUENTA T VS'!AA225</f>
        <v>0</v>
      </c>
      <c r="I62" s="97">
        <f t="shared" si="0"/>
        <v>0</v>
      </c>
      <c r="J62" s="98">
        <f t="shared" si="3"/>
        <v>0</v>
      </c>
    </row>
    <row r="63" spans="1:10" x14ac:dyDescent="0.2">
      <c r="A63" s="94">
        <v>2</v>
      </c>
      <c r="B63" s="95">
        <v>1</v>
      </c>
      <c r="C63" s="95">
        <v>2</v>
      </c>
      <c r="D63" s="95">
        <v>2</v>
      </c>
      <c r="E63" s="95">
        <v>10</v>
      </c>
      <c r="F63" s="102" t="s">
        <v>75</v>
      </c>
      <c r="G63" s="97">
        <f>'[1]CUENTA T FONDO 100'!AB461</f>
        <v>286593.99</v>
      </c>
      <c r="H63" s="97">
        <f>'[1]CUENTA T VS'!AB225</f>
        <v>0</v>
      </c>
      <c r="I63" s="97">
        <f t="shared" si="0"/>
        <v>286593.99</v>
      </c>
      <c r="J63" s="98">
        <f t="shared" si="3"/>
        <v>2.638217665660757E-3</v>
      </c>
    </row>
    <row r="64" spans="1:10" x14ac:dyDescent="0.2">
      <c r="A64" s="103">
        <v>2</v>
      </c>
      <c r="B64" s="88">
        <v>1</v>
      </c>
      <c r="C64" s="88">
        <v>3</v>
      </c>
      <c r="D64" s="88"/>
      <c r="E64" s="88"/>
      <c r="F64" s="104" t="s">
        <v>76</v>
      </c>
      <c r="G64" s="89">
        <f>+G65+G68</f>
        <v>0</v>
      </c>
      <c r="H64" s="89">
        <f>+H65+H68</f>
        <v>0</v>
      </c>
      <c r="I64" s="89">
        <f t="shared" si="0"/>
        <v>0</v>
      </c>
      <c r="J64" s="86"/>
    </row>
    <row r="65" spans="1:10" x14ac:dyDescent="0.2">
      <c r="A65" s="105">
        <v>2</v>
      </c>
      <c r="B65" s="91">
        <v>1</v>
      </c>
      <c r="C65" s="91">
        <v>3</v>
      </c>
      <c r="D65" s="91">
        <v>1</v>
      </c>
      <c r="E65" s="91"/>
      <c r="F65" s="106" t="s">
        <v>77</v>
      </c>
      <c r="G65" s="92">
        <f>SUM(G66:G67)</f>
        <v>0</v>
      </c>
      <c r="H65" s="92">
        <f>SUM(H66:H67)</f>
        <v>0</v>
      </c>
      <c r="I65" s="92">
        <f t="shared" si="0"/>
        <v>0</v>
      </c>
      <c r="J65" s="93"/>
    </row>
    <row r="66" spans="1:10" x14ac:dyDescent="0.2">
      <c r="A66" s="107">
        <v>2</v>
      </c>
      <c r="B66" s="95">
        <v>1</v>
      </c>
      <c r="C66" s="95">
        <v>3</v>
      </c>
      <c r="D66" s="95">
        <v>1</v>
      </c>
      <c r="E66" s="96" t="s">
        <v>35</v>
      </c>
      <c r="F66" s="108" t="s">
        <v>78</v>
      </c>
      <c r="G66" s="97">
        <f>'[1]CUENTA T FONDO 100'!AC461</f>
        <v>0</v>
      </c>
      <c r="H66" s="97">
        <f>'[1]CUENTA T VS'!AC225</f>
        <v>0</v>
      </c>
      <c r="I66" s="97">
        <f t="shared" si="0"/>
        <v>0</v>
      </c>
      <c r="J66" s="98">
        <f>I66/$I$25</f>
        <v>0</v>
      </c>
    </row>
    <row r="67" spans="1:10" x14ac:dyDescent="0.2">
      <c r="A67" s="107">
        <v>2</v>
      </c>
      <c r="B67" s="95">
        <v>1</v>
      </c>
      <c r="C67" s="95">
        <v>3</v>
      </c>
      <c r="D67" s="95">
        <v>1</v>
      </c>
      <c r="E67" s="96" t="s">
        <v>37</v>
      </c>
      <c r="F67" s="108" t="s">
        <v>79</v>
      </c>
      <c r="G67" s="97">
        <f>'[1]CUENTA T FONDO 100'!AD461</f>
        <v>0</v>
      </c>
      <c r="H67" s="97">
        <f>'[1]CUENTA T VS'!AD225</f>
        <v>0</v>
      </c>
      <c r="I67" s="97">
        <f t="shared" si="0"/>
        <v>0</v>
      </c>
      <c r="J67" s="98">
        <f>I67/$I$25</f>
        <v>0</v>
      </c>
    </row>
    <row r="68" spans="1:10" x14ac:dyDescent="0.2">
      <c r="A68" s="105">
        <v>2</v>
      </c>
      <c r="B68" s="91">
        <v>1</v>
      </c>
      <c r="C68" s="91">
        <v>3</v>
      </c>
      <c r="D68" s="91">
        <v>2</v>
      </c>
      <c r="E68" s="91"/>
      <c r="F68" s="106" t="s">
        <v>80</v>
      </c>
      <c r="G68" s="92">
        <f>SUM(G69:G70)</f>
        <v>0</v>
      </c>
      <c r="H68" s="92">
        <f>SUM(H69:H70)</f>
        <v>0</v>
      </c>
      <c r="I68" s="92">
        <f t="shared" si="0"/>
        <v>0</v>
      </c>
      <c r="J68" s="93"/>
    </row>
    <row r="69" spans="1:10" x14ac:dyDescent="0.2">
      <c r="A69" s="107">
        <v>2</v>
      </c>
      <c r="B69" s="95">
        <v>1</v>
      </c>
      <c r="C69" s="95">
        <v>3</v>
      </c>
      <c r="D69" s="95">
        <v>2</v>
      </c>
      <c r="E69" s="96" t="s">
        <v>35</v>
      </c>
      <c r="F69" s="108" t="s">
        <v>81</v>
      </c>
      <c r="G69" s="97">
        <f>'[1]CUENTA T FONDO 100'!AE461</f>
        <v>0</v>
      </c>
      <c r="H69" s="97">
        <f>'[1]CUENTA T VS'!AE225</f>
        <v>0</v>
      </c>
      <c r="I69" s="97">
        <f t="shared" si="0"/>
        <v>0</v>
      </c>
      <c r="J69" s="98">
        <f>I69/$I$25</f>
        <v>0</v>
      </c>
    </row>
    <row r="70" spans="1:10" x14ac:dyDescent="0.2">
      <c r="A70" s="107">
        <v>2</v>
      </c>
      <c r="B70" s="95">
        <v>1</v>
      </c>
      <c r="C70" s="95">
        <v>3</v>
      </c>
      <c r="D70" s="95">
        <v>2</v>
      </c>
      <c r="E70" s="96" t="s">
        <v>37</v>
      </c>
      <c r="F70" s="108" t="s">
        <v>82</v>
      </c>
      <c r="G70" s="97">
        <f>'[1]CUENTA T FONDO 100'!AF461</f>
        <v>0</v>
      </c>
      <c r="H70" s="97">
        <f>'[1]CUENTA T VS'!AF225</f>
        <v>0</v>
      </c>
      <c r="I70" s="97">
        <f t="shared" si="0"/>
        <v>0</v>
      </c>
      <c r="J70" s="98">
        <f>I70/$I$25</f>
        <v>0</v>
      </c>
    </row>
    <row r="71" spans="1:10" x14ac:dyDescent="0.2">
      <c r="A71" s="103">
        <v>2</v>
      </c>
      <c r="B71" s="88">
        <v>1</v>
      </c>
      <c r="C71" s="88">
        <v>4</v>
      </c>
      <c r="D71" s="88"/>
      <c r="E71" s="88"/>
      <c r="F71" s="104" t="s">
        <v>83</v>
      </c>
      <c r="G71" s="89">
        <f>+G72+G74</f>
        <v>0</v>
      </c>
      <c r="H71" s="89">
        <f>+H72+H74</f>
        <v>0</v>
      </c>
      <c r="I71" s="89">
        <f t="shared" si="0"/>
        <v>0</v>
      </c>
      <c r="J71" s="86"/>
    </row>
    <row r="72" spans="1:10" x14ac:dyDescent="0.2">
      <c r="A72" s="90">
        <v>2</v>
      </c>
      <c r="B72" s="91">
        <v>1</v>
      </c>
      <c r="C72" s="91">
        <v>4</v>
      </c>
      <c r="D72" s="91">
        <v>1</v>
      </c>
      <c r="E72" s="91"/>
      <c r="F72" s="100" t="s">
        <v>84</v>
      </c>
      <c r="G72" s="92">
        <f>SUM(G73)</f>
        <v>0</v>
      </c>
      <c r="H72" s="92">
        <f>SUM(H73)</f>
        <v>0</v>
      </c>
      <c r="I72" s="92">
        <f t="shared" si="0"/>
        <v>0</v>
      </c>
      <c r="J72" s="93"/>
    </row>
    <row r="73" spans="1:10" x14ac:dyDescent="0.2">
      <c r="A73" s="94">
        <v>2</v>
      </c>
      <c r="B73" s="95">
        <v>1</v>
      </c>
      <c r="C73" s="95">
        <v>4</v>
      </c>
      <c r="D73" s="95">
        <v>1</v>
      </c>
      <c r="E73" s="96" t="s">
        <v>35</v>
      </c>
      <c r="F73" s="99" t="s">
        <v>84</v>
      </c>
      <c r="G73" s="97">
        <f>'[1]CUENTA T FONDO 100'!AG461</f>
        <v>0</v>
      </c>
      <c r="H73" s="97">
        <f>'[1]CUENTA T VS'!AG225</f>
        <v>0</v>
      </c>
      <c r="I73" s="97">
        <f t="shared" si="0"/>
        <v>0</v>
      </c>
      <c r="J73" s="98">
        <f>I73/$I$25</f>
        <v>0</v>
      </c>
    </row>
    <row r="74" spans="1:10" x14ac:dyDescent="0.2">
      <c r="A74" s="90">
        <v>2</v>
      </c>
      <c r="B74" s="91">
        <v>1</v>
      </c>
      <c r="C74" s="91">
        <v>4</v>
      </c>
      <c r="D74" s="91">
        <v>2</v>
      </c>
      <c r="E74" s="91"/>
      <c r="F74" s="100" t="s">
        <v>85</v>
      </c>
      <c r="G74" s="92">
        <f>SUM(G75:G77)</f>
        <v>0</v>
      </c>
      <c r="H74" s="92">
        <f>SUM(H75:H77)</f>
        <v>0</v>
      </c>
      <c r="I74" s="92">
        <f t="shared" si="0"/>
        <v>0</v>
      </c>
      <c r="J74" s="93"/>
    </row>
    <row r="75" spans="1:10" x14ac:dyDescent="0.2">
      <c r="A75" s="94">
        <v>2</v>
      </c>
      <c r="B75" s="95">
        <v>1</v>
      </c>
      <c r="C75" s="95">
        <v>4</v>
      </c>
      <c r="D75" s="95">
        <v>2</v>
      </c>
      <c r="E75" s="96" t="s">
        <v>35</v>
      </c>
      <c r="F75" s="99" t="s">
        <v>86</v>
      </c>
      <c r="G75" s="97">
        <f>'[1]CUENTA T FONDO 100'!AH461</f>
        <v>0</v>
      </c>
      <c r="H75" s="97">
        <f>'[1]CUENTA T VS'!AH225</f>
        <v>0</v>
      </c>
      <c r="I75" s="97">
        <f t="shared" si="0"/>
        <v>0</v>
      </c>
      <c r="J75" s="98">
        <f>I75/$I$25</f>
        <v>0</v>
      </c>
    </row>
    <row r="76" spans="1:10" x14ac:dyDescent="0.2">
      <c r="A76" s="94">
        <v>2</v>
      </c>
      <c r="B76" s="95">
        <v>1</v>
      </c>
      <c r="C76" s="95">
        <v>4</v>
      </c>
      <c r="D76" s="95">
        <v>2</v>
      </c>
      <c r="E76" s="96" t="s">
        <v>37</v>
      </c>
      <c r="F76" s="99" t="s">
        <v>87</v>
      </c>
      <c r="G76" s="97">
        <f>'[1]CUENTA T FONDO 100'!AI461</f>
        <v>0</v>
      </c>
      <c r="H76" s="97">
        <f>'[1]CUENTA T VS'!AI225</f>
        <v>0</v>
      </c>
      <c r="I76" s="97">
        <f t="shared" si="0"/>
        <v>0</v>
      </c>
      <c r="J76" s="98">
        <f>I76/$I$25</f>
        <v>0</v>
      </c>
    </row>
    <row r="77" spans="1:10" x14ac:dyDescent="0.2">
      <c r="A77" s="94">
        <v>2</v>
      </c>
      <c r="B77" s="95">
        <v>1</v>
      </c>
      <c r="C77" s="95">
        <v>4</v>
      </c>
      <c r="D77" s="95">
        <v>2</v>
      </c>
      <c r="E77" s="96" t="s">
        <v>39</v>
      </c>
      <c r="F77" s="99" t="s">
        <v>88</v>
      </c>
      <c r="G77" s="97">
        <f>'[1]CUENTA T FONDO 100'!AJ461</f>
        <v>0</v>
      </c>
      <c r="H77" s="97">
        <f>'[1]CUENTA T VS'!AJ225</f>
        <v>0</v>
      </c>
      <c r="I77" s="97">
        <f t="shared" si="0"/>
        <v>0</v>
      </c>
      <c r="J77" s="98">
        <f>I77/$I$25</f>
        <v>0</v>
      </c>
    </row>
    <row r="78" spans="1:10" x14ac:dyDescent="0.2">
      <c r="A78" s="103">
        <v>2</v>
      </c>
      <c r="B78" s="88">
        <v>1</v>
      </c>
      <c r="C78" s="88">
        <v>5</v>
      </c>
      <c r="D78" s="88"/>
      <c r="E78" s="88"/>
      <c r="F78" s="104" t="s">
        <v>89</v>
      </c>
      <c r="G78" s="89">
        <f>+G79+G81+G83+G85</f>
        <v>9052799.4100000001</v>
      </c>
      <c r="H78" s="89">
        <f>+H79+H81+H83+H85</f>
        <v>0</v>
      </c>
      <c r="I78" s="89">
        <f t="shared" si="0"/>
        <v>9052799.4100000001</v>
      </c>
      <c r="J78" s="86"/>
    </row>
    <row r="79" spans="1:10" x14ac:dyDescent="0.2">
      <c r="A79" s="90">
        <v>2</v>
      </c>
      <c r="B79" s="91">
        <v>1</v>
      </c>
      <c r="C79" s="91">
        <v>5</v>
      </c>
      <c r="D79" s="91">
        <v>1</v>
      </c>
      <c r="E79" s="91"/>
      <c r="F79" s="100" t="s">
        <v>90</v>
      </c>
      <c r="G79" s="92">
        <f>SUM(G80)</f>
        <v>4171161.9400000004</v>
      </c>
      <c r="H79" s="92">
        <f>SUM(H80)</f>
        <v>0</v>
      </c>
      <c r="I79" s="92">
        <f t="shared" si="0"/>
        <v>4171161.9400000004</v>
      </c>
      <c r="J79" s="93"/>
    </row>
    <row r="80" spans="1:10" x14ac:dyDescent="0.2">
      <c r="A80" s="94">
        <v>2</v>
      </c>
      <c r="B80" s="95">
        <v>1</v>
      </c>
      <c r="C80" s="95">
        <v>5</v>
      </c>
      <c r="D80" s="95">
        <v>1</v>
      </c>
      <c r="E80" s="96" t="s">
        <v>35</v>
      </c>
      <c r="F80" s="99" t="s">
        <v>90</v>
      </c>
      <c r="G80" s="97">
        <f>'[1]CUENTA T FONDO 100'!AK461</f>
        <v>4171161.9400000004</v>
      </c>
      <c r="H80" s="97">
        <f>'[1]CUENTA T VS'!AK225</f>
        <v>0</v>
      </c>
      <c r="I80" s="97">
        <f t="shared" si="0"/>
        <v>4171161.9400000004</v>
      </c>
      <c r="J80" s="98">
        <f>I80/$I$25</f>
        <v>3.8397291989409117E-2</v>
      </c>
    </row>
    <row r="81" spans="1:10" x14ac:dyDescent="0.2">
      <c r="A81" s="90">
        <v>2</v>
      </c>
      <c r="B81" s="91">
        <v>1</v>
      </c>
      <c r="C81" s="91">
        <v>5</v>
      </c>
      <c r="D81" s="91">
        <v>2</v>
      </c>
      <c r="E81" s="91"/>
      <c r="F81" s="100" t="s">
        <v>91</v>
      </c>
      <c r="G81" s="92">
        <f>SUM(G82)</f>
        <v>4177046.06</v>
      </c>
      <c r="H81" s="92">
        <f>SUM(H82)</f>
        <v>0</v>
      </c>
      <c r="I81" s="92">
        <f t="shared" si="0"/>
        <v>4177046.06</v>
      </c>
      <c r="J81" s="93"/>
    </row>
    <row r="82" spans="1:10" x14ac:dyDescent="0.2">
      <c r="A82" s="94">
        <v>2</v>
      </c>
      <c r="B82" s="95">
        <v>1</v>
      </c>
      <c r="C82" s="95">
        <v>5</v>
      </c>
      <c r="D82" s="95">
        <v>2</v>
      </c>
      <c r="E82" s="96" t="s">
        <v>35</v>
      </c>
      <c r="F82" s="99" t="s">
        <v>91</v>
      </c>
      <c r="G82" s="97">
        <f>'[1]CUENTA T FONDO 100'!AL461</f>
        <v>4177046.06</v>
      </c>
      <c r="H82" s="97">
        <f>'[1]CUENTA T VS'!AL225</f>
        <v>0</v>
      </c>
      <c r="I82" s="97">
        <f t="shared" si="0"/>
        <v>4177046.06</v>
      </c>
      <c r="J82" s="98">
        <f>I82/$I$25</f>
        <v>3.8451457777501419E-2</v>
      </c>
    </row>
    <row r="83" spans="1:10" x14ac:dyDescent="0.2">
      <c r="A83" s="90">
        <v>2</v>
      </c>
      <c r="B83" s="91">
        <v>1</v>
      </c>
      <c r="C83" s="91">
        <v>5</v>
      </c>
      <c r="D83" s="91">
        <v>3</v>
      </c>
      <c r="E83" s="91"/>
      <c r="F83" s="100" t="s">
        <v>92</v>
      </c>
      <c r="G83" s="92">
        <f>SUM(G84)</f>
        <v>704591.41</v>
      </c>
      <c r="H83" s="92">
        <f>SUM(H84)</f>
        <v>0</v>
      </c>
      <c r="I83" s="92">
        <f t="shared" si="0"/>
        <v>704591.41</v>
      </c>
      <c r="J83" s="93"/>
    </row>
    <row r="84" spans="1:10" x14ac:dyDescent="0.2">
      <c r="A84" s="94">
        <v>2</v>
      </c>
      <c r="B84" s="95">
        <v>1</v>
      </c>
      <c r="C84" s="95">
        <v>5</v>
      </c>
      <c r="D84" s="95">
        <v>3</v>
      </c>
      <c r="E84" s="96" t="s">
        <v>35</v>
      </c>
      <c r="F84" s="99" t="s">
        <v>92</v>
      </c>
      <c r="G84" s="97">
        <f>'[1]CUENTA T FONDO 100'!AM461</f>
        <v>704591.41</v>
      </c>
      <c r="H84" s="97">
        <f>'[1]CUENTA T VS'!AM225</f>
        <v>0</v>
      </c>
      <c r="I84" s="97">
        <f t="shared" si="0"/>
        <v>704591.41</v>
      </c>
      <c r="J84" s="98">
        <f>I84/$I$25</f>
        <v>6.486058918872729E-3</v>
      </c>
    </row>
    <row r="85" spans="1:10" x14ac:dyDescent="0.2">
      <c r="A85" s="90">
        <v>2</v>
      </c>
      <c r="B85" s="91">
        <v>1</v>
      </c>
      <c r="C85" s="91">
        <v>5</v>
      </c>
      <c r="D85" s="91">
        <v>4</v>
      </c>
      <c r="E85" s="91"/>
      <c r="F85" s="100" t="s">
        <v>93</v>
      </c>
      <c r="G85" s="92">
        <f>SUM(G86)</f>
        <v>0</v>
      </c>
      <c r="H85" s="92">
        <f>SUM(H86)</f>
        <v>0</v>
      </c>
      <c r="I85" s="92">
        <f t="shared" si="0"/>
        <v>0</v>
      </c>
      <c r="J85" s="93"/>
    </row>
    <row r="86" spans="1:10" x14ac:dyDescent="0.2">
      <c r="A86" s="94">
        <v>2</v>
      </c>
      <c r="B86" s="95">
        <v>1</v>
      </c>
      <c r="C86" s="95">
        <v>5</v>
      </c>
      <c r="D86" s="95">
        <v>4</v>
      </c>
      <c r="E86" s="96" t="s">
        <v>35</v>
      </c>
      <c r="F86" s="99" t="s">
        <v>93</v>
      </c>
      <c r="G86" s="97">
        <f>'[1]CUENTA T FONDO 100'!AN461</f>
        <v>0</v>
      </c>
      <c r="H86" s="97">
        <f>'[1]CUENTA T VS'!AN225</f>
        <v>0</v>
      </c>
      <c r="I86" s="97">
        <f t="shared" si="0"/>
        <v>0</v>
      </c>
      <c r="J86" s="98">
        <f>I86/$I$25</f>
        <v>0</v>
      </c>
    </row>
    <row r="87" spans="1:10" x14ac:dyDescent="0.2">
      <c r="A87" s="103">
        <v>2</v>
      </c>
      <c r="B87" s="109">
        <v>2</v>
      </c>
      <c r="C87" s="88"/>
      <c r="D87" s="88"/>
      <c r="E87" s="88"/>
      <c r="F87" s="104" t="s">
        <v>94</v>
      </c>
      <c r="G87" s="89">
        <f>G88+G106+G111+G116+G125+G148+G157+G179+G208</f>
        <v>3128332.8</v>
      </c>
      <c r="H87" s="89">
        <f>H88+H106+H111+H116+H125+H148+H157+H179+H208</f>
        <v>3852523.8099999996</v>
      </c>
      <c r="I87" s="89">
        <f t="shared" si="0"/>
        <v>6980856.6099999994</v>
      </c>
      <c r="J87" s="86">
        <f>I87/$I$25</f>
        <v>6.4261707755793013E-2</v>
      </c>
    </row>
    <row r="88" spans="1:10" x14ac:dyDescent="0.2">
      <c r="A88" s="103">
        <v>2</v>
      </c>
      <c r="B88" s="88">
        <v>2</v>
      </c>
      <c r="C88" s="88">
        <v>1</v>
      </c>
      <c r="D88" s="88"/>
      <c r="E88" s="88"/>
      <c r="F88" s="104" t="s">
        <v>95</v>
      </c>
      <c r="G88" s="89">
        <f>+G89+G91+G93+G95+G97+G99+G102+G104</f>
        <v>60535</v>
      </c>
      <c r="H88" s="89">
        <f>+H89+H91+H93+H95+H97+H99+H102+H104</f>
        <v>933611.83</v>
      </c>
      <c r="I88" s="89">
        <f t="shared" si="0"/>
        <v>994146.83</v>
      </c>
      <c r="J88" s="86"/>
    </row>
    <row r="89" spans="1:10" x14ac:dyDescent="0.2">
      <c r="A89" s="105">
        <v>2</v>
      </c>
      <c r="B89" s="91">
        <v>2</v>
      </c>
      <c r="C89" s="91">
        <v>1</v>
      </c>
      <c r="D89" s="91">
        <v>1</v>
      </c>
      <c r="E89" s="91"/>
      <c r="F89" s="106" t="s">
        <v>96</v>
      </c>
      <c r="G89" s="92">
        <f>SUM(G90)</f>
        <v>0</v>
      </c>
      <c r="H89" s="92">
        <f>SUM(H90)</f>
        <v>0</v>
      </c>
      <c r="I89" s="92">
        <f t="shared" ref="I89:I152" si="4">SUM(G89:H89)</f>
        <v>0</v>
      </c>
      <c r="J89" s="93"/>
    </row>
    <row r="90" spans="1:10" x14ac:dyDescent="0.2">
      <c r="A90" s="107">
        <v>2</v>
      </c>
      <c r="B90" s="95">
        <v>2</v>
      </c>
      <c r="C90" s="95">
        <v>1</v>
      </c>
      <c r="D90" s="95">
        <v>1</v>
      </c>
      <c r="E90" s="96" t="s">
        <v>35</v>
      </c>
      <c r="F90" s="108" t="s">
        <v>96</v>
      </c>
      <c r="G90" s="97">
        <f>'[1]CUENTA T FONDO 100'!AO461</f>
        <v>0</v>
      </c>
      <c r="H90" s="97">
        <f>'[1]CUENTA T VS'!AO225</f>
        <v>0</v>
      </c>
      <c r="I90" s="97">
        <f t="shared" si="4"/>
        <v>0</v>
      </c>
      <c r="J90" s="98">
        <f>I90/$I$25</f>
        <v>0</v>
      </c>
    </row>
    <row r="91" spans="1:10" x14ac:dyDescent="0.2">
      <c r="A91" s="105">
        <v>2</v>
      </c>
      <c r="B91" s="91">
        <v>2</v>
      </c>
      <c r="C91" s="91">
        <v>1</v>
      </c>
      <c r="D91" s="91">
        <v>2</v>
      </c>
      <c r="E91" s="91"/>
      <c r="F91" s="106" t="s">
        <v>97</v>
      </c>
      <c r="G91" s="92">
        <f>SUM(G92)</f>
        <v>0</v>
      </c>
      <c r="H91" s="92">
        <f>SUM(H92)</f>
        <v>0</v>
      </c>
      <c r="I91" s="92">
        <f t="shared" si="4"/>
        <v>0</v>
      </c>
      <c r="J91" s="93"/>
    </row>
    <row r="92" spans="1:10" x14ac:dyDescent="0.2">
      <c r="A92" s="107">
        <v>2</v>
      </c>
      <c r="B92" s="95">
        <v>2</v>
      </c>
      <c r="C92" s="95">
        <v>1</v>
      </c>
      <c r="D92" s="95">
        <v>2</v>
      </c>
      <c r="E92" s="96" t="s">
        <v>35</v>
      </c>
      <c r="F92" s="108" t="s">
        <v>97</v>
      </c>
      <c r="G92" s="97">
        <f>'[1]CUENTA T FONDO 100'!AP461</f>
        <v>0</v>
      </c>
      <c r="H92" s="97">
        <f>'[1]CUENTA T VS'!AP225</f>
        <v>0</v>
      </c>
      <c r="I92" s="97">
        <f t="shared" si="4"/>
        <v>0</v>
      </c>
      <c r="J92" s="98">
        <f>I92/$I$25</f>
        <v>0</v>
      </c>
    </row>
    <row r="93" spans="1:10" x14ac:dyDescent="0.2">
      <c r="A93" s="105">
        <v>2</v>
      </c>
      <c r="B93" s="91">
        <v>2</v>
      </c>
      <c r="C93" s="91">
        <v>1</v>
      </c>
      <c r="D93" s="91">
        <v>3</v>
      </c>
      <c r="E93" s="91"/>
      <c r="F93" s="106" t="s">
        <v>98</v>
      </c>
      <c r="G93" s="92">
        <f>SUM(G94)</f>
        <v>0</v>
      </c>
      <c r="H93" s="92">
        <f>SUM(H94)</f>
        <v>213611.83</v>
      </c>
      <c r="I93" s="92">
        <f t="shared" si="4"/>
        <v>213611.83</v>
      </c>
      <c r="J93" s="93"/>
    </row>
    <row r="94" spans="1:10" x14ac:dyDescent="0.2">
      <c r="A94" s="107">
        <v>2</v>
      </c>
      <c r="B94" s="95">
        <v>2</v>
      </c>
      <c r="C94" s="95">
        <v>1</v>
      </c>
      <c r="D94" s="95">
        <v>3</v>
      </c>
      <c r="E94" s="96" t="s">
        <v>35</v>
      </c>
      <c r="F94" s="108" t="s">
        <v>98</v>
      </c>
      <c r="G94" s="97">
        <f>'[1]CUENTA T FONDO 100'!AQ461</f>
        <v>0</v>
      </c>
      <c r="H94" s="97">
        <f>'[1]CUENTA T VS'!AQ225</f>
        <v>213611.83</v>
      </c>
      <c r="I94" s="97">
        <f t="shared" si="4"/>
        <v>213611.83</v>
      </c>
      <c r="J94" s="98">
        <f>I94/$I$25</f>
        <v>1.9663863275713581E-3</v>
      </c>
    </row>
    <row r="95" spans="1:10" x14ac:dyDescent="0.2">
      <c r="A95" s="105">
        <v>2</v>
      </c>
      <c r="B95" s="91">
        <v>2</v>
      </c>
      <c r="C95" s="91">
        <v>1</v>
      </c>
      <c r="D95" s="91">
        <v>4</v>
      </c>
      <c r="E95" s="91"/>
      <c r="F95" s="106" t="s">
        <v>99</v>
      </c>
      <c r="G95" s="92">
        <f>SUM(G96)</f>
        <v>0</v>
      </c>
      <c r="H95" s="92">
        <f>SUM(H96)</f>
        <v>0</v>
      </c>
      <c r="I95" s="92">
        <f t="shared" si="4"/>
        <v>0</v>
      </c>
      <c r="J95" s="93"/>
    </row>
    <row r="96" spans="1:10" x14ac:dyDescent="0.2">
      <c r="A96" s="107">
        <v>2</v>
      </c>
      <c r="B96" s="95">
        <v>2</v>
      </c>
      <c r="C96" s="95">
        <v>1</v>
      </c>
      <c r="D96" s="95">
        <v>4</v>
      </c>
      <c r="E96" s="96" t="s">
        <v>35</v>
      </c>
      <c r="F96" s="108" t="s">
        <v>99</v>
      </c>
      <c r="G96" s="97">
        <f>'[1]CUENTA T FONDO 100'!AR461</f>
        <v>0</v>
      </c>
      <c r="H96" s="97">
        <f>'[1]CUENTA T VS'!AR225</f>
        <v>0</v>
      </c>
      <c r="I96" s="97">
        <f t="shared" si="4"/>
        <v>0</v>
      </c>
      <c r="J96" s="98">
        <f>I96/$I$25</f>
        <v>0</v>
      </c>
    </row>
    <row r="97" spans="1:10" x14ac:dyDescent="0.2">
      <c r="A97" s="105">
        <v>2</v>
      </c>
      <c r="B97" s="91">
        <v>2</v>
      </c>
      <c r="C97" s="91">
        <v>1</v>
      </c>
      <c r="D97" s="91">
        <v>5</v>
      </c>
      <c r="E97" s="91"/>
      <c r="F97" s="106" t="s">
        <v>100</v>
      </c>
      <c r="G97" s="92">
        <f>SUM(G98)</f>
        <v>0</v>
      </c>
      <c r="H97" s="92">
        <f>SUM(H98)</f>
        <v>0</v>
      </c>
      <c r="I97" s="92">
        <f t="shared" si="4"/>
        <v>0</v>
      </c>
      <c r="J97" s="93"/>
    </row>
    <row r="98" spans="1:10" x14ac:dyDescent="0.2">
      <c r="A98" s="107">
        <v>2</v>
      </c>
      <c r="B98" s="95">
        <v>2</v>
      </c>
      <c r="C98" s="95">
        <v>1</v>
      </c>
      <c r="D98" s="95">
        <v>5</v>
      </c>
      <c r="E98" s="96" t="s">
        <v>35</v>
      </c>
      <c r="F98" s="108" t="s">
        <v>100</v>
      </c>
      <c r="G98" s="97">
        <f>'[1]CUENTA T FONDO 100'!AS461</f>
        <v>0</v>
      </c>
      <c r="H98" s="97">
        <f>'[1]CUENTA T VS'!AS225</f>
        <v>0</v>
      </c>
      <c r="I98" s="97">
        <f t="shared" si="4"/>
        <v>0</v>
      </c>
      <c r="J98" s="98">
        <f>I98/$I$25</f>
        <v>0</v>
      </c>
    </row>
    <row r="99" spans="1:10" x14ac:dyDescent="0.2">
      <c r="A99" s="105">
        <v>2</v>
      </c>
      <c r="B99" s="91">
        <v>2</v>
      </c>
      <c r="C99" s="91">
        <v>1</v>
      </c>
      <c r="D99" s="91">
        <v>6</v>
      </c>
      <c r="E99" s="91"/>
      <c r="F99" s="106" t="s">
        <v>101</v>
      </c>
      <c r="G99" s="92">
        <f>SUM(G100:G101)</f>
        <v>0</v>
      </c>
      <c r="H99" s="92">
        <f>SUM(H100:H101)</f>
        <v>0</v>
      </c>
      <c r="I99" s="92">
        <f t="shared" si="4"/>
        <v>0</v>
      </c>
      <c r="J99" s="93"/>
    </row>
    <row r="100" spans="1:10" x14ac:dyDescent="0.2">
      <c r="A100" s="107">
        <v>2</v>
      </c>
      <c r="B100" s="95">
        <v>2</v>
      </c>
      <c r="C100" s="95">
        <v>1</v>
      </c>
      <c r="D100" s="95">
        <v>6</v>
      </c>
      <c r="E100" s="96" t="s">
        <v>35</v>
      </c>
      <c r="F100" s="108" t="s">
        <v>102</v>
      </c>
      <c r="G100" s="97">
        <f>'[1]CUENTA T FONDO 100'!AT461</f>
        <v>0</v>
      </c>
      <c r="H100" s="97">
        <f>'[1]CUENTA T VS'!AT225</f>
        <v>0</v>
      </c>
      <c r="I100" s="97">
        <f t="shared" si="4"/>
        <v>0</v>
      </c>
      <c r="J100" s="98">
        <f>I100/$I$25</f>
        <v>0</v>
      </c>
    </row>
    <row r="101" spans="1:10" x14ac:dyDescent="0.2">
      <c r="A101" s="107">
        <v>2</v>
      </c>
      <c r="B101" s="95">
        <v>2</v>
      </c>
      <c r="C101" s="95">
        <v>1</v>
      </c>
      <c r="D101" s="95">
        <v>6</v>
      </c>
      <c r="E101" s="96" t="s">
        <v>37</v>
      </c>
      <c r="F101" s="108" t="s">
        <v>103</v>
      </c>
      <c r="G101" s="97">
        <f>'[1]CUENTA T FONDO 100'!AU461</f>
        <v>0</v>
      </c>
      <c r="H101" s="97">
        <f>'[1]CUENTA T VS'!AU225</f>
        <v>0</v>
      </c>
      <c r="I101" s="97">
        <f t="shared" si="4"/>
        <v>0</v>
      </c>
      <c r="J101" s="98">
        <f>I101/$I$25</f>
        <v>0</v>
      </c>
    </row>
    <row r="102" spans="1:10" x14ac:dyDescent="0.2">
      <c r="A102" s="105">
        <v>2</v>
      </c>
      <c r="B102" s="91">
        <v>2</v>
      </c>
      <c r="C102" s="91">
        <v>1</v>
      </c>
      <c r="D102" s="91">
        <v>7</v>
      </c>
      <c r="E102" s="91"/>
      <c r="F102" s="106" t="s">
        <v>104</v>
      </c>
      <c r="G102" s="92">
        <f>SUM(G103)</f>
        <v>60535</v>
      </c>
      <c r="H102" s="92">
        <f>SUM(H103)</f>
        <v>0</v>
      </c>
      <c r="I102" s="92">
        <f t="shared" si="4"/>
        <v>60535</v>
      </c>
      <c r="J102" s="93"/>
    </row>
    <row r="103" spans="1:10" x14ac:dyDescent="0.2">
      <c r="A103" s="107">
        <v>2</v>
      </c>
      <c r="B103" s="95">
        <v>2</v>
      </c>
      <c r="C103" s="95">
        <v>1</v>
      </c>
      <c r="D103" s="95">
        <v>7</v>
      </c>
      <c r="E103" s="96" t="s">
        <v>35</v>
      </c>
      <c r="F103" s="108" t="s">
        <v>104</v>
      </c>
      <c r="G103" s="97">
        <f>'[1]CUENTA T FONDO 100'!AV461</f>
        <v>60535</v>
      </c>
      <c r="H103" s="97">
        <f>'[1]CUENTA T VS'!AV225</f>
        <v>0</v>
      </c>
      <c r="I103" s="97">
        <f t="shared" si="4"/>
        <v>60535</v>
      </c>
      <c r="J103" s="98">
        <f>I103/$I$25</f>
        <v>5.5725001906276517E-4</v>
      </c>
    </row>
    <row r="104" spans="1:10" x14ac:dyDescent="0.2">
      <c r="A104" s="105">
        <v>2</v>
      </c>
      <c r="B104" s="91">
        <v>2</v>
      </c>
      <c r="C104" s="91">
        <v>1</v>
      </c>
      <c r="D104" s="91">
        <v>8</v>
      </c>
      <c r="E104" s="91"/>
      <c r="F104" s="106" t="s">
        <v>105</v>
      </c>
      <c r="G104" s="92">
        <f>SUM(G105)</f>
        <v>0</v>
      </c>
      <c r="H104" s="92">
        <f>SUM(H105)</f>
        <v>720000</v>
      </c>
      <c r="I104" s="92">
        <f t="shared" si="4"/>
        <v>720000</v>
      </c>
      <c r="J104" s="93"/>
    </row>
    <row r="105" spans="1:10" x14ac:dyDescent="0.2">
      <c r="A105" s="107">
        <v>2</v>
      </c>
      <c r="B105" s="95">
        <v>2</v>
      </c>
      <c r="C105" s="95">
        <v>1</v>
      </c>
      <c r="D105" s="95">
        <v>8</v>
      </c>
      <c r="E105" s="96" t="s">
        <v>35</v>
      </c>
      <c r="F105" s="108" t="s">
        <v>105</v>
      </c>
      <c r="G105" s="97">
        <f>'[1]CUENTA T FONDO 100'!AW461</f>
        <v>0</v>
      </c>
      <c r="H105" s="97">
        <f>'[1]CUENTA T VS'!AW225</f>
        <v>720000</v>
      </c>
      <c r="I105" s="97">
        <f t="shared" si="4"/>
        <v>720000</v>
      </c>
      <c r="J105" s="98">
        <f>I105/$I$25</f>
        <v>6.6279014409051122E-3</v>
      </c>
    </row>
    <row r="106" spans="1:10" x14ac:dyDescent="0.2">
      <c r="A106" s="103">
        <v>2</v>
      </c>
      <c r="B106" s="88">
        <v>2</v>
      </c>
      <c r="C106" s="88">
        <v>2</v>
      </c>
      <c r="D106" s="88"/>
      <c r="E106" s="88"/>
      <c r="F106" s="104" t="s">
        <v>106</v>
      </c>
      <c r="G106" s="89">
        <f>+G107+G109</f>
        <v>88795</v>
      </c>
      <c r="H106" s="89">
        <f>+H107+H109</f>
        <v>336559.6</v>
      </c>
      <c r="I106" s="89">
        <f t="shared" si="4"/>
        <v>425354.6</v>
      </c>
      <c r="J106" s="86"/>
    </row>
    <row r="107" spans="1:10" x14ac:dyDescent="0.2">
      <c r="A107" s="105">
        <v>2</v>
      </c>
      <c r="B107" s="91">
        <v>2</v>
      </c>
      <c r="C107" s="91">
        <v>2</v>
      </c>
      <c r="D107" s="91">
        <v>1</v>
      </c>
      <c r="E107" s="91"/>
      <c r="F107" s="106" t="s">
        <v>107</v>
      </c>
      <c r="G107" s="92">
        <f>SUM(G108)</f>
        <v>0</v>
      </c>
      <c r="H107" s="92">
        <f>SUM(H108)</f>
        <v>0</v>
      </c>
      <c r="I107" s="92">
        <f t="shared" si="4"/>
        <v>0</v>
      </c>
      <c r="J107" s="93"/>
    </row>
    <row r="108" spans="1:10" x14ac:dyDescent="0.2">
      <c r="A108" s="107">
        <v>2</v>
      </c>
      <c r="B108" s="95">
        <v>2</v>
      </c>
      <c r="C108" s="95">
        <v>2</v>
      </c>
      <c r="D108" s="95">
        <v>1</v>
      </c>
      <c r="E108" s="96" t="s">
        <v>35</v>
      </c>
      <c r="F108" s="108" t="s">
        <v>107</v>
      </c>
      <c r="G108" s="97">
        <f>'[1]CUENTA T FONDO 100'!AX461</f>
        <v>0</v>
      </c>
      <c r="H108" s="97">
        <f>'[1]CUENTA T VS'!AX225</f>
        <v>0</v>
      </c>
      <c r="I108" s="97">
        <f t="shared" si="4"/>
        <v>0</v>
      </c>
      <c r="J108" s="98">
        <f>I108/$I$25</f>
        <v>0</v>
      </c>
    </row>
    <row r="109" spans="1:10" x14ac:dyDescent="0.2">
      <c r="A109" s="105">
        <v>2</v>
      </c>
      <c r="B109" s="91">
        <v>2</v>
      </c>
      <c r="C109" s="91">
        <v>2</v>
      </c>
      <c r="D109" s="91">
        <v>2</v>
      </c>
      <c r="E109" s="91"/>
      <c r="F109" s="106" t="s">
        <v>108</v>
      </c>
      <c r="G109" s="92">
        <f>SUM(G110)</f>
        <v>88795</v>
      </c>
      <c r="H109" s="92">
        <f>SUM(H110)</f>
        <v>336559.6</v>
      </c>
      <c r="I109" s="92">
        <f t="shared" si="4"/>
        <v>425354.6</v>
      </c>
      <c r="J109" s="93"/>
    </row>
    <row r="110" spans="1:10" x14ac:dyDescent="0.2">
      <c r="A110" s="107">
        <v>2</v>
      </c>
      <c r="B110" s="95">
        <v>2</v>
      </c>
      <c r="C110" s="95">
        <v>2</v>
      </c>
      <c r="D110" s="95">
        <v>2</v>
      </c>
      <c r="E110" s="96" t="s">
        <v>35</v>
      </c>
      <c r="F110" s="108" t="s">
        <v>108</v>
      </c>
      <c r="G110" s="97">
        <f>'[1]CUENTA T FONDO 100'!AY461</f>
        <v>88795</v>
      </c>
      <c r="H110" s="97">
        <f>'[1]CUENTA T VS'!AY225</f>
        <v>336559.6</v>
      </c>
      <c r="I110" s="97">
        <f t="shared" si="4"/>
        <v>425354.6</v>
      </c>
      <c r="J110" s="98">
        <f>I110/$I$25</f>
        <v>3.9155671753272467E-3</v>
      </c>
    </row>
    <row r="111" spans="1:10" x14ac:dyDescent="0.2">
      <c r="A111" s="103">
        <v>2</v>
      </c>
      <c r="B111" s="88">
        <v>2</v>
      </c>
      <c r="C111" s="88">
        <v>3</v>
      </c>
      <c r="D111" s="88"/>
      <c r="E111" s="88"/>
      <c r="F111" s="104" t="s">
        <v>109</v>
      </c>
      <c r="G111" s="89">
        <f>+G112+G114</f>
        <v>0</v>
      </c>
      <c r="H111" s="89">
        <f>+H112+H114</f>
        <v>0</v>
      </c>
      <c r="I111" s="89">
        <f t="shared" si="4"/>
        <v>0</v>
      </c>
      <c r="J111" s="86"/>
    </row>
    <row r="112" spans="1:10" x14ac:dyDescent="0.2">
      <c r="A112" s="105">
        <v>2</v>
      </c>
      <c r="B112" s="91">
        <v>2</v>
      </c>
      <c r="C112" s="91">
        <v>3</v>
      </c>
      <c r="D112" s="91">
        <v>1</v>
      </c>
      <c r="E112" s="91"/>
      <c r="F112" s="106" t="s">
        <v>110</v>
      </c>
      <c r="G112" s="92">
        <f>SUM(G113)</f>
        <v>0</v>
      </c>
      <c r="H112" s="92">
        <f>SUM(H113)</f>
        <v>0</v>
      </c>
      <c r="I112" s="92">
        <f t="shared" si="4"/>
        <v>0</v>
      </c>
      <c r="J112" s="93"/>
    </row>
    <row r="113" spans="1:10" x14ac:dyDescent="0.2">
      <c r="A113" s="107">
        <v>2</v>
      </c>
      <c r="B113" s="95">
        <v>2</v>
      </c>
      <c r="C113" s="95">
        <v>3</v>
      </c>
      <c r="D113" s="95">
        <v>1</v>
      </c>
      <c r="E113" s="96" t="s">
        <v>35</v>
      </c>
      <c r="F113" s="108" t="s">
        <v>110</v>
      </c>
      <c r="G113" s="97">
        <f>'[1]CUENTA T FONDO 100'!AZ461</f>
        <v>0</v>
      </c>
      <c r="H113" s="97">
        <f>'[1]CUENTA T VS'!AZ225</f>
        <v>0</v>
      </c>
      <c r="I113" s="97">
        <f t="shared" si="4"/>
        <v>0</v>
      </c>
      <c r="J113" s="98">
        <f>I113/$I$25</f>
        <v>0</v>
      </c>
    </row>
    <row r="114" spans="1:10" x14ac:dyDescent="0.2">
      <c r="A114" s="105">
        <v>2</v>
      </c>
      <c r="B114" s="91">
        <v>2</v>
      </c>
      <c r="C114" s="91">
        <v>3</v>
      </c>
      <c r="D114" s="91">
        <v>2</v>
      </c>
      <c r="E114" s="91"/>
      <c r="F114" s="106" t="s">
        <v>111</v>
      </c>
      <c r="G114" s="92">
        <f>SUM(G115)</f>
        <v>0</v>
      </c>
      <c r="H114" s="92">
        <f>SUM(H115)</f>
        <v>0</v>
      </c>
      <c r="I114" s="92">
        <f t="shared" si="4"/>
        <v>0</v>
      </c>
      <c r="J114" s="93"/>
    </row>
    <row r="115" spans="1:10" x14ac:dyDescent="0.2">
      <c r="A115" s="107">
        <v>2</v>
      </c>
      <c r="B115" s="95">
        <v>2</v>
      </c>
      <c r="C115" s="95">
        <v>3</v>
      </c>
      <c r="D115" s="95">
        <v>2</v>
      </c>
      <c r="E115" s="96" t="s">
        <v>35</v>
      </c>
      <c r="F115" s="108" t="s">
        <v>111</v>
      </c>
      <c r="G115" s="97">
        <f>'[1]CUENTA T FONDO 100'!BA461</f>
        <v>0</v>
      </c>
      <c r="H115" s="97">
        <f>'[1]CUENTA T VS'!BA225</f>
        <v>0</v>
      </c>
      <c r="I115" s="97">
        <f t="shared" si="4"/>
        <v>0</v>
      </c>
      <c r="J115" s="98">
        <f>I115/$I$25</f>
        <v>0</v>
      </c>
    </row>
    <row r="116" spans="1:10" x14ac:dyDescent="0.2">
      <c r="A116" s="103">
        <v>2</v>
      </c>
      <c r="B116" s="88">
        <v>2</v>
      </c>
      <c r="C116" s="88">
        <v>4</v>
      </c>
      <c r="D116" s="88"/>
      <c r="E116" s="88"/>
      <c r="F116" s="104" t="s">
        <v>112</v>
      </c>
      <c r="G116" s="89">
        <f>+G117+G119+G121+G123</f>
        <v>0</v>
      </c>
      <c r="H116" s="89">
        <f>+H117+H119+H121+H123</f>
        <v>44000</v>
      </c>
      <c r="I116" s="89">
        <f t="shared" si="4"/>
        <v>44000</v>
      </c>
      <c r="J116" s="86"/>
    </row>
    <row r="117" spans="1:10" x14ac:dyDescent="0.2">
      <c r="A117" s="105">
        <v>2</v>
      </c>
      <c r="B117" s="91">
        <v>2</v>
      </c>
      <c r="C117" s="91">
        <v>4</v>
      </c>
      <c r="D117" s="91">
        <v>1</v>
      </c>
      <c r="E117" s="91"/>
      <c r="F117" s="106" t="s">
        <v>113</v>
      </c>
      <c r="G117" s="92">
        <f>SUM(G118)</f>
        <v>0</v>
      </c>
      <c r="H117" s="92">
        <f>SUM(H118)</f>
        <v>0</v>
      </c>
      <c r="I117" s="92">
        <f t="shared" si="4"/>
        <v>0</v>
      </c>
      <c r="J117" s="93"/>
    </row>
    <row r="118" spans="1:10" x14ac:dyDescent="0.2">
      <c r="A118" s="107">
        <v>2</v>
      </c>
      <c r="B118" s="95">
        <v>2</v>
      </c>
      <c r="C118" s="95">
        <v>4</v>
      </c>
      <c r="D118" s="95">
        <v>1</v>
      </c>
      <c r="E118" s="96" t="s">
        <v>35</v>
      </c>
      <c r="F118" s="108" t="s">
        <v>113</v>
      </c>
      <c r="G118" s="97">
        <f>'[1]CUENTA T FONDO 100'!BB461</f>
        <v>0</v>
      </c>
      <c r="H118" s="97">
        <f>'[1]CUENTA T VS'!BB225</f>
        <v>0</v>
      </c>
      <c r="I118" s="97">
        <f t="shared" si="4"/>
        <v>0</v>
      </c>
      <c r="J118" s="98">
        <f>I118/$I$25</f>
        <v>0</v>
      </c>
    </row>
    <row r="119" spans="1:10" x14ac:dyDescent="0.2">
      <c r="A119" s="105">
        <v>2</v>
      </c>
      <c r="B119" s="91">
        <v>2</v>
      </c>
      <c r="C119" s="91">
        <v>4</v>
      </c>
      <c r="D119" s="91">
        <v>2</v>
      </c>
      <c r="E119" s="91"/>
      <c r="F119" s="106" t="s">
        <v>114</v>
      </c>
      <c r="G119" s="92">
        <f>SUM(G120)</f>
        <v>0</v>
      </c>
      <c r="H119" s="92">
        <f>SUM(H120)</f>
        <v>44000</v>
      </c>
      <c r="I119" s="92">
        <f t="shared" si="4"/>
        <v>44000</v>
      </c>
      <c r="J119" s="93"/>
    </row>
    <row r="120" spans="1:10" x14ac:dyDescent="0.2">
      <c r="A120" s="107">
        <v>2</v>
      </c>
      <c r="B120" s="95">
        <v>2</v>
      </c>
      <c r="C120" s="95">
        <v>4</v>
      </c>
      <c r="D120" s="95">
        <v>2</v>
      </c>
      <c r="E120" s="96" t="s">
        <v>35</v>
      </c>
      <c r="F120" s="108" t="s">
        <v>114</v>
      </c>
      <c r="G120" s="97">
        <f>'[1]CUENTA T FONDO 100'!BC461</f>
        <v>0</v>
      </c>
      <c r="H120" s="97">
        <f>'[1]CUENTA T VS'!BC225</f>
        <v>44000</v>
      </c>
      <c r="I120" s="97">
        <f t="shared" si="4"/>
        <v>44000</v>
      </c>
      <c r="J120" s="98">
        <f>I120/$I$25</f>
        <v>4.0503842138864575E-4</v>
      </c>
    </row>
    <row r="121" spans="1:10" x14ac:dyDescent="0.2">
      <c r="A121" s="105">
        <v>2</v>
      </c>
      <c r="B121" s="91">
        <v>2</v>
      </c>
      <c r="C121" s="91">
        <v>4</v>
      </c>
      <c r="D121" s="91">
        <v>3</v>
      </c>
      <c r="E121" s="91"/>
      <c r="F121" s="106" t="s">
        <v>115</v>
      </c>
      <c r="G121" s="92">
        <f>SUM(G122)</f>
        <v>0</v>
      </c>
      <c r="H121" s="92">
        <f>SUM(H122)</f>
        <v>0</v>
      </c>
      <c r="I121" s="92">
        <f t="shared" si="4"/>
        <v>0</v>
      </c>
      <c r="J121" s="93"/>
    </row>
    <row r="122" spans="1:10" x14ac:dyDescent="0.2">
      <c r="A122" s="107">
        <v>2</v>
      </c>
      <c r="B122" s="95">
        <v>2</v>
      </c>
      <c r="C122" s="95">
        <v>4</v>
      </c>
      <c r="D122" s="95">
        <v>3</v>
      </c>
      <c r="E122" s="96" t="s">
        <v>35</v>
      </c>
      <c r="F122" s="108" t="s">
        <v>115</v>
      </c>
      <c r="G122" s="97">
        <f>'[1]CUENTA T FONDO 100'!BD461</f>
        <v>0</v>
      </c>
      <c r="H122" s="97">
        <f>'[1]CUENTA T VS'!BD225</f>
        <v>0</v>
      </c>
      <c r="I122" s="97">
        <f t="shared" si="4"/>
        <v>0</v>
      </c>
      <c r="J122" s="98">
        <f>I122/$I$25</f>
        <v>0</v>
      </c>
    </row>
    <row r="123" spans="1:10" x14ac:dyDescent="0.2">
      <c r="A123" s="105">
        <v>2</v>
      </c>
      <c r="B123" s="91">
        <v>2</v>
      </c>
      <c r="C123" s="91">
        <v>4</v>
      </c>
      <c r="D123" s="91">
        <v>4</v>
      </c>
      <c r="E123" s="91"/>
      <c r="F123" s="106" t="s">
        <v>116</v>
      </c>
      <c r="G123" s="92">
        <f>SUM(G124)</f>
        <v>0</v>
      </c>
      <c r="H123" s="92">
        <f>SUM(H124)</f>
        <v>0</v>
      </c>
      <c r="I123" s="92">
        <f t="shared" si="4"/>
        <v>0</v>
      </c>
      <c r="J123" s="93"/>
    </row>
    <row r="124" spans="1:10" x14ac:dyDescent="0.2">
      <c r="A124" s="107">
        <v>2</v>
      </c>
      <c r="B124" s="95">
        <v>2</v>
      </c>
      <c r="C124" s="95">
        <v>4</v>
      </c>
      <c r="D124" s="95">
        <v>4</v>
      </c>
      <c r="E124" s="96" t="s">
        <v>35</v>
      </c>
      <c r="F124" s="108" t="s">
        <v>116</v>
      </c>
      <c r="G124" s="97">
        <f>'[1]CUENTA T FONDO 100'!BE461</f>
        <v>0</v>
      </c>
      <c r="H124" s="97">
        <f>'[1]CUENTA T VS'!BE225</f>
        <v>0</v>
      </c>
      <c r="I124" s="97">
        <f t="shared" si="4"/>
        <v>0</v>
      </c>
      <c r="J124" s="98">
        <f>I124/$I$25</f>
        <v>0</v>
      </c>
    </row>
    <row r="125" spans="1:10" x14ac:dyDescent="0.2">
      <c r="A125" s="87">
        <v>2</v>
      </c>
      <c r="B125" s="88">
        <v>2</v>
      </c>
      <c r="C125" s="88">
        <v>5</v>
      </c>
      <c r="D125" s="88"/>
      <c r="E125" s="88"/>
      <c r="F125" s="104" t="s">
        <v>117</v>
      </c>
      <c r="G125" s="89">
        <f>+G126+G128+G130+G136+G138+G140+G142+G144+G146</f>
        <v>150000</v>
      </c>
      <c r="H125" s="89">
        <f t="shared" ref="H125" si="5">+H126+H128+H130+H136+H138+H140+H142+H144+H146</f>
        <v>628164.1</v>
      </c>
      <c r="I125" s="89">
        <f t="shared" si="4"/>
        <v>778164.1</v>
      </c>
      <c r="J125" s="86"/>
    </row>
    <row r="126" spans="1:10" x14ac:dyDescent="0.2">
      <c r="A126" s="105">
        <v>2</v>
      </c>
      <c r="B126" s="91">
        <v>2</v>
      </c>
      <c r="C126" s="91">
        <v>5</v>
      </c>
      <c r="D126" s="91">
        <v>1</v>
      </c>
      <c r="E126" s="110"/>
      <c r="F126" s="106" t="s">
        <v>118</v>
      </c>
      <c r="G126" s="92">
        <f>SUM(G127)</f>
        <v>0</v>
      </c>
      <c r="H126" s="92">
        <f>SUM(H127)</f>
        <v>0</v>
      </c>
      <c r="I126" s="92">
        <f t="shared" si="4"/>
        <v>0</v>
      </c>
      <c r="J126" s="93"/>
    </row>
    <row r="127" spans="1:10" x14ac:dyDescent="0.2">
      <c r="A127" s="107">
        <v>2</v>
      </c>
      <c r="B127" s="95">
        <v>2</v>
      </c>
      <c r="C127" s="95">
        <v>5</v>
      </c>
      <c r="D127" s="95">
        <v>1</v>
      </c>
      <c r="E127" s="96" t="s">
        <v>35</v>
      </c>
      <c r="F127" s="108" t="s">
        <v>118</v>
      </c>
      <c r="G127" s="97">
        <f>'[1]CUENTA T FONDO 100'!BF461</f>
        <v>0</v>
      </c>
      <c r="H127" s="97">
        <f>'[1]CUENTA T VS'!BF225</f>
        <v>0</v>
      </c>
      <c r="I127" s="97">
        <f t="shared" si="4"/>
        <v>0</v>
      </c>
      <c r="J127" s="98">
        <f>I127/$I$25</f>
        <v>0</v>
      </c>
    </row>
    <row r="128" spans="1:10" x14ac:dyDescent="0.2">
      <c r="A128" s="105">
        <v>2</v>
      </c>
      <c r="B128" s="91">
        <v>2</v>
      </c>
      <c r="C128" s="91">
        <v>5</v>
      </c>
      <c r="D128" s="91">
        <v>2</v>
      </c>
      <c r="E128" s="110"/>
      <c r="F128" s="106" t="s">
        <v>119</v>
      </c>
      <c r="G128" s="92">
        <f>SUM(G129)</f>
        <v>0</v>
      </c>
      <c r="H128" s="92">
        <f>SUM(H129)</f>
        <v>0</v>
      </c>
      <c r="I128" s="92">
        <f t="shared" si="4"/>
        <v>0</v>
      </c>
      <c r="J128" s="93"/>
    </row>
    <row r="129" spans="1:10" x14ac:dyDescent="0.2">
      <c r="A129" s="107">
        <v>2</v>
      </c>
      <c r="B129" s="95">
        <v>2</v>
      </c>
      <c r="C129" s="95">
        <v>5</v>
      </c>
      <c r="D129" s="95">
        <v>2</v>
      </c>
      <c r="E129" s="96" t="s">
        <v>35</v>
      </c>
      <c r="F129" s="108" t="s">
        <v>120</v>
      </c>
      <c r="G129" s="97">
        <f>'[1]CUENTA T FONDO 100'!BG461</f>
        <v>0</v>
      </c>
      <c r="H129" s="97">
        <f>'[1]CUENTA T VS'!BG225</f>
        <v>0</v>
      </c>
      <c r="I129" s="97">
        <f t="shared" si="4"/>
        <v>0</v>
      </c>
      <c r="J129" s="98">
        <f>I129/$I$25</f>
        <v>0</v>
      </c>
    </row>
    <row r="130" spans="1:10" x14ac:dyDescent="0.2">
      <c r="A130" s="105">
        <v>2</v>
      </c>
      <c r="B130" s="91">
        <v>2</v>
      </c>
      <c r="C130" s="91">
        <v>5</v>
      </c>
      <c r="D130" s="91">
        <v>3</v>
      </c>
      <c r="E130" s="110"/>
      <c r="F130" s="106" t="s">
        <v>121</v>
      </c>
      <c r="G130" s="92">
        <f>SUM(G131:G135)</f>
        <v>0</v>
      </c>
      <c r="H130" s="92">
        <f>SUM(H131:H135)</f>
        <v>628164.1</v>
      </c>
      <c r="I130" s="92">
        <f t="shared" si="4"/>
        <v>628164.1</v>
      </c>
      <c r="J130" s="93"/>
    </row>
    <row r="131" spans="1:10" x14ac:dyDescent="0.2">
      <c r="A131" s="107">
        <v>2</v>
      </c>
      <c r="B131" s="95">
        <v>2</v>
      </c>
      <c r="C131" s="95">
        <v>5</v>
      </c>
      <c r="D131" s="95">
        <v>3</v>
      </c>
      <c r="E131" s="96" t="s">
        <v>35</v>
      </c>
      <c r="F131" s="108" t="s">
        <v>122</v>
      </c>
      <c r="G131" s="97">
        <f>'[1]CUENTA T FONDO 100'!BH461</f>
        <v>0</v>
      </c>
      <c r="H131" s="97">
        <f>'[1]CUENTA T VS'!BH225</f>
        <v>0</v>
      </c>
      <c r="I131" s="97">
        <f t="shared" si="4"/>
        <v>0</v>
      </c>
      <c r="J131" s="98">
        <f>I131/$I$25</f>
        <v>0</v>
      </c>
    </row>
    <row r="132" spans="1:10" x14ac:dyDescent="0.2">
      <c r="A132" s="107">
        <v>2</v>
      </c>
      <c r="B132" s="95">
        <v>2</v>
      </c>
      <c r="C132" s="95">
        <v>5</v>
      </c>
      <c r="D132" s="95">
        <v>3</v>
      </c>
      <c r="E132" s="96" t="s">
        <v>37</v>
      </c>
      <c r="F132" s="108" t="s">
        <v>123</v>
      </c>
      <c r="G132" s="97">
        <f>'[1]CUENTA T FONDO 100'!BI461</f>
        <v>0</v>
      </c>
      <c r="H132" s="97">
        <f>'[1]CUENTA T VS'!BI225</f>
        <v>628164.1</v>
      </c>
      <c r="I132" s="97">
        <f t="shared" si="4"/>
        <v>628164.1</v>
      </c>
      <c r="J132" s="98">
        <f>I132/$I$25</f>
        <v>5.7825135326595315E-3</v>
      </c>
    </row>
    <row r="133" spans="1:10" x14ac:dyDescent="0.2">
      <c r="A133" s="107">
        <v>2</v>
      </c>
      <c r="B133" s="95">
        <v>2</v>
      </c>
      <c r="C133" s="95">
        <v>5</v>
      </c>
      <c r="D133" s="95">
        <v>3</v>
      </c>
      <c r="E133" s="96" t="s">
        <v>39</v>
      </c>
      <c r="F133" s="108" t="s">
        <v>124</v>
      </c>
      <c r="G133" s="97">
        <f>'[1]CUENTA T FONDO 100'!BJ461</f>
        <v>0</v>
      </c>
      <c r="H133" s="97">
        <f>'[1]CUENTA T VS'!BJ225</f>
        <v>0</v>
      </c>
      <c r="I133" s="97">
        <f t="shared" si="4"/>
        <v>0</v>
      </c>
      <c r="J133" s="98">
        <f>I133/$I$25</f>
        <v>0</v>
      </c>
    </row>
    <row r="134" spans="1:10" x14ac:dyDescent="0.2">
      <c r="A134" s="107">
        <v>2</v>
      </c>
      <c r="B134" s="95">
        <v>2</v>
      </c>
      <c r="C134" s="95">
        <v>5</v>
      </c>
      <c r="D134" s="95">
        <v>3</v>
      </c>
      <c r="E134" s="96" t="s">
        <v>41</v>
      </c>
      <c r="F134" s="108" t="s">
        <v>125</v>
      </c>
      <c r="G134" s="97">
        <f>'[1]CUENTA T FONDO 100'!BK461</f>
        <v>0</v>
      </c>
      <c r="H134" s="97">
        <f>'[1]CUENTA T VS'!BK225</f>
        <v>0</v>
      </c>
      <c r="I134" s="97">
        <f t="shared" si="4"/>
        <v>0</v>
      </c>
      <c r="J134" s="98">
        <f>I134/$I$25</f>
        <v>0</v>
      </c>
    </row>
    <row r="135" spans="1:10" x14ac:dyDescent="0.2">
      <c r="A135" s="107">
        <v>2</v>
      </c>
      <c r="B135" s="95">
        <v>2</v>
      </c>
      <c r="C135" s="95">
        <v>5</v>
      </c>
      <c r="D135" s="95">
        <v>3</v>
      </c>
      <c r="E135" s="96" t="s">
        <v>43</v>
      </c>
      <c r="F135" s="108" t="s">
        <v>126</v>
      </c>
      <c r="G135" s="97">
        <f>'[1]CUENTA T FONDO 100'!BL461</f>
        <v>0</v>
      </c>
      <c r="H135" s="97">
        <f>'[1]CUENTA T VS'!BL225</f>
        <v>0</v>
      </c>
      <c r="I135" s="97">
        <f t="shared" si="4"/>
        <v>0</v>
      </c>
      <c r="J135" s="98">
        <f>I135/$I$25</f>
        <v>0</v>
      </c>
    </row>
    <row r="136" spans="1:10" x14ac:dyDescent="0.2">
      <c r="A136" s="105">
        <v>2</v>
      </c>
      <c r="B136" s="91">
        <v>2</v>
      </c>
      <c r="C136" s="91">
        <v>5</v>
      </c>
      <c r="D136" s="91">
        <v>4</v>
      </c>
      <c r="E136" s="110"/>
      <c r="F136" s="106" t="s">
        <v>127</v>
      </c>
      <c r="G136" s="92">
        <f>SUM(G137)</f>
        <v>0</v>
      </c>
      <c r="H136" s="92">
        <f>SUM(H137)</f>
        <v>0</v>
      </c>
      <c r="I136" s="92">
        <f t="shared" si="4"/>
        <v>0</v>
      </c>
      <c r="J136" s="93"/>
    </row>
    <row r="137" spans="1:10" x14ac:dyDescent="0.2">
      <c r="A137" s="107">
        <v>2</v>
      </c>
      <c r="B137" s="95">
        <v>2</v>
      </c>
      <c r="C137" s="95">
        <v>5</v>
      </c>
      <c r="D137" s="95">
        <v>4</v>
      </c>
      <c r="E137" s="96" t="s">
        <v>35</v>
      </c>
      <c r="F137" s="108" t="s">
        <v>127</v>
      </c>
      <c r="G137" s="97">
        <f>'[1]CUENTA T FONDO 100'!BM461</f>
        <v>0</v>
      </c>
      <c r="H137" s="97">
        <f>'[1]CUENTA T VS'!BM225</f>
        <v>0</v>
      </c>
      <c r="I137" s="97">
        <f t="shared" si="4"/>
        <v>0</v>
      </c>
      <c r="J137" s="98">
        <f>I137/$I$25</f>
        <v>0</v>
      </c>
    </row>
    <row r="138" spans="1:10" x14ac:dyDescent="0.2">
      <c r="A138" s="105">
        <v>2</v>
      </c>
      <c r="B138" s="91">
        <v>2</v>
      </c>
      <c r="C138" s="91">
        <v>5</v>
      </c>
      <c r="D138" s="91">
        <v>5</v>
      </c>
      <c r="E138" s="110"/>
      <c r="F138" s="106" t="s">
        <v>128</v>
      </c>
      <c r="G138" s="92">
        <f>SUM(G139)</f>
        <v>0</v>
      </c>
      <c r="H138" s="92">
        <f>SUM(H139)</f>
        <v>0</v>
      </c>
      <c r="I138" s="92">
        <f t="shared" si="4"/>
        <v>0</v>
      </c>
      <c r="J138" s="93"/>
    </row>
    <row r="139" spans="1:10" x14ac:dyDescent="0.2">
      <c r="A139" s="107">
        <v>2</v>
      </c>
      <c r="B139" s="95">
        <v>2</v>
      </c>
      <c r="C139" s="95">
        <v>5</v>
      </c>
      <c r="D139" s="95">
        <v>5</v>
      </c>
      <c r="E139" s="96" t="s">
        <v>35</v>
      </c>
      <c r="F139" s="108" t="s">
        <v>128</v>
      </c>
      <c r="G139" s="97">
        <f>'[1]CUENTA T FONDO 100'!BN461</f>
        <v>0</v>
      </c>
      <c r="H139" s="97">
        <f>'[1]CUENTA T VS'!BN225</f>
        <v>0</v>
      </c>
      <c r="I139" s="97">
        <f t="shared" si="4"/>
        <v>0</v>
      </c>
      <c r="J139" s="98">
        <f>I139/$I$25</f>
        <v>0</v>
      </c>
    </row>
    <row r="140" spans="1:10" x14ac:dyDescent="0.2">
      <c r="A140" s="105">
        <v>2</v>
      </c>
      <c r="B140" s="91">
        <v>2</v>
      </c>
      <c r="C140" s="91">
        <v>5</v>
      </c>
      <c r="D140" s="91">
        <v>6</v>
      </c>
      <c r="E140" s="110"/>
      <c r="F140" s="106" t="s">
        <v>129</v>
      </c>
      <c r="G140" s="92">
        <f>SUM(G141)</f>
        <v>0</v>
      </c>
      <c r="H140" s="92">
        <f>SUM(H141)</f>
        <v>0</v>
      </c>
      <c r="I140" s="92">
        <f t="shared" si="4"/>
        <v>0</v>
      </c>
      <c r="J140" s="93"/>
    </row>
    <row r="141" spans="1:10" x14ac:dyDescent="0.2">
      <c r="A141" s="107">
        <v>2</v>
      </c>
      <c r="B141" s="95">
        <v>2</v>
      </c>
      <c r="C141" s="95">
        <v>5</v>
      </c>
      <c r="D141" s="95">
        <v>6</v>
      </c>
      <c r="E141" s="96" t="s">
        <v>35</v>
      </c>
      <c r="F141" s="108" t="s">
        <v>129</v>
      </c>
      <c r="G141" s="97">
        <f>'[1]CUENTA T FONDO 100'!BO461</f>
        <v>0</v>
      </c>
      <c r="H141" s="97">
        <f>'[1]CUENTA T VS'!BO225</f>
        <v>0</v>
      </c>
      <c r="I141" s="97">
        <f t="shared" si="4"/>
        <v>0</v>
      </c>
      <c r="J141" s="98">
        <f>I141/$I$25</f>
        <v>0</v>
      </c>
    </row>
    <row r="142" spans="1:10" x14ac:dyDescent="0.2">
      <c r="A142" s="105">
        <v>2</v>
      </c>
      <c r="B142" s="91">
        <v>2</v>
      </c>
      <c r="C142" s="91">
        <v>5</v>
      </c>
      <c r="D142" s="91">
        <v>7</v>
      </c>
      <c r="E142" s="110"/>
      <c r="F142" s="106" t="s">
        <v>130</v>
      </c>
      <c r="G142" s="92">
        <f>SUM(G143)</f>
        <v>0</v>
      </c>
      <c r="H142" s="92">
        <f>SUM(H143)</f>
        <v>0</v>
      </c>
      <c r="I142" s="92">
        <f t="shared" si="4"/>
        <v>0</v>
      </c>
      <c r="J142" s="93"/>
    </row>
    <row r="143" spans="1:10" x14ac:dyDescent="0.2">
      <c r="A143" s="107">
        <v>2</v>
      </c>
      <c r="B143" s="95">
        <v>2</v>
      </c>
      <c r="C143" s="95">
        <v>5</v>
      </c>
      <c r="D143" s="95">
        <v>7</v>
      </c>
      <c r="E143" s="96" t="s">
        <v>35</v>
      </c>
      <c r="F143" s="108" t="s">
        <v>130</v>
      </c>
      <c r="G143" s="97">
        <f>'[1]CUENTA T FONDO 100'!BP461</f>
        <v>0</v>
      </c>
      <c r="H143" s="97">
        <f>'[1]CUENTA T VS'!BP225</f>
        <v>0</v>
      </c>
      <c r="I143" s="97">
        <f t="shared" si="4"/>
        <v>0</v>
      </c>
      <c r="J143" s="98">
        <f>I143/$I$25</f>
        <v>0</v>
      </c>
    </row>
    <row r="144" spans="1:10" x14ac:dyDescent="0.2">
      <c r="A144" s="105">
        <v>2</v>
      </c>
      <c r="B144" s="91">
        <v>2</v>
      </c>
      <c r="C144" s="91">
        <v>5</v>
      </c>
      <c r="D144" s="91">
        <v>8</v>
      </c>
      <c r="E144" s="110"/>
      <c r="F144" s="106" t="s">
        <v>131</v>
      </c>
      <c r="G144" s="92">
        <f>SUM(G145)</f>
        <v>0</v>
      </c>
      <c r="H144" s="92">
        <f>SUM(H145)</f>
        <v>0</v>
      </c>
      <c r="I144" s="92">
        <f t="shared" si="4"/>
        <v>0</v>
      </c>
      <c r="J144" s="93"/>
    </row>
    <row r="145" spans="1:10" x14ac:dyDescent="0.2">
      <c r="A145" s="107">
        <v>2</v>
      </c>
      <c r="B145" s="95">
        <v>2</v>
      </c>
      <c r="C145" s="95">
        <v>5</v>
      </c>
      <c r="D145" s="95">
        <v>8</v>
      </c>
      <c r="E145" s="96" t="s">
        <v>35</v>
      </c>
      <c r="F145" s="108" t="s">
        <v>131</v>
      </c>
      <c r="G145" s="97">
        <f>'[1]CUENTA T FONDO 100'!BQ461</f>
        <v>0</v>
      </c>
      <c r="H145" s="97">
        <f>'[1]CUENTA T VS'!BQ225</f>
        <v>0</v>
      </c>
      <c r="I145" s="97">
        <f t="shared" si="4"/>
        <v>0</v>
      </c>
      <c r="J145" s="98">
        <f>I145/$I$25</f>
        <v>0</v>
      </c>
    </row>
    <row r="146" spans="1:10" x14ac:dyDescent="0.2">
      <c r="A146" s="105">
        <v>2</v>
      </c>
      <c r="B146" s="91">
        <v>2</v>
      </c>
      <c r="C146" s="91">
        <v>5</v>
      </c>
      <c r="D146" s="91">
        <v>9</v>
      </c>
      <c r="E146" s="110"/>
      <c r="F146" s="106" t="s">
        <v>132</v>
      </c>
      <c r="G146" s="92">
        <f>SUM(G147)</f>
        <v>150000</v>
      </c>
      <c r="H146" s="92">
        <f>SUM(H147)</f>
        <v>0</v>
      </c>
      <c r="I146" s="92">
        <f t="shared" si="4"/>
        <v>150000</v>
      </c>
      <c r="J146" s="93"/>
    </row>
    <row r="147" spans="1:10" x14ac:dyDescent="0.2">
      <c r="A147" s="107">
        <v>2</v>
      </c>
      <c r="B147" s="95">
        <v>2</v>
      </c>
      <c r="C147" s="95">
        <v>5</v>
      </c>
      <c r="D147" s="95">
        <v>9</v>
      </c>
      <c r="E147" s="96" t="s">
        <v>35</v>
      </c>
      <c r="F147" s="108" t="s">
        <v>133</v>
      </c>
      <c r="G147" s="97">
        <f>'[1]CUENTA T FONDO 100'!BR461</f>
        <v>150000</v>
      </c>
      <c r="H147" s="97">
        <f>'[1]CUENTA T VS'!BR225</f>
        <v>0</v>
      </c>
      <c r="I147" s="97">
        <f t="shared" si="4"/>
        <v>150000</v>
      </c>
      <c r="J147" s="98">
        <f>I147/$I$25</f>
        <v>1.3808128001885651E-3</v>
      </c>
    </row>
    <row r="148" spans="1:10" x14ac:dyDescent="0.2">
      <c r="A148" s="87">
        <v>2</v>
      </c>
      <c r="B148" s="88">
        <v>2</v>
      </c>
      <c r="C148" s="88">
        <v>6</v>
      </c>
      <c r="D148" s="88"/>
      <c r="E148" s="88"/>
      <c r="F148" s="104" t="s">
        <v>134</v>
      </c>
      <c r="G148" s="89">
        <f>+G149+G151+G153+G155</f>
        <v>0</v>
      </c>
      <c r="H148" s="89">
        <f>+H149+H151+H153+H155</f>
        <v>0</v>
      </c>
      <c r="I148" s="89">
        <f t="shared" si="4"/>
        <v>0</v>
      </c>
      <c r="J148" s="86"/>
    </row>
    <row r="149" spans="1:10" x14ac:dyDescent="0.2">
      <c r="A149" s="105">
        <v>2</v>
      </c>
      <c r="B149" s="91">
        <v>2</v>
      </c>
      <c r="C149" s="91">
        <v>6</v>
      </c>
      <c r="D149" s="91">
        <v>1</v>
      </c>
      <c r="E149" s="110"/>
      <c r="F149" s="106" t="s">
        <v>135</v>
      </c>
      <c r="G149" s="92">
        <f>SUM(G150)</f>
        <v>0</v>
      </c>
      <c r="H149" s="92">
        <f>SUM(H150)</f>
        <v>0</v>
      </c>
      <c r="I149" s="92">
        <f t="shared" si="4"/>
        <v>0</v>
      </c>
      <c r="J149" s="93"/>
    </row>
    <row r="150" spans="1:10" x14ac:dyDescent="0.2">
      <c r="A150" s="107">
        <v>2</v>
      </c>
      <c r="B150" s="95">
        <v>2</v>
      </c>
      <c r="C150" s="95">
        <v>6</v>
      </c>
      <c r="D150" s="95">
        <v>1</v>
      </c>
      <c r="E150" s="96" t="s">
        <v>35</v>
      </c>
      <c r="F150" s="108" t="s">
        <v>135</v>
      </c>
      <c r="G150" s="97">
        <f>'[1]CUENTA T FONDO 100'!BS461</f>
        <v>0</v>
      </c>
      <c r="H150" s="97">
        <f>'[1]CUENTA T VS'!BS225</f>
        <v>0</v>
      </c>
      <c r="I150" s="97">
        <f t="shared" si="4"/>
        <v>0</v>
      </c>
      <c r="J150" s="98">
        <f>I150/$I$25</f>
        <v>0</v>
      </c>
    </row>
    <row r="151" spans="1:10" x14ac:dyDescent="0.2">
      <c r="A151" s="105">
        <v>2</v>
      </c>
      <c r="B151" s="91">
        <v>2</v>
      </c>
      <c r="C151" s="91">
        <v>6</v>
      </c>
      <c r="D151" s="91">
        <v>2</v>
      </c>
      <c r="E151" s="91"/>
      <c r="F151" s="106" t="s">
        <v>136</v>
      </c>
      <c r="G151" s="92">
        <f>SUM(G152)</f>
        <v>0</v>
      </c>
      <c r="H151" s="92">
        <f>SUM(H152)</f>
        <v>0</v>
      </c>
      <c r="I151" s="92">
        <f t="shared" si="4"/>
        <v>0</v>
      </c>
      <c r="J151" s="93"/>
    </row>
    <row r="152" spans="1:10" x14ac:dyDescent="0.2">
      <c r="A152" s="107">
        <v>2</v>
      </c>
      <c r="B152" s="95">
        <v>2</v>
      </c>
      <c r="C152" s="95">
        <v>6</v>
      </c>
      <c r="D152" s="95">
        <v>2</v>
      </c>
      <c r="E152" s="96" t="s">
        <v>35</v>
      </c>
      <c r="F152" s="108" t="s">
        <v>136</v>
      </c>
      <c r="G152" s="97">
        <f>'[1]CUENTA T FONDO 100'!BT461</f>
        <v>0</v>
      </c>
      <c r="H152" s="97">
        <f>'[1]CUENTA T VS'!BT225</f>
        <v>0</v>
      </c>
      <c r="I152" s="97">
        <f t="shared" si="4"/>
        <v>0</v>
      </c>
      <c r="J152" s="98">
        <f>I152/$I$25</f>
        <v>0</v>
      </c>
    </row>
    <row r="153" spans="1:10" x14ac:dyDescent="0.2">
      <c r="A153" s="105">
        <v>2</v>
      </c>
      <c r="B153" s="91">
        <v>2</v>
      </c>
      <c r="C153" s="91">
        <v>6</v>
      </c>
      <c r="D153" s="91">
        <v>3</v>
      </c>
      <c r="E153" s="91"/>
      <c r="F153" s="106" t="s">
        <v>137</v>
      </c>
      <c r="G153" s="92">
        <f>SUM(G154)</f>
        <v>0</v>
      </c>
      <c r="H153" s="92">
        <f>SUM(H154)</f>
        <v>0</v>
      </c>
      <c r="I153" s="92">
        <f t="shared" ref="I153:I216" si="6">SUM(G153:H153)</f>
        <v>0</v>
      </c>
      <c r="J153" s="93"/>
    </row>
    <row r="154" spans="1:10" x14ac:dyDescent="0.2">
      <c r="A154" s="107">
        <v>2</v>
      </c>
      <c r="B154" s="95">
        <v>2</v>
      </c>
      <c r="C154" s="95">
        <v>6</v>
      </c>
      <c r="D154" s="95">
        <v>3</v>
      </c>
      <c r="E154" s="96" t="s">
        <v>35</v>
      </c>
      <c r="F154" s="108" t="s">
        <v>137</v>
      </c>
      <c r="G154" s="97">
        <f>'[1]CUENTA T FONDO 100'!BU461</f>
        <v>0</v>
      </c>
      <c r="H154" s="97">
        <f>'[1]CUENTA T VS'!BU225</f>
        <v>0</v>
      </c>
      <c r="I154" s="97">
        <f t="shared" si="6"/>
        <v>0</v>
      </c>
      <c r="J154" s="98">
        <f>I154/$I$25</f>
        <v>0</v>
      </c>
    </row>
    <row r="155" spans="1:10" x14ac:dyDescent="0.2">
      <c r="A155" s="105">
        <v>2</v>
      </c>
      <c r="B155" s="91">
        <v>2</v>
      </c>
      <c r="C155" s="91">
        <v>6</v>
      </c>
      <c r="D155" s="91">
        <v>4</v>
      </c>
      <c r="E155" s="91"/>
      <c r="F155" s="106" t="s">
        <v>138</v>
      </c>
      <c r="G155" s="92">
        <f>SUM(G156)</f>
        <v>0</v>
      </c>
      <c r="H155" s="92">
        <f>SUM(H156)</f>
        <v>0</v>
      </c>
      <c r="I155" s="92">
        <f t="shared" si="6"/>
        <v>0</v>
      </c>
      <c r="J155" s="93"/>
    </row>
    <row r="156" spans="1:10" x14ac:dyDescent="0.2">
      <c r="A156" s="107">
        <v>2</v>
      </c>
      <c r="B156" s="95">
        <v>2</v>
      </c>
      <c r="C156" s="95">
        <v>6</v>
      </c>
      <c r="D156" s="95">
        <v>4</v>
      </c>
      <c r="E156" s="96" t="s">
        <v>35</v>
      </c>
      <c r="F156" s="108" t="s">
        <v>138</v>
      </c>
      <c r="G156" s="97">
        <f>'[1]CUENTA T FONDO 100'!BV461</f>
        <v>0</v>
      </c>
      <c r="H156" s="97">
        <f>'[1]CUENTA T VS'!BV225</f>
        <v>0</v>
      </c>
      <c r="I156" s="97">
        <f t="shared" si="6"/>
        <v>0</v>
      </c>
      <c r="J156" s="98">
        <f>I156/$I$25</f>
        <v>0</v>
      </c>
    </row>
    <row r="157" spans="1:10" x14ac:dyDescent="0.2">
      <c r="A157" s="87">
        <v>2</v>
      </c>
      <c r="B157" s="88">
        <v>2</v>
      </c>
      <c r="C157" s="88">
        <v>7</v>
      </c>
      <c r="D157" s="88"/>
      <c r="E157" s="111"/>
      <c r="F157" s="112" t="s">
        <v>139</v>
      </c>
      <c r="G157" s="89">
        <f>+G158+G167+G177</f>
        <v>2829002.8</v>
      </c>
      <c r="H157" s="89">
        <f>+H158+H167+H177</f>
        <v>925675.21</v>
      </c>
      <c r="I157" s="89">
        <f t="shared" si="6"/>
        <v>3754678.01</v>
      </c>
      <c r="J157" s="86"/>
    </row>
    <row r="158" spans="1:10" x14ac:dyDescent="0.2">
      <c r="A158" s="105">
        <v>2</v>
      </c>
      <c r="B158" s="91">
        <v>2</v>
      </c>
      <c r="C158" s="91">
        <v>7</v>
      </c>
      <c r="D158" s="91">
        <v>1</v>
      </c>
      <c r="E158" s="91"/>
      <c r="F158" s="106" t="s">
        <v>140</v>
      </c>
      <c r="G158" s="92">
        <f>SUM(G159:G166)</f>
        <v>1829000</v>
      </c>
      <c r="H158" s="92">
        <f>SUM(H159:H166)</f>
        <v>256800.19999999998</v>
      </c>
      <c r="I158" s="92">
        <f t="shared" si="6"/>
        <v>2085800.2</v>
      </c>
      <c r="J158" s="93"/>
    </row>
    <row r="159" spans="1:10" x14ac:dyDescent="0.2">
      <c r="A159" s="94">
        <v>2</v>
      </c>
      <c r="B159" s="95">
        <v>2</v>
      </c>
      <c r="C159" s="95">
        <v>7</v>
      </c>
      <c r="D159" s="95">
        <v>1</v>
      </c>
      <c r="E159" s="96" t="s">
        <v>35</v>
      </c>
      <c r="F159" s="113" t="s">
        <v>141</v>
      </c>
      <c r="G159" s="97">
        <f>'[1]CUENTA T FONDO 100'!BW461</f>
        <v>0</v>
      </c>
      <c r="H159" s="97">
        <f>'[1]CUENTA T VS'!BW225</f>
        <v>216800.19999999998</v>
      </c>
      <c r="I159" s="97">
        <f t="shared" si="6"/>
        <v>216800.19999999998</v>
      </c>
      <c r="J159" s="98">
        <f t="shared" ref="J159:J166" si="7">I159/$I$25</f>
        <v>1.9957366082896059E-3</v>
      </c>
    </row>
    <row r="160" spans="1:10" x14ac:dyDescent="0.2">
      <c r="A160" s="94">
        <v>2</v>
      </c>
      <c r="B160" s="95">
        <v>2</v>
      </c>
      <c r="C160" s="95">
        <v>7</v>
      </c>
      <c r="D160" s="95">
        <v>1</v>
      </c>
      <c r="E160" s="96" t="s">
        <v>37</v>
      </c>
      <c r="F160" s="113" t="s">
        <v>142</v>
      </c>
      <c r="G160" s="97">
        <f>'[1]CUENTA T FONDO 100'!BX461</f>
        <v>0</v>
      </c>
      <c r="H160" s="97">
        <f>'[1]CUENTA T VS'!BX225</f>
        <v>0</v>
      </c>
      <c r="I160" s="97">
        <f t="shared" si="6"/>
        <v>0</v>
      </c>
      <c r="J160" s="98">
        <f t="shared" si="7"/>
        <v>0</v>
      </c>
    </row>
    <row r="161" spans="1:10" x14ac:dyDescent="0.2">
      <c r="A161" s="94">
        <v>2</v>
      </c>
      <c r="B161" s="95">
        <v>2</v>
      </c>
      <c r="C161" s="95">
        <v>7</v>
      </c>
      <c r="D161" s="95">
        <v>1</v>
      </c>
      <c r="E161" s="96" t="s">
        <v>39</v>
      </c>
      <c r="F161" s="113" t="s">
        <v>143</v>
      </c>
      <c r="G161" s="97">
        <f>'[1]CUENTA T FONDO 100'!BY461</f>
        <v>0</v>
      </c>
      <c r="H161" s="97">
        <f>'[1]CUENTA T VS'!BY225</f>
        <v>0</v>
      </c>
      <c r="I161" s="97">
        <f t="shared" si="6"/>
        <v>0</v>
      </c>
      <c r="J161" s="98">
        <f t="shared" si="7"/>
        <v>0</v>
      </c>
    </row>
    <row r="162" spans="1:10" x14ac:dyDescent="0.2">
      <c r="A162" s="94">
        <v>2</v>
      </c>
      <c r="B162" s="95">
        <v>2</v>
      </c>
      <c r="C162" s="95">
        <v>7</v>
      </c>
      <c r="D162" s="95">
        <v>1</v>
      </c>
      <c r="E162" s="96" t="s">
        <v>41</v>
      </c>
      <c r="F162" s="113" t="s">
        <v>144</v>
      </c>
      <c r="G162" s="97">
        <f>'[1]CUENTA T FONDO 100'!BZ461</f>
        <v>0</v>
      </c>
      <c r="H162" s="97">
        <f>'[1]CUENTA T VS'!BZ225</f>
        <v>0</v>
      </c>
      <c r="I162" s="97">
        <f t="shared" si="6"/>
        <v>0</v>
      </c>
      <c r="J162" s="98">
        <f t="shared" si="7"/>
        <v>0</v>
      </c>
    </row>
    <row r="163" spans="1:10" x14ac:dyDescent="0.2">
      <c r="A163" s="94">
        <v>2</v>
      </c>
      <c r="B163" s="95">
        <v>2</v>
      </c>
      <c r="C163" s="95">
        <v>7</v>
      </c>
      <c r="D163" s="95">
        <v>1</v>
      </c>
      <c r="E163" s="96" t="s">
        <v>43</v>
      </c>
      <c r="F163" s="113" t="s">
        <v>145</v>
      </c>
      <c r="G163" s="97">
        <f>'[1]CUENTA T FONDO 100'!CA461</f>
        <v>0</v>
      </c>
      <c r="H163" s="97">
        <f>'[1]CUENTA T VS'!CA225</f>
        <v>0</v>
      </c>
      <c r="I163" s="97">
        <f t="shared" si="6"/>
        <v>0</v>
      </c>
      <c r="J163" s="98">
        <f t="shared" si="7"/>
        <v>0</v>
      </c>
    </row>
    <row r="164" spans="1:10" x14ac:dyDescent="0.2">
      <c r="A164" s="94">
        <v>2</v>
      </c>
      <c r="B164" s="95">
        <v>2</v>
      </c>
      <c r="C164" s="95">
        <v>7</v>
      </c>
      <c r="D164" s="95">
        <v>1</v>
      </c>
      <c r="E164" s="96" t="s">
        <v>45</v>
      </c>
      <c r="F164" s="113" t="s">
        <v>146</v>
      </c>
      <c r="G164" s="97">
        <f>'[1]CUENTA T FONDO 100'!CB461</f>
        <v>1829000</v>
      </c>
      <c r="H164" s="97">
        <f>'[1]CUENTA T VS'!CB225</f>
        <v>0</v>
      </c>
      <c r="I164" s="97">
        <f t="shared" si="6"/>
        <v>1829000</v>
      </c>
      <c r="J164" s="98">
        <f t="shared" si="7"/>
        <v>1.683671074363257E-2</v>
      </c>
    </row>
    <row r="165" spans="1:10" x14ac:dyDescent="0.2">
      <c r="A165" s="94">
        <v>2</v>
      </c>
      <c r="B165" s="95">
        <v>2</v>
      </c>
      <c r="C165" s="95">
        <v>7</v>
      </c>
      <c r="D165" s="95">
        <v>1</v>
      </c>
      <c r="E165" s="96" t="s">
        <v>71</v>
      </c>
      <c r="F165" s="113" t="s">
        <v>147</v>
      </c>
      <c r="G165" s="97">
        <f>'[1]CUENTA T FONDO 100'!CC461</f>
        <v>0</v>
      </c>
      <c r="H165" s="97">
        <f>'[1]CUENTA T VS'!CC225</f>
        <v>40000</v>
      </c>
      <c r="I165" s="97">
        <f t="shared" si="6"/>
        <v>40000</v>
      </c>
      <c r="J165" s="98">
        <f t="shared" si="7"/>
        <v>3.6821674671695068E-4</v>
      </c>
    </row>
    <row r="166" spans="1:10" ht="25.5" x14ac:dyDescent="0.2">
      <c r="A166" s="94">
        <v>2</v>
      </c>
      <c r="B166" s="95">
        <v>2</v>
      </c>
      <c r="C166" s="95">
        <v>7</v>
      </c>
      <c r="D166" s="95">
        <v>1</v>
      </c>
      <c r="E166" s="96" t="s">
        <v>148</v>
      </c>
      <c r="F166" s="113" t="s">
        <v>149</v>
      </c>
      <c r="G166" s="97">
        <f>'[1]CUENTA T FONDO 100'!CD461</f>
        <v>0</v>
      </c>
      <c r="H166" s="97">
        <f>'[1]CUENTA T VS'!CD225</f>
        <v>0</v>
      </c>
      <c r="I166" s="97">
        <f t="shared" si="6"/>
        <v>0</v>
      </c>
      <c r="J166" s="98">
        <f t="shared" si="7"/>
        <v>0</v>
      </c>
    </row>
    <row r="167" spans="1:10" x14ac:dyDescent="0.2">
      <c r="A167" s="105">
        <v>2</v>
      </c>
      <c r="B167" s="91">
        <v>2</v>
      </c>
      <c r="C167" s="91">
        <v>7</v>
      </c>
      <c r="D167" s="91">
        <v>2</v>
      </c>
      <c r="E167" s="91"/>
      <c r="F167" s="106" t="s">
        <v>150</v>
      </c>
      <c r="G167" s="92">
        <f>SUM(G168:G176)</f>
        <v>1000002.8</v>
      </c>
      <c r="H167" s="92">
        <f>SUM(H168:H176)</f>
        <v>668875.01</v>
      </c>
      <c r="I167" s="92">
        <f t="shared" si="6"/>
        <v>1668877.81</v>
      </c>
      <c r="J167" s="93"/>
    </row>
    <row r="168" spans="1:10" x14ac:dyDescent="0.2">
      <c r="A168" s="94">
        <v>2</v>
      </c>
      <c r="B168" s="95">
        <v>2</v>
      </c>
      <c r="C168" s="95">
        <v>7</v>
      </c>
      <c r="D168" s="95">
        <v>2</v>
      </c>
      <c r="E168" s="96" t="s">
        <v>35</v>
      </c>
      <c r="F168" s="113" t="s">
        <v>151</v>
      </c>
      <c r="G168" s="97">
        <f>'[1]CUENTA T FONDO 100'!CE461</f>
        <v>0</v>
      </c>
      <c r="H168" s="97">
        <f>'[1]CUENTA T VS'!CE225</f>
        <v>30102.05</v>
      </c>
      <c r="I168" s="97">
        <f t="shared" si="6"/>
        <v>30102.05</v>
      </c>
      <c r="J168" s="98">
        <f t="shared" ref="J168:J176" si="8">I168/$I$25</f>
        <v>2.771019730127746E-4</v>
      </c>
    </row>
    <row r="169" spans="1:10" x14ac:dyDescent="0.2">
      <c r="A169" s="94">
        <v>2</v>
      </c>
      <c r="B169" s="95">
        <v>2</v>
      </c>
      <c r="C169" s="95">
        <v>7</v>
      </c>
      <c r="D169" s="95">
        <v>2</v>
      </c>
      <c r="E169" s="96" t="s">
        <v>37</v>
      </c>
      <c r="F169" s="113" t="s">
        <v>152</v>
      </c>
      <c r="G169" s="97">
        <f>'[1]CUENTA T FONDO 100'!CF461</f>
        <v>0</v>
      </c>
      <c r="H169" s="97">
        <f>'[1]CUENTA T VS'!CF225</f>
        <v>0</v>
      </c>
      <c r="I169" s="97">
        <f t="shared" si="6"/>
        <v>0</v>
      </c>
      <c r="J169" s="98">
        <f t="shared" si="8"/>
        <v>0</v>
      </c>
    </row>
    <row r="170" spans="1:10" x14ac:dyDescent="0.2">
      <c r="A170" s="94">
        <v>2</v>
      </c>
      <c r="B170" s="95">
        <v>2</v>
      </c>
      <c r="C170" s="95">
        <v>7</v>
      </c>
      <c r="D170" s="95">
        <v>2</v>
      </c>
      <c r="E170" s="96" t="s">
        <v>39</v>
      </c>
      <c r="F170" s="113" t="s">
        <v>153</v>
      </c>
      <c r="G170" s="97">
        <f>'[1]CUENTA T FONDO 100'!CG461</f>
        <v>0</v>
      </c>
      <c r="H170" s="97">
        <f>'[1]CUENTA T VS'!CG225</f>
        <v>0</v>
      </c>
      <c r="I170" s="97">
        <f t="shared" si="6"/>
        <v>0</v>
      </c>
      <c r="J170" s="98">
        <f t="shared" si="8"/>
        <v>0</v>
      </c>
    </row>
    <row r="171" spans="1:10" x14ac:dyDescent="0.2">
      <c r="A171" s="94">
        <v>2</v>
      </c>
      <c r="B171" s="95">
        <v>2</v>
      </c>
      <c r="C171" s="95">
        <v>7</v>
      </c>
      <c r="D171" s="95">
        <v>2</v>
      </c>
      <c r="E171" s="96" t="s">
        <v>41</v>
      </c>
      <c r="F171" s="113" t="s">
        <v>154</v>
      </c>
      <c r="G171" s="97">
        <f>'[1]CUENTA T FONDO 100'!CH461</f>
        <v>0</v>
      </c>
      <c r="H171" s="97">
        <f>'[1]CUENTA T VS'!CH225</f>
        <v>23010</v>
      </c>
      <c r="I171" s="97">
        <f t="shared" si="6"/>
        <v>23010</v>
      </c>
      <c r="J171" s="98">
        <f t="shared" si="8"/>
        <v>2.1181668354892586E-4</v>
      </c>
    </row>
    <row r="172" spans="1:10" x14ac:dyDescent="0.2">
      <c r="A172" s="94">
        <v>2</v>
      </c>
      <c r="B172" s="95">
        <v>2</v>
      </c>
      <c r="C172" s="95">
        <v>7</v>
      </c>
      <c r="D172" s="95">
        <v>2</v>
      </c>
      <c r="E172" s="96" t="s">
        <v>43</v>
      </c>
      <c r="F172" s="113" t="s">
        <v>155</v>
      </c>
      <c r="G172" s="97">
        <f>'[1]CUENTA T FONDO 100'!CI461</f>
        <v>0</v>
      </c>
      <c r="H172" s="97">
        <f>'[1]CUENTA T VS'!CI225</f>
        <v>0</v>
      </c>
      <c r="I172" s="97">
        <f t="shared" si="6"/>
        <v>0</v>
      </c>
      <c r="J172" s="98">
        <f t="shared" si="8"/>
        <v>0</v>
      </c>
    </row>
    <row r="173" spans="1:10" x14ac:dyDescent="0.2">
      <c r="A173" s="94">
        <v>2</v>
      </c>
      <c r="B173" s="95">
        <v>2</v>
      </c>
      <c r="C173" s="95">
        <v>7</v>
      </c>
      <c r="D173" s="95">
        <v>2</v>
      </c>
      <c r="E173" s="96" t="s">
        <v>45</v>
      </c>
      <c r="F173" s="114" t="s">
        <v>156</v>
      </c>
      <c r="G173" s="97">
        <f>'[1]CUENTA T FONDO 100'!CJ461</f>
        <v>0</v>
      </c>
      <c r="H173" s="97">
        <f>'[1]CUENTA T VS'!CJ225</f>
        <v>0</v>
      </c>
      <c r="I173" s="97">
        <f t="shared" si="6"/>
        <v>0</v>
      </c>
      <c r="J173" s="98">
        <f t="shared" si="8"/>
        <v>0</v>
      </c>
    </row>
    <row r="174" spans="1:10" x14ac:dyDescent="0.2">
      <c r="A174" s="94">
        <v>2</v>
      </c>
      <c r="B174" s="95">
        <v>2</v>
      </c>
      <c r="C174" s="95">
        <v>7</v>
      </c>
      <c r="D174" s="95">
        <v>2</v>
      </c>
      <c r="E174" s="96" t="s">
        <v>71</v>
      </c>
      <c r="F174" s="114" t="s">
        <v>157</v>
      </c>
      <c r="G174" s="97">
        <f>'[1]CUENTA T FONDO 100'!CK461</f>
        <v>0</v>
      </c>
      <c r="H174" s="97">
        <f>'[1]CUENTA T VS'!CK225</f>
        <v>0</v>
      </c>
      <c r="I174" s="97">
        <f t="shared" si="6"/>
        <v>0</v>
      </c>
      <c r="J174" s="98">
        <f t="shared" si="8"/>
        <v>0</v>
      </c>
    </row>
    <row r="175" spans="1:10" x14ac:dyDescent="0.2">
      <c r="A175" s="94">
        <v>2</v>
      </c>
      <c r="B175" s="95">
        <v>2</v>
      </c>
      <c r="C175" s="95">
        <v>7</v>
      </c>
      <c r="D175" s="95">
        <v>2</v>
      </c>
      <c r="E175" s="96" t="s">
        <v>51</v>
      </c>
      <c r="F175" s="114" t="s">
        <v>158</v>
      </c>
      <c r="G175" s="97">
        <f>'[1]CUENTA T FONDO 100'!CL461</f>
        <v>1000002.8</v>
      </c>
      <c r="H175" s="97">
        <f>'[1]CUENTA T VS'!CL225</f>
        <v>615762.96</v>
      </c>
      <c r="I175" s="97">
        <f t="shared" si="6"/>
        <v>1615765.76</v>
      </c>
      <c r="J175" s="98">
        <f t="shared" si="8"/>
        <v>1.4873800290096032E-2</v>
      </c>
    </row>
    <row r="176" spans="1:10" ht="25.5" x14ac:dyDescent="0.2">
      <c r="A176" s="94">
        <v>2</v>
      </c>
      <c r="B176" s="95">
        <v>2</v>
      </c>
      <c r="C176" s="95">
        <v>7</v>
      </c>
      <c r="D176" s="95">
        <v>2</v>
      </c>
      <c r="E176" s="96" t="s">
        <v>148</v>
      </c>
      <c r="F176" s="114" t="s">
        <v>159</v>
      </c>
      <c r="G176" s="97">
        <f>'[1]CUENTA T FONDO 100'!CM461</f>
        <v>0</v>
      </c>
      <c r="H176" s="97">
        <f>'[1]CUENTA T VS'!CM225</f>
        <v>0</v>
      </c>
      <c r="I176" s="97">
        <f t="shared" si="6"/>
        <v>0</v>
      </c>
      <c r="J176" s="98">
        <f t="shared" si="8"/>
        <v>0</v>
      </c>
    </row>
    <row r="177" spans="1:10" x14ac:dyDescent="0.2">
      <c r="A177" s="90">
        <v>2</v>
      </c>
      <c r="B177" s="91">
        <v>2</v>
      </c>
      <c r="C177" s="91">
        <v>7</v>
      </c>
      <c r="D177" s="91">
        <v>3</v>
      </c>
      <c r="E177" s="110"/>
      <c r="F177" s="90" t="s">
        <v>160</v>
      </c>
      <c r="G177" s="92">
        <f>SUM(G178)</f>
        <v>0</v>
      </c>
      <c r="H177" s="92">
        <f>SUM(H178)</f>
        <v>0</v>
      </c>
      <c r="I177" s="92">
        <f t="shared" si="6"/>
        <v>0</v>
      </c>
      <c r="J177" s="93"/>
    </row>
    <row r="178" spans="1:10" x14ac:dyDescent="0.2">
      <c r="A178" s="94">
        <v>2</v>
      </c>
      <c r="B178" s="95">
        <v>2</v>
      </c>
      <c r="C178" s="95">
        <v>7</v>
      </c>
      <c r="D178" s="95">
        <v>3</v>
      </c>
      <c r="E178" s="96" t="s">
        <v>35</v>
      </c>
      <c r="F178" s="94" t="s">
        <v>160</v>
      </c>
      <c r="G178" s="97">
        <f>'[1]CUENTA T FONDO 100'!CN461</f>
        <v>0</v>
      </c>
      <c r="H178" s="97">
        <f>'[1]CUENTA T VS'!CN225</f>
        <v>0</v>
      </c>
      <c r="I178" s="97">
        <f t="shared" si="6"/>
        <v>0</v>
      </c>
      <c r="J178" s="98">
        <f>I178/$I$25</f>
        <v>0</v>
      </c>
    </row>
    <row r="179" spans="1:10" x14ac:dyDescent="0.2">
      <c r="A179" s="87">
        <v>2</v>
      </c>
      <c r="B179" s="88">
        <v>2</v>
      </c>
      <c r="C179" s="88">
        <v>8</v>
      </c>
      <c r="D179" s="88"/>
      <c r="E179" s="88"/>
      <c r="F179" s="87" t="s">
        <v>161</v>
      </c>
      <c r="G179" s="89">
        <f>+G180+G182+G184+G186+G188+G192+G197+G204</f>
        <v>0</v>
      </c>
      <c r="H179" s="89">
        <f>+H180+H182+H184+H186+H188+H192+H197+H204</f>
        <v>524832.27</v>
      </c>
      <c r="I179" s="89">
        <f t="shared" si="6"/>
        <v>524832.27</v>
      </c>
      <c r="J179" s="86"/>
    </row>
    <row r="180" spans="1:10" x14ac:dyDescent="0.2">
      <c r="A180" s="90">
        <v>2</v>
      </c>
      <c r="B180" s="91">
        <v>2</v>
      </c>
      <c r="C180" s="91">
        <v>8</v>
      </c>
      <c r="D180" s="91">
        <v>1</v>
      </c>
      <c r="E180" s="91"/>
      <c r="F180" s="90" t="s">
        <v>162</v>
      </c>
      <c r="G180" s="92">
        <f>SUM(G181)</f>
        <v>0</v>
      </c>
      <c r="H180" s="92">
        <f>SUM(H181)</f>
        <v>0</v>
      </c>
      <c r="I180" s="92">
        <f t="shared" si="6"/>
        <v>0</v>
      </c>
      <c r="J180" s="93"/>
    </row>
    <row r="181" spans="1:10" x14ac:dyDescent="0.2">
      <c r="A181" s="94">
        <v>2</v>
      </c>
      <c r="B181" s="95">
        <v>2</v>
      </c>
      <c r="C181" s="95">
        <v>8</v>
      </c>
      <c r="D181" s="95">
        <v>1</v>
      </c>
      <c r="E181" s="96" t="s">
        <v>35</v>
      </c>
      <c r="F181" s="94" t="s">
        <v>162</v>
      </c>
      <c r="G181" s="97">
        <f>'[1]CUENTA T FONDO 100'!CO461</f>
        <v>0</v>
      </c>
      <c r="H181" s="97">
        <f>'[1]CUENTA T VS'!CO225</f>
        <v>0</v>
      </c>
      <c r="I181" s="97">
        <f t="shared" si="6"/>
        <v>0</v>
      </c>
      <c r="J181" s="98">
        <f>I181/$I$25</f>
        <v>0</v>
      </c>
    </row>
    <row r="182" spans="1:10" x14ac:dyDescent="0.2">
      <c r="A182" s="90">
        <v>2</v>
      </c>
      <c r="B182" s="91">
        <v>2</v>
      </c>
      <c r="C182" s="91">
        <v>8</v>
      </c>
      <c r="D182" s="91">
        <v>2</v>
      </c>
      <c r="E182" s="91"/>
      <c r="F182" s="90" t="s">
        <v>163</v>
      </c>
      <c r="G182" s="92">
        <f>SUM(G183)</f>
        <v>0</v>
      </c>
      <c r="H182" s="92">
        <f>SUM(H183)</f>
        <v>13746.67</v>
      </c>
      <c r="I182" s="92">
        <f t="shared" si="6"/>
        <v>13746.67</v>
      </c>
      <c r="J182" s="93"/>
    </row>
    <row r="183" spans="1:10" x14ac:dyDescent="0.2">
      <c r="A183" s="94">
        <v>2</v>
      </c>
      <c r="B183" s="95">
        <v>2</v>
      </c>
      <c r="C183" s="95">
        <v>8</v>
      </c>
      <c r="D183" s="95">
        <v>2</v>
      </c>
      <c r="E183" s="96" t="s">
        <v>35</v>
      </c>
      <c r="F183" s="94" t="s">
        <v>163</v>
      </c>
      <c r="G183" s="97">
        <f>'[1]CUENTA T FONDO 100'!CP461</f>
        <v>0</v>
      </c>
      <c r="H183" s="97">
        <f>'[1]CUENTA T VS'!CP225</f>
        <v>13746.67</v>
      </c>
      <c r="I183" s="97">
        <f t="shared" si="6"/>
        <v>13746.67</v>
      </c>
      <c r="J183" s="98">
        <f>I183/$I$25</f>
        <v>1.2654385263978762E-4</v>
      </c>
    </row>
    <row r="184" spans="1:10" x14ac:dyDescent="0.2">
      <c r="A184" s="90">
        <v>2</v>
      </c>
      <c r="B184" s="91">
        <v>2</v>
      </c>
      <c r="C184" s="91">
        <v>8</v>
      </c>
      <c r="D184" s="91">
        <v>3</v>
      </c>
      <c r="E184" s="91"/>
      <c r="F184" s="90" t="s">
        <v>164</v>
      </c>
      <c r="G184" s="92">
        <f>SUM(G185)</f>
        <v>0</v>
      </c>
      <c r="H184" s="92">
        <f>SUM(H185)</f>
        <v>195000</v>
      </c>
      <c r="I184" s="92">
        <f t="shared" si="6"/>
        <v>195000</v>
      </c>
      <c r="J184" s="93"/>
    </row>
    <row r="185" spans="1:10" x14ac:dyDescent="0.2">
      <c r="A185" s="94">
        <v>2</v>
      </c>
      <c r="B185" s="95">
        <v>2</v>
      </c>
      <c r="C185" s="95">
        <v>8</v>
      </c>
      <c r="D185" s="95">
        <v>3</v>
      </c>
      <c r="E185" s="96" t="s">
        <v>35</v>
      </c>
      <c r="F185" s="94" t="s">
        <v>164</v>
      </c>
      <c r="G185" s="97">
        <f>'[1]CUENTA T FONDO 100'!CQ461</f>
        <v>0</v>
      </c>
      <c r="H185" s="97">
        <f>'[1]CUENTA T VS'!CQ225</f>
        <v>195000</v>
      </c>
      <c r="I185" s="97">
        <f t="shared" si="6"/>
        <v>195000</v>
      </c>
      <c r="J185" s="98">
        <f>I185/$I$25</f>
        <v>1.7950566402451344E-3</v>
      </c>
    </row>
    <row r="186" spans="1:10" x14ac:dyDescent="0.2">
      <c r="A186" s="90">
        <v>2</v>
      </c>
      <c r="B186" s="91">
        <v>2</v>
      </c>
      <c r="C186" s="91">
        <v>8</v>
      </c>
      <c r="D186" s="91">
        <v>4</v>
      </c>
      <c r="E186" s="91"/>
      <c r="F186" s="90" t="s">
        <v>165</v>
      </c>
      <c r="G186" s="92">
        <f>SUM(G187)</f>
        <v>0</v>
      </c>
      <c r="H186" s="92">
        <f>SUM(H187)</f>
        <v>0</v>
      </c>
      <c r="I186" s="92">
        <f t="shared" si="6"/>
        <v>0</v>
      </c>
      <c r="J186" s="93"/>
    </row>
    <row r="187" spans="1:10" x14ac:dyDescent="0.2">
      <c r="A187" s="94">
        <v>2</v>
      </c>
      <c r="B187" s="95">
        <v>2</v>
      </c>
      <c r="C187" s="95">
        <v>8</v>
      </c>
      <c r="D187" s="95">
        <v>4</v>
      </c>
      <c r="E187" s="96" t="s">
        <v>35</v>
      </c>
      <c r="F187" s="94" t="s">
        <v>165</v>
      </c>
      <c r="G187" s="97">
        <f>'[1]CUENTA T FONDO 100'!CR461</f>
        <v>0</v>
      </c>
      <c r="H187" s="97">
        <f>'[1]CUENTA T VS'!CR225</f>
        <v>0</v>
      </c>
      <c r="I187" s="97">
        <f t="shared" si="6"/>
        <v>0</v>
      </c>
      <c r="J187" s="98">
        <f>I187/$I$25</f>
        <v>0</v>
      </c>
    </row>
    <row r="188" spans="1:10" x14ac:dyDescent="0.2">
      <c r="A188" s="90">
        <v>2</v>
      </c>
      <c r="B188" s="91">
        <v>2</v>
      </c>
      <c r="C188" s="91">
        <v>8</v>
      </c>
      <c r="D188" s="91">
        <v>5</v>
      </c>
      <c r="E188" s="91"/>
      <c r="F188" s="90" t="s">
        <v>166</v>
      </c>
      <c r="G188" s="92">
        <f>SUM(G189:G191)</f>
        <v>0</v>
      </c>
      <c r="H188" s="92">
        <f>SUM(H189:H191)</f>
        <v>197673.60000000001</v>
      </c>
      <c r="I188" s="92">
        <f t="shared" si="6"/>
        <v>197673.60000000001</v>
      </c>
      <c r="J188" s="93"/>
    </row>
    <row r="189" spans="1:10" x14ac:dyDescent="0.2">
      <c r="A189" s="94">
        <v>2</v>
      </c>
      <c r="B189" s="95">
        <v>2</v>
      </c>
      <c r="C189" s="95">
        <v>8</v>
      </c>
      <c r="D189" s="95">
        <v>5</v>
      </c>
      <c r="E189" s="96" t="s">
        <v>35</v>
      </c>
      <c r="F189" s="94" t="s">
        <v>167</v>
      </c>
      <c r="G189" s="97">
        <f>'[1]CUENTA T FONDO 100'!CS461</f>
        <v>0</v>
      </c>
      <c r="H189" s="97">
        <f>'[1]CUENTA T VS'!CS225</f>
        <v>0</v>
      </c>
      <c r="I189" s="97">
        <f t="shared" si="6"/>
        <v>0</v>
      </c>
      <c r="J189" s="98">
        <f>I189/$I$25</f>
        <v>0</v>
      </c>
    </row>
    <row r="190" spans="1:10" x14ac:dyDescent="0.2">
      <c r="A190" s="94">
        <v>2</v>
      </c>
      <c r="B190" s="95">
        <v>2</v>
      </c>
      <c r="C190" s="95">
        <v>8</v>
      </c>
      <c r="D190" s="95">
        <v>5</v>
      </c>
      <c r="E190" s="96" t="s">
        <v>37</v>
      </c>
      <c r="F190" s="94" t="s">
        <v>168</v>
      </c>
      <c r="G190" s="97">
        <f>'[1]CUENTA T FONDO 100'!CT461</f>
        <v>0</v>
      </c>
      <c r="H190" s="97">
        <f>'[1]CUENTA T VS'!CT225</f>
        <v>0</v>
      </c>
      <c r="I190" s="97">
        <f t="shared" si="6"/>
        <v>0</v>
      </c>
      <c r="J190" s="98">
        <f>I190/$I$25</f>
        <v>0</v>
      </c>
    </row>
    <row r="191" spans="1:10" x14ac:dyDescent="0.2">
      <c r="A191" s="94">
        <v>2</v>
      </c>
      <c r="B191" s="95">
        <v>2</v>
      </c>
      <c r="C191" s="95">
        <v>8</v>
      </c>
      <c r="D191" s="95">
        <v>5</v>
      </c>
      <c r="E191" s="96" t="s">
        <v>39</v>
      </c>
      <c r="F191" s="94" t="s">
        <v>169</v>
      </c>
      <c r="G191" s="97">
        <f>'[1]CUENTA T FONDO 100'!CU461</f>
        <v>0</v>
      </c>
      <c r="H191" s="97">
        <f>'[1]CUENTA T VS'!CU225</f>
        <v>197673.60000000001</v>
      </c>
      <c r="I191" s="97">
        <f t="shared" si="6"/>
        <v>197673.60000000001</v>
      </c>
      <c r="J191" s="98">
        <f>I191/$I$25</f>
        <v>1.8196682475956954E-3</v>
      </c>
    </row>
    <row r="192" spans="1:10" x14ac:dyDescent="0.2">
      <c r="A192" s="90">
        <v>2</v>
      </c>
      <c r="B192" s="91">
        <v>2</v>
      </c>
      <c r="C192" s="91">
        <v>8</v>
      </c>
      <c r="D192" s="91">
        <v>6</v>
      </c>
      <c r="E192" s="91"/>
      <c r="F192" s="90" t="s">
        <v>170</v>
      </c>
      <c r="G192" s="92">
        <f>SUM(G193:G196)</f>
        <v>0</v>
      </c>
      <c r="H192" s="92">
        <f>SUM(H193:H196)</f>
        <v>0</v>
      </c>
      <c r="I192" s="92">
        <f t="shared" si="6"/>
        <v>0</v>
      </c>
      <c r="J192" s="93"/>
    </row>
    <row r="193" spans="1:10" x14ac:dyDescent="0.2">
      <c r="A193" s="94">
        <v>2</v>
      </c>
      <c r="B193" s="95">
        <v>2</v>
      </c>
      <c r="C193" s="95">
        <v>8</v>
      </c>
      <c r="D193" s="95">
        <v>6</v>
      </c>
      <c r="E193" s="96" t="s">
        <v>35</v>
      </c>
      <c r="F193" s="94" t="s">
        <v>171</v>
      </c>
      <c r="G193" s="97">
        <f>'[1]CUENTA T FONDO 100'!CV461</f>
        <v>0</v>
      </c>
      <c r="H193" s="97">
        <f>'[1]CUENTA T VS'!CV225</f>
        <v>0</v>
      </c>
      <c r="I193" s="97">
        <f t="shared" si="6"/>
        <v>0</v>
      </c>
      <c r="J193" s="98">
        <f>I193/$I$25</f>
        <v>0</v>
      </c>
    </row>
    <row r="194" spans="1:10" x14ac:dyDescent="0.2">
      <c r="A194" s="94">
        <v>2</v>
      </c>
      <c r="B194" s="95">
        <v>2</v>
      </c>
      <c r="C194" s="95">
        <v>8</v>
      </c>
      <c r="D194" s="95">
        <v>6</v>
      </c>
      <c r="E194" s="96" t="s">
        <v>37</v>
      </c>
      <c r="F194" s="94" t="s">
        <v>172</v>
      </c>
      <c r="G194" s="97">
        <f>'[1]CUENTA T FONDO 100'!CW461</f>
        <v>0</v>
      </c>
      <c r="H194" s="97">
        <f>'[1]CUENTA T VS'!CW225</f>
        <v>0</v>
      </c>
      <c r="I194" s="97">
        <f t="shared" si="6"/>
        <v>0</v>
      </c>
      <c r="J194" s="98">
        <f>I194/$I$25</f>
        <v>0</v>
      </c>
    </row>
    <row r="195" spans="1:10" x14ac:dyDescent="0.2">
      <c r="A195" s="94">
        <v>2</v>
      </c>
      <c r="B195" s="95">
        <v>2</v>
      </c>
      <c r="C195" s="95">
        <v>8</v>
      </c>
      <c r="D195" s="95">
        <v>6</v>
      </c>
      <c r="E195" s="96" t="s">
        <v>39</v>
      </c>
      <c r="F195" s="94" t="s">
        <v>173</v>
      </c>
      <c r="G195" s="97">
        <f>'[1]CUENTA T FONDO 100'!CX461</f>
        <v>0</v>
      </c>
      <c r="H195" s="97">
        <f>'[1]CUENTA T VS'!CX225</f>
        <v>0</v>
      </c>
      <c r="I195" s="97">
        <f t="shared" si="6"/>
        <v>0</v>
      </c>
      <c r="J195" s="98">
        <f>I195/$I$25</f>
        <v>0</v>
      </c>
    </row>
    <row r="196" spans="1:10" x14ac:dyDescent="0.2">
      <c r="A196" s="94">
        <v>2</v>
      </c>
      <c r="B196" s="95">
        <v>2</v>
      </c>
      <c r="C196" s="95">
        <v>8</v>
      </c>
      <c r="D196" s="95">
        <v>6</v>
      </c>
      <c r="E196" s="96" t="s">
        <v>41</v>
      </c>
      <c r="F196" s="94" t="s">
        <v>174</v>
      </c>
      <c r="G196" s="97">
        <f>'[1]CUENTA T FONDO 100'!CY461</f>
        <v>0</v>
      </c>
      <c r="H196" s="97">
        <f>'[1]CUENTA T VS'!CY225</f>
        <v>0</v>
      </c>
      <c r="I196" s="97">
        <f t="shared" si="6"/>
        <v>0</v>
      </c>
      <c r="J196" s="98">
        <f>I196/$I$25</f>
        <v>0</v>
      </c>
    </row>
    <row r="197" spans="1:10" x14ac:dyDescent="0.2">
      <c r="A197" s="90">
        <v>2</v>
      </c>
      <c r="B197" s="91">
        <v>2</v>
      </c>
      <c r="C197" s="91">
        <v>8</v>
      </c>
      <c r="D197" s="91">
        <v>7</v>
      </c>
      <c r="E197" s="91"/>
      <c r="F197" s="90" t="s">
        <v>175</v>
      </c>
      <c r="G197" s="92">
        <f>SUM(G198:G203)</f>
        <v>0</v>
      </c>
      <c r="H197" s="92">
        <f>SUM(H198:H203)</f>
        <v>108500</v>
      </c>
      <c r="I197" s="92">
        <f t="shared" si="6"/>
        <v>108500</v>
      </c>
      <c r="J197" s="93"/>
    </row>
    <row r="198" spans="1:10" x14ac:dyDescent="0.2">
      <c r="A198" s="94">
        <v>2</v>
      </c>
      <c r="B198" s="95">
        <v>2</v>
      </c>
      <c r="C198" s="95">
        <v>8</v>
      </c>
      <c r="D198" s="95">
        <v>7</v>
      </c>
      <c r="E198" s="96" t="s">
        <v>35</v>
      </c>
      <c r="F198" s="114" t="s">
        <v>176</v>
      </c>
      <c r="G198" s="97">
        <f>'[1]CUENTA T FONDO 100'!CZ461</f>
        <v>0</v>
      </c>
      <c r="H198" s="97">
        <f>'[1]CUENTA T VS'!CZ225</f>
        <v>0</v>
      </c>
      <c r="I198" s="97">
        <f t="shared" si="6"/>
        <v>0</v>
      </c>
      <c r="J198" s="98">
        <f t="shared" ref="J198:J203" si="9">I198/$I$25</f>
        <v>0</v>
      </c>
    </row>
    <row r="199" spans="1:10" x14ac:dyDescent="0.2">
      <c r="A199" s="94">
        <v>2</v>
      </c>
      <c r="B199" s="95">
        <v>2</v>
      </c>
      <c r="C199" s="95">
        <v>8</v>
      </c>
      <c r="D199" s="95">
        <v>7</v>
      </c>
      <c r="E199" s="96" t="s">
        <v>37</v>
      </c>
      <c r="F199" s="114" t="s">
        <v>177</v>
      </c>
      <c r="G199" s="97">
        <f>'[1]CUENTA T FONDO 100'!DA461</f>
        <v>0</v>
      </c>
      <c r="H199" s="97">
        <f>'[1]CUENTA T VS'!DA225</f>
        <v>0</v>
      </c>
      <c r="I199" s="97">
        <f t="shared" si="6"/>
        <v>0</v>
      </c>
      <c r="J199" s="98">
        <f t="shared" si="9"/>
        <v>0</v>
      </c>
    </row>
    <row r="200" spans="1:10" x14ac:dyDescent="0.2">
      <c r="A200" s="94">
        <v>2</v>
      </c>
      <c r="B200" s="95">
        <v>2</v>
      </c>
      <c r="C200" s="95">
        <v>8</v>
      </c>
      <c r="D200" s="95">
        <v>7</v>
      </c>
      <c r="E200" s="96" t="s">
        <v>39</v>
      </c>
      <c r="F200" s="114" t="s">
        <v>178</v>
      </c>
      <c r="G200" s="97">
        <f>'[1]CUENTA T FONDO 100'!DB461</f>
        <v>0</v>
      </c>
      <c r="H200" s="97">
        <f>'[1]CUENTA T VS'!DB225</f>
        <v>0</v>
      </c>
      <c r="I200" s="97">
        <f t="shared" si="6"/>
        <v>0</v>
      </c>
      <c r="J200" s="98">
        <f t="shared" si="9"/>
        <v>0</v>
      </c>
    </row>
    <row r="201" spans="1:10" x14ac:dyDescent="0.2">
      <c r="A201" s="94">
        <v>2</v>
      </c>
      <c r="B201" s="95">
        <v>2</v>
      </c>
      <c r="C201" s="95">
        <v>8</v>
      </c>
      <c r="D201" s="95">
        <v>7</v>
      </c>
      <c r="E201" s="96" t="s">
        <v>41</v>
      </c>
      <c r="F201" s="114" t="s">
        <v>179</v>
      </c>
      <c r="G201" s="97">
        <f>'[1]CUENTA T FONDO 100'!DC461</f>
        <v>0</v>
      </c>
      <c r="H201" s="97">
        <f>'[1]CUENTA T VS'!DC225</f>
        <v>0</v>
      </c>
      <c r="I201" s="97">
        <f t="shared" si="6"/>
        <v>0</v>
      </c>
      <c r="J201" s="98">
        <f t="shared" si="9"/>
        <v>0</v>
      </c>
    </row>
    <row r="202" spans="1:10" x14ac:dyDescent="0.2">
      <c r="A202" s="94">
        <v>2</v>
      </c>
      <c r="B202" s="95">
        <v>2</v>
      </c>
      <c r="C202" s="95">
        <v>8</v>
      </c>
      <c r="D202" s="95">
        <v>7</v>
      </c>
      <c r="E202" s="96" t="s">
        <v>43</v>
      </c>
      <c r="F202" s="114" t="s">
        <v>180</v>
      </c>
      <c r="G202" s="97">
        <f>'[1]CUENTA T FONDO 100'!DD461</f>
        <v>0</v>
      </c>
      <c r="H202" s="97">
        <f>'[1]CUENTA T VS'!DD225</f>
        <v>0</v>
      </c>
      <c r="I202" s="97">
        <f t="shared" si="6"/>
        <v>0</v>
      </c>
      <c r="J202" s="98">
        <f t="shared" si="9"/>
        <v>0</v>
      </c>
    </row>
    <row r="203" spans="1:10" x14ac:dyDescent="0.2">
      <c r="A203" s="94">
        <v>2</v>
      </c>
      <c r="B203" s="95">
        <v>2</v>
      </c>
      <c r="C203" s="95">
        <v>8</v>
      </c>
      <c r="D203" s="95">
        <v>7</v>
      </c>
      <c r="E203" s="96" t="s">
        <v>45</v>
      </c>
      <c r="F203" s="114" t="s">
        <v>181</v>
      </c>
      <c r="G203" s="97">
        <f>'[1]CUENTA T FONDO 100'!DE461</f>
        <v>0</v>
      </c>
      <c r="H203" s="97">
        <f>'[1]CUENTA T VS'!DE225</f>
        <v>108500</v>
      </c>
      <c r="I203" s="97">
        <f t="shared" si="6"/>
        <v>108500</v>
      </c>
      <c r="J203" s="98">
        <f t="shared" si="9"/>
        <v>9.9878792546972874E-4</v>
      </c>
    </row>
    <row r="204" spans="1:10" x14ac:dyDescent="0.2">
      <c r="A204" s="90">
        <v>2</v>
      </c>
      <c r="B204" s="91">
        <v>2</v>
      </c>
      <c r="C204" s="91">
        <v>8</v>
      </c>
      <c r="D204" s="91">
        <v>8</v>
      </c>
      <c r="E204" s="91"/>
      <c r="F204" s="115" t="s">
        <v>182</v>
      </c>
      <c r="G204" s="92">
        <f>SUM(G205:G207)</f>
        <v>0</v>
      </c>
      <c r="H204" s="92">
        <f>SUM(H205:H207)</f>
        <v>9912</v>
      </c>
      <c r="I204" s="92">
        <f t="shared" si="6"/>
        <v>9912</v>
      </c>
      <c r="J204" s="93"/>
    </row>
    <row r="205" spans="1:10" x14ac:dyDescent="0.2">
      <c r="A205" s="94">
        <v>2</v>
      </c>
      <c r="B205" s="95">
        <v>2</v>
      </c>
      <c r="C205" s="95">
        <v>8</v>
      </c>
      <c r="D205" s="95">
        <v>8</v>
      </c>
      <c r="E205" s="96" t="s">
        <v>35</v>
      </c>
      <c r="F205" s="114" t="s">
        <v>183</v>
      </c>
      <c r="G205" s="97">
        <f>'[1]CUENTA T FONDO 100'!DF461</f>
        <v>0</v>
      </c>
      <c r="H205" s="97">
        <f>'[1]CUENTA T VS'!DF225</f>
        <v>9912</v>
      </c>
      <c r="I205" s="97">
        <f t="shared" si="6"/>
        <v>9912</v>
      </c>
      <c r="J205" s="98">
        <f>I205/$I$25</f>
        <v>9.1244109836460371E-5</v>
      </c>
    </row>
    <row r="206" spans="1:10" x14ac:dyDescent="0.2">
      <c r="A206" s="94">
        <v>2</v>
      </c>
      <c r="B206" s="95">
        <v>2</v>
      </c>
      <c r="C206" s="95">
        <v>8</v>
      </c>
      <c r="D206" s="95">
        <v>8</v>
      </c>
      <c r="E206" s="96" t="s">
        <v>37</v>
      </c>
      <c r="F206" s="114" t="s">
        <v>184</v>
      </c>
      <c r="G206" s="97">
        <f>'[1]CUENTA T FONDO 100'!DG461</f>
        <v>0</v>
      </c>
      <c r="H206" s="97">
        <f>'[1]CUENTA T VS'!DG225</f>
        <v>0</v>
      </c>
      <c r="I206" s="97">
        <f t="shared" si="6"/>
        <v>0</v>
      </c>
      <c r="J206" s="98">
        <f>I206/$I$25</f>
        <v>0</v>
      </c>
    </row>
    <row r="207" spans="1:10" x14ac:dyDescent="0.2">
      <c r="A207" s="94">
        <v>2</v>
      </c>
      <c r="B207" s="95">
        <v>2</v>
      </c>
      <c r="C207" s="95">
        <v>8</v>
      </c>
      <c r="D207" s="95">
        <v>8</v>
      </c>
      <c r="E207" s="96" t="s">
        <v>39</v>
      </c>
      <c r="F207" s="114" t="s">
        <v>185</v>
      </c>
      <c r="G207" s="97">
        <f>'[1]CUENTA T FONDO 100'!DH461</f>
        <v>0</v>
      </c>
      <c r="H207" s="97">
        <f>'[1]CUENTA T VS'!DH225</f>
        <v>0</v>
      </c>
      <c r="I207" s="97">
        <f t="shared" si="6"/>
        <v>0</v>
      </c>
      <c r="J207" s="98">
        <f>I207/$I$25</f>
        <v>0</v>
      </c>
    </row>
    <row r="208" spans="1:10" x14ac:dyDescent="0.2">
      <c r="A208" s="87">
        <v>2</v>
      </c>
      <c r="B208" s="88">
        <v>2</v>
      </c>
      <c r="C208" s="88">
        <v>9</v>
      </c>
      <c r="D208" s="88"/>
      <c r="E208" s="88"/>
      <c r="F208" s="87" t="s">
        <v>186</v>
      </c>
      <c r="G208" s="89">
        <f t="shared" ref="G208:H208" si="10">+G209</f>
        <v>0</v>
      </c>
      <c r="H208" s="89">
        <f t="shared" si="10"/>
        <v>459680.8</v>
      </c>
      <c r="I208" s="89">
        <f t="shared" si="6"/>
        <v>459680.8</v>
      </c>
      <c r="J208" s="86"/>
    </row>
    <row r="209" spans="1:10" x14ac:dyDescent="0.2">
      <c r="A209" s="90">
        <v>2</v>
      </c>
      <c r="B209" s="91">
        <v>2</v>
      </c>
      <c r="C209" s="91">
        <v>9</v>
      </c>
      <c r="D209" s="91">
        <v>2</v>
      </c>
      <c r="E209" s="91"/>
      <c r="F209" s="90" t="s">
        <v>187</v>
      </c>
      <c r="G209" s="92">
        <f>G210+G211</f>
        <v>0</v>
      </c>
      <c r="H209" s="92">
        <f t="shared" ref="H209" si="11">H210+H211</f>
        <v>459680.8</v>
      </c>
      <c r="I209" s="92">
        <f t="shared" si="6"/>
        <v>459680.8</v>
      </c>
      <c r="J209" s="93"/>
    </row>
    <row r="210" spans="1:10" x14ac:dyDescent="0.2">
      <c r="A210" s="94">
        <v>2</v>
      </c>
      <c r="B210" s="95">
        <v>2</v>
      </c>
      <c r="C210" s="95">
        <v>9</v>
      </c>
      <c r="D210" s="95">
        <v>2</v>
      </c>
      <c r="E210" s="96" t="s">
        <v>35</v>
      </c>
      <c r="F210" s="114" t="s">
        <v>188</v>
      </c>
      <c r="G210" s="97">
        <f>'[1]CUENTA T FONDO 100'!DI461</f>
        <v>0</v>
      </c>
      <c r="H210" s="97">
        <f>'[1]CUENTA T VS'!DI225</f>
        <v>0</v>
      </c>
      <c r="I210" s="97">
        <f t="shared" si="6"/>
        <v>0</v>
      </c>
      <c r="J210" s="98">
        <f>I210/$I$25</f>
        <v>0</v>
      </c>
    </row>
    <row r="211" spans="1:10" x14ac:dyDescent="0.2">
      <c r="A211" s="94">
        <v>2</v>
      </c>
      <c r="B211" s="95">
        <v>2</v>
      </c>
      <c r="C211" s="95">
        <v>9</v>
      </c>
      <c r="D211" s="95">
        <v>2</v>
      </c>
      <c r="E211" s="96" t="s">
        <v>39</v>
      </c>
      <c r="F211" s="114" t="s">
        <v>189</v>
      </c>
      <c r="G211" s="97">
        <f>'[1]CUENTA T FONDO 100'!DJ461</f>
        <v>0</v>
      </c>
      <c r="H211" s="97">
        <f>'[1]CUENTA T VS'!DJ225</f>
        <v>459680.8</v>
      </c>
      <c r="I211" s="97">
        <f t="shared" si="6"/>
        <v>459680.8</v>
      </c>
      <c r="J211" s="98">
        <f>I211/$I$25</f>
        <v>4.2315542176061312E-3</v>
      </c>
    </row>
    <row r="212" spans="1:10" x14ac:dyDescent="0.2">
      <c r="A212" s="103">
        <v>2</v>
      </c>
      <c r="B212" s="88">
        <v>3</v>
      </c>
      <c r="C212" s="88"/>
      <c r="D212" s="88"/>
      <c r="E212" s="88"/>
      <c r="F212" s="87" t="s">
        <v>190</v>
      </c>
      <c r="G212" s="89">
        <f>G213+G225+G232+G245+G250+G261+G286+G303+G308</f>
        <v>14321739.580000002</v>
      </c>
      <c r="H212" s="89">
        <f>H213+H225+H232+H245+H250+H261+H286+H303+H308</f>
        <v>2478357.52</v>
      </c>
      <c r="I212" s="89">
        <f t="shared" si="6"/>
        <v>16800097.100000001</v>
      </c>
      <c r="J212" s="86">
        <f>I212/$I$25</f>
        <v>0.15465192746727194</v>
      </c>
    </row>
    <row r="213" spans="1:10" x14ac:dyDescent="0.2">
      <c r="A213" s="103">
        <v>2</v>
      </c>
      <c r="B213" s="88">
        <v>3</v>
      </c>
      <c r="C213" s="88">
        <v>1</v>
      </c>
      <c r="D213" s="88"/>
      <c r="E213" s="88"/>
      <c r="F213" s="87" t="s">
        <v>191</v>
      </c>
      <c r="G213" s="89">
        <f>+G214+G217+G219+G223</f>
        <v>2077230.72</v>
      </c>
      <c r="H213" s="89">
        <f>+H214+H217+H219+H223</f>
        <v>166750</v>
      </c>
      <c r="I213" s="89">
        <f t="shared" si="6"/>
        <v>2243980.7199999997</v>
      </c>
      <c r="J213" s="86"/>
    </row>
    <row r="214" spans="1:10" x14ac:dyDescent="0.2">
      <c r="A214" s="105">
        <v>2</v>
      </c>
      <c r="B214" s="91">
        <v>3</v>
      </c>
      <c r="C214" s="91">
        <v>1</v>
      </c>
      <c r="D214" s="91">
        <v>1</v>
      </c>
      <c r="E214" s="110"/>
      <c r="F214" s="90" t="s">
        <v>192</v>
      </c>
      <c r="G214" s="92">
        <f>SUM(G215:G216)</f>
        <v>2077230.72</v>
      </c>
      <c r="H214" s="92">
        <f>SUM(H215:H216)</f>
        <v>166750</v>
      </c>
      <c r="I214" s="92">
        <f t="shared" si="6"/>
        <v>2243980.7199999997</v>
      </c>
      <c r="J214" s="93"/>
    </row>
    <row r="215" spans="1:10" x14ac:dyDescent="0.2">
      <c r="A215" s="107">
        <v>2</v>
      </c>
      <c r="B215" s="95">
        <v>3</v>
      </c>
      <c r="C215" s="95">
        <v>1</v>
      </c>
      <c r="D215" s="95">
        <v>1</v>
      </c>
      <c r="E215" s="96" t="s">
        <v>35</v>
      </c>
      <c r="F215" s="94" t="s">
        <v>192</v>
      </c>
      <c r="G215" s="97">
        <f>'[1]CUENTA T FONDO 100'!DK461</f>
        <v>2077230.72</v>
      </c>
      <c r="H215" s="97">
        <f>'[1]CUENTA T VS'!DK225</f>
        <v>166750</v>
      </c>
      <c r="I215" s="97">
        <f t="shared" si="6"/>
        <v>2243980.7199999997</v>
      </c>
      <c r="J215" s="98">
        <f>I215/$I$25</f>
        <v>2.0656782010349012E-2</v>
      </c>
    </row>
    <row r="216" spans="1:10" x14ac:dyDescent="0.2">
      <c r="A216" s="107">
        <v>2</v>
      </c>
      <c r="B216" s="95">
        <v>3</v>
      </c>
      <c r="C216" s="95">
        <v>1</v>
      </c>
      <c r="D216" s="95">
        <v>1</v>
      </c>
      <c r="E216" s="96" t="s">
        <v>37</v>
      </c>
      <c r="F216" s="94" t="s">
        <v>193</v>
      </c>
      <c r="G216" s="97">
        <f>'[1]CUENTA T FONDO 100'!DL461</f>
        <v>0</v>
      </c>
      <c r="H216" s="97">
        <f>'[1]CUENTA T VS'!DL225</f>
        <v>0</v>
      </c>
      <c r="I216" s="97">
        <f t="shared" si="6"/>
        <v>0</v>
      </c>
      <c r="J216" s="98">
        <f>I216/$I$25</f>
        <v>0</v>
      </c>
    </row>
    <row r="217" spans="1:10" x14ac:dyDescent="0.2">
      <c r="A217" s="105">
        <v>2</v>
      </c>
      <c r="B217" s="91">
        <v>3</v>
      </c>
      <c r="C217" s="91">
        <v>1</v>
      </c>
      <c r="D217" s="91">
        <v>2</v>
      </c>
      <c r="E217" s="110"/>
      <c r="F217" s="90" t="s">
        <v>194</v>
      </c>
      <c r="G217" s="92">
        <f>SUM(G218)</f>
        <v>0</v>
      </c>
      <c r="H217" s="92">
        <f>SUM(H218)</f>
        <v>0</v>
      </c>
      <c r="I217" s="92">
        <f t="shared" ref="I217:I280" si="12">SUM(G217:H217)</f>
        <v>0</v>
      </c>
      <c r="J217" s="93"/>
    </row>
    <row r="218" spans="1:10" x14ac:dyDescent="0.2">
      <c r="A218" s="107">
        <v>2</v>
      </c>
      <c r="B218" s="95">
        <v>3</v>
      </c>
      <c r="C218" s="95">
        <v>1</v>
      </c>
      <c r="D218" s="95">
        <v>2</v>
      </c>
      <c r="E218" s="96" t="s">
        <v>35</v>
      </c>
      <c r="F218" s="94" t="s">
        <v>194</v>
      </c>
      <c r="G218" s="97">
        <f>'[1]CUENTA T FONDO 100'!DM461</f>
        <v>0</v>
      </c>
      <c r="H218" s="97">
        <f>'[1]CUENTA T VS'!DM225</f>
        <v>0</v>
      </c>
      <c r="I218" s="97">
        <f t="shared" si="12"/>
        <v>0</v>
      </c>
      <c r="J218" s="98">
        <f>I218/$I$25</f>
        <v>0</v>
      </c>
    </row>
    <row r="219" spans="1:10" x14ac:dyDescent="0.2">
      <c r="A219" s="105">
        <v>2</v>
      </c>
      <c r="B219" s="91">
        <v>3</v>
      </c>
      <c r="C219" s="91">
        <v>1</v>
      </c>
      <c r="D219" s="91">
        <v>3</v>
      </c>
      <c r="E219" s="91"/>
      <c r="F219" s="90" t="s">
        <v>195</v>
      </c>
      <c r="G219" s="92">
        <f>SUM(G220:G222)</f>
        <v>0</v>
      </c>
      <c r="H219" s="92">
        <f>SUM(H220:H222)</f>
        <v>0</v>
      </c>
      <c r="I219" s="92">
        <f t="shared" si="12"/>
        <v>0</v>
      </c>
      <c r="J219" s="93"/>
    </row>
    <row r="220" spans="1:10" x14ac:dyDescent="0.2">
      <c r="A220" s="107">
        <v>2</v>
      </c>
      <c r="B220" s="95">
        <v>3</v>
      </c>
      <c r="C220" s="95">
        <v>1</v>
      </c>
      <c r="D220" s="95">
        <v>3</v>
      </c>
      <c r="E220" s="96" t="s">
        <v>35</v>
      </c>
      <c r="F220" s="94" t="s">
        <v>196</v>
      </c>
      <c r="G220" s="97">
        <f>'[1]CUENTA T FONDO 100'!DN461</f>
        <v>0</v>
      </c>
      <c r="H220" s="97">
        <f>'[1]CUENTA T VS'!DN225</f>
        <v>0</v>
      </c>
      <c r="I220" s="97">
        <f t="shared" si="12"/>
        <v>0</v>
      </c>
      <c r="J220" s="98">
        <f>I220/$I$25</f>
        <v>0</v>
      </c>
    </row>
    <row r="221" spans="1:10" x14ac:dyDescent="0.2">
      <c r="A221" s="107">
        <v>2</v>
      </c>
      <c r="B221" s="95">
        <v>3</v>
      </c>
      <c r="C221" s="95">
        <v>1</v>
      </c>
      <c r="D221" s="95">
        <v>3</v>
      </c>
      <c r="E221" s="96" t="s">
        <v>37</v>
      </c>
      <c r="F221" s="94" t="s">
        <v>197</v>
      </c>
      <c r="G221" s="97">
        <f>'[1]CUENTA T FONDO 100'!DO461</f>
        <v>0</v>
      </c>
      <c r="H221" s="97">
        <f>'[1]CUENTA T VS'!DO225</f>
        <v>0</v>
      </c>
      <c r="I221" s="97">
        <f t="shared" si="12"/>
        <v>0</v>
      </c>
      <c r="J221" s="98">
        <f>I221/$I$25</f>
        <v>0</v>
      </c>
    </row>
    <row r="222" spans="1:10" x14ac:dyDescent="0.2">
      <c r="A222" s="107">
        <v>2</v>
      </c>
      <c r="B222" s="95">
        <v>3</v>
      </c>
      <c r="C222" s="95">
        <v>1</v>
      </c>
      <c r="D222" s="95">
        <v>3</v>
      </c>
      <c r="E222" s="96" t="s">
        <v>39</v>
      </c>
      <c r="F222" s="94" t="s">
        <v>198</v>
      </c>
      <c r="G222" s="97">
        <f>'[1]CUENTA T FONDO 100'!DP461</f>
        <v>0</v>
      </c>
      <c r="H222" s="97">
        <f>'[1]CUENTA T VS'!DP225</f>
        <v>0</v>
      </c>
      <c r="I222" s="97">
        <f t="shared" si="12"/>
        <v>0</v>
      </c>
      <c r="J222" s="98">
        <f>I222/$I$25</f>
        <v>0</v>
      </c>
    </row>
    <row r="223" spans="1:10" x14ac:dyDescent="0.2">
      <c r="A223" s="105">
        <v>2</v>
      </c>
      <c r="B223" s="91">
        <v>3</v>
      </c>
      <c r="C223" s="91">
        <v>1</v>
      </c>
      <c r="D223" s="91">
        <v>4</v>
      </c>
      <c r="E223" s="91"/>
      <c r="F223" s="90" t="s">
        <v>199</v>
      </c>
      <c r="G223" s="92">
        <f>SUM(G224)</f>
        <v>0</v>
      </c>
      <c r="H223" s="92">
        <f>SUM(H224)</f>
        <v>0</v>
      </c>
      <c r="I223" s="92">
        <f t="shared" si="12"/>
        <v>0</v>
      </c>
      <c r="J223" s="93"/>
    </row>
    <row r="224" spans="1:10" x14ac:dyDescent="0.2">
      <c r="A224" s="107">
        <v>2</v>
      </c>
      <c r="B224" s="95">
        <v>3</v>
      </c>
      <c r="C224" s="95">
        <v>1</v>
      </c>
      <c r="D224" s="95">
        <v>4</v>
      </c>
      <c r="E224" s="96" t="s">
        <v>35</v>
      </c>
      <c r="F224" s="94" t="s">
        <v>199</v>
      </c>
      <c r="G224" s="97">
        <f>'[1]CUENTA T FONDO 100'!DQ461</f>
        <v>0</v>
      </c>
      <c r="H224" s="97">
        <f>'[1]CUENTA T VS'!DQ225</f>
        <v>0</v>
      </c>
      <c r="I224" s="97">
        <f t="shared" si="12"/>
        <v>0</v>
      </c>
      <c r="J224" s="98">
        <f>I224/$I$25</f>
        <v>0</v>
      </c>
    </row>
    <row r="225" spans="1:10" x14ac:dyDescent="0.2">
      <c r="A225" s="103">
        <v>2</v>
      </c>
      <c r="B225" s="88">
        <v>3</v>
      </c>
      <c r="C225" s="88">
        <v>2</v>
      </c>
      <c r="D225" s="88"/>
      <c r="E225" s="111"/>
      <c r="F225" s="87" t="s">
        <v>200</v>
      </c>
      <c r="G225" s="89">
        <f>+G226+G228+G230</f>
        <v>180540</v>
      </c>
      <c r="H225" s="89">
        <f>+H226+H228+H230</f>
        <v>0</v>
      </c>
      <c r="I225" s="89">
        <f t="shared" si="12"/>
        <v>180540</v>
      </c>
      <c r="J225" s="86"/>
    </row>
    <row r="226" spans="1:10" x14ac:dyDescent="0.2">
      <c r="A226" s="105">
        <v>2</v>
      </c>
      <c r="B226" s="91">
        <v>3</v>
      </c>
      <c r="C226" s="91">
        <v>2</v>
      </c>
      <c r="D226" s="91">
        <v>1</v>
      </c>
      <c r="E226" s="91"/>
      <c r="F226" s="90" t="s">
        <v>201</v>
      </c>
      <c r="G226" s="92">
        <f>SUM(G227)</f>
        <v>0</v>
      </c>
      <c r="H226" s="92">
        <f>SUM(H227)</f>
        <v>0</v>
      </c>
      <c r="I226" s="92">
        <f t="shared" si="12"/>
        <v>0</v>
      </c>
      <c r="J226" s="93"/>
    </row>
    <row r="227" spans="1:10" x14ac:dyDescent="0.2">
      <c r="A227" s="107">
        <v>2</v>
      </c>
      <c r="B227" s="95">
        <v>3</v>
      </c>
      <c r="C227" s="95">
        <v>2</v>
      </c>
      <c r="D227" s="95">
        <v>1</v>
      </c>
      <c r="E227" s="96" t="s">
        <v>35</v>
      </c>
      <c r="F227" s="94" t="s">
        <v>201</v>
      </c>
      <c r="G227" s="97">
        <f>'[1]CUENTA T FONDO 100'!DR461</f>
        <v>0</v>
      </c>
      <c r="H227" s="97">
        <f>'[1]CUENTA T VS'!DR225</f>
        <v>0</v>
      </c>
      <c r="I227" s="97">
        <f t="shared" si="12"/>
        <v>0</v>
      </c>
      <c r="J227" s="98">
        <f>I227/$I$25</f>
        <v>0</v>
      </c>
    </row>
    <row r="228" spans="1:10" x14ac:dyDescent="0.2">
      <c r="A228" s="105">
        <v>2</v>
      </c>
      <c r="B228" s="91">
        <v>3</v>
      </c>
      <c r="C228" s="91">
        <v>2</v>
      </c>
      <c r="D228" s="91">
        <v>2</v>
      </c>
      <c r="E228" s="91"/>
      <c r="F228" s="90" t="s">
        <v>202</v>
      </c>
      <c r="G228" s="92">
        <f>SUM(G229)</f>
        <v>53100</v>
      </c>
      <c r="H228" s="92">
        <f>SUM(H229)</f>
        <v>0</v>
      </c>
      <c r="I228" s="92">
        <f t="shared" si="12"/>
        <v>53100</v>
      </c>
      <c r="J228" s="93"/>
    </row>
    <row r="229" spans="1:10" x14ac:dyDescent="0.2">
      <c r="A229" s="107">
        <v>2</v>
      </c>
      <c r="B229" s="95">
        <v>3</v>
      </c>
      <c r="C229" s="95">
        <v>2</v>
      </c>
      <c r="D229" s="95">
        <v>2</v>
      </c>
      <c r="E229" s="96" t="s">
        <v>35</v>
      </c>
      <c r="F229" s="94" t="s">
        <v>202</v>
      </c>
      <c r="G229" s="97">
        <f>'[1]CUENTA T FONDO 100'!DS461</f>
        <v>53100</v>
      </c>
      <c r="H229" s="97">
        <f>'[1]CUENTA T VS'!DS225</f>
        <v>0</v>
      </c>
      <c r="I229" s="97">
        <f t="shared" si="12"/>
        <v>53100</v>
      </c>
      <c r="J229" s="98">
        <f>I229/$I$25</f>
        <v>4.8880773126675197E-4</v>
      </c>
    </row>
    <row r="230" spans="1:10" x14ac:dyDescent="0.2">
      <c r="A230" s="105">
        <v>2</v>
      </c>
      <c r="B230" s="91">
        <v>3</v>
      </c>
      <c r="C230" s="91">
        <v>2</v>
      </c>
      <c r="D230" s="91">
        <v>3</v>
      </c>
      <c r="E230" s="91"/>
      <c r="F230" s="90" t="s">
        <v>203</v>
      </c>
      <c r="G230" s="92">
        <f>SUM(G231)</f>
        <v>127440</v>
      </c>
      <c r="H230" s="92">
        <f>SUM(H231)</f>
        <v>0</v>
      </c>
      <c r="I230" s="92">
        <f t="shared" si="12"/>
        <v>127440</v>
      </c>
      <c r="J230" s="93"/>
    </row>
    <row r="231" spans="1:10" x14ac:dyDescent="0.2">
      <c r="A231" s="107">
        <v>2</v>
      </c>
      <c r="B231" s="95">
        <v>3</v>
      </c>
      <c r="C231" s="95">
        <v>2</v>
      </c>
      <c r="D231" s="95">
        <v>3</v>
      </c>
      <c r="E231" s="96" t="s">
        <v>35</v>
      </c>
      <c r="F231" s="94" t="s">
        <v>203</v>
      </c>
      <c r="G231" s="97">
        <f>'[1]CUENTA T FONDO 100'!DT461</f>
        <v>127440</v>
      </c>
      <c r="H231" s="97">
        <f>'[1]CUENTA T VS'!DT225</f>
        <v>0</v>
      </c>
      <c r="I231" s="97">
        <f t="shared" si="12"/>
        <v>127440</v>
      </c>
      <c r="J231" s="98">
        <f>I231/$I$25</f>
        <v>1.1731385550402048E-3</v>
      </c>
    </row>
    <row r="232" spans="1:10" x14ac:dyDescent="0.2">
      <c r="A232" s="103">
        <v>2</v>
      </c>
      <c r="B232" s="88">
        <v>3</v>
      </c>
      <c r="C232" s="88">
        <v>3</v>
      </c>
      <c r="D232" s="88"/>
      <c r="E232" s="111"/>
      <c r="F232" s="87" t="s">
        <v>204</v>
      </c>
      <c r="G232" s="89">
        <f>+G233+G235+G237+G239+G241+G243</f>
        <v>912967.7</v>
      </c>
      <c r="H232" s="89">
        <f>+H233+H235+H237+H239+H241+H243</f>
        <v>690182</v>
      </c>
      <c r="I232" s="89">
        <f t="shared" si="12"/>
        <v>1603149.7</v>
      </c>
      <c r="J232" s="86"/>
    </row>
    <row r="233" spans="1:10" x14ac:dyDescent="0.2">
      <c r="A233" s="105">
        <v>2</v>
      </c>
      <c r="B233" s="91">
        <v>3</v>
      </c>
      <c r="C233" s="91">
        <v>3</v>
      </c>
      <c r="D233" s="91">
        <v>1</v>
      </c>
      <c r="E233" s="91"/>
      <c r="F233" s="90" t="s">
        <v>205</v>
      </c>
      <c r="G233" s="92">
        <f>SUM(G234)</f>
        <v>10148</v>
      </c>
      <c r="H233" s="92">
        <f>SUM(H234)</f>
        <v>0</v>
      </c>
      <c r="I233" s="92">
        <f t="shared" si="12"/>
        <v>10148</v>
      </c>
      <c r="J233" s="93"/>
    </row>
    <row r="234" spans="1:10" x14ac:dyDescent="0.2">
      <c r="A234" s="107">
        <v>2</v>
      </c>
      <c r="B234" s="95">
        <v>3</v>
      </c>
      <c r="C234" s="95">
        <v>3</v>
      </c>
      <c r="D234" s="95">
        <v>1</v>
      </c>
      <c r="E234" s="96" t="s">
        <v>35</v>
      </c>
      <c r="F234" s="94" t="s">
        <v>205</v>
      </c>
      <c r="G234" s="97">
        <f>'[1]CUENTA T FONDO 100'!DU461</f>
        <v>10148</v>
      </c>
      <c r="H234" s="97">
        <f>'[1]CUENTA T VS'!DU225</f>
        <v>0</v>
      </c>
      <c r="I234" s="97">
        <f t="shared" si="12"/>
        <v>10148</v>
      </c>
      <c r="J234" s="98">
        <f>I234/$I$25</f>
        <v>9.3416588642090381E-5</v>
      </c>
    </row>
    <row r="235" spans="1:10" x14ac:dyDescent="0.2">
      <c r="A235" s="105">
        <v>2</v>
      </c>
      <c r="B235" s="91">
        <v>3</v>
      </c>
      <c r="C235" s="91">
        <v>3</v>
      </c>
      <c r="D235" s="91">
        <v>2</v>
      </c>
      <c r="E235" s="91"/>
      <c r="F235" s="90" t="s">
        <v>206</v>
      </c>
      <c r="G235" s="92">
        <f>SUM(G236)</f>
        <v>367469.7</v>
      </c>
      <c r="H235" s="92">
        <f>SUM(H236)</f>
        <v>469640</v>
      </c>
      <c r="I235" s="92">
        <f t="shared" si="12"/>
        <v>837109.7</v>
      </c>
      <c r="J235" s="93"/>
    </row>
    <row r="236" spans="1:10" x14ac:dyDescent="0.2">
      <c r="A236" s="107">
        <v>2</v>
      </c>
      <c r="B236" s="95">
        <v>3</v>
      </c>
      <c r="C236" s="95">
        <v>3</v>
      </c>
      <c r="D236" s="95">
        <v>2</v>
      </c>
      <c r="E236" s="96" t="s">
        <v>35</v>
      </c>
      <c r="F236" s="94" t="s">
        <v>206</v>
      </c>
      <c r="G236" s="97">
        <f>'[1]CUENTA T FONDO 100'!DV461</f>
        <v>367469.7</v>
      </c>
      <c r="H236" s="97">
        <f>'[1]CUENTA T VS'!DV225</f>
        <v>469640</v>
      </c>
      <c r="I236" s="97">
        <f t="shared" si="12"/>
        <v>837109.7</v>
      </c>
      <c r="J236" s="98">
        <f>I236/$I$25</f>
        <v>7.7059452594800629E-3</v>
      </c>
    </row>
    <row r="237" spans="1:10" x14ac:dyDescent="0.2">
      <c r="A237" s="105">
        <v>2</v>
      </c>
      <c r="B237" s="91">
        <v>3</v>
      </c>
      <c r="C237" s="91">
        <v>3</v>
      </c>
      <c r="D237" s="91">
        <v>3</v>
      </c>
      <c r="E237" s="91"/>
      <c r="F237" s="90" t="s">
        <v>207</v>
      </c>
      <c r="G237" s="92">
        <f>SUM(G238)</f>
        <v>535350</v>
      </c>
      <c r="H237" s="92">
        <f>SUM(H238)</f>
        <v>220542</v>
      </c>
      <c r="I237" s="92">
        <f t="shared" si="12"/>
        <v>755892</v>
      </c>
      <c r="J237" s="93"/>
    </row>
    <row r="238" spans="1:10" x14ac:dyDescent="0.2">
      <c r="A238" s="107">
        <v>2</v>
      </c>
      <c r="B238" s="95">
        <v>3</v>
      </c>
      <c r="C238" s="95">
        <v>3</v>
      </c>
      <c r="D238" s="95">
        <v>3</v>
      </c>
      <c r="E238" s="96" t="s">
        <v>35</v>
      </c>
      <c r="F238" s="94" t="s">
        <v>207</v>
      </c>
      <c r="G238" s="97">
        <f>'[1]CUENTA T FONDO 100'!DW461</f>
        <v>535350</v>
      </c>
      <c r="H238" s="97">
        <f>'[1]CUENTA T VS'!DW225</f>
        <v>220542</v>
      </c>
      <c r="I238" s="97">
        <f t="shared" si="12"/>
        <v>755892</v>
      </c>
      <c r="J238" s="98">
        <f>I238/$I$25</f>
        <v>6.9583023277342317E-3</v>
      </c>
    </row>
    <row r="239" spans="1:10" x14ac:dyDescent="0.2">
      <c r="A239" s="105">
        <v>2</v>
      </c>
      <c r="B239" s="91">
        <v>3</v>
      </c>
      <c r="C239" s="91">
        <v>3</v>
      </c>
      <c r="D239" s="91">
        <v>4</v>
      </c>
      <c r="E239" s="91"/>
      <c r="F239" s="90" t="s">
        <v>208</v>
      </c>
      <c r="G239" s="92">
        <f>SUM(G240)</f>
        <v>0</v>
      </c>
      <c r="H239" s="92">
        <f>SUM(H240)</f>
        <v>0</v>
      </c>
      <c r="I239" s="92">
        <f t="shared" si="12"/>
        <v>0</v>
      </c>
      <c r="J239" s="93"/>
    </row>
    <row r="240" spans="1:10" x14ac:dyDescent="0.2">
      <c r="A240" s="107">
        <v>2</v>
      </c>
      <c r="B240" s="95">
        <v>3</v>
      </c>
      <c r="C240" s="95">
        <v>3</v>
      </c>
      <c r="D240" s="95">
        <v>4</v>
      </c>
      <c r="E240" s="96" t="s">
        <v>35</v>
      </c>
      <c r="F240" s="94" t="s">
        <v>208</v>
      </c>
      <c r="G240" s="97">
        <f>'[1]CUENTA T FONDO 100'!DX461</f>
        <v>0</v>
      </c>
      <c r="H240" s="97">
        <f>'[1]CUENTA T VS'!DX225</f>
        <v>0</v>
      </c>
      <c r="I240" s="97">
        <f t="shared" si="12"/>
        <v>0</v>
      </c>
      <c r="J240" s="98">
        <f>I240/$I$25</f>
        <v>0</v>
      </c>
    </row>
    <row r="241" spans="1:10" x14ac:dyDescent="0.2">
      <c r="A241" s="105">
        <v>2</v>
      </c>
      <c r="B241" s="91">
        <v>3</v>
      </c>
      <c r="C241" s="91">
        <v>3</v>
      </c>
      <c r="D241" s="91">
        <v>5</v>
      </c>
      <c r="E241" s="91"/>
      <c r="F241" s="90" t="s">
        <v>209</v>
      </c>
      <c r="G241" s="92">
        <f>SUM(G242)</f>
        <v>0</v>
      </c>
      <c r="H241" s="92">
        <f>SUM(H242)</f>
        <v>0</v>
      </c>
      <c r="I241" s="92">
        <f t="shared" si="12"/>
        <v>0</v>
      </c>
      <c r="J241" s="93"/>
    </row>
    <row r="242" spans="1:10" x14ac:dyDescent="0.2">
      <c r="A242" s="107">
        <v>2</v>
      </c>
      <c r="B242" s="95">
        <v>3</v>
      </c>
      <c r="C242" s="95">
        <v>3</v>
      </c>
      <c r="D242" s="95">
        <v>5</v>
      </c>
      <c r="E242" s="96" t="s">
        <v>35</v>
      </c>
      <c r="F242" s="94" t="s">
        <v>209</v>
      </c>
      <c r="G242" s="97">
        <f>'[1]CUENTA T FONDO 100'!DY461</f>
        <v>0</v>
      </c>
      <c r="H242" s="97">
        <f>'[1]CUENTA T VS'!DY225</f>
        <v>0</v>
      </c>
      <c r="I242" s="97">
        <f t="shared" si="12"/>
        <v>0</v>
      </c>
      <c r="J242" s="98">
        <f>I242/$I$25</f>
        <v>0</v>
      </c>
    </row>
    <row r="243" spans="1:10" x14ac:dyDescent="0.2">
      <c r="A243" s="105">
        <v>2</v>
      </c>
      <c r="B243" s="91">
        <v>3</v>
      </c>
      <c r="C243" s="91">
        <v>3</v>
      </c>
      <c r="D243" s="91">
        <v>6</v>
      </c>
      <c r="E243" s="91"/>
      <c r="F243" s="90" t="s">
        <v>210</v>
      </c>
      <c r="G243" s="92">
        <f>SUM(G244)</f>
        <v>0</v>
      </c>
      <c r="H243" s="92">
        <f>SUM(H244)</f>
        <v>0</v>
      </c>
      <c r="I243" s="92">
        <f t="shared" si="12"/>
        <v>0</v>
      </c>
      <c r="J243" s="93"/>
    </row>
    <row r="244" spans="1:10" x14ac:dyDescent="0.2">
      <c r="A244" s="107">
        <v>2</v>
      </c>
      <c r="B244" s="95">
        <v>3</v>
      </c>
      <c r="C244" s="95">
        <v>3</v>
      </c>
      <c r="D244" s="95">
        <v>6</v>
      </c>
      <c r="E244" s="96" t="s">
        <v>35</v>
      </c>
      <c r="F244" s="94" t="s">
        <v>210</v>
      </c>
      <c r="G244" s="97">
        <f>'[1]CUENTA T FONDO 100'!DZ461</f>
        <v>0</v>
      </c>
      <c r="H244" s="97">
        <f>'[1]CUENTA T VS'!DZ225</f>
        <v>0</v>
      </c>
      <c r="I244" s="97">
        <f t="shared" si="12"/>
        <v>0</v>
      </c>
      <c r="J244" s="98">
        <f>I244/$I$25</f>
        <v>0</v>
      </c>
    </row>
    <row r="245" spans="1:10" x14ac:dyDescent="0.2">
      <c r="A245" s="103">
        <v>2</v>
      </c>
      <c r="B245" s="88">
        <v>3</v>
      </c>
      <c r="C245" s="88">
        <v>4</v>
      </c>
      <c r="D245" s="88"/>
      <c r="E245" s="111"/>
      <c r="F245" s="87" t="s">
        <v>211</v>
      </c>
      <c r="G245" s="89">
        <f>+G246+G248</f>
        <v>2962573</v>
      </c>
      <c r="H245" s="89">
        <f>+H246+H248</f>
        <v>269200</v>
      </c>
      <c r="I245" s="89">
        <f t="shared" si="12"/>
        <v>3231773</v>
      </c>
      <c r="J245" s="86"/>
    </row>
    <row r="246" spans="1:10" x14ac:dyDescent="0.2">
      <c r="A246" s="105">
        <v>2</v>
      </c>
      <c r="B246" s="91">
        <v>3</v>
      </c>
      <c r="C246" s="91">
        <v>4</v>
      </c>
      <c r="D246" s="91">
        <v>1</v>
      </c>
      <c r="E246" s="91"/>
      <c r="F246" s="90" t="s">
        <v>212</v>
      </c>
      <c r="G246" s="92">
        <f>SUM(G247)</f>
        <v>2962573</v>
      </c>
      <c r="H246" s="92">
        <f>SUM(H247)</f>
        <v>269200</v>
      </c>
      <c r="I246" s="92">
        <f t="shared" si="12"/>
        <v>3231773</v>
      </c>
      <c r="J246" s="93"/>
    </row>
    <row r="247" spans="1:10" x14ac:dyDescent="0.2">
      <c r="A247" s="107">
        <v>2</v>
      </c>
      <c r="B247" s="95">
        <v>3</v>
      </c>
      <c r="C247" s="95">
        <v>4</v>
      </c>
      <c r="D247" s="95">
        <v>1</v>
      </c>
      <c r="E247" s="96" t="s">
        <v>35</v>
      </c>
      <c r="F247" s="94" t="s">
        <v>212</v>
      </c>
      <c r="G247" s="97">
        <f>'[1]CUENTA T FONDO 100'!EA461</f>
        <v>2962573</v>
      </c>
      <c r="H247" s="97">
        <f>'[1]CUENTA T VS'!EA225</f>
        <v>269200</v>
      </c>
      <c r="I247" s="97">
        <f t="shared" si="12"/>
        <v>3231773</v>
      </c>
      <c r="J247" s="98">
        <f>I247/$I$25</f>
        <v>2.9749823504691995E-2</v>
      </c>
    </row>
    <row r="248" spans="1:10" x14ac:dyDescent="0.2">
      <c r="A248" s="105">
        <v>2</v>
      </c>
      <c r="B248" s="91">
        <v>3</v>
      </c>
      <c r="C248" s="91">
        <v>4</v>
      </c>
      <c r="D248" s="91">
        <v>2</v>
      </c>
      <c r="E248" s="91"/>
      <c r="F248" s="90" t="s">
        <v>213</v>
      </c>
      <c r="G248" s="92">
        <f>SUM(G249)</f>
        <v>0</v>
      </c>
      <c r="H248" s="92">
        <f>SUM(H249)</f>
        <v>0</v>
      </c>
      <c r="I248" s="92">
        <f t="shared" si="12"/>
        <v>0</v>
      </c>
      <c r="J248" s="93"/>
    </row>
    <row r="249" spans="1:10" x14ac:dyDescent="0.2">
      <c r="A249" s="107">
        <v>2</v>
      </c>
      <c r="B249" s="95">
        <v>3</v>
      </c>
      <c r="C249" s="95">
        <v>4</v>
      </c>
      <c r="D249" s="95">
        <v>2</v>
      </c>
      <c r="E249" s="96" t="s">
        <v>35</v>
      </c>
      <c r="F249" s="94" t="s">
        <v>213</v>
      </c>
      <c r="G249" s="97">
        <f>'[1]CUENTA T FONDO 100'!EB461</f>
        <v>0</v>
      </c>
      <c r="H249" s="97">
        <f>'[1]CUENTA T VS'!EB225</f>
        <v>0</v>
      </c>
      <c r="I249" s="97">
        <f t="shared" si="12"/>
        <v>0</v>
      </c>
      <c r="J249" s="98">
        <f>I249/$I$25</f>
        <v>0</v>
      </c>
    </row>
    <row r="250" spans="1:10" x14ac:dyDescent="0.2">
      <c r="A250" s="103">
        <v>2</v>
      </c>
      <c r="B250" s="88">
        <v>3</v>
      </c>
      <c r="C250" s="88">
        <v>5</v>
      </c>
      <c r="D250" s="88"/>
      <c r="E250" s="111"/>
      <c r="F250" s="87" t="s">
        <v>214</v>
      </c>
      <c r="G250" s="89">
        <f>+G251+G253+G255+G257+G259</f>
        <v>18313.599999999999</v>
      </c>
      <c r="H250" s="89">
        <f>+H251+H253+H255+H257+H259</f>
        <v>62924.77</v>
      </c>
      <c r="I250" s="89">
        <f t="shared" si="12"/>
        <v>81238.37</v>
      </c>
      <c r="J250" s="86"/>
    </row>
    <row r="251" spans="1:10" x14ac:dyDescent="0.2">
      <c r="A251" s="105">
        <v>2</v>
      </c>
      <c r="B251" s="91">
        <v>3</v>
      </c>
      <c r="C251" s="91">
        <v>5</v>
      </c>
      <c r="D251" s="91">
        <v>1</v>
      </c>
      <c r="E251" s="91"/>
      <c r="F251" s="90" t="s">
        <v>215</v>
      </c>
      <c r="G251" s="92">
        <f>SUM(G252)</f>
        <v>0</v>
      </c>
      <c r="H251" s="92">
        <f>SUM(H252)</f>
        <v>0</v>
      </c>
      <c r="I251" s="92">
        <f t="shared" si="12"/>
        <v>0</v>
      </c>
      <c r="J251" s="93"/>
    </row>
    <row r="252" spans="1:10" x14ac:dyDescent="0.2">
      <c r="A252" s="107">
        <v>2</v>
      </c>
      <c r="B252" s="95">
        <v>3</v>
      </c>
      <c r="C252" s="95">
        <v>5</v>
      </c>
      <c r="D252" s="95">
        <v>1</v>
      </c>
      <c r="E252" s="96" t="s">
        <v>35</v>
      </c>
      <c r="F252" s="94" t="s">
        <v>215</v>
      </c>
      <c r="G252" s="97">
        <f>'[1]CUENTA T FONDO 100'!EC461</f>
        <v>0</v>
      </c>
      <c r="H252" s="97">
        <f>'[1]CUENTA T VS'!EC225</f>
        <v>0</v>
      </c>
      <c r="I252" s="97">
        <f t="shared" si="12"/>
        <v>0</v>
      </c>
      <c r="J252" s="98">
        <f>I252/$I$25</f>
        <v>0</v>
      </c>
    </row>
    <row r="253" spans="1:10" x14ac:dyDescent="0.2">
      <c r="A253" s="105">
        <v>2</v>
      </c>
      <c r="B253" s="91">
        <v>3</v>
      </c>
      <c r="C253" s="91">
        <v>5</v>
      </c>
      <c r="D253" s="91">
        <v>2</v>
      </c>
      <c r="E253" s="91"/>
      <c r="F253" s="90" t="s">
        <v>216</v>
      </c>
      <c r="G253" s="92">
        <f>SUM(G254)</f>
        <v>0</v>
      </c>
      <c r="H253" s="92">
        <f>SUM(H254)</f>
        <v>0</v>
      </c>
      <c r="I253" s="92">
        <f t="shared" si="12"/>
        <v>0</v>
      </c>
      <c r="J253" s="93"/>
    </row>
    <row r="254" spans="1:10" x14ac:dyDescent="0.2">
      <c r="A254" s="107">
        <v>2</v>
      </c>
      <c r="B254" s="95">
        <v>3</v>
      </c>
      <c r="C254" s="95">
        <v>5</v>
      </c>
      <c r="D254" s="95">
        <v>2</v>
      </c>
      <c r="E254" s="96" t="s">
        <v>35</v>
      </c>
      <c r="F254" s="94" t="s">
        <v>216</v>
      </c>
      <c r="G254" s="97">
        <f>'[1]CUENTA T FONDO 100'!ED461</f>
        <v>0</v>
      </c>
      <c r="H254" s="97">
        <f>'[1]CUENTA T VS'!ED225</f>
        <v>0</v>
      </c>
      <c r="I254" s="97">
        <f t="shared" si="12"/>
        <v>0</v>
      </c>
      <c r="J254" s="98">
        <f>I254/$I$25</f>
        <v>0</v>
      </c>
    </row>
    <row r="255" spans="1:10" x14ac:dyDescent="0.2">
      <c r="A255" s="105">
        <v>2</v>
      </c>
      <c r="B255" s="91">
        <v>3</v>
      </c>
      <c r="C255" s="91">
        <v>5</v>
      </c>
      <c r="D255" s="91">
        <v>3</v>
      </c>
      <c r="E255" s="91"/>
      <c r="F255" s="90" t="s">
        <v>217</v>
      </c>
      <c r="G255" s="92">
        <f>SUM(G256)</f>
        <v>0</v>
      </c>
      <c r="H255" s="92">
        <f>SUM(H256)</f>
        <v>0</v>
      </c>
      <c r="I255" s="92">
        <f t="shared" si="12"/>
        <v>0</v>
      </c>
      <c r="J255" s="93"/>
    </row>
    <row r="256" spans="1:10" x14ac:dyDescent="0.2">
      <c r="A256" s="107">
        <v>2</v>
      </c>
      <c r="B256" s="95">
        <v>3</v>
      </c>
      <c r="C256" s="95">
        <v>5</v>
      </c>
      <c r="D256" s="95">
        <v>3</v>
      </c>
      <c r="E256" s="96" t="s">
        <v>35</v>
      </c>
      <c r="F256" s="94" t="s">
        <v>217</v>
      </c>
      <c r="G256" s="97">
        <f>'[1]CUENTA T FONDO 100'!EE461</f>
        <v>0</v>
      </c>
      <c r="H256" s="97">
        <f>'[1]CUENTA T VS'!EE225</f>
        <v>0</v>
      </c>
      <c r="I256" s="97">
        <f t="shared" si="12"/>
        <v>0</v>
      </c>
      <c r="J256" s="98">
        <f>I256/$I$25</f>
        <v>0</v>
      </c>
    </row>
    <row r="257" spans="1:10" x14ac:dyDescent="0.2">
      <c r="A257" s="105">
        <v>2</v>
      </c>
      <c r="B257" s="91">
        <v>3</v>
      </c>
      <c r="C257" s="91">
        <v>5</v>
      </c>
      <c r="D257" s="91">
        <v>4</v>
      </c>
      <c r="E257" s="91"/>
      <c r="F257" s="90" t="s">
        <v>218</v>
      </c>
      <c r="G257" s="92">
        <f>SUM(G258)</f>
        <v>14278</v>
      </c>
      <c r="H257" s="92">
        <f>SUM(H258)</f>
        <v>0</v>
      </c>
      <c r="I257" s="92">
        <f t="shared" si="12"/>
        <v>14278</v>
      </c>
      <c r="J257" s="93"/>
    </row>
    <row r="258" spans="1:10" x14ac:dyDescent="0.2">
      <c r="A258" s="107">
        <v>2</v>
      </c>
      <c r="B258" s="95">
        <v>3</v>
      </c>
      <c r="C258" s="95">
        <v>5</v>
      </c>
      <c r="D258" s="95">
        <v>4</v>
      </c>
      <c r="E258" s="96" t="s">
        <v>35</v>
      </c>
      <c r="F258" s="94" t="s">
        <v>218</v>
      </c>
      <c r="G258" s="97">
        <f>'[1]CUENTA T FONDO 100'!EF461</f>
        <v>14278</v>
      </c>
      <c r="H258" s="97">
        <f>'[1]CUENTA T VS'!EF225</f>
        <v>0</v>
      </c>
      <c r="I258" s="97">
        <f t="shared" si="12"/>
        <v>14278</v>
      </c>
      <c r="J258" s="98">
        <f>I258/$I$25</f>
        <v>1.3143496774061555E-4</v>
      </c>
    </row>
    <row r="259" spans="1:10" x14ac:dyDescent="0.2">
      <c r="A259" s="105">
        <v>2</v>
      </c>
      <c r="B259" s="91">
        <v>3</v>
      </c>
      <c r="C259" s="91">
        <v>5</v>
      </c>
      <c r="D259" s="91">
        <v>5</v>
      </c>
      <c r="E259" s="91"/>
      <c r="F259" s="90" t="s">
        <v>219</v>
      </c>
      <c r="G259" s="92">
        <f>SUM(G260)</f>
        <v>4035.6</v>
      </c>
      <c r="H259" s="92">
        <f>SUM(H260)</f>
        <v>62924.77</v>
      </c>
      <c r="I259" s="92">
        <f t="shared" si="12"/>
        <v>66960.37</v>
      </c>
      <c r="J259" s="93"/>
    </row>
    <row r="260" spans="1:10" x14ac:dyDescent="0.2">
      <c r="A260" s="107">
        <v>2</v>
      </c>
      <c r="B260" s="95">
        <v>3</v>
      </c>
      <c r="C260" s="95">
        <v>5</v>
      </c>
      <c r="D260" s="95">
        <v>5</v>
      </c>
      <c r="E260" s="96" t="s">
        <v>35</v>
      </c>
      <c r="F260" s="94" t="s">
        <v>219</v>
      </c>
      <c r="G260" s="97">
        <f>'[1]CUENTA T FONDO 100'!EG461</f>
        <v>4035.6</v>
      </c>
      <c r="H260" s="97">
        <f>'[1]CUENTA T VS'!EG225</f>
        <v>62924.77</v>
      </c>
      <c r="I260" s="97">
        <f t="shared" si="12"/>
        <v>66960.37</v>
      </c>
      <c r="J260" s="98">
        <f>I260/$I$25</f>
        <v>6.1639824000908248E-4</v>
      </c>
    </row>
    <row r="261" spans="1:10" x14ac:dyDescent="0.2">
      <c r="A261" s="103">
        <v>2</v>
      </c>
      <c r="B261" s="88">
        <v>3</v>
      </c>
      <c r="C261" s="88">
        <v>6</v>
      </c>
      <c r="D261" s="88"/>
      <c r="E261" s="88"/>
      <c r="F261" s="87" t="s">
        <v>220</v>
      </c>
      <c r="G261" s="89">
        <f>+G262+G268+G272+G276+G284</f>
        <v>286504</v>
      </c>
      <c r="H261" s="89">
        <f>+H262+H268+H272+H276+H284</f>
        <v>187394.11</v>
      </c>
      <c r="I261" s="89">
        <f t="shared" si="12"/>
        <v>473898.11</v>
      </c>
      <c r="J261" s="86"/>
    </row>
    <row r="262" spans="1:10" x14ac:dyDescent="0.2">
      <c r="A262" s="105">
        <v>2</v>
      </c>
      <c r="B262" s="91">
        <v>3</v>
      </c>
      <c r="C262" s="91">
        <v>6</v>
      </c>
      <c r="D262" s="91">
        <v>1</v>
      </c>
      <c r="E262" s="91"/>
      <c r="F262" s="90" t="s">
        <v>221</v>
      </c>
      <c r="G262" s="92">
        <f>SUM(G263:G267)</f>
        <v>0</v>
      </c>
      <c r="H262" s="92">
        <f>SUM(H263:H267)</f>
        <v>0</v>
      </c>
      <c r="I262" s="92">
        <f t="shared" si="12"/>
        <v>0</v>
      </c>
      <c r="J262" s="93"/>
    </row>
    <row r="263" spans="1:10" x14ac:dyDescent="0.2">
      <c r="A263" s="107">
        <v>2</v>
      </c>
      <c r="B263" s="95">
        <v>3</v>
      </c>
      <c r="C263" s="95">
        <v>6</v>
      </c>
      <c r="D263" s="95">
        <v>1</v>
      </c>
      <c r="E263" s="96" t="s">
        <v>35</v>
      </c>
      <c r="F263" s="94" t="s">
        <v>222</v>
      </c>
      <c r="G263" s="97">
        <f>'[1]CUENTA T FONDO 100'!EH461</f>
        <v>0</v>
      </c>
      <c r="H263" s="97">
        <f>'[1]CUENTA T VS'!EH225</f>
        <v>0</v>
      </c>
      <c r="I263" s="97">
        <f t="shared" si="12"/>
        <v>0</v>
      </c>
      <c r="J263" s="98">
        <f>I263/$I$25</f>
        <v>0</v>
      </c>
    </row>
    <row r="264" spans="1:10" x14ac:dyDescent="0.2">
      <c r="A264" s="107">
        <v>2</v>
      </c>
      <c r="B264" s="95">
        <v>3</v>
      </c>
      <c r="C264" s="95">
        <v>6</v>
      </c>
      <c r="D264" s="95">
        <v>1</v>
      </c>
      <c r="E264" s="96" t="s">
        <v>37</v>
      </c>
      <c r="F264" s="94" t="s">
        <v>223</v>
      </c>
      <c r="G264" s="97">
        <f>'[1]CUENTA T FONDO 100'!EI461</f>
        <v>0</v>
      </c>
      <c r="H264" s="97">
        <f>'[1]CUENTA T VS'!EI225</f>
        <v>0</v>
      </c>
      <c r="I264" s="97">
        <f t="shared" si="12"/>
        <v>0</v>
      </c>
      <c r="J264" s="98">
        <f>I264/$I$25</f>
        <v>0</v>
      </c>
    </row>
    <row r="265" spans="1:10" x14ac:dyDescent="0.2">
      <c r="A265" s="107">
        <v>2</v>
      </c>
      <c r="B265" s="95">
        <v>3</v>
      </c>
      <c r="C265" s="95">
        <v>6</v>
      </c>
      <c r="D265" s="95">
        <v>1</v>
      </c>
      <c r="E265" s="96" t="s">
        <v>39</v>
      </c>
      <c r="F265" s="94" t="s">
        <v>224</v>
      </c>
      <c r="G265" s="97">
        <f>'[1]CUENTA T FONDO 100'!EJ461</f>
        <v>0</v>
      </c>
      <c r="H265" s="97">
        <f>'[1]CUENTA T VS'!EJ225</f>
        <v>0</v>
      </c>
      <c r="I265" s="97">
        <f t="shared" si="12"/>
        <v>0</v>
      </c>
      <c r="J265" s="98">
        <f>I265/$I$25</f>
        <v>0</v>
      </c>
    </row>
    <row r="266" spans="1:10" x14ac:dyDescent="0.2">
      <c r="A266" s="107">
        <v>2</v>
      </c>
      <c r="B266" s="95">
        <v>3</v>
      </c>
      <c r="C266" s="95">
        <v>6</v>
      </c>
      <c r="D266" s="95">
        <v>1</v>
      </c>
      <c r="E266" s="96" t="s">
        <v>41</v>
      </c>
      <c r="F266" s="94" t="s">
        <v>225</v>
      </c>
      <c r="G266" s="97">
        <f>'[1]CUENTA T FONDO 100'!EK461</f>
        <v>0</v>
      </c>
      <c r="H266" s="97">
        <f>'[1]CUENTA T VS'!EK225</f>
        <v>0</v>
      </c>
      <c r="I266" s="97">
        <f t="shared" si="12"/>
        <v>0</v>
      </c>
      <c r="J266" s="98">
        <f>I266/$I$25</f>
        <v>0</v>
      </c>
    </row>
    <row r="267" spans="1:10" x14ac:dyDescent="0.2">
      <c r="A267" s="107">
        <v>2</v>
      </c>
      <c r="B267" s="95">
        <v>3</v>
      </c>
      <c r="C267" s="95">
        <v>6</v>
      </c>
      <c r="D267" s="95">
        <v>1</v>
      </c>
      <c r="E267" s="96" t="s">
        <v>43</v>
      </c>
      <c r="F267" s="94" t="s">
        <v>226</v>
      </c>
      <c r="G267" s="97">
        <f>'[1]CUENTA T FONDO 100'!EL461</f>
        <v>0</v>
      </c>
      <c r="H267" s="97">
        <f>'[1]CUENTA T VS'!EL225</f>
        <v>0</v>
      </c>
      <c r="I267" s="97">
        <f t="shared" si="12"/>
        <v>0</v>
      </c>
      <c r="J267" s="98">
        <f>I267/$I$25</f>
        <v>0</v>
      </c>
    </row>
    <row r="268" spans="1:10" x14ac:dyDescent="0.2">
      <c r="A268" s="105">
        <v>2</v>
      </c>
      <c r="B268" s="91">
        <v>3</v>
      </c>
      <c r="C268" s="91">
        <v>6</v>
      </c>
      <c r="D268" s="91">
        <v>2</v>
      </c>
      <c r="E268" s="91"/>
      <c r="F268" s="90" t="s">
        <v>227</v>
      </c>
      <c r="G268" s="92">
        <f>SUM(G269:G271)</f>
        <v>251015.5</v>
      </c>
      <c r="H268" s="92">
        <f>SUM(H269:H271)</f>
        <v>0</v>
      </c>
      <c r="I268" s="92">
        <f t="shared" si="12"/>
        <v>251015.5</v>
      </c>
      <c r="J268" s="93"/>
    </row>
    <row r="269" spans="1:10" x14ac:dyDescent="0.2">
      <c r="A269" s="107">
        <v>2</v>
      </c>
      <c r="B269" s="95">
        <v>3</v>
      </c>
      <c r="C269" s="95">
        <v>6</v>
      </c>
      <c r="D269" s="95">
        <v>2</v>
      </c>
      <c r="E269" s="96" t="s">
        <v>35</v>
      </c>
      <c r="F269" s="94" t="s">
        <v>228</v>
      </c>
      <c r="G269" s="97">
        <f>'[1]CUENTA T FONDO 100'!EM461</f>
        <v>0</v>
      </c>
      <c r="H269" s="97">
        <f>'[1]CUENTA T VS'!EM225</f>
        <v>0</v>
      </c>
      <c r="I269" s="97">
        <f t="shared" si="12"/>
        <v>0</v>
      </c>
      <c r="J269" s="98">
        <f>I269/$I$25</f>
        <v>0</v>
      </c>
    </row>
    <row r="270" spans="1:10" x14ac:dyDescent="0.2">
      <c r="A270" s="107">
        <v>2</v>
      </c>
      <c r="B270" s="95">
        <v>3</v>
      </c>
      <c r="C270" s="95">
        <v>6</v>
      </c>
      <c r="D270" s="95">
        <v>2</v>
      </c>
      <c r="E270" s="96" t="s">
        <v>37</v>
      </c>
      <c r="F270" s="94" t="s">
        <v>229</v>
      </c>
      <c r="G270" s="97">
        <f>'[1]CUENTA T FONDO 100'!EN461</f>
        <v>251015.5</v>
      </c>
      <c r="H270" s="97">
        <f>'[1]CUENTA T VS'!EN225</f>
        <v>0</v>
      </c>
      <c r="I270" s="97">
        <f t="shared" si="12"/>
        <v>251015.5</v>
      </c>
      <c r="J270" s="98">
        <f>I270/$I$25</f>
        <v>2.3107027696382182E-3</v>
      </c>
    </row>
    <row r="271" spans="1:10" x14ac:dyDescent="0.2">
      <c r="A271" s="107">
        <v>2</v>
      </c>
      <c r="B271" s="95">
        <v>3</v>
      </c>
      <c r="C271" s="95">
        <v>6</v>
      </c>
      <c r="D271" s="95">
        <v>2</v>
      </c>
      <c r="E271" s="96" t="s">
        <v>39</v>
      </c>
      <c r="F271" s="94" t="s">
        <v>230</v>
      </c>
      <c r="G271" s="97">
        <f>'[1]CUENTA T FONDO 100'!EO461</f>
        <v>0</v>
      </c>
      <c r="H271" s="97">
        <f>'[1]CUENTA T VS'!EO225</f>
        <v>0</v>
      </c>
      <c r="I271" s="97">
        <f t="shared" si="12"/>
        <v>0</v>
      </c>
      <c r="J271" s="98">
        <f>I271/$I$25</f>
        <v>0</v>
      </c>
    </row>
    <row r="272" spans="1:10" x14ac:dyDescent="0.2">
      <c r="A272" s="105">
        <v>2</v>
      </c>
      <c r="B272" s="91">
        <v>3</v>
      </c>
      <c r="C272" s="91">
        <v>6</v>
      </c>
      <c r="D272" s="91">
        <v>3</v>
      </c>
      <c r="E272" s="91"/>
      <c r="F272" s="90" t="s">
        <v>231</v>
      </c>
      <c r="G272" s="92">
        <f>SUM(G273:G275)</f>
        <v>35488.5</v>
      </c>
      <c r="H272" s="92">
        <f>SUM(H273:H275)</f>
        <v>187394.11</v>
      </c>
      <c r="I272" s="92">
        <f t="shared" si="12"/>
        <v>222882.61</v>
      </c>
      <c r="J272" s="93"/>
    </row>
    <row r="273" spans="1:10" x14ac:dyDescent="0.2">
      <c r="A273" s="107">
        <v>2</v>
      </c>
      <c r="B273" s="95">
        <v>3</v>
      </c>
      <c r="C273" s="95">
        <v>6</v>
      </c>
      <c r="D273" s="95">
        <v>3</v>
      </c>
      <c r="E273" s="96" t="s">
        <v>41</v>
      </c>
      <c r="F273" s="114" t="s">
        <v>232</v>
      </c>
      <c r="G273" s="97">
        <f>'[1]CUENTA T FONDO 100'!EP461</f>
        <v>2802.5</v>
      </c>
      <c r="H273" s="97">
        <f>'[1]CUENTA T VS'!EP225</f>
        <v>0</v>
      </c>
      <c r="I273" s="97">
        <f t="shared" si="12"/>
        <v>2802.5</v>
      </c>
      <c r="J273" s="98">
        <f>I273/$I$25</f>
        <v>2.5798185816856357E-5</v>
      </c>
    </row>
    <row r="274" spans="1:10" x14ac:dyDescent="0.2">
      <c r="A274" s="107">
        <v>2</v>
      </c>
      <c r="B274" s="95">
        <v>3</v>
      </c>
      <c r="C274" s="95">
        <v>6</v>
      </c>
      <c r="D274" s="95">
        <v>3</v>
      </c>
      <c r="E274" s="96" t="s">
        <v>43</v>
      </c>
      <c r="F274" s="94" t="s">
        <v>233</v>
      </c>
      <c r="G274" s="97">
        <f>'[1]CUENTA T FONDO 100'!EQ461</f>
        <v>0</v>
      </c>
      <c r="H274" s="97">
        <f>'[1]CUENTA T VS'!EQ225</f>
        <v>0</v>
      </c>
      <c r="I274" s="97">
        <f t="shared" si="12"/>
        <v>0</v>
      </c>
      <c r="J274" s="98">
        <f>I274/$I$25</f>
        <v>0</v>
      </c>
    </row>
    <row r="275" spans="1:10" x14ac:dyDescent="0.2">
      <c r="A275" s="107">
        <v>2</v>
      </c>
      <c r="B275" s="95">
        <v>3</v>
      </c>
      <c r="C275" s="95">
        <v>6</v>
      </c>
      <c r="D275" s="95">
        <v>3</v>
      </c>
      <c r="E275" s="96" t="s">
        <v>45</v>
      </c>
      <c r="F275" s="94" t="s">
        <v>234</v>
      </c>
      <c r="G275" s="97">
        <f>'[1]CUENTA T FONDO 100'!ER461</f>
        <v>32686</v>
      </c>
      <c r="H275" s="97">
        <f>'[1]CUENTA T VS'!ER225</f>
        <v>187394.11</v>
      </c>
      <c r="I275" s="97">
        <f t="shared" si="12"/>
        <v>220080.11</v>
      </c>
      <c r="J275" s="98">
        <f>I275/$I$25</f>
        <v>2.0259295530327161E-3</v>
      </c>
    </row>
    <row r="276" spans="1:10" x14ac:dyDescent="0.2">
      <c r="A276" s="105">
        <v>2</v>
      </c>
      <c r="B276" s="91">
        <v>3</v>
      </c>
      <c r="C276" s="91">
        <v>6</v>
      </c>
      <c r="D276" s="91">
        <v>4</v>
      </c>
      <c r="E276" s="91"/>
      <c r="F276" s="90" t="s">
        <v>235</v>
      </c>
      <c r="G276" s="92">
        <f>SUM(G277:G283)</f>
        <v>0</v>
      </c>
      <c r="H276" s="92">
        <f>SUM(H277:H283)</f>
        <v>0</v>
      </c>
      <c r="I276" s="92">
        <f t="shared" si="12"/>
        <v>0</v>
      </c>
      <c r="J276" s="93"/>
    </row>
    <row r="277" spans="1:10" x14ac:dyDescent="0.2">
      <c r="A277" s="107">
        <v>2</v>
      </c>
      <c r="B277" s="95">
        <v>3</v>
      </c>
      <c r="C277" s="95">
        <v>6</v>
      </c>
      <c r="D277" s="95">
        <v>4</v>
      </c>
      <c r="E277" s="96" t="s">
        <v>35</v>
      </c>
      <c r="F277" s="94" t="s">
        <v>236</v>
      </c>
      <c r="G277" s="97">
        <f>'[1]CUENTA T FONDO 100'!ES461</f>
        <v>0</v>
      </c>
      <c r="H277" s="97">
        <f>'[1]CUENTA T VS'!ES225</f>
        <v>0</v>
      </c>
      <c r="I277" s="97">
        <f t="shared" si="12"/>
        <v>0</v>
      </c>
      <c r="J277" s="98">
        <f t="shared" ref="J277:J283" si="13">I277/$I$25</f>
        <v>0</v>
      </c>
    </row>
    <row r="278" spans="1:10" x14ac:dyDescent="0.2">
      <c r="A278" s="107">
        <v>2</v>
      </c>
      <c r="B278" s="95">
        <v>3</v>
      </c>
      <c r="C278" s="95">
        <v>6</v>
      </c>
      <c r="D278" s="95">
        <v>4</v>
      </c>
      <c r="E278" s="96" t="s">
        <v>37</v>
      </c>
      <c r="F278" s="94" t="s">
        <v>237</v>
      </c>
      <c r="G278" s="97">
        <f>'[1]CUENTA T FONDO 100'!ET461</f>
        <v>0</v>
      </c>
      <c r="H278" s="97">
        <f>'[1]CUENTA T VS'!ET225</f>
        <v>0</v>
      </c>
      <c r="I278" s="97">
        <f t="shared" si="12"/>
        <v>0</v>
      </c>
      <c r="J278" s="98">
        <f t="shared" si="13"/>
        <v>0</v>
      </c>
    </row>
    <row r="279" spans="1:10" x14ac:dyDescent="0.2">
      <c r="A279" s="107">
        <v>2</v>
      </c>
      <c r="B279" s="95">
        <v>3</v>
      </c>
      <c r="C279" s="95">
        <v>6</v>
      </c>
      <c r="D279" s="95">
        <v>4</v>
      </c>
      <c r="E279" s="96" t="s">
        <v>39</v>
      </c>
      <c r="F279" s="94" t="s">
        <v>238</v>
      </c>
      <c r="G279" s="97">
        <f>'[1]CUENTA T FONDO 100'!EU461</f>
        <v>0</v>
      </c>
      <c r="H279" s="97">
        <f>'[1]CUENTA T VS'!EU225</f>
        <v>0</v>
      </c>
      <c r="I279" s="97">
        <f t="shared" si="12"/>
        <v>0</v>
      </c>
      <c r="J279" s="98">
        <f t="shared" si="13"/>
        <v>0</v>
      </c>
    </row>
    <row r="280" spans="1:10" x14ac:dyDescent="0.2">
      <c r="A280" s="107">
        <v>2</v>
      </c>
      <c r="B280" s="95">
        <v>3</v>
      </c>
      <c r="C280" s="95">
        <v>6</v>
      </c>
      <c r="D280" s="95">
        <v>4</v>
      </c>
      <c r="E280" s="96" t="s">
        <v>41</v>
      </c>
      <c r="F280" s="94" t="s">
        <v>239</v>
      </c>
      <c r="G280" s="97">
        <f>'[1]CUENTA T FONDO 100'!EV461</f>
        <v>0</v>
      </c>
      <c r="H280" s="97">
        <f>'[1]CUENTA T VS'!EV225</f>
        <v>0</v>
      </c>
      <c r="I280" s="97">
        <f t="shared" si="12"/>
        <v>0</v>
      </c>
      <c r="J280" s="98">
        <f t="shared" si="13"/>
        <v>0</v>
      </c>
    </row>
    <row r="281" spans="1:10" x14ac:dyDescent="0.2">
      <c r="A281" s="107">
        <v>2</v>
      </c>
      <c r="B281" s="95">
        <v>3</v>
      </c>
      <c r="C281" s="95">
        <v>6</v>
      </c>
      <c r="D281" s="95">
        <v>4</v>
      </c>
      <c r="E281" s="96" t="s">
        <v>43</v>
      </c>
      <c r="F281" s="94" t="s">
        <v>240</v>
      </c>
      <c r="G281" s="97">
        <f>'[1]CUENTA T FONDO 100'!EW461</f>
        <v>0</v>
      </c>
      <c r="H281" s="97">
        <f>'[1]CUENTA T VS'!EW225</f>
        <v>0</v>
      </c>
      <c r="I281" s="97">
        <f t="shared" ref="I281:I344" si="14">SUM(G281:H281)</f>
        <v>0</v>
      </c>
      <c r="J281" s="98">
        <f t="shared" si="13"/>
        <v>0</v>
      </c>
    </row>
    <row r="282" spans="1:10" x14ac:dyDescent="0.2">
      <c r="A282" s="107">
        <v>2</v>
      </c>
      <c r="B282" s="95">
        <v>3</v>
      </c>
      <c r="C282" s="95">
        <v>6</v>
      </c>
      <c r="D282" s="95">
        <v>4</v>
      </c>
      <c r="E282" s="96" t="s">
        <v>45</v>
      </c>
      <c r="F282" s="94" t="s">
        <v>241</v>
      </c>
      <c r="G282" s="97">
        <f>'[1]CUENTA T FONDO 100'!EX461</f>
        <v>0</v>
      </c>
      <c r="H282" s="97">
        <f>'[1]CUENTA T VS'!EX225</f>
        <v>0</v>
      </c>
      <c r="I282" s="97">
        <f t="shared" si="14"/>
        <v>0</v>
      </c>
      <c r="J282" s="98">
        <f t="shared" si="13"/>
        <v>0</v>
      </c>
    </row>
    <row r="283" spans="1:10" x14ac:dyDescent="0.2">
      <c r="A283" s="107">
        <v>2</v>
      </c>
      <c r="B283" s="95">
        <v>3</v>
      </c>
      <c r="C283" s="95">
        <v>6</v>
      </c>
      <c r="D283" s="95">
        <v>4</v>
      </c>
      <c r="E283" s="96" t="s">
        <v>71</v>
      </c>
      <c r="F283" s="94" t="s">
        <v>242</v>
      </c>
      <c r="G283" s="97">
        <f>'[1]CUENTA T FONDO 100'!EY461</f>
        <v>0</v>
      </c>
      <c r="H283" s="97">
        <f>'[1]CUENTA T VS'!EY225</f>
        <v>0</v>
      </c>
      <c r="I283" s="97">
        <f t="shared" si="14"/>
        <v>0</v>
      </c>
      <c r="J283" s="98">
        <f t="shared" si="13"/>
        <v>0</v>
      </c>
    </row>
    <row r="284" spans="1:10" x14ac:dyDescent="0.2">
      <c r="A284" s="105">
        <v>2</v>
      </c>
      <c r="B284" s="91">
        <v>3</v>
      </c>
      <c r="C284" s="91">
        <v>6</v>
      </c>
      <c r="D284" s="91">
        <v>9</v>
      </c>
      <c r="E284" s="91"/>
      <c r="F284" s="90" t="s">
        <v>243</v>
      </c>
      <c r="G284" s="92">
        <f>SUM(G285)</f>
        <v>0</v>
      </c>
      <c r="H284" s="92">
        <f>SUM(H285)</f>
        <v>0</v>
      </c>
      <c r="I284" s="92">
        <f t="shared" si="14"/>
        <v>0</v>
      </c>
      <c r="J284" s="93"/>
    </row>
    <row r="285" spans="1:10" x14ac:dyDescent="0.2">
      <c r="A285" s="107">
        <v>2</v>
      </c>
      <c r="B285" s="95">
        <v>3</v>
      </c>
      <c r="C285" s="95">
        <v>6</v>
      </c>
      <c r="D285" s="95">
        <v>9</v>
      </c>
      <c r="E285" s="96" t="s">
        <v>35</v>
      </c>
      <c r="F285" s="94" t="s">
        <v>244</v>
      </c>
      <c r="G285" s="97">
        <f>'[1]CUENTA T FONDO 100'!EZ461</f>
        <v>0</v>
      </c>
      <c r="H285" s="97">
        <f>'[1]CUENTA T VS'!EZ225</f>
        <v>0</v>
      </c>
      <c r="I285" s="97">
        <f t="shared" si="14"/>
        <v>0</v>
      </c>
      <c r="J285" s="98">
        <f>I285/$I$25</f>
        <v>0</v>
      </c>
    </row>
    <row r="286" spans="1:10" x14ac:dyDescent="0.2">
      <c r="A286" s="87">
        <v>2</v>
      </c>
      <c r="B286" s="88">
        <v>3</v>
      </c>
      <c r="C286" s="88">
        <v>7</v>
      </c>
      <c r="D286" s="88"/>
      <c r="E286" s="88"/>
      <c r="F286" s="116" t="s">
        <v>245</v>
      </c>
      <c r="G286" s="89">
        <f>G287+G295</f>
        <v>2398943.9800000004</v>
      </c>
      <c r="H286" s="89">
        <f>H287+H295</f>
        <v>250850.02</v>
      </c>
      <c r="I286" s="89">
        <f t="shared" si="14"/>
        <v>2649794.0000000005</v>
      </c>
      <c r="J286" s="86"/>
    </row>
    <row r="287" spans="1:10" x14ac:dyDescent="0.2">
      <c r="A287" s="105">
        <v>2</v>
      </c>
      <c r="B287" s="91">
        <v>3</v>
      </c>
      <c r="C287" s="91">
        <v>7</v>
      </c>
      <c r="D287" s="91">
        <v>1</v>
      </c>
      <c r="E287" s="91"/>
      <c r="F287" s="90" t="s">
        <v>246</v>
      </c>
      <c r="G287" s="92">
        <f>SUM(G288:G294)</f>
        <v>0</v>
      </c>
      <c r="H287" s="92">
        <f>SUM(H288:H294)</f>
        <v>220020</v>
      </c>
      <c r="I287" s="92">
        <f t="shared" si="14"/>
        <v>220020</v>
      </c>
      <c r="J287" s="93"/>
    </row>
    <row r="288" spans="1:10" x14ac:dyDescent="0.2">
      <c r="A288" s="107">
        <v>2</v>
      </c>
      <c r="B288" s="95">
        <v>3</v>
      </c>
      <c r="C288" s="95">
        <v>7</v>
      </c>
      <c r="D288" s="95">
        <v>1</v>
      </c>
      <c r="E288" s="96" t="s">
        <v>35</v>
      </c>
      <c r="F288" s="94" t="s">
        <v>247</v>
      </c>
      <c r="G288" s="97">
        <f>'[1]CUENTA T FONDO 100'!FA461</f>
        <v>0</v>
      </c>
      <c r="H288" s="97">
        <f>'[1]CUENTA T VS'!FA225</f>
        <v>172000</v>
      </c>
      <c r="I288" s="97">
        <f t="shared" si="14"/>
        <v>172000</v>
      </c>
      <c r="J288" s="98">
        <f t="shared" ref="J288:J294" si="15">I288/$I$25</f>
        <v>1.5833320108828879E-3</v>
      </c>
    </row>
    <row r="289" spans="1:10" x14ac:dyDescent="0.2">
      <c r="A289" s="107">
        <v>2</v>
      </c>
      <c r="B289" s="95">
        <v>3</v>
      </c>
      <c r="C289" s="95">
        <v>7</v>
      </c>
      <c r="D289" s="95">
        <v>1</v>
      </c>
      <c r="E289" s="96" t="s">
        <v>37</v>
      </c>
      <c r="F289" s="94" t="s">
        <v>248</v>
      </c>
      <c r="G289" s="97">
        <f>'[1]CUENTA T FONDO 100'!FB461</f>
        <v>0</v>
      </c>
      <c r="H289" s="97">
        <f>'[1]CUENTA T VS'!FB225</f>
        <v>0</v>
      </c>
      <c r="I289" s="97">
        <f t="shared" si="14"/>
        <v>0</v>
      </c>
      <c r="J289" s="98">
        <f t="shared" si="15"/>
        <v>0</v>
      </c>
    </row>
    <row r="290" spans="1:10" x14ac:dyDescent="0.2">
      <c r="A290" s="107">
        <v>2</v>
      </c>
      <c r="B290" s="95">
        <v>3</v>
      </c>
      <c r="C290" s="95">
        <v>7</v>
      </c>
      <c r="D290" s="95">
        <v>1</v>
      </c>
      <c r="E290" s="96" t="s">
        <v>39</v>
      </c>
      <c r="F290" s="94" t="s">
        <v>249</v>
      </c>
      <c r="G290" s="97">
        <f>'[1]CUENTA T FONDO 100'!FC461</f>
        <v>0</v>
      </c>
      <c r="H290" s="97">
        <f>'[1]CUENTA T VS'!FC225</f>
        <v>0</v>
      </c>
      <c r="I290" s="97">
        <f t="shared" si="14"/>
        <v>0</v>
      </c>
      <c r="J290" s="98">
        <f t="shared" si="15"/>
        <v>0</v>
      </c>
    </row>
    <row r="291" spans="1:10" x14ac:dyDescent="0.2">
      <c r="A291" s="107">
        <v>2</v>
      </c>
      <c r="B291" s="95">
        <v>3</v>
      </c>
      <c r="C291" s="95">
        <v>7</v>
      </c>
      <c r="D291" s="95">
        <v>1</v>
      </c>
      <c r="E291" s="96" t="s">
        <v>41</v>
      </c>
      <c r="F291" s="94" t="s">
        <v>250</v>
      </c>
      <c r="G291" s="97">
        <f>'[1]CUENTA T FONDO 100'!FD461</f>
        <v>0</v>
      </c>
      <c r="H291" s="97">
        <f>'[1]CUENTA T VS'!FD225</f>
        <v>48020</v>
      </c>
      <c r="I291" s="97">
        <f t="shared" si="14"/>
        <v>48020</v>
      </c>
      <c r="J291" s="98">
        <f t="shared" si="15"/>
        <v>4.4204420443369924E-4</v>
      </c>
    </row>
    <row r="292" spans="1:10" x14ac:dyDescent="0.2">
      <c r="A292" s="107">
        <v>2</v>
      </c>
      <c r="B292" s="95">
        <v>3</v>
      </c>
      <c r="C292" s="95">
        <v>7</v>
      </c>
      <c r="D292" s="95">
        <v>1</v>
      </c>
      <c r="E292" s="96" t="s">
        <v>43</v>
      </c>
      <c r="F292" s="94" t="s">
        <v>251</v>
      </c>
      <c r="G292" s="97">
        <f>'[1]CUENTA T FONDO 100'!FE461</f>
        <v>0</v>
      </c>
      <c r="H292" s="97">
        <f>'[1]CUENTA T VS'!FE225</f>
        <v>0</v>
      </c>
      <c r="I292" s="97">
        <f t="shared" si="14"/>
        <v>0</v>
      </c>
      <c r="J292" s="98">
        <f t="shared" si="15"/>
        <v>0</v>
      </c>
    </row>
    <row r="293" spans="1:10" x14ac:dyDescent="0.2">
      <c r="A293" s="107">
        <v>2</v>
      </c>
      <c r="B293" s="95">
        <v>3</v>
      </c>
      <c r="C293" s="95">
        <v>7</v>
      </c>
      <c r="D293" s="95">
        <v>1</v>
      </c>
      <c r="E293" s="96" t="s">
        <v>45</v>
      </c>
      <c r="F293" s="94" t="s">
        <v>252</v>
      </c>
      <c r="G293" s="97">
        <f>'[1]CUENTA T FONDO 100'!FF461</f>
        <v>0</v>
      </c>
      <c r="H293" s="97">
        <f>'[1]CUENTA T VS'!FF225</f>
        <v>0</v>
      </c>
      <c r="I293" s="97">
        <f t="shared" si="14"/>
        <v>0</v>
      </c>
      <c r="J293" s="98">
        <f t="shared" si="15"/>
        <v>0</v>
      </c>
    </row>
    <row r="294" spans="1:10" x14ac:dyDescent="0.2">
      <c r="A294" s="107">
        <v>2</v>
      </c>
      <c r="B294" s="95">
        <v>3</v>
      </c>
      <c r="C294" s="95">
        <v>7</v>
      </c>
      <c r="D294" s="95">
        <v>1</v>
      </c>
      <c r="E294" s="96" t="s">
        <v>71</v>
      </c>
      <c r="F294" s="94" t="s">
        <v>253</v>
      </c>
      <c r="G294" s="97">
        <f>'[1]CUENTA T FONDO 100'!FG461</f>
        <v>0</v>
      </c>
      <c r="H294" s="97">
        <f>'[1]CUENTA T VS'!FG225</f>
        <v>0</v>
      </c>
      <c r="I294" s="97">
        <f t="shared" si="14"/>
        <v>0</v>
      </c>
      <c r="J294" s="98">
        <f t="shared" si="15"/>
        <v>0</v>
      </c>
    </row>
    <row r="295" spans="1:10" x14ac:dyDescent="0.2">
      <c r="A295" s="105">
        <v>2</v>
      </c>
      <c r="B295" s="91">
        <v>3</v>
      </c>
      <c r="C295" s="91">
        <v>7</v>
      </c>
      <c r="D295" s="91">
        <v>2</v>
      </c>
      <c r="E295" s="91"/>
      <c r="F295" s="90" t="s">
        <v>254</v>
      </c>
      <c r="G295" s="92">
        <f>SUM(G296:G302)</f>
        <v>2398943.9800000004</v>
      </c>
      <c r="H295" s="92">
        <f>SUM(H296:H302)</f>
        <v>30830.02</v>
      </c>
      <c r="I295" s="92">
        <f t="shared" si="14"/>
        <v>2429774.0000000005</v>
      </c>
      <c r="J295" s="93"/>
    </row>
    <row r="296" spans="1:10" x14ac:dyDescent="0.2">
      <c r="A296" s="107">
        <v>2</v>
      </c>
      <c r="B296" s="95">
        <v>3</v>
      </c>
      <c r="C296" s="95">
        <v>7</v>
      </c>
      <c r="D296" s="95">
        <v>2</v>
      </c>
      <c r="E296" s="96" t="s">
        <v>35</v>
      </c>
      <c r="F296" s="94" t="s">
        <v>255</v>
      </c>
      <c r="G296" s="97">
        <f>'[1]CUENTA T FONDO 100'!FH461</f>
        <v>0</v>
      </c>
      <c r="H296" s="97">
        <f>'[1]CUENTA T VS'!FH225</f>
        <v>0</v>
      </c>
      <c r="I296" s="97">
        <f t="shared" si="14"/>
        <v>0</v>
      </c>
      <c r="J296" s="98">
        <f t="shared" ref="J296:J302" si="16">I296/$I$25</f>
        <v>0</v>
      </c>
    </row>
    <row r="297" spans="1:10" x14ac:dyDescent="0.2">
      <c r="A297" s="107">
        <v>2</v>
      </c>
      <c r="B297" s="95">
        <v>3</v>
      </c>
      <c r="C297" s="95">
        <v>7</v>
      </c>
      <c r="D297" s="95">
        <v>2</v>
      </c>
      <c r="E297" s="96" t="s">
        <v>37</v>
      </c>
      <c r="F297" s="94" t="s">
        <v>256</v>
      </c>
      <c r="G297" s="97">
        <f>'[1]CUENTA T FONDO 100'!FI461</f>
        <v>0</v>
      </c>
      <c r="H297" s="97">
        <f>'[1]CUENTA T VS'!FI225</f>
        <v>0</v>
      </c>
      <c r="I297" s="97">
        <f t="shared" si="14"/>
        <v>0</v>
      </c>
      <c r="J297" s="98">
        <f t="shared" si="16"/>
        <v>0</v>
      </c>
    </row>
    <row r="298" spans="1:10" x14ac:dyDescent="0.2">
      <c r="A298" s="107">
        <v>2</v>
      </c>
      <c r="B298" s="95">
        <v>3</v>
      </c>
      <c r="C298" s="95">
        <v>7</v>
      </c>
      <c r="D298" s="95">
        <v>2</v>
      </c>
      <c r="E298" s="96" t="s">
        <v>39</v>
      </c>
      <c r="F298" s="94" t="s">
        <v>257</v>
      </c>
      <c r="G298" s="97">
        <f>'[1]CUENTA T FONDO 100'!FJ461</f>
        <v>1643406.7000000002</v>
      </c>
      <c r="H298" s="97">
        <f>'[1]CUENTA T VS'!FJ225</f>
        <v>9600</v>
      </c>
      <c r="I298" s="97">
        <f t="shared" si="14"/>
        <v>1653006.7000000002</v>
      </c>
      <c r="J298" s="98">
        <f t="shared" si="16"/>
        <v>1.5216618734383063E-2</v>
      </c>
    </row>
    <row r="299" spans="1:10" x14ac:dyDescent="0.2">
      <c r="A299" s="107">
        <v>2</v>
      </c>
      <c r="B299" s="95">
        <v>3</v>
      </c>
      <c r="C299" s="95">
        <v>7</v>
      </c>
      <c r="D299" s="95">
        <v>2</v>
      </c>
      <c r="E299" s="96" t="s">
        <v>41</v>
      </c>
      <c r="F299" s="94" t="s">
        <v>258</v>
      </c>
      <c r="G299" s="97">
        <f>'[1]CUENTA T FONDO 100'!FK461</f>
        <v>0</v>
      </c>
      <c r="H299" s="97">
        <f>'[1]CUENTA T VS'!FK225</f>
        <v>0</v>
      </c>
      <c r="I299" s="97">
        <f t="shared" si="14"/>
        <v>0</v>
      </c>
      <c r="J299" s="98">
        <f t="shared" si="16"/>
        <v>0</v>
      </c>
    </row>
    <row r="300" spans="1:10" x14ac:dyDescent="0.2">
      <c r="A300" s="107">
        <v>2</v>
      </c>
      <c r="B300" s="95">
        <v>3</v>
      </c>
      <c r="C300" s="95">
        <v>7</v>
      </c>
      <c r="D300" s="95">
        <v>2</v>
      </c>
      <c r="E300" s="96" t="s">
        <v>43</v>
      </c>
      <c r="F300" s="94" t="s">
        <v>259</v>
      </c>
      <c r="G300" s="97">
        <f>'[1]CUENTA T FONDO 100'!FL461</f>
        <v>0</v>
      </c>
      <c r="H300" s="97">
        <f>'[1]CUENTA T VS'!FL225</f>
        <v>0</v>
      </c>
      <c r="I300" s="97">
        <f t="shared" si="14"/>
        <v>0</v>
      </c>
      <c r="J300" s="98">
        <f t="shared" si="16"/>
        <v>0</v>
      </c>
    </row>
    <row r="301" spans="1:10" x14ac:dyDescent="0.2">
      <c r="A301" s="94">
        <v>2</v>
      </c>
      <c r="B301" s="95">
        <v>3</v>
      </c>
      <c r="C301" s="95">
        <v>7</v>
      </c>
      <c r="D301" s="95">
        <v>2</v>
      </c>
      <c r="E301" s="96" t="s">
        <v>45</v>
      </c>
      <c r="F301" s="117" t="s">
        <v>260</v>
      </c>
      <c r="G301" s="97">
        <f>'[1]CUENTA T FONDO 100'!FM461</f>
        <v>155537.28</v>
      </c>
      <c r="H301" s="97">
        <f>'[1]CUENTA T VS'!FM225</f>
        <v>0</v>
      </c>
      <c r="I301" s="97">
        <f t="shared" si="14"/>
        <v>155537.28</v>
      </c>
      <c r="J301" s="98">
        <f t="shared" si="16"/>
        <v>1.4317857808700859E-3</v>
      </c>
    </row>
    <row r="302" spans="1:10" x14ac:dyDescent="0.2">
      <c r="A302" s="94">
        <v>2</v>
      </c>
      <c r="B302" s="95">
        <v>3</v>
      </c>
      <c r="C302" s="95">
        <v>7</v>
      </c>
      <c r="D302" s="95">
        <v>2</v>
      </c>
      <c r="E302" s="96">
        <v>99</v>
      </c>
      <c r="F302" s="117" t="s">
        <v>261</v>
      </c>
      <c r="G302" s="97">
        <f>'[1]CUENTA T FONDO 100'!FN461</f>
        <v>600000</v>
      </c>
      <c r="H302" s="97">
        <f>'[1]CUENTA T VS'!FN225</f>
        <v>21230.02</v>
      </c>
      <c r="I302" s="97">
        <f t="shared" si="14"/>
        <v>621230.02</v>
      </c>
      <c r="J302" s="98">
        <f t="shared" si="16"/>
        <v>5.7186824231826548E-3</v>
      </c>
    </row>
    <row r="303" spans="1:10" x14ac:dyDescent="0.2">
      <c r="A303" s="87">
        <v>2</v>
      </c>
      <c r="B303" s="88">
        <v>3</v>
      </c>
      <c r="C303" s="88">
        <v>8</v>
      </c>
      <c r="D303" s="88"/>
      <c r="E303" s="88"/>
      <c r="F303" s="116" t="s">
        <v>262</v>
      </c>
      <c r="G303" s="89">
        <f>+G304+G306</f>
        <v>0</v>
      </c>
      <c r="H303" s="89">
        <f>+H304+H306</f>
        <v>0</v>
      </c>
      <c r="I303" s="89">
        <f t="shared" si="14"/>
        <v>0</v>
      </c>
      <c r="J303" s="86"/>
    </row>
    <row r="304" spans="1:10" x14ac:dyDescent="0.2">
      <c r="A304" s="90">
        <v>2</v>
      </c>
      <c r="B304" s="91">
        <v>3</v>
      </c>
      <c r="C304" s="91">
        <v>8</v>
      </c>
      <c r="D304" s="91">
        <v>1</v>
      </c>
      <c r="E304" s="91"/>
      <c r="F304" s="90" t="s">
        <v>263</v>
      </c>
      <c r="G304" s="92">
        <f>SUM(G305)</f>
        <v>0</v>
      </c>
      <c r="H304" s="92">
        <f>SUM(H305)</f>
        <v>0</v>
      </c>
      <c r="I304" s="92">
        <f t="shared" si="14"/>
        <v>0</v>
      </c>
      <c r="J304" s="93"/>
    </row>
    <row r="305" spans="1:10" x14ac:dyDescent="0.2">
      <c r="A305" s="94">
        <v>2</v>
      </c>
      <c r="B305" s="95">
        <v>3</v>
      </c>
      <c r="C305" s="95">
        <v>8</v>
      </c>
      <c r="D305" s="95">
        <v>1</v>
      </c>
      <c r="E305" s="96" t="s">
        <v>35</v>
      </c>
      <c r="F305" s="94" t="s">
        <v>263</v>
      </c>
      <c r="G305" s="97">
        <f>'[1]CUENTA T FONDO 100'!FO461</f>
        <v>0</v>
      </c>
      <c r="H305" s="97">
        <f>'[1]CUENTA T VS'!FO225</f>
        <v>0</v>
      </c>
      <c r="I305" s="97">
        <f t="shared" si="14"/>
        <v>0</v>
      </c>
      <c r="J305" s="98">
        <f>I305/$I$25</f>
        <v>0</v>
      </c>
    </row>
    <row r="306" spans="1:10" ht="25.5" x14ac:dyDescent="0.2">
      <c r="A306" s="90">
        <v>2</v>
      </c>
      <c r="B306" s="91">
        <v>3</v>
      </c>
      <c r="C306" s="91">
        <v>8</v>
      </c>
      <c r="D306" s="91">
        <v>2</v>
      </c>
      <c r="E306" s="91"/>
      <c r="F306" s="115" t="s">
        <v>264</v>
      </c>
      <c r="G306" s="92">
        <f>SUM(G307)</f>
        <v>0</v>
      </c>
      <c r="H306" s="92">
        <f>SUM(H307)</f>
        <v>0</v>
      </c>
      <c r="I306" s="92">
        <f t="shared" si="14"/>
        <v>0</v>
      </c>
      <c r="J306" s="93"/>
    </row>
    <row r="307" spans="1:10" ht="25.5" x14ac:dyDescent="0.2">
      <c r="A307" s="94">
        <v>2</v>
      </c>
      <c r="B307" s="95">
        <v>3</v>
      </c>
      <c r="C307" s="95">
        <v>8</v>
      </c>
      <c r="D307" s="95">
        <v>2</v>
      </c>
      <c r="E307" s="96" t="s">
        <v>35</v>
      </c>
      <c r="F307" s="114" t="s">
        <v>264</v>
      </c>
      <c r="G307" s="97">
        <f>'[1]CUENTA T FONDO 100'!FP461</f>
        <v>0</v>
      </c>
      <c r="H307" s="97">
        <f>'[1]CUENTA T VS'!FP225</f>
        <v>0</v>
      </c>
      <c r="I307" s="97">
        <f t="shared" si="14"/>
        <v>0</v>
      </c>
      <c r="J307" s="98">
        <f>I307/$I$25</f>
        <v>0</v>
      </c>
    </row>
    <row r="308" spans="1:10" x14ac:dyDescent="0.2">
      <c r="A308" s="87">
        <v>2</v>
      </c>
      <c r="B308" s="88">
        <v>3</v>
      </c>
      <c r="C308" s="88">
        <v>9</v>
      </c>
      <c r="D308" s="88"/>
      <c r="E308" s="88"/>
      <c r="F308" s="87" t="s">
        <v>265</v>
      </c>
      <c r="G308" s="89">
        <f>+G309+G312+G314+G316+G318+G320+G322+G324+G327</f>
        <v>5484666.580000001</v>
      </c>
      <c r="H308" s="89">
        <f>+H309+H312+H314+H316+H318+H320+H322+H324+H327</f>
        <v>851056.62</v>
      </c>
      <c r="I308" s="89">
        <f t="shared" si="14"/>
        <v>6335723.2000000011</v>
      </c>
      <c r="J308" s="86"/>
    </row>
    <row r="309" spans="1:10" x14ac:dyDescent="0.2">
      <c r="A309" s="105">
        <v>2</v>
      </c>
      <c r="B309" s="91">
        <v>3</v>
      </c>
      <c r="C309" s="91">
        <v>9</v>
      </c>
      <c r="D309" s="91">
        <v>1</v>
      </c>
      <c r="E309" s="91"/>
      <c r="F309" s="90" t="s">
        <v>266</v>
      </c>
      <c r="G309" s="92">
        <f>SUM(G310:G311)</f>
        <v>49986.22</v>
      </c>
      <c r="H309" s="92">
        <f>SUM(H310:H311)</f>
        <v>238456.75999999998</v>
      </c>
      <c r="I309" s="92">
        <f t="shared" si="14"/>
        <v>288442.98</v>
      </c>
      <c r="J309" s="93"/>
    </row>
    <row r="310" spans="1:10" x14ac:dyDescent="0.2">
      <c r="A310" s="107">
        <v>2</v>
      </c>
      <c r="B310" s="95">
        <v>3</v>
      </c>
      <c r="C310" s="95">
        <v>9</v>
      </c>
      <c r="D310" s="95">
        <v>1</v>
      </c>
      <c r="E310" s="96" t="s">
        <v>35</v>
      </c>
      <c r="F310" s="94" t="s">
        <v>267</v>
      </c>
      <c r="G310" s="97">
        <f>'[1]CUENTA T FONDO 100'!FQ461</f>
        <v>49986.22</v>
      </c>
      <c r="H310" s="97">
        <f>'[1]CUENTA T VS'!FQ225</f>
        <v>238456.75999999998</v>
      </c>
      <c r="I310" s="97">
        <f t="shared" si="14"/>
        <v>288442.98</v>
      </c>
      <c r="J310" s="98">
        <f>I310/$I$25</f>
        <v>2.6552383927235614E-3</v>
      </c>
    </row>
    <row r="311" spans="1:10" x14ac:dyDescent="0.2">
      <c r="A311" s="107">
        <v>2</v>
      </c>
      <c r="B311" s="95">
        <v>3</v>
      </c>
      <c r="C311" s="95">
        <v>9</v>
      </c>
      <c r="D311" s="95">
        <v>1</v>
      </c>
      <c r="E311" s="96" t="s">
        <v>37</v>
      </c>
      <c r="F311" s="94" t="s">
        <v>268</v>
      </c>
      <c r="G311" s="97">
        <f>'[1]CUENTA T FONDO 100'!FR461</f>
        <v>0</v>
      </c>
      <c r="H311" s="97">
        <f>'[1]CUENTA T VS'!FR225</f>
        <v>0</v>
      </c>
      <c r="I311" s="97">
        <f t="shared" si="14"/>
        <v>0</v>
      </c>
      <c r="J311" s="98">
        <f>I311/$I$25</f>
        <v>0</v>
      </c>
    </row>
    <row r="312" spans="1:10" x14ac:dyDescent="0.2">
      <c r="A312" s="105">
        <v>2</v>
      </c>
      <c r="B312" s="91">
        <v>3</v>
      </c>
      <c r="C312" s="91">
        <v>9</v>
      </c>
      <c r="D312" s="91">
        <v>2</v>
      </c>
      <c r="E312" s="91"/>
      <c r="F312" s="90" t="s">
        <v>269</v>
      </c>
      <c r="G312" s="92">
        <f>SUM(G313)</f>
        <v>670504.5</v>
      </c>
      <c r="H312" s="92">
        <f>SUM(H313)</f>
        <v>0</v>
      </c>
      <c r="I312" s="92">
        <f t="shared" si="14"/>
        <v>670504.5</v>
      </c>
      <c r="J312" s="93"/>
    </row>
    <row r="313" spans="1:10" x14ac:dyDescent="0.2">
      <c r="A313" s="107">
        <v>2</v>
      </c>
      <c r="B313" s="95">
        <v>3</v>
      </c>
      <c r="C313" s="95">
        <v>9</v>
      </c>
      <c r="D313" s="95">
        <v>2</v>
      </c>
      <c r="E313" s="96" t="s">
        <v>35</v>
      </c>
      <c r="F313" s="94" t="s">
        <v>270</v>
      </c>
      <c r="G313" s="97">
        <f>'[1]CUENTA T FONDO 100'!FS461</f>
        <v>670504.5</v>
      </c>
      <c r="H313" s="97">
        <f>'[1]CUENTA T VS'!FS225</f>
        <v>0</v>
      </c>
      <c r="I313" s="97">
        <f t="shared" si="14"/>
        <v>670504.5</v>
      </c>
      <c r="J313" s="98">
        <f>I313/$I$25</f>
        <v>6.1722746412268912E-3</v>
      </c>
    </row>
    <row r="314" spans="1:10" x14ac:dyDescent="0.2">
      <c r="A314" s="105">
        <v>2</v>
      </c>
      <c r="B314" s="91">
        <v>3</v>
      </c>
      <c r="C314" s="91">
        <v>9</v>
      </c>
      <c r="D314" s="91">
        <v>3</v>
      </c>
      <c r="E314" s="91"/>
      <c r="F314" s="90" t="s">
        <v>271</v>
      </c>
      <c r="G314" s="92">
        <f>SUM(G315)</f>
        <v>4188418.4600000004</v>
      </c>
      <c r="H314" s="92">
        <f>SUM(H315)</f>
        <v>438045</v>
      </c>
      <c r="I314" s="92">
        <f t="shared" si="14"/>
        <v>4626463.4600000009</v>
      </c>
      <c r="J314" s="93"/>
    </row>
    <row r="315" spans="1:10" x14ac:dyDescent="0.2">
      <c r="A315" s="107">
        <v>2</v>
      </c>
      <c r="B315" s="95">
        <v>3</v>
      </c>
      <c r="C315" s="95">
        <v>9</v>
      </c>
      <c r="D315" s="95">
        <v>3</v>
      </c>
      <c r="E315" s="96" t="s">
        <v>35</v>
      </c>
      <c r="F315" s="94" t="s">
        <v>271</v>
      </c>
      <c r="G315" s="97">
        <f>'[1]CUENTA T FONDO 100'!FT461</f>
        <v>4188418.4600000004</v>
      </c>
      <c r="H315" s="97">
        <f>'[1]CUENTA T VS'!FT225</f>
        <v>438045</v>
      </c>
      <c r="I315" s="97">
        <f t="shared" si="14"/>
        <v>4626463.4600000009</v>
      </c>
      <c r="J315" s="98">
        <f>I315/$I$25</f>
        <v>4.2588533101151189E-2</v>
      </c>
    </row>
    <row r="316" spans="1:10" x14ac:dyDescent="0.2">
      <c r="A316" s="105">
        <v>2</v>
      </c>
      <c r="B316" s="91">
        <v>3</v>
      </c>
      <c r="C316" s="91">
        <v>9</v>
      </c>
      <c r="D316" s="91">
        <v>4</v>
      </c>
      <c r="E316" s="91"/>
      <c r="F316" s="90" t="s">
        <v>272</v>
      </c>
      <c r="G316" s="92">
        <f>SUM(G317)</f>
        <v>0</v>
      </c>
      <c r="H316" s="92">
        <f>SUM(H317)</f>
        <v>0</v>
      </c>
      <c r="I316" s="92">
        <f t="shared" si="14"/>
        <v>0</v>
      </c>
      <c r="J316" s="93"/>
    </row>
    <row r="317" spans="1:10" x14ac:dyDescent="0.2">
      <c r="A317" s="107">
        <v>2</v>
      </c>
      <c r="B317" s="95">
        <v>3</v>
      </c>
      <c r="C317" s="95">
        <v>9</v>
      </c>
      <c r="D317" s="95">
        <v>4</v>
      </c>
      <c r="E317" s="96" t="s">
        <v>35</v>
      </c>
      <c r="F317" s="94" t="s">
        <v>272</v>
      </c>
      <c r="G317" s="97">
        <f>'[1]CUENTA T FONDO 100'!FU461</f>
        <v>0</v>
      </c>
      <c r="H317" s="97">
        <f>'[1]CUENTA T VS'!FU225</f>
        <v>0</v>
      </c>
      <c r="I317" s="97">
        <f t="shared" si="14"/>
        <v>0</v>
      </c>
      <c r="J317" s="98">
        <f>I317/$I$25</f>
        <v>0</v>
      </c>
    </row>
    <row r="318" spans="1:10" x14ac:dyDescent="0.2">
      <c r="A318" s="105">
        <v>2</v>
      </c>
      <c r="B318" s="91">
        <v>3</v>
      </c>
      <c r="C318" s="91">
        <v>9</v>
      </c>
      <c r="D318" s="91">
        <v>5</v>
      </c>
      <c r="E318" s="91"/>
      <c r="F318" s="90" t="s">
        <v>273</v>
      </c>
      <c r="G318" s="92">
        <f>SUM(G319)</f>
        <v>325656.40000000002</v>
      </c>
      <c r="H318" s="92">
        <f>SUM(H319)</f>
        <v>0</v>
      </c>
      <c r="I318" s="92">
        <f t="shared" si="14"/>
        <v>325656.40000000002</v>
      </c>
      <c r="J318" s="93"/>
    </row>
    <row r="319" spans="1:10" x14ac:dyDescent="0.2">
      <c r="A319" s="107">
        <v>2</v>
      </c>
      <c r="B319" s="95">
        <v>3</v>
      </c>
      <c r="C319" s="95">
        <v>9</v>
      </c>
      <c r="D319" s="95">
        <v>5</v>
      </c>
      <c r="E319" s="96" t="s">
        <v>35</v>
      </c>
      <c r="F319" s="94" t="s">
        <v>273</v>
      </c>
      <c r="G319" s="97">
        <f>'[1]CUENTA T FONDO 100'!FV461</f>
        <v>325656.40000000002</v>
      </c>
      <c r="H319" s="97">
        <f>'[1]CUENTA T VS'!FV225</f>
        <v>0</v>
      </c>
      <c r="I319" s="97">
        <f t="shared" si="14"/>
        <v>325656.40000000002</v>
      </c>
      <c r="J319" s="98">
        <f>I319/$I$25</f>
        <v>2.9978035038888493E-3</v>
      </c>
    </row>
    <row r="320" spans="1:10" x14ac:dyDescent="0.2">
      <c r="A320" s="105">
        <v>2</v>
      </c>
      <c r="B320" s="91">
        <v>3</v>
      </c>
      <c r="C320" s="91">
        <v>9</v>
      </c>
      <c r="D320" s="91">
        <v>6</v>
      </c>
      <c r="E320" s="91"/>
      <c r="F320" s="90" t="s">
        <v>274</v>
      </c>
      <c r="G320" s="92">
        <f>SUM(G321)</f>
        <v>175023.5</v>
      </c>
      <c r="H320" s="92">
        <f>SUM(H321)</f>
        <v>76228</v>
      </c>
      <c r="I320" s="92">
        <f t="shared" si="14"/>
        <v>251251.5</v>
      </c>
      <c r="J320" s="93"/>
    </row>
    <row r="321" spans="1:10" x14ac:dyDescent="0.2">
      <c r="A321" s="107">
        <v>2</v>
      </c>
      <c r="B321" s="95">
        <v>3</v>
      </c>
      <c r="C321" s="95">
        <v>9</v>
      </c>
      <c r="D321" s="95">
        <v>6</v>
      </c>
      <c r="E321" s="96" t="s">
        <v>35</v>
      </c>
      <c r="F321" s="94" t="s">
        <v>274</v>
      </c>
      <c r="G321" s="97">
        <f>'[1]CUENTA T FONDO 100'!FW461</f>
        <v>175023.5</v>
      </c>
      <c r="H321" s="97">
        <f>'[1]CUENTA T VS'!FW225</f>
        <v>76228</v>
      </c>
      <c r="I321" s="97">
        <f t="shared" si="14"/>
        <v>251251.5</v>
      </c>
      <c r="J321" s="98">
        <f>I321/$I$25</f>
        <v>2.3128752484438482E-3</v>
      </c>
    </row>
    <row r="322" spans="1:10" x14ac:dyDescent="0.2">
      <c r="A322" s="105">
        <v>2</v>
      </c>
      <c r="B322" s="91">
        <v>3</v>
      </c>
      <c r="C322" s="91">
        <v>9</v>
      </c>
      <c r="D322" s="91">
        <v>7</v>
      </c>
      <c r="E322" s="91"/>
      <c r="F322" s="90" t="s">
        <v>275</v>
      </c>
      <c r="G322" s="92">
        <f>SUM(G323)</f>
        <v>0</v>
      </c>
      <c r="H322" s="92">
        <f>SUM(H323)</f>
        <v>0</v>
      </c>
      <c r="I322" s="92">
        <f t="shared" si="14"/>
        <v>0</v>
      </c>
      <c r="J322" s="93"/>
    </row>
    <row r="323" spans="1:10" x14ac:dyDescent="0.2">
      <c r="A323" s="107">
        <v>2</v>
      </c>
      <c r="B323" s="95">
        <v>3</v>
      </c>
      <c r="C323" s="95">
        <v>9</v>
      </c>
      <c r="D323" s="95">
        <v>7</v>
      </c>
      <c r="E323" s="96" t="s">
        <v>35</v>
      </c>
      <c r="F323" s="94" t="s">
        <v>275</v>
      </c>
      <c r="G323" s="97">
        <f>'[1]CUENTA T FONDO 100'!FX461</f>
        <v>0</v>
      </c>
      <c r="H323" s="97">
        <f>'[1]CUENTA T VS'!FX225</f>
        <v>0</v>
      </c>
      <c r="I323" s="97">
        <f t="shared" si="14"/>
        <v>0</v>
      </c>
      <c r="J323" s="98">
        <f>I323/$I$25</f>
        <v>0</v>
      </c>
    </row>
    <row r="324" spans="1:10" x14ac:dyDescent="0.2">
      <c r="A324" s="105">
        <v>2</v>
      </c>
      <c r="B324" s="91">
        <v>3</v>
      </c>
      <c r="C324" s="91">
        <v>9</v>
      </c>
      <c r="D324" s="91">
        <v>8</v>
      </c>
      <c r="E324" s="91"/>
      <c r="F324" s="90" t="s">
        <v>276</v>
      </c>
      <c r="G324" s="92">
        <f>SUM(G325:G326)</f>
        <v>75077.5</v>
      </c>
      <c r="H324" s="92">
        <f>SUM(H325:H326)</f>
        <v>40800</v>
      </c>
      <c r="I324" s="92">
        <f t="shared" si="14"/>
        <v>115877.5</v>
      </c>
      <c r="J324" s="93"/>
    </row>
    <row r="325" spans="1:10" x14ac:dyDescent="0.2">
      <c r="A325" s="107">
        <v>2</v>
      </c>
      <c r="B325" s="95">
        <v>3</v>
      </c>
      <c r="C325" s="95">
        <v>9</v>
      </c>
      <c r="D325" s="95">
        <v>8</v>
      </c>
      <c r="E325" s="96" t="s">
        <v>35</v>
      </c>
      <c r="F325" s="94" t="s">
        <v>277</v>
      </c>
      <c r="G325" s="97">
        <f>'[1]CUENTA T FONDO 100'!FY461</f>
        <v>11357.5</v>
      </c>
      <c r="H325" s="97">
        <f>'[1]CUENTA T VS'!FY225</f>
        <v>0</v>
      </c>
      <c r="I325" s="97">
        <f t="shared" si="14"/>
        <v>11357.5</v>
      </c>
      <c r="J325" s="98">
        <f>I325/$I$25</f>
        <v>1.0455054252094418E-4</v>
      </c>
    </row>
    <row r="326" spans="1:10" x14ac:dyDescent="0.2">
      <c r="A326" s="107">
        <v>2</v>
      </c>
      <c r="B326" s="95">
        <v>3</v>
      </c>
      <c r="C326" s="95">
        <v>9</v>
      </c>
      <c r="D326" s="95">
        <v>8</v>
      </c>
      <c r="E326" s="96" t="s">
        <v>37</v>
      </c>
      <c r="F326" s="94" t="s">
        <v>278</v>
      </c>
      <c r="G326" s="97">
        <f>'[1]CUENTA T FONDO 100'!FZ461</f>
        <v>63720</v>
      </c>
      <c r="H326" s="97">
        <f>'[1]CUENTA T VS'!FZ225</f>
        <v>40800</v>
      </c>
      <c r="I326" s="97">
        <f t="shared" si="14"/>
        <v>104520</v>
      </c>
      <c r="J326" s="98">
        <f>I326/$I$25</f>
        <v>9.6215035917139211E-4</v>
      </c>
    </row>
    <row r="327" spans="1:10" x14ac:dyDescent="0.2">
      <c r="A327" s="105">
        <v>2</v>
      </c>
      <c r="B327" s="91">
        <v>3</v>
      </c>
      <c r="C327" s="91">
        <v>9</v>
      </c>
      <c r="D327" s="91">
        <v>9</v>
      </c>
      <c r="E327" s="91"/>
      <c r="F327" s="90" t="s">
        <v>279</v>
      </c>
      <c r="G327" s="92">
        <f>SUM(G328:G329)</f>
        <v>0</v>
      </c>
      <c r="H327" s="92">
        <f>SUM(H328:H329)</f>
        <v>57526.86</v>
      </c>
      <c r="I327" s="92">
        <f t="shared" si="14"/>
        <v>57526.86</v>
      </c>
      <c r="J327" s="93"/>
    </row>
    <row r="328" spans="1:10" x14ac:dyDescent="0.2">
      <c r="A328" s="107">
        <v>2</v>
      </c>
      <c r="B328" s="95">
        <v>3</v>
      </c>
      <c r="C328" s="95">
        <v>9</v>
      </c>
      <c r="D328" s="95">
        <v>9</v>
      </c>
      <c r="E328" s="96" t="s">
        <v>35</v>
      </c>
      <c r="F328" s="94" t="s">
        <v>279</v>
      </c>
      <c r="G328" s="97">
        <f>'[1]CUENTA T FONDO 100'!GA461</f>
        <v>0</v>
      </c>
      <c r="H328" s="97">
        <f>'[1]CUENTA T VS'!GA225</f>
        <v>57526.86</v>
      </c>
      <c r="I328" s="97">
        <f t="shared" si="14"/>
        <v>57526.86</v>
      </c>
      <c r="J328" s="98">
        <f>I328/$I$25</f>
        <v>5.29558830951037E-4</v>
      </c>
    </row>
    <row r="329" spans="1:10" x14ac:dyDescent="0.2">
      <c r="A329" s="107">
        <v>2</v>
      </c>
      <c r="B329" s="95">
        <v>3</v>
      </c>
      <c r="C329" s="95">
        <v>9</v>
      </c>
      <c r="D329" s="95">
        <v>9</v>
      </c>
      <c r="E329" s="96" t="s">
        <v>41</v>
      </c>
      <c r="F329" s="94" t="s">
        <v>280</v>
      </c>
      <c r="G329" s="97">
        <f>'[1]CUENTA T FONDO 100'!GB461</f>
        <v>0</v>
      </c>
      <c r="H329" s="97">
        <f>'[1]CUENTA T VS'!GB225</f>
        <v>0</v>
      </c>
      <c r="I329" s="97">
        <f t="shared" si="14"/>
        <v>0</v>
      </c>
      <c r="J329" s="98">
        <f>I329/$I$25</f>
        <v>0</v>
      </c>
    </row>
    <row r="330" spans="1:10" x14ac:dyDescent="0.2">
      <c r="A330" s="103">
        <v>2</v>
      </c>
      <c r="B330" s="88">
        <v>4</v>
      </c>
      <c r="C330" s="88">
        <v>1</v>
      </c>
      <c r="D330" s="88">
        <v>2</v>
      </c>
      <c r="E330" s="88"/>
      <c r="F330" s="118" t="s">
        <v>281</v>
      </c>
      <c r="G330" s="89">
        <f>G331+G332+G333+G334+G335</f>
        <v>0</v>
      </c>
      <c r="H330" s="89">
        <f>H331+H332+H333+H334+H335</f>
        <v>33600</v>
      </c>
      <c r="I330" s="89">
        <f t="shared" si="14"/>
        <v>33600</v>
      </c>
      <c r="J330" s="86">
        <f>+I330/I25</f>
        <v>3.0930206724223854E-4</v>
      </c>
    </row>
    <row r="331" spans="1:10" x14ac:dyDescent="0.2">
      <c r="A331" s="107">
        <v>2</v>
      </c>
      <c r="B331" s="95">
        <v>4</v>
      </c>
      <c r="C331" s="95">
        <v>1</v>
      </c>
      <c r="D331" s="95">
        <v>2</v>
      </c>
      <c r="E331" s="96" t="s">
        <v>35</v>
      </c>
      <c r="F331" s="94" t="s">
        <v>282</v>
      </c>
      <c r="G331" s="97">
        <f>'[1]CUENTA T FONDO 100'!GC461</f>
        <v>0</v>
      </c>
      <c r="H331" s="97">
        <f>'[1]CUENTA T VS'!GC225</f>
        <v>30000</v>
      </c>
      <c r="I331" s="97">
        <f t="shared" si="14"/>
        <v>30000</v>
      </c>
      <c r="J331" s="98">
        <f t="shared" ref="J331:J336" si="17">I331/$I$25</f>
        <v>2.7616256003771297E-4</v>
      </c>
    </row>
    <row r="332" spans="1:10" x14ac:dyDescent="0.2">
      <c r="A332" s="107">
        <v>2</v>
      </c>
      <c r="B332" s="95">
        <v>4</v>
      </c>
      <c r="C332" s="95">
        <v>1</v>
      </c>
      <c r="D332" s="95">
        <v>2</v>
      </c>
      <c r="E332" s="96" t="s">
        <v>37</v>
      </c>
      <c r="F332" s="94" t="s">
        <v>283</v>
      </c>
      <c r="G332" s="97">
        <f>'[1]CUENTA T FONDO 100'!GD461</f>
        <v>0</v>
      </c>
      <c r="H332" s="97">
        <f>'[1]CUENTA T VS'!GD225</f>
        <v>3600</v>
      </c>
      <c r="I332" s="97">
        <f t="shared" si="14"/>
        <v>3600</v>
      </c>
      <c r="J332" s="98">
        <f t="shared" si="17"/>
        <v>3.3139507204525561E-5</v>
      </c>
    </row>
    <row r="333" spans="1:10" x14ac:dyDescent="0.2">
      <c r="A333" s="107">
        <v>2</v>
      </c>
      <c r="B333" s="95">
        <v>4</v>
      </c>
      <c r="C333" s="95">
        <v>1</v>
      </c>
      <c r="D333" s="95">
        <v>2</v>
      </c>
      <c r="E333" s="96" t="s">
        <v>39</v>
      </c>
      <c r="F333" s="94" t="s">
        <v>284</v>
      </c>
      <c r="G333" s="97">
        <f>'[1]CUENTA T FONDO 100'!GE461</f>
        <v>0</v>
      </c>
      <c r="H333" s="97">
        <f>'[1]CUENTA T VS'!GE225</f>
        <v>0</v>
      </c>
      <c r="I333" s="97">
        <f t="shared" si="14"/>
        <v>0</v>
      </c>
      <c r="J333" s="98">
        <f t="shared" si="17"/>
        <v>0</v>
      </c>
    </row>
    <row r="334" spans="1:10" x14ac:dyDescent="0.2">
      <c r="A334" s="107">
        <v>2</v>
      </c>
      <c r="B334" s="95">
        <v>4</v>
      </c>
      <c r="C334" s="95">
        <v>1</v>
      </c>
      <c r="D334" s="95">
        <v>2</v>
      </c>
      <c r="E334" s="96" t="s">
        <v>41</v>
      </c>
      <c r="F334" s="94" t="s">
        <v>285</v>
      </c>
      <c r="G334" s="97">
        <f>'[1]CUENTA T FONDO 100'!GF461</f>
        <v>0</v>
      </c>
      <c r="H334" s="97">
        <f>'[1]CUENTA T VS'!GF225</f>
        <v>0</v>
      </c>
      <c r="I334" s="97">
        <f t="shared" si="14"/>
        <v>0</v>
      </c>
      <c r="J334" s="98">
        <f t="shared" si="17"/>
        <v>0</v>
      </c>
    </row>
    <row r="335" spans="1:10" x14ac:dyDescent="0.2">
      <c r="A335" s="107">
        <v>2</v>
      </c>
      <c r="B335" s="95">
        <v>4</v>
      </c>
      <c r="C335" s="95">
        <v>1</v>
      </c>
      <c r="D335" s="95">
        <v>2</v>
      </c>
      <c r="E335" s="96" t="s">
        <v>43</v>
      </c>
      <c r="F335" s="94" t="s">
        <v>286</v>
      </c>
      <c r="G335" s="97">
        <f>'[1]CUENTA T FONDO 100'!GG461</f>
        <v>0</v>
      </c>
      <c r="H335" s="97">
        <f>'[1]CUENTA T VS'!GG225</f>
        <v>0</v>
      </c>
      <c r="I335" s="97">
        <f t="shared" si="14"/>
        <v>0</v>
      </c>
      <c r="J335" s="98">
        <f t="shared" si="17"/>
        <v>0</v>
      </c>
    </row>
    <row r="336" spans="1:10" x14ac:dyDescent="0.2">
      <c r="A336" s="103">
        <v>2</v>
      </c>
      <c r="B336" s="88">
        <v>6</v>
      </c>
      <c r="C336" s="88"/>
      <c r="D336" s="88"/>
      <c r="E336" s="88"/>
      <c r="F336" s="118" t="s">
        <v>287</v>
      </c>
      <c r="G336" s="89">
        <f>G337+G348+G357+G366+G383+G400+G405+G424+G446</f>
        <v>10590778.550000001</v>
      </c>
      <c r="H336" s="89">
        <f>H337+H348+H357+H366+H383+H400+H405+H424+H446</f>
        <v>2395076.41</v>
      </c>
      <c r="I336" s="89">
        <f t="shared" si="14"/>
        <v>12985854.960000001</v>
      </c>
      <c r="J336" s="86">
        <f t="shared" si="17"/>
        <v>0.11954023166773445</v>
      </c>
    </row>
    <row r="337" spans="1:10" x14ac:dyDescent="0.2">
      <c r="A337" s="87">
        <v>2</v>
      </c>
      <c r="B337" s="88">
        <v>6</v>
      </c>
      <c r="C337" s="88">
        <v>1</v>
      </c>
      <c r="D337" s="88"/>
      <c r="E337" s="88"/>
      <c r="F337" s="118" t="s">
        <v>288</v>
      </c>
      <c r="G337" s="89">
        <f>+G338+G340+G342+G344+G346</f>
        <v>2704062.94</v>
      </c>
      <c r="H337" s="89">
        <f>+H338+H340+H342+H344+H346</f>
        <v>684631.95</v>
      </c>
      <c r="I337" s="89">
        <f t="shared" si="14"/>
        <v>3388694.8899999997</v>
      </c>
      <c r="J337" s="86"/>
    </row>
    <row r="338" spans="1:10" x14ac:dyDescent="0.2">
      <c r="A338" s="90">
        <v>2</v>
      </c>
      <c r="B338" s="91">
        <v>6</v>
      </c>
      <c r="C338" s="91">
        <v>1</v>
      </c>
      <c r="D338" s="91">
        <v>1</v>
      </c>
      <c r="E338" s="91"/>
      <c r="F338" s="119" t="s">
        <v>289</v>
      </c>
      <c r="G338" s="92">
        <f>SUM(G339)</f>
        <v>937588.78</v>
      </c>
      <c r="H338" s="92">
        <f>SUM(H339)</f>
        <v>507584.75</v>
      </c>
      <c r="I338" s="92">
        <f t="shared" si="14"/>
        <v>1445173.53</v>
      </c>
      <c r="J338" s="93"/>
    </row>
    <row r="339" spans="1:10" x14ac:dyDescent="0.2">
      <c r="A339" s="94">
        <v>2</v>
      </c>
      <c r="B339" s="95">
        <v>6</v>
      </c>
      <c r="C339" s="95">
        <v>1</v>
      </c>
      <c r="D339" s="95">
        <v>1</v>
      </c>
      <c r="E339" s="96" t="s">
        <v>35</v>
      </c>
      <c r="F339" s="102" t="s">
        <v>289</v>
      </c>
      <c r="G339" s="97">
        <f>'[1]CUENTA T FONDO 100'!GH461</f>
        <v>937588.78</v>
      </c>
      <c r="H339" s="97">
        <f>'[1]CUENTA T VS'!GH225</f>
        <v>507584.75</v>
      </c>
      <c r="I339" s="97">
        <f t="shared" si="14"/>
        <v>1445173.53</v>
      </c>
      <c r="J339" s="98">
        <f>I339/$I$25</f>
        <v>1.3303427391451288E-2</v>
      </c>
    </row>
    <row r="340" spans="1:10" x14ac:dyDescent="0.2">
      <c r="A340" s="90">
        <v>2</v>
      </c>
      <c r="B340" s="91">
        <v>6</v>
      </c>
      <c r="C340" s="91">
        <v>1</v>
      </c>
      <c r="D340" s="91">
        <v>2</v>
      </c>
      <c r="E340" s="91"/>
      <c r="F340" s="119" t="s">
        <v>290</v>
      </c>
      <c r="G340" s="92">
        <f>SUM(G341)</f>
        <v>0</v>
      </c>
      <c r="H340" s="92">
        <f>SUM(H341)</f>
        <v>0</v>
      </c>
      <c r="I340" s="92">
        <f t="shared" si="14"/>
        <v>0</v>
      </c>
      <c r="J340" s="93"/>
    </row>
    <row r="341" spans="1:10" x14ac:dyDescent="0.2">
      <c r="A341" s="94">
        <v>2</v>
      </c>
      <c r="B341" s="95">
        <v>6</v>
      </c>
      <c r="C341" s="95">
        <v>1</v>
      </c>
      <c r="D341" s="95">
        <v>2</v>
      </c>
      <c r="E341" s="96" t="s">
        <v>35</v>
      </c>
      <c r="F341" s="102" t="s">
        <v>290</v>
      </c>
      <c r="G341" s="97">
        <f>'[1]CUENTA T FONDO 100'!GI461</f>
        <v>0</v>
      </c>
      <c r="H341" s="97">
        <f>'[1]CUENTA T VS'!GI225</f>
        <v>0</v>
      </c>
      <c r="I341" s="97">
        <f t="shared" si="14"/>
        <v>0</v>
      </c>
      <c r="J341" s="98">
        <f>I341/$I$25</f>
        <v>0</v>
      </c>
    </row>
    <row r="342" spans="1:10" x14ac:dyDescent="0.2">
      <c r="A342" s="90">
        <v>2</v>
      </c>
      <c r="B342" s="91">
        <v>6</v>
      </c>
      <c r="C342" s="91">
        <v>1</v>
      </c>
      <c r="D342" s="91">
        <v>3</v>
      </c>
      <c r="E342" s="91"/>
      <c r="F342" s="119" t="s">
        <v>291</v>
      </c>
      <c r="G342" s="92">
        <f>SUM(G343)</f>
        <v>1766474.16</v>
      </c>
      <c r="H342" s="92">
        <f>SUM(H343)</f>
        <v>0</v>
      </c>
      <c r="I342" s="92">
        <f t="shared" si="14"/>
        <v>1766474.16</v>
      </c>
      <c r="J342" s="93"/>
    </row>
    <row r="343" spans="1:10" x14ac:dyDescent="0.2">
      <c r="A343" s="94">
        <v>2</v>
      </c>
      <c r="B343" s="95">
        <v>6</v>
      </c>
      <c r="C343" s="95">
        <v>1</v>
      </c>
      <c r="D343" s="95">
        <v>3</v>
      </c>
      <c r="E343" s="96" t="s">
        <v>35</v>
      </c>
      <c r="F343" s="102" t="s">
        <v>291</v>
      </c>
      <c r="G343" s="97">
        <f>'[1]CUENTA T FONDO 100'!GJ461</f>
        <v>1766474.16</v>
      </c>
      <c r="H343" s="97">
        <f>'[1]CUENTA T VS'!GJ225</f>
        <v>0</v>
      </c>
      <c r="I343" s="97">
        <f t="shared" si="14"/>
        <v>1766474.16</v>
      </c>
      <c r="J343" s="98">
        <f>I343/$I$25</f>
        <v>1.6261134208868953E-2</v>
      </c>
    </row>
    <row r="344" spans="1:10" x14ac:dyDescent="0.2">
      <c r="A344" s="90">
        <v>2</v>
      </c>
      <c r="B344" s="91">
        <v>6</v>
      </c>
      <c r="C344" s="91">
        <v>1</v>
      </c>
      <c r="D344" s="91">
        <v>4</v>
      </c>
      <c r="E344" s="91"/>
      <c r="F344" s="119" t="s">
        <v>292</v>
      </c>
      <c r="G344" s="92">
        <f>SUM(G345)</f>
        <v>0</v>
      </c>
      <c r="H344" s="92">
        <f>SUM(H345)</f>
        <v>177047.2</v>
      </c>
      <c r="I344" s="92">
        <f t="shared" si="14"/>
        <v>177047.2</v>
      </c>
      <c r="J344" s="93"/>
    </row>
    <row r="345" spans="1:10" x14ac:dyDescent="0.2">
      <c r="A345" s="94">
        <v>2</v>
      </c>
      <c r="B345" s="95">
        <v>6</v>
      </c>
      <c r="C345" s="95">
        <v>1</v>
      </c>
      <c r="D345" s="95">
        <v>4</v>
      </c>
      <c r="E345" s="96" t="s">
        <v>35</v>
      </c>
      <c r="F345" s="102" t="s">
        <v>292</v>
      </c>
      <c r="G345" s="97">
        <f>'[1]CUENTA T FONDO 100'!GK461</f>
        <v>0</v>
      </c>
      <c r="H345" s="97">
        <f>'[1]CUENTA T VS'!GK225</f>
        <v>177047.2</v>
      </c>
      <c r="I345" s="97">
        <f t="shared" ref="I345:I408" si="18">SUM(G345:H345)</f>
        <v>177047.2</v>
      </c>
      <c r="J345" s="98">
        <f>I345/$I$25</f>
        <v>1.6297935999836327E-3</v>
      </c>
    </row>
    <row r="346" spans="1:10" x14ac:dyDescent="0.2">
      <c r="A346" s="90">
        <v>2</v>
      </c>
      <c r="B346" s="91">
        <v>6</v>
      </c>
      <c r="C346" s="91">
        <v>1</v>
      </c>
      <c r="D346" s="91">
        <v>9</v>
      </c>
      <c r="E346" s="91"/>
      <c r="F346" s="119" t="s">
        <v>293</v>
      </c>
      <c r="G346" s="92">
        <f>SUM(G347)</f>
        <v>0</v>
      </c>
      <c r="H346" s="92">
        <f>SUM(H347)</f>
        <v>0</v>
      </c>
      <c r="I346" s="92">
        <f t="shared" si="18"/>
        <v>0</v>
      </c>
      <c r="J346" s="93"/>
    </row>
    <row r="347" spans="1:10" x14ac:dyDescent="0.2">
      <c r="A347" s="94">
        <v>2</v>
      </c>
      <c r="B347" s="95">
        <v>6</v>
      </c>
      <c r="C347" s="95">
        <v>1</v>
      </c>
      <c r="D347" s="95">
        <v>9</v>
      </c>
      <c r="E347" s="96" t="s">
        <v>35</v>
      </c>
      <c r="F347" s="102" t="s">
        <v>293</v>
      </c>
      <c r="G347" s="97">
        <f>'[1]CUENTA T FONDO 100'!GL461</f>
        <v>0</v>
      </c>
      <c r="H347" s="97">
        <f>'[1]CUENTA T VS'!GL225</f>
        <v>0</v>
      </c>
      <c r="I347" s="97">
        <f t="shared" si="18"/>
        <v>0</v>
      </c>
      <c r="J347" s="98">
        <f>I347/$I$25</f>
        <v>0</v>
      </c>
    </row>
    <row r="348" spans="1:10" x14ac:dyDescent="0.2">
      <c r="A348" s="120">
        <v>2</v>
      </c>
      <c r="B348" s="120">
        <v>6</v>
      </c>
      <c r="C348" s="120">
        <v>2</v>
      </c>
      <c r="D348" s="120"/>
      <c r="E348" s="120"/>
      <c r="F348" s="121" t="s">
        <v>294</v>
      </c>
      <c r="G348" s="89">
        <f>+G349+G351+G353+G355</f>
        <v>0</v>
      </c>
      <c r="H348" s="89">
        <f>+H349+H351+H353+H355</f>
        <v>0</v>
      </c>
      <c r="I348" s="89">
        <f t="shared" si="18"/>
        <v>0</v>
      </c>
      <c r="J348" s="86"/>
    </row>
    <row r="349" spans="1:10" x14ac:dyDescent="0.2">
      <c r="A349" s="105">
        <v>2</v>
      </c>
      <c r="B349" s="91">
        <v>6</v>
      </c>
      <c r="C349" s="91">
        <v>2</v>
      </c>
      <c r="D349" s="91">
        <v>1</v>
      </c>
      <c r="E349" s="110"/>
      <c r="F349" s="119" t="s">
        <v>295</v>
      </c>
      <c r="G349" s="92">
        <f>SUM(G350)</f>
        <v>0</v>
      </c>
      <c r="H349" s="92">
        <f>SUM(H350)</f>
        <v>0</v>
      </c>
      <c r="I349" s="92">
        <f t="shared" si="18"/>
        <v>0</v>
      </c>
      <c r="J349" s="93"/>
    </row>
    <row r="350" spans="1:10" x14ac:dyDescent="0.2">
      <c r="A350" s="107">
        <v>2</v>
      </c>
      <c r="B350" s="95">
        <v>6</v>
      </c>
      <c r="C350" s="95">
        <v>2</v>
      </c>
      <c r="D350" s="95">
        <v>1</v>
      </c>
      <c r="E350" s="96" t="s">
        <v>35</v>
      </c>
      <c r="F350" s="102" t="s">
        <v>295</v>
      </c>
      <c r="G350" s="97">
        <f>'[1]CUENTA T FONDO 100'!GM461</f>
        <v>0</v>
      </c>
      <c r="H350" s="97">
        <f>'[1]CUENTA T VS'!GM225</f>
        <v>0</v>
      </c>
      <c r="I350" s="97">
        <f t="shared" si="18"/>
        <v>0</v>
      </c>
      <c r="J350" s="98">
        <f>I350/$I$25</f>
        <v>0</v>
      </c>
    </row>
    <row r="351" spans="1:10" x14ac:dyDescent="0.2">
      <c r="A351" s="105">
        <v>2</v>
      </c>
      <c r="B351" s="91">
        <v>6</v>
      </c>
      <c r="C351" s="91">
        <v>2</v>
      </c>
      <c r="D351" s="91">
        <v>2</v>
      </c>
      <c r="E351" s="110"/>
      <c r="F351" s="119" t="s">
        <v>296</v>
      </c>
      <c r="G351" s="92">
        <f>SUM(G352)</f>
        <v>0</v>
      </c>
      <c r="H351" s="92">
        <f>SUM(H352)</f>
        <v>0</v>
      </c>
      <c r="I351" s="92">
        <f t="shared" si="18"/>
        <v>0</v>
      </c>
      <c r="J351" s="93"/>
    </row>
    <row r="352" spans="1:10" x14ac:dyDescent="0.2">
      <c r="A352" s="107">
        <v>2</v>
      </c>
      <c r="B352" s="95">
        <v>6</v>
      </c>
      <c r="C352" s="95">
        <v>2</v>
      </c>
      <c r="D352" s="95">
        <v>2</v>
      </c>
      <c r="E352" s="96" t="s">
        <v>35</v>
      </c>
      <c r="F352" s="102" t="s">
        <v>296</v>
      </c>
      <c r="G352" s="97">
        <f>'[1]CUENTA T FONDO 100'!GN461</f>
        <v>0</v>
      </c>
      <c r="H352" s="97">
        <f>'[1]CUENTA T VS'!GN225</f>
        <v>0</v>
      </c>
      <c r="I352" s="97">
        <f t="shared" si="18"/>
        <v>0</v>
      </c>
      <c r="J352" s="98">
        <f>I352/$I$25</f>
        <v>0</v>
      </c>
    </row>
    <row r="353" spans="1:10" x14ac:dyDescent="0.2">
      <c r="A353" s="105">
        <v>2</v>
      </c>
      <c r="B353" s="91">
        <v>6</v>
      </c>
      <c r="C353" s="91">
        <v>2</v>
      </c>
      <c r="D353" s="91">
        <v>3</v>
      </c>
      <c r="E353" s="110"/>
      <c r="F353" s="119" t="s">
        <v>297</v>
      </c>
      <c r="G353" s="92">
        <f>SUM(G354)</f>
        <v>0</v>
      </c>
      <c r="H353" s="92">
        <f>SUM(H354)</f>
        <v>0</v>
      </c>
      <c r="I353" s="92">
        <f t="shared" si="18"/>
        <v>0</v>
      </c>
      <c r="J353" s="93"/>
    </row>
    <row r="354" spans="1:10" x14ac:dyDescent="0.2">
      <c r="A354" s="107">
        <v>2</v>
      </c>
      <c r="B354" s="95">
        <v>6</v>
      </c>
      <c r="C354" s="95">
        <v>2</v>
      </c>
      <c r="D354" s="95">
        <v>3</v>
      </c>
      <c r="E354" s="96" t="s">
        <v>35</v>
      </c>
      <c r="F354" s="102" t="s">
        <v>297</v>
      </c>
      <c r="G354" s="97">
        <f>'[1]CUENTA T FONDO 100'!GO461</f>
        <v>0</v>
      </c>
      <c r="H354" s="97">
        <f>'[1]CUENTA T VS'!GO225</f>
        <v>0</v>
      </c>
      <c r="I354" s="97">
        <f t="shared" si="18"/>
        <v>0</v>
      </c>
      <c r="J354" s="98">
        <f>I354/$I$25</f>
        <v>0</v>
      </c>
    </row>
    <row r="355" spans="1:10" x14ac:dyDescent="0.2">
      <c r="A355" s="105">
        <v>2</v>
      </c>
      <c r="B355" s="91">
        <v>6</v>
      </c>
      <c r="C355" s="91">
        <v>2</v>
      </c>
      <c r="D355" s="91">
        <v>4</v>
      </c>
      <c r="E355" s="110"/>
      <c r="F355" s="119" t="s">
        <v>298</v>
      </c>
      <c r="G355" s="92">
        <f>SUM(G356)</f>
        <v>0</v>
      </c>
      <c r="H355" s="92">
        <f>SUM(H356)</f>
        <v>0</v>
      </c>
      <c r="I355" s="92">
        <f t="shared" si="18"/>
        <v>0</v>
      </c>
      <c r="J355" s="93"/>
    </row>
    <row r="356" spans="1:10" x14ac:dyDescent="0.2">
      <c r="A356" s="107">
        <v>2</v>
      </c>
      <c r="B356" s="95">
        <v>6</v>
      </c>
      <c r="C356" s="95">
        <v>2</v>
      </c>
      <c r="D356" s="95">
        <v>4</v>
      </c>
      <c r="E356" s="96" t="s">
        <v>35</v>
      </c>
      <c r="F356" s="102" t="s">
        <v>298</v>
      </c>
      <c r="G356" s="97">
        <f>'[1]CUENTA T FONDO 100'!GP461</f>
        <v>0</v>
      </c>
      <c r="H356" s="97">
        <f>'[1]CUENTA T VS'!GP225</f>
        <v>0</v>
      </c>
      <c r="I356" s="97">
        <f t="shared" si="18"/>
        <v>0</v>
      </c>
      <c r="J356" s="98">
        <f>I356/$I$25</f>
        <v>0</v>
      </c>
    </row>
    <row r="357" spans="1:10" x14ac:dyDescent="0.2">
      <c r="A357" s="120">
        <v>2</v>
      </c>
      <c r="B357" s="120">
        <v>6</v>
      </c>
      <c r="C357" s="120">
        <v>3</v>
      </c>
      <c r="D357" s="120"/>
      <c r="E357" s="120"/>
      <c r="F357" s="121" t="s">
        <v>299</v>
      </c>
      <c r="G357" s="89">
        <f>+G358+G360+G362+G364</f>
        <v>1295400.17</v>
      </c>
      <c r="H357" s="89">
        <f>+H358+H360+H362+H364</f>
        <v>1710444.46</v>
      </c>
      <c r="I357" s="89">
        <f t="shared" si="18"/>
        <v>3005844.63</v>
      </c>
      <c r="J357" s="86"/>
    </row>
    <row r="358" spans="1:10" x14ac:dyDescent="0.2">
      <c r="A358" s="105">
        <v>2</v>
      </c>
      <c r="B358" s="91">
        <v>6</v>
      </c>
      <c r="C358" s="91">
        <v>3</v>
      </c>
      <c r="D358" s="91">
        <v>1</v>
      </c>
      <c r="E358" s="110"/>
      <c r="F358" s="119" t="s">
        <v>300</v>
      </c>
      <c r="G358" s="92">
        <f>SUM(G359)</f>
        <v>878388.16999999993</v>
      </c>
      <c r="H358" s="92">
        <f>SUM(H359)</f>
        <v>1230992.52</v>
      </c>
      <c r="I358" s="92">
        <f t="shared" si="18"/>
        <v>2109380.69</v>
      </c>
      <c r="J358" s="93"/>
    </row>
    <row r="359" spans="1:10" x14ac:dyDescent="0.2">
      <c r="A359" s="107">
        <v>2</v>
      </c>
      <c r="B359" s="95">
        <v>6</v>
      </c>
      <c r="C359" s="95">
        <v>3</v>
      </c>
      <c r="D359" s="95">
        <v>1</v>
      </c>
      <c r="E359" s="96" t="s">
        <v>35</v>
      </c>
      <c r="F359" s="102" t="s">
        <v>300</v>
      </c>
      <c r="G359" s="97">
        <f>'[1]CUENTA T FONDO 100'!GQ461</f>
        <v>878388.16999999993</v>
      </c>
      <c r="H359" s="97">
        <f>'[1]CUENTA T VS'!GQ225</f>
        <v>1230992.52</v>
      </c>
      <c r="I359" s="97">
        <f t="shared" si="18"/>
        <v>2109380.69</v>
      </c>
      <c r="J359" s="98">
        <f>I359/$I$25</f>
        <v>1.9417732381483914E-2</v>
      </c>
    </row>
    <row r="360" spans="1:10" x14ac:dyDescent="0.2">
      <c r="A360" s="105">
        <v>2</v>
      </c>
      <c r="B360" s="91">
        <v>6</v>
      </c>
      <c r="C360" s="91">
        <v>3</v>
      </c>
      <c r="D360" s="91">
        <v>2</v>
      </c>
      <c r="E360" s="110"/>
      <c r="F360" s="119" t="s">
        <v>301</v>
      </c>
      <c r="G360" s="92">
        <f>SUM(G361)</f>
        <v>417012</v>
      </c>
      <c r="H360" s="92">
        <f>SUM(H361)</f>
        <v>0</v>
      </c>
      <c r="I360" s="92">
        <f t="shared" si="18"/>
        <v>417012</v>
      </c>
      <c r="J360" s="93"/>
    </row>
    <row r="361" spans="1:10" x14ac:dyDescent="0.2">
      <c r="A361" s="107">
        <v>2</v>
      </c>
      <c r="B361" s="95">
        <v>6</v>
      </c>
      <c r="C361" s="95">
        <v>3</v>
      </c>
      <c r="D361" s="95">
        <v>2</v>
      </c>
      <c r="E361" s="96" t="s">
        <v>35</v>
      </c>
      <c r="F361" s="102" t="s">
        <v>301</v>
      </c>
      <c r="G361" s="97">
        <f>'[1]CUENTA T FONDO 100'!GR461</f>
        <v>417012</v>
      </c>
      <c r="H361" s="97">
        <f>'[1]CUENTA T VS'!GR225</f>
        <v>0</v>
      </c>
      <c r="I361" s="97">
        <f t="shared" si="18"/>
        <v>417012</v>
      </c>
      <c r="J361" s="98">
        <f>I361/$I$25</f>
        <v>3.8387700495482258E-3</v>
      </c>
    </row>
    <row r="362" spans="1:10" x14ac:dyDescent="0.2">
      <c r="A362" s="105">
        <v>2</v>
      </c>
      <c r="B362" s="91">
        <v>6</v>
      </c>
      <c r="C362" s="91">
        <v>3</v>
      </c>
      <c r="D362" s="91">
        <v>3</v>
      </c>
      <c r="E362" s="110"/>
      <c r="F362" s="119" t="s">
        <v>302</v>
      </c>
      <c r="G362" s="92">
        <f>SUM(G363)</f>
        <v>0</v>
      </c>
      <c r="H362" s="92">
        <f>SUM(H363)</f>
        <v>0</v>
      </c>
      <c r="I362" s="92">
        <f t="shared" si="18"/>
        <v>0</v>
      </c>
      <c r="J362" s="93"/>
    </row>
    <row r="363" spans="1:10" x14ac:dyDescent="0.2">
      <c r="A363" s="107">
        <v>2</v>
      </c>
      <c r="B363" s="95">
        <v>6</v>
      </c>
      <c r="C363" s="95">
        <v>3</v>
      </c>
      <c r="D363" s="95">
        <v>3</v>
      </c>
      <c r="E363" s="96" t="s">
        <v>35</v>
      </c>
      <c r="F363" s="102" t="s">
        <v>302</v>
      </c>
      <c r="G363" s="97">
        <f>'[1]CUENTA T FONDO 100'!GS461</f>
        <v>0</v>
      </c>
      <c r="H363" s="97">
        <f>'[1]CUENTA T VS'!GS225</f>
        <v>0</v>
      </c>
      <c r="I363" s="97">
        <f t="shared" si="18"/>
        <v>0</v>
      </c>
      <c r="J363" s="98">
        <f>I363/$I$25</f>
        <v>0</v>
      </c>
    </row>
    <row r="364" spans="1:10" x14ac:dyDescent="0.2">
      <c r="A364" s="105">
        <v>2</v>
      </c>
      <c r="B364" s="91">
        <v>6</v>
      </c>
      <c r="C364" s="91">
        <v>3</v>
      </c>
      <c r="D364" s="91">
        <v>4</v>
      </c>
      <c r="E364" s="91"/>
      <c r="F364" s="119" t="s">
        <v>303</v>
      </c>
      <c r="G364" s="92">
        <f>+G365</f>
        <v>0</v>
      </c>
      <c r="H364" s="92">
        <f>+H365</f>
        <v>479451.94</v>
      </c>
      <c r="I364" s="92">
        <f t="shared" si="18"/>
        <v>479451.94</v>
      </c>
      <c r="J364" s="93"/>
    </row>
    <row r="365" spans="1:10" x14ac:dyDescent="0.2">
      <c r="A365" s="107">
        <v>2</v>
      </c>
      <c r="B365" s="95">
        <v>6</v>
      </c>
      <c r="C365" s="95">
        <v>3</v>
      </c>
      <c r="D365" s="95">
        <v>4</v>
      </c>
      <c r="E365" s="96" t="s">
        <v>35</v>
      </c>
      <c r="F365" s="102" t="s">
        <v>303</v>
      </c>
      <c r="G365" s="97">
        <f>'[1]CUENTA T FONDO 100'!GT461</f>
        <v>0</v>
      </c>
      <c r="H365" s="97">
        <f>'[1]CUENTA T VS'!GT225</f>
        <v>479451.94</v>
      </c>
      <c r="I365" s="97">
        <f t="shared" si="18"/>
        <v>479451.94</v>
      </c>
      <c r="J365" s="98">
        <f>I365/$I$25</f>
        <v>4.4135558388482656E-3</v>
      </c>
    </row>
    <row r="366" spans="1:10" x14ac:dyDescent="0.2">
      <c r="A366" s="87">
        <v>2</v>
      </c>
      <c r="B366" s="88">
        <v>6</v>
      </c>
      <c r="C366" s="88">
        <v>4</v>
      </c>
      <c r="D366" s="88"/>
      <c r="E366" s="111"/>
      <c r="F366" s="118" t="s">
        <v>304</v>
      </c>
      <c r="G366" s="89">
        <f>+G367+G369+G371+G373+G375+G377+G379+G381</f>
        <v>0</v>
      </c>
      <c r="H366" s="89">
        <f>+H367+H369+H371+H373+H375+H377+H379+H381</f>
        <v>0</v>
      </c>
      <c r="I366" s="89">
        <f t="shared" si="18"/>
        <v>0</v>
      </c>
      <c r="J366" s="86"/>
    </row>
    <row r="367" spans="1:10" x14ac:dyDescent="0.2">
      <c r="A367" s="105">
        <v>2</v>
      </c>
      <c r="B367" s="91">
        <v>6</v>
      </c>
      <c r="C367" s="91">
        <v>4</v>
      </c>
      <c r="D367" s="91">
        <v>1</v>
      </c>
      <c r="E367" s="91"/>
      <c r="F367" s="119" t="s">
        <v>305</v>
      </c>
      <c r="G367" s="92">
        <f>SUM(G368)</f>
        <v>0</v>
      </c>
      <c r="H367" s="92">
        <f>SUM(H368)</f>
        <v>0</v>
      </c>
      <c r="I367" s="92">
        <f t="shared" si="18"/>
        <v>0</v>
      </c>
      <c r="J367" s="93"/>
    </row>
    <row r="368" spans="1:10" x14ac:dyDescent="0.2">
      <c r="A368" s="107">
        <v>2</v>
      </c>
      <c r="B368" s="95">
        <v>6</v>
      </c>
      <c r="C368" s="95">
        <v>4</v>
      </c>
      <c r="D368" s="95">
        <v>1</v>
      </c>
      <c r="E368" s="96" t="s">
        <v>35</v>
      </c>
      <c r="F368" s="102" t="s">
        <v>305</v>
      </c>
      <c r="G368" s="97">
        <f>'[1]CUENTA T FONDO 100'!GU461</f>
        <v>0</v>
      </c>
      <c r="H368" s="97">
        <f>'[1]CUENTA T VS'!GU225</f>
        <v>0</v>
      </c>
      <c r="I368" s="97">
        <f t="shared" si="18"/>
        <v>0</v>
      </c>
      <c r="J368" s="98">
        <f>I368/$I$25</f>
        <v>0</v>
      </c>
    </row>
    <row r="369" spans="1:10" x14ac:dyDescent="0.2">
      <c r="A369" s="105">
        <v>2</v>
      </c>
      <c r="B369" s="91">
        <v>6</v>
      </c>
      <c r="C369" s="91">
        <v>4</v>
      </c>
      <c r="D369" s="91">
        <v>2</v>
      </c>
      <c r="E369" s="91"/>
      <c r="F369" s="119" t="s">
        <v>306</v>
      </c>
      <c r="G369" s="92">
        <f>SUM(G370)</f>
        <v>0</v>
      </c>
      <c r="H369" s="92">
        <f>SUM(H370)</f>
        <v>0</v>
      </c>
      <c r="I369" s="92">
        <f t="shared" si="18"/>
        <v>0</v>
      </c>
      <c r="J369" s="93"/>
    </row>
    <row r="370" spans="1:10" x14ac:dyDescent="0.2">
      <c r="A370" s="107">
        <v>2</v>
      </c>
      <c r="B370" s="95">
        <v>6</v>
      </c>
      <c r="C370" s="95">
        <v>4</v>
      </c>
      <c r="D370" s="95">
        <v>2</v>
      </c>
      <c r="E370" s="96" t="s">
        <v>35</v>
      </c>
      <c r="F370" s="102" t="s">
        <v>306</v>
      </c>
      <c r="G370" s="97">
        <f>'[1]CUENTA T FONDO 100'!GV461</f>
        <v>0</v>
      </c>
      <c r="H370" s="97">
        <f>'[1]CUENTA T VS'!GV225</f>
        <v>0</v>
      </c>
      <c r="I370" s="97">
        <f t="shared" si="18"/>
        <v>0</v>
      </c>
      <c r="J370" s="98">
        <f>I370/$I$25</f>
        <v>0</v>
      </c>
    </row>
    <row r="371" spans="1:10" x14ac:dyDescent="0.2">
      <c r="A371" s="105">
        <v>2</v>
      </c>
      <c r="B371" s="91">
        <v>6</v>
      </c>
      <c r="C371" s="91">
        <v>4</v>
      </c>
      <c r="D371" s="91">
        <v>3</v>
      </c>
      <c r="E371" s="91"/>
      <c r="F371" s="119" t="s">
        <v>307</v>
      </c>
      <c r="G371" s="92">
        <f>SUM(G372)</f>
        <v>0</v>
      </c>
      <c r="H371" s="92">
        <f>SUM(H372)</f>
        <v>0</v>
      </c>
      <c r="I371" s="92">
        <f t="shared" si="18"/>
        <v>0</v>
      </c>
      <c r="J371" s="93"/>
    </row>
    <row r="372" spans="1:10" x14ac:dyDescent="0.2">
      <c r="A372" s="107">
        <v>2</v>
      </c>
      <c r="B372" s="95">
        <v>6</v>
      </c>
      <c r="C372" s="95">
        <v>4</v>
      </c>
      <c r="D372" s="95">
        <v>3</v>
      </c>
      <c r="E372" s="96" t="s">
        <v>35</v>
      </c>
      <c r="F372" s="102" t="s">
        <v>307</v>
      </c>
      <c r="G372" s="97">
        <f>'[1]CUENTA T FONDO 100'!GW461</f>
        <v>0</v>
      </c>
      <c r="H372" s="97">
        <f>'[1]CUENTA T VS'!GX225</f>
        <v>0</v>
      </c>
      <c r="I372" s="97">
        <f t="shared" si="18"/>
        <v>0</v>
      </c>
      <c r="J372" s="98">
        <f>I372/$I$25</f>
        <v>0</v>
      </c>
    </row>
    <row r="373" spans="1:10" x14ac:dyDescent="0.2">
      <c r="A373" s="105">
        <v>2</v>
      </c>
      <c r="B373" s="91">
        <v>6</v>
      </c>
      <c r="C373" s="91">
        <v>4</v>
      </c>
      <c r="D373" s="91">
        <v>4</v>
      </c>
      <c r="E373" s="91"/>
      <c r="F373" s="119" t="s">
        <v>308</v>
      </c>
      <c r="G373" s="92">
        <f>SUM(G374)</f>
        <v>0</v>
      </c>
      <c r="H373" s="92">
        <f>SUM(H374)</f>
        <v>0</v>
      </c>
      <c r="I373" s="92">
        <f t="shared" si="18"/>
        <v>0</v>
      </c>
      <c r="J373" s="93"/>
    </row>
    <row r="374" spans="1:10" x14ac:dyDescent="0.2">
      <c r="A374" s="107">
        <v>2</v>
      </c>
      <c r="B374" s="95">
        <v>6</v>
      </c>
      <c r="C374" s="95">
        <v>4</v>
      </c>
      <c r="D374" s="95">
        <v>4</v>
      </c>
      <c r="E374" s="96" t="s">
        <v>35</v>
      </c>
      <c r="F374" s="102" t="s">
        <v>308</v>
      </c>
      <c r="G374" s="97">
        <f>'[1]CUENTA T FONDO 100'!GX461</f>
        <v>0</v>
      </c>
      <c r="H374" s="97">
        <f>'[1]CUENTA T VS'!GX225</f>
        <v>0</v>
      </c>
      <c r="I374" s="97">
        <f t="shared" si="18"/>
        <v>0</v>
      </c>
      <c r="J374" s="98">
        <f>I374/$I$25</f>
        <v>0</v>
      </c>
    </row>
    <row r="375" spans="1:10" x14ac:dyDescent="0.2">
      <c r="A375" s="105">
        <v>2</v>
      </c>
      <c r="B375" s="91">
        <v>6</v>
      </c>
      <c r="C375" s="91">
        <v>4</v>
      </c>
      <c r="D375" s="91">
        <v>5</v>
      </c>
      <c r="E375" s="91"/>
      <c r="F375" s="119" t="s">
        <v>309</v>
      </c>
      <c r="G375" s="92">
        <f>SUM(G376)</f>
        <v>0</v>
      </c>
      <c r="H375" s="92">
        <f>SUM(H376)</f>
        <v>0</v>
      </c>
      <c r="I375" s="92">
        <f t="shared" si="18"/>
        <v>0</v>
      </c>
      <c r="J375" s="93"/>
    </row>
    <row r="376" spans="1:10" x14ac:dyDescent="0.2">
      <c r="A376" s="107">
        <v>2</v>
      </c>
      <c r="B376" s="95">
        <v>6</v>
      </c>
      <c r="C376" s="95">
        <v>4</v>
      </c>
      <c r="D376" s="95">
        <v>5</v>
      </c>
      <c r="E376" s="96" t="s">
        <v>35</v>
      </c>
      <c r="F376" s="102" t="s">
        <v>309</v>
      </c>
      <c r="G376" s="97">
        <f>'[1]CUENTA T FONDO 100'!GY461</f>
        <v>0</v>
      </c>
      <c r="H376" s="97">
        <f>'[1]CUENTA T VS'!GY225</f>
        <v>0</v>
      </c>
      <c r="I376" s="97">
        <f t="shared" si="18"/>
        <v>0</v>
      </c>
      <c r="J376" s="98">
        <f>I376/$I$25</f>
        <v>0</v>
      </c>
    </row>
    <row r="377" spans="1:10" x14ac:dyDescent="0.2">
      <c r="A377" s="105">
        <v>2</v>
      </c>
      <c r="B377" s="91">
        <v>6</v>
      </c>
      <c r="C377" s="91">
        <v>4</v>
      </c>
      <c r="D377" s="91">
        <v>6</v>
      </c>
      <c r="E377" s="91"/>
      <c r="F377" s="119" t="s">
        <v>310</v>
      </c>
      <c r="G377" s="92">
        <f>SUM(G378)</f>
        <v>0</v>
      </c>
      <c r="H377" s="92">
        <f>SUM(H378)</f>
        <v>0</v>
      </c>
      <c r="I377" s="92">
        <f t="shared" si="18"/>
        <v>0</v>
      </c>
      <c r="J377" s="93"/>
    </row>
    <row r="378" spans="1:10" x14ac:dyDescent="0.2">
      <c r="A378" s="107">
        <v>2</v>
      </c>
      <c r="B378" s="95">
        <v>6</v>
      </c>
      <c r="C378" s="95">
        <v>4</v>
      </c>
      <c r="D378" s="95">
        <v>6</v>
      </c>
      <c r="E378" s="96" t="s">
        <v>35</v>
      </c>
      <c r="F378" s="102" t="s">
        <v>310</v>
      </c>
      <c r="G378" s="97">
        <f>'[1]CUENTA T FONDO 100'!GZ461</f>
        <v>0</v>
      </c>
      <c r="H378" s="97">
        <f>'[1]CUENTA T VS'!GZ225</f>
        <v>0</v>
      </c>
      <c r="I378" s="97">
        <f t="shared" si="18"/>
        <v>0</v>
      </c>
      <c r="J378" s="98">
        <f>I378/$I$25</f>
        <v>0</v>
      </c>
    </row>
    <row r="379" spans="1:10" x14ac:dyDescent="0.2">
      <c r="A379" s="105">
        <v>2</v>
      </c>
      <c r="B379" s="91">
        <v>6</v>
      </c>
      <c r="C379" s="91">
        <v>4</v>
      </c>
      <c r="D379" s="91">
        <v>7</v>
      </c>
      <c r="E379" s="91"/>
      <c r="F379" s="119" t="s">
        <v>311</v>
      </c>
      <c r="G379" s="92">
        <f>SUM(G380)</f>
        <v>0</v>
      </c>
      <c r="H379" s="92">
        <f>SUM(H380)</f>
        <v>0</v>
      </c>
      <c r="I379" s="92">
        <f t="shared" si="18"/>
        <v>0</v>
      </c>
      <c r="J379" s="93"/>
    </row>
    <row r="380" spans="1:10" x14ac:dyDescent="0.2">
      <c r="A380" s="107">
        <v>2</v>
      </c>
      <c r="B380" s="95">
        <v>6</v>
      </c>
      <c r="C380" s="95">
        <v>4</v>
      </c>
      <c r="D380" s="95">
        <v>7</v>
      </c>
      <c r="E380" s="96" t="s">
        <v>35</v>
      </c>
      <c r="F380" s="102" t="s">
        <v>311</v>
      </c>
      <c r="G380" s="97">
        <f>'[1]CUENTA T FONDO 100'!HA461</f>
        <v>0</v>
      </c>
      <c r="H380" s="97">
        <f>'[1]CUENTA T VS'!HA225</f>
        <v>0</v>
      </c>
      <c r="I380" s="97">
        <f t="shared" si="18"/>
        <v>0</v>
      </c>
      <c r="J380" s="98">
        <f>I380/$I$25</f>
        <v>0</v>
      </c>
    </row>
    <row r="381" spans="1:10" x14ac:dyDescent="0.2">
      <c r="A381" s="105">
        <v>2</v>
      </c>
      <c r="B381" s="91">
        <v>6</v>
      </c>
      <c r="C381" s="91">
        <v>4</v>
      </c>
      <c r="D381" s="91">
        <v>8</v>
      </c>
      <c r="E381" s="91"/>
      <c r="F381" s="119" t="s">
        <v>312</v>
      </c>
      <c r="G381" s="92">
        <f>SUM(G382)</f>
        <v>0</v>
      </c>
      <c r="H381" s="92">
        <f>SUM(H382)</f>
        <v>0</v>
      </c>
      <c r="I381" s="92">
        <f t="shared" si="18"/>
        <v>0</v>
      </c>
      <c r="J381" s="93"/>
    </row>
    <row r="382" spans="1:10" x14ac:dyDescent="0.2">
      <c r="A382" s="107">
        <v>2</v>
      </c>
      <c r="B382" s="95">
        <v>6</v>
      </c>
      <c r="C382" s="95">
        <v>4</v>
      </c>
      <c r="D382" s="95">
        <v>8</v>
      </c>
      <c r="E382" s="96" t="s">
        <v>35</v>
      </c>
      <c r="F382" s="102" t="s">
        <v>312</v>
      </c>
      <c r="G382" s="97">
        <f>'[1]CUENTA T FONDO 100'!HB461</f>
        <v>0</v>
      </c>
      <c r="H382" s="97">
        <f>'[1]CUENTA T VS'!HB225</f>
        <v>0</v>
      </c>
      <c r="I382" s="97">
        <f t="shared" si="18"/>
        <v>0</v>
      </c>
      <c r="J382" s="98">
        <f>I382/$I$25</f>
        <v>0</v>
      </c>
    </row>
    <row r="383" spans="1:10" x14ac:dyDescent="0.2">
      <c r="A383" s="87">
        <v>2</v>
      </c>
      <c r="B383" s="88">
        <v>6</v>
      </c>
      <c r="C383" s="88">
        <v>5</v>
      </c>
      <c r="D383" s="88"/>
      <c r="E383" s="111"/>
      <c r="F383" s="118" t="s">
        <v>313</v>
      </c>
      <c r="G383" s="89">
        <f>+G384+G386+G388+G390+G392+G394+G396+G398</f>
        <v>6591315.4400000004</v>
      </c>
      <c r="H383" s="89">
        <f>+H384+H386+H388+H390+H392+H394+H396+H398</f>
        <v>0</v>
      </c>
      <c r="I383" s="89">
        <f t="shared" si="18"/>
        <v>6591315.4400000004</v>
      </c>
      <c r="J383" s="86"/>
    </row>
    <row r="384" spans="1:10" x14ac:dyDescent="0.2">
      <c r="A384" s="90">
        <v>2</v>
      </c>
      <c r="B384" s="91">
        <v>6</v>
      </c>
      <c r="C384" s="91">
        <v>5</v>
      </c>
      <c r="D384" s="91">
        <v>1</v>
      </c>
      <c r="E384" s="91"/>
      <c r="F384" s="119" t="s">
        <v>314</v>
      </c>
      <c r="G384" s="92">
        <f>SUM(G385)</f>
        <v>0</v>
      </c>
      <c r="H384" s="92">
        <f>SUM(H385)</f>
        <v>0</v>
      </c>
      <c r="I384" s="92">
        <f t="shared" si="18"/>
        <v>0</v>
      </c>
      <c r="J384" s="93"/>
    </row>
    <row r="385" spans="1:10" x14ac:dyDescent="0.2">
      <c r="A385" s="94">
        <v>2</v>
      </c>
      <c r="B385" s="95">
        <v>6</v>
      </c>
      <c r="C385" s="95">
        <v>5</v>
      </c>
      <c r="D385" s="95">
        <v>1</v>
      </c>
      <c r="E385" s="96" t="s">
        <v>35</v>
      </c>
      <c r="F385" s="102" t="s">
        <v>314</v>
      </c>
      <c r="G385" s="97">
        <f>'[1]CUENTA T FONDO 100'!HC461</f>
        <v>0</v>
      </c>
      <c r="H385" s="97">
        <f>'[1]CUENTA T VS'!HC225</f>
        <v>0</v>
      </c>
      <c r="I385" s="97">
        <f t="shared" si="18"/>
        <v>0</v>
      </c>
      <c r="J385" s="98">
        <f>I385/$I$25</f>
        <v>0</v>
      </c>
    </row>
    <row r="386" spans="1:10" x14ac:dyDescent="0.2">
      <c r="A386" s="90">
        <v>2</v>
      </c>
      <c r="B386" s="91">
        <v>6</v>
      </c>
      <c r="C386" s="91">
        <v>5</v>
      </c>
      <c r="D386" s="91">
        <v>2</v>
      </c>
      <c r="E386" s="91"/>
      <c r="F386" s="119" t="s">
        <v>315</v>
      </c>
      <c r="G386" s="92">
        <f>SUM(G387)</f>
        <v>1013620</v>
      </c>
      <c r="H386" s="92">
        <f>SUM(H387)</f>
        <v>0</v>
      </c>
      <c r="I386" s="92">
        <f t="shared" si="18"/>
        <v>1013620</v>
      </c>
      <c r="J386" s="93"/>
    </row>
    <row r="387" spans="1:10" x14ac:dyDescent="0.2">
      <c r="A387" s="94">
        <v>2</v>
      </c>
      <c r="B387" s="95">
        <v>6</v>
      </c>
      <c r="C387" s="95">
        <v>5</v>
      </c>
      <c r="D387" s="95">
        <v>2</v>
      </c>
      <c r="E387" s="96" t="s">
        <v>35</v>
      </c>
      <c r="F387" s="102" t="s">
        <v>315</v>
      </c>
      <c r="G387" s="97">
        <f>'[1]CUENTA T FONDO 100'!HD461</f>
        <v>1013620</v>
      </c>
      <c r="H387" s="97">
        <f>'[1]CUENTA T VS'!HD225</f>
        <v>0</v>
      </c>
      <c r="I387" s="97">
        <f t="shared" si="18"/>
        <v>1013620</v>
      </c>
      <c r="J387" s="98">
        <f>I387/$I$25</f>
        <v>9.3307964701808879E-3</v>
      </c>
    </row>
    <row r="388" spans="1:10" x14ac:dyDescent="0.2">
      <c r="A388" s="90">
        <v>2</v>
      </c>
      <c r="B388" s="91">
        <v>6</v>
      </c>
      <c r="C388" s="91">
        <v>5</v>
      </c>
      <c r="D388" s="91">
        <v>3</v>
      </c>
      <c r="E388" s="91"/>
      <c r="F388" s="119" t="s">
        <v>316</v>
      </c>
      <c r="G388" s="92">
        <f>SUM(G389)</f>
        <v>0</v>
      </c>
      <c r="H388" s="92">
        <f>SUM(H389)</f>
        <v>0</v>
      </c>
      <c r="I388" s="92">
        <f t="shared" si="18"/>
        <v>0</v>
      </c>
      <c r="J388" s="93"/>
    </row>
    <row r="389" spans="1:10" x14ac:dyDescent="0.2">
      <c r="A389" s="94">
        <v>2</v>
      </c>
      <c r="B389" s="95">
        <v>6</v>
      </c>
      <c r="C389" s="95">
        <v>5</v>
      </c>
      <c r="D389" s="95">
        <v>3</v>
      </c>
      <c r="E389" s="96" t="s">
        <v>35</v>
      </c>
      <c r="F389" s="102" t="s">
        <v>316</v>
      </c>
      <c r="G389" s="97">
        <f>'[1]CUENTA T FONDO 100'!HE461</f>
        <v>0</v>
      </c>
      <c r="H389" s="97">
        <f>'[1]CUENTA T VS'!HE225</f>
        <v>0</v>
      </c>
      <c r="I389" s="97">
        <f t="shared" si="18"/>
        <v>0</v>
      </c>
      <c r="J389" s="98">
        <f>I389/$I$25</f>
        <v>0</v>
      </c>
    </row>
    <row r="390" spans="1:10" x14ac:dyDescent="0.2">
      <c r="A390" s="90">
        <v>2</v>
      </c>
      <c r="B390" s="91">
        <v>6</v>
      </c>
      <c r="C390" s="91">
        <v>5</v>
      </c>
      <c r="D390" s="91">
        <v>4</v>
      </c>
      <c r="E390" s="91"/>
      <c r="F390" s="119" t="s">
        <v>317</v>
      </c>
      <c r="G390" s="92">
        <f>SUM(G391)</f>
        <v>3351970</v>
      </c>
      <c r="H390" s="92">
        <f>SUM(H391)</f>
        <v>0</v>
      </c>
      <c r="I390" s="92">
        <f t="shared" si="18"/>
        <v>3351970</v>
      </c>
      <c r="J390" s="93"/>
    </row>
    <row r="391" spans="1:10" x14ac:dyDescent="0.2">
      <c r="A391" s="94">
        <v>2</v>
      </c>
      <c r="B391" s="95">
        <v>6</v>
      </c>
      <c r="C391" s="95">
        <v>5</v>
      </c>
      <c r="D391" s="95">
        <v>4</v>
      </c>
      <c r="E391" s="96" t="s">
        <v>35</v>
      </c>
      <c r="F391" s="102" t="s">
        <v>317</v>
      </c>
      <c r="G391" s="97">
        <f>'[1]CUENTA T FONDO 100'!HF461</f>
        <v>3351970</v>
      </c>
      <c r="H391" s="97">
        <f>'[1]CUENTA T VS'!HF225</f>
        <v>0</v>
      </c>
      <c r="I391" s="97">
        <f t="shared" si="18"/>
        <v>3351970</v>
      </c>
      <c r="J391" s="98">
        <f>I391/$I$25</f>
        <v>3.0856287212320428E-2</v>
      </c>
    </row>
    <row r="392" spans="1:10" x14ac:dyDescent="0.2">
      <c r="A392" s="90">
        <v>2</v>
      </c>
      <c r="B392" s="91">
        <v>6</v>
      </c>
      <c r="C392" s="91">
        <v>5</v>
      </c>
      <c r="D392" s="91">
        <v>5</v>
      </c>
      <c r="E392" s="91"/>
      <c r="F392" s="119" t="s">
        <v>318</v>
      </c>
      <c r="G392" s="92">
        <f>SUM(G393)</f>
        <v>216185.44</v>
      </c>
      <c r="H392" s="92">
        <f>SUM(H393)</f>
        <v>0</v>
      </c>
      <c r="I392" s="92">
        <f t="shared" si="18"/>
        <v>216185.44</v>
      </c>
      <c r="J392" s="93"/>
    </row>
    <row r="393" spans="1:10" x14ac:dyDescent="0.2">
      <c r="A393" s="94">
        <v>2</v>
      </c>
      <c r="B393" s="95">
        <v>6</v>
      </c>
      <c r="C393" s="95">
        <v>5</v>
      </c>
      <c r="D393" s="95">
        <v>5</v>
      </c>
      <c r="E393" s="96" t="s">
        <v>35</v>
      </c>
      <c r="F393" s="102" t="s">
        <v>318</v>
      </c>
      <c r="G393" s="97">
        <f>'[1]CUENTA T FONDO 100'!HG461</f>
        <v>216185.44</v>
      </c>
      <c r="H393" s="97">
        <f>'[1]CUENTA T VS'!HG225</f>
        <v>0</v>
      </c>
      <c r="I393" s="97">
        <f t="shared" si="18"/>
        <v>216185.44</v>
      </c>
      <c r="J393" s="98">
        <f>I393/$I$25</f>
        <v>1.9900774851093132E-3</v>
      </c>
    </row>
    <row r="394" spans="1:10" x14ac:dyDescent="0.2">
      <c r="A394" s="90">
        <v>2</v>
      </c>
      <c r="B394" s="91">
        <v>6</v>
      </c>
      <c r="C394" s="91">
        <v>5</v>
      </c>
      <c r="D394" s="91">
        <v>6</v>
      </c>
      <c r="E394" s="91"/>
      <c r="F394" s="119" t="s">
        <v>319</v>
      </c>
      <c r="G394" s="92">
        <f>SUM(G395)</f>
        <v>2009540</v>
      </c>
      <c r="H394" s="92">
        <f>SUM(H395)</f>
        <v>0</v>
      </c>
      <c r="I394" s="92">
        <f t="shared" si="18"/>
        <v>2009540</v>
      </c>
      <c r="J394" s="93"/>
    </row>
    <row r="395" spans="1:10" x14ac:dyDescent="0.2">
      <c r="A395" s="94">
        <v>2</v>
      </c>
      <c r="B395" s="95">
        <v>6</v>
      </c>
      <c r="C395" s="95">
        <v>5</v>
      </c>
      <c r="D395" s="95">
        <v>6</v>
      </c>
      <c r="E395" s="96" t="s">
        <v>35</v>
      </c>
      <c r="F395" s="102" t="s">
        <v>319</v>
      </c>
      <c r="G395" s="97">
        <f>'[1]CUENTA T FONDO 100'!HH461</f>
        <v>2009540</v>
      </c>
      <c r="H395" s="97">
        <f>'[1]CUENTA T VS'!HH225</f>
        <v>0</v>
      </c>
      <c r="I395" s="97">
        <f t="shared" si="18"/>
        <v>2009540</v>
      </c>
      <c r="J395" s="98">
        <f>I395/$I$25</f>
        <v>1.8498657029939525E-2</v>
      </c>
    </row>
    <row r="396" spans="1:10" x14ac:dyDescent="0.2">
      <c r="A396" s="90">
        <v>2</v>
      </c>
      <c r="B396" s="91">
        <v>6</v>
      </c>
      <c r="C396" s="91">
        <v>5</v>
      </c>
      <c r="D396" s="91">
        <v>7</v>
      </c>
      <c r="E396" s="91"/>
      <c r="F396" s="119" t="s">
        <v>320</v>
      </c>
      <c r="G396" s="92">
        <f>SUM(G397)</f>
        <v>0</v>
      </c>
      <c r="H396" s="92">
        <f>SUM(H397)</f>
        <v>0</v>
      </c>
      <c r="I396" s="92">
        <f t="shared" si="18"/>
        <v>0</v>
      </c>
      <c r="J396" s="93"/>
    </row>
    <row r="397" spans="1:10" x14ac:dyDescent="0.2">
      <c r="A397" s="94">
        <v>2</v>
      </c>
      <c r="B397" s="95">
        <v>6</v>
      </c>
      <c r="C397" s="95">
        <v>5</v>
      </c>
      <c r="D397" s="95">
        <v>7</v>
      </c>
      <c r="E397" s="96" t="s">
        <v>35</v>
      </c>
      <c r="F397" s="102" t="s">
        <v>320</v>
      </c>
      <c r="G397" s="97">
        <f>'[1]CUENTA T FONDO 100'!HI461</f>
        <v>0</v>
      </c>
      <c r="H397" s="97">
        <f>'[1]CUENTA T VS'!HI225</f>
        <v>0</v>
      </c>
      <c r="I397" s="97">
        <f t="shared" si="18"/>
        <v>0</v>
      </c>
      <c r="J397" s="98">
        <f>I397/$I$25</f>
        <v>0</v>
      </c>
    </row>
    <row r="398" spans="1:10" x14ac:dyDescent="0.2">
      <c r="A398" s="90">
        <v>2</v>
      </c>
      <c r="B398" s="91">
        <v>6</v>
      </c>
      <c r="C398" s="91">
        <v>5</v>
      </c>
      <c r="D398" s="91">
        <v>8</v>
      </c>
      <c r="E398" s="91"/>
      <c r="F398" s="119" t="s">
        <v>321</v>
      </c>
      <c r="G398" s="92">
        <f>SUM(G399)</f>
        <v>0</v>
      </c>
      <c r="H398" s="92">
        <f>SUM(H399)</f>
        <v>0</v>
      </c>
      <c r="I398" s="92">
        <f t="shared" si="18"/>
        <v>0</v>
      </c>
      <c r="J398" s="93"/>
    </row>
    <row r="399" spans="1:10" x14ac:dyDescent="0.2">
      <c r="A399" s="94">
        <v>2</v>
      </c>
      <c r="B399" s="95">
        <v>6</v>
      </c>
      <c r="C399" s="95">
        <v>5</v>
      </c>
      <c r="D399" s="95">
        <v>8</v>
      </c>
      <c r="E399" s="96" t="s">
        <v>35</v>
      </c>
      <c r="F399" s="102" t="s">
        <v>321</v>
      </c>
      <c r="G399" s="97">
        <f>'[1]CUENTA T FONDO 100'!HJ461</f>
        <v>0</v>
      </c>
      <c r="H399" s="97">
        <f>'[1]CUENTA T VS'!HJ225</f>
        <v>0</v>
      </c>
      <c r="I399" s="97">
        <f t="shared" si="18"/>
        <v>0</v>
      </c>
      <c r="J399" s="98">
        <f>I399/$I$25</f>
        <v>0</v>
      </c>
    </row>
    <row r="400" spans="1:10" x14ac:dyDescent="0.2">
      <c r="A400" s="103">
        <v>2</v>
      </c>
      <c r="B400" s="88">
        <v>6</v>
      </c>
      <c r="C400" s="88">
        <v>6</v>
      </c>
      <c r="D400" s="88"/>
      <c r="E400" s="88"/>
      <c r="F400" s="118" t="s">
        <v>322</v>
      </c>
      <c r="G400" s="89">
        <f>+G401+G403</f>
        <v>0</v>
      </c>
      <c r="H400" s="89">
        <f>+H401+H403</f>
        <v>0</v>
      </c>
      <c r="I400" s="89">
        <f t="shared" si="18"/>
        <v>0</v>
      </c>
      <c r="J400" s="86">
        <f>I400/$I$25</f>
        <v>0</v>
      </c>
    </row>
    <row r="401" spans="1:10" x14ac:dyDescent="0.2">
      <c r="A401" s="105">
        <v>2</v>
      </c>
      <c r="B401" s="91">
        <v>6</v>
      </c>
      <c r="C401" s="91">
        <v>6</v>
      </c>
      <c r="D401" s="91">
        <v>1</v>
      </c>
      <c r="E401" s="110"/>
      <c r="F401" s="119" t="s">
        <v>323</v>
      </c>
      <c r="G401" s="92">
        <f>+G402</f>
        <v>0</v>
      </c>
      <c r="H401" s="92">
        <f>+H402</f>
        <v>0</v>
      </c>
      <c r="I401" s="92">
        <f t="shared" si="18"/>
        <v>0</v>
      </c>
      <c r="J401" s="93"/>
    </row>
    <row r="402" spans="1:10" x14ac:dyDescent="0.2">
      <c r="A402" s="107">
        <v>2</v>
      </c>
      <c r="B402" s="95">
        <v>6</v>
      </c>
      <c r="C402" s="95">
        <v>6</v>
      </c>
      <c r="D402" s="95">
        <v>1</v>
      </c>
      <c r="E402" s="95" t="s">
        <v>324</v>
      </c>
      <c r="F402" s="102" t="s">
        <v>323</v>
      </c>
      <c r="G402" s="97">
        <f>'[1]CUENTA T FONDO 100'!HK461</f>
        <v>0</v>
      </c>
      <c r="H402" s="97">
        <f>'[1]CUENTA T VS'!HK225</f>
        <v>0</v>
      </c>
      <c r="I402" s="97">
        <f t="shared" si="18"/>
        <v>0</v>
      </c>
      <c r="J402" s="98">
        <f>I402/$I$25</f>
        <v>0</v>
      </c>
    </row>
    <row r="403" spans="1:10" x14ac:dyDescent="0.2">
      <c r="A403" s="105">
        <v>2</v>
      </c>
      <c r="B403" s="91">
        <v>6</v>
      </c>
      <c r="C403" s="91">
        <v>6</v>
      </c>
      <c r="D403" s="91">
        <v>2</v>
      </c>
      <c r="E403" s="110"/>
      <c r="F403" s="119" t="s">
        <v>325</v>
      </c>
      <c r="G403" s="92">
        <f>+G404</f>
        <v>0</v>
      </c>
      <c r="H403" s="92">
        <f>+H404</f>
        <v>0</v>
      </c>
      <c r="I403" s="92">
        <f t="shared" si="18"/>
        <v>0</v>
      </c>
      <c r="J403" s="93"/>
    </row>
    <row r="404" spans="1:10" x14ac:dyDescent="0.2">
      <c r="A404" s="107">
        <v>2</v>
      </c>
      <c r="B404" s="95">
        <v>6</v>
      </c>
      <c r="C404" s="95">
        <v>6</v>
      </c>
      <c r="D404" s="95">
        <v>2</v>
      </c>
      <c r="E404" s="95" t="s">
        <v>324</v>
      </c>
      <c r="F404" s="102" t="s">
        <v>325</v>
      </c>
      <c r="G404" s="97">
        <f>'[1]CUENTA T FONDO 100'!HL461</f>
        <v>0</v>
      </c>
      <c r="H404" s="97">
        <f>'[1]CUENTA T VS'!HL225</f>
        <v>0</v>
      </c>
      <c r="I404" s="97">
        <f t="shared" si="18"/>
        <v>0</v>
      </c>
      <c r="J404" s="98">
        <f>I404/$I$25</f>
        <v>0</v>
      </c>
    </row>
    <row r="405" spans="1:10" x14ac:dyDescent="0.2">
      <c r="A405" s="87">
        <v>2</v>
      </c>
      <c r="B405" s="88">
        <v>6</v>
      </c>
      <c r="C405" s="88">
        <v>7</v>
      </c>
      <c r="D405" s="88"/>
      <c r="E405" s="111"/>
      <c r="F405" s="118" t="s">
        <v>326</v>
      </c>
      <c r="G405" s="89">
        <f>+G406+G408+G410+G412+G414+G416+G418+G420+G422</f>
        <v>0</v>
      </c>
      <c r="H405" s="89">
        <f>+H406+H408+H410+H412+H414+H416+H418+H420+H422</f>
        <v>0</v>
      </c>
      <c r="I405" s="89">
        <f t="shared" si="18"/>
        <v>0</v>
      </c>
      <c r="J405" s="86"/>
    </row>
    <row r="406" spans="1:10" x14ac:dyDescent="0.2">
      <c r="A406" s="90">
        <v>2</v>
      </c>
      <c r="B406" s="91">
        <v>6</v>
      </c>
      <c r="C406" s="91">
        <v>7</v>
      </c>
      <c r="D406" s="91">
        <v>1</v>
      </c>
      <c r="E406" s="91"/>
      <c r="F406" s="119" t="s">
        <v>327</v>
      </c>
      <c r="G406" s="92">
        <f>SUM(G407)</f>
        <v>0</v>
      </c>
      <c r="H406" s="92">
        <f>SUM(H407)</f>
        <v>0</v>
      </c>
      <c r="I406" s="92">
        <f t="shared" si="18"/>
        <v>0</v>
      </c>
      <c r="J406" s="93"/>
    </row>
    <row r="407" spans="1:10" x14ac:dyDescent="0.2">
      <c r="A407" s="94">
        <v>2</v>
      </c>
      <c r="B407" s="95">
        <v>6</v>
      </c>
      <c r="C407" s="95">
        <v>7</v>
      </c>
      <c r="D407" s="95">
        <v>1</v>
      </c>
      <c r="E407" s="96" t="s">
        <v>35</v>
      </c>
      <c r="F407" s="102" t="s">
        <v>327</v>
      </c>
      <c r="G407" s="97">
        <f>'[1]CUENTA T FONDO 100'!HM461</f>
        <v>0</v>
      </c>
      <c r="H407" s="97">
        <f>'[1]CUENTA T VS'!HM225</f>
        <v>0</v>
      </c>
      <c r="I407" s="97">
        <f t="shared" si="18"/>
        <v>0</v>
      </c>
      <c r="J407" s="98">
        <f>I407/$I$25</f>
        <v>0</v>
      </c>
    </row>
    <row r="408" spans="1:10" x14ac:dyDescent="0.2">
      <c r="A408" s="105">
        <v>2</v>
      </c>
      <c r="B408" s="91">
        <v>6</v>
      </c>
      <c r="C408" s="91">
        <v>7</v>
      </c>
      <c r="D408" s="91">
        <v>2</v>
      </c>
      <c r="E408" s="91"/>
      <c r="F408" s="119" t="s">
        <v>328</v>
      </c>
      <c r="G408" s="92">
        <f>SUM(G409)</f>
        <v>0</v>
      </c>
      <c r="H408" s="92">
        <f>SUM(H409)</f>
        <v>0</v>
      </c>
      <c r="I408" s="92">
        <f t="shared" si="18"/>
        <v>0</v>
      </c>
      <c r="J408" s="93"/>
    </row>
    <row r="409" spans="1:10" x14ac:dyDescent="0.2">
      <c r="A409" s="107">
        <v>2</v>
      </c>
      <c r="B409" s="95">
        <v>6</v>
      </c>
      <c r="C409" s="95">
        <v>7</v>
      </c>
      <c r="D409" s="95">
        <v>2</v>
      </c>
      <c r="E409" s="96" t="s">
        <v>35</v>
      </c>
      <c r="F409" s="102" t="s">
        <v>328</v>
      </c>
      <c r="G409" s="97">
        <f>'[1]CUENTA T FONDO 100'!HN461</f>
        <v>0</v>
      </c>
      <c r="H409" s="97">
        <f>'[1]CUENTA T VS'!HN225</f>
        <v>0</v>
      </c>
      <c r="I409" s="97">
        <f t="shared" ref="I409:I472" si="19">SUM(G409:H409)</f>
        <v>0</v>
      </c>
      <c r="J409" s="98">
        <f>I409/$I$25</f>
        <v>0</v>
      </c>
    </row>
    <row r="410" spans="1:10" x14ac:dyDescent="0.2">
      <c r="A410" s="105">
        <v>2</v>
      </c>
      <c r="B410" s="91">
        <v>6</v>
      </c>
      <c r="C410" s="91">
        <v>7</v>
      </c>
      <c r="D410" s="91">
        <v>3</v>
      </c>
      <c r="E410" s="91"/>
      <c r="F410" s="119" t="s">
        <v>329</v>
      </c>
      <c r="G410" s="92">
        <f>SUM(G411)</f>
        <v>0</v>
      </c>
      <c r="H410" s="92">
        <f>SUM(H411)</f>
        <v>0</v>
      </c>
      <c r="I410" s="92">
        <f t="shared" si="19"/>
        <v>0</v>
      </c>
      <c r="J410" s="93"/>
    </row>
    <row r="411" spans="1:10" x14ac:dyDescent="0.2">
      <c r="A411" s="107">
        <v>2</v>
      </c>
      <c r="B411" s="95">
        <v>6</v>
      </c>
      <c r="C411" s="95">
        <v>7</v>
      </c>
      <c r="D411" s="95">
        <v>3</v>
      </c>
      <c r="E411" s="96" t="s">
        <v>35</v>
      </c>
      <c r="F411" s="102" t="s">
        <v>329</v>
      </c>
      <c r="G411" s="97">
        <f>'[1]CUENTA T FONDO 100'!HO461</f>
        <v>0</v>
      </c>
      <c r="H411" s="97">
        <f>'[1]CUENTA T VS'!HO225</f>
        <v>0</v>
      </c>
      <c r="I411" s="97">
        <f t="shared" si="19"/>
        <v>0</v>
      </c>
      <c r="J411" s="98">
        <f>I411/$I$25</f>
        <v>0</v>
      </c>
    </row>
    <row r="412" spans="1:10" x14ac:dyDescent="0.2">
      <c r="A412" s="105">
        <v>2</v>
      </c>
      <c r="B412" s="91">
        <v>6</v>
      </c>
      <c r="C412" s="91">
        <v>7</v>
      </c>
      <c r="D412" s="91">
        <v>4</v>
      </c>
      <c r="E412" s="91"/>
      <c r="F412" s="119" t="s">
        <v>330</v>
      </c>
      <c r="G412" s="92">
        <f>SUM(G413)</f>
        <v>0</v>
      </c>
      <c r="H412" s="92">
        <f>SUM(H413)</f>
        <v>0</v>
      </c>
      <c r="I412" s="92">
        <f t="shared" si="19"/>
        <v>0</v>
      </c>
      <c r="J412" s="93"/>
    </row>
    <row r="413" spans="1:10" x14ac:dyDescent="0.2">
      <c r="A413" s="107">
        <v>2</v>
      </c>
      <c r="B413" s="95">
        <v>6</v>
      </c>
      <c r="C413" s="95">
        <v>7</v>
      </c>
      <c r="D413" s="95">
        <v>4</v>
      </c>
      <c r="E413" s="96" t="s">
        <v>35</v>
      </c>
      <c r="F413" s="102" t="s">
        <v>330</v>
      </c>
      <c r="G413" s="97">
        <f>'[1]CUENTA T FONDO 100'!HP461</f>
        <v>0</v>
      </c>
      <c r="H413" s="97">
        <f>'[1]CUENTA T VS'!HP225</f>
        <v>0</v>
      </c>
      <c r="I413" s="97">
        <f t="shared" si="19"/>
        <v>0</v>
      </c>
      <c r="J413" s="98">
        <f>I413/$I$25</f>
        <v>0</v>
      </c>
    </row>
    <row r="414" spans="1:10" x14ac:dyDescent="0.2">
      <c r="A414" s="105">
        <v>2</v>
      </c>
      <c r="B414" s="91">
        <v>6</v>
      </c>
      <c r="C414" s="91">
        <v>7</v>
      </c>
      <c r="D414" s="91">
        <v>5</v>
      </c>
      <c r="E414" s="91"/>
      <c r="F414" s="119" t="s">
        <v>331</v>
      </c>
      <c r="G414" s="92">
        <f>SUM(G415)</f>
        <v>0</v>
      </c>
      <c r="H414" s="92">
        <f>SUM(H415)</f>
        <v>0</v>
      </c>
      <c r="I414" s="92">
        <f t="shared" si="19"/>
        <v>0</v>
      </c>
      <c r="J414" s="93"/>
    </row>
    <row r="415" spans="1:10" x14ac:dyDescent="0.2">
      <c r="A415" s="107">
        <v>2</v>
      </c>
      <c r="B415" s="95">
        <v>6</v>
      </c>
      <c r="C415" s="95">
        <v>7</v>
      </c>
      <c r="D415" s="95">
        <v>5</v>
      </c>
      <c r="E415" s="96" t="s">
        <v>35</v>
      </c>
      <c r="F415" s="102" t="s">
        <v>331</v>
      </c>
      <c r="G415" s="97">
        <f>'[1]CUENTA T FONDO 100'!HQ461</f>
        <v>0</v>
      </c>
      <c r="H415" s="97">
        <f>'[1]CUENTA T VS'!HQ225</f>
        <v>0</v>
      </c>
      <c r="I415" s="97">
        <f t="shared" si="19"/>
        <v>0</v>
      </c>
      <c r="J415" s="98">
        <f>I415/$I$25</f>
        <v>0</v>
      </c>
    </row>
    <row r="416" spans="1:10" x14ac:dyDescent="0.2">
      <c r="A416" s="105">
        <v>2</v>
      </c>
      <c r="B416" s="91">
        <v>6</v>
      </c>
      <c r="C416" s="91">
        <v>7</v>
      </c>
      <c r="D416" s="91">
        <v>6</v>
      </c>
      <c r="E416" s="91"/>
      <c r="F416" s="119" t="s">
        <v>332</v>
      </c>
      <c r="G416" s="92">
        <f>SUM(G417)</f>
        <v>0</v>
      </c>
      <c r="H416" s="92">
        <f>SUM(H417)</f>
        <v>0</v>
      </c>
      <c r="I416" s="92">
        <f t="shared" si="19"/>
        <v>0</v>
      </c>
      <c r="J416" s="93"/>
    </row>
    <row r="417" spans="1:10" x14ac:dyDescent="0.2">
      <c r="A417" s="107">
        <v>2</v>
      </c>
      <c r="B417" s="95">
        <v>6</v>
      </c>
      <c r="C417" s="95">
        <v>7</v>
      </c>
      <c r="D417" s="95">
        <v>6</v>
      </c>
      <c r="E417" s="96" t="s">
        <v>35</v>
      </c>
      <c r="F417" s="102" t="s">
        <v>332</v>
      </c>
      <c r="G417" s="97">
        <f>'[1]CUENTA T FONDO 100'!HR461</f>
        <v>0</v>
      </c>
      <c r="H417" s="97">
        <f>'[1]CUENTA T VS'!HR225</f>
        <v>0</v>
      </c>
      <c r="I417" s="97">
        <f t="shared" si="19"/>
        <v>0</v>
      </c>
      <c r="J417" s="98">
        <f>I417/$I$25</f>
        <v>0</v>
      </c>
    </row>
    <row r="418" spans="1:10" x14ac:dyDescent="0.2">
      <c r="A418" s="105">
        <v>2</v>
      </c>
      <c r="B418" s="91">
        <v>6</v>
      </c>
      <c r="C418" s="91">
        <v>7</v>
      </c>
      <c r="D418" s="91">
        <v>7</v>
      </c>
      <c r="E418" s="91"/>
      <c r="F418" s="119" t="s">
        <v>333</v>
      </c>
      <c r="G418" s="92">
        <f>SUM(G419)</f>
        <v>0</v>
      </c>
      <c r="H418" s="92">
        <f>SUM(H419)</f>
        <v>0</v>
      </c>
      <c r="I418" s="92">
        <f t="shared" si="19"/>
        <v>0</v>
      </c>
      <c r="J418" s="93"/>
    </row>
    <row r="419" spans="1:10" x14ac:dyDescent="0.2">
      <c r="A419" s="107">
        <v>2</v>
      </c>
      <c r="B419" s="95">
        <v>6</v>
      </c>
      <c r="C419" s="95">
        <v>7</v>
      </c>
      <c r="D419" s="95">
        <v>7</v>
      </c>
      <c r="E419" s="96" t="s">
        <v>35</v>
      </c>
      <c r="F419" s="102" t="s">
        <v>333</v>
      </c>
      <c r="G419" s="97">
        <f>'[1]CUENTA T FONDO 100'!HS461</f>
        <v>0</v>
      </c>
      <c r="H419" s="97">
        <f>'[1]CUENTA T VS'!HS225</f>
        <v>0</v>
      </c>
      <c r="I419" s="97">
        <f t="shared" si="19"/>
        <v>0</v>
      </c>
      <c r="J419" s="98">
        <f>I419/$I$25</f>
        <v>0</v>
      </c>
    </row>
    <row r="420" spans="1:10" x14ac:dyDescent="0.2">
      <c r="A420" s="105">
        <v>2</v>
      </c>
      <c r="B420" s="91">
        <v>6</v>
      </c>
      <c r="C420" s="91">
        <v>7</v>
      </c>
      <c r="D420" s="91">
        <v>8</v>
      </c>
      <c r="E420" s="91"/>
      <c r="F420" s="119" t="s">
        <v>334</v>
      </c>
      <c r="G420" s="92">
        <f>SUM(G421)</f>
        <v>0</v>
      </c>
      <c r="H420" s="92">
        <f>SUM(H421)</f>
        <v>0</v>
      </c>
      <c r="I420" s="92">
        <f t="shared" si="19"/>
        <v>0</v>
      </c>
      <c r="J420" s="93"/>
    </row>
    <row r="421" spans="1:10" x14ac:dyDescent="0.2">
      <c r="A421" s="107">
        <v>2</v>
      </c>
      <c r="B421" s="95">
        <v>6</v>
      </c>
      <c r="C421" s="95">
        <v>7</v>
      </c>
      <c r="D421" s="95">
        <v>8</v>
      </c>
      <c r="E421" s="96" t="s">
        <v>35</v>
      </c>
      <c r="F421" s="102" t="s">
        <v>334</v>
      </c>
      <c r="G421" s="97">
        <f>'[1]CUENTA T FONDO 100'!HT461</f>
        <v>0</v>
      </c>
      <c r="H421" s="97">
        <f>'[1]CUENTA T VS'!HT225</f>
        <v>0</v>
      </c>
      <c r="I421" s="97">
        <f t="shared" si="19"/>
        <v>0</v>
      </c>
      <c r="J421" s="98">
        <f>I421/$I$25</f>
        <v>0</v>
      </c>
    </row>
    <row r="422" spans="1:10" x14ac:dyDescent="0.2">
      <c r="A422" s="105">
        <v>2</v>
      </c>
      <c r="B422" s="91">
        <v>6</v>
      </c>
      <c r="C422" s="91">
        <v>7</v>
      </c>
      <c r="D422" s="91">
        <v>9</v>
      </c>
      <c r="E422" s="91"/>
      <c r="F422" s="119" t="s">
        <v>335</v>
      </c>
      <c r="G422" s="92">
        <f>SUM(G423)</f>
        <v>0</v>
      </c>
      <c r="H422" s="92">
        <f>SUM(H423)</f>
        <v>0</v>
      </c>
      <c r="I422" s="92">
        <f t="shared" si="19"/>
        <v>0</v>
      </c>
      <c r="J422" s="93"/>
    </row>
    <row r="423" spans="1:10" x14ac:dyDescent="0.2">
      <c r="A423" s="107">
        <v>2</v>
      </c>
      <c r="B423" s="95">
        <v>6</v>
      </c>
      <c r="C423" s="95">
        <v>7</v>
      </c>
      <c r="D423" s="95">
        <v>9</v>
      </c>
      <c r="E423" s="96" t="s">
        <v>35</v>
      </c>
      <c r="F423" s="102" t="s">
        <v>335</v>
      </c>
      <c r="G423" s="97">
        <f>'[1]CUENTA T FONDO 100'!HU461</f>
        <v>0</v>
      </c>
      <c r="H423" s="97">
        <f>'[1]CUENTA T VS'!HU225</f>
        <v>0</v>
      </c>
      <c r="I423" s="97">
        <f t="shared" si="19"/>
        <v>0</v>
      </c>
      <c r="J423" s="98">
        <f>I423/$I$25</f>
        <v>0</v>
      </c>
    </row>
    <row r="424" spans="1:10" x14ac:dyDescent="0.2">
      <c r="A424" s="103">
        <v>2</v>
      </c>
      <c r="B424" s="88">
        <v>6</v>
      </c>
      <c r="C424" s="88">
        <v>8</v>
      </c>
      <c r="D424" s="88"/>
      <c r="E424" s="88"/>
      <c r="F424" s="118" t="s">
        <v>336</v>
      </c>
      <c r="G424" s="89">
        <f>G425+G427+G429+G432+G434+G436+G438+G440+G444</f>
        <v>0</v>
      </c>
      <c r="H424" s="89">
        <f>H425+H427+H429+H432+H434+H436+H438+H440+H444</f>
        <v>0</v>
      </c>
      <c r="I424" s="89">
        <f t="shared" si="19"/>
        <v>0</v>
      </c>
      <c r="J424" s="86"/>
    </row>
    <row r="425" spans="1:10" x14ac:dyDescent="0.2">
      <c r="A425" s="105">
        <v>2</v>
      </c>
      <c r="B425" s="91">
        <v>6</v>
      </c>
      <c r="C425" s="91">
        <v>8</v>
      </c>
      <c r="D425" s="91">
        <v>1</v>
      </c>
      <c r="E425" s="91"/>
      <c r="F425" s="119" t="s">
        <v>337</v>
      </c>
      <c r="G425" s="92">
        <f>+G426</f>
        <v>0</v>
      </c>
      <c r="H425" s="92">
        <f>+H426</f>
        <v>0</v>
      </c>
      <c r="I425" s="92">
        <f t="shared" si="19"/>
        <v>0</v>
      </c>
      <c r="J425" s="93"/>
    </row>
    <row r="426" spans="1:10" x14ac:dyDescent="0.2">
      <c r="A426" s="107">
        <v>2</v>
      </c>
      <c r="B426" s="95">
        <v>6</v>
      </c>
      <c r="C426" s="95">
        <v>8</v>
      </c>
      <c r="D426" s="95">
        <v>1</v>
      </c>
      <c r="E426" s="96" t="s">
        <v>35</v>
      </c>
      <c r="F426" s="102" t="s">
        <v>337</v>
      </c>
      <c r="G426" s="97">
        <f>'[1]CUENTA T FONDO 100'!HV461</f>
        <v>0</v>
      </c>
      <c r="H426" s="97">
        <f>'[1]CUENTA T VS'!HV225</f>
        <v>0</v>
      </c>
      <c r="I426" s="97">
        <f t="shared" si="19"/>
        <v>0</v>
      </c>
      <c r="J426" s="98">
        <f>I426/$I$25</f>
        <v>0</v>
      </c>
    </row>
    <row r="427" spans="1:10" x14ac:dyDescent="0.2">
      <c r="A427" s="105">
        <v>2</v>
      </c>
      <c r="B427" s="91">
        <v>6</v>
      </c>
      <c r="C427" s="91">
        <v>8</v>
      </c>
      <c r="D427" s="91">
        <v>2</v>
      </c>
      <c r="E427" s="91"/>
      <c r="F427" s="119" t="s">
        <v>338</v>
      </c>
      <c r="G427" s="92">
        <f>+G428</f>
        <v>0</v>
      </c>
      <c r="H427" s="92">
        <f>+H428</f>
        <v>0</v>
      </c>
      <c r="I427" s="92">
        <f t="shared" si="19"/>
        <v>0</v>
      </c>
      <c r="J427" s="93"/>
    </row>
    <row r="428" spans="1:10" x14ac:dyDescent="0.2">
      <c r="A428" s="107">
        <v>2</v>
      </c>
      <c r="B428" s="95">
        <v>6</v>
      </c>
      <c r="C428" s="95">
        <v>8</v>
      </c>
      <c r="D428" s="95">
        <v>2</v>
      </c>
      <c r="E428" s="96" t="s">
        <v>35</v>
      </c>
      <c r="F428" s="102" t="s">
        <v>338</v>
      </c>
      <c r="G428" s="97">
        <f>'[1]CUENTA T FONDO 100'!HW461</f>
        <v>0</v>
      </c>
      <c r="H428" s="97">
        <f>'[1]CUENTA T VS'!HW225</f>
        <v>0</v>
      </c>
      <c r="I428" s="97">
        <f t="shared" si="19"/>
        <v>0</v>
      </c>
      <c r="J428" s="98">
        <f>I428/$I$25</f>
        <v>0</v>
      </c>
    </row>
    <row r="429" spans="1:10" x14ac:dyDescent="0.2">
      <c r="A429" s="105">
        <v>2</v>
      </c>
      <c r="B429" s="91">
        <v>6</v>
      </c>
      <c r="C429" s="91">
        <v>8</v>
      </c>
      <c r="D429" s="91">
        <v>3</v>
      </c>
      <c r="E429" s="91"/>
      <c r="F429" s="119" t="s">
        <v>339</v>
      </c>
      <c r="G429" s="92">
        <f>SUM(G430:G431)</f>
        <v>0</v>
      </c>
      <c r="H429" s="92">
        <f>SUM(H430:H431)</f>
        <v>0</v>
      </c>
      <c r="I429" s="92">
        <f t="shared" si="19"/>
        <v>0</v>
      </c>
      <c r="J429" s="93"/>
    </row>
    <row r="430" spans="1:10" x14ac:dyDescent="0.2">
      <c r="A430" s="107">
        <v>2</v>
      </c>
      <c r="B430" s="95">
        <v>6</v>
      </c>
      <c r="C430" s="95">
        <v>8</v>
      </c>
      <c r="D430" s="95">
        <v>3</v>
      </c>
      <c r="E430" s="96" t="s">
        <v>35</v>
      </c>
      <c r="F430" s="102" t="s">
        <v>340</v>
      </c>
      <c r="G430" s="97">
        <f>'[1]CUENTA T FONDO 100'!HX461</f>
        <v>0</v>
      </c>
      <c r="H430" s="97">
        <f>'[1]CUENTA T VS'!HX225</f>
        <v>0</v>
      </c>
      <c r="I430" s="97">
        <f t="shared" si="19"/>
        <v>0</v>
      </c>
      <c r="J430" s="98">
        <f>I430/$I$25</f>
        <v>0</v>
      </c>
    </row>
    <row r="431" spans="1:10" x14ac:dyDescent="0.2">
      <c r="A431" s="107">
        <v>2</v>
      </c>
      <c r="B431" s="95">
        <v>6</v>
      </c>
      <c r="C431" s="95">
        <v>8</v>
      </c>
      <c r="D431" s="95">
        <v>3</v>
      </c>
      <c r="E431" s="96" t="s">
        <v>37</v>
      </c>
      <c r="F431" s="102" t="s">
        <v>341</v>
      </c>
      <c r="G431" s="97">
        <f>'[1]CUENTA T FONDO 100'!HY461</f>
        <v>0</v>
      </c>
      <c r="H431" s="97">
        <f>'[1]CUENTA T VS'!HY225</f>
        <v>0</v>
      </c>
      <c r="I431" s="97">
        <f t="shared" si="19"/>
        <v>0</v>
      </c>
      <c r="J431" s="98">
        <f>I431/$I$25</f>
        <v>0</v>
      </c>
    </row>
    <row r="432" spans="1:10" x14ac:dyDescent="0.2">
      <c r="A432" s="105">
        <v>2</v>
      </c>
      <c r="B432" s="91">
        <v>6</v>
      </c>
      <c r="C432" s="91">
        <v>8</v>
      </c>
      <c r="D432" s="91">
        <v>4</v>
      </c>
      <c r="E432" s="91"/>
      <c r="F432" s="119" t="s">
        <v>342</v>
      </c>
      <c r="G432" s="92">
        <f>+G433</f>
        <v>0</v>
      </c>
      <c r="H432" s="92">
        <f>+H433</f>
        <v>0</v>
      </c>
      <c r="I432" s="92">
        <f t="shared" si="19"/>
        <v>0</v>
      </c>
      <c r="J432" s="93"/>
    </row>
    <row r="433" spans="1:10" x14ac:dyDescent="0.2">
      <c r="A433" s="107">
        <v>2</v>
      </c>
      <c r="B433" s="95">
        <v>6</v>
      </c>
      <c r="C433" s="95">
        <v>8</v>
      </c>
      <c r="D433" s="95">
        <v>4</v>
      </c>
      <c r="E433" s="96" t="s">
        <v>35</v>
      </c>
      <c r="F433" s="102" t="s">
        <v>342</v>
      </c>
      <c r="G433" s="97">
        <f>'[1]CUENTA T FONDO 100'!HZ461</f>
        <v>0</v>
      </c>
      <c r="H433" s="97">
        <f>'[1]CUENTA T VS'!HZ225</f>
        <v>0</v>
      </c>
      <c r="I433" s="97">
        <f t="shared" si="19"/>
        <v>0</v>
      </c>
      <c r="J433" s="98">
        <f>I433/$I$25</f>
        <v>0</v>
      </c>
    </row>
    <row r="434" spans="1:10" x14ac:dyDescent="0.2">
      <c r="A434" s="105">
        <v>2</v>
      </c>
      <c r="B434" s="91">
        <v>6</v>
      </c>
      <c r="C434" s="91">
        <v>8</v>
      </c>
      <c r="D434" s="91">
        <v>5</v>
      </c>
      <c r="E434" s="91"/>
      <c r="F434" s="119" t="s">
        <v>343</v>
      </c>
      <c r="G434" s="92">
        <f>+G435</f>
        <v>0</v>
      </c>
      <c r="H434" s="92">
        <f>+H435</f>
        <v>0</v>
      </c>
      <c r="I434" s="92">
        <f t="shared" si="19"/>
        <v>0</v>
      </c>
      <c r="J434" s="93"/>
    </row>
    <row r="435" spans="1:10" x14ac:dyDescent="0.2">
      <c r="A435" s="107">
        <v>2</v>
      </c>
      <c r="B435" s="95">
        <v>6</v>
      </c>
      <c r="C435" s="95">
        <v>8</v>
      </c>
      <c r="D435" s="95">
        <v>5</v>
      </c>
      <c r="E435" s="96" t="s">
        <v>35</v>
      </c>
      <c r="F435" s="102" t="s">
        <v>343</v>
      </c>
      <c r="G435" s="97">
        <f>'[1]CUENTA T FONDO 100'!IA461</f>
        <v>0</v>
      </c>
      <c r="H435" s="97">
        <f>'[1]CUENTA T VS'!IA225</f>
        <v>0</v>
      </c>
      <c r="I435" s="97">
        <f t="shared" si="19"/>
        <v>0</v>
      </c>
      <c r="J435" s="98">
        <f>I435/$I$25</f>
        <v>0</v>
      </c>
    </row>
    <row r="436" spans="1:10" x14ac:dyDescent="0.2">
      <c r="A436" s="105">
        <v>2</v>
      </c>
      <c r="B436" s="91">
        <v>6</v>
      </c>
      <c r="C436" s="91">
        <v>8</v>
      </c>
      <c r="D436" s="91">
        <v>6</v>
      </c>
      <c r="E436" s="91"/>
      <c r="F436" s="119" t="s">
        <v>344</v>
      </c>
      <c r="G436" s="92">
        <f>+G437</f>
        <v>0</v>
      </c>
      <c r="H436" s="92">
        <f>+H437</f>
        <v>0</v>
      </c>
      <c r="I436" s="92">
        <f t="shared" si="19"/>
        <v>0</v>
      </c>
      <c r="J436" s="93"/>
    </row>
    <row r="437" spans="1:10" x14ac:dyDescent="0.2">
      <c r="A437" s="107">
        <v>2</v>
      </c>
      <c r="B437" s="95">
        <v>6</v>
      </c>
      <c r="C437" s="95">
        <v>8</v>
      </c>
      <c r="D437" s="95">
        <v>6</v>
      </c>
      <c r="E437" s="96" t="s">
        <v>35</v>
      </c>
      <c r="F437" s="102" t="s">
        <v>344</v>
      </c>
      <c r="G437" s="97">
        <f>'[1]CUENTA T FONDO 100'!IB461</f>
        <v>0</v>
      </c>
      <c r="H437" s="97">
        <f>'[1]CUENTA T VS'!IB225</f>
        <v>0</v>
      </c>
      <c r="I437" s="97">
        <f t="shared" si="19"/>
        <v>0</v>
      </c>
      <c r="J437" s="98">
        <f>I437/$I$25</f>
        <v>0</v>
      </c>
    </row>
    <row r="438" spans="1:10" x14ac:dyDescent="0.2">
      <c r="A438" s="105">
        <v>2</v>
      </c>
      <c r="B438" s="91">
        <v>6</v>
      </c>
      <c r="C438" s="91">
        <v>8</v>
      </c>
      <c r="D438" s="91">
        <v>7</v>
      </c>
      <c r="E438" s="91"/>
      <c r="F438" s="119" t="s">
        <v>345</v>
      </c>
      <c r="G438" s="92">
        <f>+G439</f>
        <v>0</v>
      </c>
      <c r="H438" s="92">
        <f>+H439</f>
        <v>0</v>
      </c>
      <c r="I438" s="92">
        <f t="shared" si="19"/>
        <v>0</v>
      </c>
      <c r="J438" s="93"/>
    </row>
    <row r="439" spans="1:10" x14ac:dyDescent="0.2">
      <c r="A439" s="107">
        <v>2</v>
      </c>
      <c r="B439" s="95">
        <v>6</v>
      </c>
      <c r="C439" s="95">
        <v>8</v>
      </c>
      <c r="D439" s="95">
        <v>7</v>
      </c>
      <c r="E439" s="96" t="s">
        <v>35</v>
      </c>
      <c r="F439" s="102" t="s">
        <v>345</v>
      </c>
      <c r="G439" s="97">
        <f>'[1]CUENTA T FONDO 100'!IC461</f>
        <v>0</v>
      </c>
      <c r="H439" s="97">
        <f>'[1]CUENTA T VS'!IC225</f>
        <v>0</v>
      </c>
      <c r="I439" s="97">
        <f t="shared" si="19"/>
        <v>0</v>
      </c>
      <c r="J439" s="98">
        <f>I439/$I$25</f>
        <v>0</v>
      </c>
    </row>
    <row r="440" spans="1:10" x14ac:dyDescent="0.2">
      <c r="A440" s="90">
        <v>2</v>
      </c>
      <c r="B440" s="91">
        <v>6</v>
      </c>
      <c r="C440" s="91">
        <v>8</v>
      </c>
      <c r="D440" s="91">
        <v>8</v>
      </c>
      <c r="E440" s="91"/>
      <c r="F440" s="119" t="s">
        <v>346</v>
      </c>
      <c r="G440" s="92">
        <f>SUM(G441:G443)</f>
        <v>0</v>
      </c>
      <c r="H440" s="92">
        <f>SUM(H441:H443)</f>
        <v>0</v>
      </c>
      <c r="I440" s="92">
        <f t="shared" si="19"/>
        <v>0</v>
      </c>
      <c r="J440" s="93"/>
    </row>
    <row r="441" spans="1:10" x14ac:dyDescent="0.2">
      <c r="A441" s="107">
        <v>2</v>
      </c>
      <c r="B441" s="95">
        <v>6</v>
      </c>
      <c r="C441" s="95">
        <v>8</v>
      </c>
      <c r="D441" s="95">
        <v>8</v>
      </c>
      <c r="E441" s="95" t="s">
        <v>347</v>
      </c>
      <c r="F441" s="102" t="s">
        <v>348</v>
      </c>
      <c r="G441" s="97">
        <f>'[1]CUENTA T FONDO 100'!ID461</f>
        <v>0</v>
      </c>
      <c r="H441" s="97">
        <f>'[1]CUENTA T VS'!ID225</f>
        <v>0</v>
      </c>
      <c r="I441" s="97">
        <f t="shared" si="19"/>
        <v>0</v>
      </c>
      <c r="J441" s="98">
        <f>I441/$I$25</f>
        <v>0</v>
      </c>
    </row>
    <row r="442" spans="1:10" x14ac:dyDescent="0.2">
      <c r="A442" s="107">
        <v>2</v>
      </c>
      <c r="B442" s="95">
        <v>6</v>
      </c>
      <c r="C442" s="95">
        <v>8</v>
      </c>
      <c r="D442" s="95">
        <v>8</v>
      </c>
      <c r="E442" s="95" t="s">
        <v>349</v>
      </c>
      <c r="F442" s="102" t="s">
        <v>350</v>
      </c>
      <c r="G442" s="97">
        <f>'[1]CUENTA T FONDO 100'!IE461</f>
        <v>0</v>
      </c>
      <c r="H442" s="97">
        <f>'[1]CUENTA T VS'!IE225</f>
        <v>0</v>
      </c>
      <c r="I442" s="97">
        <f t="shared" si="19"/>
        <v>0</v>
      </c>
      <c r="J442" s="98">
        <f>I442/$I$25</f>
        <v>0</v>
      </c>
    </row>
    <row r="443" spans="1:10" x14ac:dyDescent="0.2">
      <c r="A443" s="107">
        <v>2</v>
      </c>
      <c r="B443" s="95">
        <v>6</v>
      </c>
      <c r="C443" s="95">
        <v>8</v>
      </c>
      <c r="D443" s="95">
        <v>8</v>
      </c>
      <c r="E443" s="95" t="s">
        <v>351</v>
      </c>
      <c r="F443" s="102" t="s">
        <v>352</v>
      </c>
      <c r="G443" s="97">
        <f>'[1]CUENTA T FONDO 100'!IF461</f>
        <v>0</v>
      </c>
      <c r="H443" s="97">
        <f>'[1]CUENTA T VS'!IF225</f>
        <v>0</v>
      </c>
      <c r="I443" s="97">
        <f t="shared" si="19"/>
        <v>0</v>
      </c>
      <c r="J443" s="98">
        <f>I443/$I$25</f>
        <v>0</v>
      </c>
    </row>
    <row r="444" spans="1:10" x14ac:dyDescent="0.2">
      <c r="A444" s="105">
        <v>2</v>
      </c>
      <c r="B444" s="91">
        <v>6</v>
      </c>
      <c r="C444" s="91">
        <v>8</v>
      </c>
      <c r="D444" s="91">
        <v>9</v>
      </c>
      <c r="E444" s="91"/>
      <c r="F444" s="119" t="s">
        <v>353</v>
      </c>
      <c r="G444" s="92">
        <f>+G445</f>
        <v>0</v>
      </c>
      <c r="H444" s="92">
        <f>+H445</f>
        <v>0</v>
      </c>
      <c r="I444" s="92">
        <f t="shared" si="19"/>
        <v>0</v>
      </c>
      <c r="J444" s="93"/>
    </row>
    <row r="445" spans="1:10" x14ac:dyDescent="0.2">
      <c r="A445" s="107">
        <v>2</v>
      </c>
      <c r="B445" s="95">
        <v>6</v>
      </c>
      <c r="C445" s="95">
        <v>8</v>
      </c>
      <c r="D445" s="95">
        <v>9</v>
      </c>
      <c r="E445" s="95" t="s">
        <v>324</v>
      </c>
      <c r="F445" s="102" t="s">
        <v>353</v>
      </c>
      <c r="G445" s="97">
        <f>'[1]CUENTA T FONDO 100'!IG461</f>
        <v>0</v>
      </c>
      <c r="H445" s="97">
        <f>'[1]CUENTA T VS'!IG225</f>
        <v>0</v>
      </c>
      <c r="I445" s="97">
        <f t="shared" si="19"/>
        <v>0</v>
      </c>
      <c r="J445" s="98">
        <f>I445/$I$25</f>
        <v>0</v>
      </c>
    </row>
    <row r="446" spans="1:10" x14ac:dyDescent="0.2">
      <c r="A446" s="87">
        <v>2</v>
      </c>
      <c r="B446" s="88">
        <v>6</v>
      </c>
      <c r="C446" s="88">
        <v>9</v>
      </c>
      <c r="D446" s="88"/>
      <c r="E446" s="111"/>
      <c r="F446" s="118" t="s">
        <v>354</v>
      </c>
      <c r="G446" s="89">
        <f>+G447+G450+G453+G455+G457+G461</f>
        <v>0</v>
      </c>
      <c r="H446" s="89">
        <f>+H447+H450+H453+H455+H457+H461</f>
        <v>0</v>
      </c>
      <c r="I446" s="89">
        <f t="shared" si="19"/>
        <v>0</v>
      </c>
      <c r="J446" s="86"/>
    </row>
    <row r="447" spans="1:10" x14ac:dyDescent="0.2">
      <c r="A447" s="105">
        <v>2</v>
      </c>
      <c r="B447" s="91">
        <v>6</v>
      </c>
      <c r="C447" s="91">
        <v>9</v>
      </c>
      <c r="D447" s="91">
        <v>1</v>
      </c>
      <c r="E447" s="91"/>
      <c r="F447" s="119" t="s">
        <v>355</v>
      </c>
      <c r="G447" s="92">
        <f>+G448+G449</f>
        <v>0</v>
      </c>
      <c r="H447" s="92">
        <f t="shared" ref="H447" si="20">+H448+H449</f>
        <v>0</v>
      </c>
      <c r="I447" s="92">
        <f t="shared" si="19"/>
        <v>0</v>
      </c>
      <c r="J447" s="92"/>
    </row>
    <row r="448" spans="1:10" x14ac:dyDescent="0.2">
      <c r="A448" s="122">
        <v>2</v>
      </c>
      <c r="B448" s="123">
        <v>6</v>
      </c>
      <c r="C448" s="123">
        <v>9</v>
      </c>
      <c r="D448" s="123">
        <v>1</v>
      </c>
      <c r="E448" s="123" t="s">
        <v>35</v>
      </c>
      <c r="F448" s="124" t="s">
        <v>355</v>
      </c>
      <c r="G448" s="97">
        <f>'[1]CUENTA T FONDO 100'!IH461</f>
        <v>0</v>
      </c>
      <c r="H448" s="125">
        <f>'[1]CUENTA T VS'!IH225</f>
        <v>0</v>
      </c>
      <c r="I448" s="125">
        <f t="shared" si="19"/>
        <v>0</v>
      </c>
      <c r="J448" s="98">
        <f>I448/$I$25</f>
        <v>0</v>
      </c>
    </row>
    <row r="449" spans="1:10" x14ac:dyDescent="0.2">
      <c r="A449" s="122">
        <v>2</v>
      </c>
      <c r="B449" s="123">
        <v>6</v>
      </c>
      <c r="C449" s="123">
        <v>9</v>
      </c>
      <c r="D449" s="123">
        <v>1</v>
      </c>
      <c r="E449" s="123" t="s">
        <v>37</v>
      </c>
      <c r="F449" s="124" t="s">
        <v>356</v>
      </c>
      <c r="G449" s="97">
        <f>'[1]CUENTA T FONDO 100'!II461</f>
        <v>0</v>
      </c>
      <c r="H449" s="125">
        <f>'[1]CUENTA T VS'!II225</f>
        <v>0</v>
      </c>
      <c r="I449" s="125">
        <f t="shared" si="19"/>
        <v>0</v>
      </c>
      <c r="J449" s="98">
        <f>I449/$I$25</f>
        <v>0</v>
      </c>
    </row>
    <row r="450" spans="1:10" x14ac:dyDescent="0.2">
      <c r="A450" s="105">
        <v>2</v>
      </c>
      <c r="B450" s="91">
        <v>6</v>
      </c>
      <c r="C450" s="91">
        <v>9</v>
      </c>
      <c r="D450" s="91">
        <v>2</v>
      </c>
      <c r="E450" s="91"/>
      <c r="F450" s="119" t="s">
        <v>357</v>
      </c>
      <c r="G450" s="92">
        <f>SUM(G451:G452)</f>
        <v>0</v>
      </c>
      <c r="H450" s="92">
        <f t="shared" ref="H450" si="21">SUM(H451:H452)</f>
        <v>0</v>
      </c>
      <c r="I450" s="92">
        <f t="shared" si="19"/>
        <v>0</v>
      </c>
      <c r="J450" s="93"/>
    </row>
    <row r="451" spans="1:10" x14ac:dyDescent="0.2">
      <c r="A451" s="107">
        <v>2</v>
      </c>
      <c r="B451" s="95">
        <v>6</v>
      </c>
      <c r="C451" s="95">
        <v>9</v>
      </c>
      <c r="D451" s="95">
        <v>2</v>
      </c>
      <c r="E451" s="96" t="s">
        <v>35</v>
      </c>
      <c r="F451" s="102" t="s">
        <v>357</v>
      </c>
      <c r="G451" s="97">
        <f>'[1]CUENTA T FONDO 100'!IJ461</f>
        <v>0</v>
      </c>
      <c r="H451" s="97">
        <f>'[1]CUENTA T VS'!IJ225</f>
        <v>0</v>
      </c>
      <c r="I451" s="97">
        <f t="shared" si="19"/>
        <v>0</v>
      </c>
      <c r="J451" s="98">
        <f>I451/$I$25</f>
        <v>0</v>
      </c>
    </row>
    <row r="452" spans="1:10" x14ac:dyDescent="0.2">
      <c r="A452" s="107">
        <v>2</v>
      </c>
      <c r="B452" s="95">
        <v>6</v>
      </c>
      <c r="C452" s="95">
        <v>9</v>
      </c>
      <c r="D452" s="95">
        <v>2</v>
      </c>
      <c r="E452" s="96" t="s">
        <v>37</v>
      </c>
      <c r="F452" s="102" t="s">
        <v>358</v>
      </c>
      <c r="G452" s="97">
        <f>'[1]CUENTA T FONDO 100'!IK461</f>
        <v>0</v>
      </c>
      <c r="H452" s="97">
        <f>'[1]CUENTA T VS'!IK225</f>
        <v>0</v>
      </c>
      <c r="I452" s="97">
        <f t="shared" si="19"/>
        <v>0</v>
      </c>
      <c r="J452" s="98">
        <f>I452/$I$25</f>
        <v>0</v>
      </c>
    </row>
    <row r="453" spans="1:10" x14ac:dyDescent="0.2">
      <c r="A453" s="105">
        <v>2</v>
      </c>
      <c r="B453" s="91">
        <v>6</v>
      </c>
      <c r="C453" s="91">
        <v>9</v>
      </c>
      <c r="D453" s="91">
        <v>3</v>
      </c>
      <c r="E453" s="91"/>
      <c r="F453" s="119" t="s">
        <v>359</v>
      </c>
      <c r="G453" s="92">
        <f>SUM(G454)</f>
        <v>0</v>
      </c>
      <c r="H453" s="92">
        <f>SUM(H454)</f>
        <v>0</v>
      </c>
      <c r="I453" s="92">
        <f t="shared" si="19"/>
        <v>0</v>
      </c>
      <c r="J453" s="92"/>
    </row>
    <row r="454" spans="1:10" x14ac:dyDescent="0.2">
      <c r="A454" s="107">
        <v>2</v>
      </c>
      <c r="B454" s="95">
        <v>6</v>
      </c>
      <c r="C454" s="95">
        <v>9</v>
      </c>
      <c r="D454" s="95">
        <v>3</v>
      </c>
      <c r="E454" s="96" t="s">
        <v>35</v>
      </c>
      <c r="F454" s="102" t="s">
        <v>359</v>
      </c>
      <c r="G454" s="97">
        <f>'[1]CUENTA T FONDO 100'!IL461</f>
        <v>0</v>
      </c>
      <c r="H454" s="97">
        <f>'[1]CUENTA T VS'!IL225</f>
        <v>0</v>
      </c>
      <c r="I454" s="97">
        <f t="shared" si="19"/>
        <v>0</v>
      </c>
      <c r="J454" s="98">
        <f>I454/$I$25</f>
        <v>0</v>
      </c>
    </row>
    <row r="455" spans="1:10" x14ac:dyDescent="0.2">
      <c r="A455" s="105">
        <v>2</v>
      </c>
      <c r="B455" s="91">
        <v>6</v>
      </c>
      <c r="C455" s="91">
        <v>9</v>
      </c>
      <c r="D455" s="91">
        <v>4</v>
      </c>
      <c r="E455" s="91"/>
      <c r="F455" s="119" t="s">
        <v>360</v>
      </c>
      <c r="G455" s="92">
        <f>SUM(G456)</f>
        <v>0</v>
      </c>
      <c r="H455" s="92">
        <f>SUM(H456)</f>
        <v>0</v>
      </c>
      <c r="I455" s="92">
        <f t="shared" si="19"/>
        <v>0</v>
      </c>
      <c r="J455" s="93"/>
    </row>
    <row r="456" spans="1:10" x14ac:dyDescent="0.2">
      <c r="A456" s="107">
        <v>2</v>
      </c>
      <c r="B456" s="95">
        <v>6</v>
      </c>
      <c r="C456" s="95">
        <v>9</v>
      </c>
      <c r="D456" s="95">
        <v>4</v>
      </c>
      <c r="E456" s="96" t="s">
        <v>35</v>
      </c>
      <c r="F456" s="102" t="s">
        <v>360</v>
      </c>
      <c r="G456" s="97">
        <f>'[1]CUENTA T FONDO 100'!IM461</f>
        <v>0</v>
      </c>
      <c r="H456" s="97">
        <f>'[1]CUENTA T VS'!IM225</f>
        <v>0</v>
      </c>
      <c r="I456" s="97">
        <f t="shared" si="19"/>
        <v>0</v>
      </c>
      <c r="J456" s="98">
        <f>I456/$I$25</f>
        <v>0</v>
      </c>
    </row>
    <row r="457" spans="1:10" x14ac:dyDescent="0.2">
      <c r="A457" s="105">
        <v>2</v>
      </c>
      <c r="B457" s="91">
        <v>6</v>
      </c>
      <c r="C457" s="91">
        <v>9</v>
      </c>
      <c r="D457" s="91">
        <v>5</v>
      </c>
      <c r="E457" s="91"/>
      <c r="F457" s="119" t="s">
        <v>361</v>
      </c>
      <c r="G457" s="92">
        <f>SUM(G458:G460)</f>
        <v>0</v>
      </c>
      <c r="H457" s="92">
        <f>SUM(H458:H460)</f>
        <v>0</v>
      </c>
      <c r="I457" s="92">
        <f t="shared" si="19"/>
        <v>0</v>
      </c>
      <c r="J457" s="93"/>
    </row>
    <row r="458" spans="1:10" x14ac:dyDescent="0.2">
      <c r="A458" s="107">
        <v>2</v>
      </c>
      <c r="B458" s="95">
        <v>6</v>
      </c>
      <c r="C458" s="95">
        <v>9</v>
      </c>
      <c r="D458" s="95">
        <v>5</v>
      </c>
      <c r="E458" s="96" t="s">
        <v>35</v>
      </c>
      <c r="F458" s="102" t="s">
        <v>362</v>
      </c>
      <c r="G458" s="97">
        <f>'[1]CUENTA T FONDO 100'!IN461</f>
        <v>0</v>
      </c>
      <c r="H458" s="97">
        <f>'[1]CUENTA T VS'!IN225</f>
        <v>0</v>
      </c>
      <c r="I458" s="97">
        <f t="shared" si="19"/>
        <v>0</v>
      </c>
      <c r="J458" s="98">
        <f>I458/$I$25</f>
        <v>0</v>
      </c>
    </row>
    <row r="459" spans="1:10" x14ac:dyDescent="0.2">
      <c r="A459" s="107">
        <v>2</v>
      </c>
      <c r="B459" s="95">
        <v>6</v>
      </c>
      <c r="C459" s="95">
        <v>9</v>
      </c>
      <c r="D459" s="95">
        <v>5</v>
      </c>
      <c r="E459" s="96" t="s">
        <v>37</v>
      </c>
      <c r="F459" s="102" t="s">
        <v>363</v>
      </c>
      <c r="G459" s="97">
        <f>'[1]CUENTA T FONDO 100'!IO461</f>
        <v>0</v>
      </c>
      <c r="H459" s="97">
        <f>'[1]CUENTA T VS'!IO225</f>
        <v>0</v>
      </c>
      <c r="I459" s="97">
        <f t="shared" si="19"/>
        <v>0</v>
      </c>
      <c r="J459" s="98">
        <f>I459/$I$25</f>
        <v>0</v>
      </c>
    </row>
    <row r="460" spans="1:10" x14ac:dyDescent="0.2">
      <c r="A460" s="107">
        <v>2</v>
      </c>
      <c r="B460" s="95">
        <v>6</v>
      </c>
      <c r="C460" s="95">
        <v>9</v>
      </c>
      <c r="D460" s="95">
        <v>5</v>
      </c>
      <c r="E460" s="96" t="s">
        <v>39</v>
      </c>
      <c r="F460" s="102" t="s">
        <v>364</v>
      </c>
      <c r="G460" s="97">
        <f>'[1]CUENTA T FONDO 100'!IP461</f>
        <v>0</v>
      </c>
      <c r="H460" s="97">
        <f>'[1]CUENTA T VS'!IP225</f>
        <v>0</v>
      </c>
      <c r="I460" s="97">
        <f t="shared" si="19"/>
        <v>0</v>
      </c>
      <c r="J460" s="98">
        <f>I460/$I$25</f>
        <v>0</v>
      </c>
    </row>
    <row r="461" spans="1:10" x14ac:dyDescent="0.2">
      <c r="A461" s="105">
        <v>2</v>
      </c>
      <c r="B461" s="91">
        <v>6</v>
      </c>
      <c r="C461" s="91">
        <v>9</v>
      </c>
      <c r="D461" s="91">
        <v>9</v>
      </c>
      <c r="E461" s="91"/>
      <c r="F461" s="119" t="s">
        <v>365</v>
      </c>
      <c r="G461" s="92">
        <f>SUM(G462)</f>
        <v>0</v>
      </c>
      <c r="H461" s="92">
        <f>SUM(H462)</f>
        <v>0</v>
      </c>
      <c r="I461" s="92">
        <f t="shared" si="19"/>
        <v>0</v>
      </c>
      <c r="J461" s="93"/>
    </row>
    <row r="462" spans="1:10" x14ac:dyDescent="0.2">
      <c r="A462" s="107">
        <v>2</v>
      </c>
      <c r="B462" s="95">
        <v>6</v>
      </c>
      <c r="C462" s="95">
        <v>9</v>
      </c>
      <c r="D462" s="95">
        <v>9</v>
      </c>
      <c r="E462" s="96" t="s">
        <v>35</v>
      </c>
      <c r="F462" s="102" t="s">
        <v>365</v>
      </c>
      <c r="G462" s="97">
        <f>'[1]CUENTA T FONDO 100'!IQ461</f>
        <v>0</v>
      </c>
      <c r="H462" s="97">
        <f>'[1]CUENTA T VS'!IQ225</f>
        <v>0</v>
      </c>
      <c r="I462" s="97">
        <f t="shared" si="19"/>
        <v>0</v>
      </c>
      <c r="J462" s="98">
        <f>I462/$I$25</f>
        <v>0</v>
      </c>
    </row>
    <row r="463" spans="1:10" x14ac:dyDescent="0.2">
      <c r="A463" s="103">
        <v>2</v>
      </c>
      <c r="B463" s="88">
        <v>7</v>
      </c>
      <c r="C463" s="88"/>
      <c r="D463" s="88"/>
      <c r="E463" s="88"/>
      <c r="F463" s="118" t="s">
        <v>366</v>
      </c>
      <c r="G463" s="89">
        <f>G464+G473+G492+G497</f>
        <v>0</v>
      </c>
      <c r="H463" s="89">
        <f>H464+H473+H492+H497</f>
        <v>0</v>
      </c>
      <c r="I463" s="89">
        <f t="shared" si="19"/>
        <v>0</v>
      </c>
      <c r="J463" s="86">
        <f>I463/$I$25</f>
        <v>0</v>
      </c>
    </row>
    <row r="464" spans="1:10" x14ac:dyDescent="0.2">
      <c r="A464" s="103">
        <v>2</v>
      </c>
      <c r="B464" s="88">
        <v>7</v>
      </c>
      <c r="C464" s="88">
        <v>1</v>
      </c>
      <c r="D464" s="88"/>
      <c r="E464" s="88"/>
      <c r="F464" s="118" t="s">
        <v>367</v>
      </c>
      <c r="G464" s="89">
        <f>+G465+G467+G469+G471</f>
        <v>0</v>
      </c>
      <c r="H464" s="89">
        <f>+H465+H467+H469+H471</f>
        <v>0</v>
      </c>
      <c r="I464" s="89">
        <f t="shared" si="19"/>
        <v>0</v>
      </c>
      <c r="J464" s="86"/>
    </row>
    <row r="465" spans="1:10" x14ac:dyDescent="0.2">
      <c r="A465" s="105">
        <v>2</v>
      </c>
      <c r="B465" s="91">
        <v>7</v>
      </c>
      <c r="C465" s="91">
        <v>1</v>
      </c>
      <c r="D465" s="91">
        <v>1</v>
      </c>
      <c r="E465" s="110"/>
      <c r="F465" s="119" t="s">
        <v>368</v>
      </c>
      <c r="G465" s="92">
        <f>+G466</f>
        <v>0</v>
      </c>
      <c r="H465" s="92">
        <f>+H466</f>
        <v>0</v>
      </c>
      <c r="I465" s="92">
        <f t="shared" si="19"/>
        <v>0</v>
      </c>
      <c r="J465" s="93"/>
    </row>
    <row r="466" spans="1:10" x14ac:dyDescent="0.2">
      <c r="A466" s="107">
        <v>2</v>
      </c>
      <c r="B466" s="95">
        <v>7</v>
      </c>
      <c r="C466" s="95">
        <v>1</v>
      </c>
      <c r="D466" s="95">
        <v>1</v>
      </c>
      <c r="E466" s="95" t="s">
        <v>324</v>
      </c>
      <c r="F466" s="102" t="s">
        <v>368</v>
      </c>
      <c r="G466" s="97">
        <f>'[1]CUENTA T FONDO 100'!IR461</f>
        <v>0</v>
      </c>
      <c r="H466" s="97">
        <f>'[1]CUENTA T VS'!IR225</f>
        <v>0</v>
      </c>
      <c r="I466" s="97">
        <f t="shared" si="19"/>
        <v>0</v>
      </c>
      <c r="J466" s="98">
        <f>I466/$I$25</f>
        <v>0</v>
      </c>
    </row>
    <row r="467" spans="1:10" x14ac:dyDescent="0.2">
      <c r="A467" s="105">
        <v>2</v>
      </c>
      <c r="B467" s="91">
        <v>7</v>
      </c>
      <c r="C467" s="91">
        <v>1</v>
      </c>
      <c r="D467" s="91">
        <v>2</v>
      </c>
      <c r="E467" s="110"/>
      <c r="F467" s="119" t="s">
        <v>369</v>
      </c>
      <c r="G467" s="92">
        <f>+G468</f>
        <v>0</v>
      </c>
      <c r="H467" s="92">
        <f>+H468</f>
        <v>0</v>
      </c>
      <c r="I467" s="92">
        <f t="shared" si="19"/>
        <v>0</v>
      </c>
      <c r="J467" s="93"/>
    </row>
    <row r="468" spans="1:10" x14ac:dyDescent="0.2">
      <c r="A468" s="107">
        <v>2</v>
      </c>
      <c r="B468" s="95">
        <v>7</v>
      </c>
      <c r="C468" s="95">
        <v>1</v>
      </c>
      <c r="D468" s="95">
        <v>2</v>
      </c>
      <c r="E468" s="95" t="s">
        <v>324</v>
      </c>
      <c r="F468" s="102" t="s">
        <v>369</v>
      </c>
      <c r="G468" s="97">
        <f>'[1]CUENTA T FONDO 100'!IS461</f>
        <v>0</v>
      </c>
      <c r="H468" s="97">
        <f>'[1]CUENTA T VS'!IS225</f>
        <v>0</v>
      </c>
      <c r="I468" s="97">
        <f t="shared" si="19"/>
        <v>0</v>
      </c>
      <c r="J468" s="98">
        <f>I468/$I$25</f>
        <v>0</v>
      </c>
    </row>
    <row r="469" spans="1:10" x14ac:dyDescent="0.2">
      <c r="A469" s="105">
        <v>2</v>
      </c>
      <c r="B469" s="91">
        <v>7</v>
      </c>
      <c r="C469" s="91">
        <v>1</v>
      </c>
      <c r="D469" s="91">
        <v>3</v>
      </c>
      <c r="E469" s="110"/>
      <c r="F469" s="119" t="s">
        <v>370</v>
      </c>
      <c r="G469" s="92">
        <f>+G470</f>
        <v>0</v>
      </c>
      <c r="H469" s="92">
        <f>+H470</f>
        <v>0</v>
      </c>
      <c r="I469" s="92">
        <f t="shared" si="19"/>
        <v>0</v>
      </c>
      <c r="J469" s="93"/>
    </row>
    <row r="470" spans="1:10" x14ac:dyDescent="0.2">
      <c r="A470" s="107">
        <v>2</v>
      </c>
      <c r="B470" s="95">
        <v>7</v>
      </c>
      <c r="C470" s="95">
        <v>1</v>
      </c>
      <c r="D470" s="95">
        <v>3</v>
      </c>
      <c r="E470" s="95" t="s">
        <v>324</v>
      </c>
      <c r="F470" s="102" t="s">
        <v>370</v>
      </c>
      <c r="G470" s="97">
        <f>'[1]CUENTA T FONDO 100'!IT461</f>
        <v>0</v>
      </c>
      <c r="H470" s="97">
        <f>'[1]CUENTA T VS'!IT225</f>
        <v>0</v>
      </c>
      <c r="I470" s="97">
        <f t="shared" si="19"/>
        <v>0</v>
      </c>
      <c r="J470" s="98">
        <f>I470/$I$25</f>
        <v>0</v>
      </c>
    </row>
    <row r="471" spans="1:10" x14ac:dyDescent="0.2">
      <c r="A471" s="105">
        <v>2</v>
      </c>
      <c r="B471" s="91">
        <v>7</v>
      </c>
      <c r="C471" s="91">
        <v>1</v>
      </c>
      <c r="D471" s="91">
        <v>4</v>
      </c>
      <c r="E471" s="110"/>
      <c r="F471" s="119" t="s">
        <v>371</v>
      </c>
      <c r="G471" s="92">
        <f>+G472</f>
        <v>0</v>
      </c>
      <c r="H471" s="92">
        <f>+H472</f>
        <v>0</v>
      </c>
      <c r="I471" s="92">
        <f t="shared" si="19"/>
        <v>0</v>
      </c>
      <c r="J471" s="93"/>
    </row>
    <row r="472" spans="1:10" x14ac:dyDescent="0.2">
      <c r="A472" s="107">
        <v>2</v>
      </c>
      <c r="B472" s="95">
        <v>7</v>
      </c>
      <c r="C472" s="95">
        <v>1</v>
      </c>
      <c r="D472" s="95">
        <v>4</v>
      </c>
      <c r="E472" s="95" t="s">
        <v>324</v>
      </c>
      <c r="F472" s="102" t="s">
        <v>371</v>
      </c>
      <c r="G472" s="97">
        <f>'[1]CUENTA T FONDO 100'!IU461</f>
        <v>0</v>
      </c>
      <c r="H472" s="97">
        <f>'[1]CUENTA T VS'!IU225</f>
        <v>0</v>
      </c>
      <c r="I472" s="97">
        <f t="shared" si="19"/>
        <v>0</v>
      </c>
      <c r="J472" s="98">
        <f>I472/$I$25</f>
        <v>0</v>
      </c>
    </row>
    <row r="473" spans="1:10" x14ac:dyDescent="0.2">
      <c r="A473" s="103">
        <v>2</v>
      </c>
      <c r="B473" s="88">
        <v>7</v>
      </c>
      <c r="C473" s="88">
        <v>2</v>
      </c>
      <c r="D473" s="88"/>
      <c r="E473" s="88"/>
      <c r="F473" s="118" t="s">
        <v>372</v>
      </c>
      <c r="G473" s="89">
        <f>+G474+G476+G478+G480+G482+G484+G486+G488+G490</f>
        <v>0</v>
      </c>
      <c r="H473" s="89">
        <f>+H474+H476+H478+H480+H482+H484+H486+H488+H490</f>
        <v>0</v>
      </c>
      <c r="I473" s="89">
        <f t="shared" ref="I473:I501" si="22">SUM(G473:H473)</f>
        <v>0</v>
      </c>
      <c r="J473" s="86"/>
    </row>
    <row r="474" spans="1:10" x14ac:dyDescent="0.2">
      <c r="A474" s="105">
        <v>2</v>
      </c>
      <c r="B474" s="91">
        <v>7</v>
      </c>
      <c r="C474" s="91">
        <v>2</v>
      </c>
      <c r="D474" s="91">
        <v>1</v>
      </c>
      <c r="E474" s="110"/>
      <c r="F474" s="119" t="s">
        <v>373</v>
      </c>
      <c r="G474" s="92">
        <f>+G475</f>
        <v>0</v>
      </c>
      <c r="H474" s="92">
        <f>+H475</f>
        <v>0</v>
      </c>
      <c r="I474" s="92">
        <f t="shared" si="22"/>
        <v>0</v>
      </c>
      <c r="J474" s="93"/>
    </row>
    <row r="475" spans="1:10" x14ac:dyDescent="0.2">
      <c r="A475" s="107">
        <v>2</v>
      </c>
      <c r="B475" s="95">
        <v>7</v>
      </c>
      <c r="C475" s="95">
        <v>2</v>
      </c>
      <c r="D475" s="95">
        <v>1</v>
      </c>
      <c r="E475" s="95" t="s">
        <v>324</v>
      </c>
      <c r="F475" s="102" t="s">
        <v>373</v>
      </c>
      <c r="G475" s="97">
        <f>'[1]CUENTA T FONDO 100'!IV461</f>
        <v>0</v>
      </c>
      <c r="H475" s="97">
        <f>'[1]CUENTA T VS'!IV225</f>
        <v>0</v>
      </c>
      <c r="I475" s="97">
        <f t="shared" si="22"/>
        <v>0</v>
      </c>
      <c r="J475" s="98">
        <f>I475/$I$25</f>
        <v>0</v>
      </c>
    </row>
    <row r="476" spans="1:10" x14ac:dyDescent="0.2">
      <c r="A476" s="105">
        <v>2</v>
      </c>
      <c r="B476" s="91">
        <v>7</v>
      </c>
      <c r="C476" s="91">
        <v>2</v>
      </c>
      <c r="D476" s="91">
        <v>2</v>
      </c>
      <c r="E476" s="110"/>
      <c r="F476" s="119" t="s">
        <v>374</v>
      </c>
      <c r="G476" s="92">
        <f>+G477</f>
        <v>0</v>
      </c>
      <c r="H476" s="92">
        <f>+H477</f>
        <v>0</v>
      </c>
      <c r="I476" s="92">
        <f t="shared" si="22"/>
        <v>0</v>
      </c>
      <c r="J476" s="93"/>
    </row>
    <row r="477" spans="1:10" x14ac:dyDescent="0.2">
      <c r="A477" s="107">
        <v>2</v>
      </c>
      <c r="B477" s="95">
        <v>7</v>
      </c>
      <c r="C477" s="95">
        <v>2</v>
      </c>
      <c r="D477" s="95">
        <v>2</v>
      </c>
      <c r="E477" s="95" t="s">
        <v>324</v>
      </c>
      <c r="F477" s="102" t="s">
        <v>374</v>
      </c>
      <c r="G477" s="97">
        <f>'[1]CUENTA T FONDO 100'!IW461</f>
        <v>0</v>
      </c>
      <c r="H477" s="97">
        <f>'[1]CUENTA T VS'!IW225</f>
        <v>0</v>
      </c>
      <c r="I477" s="97">
        <f t="shared" si="22"/>
        <v>0</v>
      </c>
      <c r="J477" s="98">
        <f>I477/$I$25</f>
        <v>0</v>
      </c>
    </row>
    <row r="478" spans="1:10" x14ac:dyDescent="0.2">
      <c r="A478" s="105">
        <v>2</v>
      </c>
      <c r="B478" s="91">
        <v>7</v>
      </c>
      <c r="C478" s="91">
        <v>2</v>
      </c>
      <c r="D478" s="91">
        <v>3</v>
      </c>
      <c r="E478" s="110"/>
      <c r="F478" s="119" t="s">
        <v>375</v>
      </c>
      <c r="G478" s="92">
        <f>+G479</f>
        <v>0</v>
      </c>
      <c r="H478" s="92">
        <f>+H479</f>
        <v>0</v>
      </c>
      <c r="I478" s="92">
        <f t="shared" si="22"/>
        <v>0</v>
      </c>
      <c r="J478" s="93"/>
    </row>
    <row r="479" spans="1:10" x14ac:dyDescent="0.2">
      <c r="A479" s="107">
        <v>2</v>
      </c>
      <c r="B479" s="95">
        <v>7</v>
      </c>
      <c r="C479" s="95">
        <v>2</v>
      </c>
      <c r="D479" s="95">
        <v>3</v>
      </c>
      <c r="E479" s="95" t="s">
        <v>324</v>
      </c>
      <c r="F479" s="102" t="s">
        <v>375</v>
      </c>
      <c r="G479" s="97">
        <f>'[1]CUENTA T FONDO 100'!IX461</f>
        <v>0</v>
      </c>
      <c r="H479" s="97">
        <f>'[1]CUENTA T VS'!IX225</f>
        <v>0</v>
      </c>
      <c r="I479" s="97">
        <f t="shared" si="22"/>
        <v>0</v>
      </c>
      <c r="J479" s="98">
        <f>I479/$I$25</f>
        <v>0</v>
      </c>
    </row>
    <row r="480" spans="1:10" x14ac:dyDescent="0.2">
      <c r="A480" s="105">
        <v>2</v>
      </c>
      <c r="B480" s="91">
        <v>7</v>
      </c>
      <c r="C480" s="91">
        <v>2</v>
      </c>
      <c r="D480" s="91">
        <v>4</v>
      </c>
      <c r="E480" s="110"/>
      <c r="F480" s="119" t="s">
        <v>376</v>
      </c>
      <c r="G480" s="92">
        <f>+G481</f>
        <v>0</v>
      </c>
      <c r="H480" s="92">
        <f>+H481</f>
        <v>0</v>
      </c>
      <c r="I480" s="92">
        <f t="shared" si="22"/>
        <v>0</v>
      </c>
      <c r="J480" s="93"/>
    </row>
    <row r="481" spans="1:10" x14ac:dyDescent="0.2">
      <c r="A481" s="107">
        <v>2</v>
      </c>
      <c r="B481" s="95">
        <v>7</v>
      </c>
      <c r="C481" s="95">
        <v>2</v>
      </c>
      <c r="D481" s="95">
        <v>4</v>
      </c>
      <c r="E481" s="95" t="s">
        <v>324</v>
      </c>
      <c r="F481" s="102" t="s">
        <v>376</v>
      </c>
      <c r="G481" s="97">
        <f>'[1]CUENTA T FONDO 100'!IY461</f>
        <v>0</v>
      </c>
      <c r="H481" s="97">
        <f>'[1]CUENTA T VS'!IY225</f>
        <v>0</v>
      </c>
      <c r="I481" s="97">
        <f t="shared" si="22"/>
        <v>0</v>
      </c>
      <c r="J481" s="98">
        <f>I481/$I$25</f>
        <v>0</v>
      </c>
    </row>
    <row r="482" spans="1:10" x14ac:dyDescent="0.2">
      <c r="A482" s="105">
        <v>2</v>
      </c>
      <c r="B482" s="91">
        <v>7</v>
      </c>
      <c r="C482" s="91">
        <v>2</v>
      </c>
      <c r="D482" s="91">
        <v>5</v>
      </c>
      <c r="E482" s="110"/>
      <c r="F482" s="119" t="s">
        <v>377</v>
      </c>
      <c r="G482" s="92">
        <f>+G483</f>
        <v>0</v>
      </c>
      <c r="H482" s="92">
        <f>+H483</f>
        <v>0</v>
      </c>
      <c r="I482" s="92">
        <f t="shared" si="22"/>
        <v>0</v>
      </c>
      <c r="J482" s="93"/>
    </row>
    <row r="483" spans="1:10" x14ac:dyDescent="0.2">
      <c r="A483" s="107">
        <v>2</v>
      </c>
      <c r="B483" s="95">
        <v>7</v>
      </c>
      <c r="C483" s="95">
        <v>2</v>
      </c>
      <c r="D483" s="95">
        <v>5</v>
      </c>
      <c r="E483" s="95" t="s">
        <v>324</v>
      </c>
      <c r="F483" s="102" t="s">
        <v>377</v>
      </c>
      <c r="G483" s="97">
        <f>'[1]CUENTA T FONDO 100'!IZ461</f>
        <v>0</v>
      </c>
      <c r="H483" s="97">
        <f>'[1]CUENTA T VS'!IZ225</f>
        <v>0</v>
      </c>
      <c r="I483" s="97">
        <f t="shared" si="22"/>
        <v>0</v>
      </c>
      <c r="J483" s="98">
        <f>I483/$I$25</f>
        <v>0</v>
      </c>
    </row>
    <row r="484" spans="1:10" x14ac:dyDescent="0.2">
      <c r="A484" s="105">
        <v>2</v>
      </c>
      <c r="B484" s="91">
        <v>7</v>
      </c>
      <c r="C484" s="91">
        <v>2</v>
      </c>
      <c r="D484" s="91">
        <v>6</v>
      </c>
      <c r="E484" s="110"/>
      <c r="F484" s="119" t="s">
        <v>378</v>
      </c>
      <c r="G484" s="92">
        <f>+G485</f>
        <v>0</v>
      </c>
      <c r="H484" s="92">
        <f>+H485</f>
        <v>0</v>
      </c>
      <c r="I484" s="92">
        <f t="shared" si="22"/>
        <v>0</v>
      </c>
      <c r="J484" s="93"/>
    </row>
    <row r="485" spans="1:10" x14ac:dyDescent="0.2">
      <c r="A485" s="107">
        <v>2</v>
      </c>
      <c r="B485" s="95">
        <v>7</v>
      </c>
      <c r="C485" s="95">
        <v>2</v>
      </c>
      <c r="D485" s="95">
        <v>6</v>
      </c>
      <c r="E485" s="95" t="s">
        <v>324</v>
      </c>
      <c r="F485" s="102" t="s">
        <v>378</v>
      </c>
      <c r="G485" s="97">
        <f>'[1]CUENTA T FONDO 100'!JA461</f>
        <v>0</v>
      </c>
      <c r="H485" s="97">
        <f>'[1]CUENTA T VS'!JA225</f>
        <v>0</v>
      </c>
      <c r="I485" s="97">
        <f t="shared" si="22"/>
        <v>0</v>
      </c>
      <c r="J485" s="98">
        <f>I485/$I$25</f>
        <v>0</v>
      </c>
    </row>
    <row r="486" spans="1:10" x14ac:dyDescent="0.2">
      <c r="A486" s="105">
        <v>2</v>
      </c>
      <c r="B486" s="91">
        <v>7</v>
      </c>
      <c r="C486" s="91">
        <v>2</v>
      </c>
      <c r="D486" s="91">
        <v>7</v>
      </c>
      <c r="E486" s="110"/>
      <c r="F486" s="119" t="s">
        <v>379</v>
      </c>
      <c r="G486" s="92">
        <f>+G487</f>
        <v>0</v>
      </c>
      <c r="H486" s="92">
        <f>+H487</f>
        <v>0</v>
      </c>
      <c r="I486" s="92">
        <f t="shared" si="22"/>
        <v>0</v>
      </c>
      <c r="J486" s="93"/>
    </row>
    <row r="487" spans="1:10" x14ac:dyDescent="0.2">
      <c r="A487" s="107">
        <v>2</v>
      </c>
      <c r="B487" s="95">
        <v>7</v>
      </c>
      <c r="C487" s="95">
        <v>2</v>
      </c>
      <c r="D487" s="95">
        <v>7</v>
      </c>
      <c r="E487" s="95" t="s">
        <v>324</v>
      </c>
      <c r="F487" s="102" t="s">
        <v>379</v>
      </c>
      <c r="G487" s="97">
        <f>'[1]CUENTA T FONDO 100'!JB461</f>
        <v>0</v>
      </c>
      <c r="H487" s="97">
        <f>'[1]CUENTA T VS'!JB225</f>
        <v>0</v>
      </c>
      <c r="I487" s="97">
        <f t="shared" si="22"/>
        <v>0</v>
      </c>
      <c r="J487" s="98">
        <f>I487/$I$25</f>
        <v>0</v>
      </c>
    </row>
    <row r="488" spans="1:10" x14ac:dyDescent="0.2">
      <c r="A488" s="105">
        <v>2</v>
      </c>
      <c r="B488" s="91">
        <v>7</v>
      </c>
      <c r="C488" s="91">
        <v>2</v>
      </c>
      <c r="D488" s="91">
        <v>8</v>
      </c>
      <c r="E488" s="110"/>
      <c r="F488" s="119" t="s">
        <v>380</v>
      </c>
      <c r="G488" s="92">
        <f>+G489</f>
        <v>0</v>
      </c>
      <c r="H488" s="92">
        <f>+H489</f>
        <v>0</v>
      </c>
      <c r="I488" s="92">
        <f t="shared" si="22"/>
        <v>0</v>
      </c>
      <c r="J488" s="93"/>
    </row>
    <row r="489" spans="1:10" x14ac:dyDescent="0.2">
      <c r="A489" s="107">
        <v>2</v>
      </c>
      <c r="B489" s="95">
        <v>7</v>
      </c>
      <c r="C489" s="95">
        <v>2</v>
      </c>
      <c r="D489" s="95">
        <v>8</v>
      </c>
      <c r="E489" s="95" t="s">
        <v>324</v>
      </c>
      <c r="F489" s="102" t="s">
        <v>380</v>
      </c>
      <c r="G489" s="97">
        <f>'[1]CUENTA T FONDO 100'!JC461</f>
        <v>0</v>
      </c>
      <c r="H489" s="97">
        <f>'[1]CUENTA T VS'!JC225</f>
        <v>0</v>
      </c>
      <c r="I489" s="97">
        <f t="shared" si="22"/>
        <v>0</v>
      </c>
      <c r="J489" s="98">
        <f>I489/$I$25</f>
        <v>0</v>
      </c>
    </row>
    <row r="490" spans="1:10" x14ac:dyDescent="0.2">
      <c r="A490" s="105">
        <v>2</v>
      </c>
      <c r="B490" s="91">
        <v>7</v>
      </c>
      <c r="C490" s="91">
        <v>2</v>
      </c>
      <c r="D490" s="91">
        <v>9</v>
      </c>
      <c r="E490" s="110"/>
      <c r="F490" s="119" t="s">
        <v>381</v>
      </c>
      <c r="G490" s="92">
        <f>+G491</f>
        <v>0</v>
      </c>
      <c r="H490" s="92">
        <f>+H491</f>
        <v>0</v>
      </c>
      <c r="I490" s="92">
        <f t="shared" si="22"/>
        <v>0</v>
      </c>
      <c r="J490" s="93"/>
    </row>
    <row r="491" spans="1:10" x14ac:dyDescent="0.2">
      <c r="A491" s="107">
        <v>2</v>
      </c>
      <c r="B491" s="95">
        <v>7</v>
      </c>
      <c r="C491" s="95">
        <v>2</v>
      </c>
      <c r="D491" s="95">
        <v>9</v>
      </c>
      <c r="E491" s="95" t="s">
        <v>324</v>
      </c>
      <c r="F491" s="102" t="s">
        <v>381</v>
      </c>
      <c r="G491" s="97">
        <f>'[1]CUENTA T FONDO 100'!JD461</f>
        <v>0</v>
      </c>
      <c r="H491" s="97">
        <f>'[1]CUENTA T VS'!JD225</f>
        <v>0</v>
      </c>
      <c r="I491" s="97">
        <f t="shared" si="22"/>
        <v>0</v>
      </c>
      <c r="J491" s="98">
        <f>I491/$I$25</f>
        <v>0</v>
      </c>
    </row>
    <row r="492" spans="1:10" x14ac:dyDescent="0.2">
      <c r="A492" s="103">
        <v>2</v>
      </c>
      <c r="B492" s="88">
        <v>7</v>
      </c>
      <c r="C492" s="88">
        <v>3</v>
      </c>
      <c r="D492" s="88"/>
      <c r="E492" s="88"/>
      <c r="F492" s="118" t="s">
        <v>382</v>
      </c>
      <c r="G492" s="89">
        <f>+G493+G495</f>
        <v>0</v>
      </c>
      <c r="H492" s="89">
        <f>+H493+H495</f>
        <v>0</v>
      </c>
      <c r="I492" s="89">
        <f t="shared" si="22"/>
        <v>0</v>
      </c>
      <c r="J492" s="86"/>
    </row>
    <row r="493" spans="1:10" x14ac:dyDescent="0.2">
      <c r="A493" s="105">
        <v>2</v>
      </c>
      <c r="B493" s="91">
        <v>7</v>
      </c>
      <c r="C493" s="91">
        <v>3</v>
      </c>
      <c r="D493" s="91">
        <v>1</v>
      </c>
      <c r="E493" s="110"/>
      <c r="F493" s="119" t="s">
        <v>383</v>
      </c>
      <c r="G493" s="92">
        <f>+G494</f>
        <v>0</v>
      </c>
      <c r="H493" s="92">
        <f>+H494</f>
        <v>0</v>
      </c>
      <c r="I493" s="92">
        <f t="shared" si="22"/>
        <v>0</v>
      </c>
      <c r="J493" s="93"/>
    </row>
    <row r="494" spans="1:10" x14ac:dyDescent="0.2">
      <c r="A494" s="107">
        <v>2</v>
      </c>
      <c r="B494" s="95">
        <v>7</v>
      </c>
      <c r="C494" s="95">
        <v>3</v>
      </c>
      <c r="D494" s="95">
        <v>1</v>
      </c>
      <c r="E494" s="95" t="s">
        <v>324</v>
      </c>
      <c r="F494" s="102" t="s">
        <v>383</v>
      </c>
      <c r="G494" s="97">
        <f>'[1]CUENTA T FONDO 100'!JE461</f>
        <v>0</v>
      </c>
      <c r="H494" s="97">
        <f>'[1]CUENTA T VS'!JE225</f>
        <v>0</v>
      </c>
      <c r="I494" s="97">
        <f t="shared" si="22"/>
        <v>0</v>
      </c>
      <c r="J494" s="98">
        <f>I494/$I$25</f>
        <v>0</v>
      </c>
    </row>
    <row r="495" spans="1:10" x14ac:dyDescent="0.2">
      <c r="A495" s="105">
        <v>2</v>
      </c>
      <c r="B495" s="91">
        <v>7</v>
      </c>
      <c r="C495" s="91">
        <v>3</v>
      </c>
      <c r="D495" s="91">
        <v>2</v>
      </c>
      <c r="E495" s="110"/>
      <c r="F495" s="119" t="s">
        <v>384</v>
      </c>
      <c r="G495" s="92">
        <f>+G496</f>
        <v>0</v>
      </c>
      <c r="H495" s="92">
        <f>+H496</f>
        <v>0</v>
      </c>
      <c r="I495" s="92">
        <f t="shared" si="22"/>
        <v>0</v>
      </c>
      <c r="J495" s="93"/>
    </row>
    <row r="496" spans="1:10" x14ac:dyDescent="0.2">
      <c r="A496" s="107">
        <v>2</v>
      </c>
      <c r="B496" s="95">
        <v>7</v>
      </c>
      <c r="C496" s="95">
        <v>3</v>
      </c>
      <c r="D496" s="95">
        <v>2</v>
      </c>
      <c r="E496" s="95" t="s">
        <v>324</v>
      </c>
      <c r="F496" s="102" t="s">
        <v>384</v>
      </c>
      <c r="G496" s="97">
        <f>'[1]CUENTA T FONDO 100'!JF461</f>
        <v>0</v>
      </c>
      <c r="H496" s="97">
        <f>'[1]CUENTA T VS'!JF225</f>
        <v>0</v>
      </c>
      <c r="I496" s="97">
        <f t="shared" si="22"/>
        <v>0</v>
      </c>
      <c r="J496" s="98">
        <f>I496/$I$25</f>
        <v>0</v>
      </c>
    </row>
    <row r="497" spans="1:10" ht="25.5" x14ac:dyDescent="0.2">
      <c r="A497" s="103">
        <v>2</v>
      </c>
      <c r="B497" s="88">
        <v>7</v>
      </c>
      <c r="C497" s="88">
        <v>4</v>
      </c>
      <c r="D497" s="88"/>
      <c r="E497" s="88"/>
      <c r="F497" s="118" t="s">
        <v>385</v>
      </c>
      <c r="G497" s="89">
        <f>+G498+G500</f>
        <v>0</v>
      </c>
      <c r="H497" s="89">
        <f>+H498+H500</f>
        <v>0</v>
      </c>
      <c r="I497" s="89">
        <f t="shared" si="22"/>
        <v>0</v>
      </c>
      <c r="J497" s="86"/>
    </row>
    <row r="498" spans="1:10" x14ac:dyDescent="0.2">
      <c r="A498" s="105">
        <v>2</v>
      </c>
      <c r="B498" s="91">
        <v>7</v>
      </c>
      <c r="C498" s="91">
        <v>4</v>
      </c>
      <c r="D498" s="91">
        <v>1</v>
      </c>
      <c r="E498" s="110"/>
      <c r="F498" s="119" t="s">
        <v>386</v>
      </c>
      <c r="G498" s="92">
        <f>+G499</f>
        <v>0</v>
      </c>
      <c r="H498" s="92">
        <f>+H499</f>
        <v>0</v>
      </c>
      <c r="I498" s="92">
        <f t="shared" si="22"/>
        <v>0</v>
      </c>
      <c r="J498" s="93"/>
    </row>
    <row r="499" spans="1:10" x14ac:dyDescent="0.2">
      <c r="A499" s="107">
        <v>2</v>
      </c>
      <c r="B499" s="95">
        <v>7</v>
      </c>
      <c r="C499" s="95">
        <v>4</v>
      </c>
      <c r="D499" s="95">
        <v>1</v>
      </c>
      <c r="E499" s="95" t="s">
        <v>324</v>
      </c>
      <c r="F499" s="102" t="s">
        <v>386</v>
      </c>
      <c r="G499" s="97">
        <f>'[1]CUENTA T FONDO 100'!JG461</f>
        <v>0</v>
      </c>
      <c r="H499" s="97">
        <f>'[1]CUENTA T VS'!JG225</f>
        <v>0</v>
      </c>
      <c r="I499" s="97">
        <f t="shared" si="22"/>
        <v>0</v>
      </c>
      <c r="J499" s="98">
        <f>I499/$I$25</f>
        <v>0</v>
      </c>
    </row>
    <row r="500" spans="1:10" ht="25.5" x14ac:dyDescent="0.2">
      <c r="A500" s="90">
        <v>2</v>
      </c>
      <c r="B500" s="91">
        <v>7</v>
      </c>
      <c r="C500" s="91">
        <v>4</v>
      </c>
      <c r="D500" s="91">
        <v>2</v>
      </c>
      <c r="E500" s="110"/>
      <c r="F500" s="119" t="s">
        <v>387</v>
      </c>
      <c r="G500" s="92">
        <f>+G501</f>
        <v>0</v>
      </c>
      <c r="H500" s="92">
        <f>+H501</f>
        <v>0</v>
      </c>
      <c r="I500" s="92">
        <f t="shared" si="22"/>
        <v>0</v>
      </c>
      <c r="J500" s="93"/>
    </row>
    <row r="501" spans="1:10" ht="25.5" x14ac:dyDescent="0.2">
      <c r="A501" s="94">
        <v>2</v>
      </c>
      <c r="B501" s="95">
        <v>7</v>
      </c>
      <c r="C501" s="95">
        <v>4</v>
      </c>
      <c r="D501" s="95">
        <v>2</v>
      </c>
      <c r="E501" s="95" t="s">
        <v>324</v>
      </c>
      <c r="F501" s="102" t="s">
        <v>387</v>
      </c>
      <c r="G501" s="97">
        <f>'[1]CUENTA T FONDO 100'!JH461</f>
        <v>0</v>
      </c>
      <c r="H501" s="97">
        <f>'[1]CUENTA T VS'!JH225</f>
        <v>0</v>
      </c>
      <c r="I501" s="97">
        <f t="shared" si="22"/>
        <v>0</v>
      </c>
      <c r="J501" s="98">
        <f>I501/$I$25</f>
        <v>0</v>
      </c>
    </row>
    <row r="502" spans="1:10" ht="15" x14ac:dyDescent="0.25">
      <c r="A502" s="126"/>
      <c r="B502" s="126"/>
      <c r="C502" s="126"/>
      <c r="D502" s="126"/>
      <c r="E502" s="126"/>
      <c r="F502" s="126"/>
      <c r="G502" s="126"/>
      <c r="H502" s="126"/>
      <c r="I502" s="126"/>
      <c r="J502" s="127"/>
    </row>
    <row r="503" spans="1:10" ht="15" x14ac:dyDescent="0.25">
      <c r="A503" s="126"/>
      <c r="B503" s="126"/>
      <c r="C503" s="126"/>
      <c r="D503" s="126"/>
      <c r="E503" s="126"/>
      <c r="F503" s="126"/>
      <c r="G503" s="126"/>
      <c r="H503" s="126"/>
      <c r="I503" s="126"/>
      <c r="J503" s="126"/>
    </row>
    <row r="504" spans="1:10" ht="15" x14ac:dyDescent="0.25">
      <c r="A504" s="126"/>
      <c r="B504" s="126"/>
      <c r="C504" s="126"/>
      <c r="D504" s="126"/>
      <c r="E504" s="126"/>
      <c r="F504" s="126"/>
      <c r="G504" s="126"/>
      <c r="H504" s="126"/>
      <c r="I504" s="126"/>
      <c r="J504" s="126"/>
    </row>
    <row r="505" spans="1:10" ht="15" x14ac:dyDescent="0.25">
      <c r="A505" s="126"/>
      <c r="B505" s="126"/>
      <c r="C505" s="126"/>
      <c r="D505" s="126"/>
      <c r="E505" s="126"/>
      <c r="F505" s="126"/>
      <c r="G505" s="126"/>
      <c r="H505" s="126"/>
      <c r="I505" s="126"/>
      <c r="J505" s="126"/>
    </row>
    <row r="506" spans="1:10" ht="15" x14ac:dyDescent="0.25">
      <c r="A506" s="126"/>
      <c r="B506" s="126"/>
      <c r="C506" s="126"/>
      <c r="D506" s="126"/>
      <c r="E506" s="126"/>
      <c r="F506" s="126"/>
      <c r="G506" s="126"/>
      <c r="H506" s="126"/>
      <c r="I506" s="126"/>
      <c r="J506" s="126"/>
    </row>
    <row r="507" spans="1:10" ht="15" x14ac:dyDescent="0.25">
      <c r="A507" s="126"/>
      <c r="B507" s="126"/>
      <c r="C507" s="126"/>
      <c r="D507" s="126"/>
      <c r="E507" s="126"/>
      <c r="F507" s="126"/>
      <c r="G507" s="126"/>
      <c r="H507" s="126"/>
      <c r="I507" s="126"/>
      <c r="J507" s="126"/>
    </row>
    <row r="508" spans="1:10" ht="15" x14ac:dyDescent="0.25">
      <c r="A508" s="126"/>
      <c r="B508" s="126"/>
      <c r="C508" s="126"/>
      <c r="D508" s="126"/>
      <c r="E508" s="126"/>
      <c r="F508" s="126"/>
      <c r="G508" s="126"/>
      <c r="H508" s="126"/>
      <c r="I508" s="126"/>
      <c r="J508" s="126"/>
    </row>
    <row r="509" spans="1:10" ht="15" x14ac:dyDescent="0.25">
      <c r="A509" s="126"/>
      <c r="B509" s="126"/>
      <c r="C509" s="126"/>
      <c r="D509" s="126"/>
      <c r="E509" s="126"/>
      <c r="F509" s="126"/>
      <c r="G509" s="126"/>
      <c r="H509" s="126"/>
      <c r="I509" s="126"/>
      <c r="J509" s="126"/>
    </row>
    <row r="510" spans="1:10" ht="15" x14ac:dyDescent="0.25">
      <c r="A510" s="126"/>
      <c r="B510" s="126"/>
      <c r="C510" s="126"/>
      <c r="D510" s="126"/>
      <c r="E510" s="126"/>
      <c r="F510" s="126"/>
      <c r="G510" s="126"/>
      <c r="H510" s="126"/>
      <c r="I510" s="126"/>
      <c r="J510" s="126"/>
    </row>
    <row r="511" spans="1:10" ht="15" x14ac:dyDescent="0.25">
      <c r="A511" s="126"/>
      <c r="B511" s="126"/>
      <c r="C511" s="126"/>
      <c r="D511" s="126"/>
      <c r="E511" s="126"/>
      <c r="F511" s="126"/>
      <c r="G511" s="126"/>
      <c r="H511" s="126"/>
      <c r="I511" s="126"/>
      <c r="J511" s="126"/>
    </row>
  </sheetData>
  <mergeCells count="7">
    <mergeCell ref="A7:J7"/>
    <mergeCell ref="A1:J1"/>
    <mergeCell ref="A2:J2"/>
    <mergeCell ref="A3:J3"/>
    <mergeCell ref="A4:J4"/>
    <mergeCell ref="A5:J5"/>
    <mergeCell ref="A6:J6"/>
  </mergeCells>
  <pageMargins left="0.7" right="0.7" top="0.75" bottom="0.75" header="0.3" footer="0.3"/>
  <pageSetup scale="51" orientation="portrait" r:id="rId1"/>
  <colBreaks count="1" manualBreakCount="1">
    <brk id="10" max="50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contabilidad</cp:lastModifiedBy>
  <cp:lastPrinted>2025-09-10T11:59:34Z</cp:lastPrinted>
  <dcterms:created xsi:type="dcterms:W3CDTF">2025-09-09T16:23:10Z</dcterms:created>
  <dcterms:modified xsi:type="dcterms:W3CDTF">2025-09-10T11:59:37Z</dcterms:modified>
</cp:coreProperties>
</file>
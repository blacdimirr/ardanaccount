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AGOSTO 2025\"/>
    </mc:Choice>
  </mc:AlternateContent>
  <bookViews>
    <workbookView xWindow="0" yWindow="0" windowWidth="20490" windowHeight="70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1" i="1" l="1"/>
  <c r="P41" i="1"/>
  <c r="O41" i="1"/>
  <c r="N41" i="1"/>
  <c r="M41" i="1"/>
  <c r="L41" i="1"/>
  <c r="K41" i="1"/>
  <c r="J41" i="1"/>
  <c r="I41" i="1"/>
  <c r="H41" i="1"/>
  <c r="G41" i="1"/>
  <c r="F41" i="1"/>
  <c r="E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R7" i="1"/>
  <c r="R41" i="1" s="1"/>
</calcChain>
</file>

<file path=xl/sharedStrings.xml><?xml version="1.0" encoding="utf-8"?>
<sst xmlns="http://schemas.openxmlformats.org/spreadsheetml/2006/main" count="125" uniqueCount="47">
  <si>
    <t xml:space="preserve">                  Servicio Nacional de Salud </t>
  </si>
  <si>
    <t>DIRECCION DE FISCALIZACION</t>
  </si>
  <si>
    <t xml:space="preserve">RELACION DEUDA </t>
  </si>
  <si>
    <t>ESTABLECIMIENTO:</t>
  </si>
  <si>
    <t>HOSPITAL MATERNO INFANTIL SAN LORENZO DE LOS MINA</t>
  </si>
  <si>
    <t xml:space="preserve">CUENTAS POR PAGAR A: </t>
  </si>
  <si>
    <t>NO</t>
  </si>
  <si>
    <t xml:space="preserve">NOMBRES PROVEEDOR  </t>
  </si>
  <si>
    <t>FUENTE FINANCIMIENTO</t>
  </si>
  <si>
    <t>Años anteriores 2020</t>
  </si>
  <si>
    <t>AL 31 DICIEMBRE 2021</t>
  </si>
  <si>
    <t>AL 31 DICIEMBRE 2022</t>
  </si>
  <si>
    <t>AL 31 DICIEMBRE 2023</t>
  </si>
  <si>
    <t>Al 31 DICIEMBRE 2024</t>
  </si>
  <si>
    <t>AL 31 DE ENERO 2025</t>
  </si>
  <si>
    <t>AL 28 DE FEBRERO 2025</t>
  </si>
  <si>
    <t>31 DE MARZO 2025</t>
  </si>
  <si>
    <t>30 DE ABRIL 2025</t>
  </si>
  <si>
    <t>31 DE MAYO 2025</t>
  </si>
  <si>
    <t>30 DE JUNIO 2025</t>
  </si>
  <si>
    <t>31 DE JULIO 2025</t>
  </si>
  <si>
    <t>31 DE AGOSTO 2025</t>
  </si>
  <si>
    <t>TOTAL ADEUDA</t>
  </si>
  <si>
    <t>Hospifar, SRL</t>
  </si>
  <si>
    <t>VS/FG</t>
  </si>
  <si>
    <t>GA INTERPRISE IMPORT, SRL</t>
  </si>
  <si>
    <t>D, CORA INDUSTRIAL, S.R.L</t>
  </si>
  <si>
    <t>Bio Nuclear, SA</t>
  </si>
  <si>
    <t xml:space="preserve">VARA, SRL. </t>
  </si>
  <si>
    <t>Morami, SRL</t>
  </si>
  <si>
    <t>LE.F.P CONSULTORES SRL</t>
  </si>
  <si>
    <t>UNIQUE REPRESENTACIONES, S.R.L</t>
  </si>
  <si>
    <t>Delia Josefina Tatis Perdomo</t>
  </si>
  <si>
    <t xml:space="preserve">J. JIREH EQUIPOS MEDICOS SRL </t>
  </si>
  <si>
    <t>Insocorp, S.R.L.</t>
  </si>
  <si>
    <t>Agua Planeta Azul, SA</t>
  </si>
  <si>
    <t xml:space="preserve">FARMACIA RUTH </t>
  </si>
  <si>
    <t>SUPLIMED,SRL</t>
  </si>
  <si>
    <t>Medequip, SRL</t>
  </si>
  <si>
    <t xml:space="preserve">DISTRIBUIDORA BRITO CONTRERAS SRL </t>
  </si>
  <si>
    <t>Adler Amicis Valdez Marmolejos</t>
  </si>
  <si>
    <t>Gestiones Sanitarias &amp; Ambientales, SRL (GSA)</t>
  </si>
  <si>
    <t xml:space="preserve">TOTAL GENERAL </t>
  </si>
  <si>
    <t>Problemas con la Orden</t>
  </si>
  <si>
    <t>Problemas Impositivos</t>
  </si>
  <si>
    <t>Problemas con los Comprobante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</si>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</sst>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164" fontId="0" fillId="0" borderId="0" xfId="0" applyNumberFormat="1"/>
    <xf numFmtId="43" fontId="2" fillId="0" borderId="0" xfId="1" applyFont="1"/>
    <xf numFmtId="17" fontId="2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vertical="center" wrapText="1"/>
    </xf>
    <xf numFmtId="43" fontId="2" fillId="2" borderId="2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/>
    </xf>
    <xf numFmtId="0" fontId="6" fillId="0" borderId="2" xfId="2" applyFont="1" applyBorder="1" applyAlignment="1">
      <alignment vertical="center"/>
    </xf>
    <xf numFmtId="164" fontId="7" fillId="0" borderId="2" xfId="1" applyNumberFormat="1" applyFont="1" applyBorder="1" applyAlignment="1">
      <alignment horizontal="left" vertical="center"/>
    </xf>
    <xf numFmtId="43" fontId="7" fillId="0" borderId="2" xfId="1" applyFont="1" applyBorder="1" applyAlignment="1">
      <alignment horizontal="center" vertical="center"/>
    </xf>
    <xf numFmtId="43" fontId="0" fillId="0" borderId="2" xfId="1" applyFont="1" applyFill="1" applyBorder="1" applyAlignment="1"/>
    <xf numFmtId="43" fontId="7" fillId="0" borderId="2" xfId="1" applyFont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43" fontId="2" fillId="3" borderId="4" xfId="0" applyNumberFormat="1" applyFont="1" applyFill="1" applyBorder="1"/>
    <xf numFmtId="43" fontId="0" fillId="0" borderId="0" xfId="1" applyFont="1"/>
    <xf numFmtId="4" fontId="0" fillId="0" borderId="0" xfId="0" applyNumberFormat="1"/>
    <xf numFmtId="43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0" borderId="2" xfId="2" applyFont="1" applyBorder="1" applyAlignment="1">
      <alignment vertical="center" wrapText="1"/>
    </xf>
  </cellXfs>
  <cellStyles count="3">
    <cellStyle name="Millares" xfId="1" builtinId="3"/>
    <cellStyle name="Normal" xfId="0" builtinId="0"/>
    <cellStyle name="Normal 1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topLeftCell="A16" workbookViewId="0">
      <selection activeCell="C13" sqref="C13"/>
    </sheetView>
  </sheetViews>
  <sheetFormatPr baseColWidth="10" defaultColWidth="23.5703125" defaultRowHeight="15" x14ac:dyDescent="0.25"/>
  <cols>
    <col min="1" max="1" width="18" bestFit="1" customWidth="1"/>
    <col min="2" max="2" width="29.42578125" customWidth="1"/>
    <col min="3" max="3" width="22.7109375" style="3" bestFit="1" customWidth="1"/>
    <col min="4" max="4" width="24.5703125" style="20" hidden="1" customWidth="1"/>
    <col min="5" max="5" width="10.140625" hidden="1" customWidth="1"/>
    <col min="6" max="7" width="10.7109375" hidden="1" customWidth="1"/>
    <col min="8" max="8" width="15.7109375" bestFit="1" customWidth="1"/>
    <col min="9" max="9" width="15.42578125" bestFit="1" customWidth="1"/>
    <col min="10" max="10" width="11.42578125" hidden="1" customWidth="1"/>
    <col min="11" max="11" width="17.28515625" customWidth="1"/>
    <col min="12" max="12" width="13.7109375" customWidth="1"/>
    <col min="13" max="13" width="14.28515625" customWidth="1"/>
    <col min="14" max="15" width="13.7109375" customWidth="1"/>
    <col min="16" max="16" width="16.42578125" customWidth="1"/>
    <col min="17" max="17" width="19.7109375" customWidth="1"/>
  </cols>
  <sheetData>
    <row r="1" spans="1:18" ht="22.5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5.75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15.75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x14ac:dyDescent="0.25">
      <c r="A4" s="1" t="s">
        <v>3</v>
      </c>
      <c r="B4" s="2" t="s">
        <v>4</v>
      </c>
      <c r="D4" s="4" t="s">
        <v>5</v>
      </c>
      <c r="E4" s="5">
        <v>45870</v>
      </c>
    </row>
    <row r="6" spans="1:18" s="10" customFormat="1" ht="45" x14ac:dyDescent="0.25">
      <c r="A6" s="6" t="s">
        <v>6</v>
      </c>
      <c r="B6" s="7" t="s">
        <v>7</v>
      </c>
      <c r="C6" s="8" t="s">
        <v>46</v>
      </c>
      <c r="D6" s="9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  <c r="Q6" s="6" t="s">
        <v>21</v>
      </c>
      <c r="R6" s="6" t="s">
        <v>22</v>
      </c>
    </row>
    <row r="7" spans="1:18" x14ac:dyDescent="0.25">
      <c r="A7" s="11">
        <v>1</v>
      </c>
      <c r="B7" s="12" t="s">
        <v>23</v>
      </c>
      <c r="C7" s="13" t="s">
        <v>43</v>
      </c>
      <c r="D7" s="14" t="s">
        <v>24</v>
      </c>
      <c r="E7" s="15"/>
      <c r="F7" s="15"/>
      <c r="G7" s="15"/>
      <c r="H7" s="15">
        <v>94965</v>
      </c>
      <c r="I7" s="16"/>
      <c r="J7" s="15"/>
      <c r="K7" s="15"/>
      <c r="L7" s="15"/>
      <c r="M7" s="15"/>
      <c r="N7" s="16"/>
      <c r="O7" s="15"/>
      <c r="P7" s="15"/>
      <c r="Q7" s="15"/>
      <c r="R7" s="15">
        <f>SUM(F7:Q7)</f>
        <v>94965</v>
      </c>
    </row>
    <row r="8" spans="1:18" x14ac:dyDescent="0.25">
      <c r="A8" s="11">
        <f t="shared" ref="A8:A40" si="0">+A7+1</f>
        <v>2</v>
      </c>
      <c r="B8" s="12" t="s">
        <v>23</v>
      </c>
      <c r="C8" s="13" t="s">
        <v>43</v>
      </c>
      <c r="D8" s="14" t="s">
        <v>24</v>
      </c>
      <c r="E8" s="15"/>
      <c r="F8" s="15"/>
      <c r="G8" s="15"/>
      <c r="H8" s="15">
        <v>11375</v>
      </c>
      <c r="I8" s="16"/>
      <c r="J8" s="15"/>
      <c r="K8" s="15"/>
      <c r="L8" s="15"/>
      <c r="M8" s="15"/>
      <c r="N8" s="15"/>
      <c r="O8" s="16"/>
      <c r="P8" s="16"/>
      <c r="Q8" s="16"/>
      <c r="R8" s="15">
        <f>SUM(F8:Q8)</f>
        <v>11375</v>
      </c>
    </row>
    <row r="9" spans="1:18" x14ac:dyDescent="0.25">
      <c r="A9" s="11">
        <f t="shared" si="0"/>
        <v>3</v>
      </c>
      <c r="B9" s="12" t="s">
        <v>25</v>
      </c>
      <c r="C9" s="13" t="s">
        <v>44</v>
      </c>
      <c r="D9" s="14" t="s">
        <v>24</v>
      </c>
      <c r="E9" s="15"/>
      <c r="F9" s="15"/>
      <c r="G9" s="15"/>
      <c r="H9" s="15">
        <v>287920</v>
      </c>
      <c r="I9" s="15"/>
      <c r="J9" s="15"/>
      <c r="K9" s="15"/>
      <c r="L9" s="16"/>
      <c r="M9" s="15"/>
      <c r="N9" s="15"/>
      <c r="O9" s="15"/>
      <c r="P9" s="17"/>
      <c r="Q9" s="15"/>
      <c r="R9" s="15">
        <f>SUM(F9:Q9)</f>
        <v>287920</v>
      </c>
    </row>
    <row r="10" spans="1:18" x14ac:dyDescent="0.25">
      <c r="A10" s="11">
        <f t="shared" si="0"/>
        <v>4</v>
      </c>
      <c r="B10" s="12" t="s">
        <v>26</v>
      </c>
      <c r="C10" s="13" t="s">
        <v>44</v>
      </c>
      <c r="D10" s="14" t="s">
        <v>24</v>
      </c>
      <c r="E10" s="15"/>
      <c r="F10" s="15"/>
      <c r="G10" s="15"/>
      <c r="H10" s="15">
        <v>220483.05</v>
      </c>
      <c r="I10" s="16"/>
      <c r="J10" s="15"/>
      <c r="K10" s="15"/>
      <c r="L10" s="16"/>
      <c r="M10" s="15"/>
      <c r="N10" s="15"/>
      <c r="O10" s="15"/>
      <c r="P10" s="17"/>
      <c r="Q10" s="15"/>
      <c r="R10" s="15">
        <f>SUM(F10:Q10)</f>
        <v>220483.05</v>
      </c>
    </row>
    <row r="11" spans="1:18" x14ac:dyDescent="0.25">
      <c r="A11" s="11">
        <f t="shared" si="0"/>
        <v>5</v>
      </c>
      <c r="B11" s="12" t="s">
        <v>27</v>
      </c>
      <c r="C11" s="13"/>
      <c r="D11" s="14" t="s">
        <v>24</v>
      </c>
      <c r="E11" s="15"/>
      <c r="F11" s="15"/>
      <c r="G11" s="15"/>
      <c r="H11" s="15">
        <v>4182</v>
      </c>
      <c r="I11" s="16"/>
      <c r="J11" s="15"/>
      <c r="K11" s="15"/>
      <c r="L11" s="16"/>
      <c r="M11" s="15"/>
      <c r="N11" s="15"/>
      <c r="O11" s="15"/>
      <c r="P11" s="17"/>
      <c r="Q11" s="15"/>
      <c r="R11" s="15">
        <f>SUM(F11:Q11)</f>
        <v>4182</v>
      </c>
    </row>
    <row r="12" spans="1:18" x14ac:dyDescent="0.25">
      <c r="A12" s="11">
        <f t="shared" si="0"/>
        <v>6</v>
      </c>
      <c r="B12" s="12" t="s">
        <v>28</v>
      </c>
      <c r="C12" s="13"/>
      <c r="D12" s="14" t="s">
        <v>24</v>
      </c>
      <c r="E12" s="15"/>
      <c r="F12" s="15"/>
      <c r="G12" s="15"/>
      <c r="H12" s="15">
        <v>58382.86</v>
      </c>
      <c r="I12" s="15"/>
      <c r="J12" s="15"/>
      <c r="K12" s="15"/>
      <c r="L12" s="15"/>
      <c r="M12" s="15"/>
      <c r="N12" s="15"/>
      <c r="O12" s="16"/>
      <c r="P12" s="16"/>
      <c r="Q12" s="16"/>
      <c r="R12" s="15">
        <f>SUM(F12:P12)</f>
        <v>58382.86</v>
      </c>
    </row>
    <row r="13" spans="1:18" x14ac:dyDescent="0.25">
      <c r="A13" s="11">
        <f t="shared" si="0"/>
        <v>7</v>
      </c>
      <c r="B13" s="12" t="s">
        <v>29</v>
      </c>
      <c r="C13" s="13" t="s">
        <v>44</v>
      </c>
      <c r="D13" s="14" t="s">
        <v>24</v>
      </c>
      <c r="E13" s="15"/>
      <c r="F13" s="15"/>
      <c r="G13" s="15"/>
      <c r="H13" s="15">
        <v>213260</v>
      </c>
      <c r="I13" s="15"/>
      <c r="J13" s="15"/>
      <c r="K13" s="15"/>
      <c r="L13" s="15"/>
      <c r="M13" s="15"/>
      <c r="N13" s="15"/>
      <c r="O13" s="16"/>
      <c r="P13" s="16"/>
      <c r="Q13" s="16"/>
      <c r="R13" s="15">
        <f>SUM(F13:P13)</f>
        <v>213260</v>
      </c>
    </row>
    <row r="14" spans="1:18" x14ac:dyDescent="0.25">
      <c r="A14" s="11">
        <f t="shared" si="0"/>
        <v>8</v>
      </c>
      <c r="B14" s="12" t="s">
        <v>30</v>
      </c>
      <c r="C14" s="13" t="s">
        <v>44</v>
      </c>
      <c r="D14" s="14" t="s">
        <v>24</v>
      </c>
      <c r="E14" s="15"/>
      <c r="F14" s="15"/>
      <c r="G14" s="15"/>
      <c r="H14" s="15"/>
      <c r="I14" s="15">
        <v>48852</v>
      </c>
      <c r="J14" s="15"/>
      <c r="K14" s="15"/>
      <c r="L14" s="15"/>
      <c r="M14" s="15"/>
      <c r="N14" s="15"/>
      <c r="O14" s="16"/>
      <c r="P14" s="16"/>
      <c r="Q14" s="16"/>
      <c r="R14" s="15">
        <f>SUM(F14:Q14)</f>
        <v>48852</v>
      </c>
    </row>
    <row r="15" spans="1:18" x14ac:dyDescent="0.25">
      <c r="A15" s="11">
        <f t="shared" si="0"/>
        <v>9</v>
      </c>
      <c r="B15" s="12" t="s">
        <v>30</v>
      </c>
      <c r="C15" s="13" t="s">
        <v>44</v>
      </c>
      <c r="D15" s="14" t="s">
        <v>24</v>
      </c>
      <c r="E15" s="15"/>
      <c r="F15" s="15"/>
      <c r="G15" s="15"/>
      <c r="H15" s="15"/>
      <c r="I15" s="15">
        <v>48852</v>
      </c>
      <c r="J15" s="15"/>
      <c r="K15" s="15"/>
      <c r="L15" s="15"/>
      <c r="M15" s="15"/>
      <c r="N15" s="15"/>
      <c r="O15" s="16"/>
      <c r="P15" s="16"/>
      <c r="Q15" s="16"/>
      <c r="R15" s="15">
        <f>SUM(F15:Q15)</f>
        <v>48852</v>
      </c>
    </row>
    <row r="16" spans="1:18" x14ac:dyDescent="0.25">
      <c r="A16" s="11">
        <f t="shared" si="0"/>
        <v>10</v>
      </c>
      <c r="B16" s="12" t="s">
        <v>30</v>
      </c>
      <c r="C16" s="13" t="s">
        <v>44</v>
      </c>
      <c r="D16" s="14" t="s">
        <v>24</v>
      </c>
      <c r="E16" s="15"/>
      <c r="F16" s="15"/>
      <c r="G16" s="15"/>
      <c r="H16" s="15"/>
      <c r="I16" s="15">
        <v>48852</v>
      </c>
      <c r="J16" s="15"/>
      <c r="K16" s="15"/>
      <c r="L16" s="15"/>
      <c r="M16" s="15"/>
      <c r="N16" s="15"/>
      <c r="O16" s="16"/>
      <c r="P16" s="16"/>
      <c r="Q16" s="16"/>
      <c r="R16" s="15">
        <f>SUM(F16:Q16)</f>
        <v>48852</v>
      </c>
    </row>
    <row r="17" spans="1:18" x14ac:dyDescent="0.25">
      <c r="A17" s="11">
        <f t="shared" si="0"/>
        <v>11</v>
      </c>
      <c r="B17" s="12" t="s">
        <v>30</v>
      </c>
      <c r="C17" s="13" t="s">
        <v>44</v>
      </c>
      <c r="D17" s="14" t="s">
        <v>24</v>
      </c>
      <c r="E17" s="15"/>
      <c r="F17" s="15"/>
      <c r="G17" s="15"/>
      <c r="H17" s="15"/>
      <c r="I17" s="15">
        <v>48852</v>
      </c>
      <c r="J17" s="15"/>
      <c r="K17" s="15"/>
      <c r="L17" s="15"/>
      <c r="M17" s="15"/>
      <c r="N17" s="15"/>
      <c r="O17" s="16"/>
      <c r="P17" s="16"/>
      <c r="Q17" s="16"/>
      <c r="R17" s="15">
        <f>SUM(F17:Q17)</f>
        <v>48852</v>
      </c>
    </row>
    <row r="18" spans="1:18" x14ac:dyDescent="0.25">
      <c r="A18" s="11">
        <f t="shared" si="0"/>
        <v>12</v>
      </c>
      <c r="B18" s="12" t="s">
        <v>31</v>
      </c>
      <c r="C18" s="13" t="s">
        <v>43</v>
      </c>
      <c r="D18" s="14" t="s">
        <v>24</v>
      </c>
      <c r="E18" s="15"/>
      <c r="F18" s="15"/>
      <c r="G18" s="15"/>
      <c r="H18" s="15"/>
      <c r="I18" s="15">
        <v>112271.1</v>
      </c>
      <c r="J18" s="15"/>
      <c r="K18" s="15"/>
      <c r="L18" s="15"/>
      <c r="M18" s="15"/>
      <c r="N18" s="15"/>
      <c r="O18" s="16"/>
      <c r="P18" s="16"/>
      <c r="Q18" s="16"/>
      <c r="R18" s="15">
        <f>SUM(F18:P18)</f>
        <v>112271.1</v>
      </c>
    </row>
    <row r="19" spans="1:18" x14ac:dyDescent="0.25">
      <c r="A19" s="11">
        <f t="shared" si="0"/>
        <v>13</v>
      </c>
      <c r="B19" s="12" t="s">
        <v>32</v>
      </c>
      <c r="C19" s="13" t="s">
        <v>43</v>
      </c>
      <c r="D19" s="14" t="s">
        <v>24</v>
      </c>
      <c r="E19" s="15"/>
      <c r="F19" s="15"/>
      <c r="G19" s="15"/>
      <c r="H19" s="15"/>
      <c r="I19" s="15">
        <v>56168</v>
      </c>
      <c r="J19" s="15"/>
      <c r="K19" s="15"/>
      <c r="L19" s="16"/>
      <c r="M19" s="15"/>
      <c r="N19" s="15"/>
      <c r="O19" s="15"/>
      <c r="P19" s="17"/>
      <c r="Q19" s="15"/>
      <c r="R19" s="15">
        <f t="shared" ref="R19:R30" si="1">SUM(F19:Q19)</f>
        <v>56168</v>
      </c>
    </row>
    <row r="20" spans="1:18" x14ac:dyDescent="0.25">
      <c r="A20" s="11">
        <f t="shared" si="0"/>
        <v>14</v>
      </c>
      <c r="B20" s="12" t="s">
        <v>33</v>
      </c>
      <c r="C20" s="13" t="s">
        <v>43</v>
      </c>
      <c r="D20" s="14" t="s">
        <v>24</v>
      </c>
      <c r="E20" s="15"/>
      <c r="F20" s="15"/>
      <c r="G20" s="15"/>
      <c r="H20" s="15"/>
      <c r="I20" s="15">
        <v>16520</v>
      </c>
      <c r="J20" s="15"/>
      <c r="K20" s="15"/>
      <c r="L20" s="15"/>
      <c r="M20" s="15"/>
      <c r="N20" s="15"/>
      <c r="O20" s="16"/>
      <c r="P20" s="16"/>
      <c r="Q20" s="16"/>
      <c r="R20" s="15">
        <f t="shared" si="1"/>
        <v>16520</v>
      </c>
    </row>
    <row r="21" spans="1:18" x14ac:dyDescent="0.25">
      <c r="A21" s="11">
        <f t="shared" si="0"/>
        <v>15</v>
      </c>
      <c r="B21" s="12" t="s">
        <v>34</v>
      </c>
      <c r="C21" s="13" t="s">
        <v>45</v>
      </c>
      <c r="D21" s="14" t="s">
        <v>24</v>
      </c>
      <c r="E21" s="15"/>
      <c r="F21" s="15"/>
      <c r="G21" s="15"/>
      <c r="H21" s="15"/>
      <c r="I21" s="15"/>
      <c r="J21" s="15"/>
      <c r="K21" s="15">
        <v>137691.84</v>
      </c>
      <c r="L21" s="15"/>
      <c r="M21" s="15"/>
      <c r="N21" s="15"/>
      <c r="O21" s="16"/>
      <c r="P21" s="16"/>
      <c r="Q21" s="16"/>
      <c r="R21" s="15">
        <f t="shared" si="1"/>
        <v>137691.84</v>
      </c>
    </row>
    <row r="22" spans="1:18" x14ac:dyDescent="0.25">
      <c r="A22" s="11">
        <f t="shared" si="0"/>
        <v>16</v>
      </c>
      <c r="B22" s="12" t="s">
        <v>35</v>
      </c>
      <c r="C22" s="13" t="s">
        <v>45</v>
      </c>
      <c r="D22" s="14" t="s">
        <v>24</v>
      </c>
      <c r="E22" s="15"/>
      <c r="F22" s="15"/>
      <c r="G22" s="15"/>
      <c r="H22" s="16"/>
      <c r="I22" s="15"/>
      <c r="J22" s="16"/>
      <c r="K22" s="16"/>
      <c r="L22" s="15">
        <v>9500</v>
      </c>
      <c r="M22" s="15"/>
      <c r="N22" s="15"/>
      <c r="O22" s="15"/>
      <c r="P22" s="17"/>
      <c r="Q22" s="15"/>
      <c r="R22" s="15">
        <f t="shared" si="1"/>
        <v>9500</v>
      </c>
    </row>
    <row r="23" spans="1:18" x14ac:dyDescent="0.25">
      <c r="A23" s="11">
        <f t="shared" si="0"/>
        <v>17</v>
      </c>
      <c r="B23" s="12" t="s">
        <v>36</v>
      </c>
      <c r="C23" s="13" t="s">
        <v>45</v>
      </c>
      <c r="D23" s="14" t="s">
        <v>24</v>
      </c>
      <c r="E23" s="15"/>
      <c r="F23" s="15"/>
      <c r="G23" s="15"/>
      <c r="H23" s="15"/>
      <c r="I23" s="16"/>
      <c r="J23" s="15"/>
      <c r="K23" s="15"/>
      <c r="L23" s="15"/>
      <c r="M23" s="16">
        <v>13900</v>
      </c>
      <c r="N23" s="15"/>
      <c r="O23" s="15"/>
      <c r="P23" s="17"/>
      <c r="Q23" s="15"/>
      <c r="R23" s="15">
        <f t="shared" si="1"/>
        <v>13900</v>
      </c>
    </row>
    <row r="24" spans="1:18" x14ac:dyDescent="0.25">
      <c r="A24" s="11">
        <f t="shared" si="0"/>
        <v>18</v>
      </c>
      <c r="B24" s="12" t="s">
        <v>36</v>
      </c>
      <c r="C24" s="13" t="s">
        <v>45</v>
      </c>
      <c r="D24" s="14" t="s">
        <v>24</v>
      </c>
      <c r="E24" s="15"/>
      <c r="F24" s="15"/>
      <c r="G24" s="15"/>
      <c r="H24" s="15"/>
      <c r="I24" s="16"/>
      <c r="J24" s="15"/>
      <c r="K24" s="15"/>
      <c r="L24" s="15"/>
      <c r="M24" s="16"/>
      <c r="N24" s="15">
        <v>18500</v>
      </c>
      <c r="O24" s="15"/>
      <c r="P24" s="17"/>
      <c r="Q24" s="15"/>
      <c r="R24" s="15">
        <f t="shared" si="1"/>
        <v>18500</v>
      </c>
    </row>
    <row r="25" spans="1:18" x14ac:dyDescent="0.25">
      <c r="A25" s="11">
        <f t="shared" si="0"/>
        <v>19</v>
      </c>
      <c r="B25" s="12" t="s">
        <v>36</v>
      </c>
      <c r="C25" s="13" t="s">
        <v>45</v>
      </c>
      <c r="D25" s="14" t="s">
        <v>24</v>
      </c>
      <c r="E25" s="15"/>
      <c r="F25" s="15"/>
      <c r="G25" s="15"/>
      <c r="H25" s="15"/>
      <c r="I25" s="16"/>
      <c r="J25" s="15"/>
      <c r="K25" s="15"/>
      <c r="L25" s="15"/>
      <c r="M25" s="15"/>
      <c r="N25" s="15"/>
      <c r="O25" s="15">
        <v>23625</v>
      </c>
      <c r="P25" s="17"/>
      <c r="Q25" s="15"/>
      <c r="R25" s="15">
        <f t="shared" si="1"/>
        <v>23625</v>
      </c>
    </row>
    <row r="26" spans="1:18" x14ac:dyDescent="0.25">
      <c r="A26" s="11">
        <f t="shared" si="0"/>
        <v>20</v>
      </c>
      <c r="B26" s="18" t="s">
        <v>35</v>
      </c>
      <c r="C26" s="13" t="s">
        <v>45</v>
      </c>
      <c r="D26" s="14" t="s">
        <v>24</v>
      </c>
      <c r="E26" s="15"/>
      <c r="F26" s="15"/>
      <c r="G26" s="15"/>
      <c r="H26" s="16"/>
      <c r="I26" s="15"/>
      <c r="J26" s="15"/>
      <c r="K26" s="15"/>
      <c r="L26" s="15"/>
      <c r="M26" s="16"/>
      <c r="N26" s="16"/>
      <c r="O26" s="15">
        <v>9060</v>
      </c>
      <c r="P26" s="17"/>
      <c r="Q26" s="15"/>
      <c r="R26" s="15">
        <f t="shared" si="1"/>
        <v>9060</v>
      </c>
    </row>
    <row r="27" spans="1:18" x14ac:dyDescent="0.25">
      <c r="A27" s="11">
        <f t="shared" si="0"/>
        <v>21</v>
      </c>
      <c r="B27" s="12" t="s">
        <v>35</v>
      </c>
      <c r="C27" s="13" t="s">
        <v>45</v>
      </c>
      <c r="D27" s="14" t="s">
        <v>24</v>
      </c>
      <c r="E27" s="15"/>
      <c r="F27" s="15"/>
      <c r="G27" s="15"/>
      <c r="H27" s="16"/>
      <c r="I27" s="16"/>
      <c r="J27" s="15"/>
      <c r="K27" s="15"/>
      <c r="L27" s="15"/>
      <c r="M27" s="15"/>
      <c r="N27" s="15"/>
      <c r="O27" s="15">
        <v>9120</v>
      </c>
      <c r="P27" s="17"/>
      <c r="Q27" s="15"/>
      <c r="R27" s="15">
        <f t="shared" si="1"/>
        <v>9120</v>
      </c>
    </row>
    <row r="28" spans="1:18" x14ac:dyDescent="0.25">
      <c r="A28" s="11">
        <f t="shared" si="0"/>
        <v>22</v>
      </c>
      <c r="B28" s="12" t="s">
        <v>35</v>
      </c>
      <c r="C28" s="13" t="s">
        <v>45</v>
      </c>
      <c r="D28" s="14" t="s">
        <v>24</v>
      </c>
      <c r="E28" s="15"/>
      <c r="F28" s="15"/>
      <c r="G28" s="15"/>
      <c r="H28" s="16"/>
      <c r="I28" s="15"/>
      <c r="J28" s="15"/>
      <c r="K28" s="15"/>
      <c r="L28" s="15"/>
      <c r="M28" s="15"/>
      <c r="N28" s="15"/>
      <c r="O28" s="15">
        <v>3900</v>
      </c>
      <c r="P28" s="17"/>
      <c r="Q28" s="15"/>
      <c r="R28" s="15">
        <f t="shared" si="1"/>
        <v>3900</v>
      </c>
    </row>
    <row r="29" spans="1:18" x14ac:dyDescent="0.25">
      <c r="A29" s="11">
        <f t="shared" si="0"/>
        <v>23</v>
      </c>
      <c r="B29" s="12" t="s">
        <v>35</v>
      </c>
      <c r="C29" s="13" t="s">
        <v>45</v>
      </c>
      <c r="D29" s="14" t="s">
        <v>24</v>
      </c>
      <c r="E29" s="15"/>
      <c r="F29" s="15"/>
      <c r="G29" s="15"/>
      <c r="H29" s="16"/>
      <c r="I29" s="15"/>
      <c r="J29" s="15"/>
      <c r="K29" s="15"/>
      <c r="L29" s="15"/>
      <c r="M29" s="15"/>
      <c r="N29" s="15"/>
      <c r="O29" s="15">
        <v>2700</v>
      </c>
      <c r="P29" s="17"/>
      <c r="Q29" s="15"/>
      <c r="R29" s="15">
        <f t="shared" si="1"/>
        <v>2700</v>
      </c>
    </row>
    <row r="30" spans="1:18" x14ac:dyDescent="0.25">
      <c r="A30" s="11">
        <f t="shared" si="0"/>
        <v>24</v>
      </c>
      <c r="B30" s="12" t="s">
        <v>35</v>
      </c>
      <c r="C30" s="13" t="s">
        <v>45</v>
      </c>
      <c r="D30" s="14" t="s">
        <v>24</v>
      </c>
      <c r="E30" s="15"/>
      <c r="F30" s="15"/>
      <c r="G30" s="15"/>
      <c r="H30" s="16"/>
      <c r="I30" s="15"/>
      <c r="J30" s="15"/>
      <c r="K30" s="15"/>
      <c r="L30" s="15"/>
      <c r="M30" s="16"/>
      <c r="N30" s="16"/>
      <c r="O30" s="15">
        <v>15750</v>
      </c>
      <c r="P30" s="17"/>
      <c r="Q30" s="15"/>
      <c r="R30" s="15">
        <f t="shared" si="1"/>
        <v>15750</v>
      </c>
    </row>
    <row r="31" spans="1:18" x14ac:dyDescent="0.25">
      <c r="A31" s="11">
        <f t="shared" si="0"/>
        <v>25</v>
      </c>
      <c r="B31" s="12" t="s">
        <v>37</v>
      </c>
      <c r="C31" s="13" t="s">
        <v>43</v>
      </c>
      <c r="D31" s="14" t="s">
        <v>24</v>
      </c>
      <c r="E31" s="15"/>
      <c r="F31" s="15"/>
      <c r="G31" s="15"/>
      <c r="H31" s="15"/>
      <c r="I31" s="15"/>
      <c r="J31" s="15"/>
      <c r="K31" s="15"/>
      <c r="L31" s="15"/>
      <c r="M31" s="16"/>
      <c r="N31" s="16"/>
      <c r="O31" s="15">
        <v>165375</v>
      </c>
      <c r="P31" s="16"/>
      <c r="Q31" s="16"/>
      <c r="R31" s="15">
        <f>SUM(F31:P31)</f>
        <v>165375</v>
      </c>
    </row>
    <row r="32" spans="1:18" x14ac:dyDescent="0.25">
      <c r="A32" s="11">
        <f t="shared" si="0"/>
        <v>26</v>
      </c>
      <c r="B32" s="12" t="s">
        <v>35</v>
      </c>
      <c r="C32" s="13" t="s">
        <v>45</v>
      </c>
      <c r="D32" s="14" t="s">
        <v>24</v>
      </c>
      <c r="E32" s="15"/>
      <c r="F32" s="15"/>
      <c r="G32" s="15"/>
      <c r="H32" s="16"/>
      <c r="I32" s="15"/>
      <c r="J32" s="15"/>
      <c r="K32" s="15"/>
      <c r="L32" s="15"/>
      <c r="M32" s="16"/>
      <c r="N32" s="16"/>
      <c r="O32" s="15"/>
      <c r="P32" s="15">
        <v>12660</v>
      </c>
      <c r="Q32" s="15"/>
      <c r="R32" s="15">
        <f t="shared" ref="R32:R40" si="2">SUM(F32:Q32)</f>
        <v>12660</v>
      </c>
    </row>
    <row r="33" spans="1:18" x14ac:dyDescent="0.25">
      <c r="A33" s="11">
        <f t="shared" si="0"/>
        <v>27</v>
      </c>
      <c r="B33" s="12" t="s">
        <v>36</v>
      </c>
      <c r="C33" s="13" t="s">
        <v>45</v>
      </c>
      <c r="D33" s="14" t="s">
        <v>24</v>
      </c>
      <c r="E33" s="15"/>
      <c r="F33" s="15"/>
      <c r="G33" s="15"/>
      <c r="H33" s="15"/>
      <c r="I33" s="16"/>
      <c r="J33" s="15"/>
      <c r="K33" s="15"/>
      <c r="L33" s="16"/>
      <c r="M33" s="15"/>
      <c r="N33" s="15"/>
      <c r="O33" s="15"/>
      <c r="P33" s="15">
        <v>16100</v>
      </c>
      <c r="Q33" s="15"/>
      <c r="R33" s="15">
        <f t="shared" si="2"/>
        <v>16100</v>
      </c>
    </row>
    <row r="34" spans="1:18" x14ac:dyDescent="0.25">
      <c r="A34" s="11">
        <f t="shared" si="0"/>
        <v>28</v>
      </c>
      <c r="B34" s="12" t="s">
        <v>35</v>
      </c>
      <c r="C34" s="13" t="s">
        <v>45</v>
      </c>
      <c r="D34" s="14" t="s">
        <v>24</v>
      </c>
      <c r="E34" s="15"/>
      <c r="F34" s="15"/>
      <c r="G34" s="15"/>
      <c r="H34" s="16"/>
      <c r="I34" s="15"/>
      <c r="J34" s="15"/>
      <c r="K34" s="15"/>
      <c r="L34" s="15"/>
      <c r="M34" s="15"/>
      <c r="N34" s="15"/>
      <c r="O34" s="15"/>
      <c r="P34" s="15">
        <v>7000</v>
      </c>
      <c r="Q34" s="15"/>
      <c r="R34" s="15">
        <f t="shared" si="2"/>
        <v>7000</v>
      </c>
    </row>
    <row r="35" spans="1:18" x14ac:dyDescent="0.25">
      <c r="A35" s="11">
        <f t="shared" si="0"/>
        <v>29</v>
      </c>
      <c r="B35" s="12" t="s">
        <v>34</v>
      </c>
      <c r="C35" s="13" t="s">
        <v>43</v>
      </c>
      <c r="D35" s="14" t="s">
        <v>24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15">
        <v>199998.2</v>
      </c>
      <c r="Q35" s="16"/>
      <c r="R35" s="15">
        <f t="shared" si="2"/>
        <v>199998.2</v>
      </c>
    </row>
    <row r="36" spans="1:18" x14ac:dyDescent="0.25">
      <c r="A36" s="11">
        <f t="shared" si="0"/>
        <v>30</v>
      </c>
      <c r="B36" s="12" t="s">
        <v>38</v>
      </c>
      <c r="C36" s="13" t="s">
        <v>43</v>
      </c>
      <c r="D36" s="14" t="s">
        <v>24</v>
      </c>
      <c r="E36" s="15"/>
      <c r="F36" s="15"/>
      <c r="G36" s="15"/>
      <c r="H36" s="15"/>
      <c r="I36" s="15"/>
      <c r="J36" s="15"/>
      <c r="K36" s="15"/>
      <c r="L36" s="15"/>
      <c r="M36" s="16"/>
      <c r="N36" s="16"/>
      <c r="O36" s="16"/>
      <c r="P36" s="15">
        <v>8673</v>
      </c>
      <c r="Q36" s="16"/>
      <c r="R36" s="15">
        <f t="shared" si="2"/>
        <v>8673</v>
      </c>
    </row>
    <row r="37" spans="1:18" x14ac:dyDescent="0.25">
      <c r="A37" s="11">
        <f t="shared" si="0"/>
        <v>31</v>
      </c>
      <c r="B37" s="12" t="s">
        <v>36</v>
      </c>
      <c r="C37" s="13" t="s">
        <v>45</v>
      </c>
      <c r="D37" s="14" t="s">
        <v>24</v>
      </c>
      <c r="E37" s="15"/>
      <c r="F37" s="15"/>
      <c r="G37" s="15"/>
      <c r="H37" s="15"/>
      <c r="I37" s="15"/>
      <c r="J37" s="15"/>
      <c r="K37" s="16"/>
      <c r="L37" s="16"/>
      <c r="M37" s="15"/>
      <c r="N37" s="15"/>
      <c r="O37" s="15"/>
      <c r="P37" s="17"/>
      <c r="Q37" s="15">
        <v>950</v>
      </c>
      <c r="R37" s="15">
        <f t="shared" si="2"/>
        <v>950</v>
      </c>
    </row>
    <row r="38" spans="1:18" ht="22.5" x14ac:dyDescent="0.25">
      <c r="A38" s="11">
        <f t="shared" si="0"/>
        <v>32</v>
      </c>
      <c r="B38" s="27" t="s">
        <v>39</v>
      </c>
      <c r="C38" s="13" t="s">
        <v>45</v>
      </c>
      <c r="D38" s="14" t="s">
        <v>24</v>
      </c>
      <c r="E38" s="15"/>
      <c r="F38" s="15"/>
      <c r="G38" s="15"/>
      <c r="H38" s="15"/>
      <c r="I38" s="16"/>
      <c r="J38" s="15"/>
      <c r="K38" s="15"/>
      <c r="L38" s="16"/>
      <c r="M38" s="15"/>
      <c r="N38" s="15"/>
      <c r="O38" s="15"/>
      <c r="P38" s="17"/>
      <c r="Q38" s="15">
        <v>30444</v>
      </c>
      <c r="R38" s="15">
        <f t="shared" si="2"/>
        <v>30444</v>
      </c>
    </row>
    <row r="39" spans="1:18" x14ac:dyDescent="0.25">
      <c r="A39" s="11">
        <f t="shared" si="0"/>
        <v>33</v>
      </c>
      <c r="B39" s="12" t="s">
        <v>40</v>
      </c>
      <c r="C39" s="13" t="s">
        <v>45</v>
      </c>
      <c r="D39" s="14" t="s">
        <v>24</v>
      </c>
      <c r="E39" s="15"/>
      <c r="F39" s="15"/>
      <c r="G39" s="15"/>
      <c r="H39" s="16"/>
      <c r="I39" s="15"/>
      <c r="J39" s="16"/>
      <c r="K39" s="15"/>
      <c r="L39" s="15"/>
      <c r="M39" s="15"/>
      <c r="N39" s="15"/>
      <c r="O39" s="15"/>
      <c r="P39" s="17"/>
      <c r="Q39" s="15">
        <v>12980</v>
      </c>
      <c r="R39" s="15">
        <f t="shared" si="2"/>
        <v>12980</v>
      </c>
    </row>
    <row r="40" spans="1:18" x14ac:dyDescent="0.25">
      <c r="A40" s="11">
        <f t="shared" si="0"/>
        <v>34</v>
      </c>
      <c r="B40" s="12" t="s">
        <v>41</v>
      </c>
      <c r="C40" s="13" t="s">
        <v>45</v>
      </c>
      <c r="D40" s="14" t="s">
        <v>24</v>
      </c>
      <c r="E40" s="15"/>
      <c r="F40" s="15"/>
      <c r="G40" s="15"/>
      <c r="H40" s="15"/>
      <c r="I40" s="15"/>
      <c r="J40" s="15"/>
      <c r="K40" s="15"/>
      <c r="L40" s="15"/>
      <c r="M40" s="16"/>
      <c r="N40" s="15"/>
      <c r="O40" s="15"/>
      <c r="P40" s="15"/>
      <c r="Q40" s="15">
        <v>16520</v>
      </c>
      <c r="R40" s="15">
        <f t="shared" si="2"/>
        <v>16520</v>
      </c>
    </row>
    <row r="41" spans="1:18" x14ac:dyDescent="0.25">
      <c r="A41" s="25" t="s">
        <v>42</v>
      </c>
      <c r="B41" s="26"/>
      <c r="C41" s="26"/>
      <c r="D41" s="26"/>
      <c r="E41" s="19">
        <f t="shared" ref="E41:R41" si="3">SUM(E7:E40)</f>
        <v>0</v>
      </c>
      <c r="F41" s="19">
        <f t="shared" si="3"/>
        <v>0</v>
      </c>
      <c r="G41" s="19">
        <f t="shared" si="3"/>
        <v>0</v>
      </c>
      <c r="H41" s="19">
        <f t="shared" si="3"/>
        <v>890567.91</v>
      </c>
      <c r="I41" s="19">
        <f t="shared" si="3"/>
        <v>380367.1</v>
      </c>
      <c r="J41" s="19">
        <f t="shared" si="3"/>
        <v>0</v>
      </c>
      <c r="K41" s="19">
        <f t="shared" si="3"/>
        <v>137691.84</v>
      </c>
      <c r="L41" s="19">
        <f t="shared" si="3"/>
        <v>9500</v>
      </c>
      <c r="M41" s="19">
        <f t="shared" si="3"/>
        <v>13900</v>
      </c>
      <c r="N41" s="19">
        <f t="shared" si="3"/>
        <v>18500</v>
      </c>
      <c r="O41" s="19">
        <f t="shared" si="3"/>
        <v>229530</v>
      </c>
      <c r="P41" s="19">
        <f t="shared" si="3"/>
        <v>244431.2</v>
      </c>
      <c r="Q41" s="19">
        <f t="shared" si="3"/>
        <v>60894</v>
      </c>
      <c r="R41" s="19">
        <f t="shared" si="3"/>
        <v>1985382.0500000003</v>
      </c>
    </row>
    <row r="42" spans="1:18" x14ac:dyDescent="0.25">
      <c r="R42" s="21"/>
    </row>
    <row r="44" spans="1:18" x14ac:dyDescent="0.25">
      <c r="R44" s="22"/>
    </row>
    <row r="45" spans="1:18" x14ac:dyDescent="0.25">
      <c r="R45" s="22"/>
    </row>
  </sheetData>
  <mergeCells count="4">
    <mergeCell ref="A1:R1"/>
    <mergeCell ref="A2:R2"/>
    <mergeCell ref="A3:R3"/>
    <mergeCell ref="A41:D41"/>
  </mergeCells>
  <pageMargins left="0.70866141732283472" right="0.70866141732283472" top="0.74803149606299213" bottom="0.74803149606299213" header="0.31496062992125984" footer="0.31496062992125984"/>
  <pageSetup scale="5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cp:lastPrinted>2025-09-09T13:24:34Z</cp:lastPrinted>
  <dcterms:created xsi:type="dcterms:W3CDTF">2025-09-03T13:07:38Z</dcterms:created>
  <dcterms:modified xsi:type="dcterms:W3CDTF">2025-09-09T13:30:16Z</dcterms:modified>
</cp:coreProperties>
</file>
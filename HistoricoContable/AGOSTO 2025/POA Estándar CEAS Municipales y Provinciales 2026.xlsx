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ontabilidad\Desktop\DOCUMENTACION PORTAL DE TRANSPARENCIA\LIBROS DE BANCOS\AÑO 2025\AGOSTO 2025\"/>
    </mc:Choice>
  </mc:AlternateContent>
  <bookViews>
    <workbookView xWindow="-120" yWindow="-120" windowWidth="25440" windowHeight="15390" tabRatio="599" activeTab="5"/>
  </bookViews>
  <sheets>
    <sheet name="PPNE1" sheetId="2" r:id="rId1"/>
    <sheet name="PPNE2" sheetId="55" r:id="rId2"/>
    <sheet name="Sheet1" sheetId="57" state="hidden" r:id="rId3"/>
    <sheet name="PPNE2.1" sheetId="56" r:id="rId4"/>
    <sheet name="PPNE3" sheetId="52" r:id="rId5"/>
    <sheet name="PPNE4" sheetId="49" r:id="rId6"/>
    <sheet name="PPNE5" sheetId="53" r:id="rId7"/>
    <sheet name="Insumos" sheetId="54" state="hidden" r:id="rId8"/>
  </sheets>
  <definedNames>
    <definedName name="_xlnm._FilterDatabase" localSheetId="7" hidden="1">Insumos!$A$1:$E$517</definedName>
    <definedName name="_xlnm._FilterDatabase" localSheetId="1" hidden="1">PPNE2!$V$1:$V$325</definedName>
    <definedName name="_xlnm._FilterDatabase" localSheetId="5" hidden="1">PPNE4!$A$16:$O$328</definedName>
    <definedName name="_xlnm._FilterDatabase" localSheetId="6" hidden="1">PPNE5!$A$16:$K$326</definedName>
    <definedName name="_xlnm.Print_Area" localSheetId="5">PPNE4!$A$1:$O$688</definedName>
    <definedName name="CodigoActividad">#REF!</definedName>
    <definedName name="Insumos" localSheetId="1">#REF!</definedName>
    <definedName name="Insumos">Insumos!$A$540:$A$583</definedName>
    <definedName name="Ls_DepartamentosSRS">#REF!</definedName>
    <definedName name="Ls_LinesEstategica">#REF!</definedName>
    <definedName name="Ls_Medio_Verificacion">#REF!</definedName>
    <definedName name="ls_Regiones">#REF!</definedName>
    <definedName name="ls_TiposAcciones">#REF!</definedName>
    <definedName name="lsAcabadosTextiles">Insumos!$C$2:$C$3</definedName>
    <definedName name="lsAireAcondicionado">Insumos!$C$333:$C$334</definedName>
    <definedName name="lsAlimentosyBebidas">Insumos!$C$4:$C$23</definedName>
    <definedName name="lsArticulosdePlastico">Insumos!$C$24:$C$30</definedName>
    <definedName name="lsElectrodomesticos">Insumos!$C$31:$C$35</definedName>
    <definedName name="lsEquiposComputos">Insumos!$C$132:$C$136</definedName>
    <definedName name="lsEquiposMedicos">Insumos!$C$44:$C$131</definedName>
    <definedName name="lsEquiposSeguridad">Insumos!$C$137:$C$138</definedName>
    <definedName name="lsEquiposTransporte">Insumos!$C$518:$C$520</definedName>
    <definedName name="lsEventosGenerales">Insumos!$C$139:$C$141</definedName>
    <definedName name="lsFuentesFinanciamiento">#REF!</definedName>
    <definedName name="lsGasoil">Insumos!$C$142:$C$149</definedName>
    <definedName name="lsHerramientasMenores">Insumos!$C$150:$C$179</definedName>
    <definedName name="lsImpresionyEncuadernacion">Insumos!$C$180</definedName>
    <definedName name="lsInsumos">#REF!</definedName>
    <definedName name="lsInsumosEquipos">#REF!</definedName>
    <definedName name="lsLlantasyNeumaticos">Insumos!$C$181:$C$188</definedName>
    <definedName name="lsMantenimiento">Insumos!$C$189:$C$202</definedName>
    <definedName name="lsMaterialesdeLimpieza">Insumos!$C$203:$C$217</definedName>
    <definedName name="lsMueblesdeAlojamiento">Insumos!$C$218:$C$219</definedName>
    <definedName name="lsMueblesdeOficina">Insumos!$C$220:$C$243</definedName>
    <definedName name="lsObrasMenoresEdificaciones">Insumos!$C$244</definedName>
    <definedName name="lsOtrosEquipos">Insumos!$C$245:$C$248</definedName>
    <definedName name="lsPeaje">Insumos!$C$249</definedName>
    <definedName name="lsPinturas">Insumos!$C$250:$C$251</definedName>
    <definedName name="lsProductosArtesGraficas">Insumos!$C$252:$C$253</definedName>
    <definedName name="lsProductosdeCemento">Insumos!$C$254</definedName>
    <definedName name="lsProductosdeLoza">Insumos!$C$255:$C$257</definedName>
    <definedName name="lsProductosdePapel">Insumos!$C$258:$C$282</definedName>
    <definedName name="lsProductosdeVidrio">Insumos!$C$283:$C$287</definedName>
    <definedName name="lsProductosElectricos">Insumos!$C$288:$C$309</definedName>
    <definedName name="lsProductosMedicinalesH">Insumos!$C$310:$C$328</definedName>
    <definedName name="lsProductosMetalicos">Insumos!$C$329</definedName>
    <definedName name="lsProductosQuimicos">Insumos!$C$330</definedName>
    <definedName name="lsPublicidadyPropaganda">Insumos!$C$331</definedName>
    <definedName name="lsServiciosTecnicosProfesionales">Insumos!$C$332</definedName>
    <definedName name="lsTelecomunicaciones">Insumos!$C$36:$C$43</definedName>
    <definedName name="LsTipoEESS">#REF!</definedName>
    <definedName name="lsTipoIntervencion">#REF!</definedName>
    <definedName name="lsUtilesdeCocina">Insumos!$C$335:$C$346</definedName>
    <definedName name="lsUtilesdeOficina">Insumos!$C$347:$C$475</definedName>
    <definedName name="lsUtilesMenoresMQ">Insumos!$C$476:$C$513</definedName>
    <definedName name="lsViaticosDP">Insumos!$C$514:$C$517</definedName>
    <definedName name="Periodo_POA">#REF!</definedName>
    <definedName name="Productos">#REF!</definedName>
    <definedName name="Provincias">#REF!</definedName>
    <definedName name="_xlnm.Print_Titles" localSheetId="5">PPNE4!$16:$17</definedName>
    <definedName name="_xlnm.Print_Titles" localSheetId="6">PPNE5!$16:$17</definedName>
  </definedNames>
  <calcPr calcId="152511"/>
</workbook>
</file>

<file path=xl/calcChain.xml><?xml version="1.0" encoding="utf-8"?>
<calcChain xmlns="http://schemas.openxmlformats.org/spreadsheetml/2006/main">
  <c r="K18" i="53" l="1"/>
  <c r="K19" i="53"/>
  <c r="K20" i="53"/>
  <c r="K21" i="53"/>
  <c r="K22" i="53"/>
  <c r="K23" i="53"/>
  <c r="K24" i="53"/>
  <c r="K25" i="53"/>
  <c r="K26" i="53"/>
  <c r="K27" i="53"/>
  <c r="K28" i="53"/>
  <c r="K29" i="53"/>
  <c r="K30" i="53"/>
  <c r="K31" i="53"/>
  <c r="K32" i="53"/>
  <c r="K33" i="53"/>
  <c r="K34" i="53"/>
  <c r="K35" i="53"/>
  <c r="K36" i="53"/>
  <c r="K37" i="53"/>
  <c r="K38" i="53"/>
  <c r="K39" i="53"/>
  <c r="K40" i="53"/>
  <c r="K41" i="53"/>
  <c r="K42" i="53"/>
  <c r="K43" i="53"/>
  <c r="K44" i="53"/>
  <c r="K45" i="53"/>
  <c r="K46" i="53"/>
  <c r="K47" i="53"/>
  <c r="K48" i="53"/>
  <c r="K49" i="53"/>
  <c r="K50" i="53"/>
  <c r="K51" i="53"/>
  <c r="K52" i="53"/>
  <c r="K53" i="53"/>
  <c r="K54" i="53"/>
  <c r="K55" i="53"/>
  <c r="K56" i="53"/>
  <c r="K57" i="53"/>
  <c r="K58" i="53"/>
  <c r="K59" i="53"/>
  <c r="K60" i="53"/>
  <c r="K61" i="53"/>
  <c r="K62" i="53"/>
  <c r="K63" i="53"/>
  <c r="K64" i="53"/>
  <c r="K65" i="53"/>
  <c r="K66" i="53"/>
  <c r="K67" i="53"/>
  <c r="K68" i="53"/>
  <c r="K69" i="53"/>
  <c r="K70" i="53"/>
  <c r="K71" i="53"/>
  <c r="K72" i="53"/>
  <c r="K73" i="53"/>
  <c r="K74" i="53"/>
  <c r="K75" i="53"/>
  <c r="K76" i="53"/>
  <c r="K77" i="53"/>
  <c r="K78" i="53"/>
  <c r="K79" i="53"/>
  <c r="K80" i="53"/>
  <c r="K81" i="53"/>
  <c r="K82" i="53"/>
  <c r="K83" i="53"/>
  <c r="K84" i="53"/>
  <c r="K85" i="53"/>
  <c r="K86" i="53"/>
  <c r="K87" i="53"/>
  <c r="K88" i="53"/>
  <c r="K89" i="53"/>
  <c r="K90" i="53"/>
  <c r="K91" i="53"/>
  <c r="K92" i="53"/>
  <c r="K93" i="53"/>
  <c r="K94" i="53"/>
  <c r="K95" i="53"/>
  <c r="K96" i="53"/>
  <c r="K97" i="53"/>
  <c r="K98" i="53"/>
  <c r="K99" i="53"/>
  <c r="K100" i="53"/>
  <c r="K101" i="53"/>
  <c r="K102" i="53"/>
  <c r="K103" i="53"/>
  <c r="K104" i="53"/>
  <c r="K105" i="53"/>
  <c r="K106" i="53"/>
  <c r="K107" i="53"/>
  <c r="K108" i="53"/>
  <c r="K109" i="53"/>
  <c r="K110" i="53"/>
  <c r="K111" i="53"/>
  <c r="K112" i="53"/>
  <c r="K113" i="53"/>
  <c r="K114" i="53"/>
  <c r="K115" i="53"/>
  <c r="K116" i="53"/>
  <c r="K117" i="53"/>
  <c r="K118" i="53"/>
  <c r="K119" i="53"/>
  <c r="K120" i="53"/>
  <c r="K121" i="53"/>
  <c r="K122" i="53"/>
  <c r="K123" i="53"/>
  <c r="K124" i="53"/>
  <c r="K125" i="53"/>
  <c r="K126" i="53"/>
  <c r="K127" i="53"/>
  <c r="K128" i="53"/>
  <c r="K129" i="53"/>
  <c r="K130" i="53"/>
  <c r="K131" i="53"/>
  <c r="K132" i="53"/>
  <c r="K133" i="53"/>
  <c r="K134" i="53"/>
  <c r="K135" i="53"/>
  <c r="K136" i="53"/>
  <c r="K137" i="53"/>
  <c r="K138" i="53"/>
  <c r="K139" i="53"/>
  <c r="K140" i="53"/>
  <c r="K141" i="53"/>
  <c r="K142" i="53"/>
  <c r="K143" i="53"/>
  <c r="K144" i="53"/>
  <c r="K145" i="53"/>
  <c r="K146" i="53"/>
  <c r="K147" i="53"/>
  <c r="K148" i="53"/>
  <c r="K149" i="53"/>
  <c r="K150" i="53"/>
  <c r="K151" i="53"/>
  <c r="K152" i="53"/>
  <c r="K153" i="53"/>
  <c r="K154" i="53"/>
  <c r="K155" i="53"/>
  <c r="K156" i="53"/>
  <c r="K157" i="53"/>
  <c r="K158" i="53"/>
  <c r="K159" i="53"/>
  <c r="K160" i="53"/>
  <c r="K161" i="53"/>
  <c r="K162" i="53"/>
  <c r="K163" i="53"/>
  <c r="K164" i="53"/>
  <c r="K165" i="53"/>
  <c r="K166" i="53"/>
  <c r="K167" i="53"/>
  <c r="K168" i="53"/>
  <c r="K169" i="53"/>
  <c r="K170" i="53"/>
  <c r="K171" i="53"/>
  <c r="K172" i="53"/>
  <c r="K173" i="53"/>
  <c r="K174" i="53"/>
  <c r="K175" i="53"/>
  <c r="K176" i="53"/>
  <c r="K177" i="53"/>
  <c r="K178" i="53"/>
  <c r="K179" i="53"/>
  <c r="K180" i="53"/>
  <c r="K181" i="53"/>
  <c r="K182" i="53"/>
  <c r="K183" i="53"/>
  <c r="K184" i="53"/>
  <c r="K185" i="53"/>
  <c r="K186" i="53"/>
  <c r="K187" i="53"/>
  <c r="K188" i="53"/>
  <c r="K189" i="53"/>
  <c r="K190" i="53"/>
  <c r="K191" i="53"/>
  <c r="K192" i="53"/>
  <c r="K193" i="53"/>
  <c r="K194" i="53"/>
  <c r="K195" i="53"/>
  <c r="K196" i="53"/>
  <c r="K197" i="53"/>
  <c r="K198" i="53"/>
  <c r="K199" i="53"/>
  <c r="K200" i="53"/>
  <c r="K201" i="53"/>
  <c r="K202" i="53"/>
  <c r="K203" i="53"/>
  <c r="K204" i="53"/>
  <c r="K205" i="53"/>
  <c r="K206" i="53"/>
  <c r="K207" i="53"/>
  <c r="K208" i="53"/>
  <c r="K209" i="53"/>
  <c r="K210" i="53"/>
  <c r="K211" i="53"/>
  <c r="K212" i="53"/>
  <c r="K213" i="53"/>
  <c r="K214" i="53"/>
  <c r="K215" i="53"/>
  <c r="K216" i="53"/>
  <c r="K217" i="53"/>
  <c r="K218" i="53"/>
  <c r="K219" i="53"/>
  <c r="K220" i="53"/>
  <c r="K221" i="53"/>
  <c r="K222" i="53"/>
  <c r="K223" i="53"/>
  <c r="K224" i="53"/>
  <c r="K225" i="53"/>
  <c r="K226" i="53"/>
  <c r="K227" i="53"/>
  <c r="K228" i="53"/>
  <c r="K229" i="53"/>
  <c r="K230" i="53"/>
  <c r="K231" i="53"/>
  <c r="K232" i="53"/>
  <c r="K233" i="53"/>
  <c r="K234" i="53"/>
  <c r="K235" i="53"/>
  <c r="K236" i="53"/>
  <c r="K237" i="53"/>
  <c r="K238" i="53"/>
  <c r="K239" i="53"/>
  <c r="K240" i="53"/>
  <c r="K241" i="53"/>
  <c r="K242" i="53"/>
  <c r="K243" i="53"/>
  <c r="K244" i="53"/>
  <c r="K245" i="53"/>
  <c r="K246" i="53"/>
  <c r="K247" i="53"/>
  <c r="K248" i="53"/>
  <c r="K249" i="53"/>
  <c r="K250" i="53"/>
  <c r="K251" i="53"/>
  <c r="K252" i="53"/>
  <c r="K253" i="53"/>
  <c r="K254" i="53"/>
  <c r="K255" i="53"/>
  <c r="K256" i="53"/>
  <c r="K257" i="53"/>
  <c r="K258" i="53"/>
  <c r="K259" i="53"/>
  <c r="K260" i="53"/>
  <c r="K261" i="53"/>
  <c r="K262" i="53"/>
  <c r="K263" i="53"/>
  <c r="K264" i="53"/>
  <c r="K265" i="53"/>
  <c r="K266" i="53"/>
  <c r="K267" i="53"/>
  <c r="K268" i="53"/>
  <c r="K269" i="53"/>
  <c r="K270" i="53"/>
  <c r="K271" i="53"/>
  <c r="K272" i="53"/>
  <c r="K273" i="53"/>
  <c r="K274" i="53"/>
  <c r="K275" i="53"/>
  <c r="K276" i="53"/>
  <c r="K277" i="53"/>
  <c r="K278" i="53"/>
  <c r="K279" i="53"/>
  <c r="K280" i="53"/>
  <c r="K281" i="53"/>
  <c r="K282" i="53"/>
  <c r="K283" i="53"/>
  <c r="K284" i="53"/>
  <c r="K285" i="53"/>
  <c r="K286" i="53"/>
  <c r="K287" i="53"/>
  <c r="K288" i="53"/>
  <c r="K289" i="53"/>
  <c r="K290" i="53"/>
  <c r="K291" i="53"/>
  <c r="K292" i="53"/>
  <c r="K293" i="53"/>
  <c r="K294" i="53"/>
  <c r="K295" i="53"/>
  <c r="K296" i="53"/>
  <c r="K297" i="53"/>
  <c r="K298" i="53"/>
  <c r="K299" i="53"/>
  <c r="K300" i="53"/>
  <c r="K301" i="53"/>
  <c r="K302" i="53"/>
  <c r="K303" i="53"/>
  <c r="K304" i="53"/>
  <c r="K305" i="53"/>
  <c r="K306" i="53"/>
  <c r="K307" i="53"/>
  <c r="K308" i="53"/>
  <c r="K309" i="53"/>
  <c r="K310" i="53"/>
  <c r="K311" i="53"/>
  <c r="K312" i="53"/>
  <c r="K313" i="53"/>
  <c r="K314" i="53"/>
  <c r="K315" i="53"/>
  <c r="K316" i="53"/>
  <c r="K317" i="53"/>
  <c r="K318" i="53"/>
  <c r="K319" i="53"/>
  <c r="K320" i="53"/>
  <c r="K321" i="53"/>
  <c r="K322" i="53"/>
  <c r="K323" i="53"/>
  <c r="K324" i="53"/>
  <c r="K325" i="53"/>
  <c r="K326" i="53"/>
  <c r="O18" i="49"/>
  <c r="O19" i="49"/>
  <c r="O20" i="49"/>
  <c r="O21" i="49"/>
  <c r="O22" i="49"/>
  <c r="O23" i="49"/>
  <c r="O24" i="49"/>
  <c r="O25" i="49"/>
  <c r="O26" i="49"/>
  <c r="O27" i="49"/>
  <c r="O28" i="49"/>
  <c r="O29" i="49"/>
  <c r="O30" i="49"/>
  <c r="O31" i="49"/>
  <c r="O32" i="49"/>
  <c r="O33" i="49"/>
  <c r="O34" i="49"/>
  <c r="O35" i="49"/>
  <c r="O36" i="49"/>
  <c r="O37" i="49"/>
  <c r="O38" i="49"/>
  <c r="O39" i="49"/>
  <c r="O40" i="49"/>
  <c r="O41" i="49"/>
  <c r="O42" i="49"/>
  <c r="O43" i="49"/>
  <c r="O44" i="49"/>
  <c r="O45" i="49"/>
  <c r="O46" i="49"/>
  <c r="O47" i="49"/>
  <c r="O48" i="49"/>
  <c r="O49" i="49"/>
  <c r="O50" i="49"/>
  <c r="O51" i="49"/>
  <c r="O52" i="49"/>
  <c r="O53" i="49"/>
  <c r="O54" i="49"/>
  <c r="O55" i="49"/>
  <c r="O56" i="49"/>
  <c r="O57" i="49"/>
  <c r="O58" i="49"/>
  <c r="O59" i="49"/>
  <c r="O60" i="49"/>
  <c r="O61" i="49"/>
  <c r="O62" i="49"/>
  <c r="O63" i="49"/>
  <c r="O64" i="49"/>
  <c r="O65" i="49"/>
  <c r="O66" i="49"/>
  <c r="O67" i="49"/>
  <c r="O68" i="49"/>
  <c r="O69" i="49"/>
  <c r="O70" i="49"/>
  <c r="O71" i="49"/>
  <c r="O72" i="49"/>
  <c r="O73" i="49"/>
  <c r="O74" i="49"/>
  <c r="O75" i="49"/>
  <c r="O76" i="49"/>
  <c r="O77" i="49"/>
  <c r="O78" i="49"/>
  <c r="O79" i="49"/>
  <c r="O80" i="49"/>
  <c r="O81" i="49"/>
  <c r="O82" i="49"/>
  <c r="O83" i="49"/>
  <c r="O84" i="49"/>
  <c r="O85" i="49"/>
  <c r="O86" i="49"/>
  <c r="O87" i="49"/>
  <c r="O88" i="49"/>
  <c r="O89" i="49"/>
  <c r="O90" i="49"/>
  <c r="O91" i="49"/>
  <c r="O92" i="49"/>
  <c r="O93" i="49"/>
  <c r="O94" i="49"/>
  <c r="O95" i="49"/>
  <c r="O96" i="49"/>
  <c r="O97" i="49"/>
  <c r="O98" i="49"/>
  <c r="O99" i="49"/>
  <c r="O100" i="49"/>
  <c r="O101" i="49"/>
  <c r="O102" i="49"/>
  <c r="O103" i="49"/>
  <c r="O104" i="49"/>
  <c r="O105" i="49"/>
  <c r="O106" i="49"/>
  <c r="O107" i="49"/>
  <c r="O108" i="49"/>
  <c r="O109" i="49"/>
  <c r="O110" i="49"/>
  <c r="O111" i="49"/>
  <c r="O112" i="49"/>
  <c r="O113" i="49"/>
  <c r="O114" i="49"/>
  <c r="O115" i="49"/>
  <c r="O116" i="49"/>
  <c r="O117" i="49"/>
  <c r="O118" i="49"/>
  <c r="O119" i="49"/>
  <c r="O120" i="49"/>
  <c r="O121" i="49"/>
  <c r="O122" i="49"/>
  <c r="O123" i="49"/>
  <c r="O124" i="49"/>
  <c r="O125" i="49"/>
  <c r="O126" i="49"/>
  <c r="O127" i="49"/>
  <c r="O128" i="49"/>
  <c r="O129" i="49"/>
  <c r="O130" i="49"/>
  <c r="O131" i="49"/>
  <c r="O132" i="49"/>
  <c r="O133" i="49"/>
  <c r="O134" i="49"/>
  <c r="O135" i="49"/>
  <c r="O136" i="49"/>
  <c r="O137" i="49"/>
  <c r="O138" i="49"/>
  <c r="O139" i="49"/>
  <c r="O140" i="49"/>
  <c r="O141" i="49"/>
  <c r="O142" i="49"/>
  <c r="O143" i="49"/>
  <c r="O144" i="49"/>
  <c r="O145" i="49"/>
  <c r="O146" i="49"/>
  <c r="O147" i="49"/>
  <c r="O148" i="49"/>
  <c r="O149" i="49"/>
  <c r="O150" i="49"/>
  <c r="O151" i="49"/>
  <c r="O152" i="49"/>
  <c r="O153" i="49"/>
  <c r="O154" i="49"/>
  <c r="O155" i="49"/>
  <c r="O156" i="49"/>
  <c r="O157" i="49"/>
  <c r="O158" i="49"/>
  <c r="O159" i="49"/>
  <c r="O160" i="49"/>
  <c r="O161" i="49"/>
  <c r="O162" i="49"/>
  <c r="O163" i="49"/>
  <c r="O164" i="49"/>
  <c r="O165" i="49"/>
  <c r="O166" i="49"/>
  <c r="O167" i="49"/>
  <c r="O168" i="49"/>
  <c r="O169" i="49"/>
  <c r="O170" i="49"/>
  <c r="O171" i="49"/>
  <c r="O172" i="49"/>
  <c r="O173" i="49"/>
  <c r="O174" i="49"/>
  <c r="O175" i="49"/>
  <c r="O176" i="49"/>
  <c r="O177" i="49"/>
  <c r="O178" i="49"/>
  <c r="O179" i="49"/>
  <c r="O180" i="49"/>
  <c r="O181" i="49"/>
  <c r="O182" i="49"/>
  <c r="O183" i="49"/>
  <c r="O184" i="49"/>
  <c r="O185" i="49"/>
  <c r="O186" i="49"/>
  <c r="O187" i="49"/>
  <c r="O188" i="49"/>
  <c r="O189" i="49"/>
  <c r="O190" i="49"/>
  <c r="O191" i="49"/>
  <c r="O192" i="49"/>
  <c r="O193" i="49"/>
  <c r="O194" i="49"/>
  <c r="O195" i="49"/>
  <c r="O196" i="49"/>
  <c r="O197" i="49"/>
  <c r="O198" i="49"/>
  <c r="O199" i="49"/>
  <c r="O200" i="49"/>
  <c r="O201" i="49"/>
  <c r="O202" i="49"/>
  <c r="O203" i="49"/>
  <c r="O204" i="49"/>
  <c r="O205" i="49"/>
  <c r="O206" i="49"/>
  <c r="O207" i="49"/>
  <c r="O208" i="49"/>
  <c r="O209" i="49"/>
  <c r="O210" i="49"/>
  <c r="O211" i="49"/>
  <c r="O212" i="49"/>
  <c r="O213" i="49"/>
  <c r="O214" i="49"/>
  <c r="O215" i="49"/>
  <c r="O216" i="49"/>
  <c r="O217" i="49"/>
  <c r="O218" i="49"/>
  <c r="O219" i="49"/>
  <c r="O220" i="49"/>
  <c r="O221" i="49"/>
  <c r="O222" i="49"/>
  <c r="O223" i="49"/>
  <c r="O224" i="49"/>
  <c r="O225" i="49"/>
  <c r="O226" i="49"/>
  <c r="O227" i="49"/>
  <c r="O228" i="49"/>
  <c r="O229" i="49"/>
  <c r="O230" i="49"/>
  <c r="O231" i="49"/>
  <c r="O232" i="49"/>
  <c r="O233" i="49"/>
  <c r="O234" i="49"/>
  <c r="O235" i="49"/>
  <c r="O236" i="49"/>
  <c r="O237" i="49"/>
  <c r="O238" i="49"/>
  <c r="O239" i="49"/>
  <c r="O240" i="49"/>
  <c r="O241" i="49"/>
  <c r="O242" i="49"/>
  <c r="O243" i="49"/>
  <c r="O244" i="49"/>
  <c r="O245" i="49"/>
  <c r="O246" i="49"/>
  <c r="O247" i="49"/>
  <c r="O248" i="49"/>
  <c r="O249" i="49"/>
  <c r="O250" i="49"/>
  <c r="O251" i="49"/>
  <c r="O252" i="49"/>
  <c r="O253" i="49"/>
  <c r="O254" i="49"/>
  <c r="O255" i="49"/>
  <c r="O256" i="49"/>
  <c r="O257" i="49"/>
  <c r="O258" i="49"/>
  <c r="O259" i="49"/>
  <c r="O260" i="49"/>
  <c r="O261" i="49"/>
  <c r="O262" i="49"/>
  <c r="O263" i="49"/>
  <c r="O264" i="49"/>
  <c r="O265" i="49"/>
  <c r="O266" i="49"/>
  <c r="O267" i="49"/>
  <c r="O268" i="49"/>
  <c r="O269" i="49"/>
  <c r="O270" i="49"/>
  <c r="O271" i="49"/>
  <c r="O272" i="49"/>
  <c r="O273" i="49"/>
  <c r="O274" i="49"/>
  <c r="O275" i="49"/>
  <c r="O276" i="49"/>
  <c r="O277" i="49"/>
  <c r="O278" i="49"/>
  <c r="O279" i="49"/>
  <c r="O280" i="49"/>
  <c r="O281" i="49"/>
  <c r="O282" i="49"/>
  <c r="O283" i="49"/>
  <c r="O284" i="49"/>
  <c r="O285" i="49"/>
  <c r="O286" i="49"/>
  <c r="O287" i="49"/>
  <c r="O288" i="49"/>
  <c r="O289" i="49"/>
  <c r="O290" i="49"/>
  <c r="O291" i="49"/>
  <c r="O292" i="49"/>
  <c r="O293" i="49"/>
  <c r="O294" i="49"/>
  <c r="O295" i="49"/>
  <c r="O296" i="49"/>
  <c r="O297" i="49"/>
  <c r="O298" i="49"/>
  <c r="O299" i="49"/>
  <c r="O300" i="49"/>
  <c r="O301" i="49"/>
  <c r="O302" i="49"/>
  <c r="O303" i="49"/>
  <c r="O304" i="49"/>
  <c r="O305" i="49"/>
  <c r="O306" i="49"/>
  <c r="O307" i="49"/>
  <c r="O308" i="49"/>
  <c r="O309" i="49"/>
  <c r="O310" i="49"/>
  <c r="O311" i="49"/>
  <c r="O312" i="49"/>
  <c r="O313" i="49"/>
  <c r="O314" i="49"/>
  <c r="O315" i="49"/>
  <c r="O316" i="49"/>
  <c r="O317" i="49"/>
  <c r="O318" i="49"/>
  <c r="O319" i="49"/>
  <c r="O321" i="49"/>
  <c r="O322" i="49"/>
  <c r="O323" i="49"/>
  <c r="O324" i="49"/>
  <c r="O325" i="49"/>
  <c r="O326" i="49"/>
  <c r="O327" i="49"/>
  <c r="O328" i="49"/>
  <c r="O320" i="49"/>
  <c r="N19" i="49"/>
  <c r="N20" i="49"/>
  <c r="N21" i="49"/>
  <c r="N22" i="49"/>
  <c r="N23" i="49"/>
  <c r="N24" i="49"/>
  <c r="N25" i="49"/>
  <c r="N26" i="49"/>
  <c r="N27" i="49"/>
  <c r="N28" i="49"/>
  <c r="N29" i="49"/>
  <c r="N30" i="49"/>
  <c r="N31" i="49"/>
  <c r="N32" i="49"/>
  <c r="N33" i="49"/>
  <c r="N34" i="49"/>
  <c r="N35" i="49"/>
  <c r="N36" i="49"/>
  <c r="N37" i="49"/>
  <c r="N38" i="49"/>
  <c r="N39" i="49"/>
  <c r="N40" i="49"/>
  <c r="N41" i="49"/>
  <c r="N42" i="49"/>
  <c r="N43" i="49"/>
  <c r="N44" i="49"/>
  <c r="N45" i="49"/>
  <c r="N46" i="49"/>
  <c r="N47" i="49"/>
  <c r="N48" i="49"/>
  <c r="N49" i="49"/>
  <c r="N50" i="49"/>
  <c r="N51" i="49"/>
  <c r="N52" i="49"/>
  <c r="N53" i="49"/>
  <c r="N54" i="49"/>
  <c r="N55" i="49"/>
  <c r="N56" i="49"/>
  <c r="N57" i="49"/>
  <c r="N58" i="49"/>
  <c r="N59" i="49"/>
  <c r="N60" i="49"/>
  <c r="N61" i="49"/>
  <c r="N62" i="49"/>
  <c r="N63" i="49"/>
  <c r="N64" i="49"/>
  <c r="N65" i="49"/>
  <c r="N66" i="49"/>
  <c r="N68" i="49"/>
  <c r="N69" i="49"/>
  <c r="N70" i="49"/>
  <c r="N71" i="49"/>
  <c r="N72" i="49"/>
  <c r="N73" i="49"/>
  <c r="N74" i="49"/>
  <c r="N75" i="49"/>
  <c r="N76" i="49"/>
  <c r="N77" i="49"/>
  <c r="N78" i="49"/>
  <c r="N79" i="49"/>
  <c r="N80" i="49"/>
  <c r="N81" i="49"/>
  <c r="N82" i="49"/>
  <c r="N83" i="49"/>
  <c r="N84" i="49"/>
  <c r="N85" i="49"/>
  <c r="N86" i="49"/>
  <c r="N87" i="49"/>
  <c r="N88" i="49"/>
  <c r="N89" i="49"/>
  <c r="N90" i="49"/>
  <c r="N91" i="49"/>
  <c r="N92" i="49"/>
  <c r="N93" i="49"/>
  <c r="N94" i="49"/>
  <c r="N95" i="49"/>
  <c r="N96" i="49"/>
  <c r="N97" i="49"/>
  <c r="N98" i="49"/>
  <c r="N99" i="49"/>
  <c r="N100" i="49"/>
  <c r="N101" i="49"/>
  <c r="N102" i="49"/>
  <c r="N103" i="49"/>
  <c r="N104" i="49"/>
  <c r="N105" i="49"/>
  <c r="N106" i="49"/>
  <c r="N107" i="49"/>
  <c r="N108" i="49"/>
  <c r="N109" i="49"/>
  <c r="N110" i="49"/>
  <c r="N111" i="49"/>
  <c r="N112" i="49"/>
  <c r="N113" i="49"/>
  <c r="N114" i="49"/>
  <c r="N115" i="49"/>
  <c r="N116" i="49"/>
  <c r="N117" i="49"/>
  <c r="N118" i="49"/>
  <c r="N119" i="49"/>
  <c r="N120" i="49"/>
  <c r="N121" i="49"/>
  <c r="N122" i="49"/>
  <c r="N123" i="49"/>
  <c r="N124" i="49"/>
  <c r="N125" i="49"/>
  <c r="N126" i="49"/>
  <c r="N127" i="49"/>
  <c r="N128" i="49"/>
  <c r="N129" i="49"/>
  <c r="N130" i="49"/>
  <c r="N131" i="49"/>
  <c r="N132" i="49"/>
  <c r="N133" i="49"/>
  <c r="N134" i="49"/>
  <c r="N135" i="49"/>
  <c r="N136" i="49"/>
  <c r="N137" i="49"/>
  <c r="N138" i="49"/>
  <c r="N139" i="49"/>
  <c r="N140" i="49"/>
  <c r="N141" i="49"/>
  <c r="N142" i="49"/>
  <c r="N144" i="49"/>
  <c r="N145" i="49"/>
  <c r="N146" i="49"/>
  <c r="N147" i="49"/>
  <c r="N148" i="49"/>
  <c r="N149" i="49"/>
  <c r="N150" i="49"/>
  <c r="N151" i="49"/>
  <c r="N152" i="49"/>
  <c r="N153" i="49"/>
  <c r="N154" i="49"/>
  <c r="N155" i="49"/>
  <c r="N156" i="49"/>
  <c r="N157" i="49"/>
  <c r="N158" i="49"/>
  <c r="N159" i="49"/>
  <c r="N160" i="49"/>
  <c r="N161" i="49"/>
  <c r="N162" i="49"/>
  <c r="N163" i="49"/>
  <c r="N164" i="49"/>
  <c r="N165" i="49"/>
  <c r="N166" i="49"/>
  <c r="N167" i="49"/>
  <c r="N169" i="49"/>
  <c r="N170" i="49"/>
  <c r="N174" i="49"/>
  <c r="N175" i="49"/>
  <c r="N176" i="49"/>
  <c r="N177" i="49"/>
  <c r="N178" i="49"/>
  <c r="N179" i="49"/>
  <c r="N180" i="49"/>
  <c r="N181" i="49"/>
  <c r="N182" i="49"/>
  <c r="N183" i="49"/>
  <c r="N184" i="49"/>
  <c r="N185" i="49"/>
  <c r="N186" i="49"/>
  <c r="N187" i="49"/>
  <c r="N188" i="49"/>
  <c r="N189" i="49"/>
  <c r="N190" i="49"/>
  <c r="N191" i="49"/>
  <c r="N192" i="49"/>
  <c r="N193" i="49"/>
  <c r="N194" i="49"/>
  <c r="N195" i="49"/>
  <c r="N196" i="49"/>
  <c r="N197" i="49"/>
  <c r="N198" i="49"/>
  <c r="N199" i="49"/>
  <c r="N200" i="49"/>
  <c r="N201" i="49"/>
  <c r="N202" i="49"/>
  <c r="N203" i="49"/>
  <c r="N204" i="49"/>
  <c r="N205" i="49"/>
  <c r="N206" i="49"/>
  <c r="N207" i="49"/>
  <c r="N208" i="49"/>
  <c r="N209" i="49"/>
  <c r="N210" i="49"/>
  <c r="N211" i="49"/>
  <c r="N212" i="49"/>
  <c r="N213" i="49"/>
  <c r="N214" i="49"/>
  <c r="N215" i="49"/>
  <c r="N216" i="49"/>
  <c r="N217" i="49"/>
  <c r="N218" i="49"/>
  <c r="N219" i="49"/>
  <c r="N220" i="49"/>
  <c r="N221" i="49"/>
  <c r="N222" i="49"/>
  <c r="N223" i="49"/>
  <c r="N224" i="49"/>
  <c r="N226" i="49"/>
  <c r="N227" i="49"/>
  <c r="N228" i="49"/>
  <c r="N229" i="49"/>
  <c r="N230" i="49"/>
  <c r="N231" i="49"/>
  <c r="N232" i="49"/>
  <c r="N234" i="49"/>
  <c r="N235" i="49"/>
  <c r="N236" i="49"/>
  <c r="N237" i="49"/>
  <c r="N238" i="49"/>
  <c r="N239" i="49"/>
  <c r="N240" i="49"/>
  <c r="N241" i="49"/>
  <c r="N242" i="49"/>
  <c r="N243" i="49"/>
  <c r="N244" i="49"/>
  <c r="N245" i="49"/>
  <c r="N246" i="49"/>
  <c r="N247" i="49"/>
  <c r="N248" i="49"/>
  <c r="N249" i="49"/>
  <c r="N250" i="49"/>
  <c r="N251" i="49"/>
  <c r="N252" i="49"/>
  <c r="N253" i="49"/>
  <c r="N254" i="49"/>
  <c r="N255" i="49"/>
  <c r="N256" i="49"/>
  <c r="N257" i="49"/>
  <c r="N258" i="49"/>
  <c r="N259" i="49"/>
  <c r="N260" i="49"/>
  <c r="N261" i="49"/>
  <c r="N262" i="49"/>
  <c r="N263" i="49"/>
  <c r="N264" i="49"/>
  <c r="N265" i="49"/>
  <c r="N266" i="49"/>
  <c r="N267" i="49"/>
  <c r="N268" i="49"/>
  <c r="N269" i="49"/>
  <c r="N270" i="49"/>
  <c r="N271" i="49"/>
  <c r="N273" i="49"/>
  <c r="N274" i="49"/>
  <c r="N275" i="49"/>
  <c r="N276" i="49"/>
  <c r="N277" i="49"/>
  <c r="N278" i="49"/>
  <c r="N279" i="49"/>
  <c r="N280" i="49"/>
  <c r="N281" i="49"/>
  <c r="N282" i="49"/>
  <c r="N283" i="49"/>
  <c r="N285" i="49"/>
  <c r="N286" i="49"/>
  <c r="N287" i="49"/>
  <c r="N288" i="49"/>
  <c r="N289" i="49"/>
  <c r="N290" i="49"/>
  <c r="N291" i="49"/>
  <c r="N292" i="49"/>
  <c r="N293" i="49"/>
  <c r="N294" i="49"/>
  <c r="N295" i="49"/>
  <c r="N296" i="49"/>
  <c r="N297" i="49"/>
  <c r="N298" i="49"/>
  <c r="N299" i="49"/>
  <c r="N300" i="49"/>
  <c r="N301" i="49"/>
  <c r="N302" i="49"/>
  <c r="N303" i="49"/>
  <c r="N304" i="49"/>
  <c r="N305" i="49"/>
  <c r="N306" i="49"/>
  <c r="N307" i="49"/>
  <c r="N308" i="49"/>
  <c r="N309" i="49"/>
  <c r="N310" i="49"/>
  <c r="N311" i="49"/>
  <c r="N312" i="49"/>
  <c r="N313" i="49"/>
  <c r="N314" i="49"/>
  <c r="N315" i="49"/>
  <c r="N316" i="49"/>
  <c r="N317" i="49"/>
  <c r="N318" i="49"/>
  <c r="N319" i="49"/>
  <c r="N320" i="49"/>
  <c r="N321" i="49"/>
  <c r="N322" i="49"/>
  <c r="N323" i="49"/>
  <c r="N324" i="49"/>
  <c r="N325" i="49"/>
  <c r="N326" i="49"/>
  <c r="N327" i="49"/>
  <c r="N328" i="49"/>
  <c r="M131" i="49"/>
  <c r="M68" i="49"/>
  <c r="M125" i="49"/>
  <c r="I274" i="49"/>
  <c r="J274" i="49"/>
  <c r="K274" i="49"/>
  <c r="L274" i="49"/>
  <c r="M274" i="49"/>
  <c r="I275" i="49"/>
  <c r="H275" i="49"/>
  <c r="K246" i="49"/>
  <c r="J246" i="49"/>
  <c r="I246" i="49"/>
  <c r="G246" i="49"/>
  <c r="I235" i="49"/>
  <c r="H235" i="49"/>
  <c r="G200" i="49"/>
  <c r="I200" i="49"/>
  <c r="H200" i="49"/>
  <c r="J20" i="53"/>
  <c r="J21" i="53"/>
  <c r="J22" i="53"/>
  <c r="J23" i="53"/>
  <c r="J24" i="53"/>
  <c r="J25" i="53"/>
  <c r="J26" i="53"/>
  <c r="J27" i="53"/>
  <c r="J28" i="53"/>
  <c r="J29" i="53"/>
  <c r="J30" i="53"/>
  <c r="J31" i="53"/>
  <c r="J32" i="53"/>
  <c r="J33" i="53"/>
  <c r="J34" i="53"/>
  <c r="J35" i="53"/>
  <c r="J36" i="53"/>
  <c r="J37" i="53"/>
  <c r="J38" i="53"/>
  <c r="J39" i="53"/>
  <c r="J40" i="53"/>
  <c r="J41" i="53"/>
  <c r="J42" i="53"/>
  <c r="J43" i="53"/>
  <c r="J44" i="53"/>
  <c r="J45" i="53"/>
  <c r="J46" i="53"/>
  <c r="J47" i="53"/>
  <c r="J48" i="53"/>
  <c r="J49" i="53"/>
  <c r="J50" i="53"/>
  <c r="J51" i="53"/>
  <c r="J52" i="53"/>
  <c r="J53" i="53"/>
  <c r="J54" i="53"/>
  <c r="J55" i="53"/>
  <c r="J56" i="53"/>
  <c r="J57" i="53"/>
  <c r="J58" i="53"/>
  <c r="J59" i="53"/>
  <c r="J60" i="53"/>
  <c r="J61" i="53"/>
  <c r="J62" i="53"/>
  <c r="J63" i="53"/>
  <c r="J64" i="53"/>
  <c r="J65" i="53"/>
  <c r="J66" i="53"/>
  <c r="J67" i="53"/>
  <c r="J68" i="53"/>
  <c r="J69" i="53"/>
  <c r="J70" i="53"/>
  <c r="J71" i="53"/>
  <c r="J72" i="53"/>
  <c r="J73" i="53"/>
  <c r="J74" i="53"/>
  <c r="J75" i="53"/>
  <c r="J76" i="53"/>
  <c r="J77" i="53"/>
  <c r="J78" i="53"/>
  <c r="J79" i="53"/>
  <c r="J80" i="53"/>
  <c r="J81" i="53"/>
  <c r="J82" i="53"/>
  <c r="J83" i="53"/>
  <c r="J84" i="53"/>
  <c r="J85" i="53"/>
  <c r="J86" i="53"/>
  <c r="J87" i="53"/>
  <c r="J88" i="53"/>
  <c r="J89" i="53"/>
  <c r="J90" i="53"/>
  <c r="J91" i="53"/>
  <c r="J92" i="53"/>
  <c r="J93" i="53"/>
  <c r="J94" i="53"/>
  <c r="J95" i="53"/>
  <c r="J96" i="53"/>
  <c r="J97" i="53"/>
  <c r="J98" i="53"/>
  <c r="J99" i="53"/>
  <c r="J100" i="53"/>
  <c r="J101" i="53"/>
  <c r="J102" i="53"/>
  <c r="J103" i="53"/>
  <c r="J104" i="53"/>
  <c r="J105" i="53"/>
  <c r="J106" i="53"/>
  <c r="J107" i="53"/>
  <c r="J108" i="53"/>
  <c r="J109" i="53"/>
  <c r="J110" i="53"/>
  <c r="J111" i="53"/>
  <c r="J112" i="53"/>
  <c r="J113" i="53"/>
  <c r="J114" i="53"/>
  <c r="J115" i="53"/>
  <c r="J116" i="53"/>
  <c r="J117" i="53"/>
  <c r="J118" i="53"/>
  <c r="J119" i="53"/>
  <c r="J120" i="53"/>
  <c r="J121" i="53"/>
  <c r="J122" i="53"/>
  <c r="J123" i="53"/>
  <c r="J124" i="53"/>
  <c r="J125" i="53"/>
  <c r="J126" i="53"/>
  <c r="J127" i="53"/>
  <c r="J128" i="53"/>
  <c r="J129" i="53"/>
  <c r="J130" i="53"/>
  <c r="J131" i="53"/>
  <c r="J132" i="53"/>
  <c r="J133" i="53"/>
  <c r="J134" i="53"/>
  <c r="J135" i="53"/>
  <c r="J136" i="53"/>
  <c r="J137" i="53"/>
  <c r="J138" i="53"/>
  <c r="J139" i="53"/>
  <c r="J140" i="53"/>
  <c r="J141" i="53"/>
  <c r="J142" i="53"/>
  <c r="J143" i="53"/>
  <c r="J144" i="53"/>
  <c r="J145" i="53"/>
  <c r="J146" i="53"/>
  <c r="J147" i="53"/>
  <c r="J148" i="53"/>
  <c r="J149" i="53"/>
  <c r="J150" i="53"/>
  <c r="J151" i="53"/>
  <c r="J152" i="53"/>
  <c r="J153" i="53"/>
  <c r="J154" i="53"/>
  <c r="J155" i="53"/>
  <c r="J156" i="53"/>
  <c r="J157" i="53"/>
  <c r="J158" i="53"/>
  <c r="J159" i="53"/>
  <c r="J160" i="53"/>
  <c r="J161" i="53"/>
  <c r="J162" i="53"/>
  <c r="J163" i="53"/>
  <c r="J164" i="53"/>
  <c r="J165" i="53"/>
  <c r="J166" i="53"/>
  <c r="J167" i="53"/>
  <c r="J168" i="53"/>
  <c r="J169" i="53"/>
  <c r="J171" i="53"/>
  <c r="J172" i="53"/>
  <c r="J173" i="53"/>
  <c r="J174" i="53"/>
  <c r="J175" i="53"/>
  <c r="J176" i="53"/>
  <c r="J177" i="53"/>
  <c r="J178" i="53"/>
  <c r="J179" i="53"/>
  <c r="J180" i="53"/>
  <c r="J181" i="53"/>
  <c r="J182" i="53"/>
  <c r="J183" i="53"/>
  <c r="J184" i="53"/>
  <c r="J185" i="53"/>
  <c r="J186" i="53"/>
  <c r="J187" i="53"/>
  <c r="J188" i="53"/>
  <c r="J189" i="53"/>
  <c r="J190" i="53"/>
  <c r="J191" i="53"/>
  <c r="J192" i="53"/>
  <c r="J193" i="53"/>
  <c r="J194" i="53"/>
  <c r="J195" i="53"/>
  <c r="J196" i="53"/>
  <c r="J197" i="53"/>
  <c r="J198" i="53"/>
  <c r="J199" i="53"/>
  <c r="J200" i="53"/>
  <c r="J201" i="53"/>
  <c r="J202" i="53"/>
  <c r="J203" i="53"/>
  <c r="J204" i="53"/>
  <c r="J205" i="53"/>
  <c r="J206" i="53"/>
  <c r="J207" i="53"/>
  <c r="J208" i="53"/>
  <c r="J209" i="53"/>
  <c r="J210" i="53"/>
  <c r="J211" i="53"/>
  <c r="J212" i="53"/>
  <c r="J213" i="53"/>
  <c r="J214" i="53"/>
  <c r="J215" i="53"/>
  <c r="J216" i="53"/>
  <c r="J217" i="53"/>
  <c r="J218" i="53"/>
  <c r="J219" i="53"/>
  <c r="J220" i="53"/>
  <c r="J221" i="53"/>
  <c r="J222" i="53"/>
  <c r="J223" i="53"/>
  <c r="J225" i="53"/>
  <c r="J226" i="53"/>
  <c r="J227" i="53"/>
  <c r="J228" i="53"/>
  <c r="J229" i="53"/>
  <c r="J230" i="53"/>
  <c r="J231" i="53"/>
  <c r="J233" i="53"/>
  <c r="J234" i="53"/>
  <c r="J235" i="53"/>
  <c r="J236" i="53"/>
  <c r="J237" i="53"/>
  <c r="J238" i="53"/>
  <c r="J239" i="53"/>
  <c r="J240" i="53"/>
  <c r="J241" i="53"/>
  <c r="J242" i="53"/>
  <c r="J243" i="53"/>
  <c r="J244" i="53"/>
  <c r="J245" i="53"/>
  <c r="J246" i="53"/>
  <c r="J247" i="53"/>
  <c r="J248" i="53"/>
  <c r="J249" i="53"/>
  <c r="J250" i="53"/>
  <c r="J251" i="53"/>
  <c r="J252" i="53"/>
  <c r="J253" i="53"/>
  <c r="J254" i="53"/>
  <c r="J255" i="53"/>
  <c r="J256" i="53"/>
  <c r="J257" i="53"/>
  <c r="J258" i="53"/>
  <c r="J259" i="53"/>
  <c r="J260" i="53"/>
  <c r="J261" i="53"/>
  <c r="J262" i="53"/>
  <c r="J263" i="53"/>
  <c r="J264" i="53"/>
  <c r="J265" i="53"/>
  <c r="J266" i="53"/>
  <c r="J267" i="53"/>
  <c r="J268" i="53"/>
  <c r="J269" i="53"/>
  <c r="J270" i="53"/>
  <c r="J271" i="53"/>
  <c r="J272" i="53"/>
  <c r="J273" i="53"/>
  <c r="J274" i="53"/>
  <c r="J275" i="53"/>
  <c r="J276" i="53"/>
  <c r="J277" i="53"/>
  <c r="J278" i="53"/>
  <c r="J279" i="53"/>
  <c r="J280" i="53"/>
  <c r="J281" i="53"/>
  <c r="J282" i="53"/>
  <c r="J283" i="53"/>
  <c r="J284" i="53"/>
  <c r="J285" i="53"/>
  <c r="J286" i="53"/>
  <c r="J287" i="53"/>
  <c r="J288" i="53"/>
  <c r="J289" i="53"/>
  <c r="J290" i="53"/>
  <c r="J291" i="53"/>
  <c r="J292" i="53"/>
  <c r="J293" i="53"/>
  <c r="J294" i="53"/>
  <c r="J295" i="53"/>
  <c r="J296" i="53"/>
  <c r="J297" i="53"/>
  <c r="J298" i="53"/>
  <c r="J299" i="53"/>
  <c r="J300" i="53"/>
  <c r="J301" i="53"/>
  <c r="J302" i="53"/>
  <c r="J303" i="53"/>
  <c r="J304" i="53"/>
  <c r="J305" i="53"/>
  <c r="J306" i="53"/>
  <c r="J307" i="53"/>
  <c r="J308" i="53"/>
  <c r="J309" i="53"/>
  <c r="J310" i="53"/>
  <c r="J311" i="53"/>
  <c r="J312" i="53"/>
  <c r="J313" i="53"/>
  <c r="J314" i="53"/>
  <c r="J315" i="53"/>
  <c r="J316" i="53"/>
  <c r="J317" i="53"/>
  <c r="J318" i="53"/>
  <c r="J319" i="53"/>
  <c r="J320" i="53"/>
  <c r="J321" i="53"/>
  <c r="J322" i="53"/>
  <c r="J323" i="53"/>
  <c r="J324" i="53"/>
  <c r="J325" i="53"/>
  <c r="J326" i="53"/>
  <c r="J19" i="53"/>
  <c r="G270" i="53"/>
  <c r="G289" i="53"/>
  <c r="G271" i="53"/>
  <c r="G237" i="53"/>
  <c r="G244" i="53"/>
  <c r="G232" i="53" l="1"/>
  <c r="J232" i="53" s="1"/>
  <c r="G131" i="53"/>
  <c r="G58" i="53"/>
  <c r="G42" i="53"/>
  <c r="G20" i="53"/>
  <c r="H254" i="53"/>
  <c r="H225" i="53"/>
  <c r="H170" i="53"/>
  <c r="H143" i="53"/>
  <c r="H125" i="53"/>
  <c r="H92" i="53"/>
  <c r="H87" i="53"/>
  <c r="H82" i="53"/>
  <c r="H68" i="53"/>
  <c r="H67" i="53"/>
  <c r="H19" i="53"/>
  <c r="G21" i="53"/>
  <c r="L64" i="49" l="1"/>
  <c r="K64" i="49"/>
  <c r="J64" i="49"/>
  <c r="I64" i="49"/>
  <c r="H64" i="49"/>
  <c r="G64" i="49"/>
  <c r="G62" i="49"/>
  <c r="K62" i="49"/>
  <c r="L62" i="49"/>
  <c r="J62" i="49"/>
  <c r="I62" i="49"/>
  <c r="H62" i="49"/>
  <c r="L60" i="49"/>
  <c r="K60" i="49"/>
  <c r="J60" i="49"/>
  <c r="I60" i="49"/>
  <c r="H60" i="49"/>
  <c r="G60" i="49"/>
  <c r="L49" i="49"/>
  <c r="L53" i="49"/>
  <c r="K53" i="49"/>
  <c r="J53" i="49"/>
  <c r="H53" i="49"/>
  <c r="I53" i="49"/>
  <c r="G53" i="49"/>
  <c r="K49" i="49"/>
  <c r="J49" i="49"/>
  <c r="I49" i="49"/>
  <c r="H49" i="49"/>
  <c r="G49" i="49"/>
  <c r="H44" i="49"/>
  <c r="G44" i="49"/>
  <c r="H36" i="49" l="1"/>
  <c r="L36" i="49"/>
  <c r="K36" i="49"/>
  <c r="J36" i="49"/>
  <c r="I36" i="49"/>
  <c r="G36" i="49"/>
  <c r="H22" i="49"/>
  <c r="I22" i="49"/>
  <c r="L22" i="49"/>
  <c r="J22" i="49"/>
  <c r="K22" i="49"/>
  <c r="G22" i="49"/>
  <c r="G292" i="53" l="1"/>
  <c r="G290" i="53"/>
  <c r="G280" i="53"/>
  <c r="G278" i="53"/>
  <c r="G276" i="53"/>
  <c r="G274" i="53"/>
  <c r="I14" i="2"/>
  <c r="H14" i="2"/>
  <c r="G14" i="2"/>
  <c r="F14" i="2"/>
  <c r="I29" i="2" l="1"/>
  <c r="H29" i="2"/>
  <c r="G29" i="2"/>
  <c r="F29" i="2"/>
  <c r="I28" i="2"/>
  <c r="H28" i="2"/>
  <c r="G28" i="2"/>
  <c r="F28" i="2"/>
  <c r="I27" i="2"/>
  <c r="H27" i="2"/>
  <c r="G27" i="2"/>
  <c r="F27" i="2"/>
  <c r="I26" i="2"/>
  <c r="H26" i="2"/>
  <c r="G26" i="2"/>
  <c r="F26" i="2"/>
  <c r="I25" i="2"/>
  <c r="H25" i="2"/>
  <c r="G25" i="2"/>
  <c r="F25" i="2"/>
  <c r="I24" i="2"/>
  <c r="H24" i="2"/>
  <c r="G24" i="2"/>
  <c r="F24" i="2"/>
  <c r="I23" i="2"/>
  <c r="H23" i="2"/>
  <c r="G23" i="2"/>
  <c r="F23" i="2"/>
  <c r="I22" i="2"/>
  <c r="H22" i="2"/>
  <c r="G22" i="2"/>
  <c r="F22" i="2"/>
  <c r="I21" i="2"/>
  <c r="H21" i="2"/>
  <c r="G21" i="2"/>
  <c r="F21" i="2"/>
  <c r="I20" i="2"/>
  <c r="H20" i="2"/>
  <c r="G20" i="2"/>
  <c r="F20" i="2"/>
  <c r="I19" i="2"/>
  <c r="H19" i="2"/>
  <c r="G19" i="2"/>
  <c r="F19" i="2"/>
  <c r="I18" i="2"/>
  <c r="H18" i="2"/>
  <c r="G18" i="2"/>
  <c r="F18" i="2"/>
  <c r="I17" i="2"/>
  <c r="H17" i="2"/>
  <c r="G17" i="2"/>
  <c r="F17" i="2"/>
  <c r="I16" i="2"/>
  <c r="H16" i="2"/>
  <c r="G16" i="2"/>
  <c r="F16" i="2"/>
  <c r="I12" i="2"/>
  <c r="H12" i="2"/>
  <c r="I11" i="2"/>
  <c r="H11" i="2"/>
  <c r="G12" i="2"/>
  <c r="G11" i="2"/>
  <c r="I32" i="2"/>
  <c r="I31" i="2"/>
  <c r="H32" i="2"/>
  <c r="H31" i="2"/>
  <c r="G32" i="2"/>
  <c r="G31" i="2"/>
  <c r="F32" i="2"/>
  <c r="F31" i="2"/>
  <c r="F12" i="2"/>
  <c r="F11" i="2"/>
  <c r="Q149" i="55" l="1"/>
  <c r="P149" i="55"/>
  <c r="O149" i="55"/>
  <c r="N149" i="55"/>
  <c r="M149" i="55"/>
  <c r="L149" i="55"/>
  <c r="K149" i="55"/>
  <c r="J149" i="55"/>
  <c r="I149" i="55"/>
  <c r="H149" i="55"/>
  <c r="G149" i="55"/>
  <c r="F149" i="55"/>
  <c r="E149" i="55"/>
  <c r="Q15" i="55"/>
  <c r="Q14" i="55"/>
  <c r="Q13" i="55"/>
  <c r="Q12" i="55"/>
  <c r="Q11" i="55"/>
  <c r="Q10" i="55"/>
  <c r="Q9" i="55"/>
  <c r="Q22" i="55"/>
  <c r="Q21" i="55"/>
  <c r="Q20" i="55"/>
  <c r="Q19" i="55"/>
  <c r="Q18" i="55"/>
  <c r="Q17" i="55"/>
  <c r="Q16" i="55"/>
  <c r="Q110" i="55"/>
  <c r="Q109" i="55"/>
  <c r="Q108" i="55"/>
  <c r="Q107" i="55"/>
  <c r="Q106" i="55"/>
  <c r="Q105" i="55"/>
  <c r="Q104" i="55"/>
  <c r="Q103" i="55"/>
  <c r="Q102" i="55"/>
  <c r="Q111" i="55"/>
  <c r="Q112" i="55"/>
  <c r="Q113" i="55"/>
  <c r="Q114" i="55"/>
  <c r="Q115" i="55"/>
  <c r="Q116" i="55"/>
  <c r="Q117" i="55"/>
  <c r="Q118" i="55"/>
  <c r="Q98" i="55"/>
  <c r="Q99" i="55"/>
  <c r="Q66" i="55"/>
  <c r="Q67" i="55"/>
  <c r="Q87" i="55"/>
  <c r="Q88" i="55"/>
  <c r="Q80" i="55"/>
  <c r="Q81" i="55"/>
  <c r="Q82" i="55"/>
  <c r="Q83" i="55"/>
  <c r="Q84" i="55"/>
  <c r="Q85" i="55"/>
  <c r="Q86" i="55"/>
  <c r="Q127" i="55"/>
  <c r="Q128" i="55"/>
  <c r="Q44" i="55"/>
  <c r="Q45" i="55"/>
  <c r="Q46" i="55"/>
  <c r="Q47" i="55"/>
  <c r="Q48" i="55"/>
  <c r="Q49" i="55"/>
  <c r="Q50" i="55"/>
  <c r="Q51" i="55"/>
  <c r="Q52" i="55"/>
  <c r="Q53" i="55"/>
  <c r="Q54" i="55"/>
  <c r="Q55" i="55"/>
  <c r="Q56" i="55"/>
  <c r="Q57" i="55"/>
  <c r="Q58" i="55"/>
  <c r="Q59" i="55"/>
  <c r="Q60" i="55"/>
  <c r="Q61" i="55"/>
  <c r="Q62" i="55"/>
  <c r="Q63" i="55"/>
  <c r="Q64" i="55"/>
  <c r="Q65" i="55"/>
  <c r="Q68" i="55"/>
  <c r="Q69" i="55"/>
  <c r="Q70" i="55"/>
  <c r="Q35" i="55"/>
  <c r="Q36" i="55"/>
  <c r="Q37" i="55"/>
  <c r="Q38" i="55"/>
  <c r="Q39" i="55"/>
  <c r="Q40" i="55"/>
  <c r="Q41" i="55"/>
  <c r="Q42" i="55"/>
  <c r="Q43" i="55"/>
  <c r="Q71" i="55"/>
  <c r="Q72" i="55"/>
  <c r="Q73" i="55"/>
  <c r="Q74" i="55"/>
  <c r="Q75" i="55"/>
  <c r="Q76" i="55"/>
  <c r="Q77" i="55"/>
  <c r="Q78" i="55"/>
  <c r="Q79" i="55"/>
  <c r="Q24" i="55"/>
  <c r="D32" i="2" l="1"/>
  <c r="D31" i="2"/>
  <c r="D17" i="2"/>
  <c r="D18" i="2"/>
  <c r="D19" i="2"/>
  <c r="D20" i="2"/>
  <c r="D21" i="2"/>
  <c r="D22" i="2"/>
  <c r="D23" i="2"/>
  <c r="D24" i="2"/>
  <c r="D25" i="2"/>
  <c r="D26" i="2"/>
  <c r="D27" i="2"/>
  <c r="D28" i="2"/>
  <c r="D29" i="2"/>
  <c r="D16" i="2"/>
  <c r="D14" i="2"/>
  <c r="D12" i="2"/>
  <c r="D11" i="2"/>
  <c r="G36" i="2"/>
  <c r="F36" i="2"/>
  <c r="F37" i="2"/>
  <c r="F35" i="2"/>
  <c r="D36" i="2"/>
  <c r="D37" i="2"/>
  <c r="G37" i="2" s="1"/>
  <c r="D35" i="2"/>
  <c r="G35" i="2" s="1"/>
  <c r="E19" i="2"/>
  <c r="E20" i="2"/>
  <c r="E21" i="2"/>
  <c r="E22" i="2"/>
  <c r="E23" i="2"/>
  <c r="E24" i="2"/>
  <c r="E25" i="2"/>
  <c r="E26" i="2"/>
  <c r="E27" i="2"/>
  <c r="E28" i="2"/>
  <c r="H285" i="53"/>
  <c r="I285" i="53"/>
  <c r="G225" i="53"/>
  <c r="H205" i="53"/>
  <c r="I205" i="53"/>
  <c r="H193" i="53"/>
  <c r="I193" i="53"/>
  <c r="G150" i="53"/>
  <c r="H26" i="53"/>
  <c r="I26" i="53"/>
  <c r="H306" i="49"/>
  <c r="I306" i="49"/>
  <c r="J306" i="49"/>
  <c r="K306" i="49"/>
  <c r="L306" i="49"/>
  <c r="M306" i="49"/>
  <c r="G215" i="49"/>
  <c r="H196" i="49"/>
  <c r="I196" i="49"/>
  <c r="J196" i="49"/>
  <c r="K196" i="49"/>
  <c r="L196" i="49"/>
  <c r="M196" i="49"/>
  <c r="H192" i="49"/>
  <c r="I192" i="49"/>
  <c r="J192" i="49"/>
  <c r="K192" i="49"/>
  <c r="L192" i="49"/>
  <c r="M192" i="49"/>
  <c r="M168" i="49"/>
  <c r="M143" i="49" s="1"/>
  <c r="H150" i="49"/>
  <c r="I150" i="49"/>
  <c r="J150" i="49"/>
  <c r="K150" i="49"/>
  <c r="L150" i="49"/>
  <c r="M150" i="49"/>
  <c r="G112" i="49"/>
  <c r="G114" i="49"/>
  <c r="H104" i="49"/>
  <c r="I104" i="49"/>
  <c r="J104" i="49"/>
  <c r="K104" i="49"/>
  <c r="L104" i="49"/>
  <c r="M104" i="49"/>
  <c r="G63" i="49"/>
  <c r="G100" i="49"/>
  <c r="G141" i="49"/>
  <c r="G285" i="49"/>
  <c r="I26" i="49"/>
  <c r="J26" i="49"/>
  <c r="K26" i="49"/>
  <c r="L26" i="49"/>
  <c r="M26" i="49"/>
  <c r="G26" i="49"/>
  <c r="H26" i="49"/>
  <c r="G37" i="49"/>
  <c r="G45" i="49"/>
  <c r="H45" i="49"/>
  <c r="M319" i="49"/>
  <c r="K319" i="49"/>
  <c r="G13" i="53"/>
  <c r="G11" i="53"/>
  <c r="G9" i="53"/>
  <c r="F20" i="52"/>
  <c r="G131" i="49"/>
  <c r="G126" i="49"/>
  <c r="H327" i="49"/>
  <c r="I327" i="49"/>
  <c r="I326" i="49" s="1"/>
  <c r="I325" i="49" s="1"/>
  <c r="J327" i="49"/>
  <c r="J326" i="49" s="1"/>
  <c r="J325" i="49" s="1"/>
  <c r="K327" i="49"/>
  <c r="K326" i="49" s="1"/>
  <c r="K325" i="49" s="1"/>
  <c r="L327" i="49"/>
  <c r="M327" i="49"/>
  <c r="M326" i="49" s="1"/>
  <c r="M325" i="49" s="1"/>
  <c r="H326" i="49"/>
  <c r="H325" i="49" s="1"/>
  <c r="L326" i="49"/>
  <c r="L325" i="49" s="1"/>
  <c r="H324" i="53"/>
  <c r="I324" i="53"/>
  <c r="H323" i="53"/>
  <c r="I323" i="53"/>
  <c r="H325" i="53"/>
  <c r="I325" i="53"/>
  <c r="H321" i="53"/>
  <c r="I321" i="53"/>
  <c r="H319" i="53"/>
  <c r="I319" i="53"/>
  <c r="H317" i="53"/>
  <c r="I317" i="53"/>
  <c r="G314" i="53"/>
  <c r="H311" i="53"/>
  <c r="H310" i="53" s="1"/>
  <c r="I311" i="53"/>
  <c r="I310" i="53" s="1"/>
  <c r="H308" i="53"/>
  <c r="I308" i="53"/>
  <c r="H306" i="53"/>
  <c r="I306" i="53"/>
  <c r="H304" i="53"/>
  <c r="I304" i="53"/>
  <c r="H302" i="53"/>
  <c r="H301" i="53" s="1"/>
  <c r="I302" i="53"/>
  <c r="I301" i="53" s="1"/>
  <c r="H299" i="53"/>
  <c r="I299" i="53"/>
  <c r="H297" i="53"/>
  <c r="I297" i="53"/>
  <c r="H295" i="53"/>
  <c r="H294" i="53" s="1"/>
  <c r="I295" i="53"/>
  <c r="H292" i="53"/>
  <c r="I292" i="53"/>
  <c r="H290" i="53"/>
  <c r="H289" i="53" s="1"/>
  <c r="I290" i="53"/>
  <c r="I289" i="53" s="1"/>
  <c r="H283" i="53"/>
  <c r="I283" i="53"/>
  <c r="H280" i="53"/>
  <c r="I280" i="53"/>
  <c r="H278" i="53"/>
  <c r="I278" i="53"/>
  <c r="H276" i="53"/>
  <c r="I276" i="53"/>
  <c r="H274" i="53"/>
  <c r="I274" i="53"/>
  <c r="G272" i="53"/>
  <c r="H272" i="53"/>
  <c r="H271" i="53" s="1"/>
  <c r="I272" i="53"/>
  <c r="H268" i="53"/>
  <c r="I268" i="53"/>
  <c r="H266" i="53"/>
  <c r="H265" i="53" s="1"/>
  <c r="I266" i="53"/>
  <c r="I265" i="53" s="1"/>
  <c r="H263" i="53"/>
  <c r="H262" i="53" s="1"/>
  <c r="I263" i="53"/>
  <c r="I262" i="53" s="1"/>
  <c r="H260" i="53"/>
  <c r="I260" i="53"/>
  <c r="G255" i="53"/>
  <c r="H255" i="53"/>
  <c r="I255" i="53"/>
  <c r="H252" i="53"/>
  <c r="I252" i="53"/>
  <c r="H250" i="53"/>
  <c r="I250" i="53"/>
  <c r="H248" i="53"/>
  <c r="I248" i="53"/>
  <c r="H246" i="53"/>
  <c r="I246" i="53"/>
  <c r="H244" i="53"/>
  <c r="I244" i="53"/>
  <c r="G241" i="53"/>
  <c r="H241" i="53"/>
  <c r="I241" i="53"/>
  <c r="G238" i="53"/>
  <c r="H238" i="53"/>
  <c r="I238" i="53"/>
  <c r="I237" i="53" s="1"/>
  <c r="H232" i="53"/>
  <c r="I232" i="53"/>
  <c r="H224" i="53"/>
  <c r="I225" i="53"/>
  <c r="I224" i="53" s="1"/>
  <c r="H222" i="53"/>
  <c r="I222" i="53"/>
  <c r="G218" i="53"/>
  <c r="H218" i="53"/>
  <c r="I218" i="53"/>
  <c r="H214" i="53"/>
  <c r="I214" i="53"/>
  <c r="H210" i="53"/>
  <c r="H209" i="53" s="1"/>
  <c r="I210" i="53"/>
  <c r="I209" i="53" s="1"/>
  <c r="H207" i="53"/>
  <c r="I207" i="53"/>
  <c r="H203" i="53"/>
  <c r="I203" i="53"/>
  <c r="H201" i="53"/>
  <c r="I201" i="53"/>
  <c r="I200" i="53" s="1"/>
  <c r="H198" i="53"/>
  <c r="H197" i="53" s="1"/>
  <c r="I198" i="53"/>
  <c r="I197" i="53" s="1"/>
  <c r="H195" i="53"/>
  <c r="I195" i="53"/>
  <c r="H191" i="53"/>
  <c r="I191" i="53"/>
  <c r="H189" i="53"/>
  <c r="H188" i="53" s="1"/>
  <c r="I189" i="53"/>
  <c r="H186" i="53"/>
  <c r="I186" i="53"/>
  <c r="H184" i="53"/>
  <c r="I184" i="53"/>
  <c r="H182" i="53"/>
  <c r="I182" i="53"/>
  <c r="H180" i="53"/>
  <c r="I180" i="53"/>
  <c r="I179" i="53" s="1"/>
  <c r="H177" i="53"/>
  <c r="I177" i="53"/>
  <c r="H174" i="53"/>
  <c r="I174" i="53"/>
  <c r="H172" i="53"/>
  <c r="H171" i="53" s="1"/>
  <c r="I172" i="53"/>
  <c r="I171" i="53" s="1"/>
  <c r="G167" i="53"/>
  <c r="H167" i="53"/>
  <c r="I167" i="53"/>
  <c r="G164" i="53"/>
  <c r="H164" i="53"/>
  <c r="I164" i="53"/>
  <c r="G157" i="53"/>
  <c r="H154" i="53"/>
  <c r="I154" i="53"/>
  <c r="H150" i="53"/>
  <c r="I150" i="53"/>
  <c r="H148" i="53"/>
  <c r="I148" i="53"/>
  <c r="H146" i="53"/>
  <c r="I146" i="53"/>
  <c r="H144" i="53"/>
  <c r="I144" i="53"/>
  <c r="H141" i="53"/>
  <c r="I141" i="53"/>
  <c r="H131" i="53"/>
  <c r="I131" i="53"/>
  <c r="G126" i="53"/>
  <c r="H126" i="53"/>
  <c r="I126" i="53"/>
  <c r="H123" i="53"/>
  <c r="I123" i="53"/>
  <c r="H121" i="53"/>
  <c r="I121" i="53"/>
  <c r="H119" i="53"/>
  <c r="I119" i="53"/>
  <c r="H117" i="53"/>
  <c r="I117" i="53"/>
  <c r="H114" i="53"/>
  <c r="I114" i="53"/>
  <c r="H110" i="53"/>
  <c r="I110" i="53"/>
  <c r="G104" i="53"/>
  <c r="H104" i="53"/>
  <c r="I104" i="53"/>
  <c r="H102" i="53"/>
  <c r="I102" i="53"/>
  <c r="H100" i="53"/>
  <c r="I100" i="53"/>
  <c r="I99" i="53" s="1"/>
  <c r="H97" i="53"/>
  <c r="I97" i="53"/>
  <c r="H95" i="53"/>
  <c r="I95" i="53"/>
  <c r="H93" i="53"/>
  <c r="I93" i="53"/>
  <c r="I92" i="53" s="1"/>
  <c r="H90" i="53"/>
  <c r="I90" i="53"/>
  <c r="H88" i="53"/>
  <c r="I88" i="53"/>
  <c r="I87" i="53" s="1"/>
  <c r="H83" i="53"/>
  <c r="I83" i="53"/>
  <c r="I82" i="53" s="1"/>
  <c r="H80" i="53"/>
  <c r="I80" i="53"/>
  <c r="H78" i="53"/>
  <c r="I78" i="53"/>
  <c r="G75" i="53"/>
  <c r="H71" i="53"/>
  <c r="I71" i="53"/>
  <c r="H73" i="53"/>
  <c r="I73" i="53"/>
  <c r="H75" i="53"/>
  <c r="I75" i="53"/>
  <c r="H69" i="53"/>
  <c r="I69" i="53"/>
  <c r="H65" i="53"/>
  <c r="I65" i="53"/>
  <c r="H63" i="53"/>
  <c r="I63" i="53"/>
  <c r="H59" i="53"/>
  <c r="I59" i="53"/>
  <c r="H45" i="53"/>
  <c r="I45" i="53"/>
  <c r="H55" i="53"/>
  <c r="H54" i="53" s="1"/>
  <c r="I55" i="53"/>
  <c r="I54" i="53" s="1"/>
  <c r="G45" i="53"/>
  <c r="H43" i="53"/>
  <c r="I43" i="53"/>
  <c r="G37" i="53"/>
  <c r="H37" i="53"/>
  <c r="I37" i="53"/>
  <c r="H35" i="53"/>
  <c r="I35" i="53"/>
  <c r="H33" i="53"/>
  <c r="I33" i="53"/>
  <c r="G325" i="53"/>
  <c r="G324" i="53"/>
  <c r="G323" i="53" s="1"/>
  <c r="G321" i="53"/>
  <c r="G319" i="53"/>
  <c r="G317" i="53"/>
  <c r="G311" i="53"/>
  <c r="G310" i="53"/>
  <c r="G308" i="53"/>
  <c r="G306" i="53"/>
  <c r="G304" i="53"/>
  <c r="G302" i="53"/>
  <c r="G299" i="53"/>
  <c r="G297" i="53"/>
  <c r="G295" i="53"/>
  <c r="G287" i="53"/>
  <c r="G285" i="53"/>
  <c r="G283" i="53"/>
  <c r="G268" i="53"/>
  <c r="G266" i="53"/>
  <c r="G265" i="53" s="1"/>
  <c r="G263" i="53"/>
  <c r="G262" i="53" s="1"/>
  <c r="G260" i="53"/>
  <c r="G258" i="53"/>
  <c r="G252" i="53"/>
  <c r="G250" i="53"/>
  <c r="G248" i="53"/>
  <c r="G246" i="53"/>
  <c r="G222" i="53"/>
  <c r="G214" i="53"/>
  <c r="G210" i="53"/>
  <c r="G207" i="53"/>
  <c r="G205" i="53"/>
  <c r="G203" i="53"/>
  <c r="G201" i="53"/>
  <c r="G198" i="53"/>
  <c r="G197" i="53" s="1"/>
  <c r="G195" i="53"/>
  <c r="G193" i="53"/>
  <c r="G191" i="53"/>
  <c r="G189" i="53"/>
  <c r="G186" i="53"/>
  <c r="G184" i="53"/>
  <c r="G182" i="53"/>
  <c r="G180" i="53"/>
  <c r="G177" i="53"/>
  <c r="G174" i="53"/>
  <c r="G172" i="53"/>
  <c r="G154" i="53"/>
  <c r="G148" i="53"/>
  <c r="G146" i="53"/>
  <c r="G144" i="53"/>
  <c r="G141" i="53"/>
  <c r="G123" i="53"/>
  <c r="G121" i="53"/>
  <c r="G119" i="53"/>
  <c r="G117" i="53"/>
  <c r="G114" i="53"/>
  <c r="G112" i="53"/>
  <c r="G110" i="53"/>
  <c r="G102" i="53"/>
  <c r="G100" i="53"/>
  <c r="G97" i="53"/>
  <c r="G95" i="53"/>
  <c r="G93" i="53"/>
  <c r="G90" i="53"/>
  <c r="G88" i="53"/>
  <c r="G85" i="53"/>
  <c r="G83" i="53"/>
  <c r="G82" i="53" s="1"/>
  <c r="G80" i="53"/>
  <c r="G78" i="53"/>
  <c r="G73" i="53"/>
  <c r="G71" i="53"/>
  <c r="G68" i="53" s="1"/>
  <c r="G69" i="53"/>
  <c r="G65" i="53"/>
  <c r="G63" i="53"/>
  <c r="G61" i="53"/>
  <c r="G59" i="53"/>
  <c r="G55" i="53"/>
  <c r="G54" i="53" s="1"/>
  <c r="G43" i="53"/>
  <c r="G35" i="53"/>
  <c r="G33" i="53"/>
  <c r="G26" i="53"/>
  <c r="G327" i="49"/>
  <c r="G326" i="49" s="1"/>
  <c r="G325" i="49" s="1"/>
  <c r="G316" i="49"/>
  <c r="H316" i="49"/>
  <c r="I316" i="49"/>
  <c r="J316" i="49"/>
  <c r="K316" i="49"/>
  <c r="L316" i="49"/>
  <c r="M316" i="49"/>
  <c r="H313" i="49"/>
  <c r="H312" i="49" s="1"/>
  <c r="I313" i="49"/>
  <c r="I312" i="49" s="1"/>
  <c r="J313" i="49"/>
  <c r="J312" i="49" s="1"/>
  <c r="K313" i="49"/>
  <c r="K312" i="49" s="1"/>
  <c r="L313" i="49"/>
  <c r="L312" i="49" s="1"/>
  <c r="M313" i="49"/>
  <c r="M312" i="49" s="1"/>
  <c r="H310" i="49"/>
  <c r="I310" i="49"/>
  <c r="J310" i="49"/>
  <c r="K310" i="49"/>
  <c r="L310" i="49"/>
  <c r="M310" i="49"/>
  <c r="H308" i="49"/>
  <c r="I308" i="49"/>
  <c r="J308" i="49"/>
  <c r="K308" i="49"/>
  <c r="L308" i="49"/>
  <c r="M308" i="49"/>
  <c r="H304" i="49"/>
  <c r="I304" i="49"/>
  <c r="J304" i="49"/>
  <c r="K304" i="49"/>
  <c r="L304" i="49"/>
  <c r="M304" i="49"/>
  <c r="H301" i="49"/>
  <c r="I301" i="49"/>
  <c r="J301" i="49"/>
  <c r="K301" i="49"/>
  <c r="L301" i="49"/>
  <c r="M301" i="49"/>
  <c r="H299" i="49"/>
  <c r="I299" i="49"/>
  <c r="J299" i="49"/>
  <c r="K299" i="49"/>
  <c r="L299" i="49"/>
  <c r="M299" i="49"/>
  <c r="H297" i="49"/>
  <c r="I297" i="49"/>
  <c r="J297" i="49"/>
  <c r="K297" i="49"/>
  <c r="L297" i="49"/>
  <c r="M297" i="49"/>
  <c r="H294" i="49"/>
  <c r="I294" i="49"/>
  <c r="J294" i="49"/>
  <c r="K294" i="49"/>
  <c r="L294" i="49"/>
  <c r="M294" i="49"/>
  <c r="H292" i="49"/>
  <c r="I292" i="49"/>
  <c r="J292" i="49"/>
  <c r="K292" i="49"/>
  <c r="L292" i="49"/>
  <c r="M292" i="49"/>
  <c r="H289" i="49"/>
  <c r="I289" i="49"/>
  <c r="J289" i="49"/>
  <c r="K289" i="49"/>
  <c r="L289" i="49"/>
  <c r="M289" i="49"/>
  <c r="H285" i="49"/>
  <c r="I285" i="49"/>
  <c r="J285" i="49"/>
  <c r="K285" i="49"/>
  <c r="L285" i="49"/>
  <c r="M285" i="49"/>
  <c r="H282" i="49"/>
  <c r="I282" i="49"/>
  <c r="J282" i="49"/>
  <c r="K282" i="49"/>
  <c r="L282" i="49"/>
  <c r="M282" i="49"/>
  <c r="H280" i="49"/>
  <c r="I280" i="49"/>
  <c r="J280" i="49"/>
  <c r="K280" i="49"/>
  <c r="L280" i="49"/>
  <c r="M280" i="49"/>
  <c r="H278" i="49"/>
  <c r="I278" i="49"/>
  <c r="J278" i="49"/>
  <c r="K278" i="49"/>
  <c r="L278" i="49"/>
  <c r="M278" i="49"/>
  <c r="H276" i="49"/>
  <c r="I276" i="49"/>
  <c r="J276" i="49"/>
  <c r="K276" i="49"/>
  <c r="L276" i="49"/>
  <c r="M276" i="49"/>
  <c r="H274" i="49"/>
  <c r="I273" i="49"/>
  <c r="H270" i="49"/>
  <c r="I270" i="49"/>
  <c r="J270" i="49"/>
  <c r="K270" i="49"/>
  <c r="L270" i="49"/>
  <c r="M270" i="49"/>
  <c r="H268" i="49"/>
  <c r="I268" i="49"/>
  <c r="J268" i="49"/>
  <c r="K268" i="49"/>
  <c r="L268" i="49"/>
  <c r="M268" i="49"/>
  <c r="H265" i="49"/>
  <c r="H264" i="49" s="1"/>
  <c r="I265" i="49"/>
  <c r="I264" i="49" s="1"/>
  <c r="J265" i="49"/>
  <c r="J264" i="49" s="1"/>
  <c r="K265" i="49"/>
  <c r="K264" i="49" s="1"/>
  <c r="L265" i="49"/>
  <c r="L264" i="49" s="1"/>
  <c r="M265" i="49"/>
  <c r="M264" i="49" s="1"/>
  <c r="H262" i="49"/>
  <c r="I262" i="49"/>
  <c r="J262" i="49"/>
  <c r="K262" i="49"/>
  <c r="L262" i="49"/>
  <c r="M262" i="49"/>
  <c r="H260" i="49"/>
  <c r="I260" i="49"/>
  <c r="J260" i="49"/>
  <c r="K260" i="49"/>
  <c r="L260" i="49"/>
  <c r="M260" i="49"/>
  <c r="G257" i="49"/>
  <c r="H257" i="49"/>
  <c r="I257" i="49"/>
  <c r="J257" i="49"/>
  <c r="K257" i="49"/>
  <c r="L257" i="49"/>
  <c r="M257" i="49"/>
  <c r="H253" i="49"/>
  <c r="I253" i="49"/>
  <c r="J253" i="49"/>
  <c r="K253" i="49"/>
  <c r="L253" i="49"/>
  <c r="M253" i="49"/>
  <c r="G251" i="49"/>
  <c r="G245" i="49"/>
  <c r="H242" i="49"/>
  <c r="I242" i="49"/>
  <c r="J242" i="49"/>
  <c r="K242" i="49"/>
  <c r="L242" i="49"/>
  <c r="M242" i="49"/>
  <c r="G239" i="49"/>
  <c r="H239" i="49"/>
  <c r="I239" i="49"/>
  <c r="J239" i="49"/>
  <c r="K239" i="49"/>
  <c r="L239" i="49"/>
  <c r="M239" i="49"/>
  <c r="H233" i="49"/>
  <c r="I233" i="49"/>
  <c r="J233" i="49"/>
  <c r="K233" i="49"/>
  <c r="L233" i="49"/>
  <c r="M233" i="49"/>
  <c r="N233" i="49" s="1"/>
  <c r="H226" i="49"/>
  <c r="I226" i="49"/>
  <c r="J226" i="49"/>
  <c r="K226" i="49"/>
  <c r="L226" i="49"/>
  <c r="M226" i="49"/>
  <c r="G223" i="49"/>
  <c r="H219" i="49"/>
  <c r="I219" i="49"/>
  <c r="J219" i="49"/>
  <c r="K219" i="49"/>
  <c r="L219" i="49"/>
  <c r="M219" i="49"/>
  <c r="H215" i="49"/>
  <c r="I215" i="49"/>
  <c r="J215" i="49"/>
  <c r="K215" i="49"/>
  <c r="L215" i="49"/>
  <c r="M215" i="49"/>
  <c r="H208" i="49"/>
  <c r="I208" i="49"/>
  <c r="J208" i="49"/>
  <c r="K208" i="49"/>
  <c r="L208" i="49"/>
  <c r="M208" i="49"/>
  <c r="H211" i="49"/>
  <c r="I211" i="49"/>
  <c r="J211" i="49"/>
  <c r="K211" i="49"/>
  <c r="L211" i="49"/>
  <c r="M211" i="49"/>
  <c r="H206" i="49"/>
  <c r="I206" i="49"/>
  <c r="J206" i="49"/>
  <c r="K206" i="49"/>
  <c r="L206" i="49"/>
  <c r="M206" i="49"/>
  <c r="H204" i="49"/>
  <c r="I204" i="49"/>
  <c r="J204" i="49"/>
  <c r="K204" i="49"/>
  <c r="L204" i="49"/>
  <c r="M204" i="49"/>
  <c r="H202" i="49"/>
  <c r="I202" i="49"/>
  <c r="J202" i="49"/>
  <c r="K202" i="49"/>
  <c r="L202" i="49"/>
  <c r="M202" i="49"/>
  <c r="H199" i="49"/>
  <c r="H198" i="49" s="1"/>
  <c r="I199" i="49"/>
  <c r="I198" i="49" s="1"/>
  <c r="J199" i="49"/>
  <c r="J198" i="49" s="1"/>
  <c r="K199" i="49"/>
  <c r="K198" i="49" s="1"/>
  <c r="L199" i="49"/>
  <c r="L198" i="49" s="1"/>
  <c r="M199" i="49"/>
  <c r="M198" i="49" s="1"/>
  <c r="H194" i="49"/>
  <c r="I194" i="49"/>
  <c r="J194" i="49"/>
  <c r="K194" i="49"/>
  <c r="L194" i="49"/>
  <c r="M194" i="49"/>
  <c r="H187" i="49"/>
  <c r="I187" i="49"/>
  <c r="J187" i="49"/>
  <c r="K187" i="49"/>
  <c r="L187" i="49"/>
  <c r="M187" i="49"/>
  <c r="H185" i="49"/>
  <c r="I185" i="49"/>
  <c r="J185" i="49"/>
  <c r="K185" i="49"/>
  <c r="L185" i="49"/>
  <c r="M185" i="49"/>
  <c r="H183" i="49"/>
  <c r="I183" i="49"/>
  <c r="J183" i="49"/>
  <c r="K183" i="49"/>
  <c r="L183" i="49"/>
  <c r="M183" i="49"/>
  <c r="H178" i="49"/>
  <c r="I178" i="49"/>
  <c r="J178" i="49"/>
  <c r="K178" i="49"/>
  <c r="L178" i="49"/>
  <c r="M178" i="49"/>
  <c r="H175" i="49"/>
  <c r="I175" i="49"/>
  <c r="J175" i="49"/>
  <c r="K175" i="49"/>
  <c r="L175" i="49"/>
  <c r="M175" i="49"/>
  <c r="H173" i="49"/>
  <c r="I173" i="49"/>
  <c r="J173" i="49"/>
  <c r="K173" i="49"/>
  <c r="L173" i="49"/>
  <c r="M173" i="49"/>
  <c r="N173" i="49" s="1"/>
  <c r="G173" i="49"/>
  <c r="H168" i="49"/>
  <c r="I168" i="49"/>
  <c r="J168" i="49"/>
  <c r="K168" i="49"/>
  <c r="L168" i="49"/>
  <c r="H164" i="49"/>
  <c r="I164" i="49"/>
  <c r="J164" i="49"/>
  <c r="K164" i="49"/>
  <c r="L164" i="49"/>
  <c r="M164" i="49"/>
  <c r="H157" i="49"/>
  <c r="I157" i="49"/>
  <c r="J157" i="49"/>
  <c r="K157" i="49"/>
  <c r="L157" i="49"/>
  <c r="M157" i="49"/>
  <c r="H154" i="49"/>
  <c r="I154" i="49"/>
  <c r="J154" i="49"/>
  <c r="K154" i="49"/>
  <c r="L154" i="49"/>
  <c r="M154" i="49"/>
  <c r="G150" i="49"/>
  <c r="H148" i="49"/>
  <c r="I148" i="49"/>
  <c r="J148" i="49"/>
  <c r="K148" i="49"/>
  <c r="L148" i="49"/>
  <c r="M148" i="49"/>
  <c r="H146" i="49"/>
  <c r="I146" i="49"/>
  <c r="J146" i="49"/>
  <c r="K146" i="49"/>
  <c r="L146" i="49"/>
  <c r="M146" i="49"/>
  <c r="H141" i="49"/>
  <c r="I141" i="49"/>
  <c r="J141" i="49"/>
  <c r="K141" i="49"/>
  <c r="L141" i="49"/>
  <c r="M141" i="49"/>
  <c r="H126" i="49"/>
  <c r="I126" i="49"/>
  <c r="J126" i="49"/>
  <c r="K126" i="49"/>
  <c r="L126" i="49"/>
  <c r="M126" i="49"/>
  <c r="H110" i="49"/>
  <c r="I110" i="49"/>
  <c r="J110" i="49"/>
  <c r="K110" i="49"/>
  <c r="L110" i="49"/>
  <c r="M110" i="49"/>
  <c r="G110" i="49"/>
  <c r="H100" i="49"/>
  <c r="I100" i="49"/>
  <c r="J100" i="49"/>
  <c r="K100" i="49"/>
  <c r="L100" i="49"/>
  <c r="M100" i="49"/>
  <c r="H88" i="49"/>
  <c r="I88" i="49"/>
  <c r="J88" i="49"/>
  <c r="K88" i="49"/>
  <c r="L88" i="49"/>
  <c r="M88" i="49"/>
  <c r="I45" i="49"/>
  <c r="J45" i="49"/>
  <c r="K45" i="49"/>
  <c r="L45" i="49"/>
  <c r="M45" i="49"/>
  <c r="H80" i="49"/>
  <c r="I80" i="49"/>
  <c r="J80" i="49"/>
  <c r="K80" i="49"/>
  <c r="L80" i="49"/>
  <c r="M80" i="49"/>
  <c r="H78" i="49"/>
  <c r="I78" i="49"/>
  <c r="J78" i="49"/>
  <c r="K78" i="49"/>
  <c r="L78" i="49"/>
  <c r="M78" i="49"/>
  <c r="H75" i="49"/>
  <c r="I75" i="49"/>
  <c r="J75" i="49"/>
  <c r="K75" i="49"/>
  <c r="L75" i="49"/>
  <c r="M75" i="49"/>
  <c r="H73" i="49"/>
  <c r="I73" i="49"/>
  <c r="J73" i="49"/>
  <c r="K73" i="49"/>
  <c r="L73" i="49"/>
  <c r="M73" i="49"/>
  <c r="H69" i="49"/>
  <c r="I69" i="49"/>
  <c r="J69" i="49"/>
  <c r="K69" i="49"/>
  <c r="L69" i="49"/>
  <c r="M69" i="49"/>
  <c r="G65" i="49"/>
  <c r="H65" i="49"/>
  <c r="I65" i="49"/>
  <c r="J65" i="49"/>
  <c r="K65" i="49"/>
  <c r="L65" i="49"/>
  <c r="M65" i="49"/>
  <c r="H63" i="49"/>
  <c r="I63" i="49"/>
  <c r="J63" i="49"/>
  <c r="K63" i="49"/>
  <c r="L63" i="49"/>
  <c r="M63" i="49"/>
  <c r="H59" i="49"/>
  <c r="I59" i="49"/>
  <c r="J59" i="49"/>
  <c r="K59" i="49"/>
  <c r="L59" i="49"/>
  <c r="M59" i="49"/>
  <c r="H55" i="49"/>
  <c r="H54" i="49" s="1"/>
  <c r="I55" i="49"/>
  <c r="I54" i="49" s="1"/>
  <c r="J55" i="49"/>
  <c r="J54" i="49" s="1"/>
  <c r="K55" i="49"/>
  <c r="K54" i="49" s="1"/>
  <c r="L55" i="49"/>
  <c r="L54" i="49" s="1"/>
  <c r="M55" i="49"/>
  <c r="M54" i="49" s="1"/>
  <c r="H43" i="49"/>
  <c r="I43" i="49"/>
  <c r="J43" i="49"/>
  <c r="K43" i="49"/>
  <c r="L43" i="49"/>
  <c r="M43" i="49"/>
  <c r="H37" i="49"/>
  <c r="I37" i="49"/>
  <c r="J37" i="49"/>
  <c r="K37" i="49"/>
  <c r="L37" i="49"/>
  <c r="M37" i="49"/>
  <c r="H35" i="49"/>
  <c r="I35" i="49"/>
  <c r="J35" i="49"/>
  <c r="K35" i="49"/>
  <c r="L35" i="49"/>
  <c r="M35" i="49"/>
  <c r="G35" i="49"/>
  <c r="H33" i="49"/>
  <c r="I33" i="49"/>
  <c r="J33" i="49"/>
  <c r="K33" i="49"/>
  <c r="L33" i="49"/>
  <c r="M33" i="49"/>
  <c r="H21" i="49"/>
  <c r="I21" i="49"/>
  <c r="J21" i="49"/>
  <c r="K21" i="49"/>
  <c r="L21" i="49"/>
  <c r="M21" i="49"/>
  <c r="G323" i="49"/>
  <c r="G321" i="49"/>
  <c r="G319" i="49"/>
  <c r="G313" i="49"/>
  <c r="G312" i="49" s="1"/>
  <c r="G310" i="49"/>
  <c r="G308" i="49"/>
  <c r="G306" i="49"/>
  <c r="G304" i="49"/>
  <c r="G301" i="49"/>
  <c r="G299" i="49"/>
  <c r="G297" i="49"/>
  <c r="G294" i="49"/>
  <c r="G292" i="49"/>
  <c r="G289" i="49"/>
  <c r="G287" i="49"/>
  <c r="G282" i="49"/>
  <c r="G280" i="49"/>
  <c r="G278" i="49"/>
  <c r="G276" i="49"/>
  <c r="G274" i="49"/>
  <c r="G270" i="49"/>
  <c r="G268" i="49"/>
  <c r="G265" i="49"/>
  <c r="G264" i="49" s="1"/>
  <c r="G262" i="49"/>
  <c r="G260" i="49"/>
  <c r="G253" i="49"/>
  <c r="G249" i="49"/>
  <c r="G247" i="49"/>
  <c r="G242" i="49"/>
  <c r="G233" i="49"/>
  <c r="G226" i="49"/>
  <c r="G219" i="49"/>
  <c r="G211" i="49"/>
  <c r="G208" i="49"/>
  <c r="G206" i="49"/>
  <c r="G204" i="49"/>
  <c r="G202" i="49"/>
  <c r="G199" i="49"/>
  <c r="G198" i="49" s="1"/>
  <c r="G196" i="49"/>
  <c r="G194" i="49"/>
  <c r="G192" i="49"/>
  <c r="G190" i="49"/>
  <c r="G187" i="49"/>
  <c r="G185" i="49"/>
  <c r="G183" i="49"/>
  <c r="G181" i="49"/>
  <c r="G178" i="49"/>
  <c r="G175" i="49"/>
  <c r="G168" i="49"/>
  <c r="N168" i="49" s="1"/>
  <c r="G164" i="49"/>
  <c r="G157" i="49"/>
  <c r="G154" i="49"/>
  <c r="G148" i="49"/>
  <c r="G146" i="49"/>
  <c r="G144" i="49"/>
  <c r="G123" i="49"/>
  <c r="G121" i="49"/>
  <c r="G119" i="49"/>
  <c r="G117" i="49"/>
  <c r="G104" i="49"/>
  <c r="G102" i="49"/>
  <c r="G97" i="49"/>
  <c r="G95" i="49"/>
  <c r="G93" i="49"/>
  <c r="G90" i="49"/>
  <c r="G88" i="49"/>
  <c r="G85" i="49"/>
  <c r="G83" i="49"/>
  <c r="G80" i="49"/>
  <c r="G78" i="49"/>
  <c r="G75" i="49"/>
  <c r="G73" i="49"/>
  <c r="G71" i="49"/>
  <c r="G69" i="49"/>
  <c r="G61" i="49"/>
  <c r="G59" i="49"/>
  <c r="G55" i="49"/>
  <c r="G54" i="49" s="1"/>
  <c r="G43" i="49"/>
  <c r="G33" i="49"/>
  <c r="G21" i="49"/>
  <c r="F26" i="52"/>
  <c r="F25" i="52" s="1"/>
  <c r="F24" i="52" s="1"/>
  <c r="F23" i="52" s="1"/>
  <c r="F19" i="52"/>
  <c r="F14" i="52" s="1"/>
  <c r="F13" i="52"/>
  <c r="F10" i="52"/>
  <c r="F9" i="52" s="1"/>
  <c r="G12" i="53" s="1"/>
  <c r="N143" i="49" l="1"/>
  <c r="M67" i="49"/>
  <c r="N67" i="49" s="1"/>
  <c r="M42" i="49"/>
  <c r="H237" i="53"/>
  <c r="G224" i="53"/>
  <c r="J224" i="53" s="1"/>
  <c r="G315" i="49"/>
  <c r="M273" i="49"/>
  <c r="I267" i="49"/>
  <c r="M267" i="49"/>
  <c r="G267" i="49"/>
  <c r="G189" i="49"/>
  <c r="I42" i="49"/>
  <c r="G42" i="49"/>
  <c r="J42" i="49"/>
  <c r="G10" i="53"/>
  <c r="G12" i="49"/>
  <c r="F12" i="52"/>
  <c r="F31" i="52" s="1"/>
  <c r="G10" i="49"/>
  <c r="I294" i="53"/>
  <c r="I271" i="53"/>
  <c r="I254" i="53"/>
  <c r="H200" i="53"/>
  <c r="I188" i="53"/>
  <c r="H179" i="53"/>
  <c r="I170" i="53"/>
  <c r="I125" i="53"/>
  <c r="H99" i="53"/>
  <c r="G282" i="53"/>
  <c r="G294" i="53"/>
  <c r="G301" i="53"/>
  <c r="G87" i="53"/>
  <c r="G313" i="53"/>
  <c r="G99" i="53"/>
  <c r="G179" i="53"/>
  <c r="G188" i="53"/>
  <c r="G92" i="53"/>
  <c r="G143" i="53"/>
  <c r="G171" i="53"/>
  <c r="G200" i="53"/>
  <c r="G209" i="53"/>
  <c r="G254" i="53"/>
  <c r="G116" i="53"/>
  <c r="G125" i="53"/>
  <c r="G273" i="49"/>
  <c r="L172" i="49"/>
  <c r="L171" i="49" s="1"/>
  <c r="H172" i="49"/>
  <c r="H171" i="49" s="1"/>
  <c r="L225" i="49"/>
  <c r="H225" i="49"/>
  <c r="M296" i="49"/>
  <c r="G82" i="49"/>
  <c r="G172" i="49"/>
  <c r="G171" i="49" s="1"/>
  <c r="M225" i="49"/>
  <c r="N225" i="49" s="1"/>
  <c r="G238" i="49"/>
  <c r="L296" i="49"/>
  <c r="H296" i="49"/>
  <c r="G99" i="49"/>
  <c r="G201" i="49"/>
  <c r="J296" i="49"/>
  <c r="I225" i="49"/>
  <c r="L267" i="49"/>
  <c r="H267" i="49"/>
  <c r="J291" i="49"/>
  <c r="G87" i="49"/>
  <c r="G180" i="49"/>
  <c r="G256" i="49"/>
  <c r="G255" i="49" s="1"/>
  <c r="J20" i="49"/>
  <c r="L42" i="49"/>
  <c r="H42" i="49"/>
  <c r="J225" i="49"/>
  <c r="J256" i="49"/>
  <c r="G68" i="49"/>
  <c r="I20" i="49"/>
  <c r="H273" i="49"/>
  <c r="G20" i="49"/>
  <c r="G143" i="49"/>
  <c r="G291" i="49"/>
  <c r="G303" i="49"/>
  <c r="K42" i="49"/>
  <c r="J172" i="49"/>
  <c r="J267" i="49"/>
  <c r="G92" i="49"/>
  <c r="L273" i="49"/>
  <c r="G116" i="49"/>
  <c r="G125" i="49"/>
  <c r="G210" i="49"/>
  <c r="G225" i="49"/>
  <c r="G284" i="49"/>
  <c r="G296" i="49"/>
  <c r="I172" i="49"/>
  <c r="I171" i="49" s="1"/>
  <c r="K291" i="49"/>
  <c r="I296" i="49"/>
  <c r="K296" i="49"/>
  <c r="M291" i="49"/>
  <c r="L291" i="49"/>
  <c r="H291" i="49"/>
  <c r="I291" i="49"/>
  <c r="J273" i="49"/>
  <c r="K273" i="49"/>
  <c r="K267" i="49"/>
  <c r="L256" i="49"/>
  <c r="H256" i="49"/>
  <c r="M256" i="49"/>
  <c r="M255" i="49" s="1"/>
  <c r="I256" i="49"/>
  <c r="I255" i="49" s="1"/>
  <c r="K256" i="49"/>
  <c r="K225" i="49"/>
  <c r="K172" i="49"/>
  <c r="K171" i="49" s="1"/>
  <c r="M172" i="49"/>
  <c r="G58" i="49"/>
  <c r="L20" i="49"/>
  <c r="H20" i="49"/>
  <c r="M20" i="49"/>
  <c r="K20" i="49"/>
  <c r="J5" i="56"/>
  <c r="H6" i="56"/>
  <c r="N172" i="49" l="1"/>
  <c r="M171" i="49"/>
  <c r="G170" i="53"/>
  <c r="J170" i="53" s="1"/>
  <c r="J18" i="53" s="1"/>
  <c r="G19" i="49"/>
  <c r="G19" i="53"/>
  <c r="G67" i="53"/>
  <c r="G18" i="53" s="1"/>
  <c r="H255" i="49"/>
  <c r="K255" i="49"/>
  <c r="L255" i="49"/>
  <c r="G67" i="49"/>
  <c r="G272" i="49"/>
  <c r="J255" i="49"/>
  <c r="G28" i="52"/>
  <c r="G18" i="52"/>
  <c r="G27" i="52"/>
  <c r="G17" i="52"/>
  <c r="G22" i="52"/>
  <c r="G16" i="52"/>
  <c r="G11" i="52"/>
  <c r="G10" i="52" s="1"/>
  <c r="G9" i="52" s="1"/>
  <c r="G29" i="52"/>
  <c r="G21" i="52"/>
  <c r="G15" i="52"/>
  <c r="G30" i="52"/>
  <c r="L214" i="56"/>
  <c r="B214" i="56"/>
  <c r="L213" i="56"/>
  <c r="B213" i="56"/>
  <c r="L212" i="56"/>
  <c r="B212" i="56"/>
  <c r="L211" i="56"/>
  <c r="B211" i="56"/>
  <c r="L210" i="56"/>
  <c r="B210" i="56"/>
  <c r="L209" i="56"/>
  <c r="B209" i="56"/>
  <c r="L208" i="56"/>
  <c r="B208" i="56"/>
  <c r="L207" i="56"/>
  <c r="B207" i="56"/>
  <c r="L206" i="56"/>
  <c r="B206" i="56"/>
  <c r="L205" i="56"/>
  <c r="B205" i="56"/>
  <c r="L204" i="56"/>
  <c r="B204" i="56"/>
  <c r="L203" i="56"/>
  <c r="B203" i="56"/>
  <c r="L202" i="56"/>
  <c r="B202" i="56"/>
  <c r="L201" i="56"/>
  <c r="B201" i="56"/>
  <c r="L200" i="56"/>
  <c r="B200" i="56"/>
  <c r="L199" i="56"/>
  <c r="B199" i="56"/>
  <c r="L198" i="56"/>
  <c r="B198" i="56"/>
  <c r="L197" i="56"/>
  <c r="B197" i="56"/>
  <c r="L196" i="56"/>
  <c r="B196" i="56"/>
  <c r="L195" i="56"/>
  <c r="B195" i="56"/>
  <c r="L194" i="56"/>
  <c r="B194" i="56"/>
  <c r="L193" i="56"/>
  <c r="B193" i="56"/>
  <c r="L192" i="56"/>
  <c r="B192" i="56"/>
  <c r="L191" i="56"/>
  <c r="B191" i="56"/>
  <c r="L190" i="56"/>
  <c r="B190" i="56"/>
  <c r="L189" i="56"/>
  <c r="B189" i="56"/>
  <c r="L188" i="56"/>
  <c r="B188" i="56"/>
  <c r="L187" i="56"/>
  <c r="B187" i="56"/>
  <c r="L186" i="56"/>
  <c r="B186" i="56"/>
  <c r="L185" i="56"/>
  <c r="B185" i="56"/>
  <c r="L184" i="56"/>
  <c r="B184" i="56"/>
  <c r="L183" i="56"/>
  <c r="B183" i="56"/>
  <c r="L182" i="56"/>
  <c r="B182" i="56"/>
  <c r="L181" i="56"/>
  <c r="B181" i="56"/>
  <c r="L180" i="56"/>
  <c r="B180" i="56"/>
  <c r="L179" i="56"/>
  <c r="B179" i="56"/>
  <c r="L178" i="56"/>
  <c r="B178" i="56"/>
  <c r="L177" i="56"/>
  <c r="B177" i="56"/>
  <c r="L176" i="56"/>
  <c r="B176" i="56"/>
  <c r="L175" i="56"/>
  <c r="B175" i="56"/>
  <c r="L174" i="56"/>
  <c r="B174" i="56"/>
  <c r="L173" i="56"/>
  <c r="B173" i="56"/>
  <c r="L172" i="56"/>
  <c r="B172" i="56"/>
  <c r="L171" i="56"/>
  <c r="B171" i="56"/>
  <c r="L170" i="56"/>
  <c r="B170" i="56"/>
  <c r="L169" i="56"/>
  <c r="B169" i="56"/>
  <c r="L168" i="56"/>
  <c r="B168" i="56"/>
  <c r="L167" i="56"/>
  <c r="B167" i="56"/>
  <c r="L166" i="56"/>
  <c r="B166" i="56"/>
  <c r="L165" i="56"/>
  <c r="B165" i="56"/>
  <c r="L164" i="56"/>
  <c r="B164" i="56"/>
  <c r="L163" i="56"/>
  <c r="B163" i="56"/>
  <c r="L162" i="56"/>
  <c r="B162" i="56"/>
  <c r="L161" i="56"/>
  <c r="B161" i="56"/>
  <c r="L160" i="56"/>
  <c r="B160" i="56"/>
  <c r="L159" i="56"/>
  <c r="B159" i="56"/>
  <c r="L158" i="56"/>
  <c r="B158" i="56"/>
  <c r="L157" i="56"/>
  <c r="B157" i="56"/>
  <c r="L156" i="56"/>
  <c r="B156" i="56"/>
  <c r="L155" i="56"/>
  <c r="B155" i="56"/>
  <c r="L154" i="56"/>
  <c r="B154" i="56"/>
  <c r="L153" i="56"/>
  <c r="B153" i="56"/>
  <c r="L152" i="56"/>
  <c r="B152" i="56"/>
  <c r="L151" i="56"/>
  <c r="B151" i="56"/>
  <c r="L150" i="56"/>
  <c r="B150" i="56"/>
  <c r="L149" i="56"/>
  <c r="B149" i="56"/>
  <c r="L148" i="56"/>
  <c r="B148" i="56"/>
  <c r="L147" i="56"/>
  <c r="B147" i="56"/>
  <c r="L146" i="56"/>
  <c r="B146" i="56"/>
  <c r="L145" i="56"/>
  <c r="B145" i="56"/>
  <c r="L144" i="56"/>
  <c r="B144" i="56"/>
  <c r="L143" i="56"/>
  <c r="B143" i="56"/>
  <c r="L142" i="56"/>
  <c r="B142" i="56"/>
  <c r="L141" i="56"/>
  <c r="B141" i="56"/>
  <c r="L140" i="56"/>
  <c r="B140" i="56"/>
  <c r="L139" i="56"/>
  <c r="B139" i="56"/>
  <c r="L138" i="56"/>
  <c r="B138" i="56"/>
  <c r="L137" i="56"/>
  <c r="B137" i="56"/>
  <c r="L136" i="56"/>
  <c r="B136" i="56"/>
  <c r="L135" i="56"/>
  <c r="B135" i="56"/>
  <c r="L134" i="56"/>
  <c r="B134" i="56"/>
  <c r="L133" i="56"/>
  <c r="B133" i="56"/>
  <c r="L132" i="56"/>
  <c r="B132" i="56"/>
  <c r="L131" i="56"/>
  <c r="B131" i="56"/>
  <c r="L130" i="56"/>
  <c r="B130" i="56"/>
  <c r="L129" i="56"/>
  <c r="B129" i="56"/>
  <c r="L128" i="56"/>
  <c r="B128" i="56"/>
  <c r="L127" i="56"/>
  <c r="B127" i="56"/>
  <c r="L126" i="56"/>
  <c r="B126" i="56"/>
  <c r="L125" i="56"/>
  <c r="B125" i="56"/>
  <c r="L124" i="56"/>
  <c r="B124" i="56"/>
  <c r="L123" i="56"/>
  <c r="B123" i="56"/>
  <c r="L122" i="56"/>
  <c r="B122" i="56"/>
  <c r="L121" i="56"/>
  <c r="B121" i="56"/>
  <c r="L120" i="56"/>
  <c r="B120" i="56"/>
  <c r="L119" i="56"/>
  <c r="B119" i="56"/>
  <c r="L118" i="56"/>
  <c r="B118" i="56"/>
  <c r="L117" i="56"/>
  <c r="B117" i="56"/>
  <c r="L116" i="56"/>
  <c r="B116" i="56"/>
  <c r="L115" i="56"/>
  <c r="B115" i="56"/>
  <c r="L114" i="56"/>
  <c r="B114" i="56"/>
  <c r="L113" i="56"/>
  <c r="B113" i="56"/>
  <c r="L112" i="56"/>
  <c r="B112" i="56"/>
  <c r="L111" i="56"/>
  <c r="B111" i="56"/>
  <c r="L110" i="56"/>
  <c r="B110" i="56"/>
  <c r="L109" i="56"/>
  <c r="B109" i="56"/>
  <c r="L108" i="56"/>
  <c r="B108" i="56"/>
  <c r="L107" i="56"/>
  <c r="B107" i="56"/>
  <c r="L106" i="56"/>
  <c r="B106" i="56"/>
  <c r="L105" i="56"/>
  <c r="B105" i="56"/>
  <c r="L104" i="56"/>
  <c r="B104" i="56"/>
  <c r="L103" i="56"/>
  <c r="B103" i="56"/>
  <c r="L102" i="56"/>
  <c r="B102" i="56"/>
  <c r="L101" i="56"/>
  <c r="B101" i="56"/>
  <c r="L100" i="56"/>
  <c r="B100" i="56"/>
  <c r="L99" i="56"/>
  <c r="B99" i="56"/>
  <c r="L98" i="56"/>
  <c r="B98" i="56"/>
  <c r="L97" i="56"/>
  <c r="B97" i="56"/>
  <c r="L96" i="56"/>
  <c r="B96" i="56"/>
  <c r="L95" i="56"/>
  <c r="B95" i="56"/>
  <c r="L94" i="56"/>
  <c r="B94" i="56"/>
  <c r="L93" i="56"/>
  <c r="B93" i="56"/>
  <c r="L92" i="56"/>
  <c r="B92" i="56"/>
  <c r="L91" i="56"/>
  <c r="B91" i="56"/>
  <c r="L90" i="56"/>
  <c r="B90" i="56"/>
  <c r="L89" i="56"/>
  <c r="B89" i="56"/>
  <c r="L88" i="56"/>
  <c r="B88" i="56"/>
  <c r="L87" i="56"/>
  <c r="B87" i="56"/>
  <c r="L86" i="56"/>
  <c r="B86" i="56"/>
  <c r="L85" i="56"/>
  <c r="B85" i="56"/>
  <c r="L84" i="56"/>
  <c r="B84" i="56"/>
  <c r="L83" i="56"/>
  <c r="B83" i="56"/>
  <c r="L82" i="56"/>
  <c r="B82" i="56"/>
  <c r="L81" i="56"/>
  <c r="B81" i="56"/>
  <c r="L80" i="56"/>
  <c r="B80" i="56"/>
  <c r="L79" i="56"/>
  <c r="B79" i="56"/>
  <c r="L78" i="56"/>
  <c r="B78" i="56"/>
  <c r="L77" i="56"/>
  <c r="B77" i="56"/>
  <c r="L76" i="56"/>
  <c r="B76" i="56"/>
  <c r="L75" i="56"/>
  <c r="B75" i="56"/>
  <c r="L74" i="56"/>
  <c r="B74" i="56"/>
  <c r="L73" i="56"/>
  <c r="B73" i="56"/>
  <c r="L72" i="56"/>
  <c r="B72" i="56"/>
  <c r="L71" i="56"/>
  <c r="B71" i="56"/>
  <c r="L70" i="56"/>
  <c r="B70" i="56"/>
  <c r="L69" i="56"/>
  <c r="B69" i="56"/>
  <c r="L68" i="56"/>
  <c r="B68" i="56"/>
  <c r="L67" i="56"/>
  <c r="B67" i="56"/>
  <c r="L66" i="56"/>
  <c r="B66" i="56"/>
  <c r="L65" i="56"/>
  <c r="B65" i="56"/>
  <c r="L64" i="56"/>
  <c r="B64" i="56"/>
  <c r="L63" i="56"/>
  <c r="B63" i="56"/>
  <c r="L62" i="56"/>
  <c r="B62" i="56"/>
  <c r="L61" i="56"/>
  <c r="B61" i="56"/>
  <c r="L60" i="56"/>
  <c r="B60" i="56"/>
  <c r="L59" i="56"/>
  <c r="B59" i="56"/>
  <c r="L58" i="56"/>
  <c r="B58" i="56"/>
  <c r="L57" i="56"/>
  <c r="B57" i="56"/>
  <c r="L56" i="56"/>
  <c r="B56" i="56"/>
  <c r="L55" i="56"/>
  <c r="B55" i="56"/>
  <c r="L54" i="56"/>
  <c r="B54" i="56"/>
  <c r="L53" i="56"/>
  <c r="B53" i="56"/>
  <c r="L52" i="56"/>
  <c r="B52" i="56"/>
  <c r="L51" i="56"/>
  <c r="B51" i="56"/>
  <c r="L50" i="56"/>
  <c r="B50" i="56"/>
  <c r="L49" i="56"/>
  <c r="B49" i="56"/>
  <c r="L48" i="56"/>
  <c r="B48" i="56"/>
  <c r="L47" i="56"/>
  <c r="B47" i="56"/>
  <c r="L46" i="56"/>
  <c r="B46" i="56"/>
  <c r="L45" i="56"/>
  <c r="B45" i="56"/>
  <c r="L44" i="56"/>
  <c r="B44" i="56"/>
  <c r="L43" i="56"/>
  <c r="B43" i="56"/>
  <c r="L42" i="56"/>
  <c r="B42" i="56"/>
  <c r="L41" i="56"/>
  <c r="B41" i="56"/>
  <c r="L40" i="56"/>
  <c r="B40" i="56"/>
  <c r="L39" i="56"/>
  <c r="B39" i="56"/>
  <c r="L38" i="56"/>
  <c r="B38" i="56"/>
  <c r="L37" i="56"/>
  <c r="B37" i="56"/>
  <c r="L36" i="56"/>
  <c r="B36" i="56"/>
  <c r="L35" i="56"/>
  <c r="B35" i="56"/>
  <c r="L34" i="56"/>
  <c r="B34" i="56"/>
  <c r="L33" i="56"/>
  <c r="B33" i="56"/>
  <c r="L32" i="56"/>
  <c r="B32" i="56"/>
  <c r="L31" i="56"/>
  <c r="B31" i="56"/>
  <c r="L30" i="56"/>
  <c r="B30" i="56"/>
  <c r="L29" i="56"/>
  <c r="B29" i="56"/>
  <c r="L28" i="56"/>
  <c r="B28" i="56"/>
  <c r="L27" i="56"/>
  <c r="B27" i="56"/>
  <c r="L26" i="56"/>
  <c r="B26" i="56"/>
  <c r="L25" i="56"/>
  <c r="B25" i="56"/>
  <c r="L24" i="56"/>
  <c r="B24" i="56"/>
  <c r="L23" i="56"/>
  <c r="B23" i="56"/>
  <c r="L22" i="56"/>
  <c r="B22" i="56"/>
  <c r="L21" i="56"/>
  <c r="B21" i="56"/>
  <c r="L20" i="56"/>
  <c r="B20" i="56"/>
  <c r="L19" i="56"/>
  <c r="B19" i="56"/>
  <c r="L18" i="56"/>
  <c r="B18" i="56"/>
  <c r="L17" i="56"/>
  <c r="B17" i="56"/>
  <c r="L16" i="56"/>
  <c r="B16" i="56"/>
  <c r="L15" i="56"/>
  <c r="B15" i="56"/>
  <c r="L14" i="56"/>
  <c r="B14" i="56"/>
  <c r="L13" i="56"/>
  <c r="B13" i="56"/>
  <c r="L12" i="56"/>
  <c r="B12" i="56"/>
  <c r="L11" i="56"/>
  <c r="B11" i="56"/>
  <c r="L10" i="56"/>
  <c r="B10" i="56"/>
  <c r="L9" i="56"/>
  <c r="B9" i="56"/>
  <c r="L8" i="56"/>
  <c r="B8" i="56"/>
  <c r="Q148" i="55"/>
  <c r="Q147" i="55"/>
  <c r="Q146" i="55"/>
  <c r="Q145" i="55"/>
  <c r="Q144" i="55"/>
  <c r="Q143" i="55"/>
  <c r="Q142" i="55"/>
  <c r="Q141" i="55"/>
  <c r="Q140" i="55"/>
  <c r="Q139" i="55"/>
  <c r="Q138" i="55"/>
  <c r="Q137" i="55"/>
  <c r="Q136" i="55"/>
  <c r="Q135" i="55"/>
  <c r="Q134" i="55"/>
  <c r="Q133" i="55"/>
  <c r="Q132" i="55"/>
  <c r="Q131" i="55"/>
  <c r="Q130" i="55"/>
  <c r="Q129" i="55"/>
  <c r="Q126" i="55"/>
  <c r="Q125" i="55"/>
  <c r="Q124" i="55"/>
  <c r="Q123" i="55"/>
  <c r="Q122" i="55"/>
  <c r="Q121" i="55"/>
  <c r="Q120" i="55"/>
  <c r="Q119" i="55"/>
  <c r="Q101" i="55"/>
  <c r="Q100" i="55"/>
  <c r="Q97" i="55"/>
  <c r="Q96" i="55"/>
  <c r="Q95" i="55"/>
  <c r="Q94" i="55"/>
  <c r="Q93" i="55"/>
  <c r="Q92" i="55"/>
  <c r="Q91" i="55"/>
  <c r="Q90" i="55"/>
  <c r="Q89" i="55"/>
  <c r="Q34" i="55"/>
  <c r="Q33" i="55"/>
  <c r="Q32" i="55"/>
  <c r="Q31" i="55"/>
  <c r="Q30" i="55"/>
  <c r="Q29" i="55"/>
  <c r="Q28" i="55"/>
  <c r="Q27" i="55"/>
  <c r="Q26" i="55"/>
  <c r="Q25" i="55"/>
  <c r="Q23" i="55"/>
  <c r="G18" i="49" l="1"/>
  <c r="G26" i="52"/>
  <c r="G25" i="52" s="1"/>
  <c r="G24" i="52" s="1"/>
  <c r="G23" i="52" s="1"/>
  <c r="G13" i="52"/>
  <c r="G20" i="52"/>
  <c r="G19" i="52"/>
  <c r="G14" i="52" s="1"/>
  <c r="E32" i="2"/>
  <c r="E31" i="2"/>
  <c r="E29" i="2"/>
  <c r="E18" i="2"/>
  <c r="E17" i="2"/>
  <c r="E16" i="2"/>
  <c r="E12" i="2"/>
  <c r="G12" i="52" l="1"/>
  <c r="G31" i="52" s="1"/>
  <c r="A5" i="55"/>
  <c r="A1" i="55"/>
  <c r="E14" i="2" l="1"/>
  <c r="E11" i="2"/>
  <c r="K30" i="2"/>
  <c r="K15" i="2"/>
  <c r="K13" i="2"/>
  <c r="K10" i="2"/>
  <c r="E6" i="52" l="1"/>
  <c r="F7" i="53"/>
  <c r="F6" i="53"/>
  <c r="A5" i="53"/>
  <c r="A1" i="53"/>
  <c r="F7" i="49"/>
  <c r="F6" i="49"/>
  <c r="A5" i="49"/>
  <c r="A1" i="49"/>
  <c r="A5" i="52"/>
  <c r="A3" i="52"/>
  <c r="A2" i="52"/>
  <c r="A1" i="52"/>
  <c r="E7" i="52"/>
  <c r="C30" i="2"/>
  <c r="C15" i="2"/>
  <c r="C13" i="2"/>
  <c r="C10" i="2"/>
  <c r="E13" i="2" l="1"/>
  <c r="F13" i="2"/>
  <c r="G13" i="2"/>
  <c r="H13" i="2"/>
  <c r="I13" i="2"/>
  <c r="D13" i="2"/>
  <c r="I314" i="53"/>
  <c r="I313" i="53" s="1"/>
  <c r="H314" i="53"/>
  <c r="H313" i="53" s="1"/>
  <c r="I287" i="53"/>
  <c r="I282" i="53" s="1"/>
  <c r="I270" i="53" s="1"/>
  <c r="H287" i="53"/>
  <c r="H282" i="53" s="1"/>
  <c r="H270" i="53" s="1"/>
  <c r="H18" i="53" s="1"/>
  <c r="I258" i="53"/>
  <c r="I157" i="53"/>
  <c r="I143" i="53" s="1"/>
  <c r="H157" i="53"/>
  <c r="I112" i="53"/>
  <c r="H112" i="53"/>
  <c r="I85" i="53"/>
  <c r="H85" i="53"/>
  <c r="I68" i="53"/>
  <c r="I61" i="53"/>
  <c r="I58" i="53" s="1"/>
  <c r="H61" i="53"/>
  <c r="H58" i="53" s="1"/>
  <c r="I42" i="53"/>
  <c r="H42" i="53"/>
  <c r="I21" i="53"/>
  <c r="H21" i="53"/>
  <c r="G13" i="49"/>
  <c r="G11" i="49"/>
  <c r="G9" i="49"/>
  <c r="H61" i="49"/>
  <c r="H58" i="49" s="1"/>
  <c r="H19" i="49" s="1"/>
  <c r="I61" i="49"/>
  <c r="I58" i="49" s="1"/>
  <c r="I19" i="49" s="1"/>
  <c r="J61" i="49"/>
  <c r="J58" i="49" s="1"/>
  <c r="J19" i="49" s="1"/>
  <c r="K61" i="49"/>
  <c r="K58" i="49" s="1"/>
  <c r="K19" i="49" s="1"/>
  <c r="L61" i="49"/>
  <c r="L58" i="49" s="1"/>
  <c r="L19" i="49" s="1"/>
  <c r="M61" i="49"/>
  <c r="M58" i="49" s="1"/>
  <c r="M19" i="49" s="1"/>
  <c r="H71" i="49"/>
  <c r="H68" i="49" s="1"/>
  <c r="I71" i="49"/>
  <c r="I68" i="49" s="1"/>
  <c r="J71" i="49"/>
  <c r="J68" i="49" s="1"/>
  <c r="K71" i="49"/>
  <c r="K68" i="49" s="1"/>
  <c r="L71" i="49"/>
  <c r="L68" i="49" s="1"/>
  <c r="M71" i="49"/>
  <c r="H83" i="49"/>
  <c r="I83" i="49"/>
  <c r="J83" i="49"/>
  <c r="J82" i="49" s="1"/>
  <c r="K83" i="49"/>
  <c r="L83" i="49"/>
  <c r="M83" i="49"/>
  <c r="H85" i="49"/>
  <c r="I85" i="49"/>
  <c r="J85" i="49"/>
  <c r="K85" i="49"/>
  <c r="L85" i="49"/>
  <c r="M85" i="49"/>
  <c r="H90" i="49"/>
  <c r="H87" i="49" s="1"/>
  <c r="I90" i="49"/>
  <c r="I87" i="49" s="1"/>
  <c r="J90" i="49"/>
  <c r="J87" i="49" s="1"/>
  <c r="K90" i="49"/>
  <c r="K87" i="49" s="1"/>
  <c r="L90" i="49"/>
  <c r="L87" i="49" s="1"/>
  <c r="M90" i="49"/>
  <c r="M87" i="49" s="1"/>
  <c r="H93" i="49"/>
  <c r="I93" i="49"/>
  <c r="J93" i="49"/>
  <c r="K93" i="49"/>
  <c r="L93" i="49"/>
  <c r="M93" i="49"/>
  <c r="H95" i="49"/>
  <c r="I95" i="49"/>
  <c r="J95" i="49"/>
  <c r="K95" i="49"/>
  <c r="L95" i="49"/>
  <c r="M95" i="49"/>
  <c r="H97" i="49"/>
  <c r="I97" i="49"/>
  <c r="J97" i="49"/>
  <c r="K97" i="49"/>
  <c r="L97" i="49"/>
  <c r="M97" i="49"/>
  <c r="H102" i="49"/>
  <c r="I102" i="49"/>
  <c r="J102" i="49"/>
  <c r="K102" i="49"/>
  <c r="L102" i="49"/>
  <c r="M102" i="49"/>
  <c r="H112" i="49"/>
  <c r="I112" i="49"/>
  <c r="J112" i="49"/>
  <c r="K112" i="49"/>
  <c r="L112" i="49"/>
  <c r="M112" i="49"/>
  <c r="H114" i="49"/>
  <c r="I114" i="49"/>
  <c r="J114" i="49"/>
  <c r="K114" i="49"/>
  <c r="L114" i="49"/>
  <c r="M114" i="49"/>
  <c r="H117" i="49"/>
  <c r="I117" i="49"/>
  <c r="J117" i="49"/>
  <c r="K117" i="49"/>
  <c r="L117" i="49"/>
  <c r="M117" i="49"/>
  <c r="H119" i="49"/>
  <c r="I119" i="49"/>
  <c r="J119" i="49"/>
  <c r="K119" i="49"/>
  <c r="L119" i="49"/>
  <c r="M119" i="49"/>
  <c r="H121" i="49"/>
  <c r="I121" i="49"/>
  <c r="J121" i="49"/>
  <c r="K121" i="49"/>
  <c r="L121" i="49"/>
  <c r="M121" i="49"/>
  <c r="H123" i="49"/>
  <c r="I123" i="49"/>
  <c r="J123" i="49"/>
  <c r="K123" i="49"/>
  <c r="L123" i="49"/>
  <c r="M123" i="49"/>
  <c r="H131" i="49"/>
  <c r="I131" i="49"/>
  <c r="J131" i="49"/>
  <c r="K131" i="49"/>
  <c r="L131" i="49"/>
  <c r="H144" i="49"/>
  <c r="H143" i="49" s="1"/>
  <c r="I144" i="49"/>
  <c r="I143" i="49" s="1"/>
  <c r="J144" i="49"/>
  <c r="J143" i="49" s="1"/>
  <c r="K144" i="49"/>
  <c r="K143" i="49" s="1"/>
  <c r="L144" i="49"/>
  <c r="L143" i="49" s="1"/>
  <c r="M144" i="49"/>
  <c r="H181" i="49"/>
  <c r="H180" i="49" s="1"/>
  <c r="I181" i="49"/>
  <c r="I180" i="49" s="1"/>
  <c r="J181" i="49"/>
  <c r="J180" i="49" s="1"/>
  <c r="K181" i="49"/>
  <c r="K180" i="49" s="1"/>
  <c r="L181" i="49"/>
  <c r="L180" i="49" s="1"/>
  <c r="M181" i="49"/>
  <c r="M180" i="49" s="1"/>
  <c r="H190" i="49"/>
  <c r="I190" i="49"/>
  <c r="J190" i="49"/>
  <c r="K190" i="49"/>
  <c r="L190" i="49"/>
  <c r="M190" i="49"/>
  <c r="H201" i="49"/>
  <c r="I201" i="49"/>
  <c r="J201" i="49"/>
  <c r="K201" i="49"/>
  <c r="L201" i="49"/>
  <c r="M201" i="49"/>
  <c r="H223" i="49"/>
  <c r="H210" i="49" s="1"/>
  <c r="I223" i="49"/>
  <c r="I210" i="49" s="1"/>
  <c r="J223" i="49"/>
  <c r="J210" i="49" s="1"/>
  <c r="K223" i="49"/>
  <c r="K210" i="49" s="1"/>
  <c r="L223" i="49"/>
  <c r="L210" i="49" s="1"/>
  <c r="M223" i="49"/>
  <c r="M210" i="49" s="1"/>
  <c r="H245" i="49"/>
  <c r="I245" i="49"/>
  <c r="J245" i="49"/>
  <c r="K245" i="49"/>
  <c r="L245" i="49"/>
  <c r="M245" i="49"/>
  <c r="H247" i="49"/>
  <c r="I247" i="49"/>
  <c r="J247" i="49"/>
  <c r="K247" i="49"/>
  <c r="L247" i="49"/>
  <c r="M247" i="49"/>
  <c r="H249" i="49"/>
  <c r="I249" i="49"/>
  <c r="J249" i="49"/>
  <c r="K249" i="49"/>
  <c r="L249" i="49"/>
  <c r="M249" i="49"/>
  <c r="H251" i="49"/>
  <c r="I251" i="49"/>
  <c r="J251" i="49"/>
  <c r="K251" i="49"/>
  <c r="L251" i="49"/>
  <c r="M251" i="49"/>
  <c r="H287" i="49"/>
  <c r="H284" i="49" s="1"/>
  <c r="I287" i="49"/>
  <c r="I284" i="49" s="1"/>
  <c r="J287" i="49"/>
  <c r="J284" i="49" s="1"/>
  <c r="K287" i="49"/>
  <c r="K284" i="49" s="1"/>
  <c r="L287" i="49"/>
  <c r="L284" i="49" s="1"/>
  <c r="M284" i="49"/>
  <c r="N284" i="49" s="1"/>
  <c r="H303" i="49"/>
  <c r="I303" i="49"/>
  <c r="J303" i="49"/>
  <c r="K303" i="49"/>
  <c r="L303" i="49"/>
  <c r="M303" i="49"/>
  <c r="H319" i="49"/>
  <c r="I319" i="49"/>
  <c r="J319" i="49"/>
  <c r="L319" i="49"/>
  <c r="H321" i="49"/>
  <c r="I321" i="49"/>
  <c r="J321" i="49"/>
  <c r="K321" i="49"/>
  <c r="L321" i="49"/>
  <c r="M321" i="49"/>
  <c r="H323" i="49"/>
  <c r="I323" i="49"/>
  <c r="J323" i="49"/>
  <c r="K323" i="49"/>
  <c r="L323" i="49"/>
  <c r="M323" i="49"/>
  <c r="I10" i="2"/>
  <c r="H10" i="2"/>
  <c r="G10" i="2"/>
  <c r="F10" i="2"/>
  <c r="E10" i="2"/>
  <c r="D10" i="2"/>
  <c r="I30" i="2"/>
  <c r="H30" i="2"/>
  <c r="G30" i="2"/>
  <c r="F30" i="2"/>
  <c r="E30" i="2"/>
  <c r="D30" i="2"/>
  <c r="I15" i="2"/>
  <c r="H15" i="2"/>
  <c r="G15" i="2"/>
  <c r="F15" i="2"/>
  <c r="E15" i="2"/>
  <c r="D15" i="2"/>
  <c r="H258" i="53" l="1"/>
  <c r="I116" i="53"/>
  <c r="I67" i="53" s="1"/>
  <c r="M92" i="49"/>
  <c r="I92" i="49"/>
  <c r="K82" i="49"/>
  <c r="J99" i="49"/>
  <c r="M315" i="49"/>
  <c r="M272" i="49" s="1"/>
  <c r="N272" i="49" s="1"/>
  <c r="L315" i="49"/>
  <c r="L272" i="49" s="1"/>
  <c r="H315" i="49"/>
  <c r="H272" i="49" s="1"/>
  <c r="L238" i="49"/>
  <c r="H238" i="49"/>
  <c r="M99" i="49"/>
  <c r="I99" i="49"/>
  <c r="L92" i="49"/>
  <c r="H92" i="49"/>
  <c r="I315" i="49"/>
  <c r="I272" i="49" s="1"/>
  <c r="M238" i="49"/>
  <c r="K315" i="49"/>
  <c r="K272" i="49" s="1"/>
  <c r="K238" i="49"/>
  <c r="K189" i="49"/>
  <c r="L99" i="49"/>
  <c r="H99" i="49"/>
  <c r="K92" i="49"/>
  <c r="M82" i="49"/>
  <c r="I82" i="49"/>
  <c r="I238" i="49"/>
  <c r="J315" i="49"/>
  <c r="J272" i="49" s="1"/>
  <c r="J238" i="49"/>
  <c r="K99" i="49"/>
  <c r="J92" i="49"/>
  <c r="L82" i="49"/>
  <c r="H82" i="49"/>
  <c r="J189" i="49"/>
  <c r="M189" i="49"/>
  <c r="I189" i="49"/>
  <c r="L189" i="49"/>
  <c r="H189" i="49"/>
  <c r="I20" i="53"/>
  <c r="I19" i="53" s="1"/>
  <c r="H116" i="53"/>
  <c r="H20" i="53"/>
  <c r="J116" i="49"/>
  <c r="G14" i="49"/>
  <c r="M116" i="49"/>
  <c r="L125" i="49"/>
  <c r="L116" i="49"/>
  <c r="H116" i="49"/>
  <c r="H125" i="49"/>
  <c r="K125" i="49"/>
  <c r="K116" i="49"/>
  <c r="G14" i="53"/>
  <c r="J125" i="49"/>
  <c r="I125" i="49"/>
  <c r="I116" i="49"/>
  <c r="I18" i="53" l="1"/>
  <c r="J171" i="49"/>
  <c r="N171" i="49" s="1"/>
  <c r="N18" i="49" s="1"/>
  <c r="L67" i="49"/>
  <c r="I67" i="49"/>
  <c r="I18" i="49" s="1"/>
  <c r="H67" i="49"/>
  <c r="J67" i="49"/>
  <c r="K67" i="49"/>
  <c r="H18" i="49" l="1"/>
  <c r="K18" i="49"/>
  <c r="M18" i="49"/>
  <c r="L18" i="49"/>
  <c r="J18" i="49"/>
</calcChain>
</file>

<file path=xl/comments1.xml><?xml version="1.0" encoding="utf-8"?>
<comments xmlns="http://schemas.openxmlformats.org/spreadsheetml/2006/main">
  <authors>
    <author>Ilka Gonzalez</author>
    <author>tc={5308258B-F80A-4443-9BEE-4C9A499CD4F4}</author>
  </authors>
  <commentList>
    <comment ref="C5" authorId="0" shapeId="0">
      <text>
        <r>
          <rPr>
            <b/>
            <sz val="9"/>
            <color indexed="81"/>
            <rFont val="Tahoma"/>
            <family val="2"/>
          </rPr>
          <t>Ilka Gonzalez:</t>
        </r>
        <r>
          <rPr>
            <sz val="9"/>
            <color indexed="81"/>
            <rFont val="Tahoma"/>
            <family val="2"/>
          </rPr>
          <t xml:space="preserve">
Pestaña desplegable</t>
        </r>
      </text>
    </comment>
    <comment ref="D8" authorId="0" shapeId="0">
      <text>
        <r>
          <rPr>
            <u/>
            <sz val="9"/>
            <color indexed="81"/>
            <rFont val="Tahoma"/>
            <family val="2"/>
          </rPr>
          <t xml:space="preserve">Fórmula de Metas logradas: </t>
        </r>
        <r>
          <rPr>
            <sz val="9"/>
            <color indexed="81"/>
            <rFont val="Tahoma"/>
            <family val="2"/>
          </rPr>
          <t>Productividad Actual /(# meses reportados) x 12
Trabajar hasta octubre 2024</t>
        </r>
      </text>
    </comment>
    <comment ref="E8" authorId="0" shapeId="0">
      <text>
        <r>
          <rPr>
            <sz val="9"/>
            <color indexed="81"/>
            <rFont val="Tahoma"/>
            <family val="2"/>
          </rPr>
          <t>Fórmula Metas programadas:
 Meta Actual/Meta Año anterior X Meta Actual</t>
        </r>
      </text>
    </comment>
    <comment ref="A33" authorId="1" shapeId="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Indicadores disponibles en el RIESS</t>
        </r>
      </text>
    </comment>
    <comment ref="D34" authorId="0" shapeId="0">
      <text>
        <r>
          <rPr>
            <sz val="9"/>
            <color indexed="81"/>
            <rFont val="Tahoma"/>
            <family val="2"/>
          </rPr>
          <t>Número de camas x 365</t>
        </r>
      </text>
    </comment>
    <comment ref="E34" authorId="0" shapeId="0">
      <text>
        <r>
          <rPr>
            <sz val="9"/>
            <color indexed="81"/>
            <rFont val="Tahoma"/>
            <family val="2"/>
          </rPr>
          <t>Sumatoria de los días pacientes reportados en el censo diario</t>
        </r>
      </text>
    </comment>
    <comment ref="F34" authorId="0" shapeId="0">
      <text>
        <r>
          <rPr>
            <sz val="9"/>
            <color indexed="81"/>
            <rFont val="Tahoma"/>
            <family val="2"/>
          </rPr>
          <t>Total de días pacientes en un período dado/Total de egresos del mismo período</t>
        </r>
      </text>
    </comment>
    <comment ref="G34" authorId="0" shapeId="0">
      <text>
        <r>
          <rPr>
            <sz val="9"/>
            <color indexed="81"/>
            <rFont val="Tahoma"/>
            <family val="2"/>
          </rPr>
          <t>Total de días pacientes en un período dado/ Total de días camas disponibles del mismo período x 100</t>
        </r>
      </text>
    </comment>
    <comment ref="H34" authorId="0" shapeId="0">
      <text>
        <r>
          <rPr>
            <sz val="9"/>
            <color indexed="81"/>
            <rFont val="Tahoma"/>
            <family val="2"/>
          </rPr>
          <t>Número de nacidos vivos prematuros/ total nacidos vivos x 100</t>
        </r>
      </text>
    </comment>
    <comment ref="I34" authorId="0" shapeId="0">
      <text>
        <r>
          <rPr>
            <sz val="9"/>
            <color indexed="81"/>
            <rFont val="Tahoma"/>
            <family val="2"/>
          </rPr>
          <t>Número de partos por cesárea/Número total de partos x 100</t>
        </r>
      </text>
    </comment>
  </commentList>
</comments>
</file>

<file path=xl/comments2.xml><?xml version="1.0" encoding="utf-8"?>
<comments xmlns="http://schemas.openxmlformats.org/spreadsheetml/2006/main">
  <authors>
    <author>Ilka Gonzalez</author>
    <author>sns2</author>
  </authors>
  <commentList>
    <comment ref="C8" authorId="0" shapeId="0">
      <text>
        <r>
          <rPr>
            <sz val="9"/>
            <color indexed="81"/>
            <rFont val="Tahoma"/>
            <family val="2"/>
          </rPr>
          <t xml:space="preserve">Inicia siglas de la dependencia, numeración línea estratégica, numeración objetivo, numeración resultado esperado, numeración producto y secuencia actividades para el producto en decimales.
Ej.: Servicio Regional de Salud X (sigla de identificación)
Eje Estratégico 1
Objetivo 1
Resultado Esperado 1
Producto 1
Actividad 01
Ejemplo: </t>
        </r>
        <r>
          <rPr>
            <b/>
            <sz val="9"/>
            <color indexed="81"/>
            <rFont val="Tahoma"/>
            <family val="2"/>
          </rPr>
          <t>SRSM 1.1.1.1.01</t>
        </r>
      </text>
    </comment>
    <comment ref="T8" authorId="1" shapeId="0">
      <text>
        <r>
          <rPr>
            <b/>
            <sz val="9"/>
            <color indexed="81"/>
            <rFont val="Tahoma"/>
            <family val="2"/>
          </rPr>
          <t>sns2:</t>
        </r>
        <r>
          <rPr>
            <sz val="9"/>
            <color indexed="81"/>
            <rFont val="Tahoma"/>
            <family val="2"/>
          </rPr>
          <t xml:space="preserve">
Si el medio de verificación es "otros", describir cual sería utilizado. También aplicable para cualquier otra observación, incluyendo supuestos.</t>
        </r>
      </text>
    </comment>
  </commentList>
</comments>
</file>

<file path=xl/comments3.xml><?xml version="1.0" encoding="utf-8"?>
<comments xmlns="http://schemas.openxmlformats.org/spreadsheetml/2006/main">
  <authors>
    <author>Patricia Elisa Caba</author>
  </authors>
  <commentList>
    <comment ref="A258" authorId="0" shapeId="0">
      <text>
        <r>
          <rPr>
            <b/>
            <sz val="9"/>
            <color indexed="81"/>
            <rFont val="Tahoma"/>
            <family val="2"/>
          </rPr>
          <t>Patricia Elisa Caba:</t>
        </r>
        <r>
          <rPr>
            <sz val="8"/>
            <color indexed="81"/>
            <rFont val="Tahoma"/>
            <family val="2"/>
          </rPr>
          <t xml:space="preserve">
Bloquear cuentas a CEAS</t>
        </r>
      </text>
    </comment>
  </commentList>
</comments>
</file>

<file path=xl/sharedStrings.xml><?xml version="1.0" encoding="utf-8"?>
<sst xmlns="http://schemas.openxmlformats.org/spreadsheetml/2006/main" count="5668" uniqueCount="1507">
  <si>
    <t>Insumos</t>
  </si>
  <si>
    <t>Unidad de Medida</t>
  </si>
  <si>
    <t>Precio Unitario</t>
  </si>
  <si>
    <t>Valor Total</t>
  </si>
  <si>
    <t>Cuenta</t>
  </si>
  <si>
    <t>1er. Trimestre</t>
  </si>
  <si>
    <t>2do. Trimestre</t>
  </si>
  <si>
    <t>3er. Trimestre</t>
  </si>
  <si>
    <t>4to. Trimestre</t>
  </si>
  <si>
    <t>Servicio Hospitalización</t>
  </si>
  <si>
    <t>Egresos</t>
  </si>
  <si>
    <t>Otros</t>
  </si>
  <si>
    <t>Servicio de Consulta Externa</t>
  </si>
  <si>
    <t>Consultas</t>
  </si>
  <si>
    <t>Primera Vez</t>
  </si>
  <si>
    <t>Subsecuente</t>
  </si>
  <si>
    <t>Servicio de Emergencia</t>
  </si>
  <si>
    <t>Servicio de Imágenes</t>
  </si>
  <si>
    <t>Imágenes</t>
  </si>
  <si>
    <t>%</t>
  </si>
  <si>
    <t>Auxiliar</t>
  </si>
  <si>
    <t>Sobresueldos</t>
  </si>
  <si>
    <t>Servicios Básicos</t>
  </si>
  <si>
    <t>Electricidad</t>
  </si>
  <si>
    <t>Agua</t>
  </si>
  <si>
    <t>Viáticos</t>
  </si>
  <si>
    <t>Fletes</t>
  </si>
  <si>
    <t>Materiales y Suministros</t>
  </si>
  <si>
    <t>Alimentos y Productos Agroforestales</t>
  </si>
  <si>
    <t>Textiles y Vestuarios</t>
  </si>
  <si>
    <t>Calzados</t>
  </si>
  <si>
    <t>Minerales</t>
  </si>
  <si>
    <t>Productos y Utiles Varios</t>
  </si>
  <si>
    <t>Venta de Servicios</t>
  </si>
  <si>
    <t>Suplencias</t>
  </si>
  <si>
    <t>Dietas y Gastos de Representación</t>
  </si>
  <si>
    <t>Productos Terminales</t>
  </si>
  <si>
    <t>Servicios de Apoyo Diagnóstico</t>
  </si>
  <si>
    <t>Análisis de Laboratorio</t>
  </si>
  <si>
    <t>Indicadores de Producción</t>
  </si>
  <si>
    <t>Gestión de Usuario y Educación para la Salud</t>
  </si>
  <si>
    <t xml:space="preserve">        Venta de Servicios y Otros Ingresos</t>
  </si>
  <si>
    <t xml:space="preserve">        Otros Aportes</t>
  </si>
  <si>
    <t>Programación Trimestral</t>
  </si>
  <si>
    <t>Cantidad de Insumos</t>
  </si>
  <si>
    <t>Fuente de Financiamiento</t>
  </si>
  <si>
    <t>Estimación de Ingresos</t>
  </si>
  <si>
    <t>Programación Insumos por Producto Nivel Especializado</t>
  </si>
  <si>
    <t>Estimación de Gastos</t>
  </si>
  <si>
    <t>Objeto</t>
  </si>
  <si>
    <t>Sub-Cuenta</t>
  </si>
  <si>
    <t>Anticipos Financieros / Transferencias</t>
  </si>
  <si>
    <t xml:space="preserve">Transferencias Corrientes </t>
  </si>
  <si>
    <t>Consolidado Presupuesto Estimado de Ingresos y Gastos Nivel Especializado por Actividad Especifica</t>
  </si>
  <si>
    <t>Descripción Gasto por Cuenta</t>
  </si>
  <si>
    <t>Consultas Externa</t>
  </si>
  <si>
    <t>Emergencias</t>
  </si>
  <si>
    <t>Hospitalización</t>
  </si>
  <si>
    <t>Servicios de Laboratorios y Banco de Sangre</t>
  </si>
  <si>
    <t>Servicios de Imágenes RX</t>
  </si>
  <si>
    <t>Gestión Técnica y Administrativa</t>
  </si>
  <si>
    <t>Apoyo Diagnóstico</t>
  </si>
  <si>
    <t>Servicios de Apoyo</t>
  </si>
  <si>
    <t xml:space="preserve">      Total Ingresos RD$</t>
  </si>
  <si>
    <t>Tipo</t>
  </si>
  <si>
    <t>Remuneraciones</t>
  </si>
  <si>
    <t>Remuneraciones al personal fijo</t>
  </si>
  <si>
    <t>Sueldos a medicos</t>
  </si>
  <si>
    <t>Incentivos y escalafón</t>
  </si>
  <si>
    <t>Remuneraciones al personal con carácter transitorio</t>
  </si>
  <si>
    <t>Sueldo al personal nominal en período probatorio</t>
  </si>
  <si>
    <t xml:space="preserve"> Jornales</t>
  </si>
  <si>
    <t>Sueldos al personal fijo en trámite de pensiones</t>
  </si>
  <si>
    <t>Pago de porcentaje por desvinculación de cargo</t>
  </si>
  <si>
    <t>Primas por antigüedad</t>
  </si>
  <si>
    <t>Compensación</t>
  </si>
  <si>
    <t>Pago de horas extraordinarias, Horas extraordinarias fin de año (Reglamento 523-09)</t>
  </si>
  <si>
    <t>Prima de transporte</t>
  </si>
  <si>
    <t>Compensación servicios de Seguridad</t>
  </si>
  <si>
    <t>Compensación por distancia</t>
  </si>
  <si>
    <t>Compensaciones especiales</t>
  </si>
  <si>
    <t>Bono por desempeño</t>
  </si>
  <si>
    <t>Gastos de representación</t>
  </si>
  <si>
    <t>Gastos de representación en el país</t>
  </si>
  <si>
    <t>Gastos de representación en el exterior</t>
  </si>
  <si>
    <t>Contribuciones al seguro de salud</t>
  </si>
  <si>
    <t>Contribuciones al seguro de pensiones</t>
  </si>
  <si>
    <t>Contribuciones al seguro de riesgo laboral</t>
  </si>
  <si>
    <t>Contribuciones al plan de retiro complementario</t>
  </si>
  <si>
    <t>Servicios telefónico de larga distancia</t>
  </si>
  <si>
    <t>Teléfono local</t>
  </si>
  <si>
    <t>Servicio de internet y televisión por cable</t>
  </si>
  <si>
    <t>Energía eléctrica</t>
  </si>
  <si>
    <t>Electricidad no cortable</t>
  </si>
  <si>
    <t>Recolección de residuos sólidos</t>
  </si>
  <si>
    <t>Publicidad y propaganda</t>
  </si>
  <si>
    <t>Impresión y encuadernación</t>
  </si>
  <si>
    <t>Viáticos dentro del país</t>
  </si>
  <si>
    <t>Viáticos fuera del país</t>
  </si>
  <si>
    <t>Transporte y Alamcenaje</t>
  </si>
  <si>
    <t>Peaje</t>
  </si>
  <si>
    <t>Alquileres y Rentas</t>
  </si>
  <si>
    <t>Alquilleres y rentas de edificios y locales</t>
  </si>
  <si>
    <t>Alquiler de equipo educacional</t>
  </si>
  <si>
    <t>Alquiler de equipo para computación</t>
  </si>
  <si>
    <t>Alquiler de equipo de comunicación</t>
  </si>
  <si>
    <t>Alquiler de equipo de oficina y muebles</t>
  </si>
  <si>
    <t>Alquiler de equipos sanitarios y de laboratorios</t>
  </si>
  <si>
    <t>Alquileres de equipos de transporte, tracción y elevación</t>
  </si>
  <si>
    <t>Otros alquileres</t>
  </si>
  <si>
    <t>Seguros</t>
  </si>
  <si>
    <t>Seguro de bienes muebles</t>
  </si>
  <si>
    <t>Seguros de personas</t>
  </si>
  <si>
    <t>Servicios de Conservación, Reparaciones Menores e Instalaciones Temporales</t>
  </si>
  <si>
    <t>Obras menores en edificaciones</t>
  </si>
  <si>
    <t>Mantenimiento y reparación de equipos sanitarios y de laboratorio</t>
  </si>
  <si>
    <t>Mantenimiento y reparación de equipos de transporte, tracción y elevación</t>
  </si>
  <si>
    <t>Instalaciones temporales</t>
  </si>
  <si>
    <t>Servicios funerarios y gastos conexos</t>
  </si>
  <si>
    <t>Fumigación, lavandería, limpieza e higiene</t>
  </si>
  <si>
    <t>Fumigación</t>
  </si>
  <si>
    <t>Lavandería</t>
  </si>
  <si>
    <t>Festividades</t>
  </si>
  <si>
    <t>Servicios Técnicos y Profesionales</t>
  </si>
  <si>
    <t>Servicios jurídicos</t>
  </si>
  <si>
    <t>Servicios de contabilidad y auditoría</t>
  </si>
  <si>
    <t>Servicios de capacitación</t>
  </si>
  <si>
    <t>Servicios de informática y sistemas computarizados</t>
  </si>
  <si>
    <t>Otros servicios técnicos profesionales</t>
  </si>
  <si>
    <t>Impuestos, derechos y tasas</t>
  </si>
  <si>
    <t>Impuestos</t>
  </si>
  <si>
    <t>Derechos</t>
  </si>
  <si>
    <t>Tasas</t>
  </si>
  <si>
    <t>Alimentos y bebidas para personas</t>
  </si>
  <si>
    <t>Productos agroforestales y pecuarios</t>
  </si>
  <si>
    <t>Productos agrícolas</t>
  </si>
  <si>
    <t>Productos forestales</t>
  </si>
  <si>
    <t>Madera, corcho y sus manufacturas</t>
  </si>
  <si>
    <t>Acabados textiles</t>
  </si>
  <si>
    <t>Prendas de vestir</t>
  </si>
  <si>
    <t>Papel de escritorio</t>
  </si>
  <si>
    <t>Productos de papel y cartón</t>
  </si>
  <si>
    <t>Productos de artes gráficas</t>
  </si>
  <si>
    <t>Libros, revistas y periódicos</t>
  </si>
  <si>
    <t>Productos medicinales para uso humano</t>
  </si>
  <si>
    <t>Llantas y neumáticos</t>
  </si>
  <si>
    <t>Productos de Cuero, Caucho y Plasticos</t>
  </si>
  <si>
    <t>Artículos de plástico</t>
  </si>
  <si>
    <t>Productos de Minerales, Metalicos y No Metalicos</t>
  </si>
  <si>
    <t>Productos de cemento, cal, asbesto, yeso y arcilla</t>
  </si>
  <si>
    <t>Productos de cemento</t>
  </si>
  <si>
    <t>Productos de cal</t>
  </si>
  <si>
    <t>Productos de yeso</t>
  </si>
  <si>
    <t>Productos de vidrio, loza y porcelana</t>
  </si>
  <si>
    <t>Productos de vidrio</t>
  </si>
  <si>
    <t>Productos de loza</t>
  </si>
  <si>
    <t>Productos de porcelana</t>
  </si>
  <si>
    <t>Productos metálicos y sus derivados</t>
  </si>
  <si>
    <t>Herramientas menores</t>
  </si>
  <si>
    <t>Productos de hojalata</t>
  </si>
  <si>
    <t>Piedra, arcilla y arena</t>
  </si>
  <si>
    <t>Combustibles y lubricantes</t>
  </si>
  <si>
    <t>Gasolina</t>
  </si>
  <si>
    <t>Gasoil</t>
  </si>
  <si>
    <t>Kerosén</t>
  </si>
  <si>
    <t>Gas GLP</t>
  </si>
  <si>
    <t>Aceites y Grasas</t>
  </si>
  <si>
    <t>Lubricantes</t>
  </si>
  <si>
    <t>Productos químicos y conexos</t>
  </si>
  <si>
    <t>Productos Fotoquímicos</t>
  </si>
  <si>
    <t>Productos Químicos de uso Personal</t>
  </si>
  <si>
    <t>Insecticidas, Fumigantes y Otros</t>
  </si>
  <si>
    <t>Material para limpieza</t>
  </si>
  <si>
    <t>Utiles de cocina y comedor</t>
  </si>
  <si>
    <t>Productos eléctricos y afines</t>
  </si>
  <si>
    <t>Obras</t>
  </si>
  <si>
    <t>Bienes Muebles, Inmuebles e Intangibles</t>
  </si>
  <si>
    <t>Mobiliario Y Equipo</t>
  </si>
  <si>
    <t>Muebles de oficina y estantería</t>
  </si>
  <si>
    <t>Otros mobiliarios y equipos no identificados precedentemente</t>
  </si>
  <si>
    <t>Cámaras fotográficas y de video</t>
  </si>
  <si>
    <t>Equipo e Instrumental, Científico Y Laboratorio</t>
  </si>
  <si>
    <t>Equipo médico y de laboratorio</t>
  </si>
  <si>
    <t>Instrumental médico y de laboratorio</t>
  </si>
  <si>
    <t>Vehículos y Equipo de Transporte, Tracción y Elevación</t>
  </si>
  <si>
    <t>Automóviles y camiones</t>
  </si>
  <si>
    <t>Carrocerías y remolques</t>
  </si>
  <si>
    <t>Otros equipos de transporte</t>
  </si>
  <si>
    <t>Maquinaria, Otros Equipos y Herramientas</t>
  </si>
  <si>
    <t>Maquinaria y equipo industrial</t>
  </si>
  <si>
    <t>Equipo de comunicación, telecomunicaciones y señalamiento</t>
  </si>
  <si>
    <t>Equipo de generación eléctrica, aparatos y accesorios eléctricos</t>
  </si>
  <si>
    <t>Otros equipos</t>
  </si>
  <si>
    <t>Bienes Intangibles</t>
  </si>
  <si>
    <t>Programas de informática y base de datos</t>
  </si>
  <si>
    <t>Programas de informática</t>
  </si>
  <si>
    <t>Base de datos</t>
  </si>
  <si>
    <t>Estudios de preinversión</t>
  </si>
  <si>
    <t>Licencias informáticas e intelectuales, industriales y comerciales</t>
  </si>
  <si>
    <t>Otros activos intangibles</t>
  </si>
  <si>
    <t>Obras En Edificaciones</t>
  </si>
  <si>
    <t>Obras para edificación no residencial</t>
  </si>
  <si>
    <t>`01</t>
  </si>
  <si>
    <t>`02</t>
  </si>
  <si>
    <t>`03</t>
  </si>
  <si>
    <t>`04</t>
  </si>
  <si>
    <t>Proporción de vacaciones no disfrutadas</t>
  </si>
  <si>
    <t>Otros seguros</t>
  </si>
  <si>
    <t>`05</t>
  </si>
  <si>
    <t>Mantenimiento y reparación de equipos de comunicación</t>
  </si>
  <si>
    <t>Limpieza e higiene</t>
  </si>
  <si>
    <t>Consolidado Presupuesto Estimado de Ingresos y Gastos Nivel Especializado por Fuente de Financiamiento</t>
  </si>
  <si>
    <t xml:space="preserve">        Anticipos Financieros</t>
  </si>
  <si>
    <t>Establecimiento:</t>
  </si>
  <si>
    <t>Servicio Regional de Salud:</t>
  </si>
  <si>
    <t>Camas Disponibles</t>
  </si>
  <si>
    <t>Dias Pacientes</t>
  </si>
  <si>
    <t>Promedio Días Estada</t>
  </si>
  <si>
    <t>Porcentaje Ocupacional</t>
  </si>
  <si>
    <t>Años</t>
  </si>
  <si>
    <t>Día Cama Disponibles</t>
  </si>
  <si>
    <t>Descripción Ingresos por Cuenta</t>
  </si>
  <si>
    <t>Donaciones</t>
  </si>
  <si>
    <t>Anticipos Financieros</t>
  </si>
  <si>
    <t>Venta de Servicios a SENASA por afiliados regimen subsidiado</t>
  </si>
  <si>
    <t>Venta de Servicios a SENASA por afiliados regimen contributivo</t>
  </si>
  <si>
    <t>Venta de Servicios a otras ARS por atencion a Regimen contributivo</t>
  </si>
  <si>
    <t xml:space="preserve">Venta de Servicios a ARL </t>
  </si>
  <si>
    <t>Total Ingresos</t>
  </si>
  <si>
    <t>Valor RD$</t>
  </si>
  <si>
    <t>Total RD$</t>
  </si>
  <si>
    <t>Servicios Personales</t>
  </si>
  <si>
    <t>Sueldos fijos</t>
  </si>
  <si>
    <t>`06</t>
  </si>
  <si>
    <t>Nuevas plazas a medicos</t>
  </si>
  <si>
    <t>`07</t>
  </si>
  <si>
    <t>Sueldo anual No. 13</t>
  </si>
  <si>
    <t>Prestacianes economicas</t>
  </si>
  <si>
    <t>Prestacion laboral por desvinculación</t>
  </si>
  <si>
    <t>`08</t>
  </si>
  <si>
    <t>`09</t>
  </si>
  <si>
    <t>`10</t>
  </si>
  <si>
    <t>Contribuciones a la Seguridad Social y Riesgo Laboral</t>
  </si>
  <si>
    <t>Contratacion de servicios</t>
  </si>
  <si>
    <t>Publicidad Impresión y Encuadernación</t>
  </si>
  <si>
    <t>Seguro de bienes inmuebles e infraestructura</t>
  </si>
  <si>
    <t>Mantenimientos y reparacion de maquinarias y equipos</t>
  </si>
  <si>
    <t>Otros Servicios No Incluidos en conceptos anteriores</t>
  </si>
  <si>
    <t>Eventos generals</t>
  </si>
  <si>
    <t>Productos de Papel, Cartón e Impresos</t>
  </si>
  <si>
    <t>Productos Farmacéuticos</t>
  </si>
  <si>
    <t xml:space="preserve">Artículos de plástico </t>
  </si>
  <si>
    <t>Combustibles, Lubricantes, Productos Químicos y Conexos</t>
  </si>
  <si>
    <t>Pinturas, Lacas, Barnices, Diluyentes y Absorbentes para Pinturas</t>
  </si>
  <si>
    <t>Transferencias Corrientes</t>
  </si>
  <si>
    <t xml:space="preserve"> Transferencias Corrientes Al Sector Privado</t>
  </si>
  <si>
    <t>Ayudas Y Donaciones A Personas</t>
  </si>
  <si>
    <t>Ayudas Y Donaciones Programadas A Hogares Y Personas</t>
  </si>
  <si>
    <t>Ayudas Y Donaciones Ocasionales A Hogares Y Personas</t>
  </si>
  <si>
    <t xml:space="preserve">Transferencias corrientes a empresas del sector privado </t>
  </si>
  <si>
    <t>Transferencias corrientes a Asociaciones sin fines de lucro y partidos políticos</t>
  </si>
  <si>
    <t>Transferencias corrientes a Asociaciones sin fines de lucro</t>
  </si>
  <si>
    <t>Transferencias de Corrientes a otras Instituciones Públicas</t>
  </si>
  <si>
    <t>Electricidad no cortable en las transferencias a otras instituciones públicas</t>
  </si>
  <si>
    <t>Electrodomesticos</t>
  </si>
  <si>
    <t>Equipos y aparatos audiovisuales</t>
  </si>
  <si>
    <t>Equipos de defensa y seguridad</t>
  </si>
  <si>
    <t>Equipos de defensa de defensa</t>
  </si>
  <si>
    <t>Equipos de seguridad</t>
  </si>
  <si>
    <t>Servicio Nacional de Salud</t>
  </si>
  <si>
    <t>Dirección de Planificación y Desarrollo</t>
  </si>
  <si>
    <t>Enriquillo</t>
  </si>
  <si>
    <t>El Valle</t>
  </si>
  <si>
    <t>Año</t>
  </si>
  <si>
    <t>Anticipo Financiero</t>
  </si>
  <si>
    <t>Venta Servicios</t>
  </si>
  <si>
    <t>Aportes SNS Nomina</t>
  </si>
  <si>
    <t>Aportes SNS Equipamiento</t>
  </si>
  <si>
    <t>Aportes para otros gastos de inversión del SNS</t>
  </si>
  <si>
    <t xml:space="preserve">        Aportes SNS Nómina</t>
  </si>
  <si>
    <t>Nómina</t>
  </si>
  <si>
    <t>Porcentaje de cesárea</t>
  </si>
  <si>
    <t>Insumo</t>
  </si>
  <si>
    <t>InsumoAbrev</t>
  </si>
  <si>
    <t>Descripción</t>
  </si>
  <si>
    <t>CODIGO PRESUPUESTARIO</t>
  </si>
  <si>
    <t>lsAcabadosTextiles</t>
  </si>
  <si>
    <t>Manteles en encajes para bandejas grandes (rectangulares)</t>
  </si>
  <si>
    <t>unidad</t>
  </si>
  <si>
    <t>2.3.2.2.01</t>
  </si>
  <si>
    <t>Manteles en encajes para bandejas pequeñas (rectangulares)</t>
  </si>
  <si>
    <t>lsAlimentosyBebidas</t>
  </si>
  <si>
    <t>Almuerzo tipo Buffet para 10 personas (Cristaleria, Cuberteria, Servilletas, Jugo)</t>
  </si>
  <si>
    <t>2.3.1.1.01</t>
  </si>
  <si>
    <t>Almuerzo tipo Buffet para 20 personas (Cristalería, Cubertería, Servilletas, Jugo, Café)</t>
  </si>
  <si>
    <t xml:space="preserve">Almuerzo tipo Buffet para 30 personas (Cristaleria, Cuberteria, Servilletas, Jugo) </t>
  </si>
  <si>
    <t>Almuerzo tipo Buffet para 40 personas (Cristalería, Cuberteria, Mesas, Sillas, Manteles, Servilletas)</t>
  </si>
  <si>
    <t>Refrigerio Dulce tipo Buffet p/65 Personas (Arreglo Flores, Alquiler Cristalería, Sillas, Servilletas, Mesa, Bambalina, Tope)</t>
  </si>
  <si>
    <t>Refrigerio tipo Buffet p/12 personas (4 Variedades, Desechables Transparentes, Jugo Natural, Servilletas, Hielo)</t>
  </si>
  <si>
    <t xml:space="preserve">Refrigerio tipo Buffet p/15 personas (3 Variedades, Desechables Transparentes, Jugo Natural, Servilletas, Hielo) </t>
  </si>
  <si>
    <t>Refrigerio tipo Buffet p/150 personas (Diferentes Variedades, Bambalinas, Manteles, Desechables, Hielo, Servilletas)</t>
  </si>
  <si>
    <t xml:space="preserve">Refrigerio tipo Buffet p/40 personas (5 Variedades, Cristaleria, Mantel, Tope, Bambalina, Servilletas, Hielo) </t>
  </si>
  <si>
    <t xml:space="preserve">Refrigerio tipo Buffet p/45 personas (5 Variedades, Desechable Transparentes, Servilletas, Hielo) </t>
  </si>
  <si>
    <t xml:space="preserve">Refrigerio tipo preempacado p/100 personas (4 Variedades, Jugo, Desechables Transparentes, Hielo, Servilleta) </t>
  </si>
  <si>
    <t xml:space="preserve">Refrigerio tipo preempacado p/110 personas (4 Variedades, Jugo, Desechables Transparentes,sillas plasticas, Servilletas) </t>
  </si>
  <si>
    <t xml:space="preserve">Refrigerio tipo preempacado p/125 personas (4 Variedades, Jugo, Desechables Transparentes,sillas plasticas, Servilletas) </t>
  </si>
  <si>
    <t>Refrigerio tipo preempacado p/20 personas (Variedades fuertes, Jugo, Desechables Transparentes, Servilletas, Hielo)</t>
  </si>
  <si>
    <t>Refrigerio tipo preempacado p/25 personas (4 Variedades, Jugo, Desechables Transparentes, Jugo Natural)</t>
  </si>
  <si>
    <t xml:space="preserve">Refrigerio tipo preempacado p/250 personas (4 Variedades, Jugo, Desechables Transparentes, Mesas, Manteles) </t>
  </si>
  <si>
    <t xml:space="preserve">Refrigerio tipo preempacado p/50 personas (3 Variedades, Jugo, Desechables Transparentes, Hielo, Servilleta) </t>
  </si>
  <si>
    <t>Refrigerio y Almuerzo tipo Buffet p/25 personas (Cristaleria, Mesas, Manteles, Bambalina, Hielo, Servilletas</t>
  </si>
  <si>
    <t>Servicio de Almuerzo tipo buffet para 30 Personas</t>
  </si>
  <si>
    <t>Servicio de Refrigerio tipo buffet 30 Personas</t>
  </si>
  <si>
    <t>lsArticulosdePlastico</t>
  </si>
  <si>
    <t>Cajas de Cucharas Plásticas</t>
  </si>
  <si>
    <t>Caja</t>
  </si>
  <si>
    <t>2.3.5.5.01</t>
  </si>
  <si>
    <t>Cajas de Tenedores Plásticos</t>
  </si>
  <si>
    <t>Cajas de Vasos No. 3</t>
  </si>
  <si>
    <t>Cajas de Vasos No. 7</t>
  </si>
  <si>
    <t>Fardos de Fundas Plásticas 17x22</t>
  </si>
  <si>
    <t>Fardos de Fundas Plásticas 24x30</t>
  </si>
  <si>
    <t>Fardos de Fundas Plásticas no. 55</t>
  </si>
  <si>
    <t>Electrodomésticos</t>
  </si>
  <si>
    <t>lsElectrodomesticos</t>
  </si>
  <si>
    <t>Aspiradora</t>
  </si>
  <si>
    <t>2.6.1.4.01</t>
  </si>
  <si>
    <t>Estufas de 20 pulgadas</t>
  </si>
  <si>
    <t>Microondas de 7 pies</t>
  </si>
  <si>
    <t>Refrigeradores de 8 pies</t>
  </si>
  <si>
    <t>Televisores de 32 pulgadas</t>
  </si>
  <si>
    <t>lsTelecomunicaciones</t>
  </si>
  <si>
    <t>Mapas de Evacuación</t>
  </si>
  <si>
    <t>2.6.5.5.01</t>
  </si>
  <si>
    <t>Otros Señales</t>
  </si>
  <si>
    <t>Punto de Reunion 2x2 pies, Metla colocado en pared</t>
  </si>
  <si>
    <t>Señal de Ruta de Evacuacion Area, Doble Cara 6x12, para techo con cables de acero  Fotoluminiscente</t>
  </si>
  <si>
    <t>Señales de Ruta de Evacuacion Flecha Derecha 5x8 en vinil fotoluminiscente sobre PVC de 4mm</t>
  </si>
  <si>
    <t>Señales de Ruta de Evacuacion Flecha Izquierda 5x8 en vinil fotoluminiscente sobre PVC de 4mm</t>
  </si>
  <si>
    <t>Señales de Salida 12x25¨ en vinil fotoluminiscente sobre PVC de 4mm</t>
  </si>
  <si>
    <t>Señalizaciones de Extintores y Modo de uso</t>
  </si>
  <si>
    <t xml:space="preserve">Equipo médico y de laboratorio </t>
  </si>
  <si>
    <t>lsEquiposMedicos</t>
  </si>
  <si>
    <t xml:space="preserve"> Agitador rotador VDRL.</t>
  </si>
  <si>
    <t>2.6.3.1.01</t>
  </si>
  <si>
    <t xml:space="preserve"> Aspirador de secreciones eléctrico rodable</t>
  </si>
  <si>
    <t xml:space="preserve"> Bandeja de Urología</t>
  </si>
  <si>
    <t xml:space="preserve"> Contador de células hematológicas.</t>
  </si>
  <si>
    <t xml:space="preserve"> Incubadora neonatal para UCI</t>
  </si>
  <si>
    <t xml:space="preserve"> Vitrina de acero inoxidable para material estéril 0.68x0.45x1.70m.</t>
  </si>
  <si>
    <t>Aza Diatermica</t>
  </si>
  <si>
    <t>Balanza  con tallímetro de 160 kg - 320 lbs.</t>
  </si>
  <si>
    <t>Balanza analítica de precisión</t>
  </si>
  <si>
    <t>Bandeja cirugía general</t>
  </si>
  <si>
    <t>Bandeja de acero inoxidable 30x20cms.</t>
  </si>
  <si>
    <t>Bandeja de cesárea.</t>
  </si>
  <si>
    <t>Bandeja de cirugía ortopédica</t>
  </si>
  <si>
    <t>Bandeja de legrado</t>
  </si>
  <si>
    <t>Bandeja de parto</t>
  </si>
  <si>
    <t>Bandeja ginecológica</t>
  </si>
  <si>
    <t>Baño maría 10 - 15 lts.</t>
  </si>
  <si>
    <t>Cama  tipo hospitalaria, de posición, con barandas,  colchón</t>
  </si>
  <si>
    <t>Cama cuna metálica rodable con barandas para niños 147 x 82.5 x 50 cms.</t>
  </si>
  <si>
    <t>Cama eléctrica de cuidados intensivos con barandas y funciones de posicionamientos especiales</t>
  </si>
  <si>
    <t>Cama unipersonal</t>
  </si>
  <si>
    <t>Camilla de emergencia  con barandas, ruedas  y  porta suero incluido</t>
  </si>
  <si>
    <t>Camilla de transporte intrahospitalaria con barandas, ruedas y porta suero</t>
  </si>
  <si>
    <t>Camilla de trauma shock</t>
  </si>
  <si>
    <t>Camilla para examen ginecológico.</t>
  </si>
  <si>
    <t>Carro de cura</t>
  </si>
  <si>
    <t>Centrífuga de Mesa de 24 tubos</t>
  </si>
  <si>
    <t>Chaleco plomado</t>
  </si>
  <si>
    <t>Cipap Fisher</t>
  </si>
  <si>
    <t>Colchones Hospitalarios 36' x 76' (Azul, Marron o Crema)</t>
  </si>
  <si>
    <t>Cuna de calor radiante</t>
  </si>
  <si>
    <t>Desfibrilador con monitor ECG, paleta externas y batería interna.</t>
  </si>
  <si>
    <t>Doppler fetal fijo</t>
  </si>
  <si>
    <t>Doppler fetal portátil</t>
  </si>
  <si>
    <t>Electrocardiógrafo de 3 canales portátil con carro</t>
  </si>
  <si>
    <t>Electrocauterio</t>
  </si>
  <si>
    <t>Escalinata de 2 peldaño</t>
  </si>
  <si>
    <t>Esfigmomanómetro De Pared Con Brazalete Adulto</t>
  </si>
  <si>
    <t>Esfigmomanómetro de pared con set de brazaletes pediátrico.</t>
  </si>
  <si>
    <t>Esfigmomanómetro de pedestal rodable adulto</t>
  </si>
  <si>
    <t>Esfigmomanómetro de pedestal rodable adulto/pediátrico</t>
  </si>
  <si>
    <t>Esfigmomanómetro portátil con brazalete para adulto</t>
  </si>
  <si>
    <t>Esfigmomanómetro portátil con set de Brazaletes pediátricos</t>
  </si>
  <si>
    <t>Estantería metalica de 4 niveles regulares</t>
  </si>
  <si>
    <t>Estetoscopio doble campana</t>
  </si>
  <si>
    <t>Estetoscopio pediátrico</t>
  </si>
  <si>
    <t>Frasco Esteril para muestras</t>
  </si>
  <si>
    <t>Horno eléctrico al seco cap. 28 litros.</t>
  </si>
  <si>
    <t>Incubadora de transporte</t>
  </si>
  <si>
    <t>Incubadora neonatal estándar</t>
  </si>
  <si>
    <t>Instalación de Rayos X en el Hospital Municipal de Haina</t>
  </si>
  <si>
    <t>Lámpara de fototerapia</t>
  </si>
  <si>
    <t>Lámpara quirúrgica cialítica de potencia alta.</t>
  </si>
  <si>
    <t>Lámpara quirúrgica de pie rodable .</t>
  </si>
  <si>
    <t>Laringoscopio adulto</t>
  </si>
  <si>
    <t>Máquina de anestesia 3 gases con monitoreo avanzado.</t>
  </si>
  <si>
    <t>Mesa de parto</t>
  </si>
  <si>
    <t>Mesa metálica angular rodable para instrumentos de acero inoxidable</t>
  </si>
  <si>
    <t>Mesa metálica tipo mayo acero inoxidable</t>
  </si>
  <si>
    <t>Mesa para operaciones mayores</t>
  </si>
  <si>
    <t>Microscopio binocular Tipo Estándar</t>
  </si>
  <si>
    <t>Monitor de actividad intrauterina y cardiofetal</t>
  </si>
  <si>
    <t>Monitor de funciones vitales de transporte 5 pararametros</t>
  </si>
  <si>
    <t>Monitores de signos vitales de pared de 5 parámetros .</t>
  </si>
  <si>
    <t>Nebulizador</t>
  </si>
  <si>
    <t>Negatoscopio metálico de 1 campo</t>
  </si>
  <si>
    <t>Negatoscopio metálico de 2 campos.</t>
  </si>
  <si>
    <t>Nevera para banco de sangre</t>
  </si>
  <si>
    <t>Nevera para Reactivos</t>
  </si>
  <si>
    <t>Orinal metálico</t>
  </si>
  <si>
    <t>Pulsoxímetro adulto pediátrico portátil.</t>
  </si>
  <si>
    <t>Pulsoxímetro con sensor neonatal.</t>
  </si>
  <si>
    <t>Resucitador manual adulto</t>
  </si>
  <si>
    <t>Resucitador manual neonatal</t>
  </si>
  <si>
    <t>Resucitador manual pediátrico</t>
  </si>
  <si>
    <t>Set de cirugía menor</t>
  </si>
  <si>
    <t>Set de diagnóstico de pared</t>
  </si>
  <si>
    <t>Set de diagnóstico portátil</t>
  </si>
  <si>
    <t>Set instrumental de curaciones.</t>
  </si>
  <si>
    <t>Silla de rueda aro No. 18</t>
  </si>
  <si>
    <t>Silla de rueda aro No. 24</t>
  </si>
  <si>
    <t>Sillón dental (de fabricación de local)</t>
  </si>
  <si>
    <t xml:space="preserve">Unidad de Monitoreo de Cuidados Intensivos </t>
  </si>
  <si>
    <t>Unidad de Rayos X portátil y con batería.</t>
  </si>
  <si>
    <t>Unidad dental digital completa</t>
  </si>
  <si>
    <t>Unidades dentales (de fabricación local)</t>
  </si>
  <si>
    <t>Ventilador mecánico adulto/pediátrico</t>
  </si>
  <si>
    <t>Ventilador mecánico neonatal</t>
  </si>
  <si>
    <t>Equipos de cómputo</t>
  </si>
  <si>
    <t>lsEquiposComputos</t>
  </si>
  <si>
    <t>Computadoras de escritorio</t>
  </si>
  <si>
    <t>2.6.1.3.01</t>
  </si>
  <si>
    <t xml:space="preserve">Headsets </t>
  </si>
  <si>
    <t>Impresora Multifunción</t>
  </si>
  <si>
    <t>Impresoras Blanco y Negro</t>
  </si>
  <si>
    <t>Laptop de 14 pulgadas</t>
  </si>
  <si>
    <t>lsEquiposSeguridad</t>
  </si>
  <si>
    <t>Arco Detector de Metales de 87' de alto x 35' de anho</t>
  </si>
  <si>
    <t>2.6.6.2.01</t>
  </si>
  <si>
    <t>Detectores de Metal Portatil de 16,5' de longitud</t>
  </si>
  <si>
    <t>Eventos generales</t>
  </si>
  <si>
    <t>lsEventosGenerales</t>
  </si>
  <si>
    <t>Alojamiento por una Noche por persona</t>
  </si>
  <si>
    <t>2.2.8.6.01</t>
  </si>
  <si>
    <t>Audivisuales, Decoración, Montaje y Desmontaje de Evento por 50 personas</t>
  </si>
  <si>
    <t>Audivisuales, Decoración, Montaje y Desmontaje de Evento por 80 personas</t>
  </si>
  <si>
    <t>lsGasoil</t>
  </si>
  <si>
    <t>Tickets de Combustible de RD$1,000.00</t>
  </si>
  <si>
    <t xml:space="preserve">2.3.7.1.02 </t>
  </si>
  <si>
    <t>Tickets de Combustible de RD$200.00</t>
  </si>
  <si>
    <t>Tickets de Combustible de RD$500.00</t>
  </si>
  <si>
    <t>Galones de Gasoil Optimo</t>
  </si>
  <si>
    <t>galon</t>
  </si>
  <si>
    <t>2.3.7.1.02</t>
  </si>
  <si>
    <t>Galones de Gasoil Regular</t>
  </si>
  <si>
    <t>Galones de Gasolina Premium</t>
  </si>
  <si>
    <t>Galones de Gasolina Regular</t>
  </si>
  <si>
    <t>Galones de GPL</t>
  </si>
  <si>
    <t>lsHerramientasMenores</t>
  </si>
  <si>
    <t>60 pie de Alambre Vinyl #14/2</t>
  </si>
  <si>
    <t>pie</t>
  </si>
  <si>
    <t>2.3.6.3.04</t>
  </si>
  <si>
    <t>Bandeja metálica colectora de agua de 1.50 x 0.70 x 0.70mts</t>
  </si>
  <si>
    <t>Cajas aéreas plásticas</t>
  </si>
  <si>
    <t>Canaleta de 1 pulgada</t>
  </si>
  <si>
    <t>Codos de 1' PVC</t>
  </si>
  <si>
    <t>Destornillador de Estria</t>
  </si>
  <si>
    <t>Destornillador Plano</t>
  </si>
  <si>
    <t>Faceplate 1 salida</t>
  </si>
  <si>
    <t>Grapas Plasticas para Alambre Vinyl #13</t>
  </si>
  <si>
    <t>Llave de Rueda tipo T</t>
  </si>
  <si>
    <t>Llaves de paso de bola (1 pulgada)</t>
  </si>
  <si>
    <t>Martillo</t>
  </si>
  <si>
    <t>Mini Jack RJ45</t>
  </si>
  <si>
    <t>Niples 1' x 2' hg</t>
  </si>
  <si>
    <t>Niples de 1' x 3' hg</t>
  </si>
  <si>
    <t>Organizador horizontal plástico</t>
  </si>
  <si>
    <t>Patch Cord UTP Cat.6 de 2 pies</t>
  </si>
  <si>
    <t>Patch Cord UTP Cat.6 de 7 pies</t>
  </si>
  <si>
    <t>Patch Panel 24 puertos Cat.6</t>
  </si>
  <si>
    <t>Pinzas para corte de tola</t>
  </si>
  <si>
    <t>Punta de Tria para Taladro</t>
  </si>
  <si>
    <t>PVC CR80/30 (kit de 500)</t>
  </si>
  <si>
    <t>Rack (Palometas) de Pared para Monitor NK PVM-2701</t>
  </si>
  <si>
    <t>Rack de pared 7U con Bisagras</t>
  </si>
  <si>
    <t>Tarugos Azules</t>
  </si>
  <si>
    <t>tee de 1 pulgada hg</t>
  </si>
  <si>
    <t>Tira de Lija 100/1</t>
  </si>
  <si>
    <t>Tira de Lija de Metal 12/1</t>
  </si>
  <si>
    <t>Tornillo para Tarugo Azul</t>
  </si>
  <si>
    <t>Tubo de Silicón Transparente</t>
  </si>
  <si>
    <t>lsImpresionyEncuadernacion</t>
  </si>
  <si>
    <t>Impresión Formularios (dos caras)</t>
  </si>
  <si>
    <t xml:space="preserve">2.2.2.2.01 </t>
  </si>
  <si>
    <t>lsLlantasyNeumaticos</t>
  </si>
  <si>
    <t xml:space="preserve">Goma (No.265/70/16 para camioneta Toyota Hilux) </t>
  </si>
  <si>
    <t>2.3.5.3.01</t>
  </si>
  <si>
    <t xml:space="preserve">Gomas (No. 265/70/15 para jeep Chevrolet Brazer) </t>
  </si>
  <si>
    <t>Neumáticos para Ford Ranger, Pirelli 265-70R-16</t>
  </si>
  <si>
    <t>Neumáticos para Motocicleta 110/80-18-58, trasera, Michelin</t>
  </si>
  <si>
    <t>Neumáticos para Motocicletas 80/90-21mc48p, delanteras Michelin</t>
  </si>
  <si>
    <t>Neumáticos para Toyota Hilux, Firestone 265/70 R 16</t>
  </si>
  <si>
    <t>Tubo de Neumáticos para Motocicleta, delantero, Michelin</t>
  </si>
  <si>
    <t>Tubo de Neumáticos para Motocicleta, trasero, Michelin</t>
  </si>
  <si>
    <t>lsMantenimiento</t>
  </si>
  <si>
    <t>Instalación, Correcion de Pintura, Cristal Delantero y Bumper de vehiculo</t>
  </si>
  <si>
    <t>2.7.2.6.01</t>
  </si>
  <si>
    <t>Mantenimiento de Vehículos</t>
  </si>
  <si>
    <t>Mantenimiento y reparación de equipos para computación</t>
  </si>
  <si>
    <t xml:space="preserve">Mantenimiento y/o Reparación Impresora  Multifuncional </t>
  </si>
  <si>
    <t>2.7.2.2.01</t>
  </si>
  <si>
    <t>Mantenimiento y/o Reparación Impresora Laser</t>
  </si>
  <si>
    <t>Servicio de Reparación y Mantenimiento de Fotocopiadora (anual)</t>
  </si>
  <si>
    <t>Reparación de Tomógrafo General Electric Brights Speed, serial 277468nm5</t>
  </si>
  <si>
    <t>2.7.2.4.01</t>
  </si>
  <si>
    <t>Mantenimiento y reparación de maquinarias y equipos</t>
  </si>
  <si>
    <t>Mantenimiento de Planta Electrica Cummins 20KVA</t>
  </si>
  <si>
    <t>Mantenimiento y Reparación de Aire Acondicionado de 3 Toneladas</t>
  </si>
  <si>
    <t>Reparacion y Mantenimiento Planta Eléctrica</t>
  </si>
  <si>
    <t>Servicio de Mantenimiento de Aire Acondicionado</t>
  </si>
  <si>
    <t>2.2.7.2.01</t>
  </si>
  <si>
    <t>Servicio de mantenimiento,lavado y brillado de piso</t>
  </si>
  <si>
    <t>2.7.1.7.01</t>
  </si>
  <si>
    <t>Servicios de Desinstalacion,  Instalación y Mantenimiento</t>
  </si>
  <si>
    <t>Mantenimiento y reparación de muebles y equipos de oficina</t>
  </si>
  <si>
    <t>Mantenimiento Planta Eléctrica</t>
  </si>
  <si>
    <t>2.7.1.6.01</t>
  </si>
  <si>
    <t>Suministro, Instalación y drenaje</t>
  </si>
  <si>
    <t>2.7.1.4.01</t>
  </si>
  <si>
    <t>lsMaterialesdeLimpieza</t>
  </si>
  <si>
    <t>Ambientador en Spray, diferentes Frangancias</t>
  </si>
  <si>
    <t>2.3.9.1.01</t>
  </si>
  <si>
    <t>Carro de limpieza de 2 baldes</t>
  </si>
  <si>
    <t>Cleaner, 1 Litro para Maquina ABX Micros 60</t>
  </si>
  <si>
    <t>Cubo plastico , con brazalete en metal, Mediano</t>
  </si>
  <si>
    <t>Docenas de Brillo de Metal (Fregar)</t>
  </si>
  <si>
    <t>Escoba plastica</t>
  </si>
  <si>
    <t>Galón de Cloro</t>
  </si>
  <si>
    <t>Galones de Limpia Cristales</t>
  </si>
  <si>
    <t>Jabón Liquido Lavaplatos</t>
  </si>
  <si>
    <t>Jabón Liquido para Manos</t>
  </si>
  <si>
    <t>Neutralizador de Olor</t>
  </si>
  <si>
    <t xml:space="preserve">Pinespuma </t>
  </si>
  <si>
    <t>Rastrillo plastico palo en  en madera</t>
  </si>
  <si>
    <t>Saco de Detergente en Polvo</t>
  </si>
  <si>
    <t>Suaper</t>
  </si>
  <si>
    <t>Muebles de alojamiento</t>
  </si>
  <si>
    <t>lsMueblesdeAlojamiento</t>
  </si>
  <si>
    <t>Bancada de 3 asientos</t>
  </si>
  <si>
    <t>2.6.1.2.02</t>
  </si>
  <si>
    <t>Bancada de 4 asientos</t>
  </si>
  <si>
    <t>lsMueblesdeOficina</t>
  </si>
  <si>
    <t>Anaquel metalico de 5 niveles</t>
  </si>
  <si>
    <t>2.6.1.1.02</t>
  </si>
  <si>
    <t>Anaqueles de Metal de 1.20m+0.60 cm</t>
  </si>
  <si>
    <t>2.6.1.1.01</t>
  </si>
  <si>
    <t>Anaqueles de Metal de 1.m+0.60 cm</t>
  </si>
  <si>
    <t>Archivador metálico de 4 gavetas.</t>
  </si>
  <si>
    <t>Archivos Laterales 2.3 de 4 gavetas</t>
  </si>
  <si>
    <t>Armario metálico dobles o lockers con ojete para candado.</t>
  </si>
  <si>
    <t>Bandeja metálica rodable de sobre cama para alimentos</t>
  </si>
  <si>
    <t>Cubiculos (1.05mt x 1.00mt x 0.60mt)</t>
  </si>
  <si>
    <t>Cubo metalico para desperdicios con tapa accionada a pedal</t>
  </si>
  <si>
    <t>Dispositivo de Paso Rápido de Peajes para Vehículos</t>
  </si>
  <si>
    <t>Escritorio metálico de 2 cajones de 100 x 60 cms.</t>
  </si>
  <si>
    <t>Gabinetes Aereos 1.00mt con puerta tipo tambor</t>
  </si>
  <si>
    <t>Mesa comedor con 4 sillas</t>
  </si>
  <si>
    <t>Silla metálica giratoria rodable con asiento alto</t>
  </si>
  <si>
    <t>Silla secretarial</t>
  </si>
  <si>
    <t>Sillas de Oficina sin brazo, con soporte lumbar</t>
  </si>
  <si>
    <t>Sillas de visitas</t>
  </si>
  <si>
    <t>Sillas secretariales sin brazo con soporte lumbar</t>
  </si>
  <si>
    <t>Sillón ejecutivo color negro, con brazo, soporte lumbar, en leader</t>
  </si>
  <si>
    <t>Sillon Ergonomico o Postural color negro</t>
  </si>
  <si>
    <t>Sillón para sala de reuniones</t>
  </si>
  <si>
    <t>Sillón semiejecutivo sin porta brazos unipersonal</t>
  </si>
  <si>
    <t>Taburete metálico asiento giratorio rodable con espaldar.</t>
  </si>
  <si>
    <t>Taburete metalico giratorio con espaldar para anestesiologo</t>
  </si>
  <si>
    <t>lsObrasMenoresEdificaciones</t>
  </si>
  <si>
    <t xml:space="preserve"> Adecuación Local </t>
  </si>
  <si>
    <t>2.7.1.1.01</t>
  </si>
  <si>
    <t>lsOtrosEquipos</t>
  </si>
  <si>
    <t>Bomba de agua de 1.5 hp, doble impele</t>
  </si>
  <si>
    <t>2.6.5.8.01</t>
  </si>
  <si>
    <t>Bomba de Agua de 3HP - 110-220V</t>
  </si>
  <si>
    <t>Gato Hidráulico 2 TOM. TW</t>
  </si>
  <si>
    <t>Tanque de hidroneumatico de 120 galones - alta presion</t>
  </si>
  <si>
    <t>lsPeaje</t>
  </si>
  <si>
    <t>Peaje (por vehiculo)</t>
  </si>
  <si>
    <t>2.2.4.4.01</t>
  </si>
  <si>
    <t>Pinturas, barnices, lacas, diluyentes y absorbentes para pintura</t>
  </si>
  <si>
    <t>lsPinturas</t>
  </si>
  <si>
    <t>Cemento de pvc de 16oz</t>
  </si>
  <si>
    <t>2.3.7.2.06</t>
  </si>
  <si>
    <t>Pastas de cloro de cisternas 200GRS</t>
  </si>
  <si>
    <t>lsProductosArtesGraficas</t>
  </si>
  <si>
    <t>Calcomanias</t>
  </si>
  <si>
    <t>2.3.3.3.01</t>
  </si>
  <si>
    <t>Letrero en Acrílico rotulado en Vinil adhesivo, Tornillos Decorativo (0.71mt x 1.06mt) con instalación</t>
  </si>
  <si>
    <t>lsProductosdeCemento</t>
  </si>
  <si>
    <t>Cemento blanco</t>
  </si>
  <si>
    <t>libra</t>
  </si>
  <si>
    <t>2.3.6.1.01</t>
  </si>
  <si>
    <t>lsProductosdeLoza</t>
  </si>
  <si>
    <t>Inodoros color blanco</t>
  </si>
  <si>
    <t>2.3.6.2.02</t>
  </si>
  <si>
    <t>Lavamanos con pedestal color blanco</t>
  </si>
  <si>
    <t>Pedestal de Lavamanos color blanco</t>
  </si>
  <si>
    <t>lsProductosdePapel</t>
  </si>
  <si>
    <t>Carpetas Azules de 5 Pulgadas con 3 aros.</t>
  </si>
  <si>
    <t>Carpetas institucionales con bolsillo full color, Cartón 9x12</t>
  </si>
  <si>
    <t>Carpetas No.1, Blanca c/Cover</t>
  </si>
  <si>
    <t>2.3.3.2.01</t>
  </si>
  <si>
    <t>Carpetas No.2</t>
  </si>
  <si>
    <t>Carpetas No.3</t>
  </si>
  <si>
    <t>Carpetas No.4</t>
  </si>
  <si>
    <t xml:space="preserve">Carpetas No.5, Blanca c/Cover </t>
  </si>
  <si>
    <t>Fardos de Papel Higiénico Jumbo</t>
  </si>
  <si>
    <t>Fardos de Papel Toalla</t>
  </si>
  <si>
    <t>Fardos de Servilletas</t>
  </si>
  <si>
    <t>Fólder de bolsillo color azul</t>
  </si>
  <si>
    <t>Folders 8 1/2x 11 (100/1) Impropapel</t>
  </si>
  <si>
    <t>Folders 8 1/2x 11 (100/1), de Colores</t>
  </si>
  <si>
    <t>Folders 8 1/2x 13 (100/1), Ofi Folder</t>
  </si>
  <si>
    <t>Folders 8 1/2x 13 (100/1), Ofinota</t>
  </si>
  <si>
    <t>Formulario de Requisicion de Materiales de 50 juegos con 3 autocopias</t>
  </si>
  <si>
    <t>Libretas Rayadas 5x8 (docena)</t>
  </si>
  <si>
    <t>Libretas Rayadas 8 1/2 x 11 (docena)</t>
  </si>
  <si>
    <t>Máquinas sumadoras Electrónicas</t>
  </si>
  <si>
    <t>Resma de Hojas timbradas con Logo de la Institución 8 1/2 x 11 (Bond 24)</t>
  </si>
  <si>
    <t>Resma de Papel 8 1/2x11</t>
  </si>
  <si>
    <t>resma</t>
  </si>
  <si>
    <t>2.3.3.1.01</t>
  </si>
  <si>
    <t>Resma de Papel 8 1/2x14</t>
  </si>
  <si>
    <t>Rollo de Papel para Sumadora, 21/4¨x120 Import</t>
  </si>
  <si>
    <t>Sobres para Carta (cajas) 500/1</t>
  </si>
  <si>
    <t>Sumadoras Electricas</t>
  </si>
  <si>
    <t>lsProductosdeVidrio</t>
  </si>
  <si>
    <t xml:space="preserve">Cristal Delantero para Isuzu D-Max </t>
  </si>
  <si>
    <t>2.3.6.2.01</t>
  </si>
  <si>
    <t xml:space="preserve">Cristal Delantero para Mitsubishi L200 </t>
  </si>
  <si>
    <t xml:space="preserve">Cristal Delantero para Nissan Frontier </t>
  </si>
  <si>
    <t>Cristal Delantero para Toyota Fortunner</t>
  </si>
  <si>
    <t xml:space="preserve">Cristal Delantero para Toyota Hilux </t>
  </si>
  <si>
    <t>lsProductosElectricos</t>
  </si>
  <si>
    <t>Alambre STD No. 12 (2.5 mm) Rollo</t>
  </si>
  <si>
    <t>2.3.9.6.01</t>
  </si>
  <si>
    <t>Alicate Eléctrico 9'' TRUPER (12351)</t>
  </si>
  <si>
    <t>Bateria AA (docenas) Maxell</t>
  </si>
  <si>
    <t>Bateria AAA  (docenas), Insterstate</t>
  </si>
  <si>
    <t>Bateria AAA  Maxell (docenas)</t>
  </si>
  <si>
    <t>Baterías de Vehículos para Isuzu D-Max</t>
  </si>
  <si>
    <t>Baterías de Vehículos para Nissan Frontier</t>
  </si>
  <si>
    <t>Baterías de Vehículos para Nissan Patrol</t>
  </si>
  <si>
    <t>Baterías de Vehículos para Toyota Corolla</t>
  </si>
  <si>
    <t>Baterías para UPS de Tomógrafo ( capacidad 80KVA/64KVA)</t>
  </si>
  <si>
    <t>Bombillo Pequeño 25W, Bajo Consumo</t>
  </si>
  <si>
    <t>Extensiones elécricas de 10 pies, color mamey (3M) 48006 Voltech</t>
  </si>
  <si>
    <t>Fotocelda con Base</t>
  </si>
  <si>
    <t>Main Breaker Trifasico de 240 voltios</t>
  </si>
  <si>
    <t>Reflectores LED 100W</t>
  </si>
  <si>
    <t>Regletas 6 Salidas Voltech</t>
  </si>
  <si>
    <t>Switch 24 puertos Gigabit (No POE)</t>
  </si>
  <si>
    <t>Tape 3M Scoth-23 de Goma</t>
  </si>
  <si>
    <t>Tape 3M Scoth-33 Vinil</t>
  </si>
  <si>
    <t>Tomacorrientes 110v, tipo Livingston</t>
  </si>
  <si>
    <t>Transformadores 2x32W Silvania de 110v/ 277v</t>
  </si>
  <si>
    <t>Tubos fluorescentes Blancos 32w Caja 25/1</t>
  </si>
  <si>
    <t>lsProductosMedicinalesH</t>
  </si>
  <si>
    <t>Anestesia al 2% 1 50.00</t>
  </si>
  <si>
    <t>2.3.4.1.01</t>
  </si>
  <si>
    <t>Anestesia al 3% 50/1</t>
  </si>
  <si>
    <t>Dycal brazil</t>
  </si>
  <si>
    <t>2.3.4.2.01</t>
  </si>
  <si>
    <t>Eugenol (frasco)</t>
  </si>
  <si>
    <t>Grabado Acido 37% Phosphoric 12g</t>
  </si>
  <si>
    <t>Grabado ácido 37% Phosphoric 12g</t>
  </si>
  <si>
    <t>Hidróxido de Calcio USA</t>
  </si>
  <si>
    <t>Hyaminol solución desinfectante 16 oz.</t>
  </si>
  <si>
    <t>Hyaminol solucion desinfectante 16oz.</t>
  </si>
  <si>
    <t>Kit de Resina</t>
  </si>
  <si>
    <t>Lysol Odontológico IC</t>
  </si>
  <si>
    <t>tonelada</t>
  </si>
  <si>
    <t>Minolyse LGM para Maquina ABX Micros 60</t>
  </si>
  <si>
    <t>Minoton/Minidil, 20 litros para Maquina ABX Micros 60</t>
  </si>
  <si>
    <t>Oxido de Zinc 2oz. (LC)</t>
  </si>
  <si>
    <t>Papel articular</t>
  </si>
  <si>
    <t>Pasta profiláctica Cherry 12oz</t>
  </si>
  <si>
    <t>Pasta Profiláctica Cherry 12oz.</t>
  </si>
  <si>
    <t>Resina flow</t>
  </si>
  <si>
    <t>lsProductosMetalicos</t>
  </si>
  <si>
    <t>Aro para Goma No. 265/70/16 para Camioneta Toyota Hilux</t>
  </si>
  <si>
    <t>2.3.6.3.01</t>
  </si>
  <si>
    <t>Productos químicos de uso personal</t>
  </si>
  <si>
    <t>lsProductosQuimicos</t>
  </si>
  <si>
    <t>Galón de Gel Anti-bacterial para manos</t>
  </si>
  <si>
    <t>2.3.7.2.03</t>
  </si>
  <si>
    <t>lsPublicidadyPropaganda</t>
  </si>
  <si>
    <t xml:space="preserve">Publicación en el Periódico, de Proceso de Licitación Publica Nacional durante 2 Días, </t>
  </si>
  <si>
    <t>dia</t>
  </si>
  <si>
    <t xml:space="preserve">2.2.2.1.01 </t>
  </si>
  <si>
    <t>Servicios técnicos y profesionales</t>
  </si>
  <si>
    <t>lsServiciosTecnicosProfesionales</t>
  </si>
  <si>
    <t>Pagos facilitadores externos</t>
  </si>
  <si>
    <t xml:space="preserve">Cheque </t>
  </si>
  <si>
    <t>2.2.8.7.06</t>
  </si>
  <si>
    <t>Sistemas de aire acondicionado, calefacción y de refrigeración industrial y comercial</t>
  </si>
  <si>
    <t>lsAireAcondicionado</t>
  </si>
  <si>
    <t>Condensador de 24,000 BTU, Refrigerante 22</t>
  </si>
  <si>
    <t>2.6.5.4.01</t>
  </si>
  <si>
    <t>Motor para Aire Condicionado Centralizado</t>
  </si>
  <si>
    <t>Útiles de cocina y comedor</t>
  </si>
  <si>
    <t>lsUtilesdeCocina</t>
  </si>
  <si>
    <t>Azucareras en Acero Inoxidable</t>
  </si>
  <si>
    <t>2.3.9.5.01</t>
  </si>
  <si>
    <t>Bandeja de guano o Madera artesanal 18x10 (rectangular)</t>
  </si>
  <si>
    <t>Docena de Platos hondo para Sopa, Blancos</t>
  </si>
  <si>
    <t>docena</t>
  </si>
  <si>
    <t>Docena de Platos llanos color blanco</t>
  </si>
  <si>
    <t>Docenas de Copas de Cristal para agua 10.7 oz</t>
  </si>
  <si>
    <t>Docenas de Copas de Cristal para agua bajitas</t>
  </si>
  <si>
    <t>Docenas de cucharitas para cafe</t>
  </si>
  <si>
    <t>Grecas Industriales de 4 litros</t>
  </si>
  <si>
    <t>Set de docenas de Tazas color blanco para cafe</t>
  </si>
  <si>
    <t>sets de Cuchillos, Tenedores y Cucharas (acero inoxidable)</t>
  </si>
  <si>
    <t>Termos para Cafe de 1.5 litros color negro</t>
  </si>
  <si>
    <t>Tetera para Té</t>
  </si>
  <si>
    <t>Útiles de escritorio, oficina, informática y de enseñanza</t>
  </si>
  <si>
    <t>lsUtilesdeOficina</t>
  </si>
  <si>
    <t xml:space="preserve">	Cubeta de acero inoxidable rodable</t>
  </si>
  <si>
    <t xml:space="preserve">2.3.9.2.01 </t>
  </si>
  <si>
    <t xml:space="preserve">	Zafacón de acero inoxidable con tapa y pedal</t>
  </si>
  <si>
    <t>(662) COLOR para impresora HP 3515</t>
  </si>
  <si>
    <t>(662) NEGRO para impresora HP 3515</t>
  </si>
  <si>
    <t>122XL (CH563HC) para impresora HP 2050 (PERSONAL)</t>
  </si>
  <si>
    <t>670 (CZ113AL) NEGRO para impresora HP AVANTAGE 4625</t>
  </si>
  <si>
    <t>670 (CZ114AL) AZUL para impresora HP AVANTAGE 4625</t>
  </si>
  <si>
    <t>670 (CZ115AL) MAGENTA para impresora HP AVANTAGE 4625</t>
  </si>
  <si>
    <t>670 (CZ116AL) AMARILLO para impresora HP AVANTAGE 4625</t>
  </si>
  <si>
    <t>74 NEGRO para impresora HP C4280</t>
  </si>
  <si>
    <t>75 COLOR para impresora HP C4280</t>
  </si>
  <si>
    <t>AL-100 TD para impresora SHARP AL-2030</t>
  </si>
  <si>
    <t>Archivo Acordeon</t>
  </si>
  <si>
    <t>Bandas de Gomas No. 18 (cajas)</t>
  </si>
  <si>
    <t>Bandejas para Escritorio</t>
  </si>
  <si>
    <t>Cajas de Clips (19MM) pequeño</t>
  </si>
  <si>
    <t>Cajas de Clips (32MM) Mediano</t>
  </si>
  <si>
    <t>Cajas de Clips (51MM) Grande</t>
  </si>
  <si>
    <t>Cajas de Felpas Azules</t>
  </si>
  <si>
    <t>Cajas de Lapiceros Azules</t>
  </si>
  <si>
    <t>Cajas Marcadores de Pizarra</t>
  </si>
  <si>
    <t>Carpetas para archivos</t>
  </si>
  <si>
    <t>Cartucho 122 Color para impresora HP2050 (Personal)</t>
  </si>
  <si>
    <t>Cartucho 122 Negro para impresora HP 2050 (Personal)</t>
  </si>
  <si>
    <t>Cartucho 662 color para impresora HP 3515</t>
  </si>
  <si>
    <t>Cartucho 662 Negro para impresora HP 3515</t>
  </si>
  <si>
    <t>Cartucho 670 (CZ113AL) Negro  para impresora HP AVANTAGE 4625</t>
  </si>
  <si>
    <t>Cartucho 670 (CZ114AL) Magenta para impresora HP AVANTAGE 4625</t>
  </si>
  <si>
    <t>Cartucho 670 (CZ115AL) Amarillo para impresora HP AVANTAGE 4625</t>
  </si>
  <si>
    <t>Cartucho 670 (CZ116AL) Cian para impresora HP AVANTAGE 4625</t>
  </si>
  <si>
    <t>Cartucho 74 Negro para impresora HP C4280</t>
  </si>
  <si>
    <t>Cartucho 75 Color para impresora HP C4280</t>
  </si>
  <si>
    <t>Cartucho 954 Amarillo para impresora OFFICEJET PRO8710</t>
  </si>
  <si>
    <t>Cartucho 954 Cian para impresora OFFICEJET PRO8710</t>
  </si>
  <si>
    <t>Cartucho 954 Magenta para impresora HP OFFICEJET PRO8710</t>
  </si>
  <si>
    <t>Cartucho 954 Negro para impresora HP OFFICEJET PRO8710</t>
  </si>
  <si>
    <t>Cartucho CN050A (951) CIAN para impresora HP OFFICEJET PRO8610</t>
  </si>
  <si>
    <t>Cartucho CN051 (951) Magenta para impresora HP OFFICEJET PRO8610</t>
  </si>
  <si>
    <t>Cartucho CN052A Amarillo para impresora HP OFFICEJET PRO8610</t>
  </si>
  <si>
    <t>Cartucho HP 60 Negro para impresora HP DESKJET D1660</t>
  </si>
  <si>
    <t>Cartuchos color Negro para Impresora HP Photosmart C4280</t>
  </si>
  <si>
    <t>CB435A (35A) para impresora Laserjet P1006</t>
  </si>
  <si>
    <t>CE285A (85A) para impresora HP P1102W</t>
  </si>
  <si>
    <t>CE310A para impresora HP CP1025NW</t>
  </si>
  <si>
    <t>CE505A (05A) para impresora HP P2055DM</t>
  </si>
  <si>
    <t>Cera para contar Red Star 1.1 oz</t>
  </si>
  <si>
    <t>CF226A (26A) para impresora HP MFP M426 FDW</t>
  </si>
  <si>
    <t>CF283A (83A) para impresora HP MFP M127 FN</t>
  </si>
  <si>
    <t>Cinta adhesiva 3/4</t>
  </si>
  <si>
    <t>Cinta para Calculadora electronica CIO Negra-Roja</t>
  </si>
  <si>
    <t>CL-511 COLOR para impresora CANON PIXMA MP230</t>
  </si>
  <si>
    <t>CL-513 XL COLOR para impresora CANON PIXMA MP230</t>
  </si>
  <si>
    <t>Clip porta Carnet</t>
  </si>
  <si>
    <t>Clips Mediano 33MM</t>
  </si>
  <si>
    <t>Clips Sujeta Papel Grande</t>
  </si>
  <si>
    <t xml:space="preserve">Clips Sujeta Papel Pequeño </t>
  </si>
  <si>
    <t>CN050A (951) CIAN AZUL para impresora HP OFFICEJET PRO8610</t>
  </si>
  <si>
    <t>CN051A (951) MAGENTA para impresora HP OFFICEJET PRO8610</t>
  </si>
  <si>
    <t>CN052A (952) AMARILLO para impresora HP OFFICEJET PRO8610</t>
  </si>
  <si>
    <t>Corrector Liquido  20ml</t>
  </si>
  <si>
    <t>Disco Duro externo de 2 Tera Bytes</t>
  </si>
  <si>
    <t>E260A11L para impresora LEXMARK E260DN</t>
  </si>
  <si>
    <t>Grapa Industrial Grande (cajas)</t>
  </si>
  <si>
    <t>Grapadoras de Metal</t>
  </si>
  <si>
    <t>Guillotina 15¨</t>
  </si>
  <si>
    <t>Lapiceros Azules</t>
  </si>
  <si>
    <t>Lapiceros color Azul (cajas)</t>
  </si>
  <si>
    <t>Lapiceros color negro (cajas)</t>
  </si>
  <si>
    <t>Lapiceros color rojo (cajas)</t>
  </si>
  <si>
    <t>Lápiz de carbon (docena)</t>
  </si>
  <si>
    <t>Memoria Micro SD de 64GB</t>
  </si>
  <si>
    <t>Memorias USB 8 GB</t>
  </si>
  <si>
    <t>Mural de Corcho, Marco Madera 24x35</t>
  </si>
  <si>
    <t>Notas de papel autoadhesivo, Post it 3x3</t>
  </si>
  <si>
    <t>Paquetes Post-it Banderitas, 5 Colores Hopax (Sing Here)</t>
  </si>
  <si>
    <t>PG-510 NEGRO para impresora CANON PIXMA MP230</t>
  </si>
  <si>
    <t>PG-512 XL NEGRO para impresora CANON PIXMA MP230</t>
  </si>
  <si>
    <t>Pizarras Blancas Laminadas 90x60 cm con Trípode</t>
  </si>
  <si>
    <t>Plásticos Protectores de Carnet</t>
  </si>
  <si>
    <t>Porta Clips</t>
  </si>
  <si>
    <t>Porta Lápiz de Metal</t>
  </si>
  <si>
    <t>Porta Revista de Metal</t>
  </si>
  <si>
    <t>Post it 3x3,  Varios Colores</t>
  </si>
  <si>
    <t>Post it Banderita</t>
  </si>
  <si>
    <t>Post it Grandes</t>
  </si>
  <si>
    <t>Post it Pequeño</t>
  </si>
  <si>
    <t>Q1338A (38A) para impresora LASERJET 4200 DTN</t>
  </si>
  <si>
    <t>Q2612AD (12A) para impresora HP LASERJET 1022</t>
  </si>
  <si>
    <t>Q5942A (42A) para impresora LASERJET 4250</t>
  </si>
  <si>
    <t>Reglas Plásticas 12¨</t>
  </si>
  <si>
    <t>Resaltador Amarillo Fluorescente</t>
  </si>
  <si>
    <t>Resaltador Fluorescente</t>
  </si>
  <si>
    <t>Router wifi</t>
  </si>
  <si>
    <t>Sacapuntas</t>
  </si>
  <si>
    <t>Sacapuntas Eléctrico</t>
  </si>
  <si>
    <t>Sello de Despachado (CUADRADO)</t>
  </si>
  <si>
    <t>Sello de Recibido (CUADRADO)</t>
  </si>
  <si>
    <t>Sellos Gomigrafos</t>
  </si>
  <si>
    <t>Separadores carpeta 8 1/2 x11</t>
  </si>
  <si>
    <t>Stick de Colle 35g (Pegamento)</t>
  </si>
  <si>
    <t>Tabla de Apoyo de Madera</t>
  </si>
  <si>
    <t>Tabla de apoyo/ Madera</t>
  </si>
  <si>
    <t>Tape 33-3M (un rollo)</t>
  </si>
  <si>
    <t>Tijeras de oficina</t>
  </si>
  <si>
    <t>Tinta para Sello color azul (docenas)</t>
  </si>
  <si>
    <t>Tinta para Sello color rojo</t>
  </si>
  <si>
    <t>Toner AR-310NT para impresora SHARP AR-M237</t>
  </si>
  <si>
    <t>Toner CB435A (35A) para impresora LASERJET P1006</t>
  </si>
  <si>
    <t>Toner CE285A (85A) para impresora HP P1102W</t>
  </si>
  <si>
    <t>Toner CE310A 126A para impresora HP CP1025NW</t>
  </si>
  <si>
    <t>Toner CE505A (05A) para impresora HP P2055DM</t>
  </si>
  <si>
    <t>Toner CF217A (17A) para impresora HP M102W</t>
  </si>
  <si>
    <t>Toner CF226A (26A) para impresora HP MFP M426 FDW</t>
  </si>
  <si>
    <t>Toner CF280A (80A) para impresora HP 400 M401 DNE</t>
  </si>
  <si>
    <t>Toner CF283A (83A) para impresora HP MFP M127 FN</t>
  </si>
  <si>
    <t>Toner E260A11L para impresora LEXMARK E260DN</t>
  </si>
  <si>
    <t>Toner HP CF217A 17A</t>
  </si>
  <si>
    <t>Toner para Impresora Xeroz 3220</t>
  </si>
  <si>
    <t>Toner Q1338A (38A) para impresora LASERJET 4200 DTN</t>
  </si>
  <si>
    <t>Toner Q2612AD (12A) para impresora HP LASERJET 1020</t>
  </si>
  <si>
    <t>Toner Q5942A (42A) para impresora LASERJET 4250</t>
  </si>
  <si>
    <t>Toner Q5945A (45A) para impresora HP 4345 MFP</t>
  </si>
  <si>
    <t>Toner T3520 para impresora TOSHIBA T3520</t>
  </si>
  <si>
    <t>Toner T4710U para impresora TOSHIBA SUPER G3</t>
  </si>
  <si>
    <t xml:space="preserve">Unidades de Sacagrapas </t>
  </si>
  <si>
    <t>Zafacón de Metal para escritorio</t>
  </si>
  <si>
    <t>Útiles menores médico-quirúrgicos</t>
  </si>
  <si>
    <t>lsUtilesMenoresMQ</t>
  </si>
  <si>
    <t>Aguja con hilo de seda 3/0</t>
  </si>
  <si>
    <t>2.3.9.3.01</t>
  </si>
  <si>
    <t>Aguja con Hilo de Seda 3/0</t>
  </si>
  <si>
    <t xml:space="preserve">2.3.9.3.01 </t>
  </si>
  <si>
    <t>Aguja corta 27G  1x100</t>
  </si>
  <si>
    <t>Aguja Corta 27G 1x100 (cajas)</t>
  </si>
  <si>
    <t>Aguja larga 27G  1x100</t>
  </si>
  <si>
    <t>Aguja Larga 27G 1x100 (cajas)</t>
  </si>
  <si>
    <t>Algodon en rollo (libra)</t>
  </si>
  <si>
    <t>Algodón en rollo (libra)</t>
  </si>
  <si>
    <t>Babero desechable</t>
  </si>
  <si>
    <t>Babero desechable 500/1</t>
  </si>
  <si>
    <t>Baja Lengua (1 caja)</t>
  </si>
  <si>
    <t>Baja lengua 100/1</t>
  </si>
  <si>
    <t>Banda de Celuloide 1x100</t>
  </si>
  <si>
    <t>Espejo con mango</t>
  </si>
  <si>
    <t>Fresa de pulido de Resina dorada (larga)</t>
  </si>
  <si>
    <t>Fresa económica 2200F</t>
  </si>
  <si>
    <t>Fresa Económica 2200F</t>
  </si>
  <si>
    <t>Fresa redonda 1012</t>
  </si>
  <si>
    <t>Fresa Redonda 1012</t>
  </si>
  <si>
    <t>Fresa redonda 1014</t>
  </si>
  <si>
    <t>Fresa Redonda 1014</t>
  </si>
  <si>
    <t>Fresa tipo Schufu</t>
  </si>
  <si>
    <t>Gasa 2'x 2'/4 No esterelizada 200/1 (paquetes)</t>
  </si>
  <si>
    <t>Gasa 2'x 2'/4 no esterilizada 200/1 (paquetes)</t>
  </si>
  <si>
    <t>Gorro Azul de Cirugia 100/1</t>
  </si>
  <si>
    <t>Guantes L</t>
  </si>
  <si>
    <t>Guantes L (cajas)</t>
  </si>
  <si>
    <t>Guantes M</t>
  </si>
  <si>
    <t>Guantes M (cajas)</t>
  </si>
  <si>
    <t>Guantes S</t>
  </si>
  <si>
    <t>Guantes S (cajas)</t>
  </si>
  <si>
    <t>Instrumento de obturación plástica</t>
  </si>
  <si>
    <t>Jeringa porta Carpule</t>
  </si>
  <si>
    <t>Kits de Resina</t>
  </si>
  <si>
    <t>Mascarilla lisa rectangular azul 1x50</t>
  </si>
  <si>
    <t>Mascarilla Lisa Rectangular Azul 1x50</t>
  </si>
  <si>
    <t>Papel Articular</t>
  </si>
  <si>
    <t>Turbina</t>
  </si>
  <si>
    <t>lsViaticosDP</t>
  </si>
  <si>
    <t>2.2.3.1.01</t>
  </si>
  <si>
    <t>lsEquiposTransporte</t>
  </si>
  <si>
    <t>Unidad</t>
  </si>
  <si>
    <t>2.6.4.1.01</t>
  </si>
  <si>
    <t>2.6.4.2.01</t>
  </si>
  <si>
    <t>2.6.4.8.01</t>
  </si>
  <si>
    <t>Recursos Externos</t>
  </si>
  <si>
    <t>Código Presupuestario</t>
  </si>
  <si>
    <t>CEAS:</t>
  </si>
  <si>
    <t>CEAS</t>
  </si>
  <si>
    <t>Programación de Insumos</t>
  </si>
  <si>
    <t>Resultados Esperados</t>
  </si>
  <si>
    <t xml:space="preserve">Productos </t>
  </si>
  <si>
    <t>Código</t>
  </si>
  <si>
    <t>Actividades Programables Presupuestables</t>
  </si>
  <si>
    <t>Ene</t>
  </si>
  <si>
    <t>Feb</t>
  </si>
  <si>
    <t>Mar</t>
  </si>
  <si>
    <t>Abr</t>
  </si>
  <si>
    <t>May</t>
  </si>
  <si>
    <t>Jun</t>
  </si>
  <si>
    <t>Jul</t>
  </si>
  <si>
    <t>Ago</t>
  </si>
  <si>
    <t>Sep</t>
  </si>
  <si>
    <t>Oct</t>
  </si>
  <si>
    <t>Nov</t>
  </si>
  <si>
    <t>Dic</t>
  </si>
  <si>
    <t xml:space="preserve">Total de Acciones </t>
  </si>
  <si>
    <t>Medio de Verificación 1</t>
  </si>
  <si>
    <t>Medio de Verificación 2</t>
  </si>
  <si>
    <t>Medio de Verificación 3</t>
  </si>
  <si>
    <t>Informe</t>
  </si>
  <si>
    <t>Listado de participación</t>
  </si>
  <si>
    <t>Fotos</t>
  </si>
  <si>
    <t>Agenda</t>
  </si>
  <si>
    <t>Plan</t>
  </si>
  <si>
    <t>Protocolo</t>
  </si>
  <si>
    <t>Manual</t>
  </si>
  <si>
    <t>Resolución</t>
  </si>
  <si>
    <t>Boletin</t>
  </si>
  <si>
    <t>Reporte</t>
  </si>
  <si>
    <t>Minuta</t>
  </si>
  <si>
    <t>Hoja de supervisión</t>
  </si>
  <si>
    <t>Inventario</t>
  </si>
  <si>
    <t>Reglamento</t>
  </si>
  <si>
    <t>Memoria</t>
  </si>
  <si>
    <t>Encuesta</t>
  </si>
  <si>
    <t>Registro Digital</t>
  </si>
  <si>
    <t>ID_Dependendencia</t>
  </si>
  <si>
    <t>POA</t>
  </si>
  <si>
    <t>SRS</t>
  </si>
  <si>
    <t>AREA</t>
  </si>
  <si>
    <t>TIPO</t>
  </si>
  <si>
    <t>Código_Actividad</t>
  </si>
  <si>
    <t>Programación de actividades</t>
  </si>
  <si>
    <t>Grupo</t>
  </si>
  <si>
    <t>Subgrupo</t>
  </si>
  <si>
    <t>Donaciones Corrientes</t>
  </si>
  <si>
    <t>Donaciones corrientes de organismos internacionales</t>
  </si>
  <si>
    <t xml:space="preserve">Transferencias </t>
  </si>
  <si>
    <t>Transferencias Corrientes Recibidas de Instituciones Públicas Descentralizas y Autonomas No Financieras</t>
  </si>
  <si>
    <t>´01</t>
  </si>
  <si>
    <t>´02</t>
  </si>
  <si>
    <t>´03</t>
  </si>
  <si>
    <t>Aportes SNS Medicamentos</t>
  </si>
  <si>
    <t>Transferencias Corrientes Recibidas de Instituciones Públicas de la Seguridad Social</t>
  </si>
  <si>
    <t xml:space="preserve">Transferencia de Capital </t>
  </si>
  <si>
    <t>Tranferencia de Capital Recibidas de Instituciones Públicas Descentralizas y Autonomas No Financieras</t>
  </si>
  <si>
    <t>Ingresos por Contraprestación</t>
  </si>
  <si>
    <t>Venta de Bienes y Servicios</t>
  </si>
  <si>
    <t>Venta de Servicios del Estado</t>
  </si>
  <si>
    <t>´99</t>
  </si>
  <si>
    <t xml:space="preserve">Otras ventas de servicios  </t>
  </si>
  <si>
    <t>Empleados temporales</t>
  </si>
  <si>
    <t>Personal de carácter eventual</t>
  </si>
  <si>
    <t>`11</t>
  </si>
  <si>
    <t>Interinato</t>
  </si>
  <si>
    <t>Incentivo por rendimiento individual</t>
  </si>
  <si>
    <t>Compensación por cumplimiento de indicadores</t>
  </si>
  <si>
    <t>Pasajes y gastos de transporte</t>
  </si>
  <si>
    <t>Alquileres de máquinas y equipos de producción</t>
  </si>
  <si>
    <t>Alquileres de equipos</t>
  </si>
  <si>
    <t>Derechos de uso</t>
  </si>
  <si>
    <t>Licencias informaticas</t>
  </si>
  <si>
    <t>Contratación de mantenimiento y reparaciones menores</t>
  </si>
  <si>
    <t>Mantenimiento y reparaciones menores en edificaciones</t>
  </si>
  <si>
    <t>Mantenimiento y reparación de Instalaciones eléctricas</t>
  </si>
  <si>
    <t>Mantenimiento y reparación, servicios de pintura y sus derivados</t>
  </si>
  <si>
    <t>`99</t>
  </si>
  <si>
    <t>Otros mantenimientos, reparaciones y sus derivados, no identificados precedentamente.</t>
  </si>
  <si>
    <t>Mantenimiento y reparación de mobiliarios y equipos de oficina</t>
  </si>
  <si>
    <t>Mantenimiento y reparación de equipo tecnologia e informacion</t>
  </si>
  <si>
    <t>Mantenimiento y reparación de equipo de educacionales, deportivos y recreativos</t>
  </si>
  <si>
    <t>Mantenimiento y reparación de equipos medicos, sanitarios y de laboratorio</t>
  </si>
  <si>
    <t>Mantenimiento y reparación de equipos industriales y producción</t>
  </si>
  <si>
    <t>Servicio de mantenimiento, reparación, desmonte e instalación</t>
  </si>
  <si>
    <t>Otros servicios de mantenimiento, reparación, desmonte e instalación</t>
  </si>
  <si>
    <t>Gastos y representación judiciales</t>
  </si>
  <si>
    <t xml:space="preserve">Comisiones y gastos </t>
  </si>
  <si>
    <t>Comisiones y gastos</t>
  </si>
  <si>
    <t>Servicio de organización de eventos, festividades y actividades de entretenimiento</t>
  </si>
  <si>
    <t>Servicios de alimentación</t>
  </si>
  <si>
    <t>Servicio de alimentación</t>
  </si>
  <si>
    <t>Servicios de catering</t>
  </si>
  <si>
    <t>Hilados, fibras y telas</t>
  </si>
  <si>
    <t>Producto de cuero</t>
  </si>
  <si>
    <t>Productos de caucho</t>
  </si>
  <si>
    <t xml:space="preserve">Productos de metálicos </t>
  </si>
  <si>
    <t>Material para limpieza e higiene</t>
  </si>
  <si>
    <t>Utiles, materiales de limpieza e higiene personal</t>
  </si>
  <si>
    <t>Utiles y materiales de escritorio, oficina, informática y de enseñanza</t>
  </si>
  <si>
    <t>Utiles y materiales de escritorio, oficina e informática</t>
  </si>
  <si>
    <t>Utiles y materiales escolares y de enseñanza</t>
  </si>
  <si>
    <t>Utiles menores médico- quirúrgicos y de laboratorio</t>
  </si>
  <si>
    <t>Repuestos y accesorios menores</t>
  </si>
  <si>
    <t>Productos y útiles varios no identificados precedentemente (n.i.p.)</t>
  </si>
  <si>
    <t xml:space="preserve">Transferencias corrientes a empresas públicas no financieras </t>
  </si>
  <si>
    <t>Transferencias corrientes a empresas públicas no financieras nacionales</t>
  </si>
  <si>
    <t>Transferencias corrientes a empresas públicas no financieras nacionales   para pago de electricidad no cortable.</t>
  </si>
  <si>
    <t>Muebles, equipos de oficina y estantería</t>
  </si>
  <si>
    <t>Equipos de tecnología de la información y comunicación</t>
  </si>
  <si>
    <t xml:space="preserve">Mobiliario y Equipo Audiovisual, Recreativo y Educacional </t>
  </si>
  <si>
    <t>Mobiliario y equipos educacional y  recreativos</t>
  </si>
  <si>
    <t>Sistemas y equipos de climatización</t>
  </si>
  <si>
    <t>Licencias Informáticas</t>
  </si>
  <si>
    <t>Derecho de uso</t>
  </si>
  <si>
    <t>Servicios de mantenimiento, reparación, desmonte e instalación</t>
  </si>
  <si>
    <t xml:space="preserve">Otros servicios de mantenimiento, reparacion de maquinaria y equipos no identicados en los conceptos anteriores </t>
  </si>
  <si>
    <t>Pruebas</t>
  </si>
  <si>
    <t>Medicina General</t>
  </si>
  <si>
    <t>Cirugia General</t>
  </si>
  <si>
    <t>Ginecología</t>
  </si>
  <si>
    <t>Obstetricia</t>
  </si>
  <si>
    <t>Pediatria</t>
  </si>
  <si>
    <t>Cardiologia</t>
  </si>
  <si>
    <t>Gastroenterologia</t>
  </si>
  <si>
    <t>Endocrinologia</t>
  </si>
  <si>
    <t>Medicina Interna</t>
  </si>
  <si>
    <t>Ortopedia</t>
  </si>
  <si>
    <t>Neumología</t>
  </si>
  <si>
    <t>Cardiología</t>
  </si>
  <si>
    <t>Cuidados Intensivos</t>
  </si>
  <si>
    <t xml:space="preserve">Viáticos Chofer </t>
  </si>
  <si>
    <t>Viáticos Director/a</t>
  </si>
  <si>
    <t>Viáticos Tecnicos/Profesionales</t>
  </si>
  <si>
    <t>Viáticos Encargados/Coordinadores</t>
  </si>
  <si>
    <t>Ozama</t>
  </si>
  <si>
    <t>Cibao Norte</t>
  </si>
  <si>
    <t>Cibao Sur</t>
  </si>
  <si>
    <t>Cibao Nordeste</t>
  </si>
  <si>
    <t>Cibao Noroeste</t>
  </si>
  <si>
    <t>Valdesia</t>
  </si>
  <si>
    <t>Yuma</t>
  </si>
  <si>
    <t>Higüamo</t>
  </si>
  <si>
    <t>Egresos Hospitalarios</t>
  </si>
  <si>
    <t>Plan Operativo Anual</t>
  </si>
  <si>
    <t>Área Responsable</t>
  </si>
  <si>
    <t/>
  </si>
  <si>
    <t>1.1 Reducidos los niveles de morbilidad y mortalidad materna e infantil por causas prevenibles en la población materno-infantil del país, disminuyendo la mortalidad materna de 127.33 y la mortalidad infantil de 18.44 en 2023 a 89.13 y 16.56  en 2028 en todas las regiones del territorio nacional.</t>
  </si>
  <si>
    <t>1.2 Aumentado el cumplimiento normativo para reducir la incidencia de complicaciones neonatales y maternas, pasando de un promedio del 75.5% en el año 2023 al 88% en el año 2028 en todas las regiones de la Red Pública de Servicios de Salud.</t>
  </si>
  <si>
    <t>1.3 Reducido el embarazo en adolescentes atendidas en los establecimientos de la Red Pública en un 20% al año 2028, mediante el fortalecimiento del acceso a servicios integrales de salud sexual y reproductiva.</t>
  </si>
  <si>
    <t>1.4 Disminuida la proporción de partos por cesárea en hospitales del sector público pasando de 48.83 en el 2023 a 34 en el 2028.</t>
  </si>
  <si>
    <t>1.5 Reducida la morbilidad y mortalidad prematura por enfermedades no transmisibles en personas de 30 a 69 años, en un 20% al año 2028, mediante la implementación de intervenciones integrales de prevención, diagnóstico temprano y tratamiento oportuno en los establecimientos de la Red Pública.</t>
  </si>
  <si>
    <t>1.6 Incrementado el acceso oportuno a servicios de salud de calidad, aumentando el acceso a servicios preventivos de 2.23% de la población prioritaria en 2023 al 5.24% en 2028 en todas las regiones del país.</t>
  </si>
  <si>
    <t>1.7 Aumentada la disponibilidad de medicamentos esenciales en los establecimientos de la Red Pública de Servicios de Salud, incrementando el cumplimiento promedio de abastecimiento del 88% en 2023 al 93% en 2028 en todas las regiones del país.</t>
  </si>
  <si>
    <t>1.8 Superadas las deficiencias en la organización e implementación de las Redes Integradas de Servicios de Salud (RISS) beneficiando a toda la población que utiliza los servicios de salud de la Red Pública, aumentando del 38% en 2023 al 50% en 2028 en todo el territorio nacional.</t>
  </si>
  <si>
    <t>1.9 Fortalecida la implementación del Modelo de Atención en Salud beneficiando a la población usuaria del primer nivel de atención, incrementando la adscripción del 7% en 2023 al 80% en 2028, en todas las regiones del país.</t>
  </si>
  <si>
    <t>1.10 Mejorada la distribución y presencia del Primer Nivel de Atención respecto a la sectorización, incrementando la presencia del Primer Nivel del 70% en 2023 al 71% en 2028  en todas las regiones del territorio nacional.</t>
  </si>
  <si>
    <t>1.11 Fortalecida la continuidad en la atención de las puérperas y recién nacidos, aumentando la captación oportuna del 30% en 2023 al 50% en 2028 en el Primer Nivel de Atención.</t>
  </si>
  <si>
    <t>1.12 Superadas las deficiencias en la organización e implementación de las Redes Integradas de Servicios de Salud (RISS) beneficiando a toda la población que utiliza los servicios de salud de la Red Pública, aumentando del 38% en 2023 al 50% en 2028 en todo el territorio nacional.</t>
  </si>
  <si>
    <t>1.13 Fortalecida la continuidad en la atención de las puérperas y recién nacidos, aumentando la captación oportuna del 30% en 2023 al 50% en 2028 en el Primer Nivel de Atención.</t>
  </si>
  <si>
    <t>2.1 Reducida la escasez de recursos humanos de salud, aumentando un 12% en el 2028 la dotación de personal en establecimientos públicos del país.</t>
  </si>
  <si>
    <t>2.2 Incrementada la eficacia de los procesos de contratación y retención de recursos humanos de salud en establecimientos públicos, reduciendo vacantes y mejorando la dotación de personal.</t>
  </si>
  <si>
    <t>3.1 Fortalecida la capacidad institucional para aumentar el acceso a servicios públicos de calidad mediante la optimización de procesos, empoderamiento del talento humano, articulación efectiva, incorporación de tecnologías de la información y comunicación, modernización de la infraestructura física y equipamiento adecuado.</t>
  </si>
  <si>
    <t>3.2 Incrementada la satisfacción de usuarios y la calidad percibida de los servicios públicos</t>
  </si>
  <si>
    <t>3.3 Cumplidos los indicadores de gestión pública institucional, garantizando disponibilidad oportuna de la información para la toma de decisiones.</t>
  </si>
  <si>
    <t>3.4 Alcanzado un cumplimiento mínimo del 90% de las metas de planificación y ejecución presupuestaria, optimizando la asignación y uso de recursos.</t>
  </si>
  <si>
    <t>3.5 Atendidas las solicitudes de información recibidas en los plazos establecidos, con reportes de cumplimiento mensual y mecanismos de retroalimentación al usuario.</t>
  </si>
  <si>
    <t>3.6 Registradas y procesadas en el Sistema Electrónico de Compras Públicas las adquisiciones y contrataciones institucionales y de la Red Pública.</t>
  </si>
  <si>
    <t>3.7 Incrementando progresivamente el índice de uso de las TIC y Gobierno Digital en la Red Pública de Servicios de Salud.</t>
  </si>
  <si>
    <t>3.8 Implementados y operativos los controles internos definidos por las NOBACI, con revisiones de cumplimiento semestrales y planes de mejora continua.</t>
  </si>
  <si>
    <t>3.9 Instalaciones físicas remodeladas y equipadas conforme a estándares de centros de salud incrementando su capacidad resolutiva.</t>
  </si>
  <si>
    <t>3.10 Implementado un sistema integral de medición y gestión de la satisfacción de usuarios, con reportes trimestrales y planes de mejora continua para elevar la calidad percibida de los servicios públicos.</t>
  </si>
  <si>
    <t>Observaciones/ Comentarios</t>
  </si>
  <si>
    <t>Meta Lograda Año 2024</t>
  </si>
  <si>
    <t>Meta Proyectada a Lograr Año 2025</t>
  </si>
  <si>
    <t>Meta Proyectada Año 2026</t>
  </si>
  <si>
    <t>Meta Lograda actual periodo                 Año 2025</t>
  </si>
  <si>
    <t>Porcentaje nacimientos prematuros</t>
  </si>
  <si>
    <t>1.5.1 La población con riesgo o diagnóstico de hipertensión y diabetes recibe servicios integrales de prevención, diagnóstico, manejo y seguimiento de enfermedades crónicas no transmisibles, fortalecidos mediante la implementación del enfoque HEARTS.</t>
  </si>
  <si>
    <t>1.5.1.01</t>
  </si>
  <si>
    <t xml:space="preserve">3.1.1 Los Centros de Atención y Servicios (CEAS) y las Oficinas Regionales de Salud (ORS) reciben el Formulario de Levantamiento de Necesidades de Cooperación No Reembolsable como instrumento estandarizado, </t>
  </si>
  <si>
    <t>3.1.1.01</t>
  </si>
  <si>
    <t>3.1.1.02</t>
  </si>
  <si>
    <t>Llenado y envío del formulario de levantamiento de necesidades de cooperación no reembolsable a la ORS.</t>
  </si>
  <si>
    <t>Llenado y envío del Formulario de Reporte de Donaciones a la ORS.</t>
  </si>
  <si>
    <t>1. Formulario de levantamiento de necesidades de cooperación no reembolsable completo y firmado.
2. Remisión vía correo electrónico del formulario a la ORS.</t>
  </si>
  <si>
    <t>1. Formulario de Reporte de Donaciones sellado y firmado.
2. Remisión vía correo electrónico del formulario a la ORS.</t>
  </si>
  <si>
    <t>Planificación</t>
  </si>
  <si>
    <t xml:space="preserve">3.1.5 Personal y usuarios del SNS reciben servicios tecnológicos confiables </t>
  </si>
  <si>
    <t>3.1.5.01</t>
  </si>
  <si>
    <t xml:space="preserve">Actualización de portales web  </t>
  </si>
  <si>
    <t>3.1.5.02</t>
  </si>
  <si>
    <t xml:space="preserve">Soportes incidencias tecnológicas atendidas </t>
  </si>
  <si>
    <t>3.1.5.03</t>
  </si>
  <si>
    <t xml:space="preserve">Inventario de activos tecnológicos </t>
  </si>
  <si>
    <t>Tecnología</t>
  </si>
  <si>
    <t>1.6.5 La población usuaria recibe servicios odontológicos fortalecidos y de calidad mediante la ejecución de planes de mejora de la atención dental.</t>
  </si>
  <si>
    <t>1.6.5.01</t>
  </si>
  <si>
    <t xml:space="preserve">Capacitaciones a RRHH de las areas de odontología de acuerdo a las necesidades. </t>
  </si>
  <si>
    <t>Desarrollo de plan de acciones para el acondicionamiento de infraestructura, mantenimiento de  equipos y equipamiento de las áreas de odontología  EES</t>
  </si>
  <si>
    <t>1.6.5.02</t>
  </si>
  <si>
    <t>1.6.5.03</t>
  </si>
  <si>
    <t>1.6.5.04</t>
  </si>
  <si>
    <t>Desarrollo del Programa Fomento de la Salud bucal.</t>
  </si>
  <si>
    <t>Desarrollo del Programa Hospitales libre de caries</t>
  </si>
  <si>
    <t>Odontología</t>
  </si>
  <si>
    <t>3.2.1 Los pacientes reciben cuidados seguros y de calidad mediante la continuidad en la implementación y aplicación de los siete estándares de calidad de los servicios de enfermería.</t>
  </si>
  <si>
    <t>3.2.1.01</t>
  </si>
  <si>
    <t>Capacitación y retroalimentación en dosificación y administración de medicamentos al personal de enfermería</t>
  </si>
  <si>
    <t>3.2.1.02</t>
  </si>
  <si>
    <t>3.2.1.03</t>
  </si>
  <si>
    <t>Supervisión y aplicación expediente clínico en el hospital</t>
  </si>
  <si>
    <t xml:space="preserve">Seguimiento a la aplicación de los 7 estándares de cuidados de enfermería </t>
  </si>
  <si>
    <t>Enfermería</t>
  </si>
  <si>
    <t>1.5.2 Las víctimas de violencia de género e intrafamiliar reciben atención integral, oportuna y segura en los servicios de salud.</t>
  </si>
  <si>
    <t>1.5.2.01</t>
  </si>
  <si>
    <t>Reporte de estadísticas de los casos de violencia de género e intrafamiliar.</t>
  </si>
  <si>
    <t>Género</t>
  </si>
  <si>
    <t>1.8.2 La población recibe acceso equitativo a servicios de salud, incluidos los de emergencia, de calidad, seguros, integrales, continuos e inclusivos, mediante redes integradas que incorporan mejora continua de procesos y avances tecnológicos.</t>
  </si>
  <si>
    <t>1.8.2.01</t>
  </si>
  <si>
    <t xml:space="preserve">Implementación del Modelo hospitalario y flujos de Asistencia Emergencias y Urgencias </t>
  </si>
  <si>
    <t xml:space="preserve">Socializacion e implementación del RAC-Triaje en las Salas de Emergencias Centros Hospitalarios </t>
  </si>
  <si>
    <t xml:space="preserve">Llenado de historia clinica de emergencias y registro de todos los pacientes del libro de emergencias </t>
  </si>
  <si>
    <t>Implementación del procedimiento para la entrega, recibo y reposicion de carro de paro</t>
  </si>
  <si>
    <t>Registros en el tablero de Indicadores de Gestión de las Salas de Emergencias de los Centros de Salud.</t>
  </si>
  <si>
    <t>1.8.2.02</t>
  </si>
  <si>
    <t>1.8.2.03</t>
  </si>
  <si>
    <t>1.8.2.04</t>
  </si>
  <si>
    <t>1.8.2.05</t>
  </si>
  <si>
    <t>Socialización de los procedimientos de traslado de pacientes</t>
  </si>
  <si>
    <t>Elaboración y/o actualización de los Planes de Emergencias y Desastres Hospitalarios</t>
  </si>
  <si>
    <t>Reunion del comité de emergencias para socializacion del plan Hospitalarios  Emergencias de salud publica y desastres naturales con el personal del hospital.</t>
  </si>
  <si>
    <t>Simulacro para probar la funcionabilidad de los  Planes de  Emergencias y Desastres Hospitalarios.</t>
  </si>
  <si>
    <t xml:space="preserve">Reunión con el Comite Hospitalario de Emergencias y Desastres para preparar el Operativo de Navidad y Año Nuevo comité de emergencias </t>
  </si>
  <si>
    <t>Reunión con el Comite Hospitalario de Emergencias y Desastres para preparar el Operativo de Semana Santa comité de emergencias</t>
  </si>
  <si>
    <t>Reunión con el Comite Hospitalario de Emergencias y Desastres para respuesta a Temporada Ciclonica y Eventos Hidrometeorologicos comité de emergencias</t>
  </si>
  <si>
    <t>Reunión con el Comite Hospitalario de Emergencias y Desastres para la respuesta alta demanda asistencial por siniestros siniestro viales, emergencias de salud, desastres naturales y cambio climaticos.</t>
  </si>
  <si>
    <t>1.8.2.06</t>
  </si>
  <si>
    <t>1.8.2.07</t>
  </si>
  <si>
    <t>1.8.2.08</t>
  </si>
  <si>
    <t>1.8.2.09</t>
  </si>
  <si>
    <t>1.8.2.10</t>
  </si>
  <si>
    <t>1.8.2.11</t>
  </si>
  <si>
    <t>1.8.2.12</t>
  </si>
  <si>
    <t>1.8.2.13</t>
  </si>
  <si>
    <t>Emergencia</t>
  </si>
  <si>
    <t>Formularios de verificacion de Carro de paro (Apertura, Stock y Verificacion de desfibrilador)</t>
  </si>
  <si>
    <t>1.8.3 La población usuaria recibe servicios hospitalarios fortalecidos, integrales y de calidad mediante la mejora continua de procesos y servicios, la optimización de la gestión y el fortalecimiento de la infraestructura, el equipamiento y las capacidades del personal.</t>
  </si>
  <si>
    <t>1.8.3.01</t>
  </si>
  <si>
    <t>Supervision de indicadores de calidad en el programa de hemodialisis y diálisis peritoneal, para los centros que apliquen para el programa.</t>
  </si>
  <si>
    <t>Plan de mejora a partir de los resultados de la evaluacion de indicadores de calidad en el programa de hemodialisis y diálisis peritoneal, para los centros que apliquen para el programa.</t>
  </si>
  <si>
    <t>Seguimiento a los planes de mejora de la evaluacion de indicadores de calidad en el programa de hemodialisis y diálisis peritoneal, para los centros que apliquen para el programa.</t>
  </si>
  <si>
    <t>Seguimiento al plan de mejora de las evaluaciones de la calidad de los servicios de nutrición</t>
  </si>
  <si>
    <t>Implementacion de los procesos de bioseguridad hospitalaria</t>
  </si>
  <si>
    <t>Elaboración de los planes de mejora a partir de los resultados de evaluacion de procesos de bioseguridad hospitalaria</t>
  </si>
  <si>
    <t>Seguimiento a los planes de mejora de evaluación de procesos de bioseguridad hospitalaria</t>
  </si>
  <si>
    <t>Implementación del procedimiento de hosteleria hospitalaria</t>
  </si>
  <si>
    <t>Diagnóstico situacional de la conformación de los comités hospitalarios</t>
  </si>
  <si>
    <t>Conformacion de los comité Hospitalarios</t>
  </si>
  <si>
    <t>Evaluacion de la Metodologia de Gestion Productiva</t>
  </si>
  <si>
    <t>Plan de mejora a partir de los resultados de la evaluacion de la metodologia de gestion productiva</t>
  </si>
  <si>
    <t>Seguimiento a los planes de mejora de la MGP</t>
  </si>
  <si>
    <t xml:space="preserve">Supervisión de la calidad de los servicios de nutrición </t>
  </si>
  <si>
    <t>Desarrollo de los planes de mejora a partir de los resultados de las evaluaciones de la calidad de los servicios de nutrición</t>
  </si>
  <si>
    <t>Implementación del plan de mejora de las evaluaciones de la calidad de los servicios de nutrición</t>
  </si>
  <si>
    <t>Análisis del comportamiento de las objeciones médicas y administrativas</t>
  </si>
  <si>
    <t>Elaboracion de los planes de mejora para la disminucion de las objeciones médicas, administrativas y el incremento de la facturación de los CEAS, en coordinacion de los SRS los centros de salud.</t>
  </si>
  <si>
    <t>Seguimiento a la ejecución de planes de mejora para la disminucion de las objeciones médicas, administrativas y el incremento de la facturación de los CEAS.</t>
  </si>
  <si>
    <t>1.8.3.02</t>
  </si>
  <si>
    <t>1.8.3.03</t>
  </si>
  <si>
    <t>1.8.3.04</t>
  </si>
  <si>
    <t>1.8.3.05</t>
  </si>
  <si>
    <t>1.8.3.06</t>
  </si>
  <si>
    <t>1.8.3.07</t>
  </si>
  <si>
    <t>1.8.3.08</t>
  </si>
  <si>
    <t>1.8.3.09</t>
  </si>
  <si>
    <t>1.8.3.10</t>
  </si>
  <si>
    <t>1.8.3.11</t>
  </si>
  <si>
    <t>1.8.3.12</t>
  </si>
  <si>
    <t>1.8.3.13</t>
  </si>
  <si>
    <t>1.8.3.14</t>
  </si>
  <si>
    <t>1.8.3.15</t>
  </si>
  <si>
    <t>1.8.3.16</t>
  </si>
  <si>
    <t>1.8.3.17</t>
  </si>
  <si>
    <t>1.8.3.18</t>
  </si>
  <si>
    <t>1.8.3.19</t>
  </si>
  <si>
    <t>1.8.3.20</t>
  </si>
  <si>
    <t>Centros Hospitalarios</t>
  </si>
  <si>
    <t>Notificación oportuna de las enfermedades bajo vigilancia epidemiológica (Epi 1 y 2)</t>
  </si>
  <si>
    <t>Matriz</t>
  </si>
  <si>
    <t>3.5.1 La ciudadanía y los usuarios del SNS acceden a información pública y mecanismos de participación (consultas, veedurías y control social), fortaleciendo la transparencia, la rendición de cuentas y la mejora continua de los servicios.</t>
  </si>
  <si>
    <t>3.5.1.01</t>
  </si>
  <si>
    <t>Actualización del Portal de Transparencia.</t>
  </si>
  <si>
    <t>OAI</t>
  </si>
  <si>
    <t>Levantamiento del estatus y necesidades de la Oficina de Acceso la Información</t>
  </si>
  <si>
    <t>3.5.1.02</t>
  </si>
  <si>
    <t>Capacitación en la Ley 200-04 y la Resolución No. 002-21de la Dirección General de Ética e Integridad Gubernamental, dirigida al personal administrativo del Hospital.</t>
  </si>
  <si>
    <t xml:space="preserve">Capacitación en el Sistema Nacional de Atención Ciudadana 311, dirigida al personal del Hospital. </t>
  </si>
  <si>
    <t>Capacitación sobre declaración jurada de bienes, a los funcionarios competentes, de conformidad con la Ley 311-14.</t>
  </si>
  <si>
    <t xml:space="preserve">Capacitación en la Ley No. 172-13 sobre Protección de Datos Personales a todo el personal del hospital. </t>
  </si>
  <si>
    <t>Creación de la Matriz de Responsabilidad y socialización  con el personal del hospital</t>
  </si>
  <si>
    <t xml:space="preserve">Creación y/ o actualización de la Resolución de Información Clasificada, si aplica </t>
  </si>
  <si>
    <t>3.5.1.03</t>
  </si>
  <si>
    <t>3.5.1.04</t>
  </si>
  <si>
    <t>3.5.1.05</t>
  </si>
  <si>
    <t>3.5.1.06</t>
  </si>
  <si>
    <t>3.5.1.07</t>
  </si>
  <si>
    <t>3.5.1.08</t>
  </si>
  <si>
    <t>El RAI debe preparar la capacitación e impartirla a todo el personal de la  hospitales.</t>
  </si>
  <si>
    <t>El RAI es el responsable de crear y actualizar la Resolución de Información Clasificada.</t>
  </si>
  <si>
    <t>3.8.1 Los establecimientos de la red y las unidades gestoras del SNS reciben fortalecimiento de la gestión financiera mediante la fiscalización del gasto, la evaluación del control interno, el seguimiento de indicadores financieros y la regularización de anticipos según su naturaleza, asegurando uso eficiente, transparente y oportuno de los recursos.</t>
  </si>
  <si>
    <t>3.8.1.01</t>
  </si>
  <si>
    <t>3.8.1.02</t>
  </si>
  <si>
    <t>3.8.1.03</t>
  </si>
  <si>
    <t>3.8.1.04</t>
  </si>
  <si>
    <t>3.8.1.05</t>
  </si>
  <si>
    <t>3.8.1.06</t>
  </si>
  <si>
    <t>3.8.1.07</t>
  </si>
  <si>
    <t>Fiscalización</t>
  </si>
  <si>
    <t>3.8.1.08</t>
  </si>
  <si>
    <t>Implementación del plan de mejora con  las recomendaciones resultados de las auditorías realizadas.</t>
  </si>
  <si>
    <t>Elaboración y remisión de nóminas de Incentivo Rendimiento Individual  y guardias presenciales en los plazos establecidos.</t>
  </si>
  <si>
    <t>Ejecución de planes de mejora resultados de la evaluación de control interno aplicada.</t>
  </si>
  <si>
    <t>Reunión con las áreas para identificación de cumplimiento de las actividades programadas del plan piloto Proyecto Sistema de Fiscalización y Control Regional.</t>
  </si>
  <si>
    <t>Remisión reporte comportamiento de indicadores financieros en seguimiento (disminución de deuda, eficientización de la nómina e incremento de captación recursos directos)..</t>
  </si>
  <si>
    <t xml:space="preserve">Ejecución de fondos del anticipo financiero  en los plazos establecidos. </t>
  </si>
  <si>
    <t>Tramitación oportuna ante la ORS de los registros de firmas en cuentas bancarias a nuevos directores y administradores.</t>
  </si>
  <si>
    <t>Contratación de firma privada para realizar auditoría interna</t>
  </si>
  <si>
    <t>Los incentivos aplican a todos los establecimientos, las guardias presenciales excluye los establecimientos de autogestión</t>
  </si>
  <si>
    <t>Hospitales bajo seguimiento en el SISMAP Salud</t>
  </si>
  <si>
    <t>Establecimientos de salud de la región Valdesia (Juan Pablo Pina).</t>
  </si>
  <si>
    <t>Hospitales de autogestión</t>
  </si>
  <si>
    <t>22 Hospitales convencionales y  hospitales de autogestión.</t>
  </si>
  <si>
    <t>Soportes de la ejecución</t>
  </si>
  <si>
    <t xml:space="preserve">No Objeción MAP
DFC-F0-015 
DFC-F0-016 
Formularios reporte diario y mensual guardias presenciales           </t>
  </si>
  <si>
    <t>Formulario de recepción expediente de rendición de cuenta  de anticipo financiero</t>
  </si>
  <si>
    <t>Oficio de solicitud</t>
  </si>
  <si>
    <t>Contrato</t>
  </si>
  <si>
    <t>3.6.1 Los establecimientos de la red y unidades usuarias del SNS disponen oportunamente de bienes y servicios esenciales mediante la eficientización de la gestión de compras y contrataciones, asegurando planificación, transparencia, competencia y ahorro.</t>
  </si>
  <si>
    <t>3.6.1.01</t>
  </si>
  <si>
    <t>3.6.1.02</t>
  </si>
  <si>
    <t>3.6.1.03</t>
  </si>
  <si>
    <t>Consolidación y validación de la plantilla para el Plan Anual de Compras y Contrataciones 2027</t>
  </si>
  <si>
    <t xml:space="preserve">Seguimiento a la formulación del presupuesto 2027 </t>
  </si>
  <si>
    <t>Matriz PACC</t>
  </si>
  <si>
    <t xml:space="preserve">Matrix Presupuesto </t>
  </si>
  <si>
    <t>Reporte ejecución Metas Físicas y Financieras en el SIGEF 2026</t>
  </si>
  <si>
    <t>Sólo aplica a hospitales autogestionados</t>
  </si>
  <si>
    <t>3.1.6 La población usuaria recibe servicios seguros y de calidad mediante el fortalecimiento del modelo institucional de gestión y monitoreo de la calidad, con estándares, indicadores, auditorías y acciones de mejora continua en todas las unidades.</t>
  </si>
  <si>
    <t>3.1.6.01</t>
  </si>
  <si>
    <t>3.1.6.02</t>
  </si>
  <si>
    <t>3.1.6.03</t>
  </si>
  <si>
    <t>3.1.6.04</t>
  </si>
  <si>
    <t>Elaboración de la memoria institucional 2026</t>
  </si>
  <si>
    <t>Autoevaluación POA 2026</t>
  </si>
  <si>
    <t>Elaboración del Plan Operativo Anual 2027</t>
  </si>
  <si>
    <t>Elaboración y seguimiento a la ejecución de los planes de mejora acorde a los hallazgos del MEP</t>
  </si>
  <si>
    <t>MEP</t>
  </si>
  <si>
    <t>3.1.6.05</t>
  </si>
  <si>
    <t>3.1.6.06</t>
  </si>
  <si>
    <t>3.1.6.07</t>
  </si>
  <si>
    <t>3.1.6.08</t>
  </si>
  <si>
    <t>3.1.6.09</t>
  </si>
  <si>
    <t>3.1.6.10</t>
  </si>
  <si>
    <t>3.1.6.11</t>
  </si>
  <si>
    <t>Elaboración del informe de autodiagnóstico y sistema afinado de puntuación CAF</t>
  </si>
  <si>
    <t>Informe de seguimiento a plan de mejora CAF año en curso</t>
  </si>
  <si>
    <t xml:space="preserve">Elaboración plan de mejora CAF del próximo año </t>
  </si>
  <si>
    <t>Implementación, renovación o actualización de CCC (Carta Compromiso al Ciudadano) según aplique</t>
  </si>
  <si>
    <t>Seguimiento al cumplimiento de la CCC (Carta Compromiso al Ciudadano)</t>
  </si>
  <si>
    <t>Seguimiento a la implementación plan de mejora SISMAP Salud y Programa de Desempeño SNS</t>
  </si>
  <si>
    <t>Ejecución de las sesiones del comité de calidad del CEAS</t>
  </si>
  <si>
    <t>Resolución aprobatoria</t>
  </si>
  <si>
    <t>El RAI tiene dos opciones para realizar esta actividad:
1.	Solicitar al Ministerio de la Presidencia que imparta la capacitación; o, 
2.	Solicitar al RAIs de la regional la capacitación.</t>
  </si>
  <si>
    <t>El RAI tiene dos opciones para realizar esta actividad:
1.	Solicitar a la Cámara de Cuentas que imparta la capacitación; o, 
2.	Preparar la capacitación e impartirla a todo el personal que le corresponda presentarla</t>
  </si>
  <si>
    <t>El RAI es el responsable de crear, socializar y actualizar la Matriz de Responsabilidad Informacional. También debe agotar el proceso de registro ante la DIGEIG.
Cada vez que se produzca un cambio (desvinculación o renuncia) de una de las personas responsables de suministrar la información, se debe modificar la Matriz de Responsabilidad Informacional y agotar nuevamente todo el proceso. 
Este documento debe estar publicado en el Portal de Transparencia. 
Ver Resolución 03-2012 emitida por la DIGEIG en fecha 7 de diciembre de 2012.</t>
  </si>
  <si>
    <t>3.6.1.04</t>
  </si>
  <si>
    <t>Autoevaluación del desempeño hospitalario del SISCOMPRA y elaboración de un plan de mejora conforme hallazgos</t>
  </si>
  <si>
    <t>Solo aplica a hospitales que tienen SECP</t>
  </si>
  <si>
    <t>Administrativo-Financiero</t>
  </si>
  <si>
    <t>3.1.7 Los establecimientos de la red SNS disponen de bienes oportunos, custodiados y en condiciones óptimas mediante el fortalecimiento del Sistema de Administración de Bienes: registro e inventario, control y trazabilidad, mantenimiento, distribución y bajas, con enfoque de ciclo de vida y transparencia.</t>
  </si>
  <si>
    <t>3.1.7.01</t>
  </si>
  <si>
    <t>Actualizacion de Inventarios de la ORS</t>
  </si>
  <si>
    <t>3.1.7.02</t>
  </si>
  <si>
    <t xml:space="preserve">Registro de Activos en el Sistema de Administracion de Bienes (SIAB) </t>
  </si>
  <si>
    <t>1.7.1 Pacientes reciben medicamentos esenciales para el tratamiento adecuado y oportuno de sus condiciones de salud.</t>
  </si>
  <si>
    <t>1.7.1.01</t>
  </si>
  <si>
    <t>Reunión Comité Farmaco Terapeutico (CFT) Hospitalario y promoción del uso racional de los medicamentos.</t>
  </si>
  <si>
    <t>Medicamentos</t>
  </si>
  <si>
    <t>2.1.1 El personal del SNS recibe desarrollo de competencias (técnicas y blandas), evaluación del desempeño y gestión de seguridad y salud en el trabajo, con procesos efectivos de relaciones laborales, para mejorar el desempeño, el bienestar y el cumplimiento normativo en toda la red.</t>
  </si>
  <si>
    <t>2.1.1.01</t>
  </si>
  <si>
    <t>Ejecución Plan de Capacitación 2026.</t>
  </si>
  <si>
    <t>Recursos Humanos</t>
  </si>
  <si>
    <t>1- El informe trimestral se realiza en el formulario estandarizado por el INAP. 
2-Adicional presentar listados de asistencia y plan de capacitación 2026.</t>
  </si>
  <si>
    <t>2.1.1.02</t>
  </si>
  <si>
    <t>2.1.1.03</t>
  </si>
  <si>
    <t>Detección necesidades capacitación por departamento CEAS Plan 2027.</t>
  </si>
  <si>
    <t>Elaboración del Plan de Capacitación CEAS 2027.</t>
  </si>
  <si>
    <t>Presentar anexo formulario por departamento, de acuerdo a la estructura organizativa de cada dependencia.</t>
  </si>
  <si>
    <t>Realizar plan de capacitación en formulario estándarizado por el INAP.</t>
  </si>
  <si>
    <t>Consolidado de resultados de evaluación del desempeño laboral 2025.</t>
  </si>
  <si>
    <t>Consolidado de resultados de acuerdos del desempeño laboral  2026.</t>
  </si>
  <si>
    <t>2.1.1.04</t>
  </si>
  <si>
    <t>2.1.1.05</t>
  </si>
  <si>
    <t>2.1.1.06</t>
  </si>
  <si>
    <t>2.1.1.07</t>
  </si>
  <si>
    <t>2.1.1.08</t>
  </si>
  <si>
    <t>Elaboración informe técnico resultados de evaluación del desempeño laboral 2025 CEAS y remisión al SRS.</t>
  </si>
  <si>
    <t>Monitoreo por departamento  de los acuerdos de desempeño laboral 2027</t>
  </si>
  <si>
    <t>Remisión al SRS consolidado trimestral de acuerdos de desempeño personal nuevo ingreso CEAS</t>
  </si>
  <si>
    <t>Matriz para reportar resultados de evaluación del desempeño laboral 2025.</t>
  </si>
  <si>
    <t>Matriz para reportar acuerdos del desempeño laboral 2026.</t>
  </si>
  <si>
    <t>Informe técnico de resultados evaluación del desempeño laboral 2025.</t>
  </si>
  <si>
    <t>No se requiere listado de asistencia adicional, ya que la minuta estandarizada del MAP es firmada por los colaboradores que participan en la reunión de revisión.</t>
  </si>
  <si>
    <t>3.2.2 La población usuaria y los clínicos reciben diagnósticos confiables y oportunos mediante el fortalecimiento de la red del SNS: monitoreo y evaluación continua de la calidad para guiar decisiones, habilitación/acreditación de establecimientos y cumplimiento de estándares de seguridad, asegurando acceso eficiente a servicios de calidad.</t>
  </si>
  <si>
    <t>3.2.2.01</t>
  </si>
  <si>
    <t>3.2.2.02</t>
  </si>
  <si>
    <t>3.2.2.03</t>
  </si>
  <si>
    <t>3.2.2.04</t>
  </si>
  <si>
    <t>3.2.2.05</t>
  </si>
  <si>
    <t>3.2.2.06</t>
  </si>
  <si>
    <t>3.2.2.07</t>
  </si>
  <si>
    <t>3.2.2.08</t>
  </si>
  <si>
    <t>3.2.2.09</t>
  </si>
  <si>
    <t>3.2.2.10</t>
  </si>
  <si>
    <t>Autoevaluacion SLIPTA para cumplimiento de SISMAP SALUD</t>
  </si>
  <si>
    <t>Plan de Mejora</t>
  </si>
  <si>
    <t>Laboratorios e Imágenes</t>
  </si>
  <si>
    <t>Garantizar la disponibilidad de pruebas de laboratorios y estudios de imágenes que se realizan a embarazadas y recien nacidos en hospitales maternos.</t>
  </si>
  <si>
    <t>Automatización de los servicios/ mantenimiento a los equipos  y calibracion de cabinas de los departamentos de microbiologia en los EES que cuentan con departamento de microbiologia clinica.</t>
  </si>
  <si>
    <t>laboratorios e Imágenes</t>
  </si>
  <si>
    <t>Cumplimiento la ruta de recolecion y/o envio y/o recepción de las muestras.</t>
  </si>
  <si>
    <t>Autoevaluacion para cumplimiento de habilitacion en los EES que cuentan con servicios de hemoterapia.</t>
  </si>
  <si>
    <t>Conformación y/o actualización de  clubes de donantes de sangre en EES que cuentan con servicios de hemoterapia.</t>
  </si>
  <si>
    <t>Cronograma de ruta/ formularios de envios y/o recepción de muestras.</t>
  </si>
  <si>
    <t>Acta de formación/ Listado actualizado del club de donantes.</t>
  </si>
  <si>
    <t>Mantenimiento a los equipos  y calibracion de cabinas.</t>
  </si>
  <si>
    <t>Reporte de los mantenimientos de equipos y calibración de cabinas.</t>
  </si>
  <si>
    <t>Compra de insumos para la toma de las muestras.</t>
  </si>
  <si>
    <t>Envio mensual Infolab a SRS</t>
  </si>
  <si>
    <t>Listado de disponibilidad de insumos de toma de muestras.  Evidencia de compra de insumos actualizada.</t>
  </si>
  <si>
    <t>Captura de envio a SRS</t>
  </si>
  <si>
    <t>Reunion con DPS cordinar entrega insumos de malaria</t>
  </si>
  <si>
    <t>3.2.3 Establecimientos de salud garantizan un entorno de atención seguro y confiable para los usuarios, conforme a estándares nacionales e internacionales</t>
  </si>
  <si>
    <t>3.2.3.01</t>
  </si>
  <si>
    <t>3.2.3.02</t>
  </si>
  <si>
    <t>3.2.3.03</t>
  </si>
  <si>
    <t>3.2.3.04</t>
  </si>
  <si>
    <t>3.2.3.05</t>
  </si>
  <si>
    <t>3.2.3.06</t>
  </si>
  <si>
    <t>3.2.3.07</t>
  </si>
  <si>
    <t>3.2.3.08</t>
  </si>
  <si>
    <t>Aplicación del formulario de evaluación del programa de Prevención y Control de Infecciones (PCI) y bioseguridad.</t>
  </si>
  <si>
    <t>Elaboración de plan de mejora del programa de prevención y control de infecciones y procesos de bioseguridad, con base en los hallazgos de las autoevaluaciones .</t>
  </si>
  <si>
    <t>Seguimiento a la ejecución del plan de mejora de prevencion y control de infecciones y procesos de bioseguridad.</t>
  </si>
  <si>
    <t xml:space="preserve">Monitoreo de la calidad del agua </t>
  </si>
  <si>
    <t>Limpieza y desinfección de la cisterna y/o red de distribución de agua del establecimiento</t>
  </si>
  <si>
    <t xml:space="preserve">Registro y análisis de eventos adversos: IAAS, caída de pacientes, errores de medicación, relacionados a cirugía, transfusiones, embarazo, parto y puerperio. </t>
  </si>
  <si>
    <t>Capacitación a personal de servicios generales en higiene de manos, uso de EPP y gestión de desechos.</t>
  </si>
  <si>
    <t>Capacitación a personal médico, enfermería y laboratorio en higiene de manos, uso de EPP y gestión de desechos.</t>
  </si>
  <si>
    <t>Calidad de los Servicios de Salud</t>
  </si>
  <si>
    <t>Formulario de Evaluación de los Programas de Prevención y Control de Infecciones de OMS (provistos por PCR) y Formulario DCH-FO-035.</t>
  </si>
  <si>
    <t>Cada establecimiento debe contar con un plan de mejora, aprobado por su dirección y área administrativa (firmado y sellado), que incluya actividades alineadas con los hallazgos identificados en los resultados de las evaluaciones de PCI y bioseguridad. OJO: EVIDENCIA SISMAP.</t>
  </si>
  <si>
    <t>El informe, debidamente aprobado por la dirección y el área administrativa (firmado y sellado), debe incluir las evidencias de las mejoras alcanzadas y las acciones realizadas para gestionar el cierre de las brechas pendientes. OJO: EVIDENCIA SISMAP.</t>
  </si>
  <si>
    <t>El establecimiento deberá elaborar un informe trimestral que integre los hallazgos del monitoreo diario del cloro residual en fuentes y puntos críticos de agua (intensivos, urgencias, quirófano, cocina, etc), así como los resultados de los análisis microbiológicos (mensuales o, como mínimo, trimestrales). El informe deberá incluir las medidas correctivas aplicadas ante desviaciones o contaminaciones detectadas y la última fecha de limpieza y desinfección de cisterna y/o red de distribución de agua. OJO: EVIDENCIA SISMAP</t>
  </si>
  <si>
    <t>Limpieza y desinfección semestral o, como mínimo, anual y de manera inmediata si se detecta:</t>
  </si>
  <si>
    <t>- Presencia de sedimentos o suciedad visible.</t>
  </si>
  <si>
    <t>- Resultados microbiológicos con patógenos indicadores (ej. E. coli, coliformes totales, Pseudomonas).</t>
  </si>
  <si>
    <t>- Reparaciones o interrupciones prolongadas en el suministro de agua.</t>
  </si>
  <si>
    <t xml:space="preserve">Formulario de registro compartido por PCR y Formularios de reportes y accion preventiva de eventos adversos (DGCSS-FO-071) </t>
  </si>
  <si>
    <t>OJO: EVIDENCIA SISMAP.</t>
  </si>
  <si>
    <t>Informe, matriz de registro diario de cloro residual, resultado de estudios microbiológicos</t>
  </si>
  <si>
    <t>Fotografias del proceso, constancia de servicio recibido, en caso de terceros</t>
  </si>
  <si>
    <t>Formularios completados</t>
  </si>
  <si>
    <t xml:space="preserve">Listado de participantes </t>
  </si>
  <si>
    <t>3.9.3 Establecimientos de salud logran y sostienen su habilitación conforme a la normativa vigente</t>
  </si>
  <si>
    <t>3.9.3.01</t>
  </si>
  <si>
    <t>3.9.3.02</t>
  </si>
  <si>
    <t>3.9.3.03</t>
  </si>
  <si>
    <t>3.9.3.04</t>
  </si>
  <si>
    <t xml:space="preserve">Implementación de Autoinspecciones de Habilitación </t>
  </si>
  <si>
    <t xml:space="preserve">Elaboración de Plan de Mejora </t>
  </si>
  <si>
    <t xml:space="preserve">Notificación de Estatus de Habilitación </t>
  </si>
  <si>
    <t xml:space="preserve">Implementación de Acciones de Plan de Mejora de Habilitación </t>
  </si>
  <si>
    <t>Formularios autorizados por DSHH</t>
  </si>
  <si>
    <t>Plan de Mejora en el formato autorizado DGCSS-FO-005</t>
  </si>
  <si>
    <t xml:space="preserve">Plan actualizado y evidencias de ejecución </t>
  </si>
  <si>
    <t>Certificado Vigente/
Recibo de renovación MSP</t>
  </si>
  <si>
    <t>Aplicación de encuestas de satisfacción de usuarios acorde a cuota establecida mensualmente y Generación de reporte de nivel de satisfacción de usuarios</t>
  </si>
  <si>
    <t>Formulación y/o actualización del plan de mejora de la experiencia del paciente</t>
  </si>
  <si>
    <t>Seguimiento del cumplimiento de acciones  del plan de mejora de la experiencia del paciente (alineado con los resultados de las supervisones, encuestas de satisfacción, grupos focales, QDRS).</t>
  </si>
  <si>
    <t>Gestión de los buzones de sugerencias (QDRS)</t>
  </si>
  <si>
    <t>Registro de las referencias y contrareferencias de la Red.</t>
  </si>
  <si>
    <t>Cumplimiento indicadores de AU</t>
  </si>
  <si>
    <t>3.10.1.01</t>
  </si>
  <si>
    <t>3.10.1.02</t>
  </si>
  <si>
    <t>3.10.1.03</t>
  </si>
  <si>
    <t>3.10.1.04</t>
  </si>
  <si>
    <t>3.10.1.05</t>
  </si>
  <si>
    <t>3.10.1.06</t>
  </si>
  <si>
    <t xml:space="preserve">3.10.1 Personas usuarias de los servicios públicos reciben acceso oportuno y eficiente a servicios públicos de calidad </t>
  </si>
  <si>
    <t>Atención a Usuarios</t>
  </si>
  <si>
    <t>Reporte digital  (fuente tablero BI)</t>
  </si>
  <si>
    <t>Plan de Mejora elaborado/actualizado</t>
  </si>
  <si>
    <t xml:space="preserve">En caso no tener registros, Deben fechar y colocar el comentario de que no hubo </t>
  </si>
  <si>
    <t>Reporte (enviado desde el  SRS)</t>
  </si>
  <si>
    <t>Ejecución del Monitoreo Interno en Adherencia a Protocolos, Guías de Atención y otras Normativas de Salud.</t>
  </si>
  <si>
    <t>Formularios</t>
  </si>
  <si>
    <t>Aplica solo a CEAS que no estén en remozamiento/remoción y que ofrezcan el servicio a monitorear. En caso de no realizar el monitoreo, debe entregarse una carta justificativa firmada y sellada por la Dirección.
ENERO-MARZO: consulta prenatal, morbilidades maternas y lista de seguridad en cirugía. MAYO-JULIO: morbilidades neonatales, pediátricas y de salud pública. SEPTIEMBRE-NOVIEMBRE: completitud de expedientes.</t>
  </si>
  <si>
    <t>Elaboración y/o Actualización de los Planes de Mejora asociados al Monitoreo Interno de la Adherencia a Protocolos, Guias de Atención y Otras Normativas de Salud.</t>
  </si>
  <si>
    <t>Planes de Mejora</t>
  </si>
  <si>
    <t>Avances en la Ejecución de los Planes de Mejora asociados al Monitoreo Interno de la Adherencia a Protocolos, Guias de Atención y Otras Normativas de Salud.</t>
  </si>
  <si>
    <t>Informe de seguimiento a la implementación y correcto llenado de la Lista de Verificación de la Seguridad de la Cirugía.</t>
  </si>
  <si>
    <t>Conformación vigente del Comité de Mejora Continua de la Calidad de la Atención y Seguridad del Paciente en el establecimiento de salud.</t>
  </si>
  <si>
    <t>Acta Constitutiva</t>
  </si>
  <si>
    <t>Reuniones del Comité de Mejora Continua de la Calidad de la Atención y Seguridad del Paciente.</t>
  </si>
  <si>
    <t>Actas de Reunión (Minutas); Listados de participación</t>
  </si>
  <si>
    <t>Capacitación en Humanización de los Servicios</t>
  </si>
  <si>
    <t>Agenda; Listados de participación; Fotos</t>
  </si>
  <si>
    <t>Capacitación en la Guía Técnica para la Implementación de la Lista de Verificación de la Seguridad de la Cirugía del Ministerio de Salud Pública.</t>
  </si>
  <si>
    <t>Capacitación en Protocolos y Guías de Atención emitidos por el Ministerio de Salud Pública (los que apliquen según su cartera de servicios).</t>
  </si>
  <si>
    <t>3.2.2.11</t>
  </si>
  <si>
    <t>3.2.2.12</t>
  </si>
  <si>
    <t>3.2.2.13</t>
  </si>
  <si>
    <t>3.2.2.14</t>
  </si>
  <si>
    <t>3.2.2.15</t>
  </si>
  <si>
    <t>3.2.2.16</t>
  </si>
  <si>
    <t>3.2.2.17</t>
  </si>
  <si>
    <t>3.2.2.18</t>
  </si>
  <si>
    <t>3.2.2.19</t>
  </si>
  <si>
    <t>1.2.1 Gestantes reciben atención médica y servicios de salud materna basados en protocolos y normas nacionales e internacionales.</t>
  </si>
  <si>
    <t>1.2.1.01</t>
  </si>
  <si>
    <t>Seguimiento de la  Morbilidad Materna Extrema</t>
  </si>
  <si>
    <t>Todos los hospitales regionales, maternos, materno infantil, que ofrecen servicios maternos</t>
  </si>
  <si>
    <t>Materno Infantil y Adolescentes</t>
  </si>
  <si>
    <t>1.2.1.02</t>
  </si>
  <si>
    <t>Análisis de los indicadores Maternos Neonatales de la Sala Situacional</t>
  </si>
  <si>
    <t>Plantilla estandarizada</t>
  </si>
  <si>
    <t>Todos los CEAS regionales, especializados y de referencia que ofrezcan servicios maternos</t>
  </si>
  <si>
    <t>1.2.1.03</t>
  </si>
  <si>
    <t>Seguimiento a la implementacion de la Estrategia Código Rojo.</t>
  </si>
  <si>
    <t>Todos los hospitales regionales, maternos y materno infantil que ofrecen servicios maternos</t>
  </si>
  <si>
    <t>1.2.1.04</t>
  </si>
  <si>
    <t>Seguimiento al tamizaje de infecciones vaginales y urinarias en la embarazada</t>
  </si>
  <si>
    <t>Materno Dr. Reynaldo Almanzar, Maternidad Nuestra Señora de la Altagracia, Materno Infantil San Lorenzo de los Mina, Maternidad Presidente Estrella Ureña</t>
  </si>
  <si>
    <t>1.2.1.05</t>
  </si>
  <si>
    <t xml:space="preserve">Elaboracion de los planes de mejora de la metodología de Observación de la Práctica Clínica (OPC) según los resultados del monitoreo de calidad de los servicios en los CEAS priorizados </t>
  </si>
  <si>
    <t>CEAS PRIORIZADOS 
SRS Ozama
1. Hospital Materno Dr. Reynaldo Almánzar
2. Hospital Maternidad Nuestra Señora de la Altagracia
3. Hospital Materno Infantil San Lorenzo de los Mina
4. Hospital Materno Dra. Evangelina Rodríguez
5. ⁠Hospital Materno Infantil Dr. Marcelino Vélez Santana
6. Hospital Materno Infantil Dr. Julio Rodriguez Grullón
SRS Valdesia
7.Hospital Regional Juan Pablo Pina
SRS Cibao Norte
8. Hospital Maternidad Presidente Estrella Ureña
SRS Cibao Nordeste
9. Hospital Regional  San Vicente de Paul
SRS Enriquillo
10. Hospital Regional Jaime Mota
SRS Higuamo
11. Hospital Materno Infantil Nuestra Señora de la Altagracia
12. Hospital Materno Infantil Dr. Francisco Gonzalvo. 
SRS Yuma 
13. Hospital Regional Dr. Antonio Musa
SRS El Valle
14. Hospital Regional Dr. Alejandro Cabral
15. Hospital Regional Taiwán 19 de marzo
SRS Cibao Noroeste
16. Hospital Materno Infantil Dr.José Francisco Peña Gómez
SRS Cibao Sur
17. Hospital Regional Dr. Luis Morillo King</t>
  </si>
  <si>
    <t>1.2.1.06</t>
  </si>
  <si>
    <t>Seguimiento a la Planificación  Post Evento Obstétrico</t>
  </si>
  <si>
    <t xml:space="preserve">Informe </t>
  </si>
  <si>
    <t>1.2.1.07</t>
  </si>
  <si>
    <t>Monitoreo  al apego a protocolo de atencion en consulta prenatal.</t>
  </si>
  <si>
    <t>1.1.1 Niños, niñas y Adolescentes reciben atención médica y servicios de salud basado en protocolos nacionales e internacionales.</t>
  </si>
  <si>
    <t>1.1.1.01</t>
  </si>
  <si>
    <t>Fortalecimiento de los Programas Madre Canguro .</t>
  </si>
  <si>
    <t>Autoevaluación (enero)/ Plan de mejora (febrero)/ Registro Módulo PMC (mensual)/ Avances Plan de mejora (junio, septiembre,diciembre)</t>
  </si>
  <si>
    <t xml:space="preserve">Maternidad Nuestra Señora de la Altagracia, Infantil Dr. Robert Reid Cabral, Materno Infantil San Lorenzo de Los Mina, Materno Dr.Reynaldo Almanzar, Materno Dra. Evangelina Rodríguez, Materno Infantil Dr. Marcelino Velez, Hospital Pediátrico Dr. José Manuel Rodriguez Jimenes, Juan Pablo Pina, Infantil Dr. Arturo Grullón, Maternidad Presidente Estrella Ureña, San Vicente de Paul, Jaime Mota, Dr. Antonio Musa, Materno Infantil Nuestra Señora de la Altagracia, Materno Infantil Dr. Francisco A. Gonzalvo, Taiwan 19 de marzo, Dr.Alejandro Cabral, Materno Infantil Dr. José Fco. Peña Gómez, Dr. Luis M. Morillo King  </t>
  </si>
  <si>
    <t>1.1.1.02</t>
  </si>
  <si>
    <t>1.1.1.03</t>
  </si>
  <si>
    <t>Seguimiento a la Sala Situacional IA</t>
  </si>
  <si>
    <t>Reporte digital Módulo Sala Situacional IA</t>
  </si>
  <si>
    <t>Infantil Dr. Arturo Grullón, Dr. Luis Morillo King, San Vicente de Paul, Materno Infantil Dr. José Francisco Peña Gómez, Juan Pablo Pina, Jaime Mota, Regional Dr. Alejandro Cabral, Taiwan 19 de marzo, Regional Dr. Antonio Musa, Materno Infantil Nuestra Señora de la Altagracia, Materno Infantil Dr. Francisco A. Gonzalvo, Infantil Dr. Robert Reid Cabral, Materno Infantil San Lorenzo de Los Mina, Materno Infantil Dr. Marcelino Vélez Santana, Pediátrico Dr. Hugo Mendoza, Infantil Dr. José Rodriguez Jimenes, Materno Infantil Dr. Julio Rodriguez Grullón, Materno Infantil de Villa Mella</t>
  </si>
  <si>
    <t>1.1.1.04</t>
  </si>
  <si>
    <t>Plan (elaboración enero) Seguimiento (abril, julio, octubre)</t>
  </si>
  <si>
    <t>1.1.1.05</t>
  </si>
  <si>
    <t>Reporte casos niños asistidos por violencia.</t>
  </si>
  <si>
    <t>Registro Sala Situacional/ Formulario de reporte</t>
  </si>
  <si>
    <t>Elaboración e implementación del plan de mejora para fortalecimiento de las Unidades de Atención Integrales en Salud para personas Adolescentes</t>
  </si>
  <si>
    <t>Pediátrico Dr. Hugo Mendoza, Pediátrico Dr. Robert Reid Cabral, Materno Infantil San Lorenzo de Los Mina, Municipal Materno Infantil Villa Mella, Infantil Dr. Arturo Grullón, Dr. Ricardo Limardo, Maternidad Infantil Nuestra Señora de la Altagracia (Higuey), Dr. Luis Manuel Morillo King, Juan Pablo Pina, Materno Infantil Dr.Francisco Gonzalvo, San Vicente de Paúl, Dr.Antonio Musa, Jaime Mota, Materno Infantil Dr. Marcelino Vélez, Centro Dr. Nelson Astacio</t>
  </si>
  <si>
    <t xml:space="preserve">Reporte de la Planificación familiar en Adolescentes </t>
  </si>
  <si>
    <t>Hospitales que asisten Adolecentes</t>
  </si>
  <si>
    <t>1.1.2 Recién nacidos reciben atención medica y servicios de salud neonatal basados en protocolos y normas nacionales e internacionales</t>
  </si>
  <si>
    <t>1.2.2.01</t>
  </si>
  <si>
    <t>1.2.2.02</t>
  </si>
  <si>
    <t>Vigilanica sanitaria del agua en las UCIN del SNS</t>
  </si>
  <si>
    <t>Maternidad Nuestra Señora de la Altagracia , Materno Infantil San Lorenzo de los Mina, Materno Dr. Reynaldo Almánzar, Materno Infantil Dr. Marcelino Vélez, Maternidad Presidente Estrella Ureña, Materno Infantil Nuestra Señora de la Altagracia (Higuey), Juan Pablo Pina, San Vicente de Paul, Dr. Luis M. Morillo King, Infantil Dr.Robert Reid Cabral, Maternidad Dra.Evangelina Rodriguez, Materno Infantil Dr. José Fco.Peña Gomez,  Jaime Mota, Dr. Antonio Musa, Infantil Dr. Arturo Grullon, Materno Infantil Dr. José Rodriguez Grullón (Ciudad Sanitaria), Pediatrico Dr.Hugo Mendoza, Taiwan 19 de marzo, Dr. Alejandro Cabral</t>
  </si>
  <si>
    <t xml:space="preserve">Monitoreo del registro en línea del Certificado de Nacido Vivo </t>
  </si>
  <si>
    <t>Todos los CEAS donde se producen nacimientos</t>
  </si>
  <si>
    <r>
      <t xml:space="preserve">Febrero EES que apliquen de : </t>
    </r>
    <r>
      <rPr>
        <sz val="10"/>
        <color rgb="FF000000"/>
        <rFont val="Calibri"/>
        <family val="2"/>
        <scheme val="minor"/>
      </rPr>
      <t xml:space="preserve">ozama, el valle, higuamo </t>
    </r>
    <r>
      <rPr>
        <b/>
        <sz val="10"/>
        <color rgb="FF000000"/>
        <rFont val="Calibri"/>
        <family val="2"/>
        <scheme val="minor"/>
      </rPr>
      <t>Abril  EES que apliquen de:</t>
    </r>
    <r>
      <rPr>
        <sz val="10"/>
        <color rgb="FF000000"/>
        <rFont val="Calibri"/>
        <family val="2"/>
        <scheme val="minor"/>
      </rPr>
      <t xml:space="preserve"> valdesia, cibao noroeste</t>
    </r>
    <r>
      <rPr>
        <b/>
        <sz val="10"/>
        <color rgb="FF000000"/>
        <rFont val="Calibri"/>
        <family val="2"/>
        <scheme val="minor"/>
      </rPr>
      <t xml:space="preserve"> Junio EES que apliquen de: </t>
    </r>
    <r>
      <rPr>
        <sz val="10"/>
        <color rgb="FF000000"/>
        <rFont val="Calibri"/>
        <family val="2"/>
        <scheme val="minor"/>
      </rPr>
      <t xml:space="preserve">enriquillo, cibao norte, cibao sur </t>
    </r>
    <r>
      <rPr>
        <b/>
        <sz val="10"/>
        <color rgb="FF000000"/>
        <rFont val="Calibri"/>
        <family val="2"/>
        <scheme val="minor"/>
      </rPr>
      <t>Agosto EES que apliquen de:</t>
    </r>
    <r>
      <rPr>
        <sz val="10"/>
        <color rgb="FF000000"/>
        <rFont val="Calibri"/>
        <family val="2"/>
        <scheme val="minor"/>
      </rPr>
      <t xml:space="preserve"> cibao nordeste,yuma</t>
    </r>
  </si>
  <si>
    <r>
      <t>Enero EES que apliquen de</t>
    </r>
    <r>
      <rPr>
        <sz val="10"/>
        <color rgb="FF000000"/>
        <rFont val="Calibri"/>
        <family val="2"/>
        <scheme val="minor"/>
      </rPr>
      <t xml:space="preserve"> : ozama, el valle, higuamo </t>
    </r>
    <r>
      <rPr>
        <b/>
        <sz val="10"/>
        <color rgb="FF000000"/>
        <rFont val="Calibri"/>
        <family val="2"/>
        <scheme val="minor"/>
      </rPr>
      <t>Abril EES de:</t>
    </r>
    <r>
      <rPr>
        <sz val="10"/>
        <color rgb="FF000000"/>
        <rFont val="Calibri"/>
        <family val="2"/>
        <scheme val="minor"/>
      </rPr>
      <t xml:space="preserve"> valdesia, cibao noroeste </t>
    </r>
    <r>
      <rPr>
        <b/>
        <sz val="10"/>
        <color rgb="FF000000"/>
        <rFont val="Calibri"/>
        <family val="2"/>
        <scheme val="minor"/>
      </rPr>
      <t>Julio EES de:</t>
    </r>
    <r>
      <rPr>
        <sz val="10"/>
        <color rgb="FF000000"/>
        <rFont val="Calibri"/>
        <family val="2"/>
        <scheme val="minor"/>
      </rPr>
      <t xml:space="preserve">  enriquillo, cibao norte, cibao sur </t>
    </r>
    <r>
      <rPr>
        <b/>
        <sz val="10"/>
        <color rgb="FF000000"/>
        <rFont val="Calibri"/>
        <family val="2"/>
        <scheme val="minor"/>
      </rPr>
      <t>Septiembre EES de</t>
    </r>
    <r>
      <rPr>
        <sz val="10"/>
        <color rgb="FF000000"/>
        <rFont val="Calibri"/>
        <family val="2"/>
        <scheme val="minor"/>
      </rPr>
      <t xml:space="preserve"> : cibao nordeste,yuma</t>
    </r>
  </si>
  <si>
    <r>
      <t xml:space="preserve">EES donde aplique, </t>
    </r>
    <r>
      <rPr>
        <b/>
        <sz val="10"/>
        <color rgb="FF000000"/>
        <rFont val="Calibri"/>
        <family val="2"/>
        <scheme val="minor"/>
      </rPr>
      <t>Marzo:</t>
    </r>
    <r>
      <rPr>
        <sz val="10"/>
        <color rgb="FF000000"/>
        <rFont val="Calibri"/>
        <family val="2"/>
        <scheme val="minor"/>
      </rPr>
      <t xml:space="preserve"> enriquillo, cibao norte, cibao sur </t>
    </r>
    <r>
      <rPr>
        <b/>
        <sz val="10"/>
        <color rgb="FF000000"/>
        <rFont val="Calibri"/>
        <family val="2"/>
        <scheme val="minor"/>
      </rPr>
      <t>mayo:</t>
    </r>
    <r>
      <rPr>
        <sz val="10"/>
        <color rgb="FF000000"/>
        <rFont val="Calibri"/>
        <family val="2"/>
        <scheme val="minor"/>
      </rPr>
      <t xml:space="preserve"> ozama, el valle, higuamo </t>
    </r>
    <r>
      <rPr>
        <b/>
        <sz val="10"/>
        <color rgb="FF000000"/>
        <rFont val="Calibri"/>
        <family val="2"/>
        <scheme val="minor"/>
      </rPr>
      <t>agosto:</t>
    </r>
    <r>
      <rPr>
        <sz val="10"/>
        <color rgb="FF000000"/>
        <rFont val="Calibri"/>
        <family val="2"/>
        <scheme val="minor"/>
      </rPr>
      <t xml:space="preserve"> valdesia, cibao noroeste,Yuma y cibao nordeste</t>
    </r>
  </si>
  <si>
    <r>
      <t xml:space="preserve">Cada establecimiento debe contar con planes de mejora aprobados (firmados y sellados), con actividades acorde a los hallazgos identificados en el Monitoreo Interno de la Adherencia a Protocolos, Guias de Atención y Otras Normativas de Salud. </t>
    </r>
    <r>
      <rPr>
        <u/>
        <sz val="10"/>
        <color rgb="FF000000"/>
        <rFont val="Calibri"/>
        <family val="2"/>
        <scheme val="minor"/>
      </rPr>
      <t xml:space="preserve"> OJO: Es una evidencia a cargar para SISMAP Salud</t>
    </r>
    <r>
      <rPr>
        <sz val="10"/>
        <color rgb="FF000000"/>
        <rFont val="Calibri"/>
        <family val="2"/>
        <scheme val="minor"/>
      </rPr>
      <t>.</t>
    </r>
  </si>
  <si>
    <r>
      <t xml:space="preserve">El informe (firmado y sellado) debe reflejar los avances en la ejecución de las actividades aprobadas en los planes de mejora. </t>
    </r>
    <r>
      <rPr>
        <u/>
        <sz val="10"/>
        <color rgb="FF000000"/>
        <rFont val="Calibri"/>
        <family val="2"/>
        <scheme val="minor"/>
      </rPr>
      <t>OJO: Es una evidencia a cargar para SISMAP Salud</t>
    </r>
    <r>
      <rPr>
        <sz val="10"/>
        <color rgb="FF000000"/>
        <rFont val="Calibri"/>
        <family val="2"/>
        <scheme val="minor"/>
      </rPr>
      <t>.</t>
    </r>
  </si>
  <si>
    <r>
      <t xml:space="preserve">El informe (firmado y sellado) debe mencionar los resultados del monitoreo interno, brechas detectadas, aciones de seguimiento y análisis comparativo con monitoreos anteriores para conocer el nivel de avance. </t>
    </r>
    <r>
      <rPr>
        <u/>
        <sz val="10"/>
        <color rgb="FF000000"/>
        <rFont val="Calibri"/>
        <family val="2"/>
        <scheme val="minor"/>
      </rPr>
      <t>OJO: Es una evidencia a cargar para SISMAP Salud</t>
    </r>
    <r>
      <rPr>
        <sz val="10"/>
        <color rgb="FF000000"/>
        <rFont val="Calibri"/>
        <family val="2"/>
        <scheme val="minor"/>
      </rPr>
      <t>.</t>
    </r>
  </si>
  <si>
    <r>
      <t xml:space="preserve">Cada establecimiento debe contar con un acta vigente del comité (firmada, sellada, con todos sus campos llenos). Se actualiza solo ante cambios en sus integrantes o inactividad igual o mayor a 3 meses.  </t>
    </r>
    <r>
      <rPr>
        <u/>
        <sz val="10"/>
        <color rgb="FF000000"/>
        <rFont val="Calibri"/>
        <family val="2"/>
        <scheme val="minor"/>
      </rPr>
      <t>OJO: Es una evidencia a cargar para SISMAP Salud</t>
    </r>
    <r>
      <rPr>
        <sz val="10"/>
        <color rgb="FF000000"/>
        <rFont val="Calibri"/>
        <family val="2"/>
        <scheme val="minor"/>
      </rPr>
      <t>.</t>
    </r>
  </si>
  <si>
    <r>
      <t xml:space="preserve">El Comité debe reunirse </t>
    </r>
    <r>
      <rPr>
        <b/>
        <u/>
        <sz val="10"/>
        <color rgb="FF000000"/>
        <rFont val="Calibri"/>
        <family val="2"/>
        <scheme val="minor"/>
      </rPr>
      <t>MENSUAL</t>
    </r>
    <r>
      <rPr>
        <sz val="10"/>
        <color rgb="FF000000"/>
        <rFont val="Calibri"/>
        <family val="2"/>
        <scheme val="minor"/>
      </rPr>
      <t xml:space="preserve">. Las actas de reuniones (minutas) deben tener todos los campos llenos, firmada y sellada. Su contenido debe reflejar los temas tratados por el comité, con seguimiento a acuerdos y compromisos.  </t>
    </r>
    <r>
      <rPr>
        <u/>
        <sz val="10"/>
        <color rgb="FF000000"/>
        <rFont val="Calibri"/>
        <family val="2"/>
        <scheme val="minor"/>
      </rPr>
      <t>OJO: Es una evidencia a cargar para SISMAP Salud</t>
    </r>
    <r>
      <rPr>
        <sz val="10"/>
        <color rgb="FF000000"/>
        <rFont val="Calibri"/>
        <family val="2"/>
        <scheme val="minor"/>
      </rPr>
      <t>.</t>
    </r>
  </si>
  <si>
    <r>
      <t xml:space="preserve">Agenda con el sello del establecimiento; listado de participación firmado y sellado, sin campos vacíos. Mínimo 3 fotografías. </t>
    </r>
    <r>
      <rPr>
        <u/>
        <sz val="10"/>
        <color rgb="FF000000"/>
        <rFont val="Calibri"/>
        <family val="2"/>
        <scheme val="minor"/>
      </rPr>
      <t>OJO: Es una evidencia a cargar para SISMAP Salud</t>
    </r>
    <r>
      <rPr>
        <sz val="10"/>
        <color rgb="FF000000"/>
        <rFont val="Calibri"/>
        <family val="2"/>
        <scheme val="minor"/>
      </rPr>
      <t>.</t>
    </r>
  </si>
  <si>
    <r>
      <t xml:space="preserve">Dirigida a cirujanos, anestesiólogos, instrumentistas, enfermeras de cirugía y personal de enfermería de las salas de recuperación, así como otros que se consideren necesarios. </t>
    </r>
    <r>
      <rPr>
        <u/>
        <sz val="10"/>
        <color rgb="FF000000"/>
        <rFont val="Calibri"/>
        <family val="2"/>
        <scheme val="minor"/>
      </rPr>
      <t>OJO: Es una evidencia a cargar para SISMAP Salud</t>
    </r>
    <r>
      <rPr>
        <sz val="10"/>
        <color rgb="FF000000"/>
        <rFont val="Calibri"/>
        <family val="2"/>
        <scheme val="minor"/>
      </rPr>
      <t>.</t>
    </r>
  </si>
  <si>
    <r>
      <t xml:space="preserve">La agenda y la lista de participantes deben especificar claramente el nombre oficial del protocolo o guía nacional abordado en la capacitación, según lo establecido por el Ministerio de Salud Pública. Mínimo 3 fotografías.  </t>
    </r>
    <r>
      <rPr>
        <u/>
        <sz val="10"/>
        <color rgb="FF000000"/>
        <rFont val="Calibri"/>
        <family val="2"/>
        <scheme val="minor"/>
      </rPr>
      <t>OJO: Es una evidencia a cargar para SISMAP Salud</t>
    </r>
    <r>
      <rPr>
        <sz val="10"/>
        <color rgb="FF000000"/>
        <rFont val="Calibri"/>
        <family val="2"/>
        <scheme val="minor"/>
      </rPr>
      <t>.</t>
    </r>
  </si>
  <si>
    <t xml:space="preserve"> Por favor excluir, Somos Autogestion</t>
  </si>
  <si>
    <t>leche</t>
  </si>
  <si>
    <t>und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</si>
</sst>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Red]#,##0.00"/>
    <numFmt numFmtId="165" formatCode="_(* #,##0_);_(* \(#,##0\);_(* &quot;-&quot;??_);_(@_)"/>
    <numFmt numFmtId="166" formatCode="#,##0.00000000"/>
  </numFmts>
  <fonts count="54" x14ac:knownFonts="1">
    <font>
      <sz val="10"/>
      <name val="Arial"/>
    </font>
    <font>
      <sz val="11"/>
      <color theme="1"/>
      <name val="Calibri"/>
      <family val="2"/>
      <scheme val="minor"/>
    </font>
    <font>
      <sz val="11"/>
      <color theme="1"/>
      <name val="Calibri"/>
      <family val="2"/>
      <scheme val="minor"/>
    </font>
    <font>
      <sz val="8"/>
      <name val="Arial"/>
      <family val="2"/>
    </font>
    <font>
      <sz val="10"/>
      <name val="Arial"/>
      <family val="2"/>
    </font>
    <font>
      <sz val="10"/>
      <name val="Goudy Old Style"/>
      <family val="1"/>
    </font>
    <font>
      <sz val="11"/>
      <color theme="1"/>
      <name val="Calibri"/>
      <family val="2"/>
      <scheme val="minor"/>
    </font>
    <font>
      <sz val="11"/>
      <color theme="1"/>
      <name val="Goudy Old Style"/>
      <family val="1"/>
    </font>
    <font>
      <sz val="10"/>
      <name val="Cambria"/>
      <family val="1"/>
      <scheme val="major"/>
    </font>
    <font>
      <b/>
      <sz val="10"/>
      <name val="Calibri"/>
      <family val="2"/>
      <scheme val="minor"/>
    </font>
    <font>
      <sz val="10"/>
      <name val="Calibri"/>
      <family val="2"/>
      <scheme val="minor"/>
    </font>
    <font>
      <b/>
      <sz val="9"/>
      <name val="Calibri"/>
      <family val="2"/>
      <scheme val="minor"/>
    </font>
    <font>
      <sz val="9"/>
      <name val="Calibri"/>
      <family val="2"/>
      <scheme val="minor"/>
    </font>
    <font>
      <b/>
      <sz val="10"/>
      <name val="Cambria"/>
      <family val="1"/>
      <scheme val="major"/>
    </font>
    <font>
      <b/>
      <sz val="8"/>
      <name val="Cambria"/>
      <family val="1"/>
      <scheme val="major"/>
    </font>
    <font>
      <b/>
      <sz val="10"/>
      <color theme="1"/>
      <name val="Cambria"/>
      <family val="1"/>
      <scheme val="major"/>
    </font>
    <font>
      <sz val="10"/>
      <color theme="1"/>
      <name val="Cambria"/>
      <family val="1"/>
      <scheme val="major"/>
    </font>
    <font>
      <b/>
      <sz val="8"/>
      <name val="Calibri"/>
      <family val="2"/>
      <scheme val="minor"/>
    </font>
    <font>
      <sz val="8"/>
      <name val="Calibri"/>
      <family val="2"/>
      <scheme val="minor"/>
    </font>
    <font>
      <sz val="8"/>
      <color theme="1"/>
      <name val="Calibri"/>
      <family val="2"/>
      <scheme val="minor"/>
    </font>
    <font>
      <b/>
      <sz val="8"/>
      <color theme="1"/>
      <name val="Calibri"/>
      <family val="2"/>
      <scheme val="minor"/>
    </font>
    <font>
      <b/>
      <sz val="9"/>
      <name val="Cambria"/>
      <family val="1"/>
      <scheme val="major"/>
    </font>
    <font>
      <sz val="9"/>
      <color indexed="81"/>
      <name val="Tahoma"/>
      <family val="2"/>
    </font>
    <font>
      <b/>
      <sz val="9"/>
      <color indexed="81"/>
      <name val="Tahoma"/>
      <family val="2"/>
    </font>
    <font>
      <sz val="10"/>
      <color theme="0"/>
      <name val="Arial"/>
      <family val="2"/>
    </font>
    <font>
      <sz val="10"/>
      <color theme="0"/>
      <name val="Calibri"/>
      <family val="2"/>
      <scheme val="minor"/>
    </font>
    <font>
      <u/>
      <sz val="9"/>
      <color indexed="81"/>
      <name val="Tahoma"/>
      <family val="2"/>
    </font>
    <font>
      <b/>
      <sz val="11"/>
      <color theme="1"/>
      <name val="Calibri"/>
      <family val="2"/>
      <scheme val="minor"/>
    </font>
    <font>
      <sz val="11"/>
      <color theme="0"/>
      <name val="Calibri"/>
      <family val="2"/>
      <scheme val="minor"/>
    </font>
    <font>
      <b/>
      <sz val="12"/>
      <name val="Calibri"/>
      <family val="2"/>
      <scheme val="minor"/>
    </font>
    <font>
      <b/>
      <sz val="11"/>
      <name val="Calibri"/>
      <family val="2"/>
      <scheme val="minor"/>
    </font>
    <font>
      <b/>
      <sz val="9"/>
      <name val="Arial"/>
      <family val="2"/>
    </font>
    <font>
      <sz val="9"/>
      <name val="Arial"/>
      <family val="2"/>
    </font>
    <font>
      <sz val="9"/>
      <color indexed="8"/>
      <name val="Arial"/>
      <family val="2"/>
    </font>
    <font>
      <sz val="9"/>
      <color theme="1"/>
      <name val="Arial"/>
      <family val="2"/>
    </font>
    <font>
      <sz val="11"/>
      <name val="Times New Roman"/>
      <family val="1"/>
    </font>
    <font>
      <sz val="11"/>
      <name val="Calibri"/>
      <family val="2"/>
      <scheme val="minor"/>
    </font>
    <font>
      <sz val="11"/>
      <color theme="0"/>
      <name val="Times New Roman"/>
      <family val="1"/>
    </font>
    <font>
      <sz val="10"/>
      <color theme="1"/>
      <name val="Calibri"/>
      <family val="2"/>
      <scheme val="minor"/>
    </font>
    <font>
      <b/>
      <sz val="10"/>
      <color theme="1"/>
      <name val="Calibri"/>
      <family val="2"/>
      <scheme val="minor"/>
    </font>
    <font>
      <b/>
      <sz val="11"/>
      <color theme="1"/>
      <name val="Times New Roman"/>
      <family val="1"/>
    </font>
    <font>
      <sz val="11"/>
      <color theme="1"/>
      <name val="Times New Roman"/>
      <family val="1"/>
    </font>
    <font>
      <sz val="11"/>
      <color rgb="FFFF0000"/>
      <name val="Calibri"/>
      <family val="2"/>
      <scheme val="minor"/>
    </font>
    <font>
      <sz val="10"/>
      <color rgb="FFFF0000"/>
      <name val="Calibri"/>
      <family val="2"/>
      <scheme val="minor"/>
    </font>
    <font>
      <sz val="8"/>
      <color indexed="81"/>
      <name val="Tahoma"/>
      <family val="2"/>
    </font>
    <font>
      <sz val="10"/>
      <name val="Arial"/>
      <family val="2"/>
    </font>
    <font>
      <sz val="10"/>
      <color rgb="FFFF0000"/>
      <name val="Arial"/>
      <family val="2"/>
    </font>
    <font>
      <sz val="8"/>
      <name val="Arial"/>
      <family val="2"/>
    </font>
    <font>
      <sz val="10"/>
      <color rgb="FF000000"/>
      <name val="Calibri"/>
      <family val="2"/>
      <scheme val="minor"/>
    </font>
    <font>
      <b/>
      <sz val="10"/>
      <color rgb="FF000000"/>
      <name val="Calibri"/>
      <family val="2"/>
      <scheme val="minor"/>
    </font>
    <font>
      <u/>
      <sz val="10"/>
      <color rgb="FF000000"/>
      <name val="Calibri"/>
      <family val="2"/>
      <scheme val="minor"/>
    </font>
    <font>
      <b/>
      <u/>
      <sz val="10"/>
      <color rgb="FF000000"/>
      <name val="Calibri"/>
      <family val="2"/>
      <scheme val="minor"/>
    </font>
    <font>
      <sz val="10"/>
      <color rgb="FFC00000"/>
      <name val="Calibri"/>
      <family val="2"/>
      <scheme val="minor"/>
    </font>
    <font>
      <sz val="10"/>
      <name val="Arial"/>
    </font>
  </fonts>
  <fills count="44">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indexed="22"/>
        <bgColor indexed="64"/>
      </patternFill>
    </fill>
    <fill>
      <patternFill patternType="solid">
        <fgColor theme="7" tint="0.79998168889431442"/>
        <bgColor indexed="64"/>
      </patternFill>
    </fill>
    <fill>
      <patternFill patternType="solid">
        <fgColor rgb="FF6666FF"/>
        <bgColor indexed="64"/>
      </patternFill>
    </fill>
    <fill>
      <patternFill patternType="solid">
        <fgColor rgb="FFCCFFFF"/>
        <bgColor indexed="64"/>
      </patternFill>
    </fill>
    <fill>
      <patternFill patternType="solid">
        <fgColor theme="2" tint="-0.249977111117893"/>
        <bgColor indexed="64"/>
      </patternFill>
    </fill>
    <fill>
      <patternFill patternType="solid">
        <fgColor rgb="FFFF33CC"/>
        <bgColor indexed="64"/>
      </patternFill>
    </fill>
    <fill>
      <patternFill patternType="solid">
        <fgColor rgb="FFCCFF33"/>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993300"/>
        <bgColor indexed="64"/>
      </patternFill>
    </fill>
    <fill>
      <patternFill patternType="solid">
        <fgColor rgb="FFFFFF99"/>
        <bgColor indexed="64"/>
      </patternFill>
    </fill>
    <fill>
      <patternFill patternType="solid">
        <fgColor rgb="FFFFFF00"/>
        <bgColor indexed="64"/>
      </patternFill>
    </fill>
    <fill>
      <patternFill patternType="solid">
        <fgColor rgb="FF9999FF"/>
        <bgColor indexed="64"/>
      </patternFill>
    </fill>
    <fill>
      <patternFill patternType="solid">
        <fgColor rgb="FFFF99FF"/>
        <bgColor indexed="64"/>
      </patternFill>
    </fill>
    <fill>
      <patternFill patternType="solid">
        <fgColor rgb="FFFF9900"/>
        <bgColor indexed="64"/>
      </patternFill>
    </fill>
    <fill>
      <patternFill patternType="solid">
        <fgColor theme="9" tint="0.39997558519241921"/>
        <bgColor indexed="64"/>
      </patternFill>
    </fill>
    <fill>
      <patternFill patternType="solid">
        <fgColor rgb="FF99FF66"/>
        <bgColor indexed="64"/>
      </patternFill>
    </fill>
    <fill>
      <patternFill patternType="solid">
        <fgColor rgb="FFFF0066"/>
        <bgColor indexed="64"/>
      </patternFill>
    </fill>
    <fill>
      <patternFill patternType="solid">
        <fgColor rgb="FF6699FF"/>
        <bgColor indexed="64"/>
      </patternFill>
    </fill>
    <fill>
      <patternFill patternType="solid">
        <fgColor rgb="FF49B17B"/>
        <bgColor indexed="64"/>
      </patternFill>
    </fill>
    <fill>
      <patternFill patternType="solid">
        <fgColor rgb="FF00FFFF"/>
        <bgColor indexed="64"/>
      </patternFill>
    </fill>
    <fill>
      <patternFill patternType="solid">
        <fgColor theme="0"/>
        <bgColor theme="4" tint="0.79998168889431442"/>
      </patternFill>
    </fill>
    <fill>
      <patternFill patternType="solid">
        <fgColor rgb="FFFFFFFF"/>
        <bgColor rgb="FFDCE6F1"/>
      </patternFill>
    </fill>
    <fill>
      <patternFill patternType="solid">
        <fgColor rgb="FFFFFF00"/>
        <bgColor theme="4" tint="0.79998168889431442"/>
      </patternFill>
    </fill>
  </fills>
  <borders count="29">
    <border>
      <left/>
      <right/>
      <top/>
      <bottom/>
      <diagonal/>
    </border>
    <border>
      <left/>
      <right/>
      <top style="thin">
        <color indexed="64"/>
      </top>
      <bottom style="double">
        <color indexed="64"/>
      </bottom>
      <diagonal/>
    </border>
    <border>
      <left/>
      <right/>
      <top/>
      <bottom style="thin">
        <color indexed="64"/>
      </bottom>
      <diagonal/>
    </border>
    <border>
      <left/>
      <right style="thin">
        <color theme="3" tint="0.39991454817346722"/>
      </right>
      <top/>
      <bottom/>
      <diagonal/>
    </border>
    <border>
      <left style="thin">
        <color theme="3" tint="0.39991454817346722"/>
      </left>
      <right/>
      <top/>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1454817346722"/>
      </left>
      <right style="thin">
        <color theme="3" tint="0.39991454817346722"/>
      </right>
      <top/>
      <bottom/>
      <diagonal/>
    </border>
    <border>
      <left style="thin">
        <color theme="3" tint="0.39994506668294322"/>
      </left>
      <right/>
      <top style="thin">
        <color theme="3" tint="0.39994506668294322"/>
      </top>
      <bottom/>
      <diagonal/>
    </border>
    <border>
      <left/>
      <right/>
      <top style="thin">
        <color theme="3" tint="0.39994506668294322"/>
      </top>
      <bottom/>
      <diagonal/>
    </border>
    <border>
      <left style="thin">
        <color theme="3" tint="0.39994506668294322"/>
      </left>
      <right/>
      <top/>
      <bottom/>
      <diagonal/>
    </border>
    <border>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right/>
      <top/>
      <bottom style="thin">
        <color theme="3" tint="0.39994506668294322"/>
      </bottom>
      <diagonal/>
    </border>
    <border>
      <left style="thin">
        <color theme="3" tint="0.39994506668294322"/>
      </left>
      <right style="thin">
        <color theme="3" tint="0.39994506668294322"/>
      </right>
      <top/>
      <bottom style="thin">
        <color theme="3" tint="0.39991454817346722"/>
      </bottom>
      <diagonal/>
    </border>
    <border>
      <left/>
      <right style="thin">
        <color theme="3" tint="0.39994506668294322"/>
      </right>
      <top style="thin">
        <color theme="3" tint="0.39994506668294322"/>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3" tint="0.39991454817346722"/>
      </left>
      <right style="thin">
        <color theme="3" tint="0.39991454817346722"/>
      </right>
      <top/>
      <bottom style="thin">
        <color theme="4"/>
      </bottom>
      <diagonal/>
    </border>
    <border>
      <left style="thin">
        <color theme="4"/>
      </left>
      <right style="thin">
        <color theme="4"/>
      </right>
      <top style="thin">
        <color theme="4"/>
      </top>
      <bottom style="thin">
        <color theme="4"/>
      </bottom>
      <diagonal/>
    </border>
    <border>
      <left style="thin">
        <color theme="3" tint="0.39991454817346722"/>
      </left>
      <right/>
      <top/>
      <bottom style="thin">
        <color theme="3" tint="0.39991454817346722"/>
      </bottom>
      <diagonal/>
    </border>
    <border>
      <left style="thin">
        <color theme="3" tint="0.39994506668294322"/>
      </left>
      <right style="thin">
        <color theme="3" tint="0.39994506668294322"/>
      </right>
      <top/>
      <bottom style="thin">
        <color theme="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theme="4"/>
      </right>
      <top/>
      <bottom/>
      <diagonal/>
    </border>
    <border>
      <left style="thin">
        <color theme="4"/>
      </left>
      <right style="thin">
        <color theme="4"/>
      </right>
      <top/>
      <bottom/>
      <diagonal/>
    </border>
    <border>
      <left style="thin">
        <color theme="4"/>
      </left>
      <right/>
      <top/>
      <bottom/>
      <diagonal/>
    </border>
    <border>
      <left style="thin">
        <color rgb="FF000000"/>
      </left>
      <right style="thin">
        <color rgb="FF000000"/>
      </right>
      <top style="thin">
        <color rgb="FF000000"/>
      </top>
      <bottom style="thin">
        <color rgb="FF000000"/>
      </bottom>
      <diagonal/>
    </border>
  </borders>
  <cellStyleXfs count="21">
    <xf numFmtId="0" fontId="0" fillId="0" borderId="0"/>
    <xf numFmtId="43" fontId="6" fillId="0" borderId="0" applyFont="0" applyFill="0" applyBorder="0" applyAlignment="0" applyProtection="0"/>
    <xf numFmtId="0" fontId="6" fillId="0" borderId="0"/>
    <xf numFmtId="0" fontId="6" fillId="0" borderId="0"/>
    <xf numFmtId="0" fontId="4" fillId="0" borderId="0"/>
    <xf numFmtId="43" fontId="4" fillId="0" borderId="0" applyFont="0" applyFill="0" applyBorder="0" applyAlignment="0" applyProtection="0"/>
    <xf numFmtId="0" fontId="2" fillId="0" borderId="0"/>
    <xf numFmtId="43" fontId="45"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9" fontId="53" fillId="0" borderId="0" applyFont="0" applyFill="0" applyBorder="0" applyAlignment="0" applyProtection="0"/>
  </cellStyleXfs>
  <cellXfs count="496">
    <xf numFmtId="0" fontId="0" fillId="0" borderId="0" xfId="0"/>
    <xf numFmtId="0" fontId="4" fillId="0" borderId="0" xfId="4"/>
    <xf numFmtId="0" fontId="7" fillId="0" borderId="0" xfId="4" applyFont="1"/>
    <xf numFmtId="0" fontId="8" fillId="3" borderId="0" xfId="0" applyFont="1" applyFill="1"/>
    <xf numFmtId="0" fontId="9" fillId="4" borderId="4" xfId="0" applyFont="1" applyFill="1" applyBorder="1" applyAlignment="1">
      <alignment horizontal="left"/>
    </xf>
    <xf numFmtId="0" fontId="9" fillId="4" borderId="0" xfId="0" applyFont="1" applyFill="1" applyAlignment="1">
      <alignment horizontal="center"/>
    </xf>
    <xf numFmtId="0" fontId="9" fillId="5" borderId="5" xfId="0" applyFont="1" applyFill="1" applyBorder="1" applyAlignment="1">
      <alignment horizontal="center" vertical="center" wrapText="1"/>
    </xf>
    <xf numFmtId="0" fontId="9" fillId="6" borderId="7" xfId="0" applyFont="1" applyFill="1" applyBorder="1"/>
    <xf numFmtId="0" fontId="10" fillId="6" borderId="7" xfId="0" applyFont="1" applyFill="1" applyBorder="1"/>
    <xf numFmtId="0" fontId="10" fillId="2" borderId="7" xfId="0" applyFont="1" applyFill="1" applyBorder="1"/>
    <xf numFmtId="0" fontId="10" fillId="2" borderId="7" xfId="0" applyFont="1" applyFill="1" applyBorder="1" applyAlignment="1">
      <alignment horizontal="left"/>
    </xf>
    <xf numFmtId="0" fontId="9" fillId="7" borderId="8" xfId="0" applyFont="1" applyFill="1" applyBorder="1"/>
    <xf numFmtId="0" fontId="10" fillId="7" borderId="8" xfId="0" applyFont="1" applyFill="1" applyBorder="1"/>
    <xf numFmtId="0" fontId="9" fillId="8" borderId="8" xfId="0" applyFont="1" applyFill="1" applyBorder="1" applyAlignment="1" applyProtection="1">
      <alignment horizontal="right" vertical="center"/>
      <protection locked="0"/>
    </xf>
    <xf numFmtId="0" fontId="10" fillId="0" borderId="0" xfId="0" applyFont="1"/>
    <xf numFmtId="0" fontId="9" fillId="4" borderId="11" xfId="0" applyFont="1" applyFill="1" applyBorder="1" applyAlignment="1">
      <alignment horizontal="left"/>
    </xf>
    <xf numFmtId="0" fontId="10" fillId="10" borderId="0" xfId="0" applyFont="1" applyFill="1" applyProtection="1">
      <protection locked="0"/>
    </xf>
    <xf numFmtId="0" fontId="6" fillId="0" borderId="0" xfId="2"/>
    <xf numFmtId="0" fontId="9" fillId="10" borderId="11" xfId="0" applyFont="1" applyFill="1" applyBorder="1" applyProtection="1">
      <protection locked="0"/>
    </xf>
    <xf numFmtId="0" fontId="9" fillId="10" borderId="0" xfId="0" applyFont="1" applyFill="1" applyProtection="1">
      <protection locked="0"/>
    </xf>
    <xf numFmtId="0" fontId="13" fillId="12" borderId="0" xfId="0" applyFont="1" applyFill="1" applyProtection="1">
      <protection locked="0"/>
    </xf>
    <xf numFmtId="0" fontId="14" fillId="5" borderId="5" xfId="0" applyFont="1" applyFill="1" applyBorder="1" applyAlignment="1">
      <alignment horizontal="center" vertical="center" wrapText="1"/>
    </xf>
    <xf numFmtId="0" fontId="15" fillId="12" borderId="11" xfId="0" applyFont="1" applyFill="1" applyBorder="1" applyAlignment="1" applyProtection="1">
      <alignment horizontal="left"/>
      <protection locked="0"/>
    </xf>
    <xf numFmtId="0" fontId="16" fillId="12" borderId="0" xfId="0" applyFont="1" applyFill="1"/>
    <xf numFmtId="0" fontId="16" fillId="12" borderId="12" xfId="0" applyFont="1" applyFill="1" applyBorder="1"/>
    <xf numFmtId="0" fontId="13" fillId="12" borderId="11" xfId="0" applyFont="1" applyFill="1" applyBorder="1" applyProtection="1">
      <protection locked="0"/>
    </xf>
    <xf numFmtId="0" fontId="13" fillId="12" borderId="12" xfId="0" applyFont="1" applyFill="1" applyBorder="1" applyProtection="1">
      <protection locked="0"/>
    </xf>
    <xf numFmtId="164" fontId="18" fillId="9" borderId="7" xfId="1" applyNumberFormat="1" applyFont="1" applyFill="1" applyBorder="1" applyAlignment="1" applyProtection="1">
      <alignment vertical="top"/>
      <protection locked="0"/>
    </xf>
    <xf numFmtId="164" fontId="17" fillId="9" borderId="7" xfId="1" applyNumberFormat="1" applyFont="1" applyFill="1" applyBorder="1" applyAlignment="1" applyProtection="1">
      <alignment vertical="top"/>
      <protection locked="0"/>
    </xf>
    <xf numFmtId="164" fontId="17" fillId="9" borderId="7" xfId="1" applyNumberFormat="1" applyFont="1" applyFill="1" applyBorder="1" applyAlignment="1" applyProtection="1">
      <alignment vertical="top"/>
    </xf>
    <xf numFmtId="164" fontId="17" fillId="9" borderId="7" xfId="1" applyNumberFormat="1" applyFont="1" applyFill="1" applyBorder="1" applyAlignment="1" applyProtection="1">
      <alignment vertical="top"/>
      <protection hidden="1"/>
    </xf>
    <xf numFmtId="164" fontId="17" fillId="13" borderId="6" xfId="1" applyNumberFormat="1" applyFont="1" applyFill="1" applyBorder="1" applyAlignment="1" applyProtection="1">
      <alignment vertical="top"/>
      <protection hidden="1"/>
    </xf>
    <xf numFmtId="164" fontId="17" fillId="14" borderId="7" xfId="1" applyNumberFormat="1" applyFont="1" applyFill="1" applyBorder="1" applyAlignment="1" applyProtection="1">
      <alignment vertical="top"/>
      <protection hidden="1"/>
    </xf>
    <xf numFmtId="164" fontId="17" fillId="15" borderId="7" xfId="1" applyNumberFormat="1" applyFont="1" applyFill="1" applyBorder="1" applyAlignment="1" applyProtection="1">
      <alignment vertical="top"/>
      <protection hidden="1"/>
    </xf>
    <xf numFmtId="0" fontId="13" fillId="11" borderId="11" xfId="0" applyFont="1" applyFill="1" applyBorder="1" applyAlignment="1">
      <alignment horizontal="left"/>
    </xf>
    <xf numFmtId="0" fontId="8" fillId="11" borderId="0" xfId="0" applyFont="1" applyFill="1"/>
    <xf numFmtId="0" fontId="5" fillId="11" borderId="0" xfId="0" applyFont="1" applyFill="1"/>
    <xf numFmtId="0" fontId="5" fillId="11" borderId="0" xfId="4" applyFont="1" applyFill="1"/>
    <xf numFmtId="4" fontId="13" fillId="11" borderId="1" xfId="0" applyNumberFormat="1" applyFont="1" applyFill="1" applyBorder="1"/>
    <xf numFmtId="4" fontId="8" fillId="11" borderId="0" xfId="0" applyNumberFormat="1" applyFont="1" applyFill="1" applyProtection="1">
      <protection locked="0"/>
    </xf>
    <xf numFmtId="0" fontId="4" fillId="11" borderId="12" xfId="4" applyFill="1" applyBorder="1"/>
    <xf numFmtId="4" fontId="8" fillId="3" borderId="0" xfId="0" applyNumberFormat="1" applyFont="1" applyFill="1" applyProtection="1">
      <protection locked="0"/>
    </xf>
    <xf numFmtId="0" fontId="8" fillId="3" borderId="11" xfId="0" applyFont="1" applyFill="1" applyBorder="1" applyAlignment="1">
      <alignment horizontal="left"/>
    </xf>
    <xf numFmtId="0" fontId="5" fillId="3" borderId="0" xfId="0" applyFont="1" applyFill="1"/>
    <xf numFmtId="0" fontId="5" fillId="3" borderId="0" xfId="4" applyFont="1" applyFill="1"/>
    <xf numFmtId="0" fontId="4" fillId="3" borderId="12" xfId="4" applyFill="1" applyBorder="1"/>
    <xf numFmtId="0" fontId="8" fillId="3" borderId="11" xfId="2" applyFont="1" applyFill="1" applyBorder="1" applyAlignment="1">
      <alignment horizontal="left" indent="2"/>
    </xf>
    <xf numFmtId="0" fontId="19" fillId="9" borderId="15" xfId="2" applyFont="1" applyFill="1" applyBorder="1" applyAlignment="1">
      <alignment vertical="top"/>
    </xf>
    <xf numFmtId="0" fontId="18" fillId="9" borderId="15" xfId="2" applyFont="1" applyFill="1" applyBorder="1" applyAlignment="1">
      <alignment horizontal="center" vertical="top"/>
    </xf>
    <xf numFmtId="0" fontId="18" fillId="9" borderId="15" xfId="0" applyFont="1" applyFill="1" applyBorder="1" applyAlignment="1">
      <alignment vertical="top" wrapText="1"/>
    </xf>
    <xf numFmtId="0" fontId="19" fillId="9" borderId="15" xfId="0" applyFont="1" applyFill="1" applyBorder="1" applyProtection="1">
      <protection locked="0"/>
    </xf>
    <xf numFmtId="0" fontId="9" fillId="10" borderId="4" xfId="0" applyFont="1" applyFill="1" applyBorder="1" applyProtection="1">
      <protection locked="0"/>
    </xf>
    <xf numFmtId="0" fontId="0" fillId="9" borderId="0" xfId="0" applyFill="1"/>
    <xf numFmtId="0" fontId="24" fillId="9" borderId="0" xfId="0" applyFont="1" applyFill="1"/>
    <xf numFmtId="0" fontId="25" fillId="9" borderId="0" xfId="0" applyFont="1" applyFill="1"/>
    <xf numFmtId="4" fontId="8" fillId="3" borderId="0" xfId="0" applyNumberFormat="1" applyFont="1" applyFill="1"/>
    <xf numFmtId="4" fontId="8" fillId="3" borderId="2" xfId="0" applyNumberFormat="1" applyFont="1" applyFill="1" applyBorder="1"/>
    <xf numFmtId="0" fontId="6" fillId="9" borderId="0" xfId="2" applyFill="1" applyProtection="1">
      <protection locked="0"/>
    </xf>
    <xf numFmtId="0" fontId="6" fillId="9" borderId="0" xfId="2" applyFill="1"/>
    <xf numFmtId="0" fontId="4" fillId="9" borderId="0" xfId="4" applyFill="1"/>
    <xf numFmtId="0" fontId="7" fillId="9" borderId="0" xfId="4" applyFont="1" applyFill="1"/>
    <xf numFmtId="0" fontId="9" fillId="8" borderId="19" xfId="0" applyFont="1" applyFill="1" applyBorder="1" applyAlignment="1" applyProtection="1">
      <alignment horizontal="center" vertical="center" wrapText="1"/>
      <protection locked="0"/>
    </xf>
    <xf numFmtId="0" fontId="10" fillId="2" borderId="7" xfId="0" applyFont="1" applyFill="1" applyBorder="1" applyAlignment="1">
      <alignment horizontal="center"/>
    </xf>
    <xf numFmtId="3" fontId="9" fillId="6" borderId="7" xfId="0" applyNumberFormat="1" applyFont="1" applyFill="1" applyBorder="1" applyAlignment="1">
      <alignment horizontal="center"/>
    </xf>
    <xf numFmtId="3" fontId="9" fillId="6" borderId="0" xfId="0" applyNumberFormat="1" applyFont="1" applyFill="1" applyAlignment="1">
      <alignment horizontal="center"/>
    </xf>
    <xf numFmtId="0" fontId="9" fillId="6" borderId="7" xfId="0" applyFont="1" applyFill="1" applyBorder="1" applyAlignment="1">
      <alignment horizontal="center"/>
    </xf>
    <xf numFmtId="3" fontId="10" fillId="2" borderId="7" xfId="0" applyNumberFormat="1" applyFont="1" applyFill="1" applyBorder="1" applyAlignment="1" applyProtection="1">
      <alignment horizontal="center"/>
      <protection locked="0"/>
    </xf>
    <xf numFmtId="3" fontId="10" fillId="2" borderId="7" xfId="0" applyNumberFormat="1" applyFont="1" applyFill="1" applyBorder="1" applyAlignment="1">
      <alignment horizontal="center"/>
    </xf>
    <xf numFmtId="3" fontId="10" fillId="2" borderId="22" xfId="0" applyNumberFormat="1" applyFont="1" applyFill="1" applyBorder="1" applyAlignment="1" applyProtection="1">
      <alignment horizontal="center"/>
      <protection locked="0"/>
    </xf>
    <xf numFmtId="0" fontId="9" fillId="9" borderId="20" xfId="0" applyFont="1" applyFill="1" applyBorder="1" applyAlignment="1" applyProtection="1">
      <alignment horizontal="center"/>
      <protection locked="0"/>
    </xf>
    <xf numFmtId="0" fontId="10" fillId="9" borderId="4" xfId="0" applyFont="1" applyFill="1" applyBorder="1" applyAlignment="1">
      <alignment horizontal="right"/>
    </xf>
    <xf numFmtId="0" fontId="10" fillId="9" borderId="21" xfId="0" applyFont="1" applyFill="1" applyBorder="1" applyAlignment="1">
      <alignment horizontal="right"/>
    </xf>
    <xf numFmtId="0" fontId="10" fillId="2" borderId="7" xfId="0" applyFont="1" applyFill="1" applyBorder="1" applyProtection="1">
      <protection locked="0"/>
    </xf>
    <xf numFmtId="0" fontId="10" fillId="2" borderId="7" xfId="0" applyFont="1" applyFill="1" applyBorder="1" applyAlignment="1" applyProtection="1">
      <alignment horizontal="center"/>
      <protection locked="0"/>
    </xf>
    <xf numFmtId="0" fontId="17" fillId="0" borderId="0" xfId="0" applyFont="1"/>
    <xf numFmtId="0" fontId="29" fillId="0" borderId="0" xfId="0" applyFont="1"/>
    <xf numFmtId="0" fontId="30" fillId="0" borderId="0" xfId="0" applyFont="1"/>
    <xf numFmtId="0" fontId="9" fillId="0" borderId="0" xfId="0" applyFont="1"/>
    <xf numFmtId="0" fontId="9" fillId="0" borderId="0" xfId="0" applyFont="1" applyProtection="1">
      <protection locked="0"/>
    </xf>
    <xf numFmtId="0" fontId="9" fillId="0" borderId="0" xfId="0" applyFont="1" applyAlignment="1">
      <alignment horizontal="left" indent="15"/>
    </xf>
    <xf numFmtId="49" fontId="31" fillId="17" borderId="18" xfId="4" applyNumberFormat="1" applyFont="1" applyFill="1" applyBorder="1" applyAlignment="1">
      <alignment horizontal="left" vertical="center" wrapText="1"/>
    </xf>
    <xf numFmtId="49" fontId="31" fillId="17" borderId="18" xfId="4" applyNumberFormat="1" applyFont="1" applyFill="1" applyBorder="1" applyAlignment="1">
      <alignment horizontal="center" vertical="center" wrapText="1"/>
    </xf>
    <xf numFmtId="49" fontId="31" fillId="17" borderId="17" xfId="4" applyNumberFormat="1" applyFont="1" applyFill="1" applyBorder="1" applyAlignment="1">
      <alignment horizontal="center" vertical="center" wrapText="1"/>
    </xf>
    <xf numFmtId="0" fontId="32" fillId="0" borderId="18" xfId="4" applyFont="1" applyBorder="1" applyAlignment="1">
      <alignment horizontal="center" vertical="center" wrapText="1"/>
    </xf>
    <xf numFmtId="0" fontId="4" fillId="0" borderId="0" xfId="4" applyAlignment="1">
      <alignment horizontal="center" vertical="center" wrapText="1"/>
    </xf>
    <xf numFmtId="15" fontId="33" fillId="0" borderId="18" xfId="4" applyNumberFormat="1" applyFont="1" applyBorder="1" applyAlignment="1">
      <alignment horizontal="left" vertical="center" wrapText="1"/>
    </xf>
    <xf numFmtId="49" fontId="33" fillId="0" borderId="18" xfId="4" applyNumberFormat="1" applyFont="1" applyBorder="1" applyAlignment="1">
      <alignment horizontal="left" vertical="center" wrapText="1"/>
    </xf>
    <xf numFmtId="49" fontId="33" fillId="0" borderId="18" xfId="4" applyNumberFormat="1" applyFont="1" applyBorder="1" applyAlignment="1">
      <alignment horizontal="center" vertical="center" wrapText="1"/>
    </xf>
    <xf numFmtId="43" fontId="33" fillId="0" borderId="17" xfId="5" applyFont="1" applyBorder="1" applyAlignment="1">
      <alignment horizontal="right" vertical="center" wrapText="1"/>
    </xf>
    <xf numFmtId="0" fontId="32" fillId="0" borderId="18" xfId="4" applyFont="1" applyBorder="1" applyAlignment="1">
      <alignment horizontal="left" vertical="center" wrapText="1"/>
    </xf>
    <xf numFmtId="0" fontId="4" fillId="0" borderId="0" xfId="4" applyAlignment="1">
      <alignment vertical="center" wrapText="1"/>
    </xf>
    <xf numFmtId="49" fontId="33" fillId="18" borderId="18" xfId="4" applyNumberFormat="1" applyFont="1" applyFill="1" applyBorder="1" applyAlignment="1">
      <alignment horizontal="left" vertical="center" wrapText="1"/>
    </xf>
    <xf numFmtId="49" fontId="33" fillId="18" borderId="18" xfId="4" applyNumberFormat="1" applyFont="1" applyFill="1" applyBorder="1" applyAlignment="1">
      <alignment horizontal="center" vertical="center" wrapText="1"/>
    </xf>
    <xf numFmtId="43" fontId="33" fillId="18" borderId="17" xfId="5" applyFont="1" applyFill="1" applyBorder="1" applyAlignment="1">
      <alignment horizontal="right" vertical="center" wrapText="1"/>
    </xf>
    <xf numFmtId="0" fontId="32" fillId="18" borderId="18" xfId="4" applyFont="1" applyFill="1" applyBorder="1" applyAlignment="1">
      <alignment vertical="center" wrapText="1"/>
    </xf>
    <xf numFmtId="15" fontId="33" fillId="19" borderId="18" xfId="4" applyNumberFormat="1" applyFont="1" applyFill="1" applyBorder="1" applyAlignment="1">
      <alignment horizontal="left" vertical="center" wrapText="1"/>
    </xf>
    <xf numFmtId="49" fontId="33" fillId="19" borderId="18" xfId="4" applyNumberFormat="1" applyFont="1" applyFill="1" applyBorder="1" applyAlignment="1">
      <alignment horizontal="left" vertical="center" wrapText="1"/>
    </xf>
    <xf numFmtId="49" fontId="33" fillId="19" borderId="18" xfId="4" applyNumberFormat="1" applyFont="1" applyFill="1" applyBorder="1" applyAlignment="1">
      <alignment horizontal="center" vertical="center" wrapText="1"/>
    </xf>
    <xf numFmtId="43" fontId="33" fillId="19" borderId="17" xfId="5" applyFont="1" applyFill="1" applyBorder="1" applyAlignment="1">
      <alignment horizontal="right" vertical="center" wrapText="1"/>
    </xf>
    <xf numFmtId="0" fontId="32" fillId="19" borderId="18" xfId="4" applyFont="1" applyFill="1" applyBorder="1" applyAlignment="1">
      <alignment vertical="center" wrapText="1"/>
    </xf>
    <xf numFmtId="15" fontId="33" fillId="13" borderId="18" xfId="4" applyNumberFormat="1" applyFont="1" applyFill="1" applyBorder="1" applyAlignment="1">
      <alignment horizontal="left" vertical="center" wrapText="1"/>
    </xf>
    <xf numFmtId="49" fontId="33" fillId="13" borderId="18" xfId="4" applyNumberFormat="1" applyFont="1" applyFill="1" applyBorder="1" applyAlignment="1">
      <alignment horizontal="left" vertical="center" wrapText="1"/>
    </xf>
    <xf numFmtId="49" fontId="33" fillId="13" borderId="18" xfId="4" applyNumberFormat="1" applyFont="1" applyFill="1" applyBorder="1" applyAlignment="1">
      <alignment horizontal="center" vertical="center" wrapText="1"/>
    </xf>
    <xf numFmtId="43" fontId="33" fillId="13" borderId="17" xfId="5" applyFont="1" applyFill="1" applyBorder="1" applyAlignment="1">
      <alignment horizontal="right" vertical="center" wrapText="1"/>
    </xf>
    <xf numFmtId="0" fontId="32" fillId="13" borderId="18" xfId="4" applyFont="1" applyFill="1" applyBorder="1" applyAlignment="1">
      <alignment horizontal="left" vertical="center" wrapText="1"/>
    </xf>
    <xf numFmtId="15" fontId="33" fillId="20" borderId="18" xfId="4" applyNumberFormat="1" applyFont="1" applyFill="1" applyBorder="1" applyAlignment="1">
      <alignment horizontal="left" vertical="center" wrapText="1"/>
    </xf>
    <xf numFmtId="49" fontId="33" fillId="20" borderId="18" xfId="4" applyNumberFormat="1" applyFont="1" applyFill="1" applyBorder="1" applyAlignment="1">
      <alignment horizontal="left" vertical="center" wrapText="1"/>
    </xf>
    <xf numFmtId="49" fontId="33" fillId="20" borderId="18" xfId="4" applyNumberFormat="1" applyFont="1" applyFill="1" applyBorder="1" applyAlignment="1">
      <alignment horizontal="center" vertical="center" wrapText="1"/>
    </xf>
    <xf numFmtId="43" fontId="33" fillId="20" borderId="17" xfId="5" applyFont="1" applyFill="1" applyBorder="1" applyAlignment="1">
      <alignment horizontal="right" vertical="center" wrapText="1"/>
    </xf>
    <xf numFmtId="0" fontId="32" fillId="20" borderId="18" xfId="4" applyFont="1" applyFill="1" applyBorder="1" applyAlignment="1">
      <alignment vertical="center" wrapText="1"/>
    </xf>
    <xf numFmtId="15" fontId="33" fillId="21" borderId="18" xfId="4" applyNumberFormat="1" applyFont="1" applyFill="1" applyBorder="1" applyAlignment="1">
      <alignment horizontal="left" vertical="center" wrapText="1"/>
    </xf>
    <xf numFmtId="49" fontId="33" fillId="21" borderId="18" xfId="4" applyNumberFormat="1" applyFont="1" applyFill="1" applyBorder="1" applyAlignment="1">
      <alignment horizontal="left" vertical="center" wrapText="1"/>
    </xf>
    <xf numFmtId="49" fontId="33" fillId="21" borderId="18" xfId="4" applyNumberFormat="1" applyFont="1" applyFill="1" applyBorder="1" applyAlignment="1">
      <alignment horizontal="center" vertical="center" wrapText="1"/>
    </xf>
    <xf numFmtId="43" fontId="33" fillId="21" borderId="17" xfId="5" applyFont="1" applyFill="1" applyBorder="1" applyAlignment="1">
      <alignment horizontal="right" vertical="center" wrapText="1"/>
    </xf>
    <xf numFmtId="0" fontId="32" fillId="21" borderId="18" xfId="4" applyFont="1" applyFill="1" applyBorder="1" applyAlignment="1">
      <alignment horizontal="left" vertical="center" wrapText="1"/>
    </xf>
    <xf numFmtId="15" fontId="33" fillId="22" borderId="18" xfId="4" applyNumberFormat="1" applyFont="1" applyFill="1" applyBorder="1" applyAlignment="1">
      <alignment horizontal="left" vertical="center" wrapText="1"/>
    </xf>
    <xf numFmtId="49" fontId="33" fillId="22" borderId="18" xfId="4" applyNumberFormat="1" applyFont="1" applyFill="1" applyBorder="1" applyAlignment="1">
      <alignment horizontal="left" vertical="center" wrapText="1"/>
    </xf>
    <xf numFmtId="49" fontId="33" fillId="22" borderId="18" xfId="4" applyNumberFormat="1" applyFont="1" applyFill="1" applyBorder="1" applyAlignment="1">
      <alignment horizontal="center" vertical="center" wrapText="1"/>
    </xf>
    <xf numFmtId="43" fontId="33" fillId="22" borderId="17" xfId="5" applyFont="1" applyFill="1" applyBorder="1" applyAlignment="1">
      <alignment horizontal="right" vertical="center" wrapText="1"/>
    </xf>
    <xf numFmtId="0" fontId="32" fillId="22" borderId="18" xfId="4" applyFont="1" applyFill="1" applyBorder="1" applyAlignment="1">
      <alignment horizontal="left" vertical="center" wrapText="1"/>
    </xf>
    <xf numFmtId="15" fontId="33" fillId="23" borderId="18" xfId="4" applyNumberFormat="1" applyFont="1" applyFill="1" applyBorder="1" applyAlignment="1">
      <alignment horizontal="left" vertical="center" wrapText="1"/>
    </xf>
    <xf numFmtId="49" fontId="33" fillId="23" borderId="18" xfId="4" applyNumberFormat="1" applyFont="1" applyFill="1" applyBorder="1" applyAlignment="1">
      <alignment horizontal="left" vertical="center" wrapText="1"/>
    </xf>
    <xf numFmtId="49" fontId="33" fillId="23" borderId="18" xfId="4" applyNumberFormat="1" applyFont="1" applyFill="1" applyBorder="1" applyAlignment="1">
      <alignment horizontal="center" vertical="center" wrapText="1"/>
    </xf>
    <xf numFmtId="43" fontId="33" fillId="23" borderId="17" xfId="5" applyFont="1" applyFill="1" applyBorder="1" applyAlignment="1">
      <alignment horizontal="right" vertical="center" wrapText="1"/>
    </xf>
    <xf numFmtId="0" fontId="32" fillId="23" borderId="18" xfId="4" applyFont="1" applyFill="1" applyBorder="1" applyAlignment="1">
      <alignment horizontal="left" vertical="center" wrapText="1"/>
    </xf>
    <xf numFmtId="0" fontId="32" fillId="0" borderId="18" xfId="4" applyFont="1" applyBorder="1" applyAlignment="1">
      <alignment vertical="center" wrapText="1"/>
    </xf>
    <xf numFmtId="15" fontId="33" fillId="24" borderId="18" xfId="4" applyNumberFormat="1" applyFont="1" applyFill="1" applyBorder="1" applyAlignment="1">
      <alignment horizontal="left" vertical="center" wrapText="1"/>
    </xf>
    <xf numFmtId="49" fontId="33" fillId="24" borderId="18" xfId="4" applyNumberFormat="1" applyFont="1" applyFill="1" applyBorder="1" applyAlignment="1">
      <alignment horizontal="left" vertical="center" wrapText="1"/>
    </xf>
    <xf numFmtId="49" fontId="33" fillId="24" borderId="18" xfId="4" applyNumberFormat="1" applyFont="1" applyFill="1" applyBorder="1" applyAlignment="1">
      <alignment horizontal="center" vertical="center" wrapText="1"/>
    </xf>
    <xf numFmtId="43" fontId="33" fillId="24" borderId="17" xfId="5" applyFont="1" applyFill="1" applyBorder="1" applyAlignment="1">
      <alignment horizontal="right" vertical="center" wrapText="1"/>
    </xf>
    <xf numFmtId="0" fontId="32" fillId="24" borderId="18" xfId="4" applyFont="1" applyFill="1" applyBorder="1" applyAlignment="1">
      <alignment vertical="center" wrapText="1"/>
    </xf>
    <xf numFmtId="0" fontId="32" fillId="24" borderId="18" xfId="4" applyFont="1" applyFill="1" applyBorder="1" applyAlignment="1">
      <alignment horizontal="left" vertical="center" wrapText="1"/>
    </xf>
    <xf numFmtId="0" fontId="32" fillId="0" borderId="18" xfId="4" applyFont="1" applyBorder="1"/>
    <xf numFmtId="15" fontId="33" fillId="25" borderId="18" xfId="4" applyNumberFormat="1" applyFont="1" applyFill="1" applyBorder="1" applyAlignment="1">
      <alignment horizontal="left" vertical="center" wrapText="1"/>
    </xf>
    <xf numFmtId="49" fontId="33" fillId="25" borderId="18" xfId="4" applyNumberFormat="1" applyFont="1" applyFill="1" applyBorder="1" applyAlignment="1">
      <alignment horizontal="left" vertical="center" wrapText="1"/>
    </xf>
    <xf numFmtId="49" fontId="33" fillId="25" borderId="18" xfId="4" applyNumberFormat="1" applyFont="1" applyFill="1" applyBorder="1" applyAlignment="1">
      <alignment horizontal="center" vertical="center" wrapText="1"/>
    </xf>
    <xf numFmtId="43" fontId="33" fillId="25" borderId="17" xfId="5" applyFont="1" applyFill="1" applyBorder="1" applyAlignment="1">
      <alignment horizontal="right" vertical="center" wrapText="1"/>
    </xf>
    <xf numFmtId="0" fontId="32" fillId="25" borderId="18" xfId="4" applyFont="1" applyFill="1" applyBorder="1" applyAlignment="1">
      <alignment vertical="center" wrapText="1"/>
    </xf>
    <xf numFmtId="49" fontId="33" fillId="26" borderId="18" xfId="4" applyNumberFormat="1" applyFont="1" applyFill="1" applyBorder="1" applyAlignment="1">
      <alignment horizontal="left" vertical="center" wrapText="1"/>
    </xf>
    <xf numFmtId="49" fontId="33" fillId="26" borderId="18" xfId="4" applyNumberFormat="1" applyFont="1" applyFill="1" applyBorder="1" applyAlignment="1">
      <alignment horizontal="center" vertical="center" wrapText="1"/>
    </xf>
    <xf numFmtId="43" fontId="33" fillId="26" borderId="17" xfId="5" applyFont="1" applyFill="1" applyBorder="1" applyAlignment="1">
      <alignment horizontal="right" vertical="center" wrapText="1"/>
    </xf>
    <xf numFmtId="0" fontId="32" fillId="26" borderId="18" xfId="4" applyFont="1" applyFill="1" applyBorder="1" applyAlignment="1">
      <alignment horizontal="left" vertical="center" wrapText="1"/>
    </xf>
    <xf numFmtId="15" fontId="33" fillId="27" borderId="18" xfId="4" applyNumberFormat="1" applyFont="1" applyFill="1" applyBorder="1" applyAlignment="1">
      <alignment horizontal="left" vertical="center" wrapText="1"/>
    </xf>
    <xf numFmtId="49" fontId="33" fillId="27" borderId="18" xfId="4" applyNumberFormat="1" applyFont="1" applyFill="1" applyBorder="1" applyAlignment="1">
      <alignment horizontal="left" vertical="center" wrapText="1"/>
    </xf>
    <xf numFmtId="49" fontId="33" fillId="27" borderId="18" xfId="4" applyNumberFormat="1" applyFont="1" applyFill="1" applyBorder="1" applyAlignment="1">
      <alignment horizontal="center" vertical="center" wrapText="1"/>
    </xf>
    <xf numFmtId="43" fontId="33" fillId="27" borderId="17" xfId="5" applyFont="1" applyFill="1" applyBorder="1" applyAlignment="1">
      <alignment horizontal="right" vertical="center" wrapText="1"/>
    </xf>
    <xf numFmtId="0" fontId="32" fillId="27" borderId="18" xfId="4" applyFont="1" applyFill="1" applyBorder="1" applyAlignment="1">
      <alignment horizontal="left" vertical="center" wrapText="1"/>
    </xf>
    <xf numFmtId="15" fontId="33" fillId="27" borderId="18" xfId="4" applyNumberFormat="1" applyFont="1" applyFill="1" applyBorder="1" applyAlignment="1">
      <alignment horizontal="center" vertical="center" wrapText="1"/>
    </xf>
    <xf numFmtId="49" fontId="33" fillId="28" borderId="18" xfId="4" applyNumberFormat="1" applyFont="1" applyFill="1" applyBorder="1" applyAlignment="1">
      <alignment horizontal="left" vertical="center" wrapText="1"/>
    </xf>
    <xf numFmtId="49" fontId="33" fillId="28" borderId="18" xfId="4" applyNumberFormat="1" applyFont="1" applyFill="1" applyBorder="1" applyAlignment="1">
      <alignment horizontal="center" vertical="center" wrapText="1"/>
    </xf>
    <xf numFmtId="43" fontId="33" fillId="28" borderId="17" xfId="5" applyFont="1" applyFill="1" applyBorder="1" applyAlignment="1">
      <alignment horizontal="right" vertical="center" wrapText="1"/>
    </xf>
    <xf numFmtId="0" fontId="32" fillId="28" borderId="18" xfId="4" applyFont="1" applyFill="1" applyBorder="1" applyAlignment="1">
      <alignment horizontal="left" vertical="center" wrapText="1"/>
    </xf>
    <xf numFmtId="15" fontId="33" fillId="29" borderId="18" xfId="4" applyNumberFormat="1" applyFont="1" applyFill="1" applyBorder="1" applyAlignment="1">
      <alignment horizontal="left" vertical="center" wrapText="1"/>
    </xf>
    <xf numFmtId="49" fontId="33" fillId="29" borderId="18" xfId="4" applyNumberFormat="1" applyFont="1" applyFill="1" applyBorder="1" applyAlignment="1">
      <alignment horizontal="left" vertical="center" wrapText="1"/>
    </xf>
    <xf numFmtId="49" fontId="33" fillId="29" borderId="18" xfId="4" applyNumberFormat="1" applyFont="1" applyFill="1" applyBorder="1" applyAlignment="1">
      <alignment horizontal="center" vertical="center" wrapText="1"/>
    </xf>
    <xf numFmtId="43" fontId="33" fillId="29" borderId="17" xfId="5" applyFont="1" applyFill="1" applyBorder="1" applyAlignment="1">
      <alignment horizontal="right" vertical="center" wrapText="1"/>
    </xf>
    <xf numFmtId="0" fontId="32" fillId="29" borderId="18" xfId="4" applyFont="1" applyFill="1" applyBorder="1" applyAlignment="1">
      <alignment horizontal="left" vertical="center" wrapText="1"/>
    </xf>
    <xf numFmtId="15" fontId="33" fillId="30" borderId="18" xfId="4" applyNumberFormat="1" applyFont="1" applyFill="1" applyBorder="1" applyAlignment="1">
      <alignment horizontal="left" vertical="center" wrapText="1"/>
    </xf>
    <xf numFmtId="49" fontId="33" fillId="30" borderId="18" xfId="4" applyNumberFormat="1" applyFont="1" applyFill="1" applyBorder="1" applyAlignment="1">
      <alignment horizontal="left" vertical="center" wrapText="1"/>
    </xf>
    <xf numFmtId="49" fontId="33" fillId="30" borderId="18" xfId="4" applyNumberFormat="1" applyFont="1" applyFill="1" applyBorder="1" applyAlignment="1">
      <alignment horizontal="center" vertical="center" wrapText="1"/>
    </xf>
    <xf numFmtId="43" fontId="33" fillId="30" borderId="17" xfId="5" applyFont="1" applyFill="1" applyBorder="1" applyAlignment="1">
      <alignment horizontal="right" vertical="center" wrapText="1"/>
    </xf>
    <xf numFmtId="0" fontId="32" fillId="30" borderId="18" xfId="4" applyFont="1" applyFill="1" applyBorder="1" applyAlignment="1">
      <alignment horizontal="left" vertical="center" wrapText="1"/>
    </xf>
    <xf numFmtId="49" fontId="34" fillId="30" borderId="18" xfId="4" applyNumberFormat="1" applyFont="1" applyFill="1" applyBorder="1" applyAlignment="1">
      <alignment horizontal="center" vertical="center" wrapText="1"/>
    </xf>
    <xf numFmtId="43" fontId="34" fillId="30" borderId="17" xfId="5" applyFont="1" applyFill="1" applyBorder="1" applyAlignment="1">
      <alignment horizontal="right" vertical="center" wrapText="1"/>
    </xf>
    <xf numFmtId="0" fontId="34" fillId="30" borderId="18" xfId="4" applyFont="1" applyFill="1" applyBorder="1" applyAlignment="1">
      <alignment horizontal="left" vertical="center" wrapText="1"/>
    </xf>
    <xf numFmtId="15" fontId="33" fillId="31" borderId="18" xfId="4" applyNumberFormat="1" applyFont="1" applyFill="1" applyBorder="1" applyAlignment="1">
      <alignment horizontal="left" vertical="center" wrapText="1"/>
    </xf>
    <xf numFmtId="49" fontId="33" fillId="31" borderId="18" xfId="4" applyNumberFormat="1" applyFont="1" applyFill="1" applyBorder="1" applyAlignment="1">
      <alignment horizontal="left" vertical="center" wrapText="1"/>
    </xf>
    <xf numFmtId="49" fontId="33" fillId="31" borderId="18" xfId="4" applyNumberFormat="1" applyFont="1" applyFill="1" applyBorder="1" applyAlignment="1">
      <alignment horizontal="center" vertical="center" wrapText="1"/>
    </xf>
    <xf numFmtId="43" fontId="33" fillId="31" borderId="17" xfId="5" applyFont="1" applyFill="1" applyBorder="1" applyAlignment="1">
      <alignment horizontal="right" vertical="center" wrapText="1"/>
    </xf>
    <xf numFmtId="0" fontId="32" fillId="31" borderId="18" xfId="4" applyFont="1" applyFill="1" applyBorder="1" applyAlignment="1">
      <alignment horizontal="left" vertical="center" wrapText="1"/>
    </xf>
    <xf numFmtId="15" fontId="33" fillId="16" borderId="18" xfId="4" applyNumberFormat="1" applyFont="1" applyFill="1" applyBorder="1" applyAlignment="1">
      <alignment horizontal="left" vertical="center" wrapText="1"/>
    </xf>
    <xf numFmtId="49" fontId="33" fillId="16" borderId="18" xfId="4" applyNumberFormat="1" applyFont="1" applyFill="1" applyBorder="1" applyAlignment="1">
      <alignment horizontal="left" vertical="center" wrapText="1"/>
    </xf>
    <xf numFmtId="49" fontId="33" fillId="16" borderId="18" xfId="4" applyNumberFormat="1" applyFont="1" applyFill="1" applyBorder="1" applyAlignment="1">
      <alignment horizontal="center" vertical="center" wrapText="1"/>
    </xf>
    <xf numFmtId="43" fontId="33" fillId="16" borderId="17" xfId="5" applyFont="1" applyFill="1" applyBorder="1" applyAlignment="1">
      <alignment horizontal="right" vertical="center" wrapText="1"/>
    </xf>
    <xf numFmtId="0" fontId="32" fillId="16" borderId="18" xfId="4" applyFont="1" applyFill="1" applyBorder="1" applyAlignment="1">
      <alignment vertical="center" wrapText="1"/>
    </xf>
    <xf numFmtId="0" fontId="32" fillId="16" borderId="18" xfId="4" applyFont="1" applyFill="1" applyBorder="1" applyAlignment="1">
      <alignment horizontal="left" vertical="center" wrapText="1"/>
    </xf>
    <xf numFmtId="49" fontId="34" fillId="31" borderId="18" xfId="4" applyNumberFormat="1" applyFont="1" applyFill="1" applyBorder="1" applyAlignment="1">
      <alignment horizontal="center" vertical="center" wrapText="1"/>
    </xf>
    <xf numFmtId="43" fontId="34" fillId="31" borderId="17" xfId="5" applyFont="1" applyFill="1" applyBorder="1" applyAlignment="1">
      <alignment horizontal="right" vertical="center" wrapText="1"/>
    </xf>
    <xf numFmtId="0" fontId="34" fillId="31" borderId="18" xfId="4" applyFont="1" applyFill="1" applyBorder="1" applyAlignment="1">
      <alignment horizontal="left" vertical="center" wrapText="1"/>
    </xf>
    <xf numFmtId="49" fontId="34" fillId="31" borderId="18" xfId="4" applyNumberFormat="1" applyFont="1" applyFill="1" applyBorder="1" applyAlignment="1">
      <alignment horizontal="left" vertical="center" wrapText="1"/>
    </xf>
    <xf numFmtId="15" fontId="33" fillId="32" borderId="18" xfId="4" applyNumberFormat="1" applyFont="1" applyFill="1" applyBorder="1" applyAlignment="1">
      <alignment horizontal="left" vertical="center" wrapText="1"/>
    </xf>
    <xf numFmtId="49" fontId="33" fillId="32" borderId="18" xfId="4" applyNumberFormat="1" applyFont="1" applyFill="1" applyBorder="1" applyAlignment="1">
      <alignment horizontal="left" vertical="center" wrapText="1"/>
    </xf>
    <xf numFmtId="49" fontId="33" fillId="32" borderId="18" xfId="4" applyNumberFormat="1" applyFont="1" applyFill="1" applyBorder="1" applyAlignment="1">
      <alignment horizontal="center" vertical="center" wrapText="1"/>
    </xf>
    <xf numFmtId="43" fontId="33" fillId="32" borderId="17" xfId="5" applyFont="1" applyFill="1" applyBorder="1" applyAlignment="1">
      <alignment horizontal="right" vertical="center" wrapText="1"/>
    </xf>
    <xf numFmtId="0" fontId="32" fillId="32" borderId="18" xfId="4" applyFont="1" applyFill="1" applyBorder="1" applyAlignment="1">
      <alignment vertical="center" wrapText="1"/>
    </xf>
    <xf numFmtId="15" fontId="33" fillId="33" borderId="18" xfId="4" applyNumberFormat="1" applyFont="1" applyFill="1" applyBorder="1" applyAlignment="1">
      <alignment horizontal="left" vertical="center" wrapText="1"/>
    </xf>
    <xf numFmtId="49" fontId="33" fillId="33" borderId="18" xfId="4" applyNumberFormat="1" applyFont="1" applyFill="1" applyBorder="1" applyAlignment="1">
      <alignment horizontal="left" vertical="center" wrapText="1"/>
    </xf>
    <xf numFmtId="49" fontId="33" fillId="33" borderId="18" xfId="4" applyNumberFormat="1" applyFont="1" applyFill="1" applyBorder="1" applyAlignment="1">
      <alignment horizontal="center" vertical="center" wrapText="1"/>
    </xf>
    <xf numFmtId="43" fontId="33" fillId="33" borderId="17" xfId="5" applyFont="1" applyFill="1" applyBorder="1" applyAlignment="1">
      <alignment horizontal="right" vertical="center" wrapText="1"/>
    </xf>
    <xf numFmtId="0" fontId="32" fillId="33" borderId="18" xfId="4" applyFont="1" applyFill="1" applyBorder="1" applyAlignment="1">
      <alignment vertical="center" wrapText="1"/>
    </xf>
    <xf numFmtId="15" fontId="33" fillId="34" borderId="18" xfId="4" applyNumberFormat="1" applyFont="1" applyFill="1" applyBorder="1" applyAlignment="1">
      <alignment horizontal="left" vertical="center" wrapText="1"/>
    </xf>
    <xf numFmtId="49" fontId="33" fillId="34" borderId="18" xfId="4" applyNumberFormat="1" applyFont="1" applyFill="1" applyBorder="1" applyAlignment="1">
      <alignment horizontal="left" vertical="center" wrapText="1"/>
    </xf>
    <xf numFmtId="49" fontId="33" fillId="34" borderId="18" xfId="4" applyNumberFormat="1" applyFont="1" applyFill="1" applyBorder="1" applyAlignment="1">
      <alignment horizontal="center" vertical="center" wrapText="1"/>
    </xf>
    <xf numFmtId="43" fontId="33" fillId="34" borderId="17" xfId="5" applyFont="1" applyFill="1" applyBorder="1" applyAlignment="1">
      <alignment horizontal="right" vertical="center" wrapText="1"/>
    </xf>
    <xf numFmtId="0" fontId="32" fillId="34" borderId="18" xfId="4" applyFont="1" applyFill="1" applyBorder="1" applyAlignment="1">
      <alignment horizontal="left" vertical="center" wrapText="1"/>
    </xf>
    <xf numFmtId="15" fontId="33" fillId="35" borderId="18" xfId="4" applyNumberFormat="1" applyFont="1" applyFill="1" applyBorder="1" applyAlignment="1">
      <alignment horizontal="left" vertical="center" wrapText="1"/>
    </xf>
    <xf numFmtId="49" fontId="33" fillId="35" borderId="18" xfId="4" applyNumberFormat="1" applyFont="1" applyFill="1" applyBorder="1" applyAlignment="1">
      <alignment horizontal="left" vertical="center" wrapText="1"/>
    </xf>
    <xf numFmtId="49" fontId="33" fillId="35" borderId="18" xfId="4" applyNumberFormat="1" applyFont="1" applyFill="1" applyBorder="1" applyAlignment="1">
      <alignment horizontal="center" vertical="center" wrapText="1"/>
    </xf>
    <xf numFmtId="43" fontId="33" fillId="35" borderId="17" xfId="5" applyFont="1" applyFill="1" applyBorder="1" applyAlignment="1">
      <alignment horizontal="right" vertical="center" wrapText="1"/>
    </xf>
    <xf numFmtId="0" fontId="32" fillId="35" borderId="18" xfId="4" applyFont="1" applyFill="1" applyBorder="1" applyAlignment="1">
      <alignment vertical="center" wrapText="1"/>
    </xf>
    <xf numFmtId="0" fontId="32" fillId="36" borderId="18" xfId="4" applyFont="1" applyFill="1" applyBorder="1" applyAlignment="1">
      <alignment horizontal="left"/>
    </xf>
    <xf numFmtId="49" fontId="33" fillId="36" borderId="18" xfId="4" applyNumberFormat="1" applyFont="1" applyFill="1" applyBorder="1" applyAlignment="1">
      <alignment horizontal="left" vertical="center" wrapText="1"/>
    </xf>
    <xf numFmtId="49" fontId="33" fillId="36" borderId="18" xfId="4" applyNumberFormat="1" applyFont="1" applyFill="1" applyBorder="1" applyAlignment="1">
      <alignment horizontal="center" vertical="center" wrapText="1"/>
    </xf>
    <xf numFmtId="43" fontId="33" fillId="36" borderId="17" xfId="5" applyFont="1" applyFill="1" applyBorder="1" applyAlignment="1">
      <alignment horizontal="right" vertical="center" wrapText="1"/>
    </xf>
    <xf numFmtId="0" fontId="32" fillId="36" borderId="18" xfId="4" applyFont="1" applyFill="1" applyBorder="1" applyAlignment="1">
      <alignment vertical="center" wrapText="1"/>
    </xf>
    <xf numFmtId="15" fontId="33" fillId="37" borderId="18" xfId="4" applyNumberFormat="1" applyFont="1" applyFill="1" applyBorder="1" applyAlignment="1">
      <alignment horizontal="left" vertical="center" wrapText="1"/>
    </xf>
    <xf numFmtId="49" fontId="33" fillId="37" borderId="18" xfId="4" applyNumberFormat="1" applyFont="1" applyFill="1" applyBorder="1" applyAlignment="1">
      <alignment horizontal="left" vertical="center" wrapText="1"/>
    </xf>
    <xf numFmtId="49" fontId="33" fillId="37" borderId="18" xfId="4" applyNumberFormat="1" applyFont="1" applyFill="1" applyBorder="1" applyAlignment="1">
      <alignment horizontal="center" vertical="center" wrapText="1"/>
    </xf>
    <xf numFmtId="43" fontId="33" fillId="37" borderId="17" xfId="5" applyFont="1" applyFill="1" applyBorder="1" applyAlignment="1">
      <alignment horizontal="right" vertical="center" wrapText="1"/>
    </xf>
    <xf numFmtId="0" fontId="32" fillId="37" borderId="18" xfId="4" applyFont="1" applyFill="1" applyBorder="1" applyAlignment="1">
      <alignment vertical="center" wrapText="1"/>
    </xf>
    <xf numFmtId="49" fontId="34" fillId="37" borderId="18" xfId="4" applyNumberFormat="1" applyFont="1" applyFill="1" applyBorder="1" applyAlignment="1">
      <alignment horizontal="left" vertical="center" wrapText="1"/>
    </xf>
    <xf numFmtId="49" fontId="34" fillId="37" borderId="18" xfId="4" applyNumberFormat="1" applyFont="1" applyFill="1" applyBorder="1" applyAlignment="1">
      <alignment horizontal="center" vertical="center" wrapText="1"/>
    </xf>
    <xf numFmtId="43" fontId="34" fillId="37" borderId="17" xfId="5" applyFont="1" applyFill="1" applyBorder="1" applyAlignment="1">
      <alignment horizontal="right" vertical="center" wrapText="1"/>
    </xf>
    <xf numFmtId="0" fontId="32" fillId="37" borderId="18" xfId="4" applyFont="1" applyFill="1" applyBorder="1" applyAlignment="1">
      <alignment horizontal="left" vertical="center" wrapText="1"/>
    </xf>
    <xf numFmtId="0" fontId="32" fillId="38" borderId="18" xfId="4" applyFont="1" applyFill="1" applyBorder="1" applyAlignment="1">
      <alignment wrapText="1"/>
    </xf>
    <xf numFmtId="49" fontId="33" fillId="38" borderId="18" xfId="4" applyNumberFormat="1" applyFont="1" applyFill="1" applyBorder="1" applyAlignment="1">
      <alignment horizontal="left" vertical="center" wrapText="1"/>
    </xf>
    <xf numFmtId="49" fontId="33" fillId="38" borderId="18" xfId="4" applyNumberFormat="1" applyFont="1" applyFill="1" applyBorder="1" applyAlignment="1">
      <alignment horizontal="center" vertical="center" wrapText="1"/>
    </xf>
    <xf numFmtId="43" fontId="33" fillId="38" borderId="17" xfId="5" applyFont="1" applyFill="1" applyBorder="1" applyAlignment="1">
      <alignment horizontal="right" vertical="center" wrapText="1"/>
    </xf>
    <xf numFmtId="0" fontId="32" fillId="38" borderId="18" xfId="4" applyFont="1" applyFill="1" applyBorder="1" applyAlignment="1">
      <alignment horizontal="left" vertical="center" wrapText="1"/>
    </xf>
    <xf numFmtId="0" fontId="32" fillId="39" borderId="18" xfId="4" applyFont="1" applyFill="1" applyBorder="1" applyAlignment="1">
      <alignment horizontal="left"/>
    </xf>
    <xf numFmtId="49" fontId="33" fillId="39" borderId="18" xfId="4" applyNumberFormat="1" applyFont="1" applyFill="1" applyBorder="1" applyAlignment="1">
      <alignment horizontal="left" vertical="center" wrapText="1"/>
    </xf>
    <xf numFmtId="49" fontId="33" fillId="39" borderId="18" xfId="4" applyNumberFormat="1" applyFont="1" applyFill="1" applyBorder="1" applyAlignment="1">
      <alignment horizontal="center" vertical="center" wrapText="1"/>
    </xf>
    <xf numFmtId="43" fontId="33" fillId="39" borderId="17" xfId="5" applyFont="1" applyFill="1" applyBorder="1" applyAlignment="1">
      <alignment horizontal="right" vertical="center" wrapText="1"/>
    </xf>
    <xf numFmtId="0" fontId="32" fillId="39" borderId="18" xfId="4" applyFont="1" applyFill="1" applyBorder="1" applyAlignment="1">
      <alignment vertical="center" wrapText="1"/>
    </xf>
    <xf numFmtId="15" fontId="33" fillId="40" borderId="18" xfId="4" applyNumberFormat="1" applyFont="1" applyFill="1" applyBorder="1" applyAlignment="1">
      <alignment horizontal="left" vertical="center" wrapText="1"/>
    </xf>
    <xf numFmtId="49" fontId="33" fillId="40" borderId="18" xfId="4" applyNumberFormat="1" applyFont="1" applyFill="1" applyBorder="1" applyAlignment="1">
      <alignment horizontal="left" vertical="center" wrapText="1"/>
    </xf>
    <xf numFmtId="49" fontId="33" fillId="40" borderId="18" xfId="4" applyNumberFormat="1" applyFont="1" applyFill="1" applyBorder="1" applyAlignment="1">
      <alignment horizontal="center" vertical="center" wrapText="1"/>
    </xf>
    <xf numFmtId="43" fontId="33" fillId="40" borderId="17" xfId="5" applyFont="1" applyFill="1" applyBorder="1" applyAlignment="1">
      <alignment horizontal="right" vertical="center" wrapText="1"/>
    </xf>
    <xf numFmtId="0" fontId="32" fillId="40" borderId="18" xfId="4" applyFont="1" applyFill="1" applyBorder="1" applyAlignment="1">
      <alignment vertical="center" wrapText="1"/>
    </xf>
    <xf numFmtId="49" fontId="33" fillId="40" borderId="17" xfId="4" applyNumberFormat="1" applyFont="1" applyFill="1" applyBorder="1" applyAlignment="1">
      <alignment horizontal="right" vertical="center" wrapText="1"/>
    </xf>
    <xf numFmtId="43" fontId="33" fillId="40" borderId="18" xfId="5" applyFont="1" applyFill="1" applyBorder="1" applyAlignment="1">
      <alignment horizontal="left" vertical="center" wrapText="1"/>
    </xf>
    <xf numFmtId="0" fontId="32" fillId="40" borderId="17" xfId="4" applyFont="1" applyFill="1" applyBorder="1" applyAlignment="1">
      <alignment vertical="center" wrapText="1"/>
    </xf>
    <xf numFmtId="15" fontId="33" fillId="6" borderId="18" xfId="4" applyNumberFormat="1" applyFont="1" applyFill="1" applyBorder="1" applyAlignment="1">
      <alignment horizontal="left" vertical="center" wrapText="1"/>
    </xf>
    <xf numFmtId="49" fontId="33" fillId="6" borderId="18" xfId="4" applyNumberFormat="1" applyFont="1" applyFill="1" applyBorder="1" applyAlignment="1">
      <alignment horizontal="left" vertical="center" wrapText="1"/>
    </xf>
    <xf numFmtId="49" fontId="33" fillId="6" borderId="18" xfId="4" applyNumberFormat="1" applyFont="1" applyFill="1" applyBorder="1" applyAlignment="1">
      <alignment horizontal="center" vertical="center" wrapText="1"/>
    </xf>
    <xf numFmtId="43" fontId="33" fillId="6" borderId="17" xfId="5" applyFont="1" applyFill="1" applyBorder="1" applyAlignment="1">
      <alignment horizontal="right" vertical="center" wrapText="1"/>
    </xf>
    <xf numFmtId="0" fontId="32" fillId="6" borderId="18" xfId="4" applyFont="1" applyFill="1" applyBorder="1" applyAlignment="1">
      <alignment vertical="center" wrapText="1"/>
    </xf>
    <xf numFmtId="49" fontId="33" fillId="6" borderId="23" xfId="4" applyNumberFormat="1" applyFont="1" applyFill="1" applyBorder="1" applyAlignment="1">
      <alignment horizontal="left" vertical="center" wrapText="1"/>
    </xf>
    <xf numFmtId="49" fontId="33" fillId="6" borderId="23" xfId="4" applyNumberFormat="1" applyFont="1" applyFill="1" applyBorder="1" applyAlignment="1">
      <alignment horizontal="center" vertical="center" wrapText="1"/>
    </xf>
    <xf numFmtId="43" fontId="33" fillId="6" borderId="24" xfId="5" applyFont="1" applyFill="1" applyBorder="1" applyAlignment="1">
      <alignment horizontal="right" vertical="center" wrapText="1"/>
    </xf>
    <xf numFmtId="0" fontId="27" fillId="0" borderId="0" xfId="6" applyFont="1"/>
    <xf numFmtId="0" fontId="2" fillId="0" borderId="0" xfId="6"/>
    <xf numFmtId="0" fontId="32" fillId="0" borderId="0" xfId="4" applyFont="1" applyAlignment="1">
      <alignment vertical="center" wrapText="1"/>
    </xf>
    <xf numFmtId="0" fontId="2" fillId="0" borderId="0" xfId="6" applyAlignment="1">
      <alignment horizontal="left"/>
    </xf>
    <xf numFmtId="0" fontId="32" fillId="0" borderId="0" xfId="4" applyFont="1" applyAlignment="1">
      <alignment horizontal="center" vertical="center" wrapText="1"/>
    </xf>
    <xf numFmtId="0" fontId="32" fillId="0" borderId="0" xfId="4" applyFont="1" applyAlignment="1">
      <alignment horizontal="left" vertical="center" wrapText="1"/>
    </xf>
    <xf numFmtId="0" fontId="35" fillId="9" borderId="0" xfId="6" applyFont="1" applyFill="1"/>
    <xf numFmtId="0" fontId="36" fillId="9" borderId="0" xfId="6" applyFont="1" applyFill="1"/>
    <xf numFmtId="49" fontId="35" fillId="9" borderId="0" xfId="6" applyNumberFormat="1" applyFont="1" applyFill="1"/>
    <xf numFmtId="0" fontId="25" fillId="9" borderId="0" xfId="6" applyFont="1" applyFill="1"/>
    <xf numFmtId="0" fontId="37" fillId="9" borderId="0" xfId="6" applyFont="1" applyFill="1"/>
    <xf numFmtId="0" fontId="28" fillId="9" borderId="0" xfId="6" applyFont="1" applyFill="1"/>
    <xf numFmtId="1" fontId="10" fillId="3" borderId="7" xfId="0" applyNumberFormat="1" applyFont="1" applyFill="1" applyBorder="1" applyAlignment="1">
      <alignment horizontal="center"/>
    </xf>
    <xf numFmtId="0" fontId="28" fillId="9" borderId="0" xfId="0" applyFont="1" applyFill="1"/>
    <xf numFmtId="0" fontId="38" fillId="41" borderId="18" xfId="0" applyFont="1" applyFill="1" applyBorder="1" applyAlignment="1">
      <alignment horizontal="left" vertical="center" wrapText="1"/>
    </xf>
    <xf numFmtId="0" fontId="38" fillId="9" borderId="18" xfId="0" applyFont="1" applyFill="1" applyBorder="1" applyAlignment="1">
      <alignment horizontal="left" vertical="top" wrapText="1"/>
    </xf>
    <xf numFmtId="0" fontId="38" fillId="41" borderId="18" xfId="0" applyFont="1" applyFill="1" applyBorder="1" applyAlignment="1">
      <alignment horizontal="left" vertical="top" wrapText="1"/>
    </xf>
    <xf numFmtId="0" fontId="27" fillId="0" borderId="18" xfId="0" applyFont="1" applyBorder="1"/>
    <xf numFmtId="0" fontId="40" fillId="0" borderId="18" xfId="0" applyFont="1" applyBorder="1"/>
    <xf numFmtId="0" fontId="40" fillId="0" borderId="18" xfId="0" applyFont="1" applyBorder="1" applyAlignment="1">
      <alignment horizontal="center" vertical="center"/>
    </xf>
    <xf numFmtId="0" fontId="40" fillId="0" borderId="18" xfId="0" applyFont="1" applyBorder="1" applyAlignment="1">
      <alignment horizontal="left" vertical="center" wrapText="1"/>
    </xf>
    <xf numFmtId="0" fontId="37" fillId="9" borderId="0" xfId="0" applyFont="1" applyFill="1"/>
    <xf numFmtId="0" fontId="35" fillId="9" borderId="0" xfId="0" applyFont="1" applyFill="1"/>
    <xf numFmtId="0" fontId="36" fillId="9" borderId="0" xfId="0" applyFont="1" applyFill="1"/>
    <xf numFmtId="0" fontId="9" fillId="9" borderId="0" xfId="0" applyFont="1" applyFill="1" applyAlignment="1">
      <alignment horizontal="justify" vertical="top" wrapText="1"/>
    </xf>
    <xf numFmtId="0" fontId="29" fillId="9" borderId="0" xfId="0" applyFont="1" applyFill="1" applyAlignment="1">
      <alignment vertical="top" wrapText="1"/>
    </xf>
    <xf numFmtId="4" fontId="29" fillId="9" borderId="0" xfId="0" applyNumberFormat="1" applyFont="1" applyFill="1" applyAlignment="1">
      <alignment vertical="top" wrapText="1"/>
    </xf>
    <xf numFmtId="0" fontId="41" fillId="9" borderId="0" xfId="0" applyFont="1" applyFill="1"/>
    <xf numFmtId="0" fontId="41" fillId="9" borderId="0" xfId="0" applyFont="1" applyFill="1" applyAlignment="1">
      <alignment horizontal="center" vertical="center"/>
    </xf>
    <xf numFmtId="0" fontId="41" fillId="9" borderId="0" xfId="0" applyFont="1" applyFill="1" applyAlignment="1">
      <alignment horizontal="left" vertical="center"/>
    </xf>
    <xf numFmtId="0" fontId="37" fillId="9" borderId="0" xfId="0" applyFont="1" applyFill="1" applyAlignment="1">
      <alignment horizontal="left" vertical="center"/>
    </xf>
    <xf numFmtId="0" fontId="41" fillId="9" borderId="0" xfId="0" applyFont="1" applyFill="1" applyAlignment="1">
      <alignment horizontal="left" vertical="center" wrapText="1"/>
    </xf>
    <xf numFmtId="0" fontId="9" fillId="0" borderId="25" xfId="0" applyFont="1" applyBorder="1" applyAlignment="1">
      <alignment vertical="center" wrapText="1"/>
    </xf>
    <xf numFmtId="0" fontId="9" fillId="0" borderId="26" xfId="0" applyFont="1" applyBorder="1" applyAlignment="1">
      <alignment vertical="center" wrapText="1"/>
    </xf>
    <xf numFmtId="0" fontId="9" fillId="0" borderId="27" xfId="0" applyFont="1" applyBorder="1" applyAlignment="1">
      <alignment vertical="center" wrapText="1"/>
    </xf>
    <xf numFmtId="3" fontId="10" fillId="0" borderId="18" xfId="0" applyNumberFormat="1" applyFont="1" applyBorder="1" applyAlignment="1" applyProtection="1">
      <alignment horizontal="right" vertical="top"/>
      <protection locked="0"/>
    </xf>
    <xf numFmtId="0" fontId="10" fillId="0" borderId="18" xfId="0" applyFont="1" applyBorder="1" applyAlignment="1" applyProtection="1">
      <alignment vertical="top"/>
      <protection locked="0"/>
    </xf>
    <xf numFmtId="4" fontId="10" fillId="0" borderId="18" xfId="0" applyNumberFormat="1" applyFont="1" applyBorder="1" applyAlignment="1">
      <alignment vertical="top"/>
    </xf>
    <xf numFmtId="4" fontId="10" fillId="0" borderId="18" xfId="0" applyNumberFormat="1" applyFont="1" applyBorder="1" applyAlignment="1">
      <alignment horizontal="right" vertical="top"/>
    </xf>
    <xf numFmtId="4" fontId="10" fillId="0" borderId="18" xfId="0" applyNumberFormat="1" applyFont="1" applyBorder="1" applyAlignment="1" applyProtection="1">
      <alignment horizontal="center" vertical="top"/>
      <protection locked="0"/>
    </xf>
    <xf numFmtId="4" fontId="41" fillId="9" borderId="0" xfId="0" applyNumberFormat="1" applyFont="1" applyFill="1"/>
    <xf numFmtId="0" fontId="41" fillId="0" borderId="0" xfId="0" applyFont="1"/>
    <xf numFmtId="4" fontId="41" fillId="0" borderId="0" xfId="0" applyNumberFormat="1" applyFont="1"/>
    <xf numFmtId="0" fontId="9" fillId="4" borderId="0" xfId="6" applyFont="1" applyFill="1" applyAlignment="1">
      <alignment horizontal="left"/>
    </xf>
    <xf numFmtId="0" fontId="42" fillId="9" borderId="0" xfId="6" applyFont="1" applyFill="1"/>
    <xf numFmtId="0" fontId="42" fillId="9" borderId="0" xfId="0" applyFont="1" applyFill="1"/>
    <xf numFmtId="0" fontId="9" fillId="11" borderId="18" xfId="0" applyFont="1" applyFill="1" applyBorder="1" applyAlignment="1">
      <alignment horizontal="center" vertical="center" wrapText="1"/>
    </xf>
    <xf numFmtId="0" fontId="9" fillId="8" borderId="0" xfId="6" applyFont="1" applyFill="1" applyAlignment="1">
      <alignment horizontal="left"/>
    </xf>
    <xf numFmtId="0" fontId="9" fillId="11" borderId="18" xfId="0" applyFont="1" applyFill="1" applyBorder="1" applyAlignment="1">
      <alignment vertical="center" wrapText="1"/>
    </xf>
    <xf numFmtId="4" fontId="9" fillId="11" borderId="18" xfId="0" applyNumberFormat="1" applyFont="1" applyFill="1" applyBorder="1" applyAlignment="1">
      <alignment vertical="center" wrapText="1"/>
    </xf>
    <xf numFmtId="0" fontId="9" fillId="4" borderId="0" xfId="0" applyFont="1" applyFill="1" applyAlignment="1">
      <alignment horizontal="justify" vertical="top" wrapText="1"/>
    </xf>
    <xf numFmtId="0" fontId="38" fillId="9" borderId="0" xfId="0" applyFont="1" applyFill="1"/>
    <xf numFmtId="0" fontId="10" fillId="9" borderId="0" xfId="0" applyFont="1" applyFill="1"/>
    <xf numFmtId="0" fontId="9" fillId="11" borderId="5" xfId="3" applyFont="1" applyFill="1" applyBorder="1" applyAlignment="1">
      <alignment horizontal="center" textRotation="90" wrapText="1"/>
    </xf>
    <xf numFmtId="0" fontId="9" fillId="11" borderId="5" xfId="3" applyFont="1" applyFill="1" applyBorder="1" applyAlignment="1">
      <alignment horizontal="center" vertical="center" wrapText="1"/>
    </xf>
    <xf numFmtId="0" fontId="11" fillId="6" borderId="6" xfId="3" applyFont="1" applyFill="1" applyBorder="1" applyAlignment="1">
      <alignment horizontal="left" vertical="top" wrapText="1"/>
    </xf>
    <xf numFmtId="0" fontId="11" fillId="6" borderId="6" xfId="3" applyFont="1" applyFill="1" applyBorder="1" applyAlignment="1">
      <alignment horizontal="center" vertical="top" wrapText="1"/>
    </xf>
    <xf numFmtId="0" fontId="11" fillId="6" borderId="6" xfId="3" applyFont="1" applyFill="1" applyBorder="1" applyAlignment="1">
      <alignment vertical="top" wrapText="1"/>
    </xf>
    <xf numFmtId="0" fontId="11" fillId="2" borderId="7" xfId="3" applyFont="1" applyFill="1" applyBorder="1" applyAlignment="1">
      <alignment horizontal="left" vertical="top" wrapText="1"/>
    </xf>
    <xf numFmtId="0" fontId="11" fillId="2" borderId="7" xfId="3" applyFont="1" applyFill="1" applyBorder="1" applyAlignment="1">
      <alignment horizontal="center" vertical="top" wrapText="1"/>
    </xf>
    <xf numFmtId="0" fontId="11" fillId="9" borderId="7" xfId="3" applyFont="1" applyFill="1" applyBorder="1" applyAlignment="1">
      <alignment vertical="top" wrapText="1"/>
    </xf>
    <xf numFmtId="0" fontId="12" fillId="2" borderId="7" xfId="3" applyFont="1" applyFill="1" applyBorder="1" applyAlignment="1">
      <alignment horizontal="left" vertical="top" wrapText="1"/>
    </xf>
    <xf numFmtId="0" fontId="12" fillId="2" borderId="7" xfId="3" applyFont="1" applyFill="1" applyBorder="1" applyAlignment="1">
      <alignment horizontal="center" vertical="top" wrapText="1"/>
    </xf>
    <xf numFmtId="0" fontId="12" fillId="9" borderId="7" xfId="3" applyFont="1" applyFill="1" applyBorder="1" applyAlignment="1">
      <alignment vertical="top" wrapText="1"/>
    </xf>
    <xf numFmtId="0" fontId="11" fillId="6" borderId="7" xfId="3" applyFont="1" applyFill="1" applyBorder="1" applyAlignment="1">
      <alignment horizontal="left" vertical="top" wrapText="1"/>
    </xf>
    <xf numFmtId="0" fontId="11" fillId="6" borderId="7" xfId="3" applyFont="1" applyFill="1" applyBorder="1" applyAlignment="1">
      <alignment horizontal="center" vertical="top" wrapText="1"/>
    </xf>
    <xf numFmtId="0" fontId="11" fillId="6" borderId="7" xfId="3" applyFont="1" applyFill="1" applyBorder="1" applyAlignment="1">
      <alignment vertical="top" wrapText="1"/>
    </xf>
    <xf numFmtId="0" fontId="11" fillId="2" borderId="7" xfId="3" applyFont="1" applyFill="1" applyBorder="1" applyAlignment="1">
      <alignment vertical="top" wrapText="1"/>
    </xf>
    <xf numFmtId="0" fontId="12" fillId="9" borderId="7" xfId="3" applyFont="1" applyFill="1" applyBorder="1" applyAlignment="1">
      <alignment wrapText="1"/>
    </xf>
    <xf numFmtId="0" fontId="12" fillId="2" borderId="11" xfId="3" applyFont="1" applyFill="1" applyBorder="1" applyAlignment="1">
      <alignment horizontal="center" vertical="top" wrapText="1"/>
    </xf>
    <xf numFmtId="0" fontId="12" fillId="2" borderId="7" xfId="3" applyFont="1" applyFill="1" applyBorder="1" applyAlignment="1">
      <alignment vertical="top" wrapText="1"/>
    </xf>
    <xf numFmtId="0" fontId="10" fillId="11" borderId="5" xfId="3" applyFont="1" applyFill="1" applyBorder="1" applyAlignment="1">
      <alignment vertical="top" wrapText="1"/>
    </xf>
    <xf numFmtId="0" fontId="9" fillId="11" borderId="5" xfId="3" applyFont="1" applyFill="1" applyBorder="1" applyAlignment="1">
      <alignment vertical="top" wrapText="1"/>
    </xf>
    <xf numFmtId="0" fontId="9" fillId="11" borderId="5" xfId="3" applyFont="1" applyFill="1" applyBorder="1" applyAlignment="1">
      <alignment horizontal="center" vertical="center"/>
    </xf>
    <xf numFmtId="4" fontId="11" fillId="6" borderId="6" xfId="3" applyNumberFormat="1" applyFont="1" applyFill="1" applyBorder="1" applyAlignment="1">
      <alignment vertical="top" wrapText="1"/>
    </xf>
    <xf numFmtId="4" fontId="11" fillId="6" borderId="6" xfId="3" applyNumberFormat="1" applyFont="1" applyFill="1" applyBorder="1" applyAlignment="1">
      <alignment horizontal="right" vertical="top" wrapText="1"/>
    </xf>
    <xf numFmtId="4" fontId="11" fillId="2" borderId="7" xfId="3" applyNumberFormat="1" applyFont="1" applyFill="1" applyBorder="1" applyAlignment="1">
      <alignment vertical="top" wrapText="1"/>
    </xf>
    <xf numFmtId="4" fontId="11" fillId="3" borderId="7" xfId="3" applyNumberFormat="1" applyFont="1" applyFill="1" applyBorder="1" applyAlignment="1">
      <alignment horizontal="right" vertical="top" wrapText="1"/>
    </xf>
    <xf numFmtId="4" fontId="12" fillId="2" borderId="7" xfId="3" applyNumberFormat="1" applyFont="1" applyFill="1" applyBorder="1" applyAlignment="1" applyProtection="1">
      <alignment vertical="top" wrapText="1"/>
      <protection locked="0"/>
    </xf>
    <xf numFmtId="4" fontId="12" fillId="3" borderId="7" xfId="3" applyNumberFormat="1" applyFont="1" applyFill="1" applyBorder="1" applyAlignment="1">
      <alignment horizontal="right" vertical="top" wrapText="1"/>
    </xf>
    <xf numFmtId="4" fontId="11" fillId="6" borderId="7" xfId="3" applyNumberFormat="1" applyFont="1" applyFill="1" applyBorder="1" applyAlignment="1">
      <alignment vertical="top" wrapText="1"/>
    </xf>
    <xf numFmtId="4" fontId="11" fillId="3" borderId="7" xfId="3" applyNumberFormat="1" applyFont="1" applyFill="1" applyBorder="1" applyAlignment="1">
      <alignment vertical="top" wrapText="1"/>
    </xf>
    <xf numFmtId="4" fontId="11" fillId="2" borderId="12" xfId="3" applyNumberFormat="1" applyFont="1" applyFill="1" applyBorder="1" applyAlignment="1">
      <alignment vertical="top" wrapText="1"/>
    </xf>
    <xf numFmtId="4" fontId="9" fillId="11" borderId="5" xfId="3" applyNumberFormat="1" applyFont="1" applyFill="1" applyBorder="1" applyAlignment="1">
      <alignment vertical="top" wrapText="1"/>
    </xf>
    <xf numFmtId="0" fontId="20" fillId="13" borderId="6" xfId="3" applyFont="1" applyFill="1" applyBorder="1" applyAlignment="1">
      <alignment vertical="top"/>
    </xf>
    <xf numFmtId="0" fontId="17" fillId="13" borderId="6" xfId="3" applyFont="1" applyFill="1" applyBorder="1" applyAlignment="1">
      <alignment horizontal="center" vertical="top"/>
    </xf>
    <xf numFmtId="0" fontId="17" fillId="13" borderId="6" xfId="3" applyFont="1" applyFill="1" applyBorder="1" applyAlignment="1">
      <alignment vertical="top"/>
    </xf>
    <xf numFmtId="0" fontId="20" fillId="15" borderId="7" xfId="3" applyFont="1" applyFill="1" applyBorder="1"/>
    <xf numFmtId="0" fontId="17" fillId="15" borderId="7" xfId="3" applyFont="1" applyFill="1" applyBorder="1" applyAlignment="1">
      <alignment horizontal="center"/>
    </xf>
    <xf numFmtId="0" fontId="17" fillId="15" borderId="7" xfId="3" applyFont="1" applyFill="1" applyBorder="1" applyAlignment="1">
      <alignment horizontal="center" vertical="top"/>
    </xf>
    <xf numFmtId="0" fontId="17" fillId="15" borderId="7" xfId="4" applyFont="1" applyFill="1" applyBorder="1"/>
    <xf numFmtId="0" fontId="20" fillId="14" borderId="7" xfId="3" applyFont="1" applyFill="1" applyBorder="1" applyAlignment="1">
      <alignment vertical="top"/>
    </xf>
    <xf numFmtId="0" fontId="17" fillId="14" borderId="7" xfId="3" applyFont="1" applyFill="1" applyBorder="1" applyAlignment="1">
      <alignment horizontal="center" vertical="top"/>
    </xf>
    <xf numFmtId="0" fontId="17" fillId="14" borderId="7" xfId="4" applyFont="1" applyFill="1" applyBorder="1" applyAlignment="1">
      <alignment vertical="top"/>
    </xf>
    <xf numFmtId="0" fontId="20" fillId="9" borderId="7" xfId="3" applyFont="1" applyFill="1" applyBorder="1" applyAlignment="1">
      <alignment vertical="top"/>
    </xf>
    <xf numFmtId="0" fontId="17" fillId="9" borderId="7" xfId="3" applyFont="1" applyFill="1" applyBorder="1" applyAlignment="1">
      <alignment horizontal="center" vertical="top"/>
    </xf>
    <xf numFmtId="0" fontId="17" fillId="9" borderId="7" xfId="4" applyFont="1" applyFill="1" applyBorder="1" applyAlignment="1">
      <alignment vertical="top"/>
    </xf>
    <xf numFmtId="0" fontId="19" fillId="9" borderId="7" xfId="3" applyFont="1" applyFill="1" applyBorder="1" applyAlignment="1">
      <alignment vertical="top"/>
    </xf>
    <xf numFmtId="0" fontId="18" fillId="9" borderId="7" xfId="3" applyFont="1" applyFill="1" applyBorder="1" applyAlignment="1">
      <alignment horizontal="center" vertical="top"/>
    </xf>
    <xf numFmtId="0" fontId="18" fillId="9" borderId="7" xfId="3" applyFont="1" applyFill="1" applyBorder="1" applyAlignment="1">
      <alignment vertical="top"/>
    </xf>
    <xf numFmtId="0" fontId="18" fillId="9" borderId="7" xfId="4" applyFont="1" applyFill="1" applyBorder="1" applyAlignment="1">
      <alignment vertical="top"/>
    </xf>
    <xf numFmtId="0" fontId="18" fillId="9" borderId="7" xfId="4" applyFont="1" applyFill="1" applyBorder="1" applyAlignment="1" applyProtection="1">
      <alignment vertical="top"/>
      <protection locked="0"/>
    </xf>
    <xf numFmtId="0" fontId="18" fillId="9" borderId="7" xfId="4" applyFont="1" applyFill="1" applyBorder="1" applyAlignment="1">
      <alignment vertical="top" wrapText="1"/>
    </xf>
    <xf numFmtId="0" fontId="17" fillId="9" borderId="7" xfId="3" applyFont="1" applyFill="1" applyBorder="1" applyAlignment="1">
      <alignment vertical="top"/>
    </xf>
    <xf numFmtId="0" fontId="19" fillId="9" borderId="7" xfId="3" applyFont="1" applyFill="1" applyBorder="1"/>
    <xf numFmtId="0" fontId="18" fillId="9" borderId="7" xfId="4" applyFont="1" applyFill="1" applyBorder="1"/>
    <xf numFmtId="0" fontId="20" fillId="9" borderId="7" xfId="3" applyFont="1" applyFill="1" applyBorder="1"/>
    <xf numFmtId="0" fontId="17" fillId="9" borderId="7" xfId="4" applyFont="1" applyFill="1" applyBorder="1"/>
    <xf numFmtId="0" fontId="18" fillId="9" borderId="7" xfId="4" applyFont="1" applyFill="1" applyBorder="1" applyAlignment="1">
      <alignment wrapText="1"/>
    </xf>
    <xf numFmtId="0" fontId="18" fillId="9" borderId="7" xfId="3" applyFont="1" applyFill="1" applyBorder="1" applyAlignment="1">
      <alignment vertical="top" wrapText="1"/>
    </xf>
    <xf numFmtId="0" fontId="18" fillId="9" borderId="7" xfId="3" applyFont="1" applyFill="1" applyBorder="1" applyAlignment="1">
      <alignment horizontal="center" vertical="top" wrapText="1"/>
    </xf>
    <xf numFmtId="0" fontId="17" fillId="9" borderId="7" xfId="4" applyFont="1" applyFill="1" applyBorder="1" applyAlignment="1">
      <alignment vertical="top" wrapText="1"/>
    </xf>
    <xf numFmtId="0" fontId="19" fillId="9" borderId="15" xfId="3" applyFont="1" applyFill="1" applyBorder="1" applyAlignment="1">
      <alignment vertical="top"/>
    </xf>
    <xf numFmtId="0" fontId="18" fillId="9" borderId="15" xfId="3" applyFont="1" applyFill="1" applyBorder="1" applyAlignment="1">
      <alignment horizontal="center" vertical="top"/>
    </xf>
    <xf numFmtId="0" fontId="18" fillId="9" borderId="15" xfId="4" applyFont="1" applyFill="1" applyBorder="1" applyAlignment="1">
      <alignment vertical="top" wrapText="1"/>
    </xf>
    <xf numFmtId="164" fontId="18" fillId="9" borderId="7" xfId="1" applyNumberFormat="1" applyFont="1" applyFill="1" applyBorder="1" applyAlignment="1" applyProtection="1">
      <alignment vertical="top"/>
    </xf>
    <xf numFmtId="164" fontId="18" fillId="9" borderId="7" xfId="1" applyNumberFormat="1" applyFont="1" applyFill="1" applyBorder="1" applyAlignment="1" applyProtection="1">
      <alignment vertical="top"/>
      <protection hidden="1"/>
    </xf>
    <xf numFmtId="0" fontId="20" fillId="13" borderId="6" xfId="3" applyFont="1" applyFill="1" applyBorder="1" applyAlignment="1">
      <alignment vertical="center"/>
    </xf>
    <xf numFmtId="0" fontId="17" fillId="13" borderId="6" xfId="3" applyFont="1" applyFill="1" applyBorder="1" applyAlignment="1">
      <alignment horizontal="center" vertical="center"/>
    </xf>
    <xf numFmtId="0" fontId="17" fillId="13" borderId="6" xfId="3" applyFont="1" applyFill="1" applyBorder="1" applyAlignment="1">
      <alignment vertical="center" wrapText="1"/>
    </xf>
    <xf numFmtId="164" fontId="17" fillId="13" borderId="6" xfId="1" applyNumberFormat="1" applyFont="1" applyFill="1" applyBorder="1" applyAlignment="1" applyProtection="1">
      <alignment vertical="center"/>
      <protection hidden="1"/>
    </xf>
    <xf numFmtId="0" fontId="20" fillId="15" borderId="7" xfId="3" applyFont="1" applyFill="1" applyBorder="1" applyAlignment="1">
      <alignment vertical="center"/>
    </xf>
    <xf numFmtId="0" fontId="17" fillId="15" borderId="7" xfId="3" applyFont="1" applyFill="1" applyBorder="1" applyAlignment="1">
      <alignment horizontal="center" vertical="center"/>
    </xf>
    <xf numFmtId="0" fontId="17" fillId="15" borderId="7" xfId="4" applyFont="1" applyFill="1" applyBorder="1" applyAlignment="1">
      <alignment vertical="center" wrapText="1"/>
    </xf>
    <xf numFmtId="164" fontId="17" fillId="15" borderId="7" xfId="1" applyNumberFormat="1" applyFont="1" applyFill="1" applyBorder="1" applyAlignment="1" applyProtection="1">
      <alignment vertical="center"/>
      <protection hidden="1"/>
    </xf>
    <xf numFmtId="0" fontId="20" fillId="14" borderId="7" xfId="3" applyFont="1" applyFill="1" applyBorder="1" applyAlignment="1">
      <alignment vertical="center"/>
    </xf>
    <xf numFmtId="0" fontId="17" fillId="14" borderId="7" xfId="3" applyFont="1" applyFill="1" applyBorder="1" applyAlignment="1">
      <alignment horizontal="center" vertical="center"/>
    </xf>
    <xf numFmtId="0" fontId="17" fillId="14" borderId="7" xfId="4" applyFont="1" applyFill="1" applyBorder="1" applyAlignment="1">
      <alignment vertical="center" wrapText="1"/>
    </xf>
    <xf numFmtId="164" fontId="17" fillId="14" borderId="7" xfId="1" applyNumberFormat="1" applyFont="1" applyFill="1" applyBorder="1" applyAlignment="1" applyProtection="1">
      <alignment vertical="center"/>
      <protection hidden="1"/>
    </xf>
    <xf numFmtId="0" fontId="20" fillId="9" borderId="7" xfId="3" applyFont="1" applyFill="1" applyBorder="1" applyAlignment="1">
      <alignment vertical="center"/>
    </xf>
    <xf numFmtId="0" fontId="17" fillId="9" borderId="7" xfId="3" applyFont="1" applyFill="1" applyBorder="1" applyAlignment="1">
      <alignment horizontal="center" vertical="center"/>
    </xf>
    <xf numFmtId="0" fontId="17" fillId="9" borderId="7" xfId="4" applyFont="1" applyFill="1" applyBorder="1" applyAlignment="1">
      <alignment vertical="center" wrapText="1"/>
    </xf>
    <xf numFmtId="164" fontId="17" fillId="9" borderId="7" xfId="1" applyNumberFormat="1" applyFont="1" applyFill="1" applyBorder="1" applyAlignment="1" applyProtection="1">
      <alignment vertical="center"/>
      <protection hidden="1"/>
    </xf>
    <xf numFmtId="0" fontId="19" fillId="9" borderId="7" xfId="3" applyFont="1" applyFill="1" applyBorder="1" applyAlignment="1">
      <alignment vertical="center"/>
    </xf>
    <xf numFmtId="0" fontId="18" fillId="9" borderId="7" xfId="3" applyFont="1" applyFill="1" applyBorder="1" applyAlignment="1">
      <alignment horizontal="center" vertical="center"/>
    </xf>
    <xf numFmtId="0" fontId="18" fillId="9" borderId="7" xfId="3" applyFont="1" applyFill="1" applyBorder="1" applyAlignment="1">
      <alignment vertical="center" wrapText="1"/>
    </xf>
    <xf numFmtId="164" fontId="18" fillId="9" borderId="7" xfId="1" applyNumberFormat="1" applyFont="1" applyFill="1" applyBorder="1" applyAlignment="1" applyProtection="1">
      <alignment vertical="center"/>
      <protection locked="0"/>
    </xf>
    <xf numFmtId="0" fontId="18" fillId="9" borderId="7" xfId="4" applyFont="1" applyFill="1" applyBorder="1" applyAlignment="1">
      <alignment vertical="center" wrapText="1"/>
    </xf>
    <xf numFmtId="0" fontId="19" fillId="0" borderId="7" xfId="3" applyFont="1" applyBorder="1" applyAlignment="1">
      <alignment vertical="center"/>
    </xf>
    <xf numFmtId="0" fontId="18" fillId="0" borderId="7" xfId="3" applyFont="1" applyBorder="1" applyAlignment="1">
      <alignment horizontal="center" vertical="center"/>
    </xf>
    <xf numFmtId="0" fontId="18" fillId="0" borderId="7" xfId="4" applyFont="1" applyBorder="1" applyAlignment="1">
      <alignment vertical="center" wrapText="1"/>
    </xf>
    <xf numFmtId="0" fontId="18" fillId="9" borderId="7" xfId="4" applyFont="1" applyFill="1" applyBorder="1" applyAlignment="1" applyProtection="1">
      <alignment vertical="center" wrapText="1"/>
      <protection locked="0"/>
    </xf>
    <xf numFmtId="0" fontId="17" fillId="9" borderId="7" xfId="3" applyFont="1" applyFill="1" applyBorder="1" applyAlignment="1">
      <alignment vertical="center" wrapText="1"/>
    </xf>
    <xf numFmtId="164" fontId="17" fillId="9" borderId="7" xfId="1" applyNumberFormat="1" applyFont="1" applyFill="1" applyBorder="1" applyAlignment="1" applyProtection="1">
      <alignment vertical="center"/>
      <protection locked="0"/>
    </xf>
    <xf numFmtId="164" fontId="17" fillId="9" borderId="7" xfId="1" applyNumberFormat="1" applyFont="1" applyFill="1" applyBorder="1" applyAlignment="1" applyProtection="1">
      <alignment vertical="center"/>
    </xf>
    <xf numFmtId="164" fontId="18" fillId="9" borderId="7" xfId="1" applyNumberFormat="1" applyFont="1" applyFill="1" applyBorder="1" applyAlignment="1" applyProtection="1">
      <alignment vertical="center"/>
      <protection hidden="1"/>
    </xf>
    <xf numFmtId="0" fontId="18" fillId="9" borderId="7" xfId="3" applyFont="1" applyFill="1" applyBorder="1" applyAlignment="1">
      <alignment horizontal="center" vertical="center" wrapText="1"/>
    </xf>
    <xf numFmtId="0" fontId="17" fillId="9" borderId="7" xfId="3" applyFont="1" applyFill="1" applyBorder="1" applyAlignment="1">
      <alignment vertical="center"/>
    </xf>
    <xf numFmtId="0" fontId="18" fillId="9" borderId="7" xfId="3" applyFont="1" applyFill="1" applyBorder="1" applyAlignment="1">
      <alignment vertical="center"/>
    </xf>
    <xf numFmtId="164" fontId="17" fillId="14" borderId="7" xfId="1" applyNumberFormat="1" applyFont="1" applyFill="1" applyBorder="1" applyAlignment="1" applyProtection="1">
      <alignment vertical="top"/>
    </xf>
    <xf numFmtId="43" fontId="19" fillId="9" borderId="15" xfId="7" applyFont="1" applyFill="1" applyBorder="1" applyProtection="1">
      <protection locked="0"/>
    </xf>
    <xf numFmtId="0" fontId="46" fillId="9" borderId="0" xfId="0" applyFont="1" applyFill="1"/>
    <xf numFmtId="0" fontId="10" fillId="9" borderId="20" xfId="0" applyFont="1" applyFill="1" applyBorder="1" applyAlignment="1">
      <alignment horizontal="center"/>
    </xf>
    <xf numFmtId="0" fontId="9" fillId="9" borderId="20" xfId="0" applyFont="1" applyFill="1" applyBorder="1" applyAlignment="1">
      <alignment horizontal="center"/>
    </xf>
    <xf numFmtId="0" fontId="36" fillId="9" borderId="0" xfId="6" applyFont="1" applyFill="1" applyAlignment="1">
      <alignment vertical="center" wrapText="1"/>
    </xf>
    <xf numFmtId="0" fontId="28" fillId="9" borderId="0" xfId="6" applyFont="1" applyFill="1" applyAlignment="1">
      <alignment vertical="center" wrapText="1"/>
    </xf>
    <xf numFmtId="0" fontId="27" fillId="0" borderId="18" xfId="0" applyFont="1" applyBorder="1" applyAlignment="1">
      <alignment vertical="center" wrapText="1"/>
    </xf>
    <xf numFmtId="0" fontId="36" fillId="9" borderId="0" xfId="0" applyFont="1" applyFill="1" applyAlignment="1">
      <alignment vertical="center" wrapText="1"/>
    </xf>
    <xf numFmtId="0" fontId="48" fillId="42" borderId="18" xfId="0" applyFont="1" applyFill="1" applyBorder="1" applyAlignment="1">
      <alignment horizontal="left" vertical="top" wrapText="1"/>
    </xf>
    <xf numFmtId="0" fontId="38" fillId="41" borderId="18" xfId="0" applyFont="1" applyFill="1" applyBorder="1" applyAlignment="1">
      <alignment horizontal="center" vertical="top"/>
    </xf>
    <xf numFmtId="0" fontId="39" fillId="41" borderId="18" xfId="0" applyFont="1" applyFill="1" applyBorder="1" applyAlignment="1">
      <alignment horizontal="center" vertical="top"/>
    </xf>
    <xf numFmtId="0" fontId="48" fillId="0" borderId="18" xfId="0" applyFont="1" applyBorder="1" applyAlignment="1">
      <alignment horizontal="left" vertical="top" wrapText="1"/>
    </xf>
    <xf numFmtId="0" fontId="38" fillId="41" borderId="18" xfId="0" applyFont="1" applyFill="1" applyBorder="1" applyAlignment="1">
      <alignment vertical="top" wrapText="1"/>
    </xf>
    <xf numFmtId="0" fontId="43" fillId="9" borderId="0" xfId="0" applyFont="1" applyFill="1" applyAlignment="1">
      <alignment vertical="top"/>
    </xf>
    <xf numFmtId="0" fontId="10" fillId="9" borderId="0" xfId="0" applyFont="1" applyFill="1" applyAlignment="1">
      <alignment vertical="top"/>
    </xf>
    <xf numFmtId="0" fontId="25" fillId="9" borderId="0" xfId="0" applyFont="1" applyFill="1" applyAlignment="1">
      <alignment vertical="top"/>
    </xf>
    <xf numFmtId="0" fontId="38" fillId="9" borderId="18" xfId="0" applyFont="1" applyFill="1" applyBorder="1" applyAlignment="1">
      <alignment horizontal="center" vertical="top"/>
    </xf>
    <xf numFmtId="0" fontId="38" fillId="9" borderId="18" xfId="0" applyFont="1" applyFill="1" applyBorder="1" applyAlignment="1">
      <alignment vertical="top" wrapText="1"/>
    </xf>
    <xf numFmtId="0" fontId="49" fillId="0" borderId="18" xfId="0" applyFont="1" applyBorder="1" applyAlignment="1">
      <alignment horizontal="left" vertical="top" wrapText="1"/>
    </xf>
    <xf numFmtId="0" fontId="48" fillId="0" borderId="18" xfId="0" applyFont="1" applyBorder="1" applyAlignment="1">
      <alignment horizontal="left" vertical="top"/>
    </xf>
    <xf numFmtId="0" fontId="10" fillId="0" borderId="18" xfId="0" applyFont="1" applyBorder="1" applyAlignment="1">
      <alignment horizontal="left" vertical="top" wrapText="1"/>
    </xf>
    <xf numFmtId="0" fontId="48" fillId="0" borderId="18" xfId="0" applyFont="1" applyBorder="1" applyAlignment="1">
      <alignment horizontal="center" vertical="top" wrapText="1"/>
    </xf>
    <xf numFmtId="0" fontId="48" fillId="0" borderId="28" xfId="0" applyFont="1" applyBorder="1" applyAlignment="1">
      <alignment vertical="top" wrapText="1"/>
    </xf>
    <xf numFmtId="0" fontId="38" fillId="43" borderId="18" xfId="0" applyFont="1" applyFill="1" applyBorder="1" applyAlignment="1">
      <alignment horizontal="left" vertical="top" wrapText="1"/>
    </xf>
    <xf numFmtId="0" fontId="38" fillId="43" borderId="18" xfId="0" applyFont="1" applyFill="1" applyBorder="1" applyAlignment="1">
      <alignment horizontal="center" vertical="top"/>
    </xf>
    <xf numFmtId="0" fontId="39" fillId="43" borderId="18" xfId="0" applyFont="1" applyFill="1" applyBorder="1" applyAlignment="1">
      <alignment horizontal="center" vertical="top"/>
    </xf>
    <xf numFmtId="0" fontId="38" fillId="43" borderId="18" xfId="0" applyFont="1" applyFill="1" applyBorder="1" applyAlignment="1">
      <alignment vertical="top" wrapText="1"/>
    </xf>
    <xf numFmtId="0" fontId="43" fillId="31" borderId="0" xfId="0" applyFont="1" applyFill="1" applyAlignment="1">
      <alignment vertical="top"/>
    </xf>
    <xf numFmtId="0" fontId="10" fillId="31" borderId="0" xfId="0" applyFont="1" applyFill="1" applyAlignment="1">
      <alignment vertical="top"/>
    </xf>
    <xf numFmtId="0" fontId="25" fillId="31" borderId="0" xfId="0" applyFont="1" applyFill="1" applyAlignment="1">
      <alignment vertical="top"/>
    </xf>
    <xf numFmtId="0" fontId="43" fillId="9" borderId="18" xfId="0" applyFont="1" applyFill="1" applyBorder="1" applyAlignment="1">
      <alignment horizontal="left" vertical="top" wrapText="1"/>
    </xf>
    <xf numFmtId="0" fontId="38" fillId="0" borderId="18" xfId="0" applyFont="1" applyBorder="1" applyAlignment="1">
      <alignment horizontal="left" vertical="top" wrapText="1"/>
    </xf>
    <xf numFmtId="0" fontId="52" fillId="41" borderId="18" xfId="0" applyFont="1" applyFill="1" applyBorder="1" applyAlignment="1">
      <alignment horizontal="left" vertical="top" wrapText="1"/>
    </xf>
    <xf numFmtId="0" fontId="10" fillId="2" borderId="7" xfId="4" applyFont="1" applyFill="1" applyBorder="1" applyAlignment="1" applyProtection="1">
      <alignment horizontal="center"/>
      <protection locked="0"/>
    </xf>
    <xf numFmtId="3" fontId="10" fillId="2" borderId="7" xfId="4" applyNumberFormat="1" applyFont="1" applyFill="1" applyBorder="1" applyAlignment="1" applyProtection="1">
      <alignment horizontal="center"/>
      <protection locked="0"/>
    </xf>
    <xf numFmtId="1" fontId="10" fillId="3" borderId="7" xfId="7" applyNumberFormat="1" applyFont="1" applyFill="1" applyBorder="1" applyAlignment="1">
      <alignment horizontal="center"/>
    </xf>
    <xf numFmtId="165" fontId="10" fillId="2" borderId="7" xfId="7" applyNumberFormat="1" applyFont="1" applyFill="1" applyBorder="1" applyAlignment="1">
      <alignment horizontal="center"/>
    </xf>
    <xf numFmtId="0" fontId="9" fillId="11" borderId="13"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9" fillId="10" borderId="0" xfId="0" applyFont="1" applyFill="1" applyAlignment="1" applyProtection="1">
      <alignment horizontal="center"/>
      <protection locked="0"/>
    </xf>
    <xf numFmtId="0" fontId="9" fillId="10" borderId="3" xfId="0" applyFont="1" applyFill="1" applyBorder="1" applyAlignment="1" applyProtection="1">
      <alignment horizontal="center"/>
      <protection locked="0"/>
    </xf>
    <xf numFmtId="0" fontId="9" fillId="4" borderId="0" xfId="0" applyFont="1" applyFill="1" applyAlignment="1" applyProtection="1">
      <alignment horizontal="center"/>
      <protection locked="0"/>
    </xf>
    <xf numFmtId="0" fontId="9" fillId="4" borderId="3" xfId="0" applyFont="1" applyFill="1" applyBorder="1" applyAlignment="1" applyProtection="1">
      <alignment horizontal="center"/>
      <protection locked="0"/>
    </xf>
    <xf numFmtId="0" fontId="9" fillId="11" borderId="13"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13" xfId="0" applyFont="1" applyFill="1" applyBorder="1" applyAlignment="1">
      <alignment horizontal="center"/>
    </xf>
    <xf numFmtId="0" fontId="9" fillId="8" borderId="0" xfId="6" applyFont="1" applyFill="1" applyAlignment="1">
      <alignment horizontal="left"/>
    </xf>
    <xf numFmtId="0" fontId="29" fillId="0" borderId="0" xfId="6" applyFont="1" applyAlignment="1">
      <alignment horizontal="center"/>
    </xf>
    <xf numFmtId="0" fontId="30" fillId="0" borderId="0" xfId="6" applyFont="1" applyAlignment="1">
      <alignment horizontal="center"/>
    </xf>
    <xf numFmtId="0" fontId="9" fillId="0" borderId="0" xfId="6" applyFont="1" applyAlignment="1">
      <alignment horizontal="center"/>
    </xf>
    <xf numFmtId="0" fontId="9" fillId="4" borderId="0" xfId="6" applyFont="1" applyFill="1" applyAlignment="1">
      <alignment horizontal="left"/>
    </xf>
    <xf numFmtId="0" fontId="9" fillId="4" borderId="2" xfId="0" applyFont="1" applyFill="1" applyBorder="1" applyAlignment="1">
      <alignment horizontal="left" vertical="top" wrapText="1"/>
    </xf>
    <xf numFmtId="0" fontId="38" fillId="9" borderId="0" xfId="0" applyFont="1" applyFill="1" applyAlignment="1">
      <alignment horizontal="center"/>
    </xf>
    <xf numFmtId="0" fontId="29" fillId="9" borderId="0" xfId="6" applyFont="1" applyFill="1" applyAlignment="1">
      <alignment horizontal="center"/>
    </xf>
    <xf numFmtId="0" fontId="30" fillId="9" borderId="0" xfId="6" applyFont="1" applyFill="1" applyAlignment="1">
      <alignment horizontal="center"/>
    </xf>
    <xf numFmtId="0" fontId="9" fillId="9" borderId="0" xfId="6" applyFont="1" applyFill="1" applyAlignment="1">
      <alignment horizontal="center"/>
    </xf>
    <xf numFmtId="0" fontId="9" fillId="10" borderId="14" xfId="0" applyFont="1" applyFill="1" applyBorder="1" applyAlignment="1">
      <alignment horizontal="left"/>
    </xf>
    <xf numFmtId="0" fontId="17" fillId="0" borderId="4" xfId="0" applyFont="1" applyBorder="1" applyAlignment="1">
      <alignment horizontal="center"/>
    </xf>
    <xf numFmtId="0" fontId="17" fillId="0" borderId="0" xfId="0" applyFont="1" applyAlignment="1">
      <alignment horizontal="center"/>
    </xf>
    <xf numFmtId="0" fontId="29" fillId="0" borderId="4" xfId="0" applyFont="1" applyBorder="1" applyAlignment="1">
      <alignment horizontal="center"/>
    </xf>
    <xf numFmtId="0" fontId="29" fillId="0" borderId="0" xfId="0" applyFont="1" applyAlignment="1">
      <alignment horizontal="center"/>
    </xf>
    <xf numFmtId="0" fontId="30" fillId="0" borderId="4" xfId="0" applyFont="1" applyBorder="1" applyAlignment="1">
      <alignment horizontal="center"/>
    </xf>
    <xf numFmtId="0" fontId="30" fillId="0" borderId="0" xfId="0" applyFont="1" applyAlignment="1">
      <alignment horizontal="center"/>
    </xf>
    <xf numFmtId="0" fontId="9" fillId="0" borderId="11" xfId="0" applyFont="1" applyBorder="1" applyAlignment="1">
      <alignment horizontal="center"/>
    </xf>
    <xf numFmtId="0" fontId="9" fillId="0" borderId="0" xfId="0" applyFont="1" applyAlignment="1">
      <alignment horizontal="center"/>
    </xf>
    <xf numFmtId="0" fontId="9" fillId="4" borderId="0" xfId="0" applyFont="1" applyFill="1" applyAlignment="1">
      <alignment horizontal="left"/>
    </xf>
    <xf numFmtId="0" fontId="17" fillId="0" borderId="9" xfId="0" applyFont="1" applyBorder="1" applyAlignment="1">
      <alignment horizontal="center"/>
    </xf>
    <xf numFmtId="0" fontId="17" fillId="0" borderId="10" xfId="0" applyFont="1" applyBorder="1" applyAlignment="1">
      <alignment horizontal="center"/>
    </xf>
    <xf numFmtId="0" fontId="17" fillId="0" borderId="16" xfId="0" applyFont="1" applyBorder="1" applyAlignment="1">
      <alignment horizontal="center"/>
    </xf>
    <xf numFmtId="0" fontId="29" fillId="0" borderId="11" xfId="0" applyFont="1" applyBorder="1" applyAlignment="1">
      <alignment horizontal="center"/>
    </xf>
    <xf numFmtId="0" fontId="29" fillId="0" borderId="12" xfId="0" applyFont="1" applyBorder="1" applyAlignment="1">
      <alignment horizontal="center"/>
    </xf>
    <xf numFmtId="0" fontId="30" fillId="0" borderId="11" xfId="0" applyFont="1" applyBorder="1" applyAlignment="1">
      <alignment horizontal="center"/>
    </xf>
    <xf numFmtId="0" fontId="30" fillId="0" borderId="12" xfId="0" applyFont="1" applyBorder="1" applyAlignment="1">
      <alignment horizontal="center"/>
    </xf>
    <xf numFmtId="0" fontId="9" fillId="0" borderId="12" xfId="0" applyFont="1" applyBorder="1" applyAlignment="1">
      <alignment horizontal="center"/>
    </xf>
    <xf numFmtId="0" fontId="9" fillId="4" borderId="12" xfId="0" applyFont="1" applyFill="1" applyBorder="1" applyAlignment="1">
      <alignment horizontal="left"/>
    </xf>
    <xf numFmtId="0" fontId="9" fillId="10" borderId="0" xfId="0" applyFont="1" applyFill="1" applyAlignment="1">
      <alignment horizontal="left"/>
    </xf>
    <xf numFmtId="0" fontId="9" fillId="10" borderId="12" xfId="0" applyFont="1" applyFill="1" applyBorder="1" applyAlignment="1">
      <alignment horizontal="left"/>
    </xf>
    <xf numFmtId="0" fontId="14" fillId="11" borderId="5" xfId="0" applyFont="1" applyFill="1" applyBorder="1" applyAlignment="1">
      <alignment horizontal="center" vertical="center" wrapText="1"/>
    </xf>
    <xf numFmtId="0" fontId="21" fillId="11" borderId="6" xfId="3" applyFont="1" applyFill="1" applyBorder="1" applyAlignment="1">
      <alignment horizontal="center" vertical="center"/>
    </xf>
    <xf numFmtId="0" fontId="21" fillId="11" borderId="13" xfId="3" applyFont="1" applyFill="1" applyBorder="1" applyAlignment="1">
      <alignment horizontal="center" vertical="center"/>
    </xf>
    <xf numFmtId="0" fontId="21" fillId="11" borderId="6" xfId="3" applyFont="1" applyFill="1" applyBorder="1" applyAlignment="1">
      <alignment horizontal="center" vertical="center" wrapText="1"/>
    </xf>
    <xf numFmtId="0" fontId="21" fillId="11" borderId="13" xfId="3" applyFont="1" applyFill="1" applyBorder="1" applyAlignment="1">
      <alignment horizontal="center" vertical="center" wrapText="1"/>
    </xf>
    <xf numFmtId="0" fontId="14" fillId="11" borderId="5" xfId="0" applyFont="1" applyFill="1" applyBorder="1" applyAlignment="1">
      <alignment horizontal="center" vertical="center"/>
    </xf>
    <xf numFmtId="0" fontId="21" fillId="11" borderId="5" xfId="3" applyFont="1" applyFill="1" applyBorder="1" applyAlignment="1">
      <alignment horizontal="center" vertical="center"/>
    </xf>
    <xf numFmtId="0" fontId="21" fillId="11" borderId="5" xfId="3" applyFont="1" applyFill="1" applyBorder="1" applyAlignment="1">
      <alignment horizontal="center" textRotation="90"/>
    </xf>
    <xf numFmtId="43" fontId="4" fillId="9" borderId="0" xfId="7" applyFont="1" applyFill="1"/>
    <xf numFmtId="166" fontId="4" fillId="9" borderId="0" xfId="4" applyNumberFormat="1" applyFill="1"/>
    <xf numFmtId="164" fontId="4" fillId="9" borderId="0" xfId="4" applyNumberFormat="1" applyFill="1"/>
    <xf numFmtId="9" fontId="17" fillId="13" borderId="6" xfId="20" applyFont="1" applyFill="1" applyBorder="1" applyAlignment="1" applyProtection="1">
      <alignment vertical="top"/>
      <protection hidden="1"/>
    </xf>
    <xf numFmtId="9" fontId="17" fillId="15" borderId="7" xfId="20" applyFont="1" applyFill="1" applyBorder="1" applyAlignment="1" applyProtection="1">
      <alignment vertical="top"/>
      <protection hidden="1"/>
    </xf>
    <xf numFmtId="9" fontId="17" fillId="14" borderId="7" xfId="20" applyFont="1" applyFill="1" applyBorder="1" applyAlignment="1" applyProtection="1">
      <alignment vertical="top"/>
      <protection hidden="1"/>
    </xf>
    <xf numFmtId="9" fontId="17" fillId="9" borderId="7" xfId="20" applyFont="1" applyFill="1" applyBorder="1" applyAlignment="1" applyProtection="1">
      <alignment vertical="top"/>
      <protection hidden="1"/>
    </xf>
    <xf numFmtId="9" fontId="18" fillId="9" borderId="7" xfId="20" applyFont="1" applyFill="1" applyBorder="1" applyAlignment="1" applyProtection="1">
      <alignment vertical="top"/>
      <protection locked="0"/>
    </xf>
    <xf numFmtId="9" fontId="17" fillId="9" borderId="7" xfId="20" applyFont="1" applyFill="1" applyBorder="1" applyAlignment="1" applyProtection="1">
      <alignment vertical="top"/>
    </xf>
    <xf numFmtId="9" fontId="17" fillId="14" borderId="7" xfId="20" applyFont="1" applyFill="1" applyBorder="1" applyAlignment="1" applyProtection="1">
      <alignment vertical="top"/>
    </xf>
    <xf numFmtId="9" fontId="18" fillId="9" borderId="7" xfId="20" applyFont="1" applyFill="1" applyBorder="1" applyAlignment="1" applyProtection="1">
      <alignment vertical="top"/>
    </xf>
    <xf numFmtId="9" fontId="17" fillId="9" borderId="7" xfId="20" applyFont="1" applyFill="1" applyBorder="1" applyAlignment="1" applyProtection="1">
      <alignment vertical="top"/>
      <protection locked="0"/>
    </xf>
    <xf numFmtId="9" fontId="19" fillId="9" borderId="15" xfId="20" applyFont="1" applyFill="1" applyBorder="1" applyProtection="1">
      <protection locked="0"/>
    </xf>
    <xf numFmtId="9" fontId="17" fillId="13" borderId="6" xfId="20" applyFont="1" applyFill="1" applyBorder="1" applyAlignment="1" applyProtection="1">
      <alignment vertical="center"/>
      <protection hidden="1"/>
    </xf>
    <xf numFmtId="9" fontId="17" fillId="9" borderId="7" xfId="20" applyFont="1" applyFill="1" applyBorder="1" applyAlignment="1" applyProtection="1">
      <alignment vertical="center"/>
      <protection hidden="1"/>
    </xf>
    <xf numFmtId="9" fontId="18" fillId="9" borderId="7" xfId="20" applyFont="1" applyFill="1" applyBorder="1" applyAlignment="1" applyProtection="1">
      <alignment vertical="top"/>
      <protection hidden="1"/>
    </xf>
    <xf numFmtId="9" fontId="18" fillId="9" borderId="7" xfId="20" applyFont="1" applyFill="1" applyBorder="1" applyAlignment="1" applyProtection="1">
      <alignment vertical="center"/>
      <protection locked="0"/>
    </xf>
    <xf numFmtId="9" fontId="17" fillId="14" borderId="7" xfId="20" applyFont="1" applyFill="1" applyBorder="1" applyAlignment="1" applyProtection="1">
      <alignment vertical="center"/>
      <protection hidden="1"/>
    </xf>
    <xf numFmtId="9" fontId="17" fillId="15" borderId="7" xfId="20" applyFont="1" applyFill="1" applyBorder="1" applyAlignment="1" applyProtection="1">
      <alignment vertical="center"/>
      <protection hidden="1"/>
    </xf>
    <xf numFmtId="9" fontId="17" fillId="9" borderId="7" xfId="20" applyFont="1" applyFill="1" applyBorder="1" applyAlignment="1" applyProtection="1">
      <alignment vertical="center"/>
    </xf>
    <xf numFmtId="9" fontId="17" fillId="9" borderId="7" xfId="20" applyFont="1" applyFill="1" applyBorder="1" applyAlignment="1" applyProtection="1">
      <alignment vertical="center"/>
      <protection locked="0"/>
    </xf>
  </cellXfs>
  <cellStyles count="21">
    <cellStyle name="Millares" xfId="7" builtinId="3"/>
    <cellStyle name="Millares 2" xfId="1"/>
    <cellStyle name="Millares 2 2" xfId="12"/>
    <cellStyle name="Millares 2 3" xfId="16"/>
    <cellStyle name="Millares 2 4" xfId="8"/>
    <cellStyle name="Millares 3" xfId="5"/>
    <cellStyle name="Normal" xfId="0" builtinId="0"/>
    <cellStyle name="Normal 2" xfId="2"/>
    <cellStyle name="Normal 2 2" xfId="3"/>
    <cellStyle name="Normal 2 2 2" xfId="14"/>
    <cellStyle name="Normal 2 2 3" xfId="18"/>
    <cellStyle name="Normal 2 2 4" xfId="10"/>
    <cellStyle name="Normal 2 3" xfId="13"/>
    <cellStyle name="Normal 2 4" xfId="17"/>
    <cellStyle name="Normal 2 5" xfId="9"/>
    <cellStyle name="Normal 3" xfId="4"/>
    <cellStyle name="Normal 4" xfId="6"/>
    <cellStyle name="Normal 4 2" xfId="15"/>
    <cellStyle name="Normal 4 3" xfId="19"/>
    <cellStyle name="Normal 4 4" xfId="11"/>
    <cellStyle name="Porcentaje" xfId="20" builtinId="5"/>
  </cellStyles>
  <dxfs count="29">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0"/>
        <color auto="1"/>
        <name val="Calibri"/>
        <scheme val="minor"/>
      </font>
      <numFmt numFmtId="4" formatCode="#,##0.00"/>
      <fill>
        <patternFill patternType="none">
          <fgColor indexed="64"/>
          <bgColor auto="1"/>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4" formatCode="#,##0.00"/>
      <fill>
        <patternFill patternType="none">
          <fgColor indexed="64"/>
          <bgColor auto="1"/>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4" formatCode="#,##0.00"/>
      <fill>
        <patternFill patternType="none">
          <fgColor indexed="64"/>
          <bgColor auto="1"/>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Calibri"/>
        <scheme val="minor"/>
      </font>
      <numFmt numFmtId="0" formatCode="General"/>
      <fill>
        <patternFill patternType="none">
          <fgColor indexed="64"/>
          <bgColor auto="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top"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scheme val="minor"/>
      </font>
    </dxf>
    <dxf>
      <font>
        <strike val="0"/>
        <outline val="0"/>
        <shadow val="0"/>
        <u val="none"/>
        <vertAlign val="baseline"/>
        <sz val="10"/>
        <color auto="1"/>
        <name val="Calibri"/>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scheme val="minor"/>
      </font>
    </dxf>
    <dxf>
      <font>
        <strike val="0"/>
        <outline val="0"/>
        <shadow val="0"/>
        <u val="none"/>
        <vertAlign val="baseline"/>
        <sz val="10"/>
        <color auto="1"/>
        <name val="Calibri"/>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scheme val="minor"/>
      </font>
    </dxf>
    <dxf>
      <font>
        <strike val="0"/>
        <outline val="0"/>
        <shadow val="0"/>
        <u val="none"/>
        <vertAlign val="baseline"/>
        <sz val="10"/>
        <color auto="1"/>
        <name val="Calibri"/>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scheme val="minor"/>
      </font>
    </dxf>
    <dxf>
      <font>
        <strike val="0"/>
        <outline val="0"/>
        <shadow val="0"/>
        <u val="none"/>
        <vertAlign val="baseline"/>
        <sz val="10"/>
        <color auto="1"/>
        <name val="Calibri"/>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scheme val="minor"/>
      </font>
    </dxf>
    <dxf>
      <font>
        <strike val="0"/>
        <outline val="0"/>
        <shadow val="0"/>
        <u val="none"/>
        <vertAlign val="baseline"/>
        <sz val="10"/>
        <color auto="1"/>
        <name val="Calibri"/>
        <scheme val="minor"/>
      </font>
      <numFmt numFmtId="0" formatCode="General"/>
      <fill>
        <patternFill patternType="none">
          <fgColor indexed="64"/>
          <bgColor auto="1"/>
        </patternFill>
      </fill>
    </dxf>
    <dxf>
      <font>
        <strike val="0"/>
        <outline val="0"/>
        <shadow val="0"/>
        <u val="none"/>
        <vertAlign val="baseline"/>
        <sz val="10"/>
        <color auto="1"/>
        <name val="Calibri"/>
        <scheme val="minor"/>
      </font>
    </dxf>
    <dxf>
      <font>
        <strike val="0"/>
        <outline val="0"/>
        <shadow val="0"/>
        <u val="none"/>
        <vertAlign val="baseline"/>
        <sz val="10"/>
        <color auto="1"/>
        <name val="Calibri"/>
        <scheme val="minor"/>
      </font>
      <fill>
        <patternFill patternType="none">
          <fgColor indexed="64"/>
          <bgColor auto="1"/>
        </patternFill>
      </fill>
    </dxf>
    <dxf>
      <font>
        <b/>
        <i val="0"/>
        <strike val="0"/>
        <condense val="0"/>
        <extend val="0"/>
        <outline val="0"/>
        <shadow val="0"/>
        <u val="none"/>
        <vertAlign val="baseline"/>
        <sz val="10"/>
        <color auto="1"/>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0</xdr:row>
      <xdr:rowOff>28575</xdr:rowOff>
    </xdr:from>
    <xdr:to>
      <xdr:col>0</xdr:col>
      <xdr:colOff>2038350</xdr:colOff>
      <xdr:row>5</xdr:row>
      <xdr:rowOff>19223</xdr:rowOff>
    </xdr:to>
    <xdr:pic>
      <xdr:nvPicPr>
        <xdr:cNvPr id="2" name="Imagen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8575"/>
          <a:ext cx="1819275" cy="8764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47625</xdr:rowOff>
    </xdr:from>
    <xdr:to>
      <xdr:col>0</xdr:col>
      <xdr:colOff>2076450</xdr:colOff>
      <xdr:row>4</xdr:row>
      <xdr:rowOff>136207</xdr:rowOff>
    </xdr:to>
    <xdr:pic>
      <xdr:nvPicPr>
        <xdr:cNvPr id="2" name="Imagen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47625"/>
          <a:ext cx="1828800" cy="881062"/>
        </a:xfrm>
        <a:prstGeom prst="rect">
          <a:avLst/>
        </a:prstGeom>
      </xdr:spPr>
    </xdr:pic>
    <xdr:clientData/>
  </xdr:twoCellAnchor>
  <xdr:oneCellAnchor>
    <xdr:from>
      <xdr:col>1</xdr:col>
      <xdr:colOff>647700</xdr:colOff>
      <xdr:row>148</xdr:row>
      <xdr:rowOff>0</xdr:rowOff>
    </xdr:from>
    <xdr:ext cx="752475" cy="0"/>
    <xdr:pic>
      <xdr:nvPicPr>
        <xdr:cNvPr id="3" name="2 Imagen">
          <a:extLst>
            <a:ext uri="{FF2B5EF4-FFF2-40B4-BE49-F238E27FC236}">
              <a16:creationId xmlns:a16="http://schemas.microsoft.com/office/drawing/2014/main" xmlns=""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44110275"/>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4" name="2 Imagen">
          <a:extLst>
            <a:ext uri="{FF2B5EF4-FFF2-40B4-BE49-F238E27FC236}">
              <a16:creationId xmlns:a16="http://schemas.microsoft.com/office/drawing/2014/main" xmlns=""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5" name="2 Imagen">
          <a:extLst>
            <a:ext uri="{FF2B5EF4-FFF2-40B4-BE49-F238E27FC236}">
              <a16:creationId xmlns:a16="http://schemas.microsoft.com/office/drawing/2014/main" xmlns=""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6" name="2 Imagen">
          <a:extLst>
            <a:ext uri="{FF2B5EF4-FFF2-40B4-BE49-F238E27FC236}">
              <a16:creationId xmlns:a16="http://schemas.microsoft.com/office/drawing/2014/main" xmlns="" id="{00000000-0008-0000-0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7" name="2 Imagen">
          <a:extLst>
            <a:ext uri="{FF2B5EF4-FFF2-40B4-BE49-F238E27FC236}">
              <a16:creationId xmlns:a16="http://schemas.microsoft.com/office/drawing/2014/main" xmlns="" id="{00000000-0008-0000-01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8" name="2 Imagen">
          <a:extLst>
            <a:ext uri="{FF2B5EF4-FFF2-40B4-BE49-F238E27FC236}">
              <a16:creationId xmlns:a16="http://schemas.microsoft.com/office/drawing/2014/main" xmlns="" id="{00000000-0008-0000-01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9" name="2 Imagen">
          <a:extLst>
            <a:ext uri="{FF2B5EF4-FFF2-40B4-BE49-F238E27FC236}">
              <a16:creationId xmlns:a16="http://schemas.microsoft.com/office/drawing/2014/main" xmlns="" id="{00000000-0008-0000-01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10" name="2 Imagen">
          <a:extLst>
            <a:ext uri="{FF2B5EF4-FFF2-40B4-BE49-F238E27FC236}">
              <a16:creationId xmlns:a16="http://schemas.microsoft.com/office/drawing/2014/main" xmlns="" id="{00000000-0008-0000-01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1905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11" name="2 Imagen">
          <a:extLst>
            <a:ext uri="{FF2B5EF4-FFF2-40B4-BE49-F238E27FC236}">
              <a16:creationId xmlns:a16="http://schemas.microsoft.com/office/drawing/2014/main" xmlns="" id="{00000000-0008-0000-01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128575"/>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647700</xdr:colOff>
      <xdr:row>148</xdr:row>
      <xdr:rowOff>0</xdr:rowOff>
    </xdr:from>
    <xdr:ext cx="752475" cy="0"/>
    <xdr:pic>
      <xdr:nvPicPr>
        <xdr:cNvPr id="12" name="2 Imagen">
          <a:extLst>
            <a:ext uri="{FF2B5EF4-FFF2-40B4-BE49-F238E27FC236}">
              <a16:creationId xmlns:a16="http://schemas.microsoft.com/office/drawing/2014/main" xmlns="" id="{00000000-0008-0000-01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14800" y="38290500"/>
          <a:ext cx="7524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190500</xdr:colOff>
      <xdr:row>0</xdr:row>
      <xdr:rowOff>47625</xdr:rowOff>
    </xdr:from>
    <xdr:to>
      <xdr:col>7</xdr:col>
      <xdr:colOff>762000</xdr:colOff>
      <xdr:row>4</xdr:row>
      <xdr:rowOff>157162</xdr:rowOff>
    </xdr:to>
    <xdr:pic>
      <xdr:nvPicPr>
        <xdr:cNvPr id="4" name="Imagen 3">
          <a:extLst>
            <a:ext uri="{FF2B5EF4-FFF2-40B4-BE49-F238E27FC236}">
              <a16:creationId xmlns:a16="http://schemas.microsoft.com/office/drawing/2014/main" xmlns="" id="{BD748410-37AD-4D20-B061-C55B5B09BF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47625"/>
          <a:ext cx="1828800" cy="8810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533400</xdr:colOff>
      <xdr:row>7</xdr:row>
      <xdr:rowOff>0</xdr:rowOff>
    </xdr:from>
    <xdr:to>
      <xdr:col>4</xdr:col>
      <xdr:colOff>152400</xdr:colOff>
      <xdr:row>7</xdr:row>
      <xdr:rowOff>0</xdr:rowOff>
    </xdr:to>
    <xdr:pic>
      <xdr:nvPicPr>
        <xdr:cNvPr id="58483" name="2 Imagen">
          <a:extLst>
            <a:ext uri="{FF2B5EF4-FFF2-40B4-BE49-F238E27FC236}">
              <a16:creationId xmlns:a16="http://schemas.microsoft.com/office/drawing/2014/main" xmlns="" id="{00000000-0008-0000-0300-000073E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295400"/>
          <a:ext cx="533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295275</xdr:colOff>
      <xdr:row>5</xdr:row>
      <xdr:rowOff>173</xdr:rowOff>
    </xdr:to>
    <xdr:pic>
      <xdr:nvPicPr>
        <xdr:cNvPr id="3" name="Imagen 2">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19275" cy="8764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5080</xdr:colOff>
      <xdr:row>140</xdr:row>
      <xdr:rowOff>0</xdr:rowOff>
    </xdr:from>
    <xdr:to>
      <xdr:col>5</xdr:col>
      <xdr:colOff>150872</xdr:colOff>
      <xdr:row>140</xdr:row>
      <xdr:rowOff>0</xdr:rowOff>
    </xdr:to>
    <xdr:sp macro="" textlink="">
      <xdr:nvSpPr>
        <xdr:cNvPr id="6" name="Text Box 6">
          <a:extLst>
            <a:ext uri="{FF2B5EF4-FFF2-40B4-BE49-F238E27FC236}">
              <a16:creationId xmlns:a16="http://schemas.microsoft.com/office/drawing/2014/main" xmlns="" id="{00000000-0008-0000-0400-000006000000}"/>
            </a:ext>
          </a:extLst>
        </xdr:cNvPr>
        <xdr:cNvSpPr txBox="1">
          <a:spLocks noChangeArrowheads="1"/>
        </xdr:cNvSpPr>
      </xdr:nvSpPr>
      <xdr:spPr bwMode="auto">
        <a:xfrm>
          <a:off x="1319530" y="26460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7" name="Text Box 3">
          <a:extLst>
            <a:ext uri="{FF2B5EF4-FFF2-40B4-BE49-F238E27FC236}">
              <a16:creationId xmlns:a16="http://schemas.microsoft.com/office/drawing/2014/main" xmlns="" id="{00000000-0008-0000-0400-000007000000}"/>
            </a:ext>
          </a:extLst>
        </xdr:cNvPr>
        <xdr:cNvSpPr txBox="1">
          <a:spLocks noChangeArrowheads="1"/>
        </xdr:cNvSpPr>
      </xdr:nvSpPr>
      <xdr:spPr bwMode="auto">
        <a:xfrm>
          <a:off x="1317625" y="38717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8" name="Text Box 6">
          <a:extLst>
            <a:ext uri="{FF2B5EF4-FFF2-40B4-BE49-F238E27FC236}">
              <a16:creationId xmlns:a16="http://schemas.microsoft.com/office/drawing/2014/main" xmlns="" id="{00000000-0008-0000-0400-000008000000}"/>
            </a:ext>
          </a:extLst>
        </xdr:cNvPr>
        <xdr:cNvSpPr txBox="1">
          <a:spLocks noChangeArrowheads="1"/>
        </xdr:cNvSpPr>
      </xdr:nvSpPr>
      <xdr:spPr bwMode="auto">
        <a:xfrm>
          <a:off x="1319530" y="26460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9" name="Text Box 3">
          <a:extLst>
            <a:ext uri="{FF2B5EF4-FFF2-40B4-BE49-F238E27FC236}">
              <a16:creationId xmlns:a16="http://schemas.microsoft.com/office/drawing/2014/main" xmlns="" id="{00000000-0008-0000-0400-000009000000}"/>
            </a:ext>
          </a:extLst>
        </xdr:cNvPr>
        <xdr:cNvSpPr txBox="1">
          <a:spLocks noChangeArrowheads="1"/>
        </xdr:cNvSpPr>
      </xdr:nvSpPr>
      <xdr:spPr bwMode="auto">
        <a:xfrm>
          <a:off x="1317625" y="38717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10" name="Text Box 6">
          <a:extLst>
            <a:ext uri="{FF2B5EF4-FFF2-40B4-BE49-F238E27FC236}">
              <a16:creationId xmlns:a16="http://schemas.microsoft.com/office/drawing/2014/main" xmlns="" id="{00000000-0008-0000-0400-00000A000000}"/>
            </a:ext>
          </a:extLst>
        </xdr:cNvPr>
        <xdr:cNvSpPr txBox="1">
          <a:spLocks noChangeArrowheads="1"/>
        </xdr:cNvSpPr>
      </xdr:nvSpPr>
      <xdr:spPr bwMode="auto">
        <a:xfrm>
          <a:off x="1319530" y="26460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11" name="Text Box 3">
          <a:extLst>
            <a:ext uri="{FF2B5EF4-FFF2-40B4-BE49-F238E27FC236}">
              <a16:creationId xmlns:a16="http://schemas.microsoft.com/office/drawing/2014/main" xmlns="" id="{00000000-0008-0000-0400-00000B000000}"/>
            </a:ext>
          </a:extLst>
        </xdr:cNvPr>
        <xdr:cNvSpPr txBox="1">
          <a:spLocks noChangeArrowheads="1"/>
        </xdr:cNvSpPr>
      </xdr:nvSpPr>
      <xdr:spPr bwMode="auto">
        <a:xfrm>
          <a:off x="1317625" y="38717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12" name="Text Box 6">
          <a:extLst>
            <a:ext uri="{FF2B5EF4-FFF2-40B4-BE49-F238E27FC236}">
              <a16:creationId xmlns:a16="http://schemas.microsoft.com/office/drawing/2014/main" xmlns="" id="{00000000-0008-0000-0400-00000C000000}"/>
            </a:ext>
          </a:extLst>
        </xdr:cNvPr>
        <xdr:cNvSpPr txBox="1">
          <a:spLocks noChangeArrowheads="1"/>
        </xdr:cNvSpPr>
      </xdr:nvSpPr>
      <xdr:spPr bwMode="auto">
        <a:xfrm>
          <a:off x="1319530" y="26460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13" name="Text Box 3">
          <a:extLst>
            <a:ext uri="{FF2B5EF4-FFF2-40B4-BE49-F238E27FC236}">
              <a16:creationId xmlns:a16="http://schemas.microsoft.com/office/drawing/2014/main" xmlns="" id="{00000000-0008-0000-0400-00000D000000}"/>
            </a:ext>
          </a:extLst>
        </xdr:cNvPr>
        <xdr:cNvSpPr txBox="1">
          <a:spLocks noChangeArrowheads="1"/>
        </xdr:cNvSpPr>
      </xdr:nvSpPr>
      <xdr:spPr bwMode="auto">
        <a:xfrm>
          <a:off x="1317625" y="38717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4" name="Text Box 6">
          <a:extLst>
            <a:ext uri="{FF2B5EF4-FFF2-40B4-BE49-F238E27FC236}">
              <a16:creationId xmlns:a16="http://schemas.microsoft.com/office/drawing/2014/main" xmlns="" id="{00000000-0008-0000-0400-00000E000000}"/>
            </a:ext>
          </a:extLst>
        </xdr:cNvPr>
        <xdr:cNvSpPr txBox="1">
          <a:spLocks noChangeArrowheads="1"/>
        </xdr:cNvSpPr>
      </xdr:nvSpPr>
      <xdr:spPr bwMode="auto">
        <a:xfrm>
          <a:off x="1319530" y="27603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5" name="Text Box 3">
          <a:extLst>
            <a:ext uri="{FF2B5EF4-FFF2-40B4-BE49-F238E27FC236}">
              <a16:creationId xmlns:a16="http://schemas.microsoft.com/office/drawing/2014/main" xmlns="" id="{00000000-0008-0000-0400-00000F000000}"/>
            </a:ext>
          </a:extLst>
        </xdr:cNvPr>
        <xdr:cNvSpPr txBox="1">
          <a:spLocks noChangeArrowheads="1"/>
        </xdr:cNvSpPr>
      </xdr:nvSpPr>
      <xdr:spPr bwMode="auto">
        <a:xfrm>
          <a:off x="1317625" y="41765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6" name="Text Box 6">
          <a:extLst>
            <a:ext uri="{FF2B5EF4-FFF2-40B4-BE49-F238E27FC236}">
              <a16:creationId xmlns:a16="http://schemas.microsoft.com/office/drawing/2014/main" xmlns="" id="{00000000-0008-0000-0400-000010000000}"/>
            </a:ext>
          </a:extLst>
        </xdr:cNvPr>
        <xdr:cNvSpPr txBox="1">
          <a:spLocks noChangeArrowheads="1"/>
        </xdr:cNvSpPr>
      </xdr:nvSpPr>
      <xdr:spPr bwMode="auto">
        <a:xfrm>
          <a:off x="1319530" y="27603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7" name="Text Box 3">
          <a:extLst>
            <a:ext uri="{FF2B5EF4-FFF2-40B4-BE49-F238E27FC236}">
              <a16:creationId xmlns:a16="http://schemas.microsoft.com/office/drawing/2014/main" xmlns="" id="{00000000-0008-0000-0400-000011000000}"/>
            </a:ext>
          </a:extLst>
        </xdr:cNvPr>
        <xdr:cNvSpPr txBox="1">
          <a:spLocks noChangeArrowheads="1"/>
        </xdr:cNvSpPr>
      </xdr:nvSpPr>
      <xdr:spPr bwMode="auto">
        <a:xfrm>
          <a:off x="1317625" y="41765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8" name="Text Box 6">
          <a:extLst>
            <a:ext uri="{FF2B5EF4-FFF2-40B4-BE49-F238E27FC236}">
              <a16:creationId xmlns:a16="http://schemas.microsoft.com/office/drawing/2014/main" xmlns="" id="{00000000-0008-0000-0400-000012000000}"/>
            </a:ext>
          </a:extLst>
        </xdr:cNvPr>
        <xdr:cNvSpPr txBox="1">
          <a:spLocks noChangeArrowheads="1"/>
        </xdr:cNvSpPr>
      </xdr:nvSpPr>
      <xdr:spPr bwMode="auto">
        <a:xfrm>
          <a:off x="1319530" y="27603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9" name="Text Box 3">
          <a:extLst>
            <a:ext uri="{FF2B5EF4-FFF2-40B4-BE49-F238E27FC236}">
              <a16:creationId xmlns:a16="http://schemas.microsoft.com/office/drawing/2014/main" xmlns="" id="{00000000-0008-0000-0400-000013000000}"/>
            </a:ext>
          </a:extLst>
        </xdr:cNvPr>
        <xdr:cNvSpPr txBox="1">
          <a:spLocks noChangeArrowheads="1"/>
        </xdr:cNvSpPr>
      </xdr:nvSpPr>
      <xdr:spPr bwMode="auto">
        <a:xfrm>
          <a:off x="1317625" y="41765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20" name="Text Box 6">
          <a:extLst>
            <a:ext uri="{FF2B5EF4-FFF2-40B4-BE49-F238E27FC236}">
              <a16:creationId xmlns:a16="http://schemas.microsoft.com/office/drawing/2014/main" xmlns="" id="{00000000-0008-0000-0400-000014000000}"/>
            </a:ext>
          </a:extLst>
        </xdr:cNvPr>
        <xdr:cNvSpPr txBox="1">
          <a:spLocks noChangeArrowheads="1"/>
        </xdr:cNvSpPr>
      </xdr:nvSpPr>
      <xdr:spPr bwMode="auto">
        <a:xfrm>
          <a:off x="1319530" y="276034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21" name="Text Box 3">
          <a:extLst>
            <a:ext uri="{FF2B5EF4-FFF2-40B4-BE49-F238E27FC236}">
              <a16:creationId xmlns:a16="http://schemas.microsoft.com/office/drawing/2014/main" xmlns="" id="{00000000-0008-0000-0400-000015000000}"/>
            </a:ext>
          </a:extLst>
        </xdr:cNvPr>
        <xdr:cNvSpPr txBox="1">
          <a:spLocks noChangeArrowheads="1"/>
        </xdr:cNvSpPr>
      </xdr:nvSpPr>
      <xdr:spPr bwMode="auto">
        <a:xfrm>
          <a:off x="1317625" y="41765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editAs="oneCell">
    <xdr:from>
      <xdr:col>0</xdr:col>
      <xdr:colOff>0</xdr:colOff>
      <xdr:row>0</xdr:row>
      <xdr:rowOff>0</xdr:rowOff>
    </xdr:from>
    <xdr:to>
      <xdr:col>4</xdr:col>
      <xdr:colOff>266700</xdr:colOff>
      <xdr:row>4</xdr:row>
      <xdr:rowOff>76373</xdr:rowOff>
    </xdr:to>
    <xdr:pic>
      <xdr:nvPicPr>
        <xdr:cNvPr id="22" name="Imagen 21">
          <a:extLst>
            <a:ext uri="{FF2B5EF4-FFF2-40B4-BE49-F238E27FC236}">
              <a16:creationId xmlns:a16="http://schemas.microsoft.com/office/drawing/2014/main" xmlns="" id="{00000000-0008-0000-04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19275" cy="876473"/>
        </a:xfrm>
        <a:prstGeom prst="rect">
          <a:avLst/>
        </a:prstGeom>
      </xdr:spPr>
    </xdr:pic>
    <xdr:clientData/>
  </xdr:twoCellAnchor>
  <xdr:twoCellAnchor>
    <xdr:from>
      <xdr:col>5</xdr:col>
      <xdr:colOff>3175</xdr:colOff>
      <xdr:row>159</xdr:row>
      <xdr:rowOff>160020</xdr:rowOff>
    </xdr:from>
    <xdr:to>
      <xdr:col>5</xdr:col>
      <xdr:colOff>407745</xdr:colOff>
      <xdr:row>159</xdr:row>
      <xdr:rowOff>160655</xdr:rowOff>
    </xdr:to>
    <xdr:sp macro="" textlink="">
      <xdr:nvSpPr>
        <xdr:cNvPr id="23" name="Text Box 3">
          <a:extLst>
            <a:ext uri="{FF2B5EF4-FFF2-40B4-BE49-F238E27FC236}">
              <a16:creationId xmlns:a16="http://schemas.microsoft.com/office/drawing/2014/main" xmlns="" id="{0C24532E-BED1-406A-8577-2AD1C3D1AD67}"/>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4" name="Text Box 3">
          <a:extLst>
            <a:ext uri="{FF2B5EF4-FFF2-40B4-BE49-F238E27FC236}">
              <a16:creationId xmlns:a16="http://schemas.microsoft.com/office/drawing/2014/main" xmlns="" id="{B70B2CB6-118E-4A97-914A-8C119B05321C}"/>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5" name="Text Box 3">
          <a:extLst>
            <a:ext uri="{FF2B5EF4-FFF2-40B4-BE49-F238E27FC236}">
              <a16:creationId xmlns:a16="http://schemas.microsoft.com/office/drawing/2014/main" xmlns="" id="{7237DB54-EDCA-4BDC-89E1-59FC2EE261A5}"/>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6" name="Text Box 3">
          <a:extLst>
            <a:ext uri="{FF2B5EF4-FFF2-40B4-BE49-F238E27FC236}">
              <a16:creationId xmlns:a16="http://schemas.microsoft.com/office/drawing/2014/main" xmlns="" id="{5D299474-0A03-4196-9E19-03CF341FC29D}"/>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27" name="Text Box 6">
          <a:extLst>
            <a:ext uri="{FF2B5EF4-FFF2-40B4-BE49-F238E27FC236}">
              <a16:creationId xmlns:a16="http://schemas.microsoft.com/office/drawing/2014/main" xmlns="" id="{18BE5AD3-1F10-4EA6-8BFF-3159015C811C}"/>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28" name="Text Box 3">
          <a:extLst>
            <a:ext uri="{FF2B5EF4-FFF2-40B4-BE49-F238E27FC236}">
              <a16:creationId xmlns:a16="http://schemas.microsoft.com/office/drawing/2014/main" xmlns="" id="{10928E5C-3FFF-47D8-B301-01B80E4F6CAA}"/>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29" name="Text Box 6">
          <a:extLst>
            <a:ext uri="{FF2B5EF4-FFF2-40B4-BE49-F238E27FC236}">
              <a16:creationId xmlns:a16="http://schemas.microsoft.com/office/drawing/2014/main" xmlns="" id="{B3406773-3044-400E-8840-E893AD8812AF}"/>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30" name="Text Box 3">
          <a:extLst>
            <a:ext uri="{FF2B5EF4-FFF2-40B4-BE49-F238E27FC236}">
              <a16:creationId xmlns:a16="http://schemas.microsoft.com/office/drawing/2014/main" xmlns="" id="{E156FD9B-D975-47CD-8C21-42DAA6CA52B7}"/>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31" name="Text Box 6">
          <a:extLst>
            <a:ext uri="{FF2B5EF4-FFF2-40B4-BE49-F238E27FC236}">
              <a16:creationId xmlns:a16="http://schemas.microsoft.com/office/drawing/2014/main" xmlns="" id="{431E84F7-978B-48BB-9527-681A4144D470}"/>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32" name="Text Box 3">
          <a:extLst>
            <a:ext uri="{FF2B5EF4-FFF2-40B4-BE49-F238E27FC236}">
              <a16:creationId xmlns:a16="http://schemas.microsoft.com/office/drawing/2014/main" xmlns="" id="{9ECC780C-2A46-4B6C-A519-14C7894EB26B}"/>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33" name="Text Box 6">
          <a:extLst>
            <a:ext uri="{FF2B5EF4-FFF2-40B4-BE49-F238E27FC236}">
              <a16:creationId xmlns:a16="http://schemas.microsoft.com/office/drawing/2014/main" xmlns="" id="{5439DB40-03E0-4D66-AFB2-F99D0AB263D8}"/>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34" name="Text Box 3">
          <a:extLst>
            <a:ext uri="{FF2B5EF4-FFF2-40B4-BE49-F238E27FC236}">
              <a16:creationId xmlns:a16="http://schemas.microsoft.com/office/drawing/2014/main" xmlns="" id="{2159A285-0231-4BB1-8C62-64C3E6782B32}"/>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35" name="Text Box 3">
          <a:extLst>
            <a:ext uri="{FF2B5EF4-FFF2-40B4-BE49-F238E27FC236}">
              <a16:creationId xmlns:a16="http://schemas.microsoft.com/office/drawing/2014/main" xmlns="" id="{380D2386-588F-4D09-BF9D-31BAF1C53604}"/>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36" name="Text Box 3">
          <a:extLst>
            <a:ext uri="{FF2B5EF4-FFF2-40B4-BE49-F238E27FC236}">
              <a16:creationId xmlns:a16="http://schemas.microsoft.com/office/drawing/2014/main" xmlns="" id="{0C4DF7DB-36B3-4E6D-903E-DA1162D46D42}"/>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37" name="Text Box 3">
          <a:extLst>
            <a:ext uri="{FF2B5EF4-FFF2-40B4-BE49-F238E27FC236}">
              <a16:creationId xmlns:a16="http://schemas.microsoft.com/office/drawing/2014/main" xmlns="" id="{44AE23F6-FAC7-4ADA-8391-45022242A5AA}"/>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38" name="Text Box 3">
          <a:extLst>
            <a:ext uri="{FF2B5EF4-FFF2-40B4-BE49-F238E27FC236}">
              <a16:creationId xmlns:a16="http://schemas.microsoft.com/office/drawing/2014/main" xmlns="" id="{A545F20A-8C53-44DD-9525-6F48D34A2710}"/>
            </a:ext>
          </a:extLst>
        </xdr:cNvPr>
        <xdr:cNvSpPr txBox="1">
          <a:spLocks noChangeArrowheads="1"/>
        </xdr:cNvSpPr>
      </xdr:nvSpPr>
      <xdr:spPr bwMode="auto">
        <a:xfrm>
          <a:off x="2012950" y="267061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39" name="Text Box 6">
          <a:extLst>
            <a:ext uri="{FF2B5EF4-FFF2-40B4-BE49-F238E27FC236}">
              <a16:creationId xmlns:a16="http://schemas.microsoft.com/office/drawing/2014/main" xmlns="" id="{CF6DC55B-0106-4B66-A9A7-32DA45CA9ACE}"/>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40" name="Text Box 3">
          <a:extLst>
            <a:ext uri="{FF2B5EF4-FFF2-40B4-BE49-F238E27FC236}">
              <a16:creationId xmlns:a16="http://schemas.microsoft.com/office/drawing/2014/main" xmlns="" id="{4AE7B134-E14B-410B-A325-4836E235DE82}"/>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41" name="Text Box 6">
          <a:extLst>
            <a:ext uri="{FF2B5EF4-FFF2-40B4-BE49-F238E27FC236}">
              <a16:creationId xmlns:a16="http://schemas.microsoft.com/office/drawing/2014/main" xmlns="" id="{AD432CC3-05FE-4265-B515-13272494870E}"/>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42" name="Text Box 3">
          <a:extLst>
            <a:ext uri="{FF2B5EF4-FFF2-40B4-BE49-F238E27FC236}">
              <a16:creationId xmlns:a16="http://schemas.microsoft.com/office/drawing/2014/main" xmlns="" id="{6EF08B80-CFB8-4725-A660-1B2ED1ED386F}"/>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43" name="Text Box 6">
          <a:extLst>
            <a:ext uri="{FF2B5EF4-FFF2-40B4-BE49-F238E27FC236}">
              <a16:creationId xmlns:a16="http://schemas.microsoft.com/office/drawing/2014/main" xmlns="" id="{737EC32D-8773-4AE8-97CB-C278B3DBF021}"/>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44" name="Text Box 3">
          <a:extLst>
            <a:ext uri="{FF2B5EF4-FFF2-40B4-BE49-F238E27FC236}">
              <a16:creationId xmlns:a16="http://schemas.microsoft.com/office/drawing/2014/main" xmlns="" id="{16C49EFD-DF25-4FCE-9470-D1BBA703D18A}"/>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45" name="Text Box 6">
          <a:extLst>
            <a:ext uri="{FF2B5EF4-FFF2-40B4-BE49-F238E27FC236}">
              <a16:creationId xmlns:a16="http://schemas.microsoft.com/office/drawing/2014/main" xmlns="" id="{F7F89D24-0ACD-4E82-90DE-7544F76C22A7}"/>
            </a:ext>
          </a:extLst>
        </xdr:cNvPr>
        <xdr:cNvSpPr txBox="1">
          <a:spLocks noChangeArrowheads="1"/>
        </xdr:cNvSpPr>
      </xdr:nvSpPr>
      <xdr:spPr bwMode="auto">
        <a:xfrm>
          <a:off x="2014855" y="19583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172</xdr:row>
      <xdr:rowOff>160020</xdr:rowOff>
    </xdr:from>
    <xdr:to>
      <xdr:col>5</xdr:col>
      <xdr:colOff>407745</xdr:colOff>
      <xdr:row>172</xdr:row>
      <xdr:rowOff>160655</xdr:rowOff>
    </xdr:to>
    <xdr:sp macro="" textlink="">
      <xdr:nvSpPr>
        <xdr:cNvPr id="46" name="Text Box 3">
          <a:extLst>
            <a:ext uri="{FF2B5EF4-FFF2-40B4-BE49-F238E27FC236}">
              <a16:creationId xmlns:a16="http://schemas.microsoft.com/office/drawing/2014/main" xmlns="" id="{D63BD9D3-D6F5-4C6C-9B7D-4064F90C19BC}"/>
            </a:ext>
          </a:extLst>
        </xdr:cNvPr>
        <xdr:cNvSpPr txBox="1">
          <a:spLocks noChangeArrowheads="1"/>
        </xdr:cNvSpPr>
      </xdr:nvSpPr>
      <xdr:spPr bwMode="auto">
        <a:xfrm>
          <a:off x="2012950" y="28811220"/>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5080</xdr:colOff>
      <xdr:row>140</xdr:row>
      <xdr:rowOff>0</xdr:rowOff>
    </xdr:from>
    <xdr:to>
      <xdr:col>5</xdr:col>
      <xdr:colOff>150872</xdr:colOff>
      <xdr:row>140</xdr:row>
      <xdr:rowOff>0</xdr:rowOff>
    </xdr:to>
    <xdr:sp macro="" textlink="">
      <xdr:nvSpPr>
        <xdr:cNvPr id="3" name="Text Box 6">
          <a:extLst>
            <a:ext uri="{FF2B5EF4-FFF2-40B4-BE49-F238E27FC236}">
              <a16:creationId xmlns:a16="http://schemas.microsoft.com/office/drawing/2014/main" xmlns="" id="{00000000-0008-0000-0500-000003000000}"/>
            </a:ext>
          </a:extLst>
        </xdr:cNvPr>
        <xdr:cNvSpPr txBox="1">
          <a:spLocks noChangeArrowheads="1"/>
        </xdr:cNvSpPr>
      </xdr:nvSpPr>
      <xdr:spPr bwMode="auto">
        <a:xfrm>
          <a:off x="1176655" y="235648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4" name="Text Box 3">
          <a:extLst>
            <a:ext uri="{FF2B5EF4-FFF2-40B4-BE49-F238E27FC236}">
              <a16:creationId xmlns:a16="http://schemas.microsoft.com/office/drawing/2014/main" xmlns="" id="{00000000-0008-0000-0500-000004000000}"/>
            </a:ext>
          </a:extLst>
        </xdr:cNvPr>
        <xdr:cNvSpPr txBox="1">
          <a:spLocks noChangeArrowheads="1"/>
        </xdr:cNvSpPr>
      </xdr:nvSpPr>
      <xdr:spPr bwMode="auto">
        <a:xfrm>
          <a:off x="1174750" y="339261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5" name="Text Box 6">
          <a:extLst>
            <a:ext uri="{FF2B5EF4-FFF2-40B4-BE49-F238E27FC236}">
              <a16:creationId xmlns:a16="http://schemas.microsoft.com/office/drawing/2014/main" xmlns="" id="{00000000-0008-0000-0500-000005000000}"/>
            </a:ext>
          </a:extLst>
        </xdr:cNvPr>
        <xdr:cNvSpPr txBox="1">
          <a:spLocks noChangeArrowheads="1"/>
        </xdr:cNvSpPr>
      </xdr:nvSpPr>
      <xdr:spPr bwMode="auto">
        <a:xfrm>
          <a:off x="1176655" y="235648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6" name="Text Box 3">
          <a:extLst>
            <a:ext uri="{FF2B5EF4-FFF2-40B4-BE49-F238E27FC236}">
              <a16:creationId xmlns:a16="http://schemas.microsoft.com/office/drawing/2014/main" xmlns="" id="{00000000-0008-0000-0500-000006000000}"/>
            </a:ext>
          </a:extLst>
        </xdr:cNvPr>
        <xdr:cNvSpPr txBox="1">
          <a:spLocks noChangeArrowheads="1"/>
        </xdr:cNvSpPr>
      </xdr:nvSpPr>
      <xdr:spPr bwMode="auto">
        <a:xfrm>
          <a:off x="1174750" y="339261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7" name="Text Box 6">
          <a:extLst>
            <a:ext uri="{FF2B5EF4-FFF2-40B4-BE49-F238E27FC236}">
              <a16:creationId xmlns:a16="http://schemas.microsoft.com/office/drawing/2014/main" xmlns="" id="{00000000-0008-0000-0500-000007000000}"/>
            </a:ext>
          </a:extLst>
        </xdr:cNvPr>
        <xdr:cNvSpPr txBox="1">
          <a:spLocks noChangeArrowheads="1"/>
        </xdr:cNvSpPr>
      </xdr:nvSpPr>
      <xdr:spPr bwMode="auto">
        <a:xfrm>
          <a:off x="1176655" y="235648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8" name="Text Box 3">
          <a:extLst>
            <a:ext uri="{FF2B5EF4-FFF2-40B4-BE49-F238E27FC236}">
              <a16:creationId xmlns:a16="http://schemas.microsoft.com/office/drawing/2014/main" xmlns="" id="{00000000-0008-0000-0500-000008000000}"/>
            </a:ext>
          </a:extLst>
        </xdr:cNvPr>
        <xdr:cNvSpPr txBox="1">
          <a:spLocks noChangeArrowheads="1"/>
        </xdr:cNvSpPr>
      </xdr:nvSpPr>
      <xdr:spPr bwMode="auto">
        <a:xfrm>
          <a:off x="1174750" y="339261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140</xdr:row>
      <xdr:rowOff>0</xdr:rowOff>
    </xdr:from>
    <xdr:to>
      <xdr:col>5</xdr:col>
      <xdr:colOff>150872</xdr:colOff>
      <xdr:row>140</xdr:row>
      <xdr:rowOff>0</xdr:rowOff>
    </xdr:to>
    <xdr:sp macro="" textlink="">
      <xdr:nvSpPr>
        <xdr:cNvPr id="9" name="Text Box 6">
          <a:extLst>
            <a:ext uri="{FF2B5EF4-FFF2-40B4-BE49-F238E27FC236}">
              <a16:creationId xmlns:a16="http://schemas.microsoft.com/office/drawing/2014/main" xmlns="" id="{00000000-0008-0000-0500-000009000000}"/>
            </a:ext>
          </a:extLst>
        </xdr:cNvPr>
        <xdr:cNvSpPr txBox="1">
          <a:spLocks noChangeArrowheads="1"/>
        </xdr:cNvSpPr>
      </xdr:nvSpPr>
      <xdr:spPr bwMode="auto">
        <a:xfrm>
          <a:off x="1176655" y="2356485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203</xdr:row>
      <xdr:rowOff>160020</xdr:rowOff>
    </xdr:from>
    <xdr:to>
      <xdr:col>5</xdr:col>
      <xdr:colOff>407745</xdr:colOff>
      <xdr:row>203</xdr:row>
      <xdr:rowOff>160655</xdr:rowOff>
    </xdr:to>
    <xdr:sp macro="" textlink="">
      <xdr:nvSpPr>
        <xdr:cNvPr id="10" name="Text Box 3">
          <a:extLst>
            <a:ext uri="{FF2B5EF4-FFF2-40B4-BE49-F238E27FC236}">
              <a16:creationId xmlns:a16="http://schemas.microsoft.com/office/drawing/2014/main" xmlns="" id="{00000000-0008-0000-0500-00000A000000}"/>
            </a:ext>
          </a:extLst>
        </xdr:cNvPr>
        <xdr:cNvSpPr txBox="1">
          <a:spLocks noChangeArrowheads="1"/>
        </xdr:cNvSpPr>
      </xdr:nvSpPr>
      <xdr:spPr bwMode="auto">
        <a:xfrm>
          <a:off x="1174750" y="339261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1" name="Text Box 6">
          <a:extLst>
            <a:ext uri="{FF2B5EF4-FFF2-40B4-BE49-F238E27FC236}">
              <a16:creationId xmlns:a16="http://schemas.microsoft.com/office/drawing/2014/main" xmlns="" id="{00000000-0008-0000-0500-00000B000000}"/>
            </a:ext>
          </a:extLst>
        </xdr:cNvPr>
        <xdr:cNvSpPr txBox="1">
          <a:spLocks noChangeArrowheads="1"/>
        </xdr:cNvSpPr>
      </xdr:nvSpPr>
      <xdr:spPr bwMode="auto">
        <a:xfrm>
          <a:off x="1176655" y="24536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2" name="Text Box 3">
          <a:extLst>
            <a:ext uri="{FF2B5EF4-FFF2-40B4-BE49-F238E27FC236}">
              <a16:creationId xmlns:a16="http://schemas.microsoft.com/office/drawing/2014/main" xmlns="" id="{00000000-0008-0000-0500-00000C000000}"/>
            </a:ext>
          </a:extLst>
        </xdr:cNvPr>
        <xdr:cNvSpPr txBox="1">
          <a:spLocks noChangeArrowheads="1"/>
        </xdr:cNvSpPr>
      </xdr:nvSpPr>
      <xdr:spPr bwMode="auto">
        <a:xfrm>
          <a:off x="1174750" y="365169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3" name="Text Box 6">
          <a:extLst>
            <a:ext uri="{FF2B5EF4-FFF2-40B4-BE49-F238E27FC236}">
              <a16:creationId xmlns:a16="http://schemas.microsoft.com/office/drawing/2014/main" xmlns="" id="{00000000-0008-0000-0500-00000D000000}"/>
            </a:ext>
          </a:extLst>
        </xdr:cNvPr>
        <xdr:cNvSpPr txBox="1">
          <a:spLocks noChangeArrowheads="1"/>
        </xdr:cNvSpPr>
      </xdr:nvSpPr>
      <xdr:spPr bwMode="auto">
        <a:xfrm>
          <a:off x="1176655" y="24536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4" name="Text Box 3">
          <a:extLst>
            <a:ext uri="{FF2B5EF4-FFF2-40B4-BE49-F238E27FC236}">
              <a16:creationId xmlns:a16="http://schemas.microsoft.com/office/drawing/2014/main" xmlns="" id="{00000000-0008-0000-0500-00000E000000}"/>
            </a:ext>
          </a:extLst>
        </xdr:cNvPr>
        <xdr:cNvSpPr txBox="1">
          <a:spLocks noChangeArrowheads="1"/>
        </xdr:cNvSpPr>
      </xdr:nvSpPr>
      <xdr:spPr bwMode="auto">
        <a:xfrm>
          <a:off x="1174750" y="365169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5" name="Text Box 6">
          <a:extLst>
            <a:ext uri="{FF2B5EF4-FFF2-40B4-BE49-F238E27FC236}">
              <a16:creationId xmlns:a16="http://schemas.microsoft.com/office/drawing/2014/main" xmlns="" id="{00000000-0008-0000-0500-00000F000000}"/>
            </a:ext>
          </a:extLst>
        </xdr:cNvPr>
        <xdr:cNvSpPr txBox="1">
          <a:spLocks noChangeArrowheads="1"/>
        </xdr:cNvSpPr>
      </xdr:nvSpPr>
      <xdr:spPr bwMode="auto">
        <a:xfrm>
          <a:off x="1176655" y="24536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6" name="Text Box 3">
          <a:extLst>
            <a:ext uri="{FF2B5EF4-FFF2-40B4-BE49-F238E27FC236}">
              <a16:creationId xmlns:a16="http://schemas.microsoft.com/office/drawing/2014/main" xmlns="" id="{00000000-0008-0000-0500-000010000000}"/>
            </a:ext>
          </a:extLst>
        </xdr:cNvPr>
        <xdr:cNvSpPr txBox="1">
          <a:spLocks noChangeArrowheads="1"/>
        </xdr:cNvSpPr>
      </xdr:nvSpPr>
      <xdr:spPr bwMode="auto">
        <a:xfrm>
          <a:off x="1174750" y="365169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146</xdr:row>
      <xdr:rowOff>0</xdr:rowOff>
    </xdr:from>
    <xdr:to>
      <xdr:col>5</xdr:col>
      <xdr:colOff>150872</xdr:colOff>
      <xdr:row>146</xdr:row>
      <xdr:rowOff>0</xdr:rowOff>
    </xdr:to>
    <xdr:sp macro="" textlink="">
      <xdr:nvSpPr>
        <xdr:cNvPr id="17" name="Text Box 6">
          <a:extLst>
            <a:ext uri="{FF2B5EF4-FFF2-40B4-BE49-F238E27FC236}">
              <a16:creationId xmlns:a16="http://schemas.microsoft.com/office/drawing/2014/main" xmlns="" id="{00000000-0008-0000-0500-000011000000}"/>
            </a:ext>
          </a:extLst>
        </xdr:cNvPr>
        <xdr:cNvSpPr txBox="1">
          <a:spLocks noChangeArrowheads="1"/>
        </xdr:cNvSpPr>
      </xdr:nvSpPr>
      <xdr:spPr bwMode="auto">
        <a:xfrm>
          <a:off x="1176655" y="24536400"/>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219</xdr:row>
      <xdr:rowOff>160020</xdr:rowOff>
    </xdr:from>
    <xdr:to>
      <xdr:col>5</xdr:col>
      <xdr:colOff>407745</xdr:colOff>
      <xdr:row>219</xdr:row>
      <xdr:rowOff>160655</xdr:rowOff>
    </xdr:to>
    <xdr:sp macro="" textlink="">
      <xdr:nvSpPr>
        <xdr:cNvPr id="18" name="Text Box 3">
          <a:extLst>
            <a:ext uri="{FF2B5EF4-FFF2-40B4-BE49-F238E27FC236}">
              <a16:creationId xmlns:a16="http://schemas.microsoft.com/office/drawing/2014/main" xmlns="" id="{00000000-0008-0000-0500-000012000000}"/>
            </a:ext>
          </a:extLst>
        </xdr:cNvPr>
        <xdr:cNvSpPr txBox="1">
          <a:spLocks noChangeArrowheads="1"/>
        </xdr:cNvSpPr>
      </xdr:nvSpPr>
      <xdr:spPr bwMode="auto">
        <a:xfrm>
          <a:off x="1174750" y="3651694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editAs="oneCell">
    <xdr:from>
      <xdr:col>0</xdr:col>
      <xdr:colOff>35719</xdr:colOff>
      <xdr:row>0</xdr:row>
      <xdr:rowOff>0</xdr:rowOff>
    </xdr:from>
    <xdr:to>
      <xdr:col>5</xdr:col>
      <xdr:colOff>723235</xdr:colOff>
      <xdr:row>3</xdr:row>
      <xdr:rowOff>134471</xdr:rowOff>
    </xdr:to>
    <xdr:pic>
      <xdr:nvPicPr>
        <xdr:cNvPr id="19" name="Imagen 18">
          <a:extLst>
            <a:ext uri="{FF2B5EF4-FFF2-40B4-BE49-F238E27FC236}">
              <a16:creationId xmlns:a16="http://schemas.microsoft.com/office/drawing/2014/main" xmlns="" id="{00000000-0008-0000-05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19" y="0"/>
          <a:ext cx="1471928" cy="683559"/>
        </a:xfrm>
        <a:prstGeom prst="rect">
          <a:avLst/>
        </a:prstGeom>
      </xdr:spPr>
    </xdr:pic>
    <xdr:clientData/>
  </xdr:twoCellAnchor>
  <xdr:twoCellAnchor>
    <xdr:from>
      <xdr:col>5</xdr:col>
      <xdr:colOff>3175</xdr:colOff>
      <xdr:row>159</xdr:row>
      <xdr:rowOff>160020</xdr:rowOff>
    </xdr:from>
    <xdr:to>
      <xdr:col>5</xdr:col>
      <xdr:colOff>407745</xdr:colOff>
      <xdr:row>159</xdr:row>
      <xdr:rowOff>160655</xdr:rowOff>
    </xdr:to>
    <xdr:sp macro="" textlink="">
      <xdr:nvSpPr>
        <xdr:cNvPr id="20" name="Text Box 3">
          <a:extLst>
            <a:ext uri="{FF2B5EF4-FFF2-40B4-BE49-F238E27FC236}">
              <a16:creationId xmlns:a16="http://schemas.microsoft.com/office/drawing/2014/main" xmlns="" id="{15BD2037-C7EC-4E3E-BA01-BE8959A1C1B9}"/>
            </a:ext>
          </a:extLst>
        </xdr:cNvPr>
        <xdr:cNvSpPr txBox="1">
          <a:spLocks noChangeArrowheads="1"/>
        </xdr:cNvSpPr>
      </xdr:nvSpPr>
      <xdr:spPr bwMode="auto">
        <a:xfrm>
          <a:off x="1955800" y="398887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1" name="Text Box 3">
          <a:extLst>
            <a:ext uri="{FF2B5EF4-FFF2-40B4-BE49-F238E27FC236}">
              <a16:creationId xmlns:a16="http://schemas.microsoft.com/office/drawing/2014/main" xmlns="" id="{18C8E422-A645-44D9-B1D6-1281023C2A5F}"/>
            </a:ext>
          </a:extLst>
        </xdr:cNvPr>
        <xdr:cNvSpPr txBox="1">
          <a:spLocks noChangeArrowheads="1"/>
        </xdr:cNvSpPr>
      </xdr:nvSpPr>
      <xdr:spPr bwMode="auto">
        <a:xfrm>
          <a:off x="1955800" y="398887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2" name="Text Box 3">
          <a:extLst>
            <a:ext uri="{FF2B5EF4-FFF2-40B4-BE49-F238E27FC236}">
              <a16:creationId xmlns:a16="http://schemas.microsoft.com/office/drawing/2014/main" xmlns="" id="{2DCD8456-C0CC-4A96-89D6-873E797DB3F8}"/>
            </a:ext>
          </a:extLst>
        </xdr:cNvPr>
        <xdr:cNvSpPr txBox="1">
          <a:spLocks noChangeArrowheads="1"/>
        </xdr:cNvSpPr>
      </xdr:nvSpPr>
      <xdr:spPr bwMode="auto">
        <a:xfrm>
          <a:off x="1955800" y="398887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159</xdr:row>
      <xdr:rowOff>160020</xdr:rowOff>
    </xdr:from>
    <xdr:to>
      <xdr:col>5</xdr:col>
      <xdr:colOff>407745</xdr:colOff>
      <xdr:row>159</xdr:row>
      <xdr:rowOff>160655</xdr:rowOff>
    </xdr:to>
    <xdr:sp macro="" textlink="">
      <xdr:nvSpPr>
        <xdr:cNvPr id="23" name="Text Box 3">
          <a:extLst>
            <a:ext uri="{FF2B5EF4-FFF2-40B4-BE49-F238E27FC236}">
              <a16:creationId xmlns:a16="http://schemas.microsoft.com/office/drawing/2014/main" xmlns="" id="{FC8D3115-D689-4083-AD74-9F41A749114B}"/>
            </a:ext>
          </a:extLst>
        </xdr:cNvPr>
        <xdr:cNvSpPr txBox="1">
          <a:spLocks noChangeArrowheads="1"/>
        </xdr:cNvSpPr>
      </xdr:nvSpPr>
      <xdr:spPr bwMode="auto">
        <a:xfrm>
          <a:off x="1955800" y="398887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24" name="Text Box 6">
          <a:extLst>
            <a:ext uri="{FF2B5EF4-FFF2-40B4-BE49-F238E27FC236}">
              <a16:creationId xmlns:a16="http://schemas.microsoft.com/office/drawing/2014/main" xmlns="" id="{E1C779DB-71A4-48F9-B626-D4A3516F024A}"/>
            </a:ext>
          </a:extLst>
        </xdr:cNvPr>
        <xdr:cNvSpPr txBox="1">
          <a:spLocks noChangeArrowheads="1"/>
        </xdr:cNvSpPr>
      </xdr:nvSpPr>
      <xdr:spPr bwMode="auto">
        <a:xfrm>
          <a:off x="1957705" y="28394025"/>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171</xdr:row>
      <xdr:rowOff>160020</xdr:rowOff>
    </xdr:from>
    <xdr:to>
      <xdr:col>5</xdr:col>
      <xdr:colOff>407745</xdr:colOff>
      <xdr:row>171</xdr:row>
      <xdr:rowOff>160655</xdr:rowOff>
    </xdr:to>
    <xdr:sp macro="" textlink="">
      <xdr:nvSpPr>
        <xdr:cNvPr id="25" name="Text Box 3">
          <a:extLst>
            <a:ext uri="{FF2B5EF4-FFF2-40B4-BE49-F238E27FC236}">
              <a16:creationId xmlns:a16="http://schemas.microsoft.com/office/drawing/2014/main" xmlns="" id="{B5E744E9-DEE7-410B-9394-5CAF09CBF840}"/>
            </a:ext>
          </a:extLst>
        </xdr:cNvPr>
        <xdr:cNvSpPr txBox="1">
          <a:spLocks noChangeArrowheads="1"/>
        </xdr:cNvSpPr>
      </xdr:nvSpPr>
      <xdr:spPr bwMode="auto">
        <a:xfrm>
          <a:off x="1955800" y="427462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26" name="Text Box 6">
          <a:extLst>
            <a:ext uri="{FF2B5EF4-FFF2-40B4-BE49-F238E27FC236}">
              <a16:creationId xmlns:a16="http://schemas.microsoft.com/office/drawing/2014/main" xmlns="" id="{6F310CE5-FCFB-471E-B9AA-D50DD9346DBE}"/>
            </a:ext>
          </a:extLst>
        </xdr:cNvPr>
        <xdr:cNvSpPr txBox="1">
          <a:spLocks noChangeArrowheads="1"/>
        </xdr:cNvSpPr>
      </xdr:nvSpPr>
      <xdr:spPr bwMode="auto">
        <a:xfrm>
          <a:off x="1957705" y="28394025"/>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171</xdr:row>
      <xdr:rowOff>160020</xdr:rowOff>
    </xdr:from>
    <xdr:to>
      <xdr:col>5</xdr:col>
      <xdr:colOff>407745</xdr:colOff>
      <xdr:row>171</xdr:row>
      <xdr:rowOff>160655</xdr:rowOff>
    </xdr:to>
    <xdr:sp macro="" textlink="">
      <xdr:nvSpPr>
        <xdr:cNvPr id="27" name="Text Box 3">
          <a:extLst>
            <a:ext uri="{FF2B5EF4-FFF2-40B4-BE49-F238E27FC236}">
              <a16:creationId xmlns:a16="http://schemas.microsoft.com/office/drawing/2014/main" xmlns="" id="{BCB1BC18-E721-4546-BA46-F3BA7E2919A0}"/>
            </a:ext>
          </a:extLst>
        </xdr:cNvPr>
        <xdr:cNvSpPr txBox="1">
          <a:spLocks noChangeArrowheads="1"/>
        </xdr:cNvSpPr>
      </xdr:nvSpPr>
      <xdr:spPr bwMode="auto">
        <a:xfrm>
          <a:off x="1955800" y="427462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28" name="Text Box 6">
          <a:extLst>
            <a:ext uri="{FF2B5EF4-FFF2-40B4-BE49-F238E27FC236}">
              <a16:creationId xmlns:a16="http://schemas.microsoft.com/office/drawing/2014/main" xmlns="" id="{B103D957-E838-41BE-AA42-86E4F8A652F0}"/>
            </a:ext>
          </a:extLst>
        </xdr:cNvPr>
        <xdr:cNvSpPr txBox="1">
          <a:spLocks noChangeArrowheads="1"/>
        </xdr:cNvSpPr>
      </xdr:nvSpPr>
      <xdr:spPr bwMode="auto">
        <a:xfrm>
          <a:off x="1957705" y="28394025"/>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171</xdr:row>
      <xdr:rowOff>160020</xdr:rowOff>
    </xdr:from>
    <xdr:to>
      <xdr:col>5</xdr:col>
      <xdr:colOff>407745</xdr:colOff>
      <xdr:row>171</xdr:row>
      <xdr:rowOff>160655</xdr:rowOff>
    </xdr:to>
    <xdr:sp macro="" textlink="">
      <xdr:nvSpPr>
        <xdr:cNvPr id="29" name="Text Box 3">
          <a:extLst>
            <a:ext uri="{FF2B5EF4-FFF2-40B4-BE49-F238E27FC236}">
              <a16:creationId xmlns:a16="http://schemas.microsoft.com/office/drawing/2014/main" xmlns="" id="{00AC99CF-6436-4075-94D8-D3F15F1ED125}"/>
            </a:ext>
          </a:extLst>
        </xdr:cNvPr>
        <xdr:cNvSpPr txBox="1">
          <a:spLocks noChangeArrowheads="1"/>
        </xdr:cNvSpPr>
      </xdr:nvSpPr>
      <xdr:spPr bwMode="auto">
        <a:xfrm>
          <a:off x="1955800" y="427462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5080</xdr:colOff>
      <xdr:row>116</xdr:row>
      <xdr:rowOff>0</xdr:rowOff>
    </xdr:from>
    <xdr:to>
      <xdr:col>5</xdr:col>
      <xdr:colOff>150872</xdr:colOff>
      <xdr:row>116</xdr:row>
      <xdr:rowOff>0</xdr:rowOff>
    </xdr:to>
    <xdr:sp macro="" textlink="">
      <xdr:nvSpPr>
        <xdr:cNvPr id="30" name="Text Box 6">
          <a:extLst>
            <a:ext uri="{FF2B5EF4-FFF2-40B4-BE49-F238E27FC236}">
              <a16:creationId xmlns:a16="http://schemas.microsoft.com/office/drawing/2014/main" xmlns="" id="{FB15F1CF-882B-42E0-8317-E78BDA602478}"/>
            </a:ext>
          </a:extLst>
        </xdr:cNvPr>
        <xdr:cNvSpPr txBox="1">
          <a:spLocks noChangeArrowheads="1"/>
        </xdr:cNvSpPr>
      </xdr:nvSpPr>
      <xdr:spPr bwMode="auto">
        <a:xfrm>
          <a:off x="1957705" y="28394025"/>
          <a:ext cx="145792" cy="0"/>
        </a:xfrm>
        <a:prstGeom prst="rect">
          <a:avLst/>
        </a:prstGeom>
        <a:noFill/>
        <a:ln w="9525">
          <a:noFill/>
          <a:miter lim="800000"/>
          <a:headEnd/>
          <a:tailEnd/>
        </a:ln>
      </xdr:spPr>
      <xdr:txBody>
        <a:bodyPr vertOverflow="clip" wrap="square" lIns="18288" tIns="18288"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twoCellAnchor>
    <xdr:from>
      <xdr:col>5</xdr:col>
      <xdr:colOff>3175</xdr:colOff>
      <xdr:row>171</xdr:row>
      <xdr:rowOff>160020</xdr:rowOff>
    </xdr:from>
    <xdr:to>
      <xdr:col>5</xdr:col>
      <xdr:colOff>407745</xdr:colOff>
      <xdr:row>171</xdr:row>
      <xdr:rowOff>160655</xdr:rowOff>
    </xdr:to>
    <xdr:sp macro="" textlink="">
      <xdr:nvSpPr>
        <xdr:cNvPr id="31" name="Text Box 3">
          <a:extLst>
            <a:ext uri="{FF2B5EF4-FFF2-40B4-BE49-F238E27FC236}">
              <a16:creationId xmlns:a16="http://schemas.microsoft.com/office/drawing/2014/main" xmlns="" id="{81D1D426-5F83-4757-A7BB-C3040CF3E377}"/>
            </a:ext>
          </a:extLst>
        </xdr:cNvPr>
        <xdr:cNvSpPr txBox="1">
          <a:spLocks noChangeArrowheads="1"/>
        </xdr:cNvSpPr>
      </xdr:nvSpPr>
      <xdr:spPr bwMode="auto">
        <a:xfrm>
          <a:off x="1955800" y="42746295"/>
          <a:ext cx="404570" cy="635"/>
        </a:xfrm>
        <a:prstGeom prst="rect">
          <a:avLst/>
        </a:prstGeom>
        <a:noFill/>
        <a:ln w="9525">
          <a:noFill/>
          <a:miter lim="800000"/>
          <a:headEnd/>
          <a:tailEnd/>
        </a:ln>
      </xdr:spPr>
      <xdr:txBody>
        <a:bodyPr vertOverflow="clip" wrap="square" lIns="27432" tIns="22860" rIns="0" bIns="0" anchor="t" upright="1"/>
        <a:lstStyle/>
        <a:p>
          <a:pPr algn="l" rtl="1">
            <a:defRPr sz="1000"/>
          </a:pPr>
          <a:r>
            <a:rPr lang="es-ES" sz="1000" b="1" i="0" strike="noStrike">
              <a:solidFill>
                <a:srgbClr val="000000"/>
              </a:solidFill>
              <a:latin typeface="Arial"/>
              <a:cs typeface="Arial"/>
            </a:rPr>
            <a:t>De este Año</a:t>
          </a:r>
        </a:p>
      </xdr:txBody>
    </xdr:sp>
    <xdr:clientData/>
  </xdr:twoCellAnchor>
</xdr:wsDr>
</file>

<file path=xl/persons/person.xml><?xml version="1.0" encoding="utf-8"?>
<personList xmlns="http://schemas.microsoft.com/office/spreadsheetml/2018/threadedcomments" xmlns:x="http://schemas.openxmlformats.org/spreadsheetml/2006/main">
  <person displayName="Ilka Adelina González Then" id="{993A973A-F45F-42CF-8038-E16E6317D731}" userId="S::igonzalez@sns.gob.do::80d90834-e7eb-4c4b-bf38-fae419c7b114" providerId="AD"/>
</personList>
</file>

<file path=xl/tables/table1.xml><?xml version="1.0" encoding="utf-8"?>
<table xmlns="http://schemas.openxmlformats.org/spreadsheetml/2006/main" id="1" name="Tabla1" displayName="Tabla1" ref="B7:N214" headerRowDxfId="28" dataDxfId="27" totalsRowDxfId="26">
  <autoFilter ref="B7:N214"/>
  <tableColumns count="13">
    <tableColumn id="13" name="ID_Dependendencia" dataDxfId="25" totalsRowDxfId="24">
      <calculatedColumnFormula>IF(Tabla1[[#This Row],[Código_Actividad]]="","",CONCATENATE(Tabla1[[#This Row],[POA]],".",Tabla1[[#This Row],[SRS]],".",Tabla1[[#This Row],[AREA]],".",Tabla1[[#This Row],[TIPO]]))</calculatedColumnFormula>
    </tableColumn>
    <tableColumn id="14" name="POA" dataDxfId="23" totalsRowDxfId="22"/>
    <tableColumn id="15" name="SRS" dataDxfId="21" totalsRowDxfId="20"/>
    <tableColumn id="16" name="AREA" dataDxfId="19" totalsRowDxfId="18"/>
    <tableColumn id="17" name="TIPO" dataDxfId="17" totalsRowDxfId="16"/>
    <tableColumn id="1" name="Código_Actividad" totalsRowLabel="Total" dataDxfId="15" totalsRowDxfId="14"/>
    <tableColumn id="3" name="Insumos" dataDxfId="13" totalsRowDxfId="12"/>
    <tableColumn id="4" name="Unidad de Medida" dataDxfId="11" totalsRowDxfId="10">
      <calculatedColumnFormula>IFERROR(VLOOKUP(#REF!,#REF!,2,FALSE),"")</calculatedColumnFormula>
    </tableColumn>
    <tableColumn id="5" name="Cantidad de Insumos" dataDxfId="9" totalsRowDxfId="8"/>
    <tableColumn id="6" name="Precio Unitario" dataDxfId="7" totalsRowDxfId="6">
      <calculatedColumnFormula>IFERROR(VLOOKUP(#REF!,#REF!,3,FALSE),"")</calculatedColumnFormula>
    </tableColumn>
    <tableColumn id="7" name="Valor Total" totalsRowFunction="sum" dataDxfId="5" totalsRowDxfId="4">
      <calculatedColumnFormula>+Tabla1[[#This Row],[Precio Unitario]]*Tabla1[[#This Row],[Cantidad de Insumos]]</calculatedColumnFormula>
    </tableColumn>
    <tableColumn id="8" name="Código Presupuestario" dataDxfId="3" totalsRowDxfId="2"/>
    <tableColumn id="9" name="Fuente de Financiamiento" dataDxfId="1" totalsRow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3" dT="2023-07-12T16:42:07.07" personId="{993A973A-F45F-42CF-8038-E16E6317D731}" id="{5308258B-F80A-4443-9BEE-4C9A499CD4F4}">
    <text>Indicadores disponibles en el RIESS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S298"/>
  <sheetViews>
    <sheetView showGridLines="0" topLeftCell="A4" zoomScaleNormal="100" workbookViewId="0">
      <selection activeCell="E11" sqref="E11"/>
    </sheetView>
  </sheetViews>
  <sheetFormatPr baseColWidth="10" defaultColWidth="11.42578125" defaultRowHeight="12.75" x14ac:dyDescent="0.2"/>
  <cols>
    <col min="1" max="1" width="33.42578125" style="14" customWidth="1"/>
    <col min="2" max="3" width="13.5703125" style="14" customWidth="1"/>
    <col min="4" max="4" width="16.140625" style="14" customWidth="1"/>
    <col min="5" max="5" width="15.28515625" style="14" customWidth="1"/>
    <col min="6" max="6" width="13.28515625" style="14" customWidth="1"/>
    <col min="7" max="8" width="13.7109375" style="14" customWidth="1"/>
    <col min="9" max="9" width="13.5703125" style="14" customWidth="1"/>
    <col min="10" max="10" width="11.42578125" style="53"/>
    <col min="11" max="11" width="13.85546875" style="53" customWidth="1"/>
    <col min="12" max="71" width="11.42578125" style="53"/>
  </cols>
  <sheetData>
    <row r="1" spans="1:21" ht="15.75" x14ac:dyDescent="0.25">
      <c r="B1" s="75" t="s">
        <v>1058</v>
      </c>
      <c r="C1" s="74"/>
      <c r="D1" s="74"/>
      <c r="E1" s="74"/>
      <c r="F1" s="74"/>
      <c r="G1" s="74"/>
      <c r="H1" s="74"/>
      <c r="I1" s="74"/>
    </row>
    <row r="2" spans="1:21" ht="15.75" x14ac:dyDescent="0.25">
      <c r="B2" s="75" t="s">
        <v>269</v>
      </c>
      <c r="C2" s="75"/>
      <c r="D2" s="75"/>
      <c r="E2" s="75"/>
      <c r="F2" s="75"/>
      <c r="G2" s="75"/>
      <c r="H2" s="75"/>
      <c r="I2" s="75"/>
      <c r="K2" s="391"/>
      <c r="L2" s="391"/>
      <c r="M2" s="391"/>
      <c r="N2" s="391"/>
      <c r="O2" s="391"/>
      <c r="P2" s="391"/>
      <c r="Q2" s="391"/>
      <c r="R2" s="391"/>
      <c r="S2" s="391"/>
      <c r="T2" s="391"/>
      <c r="U2" s="391"/>
    </row>
    <row r="3" spans="1:21" ht="15" x14ac:dyDescent="0.25">
      <c r="B3" s="76" t="s">
        <v>270</v>
      </c>
      <c r="C3" s="76"/>
      <c r="D3" s="76"/>
      <c r="E3" s="76"/>
      <c r="F3" s="76"/>
      <c r="G3" s="76"/>
      <c r="H3" s="76"/>
      <c r="I3" s="76"/>
      <c r="K3" s="53">
        <v>2025</v>
      </c>
      <c r="L3" s="53">
        <v>2026</v>
      </c>
      <c r="M3" s="53">
        <v>2027</v>
      </c>
      <c r="N3" s="53">
        <v>2028</v>
      </c>
    </row>
    <row r="4" spans="1:21" x14ac:dyDescent="0.2">
      <c r="B4" s="77" t="s">
        <v>47</v>
      </c>
      <c r="C4" s="77"/>
      <c r="D4" s="77"/>
      <c r="E4" s="77"/>
      <c r="F4" s="77"/>
      <c r="G4" s="77"/>
      <c r="H4" s="77"/>
      <c r="I4" s="77"/>
      <c r="K4" s="53" t="s">
        <v>1050</v>
      </c>
      <c r="L4" s="53" t="s">
        <v>1051</v>
      </c>
      <c r="M4" s="53" t="s">
        <v>1052</v>
      </c>
      <c r="N4" s="53" t="s">
        <v>1053</v>
      </c>
      <c r="O4" s="53" t="s">
        <v>1054</v>
      </c>
      <c r="P4" s="53" t="s">
        <v>272</v>
      </c>
      <c r="Q4" s="53" t="s">
        <v>271</v>
      </c>
      <c r="R4" s="53" t="s">
        <v>1055</v>
      </c>
      <c r="S4" s="53" t="s">
        <v>1056</v>
      </c>
      <c r="T4" s="53" t="s">
        <v>1049</v>
      </c>
    </row>
    <row r="5" spans="1:21" x14ac:dyDescent="0.2">
      <c r="A5" s="79"/>
      <c r="B5" s="77" t="s">
        <v>273</v>
      </c>
      <c r="C5" s="78">
        <v>2026</v>
      </c>
      <c r="D5" s="77"/>
      <c r="F5" s="77"/>
      <c r="G5" s="79"/>
      <c r="H5" s="79"/>
    </row>
    <row r="6" spans="1:21" x14ac:dyDescent="0.2">
      <c r="A6" s="4" t="s">
        <v>214</v>
      </c>
      <c r="B6" s="431" t="s">
        <v>1050</v>
      </c>
      <c r="C6" s="431"/>
      <c r="D6" s="431"/>
      <c r="E6" s="431"/>
      <c r="F6" s="431"/>
      <c r="G6" s="431"/>
      <c r="H6" s="431"/>
      <c r="I6" s="432"/>
    </row>
    <row r="7" spans="1:21" x14ac:dyDescent="0.2">
      <c r="A7" s="51" t="s">
        <v>912</v>
      </c>
      <c r="B7" s="429"/>
      <c r="C7" s="429"/>
      <c r="D7" s="429"/>
      <c r="E7" s="429"/>
      <c r="F7" s="429"/>
      <c r="G7" s="429"/>
      <c r="H7" s="429"/>
      <c r="I7" s="430"/>
    </row>
    <row r="8" spans="1:21" ht="12.75" customHeight="1" x14ac:dyDescent="0.2">
      <c r="A8" s="433" t="s">
        <v>36</v>
      </c>
      <c r="B8" s="427" t="s">
        <v>1</v>
      </c>
      <c r="C8" s="427" t="s">
        <v>1087</v>
      </c>
      <c r="D8" s="427" t="s">
        <v>1088</v>
      </c>
      <c r="E8" s="427" t="s">
        <v>1089</v>
      </c>
      <c r="F8" s="435" t="s">
        <v>43</v>
      </c>
      <c r="G8" s="435"/>
      <c r="H8" s="435"/>
      <c r="I8" s="435"/>
      <c r="K8" s="427" t="s">
        <v>1090</v>
      </c>
    </row>
    <row r="9" spans="1:21" ht="31.5" customHeight="1" x14ac:dyDescent="0.2">
      <c r="A9" s="434"/>
      <c r="B9" s="428"/>
      <c r="C9" s="428"/>
      <c r="D9" s="428"/>
      <c r="E9" s="428"/>
      <c r="F9" s="6" t="s">
        <v>5</v>
      </c>
      <c r="G9" s="6" t="s">
        <v>6</v>
      </c>
      <c r="H9" s="6" t="s">
        <v>7</v>
      </c>
      <c r="I9" s="6" t="s">
        <v>8</v>
      </c>
      <c r="K9" s="428"/>
    </row>
    <row r="10" spans="1:21" x14ac:dyDescent="0.2">
      <c r="A10" s="7" t="s">
        <v>12</v>
      </c>
      <c r="B10" s="8" t="s">
        <v>13</v>
      </c>
      <c r="C10" s="65">
        <f>SUM(C11:C12)</f>
        <v>184374</v>
      </c>
      <c r="D10" s="63">
        <f t="shared" ref="D10:I10" si="0">SUM(D11:D12)</f>
        <v>192150.85714285716</v>
      </c>
      <c r="E10" s="63">
        <f t="shared" si="0"/>
        <v>201555.60539596278</v>
      </c>
      <c r="F10" s="63">
        <f t="shared" si="0"/>
        <v>28217.78475543479</v>
      </c>
      <c r="G10" s="63">
        <f t="shared" si="0"/>
        <v>46357.789241071441</v>
      </c>
      <c r="H10" s="63">
        <f t="shared" si="0"/>
        <v>76591.130050465857</v>
      </c>
      <c r="I10" s="63">
        <f t="shared" si="0"/>
        <v>50388.901348990694</v>
      </c>
      <c r="K10" s="63">
        <f t="shared" ref="K10" si="1">SUM(K11:K12)</f>
        <v>112088</v>
      </c>
    </row>
    <row r="11" spans="1:21" x14ac:dyDescent="0.2">
      <c r="A11" s="9" t="s">
        <v>14</v>
      </c>
      <c r="B11" s="72"/>
      <c r="C11" s="423">
        <v>61980</v>
      </c>
      <c r="D11" s="426">
        <f>(K11/7)*12</f>
        <v>57281.142857142855</v>
      </c>
      <c r="E11" s="425">
        <f>IF(C11="",0,(D11/C11)*D11)</f>
        <v>52938.517699587093</v>
      </c>
      <c r="F11" s="73">
        <f>E11*14%</f>
        <v>7411.3924779421941</v>
      </c>
      <c r="G11" s="73">
        <f>E11*0.23</f>
        <v>12175.859070905031</v>
      </c>
      <c r="H11" s="73">
        <f>E11*0.38</f>
        <v>20116.636725843095</v>
      </c>
      <c r="I11" s="73">
        <f>E11*0.25</f>
        <v>13234.629424896773</v>
      </c>
      <c r="K11" s="423">
        <v>33414</v>
      </c>
    </row>
    <row r="12" spans="1:21" x14ac:dyDescent="0.2">
      <c r="A12" s="9" t="s">
        <v>15</v>
      </c>
      <c r="B12" s="72"/>
      <c r="C12" s="423">
        <v>122394</v>
      </c>
      <c r="D12" s="426">
        <f>(K12/7)*12</f>
        <v>134869.71428571429</v>
      </c>
      <c r="E12" s="425">
        <f>IF(C12="",0,(D12/C12)*D12)</f>
        <v>148617.08769637567</v>
      </c>
      <c r="F12" s="66">
        <f>E12*14%</f>
        <v>20806.392277492596</v>
      </c>
      <c r="G12" s="66">
        <f>E12*0.23</f>
        <v>34181.930170166408</v>
      </c>
      <c r="H12" s="66">
        <f>E12*0.38</f>
        <v>56474.493324622759</v>
      </c>
      <c r="I12" s="66">
        <f>E12*0.25</f>
        <v>37154.271924093919</v>
      </c>
      <c r="K12" s="424">
        <v>78674</v>
      </c>
    </row>
    <row r="13" spans="1:21" ht="15" customHeight="1" x14ac:dyDescent="0.2">
      <c r="A13" s="7" t="s">
        <v>16</v>
      </c>
      <c r="B13" s="8" t="s">
        <v>13</v>
      </c>
      <c r="C13" s="65">
        <f>SUM(C14)</f>
        <v>62767</v>
      </c>
      <c r="D13" s="64">
        <f t="shared" ref="D13:K13" si="2">D14</f>
        <v>69276</v>
      </c>
      <c r="E13" s="63">
        <f t="shared" si="2"/>
        <v>76459.98973983145</v>
      </c>
      <c r="F13" s="64">
        <f t="shared" si="2"/>
        <v>10704.398563576404</v>
      </c>
      <c r="G13" s="64">
        <f t="shared" si="2"/>
        <v>17585.797640161236</v>
      </c>
      <c r="H13" s="64">
        <f t="shared" si="2"/>
        <v>29054.796101135951</v>
      </c>
      <c r="I13" s="63">
        <f t="shared" si="2"/>
        <v>19114.997434957862</v>
      </c>
      <c r="K13" s="63">
        <f t="shared" si="2"/>
        <v>40411</v>
      </c>
    </row>
    <row r="14" spans="1:21" x14ac:dyDescent="0.2">
      <c r="A14" s="9" t="s">
        <v>56</v>
      </c>
      <c r="B14" s="72"/>
      <c r="C14" s="73">
        <v>62767</v>
      </c>
      <c r="D14" s="62">
        <f>(K14/7)*12</f>
        <v>69276</v>
      </c>
      <c r="E14" s="252">
        <f>IF(C14="",0,(D14/C14)*D14)</f>
        <v>76459.98973983145</v>
      </c>
      <c r="F14" s="67">
        <f>E14*0.14</f>
        <v>10704.398563576404</v>
      </c>
      <c r="G14" s="67">
        <f>E14*0.23</f>
        <v>17585.797640161236</v>
      </c>
      <c r="H14" s="67">
        <f>E14*0.38</f>
        <v>29054.796101135951</v>
      </c>
      <c r="I14" s="67">
        <f>E14*0.25</f>
        <v>19114.997434957862</v>
      </c>
      <c r="K14" s="67">
        <v>40411</v>
      </c>
    </row>
    <row r="15" spans="1:21" x14ac:dyDescent="0.2">
      <c r="A15" s="7" t="s">
        <v>9</v>
      </c>
      <c r="B15" s="8" t="s">
        <v>10</v>
      </c>
      <c r="C15" s="65">
        <f>SUM(C16:C29)</f>
        <v>13245</v>
      </c>
      <c r="D15" s="63">
        <f t="shared" ref="D15:I15" si="3">SUM(D16:D29)</f>
        <v>11885.142857142855</v>
      </c>
      <c r="E15" s="63">
        <f t="shared" si="3"/>
        <v>11027.639405733169</v>
      </c>
      <c r="F15" s="63">
        <f t="shared" si="3"/>
        <v>1543.8695168026438</v>
      </c>
      <c r="G15" s="63">
        <f t="shared" si="3"/>
        <v>2536.3570633186291</v>
      </c>
      <c r="H15" s="63">
        <f t="shared" si="3"/>
        <v>58638.068976579569</v>
      </c>
      <c r="I15" s="63">
        <f t="shared" si="3"/>
        <v>7525.7261489482689</v>
      </c>
      <c r="K15" s="63">
        <f t="shared" ref="K15" si="4">SUM(K16:K29)</f>
        <v>6933</v>
      </c>
    </row>
    <row r="16" spans="1:21" x14ac:dyDescent="0.2">
      <c r="A16" s="10" t="s">
        <v>1032</v>
      </c>
      <c r="B16" s="72"/>
      <c r="C16" s="73">
        <v>50</v>
      </c>
      <c r="D16" s="62">
        <f>(K16/7)*12</f>
        <v>44.571428571428569</v>
      </c>
      <c r="E16" s="252">
        <f t="shared" ref="E16:E29" si="5">IF(C16="",0,(D16/C16)*D16)</f>
        <v>39.732244897959177</v>
      </c>
      <c r="F16" s="66">
        <f>E16*0.14</f>
        <v>5.5625142857142853</v>
      </c>
      <c r="G16" s="66">
        <f>E16*0.23</f>
        <v>9.1384163265306118</v>
      </c>
      <c r="H16" s="66">
        <f>E16*0.38</f>
        <v>15.098253061224487</v>
      </c>
      <c r="I16" s="66">
        <f>I14*0.25</f>
        <v>4778.7493587394656</v>
      </c>
      <c r="K16" s="66">
        <v>26</v>
      </c>
    </row>
    <row r="17" spans="1:11" x14ac:dyDescent="0.2">
      <c r="A17" s="10" t="s">
        <v>1033</v>
      </c>
      <c r="B17" s="72"/>
      <c r="C17" s="73">
        <v>2</v>
      </c>
      <c r="D17" s="62">
        <f t="shared" ref="D17:D29" si="6">(K17/7)*12</f>
        <v>0</v>
      </c>
      <c r="E17" s="252">
        <f t="shared" si="5"/>
        <v>0</v>
      </c>
      <c r="F17" s="66">
        <f t="shared" ref="F17:F29" si="7">E17*0.14</f>
        <v>0</v>
      </c>
      <c r="G17" s="66">
        <f t="shared" ref="G17:G29" si="8">E17*0.23</f>
        <v>0</v>
      </c>
      <c r="H17" s="66">
        <f t="shared" ref="H17:H28" si="9">E17*0.38</f>
        <v>0</v>
      </c>
      <c r="I17" s="66">
        <f>E17*0.25</f>
        <v>0</v>
      </c>
      <c r="K17" s="66"/>
    </row>
    <row r="18" spans="1:11" x14ac:dyDescent="0.2">
      <c r="A18" s="10" t="s">
        <v>1034</v>
      </c>
      <c r="B18" s="72"/>
      <c r="C18" s="73">
        <v>1544</v>
      </c>
      <c r="D18" s="62">
        <f t="shared" si="6"/>
        <v>1719.4285714285713</v>
      </c>
      <c r="E18" s="252">
        <f t="shared" si="5"/>
        <v>1914.7892566352962</v>
      </c>
      <c r="F18" s="66">
        <f t="shared" si="7"/>
        <v>268.07049592894151</v>
      </c>
      <c r="G18" s="66">
        <f t="shared" si="8"/>
        <v>440.40152902611811</v>
      </c>
      <c r="H18" s="66">
        <f t="shared" si="9"/>
        <v>727.6199175214125</v>
      </c>
      <c r="I18" s="66">
        <f t="shared" ref="I18:I29" si="10">E18*0.25</f>
        <v>478.69731415882404</v>
      </c>
      <c r="K18" s="66">
        <v>1003</v>
      </c>
    </row>
    <row r="19" spans="1:11" x14ac:dyDescent="0.2">
      <c r="A19" s="10" t="s">
        <v>1035</v>
      </c>
      <c r="B19" s="72"/>
      <c r="C19" s="73">
        <v>6944</v>
      </c>
      <c r="D19" s="62">
        <f t="shared" si="6"/>
        <v>6078.8571428571431</v>
      </c>
      <c r="E19" s="252">
        <f t="shared" si="5"/>
        <v>5321.5011755854421</v>
      </c>
      <c r="F19" s="66">
        <f t="shared" si="7"/>
        <v>745.01016458196193</v>
      </c>
      <c r="G19" s="66">
        <f t="shared" si="8"/>
        <v>1223.9452703846516</v>
      </c>
      <c r="H19" s="66">
        <f t="shared" si="9"/>
        <v>2022.1704467224681</v>
      </c>
      <c r="I19" s="66">
        <f t="shared" si="10"/>
        <v>1330.3752938963605</v>
      </c>
      <c r="K19" s="66">
        <v>3546</v>
      </c>
    </row>
    <row r="20" spans="1:11" x14ac:dyDescent="0.2">
      <c r="A20" s="10" t="s">
        <v>1036</v>
      </c>
      <c r="B20" s="72"/>
      <c r="C20" s="73">
        <v>2761</v>
      </c>
      <c r="D20" s="62">
        <f t="shared" si="6"/>
        <v>2218.2857142857142</v>
      </c>
      <c r="E20" s="252">
        <f t="shared" si="5"/>
        <v>1782.2497320550822</v>
      </c>
      <c r="F20" s="66">
        <f t="shared" si="7"/>
        <v>249.51496248771153</v>
      </c>
      <c r="G20" s="66">
        <f t="shared" si="8"/>
        <v>409.91743837266893</v>
      </c>
      <c r="H20" s="66">
        <f t="shared" si="9"/>
        <v>677.25489818093126</v>
      </c>
      <c r="I20" s="66">
        <f t="shared" si="10"/>
        <v>445.56243301377054</v>
      </c>
      <c r="K20" s="66">
        <v>1294</v>
      </c>
    </row>
    <row r="21" spans="1:11" x14ac:dyDescent="0.2">
      <c r="A21" s="10" t="s">
        <v>1037</v>
      </c>
      <c r="B21" s="72"/>
      <c r="C21" s="73"/>
      <c r="D21" s="62">
        <f t="shared" si="6"/>
        <v>0</v>
      </c>
      <c r="E21" s="252">
        <f t="shared" si="5"/>
        <v>0</v>
      </c>
      <c r="F21" s="66">
        <f t="shared" si="7"/>
        <v>0</v>
      </c>
      <c r="G21" s="66">
        <f t="shared" si="8"/>
        <v>0</v>
      </c>
      <c r="H21" s="66">
        <f t="shared" si="9"/>
        <v>0</v>
      </c>
      <c r="I21" s="66">
        <f t="shared" si="10"/>
        <v>0</v>
      </c>
      <c r="K21" s="66"/>
    </row>
    <row r="22" spans="1:11" x14ac:dyDescent="0.2">
      <c r="A22" s="10" t="s">
        <v>1038</v>
      </c>
      <c r="B22" s="72"/>
      <c r="C22" s="73"/>
      <c r="D22" s="62">
        <f t="shared" si="6"/>
        <v>0</v>
      </c>
      <c r="E22" s="252">
        <f t="shared" si="5"/>
        <v>0</v>
      </c>
      <c r="F22" s="66">
        <f t="shared" si="7"/>
        <v>0</v>
      </c>
      <c r="G22" s="66">
        <f t="shared" si="8"/>
        <v>0</v>
      </c>
      <c r="H22" s="66">
        <f t="shared" si="9"/>
        <v>0</v>
      </c>
      <c r="I22" s="66">
        <f t="shared" si="10"/>
        <v>0</v>
      </c>
      <c r="K22" s="66"/>
    </row>
    <row r="23" spans="1:11" x14ac:dyDescent="0.2">
      <c r="A23" s="10" t="s">
        <v>1039</v>
      </c>
      <c r="B23" s="72"/>
      <c r="C23" s="73"/>
      <c r="D23" s="62">
        <f t="shared" si="6"/>
        <v>252</v>
      </c>
      <c r="E23" s="252">
        <f t="shared" si="5"/>
        <v>0</v>
      </c>
      <c r="F23" s="66">
        <f t="shared" si="7"/>
        <v>0</v>
      </c>
      <c r="G23" s="66">
        <f t="shared" si="8"/>
        <v>0</v>
      </c>
      <c r="H23" s="66">
        <f t="shared" si="9"/>
        <v>0</v>
      </c>
      <c r="I23" s="66">
        <f t="shared" si="10"/>
        <v>0</v>
      </c>
      <c r="K23" s="66">
        <v>147</v>
      </c>
    </row>
    <row r="24" spans="1:11" x14ac:dyDescent="0.2">
      <c r="A24" s="10" t="s">
        <v>1040</v>
      </c>
      <c r="B24" s="72"/>
      <c r="C24" s="73"/>
      <c r="D24" s="62">
        <f t="shared" si="6"/>
        <v>0</v>
      </c>
      <c r="E24" s="252">
        <f t="shared" si="5"/>
        <v>0</v>
      </c>
      <c r="F24" s="66">
        <f t="shared" si="7"/>
        <v>0</v>
      </c>
      <c r="G24" s="66">
        <f t="shared" si="8"/>
        <v>0</v>
      </c>
      <c r="H24" s="66">
        <f t="shared" si="9"/>
        <v>0</v>
      </c>
      <c r="I24" s="66">
        <f t="shared" si="10"/>
        <v>0</v>
      </c>
      <c r="K24" s="66"/>
    </row>
    <row r="25" spans="1:11" x14ac:dyDescent="0.2">
      <c r="A25" s="10" t="s">
        <v>1041</v>
      </c>
      <c r="B25" s="72"/>
      <c r="C25" s="73"/>
      <c r="D25" s="62">
        <f t="shared" si="6"/>
        <v>0</v>
      </c>
      <c r="E25" s="252">
        <f t="shared" si="5"/>
        <v>0</v>
      </c>
      <c r="F25" s="66">
        <f t="shared" si="7"/>
        <v>0</v>
      </c>
      <c r="G25" s="66">
        <f t="shared" si="8"/>
        <v>0</v>
      </c>
      <c r="H25" s="66">
        <f t="shared" si="9"/>
        <v>0</v>
      </c>
      <c r="I25" s="66">
        <f t="shared" si="10"/>
        <v>0</v>
      </c>
      <c r="K25" s="66"/>
    </row>
    <row r="26" spans="1:11" x14ac:dyDescent="0.2">
      <c r="A26" s="10" t="s">
        <v>1042</v>
      </c>
      <c r="B26" s="72"/>
      <c r="C26" s="73"/>
      <c r="D26" s="62">
        <f t="shared" si="6"/>
        <v>10.285714285714285</v>
      </c>
      <c r="E26" s="252">
        <f t="shared" si="5"/>
        <v>0</v>
      </c>
      <c r="F26" s="66">
        <f t="shared" si="7"/>
        <v>0</v>
      </c>
      <c r="G26" s="66">
        <f>E26*0.23</f>
        <v>0</v>
      </c>
      <c r="H26" s="66">
        <f t="shared" si="9"/>
        <v>0</v>
      </c>
      <c r="I26" s="66">
        <f t="shared" si="10"/>
        <v>0</v>
      </c>
      <c r="K26" s="66">
        <v>6</v>
      </c>
    </row>
    <row r="27" spans="1:11" x14ac:dyDescent="0.2">
      <c r="A27" s="10" t="s">
        <v>1043</v>
      </c>
      <c r="B27" s="72"/>
      <c r="C27" s="73"/>
      <c r="D27" s="62">
        <f t="shared" si="6"/>
        <v>0</v>
      </c>
      <c r="E27" s="252">
        <f t="shared" si="5"/>
        <v>0</v>
      </c>
      <c r="F27" s="66">
        <f t="shared" si="7"/>
        <v>0</v>
      </c>
      <c r="G27" s="66">
        <f t="shared" si="8"/>
        <v>0</v>
      </c>
      <c r="H27" s="66">
        <f t="shared" si="9"/>
        <v>0</v>
      </c>
      <c r="I27" s="66">
        <f t="shared" si="10"/>
        <v>0</v>
      </c>
      <c r="K27" s="66"/>
    </row>
    <row r="28" spans="1:11" x14ac:dyDescent="0.2">
      <c r="A28" s="10" t="s">
        <v>1044</v>
      </c>
      <c r="B28" s="72"/>
      <c r="C28" s="73">
        <v>1672</v>
      </c>
      <c r="D28" s="62">
        <f t="shared" si="6"/>
        <v>934.28571428571433</v>
      </c>
      <c r="E28" s="252">
        <f t="shared" si="5"/>
        <v>522.06327507079391</v>
      </c>
      <c r="F28" s="66">
        <f t="shared" si="7"/>
        <v>73.088858509911148</v>
      </c>
      <c r="G28" s="66">
        <f t="shared" si="8"/>
        <v>120.07455326628261</v>
      </c>
      <c r="H28" s="66">
        <f t="shared" si="9"/>
        <v>198.38404452690168</v>
      </c>
      <c r="I28" s="66">
        <f t="shared" si="10"/>
        <v>130.51581876769848</v>
      </c>
      <c r="K28" s="66">
        <v>545</v>
      </c>
    </row>
    <row r="29" spans="1:11" x14ac:dyDescent="0.2">
      <c r="A29" s="10" t="s">
        <v>11</v>
      </c>
      <c r="B29" s="72"/>
      <c r="C29" s="73">
        <v>272</v>
      </c>
      <c r="D29" s="62">
        <f t="shared" si="6"/>
        <v>627.42857142857144</v>
      </c>
      <c r="E29" s="252">
        <f t="shared" si="5"/>
        <v>1447.3037214885956</v>
      </c>
      <c r="F29" s="66">
        <f t="shared" si="7"/>
        <v>202.6225210084034</v>
      </c>
      <c r="G29" s="66">
        <f t="shared" si="8"/>
        <v>332.87985594237699</v>
      </c>
      <c r="H29" s="66">
        <f>E29*38</f>
        <v>54997.54141656663</v>
      </c>
      <c r="I29" s="66">
        <f t="shared" si="10"/>
        <v>361.82593037214889</v>
      </c>
      <c r="K29" s="66">
        <v>366</v>
      </c>
    </row>
    <row r="30" spans="1:11" x14ac:dyDescent="0.2">
      <c r="A30" s="7" t="s">
        <v>37</v>
      </c>
      <c r="B30" s="8"/>
      <c r="C30" s="65">
        <f>SUM(C31:C32)</f>
        <v>535836</v>
      </c>
      <c r="D30" s="63">
        <f t="shared" ref="D30:I30" si="11">SUM(D31:D32)</f>
        <v>598673.14285714284</v>
      </c>
      <c r="E30" s="63">
        <f t="shared" si="11"/>
        <v>669547.28765503084</v>
      </c>
      <c r="F30" s="63">
        <f t="shared" si="11"/>
        <v>93736.620271704334</v>
      </c>
      <c r="G30" s="63">
        <f t="shared" si="11"/>
        <v>153995.87616065709</v>
      </c>
      <c r="H30" s="63">
        <f t="shared" si="11"/>
        <v>254427.96930891174</v>
      </c>
      <c r="I30" s="63">
        <f t="shared" si="11"/>
        <v>167386.82191375771</v>
      </c>
      <c r="K30" s="63">
        <f t="shared" ref="K30" si="12">SUM(K31:K32)</f>
        <v>349226</v>
      </c>
    </row>
    <row r="31" spans="1:11" x14ac:dyDescent="0.2">
      <c r="A31" s="9" t="s">
        <v>38</v>
      </c>
      <c r="B31" s="9" t="s">
        <v>1031</v>
      </c>
      <c r="C31" s="73">
        <v>506262</v>
      </c>
      <c r="D31" s="62">
        <f>(K31/7)*12</f>
        <v>561310.28571428568</v>
      </c>
      <c r="E31" s="252">
        <f t="shared" ref="E31:E32" si="13">IF(C31="",0,(D31/C31)*D31)</f>
        <v>622344.23450437316</v>
      </c>
      <c r="F31" s="66">
        <f>E31*0.14</f>
        <v>87128.192830612257</v>
      </c>
      <c r="G31" s="66">
        <f>E31*0.23</f>
        <v>143139.17393600583</v>
      </c>
      <c r="H31" s="66">
        <f>E31*0.38</f>
        <v>236490.8091116618</v>
      </c>
      <c r="I31" s="66">
        <f>E31*0.25</f>
        <v>155586.05862609329</v>
      </c>
      <c r="K31" s="66">
        <v>327431</v>
      </c>
    </row>
    <row r="32" spans="1:11" x14ac:dyDescent="0.2">
      <c r="A32" s="9" t="s">
        <v>17</v>
      </c>
      <c r="B32" s="9" t="s">
        <v>18</v>
      </c>
      <c r="C32" s="73">
        <v>29574</v>
      </c>
      <c r="D32" s="62">
        <f>(K32/7)*12</f>
        <v>37362.857142857145</v>
      </c>
      <c r="E32" s="252">
        <f t="shared" si="13"/>
        <v>47203.053150657717</v>
      </c>
      <c r="F32" s="66">
        <f>E32*0.14</f>
        <v>6608.4274410920807</v>
      </c>
      <c r="G32" s="66">
        <f>E32*0.23</f>
        <v>10856.702224651275</v>
      </c>
      <c r="H32" s="66">
        <f>E32*0.38</f>
        <v>17937.160197249934</v>
      </c>
      <c r="I32" s="66">
        <f>E32*0.25</f>
        <v>11800.763287664429</v>
      </c>
      <c r="K32" s="68">
        <v>21795</v>
      </c>
    </row>
    <row r="33" spans="1:9" x14ac:dyDescent="0.2">
      <c r="A33" s="11" t="s">
        <v>39</v>
      </c>
      <c r="B33" s="12"/>
      <c r="C33" s="12"/>
      <c r="D33" s="12"/>
      <c r="E33" s="12"/>
      <c r="F33" s="12"/>
      <c r="G33" s="12"/>
      <c r="H33" s="12"/>
      <c r="I33" s="12"/>
    </row>
    <row r="34" spans="1:9" ht="38.25" x14ac:dyDescent="0.2">
      <c r="A34" s="13" t="s">
        <v>219</v>
      </c>
      <c r="B34" s="61" t="s">
        <v>215</v>
      </c>
      <c r="C34" s="61" t="s">
        <v>1057</v>
      </c>
      <c r="D34" s="61" t="s">
        <v>220</v>
      </c>
      <c r="E34" s="61" t="s">
        <v>216</v>
      </c>
      <c r="F34" s="61" t="s">
        <v>217</v>
      </c>
      <c r="G34" s="61" t="s">
        <v>218</v>
      </c>
      <c r="H34" s="61" t="s">
        <v>1091</v>
      </c>
      <c r="I34" s="61" t="s">
        <v>281</v>
      </c>
    </row>
    <row r="35" spans="1:9" x14ac:dyDescent="0.2">
      <c r="A35" s="70">
        <v>2022</v>
      </c>
      <c r="B35" s="69">
        <v>229</v>
      </c>
      <c r="C35" s="69">
        <v>17180</v>
      </c>
      <c r="D35" s="393">
        <f>+B35*365</f>
        <v>83585</v>
      </c>
      <c r="E35" s="69">
        <v>41979</v>
      </c>
      <c r="F35" s="392">
        <f>+E35/C35</f>
        <v>2.4434807916181605</v>
      </c>
      <c r="G35" s="393">
        <f>+E35/D35*100</f>
        <v>50.223126158999818</v>
      </c>
      <c r="H35" s="69"/>
      <c r="I35" s="69"/>
    </row>
    <row r="36" spans="1:9" x14ac:dyDescent="0.2">
      <c r="A36" s="70">
        <v>2023</v>
      </c>
      <c r="B36" s="69">
        <v>231</v>
      </c>
      <c r="C36" s="69">
        <v>12957</v>
      </c>
      <c r="D36" s="393">
        <f t="shared" ref="D36:D37" si="14">+B36*365</f>
        <v>84315</v>
      </c>
      <c r="E36" s="69">
        <v>32659</v>
      </c>
      <c r="F36" s="392">
        <f t="shared" ref="F36:F37" si="15">+E36/C36</f>
        <v>2.5205680327236242</v>
      </c>
      <c r="G36" s="393">
        <f t="shared" ref="G36:G37" si="16">+E36/D36*100</f>
        <v>38.734507501630787</v>
      </c>
      <c r="H36" s="69"/>
      <c r="I36" s="69"/>
    </row>
    <row r="37" spans="1:9" x14ac:dyDescent="0.2">
      <c r="A37" s="71">
        <v>2024</v>
      </c>
      <c r="B37" s="69">
        <v>259</v>
      </c>
      <c r="C37" s="69">
        <v>13245</v>
      </c>
      <c r="D37" s="393">
        <f t="shared" si="14"/>
        <v>94535</v>
      </c>
      <c r="E37" s="69"/>
      <c r="F37" s="392">
        <f t="shared" si="15"/>
        <v>0</v>
      </c>
      <c r="G37" s="393">
        <f t="shared" si="16"/>
        <v>0</v>
      </c>
      <c r="H37" s="69"/>
      <c r="I37" s="69"/>
    </row>
    <row r="38" spans="1:9" s="53" customFormat="1" x14ac:dyDescent="0.2">
      <c r="A38" s="54"/>
      <c r="B38" s="54"/>
      <c r="C38" s="54"/>
      <c r="D38" s="54"/>
      <c r="E38" s="54"/>
      <c r="F38" s="54"/>
      <c r="G38" s="54"/>
      <c r="H38" s="54"/>
      <c r="I38" s="54"/>
    </row>
    <row r="39" spans="1:9" s="53" customFormat="1" x14ac:dyDescent="0.2">
      <c r="A39" s="54"/>
      <c r="B39" s="54"/>
      <c r="C39" s="54"/>
      <c r="D39" s="54"/>
      <c r="E39" s="54"/>
      <c r="F39" s="54"/>
      <c r="G39" s="54"/>
      <c r="H39" s="54"/>
      <c r="I39" s="54"/>
    </row>
    <row r="40" spans="1:9" s="53" customFormat="1" x14ac:dyDescent="0.2">
      <c r="A40" s="54"/>
      <c r="B40" s="54"/>
      <c r="C40" s="54"/>
      <c r="D40" s="54"/>
      <c r="E40" s="54"/>
      <c r="F40" s="54"/>
      <c r="G40" s="54"/>
      <c r="H40" s="54"/>
      <c r="I40" s="54"/>
    </row>
    <row r="41" spans="1:9" s="53" customFormat="1" x14ac:dyDescent="0.2">
      <c r="A41" s="54"/>
      <c r="B41" s="54"/>
      <c r="C41" s="54"/>
      <c r="D41" s="54"/>
      <c r="E41" s="54"/>
      <c r="F41" s="54"/>
      <c r="G41" s="54"/>
      <c r="H41" s="54"/>
      <c r="I41" s="54"/>
    </row>
    <row r="42" spans="1:9" s="53" customFormat="1" x14ac:dyDescent="0.2">
      <c r="A42" s="54"/>
      <c r="B42" s="54"/>
      <c r="C42" s="54"/>
      <c r="D42" s="54"/>
      <c r="E42" s="54"/>
      <c r="F42" s="54"/>
      <c r="G42" s="54"/>
      <c r="H42" s="54"/>
      <c r="I42" s="54"/>
    </row>
    <row r="43" spans="1:9" s="53" customFormat="1" x14ac:dyDescent="0.2">
      <c r="A43" s="54"/>
      <c r="B43" s="54"/>
      <c r="C43" s="54"/>
      <c r="D43" s="54"/>
      <c r="E43" s="54"/>
      <c r="F43" s="54"/>
      <c r="G43" s="54"/>
      <c r="H43" s="54"/>
      <c r="I43" s="54"/>
    </row>
    <row r="44" spans="1:9" s="53" customFormat="1" x14ac:dyDescent="0.2">
      <c r="A44" s="54"/>
      <c r="B44" s="54"/>
      <c r="C44" s="54"/>
      <c r="D44" s="54"/>
      <c r="E44" s="54"/>
      <c r="F44" s="54"/>
      <c r="G44" s="54"/>
      <c r="H44" s="54"/>
      <c r="I44" s="54"/>
    </row>
    <row r="45" spans="1:9" s="53" customFormat="1" x14ac:dyDescent="0.2">
      <c r="A45" s="54"/>
      <c r="B45" s="54"/>
      <c r="C45" s="54"/>
      <c r="D45" s="54"/>
      <c r="E45" s="54"/>
      <c r="F45" s="54"/>
      <c r="G45" s="54"/>
      <c r="H45" s="54"/>
      <c r="I45" s="54"/>
    </row>
    <row r="46" spans="1:9" s="53" customFormat="1" x14ac:dyDescent="0.2">
      <c r="A46" s="54"/>
      <c r="B46" s="54"/>
      <c r="C46" s="54"/>
      <c r="D46" s="54"/>
      <c r="E46" s="54"/>
      <c r="F46" s="54"/>
      <c r="G46" s="54"/>
      <c r="H46" s="54"/>
      <c r="I46" s="54"/>
    </row>
    <row r="47" spans="1:9" s="53" customFormat="1" x14ac:dyDescent="0.2">
      <c r="A47" s="54"/>
      <c r="B47" s="54"/>
      <c r="C47" s="54"/>
      <c r="D47" s="54"/>
      <c r="E47" s="54"/>
      <c r="F47" s="54"/>
      <c r="G47" s="54"/>
      <c r="H47" s="54"/>
      <c r="I47" s="54"/>
    </row>
    <row r="48" spans="1:9" s="53" customFormat="1" x14ac:dyDescent="0.2">
      <c r="A48" s="54"/>
      <c r="B48" s="54"/>
      <c r="C48" s="54"/>
      <c r="D48" s="54"/>
      <c r="E48" s="54"/>
      <c r="F48" s="54"/>
      <c r="G48" s="54"/>
      <c r="H48" s="54"/>
      <c r="I48" s="54"/>
    </row>
    <row r="49" spans="1:9" s="53" customFormat="1" x14ac:dyDescent="0.2">
      <c r="A49" s="54"/>
      <c r="B49" s="54"/>
      <c r="C49" s="54"/>
      <c r="D49" s="54"/>
      <c r="E49" s="54"/>
      <c r="F49" s="54"/>
      <c r="G49" s="54"/>
      <c r="H49" s="54"/>
      <c r="I49" s="54"/>
    </row>
    <row r="50" spans="1:9" s="53" customFormat="1" x14ac:dyDescent="0.2">
      <c r="A50" s="54"/>
      <c r="B50" s="54"/>
      <c r="C50" s="54"/>
      <c r="D50" s="54"/>
      <c r="E50" s="54"/>
      <c r="F50" s="54"/>
      <c r="G50" s="54"/>
      <c r="H50" s="54"/>
      <c r="I50" s="54"/>
    </row>
    <row r="51" spans="1:9" s="53" customFormat="1" x14ac:dyDescent="0.2">
      <c r="A51" s="54"/>
      <c r="B51" s="54"/>
      <c r="C51" s="54"/>
      <c r="D51" s="54"/>
      <c r="E51" s="54"/>
      <c r="F51" s="54"/>
      <c r="G51" s="54"/>
      <c r="H51" s="54"/>
      <c r="I51" s="54"/>
    </row>
    <row r="52" spans="1:9" s="53" customFormat="1" x14ac:dyDescent="0.2">
      <c r="A52" s="54"/>
      <c r="B52" s="54"/>
      <c r="C52" s="54"/>
      <c r="D52" s="54"/>
      <c r="E52" s="54"/>
      <c r="F52" s="54"/>
      <c r="G52" s="54"/>
      <c r="H52" s="54"/>
      <c r="I52" s="54"/>
    </row>
    <row r="53" spans="1:9" s="53" customFormat="1" x14ac:dyDescent="0.2">
      <c r="A53" s="54"/>
      <c r="B53" s="54"/>
      <c r="C53" s="54"/>
      <c r="D53" s="54"/>
      <c r="E53" s="54"/>
      <c r="F53" s="54"/>
      <c r="G53" s="54"/>
      <c r="H53" s="54"/>
      <c r="I53" s="54"/>
    </row>
    <row r="54" spans="1:9" s="53" customFormat="1" x14ac:dyDescent="0.2">
      <c r="A54" s="54"/>
      <c r="B54" s="54"/>
      <c r="C54" s="54"/>
      <c r="D54" s="54"/>
      <c r="E54" s="54"/>
      <c r="F54" s="54"/>
      <c r="G54" s="54"/>
      <c r="H54" s="54"/>
      <c r="I54" s="54"/>
    </row>
    <row r="55" spans="1:9" s="53" customFormat="1" x14ac:dyDescent="0.2">
      <c r="A55" s="54"/>
      <c r="B55" s="54"/>
      <c r="C55" s="54"/>
      <c r="D55" s="54"/>
      <c r="E55" s="54"/>
      <c r="F55" s="54"/>
      <c r="G55" s="54"/>
      <c r="H55" s="54"/>
      <c r="I55" s="54"/>
    </row>
    <row r="56" spans="1:9" s="53" customFormat="1" x14ac:dyDescent="0.2">
      <c r="A56" s="54"/>
      <c r="B56" s="54"/>
      <c r="C56" s="54"/>
      <c r="D56" s="54"/>
      <c r="E56" s="54"/>
      <c r="F56" s="54"/>
      <c r="G56" s="54"/>
      <c r="H56" s="54"/>
      <c r="I56" s="54"/>
    </row>
    <row r="57" spans="1:9" s="53" customFormat="1" x14ac:dyDescent="0.2">
      <c r="A57" s="54"/>
      <c r="B57" s="54"/>
      <c r="C57" s="54"/>
      <c r="D57" s="54"/>
      <c r="E57" s="54"/>
      <c r="F57" s="54"/>
      <c r="G57" s="54"/>
      <c r="H57" s="54"/>
      <c r="I57" s="54"/>
    </row>
    <row r="58" spans="1:9" s="53" customFormat="1" x14ac:dyDescent="0.2">
      <c r="A58" s="54"/>
      <c r="B58" s="54"/>
      <c r="C58" s="54"/>
      <c r="D58" s="54"/>
      <c r="E58" s="54"/>
      <c r="F58" s="54"/>
      <c r="G58" s="54"/>
      <c r="H58" s="54"/>
      <c r="I58" s="54"/>
    </row>
    <row r="59" spans="1:9" s="53" customFormat="1" x14ac:dyDescent="0.2">
      <c r="A59" s="54"/>
      <c r="B59" s="54"/>
      <c r="C59" s="54"/>
      <c r="D59" s="54"/>
      <c r="E59" s="54"/>
      <c r="F59" s="54"/>
      <c r="G59" s="54"/>
      <c r="H59" s="54"/>
      <c r="I59" s="54"/>
    </row>
    <row r="60" spans="1:9" s="53" customFormat="1" x14ac:dyDescent="0.2">
      <c r="A60" s="54"/>
      <c r="B60" s="54"/>
      <c r="C60" s="54"/>
      <c r="D60" s="54"/>
      <c r="E60" s="54"/>
      <c r="F60" s="54"/>
      <c r="G60" s="54"/>
      <c r="H60" s="54"/>
      <c r="I60" s="54"/>
    </row>
    <row r="61" spans="1:9" s="53" customFormat="1" x14ac:dyDescent="0.2">
      <c r="A61" s="54"/>
      <c r="B61" s="54"/>
      <c r="C61" s="54"/>
      <c r="D61" s="54"/>
      <c r="E61" s="54"/>
      <c r="F61" s="54"/>
      <c r="G61" s="54"/>
      <c r="H61" s="54"/>
      <c r="I61" s="54"/>
    </row>
    <row r="62" spans="1:9" s="53" customFormat="1" x14ac:dyDescent="0.2">
      <c r="A62" s="54"/>
      <c r="B62" s="54"/>
      <c r="C62" s="54"/>
      <c r="D62" s="54"/>
      <c r="E62" s="54"/>
      <c r="F62" s="54"/>
      <c r="G62" s="54"/>
      <c r="H62" s="54"/>
      <c r="I62" s="54"/>
    </row>
    <row r="63" spans="1:9" s="53" customFormat="1" x14ac:dyDescent="0.2">
      <c r="A63" s="54"/>
      <c r="B63" s="54"/>
      <c r="C63" s="54"/>
      <c r="D63" s="54"/>
      <c r="E63" s="54"/>
      <c r="F63" s="54"/>
      <c r="G63" s="54"/>
      <c r="H63" s="54"/>
      <c r="I63" s="54"/>
    </row>
    <row r="64" spans="1:9" s="53" customFormat="1" x14ac:dyDescent="0.2">
      <c r="A64" s="54"/>
      <c r="B64" s="54"/>
      <c r="C64" s="54"/>
      <c r="D64" s="54"/>
      <c r="E64" s="54"/>
      <c r="F64" s="54"/>
      <c r="G64" s="54"/>
      <c r="H64" s="54"/>
      <c r="I64" s="54"/>
    </row>
    <row r="65" spans="1:9" s="53" customFormat="1" x14ac:dyDescent="0.2">
      <c r="A65" s="54"/>
      <c r="B65" s="54"/>
      <c r="C65" s="54"/>
      <c r="D65" s="54"/>
      <c r="E65" s="54"/>
      <c r="F65" s="54"/>
      <c r="G65" s="54"/>
      <c r="H65" s="54"/>
      <c r="I65" s="54"/>
    </row>
    <row r="66" spans="1:9" s="53" customFormat="1" x14ac:dyDescent="0.2">
      <c r="A66" s="54"/>
      <c r="B66" s="54"/>
      <c r="C66" s="54"/>
      <c r="D66" s="54"/>
      <c r="E66" s="54"/>
      <c r="F66" s="54"/>
      <c r="G66" s="54"/>
      <c r="H66" s="54"/>
      <c r="I66" s="54"/>
    </row>
    <row r="67" spans="1:9" s="53" customFormat="1" x14ac:dyDescent="0.2">
      <c r="A67" s="54"/>
      <c r="B67" s="54"/>
      <c r="C67" s="54"/>
      <c r="D67" s="54"/>
      <c r="E67" s="54"/>
      <c r="F67" s="54"/>
      <c r="G67" s="54"/>
      <c r="H67" s="54"/>
      <c r="I67" s="54"/>
    </row>
    <row r="68" spans="1:9" s="53" customFormat="1" x14ac:dyDescent="0.2">
      <c r="A68" s="54"/>
      <c r="B68" s="54"/>
      <c r="C68" s="54"/>
      <c r="D68" s="54"/>
      <c r="E68" s="54"/>
      <c r="F68" s="54"/>
      <c r="G68" s="54"/>
      <c r="H68" s="54"/>
      <c r="I68" s="54"/>
    </row>
    <row r="69" spans="1:9" s="53" customFormat="1" x14ac:dyDescent="0.2">
      <c r="A69" s="54"/>
      <c r="B69" s="54"/>
      <c r="C69" s="54"/>
      <c r="D69" s="54"/>
      <c r="E69" s="54"/>
      <c r="F69" s="54"/>
      <c r="G69" s="54"/>
      <c r="H69" s="54"/>
      <c r="I69" s="54"/>
    </row>
    <row r="70" spans="1:9" s="53" customFormat="1" x14ac:dyDescent="0.2">
      <c r="A70" s="54"/>
      <c r="B70" s="54"/>
      <c r="C70" s="54"/>
      <c r="D70" s="54"/>
      <c r="E70" s="54"/>
      <c r="F70" s="54"/>
      <c r="G70" s="54"/>
      <c r="H70" s="54"/>
      <c r="I70" s="54"/>
    </row>
    <row r="71" spans="1:9" s="53" customFormat="1" x14ac:dyDescent="0.2">
      <c r="A71" s="54"/>
      <c r="B71" s="54"/>
      <c r="C71" s="54"/>
      <c r="D71" s="54"/>
      <c r="E71" s="54"/>
      <c r="F71" s="54"/>
      <c r="G71" s="54"/>
      <c r="H71" s="54"/>
      <c r="I71" s="54"/>
    </row>
    <row r="72" spans="1:9" s="53" customFormat="1" x14ac:dyDescent="0.2">
      <c r="A72" s="54"/>
      <c r="B72" s="54"/>
      <c r="C72" s="54"/>
      <c r="D72" s="54"/>
      <c r="E72" s="54"/>
      <c r="F72" s="54"/>
      <c r="G72" s="54"/>
      <c r="H72" s="54"/>
      <c r="I72" s="54"/>
    </row>
    <row r="73" spans="1:9" s="53" customFormat="1" x14ac:dyDescent="0.2">
      <c r="A73" s="54"/>
      <c r="B73" s="54"/>
      <c r="C73" s="54"/>
      <c r="D73" s="54"/>
      <c r="E73" s="54"/>
      <c r="F73" s="54"/>
      <c r="G73" s="54"/>
      <c r="H73" s="54"/>
      <c r="I73" s="54"/>
    </row>
    <row r="74" spans="1:9" s="53" customFormat="1" x14ac:dyDescent="0.2">
      <c r="A74" s="54"/>
      <c r="B74" s="54"/>
      <c r="C74" s="54"/>
      <c r="D74" s="54"/>
      <c r="E74" s="54"/>
      <c r="F74" s="54"/>
      <c r="G74" s="54"/>
      <c r="H74" s="54"/>
      <c r="I74" s="54"/>
    </row>
    <row r="75" spans="1:9" s="53" customFormat="1" x14ac:dyDescent="0.2">
      <c r="A75" s="54"/>
      <c r="B75" s="54"/>
      <c r="C75" s="54"/>
      <c r="D75" s="54"/>
      <c r="E75" s="54"/>
      <c r="F75" s="54"/>
      <c r="G75" s="54"/>
      <c r="H75" s="54"/>
      <c r="I75" s="54"/>
    </row>
    <row r="76" spans="1:9" s="53" customFormat="1" x14ac:dyDescent="0.2">
      <c r="A76" s="54"/>
      <c r="B76" s="54"/>
      <c r="C76" s="54"/>
      <c r="D76" s="54"/>
      <c r="E76" s="54"/>
      <c r="F76" s="54"/>
      <c r="G76" s="54"/>
      <c r="H76" s="54"/>
      <c r="I76" s="54"/>
    </row>
    <row r="77" spans="1:9" s="53" customFormat="1" x14ac:dyDescent="0.2">
      <c r="A77" s="54"/>
      <c r="B77" s="54"/>
      <c r="C77" s="54"/>
      <c r="D77" s="54"/>
      <c r="E77" s="54"/>
      <c r="F77" s="54"/>
      <c r="G77" s="54"/>
      <c r="H77" s="54"/>
      <c r="I77" s="54"/>
    </row>
    <row r="78" spans="1:9" s="53" customFormat="1" x14ac:dyDescent="0.2">
      <c r="A78" s="54"/>
      <c r="B78" s="54"/>
      <c r="C78" s="54"/>
      <c r="D78" s="54"/>
      <c r="E78" s="54"/>
      <c r="F78" s="54"/>
      <c r="G78" s="54"/>
      <c r="H78" s="54"/>
      <c r="I78" s="54"/>
    </row>
    <row r="79" spans="1:9" s="53" customFormat="1" x14ac:dyDescent="0.2">
      <c r="A79" s="54"/>
      <c r="B79" s="54"/>
      <c r="C79" s="54"/>
      <c r="D79" s="54"/>
      <c r="E79" s="54"/>
      <c r="F79" s="54"/>
      <c r="G79" s="54"/>
      <c r="H79" s="54"/>
      <c r="I79" s="54"/>
    </row>
    <row r="80" spans="1:9" s="53" customFormat="1" x14ac:dyDescent="0.2">
      <c r="A80" s="54"/>
      <c r="B80" s="54"/>
      <c r="C80" s="54"/>
      <c r="D80" s="54"/>
      <c r="E80" s="54"/>
      <c r="F80" s="54"/>
      <c r="G80" s="54"/>
      <c r="H80" s="54"/>
      <c r="I80" s="54"/>
    </row>
    <row r="81" spans="1:9" s="53" customFormat="1" x14ac:dyDescent="0.2">
      <c r="A81" s="54"/>
      <c r="B81" s="54"/>
      <c r="C81" s="54"/>
      <c r="D81" s="54"/>
      <c r="E81" s="54"/>
      <c r="F81" s="54"/>
      <c r="G81" s="54"/>
      <c r="H81" s="54"/>
      <c r="I81" s="54"/>
    </row>
    <row r="82" spans="1:9" s="53" customFormat="1" x14ac:dyDescent="0.2">
      <c r="A82" s="54"/>
      <c r="B82" s="54"/>
      <c r="C82" s="54"/>
      <c r="D82" s="54"/>
      <c r="E82" s="54"/>
      <c r="F82" s="54"/>
      <c r="G82" s="54"/>
      <c r="H82" s="54"/>
      <c r="I82" s="54"/>
    </row>
    <row r="83" spans="1:9" s="53" customFormat="1" x14ac:dyDescent="0.2">
      <c r="A83" s="54"/>
      <c r="B83" s="54"/>
      <c r="C83" s="54"/>
      <c r="D83" s="54"/>
      <c r="E83" s="54"/>
      <c r="F83" s="54"/>
      <c r="G83" s="54"/>
      <c r="H83" s="54"/>
      <c r="I83" s="54"/>
    </row>
    <row r="84" spans="1:9" s="53" customFormat="1" x14ac:dyDescent="0.2">
      <c r="A84" s="54"/>
      <c r="B84" s="54"/>
      <c r="C84" s="54"/>
      <c r="D84" s="54"/>
      <c r="E84" s="54"/>
      <c r="F84" s="54"/>
      <c r="G84" s="54"/>
      <c r="H84" s="54"/>
      <c r="I84" s="54"/>
    </row>
    <row r="85" spans="1:9" s="53" customFormat="1" x14ac:dyDescent="0.2">
      <c r="A85" s="54"/>
      <c r="B85" s="54"/>
      <c r="C85" s="54"/>
      <c r="D85" s="54"/>
      <c r="E85" s="54"/>
      <c r="F85" s="54"/>
      <c r="G85" s="54"/>
      <c r="H85" s="54"/>
      <c r="I85" s="54"/>
    </row>
    <row r="86" spans="1:9" s="53" customFormat="1" x14ac:dyDescent="0.2">
      <c r="A86" s="54"/>
      <c r="B86" s="54"/>
      <c r="C86" s="54"/>
      <c r="D86" s="54"/>
      <c r="E86" s="54"/>
      <c r="F86" s="54"/>
      <c r="G86" s="54"/>
      <c r="H86" s="54"/>
      <c r="I86" s="54"/>
    </row>
    <row r="87" spans="1:9" s="53" customFormat="1" x14ac:dyDescent="0.2">
      <c r="A87" s="54"/>
      <c r="B87" s="54"/>
      <c r="C87" s="54"/>
      <c r="D87" s="54"/>
      <c r="E87" s="54"/>
      <c r="F87" s="54"/>
      <c r="G87" s="54"/>
      <c r="H87" s="54"/>
      <c r="I87" s="54"/>
    </row>
    <row r="88" spans="1:9" s="53" customFormat="1" x14ac:dyDescent="0.2">
      <c r="A88" s="54"/>
      <c r="B88" s="54"/>
      <c r="C88" s="54"/>
      <c r="D88" s="54"/>
      <c r="E88" s="54"/>
      <c r="F88" s="54"/>
      <c r="G88" s="54"/>
      <c r="H88" s="54"/>
      <c r="I88" s="54"/>
    </row>
    <row r="89" spans="1:9" s="53" customFormat="1" x14ac:dyDescent="0.2">
      <c r="A89" s="54"/>
      <c r="B89" s="54"/>
      <c r="C89" s="54"/>
      <c r="D89" s="54"/>
      <c r="E89" s="54"/>
      <c r="F89" s="54"/>
      <c r="G89" s="54"/>
      <c r="H89" s="54"/>
      <c r="I89" s="54"/>
    </row>
    <row r="90" spans="1:9" s="53" customFormat="1" x14ac:dyDescent="0.2">
      <c r="A90" s="54"/>
      <c r="B90" s="54"/>
      <c r="C90" s="54"/>
      <c r="D90" s="54"/>
      <c r="E90" s="54"/>
      <c r="F90" s="54"/>
      <c r="G90" s="54"/>
      <c r="H90" s="54"/>
      <c r="I90" s="54"/>
    </row>
    <row r="91" spans="1:9" s="53" customFormat="1" x14ac:dyDescent="0.2">
      <c r="A91" s="54"/>
      <c r="B91" s="54"/>
      <c r="C91" s="54"/>
      <c r="D91" s="54"/>
      <c r="E91" s="54"/>
      <c r="F91" s="54"/>
      <c r="G91" s="54"/>
      <c r="H91" s="54"/>
      <c r="I91" s="54"/>
    </row>
    <row r="92" spans="1:9" s="53" customFormat="1" x14ac:dyDescent="0.2">
      <c r="A92" s="54"/>
      <c r="B92" s="54"/>
      <c r="C92" s="54"/>
      <c r="D92" s="54"/>
      <c r="E92" s="54"/>
      <c r="F92" s="54"/>
      <c r="G92" s="54"/>
      <c r="H92" s="54"/>
      <c r="I92" s="54"/>
    </row>
    <row r="93" spans="1:9" s="53" customFormat="1" x14ac:dyDescent="0.2">
      <c r="A93" s="54"/>
      <c r="B93" s="54"/>
      <c r="C93" s="54"/>
      <c r="D93" s="54"/>
      <c r="E93" s="54"/>
      <c r="F93" s="54"/>
      <c r="G93" s="54"/>
      <c r="H93" s="54"/>
      <c r="I93" s="54"/>
    </row>
    <row r="94" spans="1:9" s="53" customFormat="1" x14ac:dyDescent="0.2">
      <c r="A94" s="54"/>
      <c r="B94" s="54"/>
      <c r="C94" s="54"/>
      <c r="D94" s="54"/>
      <c r="E94" s="54"/>
      <c r="F94" s="54"/>
      <c r="G94" s="54"/>
      <c r="H94" s="54"/>
      <c r="I94" s="54"/>
    </row>
    <row r="95" spans="1:9" s="53" customFormat="1" x14ac:dyDescent="0.2">
      <c r="A95" s="54"/>
      <c r="B95" s="54"/>
      <c r="C95" s="54"/>
      <c r="D95" s="54"/>
      <c r="E95" s="54"/>
      <c r="F95" s="54"/>
      <c r="G95" s="54"/>
      <c r="H95" s="54"/>
      <c r="I95" s="54"/>
    </row>
    <row r="96" spans="1:9" s="53" customFormat="1" x14ac:dyDescent="0.2">
      <c r="A96" s="54"/>
      <c r="B96" s="54"/>
      <c r="C96" s="54"/>
      <c r="D96" s="54"/>
      <c r="E96" s="54"/>
      <c r="F96" s="54"/>
      <c r="G96" s="54"/>
      <c r="H96" s="54"/>
      <c r="I96" s="54"/>
    </row>
    <row r="97" spans="1:9" s="53" customFormat="1" x14ac:dyDescent="0.2">
      <c r="A97" s="54"/>
      <c r="B97" s="54"/>
      <c r="C97" s="54"/>
      <c r="D97" s="54"/>
      <c r="E97" s="54"/>
      <c r="F97" s="54"/>
      <c r="G97" s="54"/>
      <c r="H97" s="54"/>
      <c r="I97" s="54"/>
    </row>
    <row r="98" spans="1:9" s="53" customFormat="1" x14ac:dyDescent="0.2">
      <c r="A98" s="54"/>
      <c r="B98" s="54"/>
      <c r="C98" s="54"/>
      <c r="D98" s="54"/>
      <c r="E98" s="54"/>
      <c r="F98" s="54"/>
      <c r="G98" s="54"/>
      <c r="H98" s="54"/>
      <c r="I98" s="54"/>
    </row>
    <row r="99" spans="1:9" s="53" customFormat="1" x14ac:dyDescent="0.2">
      <c r="A99" s="54"/>
      <c r="B99" s="54"/>
      <c r="C99" s="54"/>
      <c r="D99" s="54"/>
      <c r="E99" s="54"/>
      <c r="F99" s="54"/>
      <c r="G99" s="54"/>
      <c r="H99" s="54"/>
      <c r="I99" s="54"/>
    </row>
    <row r="100" spans="1:9" s="53" customFormat="1" x14ac:dyDescent="0.2">
      <c r="A100" s="54"/>
      <c r="B100" s="54"/>
      <c r="C100" s="54"/>
      <c r="D100" s="54"/>
      <c r="E100" s="54"/>
      <c r="F100" s="54"/>
      <c r="G100" s="54"/>
      <c r="H100" s="54"/>
      <c r="I100" s="54"/>
    </row>
    <row r="101" spans="1:9" s="53" customFormat="1" x14ac:dyDescent="0.2">
      <c r="A101" s="54"/>
      <c r="B101" s="54"/>
      <c r="C101" s="54"/>
      <c r="D101" s="54"/>
      <c r="E101" s="54"/>
      <c r="F101" s="54"/>
      <c r="G101" s="54"/>
      <c r="H101" s="54"/>
      <c r="I101" s="54"/>
    </row>
    <row r="102" spans="1:9" s="53" customFormat="1" x14ac:dyDescent="0.2">
      <c r="A102" s="54"/>
      <c r="B102" s="54"/>
      <c r="C102" s="54"/>
      <c r="D102" s="54"/>
      <c r="E102" s="54"/>
      <c r="F102" s="54"/>
      <c r="G102" s="54"/>
      <c r="H102" s="54"/>
      <c r="I102" s="54"/>
    </row>
    <row r="103" spans="1:9" s="53" customFormat="1" x14ac:dyDescent="0.2">
      <c r="A103" s="54"/>
      <c r="B103" s="54"/>
      <c r="C103" s="54"/>
      <c r="D103" s="54"/>
      <c r="E103" s="54"/>
      <c r="F103" s="54"/>
      <c r="G103" s="54"/>
      <c r="H103" s="54"/>
      <c r="I103" s="54"/>
    </row>
    <row r="104" spans="1:9" s="53" customFormat="1" x14ac:dyDescent="0.2">
      <c r="A104" s="54"/>
      <c r="B104" s="54"/>
      <c r="C104" s="54"/>
      <c r="D104" s="54"/>
      <c r="E104" s="54"/>
      <c r="F104" s="54"/>
      <c r="G104" s="54"/>
      <c r="H104" s="54"/>
      <c r="I104" s="54"/>
    </row>
    <row r="105" spans="1:9" s="53" customFormat="1" x14ac:dyDescent="0.2">
      <c r="A105" s="54"/>
      <c r="B105" s="54"/>
      <c r="C105" s="54"/>
      <c r="D105" s="54"/>
      <c r="E105" s="54"/>
      <c r="F105" s="54"/>
      <c r="G105" s="54"/>
      <c r="H105" s="54"/>
      <c r="I105" s="54"/>
    </row>
    <row r="106" spans="1:9" s="53" customFormat="1" x14ac:dyDescent="0.2">
      <c r="A106" s="54"/>
      <c r="B106" s="54"/>
      <c r="C106" s="54"/>
      <c r="D106" s="54"/>
      <c r="E106" s="54"/>
      <c r="F106" s="54"/>
      <c r="G106" s="54"/>
      <c r="H106" s="54"/>
      <c r="I106" s="54"/>
    </row>
    <row r="107" spans="1:9" s="53" customFormat="1" x14ac:dyDescent="0.2">
      <c r="A107" s="54"/>
      <c r="B107" s="54"/>
      <c r="C107" s="54"/>
      <c r="D107" s="54"/>
      <c r="E107" s="54"/>
      <c r="F107" s="54"/>
      <c r="G107" s="54"/>
      <c r="H107" s="54"/>
      <c r="I107" s="54"/>
    </row>
    <row r="108" spans="1:9" s="53" customFormat="1" x14ac:dyDescent="0.2">
      <c r="A108" s="54"/>
      <c r="B108" s="54"/>
      <c r="C108" s="54"/>
      <c r="D108" s="54"/>
      <c r="E108" s="54"/>
      <c r="F108" s="54"/>
      <c r="G108" s="54"/>
      <c r="H108" s="54"/>
      <c r="I108" s="54"/>
    </row>
    <row r="109" spans="1:9" s="53" customFormat="1" x14ac:dyDescent="0.2">
      <c r="A109" s="54"/>
      <c r="B109" s="54"/>
      <c r="C109" s="54"/>
      <c r="D109" s="54"/>
      <c r="E109" s="54"/>
      <c r="F109" s="54"/>
      <c r="G109" s="54"/>
      <c r="H109" s="54"/>
      <c r="I109" s="54"/>
    </row>
    <row r="110" spans="1:9" s="53" customFormat="1" x14ac:dyDescent="0.2">
      <c r="A110" s="54"/>
      <c r="B110" s="54"/>
      <c r="C110" s="54"/>
      <c r="D110" s="54"/>
      <c r="E110" s="54"/>
      <c r="F110" s="54"/>
      <c r="G110" s="54"/>
      <c r="H110" s="54"/>
      <c r="I110" s="54"/>
    </row>
    <row r="111" spans="1:9" s="53" customFormat="1" x14ac:dyDescent="0.2">
      <c r="A111" s="54"/>
      <c r="B111" s="54"/>
      <c r="C111" s="54"/>
      <c r="D111" s="54"/>
      <c r="E111" s="54"/>
      <c r="F111" s="54"/>
      <c r="G111" s="54"/>
      <c r="H111" s="54"/>
      <c r="I111" s="54"/>
    </row>
    <row r="112" spans="1:9" s="53" customFormat="1" x14ac:dyDescent="0.2">
      <c r="A112" s="54"/>
      <c r="B112" s="54"/>
      <c r="C112" s="54"/>
      <c r="D112" s="54"/>
      <c r="E112" s="54"/>
      <c r="F112" s="54"/>
      <c r="G112" s="54"/>
      <c r="H112" s="54"/>
      <c r="I112" s="54"/>
    </row>
    <row r="113" spans="1:9" s="53" customFormat="1" x14ac:dyDescent="0.2">
      <c r="A113" s="54"/>
      <c r="B113" s="54"/>
      <c r="C113" s="54"/>
      <c r="D113" s="54"/>
      <c r="E113" s="54"/>
      <c r="F113" s="54"/>
      <c r="G113" s="54"/>
      <c r="H113" s="54"/>
      <c r="I113" s="54"/>
    </row>
    <row r="114" spans="1:9" s="53" customFormat="1" x14ac:dyDescent="0.2">
      <c r="A114" s="54"/>
      <c r="B114" s="54"/>
      <c r="C114" s="54"/>
      <c r="D114" s="54"/>
      <c r="E114" s="54"/>
      <c r="F114" s="54"/>
      <c r="G114" s="54"/>
      <c r="H114" s="54"/>
      <c r="I114" s="54"/>
    </row>
    <row r="115" spans="1:9" s="53" customFormat="1" x14ac:dyDescent="0.2">
      <c r="A115" s="54"/>
      <c r="B115" s="54"/>
      <c r="C115" s="54"/>
      <c r="D115" s="54"/>
      <c r="E115" s="54"/>
      <c r="F115" s="54"/>
      <c r="G115" s="54"/>
      <c r="H115" s="54"/>
      <c r="I115" s="54"/>
    </row>
    <row r="116" spans="1:9" s="53" customFormat="1" x14ac:dyDescent="0.2">
      <c r="A116" s="54"/>
      <c r="B116" s="54"/>
      <c r="C116" s="54"/>
      <c r="D116" s="54"/>
      <c r="E116" s="54"/>
      <c r="F116" s="54"/>
      <c r="G116" s="54"/>
      <c r="H116" s="54"/>
      <c r="I116" s="54"/>
    </row>
    <row r="117" spans="1:9" s="53" customFormat="1" x14ac:dyDescent="0.2">
      <c r="A117" s="54"/>
      <c r="B117" s="54"/>
      <c r="C117" s="54"/>
      <c r="D117" s="54"/>
      <c r="E117" s="54"/>
      <c r="F117" s="54"/>
      <c r="G117" s="54"/>
      <c r="H117" s="54"/>
      <c r="I117" s="54"/>
    </row>
    <row r="118" spans="1:9" s="53" customFormat="1" x14ac:dyDescent="0.2">
      <c r="A118" s="54"/>
      <c r="B118" s="54"/>
      <c r="C118" s="54"/>
      <c r="D118" s="54"/>
      <c r="E118" s="54"/>
      <c r="F118" s="54"/>
      <c r="G118" s="54"/>
      <c r="H118" s="54"/>
      <c r="I118" s="54"/>
    </row>
    <row r="119" spans="1:9" s="53" customFormat="1" x14ac:dyDescent="0.2">
      <c r="A119" s="54"/>
      <c r="B119" s="54"/>
      <c r="C119" s="54"/>
      <c r="D119" s="54"/>
      <c r="E119" s="54"/>
      <c r="F119" s="54"/>
      <c r="G119" s="54"/>
      <c r="H119" s="54"/>
      <c r="I119" s="54"/>
    </row>
    <row r="120" spans="1:9" s="53" customFormat="1" x14ac:dyDescent="0.2">
      <c r="A120" s="54"/>
      <c r="B120" s="54"/>
      <c r="C120" s="54"/>
      <c r="D120" s="54"/>
      <c r="E120" s="54"/>
      <c r="F120" s="54"/>
      <c r="G120" s="54"/>
      <c r="H120" s="54"/>
      <c r="I120" s="54"/>
    </row>
    <row r="121" spans="1:9" s="53" customFormat="1" x14ac:dyDescent="0.2">
      <c r="A121" s="54"/>
      <c r="B121" s="54"/>
      <c r="C121" s="54"/>
      <c r="D121" s="54"/>
      <c r="E121" s="54"/>
      <c r="F121" s="54"/>
      <c r="G121" s="54"/>
      <c r="H121" s="54"/>
      <c r="I121" s="54"/>
    </row>
    <row r="122" spans="1:9" s="53" customFormat="1" x14ac:dyDescent="0.2">
      <c r="A122" s="54"/>
      <c r="B122" s="54"/>
      <c r="C122" s="54"/>
      <c r="D122" s="54"/>
      <c r="E122" s="54"/>
      <c r="F122" s="54"/>
      <c r="G122" s="54"/>
      <c r="H122" s="54"/>
      <c r="I122" s="54"/>
    </row>
    <row r="123" spans="1:9" s="53" customFormat="1" x14ac:dyDescent="0.2">
      <c r="A123" s="54"/>
      <c r="B123" s="54"/>
      <c r="C123" s="54"/>
      <c r="D123" s="54"/>
      <c r="E123" s="54"/>
      <c r="F123" s="54"/>
      <c r="G123" s="54"/>
      <c r="H123" s="54"/>
      <c r="I123" s="54"/>
    </row>
    <row r="124" spans="1:9" s="53" customFormat="1" x14ac:dyDescent="0.2">
      <c r="A124" s="54"/>
      <c r="B124" s="54"/>
      <c r="C124" s="54"/>
      <c r="D124" s="54"/>
      <c r="E124" s="54"/>
      <c r="F124" s="54"/>
      <c r="G124" s="54"/>
      <c r="H124" s="54"/>
      <c r="I124" s="54"/>
    </row>
    <row r="125" spans="1:9" s="53" customFormat="1" x14ac:dyDescent="0.2">
      <c r="A125" s="54"/>
      <c r="B125" s="54"/>
      <c r="C125" s="54"/>
      <c r="D125" s="54"/>
      <c r="E125" s="54"/>
      <c r="F125" s="54"/>
      <c r="G125" s="54"/>
      <c r="H125" s="54"/>
      <c r="I125" s="54"/>
    </row>
    <row r="126" spans="1:9" s="53" customFormat="1" x14ac:dyDescent="0.2">
      <c r="A126" s="54"/>
      <c r="B126" s="54"/>
      <c r="C126" s="54"/>
      <c r="D126" s="54"/>
      <c r="E126" s="54"/>
      <c r="F126" s="54"/>
      <c r="G126" s="54"/>
      <c r="H126" s="54"/>
      <c r="I126" s="54"/>
    </row>
    <row r="127" spans="1:9" s="53" customFormat="1" x14ac:dyDescent="0.2">
      <c r="A127" s="54"/>
      <c r="B127" s="54"/>
      <c r="C127" s="54"/>
      <c r="D127" s="54"/>
      <c r="E127" s="54"/>
      <c r="F127" s="54"/>
      <c r="G127" s="54"/>
      <c r="H127" s="54"/>
      <c r="I127" s="54"/>
    </row>
    <row r="128" spans="1:9" s="53" customFormat="1" x14ac:dyDescent="0.2">
      <c r="A128" s="54"/>
      <c r="B128" s="54"/>
      <c r="C128" s="54"/>
      <c r="D128" s="54"/>
      <c r="E128" s="54"/>
      <c r="F128" s="54"/>
      <c r="G128" s="54"/>
      <c r="H128" s="54"/>
      <c r="I128" s="54"/>
    </row>
    <row r="129" spans="1:9" s="53" customFormat="1" x14ac:dyDescent="0.2">
      <c r="A129" s="54"/>
      <c r="B129" s="54"/>
      <c r="C129" s="54"/>
      <c r="D129" s="54"/>
      <c r="E129" s="54"/>
      <c r="F129" s="54"/>
      <c r="G129" s="54"/>
      <c r="H129" s="54"/>
      <c r="I129" s="54"/>
    </row>
    <row r="130" spans="1:9" s="53" customFormat="1" x14ac:dyDescent="0.2">
      <c r="A130" s="54"/>
      <c r="B130" s="54"/>
      <c r="C130" s="54"/>
      <c r="D130" s="54"/>
      <c r="E130" s="54"/>
      <c r="F130" s="54"/>
      <c r="G130" s="54"/>
      <c r="H130" s="54"/>
      <c r="I130" s="54"/>
    </row>
    <row r="131" spans="1:9" s="53" customFormat="1" x14ac:dyDescent="0.2">
      <c r="A131" s="54"/>
      <c r="B131" s="54"/>
      <c r="C131" s="54"/>
      <c r="D131" s="54"/>
      <c r="E131" s="54"/>
      <c r="F131" s="54"/>
      <c r="G131" s="54"/>
      <c r="H131" s="54"/>
      <c r="I131" s="54"/>
    </row>
    <row r="132" spans="1:9" s="53" customFormat="1" x14ac:dyDescent="0.2">
      <c r="A132" s="54"/>
      <c r="B132" s="54"/>
      <c r="C132" s="54"/>
      <c r="D132" s="54"/>
      <c r="E132" s="54"/>
      <c r="F132" s="54"/>
      <c r="G132" s="54"/>
      <c r="H132" s="54"/>
      <c r="I132" s="54"/>
    </row>
    <row r="133" spans="1:9" s="53" customFormat="1" x14ac:dyDescent="0.2">
      <c r="A133" s="54"/>
      <c r="B133" s="54"/>
      <c r="C133" s="54"/>
      <c r="D133" s="54"/>
      <c r="E133" s="54"/>
      <c r="F133" s="54"/>
      <c r="G133" s="54"/>
      <c r="H133" s="54"/>
      <c r="I133" s="54"/>
    </row>
    <row r="134" spans="1:9" s="53" customFormat="1" x14ac:dyDescent="0.2">
      <c r="A134" s="54"/>
      <c r="B134" s="54"/>
      <c r="C134" s="54"/>
      <c r="D134" s="54"/>
      <c r="E134" s="54"/>
      <c r="F134" s="54"/>
      <c r="G134" s="54"/>
      <c r="H134" s="54"/>
      <c r="I134" s="54"/>
    </row>
    <row r="135" spans="1:9" s="53" customFormat="1" x14ac:dyDescent="0.2">
      <c r="A135" s="54"/>
      <c r="B135" s="54"/>
      <c r="C135" s="54"/>
      <c r="D135" s="54"/>
      <c r="E135" s="54"/>
      <c r="F135" s="54"/>
      <c r="G135" s="54"/>
      <c r="H135" s="54"/>
      <c r="I135" s="54"/>
    </row>
    <row r="136" spans="1:9" s="53" customFormat="1" x14ac:dyDescent="0.2">
      <c r="A136" s="54"/>
      <c r="B136" s="54"/>
      <c r="C136" s="54"/>
      <c r="D136" s="54"/>
      <c r="E136" s="54"/>
      <c r="F136" s="54"/>
      <c r="G136" s="54"/>
      <c r="H136" s="54"/>
      <c r="I136" s="54"/>
    </row>
    <row r="137" spans="1:9" s="53" customFormat="1" x14ac:dyDescent="0.2">
      <c r="A137" s="54"/>
      <c r="B137" s="54"/>
      <c r="C137" s="54"/>
      <c r="D137" s="54"/>
      <c r="E137" s="54"/>
      <c r="F137" s="54"/>
      <c r="G137" s="54"/>
      <c r="H137" s="54"/>
      <c r="I137" s="54"/>
    </row>
    <row r="138" spans="1:9" s="53" customFormat="1" x14ac:dyDescent="0.2">
      <c r="A138" s="54"/>
      <c r="B138" s="54"/>
      <c r="C138" s="54"/>
      <c r="D138" s="54"/>
      <c r="E138" s="54"/>
      <c r="F138" s="54"/>
      <c r="G138" s="54"/>
      <c r="H138" s="54"/>
      <c r="I138" s="54"/>
    </row>
    <row r="139" spans="1:9" s="53" customFormat="1" x14ac:dyDescent="0.2">
      <c r="A139" s="54"/>
      <c r="B139" s="54"/>
      <c r="C139" s="54"/>
      <c r="D139" s="54"/>
      <c r="E139" s="54"/>
      <c r="F139" s="54"/>
      <c r="G139" s="54"/>
      <c r="H139" s="54"/>
      <c r="I139" s="54"/>
    </row>
    <row r="140" spans="1:9" s="53" customFormat="1" x14ac:dyDescent="0.2">
      <c r="A140" s="54"/>
      <c r="B140" s="54"/>
      <c r="C140" s="54"/>
      <c r="D140" s="54"/>
      <c r="E140" s="54"/>
      <c r="F140" s="54"/>
      <c r="G140" s="54"/>
      <c r="H140" s="54"/>
      <c r="I140" s="54"/>
    </row>
    <row r="141" spans="1:9" s="53" customFormat="1" x14ac:dyDescent="0.2">
      <c r="A141" s="54"/>
      <c r="B141" s="54"/>
      <c r="C141" s="54"/>
      <c r="D141" s="54"/>
      <c r="E141" s="54"/>
      <c r="F141" s="54"/>
      <c r="G141" s="54"/>
      <c r="H141" s="54"/>
      <c r="I141" s="54"/>
    </row>
    <row r="142" spans="1:9" s="53" customFormat="1" x14ac:dyDescent="0.2">
      <c r="A142" s="54"/>
      <c r="B142" s="54"/>
      <c r="C142" s="54"/>
      <c r="D142" s="54"/>
      <c r="E142" s="54"/>
      <c r="F142" s="54"/>
      <c r="G142" s="54"/>
      <c r="H142" s="54"/>
      <c r="I142" s="54"/>
    </row>
    <row r="143" spans="1:9" s="53" customFormat="1" x14ac:dyDescent="0.2">
      <c r="A143" s="54"/>
      <c r="B143" s="54"/>
      <c r="C143" s="54"/>
      <c r="D143" s="54"/>
      <c r="E143" s="54"/>
      <c r="F143" s="54"/>
      <c r="G143" s="54"/>
      <c r="H143" s="54"/>
      <c r="I143" s="54"/>
    </row>
    <row r="144" spans="1:9" s="53" customFormat="1" x14ac:dyDescent="0.2">
      <c r="A144" s="54"/>
      <c r="B144" s="54"/>
      <c r="C144" s="54"/>
      <c r="D144" s="54"/>
      <c r="E144" s="54"/>
      <c r="F144" s="54"/>
      <c r="G144" s="54"/>
      <c r="H144" s="54"/>
      <c r="I144" s="54"/>
    </row>
    <row r="145" spans="1:9" s="53" customFormat="1" x14ac:dyDescent="0.2">
      <c r="A145" s="54"/>
      <c r="B145" s="54"/>
      <c r="C145" s="54"/>
      <c r="D145" s="54"/>
      <c r="E145" s="54"/>
      <c r="F145" s="54"/>
      <c r="G145" s="54"/>
      <c r="H145" s="54"/>
      <c r="I145" s="54"/>
    </row>
    <row r="146" spans="1:9" s="53" customFormat="1" x14ac:dyDescent="0.2">
      <c r="A146" s="54"/>
      <c r="B146" s="54"/>
      <c r="C146" s="54"/>
      <c r="D146" s="54"/>
      <c r="E146" s="54"/>
      <c r="F146" s="54"/>
      <c r="G146" s="54"/>
      <c r="H146" s="54"/>
      <c r="I146" s="54"/>
    </row>
    <row r="147" spans="1:9" s="53" customFormat="1" x14ac:dyDescent="0.2">
      <c r="A147" s="54"/>
      <c r="B147" s="54"/>
      <c r="C147" s="54"/>
      <c r="D147" s="54"/>
      <c r="E147" s="54"/>
      <c r="F147" s="54"/>
      <c r="G147" s="54"/>
      <c r="H147" s="54"/>
      <c r="I147" s="54"/>
    </row>
    <row r="148" spans="1:9" s="53" customFormat="1" x14ac:dyDescent="0.2">
      <c r="A148" s="54"/>
      <c r="B148" s="54"/>
      <c r="C148" s="54"/>
      <c r="D148" s="54"/>
      <c r="E148" s="54"/>
      <c r="F148" s="54"/>
      <c r="G148" s="54"/>
      <c r="H148" s="54"/>
      <c r="I148" s="54"/>
    </row>
    <row r="149" spans="1:9" s="53" customFormat="1" x14ac:dyDescent="0.2">
      <c r="A149" s="54"/>
      <c r="B149" s="54"/>
      <c r="C149" s="54"/>
      <c r="D149" s="54"/>
      <c r="E149" s="54"/>
      <c r="F149" s="54"/>
      <c r="G149" s="54"/>
      <c r="H149" s="54"/>
      <c r="I149" s="54"/>
    </row>
    <row r="150" spans="1:9" s="53" customFormat="1" x14ac:dyDescent="0.2">
      <c r="A150" s="54"/>
      <c r="B150" s="54"/>
      <c r="C150" s="54"/>
      <c r="D150" s="54"/>
      <c r="E150" s="54"/>
      <c r="F150" s="54"/>
      <c r="G150" s="54"/>
      <c r="H150" s="54"/>
      <c r="I150" s="54"/>
    </row>
    <row r="151" spans="1:9" s="53" customFormat="1" x14ac:dyDescent="0.2">
      <c r="A151" s="54"/>
      <c r="B151" s="54"/>
      <c r="C151" s="54"/>
      <c r="D151" s="54"/>
      <c r="E151" s="54"/>
      <c r="F151" s="54"/>
      <c r="G151" s="54"/>
      <c r="H151" s="54"/>
      <c r="I151" s="54"/>
    </row>
    <row r="152" spans="1:9" s="53" customFormat="1" x14ac:dyDescent="0.2">
      <c r="A152" s="54"/>
      <c r="B152" s="54"/>
      <c r="C152" s="54"/>
      <c r="D152" s="54"/>
      <c r="E152" s="54"/>
      <c r="F152" s="54"/>
      <c r="G152" s="54"/>
      <c r="H152" s="54"/>
      <c r="I152" s="54"/>
    </row>
    <row r="153" spans="1:9" s="53" customFormat="1" x14ac:dyDescent="0.2">
      <c r="A153" s="54"/>
      <c r="B153" s="54"/>
      <c r="C153" s="54"/>
      <c r="D153" s="54"/>
      <c r="E153" s="54"/>
      <c r="F153" s="54"/>
      <c r="G153" s="54"/>
      <c r="H153" s="54"/>
      <c r="I153" s="54"/>
    </row>
    <row r="154" spans="1:9" s="53" customFormat="1" x14ac:dyDescent="0.2">
      <c r="A154" s="54"/>
      <c r="B154" s="54"/>
      <c r="C154" s="54"/>
      <c r="D154" s="54"/>
      <c r="E154" s="54"/>
      <c r="F154" s="54"/>
      <c r="G154" s="54"/>
      <c r="H154" s="54"/>
      <c r="I154" s="54"/>
    </row>
    <row r="155" spans="1:9" s="53" customFormat="1" x14ac:dyDescent="0.2">
      <c r="A155" s="54"/>
      <c r="B155" s="54"/>
      <c r="C155" s="54"/>
      <c r="D155" s="54"/>
      <c r="E155" s="54"/>
      <c r="F155" s="54"/>
      <c r="G155" s="54"/>
      <c r="H155" s="54"/>
      <c r="I155" s="54"/>
    </row>
    <row r="156" spans="1:9" s="53" customFormat="1" x14ac:dyDescent="0.2">
      <c r="A156" s="54"/>
      <c r="B156" s="54"/>
      <c r="C156" s="54"/>
      <c r="D156" s="54"/>
      <c r="E156" s="54"/>
      <c r="F156" s="54"/>
      <c r="G156" s="54"/>
      <c r="H156" s="54"/>
      <c r="I156" s="54"/>
    </row>
    <row r="157" spans="1:9" s="53" customFormat="1" x14ac:dyDescent="0.2">
      <c r="A157" s="54"/>
      <c r="B157" s="54"/>
      <c r="C157" s="54"/>
      <c r="D157" s="54"/>
      <c r="E157" s="54"/>
      <c r="F157" s="54"/>
      <c r="G157" s="54"/>
      <c r="H157" s="54"/>
      <c r="I157" s="54"/>
    </row>
    <row r="158" spans="1:9" s="53" customFormat="1" x14ac:dyDescent="0.2">
      <c r="A158" s="54"/>
      <c r="B158" s="54"/>
      <c r="C158" s="54"/>
      <c r="D158" s="54"/>
      <c r="E158" s="54"/>
      <c r="F158" s="54"/>
      <c r="G158" s="54"/>
      <c r="H158" s="54"/>
      <c r="I158" s="54"/>
    </row>
    <row r="159" spans="1:9" s="53" customFormat="1" x14ac:dyDescent="0.2">
      <c r="A159" s="54"/>
      <c r="B159" s="54"/>
      <c r="C159" s="54"/>
      <c r="D159" s="54"/>
      <c r="E159" s="54"/>
      <c r="F159" s="54"/>
      <c r="G159" s="54"/>
      <c r="H159" s="54"/>
      <c r="I159" s="54"/>
    </row>
    <row r="160" spans="1:9" s="53" customFormat="1" x14ac:dyDescent="0.2">
      <c r="A160" s="54"/>
      <c r="B160" s="54"/>
      <c r="C160" s="54"/>
      <c r="D160" s="54"/>
      <c r="E160" s="54"/>
      <c r="F160" s="54"/>
      <c r="G160" s="54"/>
      <c r="H160" s="54"/>
      <c r="I160" s="54"/>
    </row>
    <row r="161" spans="1:9" s="53" customFormat="1" x14ac:dyDescent="0.2">
      <c r="A161" s="54"/>
      <c r="B161" s="54"/>
      <c r="C161" s="54"/>
      <c r="D161" s="54"/>
      <c r="E161" s="54"/>
      <c r="F161" s="54"/>
      <c r="G161" s="54"/>
      <c r="H161" s="54"/>
      <c r="I161" s="54"/>
    </row>
    <row r="162" spans="1:9" s="53" customFormat="1" x14ac:dyDescent="0.2">
      <c r="A162" s="54"/>
      <c r="B162" s="54"/>
      <c r="C162" s="54"/>
      <c r="D162" s="54"/>
      <c r="E162" s="54"/>
      <c r="F162" s="54"/>
      <c r="G162" s="54"/>
      <c r="H162" s="54"/>
      <c r="I162" s="54"/>
    </row>
    <row r="163" spans="1:9" s="53" customFormat="1" x14ac:dyDescent="0.2">
      <c r="A163" s="54"/>
      <c r="B163" s="54"/>
      <c r="C163" s="54"/>
      <c r="D163" s="54"/>
      <c r="E163" s="54"/>
      <c r="F163" s="54"/>
      <c r="G163" s="54"/>
      <c r="H163" s="54"/>
      <c r="I163" s="54"/>
    </row>
    <row r="164" spans="1:9" s="53" customFormat="1" x14ac:dyDescent="0.2">
      <c r="A164" s="54"/>
      <c r="B164" s="54"/>
      <c r="C164" s="54"/>
      <c r="D164" s="54"/>
      <c r="E164" s="54"/>
      <c r="F164" s="54"/>
      <c r="G164" s="54"/>
      <c r="H164" s="54"/>
      <c r="I164" s="54"/>
    </row>
    <row r="165" spans="1:9" s="53" customFormat="1" x14ac:dyDescent="0.2">
      <c r="A165" s="54"/>
      <c r="B165" s="54"/>
      <c r="C165" s="54"/>
      <c r="D165" s="54"/>
      <c r="E165" s="54"/>
      <c r="F165" s="54"/>
      <c r="G165" s="54"/>
      <c r="H165" s="54"/>
      <c r="I165" s="54"/>
    </row>
    <row r="166" spans="1:9" s="53" customFormat="1" x14ac:dyDescent="0.2">
      <c r="A166" s="54"/>
      <c r="B166" s="54"/>
      <c r="C166" s="54"/>
      <c r="D166" s="54"/>
      <c r="E166" s="54"/>
      <c r="F166" s="54"/>
      <c r="G166" s="54"/>
      <c r="H166" s="54"/>
      <c r="I166" s="54"/>
    </row>
    <row r="167" spans="1:9" s="53" customFormat="1" x14ac:dyDescent="0.2">
      <c r="A167" s="54"/>
      <c r="B167" s="54"/>
      <c r="C167" s="54"/>
      <c r="D167" s="54"/>
      <c r="E167" s="54"/>
      <c r="F167" s="54"/>
      <c r="G167" s="54"/>
      <c r="H167" s="54"/>
      <c r="I167" s="54"/>
    </row>
    <row r="168" spans="1:9" s="53" customFormat="1" x14ac:dyDescent="0.2">
      <c r="A168" s="54"/>
      <c r="B168" s="54"/>
      <c r="C168" s="54"/>
      <c r="D168" s="54"/>
      <c r="E168" s="54"/>
      <c r="F168" s="54"/>
      <c r="G168" s="54"/>
      <c r="H168" s="54"/>
      <c r="I168" s="54"/>
    </row>
    <row r="169" spans="1:9" s="53" customFormat="1" x14ac:dyDescent="0.2">
      <c r="A169" s="54"/>
      <c r="B169" s="54"/>
      <c r="C169" s="54"/>
      <c r="D169" s="54"/>
      <c r="E169" s="54"/>
      <c r="F169" s="54"/>
      <c r="G169" s="54"/>
      <c r="H169" s="54"/>
      <c r="I169" s="54"/>
    </row>
    <row r="170" spans="1:9" s="53" customFormat="1" x14ac:dyDescent="0.2">
      <c r="A170" s="54"/>
      <c r="B170" s="54"/>
      <c r="C170" s="54"/>
      <c r="D170" s="54"/>
      <c r="E170" s="54"/>
      <c r="F170" s="54"/>
      <c r="G170" s="54"/>
      <c r="H170" s="54"/>
      <c r="I170" s="54"/>
    </row>
    <row r="171" spans="1:9" s="53" customFormat="1" x14ac:dyDescent="0.2">
      <c r="A171" s="54"/>
      <c r="B171" s="54"/>
      <c r="C171" s="54"/>
      <c r="D171" s="54"/>
      <c r="E171" s="54"/>
      <c r="F171" s="54"/>
      <c r="G171" s="54"/>
      <c r="H171" s="54"/>
      <c r="I171" s="54"/>
    </row>
    <row r="172" spans="1:9" s="53" customFormat="1" x14ac:dyDescent="0.2">
      <c r="A172" s="54"/>
      <c r="B172" s="54"/>
      <c r="C172" s="54"/>
      <c r="D172" s="54"/>
      <c r="E172" s="54"/>
      <c r="F172" s="54"/>
      <c r="G172" s="54"/>
      <c r="H172" s="54"/>
      <c r="I172" s="54"/>
    </row>
    <row r="173" spans="1:9" s="53" customFormat="1" x14ac:dyDescent="0.2">
      <c r="A173" s="54"/>
      <c r="B173" s="54"/>
      <c r="C173" s="54"/>
      <c r="D173" s="54"/>
      <c r="E173" s="54"/>
      <c r="F173" s="54"/>
      <c r="G173" s="54"/>
      <c r="H173" s="54"/>
      <c r="I173" s="54"/>
    </row>
    <row r="174" spans="1:9" s="53" customFormat="1" x14ac:dyDescent="0.2">
      <c r="A174" s="54"/>
      <c r="B174" s="54"/>
      <c r="C174" s="54"/>
      <c r="D174" s="54"/>
      <c r="E174" s="54"/>
      <c r="F174" s="54"/>
      <c r="G174" s="54"/>
      <c r="H174" s="54"/>
      <c r="I174" s="54"/>
    </row>
    <row r="175" spans="1:9" s="53" customFormat="1" x14ac:dyDescent="0.2">
      <c r="A175" s="54"/>
      <c r="B175" s="54"/>
      <c r="C175" s="54"/>
      <c r="D175" s="54"/>
      <c r="E175" s="54"/>
      <c r="F175" s="54"/>
      <c r="G175" s="54"/>
      <c r="H175" s="54"/>
      <c r="I175" s="54"/>
    </row>
    <row r="176" spans="1:9" s="53" customFormat="1" x14ac:dyDescent="0.2">
      <c r="A176" s="54"/>
      <c r="B176" s="54"/>
      <c r="C176" s="54"/>
      <c r="D176" s="54"/>
      <c r="E176" s="54"/>
      <c r="F176" s="54"/>
      <c r="G176" s="54"/>
      <c r="H176" s="54"/>
      <c r="I176" s="54"/>
    </row>
    <row r="177" spans="1:9" s="53" customFormat="1" x14ac:dyDescent="0.2">
      <c r="A177" s="54"/>
      <c r="B177" s="54"/>
      <c r="C177" s="54"/>
      <c r="D177" s="54"/>
      <c r="E177" s="54"/>
      <c r="F177" s="54"/>
      <c r="G177" s="54"/>
      <c r="H177" s="54"/>
      <c r="I177" s="54"/>
    </row>
    <row r="178" spans="1:9" s="53" customFormat="1" x14ac:dyDescent="0.2">
      <c r="A178" s="54"/>
      <c r="B178" s="54"/>
      <c r="C178" s="54"/>
      <c r="D178" s="54"/>
      <c r="E178" s="54"/>
      <c r="F178" s="54"/>
      <c r="G178" s="54"/>
      <c r="H178" s="54"/>
      <c r="I178" s="54"/>
    </row>
    <row r="179" spans="1:9" s="53" customFormat="1" x14ac:dyDescent="0.2">
      <c r="A179" s="54"/>
      <c r="B179" s="54"/>
      <c r="C179" s="54"/>
      <c r="D179" s="54"/>
      <c r="E179" s="54"/>
      <c r="F179" s="54"/>
      <c r="G179" s="54"/>
      <c r="H179" s="54"/>
      <c r="I179" s="54"/>
    </row>
    <row r="180" spans="1:9" s="53" customFormat="1" x14ac:dyDescent="0.2">
      <c r="A180" s="54"/>
      <c r="B180" s="54"/>
      <c r="C180" s="54"/>
      <c r="D180" s="54"/>
      <c r="E180" s="54"/>
      <c r="F180" s="54"/>
      <c r="G180" s="54"/>
      <c r="H180" s="54"/>
      <c r="I180" s="54"/>
    </row>
    <row r="181" spans="1:9" s="53" customFormat="1" x14ac:dyDescent="0.2">
      <c r="A181" s="54"/>
      <c r="B181" s="54"/>
      <c r="C181" s="54"/>
      <c r="D181" s="54"/>
      <c r="E181" s="54"/>
      <c r="F181" s="54"/>
      <c r="G181" s="54"/>
      <c r="H181" s="54"/>
      <c r="I181" s="54"/>
    </row>
    <row r="182" spans="1:9" s="53" customFormat="1" x14ac:dyDescent="0.2">
      <c r="A182" s="54"/>
      <c r="B182" s="54"/>
      <c r="C182" s="54"/>
      <c r="D182" s="54"/>
      <c r="E182" s="54"/>
      <c r="F182" s="54"/>
      <c r="G182" s="54"/>
      <c r="H182" s="54"/>
      <c r="I182" s="54"/>
    </row>
    <row r="183" spans="1:9" s="53" customFormat="1" x14ac:dyDescent="0.2">
      <c r="A183" s="54"/>
      <c r="B183" s="54"/>
      <c r="C183" s="54"/>
      <c r="D183" s="54"/>
      <c r="E183" s="54"/>
      <c r="F183" s="54"/>
      <c r="G183" s="54"/>
      <c r="H183" s="54"/>
      <c r="I183" s="54"/>
    </row>
    <row r="184" spans="1:9" s="53" customFormat="1" x14ac:dyDescent="0.2">
      <c r="A184" s="54"/>
      <c r="B184" s="54"/>
      <c r="C184" s="54"/>
      <c r="D184" s="54"/>
      <c r="E184" s="54"/>
      <c r="F184" s="54"/>
      <c r="G184" s="54"/>
      <c r="H184" s="54"/>
      <c r="I184" s="54"/>
    </row>
    <row r="185" spans="1:9" s="53" customFormat="1" x14ac:dyDescent="0.2">
      <c r="A185" s="54"/>
      <c r="B185" s="54"/>
      <c r="C185" s="54"/>
      <c r="D185" s="54"/>
      <c r="E185" s="54"/>
      <c r="F185" s="54"/>
      <c r="G185" s="54"/>
      <c r="H185" s="54"/>
      <c r="I185" s="54"/>
    </row>
    <row r="186" spans="1:9" s="53" customFormat="1" x14ac:dyDescent="0.2">
      <c r="A186" s="54"/>
      <c r="B186" s="54"/>
      <c r="C186" s="54"/>
      <c r="D186" s="54"/>
      <c r="E186" s="54"/>
      <c r="F186" s="54"/>
      <c r="G186" s="54"/>
      <c r="H186" s="54"/>
      <c r="I186" s="54"/>
    </row>
    <row r="187" spans="1:9" s="53" customFormat="1" x14ac:dyDescent="0.2">
      <c r="A187" s="54"/>
      <c r="B187" s="54"/>
      <c r="C187" s="54"/>
      <c r="D187" s="54"/>
      <c r="E187" s="54"/>
      <c r="F187" s="54"/>
      <c r="G187" s="54"/>
      <c r="H187" s="54"/>
      <c r="I187" s="54"/>
    </row>
    <row r="188" spans="1:9" s="53" customFormat="1" x14ac:dyDescent="0.2">
      <c r="A188" s="54"/>
      <c r="B188" s="54"/>
      <c r="C188" s="54"/>
      <c r="D188" s="54"/>
      <c r="E188" s="54"/>
      <c r="F188" s="54"/>
      <c r="G188" s="54"/>
      <c r="H188" s="54"/>
      <c r="I188" s="54"/>
    </row>
    <row r="189" spans="1:9" s="53" customFormat="1" x14ac:dyDescent="0.2">
      <c r="A189" s="54"/>
      <c r="B189" s="54"/>
      <c r="C189" s="54"/>
      <c r="D189" s="54"/>
      <c r="E189" s="54"/>
      <c r="F189" s="54"/>
      <c r="G189" s="54"/>
      <c r="H189" s="54"/>
      <c r="I189" s="54"/>
    </row>
    <row r="190" spans="1:9" s="53" customFormat="1" x14ac:dyDescent="0.2">
      <c r="A190" s="54"/>
      <c r="B190" s="54"/>
      <c r="C190" s="54"/>
      <c r="D190" s="54"/>
      <c r="E190" s="54"/>
      <c r="F190" s="54"/>
      <c r="G190" s="54"/>
      <c r="H190" s="54"/>
      <c r="I190" s="54"/>
    </row>
    <row r="191" spans="1:9" s="53" customFormat="1" x14ac:dyDescent="0.2">
      <c r="A191" s="54"/>
      <c r="B191" s="54"/>
      <c r="C191" s="54"/>
      <c r="D191" s="54"/>
      <c r="E191" s="54"/>
      <c r="F191" s="54"/>
      <c r="G191" s="54"/>
      <c r="H191" s="54"/>
      <c r="I191" s="54"/>
    </row>
    <row r="192" spans="1:9" s="53" customFormat="1" x14ac:dyDescent="0.2">
      <c r="A192" s="54"/>
      <c r="B192" s="54"/>
      <c r="C192" s="54"/>
      <c r="D192" s="54"/>
      <c r="E192" s="54"/>
      <c r="F192" s="54"/>
      <c r="G192" s="54"/>
      <c r="H192" s="54"/>
      <c r="I192" s="54"/>
    </row>
    <row r="193" spans="1:9" s="53" customFormat="1" x14ac:dyDescent="0.2">
      <c r="A193" s="54"/>
      <c r="B193" s="54"/>
      <c r="C193" s="54"/>
      <c r="D193" s="54"/>
      <c r="E193" s="54"/>
      <c r="F193" s="54"/>
      <c r="G193" s="54"/>
      <c r="H193" s="54"/>
      <c r="I193" s="54"/>
    </row>
    <row r="194" spans="1:9" s="53" customFormat="1" x14ac:dyDescent="0.2">
      <c r="A194" s="54"/>
      <c r="B194" s="54"/>
      <c r="C194" s="54"/>
      <c r="D194" s="54"/>
      <c r="E194" s="54"/>
      <c r="F194" s="54"/>
      <c r="G194" s="54"/>
      <c r="H194" s="54"/>
      <c r="I194" s="54"/>
    </row>
    <row r="195" spans="1:9" s="53" customFormat="1" x14ac:dyDescent="0.2">
      <c r="A195" s="54"/>
      <c r="B195" s="54"/>
      <c r="C195" s="54"/>
      <c r="D195" s="54"/>
      <c r="E195" s="54"/>
      <c r="F195" s="54"/>
      <c r="G195" s="54"/>
      <c r="H195" s="54"/>
      <c r="I195" s="54"/>
    </row>
    <row r="196" spans="1:9" s="53" customFormat="1" x14ac:dyDescent="0.2">
      <c r="A196" s="54"/>
      <c r="B196" s="54"/>
      <c r="C196" s="54"/>
      <c r="D196" s="54"/>
      <c r="E196" s="54"/>
      <c r="F196" s="54"/>
      <c r="G196" s="54"/>
      <c r="H196" s="54"/>
      <c r="I196" s="54"/>
    </row>
    <row r="197" spans="1:9" s="53" customFormat="1" x14ac:dyDescent="0.2">
      <c r="A197" s="54"/>
      <c r="B197" s="54"/>
      <c r="C197" s="54"/>
      <c r="D197" s="54"/>
      <c r="E197" s="54"/>
      <c r="F197" s="54"/>
      <c r="G197" s="54"/>
      <c r="H197" s="54"/>
      <c r="I197" s="54"/>
    </row>
    <row r="198" spans="1:9" s="53" customFormat="1" x14ac:dyDescent="0.2">
      <c r="A198" s="54"/>
      <c r="B198" s="54"/>
      <c r="C198" s="54"/>
      <c r="D198" s="54"/>
      <c r="E198" s="54"/>
      <c r="F198" s="54"/>
      <c r="G198" s="54"/>
      <c r="H198" s="54"/>
      <c r="I198" s="54"/>
    </row>
    <row r="199" spans="1:9" s="53" customFormat="1" x14ac:dyDescent="0.2">
      <c r="A199" s="54"/>
      <c r="B199" s="54"/>
      <c r="C199" s="54"/>
      <c r="D199" s="54"/>
      <c r="E199" s="54"/>
      <c r="F199" s="54"/>
      <c r="G199" s="54"/>
      <c r="H199" s="54"/>
      <c r="I199" s="54"/>
    </row>
    <row r="200" spans="1:9" s="53" customFormat="1" x14ac:dyDescent="0.2">
      <c r="A200" s="54"/>
      <c r="B200" s="54"/>
      <c r="C200" s="54"/>
      <c r="D200" s="54"/>
      <c r="E200" s="54"/>
      <c r="F200" s="54"/>
      <c r="G200" s="54"/>
      <c r="H200" s="54"/>
      <c r="I200" s="54"/>
    </row>
    <row r="201" spans="1:9" s="53" customFormat="1" x14ac:dyDescent="0.2">
      <c r="A201" s="54"/>
      <c r="B201" s="54"/>
      <c r="C201" s="54"/>
      <c r="D201" s="54"/>
      <c r="E201" s="54"/>
      <c r="F201" s="54"/>
      <c r="G201" s="54"/>
      <c r="H201" s="54"/>
      <c r="I201" s="54"/>
    </row>
    <row r="202" spans="1:9" s="53" customFormat="1" x14ac:dyDescent="0.2">
      <c r="A202" s="54"/>
      <c r="B202" s="54"/>
      <c r="C202" s="54"/>
      <c r="D202" s="54"/>
      <c r="E202" s="54"/>
      <c r="F202" s="54"/>
      <c r="G202" s="54"/>
      <c r="H202" s="54"/>
      <c r="I202" s="54"/>
    </row>
    <row r="203" spans="1:9" s="53" customFormat="1" x14ac:dyDescent="0.2">
      <c r="A203" s="54"/>
      <c r="B203" s="54"/>
      <c r="C203" s="54"/>
      <c r="D203" s="54"/>
      <c r="E203" s="54"/>
      <c r="F203" s="54"/>
      <c r="G203" s="54"/>
      <c r="H203" s="54"/>
      <c r="I203" s="54"/>
    </row>
    <row r="204" spans="1:9" s="53" customFormat="1" x14ac:dyDescent="0.2">
      <c r="A204" s="54"/>
      <c r="B204" s="54"/>
      <c r="C204" s="54"/>
      <c r="D204" s="54"/>
      <c r="E204" s="54"/>
      <c r="F204" s="54"/>
      <c r="G204" s="54"/>
      <c r="H204" s="54"/>
      <c r="I204" s="54"/>
    </row>
    <row r="205" spans="1:9" s="53" customFormat="1" x14ac:dyDescent="0.2">
      <c r="A205" s="54"/>
      <c r="B205" s="54"/>
      <c r="C205" s="54"/>
      <c r="D205" s="54"/>
      <c r="E205" s="54"/>
      <c r="F205" s="54"/>
      <c r="G205" s="54"/>
      <c r="H205" s="54"/>
      <c r="I205" s="54"/>
    </row>
    <row r="206" spans="1:9" s="53" customFormat="1" x14ac:dyDescent="0.2">
      <c r="A206" s="54"/>
      <c r="B206" s="54"/>
      <c r="C206" s="54"/>
      <c r="D206" s="54"/>
      <c r="E206" s="54"/>
      <c r="F206" s="54"/>
      <c r="G206" s="54"/>
      <c r="H206" s="54"/>
      <c r="I206" s="54"/>
    </row>
    <row r="207" spans="1:9" s="53" customFormat="1" x14ac:dyDescent="0.2">
      <c r="A207" s="54"/>
      <c r="B207" s="54"/>
      <c r="C207" s="54"/>
      <c r="D207" s="54"/>
      <c r="E207" s="54"/>
      <c r="F207" s="54"/>
      <c r="G207" s="54"/>
      <c r="H207" s="54"/>
      <c r="I207" s="54"/>
    </row>
    <row r="208" spans="1:9" s="53" customFormat="1" x14ac:dyDescent="0.2">
      <c r="A208" s="54"/>
      <c r="B208" s="54"/>
      <c r="C208" s="54"/>
      <c r="D208" s="54"/>
      <c r="E208" s="54"/>
      <c r="F208" s="54"/>
      <c r="G208" s="54"/>
      <c r="H208" s="54"/>
      <c r="I208" s="54"/>
    </row>
    <row r="209" spans="1:9" s="53" customFormat="1" x14ac:dyDescent="0.2">
      <c r="A209" s="54"/>
      <c r="B209" s="54"/>
      <c r="C209" s="54"/>
      <c r="D209" s="54"/>
      <c r="E209" s="54"/>
      <c r="F209" s="54"/>
      <c r="G209" s="54"/>
      <c r="H209" s="54"/>
      <c r="I209" s="54"/>
    </row>
    <row r="210" spans="1:9" s="53" customFormat="1" x14ac:dyDescent="0.2">
      <c r="A210" s="54"/>
      <c r="B210" s="54"/>
      <c r="C210" s="54"/>
      <c r="D210" s="54"/>
      <c r="E210" s="54"/>
      <c r="F210" s="54"/>
      <c r="G210" s="54"/>
      <c r="H210" s="54"/>
      <c r="I210" s="54"/>
    </row>
    <row r="211" spans="1:9" s="53" customFormat="1" x14ac:dyDescent="0.2">
      <c r="A211" s="54"/>
      <c r="B211" s="54"/>
      <c r="C211" s="54"/>
      <c r="D211" s="54"/>
      <c r="E211" s="54"/>
      <c r="F211" s="54"/>
      <c r="G211" s="54"/>
      <c r="H211" s="54"/>
      <c r="I211" s="54"/>
    </row>
    <row r="212" spans="1:9" s="53" customFormat="1" x14ac:dyDescent="0.2">
      <c r="A212" s="54"/>
      <c r="B212" s="54"/>
      <c r="C212" s="54"/>
      <c r="D212" s="54"/>
      <c r="E212" s="54"/>
      <c r="F212" s="54"/>
      <c r="G212" s="54"/>
      <c r="H212" s="54"/>
      <c r="I212" s="54"/>
    </row>
    <row r="213" spans="1:9" s="53" customFormat="1" x14ac:dyDescent="0.2">
      <c r="A213" s="54"/>
      <c r="B213" s="54"/>
      <c r="C213" s="54"/>
      <c r="D213" s="54"/>
      <c r="E213" s="54"/>
      <c r="F213" s="54"/>
      <c r="G213" s="54"/>
      <c r="H213" s="54"/>
      <c r="I213" s="54"/>
    </row>
    <row r="214" spans="1:9" s="53" customFormat="1" x14ac:dyDescent="0.2">
      <c r="A214" s="54"/>
      <c r="B214" s="54"/>
      <c r="C214" s="54"/>
      <c r="D214" s="54"/>
      <c r="E214" s="54"/>
      <c r="F214" s="54"/>
      <c r="G214" s="54"/>
      <c r="H214" s="54"/>
      <c r="I214" s="54"/>
    </row>
    <row r="215" spans="1:9" s="53" customFormat="1" x14ac:dyDescent="0.2">
      <c r="A215" s="54"/>
      <c r="B215" s="54"/>
      <c r="C215" s="54"/>
      <c r="D215" s="54"/>
      <c r="E215" s="54"/>
      <c r="F215" s="54"/>
      <c r="G215" s="54"/>
      <c r="H215" s="54"/>
      <c r="I215" s="54"/>
    </row>
    <row r="216" spans="1:9" s="53" customFormat="1" x14ac:dyDescent="0.2">
      <c r="A216" s="54"/>
      <c r="B216" s="54"/>
      <c r="C216" s="54"/>
      <c r="D216" s="54"/>
      <c r="E216" s="54"/>
      <c r="F216" s="54"/>
      <c r="G216" s="54"/>
      <c r="H216" s="54"/>
      <c r="I216" s="54"/>
    </row>
    <row r="217" spans="1:9" s="53" customFormat="1" x14ac:dyDescent="0.2">
      <c r="A217" s="54"/>
      <c r="B217" s="54"/>
      <c r="C217" s="54"/>
      <c r="D217" s="54"/>
      <c r="E217" s="54"/>
      <c r="F217" s="54"/>
      <c r="G217" s="54"/>
      <c r="H217" s="54"/>
      <c r="I217" s="54"/>
    </row>
    <row r="218" spans="1:9" s="53" customFormat="1" x14ac:dyDescent="0.2">
      <c r="A218" s="54"/>
      <c r="B218" s="54"/>
      <c r="C218" s="54"/>
      <c r="D218" s="54"/>
      <c r="E218" s="54"/>
      <c r="F218" s="54"/>
      <c r="G218" s="54"/>
      <c r="H218" s="54"/>
      <c r="I218" s="54"/>
    </row>
    <row r="219" spans="1:9" s="53" customFormat="1" x14ac:dyDescent="0.2">
      <c r="A219" s="54"/>
      <c r="B219" s="54"/>
      <c r="C219" s="54"/>
      <c r="D219" s="54"/>
      <c r="E219" s="54"/>
      <c r="F219" s="54"/>
      <c r="G219" s="54"/>
      <c r="H219" s="54"/>
      <c r="I219" s="54"/>
    </row>
    <row r="220" spans="1:9" s="53" customFormat="1" x14ac:dyDescent="0.2">
      <c r="A220" s="54"/>
      <c r="B220" s="54"/>
      <c r="C220" s="54"/>
      <c r="D220" s="54"/>
      <c r="E220" s="54"/>
      <c r="F220" s="54"/>
      <c r="G220" s="54"/>
      <c r="H220" s="54"/>
      <c r="I220" s="54"/>
    </row>
    <row r="221" spans="1:9" s="53" customFormat="1" x14ac:dyDescent="0.2">
      <c r="A221" s="54"/>
      <c r="B221" s="54"/>
      <c r="C221" s="54"/>
      <c r="D221" s="54"/>
      <c r="E221" s="54"/>
      <c r="F221" s="54"/>
      <c r="G221" s="54"/>
      <c r="H221" s="54"/>
      <c r="I221" s="54"/>
    </row>
    <row r="222" spans="1:9" s="53" customFormat="1" x14ac:dyDescent="0.2">
      <c r="A222" s="54"/>
      <c r="B222" s="54"/>
      <c r="C222" s="54"/>
      <c r="D222" s="54"/>
      <c r="E222" s="54"/>
      <c r="F222" s="54"/>
      <c r="G222" s="54"/>
      <c r="H222" s="54"/>
      <c r="I222" s="54"/>
    </row>
    <row r="223" spans="1:9" s="53" customFormat="1" x14ac:dyDescent="0.2">
      <c r="A223" s="54"/>
      <c r="B223" s="54"/>
      <c r="C223" s="54"/>
      <c r="D223" s="54"/>
      <c r="E223" s="54"/>
      <c r="F223" s="54"/>
      <c r="G223" s="54"/>
      <c r="H223" s="54"/>
      <c r="I223" s="54"/>
    </row>
    <row r="224" spans="1:9" s="53" customFormat="1" x14ac:dyDescent="0.2">
      <c r="A224" s="54"/>
      <c r="B224" s="54"/>
      <c r="C224" s="54"/>
      <c r="D224" s="54"/>
      <c r="E224" s="54"/>
      <c r="F224" s="54"/>
      <c r="G224" s="54"/>
      <c r="H224" s="54"/>
      <c r="I224" s="54"/>
    </row>
    <row r="225" spans="1:9" s="53" customFormat="1" x14ac:dyDescent="0.2">
      <c r="A225" s="54"/>
      <c r="B225" s="54"/>
      <c r="C225" s="54"/>
      <c r="D225" s="54"/>
      <c r="E225" s="54"/>
      <c r="F225" s="54"/>
      <c r="G225" s="54"/>
      <c r="H225" s="54"/>
      <c r="I225" s="54"/>
    </row>
    <row r="226" spans="1:9" s="53" customFormat="1" x14ac:dyDescent="0.2">
      <c r="A226" s="54"/>
      <c r="B226" s="54"/>
      <c r="C226" s="54"/>
      <c r="D226" s="54"/>
      <c r="E226" s="54"/>
      <c r="F226" s="54"/>
      <c r="G226" s="54"/>
      <c r="H226" s="54"/>
      <c r="I226" s="54"/>
    </row>
    <row r="227" spans="1:9" s="53" customFormat="1" x14ac:dyDescent="0.2">
      <c r="A227" s="54"/>
      <c r="B227" s="54"/>
      <c r="C227" s="54"/>
      <c r="D227" s="54"/>
      <c r="E227" s="54"/>
      <c r="F227" s="54"/>
      <c r="G227" s="54"/>
      <c r="H227" s="54"/>
      <c r="I227" s="54"/>
    </row>
    <row r="228" spans="1:9" s="53" customFormat="1" x14ac:dyDescent="0.2">
      <c r="A228" s="54"/>
      <c r="B228" s="54"/>
      <c r="C228" s="54"/>
      <c r="D228" s="54"/>
      <c r="E228" s="54"/>
      <c r="F228" s="54"/>
      <c r="G228" s="54"/>
      <c r="H228" s="54"/>
      <c r="I228" s="54"/>
    </row>
    <row r="229" spans="1:9" s="53" customFormat="1" x14ac:dyDescent="0.2">
      <c r="A229" s="54"/>
      <c r="B229" s="54"/>
      <c r="C229" s="54"/>
      <c r="D229" s="54"/>
      <c r="E229" s="54"/>
      <c r="F229" s="54"/>
      <c r="G229" s="54"/>
      <c r="H229" s="54"/>
      <c r="I229" s="54"/>
    </row>
    <row r="230" spans="1:9" s="53" customFormat="1" x14ac:dyDescent="0.2">
      <c r="A230" s="54"/>
      <c r="B230" s="54"/>
      <c r="C230" s="54"/>
      <c r="D230" s="54"/>
      <c r="E230" s="54"/>
      <c r="F230" s="54"/>
      <c r="G230" s="54"/>
      <c r="H230" s="54"/>
      <c r="I230" s="54"/>
    </row>
    <row r="231" spans="1:9" s="53" customFormat="1" x14ac:dyDescent="0.2">
      <c r="A231" s="54"/>
      <c r="B231" s="54"/>
      <c r="C231" s="54"/>
      <c r="D231" s="54"/>
      <c r="E231" s="54"/>
      <c r="F231" s="54"/>
      <c r="G231" s="54"/>
      <c r="H231" s="54"/>
      <c r="I231" s="54"/>
    </row>
    <row r="232" spans="1:9" s="53" customFormat="1" x14ac:dyDescent="0.2">
      <c r="A232" s="54"/>
      <c r="B232" s="54"/>
      <c r="C232" s="54"/>
      <c r="D232" s="54"/>
      <c r="E232" s="54"/>
      <c r="F232" s="54"/>
      <c r="G232" s="54"/>
      <c r="H232" s="54"/>
      <c r="I232" s="54"/>
    </row>
    <row r="233" spans="1:9" s="53" customFormat="1" x14ac:dyDescent="0.2">
      <c r="A233" s="54"/>
      <c r="B233" s="54"/>
      <c r="C233" s="54"/>
      <c r="D233" s="54"/>
      <c r="E233" s="54"/>
      <c r="F233" s="54"/>
      <c r="G233" s="54"/>
      <c r="H233" s="54"/>
      <c r="I233" s="54"/>
    </row>
    <row r="234" spans="1:9" s="53" customFormat="1" x14ac:dyDescent="0.2">
      <c r="A234" s="54"/>
      <c r="B234" s="54"/>
      <c r="C234" s="54"/>
      <c r="D234" s="54"/>
      <c r="E234" s="54"/>
      <c r="F234" s="54"/>
      <c r="G234" s="54"/>
      <c r="H234" s="54"/>
      <c r="I234" s="54"/>
    </row>
    <row r="235" spans="1:9" s="53" customFormat="1" x14ac:dyDescent="0.2">
      <c r="A235" s="54"/>
      <c r="B235" s="54"/>
      <c r="C235" s="54"/>
      <c r="D235" s="54"/>
      <c r="E235" s="54"/>
      <c r="F235" s="54"/>
      <c r="G235" s="54"/>
      <c r="H235" s="54"/>
      <c r="I235" s="54"/>
    </row>
    <row r="236" spans="1:9" s="53" customFormat="1" x14ac:dyDescent="0.2">
      <c r="A236" s="54"/>
      <c r="B236" s="54"/>
      <c r="C236" s="54"/>
      <c r="D236" s="54"/>
      <c r="E236" s="54"/>
      <c r="F236" s="54"/>
      <c r="G236" s="54"/>
      <c r="H236" s="54"/>
      <c r="I236" s="54"/>
    </row>
    <row r="237" spans="1:9" s="53" customFormat="1" x14ac:dyDescent="0.2">
      <c r="A237" s="54"/>
      <c r="B237" s="54"/>
      <c r="C237" s="54"/>
      <c r="D237" s="54"/>
      <c r="E237" s="54"/>
      <c r="F237" s="54"/>
      <c r="G237" s="54"/>
      <c r="H237" s="54"/>
      <c r="I237" s="54"/>
    </row>
    <row r="238" spans="1:9" s="53" customFormat="1" x14ac:dyDescent="0.2">
      <c r="A238" s="54"/>
      <c r="B238" s="54"/>
      <c r="C238" s="54"/>
      <c r="D238" s="54"/>
      <c r="E238" s="54"/>
      <c r="F238" s="54"/>
      <c r="G238" s="54"/>
      <c r="H238" s="54"/>
      <c r="I238" s="54"/>
    </row>
    <row r="239" spans="1:9" s="53" customFormat="1" x14ac:dyDescent="0.2">
      <c r="A239" s="54"/>
      <c r="B239" s="54"/>
      <c r="C239" s="54"/>
      <c r="D239" s="54"/>
      <c r="E239" s="54"/>
      <c r="F239" s="54"/>
      <c r="G239" s="54"/>
      <c r="H239" s="54"/>
      <c r="I239" s="54"/>
    </row>
    <row r="240" spans="1:9" s="53" customFormat="1" x14ac:dyDescent="0.2">
      <c r="A240" s="54"/>
      <c r="B240" s="54"/>
      <c r="C240" s="54"/>
      <c r="D240" s="54"/>
      <c r="E240" s="54"/>
      <c r="F240" s="54"/>
      <c r="G240" s="54"/>
      <c r="H240" s="54"/>
      <c r="I240" s="54"/>
    </row>
    <row r="241" spans="1:9" s="53" customFormat="1" x14ac:dyDescent="0.2">
      <c r="A241" s="54"/>
      <c r="B241" s="54"/>
      <c r="C241" s="54"/>
      <c r="D241" s="54"/>
      <c r="E241" s="54"/>
      <c r="F241" s="54"/>
      <c r="G241" s="54"/>
      <c r="H241" s="54"/>
      <c r="I241" s="54"/>
    </row>
    <row r="242" spans="1:9" s="53" customFormat="1" x14ac:dyDescent="0.2">
      <c r="A242" s="54"/>
      <c r="B242" s="54"/>
      <c r="C242" s="54"/>
      <c r="D242" s="54"/>
      <c r="E242" s="54"/>
      <c r="F242" s="54"/>
      <c r="G242" s="54"/>
      <c r="H242" s="54"/>
      <c r="I242" s="54"/>
    </row>
    <row r="243" spans="1:9" s="53" customFormat="1" x14ac:dyDescent="0.2">
      <c r="A243" s="54"/>
      <c r="B243" s="54"/>
      <c r="C243" s="54"/>
      <c r="D243" s="54"/>
      <c r="E243" s="54"/>
      <c r="F243" s="54"/>
      <c r="G243" s="54"/>
      <c r="H243" s="54"/>
      <c r="I243" s="54"/>
    </row>
    <row r="244" spans="1:9" s="53" customFormat="1" x14ac:dyDescent="0.2">
      <c r="A244" s="54"/>
      <c r="B244" s="54"/>
      <c r="C244" s="54"/>
      <c r="D244" s="54"/>
      <c r="E244" s="54"/>
      <c r="F244" s="54"/>
      <c r="G244" s="54"/>
      <c r="H244" s="54"/>
      <c r="I244" s="54"/>
    </row>
    <row r="245" spans="1:9" s="53" customFormat="1" x14ac:dyDescent="0.2">
      <c r="A245" s="54"/>
      <c r="B245" s="54"/>
      <c r="C245" s="54"/>
      <c r="D245" s="54"/>
      <c r="E245" s="54"/>
      <c r="F245" s="54"/>
      <c r="G245" s="54"/>
      <c r="H245" s="54"/>
      <c r="I245" s="54"/>
    </row>
    <row r="246" spans="1:9" s="53" customFormat="1" x14ac:dyDescent="0.2">
      <c r="A246" s="54"/>
      <c r="B246" s="54"/>
      <c r="C246" s="54"/>
      <c r="D246" s="54"/>
      <c r="E246" s="54"/>
      <c r="F246" s="54"/>
      <c r="G246" s="54"/>
      <c r="H246" s="54"/>
      <c r="I246" s="54"/>
    </row>
    <row r="247" spans="1:9" s="53" customFormat="1" x14ac:dyDescent="0.2">
      <c r="A247" s="54"/>
      <c r="B247" s="54"/>
      <c r="C247" s="54"/>
      <c r="D247" s="54"/>
      <c r="E247" s="54"/>
      <c r="F247" s="54"/>
      <c r="G247" s="54"/>
      <c r="H247" s="54"/>
      <c r="I247" s="54"/>
    </row>
    <row r="248" spans="1:9" s="53" customFormat="1" x14ac:dyDescent="0.2">
      <c r="A248" s="54"/>
      <c r="B248" s="54"/>
      <c r="C248" s="54"/>
      <c r="D248" s="54"/>
      <c r="E248" s="54"/>
      <c r="F248" s="54"/>
      <c r="G248" s="54"/>
      <c r="H248" s="54"/>
      <c r="I248" s="54"/>
    </row>
    <row r="249" spans="1:9" s="53" customFormat="1" x14ac:dyDescent="0.2">
      <c r="A249" s="54"/>
      <c r="B249" s="54"/>
      <c r="C249" s="54"/>
      <c r="D249" s="54"/>
      <c r="E249" s="54"/>
      <c r="F249" s="54"/>
      <c r="G249" s="54"/>
      <c r="H249" s="54"/>
      <c r="I249" s="54"/>
    </row>
    <row r="250" spans="1:9" s="53" customFormat="1" x14ac:dyDescent="0.2">
      <c r="A250" s="54"/>
      <c r="B250" s="54"/>
      <c r="C250" s="54"/>
      <c r="D250" s="54"/>
      <c r="E250" s="54"/>
      <c r="F250" s="54"/>
      <c r="G250" s="54"/>
      <c r="H250" s="54"/>
      <c r="I250" s="54"/>
    </row>
    <row r="251" spans="1:9" s="53" customFormat="1" x14ac:dyDescent="0.2">
      <c r="A251" s="54"/>
      <c r="B251" s="54"/>
      <c r="C251" s="54"/>
      <c r="D251" s="54"/>
      <c r="E251" s="54"/>
      <c r="F251" s="54"/>
      <c r="G251" s="54"/>
      <c r="H251" s="54"/>
      <c r="I251" s="54"/>
    </row>
    <row r="252" spans="1:9" s="53" customFormat="1" x14ac:dyDescent="0.2">
      <c r="A252" s="54"/>
      <c r="B252" s="54"/>
      <c r="C252" s="54"/>
      <c r="D252" s="54"/>
      <c r="E252" s="54"/>
      <c r="F252" s="54"/>
      <c r="G252" s="54"/>
      <c r="H252" s="54"/>
      <c r="I252" s="54"/>
    </row>
    <row r="253" spans="1:9" s="53" customFormat="1" x14ac:dyDescent="0.2">
      <c r="A253" s="54"/>
      <c r="B253" s="54"/>
      <c r="C253" s="54"/>
      <c r="D253" s="54"/>
      <c r="E253" s="54"/>
      <c r="F253" s="54"/>
      <c r="G253" s="54"/>
      <c r="H253" s="54"/>
      <c r="I253" s="54"/>
    </row>
    <row r="254" spans="1:9" s="53" customFormat="1" x14ac:dyDescent="0.2">
      <c r="A254" s="54"/>
      <c r="B254" s="54"/>
      <c r="C254" s="54"/>
      <c r="D254" s="54"/>
      <c r="E254" s="54"/>
      <c r="F254" s="54"/>
      <c r="G254" s="54"/>
      <c r="H254" s="54"/>
      <c r="I254" s="54"/>
    </row>
    <row r="255" spans="1:9" s="53" customFormat="1" x14ac:dyDescent="0.2">
      <c r="A255" s="54"/>
      <c r="B255" s="54"/>
      <c r="C255" s="54"/>
      <c r="D255" s="54"/>
      <c r="E255" s="54"/>
      <c r="F255" s="54"/>
      <c r="G255" s="54"/>
      <c r="H255" s="54"/>
      <c r="I255" s="54"/>
    </row>
    <row r="256" spans="1:9" s="53" customFormat="1" x14ac:dyDescent="0.2">
      <c r="A256" s="54"/>
      <c r="B256" s="54"/>
      <c r="C256" s="54"/>
      <c r="D256" s="54"/>
      <c r="E256" s="54"/>
      <c r="F256" s="54"/>
      <c r="G256" s="54"/>
      <c r="H256" s="54"/>
      <c r="I256" s="54"/>
    </row>
    <row r="257" spans="1:9" s="53" customFormat="1" x14ac:dyDescent="0.2">
      <c r="A257" s="54"/>
      <c r="B257" s="54"/>
      <c r="C257" s="54"/>
      <c r="D257" s="54"/>
      <c r="E257" s="54"/>
      <c r="F257" s="54"/>
      <c r="G257" s="54"/>
      <c r="H257" s="54"/>
      <c r="I257" s="54"/>
    </row>
    <row r="258" spans="1:9" s="53" customFormat="1" x14ac:dyDescent="0.2">
      <c r="A258" s="54"/>
      <c r="B258" s="54"/>
      <c r="C258" s="54"/>
      <c r="D258" s="54"/>
      <c r="E258" s="54"/>
      <c r="F258" s="54"/>
      <c r="G258" s="54"/>
      <c r="H258" s="54"/>
      <c r="I258" s="54"/>
    </row>
    <row r="259" spans="1:9" s="53" customFormat="1" x14ac:dyDescent="0.2">
      <c r="A259" s="54"/>
      <c r="B259" s="54"/>
      <c r="C259" s="54"/>
      <c r="D259" s="54"/>
      <c r="E259" s="54"/>
      <c r="F259" s="54"/>
      <c r="G259" s="54"/>
      <c r="H259" s="54"/>
      <c r="I259" s="54"/>
    </row>
    <row r="260" spans="1:9" s="53" customFormat="1" x14ac:dyDescent="0.2">
      <c r="A260" s="54"/>
      <c r="B260" s="54"/>
      <c r="C260" s="54"/>
      <c r="D260" s="54"/>
      <c r="E260" s="54"/>
      <c r="F260" s="54"/>
      <c r="G260" s="54"/>
      <c r="H260" s="54"/>
      <c r="I260" s="54"/>
    </row>
    <row r="261" spans="1:9" s="53" customFormat="1" x14ac:dyDescent="0.2">
      <c r="A261" s="54"/>
      <c r="B261" s="54"/>
      <c r="C261" s="54"/>
      <c r="D261" s="54"/>
      <c r="E261" s="54"/>
      <c r="F261" s="54"/>
      <c r="G261" s="54"/>
      <c r="H261" s="54"/>
      <c r="I261" s="54"/>
    </row>
    <row r="262" spans="1:9" s="53" customFormat="1" x14ac:dyDescent="0.2">
      <c r="A262" s="54"/>
      <c r="B262" s="54"/>
      <c r="C262" s="54"/>
      <c r="D262" s="54"/>
      <c r="E262" s="54"/>
      <c r="F262" s="54"/>
      <c r="G262" s="54"/>
      <c r="H262" s="54"/>
      <c r="I262" s="54"/>
    </row>
    <row r="263" spans="1:9" s="53" customFormat="1" x14ac:dyDescent="0.2">
      <c r="A263" s="54"/>
      <c r="B263" s="54"/>
      <c r="C263" s="54"/>
      <c r="D263" s="54"/>
      <c r="E263" s="54"/>
      <c r="F263" s="54"/>
      <c r="G263" s="54"/>
      <c r="H263" s="54"/>
      <c r="I263" s="54"/>
    </row>
    <row r="264" spans="1:9" s="53" customFormat="1" x14ac:dyDescent="0.2">
      <c r="A264" s="54"/>
      <c r="B264" s="54"/>
      <c r="C264" s="54"/>
      <c r="D264" s="54"/>
      <c r="E264" s="54"/>
      <c r="F264" s="54"/>
      <c r="G264" s="54"/>
      <c r="H264" s="54"/>
      <c r="I264" s="54"/>
    </row>
    <row r="265" spans="1:9" s="53" customFormat="1" x14ac:dyDescent="0.2">
      <c r="A265" s="54"/>
      <c r="B265" s="54"/>
      <c r="C265" s="54"/>
      <c r="D265" s="54"/>
      <c r="E265" s="54"/>
      <c r="F265" s="54"/>
      <c r="G265" s="54"/>
      <c r="H265" s="54"/>
      <c r="I265" s="54"/>
    </row>
    <row r="266" spans="1:9" s="53" customFormat="1" x14ac:dyDescent="0.2">
      <c r="A266" s="54"/>
      <c r="B266" s="54"/>
      <c r="C266" s="54"/>
      <c r="D266" s="54"/>
      <c r="E266" s="54"/>
      <c r="F266" s="54"/>
      <c r="G266" s="54"/>
      <c r="H266" s="54"/>
      <c r="I266" s="54"/>
    </row>
    <row r="267" spans="1:9" s="53" customFormat="1" x14ac:dyDescent="0.2">
      <c r="A267" s="54"/>
      <c r="B267" s="54"/>
      <c r="C267" s="54"/>
      <c r="D267" s="54"/>
      <c r="E267" s="54"/>
      <c r="F267" s="54"/>
      <c r="G267" s="54"/>
      <c r="H267" s="54"/>
      <c r="I267" s="54"/>
    </row>
    <row r="268" spans="1:9" s="53" customFormat="1" x14ac:dyDescent="0.2">
      <c r="A268" s="54"/>
      <c r="B268" s="54"/>
      <c r="C268" s="54"/>
      <c r="D268" s="54"/>
      <c r="E268" s="54"/>
      <c r="F268" s="54"/>
      <c r="G268" s="54"/>
      <c r="H268" s="54"/>
      <c r="I268" s="54"/>
    </row>
    <row r="269" spans="1:9" s="53" customFormat="1" x14ac:dyDescent="0.2">
      <c r="A269" s="54"/>
      <c r="B269" s="54"/>
      <c r="C269" s="54"/>
      <c r="D269" s="54"/>
      <c r="E269" s="54"/>
      <c r="F269" s="54"/>
      <c r="G269" s="54"/>
      <c r="H269" s="54"/>
      <c r="I269" s="54"/>
    </row>
    <row r="270" spans="1:9" s="53" customFormat="1" x14ac:dyDescent="0.2">
      <c r="A270" s="54"/>
      <c r="B270" s="54"/>
      <c r="C270" s="54"/>
      <c r="D270" s="54"/>
      <c r="E270" s="54"/>
      <c r="F270" s="54"/>
      <c r="G270" s="54"/>
      <c r="H270" s="54"/>
      <c r="I270" s="54"/>
    </row>
    <row r="271" spans="1:9" s="53" customFormat="1" x14ac:dyDescent="0.2">
      <c r="A271" s="54"/>
      <c r="B271" s="54"/>
      <c r="C271" s="54"/>
      <c r="D271" s="54"/>
      <c r="E271" s="54"/>
      <c r="F271" s="54"/>
      <c r="G271" s="54"/>
      <c r="H271" s="54"/>
      <c r="I271" s="54"/>
    </row>
    <row r="272" spans="1:9" s="53" customFormat="1" x14ac:dyDescent="0.2">
      <c r="A272" s="54"/>
      <c r="B272" s="54"/>
      <c r="C272" s="54"/>
      <c r="D272" s="54"/>
      <c r="E272" s="54"/>
      <c r="F272" s="54"/>
      <c r="G272" s="54"/>
      <c r="H272" s="54"/>
      <c r="I272" s="54"/>
    </row>
    <row r="273" spans="1:9" s="53" customFormat="1" x14ac:dyDescent="0.2">
      <c r="A273" s="54"/>
      <c r="B273" s="54"/>
      <c r="C273" s="54"/>
      <c r="D273" s="54"/>
      <c r="E273" s="54"/>
      <c r="F273" s="54"/>
      <c r="G273" s="54"/>
      <c r="H273" s="54"/>
      <c r="I273" s="54"/>
    </row>
    <row r="274" spans="1:9" s="53" customFormat="1" x14ac:dyDescent="0.2">
      <c r="A274" s="54"/>
      <c r="B274" s="54"/>
      <c r="C274" s="54"/>
      <c r="D274" s="54"/>
      <c r="E274" s="54"/>
      <c r="F274" s="54"/>
      <c r="G274" s="54"/>
      <c r="H274" s="54"/>
      <c r="I274" s="54"/>
    </row>
    <row r="275" spans="1:9" s="53" customFormat="1" x14ac:dyDescent="0.2">
      <c r="A275" s="54"/>
      <c r="B275" s="54"/>
      <c r="C275" s="54"/>
      <c r="D275" s="54"/>
      <c r="E275" s="54"/>
      <c r="F275" s="54"/>
      <c r="G275" s="54"/>
      <c r="H275" s="54"/>
      <c r="I275" s="54"/>
    </row>
    <row r="276" spans="1:9" s="53" customFormat="1" x14ac:dyDescent="0.2">
      <c r="A276" s="54"/>
      <c r="B276" s="54"/>
      <c r="C276" s="54"/>
      <c r="D276" s="54"/>
      <c r="E276" s="54"/>
      <c r="F276" s="54"/>
      <c r="G276" s="54"/>
      <c r="H276" s="54"/>
      <c r="I276" s="54"/>
    </row>
    <row r="277" spans="1:9" s="53" customFormat="1" x14ac:dyDescent="0.2">
      <c r="A277" s="54"/>
      <c r="B277" s="54"/>
      <c r="C277" s="54"/>
      <c r="D277" s="54"/>
      <c r="E277" s="54"/>
      <c r="F277" s="54"/>
      <c r="G277" s="54"/>
      <c r="H277" s="54"/>
      <c r="I277" s="54"/>
    </row>
    <row r="278" spans="1:9" s="53" customFormat="1" x14ac:dyDescent="0.2">
      <c r="A278" s="54"/>
      <c r="B278" s="54"/>
      <c r="C278" s="54"/>
      <c r="D278" s="54"/>
      <c r="E278" s="54"/>
      <c r="F278" s="54"/>
      <c r="G278" s="54"/>
      <c r="H278" s="54"/>
      <c r="I278" s="54"/>
    </row>
    <row r="279" spans="1:9" s="53" customFormat="1" x14ac:dyDescent="0.2">
      <c r="A279" s="54"/>
      <c r="B279" s="54"/>
      <c r="C279" s="54"/>
      <c r="D279" s="54"/>
      <c r="E279" s="54"/>
      <c r="F279" s="54"/>
      <c r="G279" s="54"/>
      <c r="H279" s="54"/>
      <c r="I279" s="54"/>
    </row>
    <row r="280" spans="1:9" s="53" customFormat="1" x14ac:dyDescent="0.2">
      <c r="A280" s="54"/>
      <c r="B280" s="54"/>
      <c r="C280" s="54"/>
      <c r="D280" s="54"/>
      <c r="E280" s="54"/>
      <c r="F280" s="54"/>
      <c r="G280" s="54"/>
      <c r="H280" s="54"/>
      <c r="I280" s="54"/>
    </row>
    <row r="281" spans="1:9" s="53" customFormat="1" x14ac:dyDescent="0.2">
      <c r="A281" s="54"/>
      <c r="B281" s="54"/>
      <c r="C281" s="54"/>
      <c r="D281" s="54"/>
      <c r="E281" s="54"/>
      <c r="F281" s="54"/>
      <c r="G281" s="54"/>
      <c r="H281" s="54"/>
      <c r="I281" s="54"/>
    </row>
    <row r="282" spans="1:9" s="53" customFormat="1" x14ac:dyDescent="0.2">
      <c r="A282" s="54"/>
      <c r="B282" s="54"/>
      <c r="C282" s="54"/>
      <c r="D282" s="54"/>
      <c r="E282" s="54"/>
      <c r="F282" s="54"/>
      <c r="G282" s="54"/>
      <c r="H282" s="54"/>
      <c r="I282" s="54"/>
    </row>
    <row r="283" spans="1:9" s="53" customFormat="1" x14ac:dyDescent="0.2">
      <c r="A283" s="54"/>
      <c r="B283" s="54"/>
      <c r="C283" s="54"/>
      <c r="D283" s="54"/>
      <c r="E283" s="54"/>
      <c r="F283" s="54"/>
      <c r="G283" s="54"/>
      <c r="H283" s="54"/>
      <c r="I283" s="54"/>
    </row>
    <row r="284" spans="1:9" s="53" customFormat="1" x14ac:dyDescent="0.2">
      <c r="A284" s="54"/>
      <c r="B284" s="54"/>
      <c r="C284" s="54"/>
      <c r="D284" s="54"/>
      <c r="E284" s="54"/>
      <c r="F284" s="54"/>
      <c r="G284" s="54"/>
      <c r="H284" s="54"/>
      <c r="I284" s="54"/>
    </row>
    <row r="285" spans="1:9" s="53" customFormat="1" x14ac:dyDescent="0.2">
      <c r="A285" s="54"/>
      <c r="B285" s="54"/>
      <c r="C285" s="54"/>
      <c r="D285" s="54"/>
      <c r="E285" s="54"/>
      <c r="F285" s="54"/>
      <c r="G285" s="54"/>
      <c r="H285" s="54"/>
      <c r="I285" s="54"/>
    </row>
    <row r="286" spans="1:9" s="53" customFormat="1" x14ac:dyDescent="0.2">
      <c r="A286" s="54"/>
      <c r="B286" s="54"/>
      <c r="C286" s="54"/>
      <c r="D286" s="54"/>
      <c r="E286" s="54"/>
      <c r="F286" s="54"/>
      <c r="G286" s="54"/>
      <c r="H286" s="54"/>
      <c r="I286" s="54"/>
    </row>
    <row r="287" spans="1:9" s="53" customFormat="1" x14ac:dyDescent="0.2">
      <c r="A287" s="54"/>
      <c r="B287" s="54"/>
      <c r="C287" s="54"/>
      <c r="D287" s="54"/>
      <c r="E287" s="54"/>
      <c r="F287" s="54"/>
      <c r="G287" s="54"/>
      <c r="H287" s="54"/>
      <c r="I287" s="54"/>
    </row>
    <row r="288" spans="1:9" s="53" customFormat="1" x14ac:dyDescent="0.2">
      <c r="A288" s="54"/>
      <c r="B288" s="54"/>
      <c r="C288" s="54"/>
      <c r="D288" s="54"/>
      <c r="E288" s="54"/>
      <c r="F288" s="54"/>
      <c r="G288" s="54"/>
      <c r="H288" s="54"/>
      <c r="I288" s="54"/>
    </row>
    <row r="289" spans="1:9" s="53" customFormat="1" x14ac:dyDescent="0.2">
      <c r="A289" s="54"/>
      <c r="B289" s="54"/>
      <c r="C289" s="54"/>
      <c r="D289" s="54"/>
      <c r="E289" s="54"/>
      <c r="F289" s="54"/>
      <c r="G289" s="54"/>
      <c r="H289" s="54"/>
      <c r="I289" s="54"/>
    </row>
    <row r="290" spans="1:9" s="53" customFormat="1" x14ac:dyDescent="0.2">
      <c r="A290" s="54"/>
      <c r="B290" s="54"/>
      <c r="C290" s="54"/>
      <c r="D290" s="54"/>
      <c r="E290" s="54"/>
      <c r="F290" s="54"/>
      <c r="G290" s="54"/>
      <c r="H290" s="54"/>
      <c r="I290" s="54"/>
    </row>
    <row r="291" spans="1:9" s="53" customFormat="1" x14ac:dyDescent="0.2">
      <c r="A291" s="54"/>
      <c r="B291" s="54"/>
      <c r="C291" s="54"/>
      <c r="D291" s="54"/>
      <c r="E291" s="54"/>
      <c r="F291" s="54"/>
      <c r="G291" s="54"/>
      <c r="H291" s="54"/>
      <c r="I291" s="54"/>
    </row>
    <row r="292" spans="1:9" s="53" customFormat="1" x14ac:dyDescent="0.2">
      <c r="A292" s="54"/>
      <c r="B292" s="54"/>
      <c r="C292" s="54"/>
      <c r="D292" s="54"/>
      <c r="E292" s="54"/>
      <c r="F292" s="54"/>
      <c r="G292" s="54"/>
      <c r="H292" s="54"/>
      <c r="I292" s="54"/>
    </row>
    <row r="293" spans="1:9" s="53" customFormat="1" x14ac:dyDescent="0.2">
      <c r="A293" s="54"/>
      <c r="B293" s="54"/>
      <c r="C293" s="54"/>
      <c r="D293" s="54"/>
      <c r="E293" s="54"/>
      <c r="F293" s="54"/>
      <c r="G293" s="54"/>
      <c r="H293" s="54"/>
      <c r="I293" s="54"/>
    </row>
    <row r="294" spans="1:9" s="53" customFormat="1" x14ac:dyDescent="0.2">
      <c r="A294" s="54"/>
      <c r="B294" s="54"/>
      <c r="C294" s="54"/>
      <c r="D294" s="54"/>
      <c r="E294" s="54"/>
      <c r="F294" s="54"/>
      <c r="G294" s="54"/>
      <c r="H294" s="54"/>
      <c r="I294" s="54"/>
    </row>
    <row r="295" spans="1:9" s="53" customFormat="1" x14ac:dyDescent="0.2">
      <c r="A295" s="54"/>
      <c r="B295" s="54"/>
      <c r="C295" s="54"/>
      <c r="D295" s="54"/>
      <c r="E295" s="54"/>
      <c r="F295" s="54"/>
      <c r="G295" s="54"/>
      <c r="H295" s="54"/>
      <c r="I295" s="54"/>
    </row>
    <row r="296" spans="1:9" s="53" customFormat="1" x14ac:dyDescent="0.2">
      <c r="A296" s="54"/>
      <c r="B296" s="54"/>
      <c r="C296" s="54"/>
      <c r="D296" s="54"/>
      <c r="E296" s="54"/>
      <c r="F296" s="54"/>
      <c r="G296" s="54"/>
      <c r="H296" s="54"/>
      <c r="I296" s="54"/>
    </row>
    <row r="297" spans="1:9" s="53" customFormat="1" x14ac:dyDescent="0.2">
      <c r="A297" s="54"/>
      <c r="B297" s="54"/>
      <c r="C297" s="54"/>
      <c r="D297" s="54"/>
      <c r="E297" s="54"/>
      <c r="F297" s="54"/>
      <c r="G297" s="54"/>
      <c r="H297" s="54"/>
      <c r="I297" s="54"/>
    </row>
    <row r="298" spans="1:9" s="53" customFormat="1" x14ac:dyDescent="0.2">
      <c r="A298" s="54"/>
      <c r="B298" s="54"/>
      <c r="C298" s="54"/>
      <c r="D298" s="54"/>
      <c r="E298" s="54"/>
      <c r="F298" s="54"/>
      <c r="G298" s="54"/>
      <c r="H298" s="54"/>
      <c r="I298" s="54"/>
    </row>
  </sheetData>
  <mergeCells count="9">
    <mergeCell ref="K8:K9"/>
    <mergeCell ref="B7:I7"/>
    <mergeCell ref="C8:C9"/>
    <mergeCell ref="B6:I6"/>
    <mergeCell ref="A8:A9"/>
    <mergeCell ref="B8:B9"/>
    <mergeCell ref="D8:D9"/>
    <mergeCell ref="E8:E9"/>
    <mergeCell ref="F8:I8"/>
  </mergeCells>
  <phoneticPr fontId="3" type="noConversion"/>
  <dataValidations count="2">
    <dataValidation type="list" allowBlank="1" showInputMessage="1" showErrorMessage="1" sqref="C5">
      <formula1>$K$3:$N$3</formula1>
    </dataValidation>
    <dataValidation type="list" allowBlank="1" showInputMessage="1" showErrorMessage="1" sqref="B6:I6">
      <formula1>$K$4:$T$4</formula1>
    </dataValidation>
  </dataValidations>
  <pageMargins left="1.4566929133858268" right="0.39370078740157483" top="0.55118110236220474" bottom="0.15748031496062992" header="0" footer="0"/>
  <pageSetup paperSize="9" scale="95" orientation="landscape" verticalDpi="300" r:id="rId1"/>
  <headerFooter alignWithMargins="0"/>
  <ignoredErrors>
    <ignoredError sqref="E10" evalError="1"/>
    <ignoredError sqref="E13 E15 E30" evalError="1" formula="1"/>
    <ignoredError sqref="D30 D15 D13" formula="1"/>
    <ignoredError sqref="D35 D36:D37" unlocked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C325"/>
  <sheetViews>
    <sheetView showGridLines="0" topLeftCell="K1" zoomScale="110" zoomScaleNormal="110" workbookViewId="0">
      <selection activeCell="P11" sqref="P10:P11"/>
    </sheetView>
  </sheetViews>
  <sheetFormatPr baseColWidth="10" defaultColWidth="9.140625" defaultRowHeight="15" x14ac:dyDescent="0.25"/>
  <cols>
    <col min="1" max="1" width="45.7109375" style="241" customWidth="1"/>
    <col min="2" max="2" width="42.28515625" style="241" customWidth="1"/>
    <col min="3" max="3" width="9.7109375" style="241" customWidth="1"/>
    <col min="4" max="4" width="38.7109375" style="241" customWidth="1"/>
    <col min="5" max="10" width="5.42578125" style="241" customWidth="1"/>
    <col min="11" max="11" width="5.42578125" style="250" customWidth="1"/>
    <col min="12" max="12" width="5.42578125" style="246" customWidth="1"/>
    <col min="13" max="16" width="5.42578125" style="247" customWidth="1"/>
    <col min="17" max="17" width="9.140625" style="247"/>
    <col min="18" max="18" width="14.5703125" style="247" customWidth="1"/>
    <col min="19" max="19" width="12.28515625" style="247" customWidth="1"/>
    <col min="20" max="20" width="19.7109375" style="247" customWidth="1"/>
    <col min="21" max="21" width="55.7109375" style="251" customWidth="1"/>
    <col min="22" max="22" width="21.7109375" style="395" customWidth="1"/>
    <col min="23" max="23" width="9.140625" style="284"/>
    <col min="24" max="31" width="9.140625" style="247"/>
    <col min="32" max="66" width="9.140625" style="284"/>
    <col min="67" max="81" width="9.140625" style="251"/>
    <col min="82" max="16384" width="9.140625" style="241"/>
  </cols>
  <sheetData>
    <row r="1" spans="1:81" s="247" customFormat="1" ht="15.75" x14ac:dyDescent="0.25">
      <c r="A1" s="437" t="str">
        <f>+PPNE1!$B$1</f>
        <v>Plan Operativo Anual</v>
      </c>
      <c r="B1" s="437"/>
      <c r="C1" s="437"/>
      <c r="D1" s="437"/>
      <c r="E1" s="437"/>
      <c r="F1" s="437"/>
      <c r="G1" s="437"/>
      <c r="H1" s="437"/>
      <c r="I1" s="437"/>
      <c r="J1" s="437"/>
      <c r="K1" s="246"/>
      <c r="L1" s="246"/>
      <c r="V1" s="394"/>
      <c r="W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row>
    <row r="2" spans="1:81" s="247" customFormat="1" ht="15.75" x14ac:dyDescent="0.25">
      <c r="A2" s="437" t="s">
        <v>269</v>
      </c>
      <c r="B2" s="437"/>
      <c r="C2" s="437"/>
      <c r="D2" s="437"/>
      <c r="E2" s="437"/>
      <c r="F2" s="437"/>
      <c r="G2" s="437"/>
      <c r="H2" s="437"/>
      <c r="I2" s="437"/>
      <c r="J2" s="437"/>
      <c r="K2" s="246"/>
      <c r="L2" s="246"/>
      <c r="V2" s="394"/>
      <c r="W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row>
    <row r="3" spans="1:81" s="247" customFormat="1" x14ac:dyDescent="0.25">
      <c r="A3" s="438" t="s">
        <v>270</v>
      </c>
      <c r="B3" s="438"/>
      <c r="C3" s="438"/>
      <c r="D3" s="438"/>
      <c r="E3" s="438"/>
      <c r="F3" s="438"/>
      <c r="G3" s="438"/>
      <c r="H3" s="438"/>
      <c r="I3" s="438"/>
      <c r="J3" s="438"/>
      <c r="K3" s="249" t="s">
        <v>274</v>
      </c>
      <c r="L3" s="246"/>
      <c r="V3" s="394"/>
      <c r="W3" s="284"/>
      <c r="AF3" s="284"/>
      <c r="AG3" s="284"/>
      <c r="AH3" s="284"/>
      <c r="AI3" s="284"/>
      <c r="AJ3" s="284"/>
      <c r="AK3" s="284"/>
      <c r="AL3" s="284"/>
      <c r="AM3" s="284"/>
      <c r="AN3" s="284"/>
      <c r="AO3" s="284"/>
      <c r="AP3" s="284"/>
      <c r="AQ3" s="284"/>
      <c r="AR3" s="284"/>
      <c r="AS3" s="284"/>
      <c r="AT3" s="284"/>
      <c r="AU3" s="284"/>
      <c r="AV3" s="284"/>
      <c r="AW3" s="284"/>
      <c r="AX3" s="284"/>
      <c r="AY3" s="284"/>
      <c r="AZ3" s="284"/>
      <c r="BA3" s="284"/>
      <c r="BB3" s="284"/>
      <c r="BC3" s="284"/>
      <c r="BD3" s="284"/>
      <c r="BE3" s="284"/>
      <c r="BF3" s="284"/>
      <c r="BG3" s="284"/>
      <c r="BH3" s="284"/>
      <c r="BI3" s="284"/>
      <c r="BJ3" s="284"/>
      <c r="BK3" s="284"/>
      <c r="BL3" s="284"/>
      <c r="BM3" s="284"/>
      <c r="BN3" s="284"/>
    </row>
    <row r="4" spans="1:81" s="247" customFormat="1" x14ac:dyDescent="0.25">
      <c r="A4" s="439" t="s">
        <v>957</v>
      </c>
      <c r="B4" s="439"/>
      <c r="C4" s="439"/>
      <c r="D4" s="439"/>
      <c r="E4" s="439"/>
      <c r="F4" s="439"/>
      <c r="G4" s="439"/>
      <c r="H4" s="439"/>
      <c r="I4" s="439"/>
      <c r="J4" s="439"/>
      <c r="K4" s="249" t="s">
        <v>280</v>
      </c>
      <c r="L4" s="246"/>
      <c r="V4" s="394"/>
      <c r="W4" s="284"/>
      <c r="AF4" s="284"/>
      <c r="AG4" s="284"/>
      <c r="AH4" s="284"/>
      <c r="AI4" s="284"/>
      <c r="AJ4" s="284"/>
      <c r="AK4" s="284"/>
      <c r="AL4" s="284"/>
      <c r="AM4" s="284"/>
      <c r="AN4" s="284"/>
      <c r="AO4" s="284"/>
      <c r="AP4" s="284"/>
      <c r="AQ4" s="284"/>
      <c r="AR4" s="284"/>
      <c r="AS4" s="284"/>
      <c r="AT4" s="284"/>
      <c r="AU4" s="284"/>
      <c r="AV4" s="284"/>
      <c r="AW4" s="284"/>
      <c r="AX4" s="284"/>
      <c r="AY4" s="284"/>
      <c r="AZ4" s="284"/>
      <c r="BA4" s="284"/>
      <c r="BB4" s="284"/>
      <c r="BC4" s="284"/>
      <c r="BD4" s="284"/>
      <c r="BE4" s="284"/>
      <c r="BF4" s="284"/>
      <c r="BG4" s="284"/>
      <c r="BH4" s="284"/>
      <c r="BI4" s="284"/>
      <c r="BJ4" s="284"/>
      <c r="BK4" s="284"/>
      <c r="BL4" s="284"/>
      <c r="BM4" s="284"/>
      <c r="BN4" s="284"/>
    </row>
    <row r="5" spans="1:81" s="247" customFormat="1" x14ac:dyDescent="0.25">
      <c r="A5" s="439">
        <f>PPNE1!$C$5</f>
        <v>2026</v>
      </c>
      <c r="B5" s="439"/>
      <c r="C5" s="439"/>
      <c r="D5" s="439"/>
      <c r="E5" s="439"/>
      <c r="F5" s="439"/>
      <c r="G5" s="439"/>
      <c r="H5" s="439"/>
      <c r="I5" s="439"/>
      <c r="J5" s="439"/>
      <c r="K5" s="249" t="s">
        <v>275</v>
      </c>
      <c r="L5" s="248"/>
      <c r="V5" s="394"/>
      <c r="W5" s="284"/>
      <c r="AF5" s="284"/>
      <c r="AG5" s="284"/>
      <c r="AH5" s="284"/>
      <c r="AI5" s="284"/>
      <c r="AJ5" s="284"/>
      <c r="AK5" s="284"/>
      <c r="AL5" s="284"/>
      <c r="AM5" s="284"/>
      <c r="AN5" s="284"/>
      <c r="AO5" s="284"/>
      <c r="AP5" s="284"/>
      <c r="AQ5" s="284"/>
      <c r="AR5" s="284"/>
      <c r="AS5" s="284"/>
      <c r="AT5" s="284"/>
      <c r="AU5" s="284"/>
      <c r="AV5" s="284"/>
      <c r="AW5" s="284"/>
      <c r="AX5" s="284"/>
      <c r="AY5" s="284"/>
      <c r="AZ5" s="284"/>
      <c r="BA5" s="284"/>
      <c r="BB5" s="284"/>
      <c r="BC5" s="284"/>
      <c r="BD5" s="284"/>
      <c r="BE5" s="284"/>
      <c r="BF5" s="284"/>
      <c r="BG5" s="284"/>
      <c r="BH5" s="284"/>
      <c r="BI5" s="284"/>
      <c r="BJ5" s="284"/>
      <c r="BK5" s="284"/>
      <c r="BL5" s="284"/>
      <c r="BM5" s="284"/>
      <c r="BN5" s="284"/>
    </row>
    <row r="6" spans="1:81" x14ac:dyDescent="0.25">
      <c r="A6" s="283" t="s">
        <v>214</v>
      </c>
      <c r="B6" s="440"/>
      <c r="C6" s="440"/>
      <c r="D6" s="440"/>
      <c r="E6" s="440"/>
      <c r="F6" s="440"/>
      <c r="G6" s="440"/>
      <c r="H6" s="440"/>
      <c r="I6" s="440"/>
      <c r="J6" s="440"/>
      <c r="K6" s="249" t="s">
        <v>909</v>
      </c>
    </row>
    <row r="7" spans="1:81" s="247" customFormat="1" x14ac:dyDescent="0.25">
      <c r="A7" s="287" t="s">
        <v>911</v>
      </c>
      <c r="B7" s="436"/>
      <c r="C7" s="436"/>
      <c r="D7" s="436"/>
      <c r="E7" s="436"/>
      <c r="F7" s="436"/>
      <c r="G7" s="436"/>
      <c r="H7" s="436"/>
      <c r="I7" s="436"/>
      <c r="J7" s="436"/>
      <c r="K7" s="250"/>
      <c r="L7" s="248"/>
      <c r="U7" s="251"/>
      <c r="V7" s="395"/>
      <c r="W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4"/>
      <c r="BK7" s="284"/>
      <c r="BL7" s="284"/>
      <c r="BM7" s="284"/>
      <c r="BN7" s="284"/>
      <c r="BO7" s="251"/>
      <c r="BP7" s="251"/>
      <c r="BQ7" s="251"/>
      <c r="BR7" s="251"/>
      <c r="BS7" s="251"/>
      <c r="BT7" s="251"/>
      <c r="BU7" s="251"/>
      <c r="BV7" s="251"/>
      <c r="BW7" s="251"/>
      <c r="BX7" s="251"/>
      <c r="BY7" s="251"/>
      <c r="BZ7" s="251"/>
      <c r="CA7" s="251"/>
      <c r="CB7" s="251"/>
      <c r="CC7" s="251"/>
    </row>
    <row r="8" spans="1:81" s="253" customFormat="1" ht="25.5" x14ac:dyDescent="0.25">
      <c r="A8" s="286" t="s">
        <v>914</v>
      </c>
      <c r="B8" s="286" t="s">
        <v>915</v>
      </c>
      <c r="C8" s="286" t="s">
        <v>916</v>
      </c>
      <c r="D8" s="286" t="s">
        <v>917</v>
      </c>
      <c r="E8" s="286" t="s">
        <v>918</v>
      </c>
      <c r="F8" s="286" t="s">
        <v>919</v>
      </c>
      <c r="G8" s="286" t="s">
        <v>920</v>
      </c>
      <c r="H8" s="286" t="s">
        <v>921</v>
      </c>
      <c r="I8" s="286" t="s">
        <v>922</v>
      </c>
      <c r="J8" s="286" t="s">
        <v>923</v>
      </c>
      <c r="K8" s="286" t="s">
        <v>924</v>
      </c>
      <c r="L8" s="286" t="s">
        <v>925</v>
      </c>
      <c r="M8" s="286" t="s">
        <v>926</v>
      </c>
      <c r="N8" s="286" t="s">
        <v>927</v>
      </c>
      <c r="O8" s="286" t="s">
        <v>928</v>
      </c>
      <c r="P8" s="286" t="s">
        <v>929</v>
      </c>
      <c r="Q8" s="286" t="s">
        <v>930</v>
      </c>
      <c r="R8" s="286" t="s">
        <v>931</v>
      </c>
      <c r="S8" s="286" t="s">
        <v>932</v>
      </c>
      <c r="T8" s="286" t="s">
        <v>933</v>
      </c>
      <c r="U8" s="286" t="s">
        <v>1086</v>
      </c>
      <c r="V8" s="286" t="s">
        <v>1059</v>
      </c>
      <c r="W8" s="285"/>
      <c r="X8" s="263"/>
      <c r="Y8" s="263"/>
      <c r="Z8" s="263"/>
      <c r="AA8" s="263"/>
      <c r="AB8" s="263"/>
      <c r="AC8" s="292"/>
      <c r="AD8" s="263"/>
      <c r="AE8" s="263"/>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5"/>
      <c r="BK8" s="285"/>
      <c r="BL8" s="285"/>
      <c r="BM8" s="285"/>
      <c r="BN8" s="285"/>
    </row>
    <row r="9" spans="1:81" s="405" customFormat="1" ht="127.5" x14ac:dyDescent="0.2">
      <c r="A9" s="256" t="s">
        <v>1061</v>
      </c>
      <c r="B9" s="256" t="s">
        <v>1467</v>
      </c>
      <c r="C9" s="256" t="s">
        <v>1468</v>
      </c>
      <c r="D9" s="256" t="s">
        <v>1469</v>
      </c>
      <c r="E9" s="399">
        <v>2</v>
      </c>
      <c r="F9" s="399">
        <v>2</v>
      </c>
      <c r="G9" s="399">
        <v>1</v>
      </c>
      <c r="H9" s="399">
        <v>1</v>
      </c>
      <c r="I9" s="399">
        <v>1</v>
      </c>
      <c r="J9" s="399">
        <v>2</v>
      </c>
      <c r="K9" s="399">
        <v>1</v>
      </c>
      <c r="L9" s="399">
        <v>1</v>
      </c>
      <c r="M9" s="399">
        <v>2</v>
      </c>
      <c r="N9" s="399">
        <v>1</v>
      </c>
      <c r="O9" s="399">
        <v>1</v>
      </c>
      <c r="P9" s="399">
        <v>2</v>
      </c>
      <c r="Q9" s="400">
        <f>SUM(E9:P9)</f>
        <v>17</v>
      </c>
      <c r="R9" s="256"/>
      <c r="S9" s="256"/>
      <c r="T9" s="401" t="s">
        <v>1470</v>
      </c>
      <c r="U9" s="401" t="s">
        <v>1471</v>
      </c>
      <c r="V9" s="402" t="s">
        <v>1448</v>
      </c>
      <c r="W9" s="403"/>
      <c r="X9" s="404"/>
      <c r="Y9" s="404"/>
      <c r="Z9" s="404"/>
      <c r="AA9" s="404"/>
      <c r="AB9" s="404"/>
      <c r="AC9" s="404"/>
      <c r="AD9" s="404"/>
      <c r="AE9" s="404"/>
      <c r="AF9" s="403"/>
      <c r="AG9" s="403"/>
      <c r="AH9" s="403"/>
      <c r="AI9" s="403"/>
      <c r="AJ9" s="403"/>
      <c r="AK9" s="403"/>
      <c r="AL9" s="403"/>
      <c r="AM9" s="403"/>
      <c r="AN9" s="403"/>
      <c r="AO9" s="403"/>
      <c r="AP9" s="403"/>
      <c r="AQ9" s="403"/>
      <c r="AR9" s="403"/>
      <c r="AS9" s="403"/>
      <c r="AT9" s="403"/>
      <c r="AU9" s="403"/>
      <c r="AV9" s="403"/>
      <c r="AW9" s="403"/>
      <c r="AX9" s="403"/>
      <c r="AY9" s="403"/>
      <c r="AZ9" s="403"/>
      <c r="BA9" s="403"/>
      <c r="BB9" s="403"/>
      <c r="BC9" s="403"/>
      <c r="BD9" s="403"/>
      <c r="BE9" s="403"/>
      <c r="BF9" s="403"/>
      <c r="BG9" s="403"/>
      <c r="BH9" s="403"/>
      <c r="BI9" s="403"/>
      <c r="BJ9" s="403"/>
      <c r="BK9" s="403"/>
      <c r="BL9" s="403"/>
      <c r="BM9" s="403"/>
      <c r="BN9" s="403"/>
    </row>
    <row r="10" spans="1:81" s="405" customFormat="1" ht="114.75" x14ac:dyDescent="0.2">
      <c r="A10" s="256" t="s">
        <v>1061</v>
      </c>
      <c r="B10" s="256" t="s">
        <v>1467</v>
      </c>
      <c r="C10" s="256" t="s">
        <v>1472</v>
      </c>
      <c r="D10" s="256" t="s">
        <v>1474</v>
      </c>
      <c r="E10" s="399">
        <v>1</v>
      </c>
      <c r="F10" s="399">
        <v>1</v>
      </c>
      <c r="G10" s="399">
        <v>1</v>
      </c>
      <c r="H10" s="399">
        <v>1</v>
      </c>
      <c r="I10" s="399">
        <v>1</v>
      </c>
      <c r="J10" s="399">
        <v>1</v>
      </c>
      <c r="K10" s="399">
        <v>1</v>
      </c>
      <c r="L10" s="399">
        <v>1</v>
      </c>
      <c r="M10" s="399">
        <v>1</v>
      </c>
      <c r="N10" s="399">
        <v>1</v>
      </c>
      <c r="O10" s="399">
        <v>1</v>
      </c>
      <c r="P10" s="399">
        <v>1</v>
      </c>
      <c r="Q10" s="400">
        <f t="shared" ref="Q10:Q15" si="0">SUM(E10:P10)</f>
        <v>12</v>
      </c>
      <c r="R10" s="256"/>
      <c r="S10" s="256"/>
      <c r="T10" s="401" t="s">
        <v>1475</v>
      </c>
      <c r="U10" s="401" t="s">
        <v>1476</v>
      </c>
      <c r="V10" s="402" t="s">
        <v>1448</v>
      </c>
      <c r="W10" s="403"/>
      <c r="X10" s="404"/>
      <c r="Y10" s="404"/>
      <c r="Z10" s="404"/>
      <c r="AA10" s="404"/>
      <c r="AB10" s="404"/>
      <c r="AC10" s="404"/>
      <c r="AD10" s="404"/>
      <c r="AE10" s="404"/>
      <c r="AF10" s="403"/>
      <c r="AG10" s="403"/>
      <c r="AH10" s="403"/>
      <c r="AI10" s="403"/>
      <c r="AJ10" s="403"/>
      <c r="AK10" s="403"/>
      <c r="AL10" s="403"/>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row>
    <row r="11" spans="1:81" s="405" customFormat="1" ht="114.75" x14ac:dyDescent="0.2">
      <c r="A11" s="256" t="s">
        <v>1061</v>
      </c>
      <c r="B11" s="256" t="s">
        <v>1467</v>
      </c>
      <c r="C11" s="256" t="s">
        <v>1473</v>
      </c>
      <c r="D11" s="256" t="s">
        <v>1480</v>
      </c>
      <c r="E11" s="399">
        <v>1</v>
      </c>
      <c r="F11" s="399">
        <v>1</v>
      </c>
      <c r="G11" s="399">
        <v>1</v>
      </c>
      <c r="H11" s="399">
        <v>1</v>
      </c>
      <c r="I11" s="399">
        <v>1</v>
      </c>
      <c r="J11" s="399">
        <v>1</v>
      </c>
      <c r="K11" s="399">
        <v>1</v>
      </c>
      <c r="L11" s="399">
        <v>1</v>
      </c>
      <c r="M11" s="399">
        <v>1</v>
      </c>
      <c r="N11" s="399">
        <v>1</v>
      </c>
      <c r="O11" s="399">
        <v>1</v>
      </c>
      <c r="P11" s="399">
        <v>1</v>
      </c>
      <c r="Q11" s="400">
        <f t="shared" si="0"/>
        <v>12</v>
      </c>
      <c r="R11" s="256"/>
      <c r="S11" s="256"/>
      <c r="T11" s="401" t="s">
        <v>1481</v>
      </c>
      <c r="U11" s="401" t="s">
        <v>1476</v>
      </c>
      <c r="V11" s="402" t="s">
        <v>1448</v>
      </c>
      <c r="W11" s="403"/>
      <c r="X11" s="404"/>
      <c r="Y11" s="404"/>
      <c r="Z11" s="404"/>
      <c r="AA11" s="404"/>
      <c r="AB11" s="404"/>
      <c r="AC11" s="404"/>
      <c r="AD11" s="404"/>
      <c r="AE11" s="404"/>
      <c r="AF11" s="403"/>
      <c r="AG11" s="403"/>
      <c r="AH11" s="403"/>
      <c r="AI11" s="403"/>
      <c r="AJ11" s="403"/>
      <c r="AK11" s="403"/>
      <c r="AL11" s="403"/>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row>
    <row r="12" spans="1:81" s="405" customFormat="1" ht="102" x14ac:dyDescent="0.2">
      <c r="A12" s="256" t="s">
        <v>1061</v>
      </c>
      <c r="B12" s="256" t="s">
        <v>1467</v>
      </c>
      <c r="C12" s="256" t="s">
        <v>1477</v>
      </c>
      <c r="D12" s="256" t="s">
        <v>1482</v>
      </c>
      <c r="E12" s="399">
        <v>1</v>
      </c>
      <c r="F12" s="399"/>
      <c r="G12" s="399"/>
      <c r="H12" s="399">
        <v>1</v>
      </c>
      <c r="I12" s="399"/>
      <c r="J12" s="399"/>
      <c r="K12" s="399">
        <v>1</v>
      </c>
      <c r="L12" s="399"/>
      <c r="M12" s="399"/>
      <c r="N12" s="399">
        <v>1</v>
      </c>
      <c r="O12" s="399"/>
      <c r="P12" s="399"/>
      <c r="Q12" s="400">
        <f t="shared" si="0"/>
        <v>4</v>
      </c>
      <c r="R12" s="256"/>
      <c r="S12" s="256"/>
      <c r="T12" s="401" t="s">
        <v>1478</v>
      </c>
      <c r="U12" s="401" t="s">
        <v>1483</v>
      </c>
      <c r="V12" s="402" t="s">
        <v>1448</v>
      </c>
      <c r="W12" s="403"/>
      <c r="X12" s="404"/>
      <c r="Y12" s="404"/>
      <c r="Z12" s="404"/>
      <c r="AA12" s="404"/>
      <c r="AB12" s="404"/>
      <c r="AC12" s="404"/>
      <c r="AD12" s="404"/>
      <c r="AE12" s="404"/>
      <c r="AF12" s="403"/>
      <c r="AG12" s="403"/>
      <c r="AH12" s="403"/>
      <c r="AI12" s="403"/>
      <c r="AJ12" s="403"/>
      <c r="AK12" s="403"/>
      <c r="AL12" s="403"/>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row>
    <row r="13" spans="1:81" s="405" customFormat="1" ht="76.5" x14ac:dyDescent="0.2">
      <c r="A13" s="256" t="s">
        <v>1061</v>
      </c>
      <c r="B13" s="256" t="s">
        <v>1467</v>
      </c>
      <c r="C13" s="256" t="s">
        <v>1479</v>
      </c>
      <c r="D13" s="256" t="s">
        <v>1484</v>
      </c>
      <c r="E13" s="399">
        <v>1</v>
      </c>
      <c r="F13" s="399">
        <v>1</v>
      </c>
      <c r="G13" s="399">
        <v>1</v>
      </c>
      <c r="H13" s="399">
        <v>1</v>
      </c>
      <c r="I13" s="399">
        <v>1</v>
      </c>
      <c r="J13" s="399">
        <v>1</v>
      </c>
      <c r="K13" s="399">
        <v>1</v>
      </c>
      <c r="L13" s="399">
        <v>1</v>
      </c>
      <c r="M13" s="399">
        <v>1</v>
      </c>
      <c r="N13" s="399">
        <v>1</v>
      </c>
      <c r="O13" s="399">
        <v>1</v>
      </c>
      <c r="P13" s="399">
        <v>1</v>
      </c>
      <c r="Q13" s="400">
        <f t="shared" si="0"/>
        <v>12</v>
      </c>
      <c r="R13" s="256"/>
      <c r="S13" s="256"/>
      <c r="T13" s="401" t="s">
        <v>943</v>
      </c>
      <c r="U13" s="401" t="s">
        <v>1485</v>
      </c>
      <c r="V13" s="402" t="s">
        <v>1448</v>
      </c>
      <c r="W13" s="403"/>
      <c r="X13" s="404"/>
      <c r="Y13" s="404"/>
      <c r="Z13" s="404"/>
      <c r="AA13" s="404"/>
      <c r="AB13" s="404"/>
      <c r="AC13" s="404"/>
      <c r="AD13" s="404"/>
      <c r="AE13" s="404"/>
      <c r="AF13" s="403"/>
      <c r="AG13" s="403"/>
      <c r="AH13" s="403"/>
      <c r="AI13" s="403"/>
      <c r="AJ13" s="403"/>
      <c r="AK13" s="403"/>
      <c r="AL13" s="403"/>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row>
    <row r="14" spans="1:81" s="405" customFormat="1" ht="127.5" x14ac:dyDescent="0.2">
      <c r="A14" s="256" t="s">
        <v>1061</v>
      </c>
      <c r="B14" s="256" t="s">
        <v>1486</v>
      </c>
      <c r="C14" s="256" t="s">
        <v>1487</v>
      </c>
      <c r="D14" s="256" t="s">
        <v>1489</v>
      </c>
      <c r="E14" s="399"/>
      <c r="F14" s="399"/>
      <c r="G14" s="399"/>
      <c r="H14" s="399"/>
      <c r="I14" s="399"/>
      <c r="J14" s="399">
        <v>1</v>
      </c>
      <c r="K14" s="399"/>
      <c r="L14" s="399"/>
      <c r="M14" s="399"/>
      <c r="N14" s="399"/>
      <c r="O14" s="399"/>
      <c r="P14" s="399">
        <v>1</v>
      </c>
      <c r="Q14" s="400">
        <f t="shared" si="0"/>
        <v>2</v>
      </c>
      <c r="R14" s="256" t="s">
        <v>943</v>
      </c>
      <c r="S14" s="256"/>
      <c r="T14" s="401"/>
      <c r="U14" s="401" t="s">
        <v>1490</v>
      </c>
      <c r="V14" s="402" t="s">
        <v>1448</v>
      </c>
      <c r="W14" s="403"/>
      <c r="X14" s="404"/>
      <c r="Y14" s="404"/>
      <c r="Z14" s="404"/>
      <c r="AA14" s="404"/>
      <c r="AB14" s="404"/>
      <c r="AC14" s="404"/>
      <c r="AD14" s="404"/>
      <c r="AE14" s="404"/>
      <c r="AF14" s="403"/>
      <c r="AG14" s="403"/>
      <c r="AH14" s="403"/>
      <c r="AI14" s="403"/>
      <c r="AJ14" s="403"/>
      <c r="AK14" s="403"/>
      <c r="AL14" s="403"/>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row>
    <row r="15" spans="1:81" s="405" customFormat="1" ht="76.5" x14ac:dyDescent="0.2">
      <c r="A15" s="256" t="s">
        <v>1061</v>
      </c>
      <c r="B15" s="256" t="s">
        <v>1486</v>
      </c>
      <c r="C15" s="256" t="s">
        <v>1488</v>
      </c>
      <c r="D15" s="256" t="s">
        <v>1491</v>
      </c>
      <c r="E15" s="399">
        <v>1</v>
      </c>
      <c r="F15" s="399">
        <v>1</v>
      </c>
      <c r="G15" s="399">
        <v>1</v>
      </c>
      <c r="H15" s="399">
        <v>1</v>
      </c>
      <c r="I15" s="399">
        <v>1</v>
      </c>
      <c r="J15" s="399">
        <v>1</v>
      </c>
      <c r="K15" s="399">
        <v>1</v>
      </c>
      <c r="L15" s="399">
        <v>1</v>
      </c>
      <c r="M15" s="399">
        <v>1</v>
      </c>
      <c r="N15" s="399">
        <v>1</v>
      </c>
      <c r="O15" s="399">
        <v>1</v>
      </c>
      <c r="P15" s="399">
        <v>1</v>
      </c>
      <c r="Q15" s="400">
        <f t="shared" si="0"/>
        <v>12</v>
      </c>
      <c r="R15" s="256" t="s">
        <v>943</v>
      </c>
      <c r="S15" s="256"/>
      <c r="T15" s="256"/>
      <c r="U15" s="256" t="s">
        <v>1492</v>
      </c>
      <c r="V15" s="402" t="s">
        <v>1448</v>
      </c>
      <c r="W15" s="403"/>
      <c r="X15" s="404"/>
      <c r="Y15" s="404"/>
      <c r="Z15" s="404"/>
      <c r="AA15" s="404"/>
      <c r="AB15" s="404"/>
      <c r="AC15" s="404"/>
      <c r="AD15" s="404"/>
      <c r="AE15" s="404"/>
      <c r="AF15" s="403"/>
      <c r="AG15" s="403"/>
      <c r="AH15" s="403"/>
      <c r="AI15" s="403"/>
      <c r="AJ15" s="403"/>
      <c r="AK15" s="403"/>
      <c r="AL15" s="403"/>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row>
    <row r="16" spans="1:81" s="405" customFormat="1" ht="63.75" x14ac:dyDescent="0.2">
      <c r="A16" s="256" t="s">
        <v>1062</v>
      </c>
      <c r="B16" s="256" t="s">
        <v>1444</v>
      </c>
      <c r="C16" s="256" t="s">
        <v>1445</v>
      </c>
      <c r="D16" s="256" t="s">
        <v>1446</v>
      </c>
      <c r="E16" s="399"/>
      <c r="F16" s="399">
        <v>1</v>
      </c>
      <c r="G16" s="399">
        <v>1</v>
      </c>
      <c r="H16" s="399">
        <v>1</v>
      </c>
      <c r="I16" s="399">
        <v>1</v>
      </c>
      <c r="J16" s="399">
        <v>1</v>
      </c>
      <c r="K16" s="399">
        <v>1</v>
      </c>
      <c r="L16" s="399">
        <v>1</v>
      </c>
      <c r="M16" s="399">
        <v>1</v>
      </c>
      <c r="N16" s="399">
        <v>1</v>
      </c>
      <c r="O16" s="399">
        <v>1</v>
      </c>
      <c r="P16" s="399"/>
      <c r="Q16" s="400">
        <f t="shared" ref="Q16:Q111" si="1">SUM(E16:P16)</f>
        <v>10</v>
      </c>
      <c r="R16" s="256" t="s">
        <v>934</v>
      </c>
      <c r="S16" s="256"/>
      <c r="T16" s="256"/>
      <c r="U16" s="256" t="s">
        <v>1447</v>
      </c>
      <c r="V16" s="402" t="s">
        <v>1448</v>
      </c>
      <c r="W16" s="403"/>
      <c r="X16" s="404"/>
      <c r="Y16" s="404"/>
      <c r="Z16" s="404"/>
      <c r="AA16" s="404"/>
      <c r="AB16" s="404"/>
      <c r="AC16" s="404"/>
      <c r="AD16" s="404"/>
      <c r="AE16" s="404"/>
      <c r="AF16" s="403"/>
      <c r="AG16" s="403"/>
      <c r="AH16" s="403"/>
      <c r="AI16" s="403"/>
      <c r="AJ16" s="403"/>
      <c r="AK16" s="403"/>
      <c r="AL16" s="403"/>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row>
    <row r="17" spans="1:66" s="405" customFormat="1" ht="63.75" x14ac:dyDescent="0.2">
      <c r="A17" s="256" t="s">
        <v>1062</v>
      </c>
      <c r="B17" s="256" t="s">
        <v>1444</v>
      </c>
      <c r="C17" s="256" t="s">
        <v>1449</v>
      </c>
      <c r="D17" s="256" t="s">
        <v>1450</v>
      </c>
      <c r="E17" s="399"/>
      <c r="F17" s="399"/>
      <c r="G17" s="399">
        <v>1</v>
      </c>
      <c r="H17" s="399"/>
      <c r="I17" s="399"/>
      <c r="J17" s="399">
        <v>1</v>
      </c>
      <c r="K17" s="399"/>
      <c r="L17" s="399"/>
      <c r="M17" s="399">
        <v>1</v>
      </c>
      <c r="N17" s="399"/>
      <c r="O17" s="399"/>
      <c r="P17" s="399">
        <v>1</v>
      </c>
      <c r="Q17" s="400">
        <f t="shared" si="1"/>
        <v>4</v>
      </c>
      <c r="R17" s="256" t="s">
        <v>934</v>
      </c>
      <c r="S17" s="256"/>
      <c r="T17" s="256" t="s">
        <v>1451</v>
      </c>
      <c r="U17" s="256" t="s">
        <v>1452</v>
      </c>
      <c r="V17" s="402" t="s">
        <v>1448</v>
      </c>
      <c r="W17" s="403"/>
      <c r="X17" s="404"/>
      <c r="Y17" s="404"/>
      <c r="Z17" s="404"/>
      <c r="AA17" s="404"/>
      <c r="AB17" s="404"/>
      <c r="AC17" s="404"/>
      <c r="AD17" s="404"/>
      <c r="AE17" s="404"/>
      <c r="AF17" s="403"/>
      <c r="AG17" s="40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row>
    <row r="18" spans="1:66" s="405" customFormat="1" ht="63.75" x14ac:dyDescent="0.2">
      <c r="A18" s="256" t="s">
        <v>1062</v>
      </c>
      <c r="B18" s="256" t="s">
        <v>1444</v>
      </c>
      <c r="C18" s="256" t="s">
        <v>1453</v>
      </c>
      <c r="D18" s="256" t="s">
        <v>1454</v>
      </c>
      <c r="E18" s="399"/>
      <c r="F18" s="399"/>
      <c r="G18" s="399">
        <v>1</v>
      </c>
      <c r="H18" s="399"/>
      <c r="I18" s="399"/>
      <c r="J18" s="399">
        <v>1</v>
      </c>
      <c r="K18" s="399"/>
      <c r="L18" s="399"/>
      <c r="M18" s="399">
        <v>1</v>
      </c>
      <c r="N18" s="399"/>
      <c r="O18" s="399"/>
      <c r="P18" s="399">
        <v>1</v>
      </c>
      <c r="Q18" s="400">
        <f>SUM(E18:P18)</f>
        <v>4</v>
      </c>
      <c r="R18" s="256" t="s">
        <v>934</v>
      </c>
      <c r="S18" s="256" t="s">
        <v>935</v>
      </c>
      <c r="T18" s="256"/>
      <c r="U18" s="256" t="s">
        <v>1455</v>
      </c>
      <c r="V18" s="402" t="s">
        <v>1448</v>
      </c>
      <c r="W18" s="403"/>
      <c r="X18" s="404"/>
      <c r="Y18" s="404"/>
      <c r="Z18" s="404"/>
      <c r="AA18" s="404"/>
      <c r="AB18" s="404"/>
      <c r="AC18" s="404"/>
      <c r="AD18" s="404"/>
      <c r="AE18" s="404"/>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row>
    <row r="19" spans="1:66" s="405" customFormat="1" ht="63.75" x14ac:dyDescent="0.2">
      <c r="A19" s="256" t="s">
        <v>1062</v>
      </c>
      <c r="B19" s="256" t="s">
        <v>1444</v>
      </c>
      <c r="C19" s="256" t="s">
        <v>1456</v>
      </c>
      <c r="D19" s="256" t="s">
        <v>1457</v>
      </c>
      <c r="E19" s="399"/>
      <c r="F19" s="399"/>
      <c r="G19" s="399">
        <v>1</v>
      </c>
      <c r="H19" s="399"/>
      <c r="I19" s="399"/>
      <c r="J19" s="399">
        <v>1</v>
      </c>
      <c r="K19" s="399"/>
      <c r="L19" s="399"/>
      <c r="M19" s="399"/>
      <c r="N19" s="399">
        <v>1</v>
      </c>
      <c r="O19" s="399"/>
      <c r="P19" s="399"/>
      <c r="Q19" s="400">
        <f t="shared" si="1"/>
        <v>3</v>
      </c>
      <c r="R19" s="256" t="s">
        <v>934</v>
      </c>
      <c r="S19" s="256"/>
      <c r="T19" s="256"/>
      <c r="U19" s="256" t="s">
        <v>1458</v>
      </c>
      <c r="V19" s="402" t="s">
        <v>1448</v>
      </c>
      <c r="W19" s="403"/>
      <c r="X19" s="404"/>
      <c r="Y19" s="404"/>
      <c r="Z19" s="404"/>
      <c r="AA19" s="404"/>
      <c r="AB19" s="404"/>
      <c r="AC19" s="404"/>
      <c r="AD19" s="404"/>
      <c r="AE19" s="404"/>
      <c r="AF19" s="403"/>
      <c r="AG19" s="403"/>
      <c r="AH19" s="403"/>
      <c r="AI19" s="403"/>
      <c r="AJ19" s="403"/>
      <c r="AK19" s="403"/>
      <c r="AL19" s="403"/>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row>
    <row r="20" spans="1:66" s="405" customFormat="1" ht="94.9" customHeight="1" x14ac:dyDescent="0.2">
      <c r="A20" s="256" t="s">
        <v>1062</v>
      </c>
      <c r="B20" s="256" t="s">
        <v>1444</v>
      </c>
      <c r="C20" s="256" t="s">
        <v>1459</v>
      </c>
      <c r="D20" s="256" t="s">
        <v>1460</v>
      </c>
      <c r="E20" s="399"/>
      <c r="F20" s="399"/>
      <c r="G20" s="399"/>
      <c r="H20" s="399"/>
      <c r="I20" s="399">
        <v>1</v>
      </c>
      <c r="J20" s="399"/>
      <c r="K20" s="399"/>
      <c r="L20" s="399"/>
      <c r="M20" s="399"/>
      <c r="N20" s="399">
        <v>1</v>
      </c>
      <c r="O20" s="399"/>
      <c r="P20" s="399"/>
      <c r="Q20" s="400">
        <f t="shared" si="1"/>
        <v>2</v>
      </c>
      <c r="R20" s="256" t="s">
        <v>938</v>
      </c>
      <c r="S20" s="256" t="s">
        <v>935</v>
      </c>
      <c r="T20" s="256"/>
      <c r="U20" s="256" t="s">
        <v>1461</v>
      </c>
      <c r="V20" s="402" t="s">
        <v>1448</v>
      </c>
      <c r="W20" s="403"/>
      <c r="X20" s="404"/>
      <c r="Y20" s="404"/>
      <c r="Z20" s="404"/>
      <c r="AA20" s="404"/>
      <c r="AB20" s="404"/>
      <c r="AC20" s="404"/>
      <c r="AD20" s="404"/>
      <c r="AE20" s="404"/>
      <c r="AF20" s="403"/>
      <c r="AG20" s="403"/>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row>
    <row r="21" spans="1:66" s="405" customFormat="1" ht="111.6" customHeight="1" x14ac:dyDescent="0.2">
      <c r="A21" s="256" t="s">
        <v>1062</v>
      </c>
      <c r="B21" s="256" t="s">
        <v>1444</v>
      </c>
      <c r="C21" s="256" t="s">
        <v>1462</v>
      </c>
      <c r="D21" s="256" t="s">
        <v>1463</v>
      </c>
      <c r="E21" s="399"/>
      <c r="F21" s="399"/>
      <c r="G21" s="399"/>
      <c r="H21" s="399">
        <v>1</v>
      </c>
      <c r="I21" s="399"/>
      <c r="J21" s="399"/>
      <c r="K21" s="399"/>
      <c r="L21" s="399">
        <v>1</v>
      </c>
      <c r="M21" s="399"/>
      <c r="N21" s="399"/>
      <c r="O21" s="399">
        <v>1</v>
      </c>
      <c r="P21" s="399"/>
      <c r="Q21" s="400">
        <f t="shared" si="1"/>
        <v>3</v>
      </c>
      <c r="R21" s="256" t="s">
        <v>1464</v>
      </c>
      <c r="S21" s="256"/>
      <c r="T21" s="256"/>
      <c r="U21" s="256" t="s">
        <v>1461</v>
      </c>
      <c r="V21" s="402" t="s">
        <v>1448</v>
      </c>
      <c r="W21" s="403"/>
      <c r="X21" s="404"/>
      <c r="Y21" s="404"/>
      <c r="Z21" s="404"/>
      <c r="AA21" s="404"/>
      <c r="AB21" s="404"/>
      <c r="AC21" s="404"/>
      <c r="AD21" s="404"/>
      <c r="AE21" s="404"/>
      <c r="AF21" s="403"/>
      <c r="AG21" s="403"/>
      <c r="AH21" s="403"/>
      <c r="AI21" s="403"/>
      <c r="AJ21" s="403"/>
      <c r="AK21" s="403"/>
      <c r="AL21" s="403"/>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row>
    <row r="22" spans="1:66" s="405" customFormat="1" ht="115.9" customHeight="1" x14ac:dyDescent="0.2">
      <c r="A22" s="256" t="s">
        <v>1062</v>
      </c>
      <c r="B22" s="256" t="s">
        <v>1444</v>
      </c>
      <c r="C22" s="256" t="s">
        <v>1465</v>
      </c>
      <c r="D22" s="256" t="s">
        <v>1466</v>
      </c>
      <c r="E22" s="399"/>
      <c r="F22" s="399"/>
      <c r="G22" s="399"/>
      <c r="H22" s="399"/>
      <c r="I22" s="399">
        <v>1</v>
      </c>
      <c r="J22" s="399"/>
      <c r="K22" s="399"/>
      <c r="L22" s="399"/>
      <c r="M22" s="399"/>
      <c r="N22" s="399">
        <v>1</v>
      </c>
      <c r="O22" s="399"/>
      <c r="P22" s="399"/>
      <c r="Q22" s="400">
        <f t="shared" si="1"/>
        <v>2</v>
      </c>
      <c r="R22" s="256" t="s">
        <v>1464</v>
      </c>
      <c r="S22" s="256"/>
      <c r="T22" s="256"/>
      <c r="U22" s="256" t="s">
        <v>1461</v>
      </c>
      <c r="V22" s="402" t="s">
        <v>1448</v>
      </c>
      <c r="W22" s="403"/>
      <c r="X22" s="404"/>
      <c r="Y22" s="404"/>
      <c r="Z22" s="404"/>
      <c r="AA22" s="404"/>
      <c r="AB22" s="404"/>
      <c r="AC22" s="404"/>
      <c r="AD22" s="404"/>
      <c r="AE22" s="404"/>
      <c r="AF22" s="403"/>
      <c r="AG22" s="403"/>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row>
    <row r="23" spans="1:66" s="419" customFormat="1" ht="76.5" x14ac:dyDescent="0.2">
      <c r="A23" s="413" t="s">
        <v>1065</v>
      </c>
      <c r="B23" s="413" t="s">
        <v>1092</v>
      </c>
      <c r="C23" s="413" t="s">
        <v>1093</v>
      </c>
      <c r="D23" s="413"/>
      <c r="E23" s="414"/>
      <c r="F23" s="414"/>
      <c r="G23" s="414"/>
      <c r="H23" s="414"/>
      <c r="I23" s="414"/>
      <c r="J23" s="414"/>
      <c r="K23" s="414"/>
      <c r="L23" s="414"/>
      <c r="M23" s="414"/>
      <c r="N23" s="414"/>
      <c r="O23" s="414"/>
      <c r="P23" s="414"/>
      <c r="Q23" s="415">
        <f t="shared" si="1"/>
        <v>0</v>
      </c>
      <c r="R23" s="413"/>
      <c r="S23" s="413"/>
      <c r="T23" s="413"/>
      <c r="U23" s="413"/>
      <c r="V23" s="416"/>
      <c r="W23" s="417"/>
      <c r="X23" s="418"/>
      <c r="Y23" s="418"/>
      <c r="Z23" s="418"/>
      <c r="AA23" s="418"/>
      <c r="AB23" s="418"/>
      <c r="AC23" s="418"/>
      <c r="AD23" s="418"/>
      <c r="AE23" s="418"/>
      <c r="AF23" s="417"/>
      <c r="AG23" s="417"/>
      <c r="AH23" s="417"/>
      <c r="AI23" s="417"/>
      <c r="AJ23" s="417"/>
      <c r="AK23" s="417"/>
      <c r="AL23" s="417"/>
      <c r="AM23" s="417"/>
      <c r="AN23" s="417"/>
      <c r="AO23" s="417"/>
      <c r="AP23" s="417"/>
      <c r="AQ23" s="417"/>
      <c r="AR23" s="417"/>
      <c r="AS23" s="417"/>
      <c r="AT23" s="417"/>
      <c r="AU23" s="417"/>
      <c r="AV23" s="417"/>
      <c r="AW23" s="417"/>
      <c r="AX23" s="417"/>
      <c r="AY23" s="417"/>
      <c r="AZ23" s="417"/>
      <c r="BA23" s="417"/>
      <c r="BB23" s="417"/>
      <c r="BC23" s="417"/>
      <c r="BD23" s="417"/>
      <c r="BE23" s="417"/>
      <c r="BF23" s="417"/>
      <c r="BG23" s="417"/>
      <c r="BH23" s="417"/>
      <c r="BI23" s="417"/>
      <c r="BJ23" s="417"/>
      <c r="BK23" s="417"/>
      <c r="BL23" s="417"/>
      <c r="BM23" s="417"/>
      <c r="BN23" s="417"/>
    </row>
    <row r="24" spans="1:66" s="405" customFormat="1" ht="76.5" x14ac:dyDescent="0.2">
      <c r="A24" s="256" t="s">
        <v>1065</v>
      </c>
      <c r="B24" s="256" t="s">
        <v>1128</v>
      </c>
      <c r="C24" s="256" t="s">
        <v>1129</v>
      </c>
      <c r="D24" s="256" t="s">
        <v>1130</v>
      </c>
      <c r="E24" s="399">
        <v>1</v>
      </c>
      <c r="F24" s="399">
        <v>1</v>
      </c>
      <c r="G24" s="399">
        <v>1</v>
      </c>
      <c r="H24" s="399">
        <v>1</v>
      </c>
      <c r="I24" s="399">
        <v>1</v>
      </c>
      <c r="J24" s="399">
        <v>1</v>
      </c>
      <c r="K24" s="399">
        <v>1</v>
      </c>
      <c r="L24" s="399">
        <v>1</v>
      </c>
      <c r="M24" s="399">
        <v>1</v>
      </c>
      <c r="N24" s="399">
        <v>1</v>
      </c>
      <c r="O24" s="399">
        <v>1</v>
      </c>
      <c r="P24" s="399">
        <v>1</v>
      </c>
      <c r="Q24" s="400">
        <f t="shared" si="1"/>
        <v>12</v>
      </c>
      <c r="R24" s="256" t="s">
        <v>943</v>
      </c>
      <c r="S24" s="256"/>
      <c r="T24" s="256"/>
      <c r="U24" s="256"/>
      <c r="V24" s="402" t="s">
        <v>1131</v>
      </c>
      <c r="W24" s="403"/>
      <c r="X24" s="404"/>
      <c r="Y24" s="404"/>
      <c r="Z24" s="404"/>
      <c r="AA24" s="404"/>
      <c r="AB24" s="404"/>
      <c r="AC24" s="404"/>
      <c r="AD24" s="404"/>
      <c r="AE24" s="404"/>
      <c r="AF24" s="403"/>
      <c r="AG24" s="403"/>
      <c r="AH24" s="403"/>
      <c r="AI24" s="403"/>
      <c r="AJ24" s="403"/>
      <c r="AK24" s="403"/>
      <c r="AL24" s="403"/>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row>
    <row r="25" spans="1:66" s="405" customFormat="1" ht="51" x14ac:dyDescent="0.2">
      <c r="A25" s="256" t="s">
        <v>1066</v>
      </c>
      <c r="B25" s="255" t="s">
        <v>1110</v>
      </c>
      <c r="C25" s="255" t="s">
        <v>1111</v>
      </c>
      <c r="D25" s="255" t="s">
        <v>1112</v>
      </c>
      <c r="E25" s="406"/>
      <c r="F25" s="406"/>
      <c r="G25" s="406">
        <v>1</v>
      </c>
      <c r="H25" s="406"/>
      <c r="I25" s="406"/>
      <c r="J25" s="406">
        <v>1</v>
      </c>
      <c r="K25" s="406"/>
      <c r="L25" s="406"/>
      <c r="M25" s="406">
        <v>1</v>
      </c>
      <c r="N25" s="406"/>
      <c r="O25" s="406"/>
      <c r="P25" s="406"/>
      <c r="Q25" s="400">
        <f t="shared" si="1"/>
        <v>3</v>
      </c>
      <c r="R25" s="256" t="s">
        <v>935</v>
      </c>
      <c r="S25" s="256" t="s">
        <v>938</v>
      </c>
      <c r="T25" s="256"/>
      <c r="U25" s="255"/>
      <c r="V25" s="407" t="s">
        <v>1119</v>
      </c>
      <c r="W25" s="403"/>
      <c r="X25" s="404"/>
      <c r="Y25" s="404"/>
      <c r="Z25" s="404"/>
      <c r="AA25" s="404"/>
      <c r="AB25" s="404"/>
      <c r="AC25" s="404"/>
      <c r="AD25" s="404"/>
      <c r="AE25" s="404"/>
      <c r="AF25" s="403"/>
      <c r="AG25" s="403"/>
      <c r="AH25" s="403"/>
      <c r="AI25" s="403"/>
      <c r="AJ25" s="403"/>
      <c r="AK25" s="403"/>
      <c r="AL25" s="403"/>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row>
    <row r="26" spans="1:66" s="405" customFormat="1" ht="51" x14ac:dyDescent="0.2">
      <c r="A26" s="256" t="s">
        <v>1066</v>
      </c>
      <c r="B26" s="255" t="s">
        <v>1110</v>
      </c>
      <c r="C26" s="255" t="s">
        <v>1114</v>
      </c>
      <c r="D26" s="256" t="s">
        <v>1113</v>
      </c>
      <c r="E26" s="399"/>
      <c r="F26" s="399"/>
      <c r="G26" s="399">
        <v>1</v>
      </c>
      <c r="H26" s="399"/>
      <c r="I26" s="399"/>
      <c r="J26" s="399">
        <v>1</v>
      </c>
      <c r="K26" s="399"/>
      <c r="L26" s="399"/>
      <c r="M26" s="399">
        <v>1</v>
      </c>
      <c r="N26" s="399"/>
      <c r="O26" s="399">
        <v>1</v>
      </c>
      <c r="P26" s="399"/>
      <c r="Q26" s="400">
        <f t="shared" si="1"/>
        <v>4</v>
      </c>
      <c r="R26" s="256" t="s">
        <v>934</v>
      </c>
      <c r="S26" s="256" t="s">
        <v>938</v>
      </c>
      <c r="T26" s="256"/>
      <c r="U26" s="256"/>
      <c r="V26" s="407" t="s">
        <v>1119</v>
      </c>
      <c r="W26" s="403"/>
      <c r="X26" s="404"/>
      <c r="Y26" s="404"/>
      <c r="Z26" s="404"/>
      <c r="AA26" s="404"/>
      <c r="AB26" s="404"/>
      <c r="AC26" s="404"/>
      <c r="AD26" s="404"/>
      <c r="AE26" s="404"/>
      <c r="AF26" s="403"/>
      <c r="AG26" s="403"/>
      <c r="AH26" s="403"/>
      <c r="AI26" s="403"/>
      <c r="AJ26" s="403"/>
      <c r="AK26" s="403"/>
      <c r="AL26" s="403"/>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row>
    <row r="27" spans="1:66" s="405" customFormat="1" ht="51" x14ac:dyDescent="0.2">
      <c r="A27" s="256" t="s">
        <v>1066</v>
      </c>
      <c r="B27" s="255" t="s">
        <v>1110</v>
      </c>
      <c r="C27" s="255" t="s">
        <v>1115</v>
      </c>
      <c r="D27" s="255" t="s">
        <v>1117</v>
      </c>
      <c r="E27" s="406"/>
      <c r="F27" s="406"/>
      <c r="G27" s="406"/>
      <c r="H27" s="406">
        <v>1</v>
      </c>
      <c r="I27" s="406"/>
      <c r="J27" s="406"/>
      <c r="K27" s="406"/>
      <c r="L27" s="406">
        <v>1</v>
      </c>
      <c r="M27" s="406"/>
      <c r="N27" s="406">
        <v>1</v>
      </c>
      <c r="O27" s="406"/>
      <c r="P27" s="406"/>
      <c r="Q27" s="400">
        <f t="shared" si="1"/>
        <v>3</v>
      </c>
      <c r="R27" s="256" t="s">
        <v>934</v>
      </c>
      <c r="S27" s="256"/>
      <c r="T27" s="256"/>
      <c r="U27" s="255"/>
      <c r="V27" s="407" t="s">
        <v>1119</v>
      </c>
      <c r="W27" s="403"/>
      <c r="X27" s="404"/>
      <c r="Y27" s="404"/>
      <c r="Z27" s="404"/>
      <c r="AA27" s="404"/>
      <c r="AB27" s="404"/>
      <c r="AC27" s="404"/>
      <c r="AD27" s="404"/>
      <c r="AE27" s="404"/>
      <c r="AF27" s="403"/>
      <c r="AG27" s="403"/>
      <c r="AH27" s="403"/>
      <c r="AI27" s="403"/>
      <c r="AJ27" s="403"/>
      <c r="AK27" s="403"/>
      <c r="AL27" s="403"/>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row>
    <row r="28" spans="1:66" s="405" customFormat="1" ht="51" x14ac:dyDescent="0.2">
      <c r="A28" s="256" t="s">
        <v>1066</v>
      </c>
      <c r="B28" s="255" t="s">
        <v>1110</v>
      </c>
      <c r="C28" s="255" t="s">
        <v>1116</v>
      </c>
      <c r="D28" s="256" t="s">
        <v>1118</v>
      </c>
      <c r="E28" s="399"/>
      <c r="F28" s="399"/>
      <c r="G28" s="399"/>
      <c r="H28" s="399">
        <v>1</v>
      </c>
      <c r="I28" s="399"/>
      <c r="J28" s="399"/>
      <c r="K28" s="399"/>
      <c r="L28" s="399"/>
      <c r="M28" s="399">
        <v>1</v>
      </c>
      <c r="N28" s="399"/>
      <c r="O28" s="399"/>
      <c r="P28" s="399"/>
      <c r="Q28" s="400">
        <f t="shared" si="1"/>
        <v>2</v>
      </c>
      <c r="R28" s="256" t="s">
        <v>934</v>
      </c>
      <c r="S28" s="256"/>
      <c r="T28" s="256"/>
      <c r="U28" s="256"/>
      <c r="V28" s="407" t="s">
        <v>1119</v>
      </c>
      <c r="W28" s="403"/>
      <c r="X28" s="404"/>
      <c r="Y28" s="404"/>
      <c r="Z28" s="404"/>
      <c r="AA28" s="404"/>
      <c r="AB28" s="404"/>
      <c r="AC28" s="404"/>
      <c r="AD28" s="404"/>
      <c r="AE28" s="404"/>
      <c r="AF28" s="403"/>
      <c r="AG28" s="403"/>
      <c r="AH28" s="403"/>
      <c r="AI28" s="403"/>
      <c r="AJ28" s="403"/>
      <c r="AK28" s="403"/>
      <c r="AL28" s="403"/>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row>
    <row r="29" spans="1:66" s="405" customFormat="1" ht="63.75" x14ac:dyDescent="0.2">
      <c r="A29" s="256" t="s">
        <v>1067</v>
      </c>
      <c r="B29" s="256" t="s">
        <v>1299</v>
      </c>
      <c r="C29" s="256" t="s">
        <v>1300</v>
      </c>
      <c r="D29" s="401" t="s">
        <v>1301</v>
      </c>
      <c r="E29" s="399">
        <v>1</v>
      </c>
      <c r="F29" s="399"/>
      <c r="G29" s="399"/>
      <c r="H29" s="399">
        <v>1</v>
      </c>
      <c r="I29" s="399"/>
      <c r="J29" s="399"/>
      <c r="K29" s="399">
        <v>1</v>
      </c>
      <c r="L29" s="399"/>
      <c r="M29" s="399"/>
      <c r="N29" s="399">
        <v>1</v>
      </c>
      <c r="O29" s="399"/>
      <c r="P29" s="399"/>
      <c r="Q29" s="400">
        <f t="shared" si="1"/>
        <v>4</v>
      </c>
      <c r="R29" s="256" t="s">
        <v>935</v>
      </c>
      <c r="S29" s="256" t="s">
        <v>944</v>
      </c>
      <c r="T29" s="256"/>
      <c r="U29" s="256"/>
      <c r="V29" s="402" t="s">
        <v>1302</v>
      </c>
      <c r="W29" s="403"/>
      <c r="X29" s="404"/>
      <c r="Y29" s="404"/>
      <c r="Z29" s="404"/>
      <c r="AA29" s="404"/>
      <c r="AB29" s="404"/>
      <c r="AC29" s="404"/>
      <c r="AD29" s="404"/>
      <c r="AE29" s="404"/>
      <c r="AF29" s="403"/>
      <c r="AG29" s="403"/>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row>
    <row r="30" spans="1:66" s="405" customFormat="1" ht="76.5" x14ac:dyDescent="0.2">
      <c r="A30" s="256" t="s">
        <v>1068</v>
      </c>
      <c r="B30" s="255" t="s">
        <v>1132</v>
      </c>
      <c r="C30" s="255" t="s">
        <v>1133</v>
      </c>
      <c r="D30" s="255" t="s">
        <v>1134</v>
      </c>
      <c r="E30" s="406"/>
      <c r="F30" s="406"/>
      <c r="G30" s="406"/>
      <c r="H30" s="406"/>
      <c r="I30" s="406"/>
      <c r="J30" s="406">
        <v>1</v>
      </c>
      <c r="K30" s="406"/>
      <c r="L30" s="406"/>
      <c r="M30" s="406"/>
      <c r="N30" s="406"/>
      <c r="O30" s="406"/>
      <c r="P30" s="406"/>
      <c r="Q30" s="400">
        <f t="shared" si="1"/>
        <v>1</v>
      </c>
      <c r="R30" s="256" t="s">
        <v>943</v>
      </c>
      <c r="S30" s="256"/>
      <c r="T30" s="256"/>
      <c r="U30" s="255"/>
      <c r="V30" s="407" t="s">
        <v>1159</v>
      </c>
      <c r="W30" s="403"/>
      <c r="X30" s="404"/>
      <c r="Y30" s="404"/>
      <c r="Z30" s="404"/>
      <c r="AA30" s="404"/>
      <c r="AB30" s="404"/>
      <c r="AC30" s="404"/>
      <c r="AD30" s="404"/>
      <c r="AE30" s="404"/>
      <c r="AF30" s="403"/>
      <c r="AG30" s="403"/>
      <c r="AH30" s="403"/>
      <c r="AI30" s="403"/>
      <c r="AJ30" s="403"/>
      <c r="AK30" s="403"/>
      <c r="AL30" s="403"/>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row>
    <row r="31" spans="1:66" s="405" customFormat="1" ht="76.5" x14ac:dyDescent="0.2">
      <c r="A31" s="256" t="s">
        <v>1068</v>
      </c>
      <c r="B31" s="255" t="s">
        <v>1132</v>
      </c>
      <c r="C31" s="255" t="s">
        <v>1139</v>
      </c>
      <c r="D31" s="256" t="s">
        <v>1135</v>
      </c>
      <c r="E31" s="399"/>
      <c r="F31" s="399"/>
      <c r="G31" s="399"/>
      <c r="H31" s="399"/>
      <c r="I31" s="399"/>
      <c r="J31" s="399">
        <v>1</v>
      </c>
      <c r="K31" s="399"/>
      <c r="L31" s="399"/>
      <c r="M31" s="399"/>
      <c r="N31" s="399"/>
      <c r="O31" s="399">
        <v>1</v>
      </c>
      <c r="P31" s="399"/>
      <c r="Q31" s="400">
        <f t="shared" si="1"/>
        <v>2</v>
      </c>
      <c r="R31" s="256" t="s">
        <v>935</v>
      </c>
      <c r="S31" s="256" t="s">
        <v>943</v>
      </c>
      <c r="T31" s="256"/>
      <c r="U31" s="256"/>
      <c r="V31" s="407" t="s">
        <v>1159</v>
      </c>
      <c r="W31" s="403"/>
      <c r="X31" s="404"/>
      <c r="Y31" s="404"/>
      <c r="Z31" s="404"/>
      <c r="AA31" s="404"/>
      <c r="AB31" s="404"/>
      <c r="AC31" s="404"/>
      <c r="AD31" s="404"/>
      <c r="AE31" s="404"/>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row>
    <row r="32" spans="1:66" s="405" customFormat="1" ht="76.5" x14ac:dyDescent="0.2">
      <c r="A32" s="256" t="s">
        <v>1068</v>
      </c>
      <c r="B32" s="255" t="s">
        <v>1132</v>
      </c>
      <c r="C32" s="255" t="s">
        <v>1140</v>
      </c>
      <c r="D32" s="255" t="s">
        <v>1136</v>
      </c>
      <c r="E32" s="406"/>
      <c r="F32" s="406"/>
      <c r="G32" s="406"/>
      <c r="H32" s="406"/>
      <c r="I32" s="406"/>
      <c r="J32" s="406"/>
      <c r="K32" s="406"/>
      <c r="L32" s="406"/>
      <c r="M32" s="406">
        <v>1</v>
      </c>
      <c r="N32" s="406"/>
      <c r="O32" s="406"/>
      <c r="P32" s="406"/>
      <c r="Q32" s="400">
        <f t="shared" si="1"/>
        <v>1</v>
      </c>
      <c r="R32" s="256" t="s">
        <v>943</v>
      </c>
      <c r="S32" s="256"/>
      <c r="T32" s="256"/>
      <c r="U32" s="255"/>
      <c r="V32" s="407" t="s">
        <v>1159</v>
      </c>
      <c r="W32" s="403"/>
      <c r="X32" s="404"/>
      <c r="Y32" s="404"/>
      <c r="Z32" s="404"/>
      <c r="AA32" s="404"/>
      <c r="AB32" s="404"/>
      <c r="AC32" s="404"/>
      <c r="AD32" s="404"/>
      <c r="AE32" s="404"/>
      <c r="AF32" s="403"/>
      <c r="AG32" s="403"/>
      <c r="AH32" s="403"/>
      <c r="AI32" s="403"/>
      <c r="AJ32" s="403"/>
      <c r="AK32" s="403"/>
      <c r="AL32" s="403"/>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row>
    <row r="33" spans="1:66" s="405" customFormat="1" ht="76.5" x14ac:dyDescent="0.2">
      <c r="A33" s="256" t="s">
        <v>1068</v>
      </c>
      <c r="B33" s="255" t="s">
        <v>1132</v>
      </c>
      <c r="C33" s="255" t="s">
        <v>1141</v>
      </c>
      <c r="D33" s="256" t="s">
        <v>1137</v>
      </c>
      <c r="E33" s="399"/>
      <c r="F33" s="399">
        <v>1</v>
      </c>
      <c r="G33" s="399"/>
      <c r="H33" s="399"/>
      <c r="I33" s="399">
        <v>1</v>
      </c>
      <c r="J33" s="399"/>
      <c r="K33" s="399"/>
      <c r="L33" s="399">
        <v>1</v>
      </c>
      <c r="M33" s="399"/>
      <c r="N33" s="399"/>
      <c r="O33" s="399">
        <v>1</v>
      </c>
      <c r="P33" s="399"/>
      <c r="Q33" s="400">
        <f t="shared" si="1"/>
        <v>4</v>
      </c>
      <c r="R33" s="256"/>
      <c r="S33" s="256"/>
      <c r="T33" s="401" t="s">
        <v>1160</v>
      </c>
      <c r="U33" s="256"/>
      <c r="V33" s="407" t="s">
        <v>1159</v>
      </c>
      <c r="W33" s="403"/>
      <c r="X33" s="404"/>
      <c r="Y33" s="404"/>
      <c r="Z33" s="404"/>
      <c r="AA33" s="404"/>
      <c r="AB33" s="404"/>
      <c r="AC33" s="404"/>
      <c r="AD33" s="404"/>
      <c r="AE33" s="404"/>
      <c r="AF33" s="403"/>
      <c r="AG33" s="403"/>
      <c r="AH33" s="403"/>
      <c r="AI33" s="403"/>
      <c r="AJ33" s="403"/>
      <c r="AK33" s="403"/>
      <c r="AL33" s="403"/>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row>
    <row r="34" spans="1:66" s="405" customFormat="1" ht="76.5" x14ac:dyDescent="0.2">
      <c r="A34" s="256" t="s">
        <v>1068</v>
      </c>
      <c r="B34" s="255" t="s">
        <v>1132</v>
      </c>
      <c r="C34" s="255" t="s">
        <v>1142</v>
      </c>
      <c r="D34" s="255" t="s">
        <v>1138</v>
      </c>
      <c r="E34" s="406"/>
      <c r="F34" s="406"/>
      <c r="G34" s="406">
        <v>1</v>
      </c>
      <c r="H34" s="406"/>
      <c r="I34" s="406"/>
      <c r="J34" s="406">
        <v>1</v>
      </c>
      <c r="K34" s="406"/>
      <c r="L34" s="406"/>
      <c r="M34" s="406">
        <v>1</v>
      </c>
      <c r="N34" s="406"/>
      <c r="O34" s="406"/>
      <c r="P34" s="406">
        <v>1</v>
      </c>
      <c r="Q34" s="400">
        <f t="shared" si="1"/>
        <v>4</v>
      </c>
      <c r="R34" s="256" t="s">
        <v>943</v>
      </c>
      <c r="S34" s="256"/>
      <c r="T34" s="256"/>
      <c r="U34" s="255"/>
      <c r="V34" s="407" t="s">
        <v>1159</v>
      </c>
      <c r="W34" s="403"/>
      <c r="X34" s="404"/>
      <c r="Y34" s="404"/>
      <c r="Z34" s="404"/>
      <c r="AA34" s="404"/>
      <c r="AB34" s="404"/>
      <c r="AC34" s="404"/>
      <c r="AD34" s="404"/>
      <c r="AE34" s="404"/>
      <c r="AF34" s="403"/>
      <c r="AG34" s="403"/>
      <c r="AH34" s="403"/>
      <c r="AI34" s="403"/>
      <c r="AJ34" s="403"/>
      <c r="AK34" s="403"/>
      <c r="AL34" s="403"/>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row>
    <row r="35" spans="1:66" s="405" customFormat="1" ht="76.5" x14ac:dyDescent="0.2">
      <c r="A35" s="256" t="s">
        <v>1068</v>
      </c>
      <c r="B35" s="255" t="s">
        <v>1132</v>
      </c>
      <c r="C35" s="255" t="s">
        <v>1151</v>
      </c>
      <c r="D35" s="255" t="s">
        <v>1143</v>
      </c>
      <c r="E35" s="406"/>
      <c r="F35" s="406"/>
      <c r="G35" s="406"/>
      <c r="H35" s="406"/>
      <c r="I35" s="406">
        <v>1</v>
      </c>
      <c r="J35" s="406"/>
      <c r="K35" s="406"/>
      <c r="L35" s="406"/>
      <c r="M35" s="406"/>
      <c r="N35" s="406"/>
      <c r="O35" s="406"/>
      <c r="P35" s="406"/>
      <c r="Q35" s="400">
        <f t="shared" si="1"/>
        <v>1</v>
      </c>
      <c r="R35" s="256" t="s">
        <v>935</v>
      </c>
      <c r="S35" s="256" t="s">
        <v>937</v>
      </c>
      <c r="T35" s="256"/>
      <c r="U35" s="255"/>
      <c r="V35" s="407" t="s">
        <v>1159</v>
      </c>
      <c r="W35" s="403"/>
      <c r="X35" s="404"/>
      <c r="Y35" s="404"/>
      <c r="Z35" s="404"/>
      <c r="AA35" s="404"/>
      <c r="AB35" s="404"/>
      <c r="AC35" s="404"/>
      <c r="AD35" s="404"/>
      <c r="AE35" s="404"/>
      <c r="AF35" s="403"/>
      <c r="AG35" s="403"/>
      <c r="AH35" s="403"/>
      <c r="AI35" s="403"/>
      <c r="AJ35" s="403"/>
      <c r="AK35" s="403"/>
      <c r="AL35" s="403"/>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row>
    <row r="36" spans="1:66" s="405" customFormat="1" ht="76.5" x14ac:dyDescent="0.2">
      <c r="A36" s="256" t="s">
        <v>1068</v>
      </c>
      <c r="B36" s="255" t="s">
        <v>1132</v>
      </c>
      <c r="C36" s="255" t="s">
        <v>1152</v>
      </c>
      <c r="D36" s="255" t="s">
        <v>1144</v>
      </c>
      <c r="E36" s="406"/>
      <c r="F36" s="406"/>
      <c r="G36" s="406">
        <v>1</v>
      </c>
      <c r="H36" s="406"/>
      <c r="I36" s="406"/>
      <c r="J36" s="406"/>
      <c r="K36" s="406"/>
      <c r="L36" s="406"/>
      <c r="M36" s="406"/>
      <c r="N36" s="406"/>
      <c r="O36" s="406"/>
      <c r="P36" s="406"/>
      <c r="Q36" s="400">
        <f t="shared" si="1"/>
        <v>1</v>
      </c>
      <c r="R36" s="256" t="s">
        <v>938</v>
      </c>
      <c r="S36" s="256"/>
      <c r="T36" s="256"/>
      <c r="U36" s="255"/>
      <c r="V36" s="407" t="s">
        <v>1159</v>
      </c>
      <c r="W36" s="403"/>
      <c r="X36" s="404"/>
      <c r="Y36" s="404"/>
      <c r="Z36" s="404"/>
      <c r="AA36" s="404"/>
      <c r="AB36" s="404"/>
      <c r="AC36" s="404"/>
      <c r="AD36" s="404"/>
      <c r="AE36" s="404"/>
      <c r="AF36" s="403"/>
      <c r="AG36" s="403"/>
      <c r="AH36" s="403"/>
      <c r="AI36" s="403"/>
      <c r="AJ36" s="403"/>
      <c r="AK36" s="403"/>
      <c r="AL36" s="403"/>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row>
    <row r="37" spans="1:66" s="405" customFormat="1" ht="76.5" x14ac:dyDescent="0.2">
      <c r="A37" s="256" t="s">
        <v>1068</v>
      </c>
      <c r="B37" s="255" t="s">
        <v>1132</v>
      </c>
      <c r="C37" s="255" t="s">
        <v>1153</v>
      </c>
      <c r="D37" s="255" t="s">
        <v>1145</v>
      </c>
      <c r="E37" s="406"/>
      <c r="F37" s="406"/>
      <c r="G37" s="406">
        <v>1</v>
      </c>
      <c r="H37" s="406"/>
      <c r="I37" s="406"/>
      <c r="J37" s="406">
        <v>1</v>
      </c>
      <c r="K37" s="406"/>
      <c r="L37" s="406"/>
      <c r="M37" s="406">
        <v>1</v>
      </c>
      <c r="N37" s="406"/>
      <c r="O37" s="406"/>
      <c r="P37" s="406"/>
      <c r="Q37" s="400">
        <f t="shared" si="1"/>
        <v>3</v>
      </c>
      <c r="R37" s="256" t="s">
        <v>935</v>
      </c>
      <c r="S37" s="256" t="s">
        <v>944</v>
      </c>
      <c r="T37" s="256"/>
      <c r="U37" s="255"/>
      <c r="V37" s="407" t="s">
        <v>1159</v>
      </c>
      <c r="W37" s="403"/>
      <c r="X37" s="404"/>
      <c r="Y37" s="404"/>
      <c r="Z37" s="404"/>
      <c r="AA37" s="404"/>
      <c r="AB37" s="404"/>
      <c r="AC37" s="404"/>
      <c r="AD37" s="404"/>
      <c r="AE37" s="404"/>
      <c r="AF37" s="403"/>
      <c r="AG37" s="403"/>
      <c r="AH37" s="403"/>
      <c r="AI37" s="403"/>
      <c r="AJ37" s="403"/>
      <c r="AK37" s="403"/>
      <c r="AL37" s="403"/>
      <c r="AM37" s="403"/>
      <c r="AN37" s="403"/>
      <c r="AO37" s="403"/>
      <c r="AP37" s="403"/>
      <c r="AQ37" s="403"/>
      <c r="AR37" s="403"/>
      <c r="AS37" s="403"/>
      <c r="AT37" s="403"/>
      <c r="AU37" s="403"/>
      <c r="AV37" s="403"/>
      <c r="AW37" s="403"/>
      <c r="AX37" s="403"/>
      <c r="AY37" s="403"/>
      <c r="AZ37" s="403"/>
      <c r="BA37" s="403"/>
      <c r="BB37" s="403"/>
      <c r="BC37" s="403"/>
      <c r="BD37" s="403"/>
      <c r="BE37" s="403"/>
      <c r="BF37" s="403"/>
      <c r="BG37" s="403"/>
      <c r="BH37" s="403"/>
      <c r="BI37" s="403"/>
      <c r="BJ37" s="403"/>
      <c r="BK37" s="403"/>
      <c r="BL37" s="403"/>
      <c r="BM37" s="403"/>
      <c r="BN37" s="403"/>
    </row>
    <row r="38" spans="1:66" s="405" customFormat="1" ht="76.5" x14ac:dyDescent="0.2">
      <c r="A38" s="256" t="s">
        <v>1068</v>
      </c>
      <c r="B38" s="255" t="s">
        <v>1132</v>
      </c>
      <c r="C38" s="255" t="s">
        <v>1154</v>
      </c>
      <c r="D38" s="255" t="s">
        <v>1146</v>
      </c>
      <c r="E38" s="406"/>
      <c r="F38" s="406"/>
      <c r="G38" s="406"/>
      <c r="H38" s="406"/>
      <c r="I38" s="406"/>
      <c r="J38" s="406"/>
      <c r="K38" s="406"/>
      <c r="L38" s="406"/>
      <c r="M38" s="406"/>
      <c r="N38" s="406">
        <v>1</v>
      </c>
      <c r="O38" s="406"/>
      <c r="P38" s="406"/>
      <c r="Q38" s="400">
        <f t="shared" si="1"/>
        <v>1</v>
      </c>
      <c r="R38" s="256" t="s">
        <v>935</v>
      </c>
      <c r="S38" s="256" t="s">
        <v>943</v>
      </c>
      <c r="T38" s="256"/>
      <c r="U38" s="255"/>
      <c r="V38" s="407" t="s">
        <v>1159</v>
      </c>
      <c r="W38" s="403"/>
      <c r="X38" s="404"/>
      <c r="Y38" s="404"/>
      <c r="Z38" s="404"/>
      <c r="AA38" s="404"/>
      <c r="AB38" s="404"/>
      <c r="AC38" s="404"/>
      <c r="AD38" s="404"/>
      <c r="AE38" s="404"/>
      <c r="AF38" s="403"/>
      <c r="AG38" s="403"/>
      <c r="AH38" s="403"/>
      <c r="AI38" s="403"/>
      <c r="AJ38" s="403"/>
      <c r="AK38" s="403"/>
      <c r="AL38" s="403"/>
      <c r="AM38" s="403"/>
      <c r="AN38" s="403"/>
      <c r="AO38" s="403"/>
      <c r="AP38" s="403"/>
      <c r="AQ38" s="403"/>
      <c r="AR38" s="403"/>
      <c r="AS38" s="403"/>
      <c r="AT38" s="403"/>
      <c r="AU38" s="403"/>
      <c r="AV38" s="403"/>
      <c r="AW38" s="403"/>
      <c r="AX38" s="403"/>
      <c r="AY38" s="403"/>
      <c r="AZ38" s="403"/>
      <c r="BA38" s="403"/>
      <c r="BB38" s="403"/>
      <c r="BC38" s="403"/>
      <c r="BD38" s="403"/>
      <c r="BE38" s="403"/>
      <c r="BF38" s="403"/>
      <c r="BG38" s="403"/>
      <c r="BH38" s="403"/>
      <c r="BI38" s="403"/>
      <c r="BJ38" s="403"/>
      <c r="BK38" s="403"/>
      <c r="BL38" s="403"/>
      <c r="BM38" s="403"/>
      <c r="BN38" s="403"/>
    </row>
    <row r="39" spans="1:66" s="405" customFormat="1" ht="76.5" x14ac:dyDescent="0.2">
      <c r="A39" s="256" t="s">
        <v>1068</v>
      </c>
      <c r="B39" s="255" t="s">
        <v>1132</v>
      </c>
      <c r="C39" s="255" t="s">
        <v>1155</v>
      </c>
      <c r="D39" s="255" t="s">
        <v>1147</v>
      </c>
      <c r="E39" s="406"/>
      <c r="F39" s="406"/>
      <c r="G39" s="406"/>
      <c r="H39" s="406"/>
      <c r="I39" s="406"/>
      <c r="J39" s="406"/>
      <c r="K39" s="406"/>
      <c r="L39" s="406"/>
      <c r="M39" s="406"/>
      <c r="N39" s="406"/>
      <c r="O39" s="406"/>
      <c r="P39" s="406">
        <v>1</v>
      </c>
      <c r="Q39" s="400">
        <f t="shared" si="1"/>
        <v>1</v>
      </c>
      <c r="R39" s="256" t="s">
        <v>935</v>
      </c>
      <c r="S39" s="256" t="s">
        <v>944</v>
      </c>
      <c r="T39" s="256"/>
      <c r="U39" s="255"/>
      <c r="V39" s="407" t="s">
        <v>1159</v>
      </c>
      <c r="W39" s="403"/>
      <c r="X39" s="404"/>
      <c r="Y39" s="404"/>
      <c r="Z39" s="404"/>
      <c r="AA39" s="404"/>
      <c r="AB39" s="404"/>
      <c r="AC39" s="404"/>
      <c r="AD39" s="404"/>
      <c r="AE39" s="404"/>
      <c r="AF39" s="403"/>
      <c r="AG39" s="403"/>
      <c r="AH39" s="403"/>
      <c r="AI39" s="403"/>
      <c r="AJ39" s="403"/>
      <c r="AK39" s="403"/>
      <c r="AL39" s="403"/>
      <c r="AM39" s="403"/>
      <c r="AN39" s="403"/>
      <c r="AO39" s="403"/>
      <c r="AP39" s="403"/>
      <c r="AQ39" s="403"/>
      <c r="AR39" s="403"/>
      <c r="AS39" s="403"/>
      <c r="AT39" s="403"/>
      <c r="AU39" s="403"/>
      <c r="AV39" s="403"/>
      <c r="AW39" s="403"/>
      <c r="AX39" s="403"/>
      <c r="AY39" s="403"/>
      <c r="AZ39" s="403"/>
      <c r="BA39" s="403"/>
      <c r="BB39" s="403"/>
      <c r="BC39" s="403"/>
      <c r="BD39" s="403"/>
      <c r="BE39" s="403"/>
      <c r="BF39" s="403"/>
      <c r="BG39" s="403"/>
      <c r="BH39" s="403"/>
      <c r="BI39" s="403"/>
      <c r="BJ39" s="403"/>
      <c r="BK39" s="403"/>
      <c r="BL39" s="403"/>
      <c r="BM39" s="403"/>
      <c r="BN39" s="403"/>
    </row>
    <row r="40" spans="1:66" s="405" customFormat="1" ht="76.5" x14ac:dyDescent="0.2">
      <c r="A40" s="256" t="s">
        <v>1068</v>
      </c>
      <c r="B40" s="255" t="s">
        <v>1132</v>
      </c>
      <c r="C40" s="255" t="s">
        <v>1156</v>
      </c>
      <c r="D40" s="255" t="s">
        <v>1148</v>
      </c>
      <c r="E40" s="406"/>
      <c r="F40" s="406"/>
      <c r="G40" s="406">
        <v>1</v>
      </c>
      <c r="H40" s="406"/>
      <c r="I40" s="406"/>
      <c r="J40" s="406"/>
      <c r="K40" s="406"/>
      <c r="L40" s="406"/>
      <c r="M40" s="406"/>
      <c r="N40" s="406"/>
      <c r="O40" s="406"/>
      <c r="P40" s="406"/>
      <c r="Q40" s="400">
        <f t="shared" si="1"/>
        <v>1</v>
      </c>
      <c r="R40" s="256" t="s">
        <v>935</v>
      </c>
      <c r="S40" s="256" t="s">
        <v>944</v>
      </c>
      <c r="T40" s="256"/>
      <c r="U40" s="255"/>
      <c r="V40" s="407" t="s">
        <v>1159</v>
      </c>
      <c r="W40" s="403"/>
      <c r="X40" s="404"/>
      <c r="Y40" s="404"/>
      <c r="Z40" s="404"/>
      <c r="AA40" s="404"/>
      <c r="AB40" s="404"/>
      <c r="AC40" s="404"/>
      <c r="AD40" s="404"/>
      <c r="AE40" s="404"/>
      <c r="AF40" s="403"/>
      <c r="AG40" s="403"/>
      <c r="AH40" s="403"/>
      <c r="AI40" s="403"/>
      <c r="AJ40" s="403"/>
      <c r="AK40" s="403"/>
      <c r="AL40" s="403"/>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row>
    <row r="41" spans="1:66" s="405" customFormat="1" ht="76.5" x14ac:dyDescent="0.2">
      <c r="A41" s="256" t="s">
        <v>1068</v>
      </c>
      <c r="B41" s="255" t="s">
        <v>1132</v>
      </c>
      <c r="C41" s="255" t="s">
        <v>1157</v>
      </c>
      <c r="D41" s="255" t="s">
        <v>1149</v>
      </c>
      <c r="E41" s="406">
        <v>1</v>
      </c>
      <c r="F41" s="406"/>
      <c r="G41" s="406"/>
      <c r="H41" s="406"/>
      <c r="I41" s="406"/>
      <c r="J41" s="406"/>
      <c r="K41" s="406"/>
      <c r="L41" s="406"/>
      <c r="M41" s="406"/>
      <c r="N41" s="406"/>
      <c r="O41" s="406">
        <v>1</v>
      </c>
      <c r="P41" s="406"/>
      <c r="Q41" s="400">
        <f t="shared" si="1"/>
        <v>2</v>
      </c>
      <c r="R41" s="256" t="s">
        <v>935</v>
      </c>
      <c r="S41" s="256" t="s">
        <v>944</v>
      </c>
      <c r="T41" s="256"/>
      <c r="U41" s="255"/>
      <c r="V41" s="407" t="s">
        <v>1159</v>
      </c>
      <c r="W41" s="403"/>
      <c r="X41" s="404"/>
      <c r="Y41" s="404"/>
      <c r="Z41" s="404"/>
      <c r="AA41" s="404"/>
      <c r="AB41" s="404"/>
      <c r="AC41" s="404"/>
      <c r="AD41" s="404"/>
      <c r="AE41" s="404"/>
      <c r="AF41" s="403"/>
      <c r="AG41" s="403"/>
      <c r="AH41" s="403"/>
      <c r="AI41" s="403"/>
      <c r="AJ41" s="403"/>
      <c r="AK41" s="403"/>
      <c r="AL41" s="403"/>
      <c r="AM41" s="403"/>
      <c r="AN41" s="403"/>
      <c r="AO41" s="403"/>
      <c r="AP41" s="403"/>
      <c r="AQ41" s="403"/>
      <c r="AR41" s="403"/>
      <c r="AS41" s="403"/>
      <c r="AT41" s="403"/>
      <c r="AU41" s="403"/>
      <c r="AV41" s="403"/>
      <c r="AW41" s="403"/>
      <c r="AX41" s="403"/>
      <c r="AY41" s="403"/>
      <c r="AZ41" s="403"/>
      <c r="BA41" s="403"/>
      <c r="BB41" s="403"/>
      <c r="BC41" s="403"/>
      <c r="BD41" s="403"/>
      <c r="BE41" s="403"/>
      <c r="BF41" s="403"/>
      <c r="BG41" s="403"/>
      <c r="BH41" s="403"/>
      <c r="BI41" s="403"/>
      <c r="BJ41" s="403"/>
      <c r="BK41" s="403"/>
      <c r="BL41" s="403"/>
      <c r="BM41" s="403"/>
      <c r="BN41" s="403"/>
    </row>
    <row r="42" spans="1:66" s="405" customFormat="1" ht="76.5" x14ac:dyDescent="0.2">
      <c r="A42" s="256" t="s">
        <v>1068</v>
      </c>
      <c r="B42" s="255" t="s">
        <v>1132</v>
      </c>
      <c r="C42" s="255" t="s">
        <v>1158</v>
      </c>
      <c r="D42" s="255" t="s">
        <v>1150</v>
      </c>
      <c r="E42" s="406"/>
      <c r="F42" s="406"/>
      <c r="G42" s="406"/>
      <c r="H42" s="406"/>
      <c r="I42" s="406"/>
      <c r="J42" s="406"/>
      <c r="K42" s="406"/>
      <c r="L42" s="406">
        <v>1</v>
      </c>
      <c r="M42" s="406"/>
      <c r="N42" s="406"/>
      <c r="O42" s="406"/>
      <c r="P42" s="406"/>
      <c r="Q42" s="400">
        <f t="shared" si="1"/>
        <v>1</v>
      </c>
      <c r="R42" s="256" t="s">
        <v>935</v>
      </c>
      <c r="S42" s="256" t="s">
        <v>944</v>
      </c>
      <c r="T42" s="256"/>
      <c r="U42" s="255"/>
      <c r="V42" s="407" t="s">
        <v>1159</v>
      </c>
      <c r="W42" s="403"/>
      <c r="X42" s="404"/>
      <c r="Y42" s="404"/>
      <c r="Z42" s="404"/>
      <c r="AA42" s="404"/>
      <c r="AB42" s="404"/>
      <c r="AC42" s="404"/>
      <c r="AD42" s="404"/>
      <c r="AE42" s="404"/>
      <c r="AF42" s="403"/>
      <c r="AG42" s="403"/>
      <c r="AH42" s="403"/>
      <c r="AI42" s="403"/>
      <c r="AJ42" s="403"/>
      <c r="AK42" s="403"/>
      <c r="AL42" s="403"/>
      <c r="AM42" s="403"/>
      <c r="AN42" s="403"/>
      <c r="AO42" s="403"/>
      <c r="AP42" s="403"/>
      <c r="AQ42" s="403"/>
      <c r="AR42" s="403"/>
      <c r="AS42" s="403"/>
      <c r="AT42" s="403"/>
      <c r="AU42" s="403"/>
      <c r="AV42" s="403"/>
      <c r="AW42" s="403"/>
      <c r="AX42" s="403"/>
      <c r="AY42" s="403"/>
      <c r="AZ42" s="403"/>
      <c r="BA42" s="403"/>
      <c r="BB42" s="403"/>
      <c r="BC42" s="403"/>
      <c r="BD42" s="403"/>
      <c r="BE42" s="403"/>
      <c r="BF42" s="403"/>
      <c r="BG42" s="403"/>
      <c r="BH42" s="403"/>
      <c r="BI42" s="403"/>
      <c r="BJ42" s="403"/>
      <c r="BK42" s="403"/>
      <c r="BL42" s="403"/>
      <c r="BM42" s="403"/>
      <c r="BN42" s="403"/>
    </row>
    <row r="43" spans="1:66" s="405" customFormat="1" ht="76.5" x14ac:dyDescent="0.2">
      <c r="A43" s="256" t="s">
        <v>1068</v>
      </c>
      <c r="B43" s="255" t="s">
        <v>1161</v>
      </c>
      <c r="C43" s="255" t="s">
        <v>1162</v>
      </c>
      <c r="D43" s="420" t="s">
        <v>1163</v>
      </c>
      <c r="E43" s="406">
        <v>1</v>
      </c>
      <c r="F43" s="406">
        <v>1</v>
      </c>
      <c r="G43" s="406">
        <v>1</v>
      </c>
      <c r="H43" s="406">
        <v>1</v>
      </c>
      <c r="I43" s="406">
        <v>1</v>
      </c>
      <c r="J43" s="406">
        <v>1</v>
      </c>
      <c r="K43" s="406">
        <v>1</v>
      </c>
      <c r="L43" s="406">
        <v>1</v>
      </c>
      <c r="M43" s="406">
        <v>1</v>
      </c>
      <c r="N43" s="406">
        <v>1</v>
      </c>
      <c r="O43" s="406">
        <v>1</v>
      </c>
      <c r="P43" s="406">
        <v>1</v>
      </c>
      <c r="Q43" s="400">
        <f t="shared" si="1"/>
        <v>12</v>
      </c>
      <c r="R43" s="256" t="s">
        <v>934</v>
      </c>
      <c r="S43" s="256"/>
      <c r="T43" s="256"/>
      <c r="U43" s="255"/>
      <c r="V43" s="407" t="s">
        <v>1201</v>
      </c>
      <c r="W43" s="403"/>
      <c r="X43" s="404"/>
      <c r="Y43" s="404"/>
      <c r="Z43" s="404"/>
      <c r="AA43" s="404"/>
      <c r="AB43" s="404"/>
      <c r="AC43" s="404"/>
      <c r="AD43" s="404"/>
      <c r="AE43" s="404"/>
      <c r="AF43" s="403"/>
      <c r="AG43" s="403"/>
      <c r="AH43" s="403"/>
      <c r="AI43" s="403"/>
      <c r="AJ43" s="403"/>
      <c r="AK43" s="403"/>
      <c r="AL43" s="403"/>
      <c r="AM43" s="403"/>
      <c r="AN43" s="403"/>
      <c r="AO43" s="403"/>
      <c r="AP43" s="403"/>
      <c r="AQ43" s="403"/>
      <c r="AR43" s="403"/>
      <c r="AS43" s="403"/>
      <c r="AT43" s="403"/>
      <c r="AU43" s="403"/>
      <c r="AV43" s="403"/>
      <c r="AW43" s="403"/>
      <c r="AX43" s="403"/>
      <c r="AY43" s="403"/>
      <c r="AZ43" s="403"/>
      <c r="BA43" s="403"/>
      <c r="BB43" s="403"/>
      <c r="BC43" s="403"/>
      <c r="BD43" s="403"/>
      <c r="BE43" s="403"/>
      <c r="BF43" s="403"/>
      <c r="BG43" s="403"/>
      <c r="BH43" s="403"/>
      <c r="BI43" s="403"/>
      <c r="BJ43" s="403"/>
      <c r="BK43" s="403"/>
      <c r="BL43" s="403"/>
      <c r="BM43" s="403"/>
      <c r="BN43" s="403"/>
    </row>
    <row r="44" spans="1:66" s="405" customFormat="1" ht="76.5" x14ac:dyDescent="0.2">
      <c r="A44" s="256" t="s">
        <v>1068</v>
      </c>
      <c r="B44" s="255" t="s">
        <v>1161</v>
      </c>
      <c r="C44" s="255" t="s">
        <v>1182</v>
      </c>
      <c r="D44" s="420" t="s">
        <v>1164</v>
      </c>
      <c r="E44" s="406"/>
      <c r="F44" s="406"/>
      <c r="G44" s="406">
        <v>1</v>
      </c>
      <c r="H44" s="406"/>
      <c r="I44" s="406"/>
      <c r="J44" s="406">
        <v>1</v>
      </c>
      <c r="K44" s="406"/>
      <c r="L44" s="406"/>
      <c r="M44" s="406">
        <v>1</v>
      </c>
      <c r="N44" s="406"/>
      <c r="O44" s="406"/>
      <c r="P44" s="406">
        <v>1</v>
      </c>
      <c r="Q44" s="400">
        <f t="shared" si="1"/>
        <v>4</v>
      </c>
      <c r="R44" s="256" t="s">
        <v>939</v>
      </c>
      <c r="S44" s="256"/>
      <c r="T44" s="256"/>
      <c r="U44" s="255"/>
      <c r="V44" s="407" t="s">
        <v>1201</v>
      </c>
      <c r="W44" s="403"/>
      <c r="X44" s="404"/>
      <c r="Y44" s="404"/>
      <c r="Z44" s="404"/>
      <c r="AA44" s="404"/>
      <c r="AB44" s="404"/>
      <c r="AC44" s="404"/>
      <c r="AD44" s="404"/>
      <c r="AE44" s="404"/>
      <c r="AF44" s="403"/>
      <c r="AG44" s="403"/>
      <c r="AH44" s="403"/>
      <c r="AI44" s="403"/>
      <c r="AJ44" s="403"/>
      <c r="AK44" s="403"/>
      <c r="AL44" s="403"/>
      <c r="AM44" s="403"/>
      <c r="AN44" s="403"/>
      <c r="AO44" s="403"/>
      <c r="AP44" s="403"/>
      <c r="AQ44" s="403"/>
      <c r="AR44" s="403"/>
      <c r="AS44" s="403"/>
      <c r="AT44" s="403"/>
      <c r="AU44" s="403"/>
      <c r="AV44" s="403"/>
      <c r="AW44" s="403"/>
      <c r="AX44" s="403"/>
      <c r="AY44" s="403"/>
      <c r="AZ44" s="403"/>
      <c r="BA44" s="403"/>
      <c r="BB44" s="403"/>
      <c r="BC44" s="403"/>
      <c r="BD44" s="403"/>
      <c r="BE44" s="403"/>
      <c r="BF44" s="403"/>
      <c r="BG44" s="403"/>
      <c r="BH44" s="403"/>
      <c r="BI44" s="403"/>
      <c r="BJ44" s="403"/>
      <c r="BK44" s="403"/>
      <c r="BL44" s="403"/>
      <c r="BM44" s="403"/>
      <c r="BN44" s="403"/>
    </row>
    <row r="45" spans="1:66" s="405" customFormat="1" ht="76.5" x14ac:dyDescent="0.2">
      <c r="A45" s="256" t="s">
        <v>1068</v>
      </c>
      <c r="B45" s="255" t="s">
        <v>1161</v>
      </c>
      <c r="C45" s="255" t="s">
        <v>1183</v>
      </c>
      <c r="D45" s="420" t="s">
        <v>1165</v>
      </c>
      <c r="E45" s="406"/>
      <c r="F45" s="406"/>
      <c r="G45" s="406"/>
      <c r="H45" s="406">
        <v>1</v>
      </c>
      <c r="I45" s="406"/>
      <c r="J45" s="406"/>
      <c r="K45" s="406">
        <v>1</v>
      </c>
      <c r="L45" s="406"/>
      <c r="M45" s="406"/>
      <c r="N45" s="406">
        <v>1</v>
      </c>
      <c r="O45" s="406"/>
      <c r="P45" s="406"/>
      <c r="Q45" s="400">
        <f t="shared" si="1"/>
        <v>3</v>
      </c>
      <c r="R45" s="256" t="s">
        <v>934</v>
      </c>
      <c r="S45" s="256" t="s">
        <v>938</v>
      </c>
      <c r="T45" s="256"/>
      <c r="U45" s="255"/>
      <c r="V45" s="407" t="s">
        <v>1201</v>
      </c>
      <c r="W45" s="403"/>
      <c r="X45" s="404"/>
      <c r="Y45" s="404"/>
      <c r="Z45" s="404"/>
      <c r="AA45" s="404"/>
      <c r="AB45" s="404"/>
      <c r="AC45" s="404"/>
      <c r="AD45" s="404"/>
      <c r="AE45" s="404"/>
      <c r="AF45" s="403"/>
      <c r="AG45" s="403"/>
      <c r="AH45" s="403"/>
      <c r="AI45" s="403"/>
      <c r="AJ45" s="403"/>
      <c r="AK45" s="403"/>
      <c r="AL45" s="403"/>
      <c r="AM45" s="403"/>
      <c r="AN45" s="403"/>
      <c r="AO45" s="403"/>
      <c r="AP45" s="403"/>
      <c r="AQ45" s="403"/>
      <c r="AR45" s="403"/>
      <c r="AS45" s="403"/>
      <c r="AT45" s="403"/>
      <c r="AU45" s="403"/>
      <c r="AV45" s="403"/>
      <c r="AW45" s="403"/>
      <c r="AX45" s="403"/>
      <c r="AY45" s="403"/>
      <c r="AZ45" s="403"/>
      <c r="BA45" s="403"/>
      <c r="BB45" s="403"/>
      <c r="BC45" s="403"/>
      <c r="BD45" s="403"/>
      <c r="BE45" s="403"/>
      <c r="BF45" s="403"/>
      <c r="BG45" s="403"/>
      <c r="BH45" s="403"/>
      <c r="BI45" s="403"/>
      <c r="BJ45" s="403"/>
      <c r="BK45" s="403"/>
      <c r="BL45" s="403"/>
      <c r="BM45" s="403"/>
      <c r="BN45" s="403"/>
    </row>
    <row r="46" spans="1:66" s="405" customFormat="1" ht="76.5" x14ac:dyDescent="0.2">
      <c r="A46" s="256" t="s">
        <v>1068</v>
      </c>
      <c r="B46" s="255" t="s">
        <v>1161</v>
      </c>
      <c r="C46" s="255" t="s">
        <v>1184</v>
      </c>
      <c r="D46" s="255" t="s">
        <v>1166</v>
      </c>
      <c r="E46" s="406"/>
      <c r="F46" s="406"/>
      <c r="G46" s="406">
        <v>1</v>
      </c>
      <c r="H46" s="406"/>
      <c r="I46" s="406"/>
      <c r="J46" s="406">
        <v>1</v>
      </c>
      <c r="K46" s="406"/>
      <c r="L46" s="406"/>
      <c r="M46" s="406">
        <v>1</v>
      </c>
      <c r="N46" s="406"/>
      <c r="O46" s="406"/>
      <c r="P46" s="406">
        <v>1</v>
      </c>
      <c r="Q46" s="400">
        <f t="shared" si="1"/>
        <v>4</v>
      </c>
      <c r="R46" s="256" t="s">
        <v>934</v>
      </c>
      <c r="S46" s="256" t="s">
        <v>938</v>
      </c>
      <c r="T46" s="256"/>
      <c r="U46" s="255"/>
      <c r="V46" s="407" t="s">
        <v>1201</v>
      </c>
      <c r="W46" s="403"/>
      <c r="X46" s="404"/>
      <c r="Y46" s="404"/>
      <c r="Z46" s="404"/>
      <c r="AA46" s="404"/>
      <c r="AB46" s="404"/>
      <c r="AC46" s="404"/>
      <c r="AD46" s="404"/>
      <c r="AE46" s="404"/>
      <c r="AF46" s="403"/>
      <c r="AG46" s="403"/>
      <c r="AH46" s="403"/>
      <c r="AI46" s="403"/>
      <c r="AJ46" s="403"/>
      <c r="AK46" s="403"/>
      <c r="AL46" s="403"/>
      <c r="AM46" s="403"/>
      <c r="AN46" s="403"/>
      <c r="AO46" s="403"/>
      <c r="AP46" s="403"/>
      <c r="AQ46" s="403"/>
      <c r="AR46" s="403"/>
      <c r="AS46" s="403"/>
      <c r="AT46" s="403"/>
      <c r="AU46" s="403"/>
      <c r="AV46" s="403"/>
      <c r="AW46" s="403"/>
      <c r="AX46" s="403"/>
      <c r="AY46" s="403"/>
      <c r="AZ46" s="403"/>
      <c r="BA46" s="403"/>
      <c r="BB46" s="403"/>
      <c r="BC46" s="403"/>
      <c r="BD46" s="403"/>
      <c r="BE46" s="403"/>
      <c r="BF46" s="403"/>
      <c r="BG46" s="403"/>
      <c r="BH46" s="403"/>
      <c r="BI46" s="403"/>
      <c r="BJ46" s="403"/>
      <c r="BK46" s="403"/>
      <c r="BL46" s="403"/>
      <c r="BM46" s="403"/>
      <c r="BN46" s="403"/>
    </row>
    <row r="47" spans="1:66" s="405" customFormat="1" ht="76.5" x14ac:dyDescent="0.2">
      <c r="A47" s="256" t="s">
        <v>1068</v>
      </c>
      <c r="B47" s="255" t="s">
        <v>1161</v>
      </c>
      <c r="C47" s="255" t="s">
        <v>1185</v>
      </c>
      <c r="D47" s="255" t="s">
        <v>1167</v>
      </c>
      <c r="E47" s="406"/>
      <c r="F47" s="406"/>
      <c r="G47" s="406">
        <v>1</v>
      </c>
      <c r="H47" s="406"/>
      <c r="I47" s="406"/>
      <c r="J47" s="406">
        <v>1</v>
      </c>
      <c r="K47" s="406"/>
      <c r="L47" s="406"/>
      <c r="M47" s="406">
        <v>1</v>
      </c>
      <c r="N47" s="406"/>
      <c r="O47" s="406"/>
      <c r="P47" s="406">
        <v>1</v>
      </c>
      <c r="Q47" s="400">
        <f t="shared" si="1"/>
        <v>4</v>
      </c>
      <c r="R47" s="256" t="s">
        <v>934</v>
      </c>
      <c r="S47" s="256"/>
      <c r="T47" s="256"/>
      <c r="U47" s="255"/>
      <c r="V47" s="407" t="s">
        <v>1201</v>
      </c>
      <c r="W47" s="403"/>
      <c r="X47" s="404"/>
      <c r="Y47" s="404"/>
      <c r="Z47" s="404"/>
      <c r="AA47" s="404"/>
      <c r="AB47" s="404"/>
      <c r="AC47" s="404"/>
      <c r="AD47" s="404"/>
      <c r="AE47" s="404"/>
      <c r="AF47" s="403"/>
      <c r="AG47" s="403"/>
      <c r="AH47" s="403"/>
      <c r="AI47" s="403"/>
      <c r="AJ47" s="403"/>
      <c r="AK47" s="403"/>
      <c r="AL47" s="403"/>
      <c r="AM47" s="403"/>
      <c r="AN47" s="403"/>
      <c r="AO47" s="403"/>
      <c r="AP47" s="403"/>
      <c r="AQ47" s="403"/>
      <c r="AR47" s="403"/>
      <c r="AS47" s="403"/>
      <c r="AT47" s="403"/>
      <c r="AU47" s="403"/>
      <c r="AV47" s="403"/>
      <c r="AW47" s="403"/>
      <c r="AX47" s="403"/>
      <c r="AY47" s="403"/>
      <c r="AZ47" s="403"/>
      <c r="BA47" s="403"/>
      <c r="BB47" s="403"/>
      <c r="BC47" s="403"/>
      <c r="BD47" s="403"/>
      <c r="BE47" s="403"/>
      <c r="BF47" s="403"/>
      <c r="BG47" s="403"/>
      <c r="BH47" s="403"/>
      <c r="BI47" s="403"/>
      <c r="BJ47" s="403"/>
      <c r="BK47" s="403"/>
      <c r="BL47" s="403"/>
      <c r="BM47" s="403"/>
      <c r="BN47" s="403"/>
    </row>
    <row r="48" spans="1:66" s="405" customFormat="1" ht="76.5" x14ac:dyDescent="0.2">
      <c r="A48" s="256" t="s">
        <v>1068</v>
      </c>
      <c r="B48" s="255" t="s">
        <v>1161</v>
      </c>
      <c r="C48" s="255" t="s">
        <v>1186</v>
      </c>
      <c r="D48" s="255" t="s">
        <v>1168</v>
      </c>
      <c r="E48" s="406"/>
      <c r="F48" s="406"/>
      <c r="G48" s="406">
        <v>1</v>
      </c>
      <c r="H48" s="406"/>
      <c r="I48" s="406"/>
      <c r="J48" s="406">
        <v>1</v>
      </c>
      <c r="K48" s="406"/>
      <c r="L48" s="406"/>
      <c r="M48" s="406">
        <v>1</v>
      </c>
      <c r="N48" s="406"/>
      <c r="O48" s="406"/>
      <c r="P48" s="406">
        <v>1</v>
      </c>
      <c r="Q48" s="400">
        <f t="shared" si="1"/>
        <v>4</v>
      </c>
      <c r="R48" s="256" t="s">
        <v>938</v>
      </c>
      <c r="S48" s="256"/>
      <c r="T48" s="256"/>
      <c r="U48" s="255"/>
      <c r="V48" s="407" t="s">
        <v>1201</v>
      </c>
      <c r="W48" s="403"/>
      <c r="X48" s="404"/>
      <c r="Y48" s="404"/>
      <c r="Z48" s="404"/>
      <c r="AA48" s="404"/>
      <c r="AB48" s="404"/>
      <c r="AC48" s="404"/>
      <c r="AD48" s="404"/>
      <c r="AE48" s="404"/>
      <c r="AF48" s="403"/>
      <c r="AG48" s="403"/>
      <c r="AH48" s="403"/>
      <c r="AI48" s="403"/>
      <c r="AJ48" s="403"/>
      <c r="AK48" s="403"/>
      <c r="AL48" s="403"/>
      <c r="AM48" s="403"/>
      <c r="AN48" s="403"/>
      <c r="AO48" s="403"/>
      <c r="AP48" s="403"/>
      <c r="AQ48" s="403"/>
      <c r="AR48" s="403"/>
      <c r="AS48" s="403"/>
      <c r="AT48" s="403"/>
      <c r="AU48" s="403"/>
      <c r="AV48" s="403"/>
      <c r="AW48" s="403"/>
      <c r="AX48" s="403"/>
      <c r="AY48" s="403"/>
      <c r="AZ48" s="403"/>
      <c r="BA48" s="403"/>
      <c r="BB48" s="403"/>
      <c r="BC48" s="403"/>
      <c r="BD48" s="403"/>
      <c r="BE48" s="403"/>
      <c r="BF48" s="403"/>
      <c r="BG48" s="403"/>
      <c r="BH48" s="403"/>
      <c r="BI48" s="403"/>
      <c r="BJ48" s="403"/>
      <c r="BK48" s="403"/>
      <c r="BL48" s="403"/>
      <c r="BM48" s="403"/>
      <c r="BN48" s="403"/>
    </row>
    <row r="49" spans="1:66" s="405" customFormat="1" ht="76.5" x14ac:dyDescent="0.2">
      <c r="A49" s="256" t="s">
        <v>1068</v>
      </c>
      <c r="B49" s="255" t="s">
        <v>1161</v>
      </c>
      <c r="C49" s="255" t="s">
        <v>1187</v>
      </c>
      <c r="D49" s="255" t="s">
        <v>1169</v>
      </c>
      <c r="E49" s="406"/>
      <c r="F49" s="406"/>
      <c r="G49" s="406">
        <v>1</v>
      </c>
      <c r="H49" s="406"/>
      <c r="I49" s="406"/>
      <c r="J49" s="406">
        <v>1</v>
      </c>
      <c r="K49" s="406"/>
      <c r="L49" s="406"/>
      <c r="M49" s="406">
        <v>1</v>
      </c>
      <c r="N49" s="406"/>
      <c r="O49" s="406"/>
      <c r="P49" s="406">
        <v>1</v>
      </c>
      <c r="Q49" s="400">
        <f t="shared" si="1"/>
        <v>4</v>
      </c>
      <c r="R49" s="256" t="s">
        <v>934</v>
      </c>
      <c r="S49" s="256" t="s">
        <v>938</v>
      </c>
      <c r="T49" s="256"/>
      <c r="U49" s="255"/>
      <c r="V49" s="407" t="s">
        <v>1201</v>
      </c>
      <c r="W49" s="403"/>
      <c r="X49" s="404"/>
      <c r="Y49" s="404"/>
      <c r="Z49" s="404"/>
      <c r="AA49" s="404"/>
      <c r="AB49" s="404"/>
      <c r="AC49" s="404"/>
      <c r="AD49" s="404"/>
      <c r="AE49" s="404"/>
      <c r="AF49" s="403"/>
      <c r="AG49" s="403"/>
      <c r="AH49" s="403"/>
      <c r="AI49" s="403"/>
      <c r="AJ49" s="403"/>
      <c r="AK49" s="403"/>
      <c r="AL49" s="403"/>
      <c r="AM49" s="403"/>
      <c r="AN49" s="403"/>
      <c r="AO49" s="403"/>
      <c r="AP49" s="403"/>
      <c r="AQ49" s="403"/>
      <c r="AR49" s="403"/>
      <c r="AS49" s="403"/>
      <c r="AT49" s="403"/>
      <c r="AU49" s="403"/>
      <c r="AV49" s="403"/>
      <c r="AW49" s="403"/>
      <c r="AX49" s="403"/>
      <c r="AY49" s="403"/>
      <c r="AZ49" s="403"/>
      <c r="BA49" s="403"/>
      <c r="BB49" s="403"/>
      <c r="BC49" s="403"/>
      <c r="BD49" s="403"/>
      <c r="BE49" s="403"/>
      <c r="BF49" s="403"/>
      <c r="BG49" s="403"/>
      <c r="BH49" s="403"/>
      <c r="BI49" s="403"/>
      <c r="BJ49" s="403"/>
      <c r="BK49" s="403"/>
      <c r="BL49" s="403"/>
      <c r="BM49" s="403"/>
      <c r="BN49" s="403"/>
    </row>
    <row r="50" spans="1:66" s="405" customFormat="1" ht="76.5" x14ac:dyDescent="0.2">
      <c r="A50" s="256" t="s">
        <v>1068</v>
      </c>
      <c r="B50" s="255" t="s">
        <v>1161</v>
      </c>
      <c r="C50" s="255" t="s">
        <v>1188</v>
      </c>
      <c r="D50" s="255" t="s">
        <v>1202</v>
      </c>
      <c r="E50" s="406">
        <v>1</v>
      </c>
      <c r="F50" s="406">
        <v>1</v>
      </c>
      <c r="G50" s="406">
        <v>1</v>
      </c>
      <c r="H50" s="406">
        <v>1</v>
      </c>
      <c r="I50" s="406">
        <v>1</v>
      </c>
      <c r="J50" s="406">
        <v>1</v>
      </c>
      <c r="K50" s="406">
        <v>1</v>
      </c>
      <c r="L50" s="406">
        <v>1</v>
      </c>
      <c r="M50" s="406">
        <v>1</v>
      </c>
      <c r="N50" s="406">
        <v>1</v>
      </c>
      <c r="O50" s="406">
        <v>1</v>
      </c>
      <c r="P50" s="406">
        <v>1</v>
      </c>
      <c r="Q50" s="400">
        <f t="shared" si="1"/>
        <v>12</v>
      </c>
      <c r="R50" s="256" t="s">
        <v>943</v>
      </c>
      <c r="S50" s="256"/>
      <c r="T50" s="256"/>
      <c r="U50" s="255"/>
      <c r="V50" s="407" t="s">
        <v>1201</v>
      </c>
      <c r="W50" s="403"/>
      <c r="X50" s="404"/>
      <c r="Y50" s="404"/>
      <c r="Z50" s="404"/>
      <c r="AA50" s="404"/>
      <c r="AB50" s="404"/>
      <c r="AC50" s="404"/>
      <c r="AD50" s="404"/>
      <c r="AE50" s="404"/>
      <c r="AF50" s="403"/>
      <c r="AG50" s="403"/>
      <c r="AH50" s="403"/>
      <c r="AI50" s="403"/>
      <c r="AJ50" s="403"/>
      <c r="AK50" s="403"/>
      <c r="AL50" s="403"/>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row>
    <row r="51" spans="1:66" s="405" customFormat="1" ht="76.5" x14ac:dyDescent="0.2">
      <c r="A51" s="256" t="s">
        <v>1068</v>
      </c>
      <c r="B51" s="255" t="s">
        <v>1161</v>
      </c>
      <c r="C51" s="255" t="s">
        <v>1189</v>
      </c>
      <c r="D51" s="255" t="s">
        <v>1170</v>
      </c>
      <c r="E51" s="406"/>
      <c r="F51" s="406"/>
      <c r="G51" s="406"/>
      <c r="H51" s="406"/>
      <c r="I51" s="406"/>
      <c r="J51" s="406">
        <v>1</v>
      </c>
      <c r="K51" s="406"/>
      <c r="L51" s="406"/>
      <c r="M51" s="406"/>
      <c r="N51" s="406"/>
      <c r="O51" s="406"/>
      <c r="P51" s="406">
        <v>1</v>
      </c>
      <c r="Q51" s="400">
        <f t="shared" si="1"/>
        <v>2</v>
      </c>
      <c r="R51" s="256" t="s">
        <v>934</v>
      </c>
      <c r="S51" s="256"/>
      <c r="T51" s="256"/>
      <c r="U51" s="255"/>
      <c r="V51" s="407" t="s">
        <v>1201</v>
      </c>
      <c r="W51" s="403"/>
      <c r="X51" s="404"/>
      <c r="Y51" s="404"/>
      <c r="Z51" s="404"/>
      <c r="AA51" s="404"/>
      <c r="AB51" s="404"/>
      <c r="AC51" s="404"/>
      <c r="AD51" s="404"/>
      <c r="AE51" s="404"/>
      <c r="AF51" s="403"/>
      <c r="AG51" s="403"/>
      <c r="AH51" s="403"/>
      <c r="AI51" s="403"/>
      <c r="AJ51" s="403"/>
      <c r="AK51" s="403"/>
      <c r="AL51" s="403"/>
      <c r="AM51" s="403"/>
      <c r="AN51" s="403"/>
      <c r="AO51" s="403"/>
      <c r="AP51" s="403"/>
      <c r="AQ51" s="403"/>
      <c r="AR51" s="403"/>
      <c r="AS51" s="403"/>
      <c r="AT51" s="403"/>
      <c r="AU51" s="403"/>
      <c r="AV51" s="403"/>
      <c r="AW51" s="403"/>
      <c r="AX51" s="403"/>
      <c r="AY51" s="403"/>
      <c r="AZ51" s="403"/>
      <c r="BA51" s="403"/>
      <c r="BB51" s="403"/>
      <c r="BC51" s="403"/>
      <c r="BD51" s="403"/>
      <c r="BE51" s="403"/>
      <c r="BF51" s="403"/>
      <c r="BG51" s="403"/>
      <c r="BH51" s="403"/>
      <c r="BI51" s="403"/>
      <c r="BJ51" s="403"/>
      <c r="BK51" s="403"/>
      <c r="BL51" s="403"/>
      <c r="BM51" s="403"/>
      <c r="BN51" s="403"/>
    </row>
    <row r="52" spans="1:66" s="405" customFormat="1" ht="76.5" x14ac:dyDescent="0.2">
      <c r="A52" s="256" t="s">
        <v>1068</v>
      </c>
      <c r="B52" s="255" t="s">
        <v>1161</v>
      </c>
      <c r="C52" s="255" t="s">
        <v>1190</v>
      </c>
      <c r="D52" s="255" t="s">
        <v>1171</v>
      </c>
      <c r="E52" s="406"/>
      <c r="F52" s="406"/>
      <c r="G52" s="406">
        <v>1</v>
      </c>
      <c r="H52" s="406"/>
      <c r="I52" s="406"/>
      <c r="J52" s="406">
        <v>1</v>
      </c>
      <c r="K52" s="406"/>
      <c r="L52" s="406"/>
      <c r="M52" s="406">
        <v>1</v>
      </c>
      <c r="N52" s="406"/>
      <c r="O52" s="406"/>
      <c r="P52" s="406">
        <v>1</v>
      </c>
      <c r="Q52" s="400">
        <f t="shared" si="1"/>
        <v>4</v>
      </c>
      <c r="R52" s="256" t="s">
        <v>934</v>
      </c>
      <c r="S52" s="256"/>
      <c r="T52" s="256"/>
      <c r="U52" s="255"/>
      <c r="V52" s="407" t="s">
        <v>1201</v>
      </c>
      <c r="W52" s="403"/>
      <c r="X52" s="404"/>
      <c r="Y52" s="404"/>
      <c r="Z52" s="404"/>
      <c r="AA52" s="404"/>
      <c r="AB52" s="404"/>
      <c r="AC52" s="404"/>
      <c r="AD52" s="404"/>
      <c r="AE52" s="404"/>
      <c r="AF52" s="403"/>
      <c r="AG52" s="403"/>
      <c r="AH52" s="403"/>
      <c r="AI52" s="403"/>
      <c r="AJ52" s="403"/>
      <c r="AK52" s="403"/>
      <c r="AL52" s="403"/>
      <c r="AM52" s="403"/>
      <c r="AN52" s="403"/>
      <c r="AO52" s="403"/>
      <c r="AP52" s="403"/>
      <c r="AQ52" s="403"/>
      <c r="AR52" s="403"/>
      <c r="AS52" s="403"/>
      <c r="AT52" s="403"/>
      <c r="AU52" s="403"/>
      <c r="AV52" s="403"/>
      <c r="AW52" s="403"/>
      <c r="AX52" s="403"/>
      <c r="AY52" s="403"/>
      <c r="AZ52" s="403"/>
      <c r="BA52" s="403"/>
      <c r="BB52" s="403"/>
      <c r="BC52" s="403"/>
      <c r="BD52" s="403"/>
      <c r="BE52" s="403"/>
      <c r="BF52" s="403"/>
      <c r="BG52" s="403"/>
      <c r="BH52" s="403"/>
      <c r="BI52" s="403"/>
      <c r="BJ52" s="403"/>
      <c r="BK52" s="403"/>
      <c r="BL52" s="403"/>
      <c r="BM52" s="403"/>
      <c r="BN52" s="403"/>
    </row>
    <row r="53" spans="1:66" s="405" customFormat="1" ht="76.5" x14ac:dyDescent="0.2">
      <c r="A53" s="256" t="s">
        <v>1068</v>
      </c>
      <c r="B53" s="255" t="s">
        <v>1161</v>
      </c>
      <c r="C53" s="255" t="s">
        <v>1191</v>
      </c>
      <c r="D53" s="255" t="s">
        <v>1172</v>
      </c>
      <c r="E53" s="406"/>
      <c r="F53" s="406"/>
      <c r="G53" s="406">
        <v>1</v>
      </c>
      <c r="H53" s="406"/>
      <c r="I53" s="406"/>
      <c r="J53" s="406">
        <v>1</v>
      </c>
      <c r="K53" s="406"/>
      <c r="L53" s="406"/>
      <c r="M53" s="406">
        <v>1</v>
      </c>
      <c r="N53" s="406"/>
      <c r="O53" s="406"/>
      <c r="P53" s="406">
        <v>1</v>
      </c>
      <c r="Q53" s="400">
        <f t="shared" si="1"/>
        <v>4</v>
      </c>
      <c r="R53" s="256" t="s">
        <v>943</v>
      </c>
      <c r="S53" s="256"/>
      <c r="T53" s="256" t="s">
        <v>1203</v>
      </c>
      <c r="U53" s="255"/>
      <c r="V53" s="407" t="s">
        <v>1201</v>
      </c>
      <c r="W53" s="403"/>
      <c r="X53" s="404"/>
      <c r="Y53" s="404"/>
      <c r="Z53" s="404"/>
      <c r="AA53" s="404"/>
      <c r="AB53" s="404"/>
      <c r="AC53" s="404"/>
      <c r="AD53" s="404"/>
      <c r="AE53" s="404"/>
      <c r="AF53" s="403"/>
      <c r="AG53" s="403"/>
      <c r="AH53" s="403"/>
      <c r="AI53" s="403"/>
      <c r="AJ53" s="403"/>
      <c r="AK53" s="403"/>
      <c r="AL53" s="403"/>
      <c r="AM53" s="403"/>
      <c r="AN53" s="403"/>
      <c r="AO53" s="403"/>
      <c r="AP53" s="403"/>
      <c r="AQ53" s="403"/>
      <c r="AR53" s="403"/>
      <c r="AS53" s="403"/>
      <c r="AT53" s="403"/>
      <c r="AU53" s="403"/>
      <c r="AV53" s="403"/>
      <c r="AW53" s="403"/>
      <c r="AX53" s="403"/>
      <c r="AY53" s="403"/>
      <c r="AZ53" s="403"/>
      <c r="BA53" s="403"/>
      <c r="BB53" s="403"/>
      <c r="BC53" s="403"/>
      <c r="BD53" s="403"/>
      <c r="BE53" s="403"/>
      <c r="BF53" s="403"/>
      <c r="BG53" s="403"/>
      <c r="BH53" s="403"/>
      <c r="BI53" s="403"/>
      <c r="BJ53" s="403"/>
      <c r="BK53" s="403"/>
      <c r="BL53" s="403"/>
      <c r="BM53" s="403"/>
      <c r="BN53" s="403"/>
    </row>
    <row r="54" spans="1:66" s="405" customFormat="1" ht="76.5" x14ac:dyDescent="0.2">
      <c r="A54" s="256" t="s">
        <v>1068</v>
      </c>
      <c r="B54" s="255" t="s">
        <v>1161</v>
      </c>
      <c r="C54" s="255" t="s">
        <v>1192</v>
      </c>
      <c r="D54" s="255" t="s">
        <v>1173</v>
      </c>
      <c r="E54" s="406"/>
      <c r="F54" s="406"/>
      <c r="G54" s="406">
        <v>1</v>
      </c>
      <c r="H54" s="406"/>
      <c r="I54" s="406"/>
      <c r="J54" s="406">
        <v>1</v>
      </c>
      <c r="K54" s="406"/>
      <c r="L54" s="406"/>
      <c r="M54" s="406">
        <v>1</v>
      </c>
      <c r="N54" s="406"/>
      <c r="O54" s="406"/>
      <c r="P54" s="406">
        <v>1</v>
      </c>
      <c r="Q54" s="400">
        <f t="shared" si="1"/>
        <v>4</v>
      </c>
      <c r="R54" s="256" t="s">
        <v>934</v>
      </c>
      <c r="S54" s="256"/>
      <c r="T54" s="256"/>
      <c r="U54" s="255"/>
      <c r="V54" s="407" t="s">
        <v>1201</v>
      </c>
      <c r="W54" s="403"/>
      <c r="X54" s="404"/>
      <c r="Y54" s="404"/>
      <c r="Z54" s="404"/>
      <c r="AA54" s="404"/>
      <c r="AB54" s="404"/>
      <c r="AC54" s="404"/>
      <c r="AD54" s="404"/>
      <c r="AE54" s="404"/>
      <c r="AF54" s="403"/>
      <c r="AG54" s="403"/>
      <c r="AH54" s="403"/>
      <c r="AI54" s="403"/>
      <c r="AJ54" s="403"/>
      <c r="AK54" s="403"/>
      <c r="AL54" s="403"/>
      <c r="AM54" s="403"/>
      <c r="AN54" s="403"/>
      <c r="AO54" s="403"/>
      <c r="AP54" s="403"/>
      <c r="AQ54" s="403"/>
      <c r="AR54" s="403"/>
      <c r="AS54" s="403"/>
      <c r="AT54" s="403"/>
      <c r="AU54" s="403"/>
      <c r="AV54" s="403"/>
      <c r="AW54" s="403"/>
      <c r="AX54" s="403"/>
      <c r="AY54" s="403"/>
      <c r="AZ54" s="403"/>
      <c r="BA54" s="403"/>
      <c r="BB54" s="403"/>
      <c r="BC54" s="403"/>
      <c r="BD54" s="403"/>
      <c r="BE54" s="403"/>
      <c r="BF54" s="403"/>
      <c r="BG54" s="403"/>
      <c r="BH54" s="403"/>
      <c r="BI54" s="403"/>
      <c r="BJ54" s="403"/>
      <c r="BK54" s="403"/>
      <c r="BL54" s="403"/>
      <c r="BM54" s="403"/>
      <c r="BN54" s="403"/>
    </row>
    <row r="55" spans="1:66" s="405" customFormat="1" ht="76.5" x14ac:dyDescent="0.2">
      <c r="A55" s="256" t="s">
        <v>1068</v>
      </c>
      <c r="B55" s="255" t="s">
        <v>1161</v>
      </c>
      <c r="C55" s="255" t="s">
        <v>1193</v>
      </c>
      <c r="D55" s="255" t="s">
        <v>1174</v>
      </c>
      <c r="E55" s="406"/>
      <c r="F55" s="406"/>
      <c r="G55" s="406"/>
      <c r="H55" s="406">
        <v>1</v>
      </c>
      <c r="I55" s="406"/>
      <c r="J55" s="406"/>
      <c r="K55" s="406">
        <v>1</v>
      </c>
      <c r="L55" s="406"/>
      <c r="M55" s="406"/>
      <c r="N55" s="406">
        <v>1</v>
      </c>
      <c r="O55" s="406"/>
      <c r="P55" s="406">
        <v>1</v>
      </c>
      <c r="Q55" s="400">
        <f t="shared" si="1"/>
        <v>4</v>
      </c>
      <c r="R55" s="256" t="s">
        <v>938</v>
      </c>
      <c r="S55" s="256"/>
      <c r="T55" s="256"/>
      <c r="U55" s="255"/>
      <c r="V55" s="407" t="s">
        <v>1201</v>
      </c>
      <c r="W55" s="403"/>
      <c r="X55" s="404"/>
      <c r="Y55" s="404"/>
      <c r="Z55" s="404"/>
      <c r="AA55" s="404"/>
      <c r="AB55" s="404"/>
      <c r="AC55" s="404"/>
      <c r="AD55" s="404"/>
      <c r="AE55" s="404"/>
      <c r="AF55" s="403"/>
      <c r="AG55" s="403"/>
      <c r="AH55" s="403"/>
      <c r="AI55" s="403"/>
      <c r="AJ55" s="403"/>
      <c r="AK55" s="403"/>
      <c r="AL55" s="403"/>
      <c r="AM55" s="403"/>
      <c r="AN55" s="403"/>
      <c r="AO55" s="403"/>
      <c r="AP55" s="403"/>
      <c r="AQ55" s="403"/>
      <c r="AR55" s="403"/>
      <c r="AS55" s="403"/>
      <c r="AT55" s="403"/>
      <c r="AU55" s="403"/>
      <c r="AV55" s="403"/>
      <c r="AW55" s="403"/>
      <c r="AX55" s="403"/>
      <c r="AY55" s="403"/>
      <c r="AZ55" s="403"/>
      <c r="BA55" s="403"/>
      <c r="BB55" s="403"/>
      <c r="BC55" s="403"/>
      <c r="BD55" s="403"/>
      <c r="BE55" s="403"/>
      <c r="BF55" s="403"/>
      <c r="BG55" s="403"/>
      <c r="BH55" s="403"/>
      <c r="BI55" s="403"/>
      <c r="BJ55" s="403"/>
      <c r="BK55" s="403"/>
      <c r="BL55" s="403"/>
      <c r="BM55" s="403"/>
      <c r="BN55" s="403"/>
    </row>
    <row r="56" spans="1:66" s="405" customFormat="1" ht="76.5" x14ac:dyDescent="0.2">
      <c r="A56" s="256" t="s">
        <v>1068</v>
      </c>
      <c r="B56" s="255" t="s">
        <v>1161</v>
      </c>
      <c r="C56" s="255" t="s">
        <v>1194</v>
      </c>
      <c r="D56" s="255" t="s">
        <v>1175</v>
      </c>
      <c r="E56" s="406"/>
      <c r="F56" s="406"/>
      <c r="G56" s="406"/>
      <c r="H56" s="406"/>
      <c r="I56" s="406">
        <v>1</v>
      </c>
      <c r="J56" s="406"/>
      <c r="K56" s="406"/>
      <c r="L56" s="406">
        <v>1</v>
      </c>
      <c r="M56" s="406"/>
      <c r="N56" s="406"/>
      <c r="O56" s="406"/>
      <c r="P56" s="406">
        <v>1</v>
      </c>
      <c r="Q56" s="400">
        <f t="shared" si="1"/>
        <v>3</v>
      </c>
      <c r="R56" s="256" t="s">
        <v>934</v>
      </c>
      <c r="S56" s="256" t="s">
        <v>938</v>
      </c>
      <c r="T56" s="256"/>
      <c r="U56" s="255"/>
      <c r="V56" s="407" t="s">
        <v>1201</v>
      </c>
      <c r="W56" s="403"/>
      <c r="X56" s="404"/>
      <c r="Y56" s="404"/>
      <c r="Z56" s="404"/>
      <c r="AA56" s="404"/>
      <c r="AB56" s="404"/>
      <c r="AC56" s="404"/>
      <c r="AD56" s="404"/>
      <c r="AE56" s="404"/>
      <c r="AF56" s="403"/>
      <c r="AG56" s="403"/>
      <c r="AH56" s="403"/>
      <c r="AI56" s="403"/>
      <c r="AJ56" s="403"/>
      <c r="AK56" s="403"/>
      <c r="AL56" s="403"/>
      <c r="AM56" s="403"/>
      <c r="AN56" s="403"/>
      <c r="AO56" s="403"/>
      <c r="AP56" s="403"/>
      <c r="AQ56" s="403"/>
      <c r="AR56" s="403"/>
      <c r="AS56" s="403"/>
      <c r="AT56" s="403"/>
      <c r="AU56" s="403"/>
      <c r="AV56" s="403"/>
      <c r="AW56" s="403"/>
      <c r="AX56" s="403"/>
      <c r="AY56" s="403"/>
      <c r="AZ56" s="403"/>
      <c r="BA56" s="403"/>
      <c r="BB56" s="403"/>
      <c r="BC56" s="403"/>
      <c r="BD56" s="403"/>
      <c r="BE56" s="403"/>
      <c r="BF56" s="403"/>
      <c r="BG56" s="403"/>
      <c r="BH56" s="403"/>
      <c r="BI56" s="403"/>
      <c r="BJ56" s="403"/>
      <c r="BK56" s="403"/>
      <c r="BL56" s="403"/>
      <c r="BM56" s="403"/>
      <c r="BN56" s="403"/>
    </row>
    <row r="57" spans="1:66" s="405" customFormat="1" ht="76.5" x14ac:dyDescent="0.2">
      <c r="A57" s="256" t="s">
        <v>1068</v>
      </c>
      <c r="B57" s="255" t="s">
        <v>1161</v>
      </c>
      <c r="C57" s="255" t="s">
        <v>1195</v>
      </c>
      <c r="D57" s="255" t="s">
        <v>1176</v>
      </c>
      <c r="E57" s="406">
        <v>1</v>
      </c>
      <c r="F57" s="406">
        <v>1</v>
      </c>
      <c r="G57" s="406">
        <v>1</v>
      </c>
      <c r="H57" s="406">
        <v>1</v>
      </c>
      <c r="I57" s="406">
        <v>1</v>
      </c>
      <c r="J57" s="406">
        <v>1</v>
      </c>
      <c r="K57" s="406">
        <v>1</v>
      </c>
      <c r="L57" s="406">
        <v>1</v>
      </c>
      <c r="M57" s="406">
        <v>1</v>
      </c>
      <c r="N57" s="406">
        <v>1</v>
      </c>
      <c r="O57" s="406">
        <v>1</v>
      </c>
      <c r="P57" s="406">
        <v>1</v>
      </c>
      <c r="Q57" s="400">
        <f t="shared" si="1"/>
        <v>12</v>
      </c>
      <c r="R57" s="256" t="s">
        <v>934</v>
      </c>
      <c r="S57" s="256"/>
      <c r="T57" s="256"/>
      <c r="U57" s="255"/>
      <c r="V57" s="407" t="s">
        <v>1201</v>
      </c>
      <c r="W57" s="403"/>
      <c r="X57" s="404"/>
      <c r="Y57" s="404"/>
      <c r="Z57" s="404"/>
      <c r="AA57" s="404"/>
      <c r="AB57" s="404"/>
      <c r="AC57" s="404"/>
      <c r="AD57" s="404"/>
      <c r="AE57" s="404"/>
      <c r="AF57" s="403"/>
      <c r="AG57" s="403"/>
      <c r="AH57" s="403"/>
      <c r="AI57" s="403"/>
      <c r="AJ57" s="403"/>
      <c r="AK57" s="403"/>
      <c r="AL57" s="403"/>
      <c r="AM57" s="403"/>
      <c r="AN57" s="403"/>
      <c r="AO57" s="403"/>
      <c r="AP57" s="403"/>
      <c r="AQ57" s="403"/>
      <c r="AR57" s="403"/>
      <c r="AS57" s="403"/>
      <c r="AT57" s="403"/>
      <c r="AU57" s="403"/>
      <c r="AV57" s="403"/>
      <c r="AW57" s="403"/>
      <c r="AX57" s="403"/>
      <c r="AY57" s="403"/>
      <c r="AZ57" s="403"/>
      <c r="BA57" s="403"/>
      <c r="BB57" s="403"/>
      <c r="BC57" s="403"/>
      <c r="BD57" s="403"/>
      <c r="BE57" s="403"/>
      <c r="BF57" s="403"/>
      <c r="BG57" s="403"/>
      <c r="BH57" s="403"/>
      <c r="BI57" s="403"/>
      <c r="BJ57" s="403"/>
      <c r="BK57" s="403"/>
      <c r="BL57" s="403"/>
      <c r="BM57" s="403"/>
      <c r="BN57" s="403"/>
    </row>
    <row r="58" spans="1:66" s="405" customFormat="1" ht="76.5" x14ac:dyDescent="0.2">
      <c r="A58" s="256" t="s">
        <v>1068</v>
      </c>
      <c r="B58" s="255" t="s">
        <v>1161</v>
      </c>
      <c r="C58" s="255" t="s">
        <v>1196</v>
      </c>
      <c r="D58" s="255" t="s">
        <v>1177</v>
      </c>
      <c r="E58" s="406"/>
      <c r="F58" s="406"/>
      <c r="G58" s="406">
        <v>1</v>
      </c>
      <c r="H58" s="406"/>
      <c r="I58" s="406"/>
      <c r="J58" s="406">
        <v>1</v>
      </c>
      <c r="K58" s="406"/>
      <c r="L58" s="406"/>
      <c r="M58" s="406">
        <v>1</v>
      </c>
      <c r="N58" s="406"/>
      <c r="O58" s="406"/>
      <c r="P58" s="406">
        <v>1</v>
      </c>
      <c r="Q58" s="400">
        <f t="shared" si="1"/>
        <v>4</v>
      </c>
      <c r="R58" s="256" t="s">
        <v>938</v>
      </c>
      <c r="S58" s="256"/>
      <c r="T58" s="256"/>
      <c r="U58" s="255"/>
      <c r="V58" s="407" t="s">
        <v>1201</v>
      </c>
      <c r="W58" s="403"/>
      <c r="X58" s="404"/>
      <c r="Y58" s="404"/>
      <c r="Z58" s="404"/>
      <c r="AA58" s="404"/>
      <c r="AB58" s="404"/>
      <c r="AC58" s="404"/>
      <c r="AD58" s="404"/>
      <c r="AE58" s="404"/>
      <c r="AF58" s="403"/>
      <c r="AG58" s="403"/>
      <c r="AH58" s="403"/>
      <c r="AI58" s="403"/>
      <c r="AJ58" s="403"/>
      <c r="AK58" s="403"/>
      <c r="AL58" s="403"/>
      <c r="AM58" s="403"/>
      <c r="AN58" s="403"/>
      <c r="AO58" s="403"/>
      <c r="AP58" s="403"/>
      <c r="AQ58" s="403"/>
      <c r="AR58" s="403"/>
      <c r="AS58" s="403"/>
      <c r="AT58" s="403"/>
      <c r="AU58" s="403"/>
      <c r="AV58" s="403"/>
      <c r="AW58" s="403"/>
      <c r="AX58" s="403"/>
      <c r="AY58" s="403"/>
      <c r="AZ58" s="403"/>
      <c r="BA58" s="403"/>
      <c r="BB58" s="403"/>
      <c r="BC58" s="403"/>
      <c r="BD58" s="403"/>
      <c r="BE58" s="403"/>
      <c r="BF58" s="403"/>
      <c r="BG58" s="403"/>
      <c r="BH58" s="403"/>
      <c r="BI58" s="403"/>
      <c r="BJ58" s="403"/>
      <c r="BK58" s="403"/>
      <c r="BL58" s="403"/>
      <c r="BM58" s="403"/>
      <c r="BN58" s="403"/>
    </row>
    <row r="59" spans="1:66" s="405" customFormat="1" ht="76.5" x14ac:dyDescent="0.2">
      <c r="A59" s="256" t="s">
        <v>1068</v>
      </c>
      <c r="B59" s="255" t="s">
        <v>1161</v>
      </c>
      <c r="C59" s="255" t="s">
        <v>1197</v>
      </c>
      <c r="D59" s="255" t="s">
        <v>1178</v>
      </c>
      <c r="E59" s="406"/>
      <c r="F59" s="406"/>
      <c r="G59" s="406"/>
      <c r="H59" s="406">
        <v>1</v>
      </c>
      <c r="I59" s="406"/>
      <c r="J59" s="406"/>
      <c r="K59" s="406">
        <v>1</v>
      </c>
      <c r="L59" s="406"/>
      <c r="M59" s="406"/>
      <c r="N59" s="406">
        <v>1</v>
      </c>
      <c r="O59" s="406"/>
      <c r="P59" s="406"/>
      <c r="Q59" s="400">
        <f t="shared" si="1"/>
        <v>3</v>
      </c>
      <c r="R59" s="256" t="s">
        <v>934</v>
      </c>
      <c r="S59" s="256"/>
      <c r="T59" s="256"/>
      <c r="U59" s="255"/>
      <c r="V59" s="407" t="s">
        <v>1201</v>
      </c>
      <c r="W59" s="403"/>
      <c r="X59" s="404"/>
      <c r="Y59" s="404"/>
      <c r="Z59" s="404"/>
      <c r="AA59" s="404"/>
      <c r="AB59" s="404"/>
      <c r="AC59" s="404"/>
      <c r="AD59" s="404"/>
      <c r="AE59" s="404"/>
      <c r="AF59" s="403"/>
      <c r="AG59" s="403"/>
      <c r="AH59" s="403"/>
      <c r="AI59" s="403"/>
      <c r="AJ59" s="403"/>
      <c r="AK59" s="403"/>
      <c r="AL59" s="403"/>
      <c r="AM59" s="403"/>
      <c r="AN59" s="403"/>
      <c r="AO59" s="403"/>
      <c r="AP59" s="403"/>
      <c r="AQ59" s="403"/>
      <c r="AR59" s="403"/>
      <c r="AS59" s="403"/>
      <c r="AT59" s="403"/>
      <c r="AU59" s="403"/>
      <c r="AV59" s="403"/>
      <c r="AW59" s="403"/>
      <c r="AX59" s="403"/>
      <c r="AY59" s="403"/>
      <c r="AZ59" s="403"/>
      <c r="BA59" s="403"/>
      <c r="BB59" s="403"/>
      <c r="BC59" s="403"/>
      <c r="BD59" s="403"/>
      <c r="BE59" s="403"/>
      <c r="BF59" s="403"/>
      <c r="BG59" s="403"/>
      <c r="BH59" s="403"/>
      <c r="BI59" s="403"/>
      <c r="BJ59" s="403"/>
      <c r="BK59" s="403"/>
      <c r="BL59" s="403"/>
      <c r="BM59" s="403"/>
      <c r="BN59" s="403"/>
    </row>
    <row r="60" spans="1:66" s="405" customFormat="1" ht="76.5" x14ac:dyDescent="0.2">
      <c r="A60" s="256" t="s">
        <v>1068</v>
      </c>
      <c r="B60" s="255" t="s">
        <v>1161</v>
      </c>
      <c r="C60" s="255" t="s">
        <v>1198</v>
      </c>
      <c r="D60" s="256" t="s">
        <v>1179</v>
      </c>
      <c r="E60" s="399">
        <v>1</v>
      </c>
      <c r="F60" s="399">
        <v>1</v>
      </c>
      <c r="G60" s="399">
        <v>1</v>
      </c>
      <c r="H60" s="399">
        <v>1</v>
      </c>
      <c r="I60" s="399">
        <v>1</v>
      </c>
      <c r="J60" s="399">
        <v>1</v>
      </c>
      <c r="K60" s="399">
        <v>1</v>
      </c>
      <c r="L60" s="399">
        <v>1</v>
      </c>
      <c r="M60" s="399">
        <v>1</v>
      </c>
      <c r="N60" s="399">
        <v>1</v>
      </c>
      <c r="O60" s="399">
        <v>1</v>
      </c>
      <c r="P60" s="399">
        <v>1</v>
      </c>
      <c r="Q60" s="400">
        <f t="shared" si="1"/>
        <v>12</v>
      </c>
      <c r="R60" s="256" t="s">
        <v>946</v>
      </c>
      <c r="S60" s="256"/>
      <c r="T60" s="256"/>
      <c r="U60" s="256"/>
      <c r="V60" s="407" t="s">
        <v>1201</v>
      </c>
      <c r="W60" s="403"/>
      <c r="X60" s="404"/>
      <c r="Y60" s="404"/>
      <c r="Z60" s="404"/>
      <c r="AA60" s="404"/>
      <c r="AB60" s="404"/>
      <c r="AC60" s="404"/>
      <c r="AD60" s="404"/>
      <c r="AE60" s="404"/>
      <c r="AF60" s="403"/>
      <c r="AG60" s="403"/>
      <c r="AH60" s="403"/>
      <c r="AI60" s="403"/>
      <c r="AJ60" s="403"/>
      <c r="AK60" s="403"/>
      <c r="AL60" s="403"/>
      <c r="AM60" s="403"/>
      <c r="AN60" s="403"/>
      <c r="AO60" s="403"/>
      <c r="AP60" s="403"/>
      <c r="AQ60" s="403"/>
      <c r="AR60" s="403"/>
      <c r="AS60" s="403"/>
      <c r="AT60" s="403"/>
      <c r="AU60" s="403"/>
      <c r="AV60" s="403"/>
      <c r="AW60" s="403"/>
      <c r="AX60" s="403"/>
      <c r="AY60" s="403"/>
      <c r="AZ60" s="403"/>
      <c r="BA60" s="403"/>
      <c r="BB60" s="403"/>
      <c r="BC60" s="403"/>
      <c r="BD60" s="403"/>
      <c r="BE60" s="403"/>
      <c r="BF60" s="403"/>
      <c r="BG60" s="403"/>
      <c r="BH60" s="403"/>
      <c r="BI60" s="403"/>
      <c r="BJ60" s="403"/>
      <c r="BK60" s="403"/>
      <c r="BL60" s="403"/>
      <c r="BM60" s="403"/>
      <c r="BN60" s="403"/>
    </row>
    <row r="61" spans="1:66" s="405" customFormat="1" ht="76.5" x14ac:dyDescent="0.2">
      <c r="A61" s="256" t="s">
        <v>1068</v>
      </c>
      <c r="B61" s="255" t="s">
        <v>1161</v>
      </c>
      <c r="C61" s="255" t="s">
        <v>1199</v>
      </c>
      <c r="D61" s="255" t="s">
        <v>1180</v>
      </c>
      <c r="E61" s="406"/>
      <c r="F61" s="406"/>
      <c r="G61" s="406">
        <v>1</v>
      </c>
      <c r="H61" s="406"/>
      <c r="I61" s="406"/>
      <c r="J61" s="406">
        <v>1</v>
      </c>
      <c r="K61" s="406"/>
      <c r="L61" s="406"/>
      <c r="M61" s="406">
        <v>1</v>
      </c>
      <c r="N61" s="406"/>
      <c r="O61" s="406"/>
      <c r="P61" s="406">
        <v>1</v>
      </c>
      <c r="Q61" s="400">
        <f t="shared" si="1"/>
        <v>4</v>
      </c>
      <c r="R61" s="256" t="s">
        <v>938</v>
      </c>
      <c r="S61" s="256"/>
      <c r="T61" s="256"/>
      <c r="U61" s="255"/>
      <c r="V61" s="407" t="s">
        <v>1201</v>
      </c>
      <c r="W61" s="403"/>
      <c r="X61" s="404"/>
      <c r="Y61" s="404"/>
      <c r="Z61" s="404"/>
      <c r="AA61" s="404"/>
      <c r="AB61" s="404"/>
      <c r="AC61" s="404"/>
      <c r="AD61" s="404"/>
      <c r="AE61" s="404"/>
      <c r="AF61" s="403"/>
      <c r="AG61" s="403"/>
      <c r="AH61" s="403"/>
      <c r="AI61" s="403"/>
      <c r="AJ61" s="403"/>
      <c r="AK61" s="403"/>
      <c r="AL61" s="403"/>
      <c r="AM61" s="403"/>
      <c r="AN61" s="403"/>
      <c r="AO61" s="403"/>
      <c r="AP61" s="403"/>
      <c r="AQ61" s="403"/>
      <c r="AR61" s="403"/>
      <c r="AS61" s="403"/>
      <c r="AT61" s="403"/>
      <c r="AU61" s="403"/>
      <c r="AV61" s="403"/>
      <c r="AW61" s="403"/>
      <c r="AX61" s="403"/>
      <c r="AY61" s="403"/>
      <c r="AZ61" s="403"/>
      <c r="BA61" s="403"/>
      <c r="BB61" s="403"/>
      <c r="BC61" s="403"/>
      <c r="BD61" s="403"/>
      <c r="BE61" s="403"/>
      <c r="BF61" s="403"/>
      <c r="BG61" s="403"/>
      <c r="BH61" s="403"/>
      <c r="BI61" s="403"/>
      <c r="BJ61" s="403"/>
      <c r="BK61" s="403"/>
      <c r="BL61" s="403"/>
      <c r="BM61" s="403"/>
      <c r="BN61" s="403"/>
    </row>
    <row r="62" spans="1:66" s="405" customFormat="1" ht="76.5" x14ac:dyDescent="0.2">
      <c r="A62" s="256" t="s">
        <v>1068</v>
      </c>
      <c r="B62" s="255" t="s">
        <v>1161</v>
      </c>
      <c r="C62" s="255" t="s">
        <v>1200</v>
      </c>
      <c r="D62" s="256" t="s">
        <v>1181</v>
      </c>
      <c r="E62" s="399"/>
      <c r="F62" s="399"/>
      <c r="G62" s="399">
        <v>1</v>
      </c>
      <c r="H62" s="399"/>
      <c r="I62" s="399"/>
      <c r="J62" s="399">
        <v>1</v>
      </c>
      <c r="K62" s="399"/>
      <c r="L62" s="399"/>
      <c r="M62" s="399">
        <v>1</v>
      </c>
      <c r="N62" s="399"/>
      <c r="O62" s="399"/>
      <c r="P62" s="399">
        <v>1</v>
      </c>
      <c r="Q62" s="400">
        <f t="shared" si="1"/>
        <v>4</v>
      </c>
      <c r="R62" s="256" t="s">
        <v>934</v>
      </c>
      <c r="S62" s="256" t="s">
        <v>938</v>
      </c>
      <c r="T62" s="256"/>
      <c r="U62" s="256"/>
      <c r="V62" s="407" t="s">
        <v>1201</v>
      </c>
      <c r="W62" s="403"/>
      <c r="X62" s="404"/>
      <c r="Y62" s="404"/>
      <c r="Z62" s="404"/>
      <c r="AA62" s="404"/>
      <c r="AB62" s="404"/>
      <c r="AC62" s="404"/>
      <c r="AD62" s="404"/>
      <c r="AE62" s="404"/>
      <c r="AF62" s="403"/>
      <c r="AG62" s="403"/>
      <c r="AH62" s="403"/>
      <c r="AI62" s="403"/>
      <c r="AJ62" s="403"/>
      <c r="AK62" s="403"/>
      <c r="AL62" s="403"/>
      <c r="AM62" s="403"/>
      <c r="AN62" s="403"/>
      <c r="AO62" s="403"/>
      <c r="AP62" s="403"/>
      <c r="AQ62" s="403"/>
      <c r="AR62" s="403"/>
      <c r="AS62" s="403"/>
      <c r="AT62" s="403"/>
      <c r="AU62" s="403"/>
      <c r="AV62" s="403"/>
      <c r="AW62" s="403"/>
      <c r="AX62" s="403"/>
      <c r="AY62" s="403"/>
      <c r="AZ62" s="403"/>
      <c r="BA62" s="403"/>
      <c r="BB62" s="403"/>
      <c r="BC62" s="403"/>
      <c r="BD62" s="403"/>
      <c r="BE62" s="403"/>
      <c r="BF62" s="403"/>
      <c r="BG62" s="403"/>
      <c r="BH62" s="403"/>
      <c r="BI62" s="403"/>
      <c r="BJ62" s="403"/>
      <c r="BK62" s="403"/>
      <c r="BL62" s="403"/>
      <c r="BM62" s="403"/>
      <c r="BN62" s="403"/>
    </row>
    <row r="63" spans="1:66" s="405" customFormat="1" ht="76.5" x14ac:dyDescent="0.2">
      <c r="A63" s="256" t="s">
        <v>1074</v>
      </c>
      <c r="B63" s="398" t="s">
        <v>1303</v>
      </c>
      <c r="C63" s="255" t="s">
        <v>1304</v>
      </c>
      <c r="D63" s="255" t="s">
        <v>1305</v>
      </c>
      <c r="E63" s="406"/>
      <c r="F63" s="406"/>
      <c r="G63" s="406">
        <v>1</v>
      </c>
      <c r="H63" s="406"/>
      <c r="I63" s="406"/>
      <c r="J63" s="406">
        <v>1</v>
      </c>
      <c r="K63" s="406"/>
      <c r="L63" s="406"/>
      <c r="M63" s="406">
        <v>1</v>
      </c>
      <c r="N63" s="406"/>
      <c r="O63" s="406"/>
      <c r="P63" s="406">
        <v>1</v>
      </c>
      <c r="Q63" s="400">
        <f t="shared" si="1"/>
        <v>4</v>
      </c>
      <c r="R63" s="256" t="s">
        <v>934</v>
      </c>
      <c r="S63" s="256" t="s">
        <v>938</v>
      </c>
      <c r="T63" s="256"/>
      <c r="U63" s="255" t="s">
        <v>1307</v>
      </c>
      <c r="V63" s="407" t="s">
        <v>1306</v>
      </c>
      <c r="W63" s="403"/>
      <c r="X63" s="404"/>
      <c r="Y63" s="404"/>
      <c r="Z63" s="404"/>
      <c r="AA63" s="404"/>
      <c r="AB63" s="404"/>
      <c r="AC63" s="404"/>
      <c r="AD63" s="404"/>
      <c r="AE63" s="404"/>
      <c r="AF63" s="403"/>
      <c r="AG63" s="403"/>
      <c r="AH63" s="403"/>
      <c r="AI63" s="403"/>
      <c r="AJ63" s="403"/>
      <c r="AK63" s="403"/>
      <c r="AL63" s="403"/>
      <c r="AM63" s="403"/>
      <c r="AN63" s="403"/>
      <c r="AO63" s="403"/>
      <c r="AP63" s="403"/>
      <c r="AQ63" s="403"/>
      <c r="AR63" s="403"/>
      <c r="AS63" s="403"/>
      <c r="AT63" s="403"/>
      <c r="AU63" s="403"/>
      <c r="AV63" s="403"/>
      <c r="AW63" s="403"/>
      <c r="AX63" s="403"/>
      <c r="AY63" s="403"/>
      <c r="AZ63" s="403"/>
      <c r="BA63" s="403"/>
      <c r="BB63" s="403"/>
      <c r="BC63" s="403"/>
      <c r="BD63" s="403"/>
      <c r="BE63" s="403"/>
      <c r="BF63" s="403"/>
      <c r="BG63" s="403"/>
      <c r="BH63" s="403"/>
      <c r="BI63" s="403"/>
      <c r="BJ63" s="403"/>
      <c r="BK63" s="403"/>
      <c r="BL63" s="403"/>
      <c r="BM63" s="403"/>
      <c r="BN63" s="403"/>
    </row>
    <row r="64" spans="1:66" s="405" customFormat="1" ht="76.5" x14ac:dyDescent="0.2">
      <c r="A64" s="256" t="s">
        <v>1074</v>
      </c>
      <c r="B64" s="398" t="s">
        <v>1303</v>
      </c>
      <c r="C64" s="255" t="s">
        <v>1308</v>
      </c>
      <c r="D64" s="256" t="s">
        <v>1310</v>
      </c>
      <c r="E64" s="399"/>
      <c r="F64" s="399"/>
      <c r="G64" s="399"/>
      <c r="H64" s="399"/>
      <c r="I64" s="399"/>
      <c r="J64" s="399"/>
      <c r="K64" s="399"/>
      <c r="L64" s="399"/>
      <c r="M64" s="399">
        <v>1</v>
      </c>
      <c r="N64" s="399"/>
      <c r="O64" s="399"/>
      <c r="P64" s="399"/>
      <c r="Q64" s="400">
        <f t="shared" si="1"/>
        <v>1</v>
      </c>
      <c r="R64" s="256" t="s">
        <v>943</v>
      </c>
      <c r="S64" s="256"/>
      <c r="T64" s="256"/>
      <c r="U64" s="256" t="s">
        <v>1312</v>
      </c>
      <c r="V64" s="407" t="s">
        <v>1306</v>
      </c>
      <c r="W64" s="403"/>
      <c r="X64" s="404"/>
      <c r="Y64" s="404"/>
      <c r="Z64" s="404"/>
      <c r="AA64" s="404"/>
      <c r="AB64" s="404"/>
      <c r="AC64" s="404"/>
      <c r="AD64" s="404"/>
      <c r="AE64" s="404"/>
      <c r="AF64" s="403"/>
      <c r="AG64" s="403"/>
      <c r="AH64" s="403"/>
      <c r="AI64" s="403"/>
      <c r="AJ64" s="403"/>
      <c r="AK64" s="403"/>
      <c r="AL64" s="403"/>
      <c r="AM64" s="403"/>
      <c r="AN64" s="403"/>
      <c r="AO64" s="403"/>
      <c r="AP64" s="403"/>
      <c r="AQ64" s="403"/>
      <c r="AR64" s="403"/>
      <c r="AS64" s="403"/>
      <c r="AT64" s="403"/>
      <c r="AU64" s="403"/>
      <c r="AV64" s="403"/>
      <c r="AW64" s="403"/>
      <c r="AX64" s="403"/>
      <c r="AY64" s="403"/>
      <c r="AZ64" s="403"/>
      <c r="BA64" s="403"/>
      <c r="BB64" s="403"/>
      <c r="BC64" s="403"/>
      <c r="BD64" s="403"/>
      <c r="BE64" s="403"/>
      <c r="BF64" s="403"/>
      <c r="BG64" s="403"/>
      <c r="BH64" s="403"/>
      <c r="BI64" s="403"/>
      <c r="BJ64" s="403"/>
      <c r="BK64" s="403"/>
      <c r="BL64" s="403"/>
      <c r="BM64" s="403"/>
      <c r="BN64" s="403"/>
    </row>
    <row r="65" spans="1:66" s="405" customFormat="1" ht="76.5" x14ac:dyDescent="0.2">
      <c r="A65" s="256" t="s">
        <v>1074</v>
      </c>
      <c r="B65" s="398" t="s">
        <v>1303</v>
      </c>
      <c r="C65" s="255" t="s">
        <v>1309</v>
      </c>
      <c r="D65" s="255" t="s">
        <v>1311</v>
      </c>
      <c r="E65" s="406"/>
      <c r="F65" s="406"/>
      <c r="G65" s="406"/>
      <c r="H65" s="406"/>
      <c r="I65" s="406"/>
      <c r="J65" s="406"/>
      <c r="K65" s="406"/>
      <c r="L65" s="406"/>
      <c r="M65" s="406"/>
      <c r="N65" s="406">
        <v>1</v>
      </c>
      <c r="O65" s="406"/>
      <c r="P65" s="406"/>
      <c r="Q65" s="400">
        <f t="shared" si="1"/>
        <v>1</v>
      </c>
      <c r="R65" s="256" t="s">
        <v>938</v>
      </c>
      <c r="S65" s="256"/>
      <c r="T65" s="256"/>
      <c r="U65" s="255" t="s">
        <v>1313</v>
      </c>
      <c r="V65" s="407" t="s">
        <v>1306</v>
      </c>
      <c r="W65" s="403"/>
      <c r="X65" s="404"/>
      <c r="Y65" s="404"/>
      <c r="Z65" s="404"/>
      <c r="AA65" s="404"/>
      <c r="AB65" s="404"/>
      <c r="AC65" s="404"/>
      <c r="AD65" s="404"/>
      <c r="AE65" s="404"/>
      <c r="AF65" s="403"/>
      <c r="AG65" s="403"/>
      <c r="AH65" s="403"/>
      <c r="AI65" s="403"/>
      <c r="AJ65" s="403"/>
      <c r="AK65" s="403"/>
      <c r="AL65" s="403"/>
      <c r="AM65" s="403"/>
      <c r="AN65" s="403"/>
      <c r="AO65" s="403"/>
      <c r="AP65" s="403"/>
      <c r="AQ65" s="403"/>
      <c r="AR65" s="403"/>
      <c r="AS65" s="403"/>
      <c r="AT65" s="403"/>
      <c r="AU65" s="403"/>
      <c r="AV65" s="403"/>
      <c r="AW65" s="403"/>
      <c r="AX65" s="403"/>
      <c r="AY65" s="403"/>
      <c r="AZ65" s="403"/>
      <c r="BA65" s="403"/>
      <c r="BB65" s="403"/>
      <c r="BC65" s="403"/>
      <c r="BD65" s="403"/>
      <c r="BE65" s="403"/>
      <c r="BF65" s="403"/>
      <c r="BG65" s="403"/>
      <c r="BH65" s="403"/>
      <c r="BI65" s="403"/>
      <c r="BJ65" s="403"/>
      <c r="BK65" s="403"/>
      <c r="BL65" s="403"/>
      <c r="BM65" s="403"/>
      <c r="BN65" s="403"/>
    </row>
    <row r="66" spans="1:66" s="405" customFormat="1" ht="76.5" x14ac:dyDescent="0.2">
      <c r="A66" s="256" t="s">
        <v>1074</v>
      </c>
      <c r="B66" s="398" t="s">
        <v>1303</v>
      </c>
      <c r="C66" s="255" t="s">
        <v>1316</v>
      </c>
      <c r="D66" s="255" t="s">
        <v>1314</v>
      </c>
      <c r="E66" s="406">
        <v>1</v>
      </c>
      <c r="F66" s="406"/>
      <c r="G66" s="406"/>
      <c r="H66" s="406"/>
      <c r="I66" s="406"/>
      <c r="J66" s="406"/>
      <c r="K66" s="406"/>
      <c r="L66" s="406"/>
      <c r="M66" s="406"/>
      <c r="N66" s="406"/>
      <c r="O66" s="406"/>
      <c r="P66" s="406"/>
      <c r="Q66" s="400">
        <f t="shared" si="1"/>
        <v>1</v>
      </c>
      <c r="R66" s="256" t="s">
        <v>943</v>
      </c>
      <c r="S66" s="256"/>
      <c r="T66" s="256"/>
      <c r="U66" s="255" t="s">
        <v>1324</v>
      </c>
      <c r="V66" s="407" t="s">
        <v>1306</v>
      </c>
      <c r="W66" s="403"/>
      <c r="X66" s="404"/>
      <c r="Y66" s="404"/>
      <c r="Z66" s="404"/>
      <c r="AA66" s="404"/>
      <c r="AB66" s="404"/>
      <c r="AC66" s="404"/>
      <c r="AD66" s="404"/>
      <c r="AE66" s="404"/>
      <c r="AF66" s="403"/>
      <c r="AG66" s="403"/>
      <c r="AH66" s="403"/>
      <c r="AI66" s="403"/>
      <c r="AJ66" s="403"/>
      <c r="AK66" s="403"/>
      <c r="AL66" s="403"/>
      <c r="AM66" s="403"/>
      <c r="AN66" s="403"/>
      <c r="AO66" s="403"/>
      <c r="AP66" s="403"/>
      <c r="AQ66" s="403"/>
      <c r="AR66" s="403"/>
      <c r="AS66" s="403"/>
      <c r="AT66" s="403"/>
      <c r="AU66" s="403"/>
      <c r="AV66" s="403"/>
      <c r="AW66" s="403"/>
      <c r="AX66" s="403"/>
      <c r="AY66" s="403"/>
      <c r="AZ66" s="403"/>
      <c r="BA66" s="403"/>
      <c r="BB66" s="403"/>
      <c r="BC66" s="403"/>
      <c r="BD66" s="403"/>
      <c r="BE66" s="403"/>
      <c r="BF66" s="403"/>
      <c r="BG66" s="403"/>
      <c r="BH66" s="403"/>
      <c r="BI66" s="403"/>
      <c r="BJ66" s="403"/>
      <c r="BK66" s="403"/>
      <c r="BL66" s="403"/>
      <c r="BM66" s="403"/>
      <c r="BN66" s="403"/>
    </row>
    <row r="67" spans="1:66" s="405" customFormat="1" ht="76.5" x14ac:dyDescent="0.2">
      <c r="A67" s="256" t="s">
        <v>1074</v>
      </c>
      <c r="B67" s="398" t="s">
        <v>1303</v>
      </c>
      <c r="C67" s="255" t="s">
        <v>1317</v>
      </c>
      <c r="D67" s="255" t="s">
        <v>1315</v>
      </c>
      <c r="E67" s="406">
        <v>1</v>
      </c>
      <c r="F67" s="406"/>
      <c r="G67" s="406"/>
      <c r="H67" s="406"/>
      <c r="I67" s="406"/>
      <c r="J67" s="406"/>
      <c r="K67" s="406"/>
      <c r="L67" s="406"/>
      <c r="M67" s="406"/>
      <c r="N67" s="406"/>
      <c r="O67" s="406"/>
      <c r="P67" s="406"/>
      <c r="Q67" s="400">
        <f t="shared" si="1"/>
        <v>1</v>
      </c>
      <c r="R67" s="256" t="s">
        <v>943</v>
      </c>
      <c r="S67" s="256"/>
      <c r="T67" s="256"/>
      <c r="U67" s="255" t="s">
        <v>1325</v>
      </c>
      <c r="V67" s="407" t="s">
        <v>1306</v>
      </c>
      <c r="W67" s="403"/>
      <c r="X67" s="404"/>
      <c r="Y67" s="404"/>
      <c r="Z67" s="404"/>
      <c r="AA67" s="404"/>
      <c r="AB67" s="404"/>
      <c r="AC67" s="404"/>
      <c r="AD67" s="404"/>
      <c r="AE67" s="404"/>
      <c r="AF67" s="403"/>
      <c r="AG67" s="403"/>
      <c r="AH67" s="403"/>
      <c r="AI67" s="403"/>
      <c r="AJ67" s="403"/>
      <c r="AK67" s="403"/>
      <c r="AL67" s="403"/>
      <c r="AM67" s="403"/>
      <c r="AN67" s="403"/>
      <c r="AO67" s="403"/>
      <c r="AP67" s="403"/>
      <c r="AQ67" s="403"/>
      <c r="AR67" s="403"/>
      <c r="AS67" s="403"/>
      <c r="AT67" s="403"/>
      <c r="AU67" s="403"/>
      <c r="AV67" s="403"/>
      <c r="AW67" s="403"/>
      <c r="AX67" s="403"/>
      <c r="AY67" s="403"/>
      <c r="AZ67" s="403"/>
      <c r="BA67" s="403"/>
      <c r="BB67" s="403"/>
      <c r="BC67" s="403"/>
      <c r="BD67" s="403"/>
      <c r="BE67" s="403"/>
      <c r="BF67" s="403"/>
      <c r="BG67" s="403"/>
      <c r="BH67" s="403"/>
      <c r="BI67" s="403"/>
      <c r="BJ67" s="403"/>
      <c r="BK67" s="403"/>
      <c r="BL67" s="403"/>
      <c r="BM67" s="403"/>
      <c r="BN67" s="403"/>
    </row>
    <row r="68" spans="1:66" s="405" customFormat="1" ht="76.5" x14ac:dyDescent="0.2">
      <c r="A68" s="256" t="s">
        <v>1074</v>
      </c>
      <c r="B68" s="398" t="s">
        <v>1303</v>
      </c>
      <c r="C68" s="255" t="s">
        <v>1318</v>
      </c>
      <c r="D68" s="256" t="s">
        <v>1321</v>
      </c>
      <c r="E68" s="399"/>
      <c r="F68" s="399"/>
      <c r="G68" s="399">
        <v>1</v>
      </c>
      <c r="H68" s="399"/>
      <c r="I68" s="399"/>
      <c r="J68" s="399"/>
      <c r="K68" s="399"/>
      <c r="L68" s="399"/>
      <c r="M68" s="399"/>
      <c r="N68" s="399"/>
      <c r="O68" s="399"/>
      <c r="P68" s="399"/>
      <c r="Q68" s="400">
        <f t="shared" si="1"/>
        <v>1</v>
      </c>
      <c r="R68" s="256" t="s">
        <v>934</v>
      </c>
      <c r="S68" s="256"/>
      <c r="T68" s="256"/>
      <c r="U68" s="256" t="s">
        <v>1326</v>
      </c>
      <c r="V68" s="407" t="s">
        <v>1306</v>
      </c>
      <c r="W68" s="403"/>
      <c r="X68" s="404"/>
      <c r="Y68" s="404"/>
      <c r="Z68" s="404"/>
      <c r="AA68" s="404"/>
      <c r="AB68" s="404"/>
      <c r="AC68" s="404"/>
      <c r="AD68" s="404"/>
      <c r="AE68" s="404"/>
      <c r="AF68" s="403"/>
      <c r="AG68" s="403"/>
      <c r="AH68" s="403"/>
      <c r="AI68" s="403"/>
      <c r="AJ68" s="403"/>
      <c r="AK68" s="403"/>
      <c r="AL68" s="403"/>
      <c r="AM68" s="403"/>
      <c r="AN68" s="403"/>
      <c r="AO68" s="403"/>
      <c r="AP68" s="403"/>
      <c r="AQ68" s="403"/>
      <c r="AR68" s="403"/>
      <c r="AS68" s="403"/>
      <c r="AT68" s="403"/>
      <c r="AU68" s="403"/>
      <c r="AV68" s="403"/>
      <c r="AW68" s="403"/>
      <c r="AX68" s="403"/>
      <c r="AY68" s="403"/>
      <c r="AZ68" s="403"/>
      <c r="BA68" s="403"/>
      <c r="BB68" s="403"/>
      <c r="BC68" s="403"/>
      <c r="BD68" s="403"/>
      <c r="BE68" s="403"/>
      <c r="BF68" s="403"/>
      <c r="BG68" s="403"/>
      <c r="BH68" s="403"/>
      <c r="BI68" s="403"/>
      <c r="BJ68" s="403"/>
      <c r="BK68" s="403"/>
      <c r="BL68" s="403"/>
      <c r="BM68" s="403"/>
      <c r="BN68" s="403"/>
    </row>
    <row r="69" spans="1:66" s="405" customFormat="1" ht="76.5" x14ac:dyDescent="0.2">
      <c r="A69" s="256" t="s">
        <v>1074</v>
      </c>
      <c r="B69" s="398" t="s">
        <v>1303</v>
      </c>
      <c r="C69" s="255" t="s">
        <v>1319</v>
      </c>
      <c r="D69" s="255" t="s">
        <v>1322</v>
      </c>
      <c r="E69" s="406"/>
      <c r="F69" s="406"/>
      <c r="G69" s="406"/>
      <c r="H69" s="406">
        <v>1</v>
      </c>
      <c r="I69" s="406"/>
      <c r="J69" s="406"/>
      <c r="K69" s="406">
        <v>1</v>
      </c>
      <c r="L69" s="406"/>
      <c r="M69" s="406"/>
      <c r="N69" s="406">
        <v>1</v>
      </c>
      <c r="O69" s="406"/>
      <c r="P69" s="406"/>
      <c r="Q69" s="400">
        <f t="shared" si="1"/>
        <v>3</v>
      </c>
      <c r="R69" s="256" t="s">
        <v>944</v>
      </c>
      <c r="S69" s="256"/>
      <c r="T69" s="256"/>
      <c r="U69" s="255" t="s">
        <v>1327</v>
      </c>
      <c r="V69" s="407" t="s">
        <v>1306</v>
      </c>
      <c r="W69" s="403"/>
      <c r="X69" s="404"/>
      <c r="Y69" s="404"/>
      <c r="Z69" s="404"/>
      <c r="AA69" s="404"/>
      <c r="AB69" s="404"/>
      <c r="AC69" s="404"/>
      <c r="AD69" s="404"/>
      <c r="AE69" s="404"/>
      <c r="AF69" s="403"/>
      <c r="AG69" s="403"/>
      <c r="AH69" s="403"/>
      <c r="AI69" s="403"/>
      <c r="AJ69" s="403"/>
      <c r="AK69" s="403"/>
      <c r="AL69" s="403"/>
      <c r="AM69" s="403"/>
      <c r="AN69" s="403"/>
      <c r="AO69" s="403"/>
      <c r="AP69" s="403"/>
      <c r="AQ69" s="403"/>
      <c r="AR69" s="403"/>
      <c r="AS69" s="403"/>
      <c r="AT69" s="403"/>
      <c r="AU69" s="403"/>
      <c r="AV69" s="403"/>
      <c r="AW69" s="403"/>
      <c r="AX69" s="403"/>
      <c r="AY69" s="403"/>
      <c r="AZ69" s="403"/>
      <c r="BA69" s="403"/>
      <c r="BB69" s="403"/>
      <c r="BC69" s="403"/>
      <c r="BD69" s="403"/>
      <c r="BE69" s="403"/>
      <c r="BF69" s="403"/>
      <c r="BG69" s="403"/>
      <c r="BH69" s="403"/>
      <c r="BI69" s="403"/>
      <c r="BJ69" s="403"/>
      <c r="BK69" s="403"/>
      <c r="BL69" s="403"/>
      <c r="BM69" s="403"/>
      <c r="BN69" s="403"/>
    </row>
    <row r="70" spans="1:66" s="405" customFormat="1" ht="76.5" x14ac:dyDescent="0.2">
      <c r="A70" s="256" t="s">
        <v>1074</v>
      </c>
      <c r="B70" s="398" t="s">
        <v>1303</v>
      </c>
      <c r="C70" s="255" t="s">
        <v>1320</v>
      </c>
      <c r="D70" s="256" t="s">
        <v>1323</v>
      </c>
      <c r="E70" s="399"/>
      <c r="F70" s="399"/>
      <c r="G70" s="399"/>
      <c r="H70" s="399">
        <v>1</v>
      </c>
      <c r="I70" s="399"/>
      <c r="J70" s="399"/>
      <c r="K70" s="399">
        <v>1</v>
      </c>
      <c r="L70" s="399"/>
      <c r="M70" s="399"/>
      <c r="N70" s="399">
        <v>1</v>
      </c>
      <c r="O70" s="399"/>
      <c r="P70" s="399"/>
      <c r="Q70" s="400">
        <f t="shared" si="1"/>
        <v>3</v>
      </c>
      <c r="R70" s="256" t="s">
        <v>943</v>
      </c>
      <c r="S70" s="256"/>
      <c r="T70" s="256"/>
      <c r="U70" s="256"/>
      <c r="V70" s="407" t="s">
        <v>1306</v>
      </c>
      <c r="W70" s="403"/>
      <c r="X70" s="404"/>
      <c r="Y70" s="404"/>
      <c r="Z70" s="404"/>
      <c r="AA70" s="404"/>
      <c r="AB70" s="404"/>
      <c r="AC70" s="404"/>
      <c r="AD70" s="404"/>
      <c r="AE70" s="404"/>
      <c r="AF70" s="403"/>
      <c r="AG70" s="403"/>
      <c r="AH70" s="403"/>
      <c r="AI70" s="403"/>
      <c r="AJ70" s="403"/>
      <c r="AK70" s="403"/>
      <c r="AL70" s="403"/>
      <c r="AM70" s="403"/>
      <c r="AN70" s="403"/>
      <c r="AO70" s="403"/>
      <c r="AP70" s="403"/>
      <c r="AQ70" s="403"/>
      <c r="AR70" s="403"/>
      <c r="AS70" s="403"/>
      <c r="AT70" s="403"/>
      <c r="AU70" s="403"/>
      <c r="AV70" s="403"/>
      <c r="AW70" s="403"/>
      <c r="AX70" s="403"/>
      <c r="AY70" s="403"/>
      <c r="AZ70" s="403"/>
      <c r="BA70" s="403"/>
      <c r="BB70" s="403"/>
      <c r="BC70" s="403"/>
      <c r="BD70" s="403"/>
      <c r="BE70" s="403"/>
      <c r="BF70" s="403"/>
      <c r="BG70" s="403"/>
      <c r="BH70" s="403"/>
      <c r="BI70" s="403"/>
      <c r="BJ70" s="403"/>
      <c r="BK70" s="403"/>
      <c r="BL70" s="403"/>
      <c r="BM70" s="403"/>
      <c r="BN70" s="403"/>
    </row>
    <row r="71" spans="1:66" s="405" customFormat="1" ht="114.75" x14ac:dyDescent="0.2">
      <c r="A71" s="256" t="s">
        <v>1076</v>
      </c>
      <c r="B71" s="255" t="s">
        <v>1094</v>
      </c>
      <c r="C71" s="255" t="s">
        <v>1095</v>
      </c>
      <c r="D71" s="255" t="s">
        <v>1097</v>
      </c>
      <c r="E71" s="406">
        <v>1</v>
      </c>
      <c r="F71" s="406"/>
      <c r="G71" s="406"/>
      <c r="H71" s="406"/>
      <c r="I71" s="406"/>
      <c r="J71" s="406"/>
      <c r="K71" s="406"/>
      <c r="L71" s="406"/>
      <c r="M71" s="406"/>
      <c r="N71" s="406"/>
      <c r="O71" s="406"/>
      <c r="P71" s="406"/>
      <c r="Q71" s="400">
        <f t="shared" si="1"/>
        <v>1</v>
      </c>
      <c r="R71" s="256"/>
      <c r="S71" s="256"/>
      <c r="T71" s="255" t="s">
        <v>1099</v>
      </c>
      <c r="U71" s="255"/>
      <c r="V71" s="407" t="s">
        <v>1101</v>
      </c>
      <c r="W71" s="403"/>
      <c r="X71" s="404"/>
      <c r="Y71" s="404"/>
      <c r="Z71" s="404"/>
      <c r="AA71" s="404"/>
      <c r="AB71" s="404"/>
      <c r="AC71" s="404"/>
      <c r="AD71" s="404"/>
      <c r="AE71" s="404"/>
      <c r="AF71" s="403"/>
      <c r="AG71" s="403"/>
      <c r="AH71" s="403"/>
      <c r="AI71" s="403"/>
      <c r="AJ71" s="403"/>
      <c r="AK71" s="403"/>
      <c r="AL71" s="403"/>
      <c r="AM71" s="403"/>
      <c r="AN71" s="403"/>
      <c r="AO71" s="403"/>
      <c r="AP71" s="403"/>
      <c r="AQ71" s="403"/>
      <c r="AR71" s="403"/>
      <c r="AS71" s="403"/>
      <c r="AT71" s="403"/>
      <c r="AU71" s="403"/>
      <c r="AV71" s="403"/>
      <c r="AW71" s="403"/>
      <c r="AX71" s="403"/>
      <c r="AY71" s="403"/>
      <c r="AZ71" s="403"/>
      <c r="BA71" s="403"/>
      <c r="BB71" s="403"/>
      <c r="BC71" s="403"/>
      <c r="BD71" s="403"/>
      <c r="BE71" s="403"/>
      <c r="BF71" s="403"/>
      <c r="BG71" s="403"/>
      <c r="BH71" s="403"/>
      <c r="BI71" s="403"/>
      <c r="BJ71" s="403"/>
      <c r="BK71" s="403"/>
      <c r="BL71" s="403"/>
      <c r="BM71" s="403"/>
      <c r="BN71" s="403"/>
    </row>
    <row r="72" spans="1:66" s="405" customFormat="1" ht="89.25" x14ac:dyDescent="0.2">
      <c r="A72" s="256" t="s">
        <v>1076</v>
      </c>
      <c r="B72" s="255" t="s">
        <v>1094</v>
      </c>
      <c r="C72" s="255" t="s">
        <v>1096</v>
      </c>
      <c r="D72" s="256" t="s">
        <v>1098</v>
      </c>
      <c r="E72" s="399"/>
      <c r="F72" s="399"/>
      <c r="G72" s="399"/>
      <c r="H72" s="399"/>
      <c r="I72" s="399"/>
      <c r="J72" s="399"/>
      <c r="K72" s="399">
        <v>1</v>
      </c>
      <c r="L72" s="399"/>
      <c r="M72" s="399"/>
      <c r="N72" s="399"/>
      <c r="O72" s="399"/>
      <c r="P72" s="399">
        <v>1</v>
      </c>
      <c r="Q72" s="400">
        <f t="shared" si="1"/>
        <v>2</v>
      </c>
      <c r="R72" s="256"/>
      <c r="S72" s="256"/>
      <c r="T72" s="256" t="s">
        <v>1100</v>
      </c>
      <c r="U72" s="256"/>
      <c r="V72" s="407" t="s">
        <v>1101</v>
      </c>
      <c r="W72" s="403"/>
      <c r="X72" s="404"/>
      <c r="Y72" s="404"/>
      <c r="Z72" s="404"/>
      <c r="AA72" s="404"/>
      <c r="AB72" s="404"/>
      <c r="AC72" s="404"/>
      <c r="AD72" s="404"/>
      <c r="AE72" s="404"/>
      <c r="AF72" s="403"/>
      <c r="AG72" s="403"/>
      <c r="AH72" s="403"/>
      <c r="AI72" s="403"/>
      <c r="AJ72" s="403"/>
      <c r="AK72" s="403"/>
      <c r="AL72" s="403"/>
      <c r="AM72" s="403"/>
      <c r="AN72" s="403"/>
      <c r="AO72" s="403"/>
      <c r="AP72" s="403"/>
      <c r="AQ72" s="403"/>
      <c r="AR72" s="403"/>
      <c r="AS72" s="403"/>
      <c r="AT72" s="403"/>
      <c r="AU72" s="403"/>
      <c r="AV72" s="403"/>
      <c r="AW72" s="403"/>
      <c r="AX72" s="403"/>
      <c r="AY72" s="403"/>
      <c r="AZ72" s="403"/>
      <c r="BA72" s="403"/>
      <c r="BB72" s="403"/>
      <c r="BC72" s="403"/>
      <c r="BD72" s="403"/>
      <c r="BE72" s="403"/>
      <c r="BF72" s="403"/>
      <c r="BG72" s="403"/>
      <c r="BH72" s="403"/>
      <c r="BI72" s="403"/>
      <c r="BJ72" s="403"/>
      <c r="BK72" s="403"/>
      <c r="BL72" s="403"/>
      <c r="BM72" s="403"/>
      <c r="BN72" s="403"/>
    </row>
    <row r="73" spans="1:66" s="405" customFormat="1" ht="89.25" x14ac:dyDescent="0.2">
      <c r="A73" s="256" t="s">
        <v>1076</v>
      </c>
      <c r="B73" s="255" t="s">
        <v>1102</v>
      </c>
      <c r="C73" s="255" t="s">
        <v>1103</v>
      </c>
      <c r="D73" s="255" t="s">
        <v>1104</v>
      </c>
      <c r="E73" s="406"/>
      <c r="F73" s="406"/>
      <c r="G73" s="406">
        <v>1</v>
      </c>
      <c r="H73" s="406"/>
      <c r="I73" s="406"/>
      <c r="J73" s="406">
        <v>1</v>
      </c>
      <c r="K73" s="406"/>
      <c r="L73" s="406"/>
      <c r="M73" s="406">
        <v>1</v>
      </c>
      <c r="N73" s="406"/>
      <c r="O73" s="406"/>
      <c r="P73" s="406">
        <v>1</v>
      </c>
      <c r="Q73" s="400">
        <f t="shared" si="1"/>
        <v>4</v>
      </c>
      <c r="R73" s="256" t="s">
        <v>943</v>
      </c>
      <c r="S73" s="256"/>
      <c r="T73" s="256"/>
      <c r="U73" s="255"/>
      <c r="V73" s="407" t="s">
        <v>1109</v>
      </c>
      <c r="W73" s="403"/>
      <c r="X73" s="404"/>
      <c r="Y73" s="404"/>
      <c r="Z73" s="404"/>
      <c r="AA73" s="404"/>
      <c r="AB73" s="404"/>
      <c r="AC73" s="404"/>
      <c r="AD73" s="404"/>
      <c r="AE73" s="404"/>
      <c r="AF73" s="403"/>
      <c r="AG73" s="403"/>
      <c r="AH73" s="403"/>
      <c r="AI73" s="403"/>
      <c r="AJ73" s="403"/>
      <c r="AK73" s="403"/>
      <c r="AL73" s="403"/>
      <c r="AM73" s="403"/>
      <c r="AN73" s="403"/>
      <c r="AO73" s="403"/>
      <c r="AP73" s="403"/>
      <c r="AQ73" s="403"/>
      <c r="AR73" s="403"/>
      <c r="AS73" s="403"/>
      <c r="AT73" s="403"/>
      <c r="AU73" s="403"/>
      <c r="AV73" s="403"/>
      <c r="AW73" s="403"/>
      <c r="AX73" s="403"/>
      <c r="AY73" s="403"/>
      <c r="AZ73" s="403"/>
      <c r="BA73" s="403"/>
      <c r="BB73" s="403"/>
      <c r="BC73" s="403"/>
      <c r="BD73" s="403"/>
      <c r="BE73" s="403"/>
      <c r="BF73" s="403"/>
      <c r="BG73" s="403"/>
      <c r="BH73" s="403"/>
      <c r="BI73" s="403"/>
      <c r="BJ73" s="403"/>
      <c r="BK73" s="403"/>
      <c r="BL73" s="403"/>
      <c r="BM73" s="403"/>
      <c r="BN73" s="403"/>
    </row>
    <row r="74" spans="1:66" s="405" customFormat="1" ht="89.25" x14ac:dyDescent="0.2">
      <c r="A74" s="256" t="s">
        <v>1076</v>
      </c>
      <c r="B74" s="256" t="s">
        <v>1102</v>
      </c>
      <c r="C74" s="256" t="s">
        <v>1105</v>
      </c>
      <c r="D74" s="256" t="s">
        <v>1106</v>
      </c>
      <c r="E74" s="399"/>
      <c r="F74" s="399"/>
      <c r="G74" s="399">
        <v>1</v>
      </c>
      <c r="H74" s="399"/>
      <c r="I74" s="399"/>
      <c r="J74" s="399">
        <v>1</v>
      </c>
      <c r="K74" s="399"/>
      <c r="L74" s="399"/>
      <c r="M74" s="399">
        <v>1</v>
      </c>
      <c r="N74" s="399"/>
      <c r="O74" s="399"/>
      <c r="P74" s="399">
        <v>1</v>
      </c>
      <c r="Q74" s="400">
        <f t="shared" si="1"/>
        <v>4</v>
      </c>
      <c r="R74" s="256" t="s">
        <v>943</v>
      </c>
      <c r="S74" s="256"/>
      <c r="T74" s="256"/>
      <c r="U74" s="256"/>
      <c r="V74" s="407" t="s">
        <v>1109</v>
      </c>
      <c r="W74" s="403"/>
      <c r="X74" s="404"/>
      <c r="Y74" s="404"/>
      <c r="Z74" s="404"/>
      <c r="AA74" s="404"/>
      <c r="AB74" s="404"/>
      <c r="AC74" s="404"/>
      <c r="AD74" s="404"/>
      <c r="AE74" s="404"/>
      <c r="AF74" s="403"/>
      <c r="AG74" s="403"/>
      <c r="AH74" s="403"/>
      <c r="AI74" s="403"/>
      <c r="AJ74" s="403"/>
      <c r="AK74" s="403"/>
      <c r="AL74" s="403"/>
      <c r="AM74" s="403"/>
      <c r="AN74" s="403"/>
      <c r="AO74" s="403"/>
      <c r="AP74" s="403"/>
      <c r="AQ74" s="403"/>
      <c r="AR74" s="403"/>
      <c r="AS74" s="403"/>
      <c r="AT74" s="403"/>
      <c r="AU74" s="403"/>
      <c r="AV74" s="403"/>
      <c r="AW74" s="403"/>
      <c r="AX74" s="403"/>
      <c r="AY74" s="403"/>
      <c r="AZ74" s="403"/>
      <c r="BA74" s="403"/>
      <c r="BB74" s="403"/>
      <c r="BC74" s="403"/>
      <c r="BD74" s="403"/>
      <c r="BE74" s="403"/>
      <c r="BF74" s="403"/>
      <c r="BG74" s="403"/>
      <c r="BH74" s="403"/>
      <c r="BI74" s="403"/>
      <c r="BJ74" s="403"/>
      <c r="BK74" s="403"/>
      <c r="BL74" s="403"/>
      <c r="BM74" s="403"/>
      <c r="BN74" s="403"/>
    </row>
    <row r="75" spans="1:66" s="405" customFormat="1" ht="89.25" x14ac:dyDescent="0.2">
      <c r="A75" s="256" t="s">
        <v>1076</v>
      </c>
      <c r="B75" s="255" t="s">
        <v>1102</v>
      </c>
      <c r="C75" s="255" t="s">
        <v>1107</v>
      </c>
      <c r="D75" s="255" t="s">
        <v>1108</v>
      </c>
      <c r="E75" s="406"/>
      <c r="F75" s="406"/>
      <c r="G75" s="406">
        <v>1</v>
      </c>
      <c r="H75" s="406"/>
      <c r="I75" s="406"/>
      <c r="J75" s="406">
        <v>1</v>
      </c>
      <c r="K75" s="406"/>
      <c r="L75" s="406"/>
      <c r="M75" s="406">
        <v>1</v>
      </c>
      <c r="N75" s="406"/>
      <c r="O75" s="406"/>
      <c r="P75" s="406">
        <v>1</v>
      </c>
      <c r="Q75" s="400">
        <f t="shared" si="1"/>
        <v>4</v>
      </c>
      <c r="R75" s="256" t="s">
        <v>946</v>
      </c>
      <c r="S75" s="256"/>
      <c r="T75" s="256"/>
      <c r="U75" s="255"/>
      <c r="V75" s="407" t="s">
        <v>1109</v>
      </c>
      <c r="W75" s="403"/>
      <c r="X75" s="404"/>
      <c r="Y75" s="404"/>
      <c r="Z75" s="404"/>
      <c r="AA75" s="404"/>
      <c r="AB75" s="404"/>
      <c r="AC75" s="404"/>
      <c r="AD75" s="404"/>
      <c r="AE75" s="404"/>
      <c r="AF75" s="403"/>
      <c r="AG75" s="403"/>
      <c r="AH75" s="403"/>
      <c r="AI75" s="403"/>
      <c r="AJ75" s="403"/>
      <c r="AK75" s="403"/>
      <c r="AL75" s="403"/>
      <c r="AM75" s="403"/>
      <c r="AN75" s="403"/>
      <c r="AO75" s="403"/>
      <c r="AP75" s="403"/>
      <c r="AQ75" s="403"/>
      <c r="AR75" s="403"/>
      <c r="AS75" s="403"/>
      <c r="AT75" s="403"/>
      <c r="AU75" s="403"/>
      <c r="AV75" s="403"/>
      <c r="AW75" s="403"/>
      <c r="AX75" s="403"/>
      <c r="AY75" s="403"/>
      <c r="AZ75" s="403"/>
      <c r="BA75" s="403"/>
      <c r="BB75" s="403"/>
      <c r="BC75" s="403"/>
      <c r="BD75" s="403"/>
      <c r="BE75" s="403"/>
      <c r="BF75" s="403"/>
      <c r="BG75" s="403"/>
      <c r="BH75" s="403"/>
      <c r="BI75" s="403"/>
      <c r="BJ75" s="403"/>
      <c r="BK75" s="403"/>
      <c r="BL75" s="403"/>
      <c r="BM75" s="403"/>
      <c r="BN75" s="403"/>
    </row>
    <row r="76" spans="1:66" s="405" customFormat="1" ht="89.25" x14ac:dyDescent="0.2">
      <c r="A76" s="256" t="s">
        <v>1076</v>
      </c>
      <c r="B76" s="256" t="s">
        <v>1262</v>
      </c>
      <c r="C76" s="256" t="s">
        <v>1263</v>
      </c>
      <c r="D76" s="256" t="s">
        <v>1267</v>
      </c>
      <c r="E76" s="399"/>
      <c r="F76" s="399"/>
      <c r="G76" s="399"/>
      <c r="H76" s="399"/>
      <c r="I76" s="399"/>
      <c r="J76" s="399"/>
      <c r="K76" s="399"/>
      <c r="L76" s="399"/>
      <c r="M76" s="399"/>
      <c r="N76" s="399"/>
      <c r="O76" s="399">
        <v>1</v>
      </c>
      <c r="P76" s="399"/>
      <c r="Q76" s="400">
        <f t="shared" si="1"/>
        <v>1</v>
      </c>
      <c r="R76" s="256" t="s">
        <v>948</v>
      </c>
      <c r="S76" s="256"/>
      <c r="T76" s="256"/>
      <c r="U76" s="256"/>
      <c r="V76" s="402" t="s">
        <v>1101</v>
      </c>
      <c r="W76" s="403"/>
      <c r="X76" s="404"/>
      <c r="Y76" s="404"/>
      <c r="Z76" s="404"/>
      <c r="AA76" s="404"/>
      <c r="AB76" s="404"/>
      <c r="AC76" s="404"/>
      <c r="AD76" s="404"/>
      <c r="AE76" s="404"/>
      <c r="AF76" s="403"/>
      <c r="AG76" s="403"/>
      <c r="AH76" s="403"/>
      <c r="AI76" s="403"/>
      <c r="AJ76" s="403"/>
      <c r="AK76" s="403"/>
      <c r="AL76" s="403"/>
      <c r="AM76" s="403"/>
      <c r="AN76" s="403"/>
      <c r="AO76" s="403"/>
      <c r="AP76" s="403"/>
      <c r="AQ76" s="403"/>
      <c r="AR76" s="403"/>
      <c r="AS76" s="403"/>
      <c r="AT76" s="403"/>
      <c r="AU76" s="403"/>
      <c r="AV76" s="403"/>
      <c r="AW76" s="403"/>
      <c r="AX76" s="403"/>
      <c r="AY76" s="403"/>
      <c r="AZ76" s="403"/>
      <c r="BA76" s="403"/>
      <c r="BB76" s="403"/>
      <c r="BC76" s="403"/>
      <c r="BD76" s="403"/>
      <c r="BE76" s="403"/>
      <c r="BF76" s="403"/>
      <c r="BG76" s="403"/>
      <c r="BH76" s="403"/>
      <c r="BI76" s="403"/>
      <c r="BJ76" s="403"/>
      <c r="BK76" s="403"/>
      <c r="BL76" s="403"/>
      <c r="BM76" s="403"/>
      <c r="BN76" s="403"/>
    </row>
    <row r="77" spans="1:66" s="405" customFormat="1" ht="89.25" x14ac:dyDescent="0.2">
      <c r="A77" s="256" t="s">
        <v>1076</v>
      </c>
      <c r="B77" s="255" t="s">
        <v>1262</v>
      </c>
      <c r="C77" s="255" t="s">
        <v>1264</v>
      </c>
      <c r="D77" s="255" t="s">
        <v>1269</v>
      </c>
      <c r="E77" s="406"/>
      <c r="F77" s="406"/>
      <c r="G77" s="406"/>
      <c r="H77" s="406"/>
      <c r="I77" s="406"/>
      <c r="J77" s="406"/>
      <c r="K77" s="406"/>
      <c r="L77" s="406"/>
      <c r="M77" s="406">
        <v>1</v>
      </c>
      <c r="N77" s="406"/>
      <c r="O77" s="406"/>
      <c r="P77" s="406"/>
      <c r="Q77" s="400">
        <f t="shared" si="1"/>
        <v>1</v>
      </c>
      <c r="R77" s="256" t="s">
        <v>938</v>
      </c>
      <c r="S77" s="256"/>
      <c r="T77" s="256"/>
      <c r="U77" s="255"/>
      <c r="V77" s="402" t="s">
        <v>1101</v>
      </c>
      <c r="W77" s="403"/>
      <c r="X77" s="404"/>
      <c r="Y77" s="404"/>
      <c r="Z77" s="404"/>
      <c r="AA77" s="404"/>
      <c r="AB77" s="404"/>
      <c r="AC77" s="404"/>
      <c r="AD77" s="404"/>
      <c r="AE77" s="404"/>
      <c r="AF77" s="403"/>
      <c r="AG77" s="403"/>
      <c r="AH77" s="403"/>
      <c r="AI77" s="403"/>
      <c r="AJ77" s="403"/>
      <c r="AK77" s="403"/>
      <c r="AL77" s="403"/>
      <c r="AM77" s="403"/>
      <c r="AN77" s="403"/>
      <c r="AO77" s="403"/>
      <c r="AP77" s="403"/>
      <c r="AQ77" s="403"/>
      <c r="AR77" s="403"/>
      <c r="AS77" s="403"/>
      <c r="AT77" s="403"/>
      <c r="AU77" s="403"/>
      <c r="AV77" s="403"/>
      <c r="AW77" s="403"/>
      <c r="AX77" s="403"/>
      <c r="AY77" s="403"/>
      <c r="AZ77" s="403"/>
      <c r="BA77" s="403"/>
      <c r="BB77" s="403"/>
      <c r="BC77" s="403"/>
      <c r="BD77" s="403"/>
      <c r="BE77" s="403"/>
      <c r="BF77" s="403"/>
      <c r="BG77" s="403"/>
      <c r="BH77" s="403"/>
      <c r="BI77" s="403"/>
      <c r="BJ77" s="403"/>
      <c r="BK77" s="403"/>
      <c r="BL77" s="403"/>
      <c r="BM77" s="403"/>
      <c r="BN77" s="403"/>
    </row>
    <row r="78" spans="1:66" s="405" customFormat="1" ht="89.25" x14ac:dyDescent="0.2">
      <c r="A78" s="256" t="s">
        <v>1076</v>
      </c>
      <c r="B78" s="256" t="s">
        <v>1262</v>
      </c>
      <c r="C78" s="256" t="s">
        <v>1265</v>
      </c>
      <c r="D78" s="256" t="s">
        <v>1268</v>
      </c>
      <c r="E78" s="399">
        <v>1</v>
      </c>
      <c r="F78" s="399"/>
      <c r="G78" s="399"/>
      <c r="H78" s="399">
        <v>1</v>
      </c>
      <c r="I78" s="399"/>
      <c r="J78" s="399"/>
      <c r="K78" s="399">
        <v>1</v>
      </c>
      <c r="L78" s="399"/>
      <c r="M78" s="399"/>
      <c r="N78" s="399">
        <v>1</v>
      </c>
      <c r="O78" s="399"/>
      <c r="P78" s="399"/>
      <c r="Q78" s="400">
        <f t="shared" si="1"/>
        <v>4</v>
      </c>
      <c r="R78" s="256"/>
      <c r="S78" s="256"/>
      <c r="T78" s="256" t="s">
        <v>1271</v>
      </c>
      <c r="U78" s="256"/>
      <c r="V78" s="402" t="s">
        <v>1101</v>
      </c>
      <c r="W78" s="403"/>
      <c r="X78" s="404"/>
      <c r="Y78" s="404"/>
      <c r="Z78" s="404"/>
      <c r="AA78" s="404"/>
      <c r="AB78" s="404"/>
      <c r="AC78" s="404"/>
      <c r="AD78" s="404"/>
      <c r="AE78" s="404"/>
      <c r="AF78" s="403"/>
      <c r="AG78" s="403"/>
      <c r="AH78" s="403"/>
      <c r="AI78" s="403"/>
      <c r="AJ78" s="403"/>
      <c r="AK78" s="403"/>
      <c r="AL78" s="403"/>
      <c r="AM78" s="403"/>
      <c r="AN78" s="403"/>
      <c r="AO78" s="403"/>
      <c r="AP78" s="403"/>
      <c r="AQ78" s="403"/>
      <c r="AR78" s="403"/>
      <c r="AS78" s="403"/>
      <c r="AT78" s="403"/>
      <c r="AU78" s="403"/>
      <c r="AV78" s="403"/>
      <c r="AW78" s="403"/>
      <c r="AX78" s="403"/>
      <c r="AY78" s="403"/>
      <c r="AZ78" s="403"/>
      <c r="BA78" s="403"/>
      <c r="BB78" s="403"/>
      <c r="BC78" s="403"/>
      <c r="BD78" s="403"/>
      <c r="BE78" s="403"/>
      <c r="BF78" s="403"/>
      <c r="BG78" s="403"/>
      <c r="BH78" s="403"/>
      <c r="BI78" s="403"/>
      <c r="BJ78" s="403"/>
      <c r="BK78" s="403"/>
      <c r="BL78" s="403"/>
      <c r="BM78" s="403"/>
      <c r="BN78" s="403"/>
    </row>
    <row r="79" spans="1:66" s="405" customFormat="1" ht="89.25" x14ac:dyDescent="0.2">
      <c r="A79" s="256" t="s">
        <v>1076</v>
      </c>
      <c r="B79" s="255" t="s">
        <v>1262</v>
      </c>
      <c r="C79" s="255" t="s">
        <v>1266</v>
      </c>
      <c r="D79" s="255" t="s">
        <v>1270</v>
      </c>
      <c r="E79" s="406"/>
      <c r="F79" s="406">
        <v>1</v>
      </c>
      <c r="G79" s="406"/>
      <c r="H79" s="406"/>
      <c r="I79" s="406">
        <v>1</v>
      </c>
      <c r="J79" s="406"/>
      <c r="K79" s="406"/>
      <c r="L79" s="406">
        <v>1</v>
      </c>
      <c r="M79" s="406"/>
      <c r="N79" s="406"/>
      <c r="O79" s="406">
        <v>1</v>
      </c>
      <c r="P79" s="406"/>
      <c r="Q79" s="400">
        <f t="shared" si="1"/>
        <v>4</v>
      </c>
      <c r="R79" s="256" t="s">
        <v>935</v>
      </c>
      <c r="S79" s="256" t="s">
        <v>934</v>
      </c>
      <c r="T79" s="256" t="s">
        <v>938</v>
      </c>
      <c r="U79" s="255"/>
      <c r="V79" s="402" t="s">
        <v>1101</v>
      </c>
      <c r="W79" s="403"/>
      <c r="X79" s="404"/>
      <c r="Y79" s="404"/>
      <c r="Z79" s="404"/>
      <c r="AA79" s="404"/>
      <c r="AB79" s="404"/>
      <c r="AC79" s="404"/>
      <c r="AD79" s="404"/>
      <c r="AE79" s="404"/>
      <c r="AF79" s="403"/>
      <c r="AG79" s="403"/>
      <c r="AH79" s="403"/>
      <c r="AI79" s="403"/>
      <c r="AJ79" s="403"/>
      <c r="AK79" s="403"/>
      <c r="AL79" s="403"/>
      <c r="AM79" s="403"/>
      <c r="AN79" s="403"/>
      <c r="AO79" s="403"/>
      <c r="AP79" s="403"/>
      <c r="AQ79" s="403"/>
      <c r="AR79" s="403"/>
      <c r="AS79" s="403"/>
      <c r="AT79" s="403"/>
      <c r="AU79" s="403"/>
      <c r="AV79" s="403"/>
      <c r="AW79" s="403"/>
      <c r="AX79" s="403"/>
      <c r="AY79" s="403"/>
      <c r="AZ79" s="403"/>
      <c r="BA79" s="403"/>
      <c r="BB79" s="403"/>
      <c r="BC79" s="403"/>
      <c r="BD79" s="403"/>
      <c r="BE79" s="403"/>
      <c r="BF79" s="403"/>
      <c r="BG79" s="403"/>
      <c r="BH79" s="403"/>
      <c r="BI79" s="403"/>
      <c r="BJ79" s="403"/>
      <c r="BK79" s="403"/>
      <c r="BL79" s="403"/>
      <c r="BM79" s="403"/>
      <c r="BN79" s="403"/>
    </row>
    <row r="80" spans="1:66" s="405" customFormat="1" ht="89.25" x14ac:dyDescent="0.2">
      <c r="A80" s="256" t="s">
        <v>1076</v>
      </c>
      <c r="B80" s="255" t="s">
        <v>1262</v>
      </c>
      <c r="C80" s="255" t="s">
        <v>1272</v>
      </c>
      <c r="D80" s="255" t="s">
        <v>1279</v>
      </c>
      <c r="E80" s="406"/>
      <c r="F80" s="406"/>
      <c r="G80" s="406"/>
      <c r="H80" s="406"/>
      <c r="I80" s="406">
        <v>1</v>
      </c>
      <c r="J80" s="406"/>
      <c r="K80" s="406"/>
      <c r="L80" s="406"/>
      <c r="M80" s="406"/>
      <c r="N80" s="406"/>
      <c r="O80" s="406"/>
      <c r="P80" s="406"/>
      <c r="Q80" s="400">
        <f t="shared" si="1"/>
        <v>1</v>
      </c>
      <c r="R80" s="256" t="s">
        <v>934</v>
      </c>
      <c r="S80" s="256"/>
      <c r="T80" s="256"/>
      <c r="U80" s="255"/>
      <c r="V80" s="402" t="s">
        <v>1101</v>
      </c>
      <c r="W80" s="403"/>
      <c r="X80" s="404"/>
      <c r="Y80" s="404"/>
      <c r="Z80" s="404"/>
      <c r="AA80" s="404"/>
      <c r="AB80" s="404"/>
      <c r="AC80" s="404"/>
      <c r="AD80" s="404"/>
      <c r="AE80" s="404"/>
      <c r="AF80" s="403"/>
      <c r="AG80" s="403"/>
      <c r="AH80" s="403"/>
      <c r="AI80" s="403"/>
      <c r="AJ80" s="403"/>
      <c r="AK80" s="403"/>
      <c r="AL80" s="403"/>
      <c r="AM80" s="403"/>
      <c r="AN80" s="403"/>
      <c r="AO80" s="403"/>
      <c r="AP80" s="403"/>
      <c r="AQ80" s="403"/>
      <c r="AR80" s="403"/>
      <c r="AS80" s="403"/>
      <c r="AT80" s="403"/>
      <c r="AU80" s="403"/>
      <c r="AV80" s="403"/>
      <c r="AW80" s="403"/>
      <c r="AX80" s="403"/>
      <c r="AY80" s="403"/>
      <c r="AZ80" s="403"/>
      <c r="BA80" s="403"/>
      <c r="BB80" s="403"/>
      <c r="BC80" s="403"/>
      <c r="BD80" s="403"/>
      <c r="BE80" s="403"/>
      <c r="BF80" s="403"/>
      <c r="BG80" s="403"/>
      <c r="BH80" s="403"/>
      <c r="BI80" s="403"/>
      <c r="BJ80" s="403"/>
      <c r="BK80" s="403"/>
      <c r="BL80" s="403"/>
      <c r="BM80" s="403"/>
      <c r="BN80" s="403"/>
    </row>
    <row r="81" spans="1:66" s="405" customFormat="1" ht="89.25" x14ac:dyDescent="0.2">
      <c r="A81" s="256" t="s">
        <v>1076</v>
      </c>
      <c r="B81" s="255" t="s">
        <v>1262</v>
      </c>
      <c r="C81" s="255" t="s">
        <v>1273</v>
      </c>
      <c r="D81" s="255" t="s">
        <v>1280</v>
      </c>
      <c r="E81" s="406"/>
      <c r="F81" s="406"/>
      <c r="G81" s="406"/>
      <c r="H81" s="406"/>
      <c r="I81" s="406">
        <v>1</v>
      </c>
      <c r="J81" s="406"/>
      <c r="K81" s="406"/>
      <c r="L81" s="406"/>
      <c r="M81" s="406"/>
      <c r="N81" s="406"/>
      <c r="O81" s="406"/>
      <c r="P81" s="406"/>
      <c r="Q81" s="400">
        <f t="shared" si="1"/>
        <v>1</v>
      </c>
      <c r="R81" s="256" t="s">
        <v>934</v>
      </c>
      <c r="S81" s="256"/>
      <c r="T81" s="256"/>
      <c r="U81" s="255"/>
      <c r="V81" s="402" t="s">
        <v>1101</v>
      </c>
      <c r="W81" s="403"/>
      <c r="X81" s="404"/>
      <c r="Y81" s="404"/>
      <c r="Z81" s="404"/>
      <c r="AA81" s="404"/>
      <c r="AB81" s="404"/>
      <c r="AC81" s="404"/>
      <c r="AD81" s="404"/>
      <c r="AE81" s="404"/>
      <c r="AF81" s="403"/>
      <c r="AG81" s="403"/>
      <c r="AH81" s="403"/>
      <c r="AI81" s="403"/>
      <c r="AJ81" s="403"/>
      <c r="AK81" s="403"/>
      <c r="AL81" s="403"/>
      <c r="AM81" s="403"/>
      <c r="AN81" s="403"/>
      <c r="AO81" s="403"/>
      <c r="AP81" s="403"/>
      <c r="AQ81" s="403"/>
      <c r="AR81" s="403"/>
      <c r="AS81" s="403"/>
      <c r="AT81" s="403"/>
      <c r="AU81" s="403"/>
      <c r="AV81" s="403"/>
      <c r="AW81" s="403"/>
      <c r="AX81" s="403"/>
      <c r="AY81" s="403"/>
      <c r="AZ81" s="403"/>
      <c r="BA81" s="403"/>
      <c r="BB81" s="403"/>
      <c r="BC81" s="403"/>
      <c r="BD81" s="403"/>
      <c r="BE81" s="403"/>
      <c r="BF81" s="403"/>
      <c r="BG81" s="403"/>
      <c r="BH81" s="403"/>
      <c r="BI81" s="403"/>
      <c r="BJ81" s="403"/>
      <c r="BK81" s="403"/>
      <c r="BL81" s="403"/>
      <c r="BM81" s="403"/>
      <c r="BN81" s="403"/>
    </row>
    <row r="82" spans="1:66" s="405" customFormat="1" ht="89.25" x14ac:dyDescent="0.2">
      <c r="A82" s="256" t="s">
        <v>1076</v>
      </c>
      <c r="B82" s="255" t="s">
        <v>1262</v>
      </c>
      <c r="C82" s="255" t="s">
        <v>1274</v>
      </c>
      <c r="D82" s="255" t="s">
        <v>1281</v>
      </c>
      <c r="E82" s="406"/>
      <c r="F82" s="406"/>
      <c r="G82" s="406"/>
      <c r="H82" s="406"/>
      <c r="I82" s="406"/>
      <c r="J82" s="406"/>
      <c r="K82" s="406">
        <v>1</v>
      </c>
      <c r="L82" s="406"/>
      <c r="M82" s="406"/>
      <c r="N82" s="406"/>
      <c r="O82" s="406"/>
      <c r="P82" s="406"/>
      <c r="Q82" s="400">
        <f t="shared" si="1"/>
        <v>1</v>
      </c>
      <c r="R82" s="256" t="s">
        <v>938</v>
      </c>
      <c r="S82" s="256"/>
      <c r="T82" s="256"/>
      <c r="U82" s="255"/>
      <c r="V82" s="402" t="s">
        <v>1101</v>
      </c>
      <c r="W82" s="403"/>
      <c r="X82" s="404"/>
      <c r="Y82" s="404"/>
      <c r="Z82" s="404"/>
      <c r="AA82" s="404"/>
      <c r="AB82" s="404"/>
      <c r="AC82" s="404"/>
      <c r="AD82" s="404"/>
      <c r="AE82" s="404"/>
      <c r="AF82" s="403"/>
      <c r="AG82" s="403"/>
      <c r="AH82" s="403"/>
      <c r="AI82" s="403"/>
      <c r="AJ82" s="403"/>
      <c r="AK82" s="403"/>
      <c r="AL82" s="403"/>
      <c r="AM82" s="403"/>
      <c r="AN82" s="403"/>
      <c r="AO82" s="403"/>
      <c r="AP82" s="403"/>
      <c r="AQ82" s="403"/>
      <c r="AR82" s="403"/>
      <c r="AS82" s="403"/>
      <c r="AT82" s="403"/>
      <c r="AU82" s="403"/>
      <c r="AV82" s="403"/>
      <c r="AW82" s="403"/>
      <c r="AX82" s="403"/>
      <c r="AY82" s="403"/>
      <c r="AZ82" s="403"/>
      <c r="BA82" s="403"/>
      <c r="BB82" s="403"/>
      <c r="BC82" s="403"/>
      <c r="BD82" s="403"/>
      <c r="BE82" s="403"/>
      <c r="BF82" s="403"/>
      <c r="BG82" s="403"/>
      <c r="BH82" s="403"/>
      <c r="BI82" s="403"/>
      <c r="BJ82" s="403"/>
      <c r="BK82" s="403"/>
      <c r="BL82" s="403"/>
      <c r="BM82" s="403"/>
      <c r="BN82" s="403"/>
    </row>
    <row r="83" spans="1:66" s="405" customFormat="1" ht="89.25" x14ac:dyDescent="0.2">
      <c r="A83" s="256" t="s">
        <v>1076</v>
      </c>
      <c r="B83" s="255" t="s">
        <v>1262</v>
      </c>
      <c r="C83" s="255" t="s">
        <v>1275</v>
      </c>
      <c r="D83" s="255" t="s">
        <v>1282</v>
      </c>
      <c r="E83" s="406"/>
      <c r="F83" s="406"/>
      <c r="G83" s="406"/>
      <c r="H83" s="406"/>
      <c r="I83" s="406"/>
      <c r="J83" s="406"/>
      <c r="K83" s="406"/>
      <c r="L83" s="406"/>
      <c r="M83" s="406"/>
      <c r="N83" s="406"/>
      <c r="O83" s="406">
        <v>1</v>
      </c>
      <c r="P83" s="406"/>
      <c r="Q83" s="400">
        <f t="shared" si="1"/>
        <v>1</v>
      </c>
      <c r="R83" s="256"/>
      <c r="S83" s="256"/>
      <c r="T83" s="256" t="s">
        <v>1286</v>
      </c>
      <c r="U83" s="255"/>
      <c r="V83" s="402" t="s">
        <v>1101</v>
      </c>
      <c r="W83" s="403"/>
      <c r="X83" s="404"/>
      <c r="Y83" s="404"/>
      <c r="Z83" s="404"/>
      <c r="AA83" s="404"/>
      <c r="AB83" s="404"/>
      <c r="AC83" s="404"/>
      <c r="AD83" s="404"/>
      <c r="AE83" s="404"/>
      <c r="AF83" s="403"/>
      <c r="AG83" s="403"/>
      <c r="AH83" s="403"/>
      <c r="AI83" s="403"/>
      <c r="AJ83" s="403"/>
      <c r="AK83" s="403"/>
      <c r="AL83" s="403"/>
      <c r="AM83" s="403"/>
      <c r="AN83" s="403"/>
      <c r="AO83" s="403"/>
      <c r="AP83" s="403"/>
      <c r="AQ83" s="403"/>
      <c r="AR83" s="403"/>
      <c r="AS83" s="403"/>
      <c r="AT83" s="403"/>
      <c r="AU83" s="403"/>
      <c r="AV83" s="403"/>
      <c r="AW83" s="403"/>
      <c r="AX83" s="403"/>
      <c r="AY83" s="403"/>
      <c r="AZ83" s="403"/>
      <c r="BA83" s="403"/>
      <c r="BB83" s="403"/>
      <c r="BC83" s="403"/>
      <c r="BD83" s="403"/>
      <c r="BE83" s="403"/>
      <c r="BF83" s="403"/>
      <c r="BG83" s="403"/>
      <c r="BH83" s="403"/>
      <c r="BI83" s="403"/>
      <c r="BJ83" s="403"/>
      <c r="BK83" s="403"/>
      <c r="BL83" s="403"/>
      <c r="BM83" s="403"/>
      <c r="BN83" s="403"/>
    </row>
    <row r="84" spans="1:66" s="405" customFormat="1" ht="89.25" x14ac:dyDescent="0.2">
      <c r="A84" s="256" t="s">
        <v>1076</v>
      </c>
      <c r="B84" s="255" t="s">
        <v>1262</v>
      </c>
      <c r="C84" s="255" t="s">
        <v>1276</v>
      </c>
      <c r="D84" s="255" t="s">
        <v>1283</v>
      </c>
      <c r="E84" s="406"/>
      <c r="F84" s="406"/>
      <c r="G84" s="406">
        <v>1</v>
      </c>
      <c r="H84" s="406"/>
      <c r="I84" s="406"/>
      <c r="J84" s="406">
        <v>1</v>
      </c>
      <c r="K84" s="406"/>
      <c r="L84" s="406"/>
      <c r="M84" s="406">
        <v>1</v>
      </c>
      <c r="N84" s="406"/>
      <c r="O84" s="406"/>
      <c r="P84" s="406">
        <v>1</v>
      </c>
      <c r="Q84" s="400">
        <f t="shared" si="1"/>
        <v>4</v>
      </c>
      <c r="R84" s="256" t="s">
        <v>943</v>
      </c>
      <c r="S84" s="256"/>
      <c r="T84" s="256"/>
      <c r="U84" s="255"/>
      <c r="V84" s="402" t="s">
        <v>1101</v>
      </c>
      <c r="W84" s="403"/>
      <c r="X84" s="404"/>
      <c r="Y84" s="404"/>
      <c r="Z84" s="404"/>
      <c r="AA84" s="404"/>
      <c r="AB84" s="404"/>
      <c r="AC84" s="404"/>
      <c r="AD84" s="404"/>
      <c r="AE84" s="404"/>
      <c r="AF84" s="403"/>
      <c r="AG84" s="403"/>
      <c r="AH84" s="403"/>
      <c r="AI84" s="403"/>
      <c r="AJ84" s="403"/>
      <c r="AK84" s="403"/>
      <c r="AL84" s="403"/>
      <c r="AM84" s="403"/>
      <c r="AN84" s="403"/>
      <c r="AO84" s="403"/>
      <c r="AP84" s="403"/>
      <c r="AQ84" s="403"/>
      <c r="AR84" s="403"/>
      <c r="AS84" s="403"/>
      <c r="AT84" s="403"/>
      <c r="AU84" s="403"/>
      <c r="AV84" s="403"/>
      <c r="AW84" s="403"/>
      <c r="AX84" s="403"/>
      <c r="AY84" s="403"/>
      <c r="AZ84" s="403"/>
      <c r="BA84" s="403"/>
      <c r="BB84" s="403"/>
      <c r="BC84" s="403"/>
      <c r="BD84" s="403"/>
      <c r="BE84" s="403"/>
      <c r="BF84" s="403"/>
      <c r="BG84" s="403"/>
      <c r="BH84" s="403"/>
      <c r="BI84" s="403"/>
      <c r="BJ84" s="403"/>
      <c r="BK84" s="403"/>
      <c r="BL84" s="403"/>
      <c r="BM84" s="403"/>
      <c r="BN84" s="403"/>
    </row>
    <row r="85" spans="1:66" s="405" customFormat="1" ht="89.25" x14ac:dyDescent="0.2">
      <c r="A85" s="256" t="s">
        <v>1076</v>
      </c>
      <c r="B85" s="255" t="s">
        <v>1262</v>
      </c>
      <c r="C85" s="255" t="s">
        <v>1277</v>
      </c>
      <c r="D85" s="255" t="s">
        <v>1284</v>
      </c>
      <c r="E85" s="406"/>
      <c r="F85" s="406"/>
      <c r="G85" s="406"/>
      <c r="H85" s="406"/>
      <c r="I85" s="406"/>
      <c r="J85" s="406"/>
      <c r="K85" s="406"/>
      <c r="L85" s="406"/>
      <c r="M85" s="406"/>
      <c r="N85" s="406"/>
      <c r="O85" s="406">
        <v>1</v>
      </c>
      <c r="P85" s="406"/>
      <c r="Q85" s="400">
        <f t="shared" si="1"/>
        <v>1</v>
      </c>
      <c r="R85" s="256" t="s">
        <v>934</v>
      </c>
      <c r="S85" s="256"/>
      <c r="T85" s="256"/>
      <c r="U85" s="255"/>
      <c r="V85" s="402" t="s">
        <v>1101</v>
      </c>
      <c r="W85" s="403"/>
      <c r="X85" s="404"/>
      <c r="Y85" s="404"/>
      <c r="Z85" s="404"/>
      <c r="AA85" s="404"/>
      <c r="AB85" s="404"/>
      <c r="AC85" s="404"/>
      <c r="AD85" s="404"/>
      <c r="AE85" s="404"/>
      <c r="AF85" s="403"/>
      <c r="AG85" s="403"/>
      <c r="AH85" s="403"/>
      <c r="AI85" s="403"/>
      <c r="AJ85" s="403"/>
      <c r="AK85" s="403"/>
      <c r="AL85" s="403"/>
      <c r="AM85" s="403"/>
      <c r="AN85" s="403"/>
      <c r="AO85" s="403"/>
      <c r="AP85" s="403"/>
      <c r="AQ85" s="403"/>
      <c r="AR85" s="403"/>
      <c r="AS85" s="403"/>
      <c r="AT85" s="403"/>
      <c r="AU85" s="403"/>
      <c r="AV85" s="403"/>
      <c r="AW85" s="403"/>
      <c r="AX85" s="403"/>
      <c r="AY85" s="403"/>
      <c r="AZ85" s="403"/>
      <c r="BA85" s="403"/>
      <c r="BB85" s="403"/>
      <c r="BC85" s="403"/>
      <c r="BD85" s="403"/>
      <c r="BE85" s="403"/>
      <c r="BF85" s="403"/>
      <c r="BG85" s="403"/>
      <c r="BH85" s="403"/>
      <c r="BI85" s="403"/>
      <c r="BJ85" s="403"/>
      <c r="BK85" s="403"/>
      <c r="BL85" s="403"/>
      <c r="BM85" s="403"/>
      <c r="BN85" s="403"/>
    </row>
    <row r="86" spans="1:66" s="405" customFormat="1" ht="89.25" x14ac:dyDescent="0.2">
      <c r="A86" s="256" t="s">
        <v>1076</v>
      </c>
      <c r="B86" s="255" t="s">
        <v>1262</v>
      </c>
      <c r="C86" s="255" t="s">
        <v>1278</v>
      </c>
      <c r="D86" s="255" t="s">
        <v>1285</v>
      </c>
      <c r="E86" s="406"/>
      <c r="F86" s="406"/>
      <c r="G86" s="406"/>
      <c r="H86" s="406"/>
      <c r="I86" s="406"/>
      <c r="J86" s="406">
        <v>1</v>
      </c>
      <c r="K86" s="406"/>
      <c r="L86" s="406"/>
      <c r="M86" s="406"/>
      <c r="N86" s="406"/>
      <c r="O86" s="406"/>
      <c r="P86" s="406"/>
      <c r="Q86" s="400">
        <f t="shared" si="1"/>
        <v>1</v>
      </c>
      <c r="R86" s="256" t="s">
        <v>935</v>
      </c>
      <c r="S86" s="256" t="s">
        <v>944</v>
      </c>
      <c r="T86" s="256"/>
      <c r="U86" s="255"/>
      <c r="V86" s="402" t="s">
        <v>1101</v>
      </c>
      <c r="W86" s="403"/>
      <c r="X86" s="404"/>
      <c r="Y86" s="404"/>
      <c r="Z86" s="404"/>
      <c r="AA86" s="404"/>
      <c r="AB86" s="404"/>
      <c r="AC86" s="404"/>
      <c r="AD86" s="404"/>
      <c r="AE86" s="404"/>
      <c r="AF86" s="403"/>
      <c r="AG86" s="403"/>
      <c r="AH86" s="403"/>
      <c r="AI86" s="403"/>
      <c r="AJ86" s="403"/>
      <c r="AK86" s="403"/>
      <c r="AL86" s="403"/>
      <c r="AM86" s="403"/>
      <c r="AN86" s="403"/>
      <c r="AO86" s="403"/>
      <c r="AP86" s="403"/>
      <c r="AQ86" s="403"/>
      <c r="AR86" s="403"/>
      <c r="AS86" s="403"/>
      <c r="AT86" s="403"/>
      <c r="AU86" s="403"/>
      <c r="AV86" s="403"/>
      <c r="AW86" s="403"/>
      <c r="AX86" s="403"/>
      <c r="AY86" s="403"/>
      <c r="AZ86" s="403"/>
      <c r="BA86" s="403"/>
      <c r="BB86" s="403"/>
      <c r="BC86" s="403"/>
      <c r="BD86" s="403"/>
      <c r="BE86" s="403"/>
      <c r="BF86" s="403"/>
      <c r="BG86" s="403"/>
      <c r="BH86" s="403"/>
      <c r="BI86" s="403"/>
      <c r="BJ86" s="403"/>
      <c r="BK86" s="403"/>
      <c r="BL86" s="403"/>
      <c r="BM86" s="403"/>
      <c r="BN86" s="403"/>
    </row>
    <row r="87" spans="1:66" s="405" customFormat="1" ht="89.25" x14ac:dyDescent="0.2">
      <c r="A87" s="256" t="s">
        <v>1076</v>
      </c>
      <c r="B87" s="255" t="s">
        <v>1294</v>
      </c>
      <c r="C87" s="255" t="s">
        <v>1295</v>
      </c>
      <c r="D87" s="255" t="s">
        <v>1296</v>
      </c>
      <c r="E87" s="406"/>
      <c r="F87" s="406"/>
      <c r="G87" s="406"/>
      <c r="H87" s="406"/>
      <c r="I87" s="406"/>
      <c r="J87" s="406">
        <v>1</v>
      </c>
      <c r="K87" s="406"/>
      <c r="L87" s="406"/>
      <c r="M87" s="406"/>
      <c r="N87" s="406"/>
      <c r="O87" s="406"/>
      <c r="P87" s="406">
        <v>1</v>
      </c>
      <c r="Q87" s="400">
        <f t="shared" si="1"/>
        <v>2</v>
      </c>
      <c r="R87" s="256" t="s">
        <v>934</v>
      </c>
      <c r="S87" s="256" t="s">
        <v>946</v>
      </c>
      <c r="T87" s="256"/>
      <c r="U87" s="255"/>
      <c r="V87" s="402" t="s">
        <v>1293</v>
      </c>
      <c r="W87" s="403"/>
      <c r="X87" s="404"/>
      <c r="Y87" s="404"/>
      <c r="Z87" s="404"/>
      <c r="AA87" s="404"/>
      <c r="AB87" s="404"/>
      <c r="AC87" s="404"/>
      <c r="AD87" s="404"/>
      <c r="AE87" s="404"/>
      <c r="AF87" s="403"/>
      <c r="AG87" s="403"/>
      <c r="AH87" s="403"/>
      <c r="AI87" s="403"/>
      <c r="AJ87" s="403"/>
      <c r="AK87" s="403"/>
      <c r="AL87" s="403"/>
      <c r="AM87" s="403"/>
      <c r="AN87" s="403"/>
      <c r="AO87" s="403"/>
      <c r="AP87" s="403"/>
      <c r="AQ87" s="403"/>
      <c r="AR87" s="403"/>
      <c r="AS87" s="403"/>
      <c r="AT87" s="403"/>
      <c r="AU87" s="403"/>
      <c r="AV87" s="403"/>
      <c r="AW87" s="403"/>
      <c r="AX87" s="403"/>
      <c r="AY87" s="403"/>
      <c r="AZ87" s="403"/>
      <c r="BA87" s="403"/>
      <c r="BB87" s="403"/>
      <c r="BC87" s="403"/>
      <c r="BD87" s="403"/>
      <c r="BE87" s="403"/>
      <c r="BF87" s="403"/>
      <c r="BG87" s="403"/>
      <c r="BH87" s="403"/>
      <c r="BI87" s="403"/>
      <c r="BJ87" s="403"/>
      <c r="BK87" s="403"/>
      <c r="BL87" s="403"/>
      <c r="BM87" s="403"/>
      <c r="BN87" s="403"/>
    </row>
    <row r="88" spans="1:66" s="405" customFormat="1" ht="89.25" x14ac:dyDescent="0.2">
      <c r="A88" s="256" t="s">
        <v>1076</v>
      </c>
      <c r="B88" s="255" t="s">
        <v>1294</v>
      </c>
      <c r="C88" s="255" t="s">
        <v>1297</v>
      </c>
      <c r="D88" s="255" t="s">
        <v>1298</v>
      </c>
      <c r="E88" s="406"/>
      <c r="F88" s="406"/>
      <c r="G88" s="406">
        <v>1</v>
      </c>
      <c r="H88" s="406"/>
      <c r="I88" s="406"/>
      <c r="J88" s="406">
        <v>1</v>
      </c>
      <c r="K88" s="406"/>
      <c r="L88" s="406"/>
      <c r="M88" s="406">
        <v>1</v>
      </c>
      <c r="N88" s="406"/>
      <c r="O88" s="406"/>
      <c r="P88" s="406">
        <v>1</v>
      </c>
      <c r="Q88" s="400">
        <f t="shared" si="1"/>
        <v>4</v>
      </c>
      <c r="R88" s="256" t="s">
        <v>943</v>
      </c>
      <c r="S88" s="256"/>
      <c r="T88" s="256"/>
      <c r="U88" s="255"/>
      <c r="V88" s="402" t="s">
        <v>1293</v>
      </c>
      <c r="W88" s="403"/>
      <c r="X88" s="404"/>
      <c r="Y88" s="404"/>
      <c r="Z88" s="404"/>
      <c r="AA88" s="404"/>
      <c r="AB88" s="404"/>
      <c r="AC88" s="404"/>
      <c r="AD88" s="404"/>
      <c r="AE88" s="404"/>
      <c r="AF88" s="403"/>
      <c r="AG88" s="403"/>
      <c r="AH88" s="403"/>
      <c r="AI88" s="403"/>
      <c r="AJ88" s="403"/>
      <c r="AK88" s="403"/>
      <c r="AL88" s="403"/>
      <c r="AM88" s="403"/>
      <c r="AN88" s="403"/>
      <c r="AO88" s="403"/>
      <c r="AP88" s="403"/>
      <c r="AQ88" s="403"/>
      <c r="AR88" s="403"/>
      <c r="AS88" s="403"/>
      <c r="AT88" s="403"/>
      <c r="AU88" s="403"/>
      <c r="AV88" s="403"/>
      <c r="AW88" s="403"/>
      <c r="AX88" s="403"/>
      <c r="AY88" s="403"/>
      <c r="AZ88" s="403"/>
      <c r="BA88" s="403"/>
      <c r="BB88" s="403"/>
      <c r="BC88" s="403"/>
      <c r="BD88" s="403"/>
      <c r="BE88" s="403"/>
      <c r="BF88" s="403"/>
      <c r="BG88" s="403"/>
      <c r="BH88" s="403"/>
      <c r="BI88" s="403"/>
      <c r="BJ88" s="403"/>
      <c r="BK88" s="403"/>
      <c r="BL88" s="403"/>
      <c r="BM88" s="403"/>
      <c r="BN88" s="403"/>
    </row>
    <row r="89" spans="1:66" s="405" customFormat="1" ht="63.75" x14ac:dyDescent="0.2">
      <c r="A89" s="256" t="s">
        <v>1077</v>
      </c>
      <c r="B89" s="256" t="s">
        <v>1120</v>
      </c>
      <c r="C89" s="256" t="s">
        <v>1121</v>
      </c>
      <c r="D89" s="256" t="s">
        <v>1125</v>
      </c>
      <c r="E89" s="399"/>
      <c r="F89" s="399"/>
      <c r="G89" s="399">
        <v>1</v>
      </c>
      <c r="H89" s="399"/>
      <c r="I89" s="399"/>
      <c r="J89" s="399">
        <v>1</v>
      </c>
      <c r="K89" s="399"/>
      <c r="L89" s="399"/>
      <c r="M89" s="399">
        <v>1</v>
      </c>
      <c r="N89" s="399"/>
      <c r="O89" s="399">
        <v>1</v>
      </c>
      <c r="P89" s="399"/>
      <c r="Q89" s="400">
        <f t="shared" si="1"/>
        <v>4</v>
      </c>
      <c r="R89" s="256" t="s">
        <v>934</v>
      </c>
      <c r="S89" s="256"/>
      <c r="T89" s="256"/>
      <c r="U89" s="256"/>
      <c r="V89" s="402" t="s">
        <v>1127</v>
      </c>
      <c r="W89" s="403"/>
      <c r="X89" s="404"/>
      <c r="Y89" s="404"/>
      <c r="Z89" s="404"/>
      <c r="AA89" s="404"/>
      <c r="AB89" s="404"/>
      <c r="AC89" s="404"/>
      <c r="AD89" s="404"/>
      <c r="AE89" s="404"/>
      <c r="AF89" s="403"/>
      <c r="AG89" s="403"/>
      <c r="AH89" s="403"/>
      <c r="AI89" s="403"/>
      <c r="AJ89" s="403"/>
      <c r="AK89" s="403"/>
      <c r="AL89" s="403"/>
      <c r="AM89" s="403"/>
      <c r="AN89" s="403"/>
      <c r="AO89" s="403"/>
      <c r="AP89" s="403"/>
      <c r="AQ89" s="403"/>
      <c r="AR89" s="403"/>
      <c r="AS89" s="403"/>
      <c r="AT89" s="403"/>
      <c r="AU89" s="403"/>
      <c r="AV89" s="403"/>
      <c r="AW89" s="403"/>
      <c r="AX89" s="403"/>
      <c r="AY89" s="403"/>
      <c r="AZ89" s="403"/>
      <c r="BA89" s="403"/>
      <c r="BB89" s="403"/>
      <c r="BC89" s="403"/>
      <c r="BD89" s="403"/>
      <c r="BE89" s="403"/>
      <c r="BF89" s="403"/>
      <c r="BG89" s="403"/>
      <c r="BH89" s="403"/>
      <c r="BI89" s="403"/>
      <c r="BJ89" s="403"/>
      <c r="BK89" s="403"/>
      <c r="BL89" s="403"/>
      <c r="BM89" s="403"/>
      <c r="BN89" s="403"/>
    </row>
    <row r="90" spans="1:66" s="405" customFormat="1" ht="63.75" x14ac:dyDescent="0.2">
      <c r="A90" s="256" t="s">
        <v>1077</v>
      </c>
      <c r="B90" s="256" t="s">
        <v>1120</v>
      </c>
      <c r="C90" s="256" t="s">
        <v>1123</v>
      </c>
      <c r="D90" s="255" t="s">
        <v>1122</v>
      </c>
      <c r="E90" s="406"/>
      <c r="F90" s="406">
        <v>1</v>
      </c>
      <c r="G90" s="406"/>
      <c r="H90" s="406">
        <v>1</v>
      </c>
      <c r="I90" s="406"/>
      <c r="J90" s="406">
        <v>1</v>
      </c>
      <c r="K90" s="406"/>
      <c r="L90" s="406">
        <v>1</v>
      </c>
      <c r="M90" s="406"/>
      <c r="N90" s="406">
        <v>1</v>
      </c>
      <c r="O90" s="406"/>
      <c r="P90" s="406"/>
      <c r="Q90" s="400">
        <f t="shared" si="1"/>
        <v>5</v>
      </c>
      <c r="R90" s="256" t="s">
        <v>935</v>
      </c>
      <c r="S90" s="256" t="s">
        <v>937</v>
      </c>
      <c r="T90" s="256"/>
      <c r="U90" s="255"/>
      <c r="V90" s="402" t="s">
        <v>1127</v>
      </c>
      <c r="W90" s="403"/>
      <c r="X90" s="404"/>
      <c r="Y90" s="404"/>
      <c r="Z90" s="404"/>
      <c r="AA90" s="404"/>
      <c r="AB90" s="404"/>
      <c r="AC90" s="404"/>
      <c r="AD90" s="404"/>
      <c r="AE90" s="404"/>
      <c r="AF90" s="403"/>
      <c r="AG90" s="403"/>
      <c r="AH90" s="403"/>
      <c r="AI90" s="403"/>
      <c r="AJ90" s="403"/>
      <c r="AK90" s="403"/>
      <c r="AL90" s="403"/>
      <c r="AM90" s="403"/>
      <c r="AN90" s="403"/>
      <c r="AO90" s="403"/>
      <c r="AP90" s="403"/>
      <c r="AQ90" s="403"/>
      <c r="AR90" s="403"/>
      <c r="AS90" s="403"/>
      <c r="AT90" s="403"/>
      <c r="AU90" s="403"/>
      <c r="AV90" s="403"/>
      <c r="AW90" s="403"/>
      <c r="AX90" s="403"/>
      <c r="AY90" s="403"/>
      <c r="AZ90" s="403"/>
      <c r="BA90" s="403"/>
      <c r="BB90" s="403"/>
      <c r="BC90" s="403"/>
      <c r="BD90" s="403"/>
      <c r="BE90" s="403"/>
      <c r="BF90" s="403"/>
      <c r="BG90" s="403"/>
      <c r="BH90" s="403"/>
      <c r="BI90" s="403"/>
      <c r="BJ90" s="403"/>
      <c r="BK90" s="403"/>
      <c r="BL90" s="403"/>
      <c r="BM90" s="403"/>
      <c r="BN90" s="403"/>
    </row>
    <row r="91" spans="1:66" s="405" customFormat="1" ht="63.75" x14ac:dyDescent="0.2">
      <c r="A91" s="256" t="s">
        <v>1077</v>
      </c>
      <c r="B91" s="256" t="s">
        <v>1120</v>
      </c>
      <c r="C91" s="256" t="s">
        <v>1124</v>
      </c>
      <c r="D91" s="256" t="s">
        <v>1126</v>
      </c>
      <c r="E91" s="399"/>
      <c r="F91" s="399"/>
      <c r="G91" s="399"/>
      <c r="H91" s="399"/>
      <c r="I91" s="399"/>
      <c r="J91" s="399"/>
      <c r="K91" s="399"/>
      <c r="L91" s="399"/>
      <c r="M91" s="399">
        <v>1</v>
      </c>
      <c r="N91" s="399"/>
      <c r="O91" s="399"/>
      <c r="P91" s="399"/>
      <c r="Q91" s="400">
        <f t="shared" si="1"/>
        <v>1</v>
      </c>
      <c r="R91" s="256" t="s">
        <v>934</v>
      </c>
      <c r="S91" s="256"/>
      <c r="T91" s="256"/>
      <c r="U91" s="256"/>
      <c r="V91" s="402" t="s">
        <v>1127</v>
      </c>
      <c r="W91" s="403"/>
      <c r="X91" s="404"/>
      <c r="Y91" s="404"/>
      <c r="Z91" s="404"/>
      <c r="AA91" s="404"/>
      <c r="AB91" s="404"/>
      <c r="AC91" s="404"/>
      <c r="AD91" s="404"/>
      <c r="AE91" s="404"/>
      <c r="AF91" s="403"/>
      <c r="AG91" s="403"/>
      <c r="AH91" s="403"/>
      <c r="AI91" s="403"/>
      <c r="AJ91" s="403"/>
      <c r="AK91" s="403"/>
      <c r="AL91" s="403"/>
      <c r="AM91" s="403"/>
      <c r="AN91" s="403"/>
      <c r="AO91" s="403"/>
      <c r="AP91" s="403"/>
      <c r="AQ91" s="403"/>
      <c r="AR91" s="403"/>
      <c r="AS91" s="403"/>
      <c r="AT91" s="403"/>
      <c r="AU91" s="403"/>
      <c r="AV91" s="403"/>
      <c r="AW91" s="403"/>
      <c r="AX91" s="403"/>
      <c r="AY91" s="403"/>
      <c r="AZ91" s="403"/>
      <c r="BA91" s="403"/>
      <c r="BB91" s="403"/>
      <c r="BC91" s="403"/>
      <c r="BD91" s="403"/>
      <c r="BE91" s="403"/>
      <c r="BF91" s="403"/>
      <c r="BG91" s="403"/>
      <c r="BH91" s="403"/>
      <c r="BI91" s="403"/>
      <c r="BJ91" s="403"/>
      <c r="BK91" s="403"/>
      <c r="BL91" s="403"/>
      <c r="BM91" s="403"/>
      <c r="BN91" s="403"/>
    </row>
    <row r="92" spans="1:66" s="405" customFormat="1" ht="102" x14ac:dyDescent="0.2">
      <c r="A92" s="256" t="s">
        <v>1077</v>
      </c>
      <c r="B92" s="256" t="s">
        <v>1328</v>
      </c>
      <c r="C92" s="256" t="s">
        <v>1329</v>
      </c>
      <c r="D92" s="401" t="s">
        <v>1339</v>
      </c>
      <c r="E92" s="406"/>
      <c r="F92" s="406"/>
      <c r="G92" s="406"/>
      <c r="H92" s="406">
        <v>1</v>
      </c>
      <c r="I92" s="406"/>
      <c r="J92" s="406">
        <v>1</v>
      </c>
      <c r="K92" s="406"/>
      <c r="L92" s="406"/>
      <c r="M92" s="406">
        <v>1</v>
      </c>
      <c r="N92" s="406"/>
      <c r="O92" s="406"/>
      <c r="P92" s="406"/>
      <c r="Q92" s="400">
        <f t="shared" si="1"/>
        <v>3</v>
      </c>
      <c r="R92" s="256" t="s">
        <v>935</v>
      </c>
      <c r="S92" s="256"/>
      <c r="T92" s="256"/>
      <c r="U92" s="255" t="s">
        <v>1340</v>
      </c>
      <c r="V92" s="407" t="s">
        <v>1341</v>
      </c>
      <c r="W92" s="403"/>
      <c r="X92" s="404"/>
      <c r="Y92" s="404"/>
      <c r="Z92" s="404"/>
      <c r="AA92" s="404"/>
      <c r="AB92" s="404"/>
      <c r="AC92" s="404"/>
      <c r="AD92" s="404"/>
      <c r="AE92" s="404"/>
      <c r="AF92" s="403"/>
      <c r="AG92" s="403"/>
      <c r="AH92" s="403"/>
      <c r="AI92" s="403"/>
      <c r="AJ92" s="403"/>
      <c r="AK92" s="403"/>
      <c r="AL92" s="403"/>
      <c r="AM92" s="403"/>
      <c r="AN92" s="403"/>
      <c r="AO92" s="403"/>
      <c r="AP92" s="403"/>
      <c r="AQ92" s="403"/>
      <c r="AR92" s="403"/>
      <c r="AS92" s="403"/>
      <c r="AT92" s="403"/>
      <c r="AU92" s="403"/>
      <c r="AV92" s="403"/>
      <c r="AW92" s="403"/>
      <c r="AX92" s="403"/>
      <c r="AY92" s="403"/>
      <c r="AZ92" s="403"/>
      <c r="BA92" s="403"/>
      <c r="BB92" s="403"/>
      <c r="BC92" s="403"/>
      <c r="BD92" s="403"/>
      <c r="BE92" s="403"/>
      <c r="BF92" s="403"/>
      <c r="BG92" s="403"/>
      <c r="BH92" s="403"/>
      <c r="BI92" s="403"/>
      <c r="BJ92" s="403"/>
      <c r="BK92" s="403"/>
      <c r="BL92" s="403"/>
      <c r="BM92" s="403"/>
      <c r="BN92" s="403"/>
    </row>
    <row r="93" spans="1:66" s="405" customFormat="1" ht="102" x14ac:dyDescent="0.2">
      <c r="A93" s="256" t="s">
        <v>1077</v>
      </c>
      <c r="B93" s="256" t="s">
        <v>1328</v>
      </c>
      <c r="C93" s="256" t="s">
        <v>1330</v>
      </c>
      <c r="D93" s="401" t="s">
        <v>1342</v>
      </c>
      <c r="E93" s="399"/>
      <c r="F93" s="399">
        <v>1</v>
      </c>
      <c r="G93" s="399"/>
      <c r="H93" s="399">
        <v>1</v>
      </c>
      <c r="I93" s="399"/>
      <c r="J93" s="399">
        <v>1</v>
      </c>
      <c r="K93" s="399"/>
      <c r="L93" s="399">
        <v>1</v>
      </c>
      <c r="M93" s="399"/>
      <c r="N93" s="399"/>
      <c r="O93" s="399"/>
      <c r="P93" s="399"/>
      <c r="Q93" s="400">
        <f t="shared" si="1"/>
        <v>4</v>
      </c>
      <c r="R93" s="256" t="s">
        <v>934</v>
      </c>
      <c r="S93" s="256"/>
      <c r="T93" s="256"/>
      <c r="U93" s="408" t="s">
        <v>1493</v>
      </c>
      <c r="V93" s="402" t="s">
        <v>1341</v>
      </c>
      <c r="W93" s="403"/>
      <c r="X93" s="404"/>
      <c r="Y93" s="404"/>
      <c r="Z93" s="404"/>
      <c r="AA93" s="404"/>
      <c r="AB93" s="404"/>
      <c r="AC93" s="404"/>
      <c r="AD93" s="404"/>
      <c r="AE93" s="404"/>
      <c r="AF93" s="403"/>
      <c r="AG93" s="403"/>
      <c r="AH93" s="403"/>
      <c r="AI93" s="403"/>
      <c r="AJ93" s="403"/>
      <c r="AK93" s="403"/>
      <c r="AL93" s="403"/>
      <c r="AM93" s="403"/>
      <c r="AN93" s="403"/>
      <c r="AO93" s="403"/>
      <c r="AP93" s="403"/>
      <c r="AQ93" s="403"/>
      <c r="AR93" s="403"/>
      <c r="AS93" s="403"/>
      <c r="AT93" s="403"/>
      <c r="AU93" s="403"/>
      <c r="AV93" s="403"/>
      <c r="AW93" s="403"/>
      <c r="AX93" s="403"/>
      <c r="AY93" s="403"/>
      <c r="AZ93" s="403"/>
      <c r="BA93" s="403"/>
      <c r="BB93" s="403"/>
      <c r="BC93" s="403"/>
      <c r="BD93" s="403"/>
      <c r="BE93" s="403"/>
      <c r="BF93" s="403"/>
      <c r="BG93" s="403"/>
      <c r="BH93" s="403"/>
      <c r="BI93" s="403"/>
      <c r="BJ93" s="403"/>
      <c r="BK93" s="403"/>
      <c r="BL93" s="403"/>
      <c r="BM93" s="403"/>
      <c r="BN93" s="403"/>
    </row>
    <row r="94" spans="1:66" s="405" customFormat="1" ht="102" x14ac:dyDescent="0.2">
      <c r="A94" s="256" t="s">
        <v>1077</v>
      </c>
      <c r="B94" s="256" t="s">
        <v>1328</v>
      </c>
      <c r="C94" s="256" t="s">
        <v>1331</v>
      </c>
      <c r="D94" s="401" t="s">
        <v>1343</v>
      </c>
      <c r="E94" s="401"/>
      <c r="F94" s="401"/>
      <c r="G94" s="401"/>
      <c r="H94" s="401"/>
      <c r="I94" s="401"/>
      <c r="J94" s="401"/>
      <c r="K94" s="401">
        <v>1</v>
      </c>
      <c r="L94" s="401"/>
      <c r="M94" s="409"/>
      <c r="N94" s="409"/>
      <c r="O94" s="409"/>
      <c r="P94" s="409"/>
      <c r="Q94" s="400">
        <f t="shared" si="1"/>
        <v>1</v>
      </c>
      <c r="R94" s="256" t="s">
        <v>934</v>
      </c>
      <c r="S94" s="256"/>
      <c r="T94" s="256"/>
      <c r="U94" s="255"/>
      <c r="V94" s="407" t="s">
        <v>1344</v>
      </c>
      <c r="W94" s="403"/>
      <c r="X94" s="404"/>
      <c r="Y94" s="404"/>
      <c r="Z94" s="404"/>
      <c r="AA94" s="404"/>
      <c r="AB94" s="404"/>
      <c r="AC94" s="404"/>
      <c r="AD94" s="404"/>
      <c r="AE94" s="404"/>
      <c r="AF94" s="403"/>
      <c r="AG94" s="403"/>
      <c r="AH94" s="403"/>
      <c r="AI94" s="403"/>
      <c r="AJ94" s="403"/>
      <c r="AK94" s="403"/>
      <c r="AL94" s="403"/>
      <c r="AM94" s="403"/>
      <c r="AN94" s="403"/>
      <c r="AO94" s="403"/>
      <c r="AP94" s="403"/>
      <c r="AQ94" s="403"/>
      <c r="AR94" s="403"/>
      <c r="AS94" s="403"/>
      <c r="AT94" s="403"/>
      <c r="AU94" s="403"/>
      <c r="AV94" s="403"/>
      <c r="AW94" s="403"/>
      <c r="AX94" s="403"/>
      <c r="AY94" s="403"/>
      <c r="AZ94" s="403"/>
      <c r="BA94" s="403"/>
      <c r="BB94" s="403"/>
      <c r="BC94" s="403"/>
      <c r="BD94" s="403"/>
      <c r="BE94" s="403"/>
      <c r="BF94" s="403"/>
      <c r="BG94" s="403"/>
      <c r="BH94" s="403"/>
      <c r="BI94" s="403"/>
      <c r="BJ94" s="403"/>
      <c r="BK94" s="403"/>
      <c r="BL94" s="403"/>
      <c r="BM94" s="403"/>
      <c r="BN94" s="403"/>
    </row>
    <row r="95" spans="1:66" s="405" customFormat="1" ht="102" x14ac:dyDescent="0.2">
      <c r="A95" s="256" t="s">
        <v>1077</v>
      </c>
      <c r="B95" s="256" t="s">
        <v>1328</v>
      </c>
      <c r="C95" s="256" t="s">
        <v>1332</v>
      </c>
      <c r="D95" s="401" t="s">
        <v>1345</v>
      </c>
      <c r="E95" s="401">
        <v>1</v>
      </c>
      <c r="F95" s="401"/>
      <c r="G95" s="401"/>
      <c r="H95" s="401">
        <v>1</v>
      </c>
      <c r="I95" s="401"/>
      <c r="J95" s="401"/>
      <c r="K95" s="401">
        <v>1</v>
      </c>
      <c r="L95" s="401"/>
      <c r="M95" s="409">
        <v>1</v>
      </c>
      <c r="N95" s="409"/>
      <c r="O95" s="409"/>
      <c r="P95" s="409"/>
      <c r="Q95" s="400">
        <f t="shared" si="1"/>
        <v>4</v>
      </c>
      <c r="R95" s="256"/>
      <c r="S95" s="256"/>
      <c r="T95" s="401" t="s">
        <v>1348</v>
      </c>
      <c r="U95" s="408" t="s">
        <v>1494</v>
      </c>
      <c r="V95" s="402" t="s">
        <v>1341</v>
      </c>
      <c r="W95" s="403"/>
      <c r="X95" s="404"/>
      <c r="Y95" s="404"/>
      <c r="Z95" s="404"/>
      <c r="AA95" s="404"/>
      <c r="AB95" s="404"/>
      <c r="AC95" s="404"/>
      <c r="AD95" s="404"/>
      <c r="AE95" s="404"/>
      <c r="AF95" s="403"/>
      <c r="AG95" s="403"/>
      <c r="AH95" s="403"/>
      <c r="AI95" s="403"/>
      <c r="AJ95" s="403"/>
      <c r="AK95" s="403"/>
      <c r="AL95" s="403"/>
      <c r="AM95" s="403"/>
      <c r="AN95" s="403"/>
      <c r="AO95" s="403"/>
      <c r="AP95" s="403"/>
      <c r="AQ95" s="403"/>
      <c r="AR95" s="403"/>
      <c r="AS95" s="403"/>
      <c r="AT95" s="403"/>
      <c r="AU95" s="403"/>
      <c r="AV95" s="403"/>
      <c r="AW95" s="403"/>
      <c r="AX95" s="403"/>
      <c r="AY95" s="403"/>
      <c r="AZ95" s="403"/>
      <c r="BA95" s="403"/>
      <c r="BB95" s="403"/>
      <c r="BC95" s="403"/>
      <c r="BD95" s="403"/>
      <c r="BE95" s="403"/>
      <c r="BF95" s="403"/>
      <c r="BG95" s="403"/>
      <c r="BH95" s="403"/>
      <c r="BI95" s="403"/>
      <c r="BJ95" s="403"/>
      <c r="BK95" s="403"/>
      <c r="BL95" s="403"/>
      <c r="BM95" s="403"/>
      <c r="BN95" s="403"/>
    </row>
    <row r="96" spans="1:66" s="405" customFormat="1" ht="102" x14ac:dyDescent="0.2">
      <c r="A96" s="256" t="s">
        <v>1077</v>
      </c>
      <c r="B96" s="256" t="s">
        <v>1328</v>
      </c>
      <c r="C96" s="256" t="s">
        <v>1333</v>
      </c>
      <c r="D96" s="421" t="s">
        <v>1346</v>
      </c>
      <c r="E96" s="401">
        <v>1</v>
      </c>
      <c r="F96" s="401"/>
      <c r="G96" s="401"/>
      <c r="H96" s="401"/>
      <c r="I96" s="401"/>
      <c r="J96" s="401">
        <v>1</v>
      </c>
      <c r="K96" s="401"/>
      <c r="L96" s="401"/>
      <c r="M96" s="409"/>
      <c r="N96" s="409"/>
      <c r="O96" s="409"/>
      <c r="P96" s="409"/>
      <c r="Q96" s="400">
        <f t="shared" si="1"/>
        <v>2</v>
      </c>
      <c r="R96" s="256" t="s">
        <v>934</v>
      </c>
      <c r="S96" s="256"/>
      <c r="T96" s="256"/>
      <c r="U96" s="255"/>
      <c r="V96" s="407" t="s">
        <v>1341</v>
      </c>
      <c r="W96" s="403"/>
      <c r="X96" s="404"/>
      <c r="Y96" s="404"/>
      <c r="Z96" s="404"/>
      <c r="AA96" s="404"/>
      <c r="AB96" s="404"/>
      <c r="AC96" s="404"/>
      <c r="AD96" s="404"/>
      <c r="AE96" s="404"/>
      <c r="AF96" s="403"/>
      <c r="AG96" s="403"/>
      <c r="AH96" s="403"/>
      <c r="AI96" s="403"/>
      <c r="AJ96" s="403"/>
      <c r="AK96" s="403"/>
      <c r="AL96" s="403"/>
      <c r="AM96" s="403"/>
      <c r="AN96" s="403"/>
      <c r="AO96" s="403"/>
      <c r="AP96" s="403"/>
      <c r="AQ96" s="403"/>
      <c r="AR96" s="403"/>
      <c r="AS96" s="403"/>
      <c r="AT96" s="403"/>
      <c r="AU96" s="403"/>
      <c r="AV96" s="403"/>
      <c r="AW96" s="403"/>
      <c r="AX96" s="403"/>
      <c r="AY96" s="403"/>
      <c r="AZ96" s="403"/>
      <c r="BA96" s="403"/>
      <c r="BB96" s="403"/>
      <c r="BC96" s="403"/>
      <c r="BD96" s="403"/>
      <c r="BE96" s="403"/>
      <c r="BF96" s="403"/>
      <c r="BG96" s="403"/>
      <c r="BH96" s="403"/>
      <c r="BI96" s="403"/>
      <c r="BJ96" s="403"/>
      <c r="BK96" s="403"/>
      <c r="BL96" s="403"/>
      <c r="BM96" s="403"/>
      <c r="BN96" s="403"/>
    </row>
    <row r="97" spans="1:66" s="405" customFormat="1" ht="102" x14ac:dyDescent="0.2">
      <c r="A97" s="256" t="s">
        <v>1077</v>
      </c>
      <c r="B97" s="256" t="s">
        <v>1328</v>
      </c>
      <c r="C97" s="256" t="s">
        <v>1334</v>
      </c>
      <c r="D97" s="421" t="s">
        <v>1347</v>
      </c>
      <c r="E97" s="401">
        <v>1</v>
      </c>
      <c r="F97" s="401"/>
      <c r="G97" s="401"/>
      <c r="H97" s="401"/>
      <c r="I97" s="401"/>
      <c r="J97" s="401">
        <v>1</v>
      </c>
      <c r="K97" s="401"/>
      <c r="L97" s="401"/>
      <c r="M97" s="409"/>
      <c r="N97" s="409"/>
      <c r="O97" s="409"/>
      <c r="P97" s="409"/>
      <c r="Q97" s="400">
        <f t="shared" si="1"/>
        <v>2</v>
      </c>
      <c r="R97" s="256"/>
      <c r="S97" s="256"/>
      <c r="T97" s="401" t="s">
        <v>1349</v>
      </c>
      <c r="U97" s="256"/>
      <c r="V97" s="402" t="s">
        <v>1341</v>
      </c>
      <c r="W97" s="403"/>
      <c r="X97" s="404"/>
      <c r="Y97" s="404"/>
      <c r="Z97" s="404"/>
      <c r="AA97" s="404"/>
      <c r="AB97" s="404"/>
      <c r="AC97" s="404"/>
      <c r="AD97" s="404"/>
      <c r="AE97" s="404"/>
      <c r="AF97" s="403"/>
      <c r="AG97" s="403"/>
      <c r="AH97" s="403"/>
      <c r="AI97" s="403"/>
      <c r="AJ97" s="403"/>
      <c r="AK97" s="403"/>
      <c r="AL97" s="403"/>
      <c r="AM97" s="403"/>
      <c r="AN97" s="403"/>
      <c r="AO97" s="403"/>
      <c r="AP97" s="403"/>
      <c r="AQ97" s="403"/>
      <c r="AR97" s="403"/>
      <c r="AS97" s="403"/>
      <c r="AT97" s="403"/>
      <c r="AU97" s="403"/>
      <c r="AV97" s="403"/>
      <c r="AW97" s="403"/>
      <c r="AX97" s="403"/>
      <c r="AY97" s="403"/>
      <c r="AZ97" s="403"/>
      <c r="BA97" s="403"/>
      <c r="BB97" s="403"/>
      <c r="BC97" s="403"/>
      <c r="BD97" s="403"/>
      <c r="BE97" s="403"/>
      <c r="BF97" s="403"/>
      <c r="BG97" s="403"/>
      <c r="BH97" s="403"/>
      <c r="BI97" s="403"/>
      <c r="BJ97" s="403"/>
      <c r="BK97" s="403"/>
      <c r="BL97" s="403"/>
      <c r="BM97" s="403"/>
      <c r="BN97" s="403"/>
    </row>
    <row r="98" spans="1:66" s="405" customFormat="1" ht="102" x14ac:dyDescent="0.2">
      <c r="A98" s="256" t="s">
        <v>1077</v>
      </c>
      <c r="B98" s="256" t="s">
        <v>1328</v>
      </c>
      <c r="C98" s="256" t="s">
        <v>1335</v>
      </c>
      <c r="D98" s="401" t="s">
        <v>1350</v>
      </c>
      <c r="E98" s="399"/>
      <c r="F98" s="399"/>
      <c r="G98" s="399">
        <v>1</v>
      </c>
      <c r="H98" s="399"/>
      <c r="I98" s="399">
        <v>1</v>
      </c>
      <c r="J98" s="399"/>
      <c r="K98" s="399"/>
      <c r="L98" s="399">
        <v>1</v>
      </c>
      <c r="M98" s="399"/>
      <c r="N98" s="399"/>
      <c r="O98" s="399"/>
      <c r="P98" s="399"/>
      <c r="Q98" s="400">
        <f t="shared" si="1"/>
        <v>3</v>
      </c>
      <c r="R98" s="256" t="s">
        <v>943</v>
      </c>
      <c r="S98" s="256"/>
      <c r="T98" s="401" t="s">
        <v>1351</v>
      </c>
      <c r="U98" s="401" t="s">
        <v>1495</v>
      </c>
      <c r="V98" s="402" t="s">
        <v>1341</v>
      </c>
      <c r="W98" s="403"/>
      <c r="X98" s="404"/>
      <c r="Y98" s="404"/>
      <c r="Z98" s="404"/>
      <c r="AA98" s="404"/>
      <c r="AB98" s="404"/>
      <c r="AC98" s="404"/>
      <c r="AD98" s="404"/>
      <c r="AE98" s="404"/>
      <c r="AF98" s="403"/>
      <c r="AG98" s="403"/>
      <c r="AH98" s="403"/>
      <c r="AI98" s="403"/>
      <c r="AJ98" s="403"/>
      <c r="AK98" s="403"/>
      <c r="AL98" s="403"/>
      <c r="AM98" s="403"/>
      <c r="AN98" s="403"/>
      <c r="AO98" s="403"/>
      <c r="AP98" s="403"/>
      <c r="AQ98" s="403"/>
      <c r="AR98" s="403"/>
      <c r="AS98" s="403"/>
      <c r="AT98" s="403"/>
      <c r="AU98" s="403"/>
      <c r="AV98" s="403"/>
      <c r="AW98" s="403"/>
      <c r="AX98" s="403"/>
      <c r="AY98" s="403"/>
      <c r="AZ98" s="403"/>
      <c r="BA98" s="403"/>
      <c r="BB98" s="403"/>
      <c r="BC98" s="403"/>
      <c r="BD98" s="403"/>
      <c r="BE98" s="403"/>
      <c r="BF98" s="403"/>
      <c r="BG98" s="403"/>
      <c r="BH98" s="403"/>
      <c r="BI98" s="403"/>
      <c r="BJ98" s="403"/>
      <c r="BK98" s="403"/>
      <c r="BL98" s="403"/>
      <c r="BM98" s="403"/>
      <c r="BN98" s="403"/>
    </row>
    <row r="99" spans="1:66" s="405" customFormat="1" ht="102" x14ac:dyDescent="0.2">
      <c r="A99" s="256" t="s">
        <v>1077</v>
      </c>
      <c r="B99" s="256" t="s">
        <v>1328</v>
      </c>
      <c r="C99" s="256" t="s">
        <v>1336</v>
      </c>
      <c r="D99" s="401" t="s">
        <v>1352</v>
      </c>
      <c r="E99" s="399"/>
      <c r="F99" s="399"/>
      <c r="G99" s="399">
        <v>1</v>
      </c>
      <c r="H99" s="399"/>
      <c r="I99" s="399"/>
      <c r="J99" s="399"/>
      <c r="K99" s="399"/>
      <c r="L99" s="399"/>
      <c r="M99" s="399">
        <v>1</v>
      </c>
      <c r="N99" s="399"/>
      <c r="O99" s="399"/>
      <c r="P99" s="399"/>
      <c r="Q99" s="400">
        <f t="shared" si="1"/>
        <v>2</v>
      </c>
      <c r="R99" s="256"/>
      <c r="S99" s="256"/>
      <c r="T99" s="401" t="s">
        <v>1354</v>
      </c>
      <c r="U99" s="256"/>
      <c r="V99" s="402" t="s">
        <v>1341</v>
      </c>
      <c r="W99" s="403"/>
      <c r="X99" s="404"/>
      <c r="Y99" s="404"/>
      <c r="Z99" s="404"/>
      <c r="AA99" s="404"/>
      <c r="AB99" s="404"/>
      <c r="AC99" s="404"/>
      <c r="AD99" s="404"/>
      <c r="AE99" s="404"/>
      <c r="AF99" s="403"/>
      <c r="AG99" s="403"/>
      <c r="AH99" s="403"/>
      <c r="AI99" s="403"/>
      <c r="AJ99" s="403"/>
      <c r="AK99" s="403"/>
      <c r="AL99" s="403"/>
      <c r="AM99" s="403"/>
      <c r="AN99" s="403"/>
      <c r="AO99" s="403"/>
      <c r="AP99" s="403"/>
      <c r="AQ99" s="403"/>
      <c r="AR99" s="403"/>
      <c r="AS99" s="403"/>
      <c r="AT99" s="403"/>
      <c r="AU99" s="403"/>
      <c r="AV99" s="403"/>
      <c r="AW99" s="403"/>
      <c r="AX99" s="403"/>
      <c r="AY99" s="403"/>
      <c r="AZ99" s="403"/>
      <c r="BA99" s="403"/>
      <c r="BB99" s="403"/>
      <c r="BC99" s="403"/>
      <c r="BD99" s="403"/>
      <c r="BE99" s="403"/>
      <c r="BF99" s="403"/>
      <c r="BG99" s="403"/>
      <c r="BH99" s="403"/>
      <c r="BI99" s="403"/>
      <c r="BJ99" s="403"/>
      <c r="BK99" s="403"/>
      <c r="BL99" s="403"/>
      <c r="BM99" s="403"/>
      <c r="BN99" s="403"/>
    </row>
    <row r="100" spans="1:66" s="405" customFormat="1" ht="102" x14ac:dyDescent="0.2">
      <c r="A100" s="256" t="s">
        <v>1077</v>
      </c>
      <c r="B100" s="256" t="s">
        <v>1328</v>
      </c>
      <c r="C100" s="256" t="s">
        <v>1337</v>
      </c>
      <c r="D100" s="401" t="s">
        <v>1353</v>
      </c>
      <c r="E100" s="406">
        <v>1</v>
      </c>
      <c r="F100" s="406">
        <v>1</v>
      </c>
      <c r="G100" s="406">
        <v>1</v>
      </c>
      <c r="H100" s="406">
        <v>1</v>
      </c>
      <c r="I100" s="406">
        <v>1</v>
      </c>
      <c r="J100" s="406">
        <v>1</v>
      </c>
      <c r="K100" s="406">
        <v>1</v>
      </c>
      <c r="L100" s="406">
        <v>1</v>
      </c>
      <c r="M100" s="406">
        <v>1</v>
      </c>
      <c r="N100" s="406">
        <v>1</v>
      </c>
      <c r="O100" s="406">
        <v>1</v>
      </c>
      <c r="P100" s="406">
        <v>1</v>
      </c>
      <c r="Q100" s="400">
        <f t="shared" si="1"/>
        <v>12</v>
      </c>
      <c r="R100" s="256"/>
      <c r="S100" s="256"/>
      <c r="T100" s="401" t="s">
        <v>1355</v>
      </c>
      <c r="U100" s="255"/>
      <c r="V100" s="407" t="s">
        <v>1341</v>
      </c>
      <c r="W100" s="403"/>
      <c r="X100" s="404"/>
      <c r="Y100" s="404"/>
      <c r="Z100" s="404"/>
      <c r="AA100" s="404"/>
      <c r="AB100" s="404"/>
      <c r="AC100" s="404"/>
      <c r="AD100" s="404"/>
      <c r="AE100" s="404"/>
      <c r="AF100" s="403"/>
      <c r="AG100" s="403"/>
      <c r="AH100" s="403"/>
      <c r="AI100" s="403"/>
      <c r="AJ100" s="403"/>
      <c r="AK100" s="403"/>
      <c r="AL100" s="403"/>
      <c r="AM100" s="403"/>
      <c r="AN100" s="403"/>
      <c r="AO100" s="403"/>
      <c r="AP100" s="403"/>
      <c r="AQ100" s="403"/>
      <c r="AR100" s="403"/>
      <c r="AS100" s="403"/>
      <c r="AT100" s="403"/>
      <c r="AU100" s="403"/>
      <c r="AV100" s="403"/>
      <c r="AW100" s="403"/>
      <c r="AX100" s="403"/>
      <c r="AY100" s="403"/>
      <c r="AZ100" s="403"/>
      <c r="BA100" s="403"/>
      <c r="BB100" s="403"/>
      <c r="BC100" s="403"/>
      <c r="BD100" s="403"/>
      <c r="BE100" s="403"/>
      <c r="BF100" s="403"/>
      <c r="BG100" s="403"/>
      <c r="BH100" s="403"/>
      <c r="BI100" s="403"/>
      <c r="BJ100" s="403"/>
      <c r="BK100" s="403"/>
      <c r="BL100" s="403"/>
      <c r="BM100" s="403"/>
      <c r="BN100" s="403"/>
    </row>
    <row r="101" spans="1:66" s="405" customFormat="1" ht="102" x14ac:dyDescent="0.2">
      <c r="A101" s="256" t="s">
        <v>1077</v>
      </c>
      <c r="B101" s="256" t="s">
        <v>1328</v>
      </c>
      <c r="C101" s="256" t="s">
        <v>1338</v>
      </c>
      <c r="D101" s="410" t="s">
        <v>1356</v>
      </c>
      <c r="E101" s="410"/>
      <c r="F101" s="410"/>
      <c r="G101" s="410"/>
      <c r="H101" s="410">
        <v>1</v>
      </c>
      <c r="I101" s="410"/>
      <c r="J101" s="410"/>
      <c r="K101" s="410"/>
      <c r="L101" s="410"/>
      <c r="M101" s="409"/>
      <c r="N101" s="409"/>
      <c r="O101" s="409">
        <v>1</v>
      </c>
      <c r="P101" s="409"/>
      <c r="Q101" s="400">
        <f t="shared" si="1"/>
        <v>2</v>
      </c>
      <c r="R101" s="256" t="s">
        <v>944</v>
      </c>
      <c r="S101" s="256" t="s">
        <v>935</v>
      </c>
      <c r="T101" s="256"/>
      <c r="U101" s="256"/>
      <c r="V101" s="402" t="s">
        <v>1341</v>
      </c>
      <c r="W101" s="403"/>
      <c r="X101" s="404"/>
      <c r="Y101" s="404"/>
      <c r="Z101" s="404"/>
      <c r="AA101" s="404"/>
      <c r="AB101" s="404"/>
      <c r="AC101" s="404"/>
      <c r="AD101" s="404"/>
      <c r="AE101" s="404"/>
      <c r="AF101" s="403"/>
      <c r="AG101" s="403"/>
      <c r="AH101" s="403"/>
      <c r="AI101" s="403"/>
      <c r="AJ101" s="403"/>
      <c r="AK101" s="403"/>
      <c r="AL101" s="403"/>
      <c r="AM101" s="403"/>
      <c r="AN101" s="403"/>
      <c r="AO101" s="403"/>
      <c r="AP101" s="403"/>
      <c r="AQ101" s="403"/>
      <c r="AR101" s="403"/>
      <c r="AS101" s="403"/>
      <c r="AT101" s="403"/>
      <c r="AU101" s="403"/>
      <c r="AV101" s="403"/>
      <c r="AW101" s="403"/>
      <c r="AX101" s="403"/>
      <c r="AY101" s="403"/>
      <c r="AZ101" s="403"/>
      <c r="BA101" s="403"/>
      <c r="BB101" s="403"/>
      <c r="BC101" s="403"/>
      <c r="BD101" s="403"/>
      <c r="BE101" s="403"/>
      <c r="BF101" s="403"/>
      <c r="BG101" s="403"/>
      <c r="BH101" s="403"/>
      <c r="BI101" s="403"/>
      <c r="BJ101" s="403"/>
      <c r="BK101" s="403"/>
      <c r="BL101" s="403"/>
      <c r="BM101" s="403"/>
      <c r="BN101" s="403"/>
    </row>
    <row r="102" spans="1:66" s="405" customFormat="1" ht="114.75" x14ac:dyDescent="0.2">
      <c r="A102" s="256" t="s">
        <v>1077</v>
      </c>
      <c r="B102" s="256" t="s">
        <v>1328</v>
      </c>
      <c r="C102" s="256" t="s">
        <v>1435</v>
      </c>
      <c r="D102" s="410" t="s">
        <v>1420</v>
      </c>
      <c r="E102" s="410">
        <v>1</v>
      </c>
      <c r="F102" s="410">
        <v>1</v>
      </c>
      <c r="G102" s="410">
        <v>1</v>
      </c>
      <c r="H102" s="410"/>
      <c r="I102" s="410">
        <v>1</v>
      </c>
      <c r="J102" s="410">
        <v>1</v>
      </c>
      <c r="K102" s="410">
        <v>1</v>
      </c>
      <c r="L102" s="410"/>
      <c r="M102" s="409">
        <v>1</v>
      </c>
      <c r="N102" s="409">
        <v>1</v>
      </c>
      <c r="O102" s="409">
        <v>1</v>
      </c>
      <c r="P102" s="409"/>
      <c r="Q102" s="400">
        <f t="shared" ref="Q102:Q110" si="2">SUM(E102:P102)</f>
        <v>9</v>
      </c>
      <c r="R102" s="256" t="s">
        <v>1421</v>
      </c>
      <c r="S102" s="256"/>
      <c r="T102" s="256"/>
      <c r="U102" s="256" t="s">
        <v>1422</v>
      </c>
      <c r="V102" s="402" t="s">
        <v>1374</v>
      </c>
      <c r="W102" s="403"/>
      <c r="X102" s="404"/>
      <c r="Y102" s="404"/>
      <c r="Z102" s="404"/>
      <c r="AA102" s="404"/>
      <c r="AB102" s="404"/>
      <c r="AC102" s="404"/>
      <c r="AD102" s="404"/>
      <c r="AE102" s="404"/>
      <c r="AF102" s="403"/>
      <c r="AG102" s="403"/>
      <c r="AH102" s="403"/>
      <c r="AI102" s="403"/>
      <c r="AJ102" s="403"/>
      <c r="AK102" s="403"/>
      <c r="AL102" s="403"/>
      <c r="AM102" s="403"/>
      <c r="AN102" s="403"/>
      <c r="AO102" s="403"/>
      <c r="AP102" s="403"/>
      <c r="AQ102" s="403"/>
      <c r="AR102" s="403"/>
      <c r="AS102" s="403"/>
      <c r="AT102" s="403"/>
      <c r="AU102" s="403"/>
      <c r="AV102" s="403"/>
      <c r="AW102" s="403"/>
      <c r="AX102" s="403"/>
      <c r="AY102" s="403"/>
      <c r="AZ102" s="403"/>
      <c r="BA102" s="403"/>
      <c r="BB102" s="403"/>
      <c r="BC102" s="403"/>
      <c r="BD102" s="403"/>
      <c r="BE102" s="403"/>
      <c r="BF102" s="403"/>
      <c r="BG102" s="403"/>
      <c r="BH102" s="403"/>
      <c r="BI102" s="403"/>
      <c r="BJ102" s="403"/>
      <c r="BK102" s="403"/>
      <c r="BL102" s="403"/>
      <c r="BM102" s="403"/>
      <c r="BN102" s="403"/>
    </row>
    <row r="103" spans="1:66" s="405" customFormat="1" ht="102" x14ac:dyDescent="0.2">
      <c r="A103" s="256" t="s">
        <v>1077</v>
      </c>
      <c r="B103" s="256" t="s">
        <v>1328</v>
      </c>
      <c r="C103" s="256" t="s">
        <v>1436</v>
      </c>
      <c r="D103" s="410" t="s">
        <v>1423</v>
      </c>
      <c r="E103" s="410"/>
      <c r="F103" s="410"/>
      <c r="G103" s="410"/>
      <c r="H103" s="410">
        <v>1</v>
      </c>
      <c r="I103" s="410"/>
      <c r="J103" s="410"/>
      <c r="K103" s="410"/>
      <c r="L103" s="410">
        <v>1</v>
      </c>
      <c r="M103" s="409"/>
      <c r="N103" s="409"/>
      <c r="O103" s="409"/>
      <c r="P103" s="409">
        <v>1</v>
      </c>
      <c r="Q103" s="400">
        <f t="shared" si="2"/>
        <v>3</v>
      </c>
      <c r="R103" s="256" t="s">
        <v>1424</v>
      </c>
      <c r="S103" s="256"/>
      <c r="T103" s="256"/>
      <c r="U103" s="411" t="s">
        <v>1496</v>
      </c>
      <c r="V103" s="402" t="s">
        <v>1374</v>
      </c>
      <c r="W103" s="403"/>
      <c r="X103" s="404"/>
      <c r="Y103" s="404"/>
      <c r="Z103" s="404"/>
      <c r="AA103" s="404"/>
      <c r="AB103" s="404"/>
      <c r="AC103" s="404"/>
      <c r="AD103" s="404"/>
      <c r="AE103" s="404"/>
      <c r="AF103" s="403"/>
      <c r="AG103" s="403"/>
      <c r="AH103" s="403"/>
      <c r="AI103" s="403"/>
      <c r="AJ103" s="403"/>
      <c r="AK103" s="403"/>
      <c r="AL103" s="403"/>
      <c r="AM103" s="403"/>
      <c r="AN103" s="403"/>
      <c r="AO103" s="403"/>
      <c r="AP103" s="403"/>
      <c r="AQ103" s="403"/>
      <c r="AR103" s="403"/>
      <c r="AS103" s="403"/>
      <c r="AT103" s="403"/>
      <c r="AU103" s="403"/>
      <c r="AV103" s="403"/>
      <c r="AW103" s="403"/>
      <c r="AX103" s="403"/>
      <c r="AY103" s="403"/>
      <c r="AZ103" s="403"/>
      <c r="BA103" s="403"/>
      <c r="BB103" s="403"/>
      <c r="BC103" s="403"/>
      <c r="BD103" s="403"/>
      <c r="BE103" s="403"/>
      <c r="BF103" s="403"/>
      <c r="BG103" s="403"/>
      <c r="BH103" s="403"/>
      <c r="BI103" s="403"/>
      <c r="BJ103" s="403"/>
      <c r="BK103" s="403"/>
      <c r="BL103" s="403"/>
      <c r="BM103" s="403"/>
      <c r="BN103" s="403"/>
    </row>
    <row r="104" spans="1:66" s="405" customFormat="1" ht="102" x14ac:dyDescent="0.2">
      <c r="A104" s="256" t="s">
        <v>1077</v>
      </c>
      <c r="B104" s="256" t="s">
        <v>1328</v>
      </c>
      <c r="C104" s="256" t="s">
        <v>1437</v>
      </c>
      <c r="D104" s="410" t="s">
        <v>1425</v>
      </c>
      <c r="E104" s="410"/>
      <c r="F104" s="410"/>
      <c r="G104" s="410"/>
      <c r="H104" s="410"/>
      <c r="I104" s="410"/>
      <c r="J104" s="410">
        <v>1</v>
      </c>
      <c r="K104" s="410"/>
      <c r="L104" s="410"/>
      <c r="M104" s="409"/>
      <c r="N104" s="409"/>
      <c r="O104" s="409">
        <v>1</v>
      </c>
      <c r="P104" s="409"/>
      <c r="Q104" s="400">
        <f t="shared" si="2"/>
        <v>2</v>
      </c>
      <c r="R104" s="256" t="s">
        <v>934</v>
      </c>
      <c r="S104" s="256"/>
      <c r="T104" s="256"/>
      <c r="U104" s="411" t="s">
        <v>1497</v>
      </c>
      <c r="V104" s="402" t="s">
        <v>1374</v>
      </c>
      <c r="W104" s="403"/>
      <c r="X104" s="404"/>
      <c r="Y104" s="404"/>
      <c r="Z104" s="404"/>
      <c r="AA104" s="404"/>
      <c r="AB104" s="404"/>
      <c r="AC104" s="404"/>
      <c r="AD104" s="404"/>
      <c r="AE104" s="404"/>
      <c r="AF104" s="403"/>
      <c r="AG104" s="403"/>
      <c r="AH104" s="403"/>
      <c r="AI104" s="403"/>
      <c r="AJ104" s="403"/>
      <c r="AK104" s="403"/>
      <c r="AL104" s="403"/>
      <c r="AM104" s="403"/>
      <c r="AN104" s="403"/>
      <c r="AO104" s="403"/>
      <c r="AP104" s="403"/>
      <c r="AQ104" s="403"/>
      <c r="AR104" s="403"/>
      <c r="AS104" s="403"/>
      <c r="AT104" s="403"/>
      <c r="AU104" s="403"/>
      <c r="AV104" s="403"/>
      <c r="AW104" s="403"/>
      <c r="AX104" s="403"/>
      <c r="AY104" s="403"/>
      <c r="AZ104" s="403"/>
      <c r="BA104" s="403"/>
      <c r="BB104" s="403"/>
      <c r="BC104" s="403"/>
      <c r="BD104" s="403"/>
      <c r="BE104" s="403"/>
      <c r="BF104" s="403"/>
      <c r="BG104" s="403"/>
      <c r="BH104" s="403"/>
      <c r="BI104" s="403"/>
      <c r="BJ104" s="403"/>
      <c r="BK104" s="403"/>
      <c r="BL104" s="403"/>
      <c r="BM104" s="403"/>
      <c r="BN104" s="403"/>
    </row>
    <row r="105" spans="1:66" s="405" customFormat="1" ht="102" x14ac:dyDescent="0.2">
      <c r="A105" s="256" t="s">
        <v>1077</v>
      </c>
      <c r="B105" s="256" t="s">
        <v>1328</v>
      </c>
      <c r="C105" s="256" t="s">
        <v>1438</v>
      </c>
      <c r="D105" s="256" t="s">
        <v>1426</v>
      </c>
      <c r="E105" s="399"/>
      <c r="F105" s="399"/>
      <c r="G105" s="399"/>
      <c r="H105" s="399">
        <v>1</v>
      </c>
      <c r="I105" s="399"/>
      <c r="J105" s="399"/>
      <c r="K105" s="399"/>
      <c r="L105" s="399"/>
      <c r="M105" s="399"/>
      <c r="N105" s="399"/>
      <c r="O105" s="399"/>
      <c r="P105" s="399"/>
      <c r="Q105" s="400">
        <f t="shared" si="2"/>
        <v>1</v>
      </c>
      <c r="R105" s="256" t="s">
        <v>934</v>
      </c>
      <c r="S105" s="256"/>
      <c r="T105" s="256"/>
      <c r="U105" s="411" t="s">
        <v>1498</v>
      </c>
      <c r="V105" s="402" t="s">
        <v>1374</v>
      </c>
      <c r="W105" s="403"/>
      <c r="X105" s="404"/>
      <c r="Y105" s="404"/>
      <c r="Z105" s="404"/>
      <c r="AA105" s="404"/>
      <c r="AB105" s="404"/>
      <c r="AC105" s="404"/>
      <c r="AD105" s="404"/>
      <c r="AE105" s="404"/>
      <c r="AF105" s="403"/>
      <c r="AG105" s="403"/>
      <c r="AH105" s="403"/>
      <c r="AI105" s="403"/>
      <c r="AJ105" s="403"/>
      <c r="AK105" s="403"/>
      <c r="AL105" s="403"/>
      <c r="AM105" s="403"/>
      <c r="AN105" s="403"/>
      <c r="AO105" s="403"/>
      <c r="AP105" s="403"/>
      <c r="AQ105" s="403"/>
      <c r="AR105" s="403"/>
      <c r="AS105" s="403"/>
      <c r="AT105" s="403"/>
      <c r="AU105" s="403"/>
      <c r="AV105" s="403"/>
      <c r="AW105" s="403"/>
      <c r="AX105" s="403"/>
      <c r="AY105" s="403"/>
      <c r="AZ105" s="403"/>
      <c r="BA105" s="403"/>
      <c r="BB105" s="403"/>
      <c r="BC105" s="403"/>
      <c r="BD105" s="403"/>
      <c r="BE105" s="403"/>
      <c r="BF105" s="403"/>
      <c r="BG105" s="403"/>
      <c r="BH105" s="403"/>
      <c r="BI105" s="403"/>
      <c r="BJ105" s="403"/>
      <c r="BK105" s="403"/>
      <c r="BL105" s="403"/>
      <c r="BM105" s="403"/>
      <c r="BN105" s="403"/>
    </row>
    <row r="106" spans="1:66" s="405" customFormat="1" ht="102" x14ac:dyDescent="0.2">
      <c r="A106" s="256" t="s">
        <v>1077</v>
      </c>
      <c r="B106" s="256" t="s">
        <v>1328</v>
      </c>
      <c r="C106" s="256" t="s">
        <v>1439</v>
      </c>
      <c r="D106" s="255" t="s">
        <v>1427</v>
      </c>
      <c r="E106" s="406">
        <v>1</v>
      </c>
      <c r="F106" s="406"/>
      <c r="G106" s="406"/>
      <c r="H106" s="406"/>
      <c r="I106" s="406"/>
      <c r="J106" s="406"/>
      <c r="K106" s="406">
        <v>1</v>
      </c>
      <c r="L106" s="406"/>
      <c r="M106" s="406"/>
      <c r="N106" s="406"/>
      <c r="O106" s="406"/>
      <c r="P106" s="406"/>
      <c r="Q106" s="400">
        <f t="shared" si="2"/>
        <v>2</v>
      </c>
      <c r="R106" s="256" t="s">
        <v>1428</v>
      </c>
      <c r="S106" s="256"/>
      <c r="T106" s="256"/>
      <c r="U106" s="411" t="s">
        <v>1499</v>
      </c>
      <c r="V106" s="402" t="s">
        <v>1374</v>
      </c>
      <c r="W106" s="403"/>
      <c r="X106" s="404"/>
      <c r="Y106" s="404"/>
      <c r="Z106" s="404"/>
      <c r="AA106" s="404"/>
      <c r="AB106" s="404"/>
      <c r="AC106" s="404"/>
      <c r="AD106" s="404"/>
      <c r="AE106" s="404"/>
      <c r="AF106" s="403"/>
      <c r="AG106" s="403"/>
      <c r="AH106" s="403"/>
      <c r="AI106" s="403"/>
      <c r="AJ106" s="403"/>
      <c r="AK106" s="403"/>
      <c r="AL106" s="403"/>
      <c r="AM106" s="403"/>
      <c r="AN106" s="403"/>
      <c r="AO106" s="403"/>
      <c r="AP106" s="403"/>
      <c r="AQ106" s="403"/>
      <c r="AR106" s="403"/>
      <c r="AS106" s="403"/>
      <c r="AT106" s="403"/>
      <c r="AU106" s="403"/>
      <c r="AV106" s="403"/>
      <c r="AW106" s="403"/>
      <c r="AX106" s="403"/>
      <c r="AY106" s="403"/>
      <c r="AZ106" s="403"/>
      <c r="BA106" s="403"/>
      <c r="BB106" s="403"/>
      <c r="BC106" s="403"/>
      <c r="BD106" s="403"/>
      <c r="BE106" s="403"/>
      <c r="BF106" s="403"/>
      <c r="BG106" s="403"/>
      <c r="BH106" s="403"/>
      <c r="BI106" s="403"/>
      <c r="BJ106" s="403"/>
      <c r="BK106" s="403"/>
      <c r="BL106" s="403"/>
      <c r="BM106" s="403"/>
      <c r="BN106" s="403"/>
    </row>
    <row r="107" spans="1:66" s="405" customFormat="1" ht="102" x14ac:dyDescent="0.2">
      <c r="A107" s="256" t="s">
        <v>1077</v>
      </c>
      <c r="B107" s="256" t="s">
        <v>1328</v>
      </c>
      <c r="C107" s="256" t="s">
        <v>1440</v>
      </c>
      <c r="D107" s="256" t="s">
        <v>1429</v>
      </c>
      <c r="E107" s="399">
        <v>1</v>
      </c>
      <c r="F107" s="399">
        <v>1</v>
      </c>
      <c r="G107" s="399">
        <v>1</v>
      </c>
      <c r="H107" s="399">
        <v>1</v>
      </c>
      <c r="I107" s="399">
        <v>1</v>
      </c>
      <c r="J107" s="399">
        <v>1</v>
      </c>
      <c r="K107" s="399">
        <v>1</v>
      </c>
      <c r="L107" s="399">
        <v>1</v>
      </c>
      <c r="M107" s="399">
        <v>1</v>
      </c>
      <c r="N107" s="399">
        <v>1</v>
      </c>
      <c r="O107" s="399">
        <v>1</v>
      </c>
      <c r="P107" s="399">
        <v>1</v>
      </c>
      <c r="Q107" s="400">
        <f t="shared" si="2"/>
        <v>12</v>
      </c>
      <c r="R107" s="256" t="s">
        <v>1430</v>
      </c>
      <c r="S107" s="256"/>
      <c r="T107" s="256"/>
      <c r="U107" s="411" t="s">
        <v>1500</v>
      </c>
      <c r="V107" s="402" t="s">
        <v>1374</v>
      </c>
      <c r="W107" s="403"/>
      <c r="X107" s="404"/>
      <c r="Y107" s="404"/>
      <c r="Z107" s="404"/>
      <c r="AA107" s="404"/>
      <c r="AB107" s="404"/>
      <c r="AC107" s="404"/>
      <c r="AD107" s="404"/>
      <c r="AE107" s="404"/>
      <c r="AF107" s="403"/>
      <c r="AG107" s="403"/>
      <c r="AH107" s="403"/>
      <c r="AI107" s="403"/>
      <c r="AJ107" s="403"/>
      <c r="AK107" s="403"/>
      <c r="AL107" s="403"/>
      <c r="AM107" s="403"/>
      <c r="AN107" s="403"/>
      <c r="AO107" s="403"/>
      <c r="AP107" s="403"/>
      <c r="AQ107" s="403"/>
      <c r="AR107" s="403"/>
      <c r="AS107" s="403"/>
      <c r="AT107" s="403"/>
      <c r="AU107" s="403"/>
      <c r="AV107" s="403"/>
      <c r="AW107" s="403"/>
      <c r="AX107" s="403"/>
      <c r="AY107" s="403"/>
      <c r="AZ107" s="403"/>
      <c r="BA107" s="403"/>
      <c r="BB107" s="403"/>
      <c r="BC107" s="403"/>
      <c r="BD107" s="403"/>
      <c r="BE107" s="403"/>
      <c r="BF107" s="403"/>
      <c r="BG107" s="403"/>
      <c r="BH107" s="403"/>
      <c r="BI107" s="403"/>
      <c r="BJ107" s="403"/>
      <c r="BK107" s="403"/>
      <c r="BL107" s="403"/>
      <c r="BM107" s="403"/>
      <c r="BN107" s="403"/>
    </row>
    <row r="108" spans="1:66" s="405" customFormat="1" ht="102" x14ac:dyDescent="0.2">
      <c r="A108" s="256" t="s">
        <v>1077</v>
      </c>
      <c r="B108" s="256" t="s">
        <v>1328</v>
      </c>
      <c r="C108" s="256" t="s">
        <v>1441</v>
      </c>
      <c r="D108" s="255" t="s">
        <v>1431</v>
      </c>
      <c r="E108" s="406"/>
      <c r="F108" s="406"/>
      <c r="G108" s="406">
        <v>1</v>
      </c>
      <c r="H108" s="406"/>
      <c r="I108" s="406"/>
      <c r="J108" s="406"/>
      <c r="K108" s="406">
        <v>1</v>
      </c>
      <c r="L108" s="406"/>
      <c r="M108" s="406"/>
      <c r="N108" s="406"/>
      <c r="O108" s="406">
        <v>1</v>
      </c>
      <c r="P108" s="406"/>
      <c r="Q108" s="400">
        <f t="shared" si="2"/>
        <v>3</v>
      </c>
      <c r="R108" s="256" t="s">
        <v>1432</v>
      </c>
      <c r="S108" s="256"/>
      <c r="T108" s="256"/>
      <c r="U108" s="411" t="s">
        <v>1501</v>
      </c>
      <c r="V108" s="402" t="s">
        <v>1374</v>
      </c>
      <c r="W108" s="403"/>
      <c r="X108" s="404"/>
      <c r="Y108" s="404"/>
      <c r="Z108" s="404"/>
      <c r="AA108" s="404"/>
      <c r="AB108" s="404"/>
      <c r="AC108" s="404"/>
      <c r="AD108" s="404"/>
      <c r="AE108" s="404"/>
      <c r="AF108" s="403"/>
      <c r="AG108" s="403"/>
      <c r="AH108" s="403"/>
      <c r="AI108" s="403"/>
      <c r="AJ108" s="403"/>
      <c r="AK108" s="403"/>
      <c r="AL108" s="403"/>
      <c r="AM108" s="403"/>
      <c r="AN108" s="403"/>
      <c r="AO108" s="403"/>
      <c r="AP108" s="403"/>
      <c r="AQ108" s="403"/>
      <c r="AR108" s="403"/>
      <c r="AS108" s="403"/>
      <c r="AT108" s="403"/>
      <c r="AU108" s="403"/>
      <c r="AV108" s="403"/>
      <c r="AW108" s="403"/>
      <c r="AX108" s="403"/>
      <c r="AY108" s="403"/>
      <c r="AZ108" s="403"/>
      <c r="BA108" s="403"/>
      <c r="BB108" s="403"/>
      <c r="BC108" s="403"/>
      <c r="BD108" s="403"/>
      <c r="BE108" s="403"/>
      <c r="BF108" s="403"/>
      <c r="BG108" s="403"/>
      <c r="BH108" s="403"/>
      <c r="BI108" s="403"/>
      <c r="BJ108" s="403"/>
      <c r="BK108" s="403"/>
      <c r="BL108" s="403"/>
      <c r="BM108" s="403"/>
      <c r="BN108" s="403"/>
    </row>
    <row r="109" spans="1:66" s="405" customFormat="1" ht="102" x14ac:dyDescent="0.2">
      <c r="A109" s="256" t="s">
        <v>1077</v>
      </c>
      <c r="B109" s="256" t="s">
        <v>1328</v>
      </c>
      <c r="C109" s="256" t="s">
        <v>1442</v>
      </c>
      <c r="D109" s="256" t="s">
        <v>1433</v>
      </c>
      <c r="E109" s="399"/>
      <c r="F109" s="399">
        <v>1</v>
      </c>
      <c r="G109" s="399"/>
      <c r="H109" s="399"/>
      <c r="I109" s="399"/>
      <c r="J109" s="399"/>
      <c r="K109" s="399"/>
      <c r="L109" s="399"/>
      <c r="M109" s="399"/>
      <c r="N109" s="399"/>
      <c r="O109" s="399"/>
      <c r="P109" s="399"/>
      <c r="Q109" s="400">
        <f t="shared" si="2"/>
        <v>1</v>
      </c>
      <c r="R109" s="256" t="s">
        <v>1432</v>
      </c>
      <c r="S109" s="256"/>
      <c r="T109" s="256"/>
      <c r="U109" s="411" t="s">
        <v>1502</v>
      </c>
      <c r="V109" s="402" t="s">
        <v>1374</v>
      </c>
      <c r="W109" s="403"/>
      <c r="X109" s="404"/>
      <c r="Y109" s="404"/>
      <c r="Z109" s="404"/>
      <c r="AA109" s="404"/>
      <c r="AB109" s="404"/>
      <c r="AC109" s="404"/>
      <c r="AD109" s="404"/>
      <c r="AE109" s="404"/>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c r="BA109" s="403"/>
      <c r="BB109" s="403"/>
      <c r="BC109" s="403"/>
      <c r="BD109" s="403"/>
      <c r="BE109" s="403"/>
      <c r="BF109" s="403"/>
      <c r="BG109" s="403"/>
      <c r="BH109" s="403"/>
      <c r="BI109" s="403"/>
      <c r="BJ109" s="403"/>
      <c r="BK109" s="403"/>
      <c r="BL109" s="403"/>
      <c r="BM109" s="403"/>
      <c r="BN109" s="403"/>
    </row>
    <row r="110" spans="1:66" s="405" customFormat="1" ht="102" x14ac:dyDescent="0.2">
      <c r="A110" s="256" t="s">
        <v>1077</v>
      </c>
      <c r="B110" s="256" t="s">
        <v>1328</v>
      </c>
      <c r="C110" s="256" t="s">
        <v>1443</v>
      </c>
      <c r="D110" s="255" t="s">
        <v>1434</v>
      </c>
      <c r="E110" s="406"/>
      <c r="F110" s="406"/>
      <c r="G110" s="406"/>
      <c r="H110" s="406">
        <v>1</v>
      </c>
      <c r="I110" s="406"/>
      <c r="J110" s="406"/>
      <c r="K110" s="406"/>
      <c r="L110" s="406"/>
      <c r="M110" s="406">
        <v>1</v>
      </c>
      <c r="N110" s="406"/>
      <c r="O110" s="406"/>
      <c r="P110" s="406"/>
      <c r="Q110" s="400">
        <f t="shared" si="2"/>
        <v>2</v>
      </c>
      <c r="R110" s="256" t="s">
        <v>1432</v>
      </c>
      <c r="S110" s="256"/>
      <c r="T110" s="256"/>
      <c r="U110" s="411" t="s">
        <v>1503</v>
      </c>
      <c r="V110" s="402" t="s">
        <v>1374</v>
      </c>
      <c r="W110" s="403"/>
      <c r="X110" s="404"/>
      <c r="Y110" s="404"/>
      <c r="Z110" s="404"/>
      <c r="AA110" s="404"/>
      <c r="AB110" s="404"/>
      <c r="AC110" s="404"/>
      <c r="AD110" s="404"/>
      <c r="AE110" s="404"/>
      <c r="AF110" s="403"/>
      <c r="AG110" s="403"/>
      <c r="AH110" s="403"/>
      <c r="AI110" s="403"/>
      <c r="AJ110" s="403"/>
      <c r="AK110" s="403"/>
      <c r="AL110" s="403"/>
      <c r="AM110" s="403"/>
      <c r="AN110" s="403"/>
      <c r="AO110" s="403"/>
      <c r="AP110" s="403"/>
      <c r="AQ110" s="403"/>
      <c r="AR110" s="403"/>
      <c r="AS110" s="403"/>
      <c r="AT110" s="403"/>
      <c r="AU110" s="403"/>
      <c r="AV110" s="403"/>
      <c r="AW110" s="403"/>
      <c r="AX110" s="403"/>
      <c r="AY110" s="403"/>
      <c r="AZ110" s="403"/>
      <c r="BA110" s="403"/>
      <c r="BB110" s="403"/>
      <c r="BC110" s="403"/>
      <c r="BD110" s="403"/>
      <c r="BE110" s="403"/>
      <c r="BF110" s="403"/>
      <c r="BG110" s="403"/>
      <c r="BH110" s="403"/>
      <c r="BI110" s="403"/>
      <c r="BJ110" s="403"/>
      <c r="BK110" s="403"/>
      <c r="BL110" s="403"/>
      <c r="BM110" s="403"/>
      <c r="BN110" s="403"/>
    </row>
    <row r="111" spans="1:66" s="405" customFormat="1" ht="51" x14ac:dyDescent="0.2">
      <c r="A111" s="256" t="s">
        <v>1077</v>
      </c>
      <c r="B111" s="256" t="s">
        <v>1357</v>
      </c>
      <c r="C111" s="256" t="s">
        <v>1358</v>
      </c>
      <c r="D111" s="410" t="s">
        <v>1366</v>
      </c>
      <c r="E111" s="410"/>
      <c r="F111" s="410">
        <v>1</v>
      </c>
      <c r="G111" s="410"/>
      <c r="H111" s="410"/>
      <c r="I111" s="410"/>
      <c r="J111" s="410"/>
      <c r="K111" s="410"/>
      <c r="L111" s="410"/>
      <c r="M111" s="409"/>
      <c r="N111" s="409"/>
      <c r="O111" s="409"/>
      <c r="P111" s="409"/>
      <c r="Q111" s="400">
        <f t="shared" si="1"/>
        <v>1</v>
      </c>
      <c r="R111" s="256"/>
      <c r="S111" s="256"/>
      <c r="T111" s="256"/>
      <c r="U111" s="256" t="s">
        <v>1375</v>
      </c>
      <c r="V111" s="402" t="s">
        <v>1374</v>
      </c>
      <c r="W111" s="403"/>
      <c r="X111" s="404"/>
      <c r="Y111" s="404"/>
      <c r="Z111" s="404"/>
      <c r="AA111" s="404"/>
      <c r="AB111" s="404"/>
      <c r="AC111" s="404"/>
      <c r="AD111" s="404"/>
      <c r="AE111" s="404"/>
      <c r="AF111" s="403"/>
      <c r="AG111" s="403"/>
      <c r="AH111" s="403"/>
      <c r="AI111" s="403"/>
      <c r="AJ111" s="403"/>
      <c r="AK111" s="403"/>
      <c r="AL111" s="403"/>
      <c r="AM111" s="403"/>
      <c r="AN111" s="403"/>
      <c r="AO111" s="403"/>
      <c r="AP111" s="403"/>
      <c r="AQ111" s="403"/>
      <c r="AR111" s="403"/>
      <c r="AS111" s="403"/>
      <c r="AT111" s="403"/>
      <c r="AU111" s="403"/>
      <c r="AV111" s="403"/>
      <c r="AW111" s="403"/>
      <c r="AX111" s="403"/>
      <c r="AY111" s="403"/>
      <c r="AZ111" s="403"/>
      <c r="BA111" s="403"/>
      <c r="BB111" s="403"/>
      <c r="BC111" s="403"/>
      <c r="BD111" s="403"/>
      <c r="BE111" s="403"/>
      <c r="BF111" s="403"/>
      <c r="BG111" s="403"/>
      <c r="BH111" s="403"/>
      <c r="BI111" s="403"/>
      <c r="BJ111" s="403"/>
      <c r="BK111" s="403"/>
      <c r="BL111" s="403"/>
      <c r="BM111" s="403"/>
      <c r="BN111" s="403"/>
    </row>
    <row r="112" spans="1:66" s="405" customFormat="1" ht="63.75" x14ac:dyDescent="0.2">
      <c r="A112" s="256" t="s">
        <v>1077</v>
      </c>
      <c r="B112" s="256" t="s">
        <v>1357</v>
      </c>
      <c r="C112" s="256" t="s">
        <v>1359</v>
      </c>
      <c r="D112" s="410" t="s">
        <v>1367</v>
      </c>
      <c r="E112" s="410"/>
      <c r="F112" s="410"/>
      <c r="G112" s="410">
        <v>1</v>
      </c>
      <c r="H112" s="410"/>
      <c r="I112" s="410"/>
      <c r="J112" s="410"/>
      <c r="K112" s="410"/>
      <c r="L112" s="410"/>
      <c r="M112" s="409"/>
      <c r="N112" s="409"/>
      <c r="O112" s="409"/>
      <c r="P112" s="409"/>
      <c r="Q112" s="400">
        <f t="shared" ref="Q112:Q118" si="3">SUM(E112:P112)</f>
        <v>1</v>
      </c>
      <c r="R112" s="256" t="s">
        <v>938</v>
      </c>
      <c r="S112" s="256"/>
      <c r="T112" s="256"/>
      <c r="U112" s="256" t="s">
        <v>1376</v>
      </c>
      <c r="V112" s="402" t="s">
        <v>1374</v>
      </c>
      <c r="W112" s="403"/>
      <c r="X112" s="404"/>
      <c r="Y112" s="404"/>
      <c r="Z112" s="404"/>
      <c r="AA112" s="404"/>
      <c r="AB112" s="404"/>
      <c r="AC112" s="404"/>
      <c r="AD112" s="404"/>
      <c r="AE112" s="404"/>
      <c r="AF112" s="403"/>
      <c r="AG112" s="403"/>
      <c r="AH112" s="403"/>
      <c r="AI112" s="403"/>
      <c r="AJ112" s="403"/>
      <c r="AK112" s="403"/>
      <c r="AL112" s="403"/>
      <c r="AM112" s="403"/>
      <c r="AN112" s="403"/>
      <c r="AO112" s="403"/>
      <c r="AP112" s="403"/>
      <c r="AQ112" s="403"/>
      <c r="AR112" s="403"/>
      <c r="AS112" s="403"/>
      <c r="AT112" s="403"/>
      <c r="AU112" s="403"/>
      <c r="AV112" s="403"/>
      <c r="AW112" s="403"/>
      <c r="AX112" s="403"/>
      <c r="AY112" s="403"/>
      <c r="AZ112" s="403"/>
      <c r="BA112" s="403"/>
      <c r="BB112" s="403"/>
      <c r="BC112" s="403"/>
      <c r="BD112" s="403"/>
      <c r="BE112" s="403"/>
      <c r="BF112" s="403"/>
      <c r="BG112" s="403"/>
      <c r="BH112" s="403"/>
      <c r="BI112" s="403"/>
      <c r="BJ112" s="403"/>
      <c r="BK112" s="403"/>
      <c r="BL112" s="403"/>
      <c r="BM112" s="403"/>
      <c r="BN112" s="403"/>
    </row>
    <row r="113" spans="1:66" s="405" customFormat="1" ht="51" x14ac:dyDescent="0.2">
      <c r="A113" s="256" t="s">
        <v>1077</v>
      </c>
      <c r="B113" s="256" t="s">
        <v>1357</v>
      </c>
      <c r="C113" s="256" t="s">
        <v>1360</v>
      </c>
      <c r="D113" s="410" t="s">
        <v>1368</v>
      </c>
      <c r="E113" s="410"/>
      <c r="F113" s="410"/>
      <c r="G113" s="410"/>
      <c r="H113" s="410"/>
      <c r="I113" s="410"/>
      <c r="J113" s="410"/>
      <c r="K113" s="410"/>
      <c r="L113" s="410">
        <v>1</v>
      </c>
      <c r="M113" s="409"/>
      <c r="N113" s="409"/>
      <c r="O113" s="409"/>
      <c r="P113" s="409"/>
      <c r="Q113" s="400">
        <f t="shared" si="3"/>
        <v>1</v>
      </c>
      <c r="R113" s="256" t="s">
        <v>934</v>
      </c>
      <c r="S113" s="256"/>
      <c r="T113" s="256"/>
      <c r="U113" s="256" t="s">
        <v>1377</v>
      </c>
      <c r="V113" s="402" t="s">
        <v>1374</v>
      </c>
      <c r="W113" s="403"/>
      <c r="X113" s="404"/>
      <c r="Y113" s="404"/>
      <c r="Z113" s="404"/>
      <c r="AA113" s="404"/>
      <c r="AB113" s="404"/>
      <c r="AC113" s="404"/>
      <c r="AD113" s="404"/>
      <c r="AE113" s="404"/>
      <c r="AF113" s="403"/>
      <c r="AG113" s="403"/>
      <c r="AH113" s="403"/>
      <c r="AI113" s="403"/>
      <c r="AJ113" s="403"/>
      <c r="AK113" s="403"/>
      <c r="AL113" s="403"/>
      <c r="AM113" s="403"/>
      <c r="AN113" s="403"/>
      <c r="AO113" s="403"/>
      <c r="AP113" s="403"/>
      <c r="AQ113" s="403"/>
      <c r="AR113" s="403"/>
      <c r="AS113" s="403"/>
      <c r="AT113" s="403"/>
      <c r="AU113" s="403"/>
      <c r="AV113" s="403"/>
      <c r="AW113" s="403"/>
      <c r="AX113" s="403"/>
      <c r="AY113" s="403"/>
      <c r="AZ113" s="403"/>
      <c r="BA113" s="403"/>
      <c r="BB113" s="403"/>
      <c r="BC113" s="403"/>
      <c r="BD113" s="403"/>
      <c r="BE113" s="403"/>
      <c r="BF113" s="403"/>
      <c r="BG113" s="403"/>
      <c r="BH113" s="403"/>
      <c r="BI113" s="403"/>
      <c r="BJ113" s="403"/>
      <c r="BK113" s="403"/>
      <c r="BL113" s="403"/>
      <c r="BM113" s="403"/>
      <c r="BN113" s="403"/>
    </row>
    <row r="114" spans="1:66" s="405" customFormat="1" ht="114.75" x14ac:dyDescent="0.2">
      <c r="A114" s="256" t="s">
        <v>1077</v>
      </c>
      <c r="B114" s="256" t="s">
        <v>1357</v>
      </c>
      <c r="C114" s="256" t="s">
        <v>1361</v>
      </c>
      <c r="D114" s="410" t="s">
        <v>1369</v>
      </c>
      <c r="E114" s="410"/>
      <c r="F114" s="410"/>
      <c r="G114" s="410">
        <v>1</v>
      </c>
      <c r="H114" s="410"/>
      <c r="I114" s="410"/>
      <c r="J114" s="410">
        <v>1</v>
      </c>
      <c r="K114" s="410"/>
      <c r="L114" s="410"/>
      <c r="M114" s="409">
        <v>1</v>
      </c>
      <c r="N114" s="409"/>
      <c r="O114" s="409"/>
      <c r="P114" s="409">
        <v>1</v>
      </c>
      <c r="Q114" s="400">
        <f t="shared" si="3"/>
        <v>4</v>
      </c>
      <c r="R114" s="256" t="s">
        <v>1385</v>
      </c>
      <c r="S114" s="256"/>
      <c r="T114" s="256"/>
      <c r="U114" s="256" t="s">
        <v>1378</v>
      </c>
      <c r="V114" s="402" t="s">
        <v>1374</v>
      </c>
      <c r="W114" s="403"/>
      <c r="X114" s="404"/>
      <c r="Y114" s="404"/>
      <c r="Z114" s="404"/>
      <c r="AA114" s="404"/>
      <c r="AB114" s="404"/>
      <c r="AC114" s="404"/>
      <c r="AD114" s="404"/>
      <c r="AE114" s="404"/>
      <c r="AF114" s="403"/>
      <c r="AG114" s="403"/>
      <c r="AH114" s="403"/>
      <c r="AI114" s="403"/>
      <c r="AJ114" s="403"/>
      <c r="AK114" s="403"/>
      <c r="AL114" s="403"/>
      <c r="AM114" s="403"/>
      <c r="AN114" s="403"/>
      <c r="AO114" s="403"/>
      <c r="AP114" s="403"/>
      <c r="AQ114" s="403"/>
      <c r="AR114" s="403"/>
      <c r="AS114" s="403"/>
      <c r="AT114" s="403"/>
      <c r="AU114" s="403"/>
      <c r="AV114" s="403"/>
      <c r="AW114" s="403"/>
      <c r="AX114" s="403"/>
      <c r="AY114" s="403"/>
      <c r="AZ114" s="403"/>
      <c r="BA114" s="403"/>
      <c r="BB114" s="403"/>
      <c r="BC114" s="403"/>
      <c r="BD114" s="403"/>
      <c r="BE114" s="403"/>
      <c r="BF114" s="403"/>
      <c r="BG114" s="403"/>
      <c r="BH114" s="403"/>
      <c r="BI114" s="403"/>
      <c r="BJ114" s="403"/>
      <c r="BK114" s="403"/>
      <c r="BL114" s="403"/>
      <c r="BM114" s="403"/>
      <c r="BN114" s="403"/>
    </row>
    <row r="115" spans="1:66" s="405" customFormat="1" ht="76.5" x14ac:dyDescent="0.2">
      <c r="A115" s="256" t="s">
        <v>1077</v>
      </c>
      <c r="B115" s="256" t="s">
        <v>1357</v>
      </c>
      <c r="C115" s="256" t="s">
        <v>1362</v>
      </c>
      <c r="D115" s="410" t="s">
        <v>1370</v>
      </c>
      <c r="E115" s="410"/>
      <c r="F115" s="410"/>
      <c r="G115" s="410"/>
      <c r="H115" s="410"/>
      <c r="I115" s="410"/>
      <c r="J115" s="410"/>
      <c r="K115" s="410"/>
      <c r="L115" s="410"/>
      <c r="M115" s="409">
        <v>1</v>
      </c>
      <c r="N115" s="409"/>
      <c r="O115" s="409"/>
      <c r="P115" s="409"/>
      <c r="Q115" s="400">
        <f t="shared" si="3"/>
        <v>1</v>
      </c>
      <c r="R115" s="256" t="s">
        <v>1386</v>
      </c>
      <c r="S115" s="256"/>
      <c r="T115" s="256"/>
      <c r="U115" s="256" t="s">
        <v>1379</v>
      </c>
      <c r="V115" s="402" t="s">
        <v>1374</v>
      </c>
      <c r="W115" s="403"/>
      <c r="X115" s="404"/>
      <c r="Y115" s="404"/>
      <c r="Z115" s="404"/>
      <c r="AA115" s="404"/>
      <c r="AB115" s="404"/>
      <c r="AC115" s="404"/>
      <c r="AD115" s="404"/>
      <c r="AE115" s="404"/>
      <c r="AF115" s="403"/>
      <c r="AG115" s="403"/>
      <c r="AH115" s="403"/>
      <c r="AI115" s="403"/>
      <c r="AJ115" s="403"/>
      <c r="AK115" s="403"/>
      <c r="AL115" s="403"/>
      <c r="AM115" s="403"/>
      <c r="AN115" s="403"/>
      <c r="AO115" s="403"/>
      <c r="AP115" s="403"/>
      <c r="AQ115" s="403"/>
      <c r="AR115" s="403"/>
      <c r="AS115" s="403"/>
      <c r="AT115" s="403"/>
      <c r="AU115" s="403"/>
      <c r="AV115" s="403"/>
      <c r="AW115" s="403"/>
      <c r="AX115" s="403"/>
      <c r="AY115" s="403"/>
      <c r="AZ115" s="403"/>
      <c r="BA115" s="403"/>
      <c r="BB115" s="403"/>
      <c r="BC115" s="403"/>
      <c r="BD115" s="403"/>
      <c r="BE115" s="403"/>
      <c r="BF115" s="403"/>
      <c r="BG115" s="403"/>
      <c r="BH115" s="403"/>
      <c r="BI115" s="403"/>
      <c r="BJ115" s="403"/>
      <c r="BK115" s="403"/>
      <c r="BL115" s="403"/>
      <c r="BM115" s="403"/>
      <c r="BN115" s="403"/>
    </row>
    <row r="116" spans="1:66" s="405" customFormat="1" ht="51" x14ac:dyDescent="0.2">
      <c r="A116" s="256" t="s">
        <v>1077</v>
      </c>
      <c r="B116" s="256" t="s">
        <v>1357</v>
      </c>
      <c r="C116" s="256" t="s">
        <v>1363</v>
      </c>
      <c r="D116" s="410" t="s">
        <v>1371</v>
      </c>
      <c r="E116" s="410"/>
      <c r="F116" s="410"/>
      <c r="G116" s="410">
        <v>1</v>
      </c>
      <c r="H116" s="410"/>
      <c r="I116" s="410"/>
      <c r="J116" s="410">
        <v>1</v>
      </c>
      <c r="K116" s="410"/>
      <c r="L116" s="410"/>
      <c r="M116" s="409">
        <v>1</v>
      </c>
      <c r="N116" s="409"/>
      <c r="O116" s="409"/>
      <c r="P116" s="409">
        <v>1</v>
      </c>
      <c r="Q116" s="400">
        <f t="shared" si="3"/>
        <v>4</v>
      </c>
      <c r="R116" s="256" t="s">
        <v>1387</v>
      </c>
      <c r="S116" s="256"/>
      <c r="T116" s="256"/>
      <c r="U116" s="256" t="s">
        <v>1380</v>
      </c>
      <c r="V116" s="402" t="s">
        <v>1374</v>
      </c>
      <c r="W116" s="403"/>
      <c r="X116" s="404"/>
      <c r="Y116" s="404"/>
      <c r="Z116" s="404"/>
      <c r="AA116" s="404"/>
      <c r="AB116" s="404"/>
      <c r="AC116" s="404"/>
      <c r="AD116" s="404"/>
      <c r="AE116" s="404"/>
      <c r="AF116" s="403"/>
      <c r="AG116" s="403"/>
      <c r="AH116" s="403"/>
      <c r="AI116" s="403"/>
      <c r="AJ116" s="403"/>
      <c r="AK116" s="403"/>
      <c r="AL116" s="403"/>
      <c r="AM116" s="403"/>
      <c r="AN116" s="403"/>
      <c r="AO116" s="403"/>
      <c r="AP116" s="403"/>
      <c r="AQ116" s="403"/>
      <c r="AR116" s="403"/>
      <c r="AS116" s="403"/>
      <c r="AT116" s="403"/>
      <c r="AU116" s="403"/>
      <c r="AV116" s="403"/>
      <c r="AW116" s="403"/>
      <c r="AX116" s="403"/>
      <c r="AY116" s="403"/>
      <c r="AZ116" s="403"/>
      <c r="BA116" s="403"/>
      <c r="BB116" s="403"/>
      <c r="BC116" s="403"/>
      <c r="BD116" s="403"/>
      <c r="BE116" s="403"/>
      <c r="BF116" s="403"/>
      <c r="BG116" s="403"/>
      <c r="BH116" s="403"/>
      <c r="BI116" s="403"/>
      <c r="BJ116" s="403"/>
      <c r="BK116" s="403"/>
      <c r="BL116" s="403"/>
      <c r="BM116" s="403"/>
      <c r="BN116" s="403"/>
    </row>
    <row r="117" spans="1:66" s="405" customFormat="1" ht="51" x14ac:dyDescent="0.2">
      <c r="A117" s="256" t="s">
        <v>1077</v>
      </c>
      <c r="B117" s="256" t="s">
        <v>1357</v>
      </c>
      <c r="C117" s="256" t="s">
        <v>1364</v>
      </c>
      <c r="D117" s="410" t="s">
        <v>1372</v>
      </c>
      <c r="E117" s="410">
        <v>1</v>
      </c>
      <c r="F117" s="410"/>
      <c r="G117" s="410"/>
      <c r="H117" s="410"/>
      <c r="I117" s="410"/>
      <c r="J117" s="410"/>
      <c r="K117" s="410">
        <v>1</v>
      </c>
      <c r="L117" s="410"/>
      <c r="M117" s="409"/>
      <c r="N117" s="409"/>
      <c r="O117" s="409"/>
      <c r="P117" s="409"/>
      <c r="Q117" s="400">
        <f t="shared" si="3"/>
        <v>2</v>
      </c>
      <c r="R117" s="256" t="s">
        <v>1388</v>
      </c>
      <c r="S117" s="256"/>
      <c r="T117" s="256"/>
      <c r="U117" s="256" t="s">
        <v>1381</v>
      </c>
      <c r="V117" s="402" t="s">
        <v>1374</v>
      </c>
      <c r="W117" s="403"/>
      <c r="X117" s="404"/>
      <c r="Y117" s="404"/>
      <c r="Z117" s="404"/>
      <c r="AA117" s="404"/>
      <c r="AB117" s="404"/>
      <c r="AC117" s="404"/>
      <c r="AD117" s="404"/>
      <c r="AE117" s="404"/>
      <c r="AF117" s="403"/>
      <c r="AG117" s="403"/>
      <c r="AH117" s="403"/>
      <c r="AI117" s="403"/>
      <c r="AJ117" s="403"/>
      <c r="AK117" s="403"/>
      <c r="AL117" s="403"/>
      <c r="AM117" s="403"/>
      <c r="AN117" s="403"/>
      <c r="AO117" s="403"/>
      <c r="AP117" s="403"/>
      <c r="AQ117" s="403"/>
      <c r="AR117" s="403"/>
      <c r="AS117" s="403"/>
      <c r="AT117" s="403"/>
      <c r="AU117" s="403"/>
      <c r="AV117" s="403"/>
      <c r="AW117" s="403"/>
      <c r="AX117" s="403"/>
      <c r="AY117" s="403"/>
      <c r="AZ117" s="403"/>
      <c r="BA117" s="403"/>
      <c r="BB117" s="403"/>
      <c r="BC117" s="403"/>
      <c r="BD117" s="403"/>
      <c r="BE117" s="403"/>
      <c r="BF117" s="403"/>
      <c r="BG117" s="403"/>
      <c r="BH117" s="403"/>
      <c r="BI117" s="403"/>
      <c r="BJ117" s="403"/>
      <c r="BK117" s="403"/>
      <c r="BL117" s="403"/>
      <c r="BM117" s="403"/>
      <c r="BN117" s="403"/>
    </row>
    <row r="118" spans="1:66" s="405" customFormat="1" ht="51" x14ac:dyDescent="0.2">
      <c r="A118" s="256" t="s">
        <v>1077</v>
      </c>
      <c r="B118" s="256" t="s">
        <v>1357</v>
      </c>
      <c r="C118" s="256" t="s">
        <v>1365</v>
      </c>
      <c r="D118" s="410" t="s">
        <v>1373</v>
      </c>
      <c r="E118" s="410"/>
      <c r="F118" s="410">
        <v>1</v>
      </c>
      <c r="G118" s="410"/>
      <c r="H118" s="410"/>
      <c r="I118" s="410"/>
      <c r="J118" s="410"/>
      <c r="K118" s="410"/>
      <c r="L118" s="410">
        <v>1</v>
      </c>
      <c r="M118" s="409"/>
      <c r="N118" s="409"/>
      <c r="O118" s="409"/>
      <c r="P118" s="409"/>
      <c r="Q118" s="400">
        <f t="shared" si="3"/>
        <v>2</v>
      </c>
      <c r="R118" s="256" t="s">
        <v>1388</v>
      </c>
      <c r="S118" s="256"/>
      <c r="T118" s="256"/>
      <c r="U118" s="256" t="s">
        <v>1382</v>
      </c>
      <c r="V118" s="402" t="s">
        <v>1374</v>
      </c>
      <c r="W118" s="403"/>
      <c r="X118" s="404"/>
      <c r="Y118" s="404"/>
      <c r="Z118" s="404"/>
      <c r="AA118" s="404"/>
      <c r="AB118" s="404"/>
      <c r="AC118" s="404"/>
      <c r="AD118" s="404"/>
      <c r="AE118" s="404"/>
      <c r="AF118" s="403"/>
      <c r="AG118" s="403"/>
      <c r="AH118" s="403"/>
      <c r="AI118" s="403"/>
      <c r="AJ118" s="403"/>
      <c r="AK118" s="403"/>
      <c r="AL118" s="403"/>
      <c r="AM118" s="403"/>
      <c r="AN118" s="403"/>
      <c r="AO118" s="403"/>
      <c r="AP118" s="403"/>
      <c r="AQ118" s="403"/>
      <c r="AR118" s="403"/>
      <c r="AS118" s="403"/>
      <c r="AT118" s="403"/>
      <c r="AU118" s="403"/>
      <c r="AV118" s="403"/>
      <c r="AW118" s="403"/>
      <c r="AX118" s="403"/>
      <c r="AY118" s="403"/>
      <c r="AZ118" s="403"/>
      <c r="BA118" s="403"/>
      <c r="BB118" s="403"/>
      <c r="BC118" s="403"/>
      <c r="BD118" s="403"/>
      <c r="BE118" s="403"/>
      <c r="BF118" s="403"/>
      <c r="BG118" s="403"/>
      <c r="BH118" s="403"/>
      <c r="BI118" s="403"/>
      <c r="BJ118" s="403"/>
      <c r="BK118" s="403"/>
      <c r="BL118" s="403"/>
      <c r="BM118" s="403"/>
      <c r="BN118" s="403"/>
    </row>
    <row r="119" spans="1:66" s="405" customFormat="1" ht="76.5" x14ac:dyDescent="0.2">
      <c r="A119" s="256" t="s">
        <v>1080</v>
      </c>
      <c r="B119" s="255" t="s">
        <v>1204</v>
      </c>
      <c r="C119" s="255" t="s">
        <v>1205</v>
      </c>
      <c r="D119" s="255" t="s">
        <v>1206</v>
      </c>
      <c r="E119" s="406">
        <v>1</v>
      </c>
      <c r="F119" s="406">
        <v>1</v>
      </c>
      <c r="G119" s="406">
        <v>1</v>
      </c>
      <c r="H119" s="406">
        <v>1</v>
      </c>
      <c r="I119" s="406">
        <v>1</v>
      </c>
      <c r="J119" s="406">
        <v>1</v>
      </c>
      <c r="K119" s="406">
        <v>1</v>
      </c>
      <c r="L119" s="406">
        <v>1</v>
      </c>
      <c r="M119" s="406">
        <v>1</v>
      </c>
      <c r="N119" s="406">
        <v>1</v>
      </c>
      <c r="O119" s="406"/>
      <c r="P119" s="406">
        <v>1</v>
      </c>
      <c r="Q119" s="400">
        <f t="shared" ref="Q119:Q148" si="4">SUM(E119:P119)</f>
        <v>11</v>
      </c>
      <c r="R119" s="256" t="s">
        <v>943</v>
      </c>
      <c r="S119" s="256"/>
      <c r="T119" s="256"/>
      <c r="U119" s="401" t="s">
        <v>1383</v>
      </c>
      <c r="V119" s="407" t="s">
        <v>1207</v>
      </c>
      <c r="W119" s="403"/>
      <c r="X119" s="404"/>
      <c r="Y119" s="404"/>
      <c r="Z119" s="404"/>
      <c r="AA119" s="404"/>
      <c r="AB119" s="404"/>
      <c r="AC119" s="404"/>
      <c r="AD119" s="404"/>
      <c r="AE119" s="404"/>
      <c r="AF119" s="403"/>
      <c r="AG119" s="403"/>
      <c r="AH119" s="403"/>
      <c r="AI119" s="403"/>
      <c r="AJ119" s="403"/>
      <c r="AK119" s="403"/>
      <c r="AL119" s="403"/>
      <c r="AM119" s="403"/>
      <c r="AN119" s="403"/>
      <c r="AO119" s="403"/>
      <c r="AP119" s="403"/>
      <c r="AQ119" s="403"/>
      <c r="AR119" s="403"/>
      <c r="AS119" s="403"/>
      <c r="AT119" s="403"/>
      <c r="AU119" s="403"/>
      <c r="AV119" s="403"/>
      <c r="AW119" s="403"/>
      <c r="AX119" s="403"/>
      <c r="AY119" s="403"/>
      <c r="AZ119" s="403"/>
      <c r="BA119" s="403"/>
      <c r="BB119" s="403"/>
      <c r="BC119" s="403"/>
      <c r="BD119" s="403"/>
      <c r="BE119" s="403"/>
      <c r="BF119" s="403"/>
      <c r="BG119" s="403"/>
      <c r="BH119" s="403"/>
      <c r="BI119" s="403"/>
      <c r="BJ119" s="403"/>
      <c r="BK119" s="403"/>
      <c r="BL119" s="403"/>
      <c r="BM119" s="403"/>
      <c r="BN119" s="403"/>
    </row>
    <row r="120" spans="1:66" s="405" customFormat="1" ht="76.5" x14ac:dyDescent="0.2">
      <c r="A120" s="256" t="s">
        <v>1080</v>
      </c>
      <c r="B120" s="255" t="s">
        <v>1204</v>
      </c>
      <c r="C120" s="255" t="s">
        <v>1209</v>
      </c>
      <c r="D120" s="256" t="s">
        <v>1208</v>
      </c>
      <c r="E120" s="399"/>
      <c r="F120" s="399">
        <v>1</v>
      </c>
      <c r="G120" s="399"/>
      <c r="H120" s="399"/>
      <c r="I120" s="399"/>
      <c r="J120" s="399"/>
      <c r="K120" s="399"/>
      <c r="L120" s="399">
        <v>1</v>
      </c>
      <c r="M120" s="399"/>
      <c r="N120" s="399"/>
      <c r="O120" s="399"/>
      <c r="P120" s="399"/>
      <c r="Q120" s="400">
        <f t="shared" si="4"/>
        <v>2</v>
      </c>
      <c r="R120" s="256" t="s">
        <v>943</v>
      </c>
      <c r="S120" s="256"/>
      <c r="T120" s="256"/>
      <c r="U120" s="401" t="s">
        <v>1384</v>
      </c>
      <c r="V120" s="407" t="s">
        <v>1207</v>
      </c>
      <c r="W120" s="403"/>
      <c r="X120" s="404"/>
      <c r="Y120" s="404"/>
      <c r="Z120" s="404"/>
      <c r="AA120" s="404"/>
      <c r="AB120" s="404"/>
      <c r="AC120" s="404"/>
      <c r="AD120" s="404"/>
      <c r="AE120" s="404"/>
      <c r="AF120" s="403"/>
      <c r="AG120" s="403"/>
      <c r="AH120" s="403"/>
      <c r="AI120" s="403"/>
      <c r="AJ120" s="403"/>
      <c r="AK120" s="403"/>
      <c r="AL120" s="403"/>
      <c r="AM120" s="403"/>
      <c r="AN120" s="403"/>
      <c r="AO120" s="403"/>
      <c r="AP120" s="403"/>
      <c r="AQ120" s="403"/>
      <c r="AR120" s="403"/>
      <c r="AS120" s="403"/>
      <c r="AT120" s="403"/>
      <c r="AU120" s="403"/>
      <c r="AV120" s="403"/>
      <c r="AW120" s="403"/>
      <c r="AX120" s="403"/>
      <c r="AY120" s="403"/>
      <c r="AZ120" s="403"/>
      <c r="BA120" s="403"/>
      <c r="BB120" s="403"/>
      <c r="BC120" s="403"/>
      <c r="BD120" s="403"/>
      <c r="BE120" s="403"/>
      <c r="BF120" s="403"/>
      <c r="BG120" s="403"/>
      <c r="BH120" s="403"/>
      <c r="BI120" s="403"/>
      <c r="BJ120" s="403"/>
      <c r="BK120" s="403"/>
      <c r="BL120" s="403"/>
      <c r="BM120" s="403"/>
      <c r="BN120" s="403"/>
    </row>
    <row r="121" spans="1:66" s="405" customFormat="1" ht="76.5" x14ac:dyDescent="0.2">
      <c r="A121" s="256" t="s">
        <v>1080</v>
      </c>
      <c r="B121" s="255" t="s">
        <v>1204</v>
      </c>
      <c r="C121" s="255" t="s">
        <v>1216</v>
      </c>
      <c r="D121" s="255" t="s">
        <v>1210</v>
      </c>
      <c r="E121" s="406"/>
      <c r="F121" s="406"/>
      <c r="G121" s="406"/>
      <c r="H121" s="406"/>
      <c r="I121" s="406"/>
      <c r="J121" s="406">
        <v>1</v>
      </c>
      <c r="K121" s="406"/>
      <c r="L121" s="406"/>
      <c r="M121" s="406"/>
      <c r="N121" s="406"/>
      <c r="O121" s="406"/>
      <c r="P121" s="406"/>
      <c r="Q121" s="400">
        <f t="shared" si="4"/>
        <v>1</v>
      </c>
      <c r="R121" s="256" t="s">
        <v>935</v>
      </c>
      <c r="S121" s="256" t="s">
        <v>937</v>
      </c>
      <c r="T121" s="256"/>
      <c r="U121" s="255" t="s">
        <v>1384</v>
      </c>
      <c r="V121" s="407" t="s">
        <v>1207</v>
      </c>
      <c r="W121" s="403"/>
      <c r="X121" s="404"/>
      <c r="Y121" s="404"/>
      <c r="Z121" s="404"/>
      <c r="AA121" s="404"/>
      <c r="AB121" s="404"/>
      <c r="AC121" s="404"/>
      <c r="AD121" s="404"/>
      <c r="AE121" s="404"/>
      <c r="AF121" s="403"/>
      <c r="AG121" s="403"/>
      <c r="AH121" s="403"/>
      <c r="AI121" s="403"/>
      <c r="AJ121" s="403"/>
      <c r="AK121" s="403"/>
      <c r="AL121" s="403"/>
      <c r="AM121" s="403"/>
      <c r="AN121" s="403"/>
      <c r="AO121" s="403"/>
      <c r="AP121" s="403"/>
      <c r="AQ121" s="403"/>
      <c r="AR121" s="403"/>
      <c r="AS121" s="403"/>
      <c r="AT121" s="403"/>
      <c r="AU121" s="403"/>
      <c r="AV121" s="403"/>
      <c r="AW121" s="403"/>
      <c r="AX121" s="403"/>
      <c r="AY121" s="403"/>
      <c r="AZ121" s="403"/>
      <c r="BA121" s="403"/>
      <c r="BB121" s="403"/>
      <c r="BC121" s="403"/>
      <c r="BD121" s="403"/>
      <c r="BE121" s="403"/>
      <c r="BF121" s="403"/>
      <c r="BG121" s="403"/>
      <c r="BH121" s="403"/>
      <c r="BI121" s="403"/>
      <c r="BJ121" s="403"/>
      <c r="BK121" s="403"/>
      <c r="BL121" s="403"/>
      <c r="BM121" s="403"/>
      <c r="BN121" s="403"/>
    </row>
    <row r="122" spans="1:66" s="405" customFormat="1" ht="76.5" x14ac:dyDescent="0.2">
      <c r="A122" s="256" t="s">
        <v>1080</v>
      </c>
      <c r="B122" s="255" t="s">
        <v>1204</v>
      </c>
      <c r="C122" s="255" t="s">
        <v>1217</v>
      </c>
      <c r="D122" s="256" t="s">
        <v>1211</v>
      </c>
      <c r="E122" s="399"/>
      <c r="F122" s="399"/>
      <c r="G122" s="399"/>
      <c r="H122" s="399"/>
      <c r="I122" s="399"/>
      <c r="J122" s="399"/>
      <c r="K122" s="399"/>
      <c r="L122" s="399">
        <v>1</v>
      </c>
      <c r="M122" s="399"/>
      <c r="N122" s="399"/>
      <c r="O122" s="399"/>
      <c r="P122" s="399"/>
      <c r="Q122" s="400">
        <f t="shared" si="4"/>
        <v>1</v>
      </c>
      <c r="R122" s="256" t="s">
        <v>935</v>
      </c>
      <c r="S122" s="256" t="s">
        <v>937</v>
      </c>
      <c r="T122" s="256"/>
      <c r="U122" s="256" t="s">
        <v>1287</v>
      </c>
      <c r="V122" s="407" t="s">
        <v>1207</v>
      </c>
      <c r="W122" s="403"/>
      <c r="X122" s="404"/>
      <c r="Y122" s="404"/>
      <c r="Z122" s="404"/>
      <c r="AA122" s="404"/>
      <c r="AB122" s="404"/>
      <c r="AC122" s="404"/>
      <c r="AD122" s="404"/>
      <c r="AE122" s="404"/>
      <c r="AF122" s="403"/>
      <c r="AG122" s="403"/>
      <c r="AH122" s="403"/>
      <c r="AI122" s="403"/>
      <c r="AJ122" s="403"/>
      <c r="AK122" s="403"/>
      <c r="AL122" s="403"/>
      <c r="AM122" s="403"/>
      <c r="AN122" s="403"/>
      <c r="AO122" s="403"/>
      <c r="AP122" s="403"/>
      <c r="AQ122" s="403"/>
      <c r="AR122" s="403"/>
      <c r="AS122" s="403"/>
      <c r="AT122" s="403"/>
      <c r="AU122" s="403"/>
      <c r="AV122" s="403"/>
      <c r="AW122" s="403"/>
      <c r="AX122" s="403"/>
      <c r="AY122" s="403"/>
      <c r="AZ122" s="403"/>
      <c r="BA122" s="403"/>
      <c r="BB122" s="403"/>
      <c r="BC122" s="403"/>
      <c r="BD122" s="403"/>
      <c r="BE122" s="403"/>
      <c r="BF122" s="403"/>
      <c r="BG122" s="403"/>
      <c r="BH122" s="403"/>
      <c r="BI122" s="403"/>
      <c r="BJ122" s="403"/>
      <c r="BK122" s="403"/>
      <c r="BL122" s="403"/>
      <c r="BM122" s="403"/>
      <c r="BN122" s="403"/>
    </row>
    <row r="123" spans="1:66" s="405" customFormat="1" ht="76.5" x14ac:dyDescent="0.2">
      <c r="A123" s="256" t="s">
        <v>1080</v>
      </c>
      <c r="B123" s="255" t="s">
        <v>1204</v>
      </c>
      <c r="C123" s="255" t="s">
        <v>1218</v>
      </c>
      <c r="D123" s="255" t="s">
        <v>1212</v>
      </c>
      <c r="E123" s="406"/>
      <c r="F123" s="406"/>
      <c r="G123" s="406"/>
      <c r="H123" s="406"/>
      <c r="I123" s="406"/>
      <c r="J123" s="406"/>
      <c r="K123" s="406"/>
      <c r="L123" s="406"/>
      <c r="M123" s="406"/>
      <c r="N123" s="406"/>
      <c r="O123" s="406"/>
      <c r="P123" s="406">
        <v>1</v>
      </c>
      <c r="Q123" s="400">
        <f t="shared" si="4"/>
        <v>1</v>
      </c>
      <c r="R123" s="256" t="s">
        <v>935</v>
      </c>
      <c r="S123" s="256" t="s">
        <v>937</v>
      </c>
      <c r="T123" s="256"/>
      <c r="U123" s="255" t="s">
        <v>1288</v>
      </c>
      <c r="V123" s="407" t="s">
        <v>1207</v>
      </c>
      <c r="W123" s="403"/>
      <c r="X123" s="404"/>
      <c r="Y123" s="404"/>
      <c r="Z123" s="404"/>
      <c r="AA123" s="404"/>
      <c r="AB123" s="404"/>
      <c r="AC123" s="404"/>
      <c r="AD123" s="404"/>
      <c r="AE123" s="404"/>
      <c r="AF123" s="403"/>
      <c r="AG123" s="403"/>
      <c r="AH123" s="403"/>
      <c r="AI123" s="403"/>
      <c r="AJ123" s="403"/>
      <c r="AK123" s="403"/>
      <c r="AL123" s="403"/>
      <c r="AM123" s="403"/>
      <c r="AN123" s="403"/>
      <c r="AO123" s="403"/>
      <c r="AP123" s="403"/>
      <c r="AQ123" s="403"/>
      <c r="AR123" s="403"/>
      <c r="AS123" s="403"/>
      <c r="AT123" s="403"/>
      <c r="AU123" s="403"/>
      <c r="AV123" s="403"/>
      <c r="AW123" s="403"/>
      <c r="AX123" s="403"/>
      <c r="AY123" s="403"/>
      <c r="AZ123" s="403"/>
      <c r="BA123" s="403"/>
      <c r="BB123" s="403"/>
      <c r="BC123" s="403"/>
      <c r="BD123" s="403"/>
      <c r="BE123" s="403"/>
      <c r="BF123" s="403"/>
      <c r="BG123" s="403"/>
      <c r="BH123" s="403"/>
      <c r="BI123" s="403"/>
      <c r="BJ123" s="403"/>
      <c r="BK123" s="403"/>
      <c r="BL123" s="403"/>
      <c r="BM123" s="403"/>
      <c r="BN123" s="403"/>
    </row>
    <row r="124" spans="1:66" s="405" customFormat="1" ht="76.5" x14ac:dyDescent="0.2">
      <c r="A124" s="256" t="s">
        <v>1080</v>
      </c>
      <c r="B124" s="255" t="s">
        <v>1204</v>
      </c>
      <c r="C124" s="255" t="s">
        <v>1219</v>
      </c>
      <c r="D124" s="256" t="s">
        <v>1213</v>
      </c>
      <c r="E124" s="399"/>
      <c r="F124" s="399"/>
      <c r="G124" s="399"/>
      <c r="H124" s="399"/>
      <c r="I124" s="399"/>
      <c r="J124" s="399"/>
      <c r="K124" s="399"/>
      <c r="L124" s="399"/>
      <c r="M124" s="399">
        <v>1</v>
      </c>
      <c r="N124" s="399"/>
      <c r="O124" s="399"/>
      <c r="P124" s="399"/>
      <c r="Q124" s="400">
        <f t="shared" si="4"/>
        <v>1</v>
      </c>
      <c r="R124" s="256" t="s">
        <v>935</v>
      </c>
      <c r="S124" s="256" t="s">
        <v>937</v>
      </c>
      <c r="T124" s="256"/>
      <c r="U124" s="256" t="s">
        <v>1222</v>
      </c>
      <c r="V124" s="407" t="s">
        <v>1207</v>
      </c>
      <c r="W124" s="403"/>
      <c r="X124" s="404"/>
      <c r="Y124" s="404"/>
      <c r="Z124" s="404"/>
      <c r="AA124" s="404"/>
      <c r="AB124" s="404"/>
      <c r="AC124" s="404"/>
      <c r="AD124" s="404"/>
      <c r="AE124" s="404"/>
      <c r="AF124" s="403"/>
      <c r="AG124" s="403"/>
      <c r="AH124" s="403"/>
      <c r="AI124" s="403"/>
      <c r="AJ124" s="403"/>
      <c r="AK124" s="403"/>
      <c r="AL124" s="403"/>
      <c r="AM124" s="403"/>
      <c r="AN124" s="403"/>
      <c r="AO124" s="403"/>
      <c r="AP124" s="403"/>
      <c r="AQ124" s="403"/>
      <c r="AR124" s="403"/>
      <c r="AS124" s="403"/>
      <c r="AT124" s="403"/>
      <c r="AU124" s="403"/>
      <c r="AV124" s="403"/>
      <c r="AW124" s="403"/>
      <c r="AX124" s="403"/>
      <c r="AY124" s="403"/>
      <c r="AZ124" s="403"/>
      <c r="BA124" s="403"/>
      <c r="BB124" s="403"/>
      <c r="BC124" s="403"/>
      <c r="BD124" s="403"/>
      <c r="BE124" s="403"/>
      <c r="BF124" s="403"/>
      <c r="BG124" s="403"/>
      <c r="BH124" s="403"/>
      <c r="BI124" s="403"/>
      <c r="BJ124" s="403"/>
      <c r="BK124" s="403"/>
      <c r="BL124" s="403"/>
      <c r="BM124" s="403"/>
      <c r="BN124" s="403"/>
    </row>
    <row r="125" spans="1:66" s="405" customFormat="1" ht="165.75" x14ac:dyDescent="0.2">
      <c r="A125" s="256" t="s">
        <v>1080</v>
      </c>
      <c r="B125" s="255" t="s">
        <v>1204</v>
      </c>
      <c r="C125" s="255" t="s">
        <v>1220</v>
      </c>
      <c r="D125" s="255" t="s">
        <v>1214</v>
      </c>
      <c r="E125" s="406"/>
      <c r="F125" s="406"/>
      <c r="G125" s="406">
        <v>1</v>
      </c>
      <c r="H125" s="406"/>
      <c r="I125" s="406"/>
      <c r="J125" s="406"/>
      <c r="K125" s="406"/>
      <c r="L125" s="406"/>
      <c r="M125" s="406"/>
      <c r="N125" s="406"/>
      <c r="O125" s="406"/>
      <c r="P125" s="406"/>
      <c r="Q125" s="400">
        <f t="shared" si="4"/>
        <v>1</v>
      </c>
      <c r="R125" s="256" t="s">
        <v>950</v>
      </c>
      <c r="S125" s="256"/>
      <c r="T125" s="256"/>
      <c r="U125" s="255" t="s">
        <v>1289</v>
      </c>
      <c r="V125" s="407" t="s">
        <v>1207</v>
      </c>
      <c r="W125" s="403"/>
      <c r="X125" s="404"/>
      <c r="Y125" s="404"/>
      <c r="Z125" s="404"/>
      <c r="AA125" s="404"/>
      <c r="AB125" s="404"/>
      <c r="AC125" s="404"/>
      <c r="AD125" s="404"/>
      <c r="AE125" s="404"/>
      <c r="AF125" s="403"/>
      <c r="AG125" s="403"/>
      <c r="AH125" s="403"/>
      <c r="AI125" s="403"/>
      <c r="AJ125" s="403"/>
      <c r="AK125" s="403"/>
      <c r="AL125" s="403"/>
      <c r="AM125" s="403"/>
      <c r="AN125" s="403"/>
      <c r="AO125" s="403"/>
      <c r="AP125" s="403"/>
      <c r="AQ125" s="403"/>
      <c r="AR125" s="403"/>
      <c r="AS125" s="403"/>
      <c r="AT125" s="403"/>
      <c r="AU125" s="403"/>
      <c r="AV125" s="403"/>
      <c r="AW125" s="403"/>
      <c r="AX125" s="403"/>
      <c r="AY125" s="403"/>
      <c r="AZ125" s="403"/>
      <c r="BA125" s="403"/>
      <c r="BB125" s="403"/>
      <c r="BC125" s="403"/>
      <c r="BD125" s="403"/>
      <c r="BE125" s="403"/>
      <c r="BF125" s="403"/>
      <c r="BG125" s="403"/>
      <c r="BH125" s="403"/>
      <c r="BI125" s="403"/>
      <c r="BJ125" s="403"/>
      <c r="BK125" s="403"/>
      <c r="BL125" s="403"/>
      <c r="BM125" s="403"/>
      <c r="BN125" s="403"/>
    </row>
    <row r="126" spans="1:66" s="405" customFormat="1" ht="76.5" x14ac:dyDescent="0.2">
      <c r="A126" s="256" t="s">
        <v>1080</v>
      </c>
      <c r="B126" s="255" t="s">
        <v>1204</v>
      </c>
      <c r="C126" s="255" t="s">
        <v>1221</v>
      </c>
      <c r="D126" s="256" t="s">
        <v>1215</v>
      </c>
      <c r="E126" s="399"/>
      <c r="F126" s="399"/>
      <c r="G126" s="399"/>
      <c r="H126" s="399">
        <v>1</v>
      </c>
      <c r="I126" s="399"/>
      <c r="J126" s="399"/>
      <c r="K126" s="399"/>
      <c r="L126" s="399"/>
      <c r="M126" s="399"/>
      <c r="N126" s="399"/>
      <c r="O126" s="399"/>
      <c r="P126" s="399"/>
      <c r="Q126" s="400">
        <f t="shared" si="4"/>
        <v>1</v>
      </c>
      <c r="R126" s="256" t="s">
        <v>941</v>
      </c>
      <c r="S126" s="256"/>
      <c r="T126" s="256"/>
      <c r="U126" s="256" t="s">
        <v>1223</v>
      </c>
      <c r="V126" s="407" t="s">
        <v>1207</v>
      </c>
      <c r="W126" s="403"/>
      <c r="X126" s="404"/>
      <c r="Y126" s="404"/>
      <c r="Z126" s="404"/>
      <c r="AA126" s="404"/>
      <c r="AB126" s="404"/>
      <c r="AC126" s="404"/>
      <c r="AD126" s="404"/>
      <c r="AE126" s="404"/>
      <c r="AF126" s="403"/>
      <c r="AG126" s="403"/>
      <c r="AH126" s="403"/>
      <c r="AI126" s="403"/>
      <c r="AJ126" s="403"/>
      <c r="AK126" s="403"/>
      <c r="AL126" s="403"/>
      <c r="AM126" s="403"/>
      <c r="AN126" s="403"/>
      <c r="AO126" s="403"/>
      <c r="AP126" s="403"/>
      <c r="AQ126" s="403"/>
      <c r="AR126" s="403"/>
      <c r="AS126" s="403"/>
      <c r="AT126" s="403"/>
      <c r="AU126" s="403"/>
      <c r="AV126" s="403"/>
      <c r="AW126" s="403"/>
      <c r="AX126" s="403"/>
      <c r="AY126" s="403"/>
      <c r="AZ126" s="403"/>
      <c r="BA126" s="403"/>
      <c r="BB126" s="403"/>
      <c r="BC126" s="403"/>
      <c r="BD126" s="403"/>
      <c r="BE126" s="403"/>
      <c r="BF126" s="403"/>
      <c r="BG126" s="403"/>
      <c r="BH126" s="403"/>
      <c r="BI126" s="403"/>
      <c r="BJ126" s="403"/>
      <c r="BK126" s="403"/>
      <c r="BL126" s="403"/>
      <c r="BM126" s="403"/>
      <c r="BN126" s="403"/>
    </row>
    <row r="127" spans="1:66" s="405" customFormat="1" ht="76.5" x14ac:dyDescent="0.2">
      <c r="A127" s="256" t="s">
        <v>1081</v>
      </c>
      <c r="B127" s="255" t="s">
        <v>1252</v>
      </c>
      <c r="C127" s="255" t="s">
        <v>1253</v>
      </c>
      <c r="D127" s="256" t="s">
        <v>1256</v>
      </c>
      <c r="E127" s="399"/>
      <c r="F127" s="399"/>
      <c r="G127" s="399"/>
      <c r="H127" s="399"/>
      <c r="I127" s="399"/>
      <c r="J127" s="399"/>
      <c r="K127" s="399"/>
      <c r="L127" s="399"/>
      <c r="M127" s="399">
        <v>1</v>
      </c>
      <c r="N127" s="399"/>
      <c r="O127" s="399"/>
      <c r="P127" s="399"/>
      <c r="Q127" s="400">
        <f t="shared" si="4"/>
        <v>1</v>
      </c>
      <c r="R127" s="256"/>
      <c r="S127" s="256"/>
      <c r="T127" s="256" t="s">
        <v>1258</v>
      </c>
      <c r="U127" s="256"/>
      <c r="V127" s="407" t="s">
        <v>1101</v>
      </c>
      <c r="W127" s="403"/>
      <c r="X127" s="404"/>
      <c r="Y127" s="404"/>
      <c r="Z127" s="404"/>
      <c r="AA127" s="404"/>
      <c r="AB127" s="404"/>
      <c r="AC127" s="404"/>
      <c r="AD127" s="404"/>
      <c r="AE127" s="404"/>
      <c r="AF127" s="403"/>
      <c r="AG127" s="403"/>
      <c r="AH127" s="403"/>
      <c r="AI127" s="403"/>
      <c r="AJ127" s="403"/>
      <c r="AK127" s="403"/>
      <c r="AL127" s="403"/>
      <c r="AM127" s="403"/>
      <c r="AN127" s="403"/>
      <c r="AO127" s="403"/>
      <c r="AP127" s="403"/>
      <c r="AQ127" s="403"/>
      <c r="AR127" s="403"/>
      <c r="AS127" s="403"/>
      <c r="AT127" s="403"/>
      <c r="AU127" s="403"/>
      <c r="AV127" s="403"/>
      <c r="AW127" s="403"/>
      <c r="AX127" s="403"/>
      <c r="AY127" s="403"/>
      <c r="AZ127" s="403"/>
      <c r="BA127" s="403"/>
      <c r="BB127" s="403"/>
      <c r="BC127" s="403"/>
      <c r="BD127" s="403"/>
      <c r="BE127" s="403"/>
      <c r="BF127" s="403"/>
      <c r="BG127" s="403"/>
      <c r="BH127" s="403"/>
      <c r="BI127" s="403"/>
      <c r="BJ127" s="403"/>
      <c r="BK127" s="403"/>
      <c r="BL127" s="403"/>
      <c r="BM127" s="403"/>
      <c r="BN127" s="403"/>
    </row>
    <row r="128" spans="1:66" s="405" customFormat="1" ht="76.5" x14ac:dyDescent="0.2">
      <c r="A128" s="256" t="s">
        <v>1081</v>
      </c>
      <c r="B128" s="255" t="s">
        <v>1252</v>
      </c>
      <c r="C128" s="255" t="s">
        <v>1254</v>
      </c>
      <c r="D128" s="256" t="s">
        <v>1257</v>
      </c>
      <c r="E128" s="399"/>
      <c r="F128" s="399"/>
      <c r="G128" s="399"/>
      <c r="H128" s="399"/>
      <c r="I128" s="399"/>
      <c r="J128" s="399"/>
      <c r="K128" s="399"/>
      <c r="L128" s="399"/>
      <c r="M128" s="399">
        <v>1</v>
      </c>
      <c r="N128" s="399"/>
      <c r="O128" s="399"/>
      <c r="P128" s="399"/>
      <c r="Q128" s="400">
        <f t="shared" si="4"/>
        <v>1</v>
      </c>
      <c r="R128" s="256" t="s">
        <v>943</v>
      </c>
      <c r="S128" s="256"/>
      <c r="T128" s="256" t="s">
        <v>1259</v>
      </c>
      <c r="U128" s="256"/>
      <c r="V128" s="407" t="s">
        <v>1101</v>
      </c>
      <c r="W128" s="403"/>
      <c r="X128" s="404"/>
      <c r="Y128" s="404"/>
      <c r="Z128" s="404"/>
      <c r="AA128" s="404"/>
      <c r="AB128" s="404"/>
      <c r="AC128" s="404"/>
      <c r="AD128" s="404"/>
      <c r="AE128" s="404"/>
      <c r="AF128" s="403"/>
      <c r="AG128" s="403"/>
      <c r="AH128" s="403"/>
      <c r="AI128" s="403"/>
      <c r="AJ128" s="403"/>
      <c r="AK128" s="403"/>
      <c r="AL128" s="403"/>
      <c r="AM128" s="403"/>
      <c r="AN128" s="403"/>
      <c r="AO128" s="403"/>
      <c r="AP128" s="403"/>
      <c r="AQ128" s="403"/>
      <c r="AR128" s="403"/>
      <c r="AS128" s="403"/>
      <c r="AT128" s="403"/>
      <c r="AU128" s="403"/>
      <c r="AV128" s="403"/>
      <c r="AW128" s="403"/>
      <c r="AX128" s="403"/>
      <c r="AY128" s="403"/>
      <c r="AZ128" s="403"/>
      <c r="BA128" s="403"/>
      <c r="BB128" s="403"/>
      <c r="BC128" s="403"/>
      <c r="BD128" s="403"/>
      <c r="BE128" s="403"/>
      <c r="BF128" s="403"/>
      <c r="BG128" s="403"/>
      <c r="BH128" s="403"/>
      <c r="BI128" s="403"/>
      <c r="BJ128" s="403"/>
      <c r="BK128" s="403"/>
      <c r="BL128" s="403"/>
      <c r="BM128" s="403"/>
      <c r="BN128" s="403"/>
    </row>
    <row r="129" spans="1:66" s="405" customFormat="1" ht="76.5" x14ac:dyDescent="0.2">
      <c r="A129" s="256" t="s">
        <v>1081</v>
      </c>
      <c r="B129" s="255" t="s">
        <v>1252</v>
      </c>
      <c r="C129" s="255" t="s">
        <v>1255</v>
      </c>
      <c r="D129" s="255" t="s">
        <v>1260</v>
      </c>
      <c r="E129" s="406"/>
      <c r="F129" s="406"/>
      <c r="G129" s="406">
        <v>1</v>
      </c>
      <c r="H129" s="406"/>
      <c r="I129" s="406"/>
      <c r="J129" s="406">
        <v>1</v>
      </c>
      <c r="K129" s="406"/>
      <c r="L129" s="406"/>
      <c r="M129" s="406">
        <v>1</v>
      </c>
      <c r="N129" s="406"/>
      <c r="O129" s="406"/>
      <c r="P129" s="406">
        <v>1</v>
      </c>
      <c r="Q129" s="400">
        <f t="shared" si="4"/>
        <v>4</v>
      </c>
      <c r="R129" s="256" t="s">
        <v>943</v>
      </c>
      <c r="S129" s="256"/>
      <c r="T129" s="256"/>
      <c r="U129" s="255" t="s">
        <v>1261</v>
      </c>
      <c r="V129" s="407" t="s">
        <v>1101</v>
      </c>
      <c r="W129" s="403"/>
      <c r="X129" s="404"/>
      <c r="Y129" s="404"/>
      <c r="Z129" s="404"/>
      <c r="AA129" s="404"/>
      <c r="AB129" s="404"/>
      <c r="AC129" s="404"/>
      <c r="AD129" s="404"/>
      <c r="AE129" s="404"/>
      <c r="AF129" s="403"/>
      <c r="AG129" s="403"/>
      <c r="AH129" s="403"/>
      <c r="AI129" s="403"/>
      <c r="AJ129" s="403"/>
      <c r="AK129" s="403"/>
      <c r="AL129" s="403"/>
      <c r="AM129" s="403"/>
      <c r="AN129" s="403"/>
      <c r="AO129" s="403"/>
      <c r="AP129" s="403"/>
      <c r="AQ129" s="403"/>
      <c r="AR129" s="403"/>
      <c r="AS129" s="403"/>
      <c r="AT129" s="403"/>
      <c r="AU129" s="403"/>
      <c r="AV129" s="403"/>
      <c r="AW129" s="403"/>
      <c r="AX129" s="403"/>
      <c r="AY129" s="403"/>
      <c r="AZ129" s="403"/>
      <c r="BA129" s="403"/>
      <c r="BB129" s="403"/>
      <c r="BC129" s="403"/>
      <c r="BD129" s="403"/>
      <c r="BE129" s="403"/>
      <c r="BF129" s="403"/>
      <c r="BG129" s="403"/>
      <c r="BH129" s="403"/>
      <c r="BI129" s="403"/>
      <c r="BJ129" s="403"/>
      <c r="BK129" s="403"/>
      <c r="BL129" s="403"/>
      <c r="BM129" s="403"/>
      <c r="BN129" s="403"/>
    </row>
    <row r="130" spans="1:66" s="405" customFormat="1" ht="76.5" x14ac:dyDescent="0.2">
      <c r="A130" s="256" t="s">
        <v>1081</v>
      </c>
      <c r="B130" s="255" t="s">
        <v>1252</v>
      </c>
      <c r="C130" s="255" t="s">
        <v>1290</v>
      </c>
      <c r="D130" s="256" t="s">
        <v>1291</v>
      </c>
      <c r="E130" s="399"/>
      <c r="F130" s="399"/>
      <c r="G130" s="399">
        <v>1</v>
      </c>
      <c r="H130" s="399"/>
      <c r="I130" s="399"/>
      <c r="J130" s="399">
        <v>1</v>
      </c>
      <c r="K130" s="399"/>
      <c r="L130" s="399"/>
      <c r="M130" s="399">
        <v>1</v>
      </c>
      <c r="N130" s="399"/>
      <c r="O130" s="399"/>
      <c r="P130" s="399">
        <v>1</v>
      </c>
      <c r="Q130" s="400">
        <f t="shared" si="4"/>
        <v>4</v>
      </c>
      <c r="R130" s="256" t="s">
        <v>934</v>
      </c>
      <c r="S130" s="256"/>
      <c r="T130" s="256"/>
      <c r="U130" s="256" t="s">
        <v>1292</v>
      </c>
      <c r="V130" s="402" t="s">
        <v>1293</v>
      </c>
      <c r="W130" s="403"/>
      <c r="X130" s="404"/>
      <c r="Y130" s="404"/>
      <c r="Z130" s="404"/>
      <c r="AA130" s="404"/>
      <c r="AB130" s="404"/>
      <c r="AC130" s="404"/>
      <c r="AD130" s="404"/>
      <c r="AE130" s="404"/>
      <c r="AF130" s="403"/>
      <c r="AG130" s="403"/>
      <c r="AH130" s="403"/>
      <c r="AI130" s="403"/>
      <c r="AJ130" s="403"/>
      <c r="AK130" s="403"/>
      <c r="AL130" s="403"/>
      <c r="AM130" s="403"/>
      <c r="AN130" s="403"/>
      <c r="AO130" s="403"/>
      <c r="AP130" s="403"/>
      <c r="AQ130" s="403"/>
      <c r="AR130" s="403"/>
      <c r="AS130" s="403"/>
      <c r="AT130" s="403"/>
      <c r="AU130" s="403"/>
      <c r="AV130" s="403"/>
      <c r="AW130" s="403"/>
      <c r="AX130" s="403"/>
      <c r="AY130" s="403"/>
      <c r="AZ130" s="403"/>
      <c r="BA130" s="403"/>
      <c r="BB130" s="403"/>
      <c r="BC130" s="403"/>
      <c r="BD130" s="403"/>
      <c r="BE130" s="403"/>
      <c r="BF130" s="403"/>
      <c r="BG130" s="403"/>
      <c r="BH130" s="403"/>
      <c r="BI130" s="403"/>
      <c r="BJ130" s="403"/>
      <c r="BK130" s="403"/>
      <c r="BL130" s="403"/>
      <c r="BM130" s="403"/>
      <c r="BN130" s="403"/>
    </row>
    <row r="131" spans="1:66" s="405" customFormat="1" ht="102" x14ac:dyDescent="0.2">
      <c r="A131" s="256" t="s">
        <v>1083</v>
      </c>
      <c r="B131" s="255" t="s">
        <v>1224</v>
      </c>
      <c r="C131" s="255" t="s">
        <v>1225</v>
      </c>
      <c r="D131" s="255" t="s">
        <v>1234</v>
      </c>
      <c r="E131" s="406">
        <v>1</v>
      </c>
      <c r="F131" s="406"/>
      <c r="G131" s="406"/>
      <c r="H131" s="406">
        <v>1</v>
      </c>
      <c r="I131" s="406"/>
      <c r="J131" s="406"/>
      <c r="K131" s="406"/>
      <c r="L131" s="406">
        <v>1</v>
      </c>
      <c r="M131" s="406"/>
      <c r="N131" s="406"/>
      <c r="O131" s="406"/>
      <c r="P131" s="406">
        <v>1</v>
      </c>
      <c r="Q131" s="400">
        <f t="shared" si="4"/>
        <v>4</v>
      </c>
      <c r="R131" s="256" t="s">
        <v>934</v>
      </c>
      <c r="S131" s="256" t="s">
        <v>938</v>
      </c>
      <c r="T131" s="256" t="s">
        <v>1247</v>
      </c>
      <c r="U131" s="255" t="s">
        <v>1246</v>
      </c>
      <c r="V131" s="407" t="s">
        <v>1232</v>
      </c>
      <c r="W131" s="403"/>
      <c r="X131" s="404"/>
      <c r="Y131" s="404"/>
      <c r="Z131" s="404"/>
      <c r="AA131" s="404"/>
      <c r="AB131" s="404"/>
      <c r="AC131" s="404"/>
      <c r="AD131" s="404"/>
      <c r="AE131" s="404"/>
      <c r="AF131" s="403"/>
      <c r="AG131" s="403"/>
      <c r="AH131" s="403"/>
      <c r="AI131" s="403"/>
      <c r="AJ131" s="403"/>
      <c r="AK131" s="403"/>
      <c r="AL131" s="403"/>
      <c r="AM131" s="403"/>
      <c r="AN131" s="403"/>
      <c r="AO131" s="403"/>
      <c r="AP131" s="403"/>
      <c r="AQ131" s="403"/>
      <c r="AR131" s="403"/>
      <c r="AS131" s="403"/>
      <c r="AT131" s="403"/>
      <c r="AU131" s="403"/>
      <c r="AV131" s="403"/>
      <c r="AW131" s="403"/>
      <c r="AX131" s="403"/>
      <c r="AY131" s="403"/>
      <c r="AZ131" s="403"/>
      <c r="BA131" s="403"/>
      <c r="BB131" s="403"/>
      <c r="BC131" s="403"/>
      <c r="BD131" s="403"/>
      <c r="BE131" s="403"/>
      <c r="BF131" s="403"/>
      <c r="BG131" s="403"/>
      <c r="BH131" s="403"/>
      <c r="BI131" s="403"/>
      <c r="BJ131" s="403"/>
      <c r="BK131" s="403"/>
      <c r="BL131" s="403"/>
      <c r="BM131" s="403"/>
      <c r="BN131" s="403"/>
    </row>
    <row r="132" spans="1:66" s="405" customFormat="1" ht="102" x14ac:dyDescent="0.2">
      <c r="A132" s="256" t="s">
        <v>1083</v>
      </c>
      <c r="B132" s="255" t="s">
        <v>1224</v>
      </c>
      <c r="C132" s="255" t="s">
        <v>1226</v>
      </c>
      <c r="D132" s="256" t="s">
        <v>1235</v>
      </c>
      <c r="E132" s="399">
        <v>1</v>
      </c>
      <c r="F132" s="399">
        <v>1</v>
      </c>
      <c r="G132" s="399">
        <v>1</v>
      </c>
      <c r="H132" s="399">
        <v>1</v>
      </c>
      <c r="I132" s="399">
        <v>1</v>
      </c>
      <c r="J132" s="399">
        <v>1</v>
      </c>
      <c r="K132" s="399">
        <v>1</v>
      </c>
      <c r="L132" s="399">
        <v>1</v>
      </c>
      <c r="M132" s="399">
        <v>1</v>
      </c>
      <c r="N132" s="399">
        <v>1</v>
      </c>
      <c r="O132" s="399">
        <v>1</v>
      </c>
      <c r="P132" s="399">
        <v>1</v>
      </c>
      <c r="Q132" s="400">
        <f t="shared" si="4"/>
        <v>12</v>
      </c>
      <c r="R132" s="256"/>
      <c r="S132" s="256"/>
      <c r="T132" s="256" t="s">
        <v>1248</v>
      </c>
      <c r="U132" s="256" t="s">
        <v>1242</v>
      </c>
      <c r="V132" s="407" t="s">
        <v>1232</v>
      </c>
      <c r="W132" s="403"/>
      <c r="X132" s="404"/>
      <c r="Y132" s="404"/>
      <c r="Z132" s="404"/>
      <c r="AA132" s="404"/>
      <c r="AB132" s="404"/>
      <c r="AC132" s="404"/>
      <c r="AD132" s="404"/>
      <c r="AE132" s="404"/>
      <c r="AF132" s="403"/>
      <c r="AG132" s="403"/>
      <c r="AH132" s="403"/>
      <c r="AI132" s="403"/>
      <c r="AJ132" s="403"/>
      <c r="AK132" s="403"/>
      <c r="AL132" s="403"/>
      <c r="AM132" s="403"/>
      <c r="AN132" s="403"/>
      <c r="AO132" s="403"/>
      <c r="AP132" s="403"/>
      <c r="AQ132" s="403"/>
      <c r="AR132" s="403"/>
      <c r="AS132" s="403"/>
      <c r="AT132" s="403"/>
      <c r="AU132" s="403"/>
      <c r="AV132" s="403"/>
      <c r="AW132" s="403"/>
      <c r="AX132" s="403"/>
      <c r="AY132" s="403"/>
      <c r="AZ132" s="403"/>
      <c r="BA132" s="403"/>
      <c r="BB132" s="403"/>
      <c r="BC132" s="403"/>
      <c r="BD132" s="403"/>
      <c r="BE132" s="403"/>
      <c r="BF132" s="403"/>
      <c r="BG132" s="403"/>
      <c r="BH132" s="403"/>
      <c r="BI132" s="403"/>
      <c r="BJ132" s="403"/>
      <c r="BK132" s="403"/>
      <c r="BL132" s="403"/>
      <c r="BM132" s="403"/>
      <c r="BN132" s="403"/>
    </row>
    <row r="133" spans="1:66" s="405" customFormat="1" ht="102" x14ac:dyDescent="0.2">
      <c r="A133" s="256" t="s">
        <v>1083</v>
      </c>
      <c r="B133" s="255" t="s">
        <v>1224</v>
      </c>
      <c r="C133" s="255" t="s">
        <v>1227</v>
      </c>
      <c r="D133" s="255" t="s">
        <v>1236</v>
      </c>
      <c r="E133" s="406">
        <v>1</v>
      </c>
      <c r="F133" s="406"/>
      <c r="G133" s="406"/>
      <c r="H133" s="406">
        <v>1</v>
      </c>
      <c r="I133" s="406"/>
      <c r="J133" s="406"/>
      <c r="K133" s="406"/>
      <c r="L133" s="406">
        <v>1</v>
      </c>
      <c r="M133" s="406"/>
      <c r="N133" s="406"/>
      <c r="O133" s="406"/>
      <c r="P133" s="406">
        <v>1</v>
      </c>
      <c r="Q133" s="400">
        <f t="shared" si="4"/>
        <v>4</v>
      </c>
      <c r="R133" s="256" t="s">
        <v>934</v>
      </c>
      <c r="S133" s="256" t="s">
        <v>938</v>
      </c>
      <c r="T133" s="256" t="s">
        <v>1247</v>
      </c>
      <c r="U133" s="255" t="s">
        <v>1243</v>
      </c>
      <c r="V133" s="407" t="s">
        <v>1232</v>
      </c>
      <c r="W133" s="403"/>
      <c r="X133" s="404"/>
      <c r="Y133" s="404"/>
      <c r="Z133" s="404"/>
      <c r="AA133" s="404"/>
      <c r="AB133" s="404"/>
      <c r="AC133" s="404"/>
      <c r="AD133" s="404"/>
      <c r="AE133" s="404"/>
      <c r="AF133" s="403"/>
      <c r="AG133" s="403"/>
      <c r="AH133" s="403"/>
      <c r="AI133" s="403"/>
      <c r="AJ133" s="403"/>
      <c r="AK133" s="403"/>
      <c r="AL133" s="403"/>
      <c r="AM133" s="403"/>
      <c r="AN133" s="403"/>
      <c r="AO133" s="403"/>
      <c r="AP133" s="403"/>
      <c r="AQ133" s="403"/>
      <c r="AR133" s="403"/>
      <c r="AS133" s="403"/>
      <c r="AT133" s="403"/>
      <c r="AU133" s="403"/>
      <c r="AV133" s="403"/>
      <c r="AW133" s="403"/>
      <c r="AX133" s="403"/>
      <c r="AY133" s="403"/>
      <c r="AZ133" s="403"/>
      <c r="BA133" s="403"/>
      <c r="BB133" s="403"/>
      <c r="BC133" s="403"/>
      <c r="BD133" s="403"/>
      <c r="BE133" s="403"/>
      <c r="BF133" s="403"/>
      <c r="BG133" s="403"/>
      <c r="BH133" s="403"/>
      <c r="BI133" s="403"/>
      <c r="BJ133" s="403"/>
      <c r="BK133" s="403"/>
      <c r="BL133" s="403"/>
      <c r="BM133" s="403"/>
      <c r="BN133" s="403"/>
    </row>
    <row r="134" spans="1:66" s="405" customFormat="1" ht="102" x14ac:dyDescent="0.2">
      <c r="A134" s="256" t="s">
        <v>1083</v>
      </c>
      <c r="B134" s="255" t="s">
        <v>1224</v>
      </c>
      <c r="C134" s="255" t="s">
        <v>1228</v>
      </c>
      <c r="D134" s="256" t="s">
        <v>1237</v>
      </c>
      <c r="E134" s="399">
        <v>1</v>
      </c>
      <c r="F134" s="399"/>
      <c r="G134" s="399">
        <v>1</v>
      </c>
      <c r="H134" s="399"/>
      <c r="I134" s="399">
        <v>1</v>
      </c>
      <c r="J134" s="399"/>
      <c r="K134" s="399">
        <v>1</v>
      </c>
      <c r="L134" s="399"/>
      <c r="M134" s="399">
        <v>1</v>
      </c>
      <c r="N134" s="399"/>
      <c r="O134" s="399">
        <v>1</v>
      </c>
      <c r="P134" s="399"/>
      <c r="Q134" s="400">
        <f t="shared" si="4"/>
        <v>6</v>
      </c>
      <c r="R134" s="256" t="s">
        <v>935</v>
      </c>
      <c r="S134" s="256" t="s">
        <v>944</v>
      </c>
      <c r="T134" s="256"/>
      <c r="U134" s="256" t="s">
        <v>1244</v>
      </c>
      <c r="V134" s="407" t="s">
        <v>1232</v>
      </c>
      <c r="W134" s="403"/>
      <c r="X134" s="404"/>
      <c r="Y134" s="404"/>
      <c r="Z134" s="404"/>
      <c r="AA134" s="404"/>
      <c r="AB134" s="404"/>
      <c r="AC134" s="404"/>
      <c r="AD134" s="404"/>
      <c r="AE134" s="404"/>
      <c r="AF134" s="403"/>
      <c r="AG134" s="403"/>
      <c r="AH134" s="403"/>
      <c r="AI134" s="403"/>
      <c r="AJ134" s="403"/>
      <c r="AK134" s="403"/>
      <c r="AL134" s="403"/>
      <c r="AM134" s="403"/>
      <c r="AN134" s="403"/>
      <c r="AO134" s="403"/>
      <c r="AP134" s="403"/>
      <c r="AQ134" s="403"/>
      <c r="AR134" s="403"/>
      <c r="AS134" s="403"/>
      <c r="AT134" s="403"/>
      <c r="AU134" s="403"/>
      <c r="AV134" s="403"/>
      <c r="AW134" s="403"/>
      <c r="AX134" s="403"/>
      <c r="AY134" s="403"/>
      <c r="AZ134" s="403"/>
      <c r="BA134" s="403"/>
      <c r="BB134" s="403"/>
      <c r="BC134" s="403"/>
      <c r="BD134" s="403"/>
      <c r="BE134" s="403"/>
      <c r="BF134" s="403"/>
      <c r="BG134" s="403"/>
      <c r="BH134" s="403"/>
      <c r="BI134" s="403"/>
      <c r="BJ134" s="403"/>
      <c r="BK134" s="403"/>
      <c r="BL134" s="403"/>
      <c r="BM134" s="403"/>
      <c r="BN134" s="403"/>
    </row>
    <row r="135" spans="1:66" s="405" customFormat="1" ht="102" x14ac:dyDescent="0.2">
      <c r="A135" s="256" t="s">
        <v>1083</v>
      </c>
      <c r="B135" s="255" t="s">
        <v>1224</v>
      </c>
      <c r="C135" s="255" t="s">
        <v>1229</v>
      </c>
      <c r="D135" s="255" t="s">
        <v>1238</v>
      </c>
      <c r="E135" s="406">
        <v>1</v>
      </c>
      <c r="F135" s="406">
        <v>1</v>
      </c>
      <c r="G135" s="406">
        <v>1</v>
      </c>
      <c r="H135" s="406">
        <v>1</v>
      </c>
      <c r="I135" s="406">
        <v>1</v>
      </c>
      <c r="J135" s="406">
        <v>1</v>
      </c>
      <c r="K135" s="406">
        <v>1</v>
      </c>
      <c r="L135" s="406">
        <v>1</v>
      </c>
      <c r="M135" s="406">
        <v>1</v>
      </c>
      <c r="N135" s="406">
        <v>1</v>
      </c>
      <c r="O135" s="406">
        <v>1</v>
      </c>
      <c r="P135" s="406">
        <v>1</v>
      </c>
      <c r="Q135" s="400">
        <f t="shared" si="4"/>
        <v>12</v>
      </c>
      <c r="R135" s="256" t="s">
        <v>943</v>
      </c>
      <c r="S135" s="256"/>
      <c r="T135" s="256"/>
      <c r="U135" s="255"/>
      <c r="V135" s="407" t="s">
        <v>1232</v>
      </c>
      <c r="W135" s="403"/>
      <c r="X135" s="404"/>
      <c r="Y135" s="404"/>
      <c r="Z135" s="404"/>
      <c r="AA135" s="404"/>
      <c r="AB135" s="404"/>
      <c r="AC135" s="404"/>
      <c r="AD135" s="404"/>
      <c r="AE135" s="404"/>
      <c r="AF135" s="403"/>
      <c r="AG135" s="403"/>
      <c r="AH135" s="403"/>
      <c r="AI135" s="403"/>
      <c r="AJ135" s="403"/>
      <c r="AK135" s="403"/>
      <c r="AL135" s="403"/>
      <c r="AM135" s="403"/>
      <c r="AN135" s="403"/>
      <c r="AO135" s="403"/>
      <c r="AP135" s="403"/>
      <c r="AQ135" s="403"/>
      <c r="AR135" s="403"/>
      <c r="AS135" s="403"/>
      <c r="AT135" s="403"/>
      <c r="AU135" s="403"/>
      <c r="AV135" s="403"/>
      <c r="AW135" s="403"/>
      <c r="AX135" s="403"/>
      <c r="AY135" s="403"/>
      <c r="AZ135" s="403"/>
      <c r="BA135" s="403"/>
      <c r="BB135" s="403"/>
      <c r="BC135" s="403"/>
      <c r="BD135" s="403"/>
      <c r="BE135" s="403"/>
      <c r="BF135" s="403"/>
      <c r="BG135" s="403"/>
      <c r="BH135" s="403"/>
      <c r="BI135" s="403"/>
      <c r="BJ135" s="403"/>
      <c r="BK135" s="403"/>
      <c r="BL135" s="403"/>
      <c r="BM135" s="403"/>
      <c r="BN135" s="403"/>
    </row>
    <row r="136" spans="1:66" s="405" customFormat="1" ht="102" x14ac:dyDescent="0.2">
      <c r="A136" s="256" t="s">
        <v>1083</v>
      </c>
      <c r="B136" s="255" t="s">
        <v>1224</v>
      </c>
      <c r="C136" s="255" t="s">
        <v>1230</v>
      </c>
      <c r="D136" s="422" t="s">
        <v>1239</v>
      </c>
      <c r="E136" s="399">
        <v>1</v>
      </c>
      <c r="F136" s="399"/>
      <c r="G136" s="399">
        <v>1</v>
      </c>
      <c r="H136" s="399">
        <v>1</v>
      </c>
      <c r="I136" s="399">
        <v>1</v>
      </c>
      <c r="J136" s="399">
        <v>1</v>
      </c>
      <c r="K136" s="399">
        <v>1</v>
      </c>
      <c r="L136" s="399">
        <v>1</v>
      </c>
      <c r="M136" s="399">
        <v>1</v>
      </c>
      <c r="N136" s="399">
        <v>1</v>
      </c>
      <c r="O136" s="399">
        <v>1</v>
      </c>
      <c r="P136" s="399">
        <v>1</v>
      </c>
      <c r="Q136" s="400">
        <f t="shared" si="4"/>
        <v>11</v>
      </c>
      <c r="R136" s="256"/>
      <c r="S136" s="256"/>
      <c r="T136" s="256" t="s">
        <v>1249</v>
      </c>
      <c r="U136" s="422" t="s">
        <v>1504</v>
      </c>
      <c r="V136" s="407" t="s">
        <v>1232</v>
      </c>
      <c r="W136" s="403"/>
      <c r="X136" s="404"/>
      <c r="Y136" s="404"/>
      <c r="Z136" s="404"/>
      <c r="AA136" s="404"/>
      <c r="AB136" s="404"/>
      <c r="AC136" s="404"/>
      <c r="AD136" s="404"/>
      <c r="AE136" s="404"/>
      <c r="AF136" s="403"/>
      <c r="AG136" s="403"/>
      <c r="AH136" s="403"/>
      <c r="AI136" s="403"/>
      <c r="AJ136" s="403"/>
      <c r="AK136" s="403"/>
      <c r="AL136" s="403"/>
      <c r="AM136" s="403"/>
      <c r="AN136" s="403"/>
      <c r="AO136" s="403"/>
      <c r="AP136" s="403"/>
      <c r="AQ136" s="403"/>
      <c r="AR136" s="403"/>
      <c r="AS136" s="403"/>
      <c r="AT136" s="403"/>
      <c r="AU136" s="403"/>
      <c r="AV136" s="403"/>
      <c r="AW136" s="403"/>
      <c r="AX136" s="403"/>
      <c r="AY136" s="403"/>
      <c r="AZ136" s="403"/>
      <c r="BA136" s="403"/>
      <c r="BB136" s="403"/>
      <c r="BC136" s="403"/>
      <c r="BD136" s="403"/>
      <c r="BE136" s="403"/>
      <c r="BF136" s="403"/>
      <c r="BG136" s="403"/>
      <c r="BH136" s="403"/>
      <c r="BI136" s="403"/>
      <c r="BJ136" s="403"/>
      <c r="BK136" s="403"/>
      <c r="BL136" s="403"/>
      <c r="BM136" s="403"/>
      <c r="BN136" s="403"/>
    </row>
    <row r="137" spans="1:66" s="405" customFormat="1" ht="102" x14ac:dyDescent="0.2">
      <c r="A137" s="256" t="s">
        <v>1083</v>
      </c>
      <c r="B137" s="255" t="s">
        <v>1224</v>
      </c>
      <c r="C137" s="255" t="s">
        <v>1231</v>
      </c>
      <c r="D137" s="255" t="s">
        <v>1240</v>
      </c>
      <c r="E137" s="406">
        <v>1</v>
      </c>
      <c r="F137" s="406">
        <v>1</v>
      </c>
      <c r="G137" s="406">
        <v>1</v>
      </c>
      <c r="H137" s="406">
        <v>1</v>
      </c>
      <c r="I137" s="406">
        <v>1</v>
      </c>
      <c r="J137" s="406">
        <v>1</v>
      </c>
      <c r="K137" s="406">
        <v>1</v>
      </c>
      <c r="L137" s="406">
        <v>1</v>
      </c>
      <c r="M137" s="406">
        <v>1</v>
      </c>
      <c r="N137" s="406">
        <v>1</v>
      </c>
      <c r="O137" s="406">
        <v>1</v>
      </c>
      <c r="P137" s="406">
        <v>1</v>
      </c>
      <c r="Q137" s="400">
        <f t="shared" si="4"/>
        <v>12</v>
      </c>
      <c r="R137" s="256"/>
      <c r="S137" s="256"/>
      <c r="T137" s="256" t="s">
        <v>1250</v>
      </c>
      <c r="U137" s="255"/>
      <c r="V137" s="407" t="s">
        <v>1232</v>
      </c>
      <c r="W137" s="403"/>
      <c r="X137" s="404"/>
      <c r="Y137" s="404"/>
      <c r="Z137" s="404"/>
      <c r="AA137" s="404"/>
      <c r="AB137" s="404"/>
      <c r="AC137" s="404"/>
      <c r="AD137" s="404"/>
      <c r="AE137" s="404"/>
      <c r="AF137" s="403"/>
      <c r="AG137" s="403"/>
      <c r="AH137" s="403"/>
      <c r="AI137" s="403"/>
      <c r="AJ137" s="403"/>
      <c r="AK137" s="403"/>
      <c r="AL137" s="403"/>
      <c r="AM137" s="403"/>
      <c r="AN137" s="403"/>
      <c r="AO137" s="403"/>
      <c r="AP137" s="403"/>
      <c r="AQ137" s="403"/>
      <c r="AR137" s="403"/>
      <c r="AS137" s="403"/>
      <c r="AT137" s="403"/>
      <c r="AU137" s="403"/>
      <c r="AV137" s="403"/>
      <c r="AW137" s="403"/>
      <c r="AX137" s="403"/>
      <c r="AY137" s="403"/>
      <c r="AZ137" s="403"/>
      <c r="BA137" s="403"/>
      <c r="BB137" s="403"/>
      <c r="BC137" s="403"/>
      <c r="BD137" s="403"/>
      <c r="BE137" s="403"/>
      <c r="BF137" s="403"/>
      <c r="BG137" s="403"/>
      <c r="BH137" s="403"/>
      <c r="BI137" s="403"/>
      <c r="BJ137" s="403"/>
      <c r="BK137" s="403"/>
      <c r="BL137" s="403"/>
      <c r="BM137" s="403"/>
      <c r="BN137" s="403"/>
    </row>
    <row r="138" spans="1:66" s="405" customFormat="1" ht="102" x14ac:dyDescent="0.2">
      <c r="A138" s="256" t="s">
        <v>1083</v>
      </c>
      <c r="B138" s="255" t="s">
        <v>1224</v>
      </c>
      <c r="C138" s="255" t="s">
        <v>1233</v>
      </c>
      <c r="D138" s="413" t="s">
        <v>1241</v>
      </c>
      <c r="E138" s="399"/>
      <c r="F138" s="399"/>
      <c r="G138" s="399">
        <v>1</v>
      </c>
      <c r="H138" s="399"/>
      <c r="I138" s="399"/>
      <c r="J138" s="399"/>
      <c r="K138" s="399"/>
      <c r="L138" s="399"/>
      <c r="M138" s="399"/>
      <c r="N138" s="399"/>
      <c r="O138" s="399"/>
      <c r="P138" s="399"/>
      <c r="Q138" s="400">
        <f t="shared" si="4"/>
        <v>1</v>
      </c>
      <c r="R138" s="256"/>
      <c r="S138" s="256"/>
      <c r="T138" s="256" t="s">
        <v>1251</v>
      </c>
      <c r="U138" s="256" t="s">
        <v>1245</v>
      </c>
      <c r="V138" s="407" t="s">
        <v>1232</v>
      </c>
      <c r="W138" s="403"/>
      <c r="X138" s="404"/>
      <c r="Y138" s="404"/>
      <c r="Z138" s="404"/>
      <c r="AA138" s="404"/>
      <c r="AB138" s="404"/>
      <c r="AC138" s="404"/>
      <c r="AD138" s="404"/>
      <c r="AE138" s="404"/>
      <c r="AF138" s="403"/>
      <c r="AG138" s="403"/>
      <c r="AH138" s="403"/>
      <c r="AI138" s="403"/>
      <c r="AJ138" s="403"/>
      <c r="AK138" s="403"/>
      <c r="AL138" s="403"/>
      <c r="AM138" s="403"/>
      <c r="AN138" s="403"/>
      <c r="AO138" s="403"/>
      <c r="AP138" s="403"/>
      <c r="AQ138" s="403"/>
      <c r="AR138" s="403"/>
      <c r="AS138" s="403"/>
      <c r="AT138" s="403"/>
      <c r="AU138" s="403"/>
      <c r="AV138" s="403"/>
      <c r="AW138" s="403"/>
      <c r="AX138" s="403"/>
      <c r="AY138" s="403"/>
      <c r="AZ138" s="403"/>
      <c r="BA138" s="403"/>
      <c r="BB138" s="403"/>
      <c r="BC138" s="403"/>
      <c r="BD138" s="403"/>
      <c r="BE138" s="403"/>
      <c r="BF138" s="403"/>
      <c r="BG138" s="403"/>
      <c r="BH138" s="403"/>
      <c r="BI138" s="403"/>
      <c r="BJ138" s="403"/>
      <c r="BK138" s="403"/>
      <c r="BL138" s="403"/>
      <c r="BM138" s="403"/>
      <c r="BN138" s="403"/>
    </row>
    <row r="139" spans="1:66" s="405" customFormat="1" ht="38.25" x14ac:dyDescent="0.2">
      <c r="A139" s="256" t="s">
        <v>1084</v>
      </c>
      <c r="B139" s="255" t="s">
        <v>1389</v>
      </c>
      <c r="C139" s="255" t="s">
        <v>1390</v>
      </c>
      <c r="D139" s="255" t="s">
        <v>1394</v>
      </c>
      <c r="E139" s="406"/>
      <c r="F139" s="406"/>
      <c r="G139" s="406">
        <v>1</v>
      </c>
      <c r="H139" s="406"/>
      <c r="I139" s="406"/>
      <c r="J139" s="406"/>
      <c r="K139" s="406"/>
      <c r="L139" s="406"/>
      <c r="M139" s="406"/>
      <c r="N139" s="406"/>
      <c r="O139" s="406"/>
      <c r="P139" s="406"/>
      <c r="Q139" s="400">
        <f t="shared" si="4"/>
        <v>1</v>
      </c>
      <c r="R139" s="256"/>
      <c r="S139" s="256"/>
      <c r="T139" s="256" t="s">
        <v>1398</v>
      </c>
      <c r="U139" s="255"/>
      <c r="V139" s="407" t="s">
        <v>1374</v>
      </c>
      <c r="W139" s="403"/>
      <c r="X139" s="404"/>
      <c r="Y139" s="404"/>
      <c r="Z139" s="404"/>
      <c r="AA139" s="404"/>
      <c r="AB139" s="404"/>
      <c r="AC139" s="404"/>
      <c r="AD139" s="404"/>
      <c r="AE139" s="404"/>
      <c r="AF139" s="403"/>
      <c r="AG139" s="403"/>
      <c r="AH139" s="403"/>
      <c r="AI139" s="403"/>
      <c r="AJ139" s="403"/>
      <c r="AK139" s="403"/>
      <c r="AL139" s="403"/>
      <c r="AM139" s="403"/>
      <c r="AN139" s="403"/>
      <c r="AO139" s="403"/>
      <c r="AP139" s="403"/>
      <c r="AQ139" s="403"/>
      <c r="AR139" s="403"/>
      <c r="AS139" s="403"/>
      <c r="AT139" s="403"/>
      <c r="AU139" s="403"/>
      <c r="AV139" s="403"/>
      <c r="AW139" s="403"/>
      <c r="AX139" s="403"/>
      <c r="AY139" s="403"/>
      <c r="AZ139" s="403"/>
      <c r="BA139" s="403"/>
      <c r="BB139" s="403"/>
      <c r="BC139" s="403"/>
      <c r="BD139" s="403"/>
      <c r="BE139" s="403"/>
      <c r="BF139" s="403"/>
      <c r="BG139" s="403"/>
      <c r="BH139" s="403"/>
      <c r="BI139" s="403"/>
      <c r="BJ139" s="403"/>
      <c r="BK139" s="403"/>
      <c r="BL139" s="403"/>
      <c r="BM139" s="403"/>
      <c r="BN139" s="403"/>
    </row>
    <row r="140" spans="1:66" s="405" customFormat="1" ht="38.25" x14ac:dyDescent="0.2">
      <c r="A140" s="256" t="s">
        <v>1084</v>
      </c>
      <c r="B140" s="256" t="s">
        <v>1389</v>
      </c>
      <c r="C140" s="256" t="s">
        <v>1391</v>
      </c>
      <c r="D140" s="256" t="s">
        <v>1395</v>
      </c>
      <c r="E140" s="399"/>
      <c r="F140" s="399"/>
      <c r="G140" s="399"/>
      <c r="H140" s="399">
        <v>1</v>
      </c>
      <c r="I140" s="399"/>
      <c r="J140" s="399"/>
      <c r="K140" s="399"/>
      <c r="L140" s="399"/>
      <c r="M140" s="399"/>
      <c r="N140" s="399"/>
      <c r="O140" s="399"/>
      <c r="P140" s="399"/>
      <c r="Q140" s="400">
        <f t="shared" si="4"/>
        <v>1</v>
      </c>
      <c r="R140" s="256" t="s">
        <v>938</v>
      </c>
      <c r="S140" s="256"/>
      <c r="T140" s="256" t="s">
        <v>1399</v>
      </c>
      <c r="U140" s="256"/>
      <c r="V140" s="407" t="s">
        <v>1374</v>
      </c>
      <c r="W140" s="403"/>
      <c r="X140" s="404"/>
      <c r="Y140" s="404"/>
      <c r="Z140" s="404"/>
      <c r="AA140" s="404"/>
      <c r="AB140" s="404"/>
      <c r="AC140" s="404"/>
      <c r="AD140" s="404"/>
      <c r="AE140" s="404"/>
      <c r="AF140" s="403"/>
      <c r="AG140" s="403"/>
      <c r="AH140" s="403"/>
      <c r="AI140" s="403"/>
      <c r="AJ140" s="403"/>
      <c r="AK140" s="403"/>
      <c r="AL140" s="403"/>
      <c r="AM140" s="403"/>
      <c r="AN140" s="403"/>
      <c r="AO140" s="403"/>
      <c r="AP140" s="403"/>
      <c r="AQ140" s="403"/>
      <c r="AR140" s="403"/>
      <c r="AS140" s="403"/>
      <c r="AT140" s="403"/>
      <c r="AU140" s="403"/>
      <c r="AV140" s="403"/>
      <c r="AW140" s="403"/>
      <c r="AX140" s="403"/>
      <c r="AY140" s="403"/>
      <c r="AZ140" s="403"/>
      <c r="BA140" s="403"/>
      <c r="BB140" s="403"/>
      <c r="BC140" s="403"/>
      <c r="BD140" s="403"/>
      <c r="BE140" s="403"/>
      <c r="BF140" s="403"/>
      <c r="BG140" s="403"/>
      <c r="BH140" s="403"/>
      <c r="BI140" s="403"/>
      <c r="BJ140" s="403"/>
      <c r="BK140" s="403"/>
      <c r="BL140" s="403"/>
      <c r="BM140" s="403"/>
      <c r="BN140" s="403"/>
    </row>
    <row r="141" spans="1:66" s="405" customFormat="1" ht="38.25" x14ac:dyDescent="0.2">
      <c r="A141" s="256" t="s">
        <v>1084</v>
      </c>
      <c r="B141" s="255" t="s">
        <v>1389</v>
      </c>
      <c r="C141" s="255" t="s">
        <v>1392</v>
      </c>
      <c r="D141" s="255" t="s">
        <v>1396</v>
      </c>
      <c r="E141" s="406"/>
      <c r="F141" s="406">
        <v>1</v>
      </c>
      <c r="G141" s="406"/>
      <c r="H141" s="406"/>
      <c r="I141" s="406"/>
      <c r="J141" s="406"/>
      <c r="K141" s="406"/>
      <c r="L141" s="406"/>
      <c r="M141" s="406"/>
      <c r="N141" s="406"/>
      <c r="O141" s="406"/>
      <c r="P141" s="406"/>
      <c r="Q141" s="400">
        <f t="shared" si="4"/>
        <v>1</v>
      </c>
      <c r="R141" s="256"/>
      <c r="S141" s="256"/>
      <c r="T141" s="256" t="s">
        <v>1401</v>
      </c>
      <c r="U141" s="255"/>
      <c r="V141" s="407" t="s">
        <v>1374</v>
      </c>
      <c r="W141" s="403"/>
      <c r="X141" s="404"/>
      <c r="Y141" s="404"/>
      <c r="Z141" s="404"/>
      <c r="AA141" s="404"/>
      <c r="AB141" s="404"/>
      <c r="AC141" s="404"/>
      <c r="AD141" s="404"/>
      <c r="AE141" s="404"/>
      <c r="AF141" s="403"/>
      <c r="AG141" s="403"/>
      <c r="AH141" s="403"/>
      <c r="AI141" s="403"/>
      <c r="AJ141" s="403"/>
      <c r="AK141" s="403"/>
      <c r="AL141" s="403"/>
      <c r="AM141" s="403"/>
      <c r="AN141" s="403"/>
      <c r="AO141" s="403"/>
      <c r="AP141" s="403"/>
      <c r="AQ141" s="403"/>
      <c r="AR141" s="403"/>
      <c r="AS141" s="403"/>
      <c r="AT141" s="403"/>
      <c r="AU141" s="403"/>
      <c r="AV141" s="403"/>
      <c r="AW141" s="403"/>
      <c r="AX141" s="403"/>
      <c r="AY141" s="403"/>
      <c r="AZ141" s="403"/>
      <c r="BA141" s="403"/>
      <c r="BB141" s="403"/>
      <c r="BC141" s="403"/>
      <c r="BD141" s="403"/>
      <c r="BE141" s="403"/>
      <c r="BF141" s="403"/>
      <c r="BG141" s="403"/>
      <c r="BH141" s="403"/>
      <c r="BI141" s="403"/>
      <c r="BJ141" s="403"/>
      <c r="BK141" s="403"/>
      <c r="BL141" s="403"/>
      <c r="BM141" s="403"/>
      <c r="BN141" s="403"/>
    </row>
    <row r="142" spans="1:66" s="405" customFormat="1" ht="38.25" x14ac:dyDescent="0.2">
      <c r="A142" s="256" t="s">
        <v>1084</v>
      </c>
      <c r="B142" s="255" t="s">
        <v>1389</v>
      </c>
      <c r="C142" s="255" t="s">
        <v>1393</v>
      </c>
      <c r="D142" s="256" t="s">
        <v>1397</v>
      </c>
      <c r="E142" s="399"/>
      <c r="F142" s="399"/>
      <c r="G142" s="399"/>
      <c r="H142" s="399"/>
      <c r="I142" s="399"/>
      <c r="J142" s="399"/>
      <c r="K142" s="399"/>
      <c r="L142" s="399"/>
      <c r="M142" s="399"/>
      <c r="N142" s="399"/>
      <c r="O142" s="399">
        <v>1</v>
      </c>
      <c r="P142" s="399"/>
      <c r="Q142" s="400">
        <f t="shared" si="4"/>
        <v>1</v>
      </c>
      <c r="R142" s="256"/>
      <c r="S142" s="256"/>
      <c r="T142" s="411" t="s">
        <v>1400</v>
      </c>
      <c r="U142" s="256"/>
      <c r="V142" s="407" t="s">
        <v>1374</v>
      </c>
      <c r="W142" s="403"/>
      <c r="X142" s="404"/>
      <c r="Y142" s="404"/>
      <c r="Z142" s="404"/>
      <c r="AA142" s="404"/>
      <c r="AB142" s="404"/>
      <c r="AC142" s="404"/>
      <c r="AD142" s="404"/>
      <c r="AE142" s="404"/>
      <c r="AF142" s="403"/>
      <c r="AG142" s="403"/>
      <c r="AH142" s="403"/>
      <c r="AI142" s="403"/>
      <c r="AJ142" s="403"/>
      <c r="AK142" s="403"/>
      <c r="AL142" s="403"/>
      <c r="AM142" s="403"/>
      <c r="AN142" s="403"/>
      <c r="AO142" s="403"/>
      <c r="AP142" s="403"/>
      <c r="AQ142" s="403"/>
      <c r="AR142" s="403"/>
      <c r="AS142" s="403"/>
      <c r="AT142" s="403"/>
      <c r="AU142" s="403"/>
      <c r="AV142" s="403"/>
      <c r="AW142" s="403"/>
      <c r="AX142" s="403"/>
      <c r="AY142" s="403"/>
      <c r="AZ142" s="403"/>
      <c r="BA142" s="403"/>
      <c r="BB142" s="403"/>
      <c r="BC142" s="403"/>
      <c r="BD142" s="403"/>
      <c r="BE142" s="403"/>
      <c r="BF142" s="403"/>
      <c r="BG142" s="403"/>
      <c r="BH142" s="403"/>
      <c r="BI142" s="403"/>
      <c r="BJ142" s="403"/>
      <c r="BK142" s="403"/>
      <c r="BL142" s="403"/>
      <c r="BM142" s="403"/>
      <c r="BN142" s="403"/>
    </row>
    <row r="143" spans="1:66" s="405" customFormat="1" ht="51" x14ac:dyDescent="0.2">
      <c r="A143" s="256" t="s">
        <v>1085</v>
      </c>
      <c r="B143" s="255" t="s">
        <v>1414</v>
      </c>
      <c r="C143" s="255" t="s">
        <v>1408</v>
      </c>
      <c r="D143" s="255" t="s">
        <v>1402</v>
      </c>
      <c r="E143" s="406">
        <v>1</v>
      </c>
      <c r="F143" s="406">
        <v>1</v>
      </c>
      <c r="G143" s="406">
        <v>1</v>
      </c>
      <c r="H143" s="406">
        <v>1</v>
      </c>
      <c r="I143" s="406">
        <v>1</v>
      </c>
      <c r="J143" s="406">
        <v>1</v>
      </c>
      <c r="K143" s="406">
        <v>1</v>
      </c>
      <c r="L143" s="406">
        <v>1</v>
      </c>
      <c r="M143" s="406">
        <v>1</v>
      </c>
      <c r="N143" s="406">
        <v>1</v>
      </c>
      <c r="O143" s="406">
        <v>1</v>
      </c>
      <c r="P143" s="406">
        <v>1</v>
      </c>
      <c r="Q143" s="400">
        <f t="shared" si="4"/>
        <v>12</v>
      </c>
      <c r="R143" s="412" t="s">
        <v>1416</v>
      </c>
      <c r="S143" s="256"/>
      <c r="T143" s="256"/>
      <c r="U143" s="255"/>
      <c r="V143" s="407" t="s">
        <v>1415</v>
      </c>
      <c r="W143" s="403"/>
      <c r="X143" s="404"/>
      <c r="Y143" s="404"/>
      <c r="Z143" s="404"/>
      <c r="AA143" s="404"/>
      <c r="AB143" s="404"/>
      <c r="AC143" s="404"/>
      <c r="AD143" s="404"/>
      <c r="AE143" s="404"/>
      <c r="AF143" s="403"/>
      <c r="AG143" s="403"/>
      <c r="AH143" s="403"/>
      <c r="AI143" s="403"/>
      <c r="AJ143" s="403"/>
      <c r="AK143" s="403"/>
      <c r="AL143" s="403"/>
      <c r="AM143" s="403"/>
      <c r="AN143" s="403"/>
      <c r="AO143" s="403"/>
      <c r="AP143" s="403"/>
      <c r="AQ143" s="403"/>
      <c r="AR143" s="403"/>
      <c r="AS143" s="403"/>
      <c r="AT143" s="403"/>
      <c r="AU143" s="403"/>
      <c r="AV143" s="403"/>
      <c r="AW143" s="403"/>
      <c r="AX143" s="403"/>
      <c r="AY143" s="403"/>
      <c r="AZ143" s="403"/>
      <c r="BA143" s="403"/>
      <c r="BB143" s="403"/>
      <c r="BC143" s="403"/>
      <c r="BD143" s="403"/>
      <c r="BE143" s="403"/>
      <c r="BF143" s="403"/>
      <c r="BG143" s="403"/>
      <c r="BH143" s="403"/>
      <c r="BI143" s="403"/>
      <c r="BJ143" s="403"/>
      <c r="BK143" s="403"/>
      <c r="BL143" s="403"/>
      <c r="BM143" s="403"/>
      <c r="BN143" s="403"/>
    </row>
    <row r="144" spans="1:66" s="405" customFormat="1" ht="51" x14ac:dyDescent="0.2">
      <c r="A144" s="256" t="s">
        <v>1085</v>
      </c>
      <c r="B144" s="255" t="s">
        <v>1414</v>
      </c>
      <c r="C144" s="255" t="s">
        <v>1409</v>
      </c>
      <c r="D144" s="256" t="s">
        <v>1403</v>
      </c>
      <c r="E144" s="399">
        <v>1</v>
      </c>
      <c r="F144" s="399"/>
      <c r="G144" s="399"/>
      <c r="H144" s="399"/>
      <c r="I144" s="399"/>
      <c r="J144" s="399"/>
      <c r="K144" s="399"/>
      <c r="L144" s="399"/>
      <c r="M144" s="399"/>
      <c r="N144" s="399"/>
      <c r="O144" s="399"/>
      <c r="P144" s="399"/>
      <c r="Q144" s="400">
        <f t="shared" si="4"/>
        <v>1</v>
      </c>
      <c r="R144" s="411" t="s">
        <v>1417</v>
      </c>
      <c r="S144" s="256"/>
      <c r="T144" s="256"/>
      <c r="U144" s="256"/>
      <c r="V144" s="407" t="s">
        <v>1415</v>
      </c>
      <c r="W144" s="403"/>
      <c r="X144" s="404"/>
      <c r="Y144" s="404"/>
      <c r="Z144" s="404"/>
      <c r="AA144" s="404"/>
      <c r="AB144" s="404"/>
      <c r="AC144" s="404"/>
      <c r="AD144" s="404"/>
      <c r="AE144" s="404"/>
      <c r="AF144" s="403"/>
      <c r="AG144" s="403"/>
      <c r="AH144" s="403"/>
      <c r="AI144" s="403"/>
      <c r="AJ144" s="403"/>
      <c r="AK144" s="403"/>
      <c r="AL144" s="403"/>
      <c r="AM144" s="403"/>
      <c r="AN144" s="403"/>
      <c r="AO144" s="403"/>
      <c r="AP144" s="403"/>
      <c r="AQ144" s="403"/>
      <c r="AR144" s="403"/>
      <c r="AS144" s="403"/>
      <c r="AT144" s="403"/>
      <c r="AU144" s="403"/>
      <c r="AV144" s="403"/>
      <c r="AW144" s="403"/>
      <c r="AX144" s="403"/>
      <c r="AY144" s="403"/>
      <c r="AZ144" s="403"/>
      <c r="BA144" s="403"/>
      <c r="BB144" s="403"/>
      <c r="BC144" s="403"/>
      <c r="BD144" s="403"/>
      <c r="BE144" s="403"/>
      <c r="BF144" s="403"/>
      <c r="BG144" s="403"/>
      <c r="BH144" s="403"/>
      <c r="BI144" s="403"/>
      <c r="BJ144" s="403"/>
      <c r="BK144" s="403"/>
      <c r="BL144" s="403"/>
      <c r="BM144" s="403"/>
      <c r="BN144" s="403"/>
    </row>
    <row r="145" spans="1:66" s="405" customFormat="1" ht="63.75" x14ac:dyDescent="0.2">
      <c r="A145" s="256" t="s">
        <v>1085</v>
      </c>
      <c r="B145" s="255" t="s">
        <v>1414</v>
      </c>
      <c r="C145" s="255" t="s">
        <v>1410</v>
      </c>
      <c r="D145" s="255" t="s">
        <v>1404</v>
      </c>
      <c r="E145" s="406"/>
      <c r="F145" s="406">
        <v>1</v>
      </c>
      <c r="G145" s="406"/>
      <c r="H145" s="406"/>
      <c r="I145" s="406">
        <v>1</v>
      </c>
      <c r="J145" s="406"/>
      <c r="K145" s="406"/>
      <c r="L145" s="406">
        <v>1</v>
      </c>
      <c r="M145" s="406"/>
      <c r="N145" s="406"/>
      <c r="O145" s="406">
        <v>1</v>
      </c>
      <c r="P145" s="406"/>
      <c r="Q145" s="400">
        <f t="shared" si="4"/>
        <v>4</v>
      </c>
      <c r="R145" s="411" t="s">
        <v>943</v>
      </c>
      <c r="S145" s="256"/>
      <c r="T145" s="256"/>
      <c r="U145" s="255"/>
      <c r="V145" s="407" t="s">
        <v>1415</v>
      </c>
      <c r="W145" s="403"/>
      <c r="X145" s="404"/>
      <c r="Y145" s="404"/>
      <c r="Z145" s="404"/>
      <c r="AA145" s="404"/>
      <c r="AB145" s="404"/>
      <c r="AC145" s="404"/>
      <c r="AD145" s="404"/>
      <c r="AE145" s="404"/>
      <c r="AF145" s="403"/>
      <c r="AG145" s="403"/>
      <c r="AH145" s="403"/>
      <c r="AI145" s="403"/>
      <c r="AJ145" s="403"/>
      <c r="AK145" s="403"/>
      <c r="AL145" s="403"/>
      <c r="AM145" s="403"/>
      <c r="AN145" s="403"/>
      <c r="AO145" s="403"/>
      <c r="AP145" s="403"/>
      <c r="AQ145" s="403"/>
      <c r="AR145" s="403"/>
      <c r="AS145" s="403"/>
      <c r="AT145" s="403"/>
      <c r="AU145" s="403"/>
      <c r="AV145" s="403"/>
      <c r="AW145" s="403"/>
      <c r="AX145" s="403"/>
      <c r="AY145" s="403"/>
      <c r="AZ145" s="403"/>
      <c r="BA145" s="403"/>
      <c r="BB145" s="403"/>
      <c r="BC145" s="403"/>
      <c r="BD145" s="403"/>
      <c r="BE145" s="403"/>
      <c r="BF145" s="403"/>
      <c r="BG145" s="403"/>
      <c r="BH145" s="403"/>
      <c r="BI145" s="403"/>
      <c r="BJ145" s="403"/>
      <c r="BK145" s="403"/>
      <c r="BL145" s="403"/>
      <c r="BM145" s="403"/>
      <c r="BN145" s="403"/>
    </row>
    <row r="146" spans="1:66" s="405" customFormat="1" ht="51" x14ac:dyDescent="0.2">
      <c r="A146" s="256" t="s">
        <v>1085</v>
      </c>
      <c r="B146" s="255" t="s">
        <v>1414</v>
      </c>
      <c r="C146" s="255" t="s">
        <v>1411</v>
      </c>
      <c r="D146" s="256" t="s">
        <v>1405</v>
      </c>
      <c r="E146" s="399">
        <v>1</v>
      </c>
      <c r="F146" s="399">
        <v>1</v>
      </c>
      <c r="G146" s="399">
        <v>1</v>
      </c>
      <c r="H146" s="399">
        <v>1</v>
      </c>
      <c r="I146" s="399">
        <v>1</v>
      </c>
      <c r="J146" s="399">
        <v>1</v>
      </c>
      <c r="K146" s="399">
        <v>1</v>
      </c>
      <c r="L146" s="399">
        <v>1</v>
      </c>
      <c r="M146" s="399">
        <v>1</v>
      </c>
      <c r="N146" s="399">
        <v>1</v>
      </c>
      <c r="O146" s="399">
        <v>1</v>
      </c>
      <c r="P146" s="399">
        <v>1</v>
      </c>
      <c r="Q146" s="400">
        <f t="shared" si="4"/>
        <v>12</v>
      </c>
      <c r="R146" s="411" t="s">
        <v>943</v>
      </c>
      <c r="S146" s="256"/>
      <c r="T146" s="256"/>
      <c r="U146" s="256"/>
      <c r="V146" s="407" t="s">
        <v>1415</v>
      </c>
      <c r="W146" s="403"/>
      <c r="X146" s="404"/>
      <c r="Y146" s="404"/>
      <c r="Z146" s="404"/>
      <c r="AA146" s="404"/>
      <c r="AB146" s="404"/>
      <c r="AC146" s="404"/>
      <c r="AD146" s="404"/>
      <c r="AE146" s="404"/>
      <c r="AF146" s="403"/>
      <c r="AG146" s="403"/>
      <c r="AH146" s="403"/>
      <c r="AI146" s="403"/>
      <c r="AJ146" s="403"/>
      <c r="AK146" s="403"/>
      <c r="AL146" s="403"/>
      <c r="AM146" s="403"/>
      <c r="AN146" s="403"/>
      <c r="AO146" s="403"/>
      <c r="AP146" s="403"/>
      <c r="AQ146" s="403"/>
      <c r="AR146" s="403"/>
      <c r="AS146" s="403"/>
      <c r="AT146" s="403"/>
      <c r="AU146" s="403"/>
      <c r="AV146" s="403"/>
      <c r="AW146" s="403"/>
      <c r="AX146" s="403"/>
      <c r="AY146" s="403"/>
      <c r="AZ146" s="403"/>
      <c r="BA146" s="403"/>
      <c r="BB146" s="403"/>
      <c r="BC146" s="403"/>
      <c r="BD146" s="403"/>
      <c r="BE146" s="403"/>
      <c r="BF146" s="403"/>
      <c r="BG146" s="403"/>
      <c r="BH146" s="403"/>
      <c r="BI146" s="403"/>
      <c r="BJ146" s="403"/>
      <c r="BK146" s="403"/>
      <c r="BL146" s="403"/>
      <c r="BM146" s="403"/>
      <c r="BN146" s="403"/>
    </row>
    <row r="147" spans="1:66" s="405" customFormat="1" ht="51" x14ac:dyDescent="0.2">
      <c r="A147" s="256" t="s">
        <v>1085</v>
      </c>
      <c r="B147" s="255" t="s">
        <v>1414</v>
      </c>
      <c r="C147" s="255" t="s">
        <v>1412</v>
      </c>
      <c r="D147" s="255" t="s">
        <v>1406</v>
      </c>
      <c r="E147" s="406">
        <v>1</v>
      </c>
      <c r="F147" s="406">
        <v>1</v>
      </c>
      <c r="G147" s="406">
        <v>1</v>
      </c>
      <c r="H147" s="406">
        <v>1</v>
      </c>
      <c r="I147" s="406">
        <v>1</v>
      </c>
      <c r="J147" s="406">
        <v>1</v>
      </c>
      <c r="K147" s="406">
        <v>1</v>
      </c>
      <c r="L147" s="406">
        <v>1</v>
      </c>
      <c r="M147" s="406">
        <v>1</v>
      </c>
      <c r="N147" s="406">
        <v>1</v>
      </c>
      <c r="O147" s="406">
        <v>1</v>
      </c>
      <c r="P147" s="406">
        <v>1</v>
      </c>
      <c r="Q147" s="400">
        <f t="shared" si="4"/>
        <v>12</v>
      </c>
      <c r="R147" s="411" t="s">
        <v>943</v>
      </c>
      <c r="S147" s="256"/>
      <c r="T147" s="256"/>
      <c r="U147" s="255" t="s">
        <v>1418</v>
      </c>
      <c r="V147" s="407" t="s">
        <v>1415</v>
      </c>
      <c r="W147" s="403"/>
      <c r="X147" s="404"/>
      <c r="Y147" s="404"/>
      <c r="Z147" s="404"/>
      <c r="AA147" s="404"/>
      <c r="AB147" s="404"/>
      <c r="AC147" s="404"/>
      <c r="AD147" s="404"/>
      <c r="AE147" s="404"/>
      <c r="AF147" s="403"/>
      <c r="AG147" s="403"/>
      <c r="AH147" s="403"/>
      <c r="AI147" s="403"/>
      <c r="AJ147" s="403"/>
      <c r="AK147" s="403"/>
      <c r="AL147" s="403"/>
      <c r="AM147" s="403"/>
      <c r="AN147" s="403"/>
      <c r="AO147" s="403"/>
      <c r="AP147" s="403"/>
      <c r="AQ147" s="403"/>
      <c r="AR147" s="403"/>
      <c r="AS147" s="403"/>
      <c r="AT147" s="403"/>
      <c r="AU147" s="403"/>
      <c r="AV147" s="403"/>
      <c r="AW147" s="403"/>
      <c r="AX147" s="403"/>
      <c r="AY147" s="403"/>
      <c r="AZ147" s="403"/>
      <c r="BA147" s="403"/>
      <c r="BB147" s="403"/>
      <c r="BC147" s="403"/>
      <c r="BD147" s="403"/>
      <c r="BE147" s="403"/>
      <c r="BF147" s="403"/>
      <c r="BG147" s="403"/>
      <c r="BH147" s="403"/>
      <c r="BI147" s="403"/>
      <c r="BJ147" s="403"/>
      <c r="BK147" s="403"/>
      <c r="BL147" s="403"/>
      <c r="BM147" s="403"/>
      <c r="BN147" s="403"/>
    </row>
    <row r="148" spans="1:66" s="405" customFormat="1" ht="51" x14ac:dyDescent="0.2">
      <c r="A148" s="256" t="s">
        <v>1085</v>
      </c>
      <c r="B148" s="255" t="s">
        <v>1414</v>
      </c>
      <c r="C148" s="255" t="s">
        <v>1413</v>
      </c>
      <c r="D148" s="256" t="s">
        <v>1407</v>
      </c>
      <c r="E148" s="399"/>
      <c r="F148" s="399"/>
      <c r="G148" s="399">
        <v>1</v>
      </c>
      <c r="H148" s="399"/>
      <c r="I148" s="399"/>
      <c r="J148" s="399">
        <v>1</v>
      </c>
      <c r="K148" s="399"/>
      <c r="L148" s="399"/>
      <c r="M148" s="399">
        <v>1</v>
      </c>
      <c r="N148" s="399"/>
      <c r="O148" s="399"/>
      <c r="P148" s="399">
        <v>1</v>
      </c>
      <c r="Q148" s="400">
        <f t="shared" si="4"/>
        <v>4</v>
      </c>
      <c r="R148" s="411" t="s">
        <v>943</v>
      </c>
      <c r="S148" s="256"/>
      <c r="T148" s="256"/>
      <c r="U148" s="256" t="s">
        <v>1419</v>
      </c>
      <c r="V148" s="407" t="s">
        <v>1415</v>
      </c>
      <c r="W148" s="403"/>
      <c r="X148" s="404"/>
      <c r="Y148" s="404"/>
      <c r="Z148" s="404"/>
      <c r="AA148" s="404"/>
      <c r="AB148" s="404"/>
      <c r="AC148" s="404"/>
      <c r="AD148" s="404"/>
      <c r="AE148" s="404"/>
      <c r="AF148" s="403"/>
      <c r="AG148" s="403"/>
      <c r="AH148" s="403"/>
      <c r="AI148" s="403"/>
      <c r="AJ148" s="403"/>
      <c r="AK148" s="403"/>
      <c r="AL148" s="403"/>
      <c r="AM148" s="403"/>
      <c r="AN148" s="403"/>
      <c r="AO148" s="403"/>
      <c r="AP148" s="403"/>
      <c r="AQ148" s="403"/>
      <c r="AR148" s="403"/>
      <c r="AS148" s="403"/>
      <c r="AT148" s="403"/>
      <c r="AU148" s="403"/>
      <c r="AV148" s="403"/>
      <c r="AW148" s="403"/>
      <c r="AX148" s="403"/>
      <c r="AY148" s="403"/>
      <c r="AZ148" s="403"/>
      <c r="BA148" s="403"/>
      <c r="BB148" s="403"/>
      <c r="BC148" s="403"/>
      <c r="BD148" s="403"/>
      <c r="BE148" s="403"/>
      <c r="BF148" s="403"/>
      <c r="BG148" s="403"/>
      <c r="BH148" s="403"/>
      <c r="BI148" s="403"/>
      <c r="BJ148" s="403"/>
      <c r="BK148" s="403"/>
      <c r="BL148" s="403"/>
      <c r="BM148" s="403"/>
      <c r="BN148" s="403"/>
    </row>
    <row r="149" spans="1:66" s="253" customFormat="1" x14ac:dyDescent="0.25">
      <c r="A149" s="254"/>
      <c r="B149" s="257"/>
      <c r="C149" s="257"/>
      <c r="D149" s="258"/>
      <c r="E149" s="259">
        <f t="shared" ref="E149:Q149" si="5">SUM(E16:E148)</f>
        <v>31</v>
      </c>
      <c r="F149" s="259">
        <f t="shared" si="5"/>
        <v>26</v>
      </c>
      <c r="G149" s="259">
        <f t="shared" si="5"/>
        <v>58</v>
      </c>
      <c r="H149" s="259">
        <f t="shared" si="5"/>
        <v>38</v>
      </c>
      <c r="I149" s="259">
        <f t="shared" si="5"/>
        <v>28</v>
      </c>
      <c r="J149" s="259">
        <f t="shared" si="5"/>
        <v>59</v>
      </c>
      <c r="K149" s="259">
        <f t="shared" si="5"/>
        <v>32</v>
      </c>
      <c r="L149" s="259">
        <f t="shared" si="5"/>
        <v>33</v>
      </c>
      <c r="M149" s="259">
        <f t="shared" si="5"/>
        <v>60</v>
      </c>
      <c r="N149" s="259">
        <f t="shared" si="5"/>
        <v>31</v>
      </c>
      <c r="O149" s="259">
        <f t="shared" si="5"/>
        <v>32</v>
      </c>
      <c r="P149" s="259">
        <f t="shared" si="5"/>
        <v>50</v>
      </c>
      <c r="Q149" s="259">
        <f t="shared" si="5"/>
        <v>478</v>
      </c>
      <c r="R149" s="254"/>
      <c r="S149" s="254"/>
      <c r="T149" s="254"/>
      <c r="U149" s="260"/>
      <c r="V149" s="396"/>
      <c r="W149" s="285"/>
      <c r="X149" s="263"/>
      <c r="Y149" s="263"/>
      <c r="Z149" s="263"/>
      <c r="AA149" s="263"/>
      <c r="AB149" s="263"/>
      <c r="AC149" s="292"/>
      <c r="AD149" s="263"/>
      <c r="AE149" s="263"/>
      <c r="AF149" s="285"/>
      <c r="AG149" s="285"/>
      <c r="AH149" s="285"/>
      <c r="AI149" s="285"/>
      <c r="AJ149" s="285"/>
      <c r="AK149" s="285"/>
      <c r="AL149" s="285"/>
      <c r="AM149" s="285"/>
      <c r="AN149" s="285"/>
      <c r="AO149" s="285"/>
      <c r="AP149" s="285"/>
      <c r="AQ149" s="285"/>
      <c r="AR149" s="285"/>
      <c r="AS149" s="285"/>
      <c r="AT149" s="285"/>
      <c r="AU149" s="285"/>
      <c r="AV149" s="285"/>
      <c r="AW149" s="285"/>
      <c r="AX149" s="285"/>
      <c r="AY149" s="285"/>
      <c r="AZ149" s="285"/>
      <c r="BA149" s="285"/>
      <c r="BB149" s="285"/>
      <c r="BC149" s="285"/>
      <c r="BD149" s="285"/>
      <c r="BE149" s="285"/>
      <c r="BF149" s="285"/>
      <c r="BG149" s="285"/>
      <c r="BH149" s="285"/>
      <c r="BI149" s="285"/>
      <c r="BJ149" s="285"/>
      <c r="BK149" s="285"/>
      <c r="BL149" s="285"/>
      <c r="BM149" s="285"/>
      <c r="BN149" s="285"/>
    </row>
    <row r="150" spans="1:66" s="253" customFormat="1" x14ac:dyDescent="0.25">
      <c r="M150" s="261"/>
      <c r="N150" s="262"/>
      <c r="O150" s="263"/>
      <c r="P150" s="263"/>
      <c r="Q150" s="263"/>
      <c r="R150" s="263"/>
      <c r="S150" s="263"/>
      <c r="T150" s="263"/>
      <c r="U150" s="263"/>
      <c r="V150" s="397"/>
      <c r="W150" s="285"/>
      <c r="X150" s="263"/>
      <c r="Y150" s="263"/>
      <c r="Z150" s="263"/>
      <c r="AA150" s="263"/>
      <c r="AB150" s="263"/>
      <c r="AC150" s="292"/>
      <c r="AD150" s="263"/>
      <c r="AE150" s="263"/>
      <c r="AF150" s="285"/>
      <c r="AG150" s="285"/>
      <c r="AH150" s="285"/>
      <c r="AI150" s="285"/>
      <c r="AJ150" s="285"/>
      <c r="AK150" s="285"/>
      <c r="AL150" s="285"/>
      <c r="AM150" s="285"/>
      <c r="AN150" s="285"/>
      <c r="AO150" s="285"/>
      <c r="AP150" s="285"/>
      <c r="AQ150" s="285"/>
      <c r="AR150" s="285"/>
      <c r="AS150" s="285"/>
      <c r="AT150" s="285"/>
      <c r="AU150" s="285"/>
      <c r="AV150" s="285"/>
      <c r="AW150" s="285"/>
      <c r="AX150" s="285"/>
      <c r="AY150" s="285"/>
      <c r="AZ150" s="285"/>
      <c r="BA150" s="285"/>
      <c r="BB150" s="285"/>
      <c r="BC150" s="285"/>
      <c r="BD150" s="285"/>
      <c r="BE150" s="285"/>
      <c r="BF150" s="285"/>
      <c r="BG150" s="285"/>
      <c r="BH150" s="285"/>
      <c r="BI150" s="285"/>
      <c r="BJ150" s="285"/>
      <c r="BK150" s="285"/>
      <c r="BL150" s="285"/>
      <c r="BM150" s="285"/>
      <c r="BN150" s="285"/>
    </row>
    <row r="151" spans="1:66" s="253" customFormat="1" x14ac:dyDescent="0.25">
      <c r="M151" s="261"/>
      <c r="N151" s="262"/>
      <c r="O151" s="263"/>
      <c r="P151" s="263"/>
      <c r="Q151" s="263"/>
      <c r="R151" s="263"/>
      <c r="S151" s="263"/>
      <c r="T151" s="263"/>
      <c r="U151" s="263"/>
      <c r="V151" s="397"/>
      <c r="W151" s="285"/>
      <c r="X151" s="263"/>
      <c r="Y151" s="263"/>
      <c r="Z151" s="263"/>
      <c r="AA151" s="263"/>
      <c r="AB151" s="263"/>
      <c r="AC151" s="292"/>
      <c r="AD151" s="263"/>
      <c r="AE151" s="263"/>
      <c r="AF151" s="285"/>
      <c r="AG151" s="285"/>
      <c r="AH151" s="285"/>
      <c r="AI151" s="285"/>
      <c r="AJ151" s="285"/>
      <c r="AK151" s="285"/>
      <c r="AL151" s="285"/>
      <c r="AM151" s="285"/>
      <c r="AN151" s="285"/>
      <c r="AO151" s="285"/>
      <c r="AP151" s="285"/>
      <c r="AQ151" s="285"/>
      <c r="AR151" s="285"/>
      <c r="AS151" s="285"/>
      <c r="AT151" s="285"/>
      <c r="AU151" s="285"/>
      <c r="AV151" s="285"/>
      <c r="AW151" s="285"/>
      <c r="AX151" s="285"/>
      <c r="AY151" s="285"/>
      <c r="AZ151" s="285"/>
      <c r="BA151" s="285"/>
      <c r="BB151" s="285"/>
      <c r="BC151" s="285"/>
      <c r="BD151" s="285"/>
      <c r="BE151" s="285"/>
      <c r="BF151" s="285"/>
      <c r="BG151" s="285"/>
      <c r="BH151" s="285"/>
      <c r="BI151" s="285"/>
      <c r="BJ151" s="285"/>
      <c r="BK151" s="285"/>
      <c r="BL151" s="285"/>
      <c r="BM151" s="285"/>
      <c r="BN151" s="285"/>
    </row>
    <row r="152" spans="1:66" s="253" customFormat="1" x14ac:dyDescent="0.25">
      <c r="M152" s="261"/>
      <c r="N152" s="262"/>
      <c r="O152" s="263"/>
      <c r="P152" s="263"/>
      <c r="Q152" s="263"/>
      <c r="R152" s="263"/>
      <c r="S152" s="263"/>
      <c r="T152" s="263"/>
      <c r="U152" s="263"/>
      <c r="V152" s="397"/>
      <c r="W152" s="285"/>
      <c r="X152" s="263"/>
      <c r="Y152" s="263"/>
      <c r="Z152" s="263"/>
      <c r="AA152" s="263"/>
      <c r="AB152" s="263"/>
      <c r="AC152" s="292"/>
      <c r="AD152" s="263"/>
      <c r="AE152" s="263"/>
      <c r="AF152" s="285"/>
      <c r="AG152" s="285"/>
      <c r="AH152" s="285"/>
      <c r="AI152" s="285"/>
      <c r="AJ152" s="285"/>
      <c r="AK152" s="285"/>
      <c r="AL152" s="285"/>
      <c r="AM152" s="285"/>
      <c r="AN152" s="285"/>
      <c r="AO152" s="285"/>
      <c r="AP152" s="285"/>
      <c r="AQ152" s="285"/>
      <c r="AR152" s="285"/>
      <c r="AS152" s="285"/>
      <c r="AT152" s="285"/>
      <c r="AU152" s="285"/>
      <c r="AV152" s="285"/>
      <c r="AW152" s="285"/>
      <c r="AX152" s="285"/>
      <c r="AY152" s="285"/>
      <c r="AZ152" s="285"/>
      <c r="BA152" s="285"/>
      <c r="BB152" s="285"/>
      <c r="BC152" s="285"/>
      <c r="BD152" s="285"/>
      <c r="BE152" s="285"/>
      <c r="BF152" s="285"/>
      <c r="BG152" s="285"/>
      <c r="BH152" s="285"/>
      <c r="BI152" s="285"/>
      <c r="BJ152" s="285"/>
      <c r="BK152" s="285"/>
      <c r="BL152" s="285"/>
      <c r="BM152" s="285"/>
      <c r="BN152" s="285"/>
    </row>
    <row r="153" spans="1:66" s="253" customFormat="1" x14ac:dyDescent="0.25">
      <c r="M153" s="261"/>
      <c r="N153" s="262"/>
      <c r="O153" s="263"/>
      <c r="P153" s="263"/>
      <c r="Q153" s="263"/>
      <c r="R153" s="263"/>
      <c r="S153" s="263"/>
      <c r="T153" s="263"/>
      <c r="U153" s="263"/>
      <c r="V153" s="397"/>
      <c r="W153" s="285"/>
      <c r="X153" s="263"/>
      <c r="Y153" s="263"/>
      <c r="Z153" s="263"/>
      <c r="AA153" s="263"/>
      <c r="AB153" s="263"/>
      <c r="AC153" s="292"/>
      <c r="AD153" s="263"/>
      <c r="AE153" s="263"/>
      <c r="AF153" s="285"/>
      <c r="AG153" s="285"/>
      <c r="AH153" s="285"/>
      <c r="AI153" s="285"/>
      <c r="AJ153" s="285"/>
      <c r="AK153" s="285"/>
      <c r="AL153" s="285"/>
      <c r="AM153" s="285"/>
      <c r="AN153" s="285"/>
      <c r="AO153" s="285"/>
      <c r="AP153" s="285"/>
      <c r="AQ153" s="285"/>
      <c r="AR153" s="285"/>
      <c r="AS153" s="285"/>
      <c r="AT153" s="285"/>
      <c r="AU153" s="285"/>
      <c r="AV153" s="285"/>
      <c r="AW153" s="285"/>
      <c r="AX153" s="285"/>
      <c r="AY153" s="285"/>
      <c r="AZ153" s="285"/>
      <c r="BA153" s="285"/>
      <c r="BB153" s="285"/>
      <c r="BC153" s="285"/>
      <c r="BD153" s="285"/>
      <c r="BE153" s="285"/>
      <c r="BF153" s="285"/>
      <c r="BG153" s="285"/>
      <c r="BH153" s="285"/>
      <c r="BI153" s="285"/>
      <c r="BJ153" s="285"/>
      <c r="BK153" s="285"/>
      <c r="BL153" s="285"/>
      <c r="BM153" s="285"/>
      <c r="BN153" s="285"/>
    </row>
    <row r="154" spans="1:66" s="253" customFormat="1" x14ac:dyDescent="0.25">
      <c r="M154" s="261"/>
      <c r="N154" s="262"/>
      <c r="O154" s="263"/>
      <c r="P154" s="263"/>
      <c r="Q154" s="263"/>
      <c r="R154" s="263"/>
      <c r="S154" s="263"/>
      <c r="T154" s="263"/>
      <c r="U154" s="263"/>
      <c r="V154" s="397"/>
      <c r="W154" s="285"/>
      <c r="X154" s="263"/>
      <c r="Y154" s="263"/>
      <c r="Z154" s="263"/>
      <c r="AA154" s="263"/>
      <c r="AB154" s="263"/>
      <c r="AC154" s="292"/>
      <c r="AD154" s="263"/>
      <c r="AE154" s="263"/>
      <c r="AF154" s="285"/>
      <c r="AG154" s="285"/>
      <c r="AH154" s="285"/>
      <c r="AI154" s="285"/>
      <c r="AJ154" s="285"/>
      <c r="AK154" s="285"/>
      <c r="AL154" s="285"/>
      <c r="AM154" s="285"/>
      <c r="AN154" s="285"/>
      <c r="AO154" s="285"/>
      <c r="AP154" s="285"/>
      <c r="AQ154" s="285"/>
      <c r="AR154" s="285"/>
      <c r="AS154" s="285"/>
      <c r="AT154" s="285"/>
      <c r="AU154" s="285"/>
      <c r="AV154" s="285"/>
      <c r="AW154" s="285"/>
      <c r="AX154" s="285"/>
      <c r="AY154" s="285"/>
      <c r="AZ154" s="285"/>
      <c r="BA154" s="285"/>
      <c r="BB154" s="285"/>
      <c r="BC154" s="285"/>
      <c r="BD154" s="285"/>
      <c r="BE154" s="285"/>
      <c r="BF154" s="285"/>
      <c r="BG154" s="285"/>
      <c r="BH154" s="285"/>
      <c r="BI154" s="285"/>
      <c r="BJ154" s="285"/>
      <c r="BK154" s="285"/>
      <c r="BL154" s="285"/>
      <c r="BM154" s="285"/>
      <c r="BN154" s="285"/>
    </row>
    <row r="155" spans="1:66" s="253" customFormat="1" x14ac:dyDescent="0.25">
      <c r="M155" s="261"/>
      <c r="N155" s="262"/>
      <c r="O155" s="263"/>
      <c r="P155" s="263"/>
      <c r="Q155" s="263"/>
      <c r="R155" s="263"/>
      <c r="S155" s="263"/>
      <c r="T155" s="263"/>
      <c r="U155" s="263"/>
      <c r="V155" s="397"/>
      <c r="W155" s="285"/>
      <c r="X155" s="263"/>
      <c r="Y155" s="263"/>
      <c r="Z155" s="263"/>
      <c r="AA155" s="263"/>
      <c r="AB155" s="263"/>
      <c r="AC155" s="292"/>
      <c r="AD155" s="263"/>
      <c r="AE155" s="263"/>
      <c r="AF155" s="285"/>
      <c r="AG155" s="285"/>
      <c r="AH155" s="285"/>
      <c r="AI155" s="285"/>
      <c r="AJ155" s="285"/>
      <c r="AK155" s="285"/>
      <c r="AL155" s="285"/>
      <c r="AM155" s="285"/>
      <c r="AN155" s="285"/>
      <c r="AO155" s="285"/>
      <c r="AP155" s="285"/>
      <c r="AQ155" s="285"/>
      <c r="AR155" s="285"/>
      <c r="AS155" s="285"/>
      <c r="AT155" s="285"/>
      <c r="AU155" s="285"/>
      <c r="AV155" s="285"/>
      <c r="AW155" s="285"/>
      <c r="AX155" s="285"/>
      <c r="AY155" s="285"/>
      <c r="AZ155" s="285"/>
      <c r="BA155" s="285"/>
      <c r="BB155" s="285"/>
      <c r="BC155" s="285"/>
      <c r="BD155" s="285"/>
      <c r="BE155" s="285"/>
      <c r="BF155" s="285"/>
      <c r="BG155" s="285"/>
      <c r="BH155" s="285"/>
      <c r="BI155" s="285"/>
      <c r="BJ155" s="285"/>
      <c r="BK155" s="285"/>
      <c r="BL155" s="285"/>
      <c r="BM155" s="285"/>
      <c r="BN155" s="285"/>
    </row>
    <row r="156" spans="1:66" s="253" customFormat="1" x14ac:dyDescent="0.25">
      <c r="M156" s="261"/>
      <c r="N156" s="262"/>
      <c r="O156" s="263"/>
      <c r="P156" s="263"/>
      <c r="Q156" s="263"/>
      <c r="R156" s="263"/>
      <c r="S156" s="263"/>
      <c r="T156" s="263"/>
      <c r="U156" s="263"/>
      <c r="V156" s="397"/>
      <c r="W156" s="285"/>
      <c r="X156" s="263"/>
      <c r="Y156" s="263"/>
      <c r="Z156" s="263"/>
      <c r="AA156" s="263"/>
      <c r="AB156" s="263"/>
      <c r="AC156" s="292"/>
      <c r="AD156" s="263"/>
      <c r="AE156" s="263"/>
      <c r="AF156" s="285"/>
      <c r="AG156" s="285"/>
      <c r="AH156" s="285"/>
      <c r="AI156" s="285"/>
      <c r="AJ156" s="285"/>
      <c r="AK156" s="285"/>
      <c r="AL156" s="285"/>
      <c r="AM156" s="285"/>
      <c r="AN156" s="285"/>
      <c r="AO156" s="285"/>
      <c r="AP156" s="285"/>
      <c r="AQ156" s="285"/>
      <c r="AR156" s="285"/>
      <c r="AS156" s="285"/>
      <c r="AT156" s="285"/>
      <c r="AU156" s="285"/>
      <c r="AV156" s="285"/>
      <c r="AW156" s="285"/>
      <c r="AX156" s="285"/>
      <c r="AY156" s="285"/>
      <c r="AZ156" s="285"/>
      <c r="BA156" s="285"/>
      <c r="BB156" s="285"/>
      <c r="BC156" s="285"/>
      <c r="BD156" s="285"/>
      <c r="BE156" s="285"/>
      <c r="BF156" s="285"/>
      <c r="BG156" s="285"/>
      <c r="BH156" s="285"/>
      <c r="BI156" s="285"/>
      <c r="BJ156" s="285"/>
      <c r="BK156" s="285"/>
      <c r="BL156" s="285"/>
      <c r="BM156" s="285"/>
      <c r="BN156" s="285"/>
    </row>
    <row r="157" spans="1:66" s="253" customFormat="1" x14ac:dyDescent="0.25">
      <c r="M157" s="261"/>
      <c r="N157" s="262"/>
      <c r="O157" s="263"/>
      <c r="P157" s="263"/>
      <c r="Q157" s="263"/>
      <c r="R157" s="263"/>
      <c r="S157" s="263"/>
      <c r="T157" s="263"/>
      <c r="U157" s="263"/>
      <c r="V157" s="397"/>
      <c r="W157" s="285"/>
      <c r="X157" s="263"/>
      <c r="Y157" s="263"/>
      <c r="Z157" s="263"/>
      <c r="AA157" s="263"/>
      <c r="AB157" s="263"/>
      <c r="AC157" s="292"/>
      <c r="AD157" s="263"/>
      <c r="AE157" s="263"/>
      <c r="AF157" s="285"/>
      <c r="AG157" s="285"/>
      <c r="AH157" s="285"/>
      <c r="AI157" s="285"/>
      <c r="AJ157" s="285"/>
      <c r="AK157" s="285"/>
      <c r="AL157" s="285"/>
      <c r="AM157" s="285"/>
      <c r="AN157" s="285"/>
      <c r="AO157" s="285"/>
      <c r="AP157" s="285"/>
      <c r="AQ157" s="285"/>
      <c r="AR157" s="285"/>
      <c r="AS157" s="285"/>
      <c r="AT157" s="285"/>
      <c r="AU157" s="285"/>
      <c r="AV157" s="285"/>
      <c r="AW157" s="285"/>
      <c r="AX157" s="285"/>
      <c r="AY157" s="285"/>
      <c r="AZ157" s="285"/>
      <c r="BA157" s="285"/>
      <c r="BB157" s="285"/>
      <c r="BC157" s="285"/>
      <c r="BD157" s="285"/>
      <c r="BE157" s="285"/>
      <c r="BF157" s="285"/>
      <c r="BG157" s="285"/>
      <c r="BH157" s="285"/>
      <c r="BI157" s="285"/>
      <c r="BJ157" s="285"/>
      <c r="BK157" s="285"/>
      <c r="BL157" s="285"/>
      <c r="BM157" s="285"/>
      <c r="BN157" s="285"/>
    </row>
    <row r="158" spans="1:66" s="253" customFormat="1" x14ac:dyDescent="0.25">
      <c r="M158" s="261"/>
      <c r="N158" s="262"/>
      <c r="O158" s="263"/>
      <c r="P158" s="263"/>
      <c r="Q158" s="263"/>
      <c r="R158" s="263"/>
      <c r="S158" s="263"/>
      <c r="T158" s="263"/>
      <c r="U158" s="263"/>
      <c r="V158" s="397"/>
      <c r="W158" s="285"/>
      <c r="X158" s="263"/>
      <c r="Y158" s="263"/>
      <c r="Z158" s="263"/>
      <c r="AA158" s="263"/>
      <c r="AB158" s="263"/>
      <c r="AC158" s="292"/>
      <c r="AD158" s="263"/>
      <c r="AE158" s="263"/>
      <c r="AF158" s="285"/>
      <c r="AG158" s="285"/>
      <c r="AH158" s="285"/>
      <c r="AI158" s="285"/>
      <c r="AJ158" s="285"/>
      <c r="AK158" s="285"/>
      <c r="AL158" s="285"/>
      <c r="AM158" s="285"/>
      <c r="AN158" s="285"/>
      <c r="AO158" s="285"/>
      <c r="AP158" s="285"/>
      <c r="AQ158" s="285"/>
      <c r="AR158" s="285"/>
      <c r="AS158" s="285"/>
      <c r="AT158" s="285"/>
      <c r="AU158" s="285"/>
      <c r="AV158" s="285"/>
      <c r="AW158" s="285"/>
      <c r="AX158" s="285"/>
      <c r="AY158" s="285"/>
      <c r="AZ158" s="285"/>
      <c r="BA158" s="285"/>
      <c r="BB158" s="285"/>
      <c r="BC158" s="285"/>
      <c r="BD158" s="285"/>
      <c r="BE158" s="285"/>
      <c r="BF158" s="285"/>
      <c r="BG158" s="285"/>
      <c r="BH158" s="285"/>
      <c r="BI158" s="285"/>
      <c r="BJ158" s="285"/>
      <c r="BK158" s="285"/>
      <c r="BL158" s="285"/>
      <c r="BM158" s="285"/>
      <c r="BN158" s="285"/>
    </row>
    <row r="159" spans="1:66" s="253" customFormat="1" x14ac:dyDescent="0.25">
      <c r="M159" s="261"/>
      <c r="N159" s="262"/>
      <c r="O159" s="263"/>
      <c r="P159" s="263"/>
      <c r="Q159" s="263"/>
      <c r="R159" s="263"/>
      <c r="S159" s="263"/>
      <c r="T159" s="263"/>
      <c r="U159" s="263"/>
      <c r="V159" s="397"/>
      <c r="W159" s="285"/>
      <c r="X159" s="263"/>
      <c r="Y159" s="263"/>
      <c r="Z159" s="263"/>
      <c r="AA159" s="263"/>
      <c r="AB159" s="263"/>
      <c r="AC159" s="292"/>
      <c r="AD159" s="263"/>
      <c r="AE159" s="263"/>
      <c r="AF159" s="285"/>
      <c r="AG159" s="285"/>
      <c r="AH159" s="285"/>
      <c r="AI159" s="285"/>
      <c r="AJ159" s="285"/>
      <c r="AK159" s="285"/>
      <c r="AL159" s="285"/>
      <c r="AM159" s="285"/>
      <c r="AN159" s="285"/>
      <c r="AO159" s="285"/>
      <c r="AP159" s="285"/>
      <c r="AQ159" s="285"/>
      <c r="AR159" s="285"/>
      <c r="AS159" s="285"/>
      <c r="AT159" s="285"/>
      <c r="AU159" s="285"/>
      <c r="AV159" s="285"/>
      <c r="AW159" s="285"/>
      <c r="AX159" s="285"/>
      <c r="AY159" s="285"/>
      <c r="AZ159" s="285"/>
      <c r="BA159" s="285"/>
      <c r="BB159" s="285"/>
      <c r="BC159" s="285"/>
      <c r="BD159" s="285"/>
      <c r="BE159" s="285"/>
      <c r="BF159" s="285"/>
      <c r="BG159" s="285"/>
      <c r="BH159" s="285"/>
      <c r="BI159" s="285"/>
      <c r="BJ159" s="285"/>
      <c r="BK159" s="285"/>
      <c r="BL159" s="285"/>
      <c r="BM159" s="285"/>
      <c r="BN159" s="285"/>
    </row>
    <row r="160" spans="1:66" s="253" customFormat="1" x14ac:dyDescent="0.25">
      <c r="M160" s="261"/>
      <c r="N160" s="262"/>
      <c r="O160" s="263"/>
      <c r="P160" s="263"/>
      <c r="Q160" s="263"/>
      <c r="R160" s="263"/>
      <c r="S160" s="263"/>
      <c r="T160" s="263"/>
      <c r="U160" s="263"/>
      <c r="V160" s="397"/>
      <c r="W160" s="285"/>
      <c r="X160" s="263"/>
      <c r="Y160" s="263"/>
      <c r="Z160" s="263"/>
      <c r="AA160" s="263"/>
      <c r="AB160" s="263"/>
      <c r="AC160" s="292"/>
      <c r="AD160" s="263"/>
      <c r="AE160" s="263"/>
      <c r="AF160" s="285"/>
      <c r="AG160" s="285"/>
      <c r="AH160" s="285"/>
      <c r="AI160" s="285"/>
      <c r="AJ160" s="285"/>
      <c r="AK160" s="285"/>
      <c r="AL160" s="285"/>
      <c r="AM160" s="285"/>
      <c r="AN160" s="285"/>
      <c r="AO160" s="285"/>
      <c r="AP160" s="285"/>
      <c r="AQ160" s="285"/>
      <c r="AR160" s="285"/>
      <c r="AS160" s="285"/>
      <c r="AT160" s="285"/>
      <c r="AU160" s="285"/>
      <c r="AV160" s="285"/>
      <c r="AW160" s="285"/>
      <c r="AX160" s="285"/>
      <c r="AY160" s="285"/>
      <c r="AZ160" s="285"/>
      <c r="BA160" s="285"/>
      <c r="BB160" s="285"/>
      <c r="BC160" s="285"/>
      <c r="BD160" s="285"/>
      <c r="BE160" s="285"/>
      <c r="BF160" s="285"/>
      <c r="BG160" s="285"/>
      <c r="BH160" s="285"/>
      <c r="BI160" s="285"/>
      <c r="BJ160" s="285"/>
      <c r="BK160" s="285"/>
      <c r="BL160" s="285"/>
      <c r="BM160" s="285"/>
      <c r="BN160" s="285"/>
    </row>
    <row r="161" spans="11:66" s="251" customFormat="1" x14ac:dyDescent="0.25">
      <c r="K161" s="250"/>
      <c r="L161" s="246"/>
      <c r="M161" s="247"/>
      <c r="N161" s="247"/>
      <c r="O161" s="247"/>
      <c r="P161" s="247"/>
      <c r="Q161" s="247"/>
      <c r="R161" s="247"/>
      <c r="S161" s="247"/>
      <c r="T161" s="247"/>
      <c r="V161" s="395"/>
      <c r="W161" s="284"/>
      <c r="X161" s="247"/>
      <c r="Y161" s="247"/>
      <c r="Z161" s="247"/>
      <c r="AA161" s="247"/>
      <c r="AB161" s="247"/>
      <c r="AC161" s="247"/>
      <c r="AD161" s="247"/>
      <c r="AE161" s="247"/>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row>
    <row r="162" spans="11:66" s="251" customFormat="1" x14ac:dyDescent="0.25">
      <c r="K162" s="250"/>
      <c r="L162" s="246"/>
      <c r="M162" s="247"/>
      <c r="N162" s="247"/>
      <c r="O162" s="247"/>
      <c r="P162" s="247"/>
      <c r="Q162" s="247"/>
      <c r="R162" s="247"/>
      <c r="S162" s="247"/>
      <c r="T162" s="247"/>
      <c r="V162" s="395"/>
      <c r="W162" s="284"/>
      <c r="X162" s="247"/>
      <c r="Y162" s="247"/>
      <c r="Z162" s="247"/>
      <c r="AA162" s="247"/>
      <c r="AB162" s="247"/>
      <c r="AC162" s="247"/>
      <c r="AD162" s="247"/>
      <c r="AE162" s="247"/>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row>
    <row r="163" spans="11:66" s="251" customFormat="1" x14ac:dyDescent="0.25">
      <c r="K163" s="250"/>
      <c r="L163" s="246"/>
      <c r="M163" s="247"/>
      <c r="N163" s="247"/>
      <c r="O163" s="247"/>
      <c r="P163" s="247"/>
      <c r="Q163" s="247"/>
      <c r="R163" s="247"/>
      <c r="S163" s="247"/>
      <c r="T163" s="247"/>
      <c r="V163" s="395"/>
      <c r="W163" s="284"/>
      <c r="X163" s="247"/>
      <c r="Y163" s="247"/>
      <c r="Z163" s="247"/>
      <c r="AA163" s="247"/>
      <c r="AB163" s="247"/>
      <c r="AC163" s="247"/>
      <c r="AD163" s="247"/>
      <c r="AE163" s="247"/>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row>
    <row r="164" spans="11:66" s="251" customFormat="1" x14ac:dyDescent="0.25">
      <c r="K164" s="250"/>
      <c r="L164" s="246"/>
      <c r="M164" s="247"/>
      <c r="N164" s="247"/>
      <c r="O164" s="247"/>
      <c r="P164" s="247"/>
      <c r="Q164" s="247"/>
      <c r="R164" s="247"/>
      <c r="S164" s="247"/>
      <c r="T164" s="247"/>
      <c r="V164" s="395"/>
      <c r="W164" s="284"/>
      <c r="X164" s="247"/>
      <c r="Y164" s="247"/>
      <c r="Z164" s="247"/>
      <c r="AA164" s="247"/>
      <c r="AB164" s="247"/>
      <c r="AC164" s="247"/>
      <c r="AD164" s="247"/>
      <c r="AE164" s="247"/>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row>
    <row r="165" spans="11:66" s="251" customFormat="1" x14ac:dyDescent="0.25">
      <c r="K165" s="250"/>
      <c r="L165" s="246"/>
      <c r="M165" s="247"/>
      <c r="N165" s="247"/>
      <c r="O165" s="247"/>
      <c r="P165" s="247"/>
      <c r="Q165" s="247"/>
      <c r="R165" s="247"/>
      <c r="S165" s="247"/>
      <c r="T165" s="247"/>
      <c r="V165" s="395"/>
      <c r="W165" s="284"/>
      <c r="X165" s="247"/>
      <c r="Y165" s="247"/>
      <c r="Z165" s="247"/>
      <c r="AA165" s="247"/>
      <c r="AB165" s="247"/>
      <c r="AC165" s="247"/>
      <c r="AD165" s="247"/>
      <c r="AE165" s="247"/>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row>
    <row r="166" spans="11:66" s="251" customFormat="1" x14ac:dyDescent="0.25">
      <c r="K166" s="250"/>
      <c r="L166" s="246"/>
      <c r="M166" s="247"/>
      <c r="N166" s="247"/>
      <c r="O166" s="247"/>
      <c r="P166" s="247"/>
      <c r="Q166" s="247"/>
      <c r="R166" s="247"/>
      <c r="S166" s="247"/>
      <c r="T166" s="247"/>
      <c r="V166" s="395"/>
      <c r="W166" s="284"/>
      <c r="X166" s="247"/>
      <c r="Y166" s="247"/>
      <c r="Z166" s="247"/>
      <c r="AA166" s="247"/>
      <c r="AB166" s="247"/>
      <c r="AC166" s="247"/>
      <c r="AD166" s="247"/>
      <c r="AE166" s="247"/>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row>
    <row r="167" spans="11:66" s="251" customFormat="1" x14ac:dyDescent="0.25">
      <c r="K167" s="250"/>
      <c r="L167" s="246"/>
      <c r="M167" s="247"/>
      <c r="N167" s="247"/>
      <c r="O167" s="247"/>
      <c r="P167" s="247"/>
      <c r="Q167" s="247"/>
      <c r="R167" s="247"/>
      <c r="S167" s="247"/>
      <c r="T167" s="247"/>
      <c r="V167" s="395"/>
      <c r="W167" s="284"/>
      <c r="X167" s="247"/>
      <c r="Y167" s="247"/>
      <c r="Z167" s="247"/>
      <c r="AA167" s="247"/>
      <c r="AB167" s="247"/>
      <c r="AC167" s="247"/>
      <c r="AD167" s="247"/>
      <c r="AE167" s="247"/>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row>
    <row r="168" spans="11:66" s="251" customFormat="1" x14ac:dyDescent="0.25">
      <c r="K168" s="250"/>
      <c r="L168" s="246"/>
      <c r="M168" s="247"/>
      <c r="N168" s="247"/>
      <c r="O168" s="247"/>
      <c r="P168" s="247"/>
      <c r="Q168" s="247"/>
      <c r="R168" s="247"/>
      <c r="S168" s="247"/>
      <c r="T168" s="247"/>
      <c r="V168" s="395"/>
      <c r="W168" s="284"/>
      <c r="X168" s="247"/>
      <c r="Y168" s="247"/>
      <c r="Z168" s="247"/>
      <c r="AA168" s="247"/>
      <c r="AB168" s="247"/>
      <c r="AC168" s="247"/>
      <c r="AD168" s="247"/>
      <c r="AE168" s="247"/>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row>
    <row r="169" spans="11:66" s="251" customFormat="1" x14ac:dyDescent="0.25">
      <c r="K169" s="250"/>
      <c r="L169" s="246"/>
      <c r="M169" s="247"/>
      <c r="N169" s="247"/>
      <c r="O169" s="247"/>
      <c r="P169" s="247"/>
      <c r="Q169" s="247"/>
      <c r="R169" s="247"/>
      <c r="S169" s="247"/>
      <c r="T169" s="247"/>
      <c r="V169" s="395"/>
      <c r="W169" s="284"/>
      <c r="X169" s="247"/>
      <c r="Y169" s="247"/>
      <c r="Z169" s="247"/>
      <c r="AA169" s="247"/>
      <c r="AB169" s="247"/>
      <c r="AC169" s="247"/>
      <c r="AD169" s="247"/>
      <c r="AE169" s="247"/>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row>
    <row r="170" spans="11:66" s="251" customFormat="1" x14ac:dyDescent="0.25">
      <c r="K170" s="250"/>
      <c r="L170" s="246"/>
      <c r="M170" s="247"/>
      <c r="N170" s="247"/>
      <c r="O170" s="247"/>
      <c r="P170" s="247"/>
      <c r="Q170" s="247"/>
      <c r="R170" s="247"/>
      <c r="S170" s="247"/>
      <c r="T170" s="247"/>
      <c r="V170" s="395"/>
      <c r="W170" s="284"/>
      <c r="X170" s="247"/>
      <c r="Y170" s="247"/>
      <c r="Z170" s="247"/>
      <c r="AA170" s="247"/>
      <c r="AB170" s="247"/>
      <c r="AC170" s="247"/>
      <c r="AD170" s="247"/>
      <c r="AE170" s="247"/>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row>
    <row r="171" spans="11:66" s="251" customFormat="1" x14ac:dyDescent="0.25">
      <c r="K171" s="250"/>
      <c r="L171" s="246"/>
      <c r="M171" s="247"/>
      <c r="N171" s="247"/>
      <c r="O171" s="247"/>
      <c r="P171" s="247"/>
      <c r="Q171" s="247"/>
      <c r="R171" s="247"/>
      <c r="S171" s="247"/>
      <c r="T171" s="247"/>
      <c r="V171" s="395"/>
      <c r="W171" s="284"/>
      <c r="X171" s="247"/>
      <c r="Y171" s="247"/>
      <c r="Z171" s="247"/>
      <c r="AA171" s="247"/>
      <c r="AB171" s="247"/>
      <c r="AC171" s="247"/>
      <c r="AD171" s="247"/>
      <c r="AE171" s="247"/>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row>
    <row r="172" spans="11:66" s="251" customFormat="1" x14ac:dyDescent="0.25">
      <c r="K172" s="250"/>
      <c r="L172" s="246"/>
      <c r="M172" s="247"/>
      <c r="N172" s="247"/>
      <c r="O172" s="247"/>
      <c r="P172" s="247"/>
      <c r="Q172" s="247"/>
      <c r="R172" s="247"/>
      <c r="S172" s="247"/>
      <c r="T172" s="247"/>
      <c r="V172" s="395"/>
      <c r="W172" s="284"/>
      <c r="X172" s="247"/>
      <c r="Y172" s="247"/>
      <c r="Z172" s="247"/>
      <c r="AA172" s="247"/>
      <c r="AB172" s="247"/>
      <c r="AC172" s="247"/>
      <c r="AD172" s="247"/>
      <c r="AE172" s="247"/>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row>
    <row r="173" spans="11:66" s="251" customFormat="1" x14ac:dyDescent="0.25">
      <c r="K173" s="250"/>
      <c r="L173" s="246"/>
      <c r="M173" s="247"/>
      <c r="N173" s="247"/>
      <c r="O173" s="247"/>
      <c r="P173" s="247"/>
      <c r="Q173" s="247"/>
      <c r="R173" s="247"/>
      <c r="S173" s="247"/>
      <c r="T173" s="247"/>
      <c r="V173" s="395"/>
      <c r="W173" s="284"/>
      <c r="X173" s="247"/>
      <c r="Y173" s="247"/>
      <c r="Z173" s="247"/>
      <c r="AA173" s="247"/>
      <c r="AB173" s="247"/>
      <c r="AC173" s="247"/>
      <c r="AD173" s="247"/>
      <c r="AE173" s="247"/>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row>
    <row r="174" spans="11:66" s="251" customFormat="1" x14ac:dyDescent="0.25">
      <c r="K174" s="250"/>
      <c r="L174" s="246"/>
      <c r="M174" s="247"/>
      <c r="N174" s="247"/>
      <c r="O174" s="247"/>
      <c r="P174" s="247"/>
      <c r="Q174" s="247"/>
      <c r="R174" s="247"/>
      <c r="S174" s="247"/>
      <c r="T174" s="247"/>
      <c r="V174" s="395"/>
      <c r="W174" s="284"/>
      <c r="X174" s="247"/>
      <c r="Y174" s="247"/>
      <c r="Z174" s="247"/>
      <c r="AA174" s="247"/>
      <c r="AB174" s="247"/>
      <c r="AC174" s="247"/>
      <c r="AD174" s="247"/>
      <c r="AE174" s="247"/>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row>
    <row r="175" spans="11:66" s="251" customFormat="1" x14ac:dyDescent="0.25">
      <c r="K175" s="250"/>
      <c r="L175" s="246"/>
      <c r="M175" s="247"/>
      <c r="N175" s="247"/>
      <c r="O175" s="247"/>
      <c r="P175" s="247"/>
      <c r="Q175" s="247"/>
      <c r="R175" s="247"/>
      <c r="S175" s="247"/>
      <c r="T175" s="247"/>
      <c r="V175" s="395"/>
      <c r="W175" s="284"/>
      <c r="X175" s="247"/>
      <c r="Y175" s="247"/>
      <c r="Z175" s="247"/>
      <c r="AA175" s="247"/>
      <c r="AB175" s="247"/>
      <c r="AC175" s="247"/>
      <c r="AD175" s="247"/>
      <c r="AE175" s="247"/>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row>
    <row r="176" spans="11:66" s="251" customFormat="1" x14ac:dyDescent="0.25">
      <c r="K176" s="250"/>
      <c r="L176" s="246"/>
      <c r="M176" s="247"/>
      <c r="N176" s="247"/>
      <c r="O176" s="247"/>
      <c r="P176" s="247"/>
      <c r="Q176" s="247"/>
      <c r="R176" s="247"/>
      <c r="S176" s="247"/>
      <c r="T176" s="247"/>
      <c r="V176" s="395"/>
      <c r="W176" s="284"/>
      <c r="X176" s="247"/>
      <c r="Y176" s="247"/>
      <c r="Z176" s="247"/>
      <c r="AA176" s="247"/>
      <c r="AB176" s="247"/>
      <c r="AC176" s="247"/>
      <c r="AD176" s="247"/>
      <c r="AE176" s="247"/>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row>
    <row r="177" spans="11:66" s="251" customFormat="1" x14ac:dyDescent="0.25">
      <c r="K177" s="250"/>
      <c r="L177" s="246"/>
      <c r="M177" s="247"/>
      <c r="N177" s="247"/>
      <c r="O177" s="247"/>
      <c r="P177" s="247"/>
      <c r="Q177" s="247"/>
      <c r="R177" s="247"/>
      <c r="S177" s="247"/>
      <c r="T177" s="247"/>
      <c r="V177" s="395"/>
      <c r="W177" s="284"/>
      <c r="X177" s="247"/>
      <c r="Y177" s="247"/>
      <c r="Z177" s="247"/>
      <c r="AA177" s="247"/>
      <c r="AB177" s="247"/>
      <c r="AC177" s="247"/>
      <c r="AD177" s="247"/>
      <c r="AE177" s="247"/>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row>
    <row r="178" spans="11:66" s="251" customFormat="1" x14ac:dyDescent="0.25">
      <c r="K178" s="250"/>
      <c r="L178" s="246"/>
      <c r="M178" s="247"/>
      <c r="N178" s="247"/>
      <c r="O178" s="247"/>
      <c r="P178" s="247"/>
      <c r="Q178" s="247"/>
      <c r="R178" s="247"/>
      <c r="S178" s="247"/>
      <c r="T178" s="247"/>
      <c r="V178" s="395"/>
      <c r="W178" s="284"/>
      <c r="X178" s="247"/>
      <c r="Y178" s="247"/>
      <c r="Z178" s="247"/>
      <c r="AA178" s="247"/>
      <c r="AB178" s="247"/>
      <c r="AC178" s="247"/>
      <c r="AD178" s="247"/>
      <c r="AE178" s="247"/>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row>
    <row r="179" spans="11:66" s="251" customFormat="1" x14ac:dyDescent="0.25">
      <c r="K179" s="250"/>
      <c r="L179" s="246"/>
      <c r="M179" s="247"/>
      <c r="N179" s="247"/>
      <c r="O179" s="247"/>
      <c r="P179" s="247"/>
      <c r="Q179" s="247"/>
      <c r="R179" s="247"/>
      <c r="S179" s="247"/>
      <c r="T179" s="247"/>
      <c r="V179" s="395"/>
      <c r="W179" s="284"/>
      <c r="X179" s="247"/>
      <c r="Y179" s="247"/>
      <c r="Z179" s="247"/>
      <c r="AA179" s="247"/>
      <c r="AB179" s="247"/>
      <c r="AC179" s="247"/>
      <c r="AD179" s="247"/>
      <c r="AE179" s="247"/>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row>
    <row r="180" spans="11:66" s="251" customFormat="1" x14ac:dyDescent="0.25">
      <c r="K180" s="250"/>
      <c r="L180" s="246"/>
      <c r="M180" s="247"/>
      <c r="N180" s="247"/>
      <c r="O180" s="247"/>
      <c r="P180" s="247"/>
      <c r="Q180" s="247"/>
      <c r="R180" s="247"/>
      <c r="S180" s="247"/>
      <c r="T180" s="247"/>
      <c r="V180" s="395"/>
      <c r="W180" s="284"/>
      <c r="X180" s="247"/>
      <c r="Y180" s="247"/>
      <c r="Z180" s="247"/>
      <c r="AA180" s="247"/>
      <c r="AB180" s="247"/>
      <c r="AC180" s="247"/>
      <c r="AD180" s="247"/>
      <c r="AE180" s="247"/>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row>
    <row r="181" spans="11:66" s="251" customFormat="1" x14ac:dyDescent="0.25">
      <c r="K181" s="250"/>
      <c r="L181" s="246"/>
      <c r="M181" s="247"/>
      <c r="N181" s="247"/>
      <c r="O181" s="247"/>
      <c r="P181" s="247"/>
      <c r="Q181" s="247"/>
      <c r="R181" s="247"/>
      <c r="S181" s="247"/>
      <c r="T181" s="247"/>
      <c r="V181" s="395"/>
      <c r="W181" s="284"/>
      <c r="X181" s="247"/>
      <c r="Y181" s="247"/>
      <c r="Z181" s="247"/>
      <c r="AA181" s="247"/>
      <c r="AB181" s="247"/>
      <c r="AC181" s="247"/>
      <c r="AD181" s="247"/>
      <c r="AE181" s="247"/>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row>
    <row r="182" spans="11:66" s="251" customFormat="1" x14ac:dyDescent="0.25">
      <c r="K182" s="250"/>
      <c r="L182" s="246"/>
      <c r="M182" s="247"/>
      <c r="N182" s="247"/>
      <c r="O182" s="247"/>
      <c r="P182" s="247"/>
      <c r="Q182" s="247"/>
      <c r="R182" s="247"/>
      <c r="S182" s="247"/>
      <c r="T182" s="247"/>
      <c r="V182" s="395"/>
      <c r="W182" s="284"/>
      <c r="X182" s="247"/>
      <c r="Y182" s="247"/>
      <c r="Z182" s="247"/>
      <c r="AA182" s="247"/>
      <c r="AB182" s="247"/>
      <c r="AC182" s="247"/>
      <c r="AD182" s="247"/>
      <c r="AE182" s="247"/>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row>
    <row r="183" spans="11:66" s="251" customFormat="1" x14ac:dyDescent="0.25">
      <c r="K183" s="250"/>
      <c r="L183" s="246"/>
      <c r="M183" s="247"/>
      <c r="N183" s="247"/>
      <c r="O183" s="247"/>
      <c r="P183" s="247"/>
      <c r="Q183" s="247"/>
      <c r="R183" s="247"/>
      <c r="S183" s="247"/>
      <c r="T183" s="247"/>
      <c r="V183" s="395"/>
      <c r="W183" s="284"/>
      <c r="X183" s="247"/>
      <c r="Y183" s="247"/>
      <c r="Z183" s="247"/>
      <c r="AA183" s="247"/>
      <c r="AB183" s="247"/>
      <c r="AC183" s="247"/>
      <c r="AD183" s="247"/>
      <c r="AE183" s="247"/>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row>
    <row r="184" spans="11:66" s="251" customFormat="1" x14ac:dyDescent="0.25">
      <c r="K184" s="250"/>
      <c r="L184" s="246"/>
      <c r="M184" s="247"/>
      <c r="N184" s="247"/>
      <c r="O184" s="247"/>
      <c r="P184" s="247"/>
      <c r="Q184" s="247"/>
      <c r="R184" s="247"/>
      <c r="S184" s="247"/>
      <c r="T184" s="247"/>
      <c r="V184" s="395"/>
      <c r="W184" s="284"/>
      <c r="X184" s="247"/>
      <c r="Y184" s="247"/>
      <c r="Z184" s="247"/>
      <c r="AA184" s="247"/>
      <c r="AB184" s="247"/>
      <c r="AC184" s="247"/>
      <c r="AD184" s="247"/>
      <c r="AE184" s="247"/>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row>
    <row r="185" spans="11:66" s="251" customFormat="1" x14ac:dyDescent="0.25">
      <c r="K185" s="250"/>
      <c r="L185" s="246"/>
      <c r="M185" s="247"/>
      <c r="N185" s="247"/>
      <c r="O185" s="247"/>
      <c r="P185" s="247"/>
      <c r="Q185" s="247"/>
      <c r="R185" s="247"/>
      <c r="S185" s="247"/>
      <c r="T185" s="247"/>
      <c r="V185" s="395"/>
      <c r="W185" s="284"/>
      <c r="X185" s="247"/>
      <c r="Y185" s="247"/>
      <c r="Z185" s="247"/>
      <c r="AA185" s="247"/>
      <c r="AB185" s="247"/>
      <c r="AC185" s="247"/>
      <c r="AD185" s="247"/>
      <c r="AE185" s="247"/>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row>
    <row r="186" spans="11:66" s="251" customFormat="1" x14ac:dyDescent="0.25">
      <c r="K186" s="250"/>
      <c r="L186" s="246"/>
      <c r="M186" s="247"/>
      <c r="N186" s="247"/>
      <c r="O186" s="247"/>
      <c r="P186" s="247"/>
      <c r="Q186" s="247"/>
      <c r="R186" s="247"/>
      <c r="S186" s="247"/>
      <c r="T186" s="247"/>
      <c r="V186" s="395"/>
      <c r="W186" s="284"/>
      <c r="X186" s="247"/>
      <c r="Y186" s="247"/>
      <c r="Z186" s="247"/>
      <c r="AA186" s="247"/>
      <c r="AB186" s="247"/>
      <c r="AC186" s="247"/>
      <c r="AD186" s="247"/>
      <c r="AE186" s="247"/>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row>
    <row r="187" spans="11:66" s="251" customFormat="1" x14ac:dyDescent="0.25">
      <c r="K187" s="250"/>
      <c r="L187" s="246"/>
      <c r="M187" s="247"/>
      <c r="N187" s="247"/>
      <c r="O187" s="247"/>
      <c r="P187" s="247"/>
      <c r="Q187" s="247"/>
      <c r="R187" s="247"/>
      <c r="S187" s="247"/>
      <c r="T187" s="247"/>
      <c r="V187" s="395"/>
      <c r="W187" s="284"/>
      <c r="X187" s="247"/>
      <c r="Y187" s="247"/>
      <c r="Z187" s="247"/>
      <c r="AA187" s="247"/>
      <c r="AB187" s="247"/>
      <c r="AC187" s="247"/>
      <c r="AD187" s="247"/>
      <c r="AE187" s="247"/>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row>
    <row r="188" spans="11:66" s="251" customFormat="1" x14ac:dyDescent="0.25">
      <c r="K188" s="250"/>
      <c r="L188" s="246"/>
      <c r="M188" s="247"/>
      <c r="N188" s="247"/>
      <c r="O188" s="247"/>
      <c r="P188" s="247"/>
      <c r="Q188" s="247"/>
      <c r="R188" s="247"/>
      <c r="S188" s="247"/>
      <c r="T188" s="247"/>
      <c r="V188" s="395"/>
      <c r="W188" s="284"/>
      <c r="X188" s="247"/>
      <c r="Y188" s="247"/>
      <c r="Z188" s="247"/>
      <c r="AA188" s="247"/>
      <c r="AB188" s="247"/>
      <c r="AC188" s="247"/>
      <c r="AD188" s="247"/>
      <c r="AE188" s="247"/>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row>
    <row r="189" spans="11:66" s="251" customFormat="1" x14ac:dyDescent="0.25">
      <c r="K189" s="250"/>
      <c r="L189" s="246"/>
      <c r="M189" s="247"/>
      <c r="N189" s="247"/>
      <c r="O189" s="247"/>
      <c r="P189" s="247"/>
      <c r="Q189" s="247"/>
      <c r="R189" s="247"/>
      <c r="S189" s="247"/>
      <c r="T189" s="247"/>
      <c r="V189" s="395"/>
      <c r="W189" s="284"/>
      <c r="X189" s="247"/>
      <c r="Y189" s="247"/>
      <c r="Z189" s="247"/>
      <c r="AA189" s="247"/>
      <c r="AB189" s="247"/>
      <c r="AC189" s="247"/>
      <c r="AD189" s="247"/>
      <c r="AE189" s="247"/>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row>
    <row r="190" spans="11:66" s="251" customFormat="1" x14ac:dyDescent="0.25">
      <c r="K190" s="250"/>
      <c r="L190" s="246"/>
      <c r="M190" s="247"/>
      <c r="N190" s="247"/>
      <c r="O190" s="247"/>
      <c r="P190" s="247"/>
      <c r="Q190" s="247"/>
      <c r="R190" s="247"/>
      <c r="S190" s="247"/>
      <c r="T190" s="247"/>
      <c r="V190" s="395"/>
      <c r="W190" s="284"/>
      <c r="X190" s="247"/>
      <c r="Y190" s="247"/>
      <c r="Z190" s="247"/>
      <c r="AA190" s="247"/>
      <c r="AB190" s="247"/>
      <c r="AC190" s="247"/>
      <c r="AD190" s="247"/>
      <c r="AE190" s="247"/>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row>
    <row r="191" spans="11:66" s="251" customFormat="1" x14ac:dyDescent="0.25">
      <c r="K191" s="250"/>
      <c r="L191" s="246"/>
      <c r="M191" s="247"/>
      <c r="N191" s="247"/>
      <c r="O191" s="247"/>
      <c r="P191" s="247"/>
      <c r="Q191" s="247"/>
      <c r="R191" s="247"/>
      <c r="S191" s="247"/>
      <c r="T191" s="247"/>
      <c r="V191" s="395"/>
      <c r="W191" s="284"/>
      <c r="X191" s="247"/>
      <c r="Y191" s="247"/>
      <c r="Z191" s="247"/>
      <c r="AA191" s="247"/>
      <c r="AB191" s="247"/>
      <c r="AC191" s="247"/>
      <c r="AD191" s="247"/>
      <c r="AE191" s="247"/>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row>
    <row r="192" spans="11:66" s="251" customFormat="1" x14ac:dyDescent="0.25">
      <c r="K192" s="250"/>
      <c r="L192" s="246"/>
      <c r="M192" s="247"/>
      <c r="N192" s="247"/>
      <c r="O192" s="247"/>
      <c r="P192" s="247"/>
      <c r="Q192" s="247"/>
      <c r="R192" s="247"/>
      <c r="S192" s="247"/>
      <c r="T192" s="247"/>
      <c r="V192" s="395"/>
      <c r="W192" s="284"/>
      <c r="X192" s="247"/>
      <c r="Y192" s="247"/>
      <c r="Z192" s="247"/>
      <c r="AA192" s="247"/>
      <c r="AB192" s="247"/>
      <c r="AC192" s="247"/>
      <c r="AD192" s="247"/>
      <c r="AE192" s="247"/>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row>
    <row r="193" spans="11:66" s="251" customFormat="1" x14ac:dyDescent="0.25">
      <c r="K193" s="250"/>
      <c r="L193" s="246"/>
      <c r="M193" s="247"/>
      <c r="N193" s="247"/>
      <c r="O193" s="247"/>
      <c r="P193" s="247"/>
      <c r="Q193" s="247"/>
      <c r="R193" s="247"/>
      <c r="S193" s="247"/>
      <c r="T193" s="247"/>
      <c r="V193" s="395"/>
      <c r="W193" s="284"/>
      <c r="X193" s="247"/>
      <c r="Y193" s="247"/>
      <c r="Z193" s="247"/>
      <c r="AA193" s="247"/>
      <c r="AB193" s="247"/>
      <c r="AC193" s="247"/>
      <c r="AD193" s="247"/>
      <c r="AE193" s="247"/>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row>
    <row r="194" spans="11:66" s="251" customFormat="1" x14ac:dyDescent="0.25">
      <c r="K194" s="250"/>
      <c r="L194" s="246"/>
      <c r="M194" s="247"/>
      <c r="N194" s="247"/>
      <c r="O194" s="247"/>
      <c r="P194" s="247"/>
      <c r="Q194" s="247"/>
      <c r="R194" s="247"/>
      <c r="S194" s="247"/>
      <c r="T194" s="247"/>
      <c r="V194" s="395"/>
      <c r="W194" s="284"/>
      <c r="X194" s="247"/>
      <c r="Y194" s="247"/>
      <c r="Z194" s="247"/>
      <c r="AA194" s="247"/>
      <c r="AB194" s="247"/>
      <c r="AC194" s="247"/>
      <c r="AD194" s="247"/>
      <c r="AE194" s="247"/>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row>
    <row r="195" spans="11:66" s="251" customFormat="1" x14ac:dyDescent="0.25">
      <c r="K195" s="250"/>
      <c r="L195" s="246"/>
      <c r="M195" s="247"/>
      <c r="N195" s="247"/>
      <c r="O195" s="247"/>
      <c r="P195" s="247"/>
      <c r="Q195" s="247"/>
      <c r="R195" s="247"/>
      <c r="S195" s="247"/>
      <c r="T195" s="247"/>
      <c r="V195" s="395"/>
      <c r="W195" s="284"/>
      <c r="X195" s="247"/>
      <c r="Y195" s="247"/>
      <c r="Z195" s="247"/>
      <c r="AA195" s="247"/>
      <c r="AB195" s="247"/>
      <c r="AC195" s="247"/>
      <c r="AD195" s="247"/>
      <c r="AE195" s="247"/>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row>
    <row r="196" spans="11:66" s="251" customFormat="1" x14ac:dyDescent="0.25">
      <c r="K196" s="250"/>
      <c r="L196" s="246"/>
      <c r="M196" s="247"/>
      <c r="N196" s="247"/>
      <c r="O196" s="247"/>
      <c r="P196" s="247"/>
      <c r="Q196" s="247"/>
      <c r="R196" s="247"/>
      <c r="S196" s="247"/>
      <c r="T196" s="247"/>
      <c r="V196" s="395"/>
      <c r="W196" s="284"/>
      <c r="X196" s="247"/>
      <c r="Y196" s="247"/>
      <c r="Z196" s="247"/>
      <c r="AA196" s="247"/>
      <c r="AB196" s="247"/>
      <c r="AC196" s="247"/>
      <c r="AD196" s="247"/>
      <c r="AE196" s="247"/>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row>
    <row r="197" spans="11:66" s="251" customFormat="1" x14ac:dyDescent="0.25">
      <c r="K197" s="250"/>
      <c r="L197" s="246"/>
      <c r="M197" s="247"/>
      <c r="N197" s="247"/>
      <c r="O197" s="247"/>
      <c r="P197" s="247"/>
      <c r="Q197" s="247"/>
      <c r="R197" s="247"/>
      <c r="S197" s="247"/>
      <c r="T197" s="247"/>
      <c r="V197" s="395"/>
      <c r="W197" s="284"/>
      <c r="X197" s="247"/>
      <c r="Y197" s="247"/>
      <c r="Z197" s="247"/>
      <c r="AA197" s="247"/>
      <c r="AB197" s="247"/>
      <c r="AC197" s="247"/>
      <c r="AD197" s="247"/>
      <c r="AE197" s="247"/>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row>
    <row r="198" spans="11:66" s="251" customFormat="1" x14ac:dyDescent="0.25">
      <c r="K198" s="250"/>
      <c r="L198" s="246"/>
      <c r="M198" s="247"/>
      <c r="N198" s="247"/>
      <c r="O198" s="247"/>
      <c r="P198" s="247"/>
      <c r="Q198" s="247"/>
      <c r="R198" s="247"/>
      <c r="S198" s="247"/>
      <c r="T198" s="247"/>
      <c r="V198" s="395"/>
      <c r="W198" s="284"/>
      <c r="X198" s="247"/>
      <c r="Y198" s="247"/>
      <c r="Z198" s="247"/>
      <c r="AA198" s="247"/>
      <c r="AB198" s="247"/>
      <c r="AC198" s="247"/>
      <c r="AD198" s="247"/>
      <c r="AE198" s="247"/>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row>
    <row r="199" spans="11:66" s="251" customFormat="1" x14ac:dyDescent="0.25">
      <c r="K199" s="250"/>
      <c r="L199" s="246"/>
      <c r="M199" s="247"/>
      <c r="N199" s="247"/>
      <c r="O199" s="247"/>
      <c r="P199" s="247"/>
      <c r="Q199" s="247"/>
      <c r="R199" s="247"/>
      <c r="S199" s="247"/>
      <c r="T199" s="247"/>
      <c r="V199" s="395"/>
      <c r="W199" s="284"/>
      <c r="X199" s="247"/>
      <c r="Y199" s="247"/>
      <c r="Z199" s="247"/>
      <c r="AA199" s="247"/>
      <c r="AB199" s="247"/>
      <c r="AC199" s="247"/>
      <c r="AD199" s="247"/>
      <c r="AE199" s="247"/>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row>
    <row r="200" spans="11:66" s="251" customFormat="1" x14ac:dyDescent="0.25">
      <c r="K200" s="250"/>
      <c r="L200" s="246"/>
      <c r="M200" s="247"/>
      <c r="N200" s="247"/>
      <c r="O200" s="247"/>
      <c r="P200" s="247"/>
      <c r="Q200" s="247"/>
      <c r="R200" s="247"/>
      <c r="S200" s="247"/>
      <c r="T200" s="247"/>
      <c r="V200" s="395"/>
      <c r="W200" s="284"/>
      <c r="X200" s="247"/>
      <c r="Y200" s="247"/>
      <c r="Z200" s="247"/>
      <c r="AA200" s="247"/>
      <c r="AB200" s="247"/>
      <c r="AC200" s="247"/>
      <c r="AD200" s="247"/>
      <c r="AE200" s="247"/>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row>
    <row r="201" spans="11:66" s="251" customFormat="1" x14ac:dyDescent="0.25">
      <c r="K201" s="250"/>
      <c r="L201" s="246"/>
      <c r="M201" s="247"/>
      <c r="N201" s="247"/>
      <c r="O201" s="247"/>
      <c r="P201" s="247"/>
      <c r="Q201" s="247"/>
      <c r="R201" s="247"/>
      <c r="S201" s="247"/>
      <c r="T201" s="247"/>
      <c r="V201" s="395"/>
      <c r="W201" s="284"/>
      <c r="X201" s="247"/>
      <c r="Y201" s="247"/>
      <c r="Z201" s="247"/>
      <c r="AA201" s="247"/>
      <c r="AB201" s="247"/>
      <c r="AC201" s="247"/>
      <c r="AD201" s="247"/>
      <c r="AE201" s="247"/>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row>
    <row r="202" spans="11:66" s="251" customFormat="1" x14ac:dyDescent="0.25">
      <c r="K202" s="250"/>
      <c r="L202" s="246"/>
      <c r="M202" s="247"/>
      <c r="N202" s="247"/>
      <c r="O202" s="247"/>
      <c r="P202" s="247"/>
      <c r="Q202" s="247"/>
      <c r="R202" s="247"/>
      <c r="S202" s="247"/>
      <c r="T202" s="247"/>
      <c r="V202" s="395"/>
      <c r="W202" s="284"/>
      <c r="X202" s="247"/>
      <c r="Y202" s="247"/>
      <c r="Z202" s="247"/>
      <c r="AA202" s="247"/>
      <c r="AB202" s="247"/>
      <c r="AC202" s="247"/>
      <c r="AD202" s="247"/>
      <c r="AE202" s="247"/>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row>
    <row r="203" spans="11:66" s="251" customFormat="1" x14ac:dyDescent="0.25">
      <c r="K203" s="250"/>
      <c r="L203" s="246"/>
      <c r="M203" s="247"/>
      <c r="N203" s="247"/>
      <c r="O203" s="247"/>
      <c r="P203" s="247"/>
      <c r="Q203" s="247"/>
      <c r="R203" s="247"/>
      <c r="S203" s="247"/>
      <c r="T203" s="247"/>
      <c r="V203" s="395"/>
      <c r="W203" s="284"/>
      <c r="X203" s="247"/>
      <c r="Y203" s="247"/>
      <c r="Z203" s="247"/>
      <c r="AA203" s="247"/>
      <c r="AB203" s="247"/>
      <c r="AC203" s="247"/>
      <c r="AD203" s="247"/>
      <c r="AE203" s="247"/>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row>
    <row r="204" spans="11:66" s="251" customFormat="1" x14ac:dyDescent="0.25">
      <c r="K204" s="250"/>
      <c r="L204" s="246"/>
      <c r="M204" s="247"/>
      <c r="N204" s="247"/>
      <c r="O204" s="247"/>
      <c r="P204" s="247"/>
      <c r="Q204" s="247"/>
      <c r="R204" s="247"/>
      <c r="S204" s="247"/>
      <c r="T204" s="247"/>
      <c r="V204" s="395"/>
      <c r="W204" s="284"/>
      <c r="X204" s="247"/>
      <c r="Y204" s="247"/>
      <c r="Z204" s="247"/>
      <c r="AA204" s="247"/>
      <c r="AB204" s="247"/>
      <c r="AC204" s="247"/>
      <c r="AD204" s="247"/>
      <c r="AE204" s="247"/>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row>
    <row r="205" spans="11:66" s="251" customFormat="1" x14ac:dyDescent="0.25">
      <c r="K205" s="250"/>
      <c r="L205" s="246"/>
      <c r="M205" s="247"/>
      <c r="N205" s="247"/>
      <c r="O205" s="247"/>
      <c r="P205" s="247"/>
      <c r="Q205" s="247"/>
      <c r="R205" s="247"/>
      <c r="S205" s="247"/>
      <c r="T205" s="247"/>
      <c r="V205" s="395"/>
      <c r="W205" s="284"/>
      <c r="X205" s="247"/>
      <c r="Y205" s="247"/>
      <c r="Z205" s="247"/>
      <c r="AA205" s="247"/>
      <c r="AB205" s="247"/>
      <c r="AC205" s="247"/>
      <c r="AD205" s="247"/>
      <c r="AE205" s="247"/>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row>
    <row r="206" spans="11:66" s="251" customFormat="1" x14ac:dyDescent="0.25">
      <c r="K206" s="250"/>
      <c r="L206" s="246"/>
      <c r="M206" s="247"/>
      <c r="N206" s="247"/>
      <c r="O206" s="247"/>
      <c r="P206" s="247"/>
      <c r="Q206" s="247"/>
      <c r="R206" s="247"/>
      <c r="S206" s="247"/>
      <c r="T206" s="247"/>
      <c r="V206" s="395"/>
      <c r="W206" s="284"/>
      <c r="X206" s="247"/>
      <c r="Y206" s="247"/>
      <c r="Z206" s="247"/>
      <c r="AA206" s="247"/>
      <c r="AB206" s="247"/>
      <c r="AC206" s="247"/>
      <c r="AD206" s="247"/>
      <c r="AE206" s="247"/>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row>
    <row r="207" spans="11:66" s="251" customFormat="1" x14ac:dyDescent="0.25">
      <c r="K207" s="250"/>
      <c r="L207" s="246"/>
      <c r="M207" s="247"/>
      <c r="N207" s="247"/>
      <c r="O207" s="247"/>
      <c r="P207" s="247"/>
      <c r="Q207" s="247"/>
      <c r="R207" s="247"/>
      <c r="S207" s="247"/>
      <c r="T207" s="247"/>
      <c r="V207" s="395"/>
      <c r="W207" s="284"/>
      <c r="X207" s="247"/>
      <c r="Y207" s="247"/>
      <c r="Z207" s="247"/>
      <c r="AA207" s="247"/>
      <c r="AB207" s="247"/>
      <c r="AC207" s="247"/>
      <c r="AD207" s="247"/>
      <c r="AE207" s="247"/>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row>
    <row r="208" spans="11:66" s="251" customFormat="1" x14ac:dyDescent="0.25">
      <c r="K208" s="250"/>
      <c r="L208" s="246"/>
      <c r="M208" s="247"/>
      <c r="N208" s="247"/>
      <c r="O208" s="247"/>
      <c r="P208" s="247"/>
      <c r="Q208" s="247"/>
      <c r="R208" s="247"/>
      <c r="S208" s="247"/>
      <c r="T208" s="247"/>
      <c r="V208" s="395"/>
      <c r="W208" s="284"/>
      <c r="X208" s="247"/>
      <c r="Y208" s="247"/>
      <c r="Z208" s="247"/>
      <c r="AA208" s="247"/>
      <c r="AB208" s="247"/>
      <c r="AC208" s="247"/>
      <c r="AD208" s="247"/>
      <c r="AE208" s="247"/>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row>
    <row r="209" spans="11:66" s="251" customFormat="1" x14ac:dyDescent="0.25">
      <c r="K209" s="250"/>
      <c r="L209" s="246"/>
      <c r="M209" s="247"/>
      <c r="N209" s="247"/>
      <c r="O209" s="247"/>
      <c r="P209" s="247"/>
      <c r="Q209" s="247"/>
      <c r="R209" s="247"/>
      <c r="S209" s="247"/>
      <c r="T209" s="247"/>
      <c r="V209" s="395"/>
      <c r="W209" s="284"/>
      <c r="X209" s="247"/>
      <c r="Y209" s="247"/>
      <c r="Z209" s="247"/>
      <c r="AA209" s="247"/>
      <c r="AB209" s="247"/>
      <c r="AC209" s="247"/>
      <c r="AD209" s="247"/>
      <c r="AE209" s="247"/>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row>
    <row r="210" spans="11:66" s="251" customFormat="1" x14ac:dyDescent="0.25">
      <c r="K210" s="250"/>
      <c r="L210" s="246"/>
      <c r="M210" s="247"/>
      <c r="N210" s="247"/>
      <c r="O210" s="247"/>
      <c r="P210" s="247"/>
      <c r="Q210" s="247"/>
      <c r="R210" s="247"/>
      <c r="S210" s="247"/>
      <c r="T210" s="247"/>
      <c r="V210" s="395"/>
      <c r="W210" s="284"/>
      <c r="X210" s="247"/>
      <c r="Y210" s="247"/>
      <c r="Z210" s="247"/>
      <c r="AA210" s="247"/>
      <c r="AB210" s="247"/>
      <c r="AC210" s="247"/>
      <c r="AD210" s="247"/>
      <c r="AE210" s="247"/>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row>
    <row r="211" spans="11:66" s="251" customFormat="1" x14ac:dyDescent="0.25">
      <c r="K211" s="250"/>
      <c r="L211" s="246"/>
      <c r="M211" s="247"/>
      <c r="N211" s="247"/>
      <c r="O211" s="247"/>
      <c r="P211" s="247"/>
      <c r="Q211" s="247"/>
      <c r="R211" s="247"/>
      <c r="S211" s="247"/>
      <c r="T211" s="247"/>
      <c r="V211" s="395"/>
      <c r="W211" s="284"/>
      <c r="X211" s="247"/>
      <c r="Y211" s="247"/>
      <c r="Z211" s="247"/>
      <c r="AA211" s="247"/>
      <c r="AB211" s="247"/>
      <c r="AC211" s="247"/>
      <c r="AD211" s="247"/>
      <c r="AE211" s="247"/>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row>
    <row r="212" spans="11:66" s="251" customFormat="1" x14ac:dyDescent="0.25">
      <c r="K212" s="250"/>
      <c r="L212" s="246"/>
      <c r="M212" s="247"/>
      <c r="N212" s="247"/>
      <c r="O212" s="247"/>
      <c r="P212" s="247"/>
      <c r="Q212" s="247"/>
      <c r="R212" s="247"/>
      <c r="S212" s="247"/>
      <c r="T212" s="247"/>
      <c r="V212" s="395"/>
      <c r="W212" s="284"/>
      <c r="X212" s="247"/>
      <c r="Y212" s="247"/>
      <c r="Z212" s="247"/>
      <c r="AA212" s="247"/>
      <c r="AB212" s="247"/>
      <c r="AC212" s="247"/>
      <c r="AD212" s="247"/>
      <c r="AE212" s="247"/>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row>
    <row r="213" spans="11:66" s="251" customFormat="1" x14ac:dyDescent="0.25">
      <c r="K213" s="250"/>
      <c r="L213" s="246"/>
      <c r="M213" s="247"/>
      <c r="N213" s="247"/>
      <c r="O213" s="247"/>
      <c r="P213" s="247"/>
      <c r="Q213" s="247"/>
      <c r="R213" s="247"/>
      <c r="S213" s="247"/>
      <c r="T213" s="247"/>
      <c r="V213" s="395"/>
      <c r="W213" s="284"/>
      <c r="X213" s="247"/>
      <c r="Y213" s="247"/>
      <c r="Z213" s="247"/>
      <c r="AA213" s="247"/>
      <c r="AB213" s="247"/>
      <c r="AC213" s="247"/>
      <c r="AD213" s="247"/>
      <c r="AE213" s="247"/>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row>
    <row r="214" spans="11:66" s="251" customFormat="1" x14ac:dyDescent="0.25">
      <c r="K214" s="250"/>
      <c r="L214" s="246"/>
      <c r="M214" s="247"/>
      <c r="N214" s="247"/>
      <c r="O214" s="247"/>
      <c r="P214" s="247"/>
      <c r="Q214" s="247"/>
      <c r="R214" s="247"/>
      <c r="S214" s="247"/>
      <c r="T214" s="247"/>
      <c r="V214" s="395"/>
      <c r="W214" s="284"/>
      <c r="X214" s="247"/>
      <c r="Y214" s="247"/>
      <c r="Z214" s="247"/>
      <c r="AA214" s="247"/>
      <c r="AB214" s="247"/>
      <c r="AC214" s="247"/>
      <c r="AD214" s="247"/>
      <c r="AE214" s="247"/>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row>
    <row r="215" spans="11:66" s="251" customFormat="1" x14ac:dyDescent="0.25">
      <c r="K215" s="250"/>
      <c r="L215" s="246"/>
      <c r="M215" s="247"/>
      <c r="N215" s="247"/>
      <c r="O215" s="247"/>
      <c r="P215" s="247"/>
      <c r="Q215" s="247"/>
      <c r="R215" s="247"/>
      <c r="S215" s="247"/>
      <c r="T215" s="247"/>
      <c r="V215" s="395"/>
      <c r="W215" s="284"/>
      <c r="X215" s="247"/>
      <c r="Y215" s="247"/>
      <c r="Z215" s="247"/>
      <c r="AA215" s="247"/>
      <c r="AB215" s="247"/>
      <c r="AC215" s="247"/>
      <c r="AD215" s="247"/>
      <c r="AE215" s="247"/>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row>
    <row r="216" spans="11:66" s="251" customFormat="1" x14ac:dyDescent="0.25">
      <c r="K216" s="250"/>
      <c r="L216" s="246"/>
      <c r="M216" s="247"/>
      <c r="N216" s="247"/>
      <c r="O216" s="247"/>
      <c r="P216" s="247"/>
      <c r="Q216" s="247"/>
      <c r="R216" s="247"/>
      <c r="S216" s="247"/>
      <c r="T216" s="247"/>
      <c r="V216" s="395"/>
      <c r="W216" s="284"/>
      <c r="X216" s="247"/>
      <c r="Y216" s="247"/>
      <c r="Z216" s="247"/>
      <c r="AA216" s="247"/>
      <c r="AB216" s="247"/>
      <c r="AC216" s="247"/>
      <c r="AD216" s="247"/>
      <c r="AE216" s="247"/>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row>
    <row r="217" spans="11:66" s="251" customFormat="1" x14ac:dyDescent="0.25">
      <c r="K217" s="250"/>
      <c r="L217" s="246"/>
      <c r="M217" s="247"/>
      <c r="N217" s="247"/>
      <c r="O217" s="247"/>
      <c r="P217" s="247"/>
      <c r="Q217" s="247"/>
      <c r="R217" s="247"/>
      <c r="S217" s="247"/>
      <c r="T217" s="247"/>
      <c r="V217" s="395"/>
      <c r="W217" s="284"/>
      <c r="X217" s="247"/>
      <c r="Y217" s="247"/>
      <c r="Z217" s="247"/>
      <c r="AA217" s="247"/>
      <c r="AB217" s="247"/>
      <c r="AC217" s="247"/>
      <c r="AD217" s="247"/>
      <c r="AE217" s="247"/>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row>
    <row r="218" spans="11:66" s="251" customFormat="1" x14ac:dyDescent="0.25">
      <c r="K218" s="250"/>
      <c r="L218" s="246"/>
      <c r="M218" s="247"/>
      <c r="N218" s="247"/>
      <c r="O218" s="247"/>
      <c r="P218" s="247"/>
      <c r="Q218" s="247"/>
      <c r="R218" s="247"/>
      <c r="S218" s="247"/>
      <c r="T218" s="247"/>
      <c r="V218" s="395"/>
      <c r="W218" s="284"/>
      <c r="X218" s="247"/>
      <c r="Y218" s="247"/>
      <c r="Z218" s="247"/>
      <c r="AA218" s="247"/>
      <c r="AB218" s="247"/>
      <c r="AC218" s="247"/>
      <c r="AD218" s="247"/>
      <c r="AE218" s="247"/>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row>
    <row r="219" spans="11:66" s="251" customFormat="1" x14ac:dyDescent="0.25">
      <c r="K219" s="250"/>
      <c r="L219" s="246"/>
      <c r="M219" s="247"/>
      <c r="N219" s="247"/>
      <c r="O219" s="247"/>
      <c r="P219" s="247"/>
      <c r="Q219" s="247"/>
      <c r="R219" s="247"/>
      <c r="S219" s="247"/>
      <c r="T219" s="247"/>
      <c r="V219" s="395"/>
      <c r="W219" s="284"/>
      <c r="X219" s="247"/>
      <c r="Y219" s="247"/>
      <c r="Z219" s="247"/>
      <c r="AA219" s="247"/>
      <c r="AB219" s="247"/>
      <c r="AC219" s="247"/>
      <c r="AD219" s="247"/>
      <c r="AE219" s="247"/>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row>
    <row r="220" spans="11:66" s="251" customFormat="1" x14ac:dyDescent="0.25">
      <c r="K220" s="250"/>
      <c r="L220" s="246"/>
      <c r="M220" s="247"/>
      <c r="N220" s="247"/>
      <c r="O220" s="247"/>
      <c r="P220" s="247"/>
      <c r="Q220" s="247"/>
      <c r="R220" s="247"/>
      <c r="S220" s="247"/>
      <c r="T220" s="247"/>
      <c r="V220" s="395"/>
      <c r="W220" s="284"/>
      <c r="X220" s="247"/>
      <c r="Y220" s="247"/>
      <c r="Z220" s="247"/>
      <c r="AA220" s="247"/>
      <c r="AB220" s="247"/>
      <c r="AC220" s="247"/>
      <c r="AD220" s="247"/>
      <c r="AE220" s="247"/>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row>
    <row r="221" spans="11:66" s="251" customFormat="1" x14ac:dyDescent="0.25">
      <c r="K221" s="250"/>
      <c r="L221" s="246"/>
      <c r="M221" s="247"/>
      <c r="N221" s="247"/>
      <c r="O221" s="247"/>
      <c r="P221" s="247"/>
      <c r="Q221" s="247"/>
      <c r="R221" s="247"/>
      <c r="S221" s="247"/>
      <c r="T221" s="247"/>
      <c r="V221" s="395"/>
      <c r="W221" s="284"/>
      <c r="X221" s="247"/>
      <c r="Y221" s="247"/>
      <c r="Z221" s="247"/>
      <c r="AA221" s="247"/>
      <c r="AB221" s="247"/>
      <c r="AC221" s="247"/>
      <c r="AD221" s="247"/>
      <c r="AE221" s="247"/>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row>
    <row r="222" spans="11:66" s="251" customFormat="1" x14ac:dyDescent="0.25">
      <c r="K222" s="250"/>
      <c r="L222" s="246"/>
      <c r="M222" s="247"/>
      <c r="N222" s="247"/>
      <c r="O222" s="247"/>
      <c r="P222" s="247"/>
      <c r="Q222" s="247"/>
      <c r="R222" s="247"/>
      <c r="S222" s="247"/>
      <c r="T222" s="247"/>
      <c r="V222" s="395"/>
      <c r="W222" s="284"/>
      <c r="X222" s="247"/>
      <c r="Y222" s="247"/>
      <c r="Z222" s="247"/>
      <c r="AA222" s="247"/>
      <c r="AB222" s="247"/>
      <c r="AC222" s="247"/>
      <c r="AD222" s="247"/>
      <c r="AE222" s="247"/>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row>
    <row r="223" spans="11:66" s="251" customFormat="1" x14ac:dyDescent="0.25">
      <c r="K223" s="250"/>
      <c r="L223" s="246"/>
      <c r="M223" s="247"/>
      <c r="N223" s="247"/>
      <c r="O223" s="247"/>
      <c r="P223" s="247"/>
      <c r="Q223" s="247"/>
      <c r="R223" s="247"/>
      <c r="S223" s="247"/>
      <c r="T223" s="247"/>
      <c r="V223" s="395"/>
      <c r="W223" s="284"/>
      <c r="X223" s="247"/>
      <c r="Y223" s="247"/>
      <c r="Z223" s="247"/>
      <c r="AA223" s="247"/>
      <c r="AB223" s="247"/>
      <c r="AC223" s="247"/>
      <c r="AD223" s="247"/>
      <c r="AE223" s="247"/>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row>
    <row r="224" spans="11:66" s="251" customFormat="1" x14ac:dyDescent="0.25">
      <c r="K224" s="250"/>
      <c r="L224" s="246"/>
      <c r="M224" s="247"/>
      <c r="N224" s="247"/>
      <c r="O224" s="247"/>
      <c r="P224" s="247"/>
      <c r="Q224" s="247"/>
      <c r="R224" s="247"/>
      <c r="S224" s="247"/>
      <c r="T224" s="247"/>
      <c r="V224" s="395"/>
      <c r="W224" s="284"/>
      <c r="X224" s="247"/>
      <c r="Y224" s="247"/>
      <c r="Z224" s="247"/>
      <c r="AA224" s="247"/>
      <c r="AB224" s="247"/>
      <c r="AC224" s="247"/>
      <c r="AD224" s="247"/>
      <c r="AE224" s="247"/>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row>
    <row r="225" spans="11:66" s="251" customFormat="1" x14ac:dyDescent="0.25">
      <c r="K225" s="250"/>
      <c r="L225" s="246"/>
      <c r="M225" s="247"/>
      <c r="N225" s="247"/>
      <c r="O225" s="247"/>
      <c r="P225" s="247"/>
      <c r="Q225" s="247"/>
      <c r="R225" s="247"/>
      <c r="S225" s="247"/>
      <c r="T225" s="247"/>
      <c r="V225" s="395"/>
      <c r="W225" s="284"/>
      <c r="X225" s="247"/>
      <c r="Y225" s="247"/>
      <c r="Z225" s="247"/>
      <c r="AA225" s="247"/>
      <c r="AB225" s="247"/>
      <c r="AC225" s="247"/>
      <c r="AD225" s="247"/>
      <c r="AE225" s="247"/>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row>
    <row r="226" spans="11:66" s="251" customFormat="1" x14ac:dyDescent="0.25">
      <c r="K226" s="250"/>
      <c r="L226" s="246"/>
      <c r="M226" s="247"/>
      <c r="N226" s="247"/>
      <c r="O226" s="247"/>
      <c r="P226" s="247"/>
      <c r="Q226" s="247"/>
      <c r="R226" s="247"/>
      <c r="S226" s="247"/>
      <c r="T226" s="247"/>
      <c r="V226" s="395"/>
      <c r="W226" s="284"/>
      <c r="X226" s="247"/>
      <c r="Y226" s="247"/>
      <c r="Z226" s="247"/>
      <c r="AA226" s="247"/>
      <c r="AB226" s="247"/>
      <c r="AC226" s="247"/>
      <c r="AD226" s="247"/>
      <c r="AE226" s="247"/>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row>
    <row r="227" spans="11:66" s="251" customFormat="1" x14ac:dyDescent="0.25">
      <c r="K227" s="250"/>
      <c r="L227" s="246"/>
      <c r="M227" s="247"/>
      <c r="N227" s="247"/>
      <c r="O227" s="247"/>
      <c r="P227" s="247"/>
      <c r="Q227" s="247"/>
      <c r="R227" s="247"/>
      <c r="S227" s="247"/>
      <c r="T227" s="247"/>
      <c r="V227" s="395"/>
      <c r="W227" s="284"/>
      <c r="X227" s="247"/>
      <c r="Y227" s="247"/>
      <c r="Z227" s="247"/>
      <c r="AA227" s="247"/>
      <c r="AB227" s="247"/>
      <c r="AC227" s="247"/>
      <c r="AD227" s="247"/>
      <c r="AE227" s="247"/>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row>
    <row r="228" spans="11:66" s="251" customFormat="1" x14ac:dyDescent="0.25">
      <c r="K228" s="250"/>
      <c r="L228" s="246"/>
      <c r="M228" s="247"/>
      <c r="N228" s="247"/>
      <c r="O228" s="247"/>
      <c r="P228" s="247"/>
      <c r="Q228" s="247"/>
      <c r="R228" s="247"/>
      <c r="S228" s="247"/>
      <c r="T228" s="247"/>
      <c r="V228" s="395"/>
      <c r="W228" s="284"/>
      <c r="X228" s="247"/>
      <c r="Y228" s="247"/>
      <c r="Z228" s="247"/>
      <c r="AA228" s="247"/>
      <c r="AB228" s="247"/>
      <c r="AC228" s="247"/>
      <c r="AD228" s="247"/>
      <c r="AE228" s="247"/>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row>
    <row r="229" spans="11:66" s="251" customFormat="1" x14ac:dyDescent="0.25">
      <c r="K229" s="250"/>
      <c r="L229" s="246"/>
      <c r="M229" s="247"/>
      <c r="N229" s="247"/>
      <c r="O229" s="247"/>
      <c r="P229" s="247"/>
      <c r="Q229" s="247"/>
      <c r="R229" s="247"/>
      <c r="S229" s="247"/>
      <c r="T229" s="247"/>
      <c r="V229" s="395"/>
      <c r="W229" s="284"/>
      <c r="X229" s="247"/>
      <c r="Y229" s="247"/>
      <c r="Z229" s="247"/>
      <c r="AA229" s="247"/>
      <c r="AB229" s="247"/>
      <c r="AC229" s="247"/>
      <c r="AD229" s="247"/>
      <c r="AE229" s="247"/>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row>
    <row r="230" spans="11:66" s="251" customFormat="1" x14ac:dyDescent="0.25">
      <c r="K230" s="250"/>
      <c r="L230" s="246"/>
      <c r="M230" s="247"/>
      <c r="N230" s="247"/>
      <c r="O230" s="247"/>
      <c r="P230" s="247"/>
      <c r="Q230" s="247"/>
      <c r="R230" s="247"/>
      <c r="S230" s="247"/>
      <c r="T230" s="247"/>
      <c r="V230" s="395"/>
      <c r="W230" s="284"/>
      <c r="X230" s="247"/>
      <c r="Y230" s="247"/>
      <c r="Z230" s="247"/>
      <c r="AA230" s="247"/>
      <c r="AB230" s="247"/>
      <c r="AC230" s="247"/>
      <c r="AD230" s="247"/>
      <c r="AE230" s="247"/>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row>
    <row r="231" spans="11:66" s="251" customFormat="1" x14ac:dyDescent="0.25">
      <c r="K231" s="250"/>
      <c r="L231" s="246"/>
      <c r="M231" s="247"/>
      <c r="N231" s="247"/>
      <c r="O231" s="247"/>
      <c r="P231" s="247"/>
      <c r="Q231" s="247"/>
      <c r="R231" s="247"/>
      <c r="S231" s="247"/>
      <c r="T231" s="247"/>
      <c r="V231" s="395"/>
      <c r="W231" s="284"/>
      <c r="X231" s="247"/>
      <c r="Y231" s="247"/>
      <c r="Z231" s="247"/>
      <c r="AA231" s="247"/>
      <c r="AB231" s="247"/>
      <c r="AC231" s="247"/>
      <c r="AD231" s="247"/>
      <c r="AE231" s="247"/>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row>
    <row r="232" spans="11:66" s="251" customFormat="1" x14ac:dyDescent="0.25">
      <c r="K232" s="250"/>
      <c r="L232" s="246"/>
      <c r="M232" s="247"/>
      <c r="N232" s="247"/>
      <c r="O232" s="247"/>
      <c r="P232" s="247"/>
      <c r="Q232" s="247"/>
      <c r="R232" s="247"/>
      <c r="S232" s="247"/>
      <c r="T232" s="247"/>
      <c r="V232" s="395"/>
      <c r="W232" s="284"/>
      <c r="X232" s="247"/>
      <c r="Y232" s="247"/>
      <c r="Z232" s="247"/>
      <c r="AA232" s="247"/>
      <c r="AB232" s="247"/>
      <c r="AC232" s="247"/>
      <c r="AD232" s="247"/>
      <c r="AE232" s="247"/>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row>
    <row r="233" spans="11:66" s="251" customFormat="1" x14ac:dyDescent="0.25">
      <c r="K233" s="250"/>
      <c r="L233" s="246"/>
      <c r="M233" s="247"/>
      <c r="N233" s="247"/>
      <c r="O233" s="247"/>
      <c r="P233" s="247"/>
      <c r="Q233" s="247"/>
      <c r="R233" s="247"/>
      <c r="S233" s="247"/>
      <c r="T233" s="247"/>
      <c r="V233" s="395"/>
      <c r="W233" s="284"/>
      <c r="X233" s="247"/>
      <c r="Y233" s="247"/>
      <c r="Z233" s="247"/>
      <c r="AA233" s="247"/>
      <c r="AB233" s="247"/>
      <c r="AC233" s="247"/>
      <c r="AD233" s="247"/>
      <c r="AE233" s="247"/>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row>
    <row r="234" spans="11:66" s="251" customFormat="1" x14ac:dyDescent="0.25">
      <c r="K234" s="250"/>
      <c r="L234" s="246"/>
      <c r="M234" s="247"/>
      <c r="N234" s="247"/>
      <c r="O234" s="247"/>
      <c r="P234" s="247"/>
      <c r="Q234" s="247"/>
      <c r="R234" s="247"/>
      <c r="S234" s="247"/>
      <c r="T234" s="247"/>
      <c r="V234" s="395"/>
      <c r="W234" s="284"/>
      <c r="X234" s="247"/>
      <c r="Y234" s="247"/>
      <c r="Z234" s="247"/>
      <c r="AA234" s="247"/>
      <c r="AB234" s="247"/>
      <c r="AC234" s="247"/>
      <c r="AD234" s="247"/>
      <c r="AE234" s="247"/>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row>
    <row r="235" spans="11:66" s="251" customFormat="1" x14ac:dyDescent="0.25">
      <c r="K235" s="250"/>
      <c r="L235" s="246"/>
      <c r="M235" s="247"/>
      <c r="N235" s="247"/>
      <c r="O235" s="247"/>
      <c r="P235" s="247"/>
      <c r="Q235" s="247"/>
      <c r="R235" s="247"/>
      <c r="S235" s="247"/>
      <c r="T235" s="247"/>
      <c r="V235" s="395"/>
      <c r="W235" s="284"/>
      <c r="X235" s="247"/>
      <c r="Y235" s="247"/>
      <c r="Z235" s="247"/>
      <c r="AA235" s="247"/>
      <c r="AB235" s="247"/>
      <c r="AC235" s="247"/>
      <c r="AD235" s="247"/>
      <c r="AE235" s="247"/>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row>
    <row r="236" spans="11:66" s="251" customFormat="1" x14ac:dyDescent="0.25">
      <c r="K236" s="250"/>
      <c r="L236" s="246"/>
      <c r="M236" s="247"/>
      <c r="N236" s="247"/>
      <c r="O236" s="247"/>
      <c r="P236" s="247"/>
      <c r="Q236" s="247"/>
      <c r="R236" s="247"/>
      <c r="S236" s="247"/>
      <c r="T236" s="247"/>
      <c r="V236" s="395"/>
      <c r="W236" s="284"/>
      <c r="X236" s="247"/>
      <c r="Y236" s="247"/>
      <c r="Z236" s="247"/>
      <c r="AA236" s="247"/>
      <c r="AB236" s="247"/>
      <c r="AC236" s="247"/>
      <c r="AD236" s="247"/>
      <c r="AE236" s="247"/>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row>
    <row r="237" spans="11:66" s="251" customFormat="1" x14ac:dyDescent="0.25">
      <c r="K237" s="250"/>
      <c r="L237" s="246"/>
      <c r="M237" s="247"/>
      <c r="N237" s="247"/>
      <c r="O237" s="247"/>
      <c r="P237" s="247"/>
      <c r="Q237" s="247"/>
      <c r="R237" s="247"/>
      <c r="S237" s="247"/>
      <c r="T237" s="247"/>
      <c r="V237" s="395"/>
      <c r="W237" s="284"/>
      <c r="X237" s="247"/>
      <c r="Y237" s="247"/>
      <c r="Z237" s="247"/>
      <c r="AA237" s="247"/>
      <c r="AB237" s="247"/>
      <c r="AC237" s="247"/>
      <c r="AD237" s="247"/>
      <c r="AE237" s="247"/>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row>
    <row r="238" spans="11:66" s="251" customFormat="1" x14ac:dyDescent="0.25">
      <c r="K238" s="250"/>
      <c r="L238" s="246"/>
      <c r="M238" s="247"/>
      <c r="N238" s="247"/>
      <c r="O238" s="247"/>
      <c r="P238" s="247"/>
      <c r="Q238" s="247"/>
      <c r="R238" s="247"/>
      <c r="S238" s="247"/>
      <c r="T238" s="247"/>
      <c r="V238" s="395"/>
      <c r="W238" s="284"/>
      <c r="X238" s="247"/>
      <c r="Y238" s="247"/>
      <c r="Z238" s="247"/>
      <c r="AA238" s="247"/>
      <c r="AB238" s="247"/>
      <c r="AC238" s="247"/>
      <c r="AD238" s="247"/>
      <c r="AE238" s="247"/>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row>
    <row r="239" spans="11:66" s="251" customFormat="1" x14ac:dyDescent="0.25">
      <c r="K239" s="250"/>
      <c r="L239" s="246"/>
      <c r="M239" s="247"/>
      <c r="N239" s="247"/>
      <c r="O239" s="247"/>
      <c r="P239" s="247"/>
      <c r="Q239" s="247"/>
      <c r="R239" s="247"/>
      <c r="S239" s="247"/>
      <c r="T239" s="247"/>
      <c r="V239" s="395"/>
      <c r="W239" s="284"/>
      <c r="X239" s="247"/>
      <c r="Y239" s="247"/>
      <c r="Z239" s="247"/>
      <c r="AA239" s="247"/>
      <c r="AB239" s="247"/>
      <c r="AC239" s="247"/>
      <c r="AD239" s="247"/>
      <c r="AE239" s="247"/>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row>
    <row r="240" spans="11:66" s="251" customFormat="1" x14ac:dyDescent="0.25">
      <c r="K240" s="250"/>
      <c r="L240" s="246"/>
      <c r="M240" s="247"/>
      <c r="N240" s="247"/>
      <c r="O240" s="247"/>
      <c r="P240" s="247"/>
      <c r="Q240" s="247"/>
      <c r="R240" s="247"/>
      <c r="S240" s="247"/>
      <c r="T240" s="247"/>
      <c r="V240" s="395"/>
      <c r="W240" s="284"/>
      <c r="X240" s="247"/>
      <c r="Y240" s="247"/>
      <c r="Z240" s="247"/>
      <c r="AA240" s="247"/>
      <c r="AB240" s="247"/>
      <c r="AC240" s="247"/>
      <c r="AD240" s="247"/>
      <c r="AE240" s="247"/>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row>
    <row r="241" spans="11:66" s="251" customFormat="1" x14ac:dyDescent="0.25">
      <c r="K241" s="250"/>
      <c r="L241" s="246"/>
      <c r="M241" s="247"/>
      <c r="N241" s="247"/>
      <c r="O241" s="247"/>
      <c r="P241" s="247"/>
      <c r="Q241" s="247"/>
      <c r="R241" s="247"/>
      <c r="S241" s="247"/>
      <c r="T241" s="247"/>
      <c r="V241" s="395"/>
      <c r="W241" s="284"/>
      <c r="X241" s="247"/>
      <c r="Y241" s="247"/>
      <c r="Z241" s="247"/>
      <c r="AA241" s="247"/>
      <c r="AB241" s="247"/>
      <c r="AC241" s="247"/>
      <c r="AD241" s="247"/>
      <c r="AE241" s="247"/>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row>
    <row r="242" spans="11:66" s="251" customFormat="1" x14ac:dyDescent="0.25">
      <c r="K242" s="250"/>
      <c r="L242" s="246"/>
      <c r="M242" s="247"/>
      <c r="N242" s="247"/>
      <c r="O242" s="247"/>
      <c r="P242" s="247"/>
      <c r="Q242" s="247"/>
      <c r="R242" s="247"/>
      <c r="S242" s="247"/>
      <c r="T242" s="247"/>
      <c r="V242" s="395"/>
      <c r="W242" s="284"/>
      <c r="X242" s="247"/>
      <c r="Y242" s="247"/>
      <c r="Z242" s="247"/>
      <c r="AA242" s="247"/>
      <c r="AB242" s="247"/>
      <c r="AC242" s="247"/>
      <c r="AD242" s="247"/>
      <c r="AE242" s="247"/>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row>
    <row r="243" spans="11:66" s="251" customFormat="1" x14ac:dyDescent="0.25">
      <c r="K243" s="250"/>
      <c r="L243" s="246"/>
      <c r="M243" s="247"/>
      <c r="N243" s="247"/>
      <c r="O243" s="247"/>
      <c r="P243" s="247"/>
      <c r="Q243" s="247"/>
      <c r="R243" s="247"/>
      <c r="S243" s="247"/>
      <c r="T243" s="247"/>
      <c r="V243" s="395"/>
      <c r="W243" s="284"/>
      <c r="X243" s="247"/>
      <c r="Y243" s="247"/>
      <c r="Z243" s="247"/>
      <c r="AA243" s="247"/>
      <c r="AB243" s="247"/>
      <c r="AC243" s="247"/>
      <c r="AD243" s="247"/>
      <c r="AE243" s="247"/>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row>
    <row r="244" spans="11:66" s="251" customFormat="1" x14ac:dyDescent="0.25">
      <c r="K244" s="250"/>
      <c r="L244" s="246"/>
      <c r="M244" s="247"/>
      <c r="N244" s="247"/>
      <c r="O244" s="247"/>
      <c r="P244" s="247"/>
      <c r="Q244" s="247"/>
      <c r="R244" s="247"/>
      <c r="S244" s="247"/>
      <c r="T244" s="247"/>
      <c r="V244" s="395"/>
      <c r="W244" s="284"/>
      <c r="X244" s="247"/>
      <c r="Y244" s="247"/>
      <c r="Z244" s="247"/>
      <c r="AA244" s="247"/>
      <c r="AB244" s="247"/>
      <c r="AC244" s="247"/>
      <c r="AD244" s="247"/>
      <c r="AE244" s="247"/>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row>
    <row r="245" spans="11:66" s="251" customFormat="1" x14ac:dyDescent="0.25">
      <c r="K245" s="250"/>
      <c r="L245" s="246"/>
      <c r="M245" s="247"/>
      <c r="N245" s="247"/>
      <c r="O245" s="247"/>
      <c r="P245" s="247"/>
      <c r="Q245" s="247"/>
      <c r="R245" s="247"/>
      <c r="S245" s="247"/>
      <c r="T245" s="247"/>
      <c r="V245" s="395"/>
      <c r="W245" s="284"/>
      <c r="X245" s="247"/>
      <c r="Y245" s="247"/>
      <c r="Z245" s="247"/>
      <c r="AA245" s="247"/>
      <c r="AB245" s="247"/>
      <c r="AC245" s="247"/>
      <c r="AD245" s="247"/>
      <c r="AE245" s="247"/>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row>
    <row r="246" spans="11:66" s="251" customFormat="1" x14ac:dyDescent="0.25">
      <c r="K246" s="250"/>
      <c r="L246" s="246"/>
      <c r="M246" s="247"/>
      <c r="N246" s="247"/>
      <c r="O246" s="247"/>
      <c r="P246" s="247"/>
      <c r="Q246" s="247"/>
      <c r="R246" s="247"/>
      <c r="S246" s="247"/>
      <c r="T246" s="247"/>
      <c r="V246" s="395"/>
      <c r="W246" s="284"/>
      <c r="X246" s="247"/>
      <c r="Y246" s="247"/>
      <c r="Z246" s="247"/>
      <c r="AA246" s="247"/>
      <c r="AB246" s="247"/>
      <c r="AC246" s="247"/>
      <c r="AD246" s="247"/>
      <c r="AE246" s="247"/>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row>
    <row r="247" spans="11:66" s="251" customFormat="1" x14ac:dyDescent="0.25">
      <c r="K247" s="250"/>
      <c r="L247" s="246"/>
      <c r="M247" s="247"/>
      <c r="N247" s="247"/>
      <c r="O247" s="247"/>
      <c r="P247" s="247"/>
      <c r="Q247" s="247"/>
      <c r="R247" s="247"/>
      <c r="S247" s="247"/>
      <c r="T247" s="247"/>
      <c r="V247" s="395"/>
      <c r="W247" s="284"/>
      <c r="X247" s="247"/>
      <c r="Y247" s="247"/>
      <c r="Z247" s="247"/>
      <c r="AA247" s="247"/>
      <c r="AB247" s="247"/>
      <c r="AC247" s="247"/>
      <c r="AD247" s="247"/>
      <c r="AE247" s="247"/>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row>
    <row r="248" spans="11:66" s="251" customFormat="1" x14ac:dyDescent="0.25">
      <c r="K248" s="250"/>
      <c r="L248" s="246"/>
      <c r="M248" s="247"/>
      <c r="N248" s="247"/>
      <c r="O248" s="247"/>
      <c r="P248" s="247"/>
      <c r="Q248" s="247"/>
      <c r="R248" s="247"/>
      <c r="S248" s="247"/>
      <c r="T248" s="247"/>
      <c r="V248" s="395"/>
      <c r="W248" s="284"/>
      <c r="X248" s="247"/>
      <c r="Y248" s="247"/>
      <c r="Z248" s="247"/>
      <c r="AA248" s="247"/>
      <c r="AB248" s="247"/>
      <c r="AC248" s="247"/>
      <c r="AD248" s="247"/>
      <c r="AE248" s="247"/>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row>
    <row r="249" spans="11:66" s="251" customFormat="1" x14ac:dyDescent="0.25">
      <c r="K249" s="250"/>
      <c r="L249" s="246"/>
      <c r="M249" s="247"/>
      <c r="N249" s="247"/>
      <c r="O249" s="247"/>
      <c r="P249" s="247"/>
      <c r="Q249" s="247"/>
      <c r="R249" s="247"/>
      <c r="S249" s="247"/>
      <c r="T249" s="247"/>
      <c r="V249" s="395"/>
      <c r="W249" s="284"/>
      <c r="X249" s="247"/>
      <c r="Y249" s="247"/>
      <c r="Z249" s="247"/>
      <c r="AA249" s="247"/>
      <c r="AB249" s="247"/>
      <c r="AC249" s="247"/>
      <c r="AD249" s="247"/>
      <c r="AE249" s="247"/>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row>
    <row r="250" spans="11:66" s="251" customFormat="1" x14ac:dyDescent="0.25">
      <c r="K250" s="250"/>
      <c r="L250" s="246"/>
      <c r="M250" s="247"/>
      <c r="N250" s="247"/>
      <c r="O250" s="247"/>
      <c r="P250" s="247"/>
      <c r="Q250" s="247"/>
      <c r="R250" s="247"/>
      <c r="S250" s="247"/>
      <c r="T250" s="247"/>
      <c r="V250" s="395"/>
      <c r="W250" s="284"/>
      <c r="X250" s="247"/>
      <c r="Y250" s="247"/>
      <c r="Z250" s="247"/>
      <c r="AA250" s="247"/>
      <c r="AB250" s="247"/>
      <c r="AC250" s="247"/>
      <c r="AD250" s="247"/>
      <c r="AE250" s="247"/>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row>
    <row r="251" spans="11:66" s="251" customFormat="1" x14ac:dyDescent="0.25">
      <c r="K251" s="250"/>
      <c r="L251" s="246"/>
      <c r="M251" s="247"/>
      <c r="N251" s="247"/>
      <c r="O251" s="247"/>
      <c r="P251" s="247"/>
      <c r="Q251" s="247"/>
      <c r="R251" s="247"/>
      <c r="S251" s="247"/>
      <c r="T251" s="247"/>
      <c r="V251" s="395"/>
      <c r="W251" s="284"/>
      <c r="X251" s="247"/>
      <c r="Y251" s="247"/>
      <c r="Z251" s="247"/>
      <c r="AA251" s="247"/>
      <c r="AB251" s="247"/>
      <c r="AC251" s="247"/>
      <c r="AD251" s="247"/>
      <c r="AE251" s="247"/>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row>
    <row r="252" spans="11:66" s="251" customFormat="1" x14ac:dyDescent="0.25">
      <c r="K252" s="250"/>
      <c r="L252" s="246"/>
      <c r="M252" s="247"/>
      <c r="N252" s="247"/>
      <c r="O252" s="247"/>
      <c r="P252" s="247"/>
      <c r="Q252" s="247"/>
      <c r="R252" s="247"/>
      <c r="S252" s="247"/>
      <c r="T252" s="247"/>
      <c r="V252" s="395"/>
      <c r="W252" s="284"/>
      <c r="X252" s="247"/>
      <c r="Y252" s="247"/>
      <c r="Z252" s="247"/>
      <c r="AA252" s="247"/>
      <c r="AB252" s="247"/>
      <c r="AC252" s="247"/>
      <c r="AD252" s="247"/>
      <c r="AE252" s="247"/>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row>
    <row r="253" spans="11:66" s="251" customFormat="1" x14ac:dyDescent="0.25">
      <c r="K253" s="250"/>
      <c r="L253" s="246"/>
      <c r="M253" s="247"/>
      <c r="N253" s="247"/>
      <c r="O253" s="247"/>
      <c r="P253" s="247"/>
      <c r="Q253" s="247"/>
      <c r="R253" s="247"/>
      <c r="S253" s="247"/>
      <c r="T253" s="247"/>
      <c r="V253" s="395"/>
      <c r="W253" s="284"/>
      <c r="X253" s="247"/>
      <c r="Y253" s="247"/>
      <c r="Z253" s="247"/>
      <c r="AA253" s="247"/>
      <c r="AB253" s="247"/>
      <c r="AC253" s="247"/>
      <c r="AD253" s="247"/>
      <c r="AE253" s="247"/>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row>
    <row r="254" spans="11:66" s="251" customFormat="1" x14ac:dyDescent="0.25">
      <c r="K254" s="250"/>
      <c r="L254" s="246"/>
      <c r="M254" s="247"/>
      <c r="N254" s="247"/>
      <c r="O254" s="247"/>
      <c r="P254" s="247"/>
      <c r="Q254" s="247"/>
      <c r="R254" s="247"/>
      <c r="S254" s="247"/>
      <c r="T254" s="247"/>
      <c r="V254" s="395"/>
      <c r="W254" s="284"/>
      <c r="X254" s="247"/>
      <c r="Y254" s="247"/>
      <c r="Z254" s="247"/>
      <c r="AA254" s="247"/>
      <c r="AB254" s="247"/>
      <c r="AC254" s="247"/>
      <c r="AD254" s="247"/>
      <c r="AE254" s="247"/>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row>
    <row r="255" spans="11:66" s="251" customFormat="1" x14ac:dyDescent="0.25">
      <c r="K255" s="250"/>
      <c r="L255" s="246"/>
      <c r="M255" s="247"/>
      <c r="N255" s="247"/>
      <c r="O255" s="247"/>
      <c r="P255" s="247"/>
      <c r="Q255" s="247"/>
      <c r="R255" s="247"/>
      <c r="S255" s="247"/>
      <c r="T255" s="247"/>
      <c r="V255" s="395"/>
      <c r="W255" s="284"/>
      <c r="X255" s="247"/>
      <c r="Y255" s="247"/>
      <c r="Z255" s="247"/>
      <c r="AA255" s="247"/>
      <c r="AB255" s="247"/>
      <c r="AC255" s="247"/>
      <c r="AD255" s="247"/>
      <c r="AE255" s="247"/>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row>
    <row r="256" spans="11:66" s="251" customFormat="1" x14ac:dyDescent="0.25">
      <c r="K256" s="250"/>
      <c r="L256" s="246"/>
      <c r="M256" s="247"/>
      <c r="N256" s="247"/>
      <c r="O256" s="247"/>
      <c r="P256" s="247"/>
      <c r="Q256" s="247"/>
      <c r="R256" s="247"/>
      <c r="S256" s="247"/>
      <c r="T256" s="247"/>
      <c r="V256" s="395"/>
      <c r="W256" s="284"/>
      <c r="X256" s="247"/>
      <c r="Y256" s="247"/>
      <c r="Z256" s="247"/>
      <c r="AA256" s="247"/>
      <c r="AB256" s="247"/>
      <c r="AC256" s="247"/>
      <c r="AD256" s="247"/>
      <c r="AE256" s="247"/>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row>
    <row r="257" spans="11:66" s="251" customFormat="1" x14ac:dyDescent="0.25">
      <c r="K257" s="250"/>
      <c r="L257" s="246"/>
      <c r="M257" s="247"/>
      <c r="N257" s="247"/>
      <c r="O257" s="247"/>
      <c r="P257" s="247"/>
      <c r="Q257" s="247"/>
      <c r="R257" s="247"/>
      <c r="S257" s="247"/>
      <c r="T257" s="247"/>
      <c r="V257" s="395"/>
      <c r="W257" s="284"/>
      <c r="X257" s="247"/>
      <c r="Y257" s="247"/>
      <c r="Z257" s="247"/>
      <c r="AA257" s="247"/>
      <c r="AB257" s="247"/>
      <c r="AC257" s="247"/>
      <c r="AD257" s="247"/>
      <c r="AE257" s="247"/>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row>
    <row r="258" spans="11:66" s="251" customFormat="1" x14ac:dyDescent="0.25">
      <c r="K258" s="250"/>
      <c r="L258" s="246"/>
      <c r="M258" s="247"/>
      <c r="N258" s="247"/>
      <c r="O258" s="247"/>
      <c r="P258" s="247"/>
      <c r="Q258" s="247"/>
      <c r="R258" s="247"/>
      <c r="S258" s="247"/>
      <c r="T258" s="247"/>
      <c r="V258" s="395"/>
      <c r="W258" s="284"/>
      <c r="X258" s="247"/>
      <c r="Y258" s="247"/>
      <c r="Z258" s="247"/>
      <c r="AA258" s="247"/>
      <c r="AB258" s="247"/>
      <c r="AC258" s="247"/>
      <c r="AD258" s="247"/>
      <c r="AE258" s="247"/>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row>
    <row r="259" spans="11:66" s="251" customFormat="1" x14ac:dyDescent="0.25">
      <c r="K259" s="250"/>
      <c r="L259" s="246"/>
      <c r="M259" s="247"/>
      <c r="N259" s="247"/>
      <c r="O259" s="247"/>
      <c r="P259" s="247"/>
      <c r="Q259" s="247"/>
      <c r="R259" s="247"/>
      <c r="S259" s="247"/>
      <c r="T259" s="247"/>
      <c r="V259" s="395"/>
      <c r="W259" s="284"/>
      <c r="X259" s="247"/>
      <c r="Y259" s="247"/>
      <c r="Z259" s="247"/>
      <c r="AA259" s="247"/>
      <c r="AB259" s="247"/>
      <c r="AC259" s="247"/>
      <c r="AD259" s="247"/>
      <c r="AE259" s="247"/>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row>
    <row r="260" spans="11:66" s="251" customFormat="1" x14ac:dyDescent="0.25">
      <c r="K260" s="250"/>
      <c r="L260" s="246"/>
      <c r="M260" s="247"/>
      <c r="N260" s="247"/>
      <c r="O260" s="247"/>
      <c r="P260" s="247"/>
      <c r="Q260" s="247"/>
      <c r="R260" s="247"/>
      <c r="S260" s="247"/>
      <c r="T260" s="247"/>
      <c r="V260" s="395"/>
      <c r="W260" s="284"/>
      <c r="X260" s="247"/>
      <c r="Y260" s="247"/>
      <c r="Z260" s="247"/>
      <c r="AA260" s="247"/>
      <c r="AB260" s="247"/>
      <c r="AC260" s="247"/>
      <c r="AD260" s="247"/>
      <c r="AE260" s="247"/>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row>
    <row r="261" spans="11:66" s="251" customFormat="1" x14ac:dyDescent="0.25">
      <c r="K261" s="250"/>
      <c r="L261" s="246"/>
      <c r="M261" s="247"/>
      <c r="N261" s="247"/>
      <c r="O261" s="247"/>
      <c r="P261" s="247"/>
      <c r="Q261" s="247"/>
      <c r="R261" s="247"/>
      <c r="S261" s="247"/>
      <c r="T261" s="247"/>
      <c r="V261" s="395"/>
      <c r="W261" s="284"/>
      <c r="X261" s="247"/>
      <c r="Y261" s="247"/>
      <c r="Z261" s="247"/>
      <c r="AA261" s="247"/>
      <c r="AB261" s="247"/>
      <c r="AC261" s="247"/>
      <c r="AD261" s="247"/>
      <c r="AE261" s="247"/>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row>
    <row r="262" spans="11:66" s="251" customFormat="1" x14ac:dyDescent="0.25">
      <c r="K262" s="250"/>
      <c r="L262" s="246"/>
      <c r="M262" s="247"/>
      <c r="N262" s="247"/>
      <c r="O262" s="247"/>
      <c r="P262" s="247"/>
      <c r="Q262" s="247"/>
      <c r="R262" s="247"/>
      <c r="S262" s="247"/>
      <c r="T262" s="247"/>
      <c r="V262" s="395"/>
      <c r="W262" s="284"/>
      <c r="X262" s="247"/>
      <c r="Y262" s="247"/>
      <c r="Z262" s="247"/>
      <c r="AA262" s="247"/>
      <c r="AB262" s="247"/>
      <c r="AC262" s="247"/>
      <c r="AD262" s="247"/>
      <c r="AE262" s="247"/>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row>
    <row r="263" spans="11:66" s="251" customFormat="1" x14ac:dyDescent="0.25">
      <c r="K263" s="250"/>
      <c r="L263" s="246"/>
      <c r="M263" s="247"/>
      <c r="N263" s="247"/>
      <c r="O263" s="247"/>
      <c r="P263" s="247"/>
      <c r="Q263" s="247"/>
      <c r="R263" s="247"/>
      <c r="S263" s="247"/>
      <c r="T263" s="247"/>
      <c r="V263" s="395"/>
      <c r="W263" s="284"/>
      <c r="X263" s="247"/>
      <c r="Y263" s="247"/>
      <c r="Z263" s="247"/>
      <c r="AA263" s="247"/>
      <c r="AB263" s="247"/>
      <c r="AC263" s="247"/>
      <c r="AD263" s="247"/>
      <c r="AE263" s="247"/>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row>
    <row r="264" spans="11:66" s="251" customFormat="1" x14ac:dyDescent="0.25">
      <c r="K264" s="250"/>
      <c r="L264" s="246"/>
      <c r="M264" s="247"/>
      <c r="N264" s="247"/>
      <c r="O264" s="247"/>
      <c r="P264" s="247"/>
      <c r="Q264" s="247"/>
      <c r="R264" s="247"/>
      <c r="S264" s="247"/>
      <c r="T264" s="247"/>
      <c r="V264" s="395"/>
      <c r="W264" s="284"/>
      <c r="X264" s="247"/>
      <c r="Y264" s="247"/>
      <c r="Z264" s="247"/>
      <c r="AA264" s="247"/>
      <c r="AB264" s="247"/>
      <c r="AC264" s="247"/>
      <c r="AD264" s="247"/>
      <c r="AE264" s="247"/>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row>
    <row r="265" spans="11:66" s="251" customFormat="1" x14ac:dyDescent="0.25">
      <c r="K265" s="250"/>
      <c r="L265" s="246"/>
      <c r="M265" s="247"/>
      <c r="N265" s="247"/>
      <c r="O265" s="247"/>
      <c r="P265" s="247"/>
      <c r="Q265" s="247"/>
      <c r="R265" s="247"/>
      <c r="S265" s="247"/>
      <c r="T265" s="247"/>
      <c r="V265" s="395"/>
      <c r="W265" s="284"/>
      <c r="X265" s="247"/>
      <c r="Y265" s="247"/>
      <c r="Z265" s="247"/>
      <c r="AA265" s="247"/>
      <c r="AB265" s="247"/>
      <c r="AC265" s="247"/>
      <c r="AD265" s="247"/>
      <c r="AE265" s="247"/>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row>
    <row r="266" spans="11:66" s="251" customFormat="1" x14ac:dyDescent="0.25">
      <c r="K266" s="250"/>
      <c r="L266" s="246"/>
      <c r="M266" s="247"/>
      <c r="N266" s="247"/>
      <c r="O266" s="247"/>
      <c r="P266" s="247"/>
      <c r="Q266" s="247"/>
      <c r="R266" s="247"/>
      <c r="S266" s="247"/>
      <c r="T266" s="247"/>
      <c r="V266" s="395"/>
      <c r="W266" s="284"/>
      <c r="X266" s="247"/>
      <c r="Y266" s="247"/>
      <c r="Z266" s="247"/>
      <c r="AA266" s="247"/>
      <c r="AB266" s="247"/>
      <c r="AC266" s="247"/>
      <c r="AD266" s="247"/>
      <c r="AE266" s="247"/>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row>
    <row r="267" spans="11:66" s="251" customFormat="1" x14ac:dyDescent="0.25">
      <c r="K267" s="250"/>
      <c r="L267" s="246"/>
      <c r="M267" s="247"/>
      <c r="N267" s="247"/>
      <c r="O267" s="247"/>
      <c r="P267" s="247"/>
      <c r="Q267" s="247"/>
      <c r="R267" s="247"/>
      <c r="S267" s="247"/>
      <c r="T267" s="247"/>
      <c r="V267" s="395"/>
      <c r="W267" s="284"/>
      <c r="X267" s="247"/>
      <c r="Y267" s="247"/>
      <c r="Z267" s="247"/>
      <c r="AA267" s="247"/>
      <c r="AB267" s="247"/>
      <c r="AC267" s="247"/>
      <c r="AD267" s="247"/>
      <c r="AE267" s="247"/>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row>
    <row r="268" spans="11:66" s="251" customFormat="1" x14ac:dyDescent="0.25">
      <c r="K268" s="250"/>
      <c r="L268" s="246"/>
      <c r="M268" s="247"/>
      <c r="N268" s="247"/>
      <c r="O268" s="247"/>
      <c r="P268" s="247"/>
      <c r="Q268" s="247"/>
      <c r="R268" s="247"/>
      <c r="S268" s="247"/>
      <c r="T268" s="247"/>
      <c r="V268" s="395"/>
      <c r="W268" s="284"/>
      <c r="X268" s="247"/>
      <c r="Y268" s="247"/>
      <c r="Z268" s="247"/>
      <c r="AA268" s="247"/>
      <c r="AB268" s="247"/>
      <c r="AC268" s="247"/>
      <c r="AD268" s="247"/>
      <c r="AE268" s="247"/>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row>
    <row r="269" spans="11:66" s="251" customFormat="1" x14ac:dyDescent="0.25">
      <c r="K269" s="250"/>
      <c r="L269" s="246"/>
      <c r="M269" s="247"/>
      <c r="N269" s="247"/>
      <c r="O269" s="247"/>
      <c r="P269" s="247"/>
      <c r="Q269" s="247"/>
      <c r="R269" s="247"/>
      <c r="S269" s="247"/>
      <c r="T269" s="247"/>
      <c r="V269" s="395"/>
      <c r="W269" s="284"/>
      <c r="X269" s="247"/>
      <c r="Y269" s="247"/>
      <c r="Z269" s="247"/>
      <c r="AA269" s="247"/>
      <c r="AB269" s="247"/>
      <c r="AC269" s="247"/>
      <c r="AD269" s="247"/>
      <c r="AE269" s="247"/>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row>
    <row r="270" spans="11:66" s="251" customFormat="1" x14ac:dyDescent="0.25">
      <c r="K270" s="250"/>
      <c r="L270" s="246"/>
      <c r="M270" s="247"/>
      <c r="N270" s="247"/>
      <c r="O270" s="247"/>
      <c r="P270" s="247"/>
      <c r="Q270" s="247"/>
      <c r="R270" s="247"/>
      <c r="S270" s="247"/>
      <c r="T270" s="247"/>
      <c r="V270" s="395"/>
      <c r="W270" s="284"/>
      <c r="X270" s="247"/>
      <c r="Y270" s="247"/>
      <c r="Z270" s="247"/>
      <c r="AA270" s="247"/>
      <c r="AB270" s="247"/>
      <c r="AC270" s="247"/>
      <c r="AD270" s="247"/>
      <c r="AE270" s="247"/>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row>
    <row r="271" spans="11:66" s="251" customFormat="1" x14ac:dyDescent="0.25">
      <c r="K271" s="250"/>
      <c r="L271" s="246"/>
      <c r="M271" s="247"/>
      <c r="N271" s="247"/>
      <c r="O271" s="247"/>
      <c r="P271" s="247"/>
      <c r="Q271" s="247"/>
      <c r="R271" s="247"/>
      <c r="S271" s="247"/>
      <c r="T271" s="247"/>
      <c r="V271" s="395"/>
      <c r="W271" s="284"/>
      <c r="X271" s="247"/>
      <c r="Y271" s="247"/>
      <c r="Z271" s="247"/>
      <c r="AA271" s="247"/>
      <c r="AB271" s="247"/>
      <c r="AC271" s="247"/>
      <c r="AD271" s="247"/>
      <c r="AE271" s="247"/>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row>
    <row r="272" spans="11:66" s="251" customFormat="1" x14ac:dyDescent="0.25">
      <c r="K272" s="250"/>
      <c r="L272" s="246"/>
      <c r="M272" s="247"/>
      <c r="N272" s="247"/>
      <c r="O272" s="247"/>
      <c r="P272" s="247"/>
      <c r="Q272" s="247"/>
      <c r="R272" s="247"/>
      <c r="S272" s="247"/>
      <c r="T272" s="247"/>
      <c r="V272" s="395"/>
      <c r="W272" s="284"/>
      <c r="X272" s="247"/>
      <c r="Y272" s="247"/>
      <c r="Z272" s="247"/>
      <c r="AA272" s="247"/>
      <c r="AB272" s="247"/>
      <c r="AC272" s="247"/>
      <c r="AD272" s="247"/>
      <c r="AE272" s="247"/>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row>
    <row r="273" spans="11:66" s="251" customFormat="1" x14ac:dyDescent="0.25">
      <c r="K273" s="250"/>
      <c r="L273" s="246"/>
      <c r="M273" s="247"/>
      <c r="N273" s="247"/>
      <c r="O273" s="247"/>
      <c r="P273" s="247"/>
      <c r="Q273" s="247"/>
      <c r="R273" s="247"/>
      <c r="S273" s="247"/>
      <c r="T273" s="247"/>
      <c r="V273" s="395"/>
      <c r="W273" s="284"/>
      <c r="X273" s="247"/>
      <c r="Y273" s="247"/>
      <c r="Z273" s="247"/>
      <c r="AA273" s="247"/>
      <c r="AB273" s="247"/>
      <c r="AC273" s="247"/>
      <c r="AD273" s="247"/>
      <c r="AE273" s="247"/>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row>
    <row r="274" spans="11:66" s="251" customFormat="1" x14ac:dyDescent="0.25">
      <c r="K274" s="250"/>
      <c r="L274" s="246"/>
      <c r="M274" s="247"/>
      <c r="N274" s="247"/>
      <c r="O274" s="247"/>
      <c r="P274" s="247"/>
      <c r="Q274" s="247"/>
      <c r="R274" s="247"/>
      <c r="S274" s="247"/>
      <c r="T274" s="247"/>
      <c r="V274" s="395"/>
      <c r="W274" s="284"/>
      <c r="X274" s="247"/>
      <c r="Y274" s="247"/>
      <c r="Z274" s="247"/>
      <c r="AA274" s="247"/>
      <c r="AB274" s="247"/>
      <c r="AC274" s="247"/>
      <c r="AD274" s="247"/>
      <c r="AE274" s="247"/>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row>
    <row r="275" spans="11:66" s="251" customFormat="1" x14ac:dyDescent="0.25">
      <c r="K275" s="250"/>
      <c r="L275" s="246"/>
      <c r="M275" s="247"/>
      <c r="N275" s="247"/>
      <c r="O275" s="247"/>
      <c r="P275" s="247"/>
      <c r="Q275" s="247"/>
      <c r="R275" s="247"/>
      <c r="S275" s="247"/>
      <c r="T275" s="247"/>
      <c r="V275" s="395"/>
      <c r="W275" s="284"/>
      <c r="X275" s="247"/>
      <c r="Y275" s="247"/>
      <c r="Z275" s="247"/>
      <c r="AA275" s="247"/>
      <c r="AB275" s="247"/>
      <c r="AC275" s="247"/>
      <c r="AD275" s="247"/>
      <c r="AE275" s="247"/>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row>
    <row r="276" spans="11:66" s="251" customFormat="1" x14ac:dyDescent="0.25">
      <c r="K276" s="250"/>
      <c r="L276" s="246"/>
      <c r="M276" s="247"/>
      <c r="N276" s="247"/>
      <c r="O276" s="247"/>
      <c r="P276" s="247"/>
      <c r="Q276" s="247"/>
      <c r="R276" s="247"/>
      <c r="S276" s="247"/>
      <c r="T276" s="247"/>
      <c r="V276" s="395"/>
      <c r="W276" s="284"/>
      <c r="X276" s="247"/>
      <c r="Y276" s="247"/>
      <c r="Z276" s="247"/>
      <c r="AA276" s="247"/>
      <c r="AB276" s="247"/>
      <c r="AC276" s="247"/>
      <c r="AD276" s="247"/>
      <c r="AE276" s="247"/>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row>
    <row r="277" spans="11:66" s="251" customFormat="1" x14ac:dyDescent="0.25">
      <c r="K277" s="250"/>
      <c r="L277" s="246"/>
      <c r="M277" s="247"/>
      <c r="N277" s="247"/>
      <c r="O277" s="247"/>
      <c r="P277" s="247"/>
      <c r="Q277" s="247"/>
      <c r="R277" s="247"/>
      <c r="S277" s="247"/>
      <c r="T277" s="247"/>
      <c r="V277" s="395"/>
      <c r="W277" s="284"/>
      <c r="X277" s="247"/>
      <c r="Y277" s="247"/>
      <c r="Z277" s="247"/>
      <c r="AA277" s="247"/>
      <c r="AB277" s="247"/>
      <c r="AC277" s="247"/>
      <c r="AD277" s="247"/>
      <c r="AE277" s="247"/>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row>
    <row r="278" spans="11:66" s="251" customFormat="1" x14ac:dyDescent="0.25">
      <c r="K278" s="250"/>
      <c r="L278" s="246"/>
      <c r="M278" s="247"/>
      <c r="N278" s="247"/>
      <c r="O278" s="247"/>
      <c r="P278" s="247"/>
      <c r="Q278" s="247"/>
      <c r="R278" s="247"/>
      <c r="S278" s="247"/>
      <c r="T278" s="247"/>
      <c r="V278" s="395"/>
      <c r="W278" s="284"/>
      <c r="X278" s="247"/>
      <c r="Y278" s="247"/>
      <c r="Z278" s="247"/>
      <c r="AA278" s="247"/>
      <c r="AB278" s="247"/>
      <c r="AC278" s="247"/>
      <c r="AD278" s="247"/>
      <c r="AE278" s="247"/>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row>
    <row r="279" spans="11:66" s="251" customFormat="1" x14ac:dyDescent="0.25">
      <c r="K279" s="250"/>
      <c r="L279" s="246"/>
      <c r="M279" s="247"/>
      <c r="N279" s="247"/>
      <c r="O279" s="247"/>
      <c r="P279" s="247"/>
      <c r="Q279" s="247"/>
      <c r="R279" s="247"/>
      <c r="S279" s="247"/>
      <c r="T279" s="247"/>
      <c r="V279" s="395"/>
      <c r="W279" s="284"/>
      <c r="X279" s="247"/>
      <c r="Y279" s="247"/>
      <c r="Z279" s="247"/>
      <c r="AA279" s="247"/>
      <c r="AB279" s="247"/>
      <c r="AC279" s="247"/>
      <c r="AD279" s="247"/>
      <c r="AE279" s="247"/>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row>
    <row r="280" spans="11:66" s="251" customFormat="1" x14ac:dyDescent="0.25">
      <c r="K280" s="250"/>
      <c r="L280" s="246"/>
      <c r="M280" s="247"/>
      <c r="N280" s="247"/>
      <c r="O280" s="247"/>
      <c r="P280" s="247"/>
      <c r="Q280" s="247"/>
      <c r="R280" s="247"/>
      <c r="S280" s="247"/>
      <c r="T280" s="247"/>
      <c r="V280" s="395"/>
      <c r="W280" s="284"/>
      <c r="X280" s="247"/>
      <c r="Y280" s="247"/>
      <c r="Z280" s="247"/>
      <c r="AA280" s="247"/>
      <c r="AB280" s="247"/>
      <c r="AC280" s="247"/>
      <c r="AD280" s="247"/>
      <c r="AE280" s="247"/>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row>
    <row r="281" spans="11:66" s="251" customFormat="1" x14ac:dyDescent="0.25">
      <c r="K281" s="250"/>
      <c r="L281" s="246"/>
      <c r="M281" s="247"/>
      <c r="N281" s="247"/>
      <c r="O281" s="247"/>
      <c r="P281" s="247"/>
      <c r="Q281" s="247"/>
      <c r="R281" s="247"/>
      <c r="S281" s="247"/>
      <c r="T281" s="247"/>
      <c r="V281" s="395"/>
      <c r="W281" s="284"/>
      <c r="X281" s="247"/>
      <c r="Y281" s="247"/>
      <c r="Z281" s="247"/>
      <c r="AA281" s="247"/>
      <c r="AB281" s="247"/>
      <c r="AC281" s="247"/>
      <c r="AD281" s="247"/>
      <c r="AE281" s="247"/>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row>
    <row r="282" spans="11:66" s="251" customFormat="1" x14ac:dyDescent="0.25">
      <c r="K282" s="250"/>
      <c r="L282" s="246"/>
      <c r="M282" s="247"/>
      <c r="N282" s="247"/>
      <c r="O282" s="247"/>
      <c r="P282" s="247"/>
      <c r="Q282" s="247"/>
      <c r="R282" s="247"/>
      <c r="S282" s="247"/>
      <c r="T282" s="247"/>
      <c r="V282" s="395"/>
      <c r="W282" s="284"/>
      <c r="X282" s="247"/>
      <c r="Y282" s="247"/>
      <c r="Z282" s="247"/>
      <c r="AA282" s="247"/>
      <c r="AB282" s="247"/>
      <c r="AC282" s="247"/>
      <c r="AD282" s="247"/>
      <c r="AE282" s="247"/>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row>
    <row r="283" spans="11:66" s="251" customFormat="1" x14ac:dyDescent="0.25">
      <c r="K283" s="250"/>
      <c r="L283" s="246"/>
      <c r="M283" s="247"/>
      <c r="N283" s="247"/>
      <c r="O283" s="247"/>
      <c r="P283" s="247"/>
      <c r="Q283" s="247"/>
      <c r="R283" s="247"/>
      <c r="S283" s="247"/>
      <c r="T283" s="247"/>
      <c r="V283" s="395"/>
      <c r="W283" s="284"/>
      <c r="X283" s="247"/>
      <c r="Y283" s="247"/>
      <c r="Z283" s="247"/>
      <c r="AA283" s="247"/>
      <c r="AB283" s="247"/>
      <c r="AC283" s="247"/>
      <c r="AD283" s="247"/>
      <c r="AE283" s="247"/>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row>
    <row r="284" spans="11:66" s="251" customFormat="1" x14ac:dyDescent="0.25">
      <c r="K284" s="250"/>
      <c r="L284" s="246"/>
      <c r="M284" s="247"/>
      <c r="N284" s="247"/>
      <c r="O284" s="247"/>
      <c r="P284" s="247"/>
      <c r="Q284" s="247"/>
      <c r="R284" s="247"/>
      <c r="S284" s="247"/>
      <c r="T284" s="247"/>
      <c r="V284" s="395"/>
      <c r="W284" s="284"/>
      <c r="X284" s="247"/>
      <c r="Y284" s="247"/>
      <c r="Z284" s="247"/>
      <c r="AA284" s="247"/>
      <c r="AB284" s="247"/>
      <c r="AC284" s="247"/>
      <c r="AD284" s="247"/>
      <c r="AE284" s="247"/>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row>
    <row r="285" spans="11:66" s="251" customFormat="1" x14ac:dyDescent="0.25">
      <c r="K285" s="250"/>
      <c r="L285" s="246"/>
      <c r="M285" s="247"/>
      <c r="N285" s="247"/>
      <c r="O285" s="247"/>
      <c r="P285" s="247"/>
      <c r="Q285" s="247"/>
      <c r="R285" s="247"/>
      <c r="S285" s="247"/>
      <c r="T285" s="247"/>
      <c r="V285" s="395"/>
      <c r="W285" s="284"/>
      <c r="X285" s="247"/>
      <c r="Y285" s="247"/>
      <c r="Z285" s="247"/>
      <c r="AA285" s="247"/>
      <c r="AB285" s="247"/>
      <c r="AC285" s="247"/>
      <c r="AD285" s="247"/>
      <c r="AE285" s="247"/>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row>
    <row r="286" spans="11:66" s="251" customFormat="1" x14ac:dyDescent="0.25">
      <c r="K286" s="250"/>
      <c r="L286" s="246"/>
      <c r="M286" s="247"/>
      <c r="N286" s="247"/>
      <c r="O286" s="247"/>
      <c r="P286" s="247"/>
      <c r="Q286" s="247"/>
      <c r="R286" s="247"/>
      <c r="S286" s="247"/>
      <c r="T286" s="247"/>
      <c r="V286" s="395"/>
      <c r="W286" s="284"/>
      <c r="X286" s="247"/>
      <c r="Y286" s="247"/>
      <c r="Z286" s="247"/>
      <c r="AA286" s="247"/>
      <c r="AB286" s="247"/>
      <c r="AC286" s="247"/>
      <c r="AD286" s="247"/>
      <c r="AE286" s="247"/>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row>
    <row r="287" spans="11:66" s="251" customFormat="1" x14ac:dyDescent="0.25">
      <c r="K287" s="250"/>
      <c r="L287" s="246"/>
      <c r="M287" s="247"/>
      <c r="N287" s="247"/>
      <c r="O287" s="247"/>
      <c r="P287" s="247"/>
      <c r="Q287" s="247"/>
      <c r="R287" s="247"/>
      <c r="S287" s="247"/>
      <c r="T287" s="247"/>
      <c r="V287" s="395"/>
      <c r="W287" s="284"/>
      <c r="X287" s="247"/>
      <c r="Y287" s="247"/>
      <c r="Z287" s="247"/>
      <c r="AA287" s="247"/>
      <c r="AB287" s="247"/>
      <c r="AC287" s="247"/>
      <c r="AD287" s="247"/>
      <c r="AE287" s="247"/>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row>
    <row r="288" spans="11:66" s="251" customFormat="1" x14ac:dyDescent="0.25">
      <c r="K288" s="250"/>
      <c r="L288" s="246"/>
      <c r="M288" s="247"/>
      <c r="N288" s="247"/>
      <c r="O288" s="247"/>
      <c r="P288" s="247"/>
      <c r="Q288" s="247"/>
      <c r="R288" s="247"/>
      <c r="S288" s="247"/>
      <c r="T288" s="247"/>
      <c r="V288" s="395"/>
      <c r="W288" s="284"/>
      <c r="X288" s="247"/>
      <c r="Y288" s="247"/>
      <c r="Z288" s="247"/>
      <c r="AA288" s="247"/>
      <c r="AB288" s="247"/>
      <c r="AC288" s="247"/>
      <c r="AD288" s="247"/>
      <c r="AE288" s="247"/>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row>
    <row r="289" spans="11:66" s="251" customFormat="1" x14ac:dyDescent="0.25">
      <c r="K289" s="250"/>
      <c r="L289" s="246"/>
      <c r="M289" s="247"/>
      <c r="N289" s="247"/>
      <c r="O289" s="247"/>
      <c r="P289" s="247"/>
      <c r="Q289" s="247"/>
      <c r="R289" s="247"/>
      <c r="S289" s="247"/>
      <c r="T289" s="247"/>
      <c r="V289" s="395"/>
      <c r="W289" s="284"/>
      <c r="X289" s="247"/>
      <c r="Y289" s="247"/>
      <c r="Z289" s="247"/>
      <c r="AA289" s="247"/>
      <c r="AB289" s="247"/>
      <c r="AC289" s="247"/>
      <c r="AD289" s="247"/>
      <c r="AE289" s="247"/>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row>
    <row r="290" spans="11:66" s="251" customFormat="1" x14ac:dyDescent="0.25">
      <c r="K290" s="250"/>
      <c r="L290" s="246"/>
      <c r="M290" s="247"/>
      <c r="N290" s="247"/>
      <c r="O290" s="247"/>
      <c r="P290" s="247"/>
      <c r="Q290" s="247"/>
      <c r="R290" s="247"/>
      <c r="S290" s="247"/>
      <c r="T290" s="247"/>
      <c r="V290" s="395"/>
      <c r="W290" s="284"/>
      <c r="X290" s="247"/>
      <c r="Y290" s="247"/>
      <c r="Z290" s="247"/>
      <c r="AA290" s="247"/>
      <c r="AB290" s="247"/>
      <c r="AC290" s="247"/>
      <c r="AD290" s="247"/>
      <c r="AE290" s="247"/>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row>
    <row r="291" spans="11:66" s="251" customFormat="1" x14ac:dyDescent="0.25">
      <c r="K291" s="250"/>
      <c r="L291" s="246"/>
      <c r="M291" s="247"/>
      <c r="N291" s="247"/>
      <c r="O291" s="247"/>
      <c r="P291" s="247"/>
      <c r="Q291" s="247"/>
      <c r="R291" s="247"/>
      <c r="S291" s="247"/>
      <c r="T291" s="247"/>
      <c r="V291" s="395"/>
      <c r="W291" s="284"/>
      <c r="X291" s="247"/>
      <c r="Y291" s="247"/>
      <c r="Z291" s="247"/>
      <c r="AA291" s="247"/>
      <c r="AB291" s="247"/>
      <c r="AC291" s="247"/>
      <c r="AD291" s="247"/>
      <c r="AE291" s="247"/>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row>
    <row r="292" spans="11:66" s="251" customFormat="1" x14ac:dyDescent="0.25">
      <c r="K292" s="250"/>
      <c r="L292" s="246"/>
      <c r="M292" s="247"/>
      <c r="N292" s="247"/>
      <c r="O292" s="247"/>
      <c r="P292" s="247"/>
      <c r="Q292" s="247"/>
      <c r="R292" s="247"/>
      <c r="S292" s="247"/>
      <c r="T292" s="247"/>
      <c r="V292" s="395"/>
      <c r="W292" s="284"/>
      <c r="X292" s="247"/>
      <c r="Y292" s="247"/>
      <c r="Z292" s="247"/>
      <c r="AA292" s="247"/>
      <c r="AB292" s="247"/>
      <c r="AC292" s="247"/>
      <c r="AD292" s="247"/>
      <c r="AE292" s="247"/>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row>
    <row r="293" spans="11:66" s="251" customFormat="1" x14ac:dyDescent="0.25">
      <c r="K293" s="250"/>
      <c r="L293" s="246"/>
      <c r="M293" s="247"/>
      <c r="N293" s="247"/>
      <c r="O293" s="247"/>
      <c r="P293" s="247"/>
      <c r="Q293" s="247"/>
      <c r="R293" s="247"/>
      <c r="S293" s="247"/>
      <c r="T293" s="247"/>
      <c r="V293" s="395"/>
      <c r="W293" s="284"/>
      <c r="X293" s="247"/>
      <c r="Y293" s="247"/>
      <c r="Z293" s="247"/>
      <c r="AA293" s="247"/>
      <c r="AB293" s="247"/>
      <c r="AC293" s="247"/>
      <c r="AD293" s="247"/>
      <c r="AE293" s="247"/>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row>
    <row r="294" spans="11:66" s="251" customFormat="1" x14ac:dyDescent="0.25">
      <c r="K294" s="250"/>
      <c r="L294" s="246"/>
      <c r="M294" s="247"/>
      <c r="N294" s="247"/>
      <c r="O294" s="247"/>
      <c r="P294" s="247"/>
      <c r="Q294" s="247"/>
      <c r="R294" s="247"/>
      <c r="S294" s="247"/>
      <c r="T294" s="247"/>
      <c r="V294" s="395"/>
      <c r="W294" s="284"/>
      <c r="X294" s="247"/>
      <c r="Y294" s="247"/>
      <c r="Z294" s="247"/>
      <c r="AA294" s="247"/>
      <c r="AB294" s="247"/>
      <c r="AC294" s="247"/>
      <c r="AD294" s="247"/>
      <c r="AE294" s="247"/>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row>
    <row r="295" spans="11:66" s="251" customFormat="1" x14ac:dyDescent="0.25">
      <c r="K295" s="250"/>
      <c r="L295" s="246"/>
      <c r="M295" s="247"/>
      <c r="N295" s="247"/>
      <c r="O295" s="247"/>
      <c r="P295" s="247"/>
      <c r="Q295" s="247"/>
      <c r="R295" s="247"/>
      <c r="S295" s="247"/>
      <c r="T295" s="247"/>
      <c r="V295" s="395"/>
      <c r="W295" s="284"/>
      <c r="X295" s="247"/>
      <c r="Y295" s="247"/>
      <c r="Z295" s="247"/>
      <c r="AA295" s="247"/>
      <c r="AB295" s="247"/>
      <c r="AC295" s="247"/>
      <c r="AD295" s="247"/>
      <c r="AE295" s="247"/>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row>
    <row r="296" spans="11:66" s="251" customFormat="1" x14ac:dyDescent="0.25">
      <c r="K296" s="250"/>
      <c r="L296" s="246"/>
      <c r="M296" s="247"/>
      <c r="N296" s="247"/>
      <c r="O296" s="247"/>
      <c r="P296" s="247"/>
      <c r="Q296" s="247"/>
      <c r="R296" s="247"/>
      <c r="S296" s="247"/>
      <c r="T296" s="247"/>
      <c r="V296" s="395"/>
      <c r="W296" s="284"/>
      <c r="X296" s="247"/>
      <c r="Y296" s="247"/>
      <c r="Z296" s="247"/>
      <c r="AA296" s="247"/>
      <c r="AB296" s="247"/>
      <c r="AC296" s="247"/>
      <c r="AD296" s="247"/>
      <c r="AE296" s="247"/>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row>
    <row r="297" spans="11:66" s="251" customFormat="1" x14ac:dyDescent="0.25">
      <c r="K297" s="250"/>
      <c r="L297" s="246"/>
      <c r="M297" s="247"/>
      <c r="N297" s="247"/>
      <c r="O297" s="247"/>
      <c r="P297" s="247"/>
      <c r="Q297" s="247"/>
      <c r="R297" s="247"/>
      <c r="S297" s="247"/>
      <c r="T297" s="247"/>
      <c r="V297" s="395"/>
      <c r="W297" s="284"/>
      <c r="X297" s="247"/>
      <c r="Y297" s="247"/>
      <c r="Z297" s="247"/>
      <c r="AA297" s="247"/>
      <c r="AB297" s="247"/>
      <c r="AC297" s="247"/>
      <c r="AD297" s="247"/>
      <c r="AE297" s="247"/>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row>
    <row r="298" spans="11:66" s="251" customFormat="1" x14ac:dyDescent="0.25">
      <c r="K298" s="250"/>
      <c r="L298" s="246"/>
      <c r="M298" s="247"/>
      <c r="N298" s="247"/>
      <c r="O298" s="247"/>
      <c r="P298" s="247"/>
      <c r="Q298" s="247"/>
      <c r="R298" s="247"/>
      <c r="S298" s="247"/>
      <c r="T298" s="247"/>
      <c r="V298" s="395"/>
      <c r="W298" s="284"/>
      <c r="X298" s="247"/>
      <c r="Y298" s="247"/>
      <c r="Z298" s="247"/>
      <c r="AA298" s="247"/>
      <c r="AB298" s="247"/>
      <c r="AC298" s="247"/>
      <c r="AD298" s="247"/>
      <c r="AE298" s="247"/>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row>
    <row r="299" spans="11:66" s="251" customFormat="1" x14ac:dyDescent="0.25">
      <c r="K299" s="250"/>
      <c r="L299" s="246"/>
      <c r="M299" s="247"/>
      <c r="N299" s="247"/>
      <c r="O299" s="247"/>
      <c r="P299" s="247"/>
      <c r="Q299" s="247"/>
      <c r="R299" s="247"/>
      <c r="S299" s="247"/>
      <c r="T299" s="247"/>
      <c r="V299" s="395"/>
      <c r="W299" s="284"/>
      <c r="X299" s="247"/>
      <c r="Y299" s="247"/>
      <c r="Z299" s="247"/>
      <c r="AA299" s="247"/>
      <c r="AB299" s="247"/>
      <c r="AC299" s="247"/>
      <c r="AD299" s="247"/>
      <c r="AE299" s="247"/>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row>
    <row r="300" spans="11:66" s="251" customFormat="1" x14ac:dyDescent="0.25">
      <c r="K300" s="250"/>
      <c r="L300" s="246"/>
      <c r="M300" s="247"/>
      <c r="N300" s="247"/>
      <c r="O300" s="247"/>
      <c r="P300" s="247"/>
      <c r="Q300" s="247"/>
      <c r="R300" s="247"/>
      <c r="S300" s="247"/>
      <c r="T300" s="247"/>
      <c r="V300" s="395"/>
      <c r="W300" s="284"/>
      <c r="X300" s="247"/>
      <c r="Y300" s="247"/>
      <c r="Z300" s="247"/>
      <c r="AA300" s="247"/>
      <c r="AB300" s="247"/>
      <c r="AC300" s="247"/>
      <c r="AD300" s="247"/>
      <c r="AE300" s="247"/>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row>
    <row r="301" spans="11:66" s="251" customFormat="1" x14ac:dyDescent="0.25">
      <c r="K301" s="250"/>
      <c r="L301" s="246"/>
      <c r="M301" s="247"/>
      <c r="N301" s="247"/>
      <c r="O301" s="247"/>
      <c r="P301" s="247"/>
      <c r="Q301" s="247"/>
      <c r="R301" s="247"/>
      <c r="S301" s="247"/>
      <c r="T301" s="247"/>
      <c r="V301" s="395"/>
      <c r="W301" s="284"/>
      <c r="X301" s="247"/>
      <c r="Y301" s="247"/>
      <c r="Z301" s="247"/>
      <c r="AA301" s="247"/>
      <c r="AB301" s="247"/>
      <c r="AC301" s="247"/>
      <c r="AD301" s="247"/>
      <c r="AE301" s="247"/>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row>
    <row r="302" spans="11:66" s="251" customFormat="1" x14ac:dyDescent="0.25">
      <c r="K302" s="250"/>
      <c r="L302" s="246"/>
      <c r="M302" s="247"/>
      <c r="N302" s="247"/>
      <c r="O302" s="247"/>
      <c r="P302" s="247"/>
      <c r="Q302" s="247"/>
      <c r="R302" s="247"/>
      <c r="S302" s="247"/>
      <c r="T302" s="247"/>
      <c r="V302" s="395"/>
      <c r="W302" s="284"/>
      <c r="X302" s="247"/>
      <c r="Y302" s="247"/>
      <c r="Z302" s="247"/>
      <c r="AA302" s="247"/>
      <c r="AB302" s="247"/>
      <c r="AC302" s="247"/>
      <c r="AD302" s="247"/>
      <c r="AE302" s="247"/>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row>
    <row r="303" spans="11:66" s="251" customFormat="1" x14ac:dyDescent="0.25">
      <c r="K303" s="250"/>
      <c r="L303" s="246"/>
      <c r="M303" s="247"/>
      <c r="N303" s="247"/>
      <c r="O303" s="247"/>
      <c r="P303" s="247"/>
      <c r="Q303" s="247"/>
      <c r="R303" s="247"/>
      <c r="S303" s="247"/>
      <c r="T303" s="247"/>
      <c r="V303" s="395"/>
      <c r="W303" s="284"/>
      <c r="X303" s="247"/>
      <c r="Y303" s="247"/>
      <c r="Z303" s="247"/>
      <c r="AA303" s="247"/>
      <c r="AB303" s="247"/>
      <c r="AC303" s="247"/>
      <c r="AD303" s="247"/>
      <c r="AE303" s="247"/>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row>
    <row r="304" spans="11:66" s="251" customFormat="1" x14ac:dyDescent="0.25">
      <c r="K304" s="250"/>
      <c r="L304" s="246"/>
      <c r="M304" s="247"/>
      <c r="N304" s="247"/>
      <c r="O304" s="247"/>
      <c r="P304" s="247"/>
      <c r="Q304" s="247"/>
      <c r="R304" s="247"/>
      <c r="S304" s="247"/>
      <c r="T304" s="247"/>
      <c r="V304" s="395"/>
      <c r="W304" s="284"/>
      <c r="X304" s="247"/>
      <c r="Y304" s="247"/>
      <c r="Z304" s="247"/>
      <c r="AA304" s="247"/>
      <c r="AB304" s="247"/>
      <c r="AC304" s="247"/>
      <c r="AD304" s="247"/>
      <c r="AE304" s="247"/>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row>
    <row r="305" spans="11:66" s="251" customFormat="1" x14ac:dyDescent="0.25">
      <c r="K305" s="250"/>
      <c r="L305" s="246"/>
      <c r="M305" s="247"/>
      <c r="N305" s="247"/>
      <c r="O305" s="247"/>
      <c r="P305" s="247"/>
      <c r="Q305" s="247"/>
      <c r="R305" s="247"/>
      <c r="S305" s="247"/>
      <c r="T305" s="247"/>
      <c r="V305" s="395"/>
      <c r="W305" s="284"/>
      <c r="X305" s="247"/>
      <c r="Y305" s="247"/>
      <c r="Z305" s="247"/>
      <c r="AA305" s="247"/>
      <c r="AB305" s="247"/>
      <c r="AC305" s="247"/>
      <c r="AD305" s="247"/>
      <c r="AE305" s="247"/>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row>
    <row r="306" spans="11:66" s="251" customFormat="1" x14ac:dyDescent="0.25">
      <c r="K306" s="250"/>
      <c r="L306" s="246"/>
      <c r="M306" s="247"/>
      <c r="N306" s="247"/>
      <c r="O306" s="247"/>
      <c r="P306" s="247"/>
      <c r="Q306" s="247"/>
      <c r="R306" s="247"/>
      <c r="S306" s="247"/>
      <c r="T306" s="247"/>
      <c r="V306" s="395"/>
      <c r="W306" s="284"/>
      <c r="X306" s="247"/>
      <c r="Y306" s="247"/>
      <c r="Z306" s="247"/>
      <c r="AA306" s="247"/>
      <c r="AB306" s="247"/>
      <c r="AC306" s="247"/>
      <c r="AD306" s="247"/>
      <c r="AE306" s="247"/>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row>
    <row r="307" spans="11:66" s="251" customFormat="1" x14ac:dyDescent="0.25">
      <c r="K307" s="250"/>
      <c r="L307" s="246"/>
      <c r="M307" s="247"/>
      <c r="N307" s="247"/>
      <c r="O307" s="247"/>
      <c r="P307" s="247"/>
      <c r="Q307" s="247"/>
      <c r="R307" s="247"/>
      <c r="S307" s="247"/>
      <c r="T307" s="247"/>
      <c r="V307" s="395"/>
      <c r="W307" s="284"/>
      <c r="X307" s="247"/>
      <c r="Y307" s="247"/>
      <c r="Z307" s="247"/>
      <c r="AA307" s="247"/>
      <c r="AB307" s="247"/>
      <c r="AC307" s="247"/>
      <c r="AD307" s="247"/>
      <c r="AE307" s="247"/>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row>
    <row r="308" spans="11:66" s="251" customFormat="1" x14ac:dyDescent="0.25">
      <c r="K308" s="250"/>
      <c r="L308" s="246"/>
      <c r="M308" s="247"/>
      <c r="N308" s="247"/>
      <c r="O308" s="247"/>
      <c r="P308" s="247"/>
      <c r="Q308" s="247"/>
      <c r="R308" s="247"/>
      <c r="S308" s="247"/>
      <c r="T308" s="247"/>
      <c r="V308" s="395"/>
      <c r="W308" s="284"/>
      <c r="X308" s="247"/>
      <c r="Y308" s="247"/>
      <c r="Z308" s="247"/>
      <c r="AA308" s="247"/>
      <c r="AB308" s="247"/>
      <c r="AC308" s="247"/>
      <c r="AD308" s="247"/>
      <c r="AE308" s="247"/>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row>
    <row r="309" spans="11:66" s="251" customFormat="1" x14ac:dyDescent="0.25">
      <c r="K309" s="250"/>
      <c r="L309" s="246"/>
      <c r="M309" s="247"/>
      <c r="N309" s="247"/>
      <c r="O309" s="247"/>
      <c r="P309" s="247"/>
      <c r="Q309" s="247"/>
      <c r="R309" s="247"/>
      <c r="S309" s="247"/>
      <c r="T309" s="247"/>
      <c r="V309" s="395"/>
      <c r="W309" s="284"/>
      <c r="X309" s="247"/>
      <c r="Y309" s="247"/>
      <c r="Z309" s="247"/>
      <c r="AA309" s="247"/>
      <c r="AB309" s="247"/>
      <c r="AC309" s="247"/>
      <c r="AD309" s="247"/>
      <c r="AE309" s="247"/>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row>
    <row r="310" spans="11:66" s="251" customFormat="1" x14ac:dyDescent="0.25">
      <c r="K310" s="250"/>
      <c r="L310" s="246"/>
      <c r="M310" s="247"/>
      <c r="N310" s="247"/>
      <c r="O310" s="247"/>
      <c r="P310" s="247"/>
      <c r="Q310" s="247"/>
      <c r="R310" s="247"/>
      <c r="S310" s="247"/>
      <c r="T310" s="247"/>
      <c r="V310" s="395"/>
      <c r="W310" s="284"/>
      <c r="X310" s="247"/>
      <c r="Y310" s="247"/>
      <c r="Z310" s="247"/>
      <c r="AA310" s="247"/>
      <c r="AB310" s="247"/>
      <c r="AC310" s="247"/>
      <c r="AD310" s="247"/>
      <c r="AE310" s="247"/>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row>
    <row r="311" spans="11:66" s="251" customFormat="1" x14ac:dyDescent="0.25">
      <c r="K311" s="250"/>
      <c r="L311" s="246"/>
      <c r="M311" s="247"/>
      <c r="N311" s="247"/>
      <c r="O311" s="247"/>
      <c r="P311" s="247"/>
      <c r="Q311" s="247"/>
      <c r="R311" s="247"/>
      <c r="S311" s="247"/>
      <c r="T311" s="247"/>
      <c r="V311" s="395"/>
      <c r="W311" s="284"/>
      <c r="X311" s="247"/>
      <c r="Y311" s="247"/>
      <c r="Z311" s="247"/>
      <c r="AA311" s="247"/>
      <c r="AB311" s="247"/>
      <c r="AC311" s="247"/>
      <c r="AD311" s="247"/>
      <c r="AE311" s="247"/>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row>
    <row r="312" spans="11:66" s="251" customFormat="1" x14ac:dyDescent="0.25">
      <c r="K312" s="250"/>
      <c r="L312" s="246"/>
      <c r="M312" s="247"/>
      <c r="N312" s="247"/>
      <c r="O312" s="247"/>
      <c r="P312" s="247"/>
      <c r="Q312" s="247"/>
      <c r="R312" s="247"/>
      <c r="S312" s="247"/>
      <c r="T312" s="247"/>
      <c r="V312" s="395"/>
      <c r="W312" s="284"/>
      <c r="X312" s="247"/>
      <c r="Y312" s="247"/>
      <c r="Z312" s="247"/>
      <c r="AA312" s="247"/>
      <c r="AB312" s="247"/>
      <c r="AC312" s="247"/>
      <c r="AD312" s="247"/>
      <c r="AE312" s="247"/>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row>
    <row r="313" spans="11:66" s="251" customFormat="1" x14ac:dyDescent="0.25">
      <c r="K313" s="250"/>
      <c r="L313" s="246"/>
      <c r="M313" s="247"/>
      <c r="N313" s="247"/>
      <c r="O313" s="247"/>
      <c r="P313" s="247"/>
      <c r="Q313" s="247"/>
      <c r="R313" s="247"/>
      <c r="S313" s="247"/>
      <c r="T313" s="247"/>
      <c r="V313" s="395"/>
      <c r="W313" s="284"/>
      <c r="X313" s="247"/>
      <c r="Y313" s="247"/>
      <c r="Z313" s="247"/>
      <c r="AA313" s="247"/>
      <c r="AB313" s="247"/>
      <c r="AC313" s="247"/>
      <c r="AD313" s="247"/>
      <c r="AE313" s="247"/>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row>
    <row r="314" spans="11:66" s="251" customFormat="1" x14ac:dyDescent="0.25">
      <c r="K314" s="250"/>
      <c r="L314" s="246"/>
      <c r="M314" s="247"/>
      <c r="N314" s="247"/>
      <c r="O314" s="247"/>
      <c r="P314" s="247"/>
      <c r="Q314" s="247"/>
      <c r="R314" s="247"/>
      <c r="S314" s="247"/>
      <c r="T314" s="247"/>
      <c r="V314" s="395"/>
      <c r="W314" s="284"/>
      <c r="X314" s="247"/>
      <c r="Y314" s="247"/>
      <c r="Z314" s="247"/>
      <c r="AA314" s="247"/>
      <c r="AB314" s="247"/>
      <c r="AC314" s="247"/>
      <c r="AD314" s="247"/>
      <c r="AE314" s="247"/>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row>
    <row r="315" spans="11:66" s="251" customFormat="1" x14ac:dyDescent="0.25">
      <c r="K315" s="250"/>
      <c r="L315" s="246"/>
      <c r="M315" s="247"/>
      <c r="N315" s="247"/>
      <c r="O315" s="247"/>
      <c r="P315" s="247"/>
      <c r="Q315" s="247"/>
      <c r="R315" s="247"/>
      <c r="S315" s="247"/>
      <c r="T315" s="247"/>
      <c r="V315" s="395"/>
      <c r="W315" s="284"/>
      <c r="X315" s="247"/>
      <c r="Y315" s="247"/>
      <c r="Z315" s="247"/>
      <c r="AA315" s="247"/>
      <c r="AB315" s="247"/>
      <c r="AC315" s="247"/>
      <c r="AD315" s="247"/>
      <c r="AE315" s="247"/>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row>
    <row r="316" spans="11:66" s="251" customFormat="1" x14ac:dyDescent="0.25">
      <c r="K316" s="250"/>
      <c r="L316" s="246"/>
      <c r="M316" s="247"/>
      <c r="N316" s="247"/>
      <c r="O316" s="247"/>
      <c r="P316" s="247"/>
      <c r="Q316" s="247"/>
      <c r="R316" s="247"/>
      <c r="S316" s="247"/>
      <c r="T316" s="247"/>
      <c r="V316" s="395"/>
      <c r="W316" s="284"/>
      <c r="X316" s="247"/>
      <c r="Y316" s="247"/>
      <c r="Z316" s="247"/>
      <c r="AA316" s="247"/>
      <c r="AB316" s="247"/>
      <c r="AC316" s="247"/>
      <c r="AD316" s="247"/>
      <c r="AE316" s="247"/>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row>
    <row r="317" spans="11:66" s="251" customFormat="1" x14ac:dyDescent="0.25">
      <c r="K317" s="250"/>
      <c r="L317" s="246"/>
      <c r="M317" s="247"/>
      <c r="N317" s="247"/>
      <c r="O317" s="247"/>
      <c r="P317" s="247"/>
      <c r="Q317" s="247"/>
      <c r="R317" s="247"/>
      <c r="S317" s="247"/>
      <c r="T317" s="247"/>
      <c r="V317" s="395"/>
      <c r="W317" s="284"/>
      <c r="X317" s="247"/>
      <c r="Y317" s="247"/>
      <c r="Z317" s="247"/>
      <c r="AA317" s="247"/>
      <c r="AB317" s="247"/>
      <c r="AC317" s="247"/>
      <c r="AD317" s="247"/>
      <c r="AE317" s="247"/>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row>
    <row r="318" spans="11:66" s="251" customFormat="1" x14ac:dyDescent="0.25">
      <c r="K318" s="250"/>
      <c r="L318" s="246"/>
      <c r="M318" s="247"/>
      <c r="N318" s="247"/>
      <c r="O318" s="247"/>
      <c r="P318" s="247"/>
      <c r="Q318" s="247"/>
      <c r="R318" s="247"/>
      <c r="S318" s="247"/>
      <c r="T318" s="247"/>
      <c r="V318" s="395"/>
      <c r="W318" s="284"/>
      <c r="X318" s="247"/>
      <c r="Y318" s="247"/>
      <c r="Z318" s="247"/>
      <c r="AA318" s="247"/>
      <c r="AB318" s="247"/>
      <c r="AC318" s="247"/>
      <c r="AD318" s="247"/>
      <c r="AE318" s="247"/>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row>
    <row r="319" spans="11:66" s="251" customFormat="1" x14ac:dyDescent="0.25">
      <c r="K319" s="250"/>
      <c r="L319" s="246"/>
      <c r="M319" s="247"/>
      <c r="N319" s="247"/>
      <c r="O319" s="247"/>
      <c r="P319" s="247"/>
      <c r="Q319" s="247"/>
      <c r="R319" s="247"/>
      <c r="S319" s="247"/>
      <c r="T319" s="247"/>
      <c r="V319" s="395"/>
      <c r="W319" s="284"/>
      <c r="X319" s="247"/>
      <c r="Y319" s="247"/>
      <c r="Z319" s="247"/>
      <c r="AA319" s="247"/>
      <c r="AB319" s="247"/>
      <c r="AC319" s="247"/>
      <c r="AD319" s="247"/>
      <c r="AE319" s="247"/>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row>
    <row r="320" spans="11:66" s="251" customFormat="1" x14ac:dyDescent="0.25">
      <c r="K320" s="250"/>
      <c r="L320" s="246"/>
      <c r="M320" s="247"/>
      <c r="N320" s="247"/>
      <c r="O320" s="247"/>
      <c r="P320" s="247"/>
      <c r="Q320" s="247"/>
      <c r="R320" s="247"/>
      <c r="S320" s="247"/>
      <c r="T320" s="247"/>
      <c r="V320" s="395"/>
      <c r="W320" s="284"/>
      <c r="X320" s="247"/>
      <c r="Y320" s="247"/>
      <c r="Z320" s="247"/>
      <c r="AA320" s="247"/>
      <c r="AB320" s="247"/>
      <c r="AC320" s="247"/>
      <c r="AD320" s="247"/>
      <c r="AE320" s="247"/>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row>
    <row r="321" spans="11:66" s="251" customFormat="1" x14ac:dyDescent="0.25">
      <c r="K321" s="250"/>
      <c r="L321" s="246"/>
      <c r="M321" s="247"/>
      <c r="N321" s="247"/>
      <c r="O321" s="247"/>
      <c r="P321" s="247"/>
      <c r="Q321" s="247"/>
      <c r="R321" s="247"/>
      <c r="S321" s="247"/>
      <c r="T321" s="247"/>
      <c r="V321" s="395"/>
      <c r="W321" s="284"/>
      <c r="X321" s="247"/>
      <c r="Y321" s="247"/>
      <c r="Z321" s="247"/>
      <c r="AA321" s="247"/>
      <c r="AB321" s="247"/>
      <c r="AC321" s="247"/>
      <c r="AD321" s="247"/>
      <c r="AE321" s="247"/>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row>
    <row r="322" spans="11:66" s="251" customFormat="1" x14ac:dyDescent="0.25">
      <c r="K322" s="250"/>
      <c r="L322" s="246"/>
      <c r="M322" s="247"/>
      <c r="N322" s="247"/>
      <c r="O322" s="247"/>
      <c r="P322" s="247"/>
      <c r="Q322" s="247"/>
      <c r="R322" s="247"/>
      <c r="S322" s="247"/>
      <c r="T322" s="247"/>
      <c r="V322" s="395"/>
      <c r="W322" s="284"/>
      <c r="X322" s="247"/>
      <c r="Y322" s="247"/>
      <c r="Z322" s="247"/>
      <c r="AA322" s="247"/>
      <c r="AB322" s="247"/>
      <c r="AC322" s="247"/>
      <c r="AD322" s="247"/>
      <c r="AE322" s="247"/>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row>
    <row r="323" spans="11:66" s="251" customFormat="1" x14ac:dyDescent="0.25">
      <c r="K323" s="250"/>
      <c r="L323" s="246"/>
      <c r="M323" s="247"/>
      <c r="N323" s="247"/>
      <c r="O323" s="247"/>
      <c r="P323" s="247"/>
      <c r="Q323" s="247"/>
      <c r="R323" s="247"/>
      <c r="S323" s="247"/>
      <c r="T323" s="247"/>
      <c r="V323" s="395"/>
      <c r="W323" s="284"/>
      <c r="X323" s="247"/>
      <c r="Y323" s="247"/>
      <c r="Z323" s="247"/>
      <c r="AA323" s="247"/>
      <c r="AB323" s="247"/>
      <c r="AC323" s="247"/>
      <c r="AD323" s="247"/>
      <c r="AE323" s="247"/>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row>
    <row r="324" spans="11:66" s="251" customFormat="1" x14ac:dyDescent="0.25">
      <c r="K324" s="250"/>
      <c r="L324" s="246"/>
      <c r="M324" s="247"/>
      <c r="N324" s="247"/>
      <c r="O324" s="247"/>
      <c r="P324" s="247"/>
      <c r="Q324" s="247"/>
      <c r="R324" s="247"/>
      <c r="S324" s="247"/>
      <c r="T324" s="247"/>
      <c r="V324" s="395"/>
      <c r="W324" s="284"/>
      <c r="X324" s="247"/>
      <c r="Y324" s="247"/>
      <c r="Z324" s="247"/>
      <c r="AA324" s="247"/>
      <c r="AB324" s="247"/>
      <c r="AC324" s="247"/>
      <c r="AD324" s="247"/>
      <c r="AE324" s="247"/>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row>
    <row r="325" spans="11:66" s="251" customFormat="1" x14ac:dyDescent="0.25">
      <c r="K325" s="250"/>
      <c r="L325" s="246"/>
      <c r="M325" s="247"/>
      <c r="N325" s="247"/>
      <c r="O325" s="247"/>
      <c r="P325" s="247"/>
      <c r="Q325" s="247"/>
      <c r="R325" s="247"/>
      <c r="S325" s="247"/>
      <c r="T325" s="247"/>
      <c r="V325" s="395"/>
      <c r="W325" s="284"/>
      <c r="X325" s="247"/>
      <c r="Y325" s="247"/>
      <c r="Z325" s="247"/>
      <c r="AA325" s="247"/>
      <c r="AB325" s="247"/>
      <c r="AC325" s="247"/>
      <c r="AD325" s="247"/>
      <c r="AE325" s="247"/>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row>
  </sheetData>
  <mergeCells count="7">
    <mergeCell ref="B7:J7"/>
    <mergeCell ref="A1:J1"/>
    <mergeCell ref="A2:J2"/>
    <mergeCell ref="A3:J3"/>
    <mergeCell ref="A4:J4"/>
    <mergeCell ref="A5:J5"/>
    <mergeCell ref="B6:J6"/>
  </mergeCells>
  <phoneticPr fontId="47" type="noConversion"/>
  <dataValidations count="1">
    <dataValidation type="whole" allowBlank="1" showInputMessage="1" showErrorMessage="1" sqref="E105:P110 E98:P100 E9:P93 E119:P148">
      <formula1>0</formula1>
      <formula2>100</formula2>
    </dataValidation>
  </dataValidations>
  <pageMargins left="0.82677165354330717" right="0.15748031496062992" top="0.55118110236220474" bottom="0.74803149606299213" header="0.31496062992125984" footer="0.31496062992125984"/>
  <pageSetup scale="98" fitToHeight="0" orientation="landscape"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Sheet1!$E$2:$E$20</xm:f>
          </x14:formula1>
          <xm:sqref>R111:R142 R23:S101 S111:S148 R149:S149</xm:sqref>
        </x14:dataValidation>
        <x14:dataValidation type="list" allowBlank="1" showInputMessage="1" showErrorMessage="1">
          <x14:formula1>
            <xm:f>Sheet1!$F$2:$F$26</xm:f>
          </x14:formula1>
          <xm:sqref>A23:A101 A111:A149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6"/>
  <sheetViews>
    <sheetView workbookViewId="0">
      <selection activeCell="H17" sqref="H17"/>
    </sheetView>
  </sheetViews>
  <sheetFormatPr baseColWidth="10" defaultColWidth="9.140625" defaultRowHeight="12.75" x14ac:dyDescent="0.2"/>
  <sheetData>
    <row r="2" spans="2:7" x14ac:dyDescent="0.2">
      <c r="B2" s="292"/>
      <c r="C2" s="292"/>
      <c r="D2" s="292"/>
      <c r="E2" s="292" t="s">
        <v>934</v>
      </c>
      <c r="F2" s="292" t="s">
        <v>1061</v>
      </c>
      <c r="G2" s="292"/>
    </row>
    <row r="3" spans="2:7" x14ac:dyDescent="0.2">
      <c r="B3" s="292"/>
      <c r="C3" s="292"/>
      <c r="D3" s="292"/>
      <c r="E3" s="292" t="s">
        <v>935</v>
      </c>
      <c r="F3" s="292" t="s">
        <v>1062</v>
      </c>
      <c r="G3" s="292"/>
    </row>
    <row r="4" spans="2:7" x14ac:dyDescent="0.2">
      <c r="B4" s="292"/>
      <c r="C4" s="292"/>
      <c r="D4" s="292"/>
      <c r="E4" s="292" t="s">
        <v>936</v>
      </c>
      <c r="F4" s="292" t="s">
        <v>1063</v>
      </c>
      <c r="G4" s="292"/>
    </row>
    <row r="5" spans="2:7" x14ac:dyDescent="0.2">
      <c r="B5" s="292"/>
      <c r="C5" s="292"/>
      <c r="D5" s="292"/>
      <c r="E5" s="292" t="s">
        <v>937</v>
      </c>
      <c r="F5" s="292" t="s">
        <v>1064</v>
      </c>
      <c r="G5" s="292"/>
    </row>
    <row r="6" spans="2:7" x14ac:dyDescent="0.2">
      <c r="B6" s="292"/>
      <c r="C6" s="292"/>
      <c r="D6" s="292"/>
      <c r="E6" s="292" t="s">
        <v>938</v>
      </c>
      <c r="F6" s="292" t="s">
        <v>1065</v>
      </c>
      <c r="G6" s="292"/>
    </row>
    <row r="7" spans="2:7" x14ac:dyDescent="0.2">
      <c r="B7" s="292"/>
      <c r="C7" s="292"/>
      <c r="D7" s="292"/>
      <c r="E7" s="292" t="s">
        <v>939</v>
      </c>
      <c r="F7" s="292" t="s">
        <v>1066</v>
      </c>
      <c r="G7" s="292"/>
    </row>
    <row r="8" spans="2:7" x14ac:dyDescent="0.2">
      <c r="B8" s="292"/>
      <c r="C8" s="292"/>
      <c r="D8" s="292"/>
      <c r="E8" s="292" t="s">
        <v>940</v>
      </c>
      <c r="F8" s="292" t="s">
        <v>1067</v>
      </c>
      <c r="G8" s="292"/>
    </row>
    <row r="9" spans="2:7" x14ac:dyDescent="0.2">
      <c r="B9" s="292"/>
      <c r="C9" s="292"/>
      <c r="D9" s="292"/>
      <c r="E9" s="292" t="s">
        <v>941</v>
      </c>
      <c r="F9" s="292" t="s">
        <v>1068</v>
      </c>
      <c r="G9" s="292"/>
    </row>
    <row r="10" spans="2:7" x14ac:dyDescent="0.2">
      <c r="B10" s="292"/>
      <c r="C10" s="292"/>
      <c r="D10" s="292"/>
      <c r="E10" s="292" t="s">
        <v>942</v>
      </c>
      <c r="F10" s="292" t="s">
        <v>1069</v>
      </c>
      <c r="G10" s="292"/>
    </row>
    <row r="11" spans="2:7" x14ac:dyDescent="0.2">
      <c r="B11" s="292"/>
      <c r="C11" s="292"/>
      <c r="D11" s="292"/>
      <c r="E11" s="292" t="s">
        <v>943</v>
      </c>
      <c r="F11" s="292" t="s">
        <v>1070</v>
      </c>
      <c r="G11" s="292"/>
    </row>
    <row r="12" spans="2:7" x14ac:dyDescent="0.2">
      <c r="B12" s="292"/>
      <c r="C12" s="292"/>
      <c r="D12" s="292"/>
      <c r="E12" s="292" t="s">
        <v>944</v>
      </c>
      <c r="F12" s="292" t="s">
        <v>1071</v>
      </c>
      <c r="G12" s="292"/>
    </row>
    <row r="13" spans="2:7" x14ac:dyDescent="0.2">
      <c r="B13" s="292"/>
      <c r="C13" s="292"/>
      <c r="D13" s="292"/>
      <c r="E13" s="292" t="s">
        <v>945</v>
      </c>
      <c r="F13" s="292" t="s">
        <v>1072</v>
      </c>
      <c r="G13" s="292"/>
    </row>
    <row r="14" spans="2:7" x14ac:dyDescent="0.2">
      <c r="B14" s="292"/>
      <c r="C14" s="292"/>
      <c r="D14" s="292"/>
      <c r="E14" s="292" t="s">
        <v>946</v>
      </c>
      <c r="F14" s="292" t="s">
        <v>1073</v>
      </c>
      <c r="G14" s="292"/>
    </row>
    <row r="15" spans="2:7" x14ac:dyDescent="0.2">
      <c r="B15" s="292"/>
      <c r="C15" s="292"/>
      <c r="D15" s="292"/>
      <c r="E15" s="292" t="s">
        <v>947</v>
      </c>
      <c r="F15" s="292" t="s">
        <v>1074</v>
      </c>
      <c r="G15" s="292"/>
    </row>
    <row r="16" spans="2:7" x14ac:dyDescent="0.2">
      <c r="B16" s="292"/>
      <c r="C16" s="292"/>
      <c r="D16" s="292"/>
      <c r="E16" s="292" t="s">
        <v>948</v>
      </c>
      <c r="F16" s="292" t="s">
        <v>1075</v>
      </c>
      <c r="G16" s="292"/>
    </row>
    <row r="17" spans="2:7" x14ac:dyDescent="0.2">
      <c r="B17" s="292"/>
      <c r="C17" s="292"/>
      <c r="D17" s="292"/>
      <c r="E17" s="292" t="s">
        <v>949</v>
      </c>
      <c r="F17" s="292" t="s">
        <v>1076</v>
      </c>
      <c r="G17" s="292"/>
    </row>
    <row r="18" spans="2:7" x14ac:dyDescent="0.2">
      <c r="B18" s="292"/>
      <c r="C18" s="292"/>
      <c r="D18" s="292"/>
      <c r="E18" s="292" t="s">
        <v>950</v>
      </c>
      <c r="F18" s="292" t="s">
        <v>1077</v>
      </c>
      <c r="G18" s="292"/>
    </row>
    <row r="19" spans="2:7" x14ac:dyDescent="0.2">
      <c r="B19" s="292"/>
      <c r="C19" s="292"/>
      <c r="D19" s="292"/>
      <c r="E19" s="292" t="s">
        <v>196</v>
      </c>
      <c r="F19" s="292" t="s">
        <v>1078</v>
      </c>
      <c r="G19" s="292"/>
    </row>
    <row r="20" spans="2:7" x14ac:dyDescent="0.2">
      <c r="B20" s="292"/>
      <c r="C20" s="292"/>
      <c r="D20" s="292"/>
      <c r="E20" s="292" t="s">
        <v>11</v>
      </c>
      <c r="F20" s="292" t="s">
        <v>1079</v>
      </c>
      <c r="G20" s="292"/>
    </row>
    <row r="21" spans="2:7" x14ac:dyDescent="0.2">
      <c r="B21" s="292"/>
      <c r="C21" s="292"/>
      <c r="D21" s="292"/>
      <c r="E21" s="292"/>
      <c r="F21" s="292" t="s">
        <v>1080</v>
      </c>
      <c r="G21" s="292"/>
    </row>
    <row r="22" spans="2:7" x14ac:dyDescent="0.2">
      <c r="B22" s="292"/>
      <c r="C22" s="292"/>
      <c r="D22" s="292"/>
      <c r="E22" s="292"/>
      <c r="F22" s="292" t="s">
        <v>1081</v>
      </c>
      <c r="G22" s="292"/>
    </row>
    <row r="23" spans="2:7" x14ac:dyDescent="0.2">
      <c r="F23" t="s">
        <v>1082</v>
      </c>
    </row>
    <row r="24" spans="2:7" x14ac:dyDescent="0.2">
      <c r="F24" t="s">
        <v>1083</v>
      </c>
    </row>
    <row r="25" spans="2:7" x14ac:dyDescent="0.2">
      <c r="F25" t="s">
        <v>1084</v>
      </c>
    </row>
    <row r="26" spans="2:7" x14ac:dyDescent="0.2">
      <c r="F26" t="s">
        <v>1085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78"/>
  <sheetViews>
    <sheetView topLeftCell="G1" workbookViewId="0">
      <selection activeCell="H23" sqref="H23"/>
    </sheetView>
  </sheetViews>
  <sheetFormatPr baseColWidth="10" defaultColWidth="11.42578125" defaultRowHeight="15" x14ac:dyDescent="0.25"/>
  <cols>
    <col min="1" max="1" width="2.5703125" style="52" customWidth="1"/>
    <col min="2" max="6" width="4.28515625" hidden="1" customWidth="1"/>
    <col min="7" max="7" width="18.85546875" style="281" bestFit="1" customWidth="1"/>
    <col min="8" max="8" width="33.85546875" style="281" customWidth="1"/>
    <col min="9" max="9" width="16.42578125" style="281" customWidth="1"/>
    <col min="10" max="10" width="18.28515625" style="281" customWidth="1"/>
    <col min="11" max="11" width="14" style="282" customWidth="1"/>
    <col min="12" max="12" width="15.42578125" style="281" customWidth="1"/>
    <col min="13" max="13" width="13.7109375" style="281" customWidth="1"/>
    <col min="14" max="14" width="22.42578125" style="281" customWidth="1"/>
    <col min="15" max="43" width="11.42578125" style="52"/>
  </cols>
  <sheetData>
    <row r="1" spans="2:21" s="52" customFormat="1" ht="15.75" x14ac:dyDescent="0.25">
      <c r="G1" s="264"/>
      <c r="H1" s="265"/>
      <c r="I1" s="265"/>
      <c r="J1" s="265"/>
      <c r="K1" s="266"/>
      <c r="L1" s="265"/>
      <c r="M1" s="265"/>
      <c r="N1" s="265"/>
      <c r="O1" s="253" t="s">
        <v>275</v>
      </c>
    </row>
    <row r="2" spans="2:21" s="52" customFormat="1" ht="15.75" x14ac:dyDescent="0.25">
      <c r="G2" s="443" t="s">
        <v>269</v>
      </c>
      <c r="H2" s="443"/>
      <c r="I2" s="443"/>
      <c r="J2" s="443"/>
      <c r="K2" s="443"/>
      <c r="L2" s="443"/>
      <c r="M2" s="443"/>
      <c r="N2" s="443"/>
      <c r="O2" s="443"/>
      <c r="P2" s="443"/>
      <c r="Q2" s="268"/>
      <c r="R2" s="269"/>
      <c r="S2" s="270" t="s">
        <v>274</v>
      </c>
      <c r="T2" s="269"/>
      <c r="U2" s="271"/>
    </row>
    <row r="3" spans="2:21" s="52" customFormat="1" x14ac:dyDescent="0.25">
      <c r="G3" s="444" t="s">
        <v>270</v>
      </c>
      <c r="H3" s="444"/>
      <c r="I3" s="444"/>
      <c r="J3" s="444"/>
      <c r="K3" s="444"/>
      <c r="L3" s="444"/>
      <c r="M3" s="444"/>
      <c r="N3" s="444"/>
      <c r="O3" s="444"/>
      <c r="P3" s="444"/>
      <c r="Q3" s="268"/>
      <c r="R3" s="269"/>
      <c r="S3" s="270" t="s">
        <v>33</v>
      </c>
      <c r="T3" s="269"/>
      <c r="U3" s="271"/>
    </row>
    <row r="4" spans="2:21" s="52" customFormat="1" x14ac:dyDescent="0.2">
      <c r="G4" s="445" t="s">
        <v>913</v>
      </c>
      <c r="H4" s="445"/>
      <c r="I4" s="445"/>
      <c r="J4" s="445"/>
      <c r="K4" s="445"/>
      <c r="L4" s="445"/>
      <c r="M4" s="445"/>
      <c r="N4" s="445"/>
      <c r="O4" s="445"/>
      <c r="P4" s="445"/>
      <c r="Q4" s="268"/>
      <c r="R4" s="269"/>
      <c r="S4" s="270" t="s">
        <v>222</v>
      </c>
      <c r="T4" s="269"/>
      <c r="U4" s="271"/>
    </row>
    <row r="5" spans="2:21" s="52" customFormat="1" x14ac:dyDescent="0.25">
      <c r="H5" s="267"/>
      <c r="I5" s="291"/>
      <c r="J5" s="442">
        <f>+PPNE1!C5</f>
        <v>2026</v>
      </c>
      <c r="K5" s="442"/>
      <c r="L5" s="267"/>
      <c r="M5" s="267"/>
      <c r="N5" s="267"/>
      <c r="O5" s="267"/>
      <c r="P5" s="267"/>
      <c r="Q5" s="268"/>
      <c r="R5" s="269"/>
      <c r="S5" s="269"/>
      <c r="T5" s="269"/>
      <c r="U5" s="271"/>
    </row>
    <row r="6" spans="2:21" s="52" customFormat="1" x14ac:dyDescent="0.25">
      <c r="G6" s="290" t="s">
        <v>912</v>
      </c>
      <c r="H6" s="441">
        <f>+PPNE1!B7</f>
        <v>0</v>
      </c>
      <c r="I6" s="441"/>
      <c r="J6" s="441"/>
      <c r="K6" s="441"/>
      <c r="L6" s="441"/>
      <c r="M6" s="441"/>
      <c r="N6" s="441"/>
      <c r="O6" s="253"/>
    </row>
    <row r="7" spans="2:21" ht="25.5" customHeight="1" x14ac:dyDescent="0.2">
      <c r="B7" s="272" t="s">
        <v>951</v>
      </c>
      <c r="C7" s="273" t="s">
        <v>952</v>
      </c>
      <c r="D7" s="273" t="s">
        <v>953</v>
      </c>
      <c r="E7" s="273" t="s">
        <v>954</v>
      </c>
      <c r="F7" s="274" t="s">
        <v>955</v>
      </c>
      <c r="G7" s="286" t="s">
        <v>956</v>
      </c>
      <c r="H7" s="288" t="s">
        <v>0</v>
      </c>
      <c r="I7" s="288" t="s">
        <v>1</v>
      </c>
      <c r="J7" s="288" t="s">
        <v>44</v>
      </c>
      <c r="K7" s="289" t="s">
        <v>2</v>
      </c>
      <c r="L7" s="288" t="s">
        <v>3</v>
      </c>
      <c r="M7" s="288" t="s">
        <v>910</v>
      </c>
      <c r="N7" s="288" t="s">
        <v>45</v>
      </c>
    </row>
    <row r="8" spans="2:21" ht="12.75" x14ac:dyDescent="0.2">
      <c r="B8" s="14" t="str">
        <f>IF(Tabla1[[#This Row],[Código_Actividad]]="","",CONCATENATE(Tabla1[[#This Row],[POA]],".",Tabla1[[#This Row],[SRS]],".",Tabla1[[#This Row],[AREA]],".",Tabla1[[#This Row],[TIPO]]))</f>
        <v>...</v>
      </c>
      <c r="C8" s="14" t="s">
        <v>1060</v>
      </c>
      <c r="D8" s="14" t="s">
        <v>1060</v>
      </c>
      <c r="E8" s="14" t="s">
        <v>1060</v>
      </c>
      <c r="F8" s="14" t="s">
        <v>1060</v>
      </c>
      <c r="G8" s="275" t="s">
        <v>1445</v>
      </c>
      <c r="H8" s="276" t="s">
        <v>1505</v>
      </c>
      <c r="I8" s="276" t="s">
        <v>1506</v>
      </c>
      <c r="J8" s="275"/>
      <c r="K8" s="277"/>
      <c r="L8" s="278">
        <f>+Tabla1[[#This Row],[Precio Unitario]]*Tabla1[[#This Row],[Cantidad de Insumos]]</f>
        <v>0</v>
      </c>
      <c r="M8" s="279"/>
      <c r="N8" s="276"/>
    </row>
    <row r="9" spans="2:21" ht="12.75" x14ac:dyDescent="0.2">
      <c r="B9" s="14" t="str">
        <f>IF(Tabla1[[#This Row],[Código_Actividad]]="","",CONCATENATE(Tabla1[[#This Row],[POA]],".",Tabla1[[#This Row],[SRS]],".",Tabla1[[#This Row],[AREA]],".",Tabla1[[#This Row],[TIPO]]))</f>
        <v/>
      </c>
      <c r="C9" s="14" t="s">
        <v>1060</v>
      </c>
      <c r="D9" s="14" t="s">
        <v>1060</v>
      </c>
      <c r="E9" s="14" t="s">
        <v>1060</v>
      </c>
      <c r="F9" s="14" t="s">
        <v>1060</v>
      </c>
      <c r="G9" s="275"/>
      <c r="H9" s="276"/>
      <c r="I9" s="276"/>
      <c r="J9" s="275"/>
      <c r="K9" s="277"/>
      <c r="L9" s="278">
        <f>+Tabla1[[#This Row],[Precio Unitario]]*Tabla1[[#This Row],[Cantidad de Insumos]]</f>
        <v>0</v>
      </c>
      <c r="M9" s="279"/>
      <c r="N9" s="276"/>
    </row>
    <row r="10" spans="2:21" ht="12.75" x14ac:dyDescent="0.2">
      <c r="B10" s="14" t="str">
        <f>IF(Tabla1[[#This Row],[Código_Actividad]]="","",CONCATENATE(Tabla1[[#This Row],[POA]],".",Tabla1[[#This Row],[SRS]],".",Tabla1[[#This Row],[AREA]],".",Tabla1[[#This Row],[TIPO]]))</f>
        <v/>
      </c>
      <c r="C10" s="14" t="s">
        <v>1060</v>
      </c>
      <c r="D10" s="14" t="s">
        <v>1060</v>
      </c>
      <c r="E10" s="14" t="s">
        <v>1060</v>
      </c>
      <c r="F10" s="14" t="s">
        <v>1060</v>
      </c>
      <c r="G10" s="275"/>
      <c r="H10" s="276"/>
      <c r="I10" s="276"/>
      <c r="J10" s="275"/>
      <c r="K10" s="277"/>
      <c r="L10" s="278">
        <f>+Tabla1[[#This Row],[Precio Unitario]]*Tabla1[[#This Row],[Cantidad de Insumos]]</f>
        <v>0</v>
      </c>
      <c r="M10" s="279"/>
      <c r="N10" s="276"/>
    </row>
    <row r="11" spans="2:21" ht="12.75" x14ac:dyDescent="0.2">
      <c r="B11" s="14" t="str">
        <f>IF(Tabla1[[#This Row],[Código_Actividad]]="","",CONCATENATE(Tabla1[[#This Row],[POA]],".",Tabla1[[#This Row],[SRS]],".",Tabla1[[#This Row],[AREA]],".",Tabla1[[#This Row],[TIPO]]))</f>
        <v/>
      </c>
      <c r="C11" s="14" t="s">
        <v>1060</v>
      </c>
      <c r="D11" s="14" t="s">
        <v>1060</v>
      </c>
      <c r="E11" s="14" t="s">
        <v>1060</v>
      </c>
      <c r="F11" s="14" t="s">
        <v>1060</v>
      </c>
      <c r="G11" s="275"/>
      <c r="H11" s="276"/>
      <c r="I11" s="276"/>
      <c r="J11" s="275"/>
      <c r="K11" s="277"/>
      <c r="L11" s="278">
        <f>+Tabla1[[#This Row],[Precio Unitario]]*Tabla1[[#This Row],[Cantidad de Insumos]]</f>
        <v>0</v>
      </c>
      <c r="M11" s="279"/>
      <c r="N11" s="276"/>
    </row>
    <row r="12" spans="2:21" ht="12.75" x14ac:dyDescent="0.2">
      <c r="B12" s="14" t="str">
        <f>IF(Tabla1[[#This Row],[Código_Actividad]]="","",CONCATENATE(Tabla1[[#This Row],[POA]],".",Tabla1[[#This Row],[SRS]],".",Tabla1[[#This Row],[AREA]],".",Tabla1[[#This Row],[TIPO]]))</f>
        <v/>
      </c>
      <c r="C12" s="14" t="s">
        <v>1060</v>
      </c>
      <c r="D12" s="14" t="s">
        <v>1060</v>
      </c>
      <c r="E12" s="14" t="s">
        <v>1060</v>
      </c>
      <c r="F12" s="14" t="s">
        <v>1060</v>
      </c>
      <c r="G12" s="275"/>
      <c r="H12" s="276"/>
      <c r="I12" s="276"/>
      <c r="J12" s="275"/>
      <c r="K12" s="277"/>
      <c r="L12" s="278">
        <f>+Tabla1[[#This Row],[Precio Unitario]]*Tabla1[[#This Row],[Cantidad de Insumos]]</f>
        <v>0</v>
      </c>
      <c r="M12" s="279"/>
      <c r="N12" s="276"/>
    </row>
    <row r="13" spans="2:21" ht="12.75" x14ac:dyDescent="0.2">
      <c r="B13" s="14" t="str">
        <f>IF(Tabla1[[#This Row],[Código_Actividad]]="","",CONCATENATE(Tabla1[[#This Row],[POA]],".",Tabla1[[#This Row],[SRS]],".",Tabla1[[#This Row],[AREA]],".",Tabla1[[#This Row],[TIPO]]))</f>
        <v/>
      </c>
      <c r="C13" s="14" t="s">
        <v>1060</v>
      </c>
      <c r="D13" s="14" t="s">
        <v>1060</v>
      </c>
      <c r="E13" s="14" t="s">
        <v>1060</v>
      </c>
      <c r="F13" s="14" t="s">
        <v>1060</v>
      </c>
      <c r="G13" s="275"/>
      <c r="H13" s="276"/>
      <c r="I13" s="276"/>
      <c r="J13" s="275"/>
      <c r="K13" s="277"/>
      <c r="L13" s="278">
        <f>+Tabla1[[#This Row],[Precio Unitario]]*Tabla1[[#This Row],[Cantidad de Insumos]]</f>
        <v>0</v>
      </c>
      <c r="M13" s="279"/>
      <c r="N13" s="276"/>
    </row>
    <row r="14" spans="2:21" ht="12.75" x14ac:dyDescent="0.2">
      <c r="B14" s="14" t="str">
        <f>IF(Tabla1[[#This Row],[Código_Actividad]]="","",CONCATENATE(Tabla1[[#This Row],[POA]],".",Tabla1[[#This Row],[SRS]],".",Tabla1[[#This Row],[AREA]],".",Tabla1[[#This Row],[TIPO]]))</f>
        <v/>
      </c>
      <c r="C14" s="14" t="s">
        <v>1060</v>
      </c>
      <c r="D14" s="14" t="s">
        <v>1060</v>
      </c>
      <c r="E14" s="14" t="s">
        <v>1060</v>
      </c>
      <c r="F14" s="14" t="s">
        <v>1060</v>
      </c>
      <c r="G14" s="275"/>
      <c r="H14" s="276"/>
      <c r="I14" s="276"/>
      <c r="J14" s="275"/>
      <c r="K14" s="277"/>
      <c r="L14" s="278">
        <f>+Tabla1[[#This Row],[Precio Unitario]]*Tabla1[[#This Row],[Cantidad de Insumos]]</f>
        <v>0</v>
      </c>
      <c r="M14" s="279"/>
      <c r="N14" s="276"/>
    </row>
    <row r="15" spans="2:21" ht="12.75" x14ac:dyDescent="0.2">
      <c r="B15" s="14" t="str">
        <f>IF(Tabla1[[#This Row],[Código_Actividad]]="","",CONCATENATE(Tabla1[[#This Row],[POA]],".",Tabla1[[#This Row],[SRS]],".",Tabla1[[#This Row],[AREA]],".",Tabla1[[#This Row],[TIPO]]))</f>
        <v/>
      </c>
      <c r="C15" s="14" t="s">
        <v>1060</v>
      </c>
      <c r="D15" s="14" t="s">
        <v>1060</v>
      </c>
      <c r="E15" s="14" t="s">
        <v>1060</v>
      </c>
      <c r="F15" s="14" t="s">
        <v>1060</v>
      </c>
      <c r="G15" s="275"/>
      <c r="H15" s="276"/>
      <c r="I15" s="276"/>
      <c r="J15" s="275"/>
      <c r="K15" s="277"/>
      <c r="L15" s="278">
        <f>+Tabla1[[#This Row],[Precio Unitario]]*Tabla1[[#This Row],[Cantidad de Insumos]]</f>
        <v>0</v>
      </c>
      <c r="M15" s="279"/>
      <c r="N15" s="276"/>
    </row>
    <row r="16" spans="2:21" ht="12.75" x14ac:dyDescent="0.2">
      <c r="B16" s="14" t="str">
        <f>IF(Tabla1[[#This Row],[Código_Actividad]]="","",CONCATENATE(Tabla1[[#This Row],[POA]],".",Tabla1[[#This Row],[SRS]],".",Tabla1[[#This Row],[AREA]],".",Tabla1[[#This Row],[TIPO]]))</f>
        <v/>
      </c>
      <c r="C16" s="14" t="s">
        <v>1060</v>
      </c>
      <c r="D16" s="14" t="s">
        <v>1060</v>
      </c>
      <c r="E16" s="14" t="s">
        <v>1060</v>
      </c>
      <c r="F16" s="14" t="s">
        <v>1060</v>
      </c>
      <c r="G16" s="275"/>
      <c r="H16" s="276"/>
      <c r="I16" s="276"/>
      <c r="J16" s="275"/>
      <c r="K16" s="277"/>
      <c r="L16" s="278">
        <f>+Tabla1[[#This Row],[Precio Unitario]]*Tabla1[[#This Row],[Cantidad de Insumos]]</f>
        <v>0</v>
      </c>
      <c r="M16" s="279"/>
      <c r="N16" s="276"/>
    </row>
    <row r="17" spans="2:14" ht="12.75" x14ac:dyDescent="0.2">
      <c r="B17" s="14" t="str">
        <f>IF(Tabla1[[#This Row],[Código_Actividad]]="","",CONCATENATE(Tabla1[[#This Row],[POA]],".",Tabla1[[#This Row],[SRS]],".",Tabla1[[#This Row],[AREA]],".",Tabla1[[#This Row],[TIPO]]))</f>
        <v/>
      </c>
      <c r="C17" s="14" t="s">
        <v>1060</v>
      </c>
      <c r="D17" s="14" t="s">
        <v>1060</v>
      </c>
      <c r="E17" s="14" t="s">
        <v>1060</v>
      </c>
      <c r="F17" s="14" t="s">
        <v>1060</v>
      </c>
      <c r="G17" s="275"/>
      <c r="H17" s="276"/>
      <c r="I17" s="276"/>
      <c r="J17" s="275"/>
      <c r="K17" s="277"/>
      <c r="L17" s="278">
        <f>+Tabla1[[#This Row],[Precio Unitario]]*Tabla1[[#This Row],[Cantidad de Insumos]]</f>
        <v>0</v>
      </c>
      <c r="M17" s="279"/>
      <c r="N17" s="276"/>
    </row>
    <row r="18" spans="2:14" ht="12.75" x14ac:dyDescent="0.2">
      <c r="B18" s="14" t="str">
        <f>IF(Tabla1[[#This Row],[Código_Actividad]]="","",CONCATENATE(Tabla1[[#This Row],[POA]],".",Tabla1[[#This Row],[SRS]],".",Tabla1[[#This Row],[AREA]],".",Tabla1[[#This Row],[TIPO]]))</f>
        <v/>
      </c>
      <c r="C18" s="14" t="s">
        <v>1060</v>
      </c>
      <c r="D18" s="14" t="s">
        <v>1060</v>
      </c>
      <c r="E18" s="14" t="s">
        <v>1060</v>
      </c>
      <c r="F18" s="14" t="s">
        <v>1060</v>
      </c>
      <c r="G18" s="275"/>
      <c r="H18" s="276"/>
      <c r="I18" s="276"/>
      <c r="J18" s="275"/>
      <c r="K18" s="277"/>
      <c r="L18" s="278">
        <f>+Tabla1[[#This Row],[Precio Unitario]]*Tabla1[[#This Row],[Cantidad de Insumos]]</f>
        <v>0</v>
      </c>
      <c r="M18" s="279"/>
      <c r="N18" s="276"/>
    </row>
    <row r="19" spans="2:14" ht="12.75" x14ac:dyDescent="0.2">
      <c r="B19" s="14" t="str">
        <f>IF(Tabla1[[#This Row],[Código_Actividad]]="","",CONCATENATE(Tabla1[[#This Row],[POA]],".",Tabla1[[#This Row],[SRS]],".",Tabla1[[#This Row],[AREA]],".",Tabla1[[#This Row],[TIPO]]))</f>
        <v/>
      </c>
      <c r="C19" s="14" t="s">
        <v>1060</v>
      </c>
      <c r="D19" s="14" t="s">
        <v>1060</v>
      </c>
      <c r="E19" s="14" t="s">
        <v>1060</v>
      </c>
      <c r="F19" s="14" t="s">
        <v>1060</v>
      </c>
      <c r="G19" s="275"/>
      <c r="H19" s="276"/>
      <c r="I19" s="276"/>
      <c r="J19" s="275"/>
      <c r="K19" s="277"/>
      <c r="L19" s="278">
        <f>+Tabla1[[#This Row],[Precio Unitario]]*Tabla1[[#This Row],[Cantidad de Insumos]]</f>
        <v>0</v>
      </c>
      <c r="M19" s="279"/>
      <c r="N19" s="276"/>
    </row>
    <row r="20" spans="2:14" ht="12.75" x14ac:dyDescent="0.2">
      <c r="B20" s="14" t="str">
        <f>IF(Tabla1[[#This Row],[Código_Actividad]]="","",CONCATENATE(Tabla1[[#This Row],[POA]],".",Tabla1[[#This Row],[SRS]],".",Tabla1[[#This Row],[AREA]],".",Tabla1[[#This Row],[TIPO]]))</f>
        <v/>
      </c>
      <c r="C20" s="14" t="s">
        <v>1060</v>
      </c>
      <c r="D20" s="14" t="s">
        <v>1060</v>
      </c>
      <c r="E20" s="14" t="s">
        <v>1060</v>
      </c>
      <c r="F20" s="14" t="s">
        <v>1060</v>
      </c>
      <c r="G20" s="275"/>
      <c r="H20" s="276"/>
      <c r="I20" s="276"/>
      <c r="J20" s="275"/>
      <c r="K20" s="277"/>
      <c r="L20" s="278">
        <f>+Tabla1[[#This Row],[Precio Unitario]]*Tabla1[[#This Row],[Cantidad de Insumos]]</f>
        <v>0</v>
      </c>
      <c r="M20" s="279"/>
      <c r="N20" s="276"/>
    </row>
    <row r="21" spans="2:14" ht="12.75" x14ac:dyDescent="0.2">
      <c r="B21" s="14" t="str">
        <f>IF(Tabla1[[#This Row],[Código_Actividad]]="","",CONCATENATE(Tabla1[[#This Row],[POA]],".",Tabla1[[#This Row],[SRS]],".",Tabla1[[#This Row],[AREA]],".",Tabla1[[#This Row],[TIPO]]))</f>
        <v/>
      </c>
      <c r="C21" s="14" t="s">
        <v>1060</v>
      </c>
      <c r="D21" s="14" t="s">
        <v>1060</v>
      </c>
      <c r="E21" s="14" t="s">
        <v>1060</v>
      </c>
      <c r="F21" s="14" t="s">
        <v>1060</v>
      </c>
      <c r="G21" s="275"/>
      <c r="H21" s="276"/>
      <c r="I21" s="276"/>
      <c r="J21" s="275"/>
      <c r="K21" s="277"/>
      <c r="L21" s="278">
        <f>+Tabla1[[#This Row],[Precio Unitario]]*Tabla1[[#This Row],[Cantidad de Insumos]]</f>
        <v>0</v>
      </c>
      <c r="M21" s="279"/>
      <c r="N21" s="276"/>
    </row>
    <row r="22" spans="2:14" ht="12.75" x14ac:dyDescent="0.2">
      <c r="B22" s="14" t="str">
        <f>IF(Tabla1[[#This Row],[Código_Actividad]]="","",CONCATENATE(Tabla1[[#This Row],[POA]],".",Tabla1[[#This Row],[SRS]],".",Tabla1[[#This Row],[AREA]],".",Tabla1[[#This Row],[TIPO]]))</f>
        <v/>
      </c>
      <c r="C22" s="14" t="s">
        <v>1060</v>
      </c>
      <c r="D22" s="14" t="s">
        <v>1060</v>
      </c>
      <c r="E22" s="14" t="s">
        <v>1060</v>
      </c>
      <c r="F22" s="14" t="s">
        <v>1060</v>
      </c>
      <c r="G22" s="275"/>
      <c r="H22" s="276"/>
      <c r="I22" s="276"/>
      <c r="J22" s="275"/>
      <c r="K22" s="277"/>
      <c r="L22" s="278">
        <f>+Tabla1[[#This Row],[Precio Unitario]]*Tabla1[[#This Row],[Cantidad de Insumos]]</f>
        <v>0</v>
      </c>
      <c r="M22" s="279"/>
      <c r="N22" s="276"/>
    </row>
    <row r="23" spans="2:14" ht="12.75" x14ac:dyDescent="0.2">
      <c r="B23" s="14" t="str">
        <f>IF(Tabla1[[#This Row],[Código_Actividad]]="","",CONCATENATE(Tabla1[[#This Row],[POA]],".",Tabla1[[#This Row],[SRS]],".",Tabla1[[#This Row],[AREA]],".",Tabla1[[#This Row],[TIPO]]))</f>
        <v/>
      </c>
      <c r="C23" s="14" t="s">
        <v>1060</v>
      </c>
      <c r="D23" s="14" t="s">
        <v>1060</v>
      </c>
      <c r="E23" s="14" t="s">
        <v>1060</v>
      </c>
      <c r="F23" s="14" t="s">
        <v>1060</v>
      </c>
      <c r="G23" s="275"/>
      <c r="H23" s="276"/>
      <c r="I23" s="276"/>
      <c r="J23" s="275"/>
      <c r="K23" s="277"/>
      <c r="L23" s="278">
        <f>+Tabla1[[#This Row],[Precio Unitario]]*Tabla1[[#This Row],[Cantidad de Insumos]]</f>
        <v>0</v>
      </c>
      <c r="M23" s="279"/>
      <c r="N23" s="276"/>
    </row>
    <row r="24" spans="2:14" ht="12.75" x14ac:dyDescent="0.2">
      <c r="B24" s="14" t="str">
        <f>IF(Tabla1[[#This Row],[Código_Actividad]]="","",CONCATENATE(Tabla1[[#This Row],[POA]],".",Tabla1[[#This Row],[SRS]],".",Tabla1[[#This Row],[AREA]],".",Tabla1[[#This Row],[TIPO]]))</f>
        <v/>
      </c>
      <c r="C24" s="14" t="s">
        <v>1060</v>
      </c>
      <c r="D24" s="14" t="s">
        <v>1060</v>
      </c>
      <c r="E24" s="14" t="s">
        <v>1060</v>
      </c>
      <c r="F24" s="14" t="s">
        <v>1060</v>
      </c>
      <c r="G24" s="275"/>
      <c r="H24" s="276"/>
      <c r="I24" s="276"/>
      <c r="J24" s="275"/>
      <c r="K24" s="277"/>
      <c r="L24" s="278">
        <f>+Tabla1[[#This Row],[Precio Unitario]]*Tabla1[[#This Row],[Cantidad de Insumos]]</f>
        <v>0</v>
      </c>
      <c r="M24" s="279"/>
      <c r="N24" s="276"/>
    </row>
    <row r="25" spans="2:14" ht="12.75" x14ac:dyDescent="0.2">
      <c r="B25" s="14" t="str">
        <f>IF(Tabla1[[#This Row],[Código_Actividad]]="","",CONCATENATE(Tabla1[[#This Row],[POA]],".",Tabla1[[#This Row],[SRS]],".",Tabla1[[#This Row],[AREA]],".",Tabla1[[#This Row],[TIPO]]))</f>
        <v/>
      </c>
      <c r="C25" s="14" t="s">
        <v>1060</v>
      </c>
      <c r="D25" s="14" t="s">
        <v>1060</v>
      </c>
      <c r="E25" s="14" t="s">
        <v>1060</v>
      </c>
      <c r="F25" s="14" t="s">
        <v>1060</v>
      </c>
      <c r="G25" s="275"/>
      <c r="H25" s="276"/>
      <c r="I25" s="276"/>
      <c r="J25" s="275"/>
      <c r="K25" s="277"/>
      <c r="L25" s="278">
        <f>+Tabla1[[#This Row],[Precio Unitario]]*Tabla1[[#This Row],[Cantidad de Insumos]]</f>
        <v>0</v>
      </c>
      <c r="M25" s="279"/>
      <c r="N25" s="276"/>
    </row>
    <row r="26" spans="2:14" ht="12.75" x14ac:dyDescent="0.2">
      <c r="B26" s="14" t="str">
        <f>IF(Tabla1[[#This Row],[Código_Actividad]]="","",CONCATENATE(Tabla1[[#This Row],[POA]],".",Tabla1[[#This Row],[SRS]],".",Tabla1[[#This Row],[AREA]],".",Tabla1[[#This Row],[TIPO]]))</f>
        <v/>
      </c>
      <c r="C26" s="14" t="s">
        <v>1060</v>
      </c>
      <c r="D26" s="14" t="s">
        <v>1060</v>
      </c>
      <c r="E26" s="14" t="s">
        <v>1060</v>
      </c>
      <c r="F26" s="14" t="s">
        <v>1060</v>
      </c>
      <c r="G26" s="275"/>
      <c r="H26" s="276"/>
      <c r="I26" s="276"/>
      <c r="J26" s="275"/>
      <c r="K26" s="277"/>
      <c r="L26" s="278">
        <f>+Tabla1[[#This Row],[Precio Unitario]]*Tabla1[[#This Row],[Cantidad de Insumos]]</f>
        <v>0</v>
      </c>
      <c r="M26" s="279"/>
      <c r="N26" s="276"/>
    </row>
    <row r="27" spans="2:14" ht="12.75" x14ac:dyDescent="0.2">
      <c r="B27" s="14" t="str">
        <f>IF(Tabla1[[#This Row],[Código_Actividad]]="","",CONCATENATE(Tabla1[[#This Row],[POA]],".",Tabla1[[#This Row],[SRS]],".",Tabla1[[#This Row],[AREA]],".",Tabla1[[#This Row],[TIPO]]))</f>
        <v/>
      </c>
      <c r="C27" s="14" t="s">
        <v>1060</v>
      </c>
      <c r="D27" s="14" t="s">
        <v>1060</v>
      </c>
      <c r="E27" s="14" t="s">
        <v>1060</v>
      </c>
      <c r="F27" s="14" t="s">
        <v>1060</v>
      </c>
      <c r="G27" s="275"/>
      <c r="H27" s="276"/>
      <c r="I27" s="276"/>
      <c r="J27" s="275"/>
      <c r="K27" s="277"/>
      <c r="L27" s="278">
        <f>+Tabla1[[#This Row],[Precio Unitario]]*Tabla1[[#This Row],[Cantidad de Insumos]]</f>
        <v>0</v>
      </c>
      <c r="M27" s="279"/>
      <c r="N27" s="276"/>
    </row>
    <row r="28" spans="2:14" ht="12.75" x14ac:dyDescent="0.2">
      <c r="B28" s="14" t="str">
        <f>IF(Tabla1[[#This Row],[Código_Actividad]]="","",CONCATENATE(Tabla1[[#This Row],[POA]],".",Tabla1[[#This Row],[SRS]],".",Tabla1[[#This Row],[AREA]],".",Tabla1[[#This Row],[TIPO]]))</f>
        <v/>
      </c>
      <c r="C28" s="14" t="s">
        <v>1060</v>
      </c>
      <c r="D28" s="14" t="s">
        <v>1060</v>
      </c>
      <c r="E28" s="14" t="s">
        <v>1060</v>
      </c>
      <c r="F28" s="14" t="s">
        <v>1060</v>
      </c>
      <c r="G28" s="275"/>
      <c r="H28" s="276"/>
      <c r="I28" s="276"/>
      <c r="J28" s="275"/>
      <c r="K28" s="277"/>
      <c r="L28" s="278">
        <f>+Tabla1[[#This Row],[Precio Unitario]]*Tabla1[[#This Row],[Cantidad de Insumos]]</f>
        <v>0</v>
      </c>
      <c r="M28" s="279"/>
      <c r="N28" s="276"/>
    </row>
    <row r="29" spans="2:14" ht="12.75" x14ac:dyDescent="0.2">
      <c r="B29" s="14" t="str">
        <f>IF(Tabla1[[#This Row],[Código_Actividad]]="","",CONCATENATE(Tabla1[[#This Row],[POA]],".",Tabla1[[#This Row],[SRS]],".",Tabla1[[#This Row],[AREA]],".",Tabla1[[#This Row],[TIPO]]))</f>
        <v/>
      </c>
      <c r="C29" s="14" t="s">
        <v>1060</v>
      </c>
      <c r="D29" s="14" t="s">
        <v>1060</v>
      </c>
      <c r="E29" s="14" t="s">
        <v>1060</v>
      </c>
      <c r="F29" s="14" t="s">
        <v>1060</v>
      </c>
      <c r="G29" s="275"/>
      <c r="H29" s="276"/>
      <c r="I29" s="276"/>
      <c r="J29" s="275"/>
      <c r="K29" s="277"/>
      <c r="L29" s="278">
        <f>+Tabla1[[#This Row],[Precio Unitario]]*Tabla1[[#This Row],[Cantidad de Insumos]]</f>
        <v>0</v>
      </c>
      <c r="M29" s="279"/>
      <c r="N29" s="276"/>
    </row>
    <row r="30" spans="2:14" ht="12.75" x14ac:dyDescent="0.2">
      <c r="B30" s="14" t="str">
        <f>IF(Tabla1[[#This Row],[Código_Actividad]]="","",CONCATENATE(Tabla1[[#This Row],[POA]],".",Tabla1[[#This Row],[SRS]],".",Tabla1[[#This Row],[AREA]],".",Tabla1[[#This Row],[TIPO]]))</f>
        <v/>
      </c>
      <c r="C30" s="14" t="s">
        <v>1060</v>
      </c>
      <c r="D30" s="14" t="s">
        <v>1060</v>
      </c>
      <c r="E30" s="14" t="s">
        <v>1060</v>
      </c>
      <c r="F30" s="14" t="s">
        <v>1060</v>
      </c>
      <c r="G30" s="275"/>
      <c r="H30" s="276"/>
      <c r="I30" s="276"/>
      <c r="J30" s="275"/>
      <c r="K30" s="277"/>
      <c r="L30" s="278">
        <f>+Tabla1[[#This Row],[Precio Unitario]]*Tabla1[[#This Row],[Cantidad de Insumos]]</f>
        <v>0</v>
      </c>
      <c r="M30" s="279"/>
      <c r="N30" s="276"/>
    </row>
    <row r="31" spans="2:14" ht="12.75" x14ac:dyDescent="0.2">
      <c r="B31" s="14" t="str">
        <f>IF(Tabla1[[#This Row],[Código_Actividad]]="","",CONCATENATE(Tabla1[[#This Row],[POA]],".",Tabla1[[#This Row],[SRS]],".",Tabla1[[#This Row],[AREA]],".",Tabla1[[#This Row],[TIPO]]))</f>
        <v/>
      </c>
      <c r="C31" s="14" t="s">
        <v>1060</v>
      </c>
      <c r="D31" s="14" t="s">
        <v>1060</v>
      </c>
      <c r="E31" s="14" t="s">
        <v>1060</v>
      </c>
      <c r="F31" s="14" t="s">
        <v>1060</v>
      </c>
      <c r="G31" s="275"/>
      <c r="H31" s="276"/>
      <c r="I31" s="276"/>
      <c r="J31" s="275"/>
      <c r="K31" s="277"/>
      <c r="L31" s="278">
        <f>+Tabla1[[#This Row],[Precio Unitario]]*Tabla1[[#This Row],[Cantidad de Insumos]]</f>
        <v>0</v>
      </c>
      <c r="M31" s="279"/>
      <c r="N31" s="276"/>
    </row>
    <row r="32" spans="2:14" ht="12.75" x14ac:dyDescent="0.2">
      <c r="B32" s="14" t="str">
        <f>IF(Tabla1[[#This Row],[Código_Actividad]]="","",CONCATENATE(Tabla1[[#This Row],[POA]],".",Tabla1[[#This Row],[SRS]],".",Tabla1[[#This Row],[AREA]],".",Tabla1[[#This Row],[TIPO]]))</f>
        <v/>
      </c>
      <c r="C32" s="14" t="s">
        <v>1060</v>
      </c>
      <c r="D32" s="14" t="s">
        <v>1060</v>
      </c>
      <c r="E32" s="14" t="s">
        <v>1060</v>
      </c>
      <c r="F32" s="14" t="s">
        <v>1060</v>
      </c>
      <c r="G32" s="275"/>
      <c r="H32" s="276"/>
      <c r="I32" s="276"/>
      <c r="J32" s="275"/>
      <c r="K32" s="277"/>
      <c r="L32" s="278">
        <f>+Tabla1[[#This Row],[Precio Unitario]]*Tabla1[[#This Row],[Cantidad de Insumos]]</f>
        <v>0</v>
      </c>
      <c r="M32" s="279"/>
      <c r="N32" s="276"/>
    </row>
    <row r="33" spans="2:14" ht="12.75" x14ac:dyDescent="0.2">
      <c r="B33" s="14" t="str">
        <f>IF(Tabla1[[#This Row],[Código_Actividad]]="","",CONCATENATE(Tabla1[[#This Row],[POA]],".",Tabla1[[#This Row],[SRS]],".",Tabla1[[#This Row],[AREA]],".",Tabla1[[#This Row],[TIPO]]))</f>
        <v/>
      </c>
      <c r="C33" s="14" t="s">
        <v>1060</v>
      </c>
      <c r="D33" s="14" t="s">
        <v>1060</v>
      </c>
      <c r="E33" s="14" t="s">
        <v>1060</v>
      </c>
      <c r="F33" s="14" t="s">
        <v>1060</v>
      </c>
      <c r="G33" s="275"/>
      <c r="H33" s="276"/>
      <c r="I33" s="276"/>
      <c r="J33" s="275"/>
      <c r="K33" s="277"/>
      <c r="L33" s="278">
        <f>+Tabla1[[#This Row],[Precio Unitario]]*Tabla1[[#This Row],[Cantidad de Insumos]]</f>
        <v>0</v>
      </c>
      <c r="M33" s="279"/>
      <c r="N33" s="276"/>
    </row>
    <row r="34" spans="2:14" ht="12.75" x14ac:dyDescent="0.2">
      <c r="B34" s="14" t="str">
        <f>IF(Tabla1[[#This Row],[Código_Actividad]]="","",CONCATENATE(Tabla1[[#This Row],[POA]],".",Tabla1[[#This Row],[SRS]],".",Tabla1[[#This Row],[AREA]],".",Tabla1[[#This Row],[TIPO]]))</f>
        <v/>
      </c>
      <c r="C34" s="14" t="s">
        <v>1060</v>
      </c>
      <c r="D34" s="14" t="s">
        <v>1060</v>
      </c>
      <c r="E34" s="14" t="s">
        <v>1060</v>
      </c>
      <c r="F34" s="14" t="s">
        <v>1060</v>
      </c>
      <c r="G34" s="275"/>
      <c r="H34" s="276"/>
      <c r="I34" s="276"/>
      <c r="J34" s="275"/>
      <c r="K34" s="277"/>
      <c r="L34" s="278">
        <f>+Tabla1[[#This Row],[Precio Unitario]]*Tabla1[[#This Row],[Cantidad de Insumos]]</f>
        <v>0</v>
      </c>
      <c r="M34" s="279"/>
      <c r="N34" s="276"/>
    </row>
    <row r="35" spans="2:14" ht="12.75" x14ac:dyDescent="0.2">
      <c r="B35" s="14" t="str">
        <f>IF(Tabla1[[#This Row],[Código_Actividad]]="","",CONCATENATE(Tabla1[[#This Row],[POA]],".",Tabla1[[#This Row],[SRS]],".",Tabla1[[#This Row],[AREA]],".",Tabla1[[#This Row],[TIPO]]))</f>
        <v/>
      </c>
      <c r="C35" s="14" t="s">
        <v>1060</v>
      </c>
      <c r="D35" s="14" t="s">
        <v>1060</v>
      </c>
      <c r="E35" s="14" t="s">
        <v>1060</v>
      </c>
      <c r="F35" s="14" t="s">
        <v>1060</v>
      </c>
      <c r="G35" s="275"/>
      <c r="H35" s="276"/>
      <c r="I35" s="276"/>
      <c r="J35" s="275"/>
      <c r="K35" s="277"/>
      <c r="L35" s="278">
        <f>+Tabla1[[#This Row],[Precio Unitario]]*Tabla1[[#This Row],[Cantidad de Insumos]]</f>
        <v>0</v>
      </c>
      <c r="M35" s="279"/>
      <c r="N35" s="276"/>
    </row>
    <row r="36" spans="2:14" ht="12.75" x14ac:dyDescent="0.2">
      <c r="B36" s="14" t="str">
        <f>IF(Tabla1[[#This Row],[Código_Actividad]]="","",CONCATENATE(Tabla1[[#This Row],[POA]],".",Tabla1[[#This Row],[SRS]],".",Tabla1[[#This Row],[AREA]],".",Tabla1[[#This Row],[TIPO]]))</f>
        <v/>
      </c>
      <c r="C36" s="14" t="s">
        <v>1060</v>
      </c>
      <c r="D36" s="14" t="s">
        <v>1060</v>
      </c>
      <c r="E36" s="14" t="s">
        <v>1060</v>
      </c>
      <c r="F36" s="14" t="s">
        <v>1060</v>
      </c>
      <c r="G36" s="275"/>
      <c r="H36" s="276"/>
      <c r="I36" s="276"/>
      <c r="J36" s="275"/>
      <c r="K36" s="277"/>
      <c r="L36" s="278">
        <f>+Tabla1[[#This Row],[Precio Unitario]]*Tabla1[[#This Row],[Cantidad de Insumos]]</f>
        <v>0</v>
      </c>
      <c r="M36" s="279"/>
      <c r="N36" s="276"/>
    </row>
    <row r="37" spans="2:14" ht="12.75" x14ac:dyDescent="0.2">
      <c r="B37" s="14" t="str">
        <f>IF(Tabla1[[#This Row],[Código_Actividad]]="","",CONCATENATE(Tabla1[[#This Row],[POA]],".",Tabla1[[#This Row],[SRS]],".",Tabla1[[#This Row],[AREA]],".",Tabla1[[#This Row],[TIPO]]))</f>
        <v/>
      </c>
      <c r="C37" s="14" t="s">
        <v>1060</v>
      </c>
      <c r="D37" s="14" t="s">
        <v>1060</v>
      </c>
      <c r="E37" s="14" t="s">
        <v>1060</v>
      </c>
      <c r="F37" s="14" t="s">
        <v>1060</v>
      </c>
      <c r="G37" s="275"/>
      <c r="H37" s="276"/>
      <c r="I37" s="276"/>
      <c r="J37" s="275"/>
      <c r="K37" s="277"/>
      <c r="L37" s="278">
        <f>+Tabla1[[#This Row],[Precio Unitario]]*Tabla1[[#This Row],[Cantidad de Insumos]]</f>
        <v>0</v>
      </c>
      <c r="M37" s="279"/>
      <c r="N37" s="276"/>
    </row>
    <row r="38" spans="2:14" ht="12.75" x14ac:dyDescent="0.2">
      <c r="B38" s="14" t="str">
        <f>IF(Tabla1[[#This Row],[Código_Actividad]]="","",CONCATENATE(Tabla1[[#This Row],[POA]],".",Tabla1[[#This Row],[SRS]],".",Tabla1[[#This Row],[AREA]],".",Tabla1[[#This Row],[TIPO]]))</f>
        <v/>
      </c>
      <c r="C38" s="14" t="s">
        <v>1060</v>
      </c>
      <c r="D38" s="14" t="s">
        <v>1060</v>
      </c>
      <c r="E38" s="14" t="s">
        <v>1060</v>
      </c>
      <c r="F38" s="14" t="s">
        <v>1060</v>
      </c>
      <c r="G38" s="275"/>
      <c r="H38" s="276"/>
      <c r="I38" s="276"/>
      <c r="J38" s="275"/>
      <c r="K38" s="277"/>
      <c r="L38" s="278">
        <f>+Tabla1[[#This Row],[Precio Unitario]]*Tabla1[[#This Row],[Cantidad de Insumos]]</f>
        <v>0</v>
      </c>
      <c r="M38" s="279"/>
      <c r="N38" s="276"/>
    </row>
    <row r="39" spans="2:14" ht="12.75" x14ac:dyDescent="0.2">
      <c r="B39" s="14" t="str">
        <f>IF(Tabla1[[#This Row],[Código_Actividad]]="","",CONCATENATE(Tabla1[[#This Row],[POA]],".",Tabla1[[#This Row],[SRS]],".",Tabla1[[#This Row],[AREA]],".",Tabla1[[#This Row],[TIPO]]))</f>
        <v/>
      </c>
      <c r="C39" s="14" t="s">
        <v>1060</v>
      </c>
      <c r="D39" s="14" t="s">
        <v>1060</v>
      </c>
      <c r="E39" s="14" t="s">
        <v>1060</v>
      </c>
      <c r="F39" s="14" t="s">
        <v>1060</v>
      </c>
      <c r="G39" s="275"/>
      <c r="H39" s="276"/>
      <c r="I39" s="276"/>
      <c r="J39" s="275"/>
      <c r="K39" s="277"/>
      <c r="L39" s="278">
        <f>+Tabla1[[#This Row],[Precio Unitario]]*Tabla1[[#This Row],[Cantidad de Insumos]]</f>
        <v>0</v>
      </c>
      <c r="M39" s="279"/>
      <c r="N39" s="276"/>
    </row>
    <row r="40" spans="2:14" ht="12.75" x14ac:dyDescent="0.2">
      <c r="B40" s="14" t="str">
        <f>IF(Tabla1[[#This Row],[Código_Actividad]]="","",CONCATENATE(Tabla1[[#This Row],[POA]],".",Tabla1[[#This Row],[SRS]],".",Tabla1[[#This Row],[AREA]],".",Tabla1[[#This Row],[TIPO]]))</f>
        <v/>
      </c>
      <c r="C40" s="14" t="s">
        <v>1060</v>
      </c>
      <c r="D40" s="14" t="s">
        <v>1060</v>
      </c>
      <c r="E40" s="14" t="s">
        <v>1060</v>
      </c>
      <c r="F40" s="14" t="s">
        <v>1060</v>
      </c>
      <c r="G40" s="275"/>
      <c r="H40" s="276"/>
      <c r="I40" s="276"/>
      <c r="J40" s="275"/>
      <c r="K40" s="277"/>
      <c r="L40" s="278">
        <f>+Tabla1[[#This Row],[Precio Unitario]]*Tabla1[[#This Row],[Cantidad de Insumos]]</f>
        <v>0</v>
      </c>
      <c r="M40" s="279"/>
      <c r="N40" s="276"/>
    </row>
    <row r="41" spans="2:14" ht="12.75" x14ac:dyDescent="0.2">
      <c r="B41" s="14" t="str">
        <f>IF(Tabla1[[#This Row],[Código_Actividad]]="","",CONCATENATE(Tabla1[[#This Row],[POA]],".",Tabla1[[#This Row],[SRS]],".",Tabla1[[#This Row],[AREA]],".",Tabla1[[#This Row],[TIPO]]))</f>
        <v/>
      </c>
      <c r="C41" s="14" t="s">
        <v>1060</v>
      </c>
      <c r="D41" s="14" t="s">
        <v>1060</v>
      </c>
      <c r="E41" s="14" t="s">
        <v>1060</v>
      </c>
      <c r="F41" s="14" t="s">
        <v>1060</v>
      </c>
      <c r="G41" s="275"/>
      <c r="H41" s="276"/>
      <c r="I41" s="276"/>
      <c r="J41" s="275"/>
      <c r="K41" s="277"/>
      <c r="L41" s="278">
        <f>+Tabla1[[#This Row],[Precio Unitario]]*Tabla1[[#This Row],[Cantidad de Insumos]]</f>
        <v>0</v>
      </c>
      <c r="M41" s="279"/>
      <c r="N41" s="276"/>
    </row>
    <row r="42" spans="2:14" ht="12.75" x14ac:dyDescent="0.2">
      <c r="B42" s="14" t="str">
        <f>IF(Tabla1[[#This Row],[Código_Actividad]]="","",CONCATENATE(Tabla1[[#This Row],[POA]],".",Tabla1[[#This Row],[SRS]],".",Tabla1[[#This Row],[AREA]],".",Tabla1[[#This Row],[TIPO]]))</f>
        <v/>
      </c>
      <c r="C42" s="14" t="s">
        <v>1060</v>
      </c>
      <c r="D42" s="14" t="s">
        <v>1060</v>
      </c>
      <c r="E42" s="14" t="s">
        <v>1060</v>
      </c>
      <c r="F42" s="14" t="s">
        <v>1060</v>
      </c>
      <c r="G42" s="275"/>
      <c r="H42" s="276"/>
      <c r="I42" s="276"/>
      <c r="J42" s="275"/>
      <c r="K42" s="277"/>
      <c r="L42" s="278">
        <f>+Tabla1[[#This Row],[Precio Unitario]]*Tabla1[[#This Row],[Cantidad de Insumos]]</f>
        <v>0</v>
      </c>
      <c r="M42" s="279"/>
      <c r="N42" s="276"/>
    </row>
    <row r="43" spans="2:14" ht="12.75" x14ac:dyDescent="0.2">
      <c r="B43" s="14" t="str">
        <f>IF(Tabla1[[#This Row],[Código_Actividad]]="","",CONCATENATE(Tabla1[[#This Row],[POA]],".",Tabla1[[#This Row],[SRS]],".",Tabla1[[#This Row],[AREA]],".",Tabla1[[#This Row],[TIPO]]))</f>
        <v/>
      </c>
      <c r="C43" s="14" t="s">
        <v>1060</v>
      </c>
      <c r="D43" s="14" t="s">
        <v>1060</v>
      </c>
      <c r="E43" s="14" t="s">
        <v>1060</v>
      </c>
      <c r="F43" s="14" t="s">
        <v>1060</v>
      </c>
      <c r="G43" s="275"/>
      <c r="H43" s="276"/>
      <c r="I43" s="276"/>
      <c r="J43" s="275"/>
      <c r="K43" s="277"/>
      <c r="L43" s="278">
        <f>+Tabla1[[#This Row],[Precio Unitario]]*Tabla1[[#This Row],[Cantidad de Insumos]]</f>
        <v>0</v>
      </c>
      <c r="M43" s="279"/>
      <c r="N43" s="276"/>
    </row>
    <row r="44" spans="2:14" ht="12.75" x14ac:dyDescent="0.2">
      <c r="B44" s="14" t="str">
        <f>IF(Tabla1[[#This Row],[Código_Actividad]]="","",CONCATENATE(Tabla1[[#This Row],[POA]],".",Tabla1[[#This Row],[SRS]],".",Tabla1[[#This Row],[AREA]],".",Tabla1[[#This Row],[TIPO]]))</f>
        <v/>
      </c>
      <c r="C44" s="14" t="s">
        <v>1060</v>
      </c>
      <c r="D44" s="14" t="s">
        <v>1060</v>
      </c>
      <c r="E44" s="14" t="s">
        <v>1060</v>
      </c>
      <c r="F44" s="14" t="s">
        <v>1060</v>
      </c>
      <c r="G44" s="275"/>
      <c r="H44" s="276"/>
      <c r="I44" s="276"/>
      <c r="J44" s="275"/>
      <c r="K44" s="277"/>
      <c r="L44" s="278">
        <f>+Tabla1[[#This Row],[Precio Unitario]]*Tabla1[[#This Row],[Cantidad de Insumos]]</f>
        <v>0</v>
      </c>
      <c r="M44" s="279"/>
      <c r="N44" s="276"/>
    </row>
    <row r="45" spans="2:14" ht="12.75" x14ac:dyDescent="0.2">
      <c r="B45" s="14" t="str">
        <f>IF(Tabla1[[#This Row],[Código_Actividad]]="","",CONCATENATE(Tabla1[[#This Row],[POA]],".",Tabla1[[#This Row],[SRS]],".",Tabla1[[#This Row],[AREA]],".",Tabla1[[#This Row],[TIPO]]))</f>
        <v/>
      </c>
      <c r="C45" s="14" t="s">
        <v>1060</v>
      </c>
      <c r="D45" s="14" t="s">
        <v>1060</v>
      </c>
      <c r="E45" s="14" t="s">
        <v>1060</v>
      </c>
      <c r="F45" s="14" t="s">
        <v>1060</v>
      </c>
      <c r="G45" s="275"/>
      <c r="H45" s="276"/>
      <c r="I45" s="276"/>
      <c r="J45" s="275"/>
      <c r="K45" s="277"/>
      <c r="L45" s="278">
        <f>+Tabla1[[#This Row],[Precio Unitario]]*Tabla1[[#This Row],[Cantidad de Insumos]]</f>
        <v>0</v>
      </c>
      <c r="M45" s="279"/>
      <c r="N45" s="276"/>
    </row>
    <row r="46" spans="2:14" ht="12.75" x14ac:dyDescent="0.2">
      <c r="B46" s="14" t="str">
        <f>IF(Tabla1[[#This Row],[Código_Actividad]]="","",CONCATENATE(Tabla1[[#This Row],[POA]],".",Tabla1[[#This Row],[SRS]],".",Tabla1[[#This Row],[AREA]],".",Tabla1[[#This Row],[TIPO]]))</f>
        <v/>
      </c>
      <c r="C46" s="14" t="s">
        <v>1060</v>
      </c>
      <c r="D46" s="14" t="s">
        <v>1060</v>
      </c>
      <c r="E46" s="14" t="s">
        <v>1060</v>
      </c>
      <c r="F46" s="14" t="s">
        <v>1060</v>
      </c>
      <c r="G46" s="275"/>
      <c r="H46" s="276"/>
      <c r="I46" s="276"/>
      <c r="J46" s="275"/>
      <c r="K46" s="277"/>
      <c r="L46" s="278">
        <f>+Tabla1[[#This Row],[Precio Unitario]]*Tabla1[[#This Row],[Cantidad de Insumos]]</f>
        <v>0</v>
      </c>
      <c r="M46" s="279"/>
      <c r="N46" s="276"/>
    </row>
    <row r="47" spans="2:14" ht="12.75" x14ac:dyDescent="0.2">
      <c r="B47" s="14" t="str">
        <f>IF(Tabla1[[#This Row],[Código_Actividad]]="","",CONCATENATE(Tabla1[[#This Row],[POA]],".",Tabla1[[#This Row],[SRS]],".",Tabla1[[#This Row],[AREA]],".",Tabla1[[#This Row],[TIPO]]))</f>
        <v/>
      </c>
      <c r="C47" s="14" t="s">
        <v>1060</v>
      </c>
      <c r="D47" s="14" t="s">
        <v>1060</v>
      </c>
      <c r="E47" s="14" t="s">
        <v>1060</v>
      </c>
      <c r="F47" s="14" t="s">
        <v>1060</v>
      </c>
      <c r="G47" s="275"/>
      <c r="H47" s="276"/>
      <c r="I47" s="276"/>
      <c r="J47" s="275"/>
      <c r="K47" s="277"/>
      <c r="L47" s="278">
        <f>+Tabla1[[#This Row],[Precio Unitario]]*Tabla1[[#This Row],[Cantidad de Insumos]]</f>
        <v>0</v>
      </c>
      <c r="M47" s="279"/>
      <c r="N47" s="276"/>
    </row>
    <row r="48" spans="2:14" ht="12.75" x14ac:dyDescent="0.2">
      <c r="B48" s="14" t="str">
        <f>IF(Tabla1[[#This Row],[Código_Actividad]]="","",CONCATENATE(Tabla1[[#This Row],[POA]],".",Tabla1[[#This Row],[SRS]],".",Tabla1[[#This Row],[AREA]],".",Tabla1[[#This Row],[TIPO]]))</f>
        <v/>
      </c>
      <c r="C48" s="14" t="s">
        <v>1060</v>
      </c>
      <c r="D48" s="14" t="s">
        <v>1060</v>
      </c>
      <c r="E48" s="14" t="s">
        <v>1060</v>
      </c>
      <c r="F48" s="14" t="s">
        <v>1060</v>
      </c>
      <c r="G48" s="275"/>
      <c r="H48" s="276"/>
      <c r="I48" s="276"/>
      <c r="J48" s="275"/>
      <c r="K48" s="277"/>
      <c r="L48" s="278">
        <f>+Tabla1[[#This Row],[Precio Unitario]]*Tabla1[[#This Row],[Cantidad de Insumos]]</f>
        <v>0</v>
      </c>
      <c r="M48" s="279"/>
      <c r="N48" s="276"/>
    </row>
    <row r="49" spans="2:14" ht="12.75" x14ac:dyDescent="0.2">
      <c r="B49" s="14" t="str">
        <f>IF(Tabla1[[#This Row],[Código_Actividad]]="","",CONCATENATE(Tabla1[[#This Row],[POA]],".",Tabla1[[#This Row],[SRS]],".",Tabla1[[#This Row],[AREA]],".",Tabla1[[#This Row],[TIPO]]))</f>
        <v/>
      </c>
      <c r="C49" s="14" t="s">
        <v>1060</v>
      </c>
      <c r="D49" s="14" t="s">
        <v>1060</v>
      </c>
      <c r="E49" s="14" t="s">
        <v>1060</v>
      </c>
      <c r="F49" s="14" t="s">
        <v>1060</v>
      </c>
      <c r="G49" s="275"/>
      <c r="H49" s="276"/>
      <c r="I49" s="276"/>
      <c r="J49" s="275"/>
      <c r="K49" s="277"/>
      <c r="L49" s="278">
        <f>+Tabla1[[#This Row],[Precio Unitario]]*Tabla1[[#This Row],[Cantidad de Insumos]]</f>
        <v>0</v>
      </c>
      <c r="M49" s="279"/>
      <c r="N49" s="276"/>
    </row>
    <row r="50" spans="2:14" ht="12.75" x14ac:dyDescent="0.2">
      <c r="B50" s="14" t="str">
        <f>IF(Tabla1[[#This Row],[Código_Actividad]]="","",CONCATENATE(Tabla1[[#This Row],[POA]],".",Tabla1[[#This Row],[SRS]],".",Tabla1[[#This Row],[AREA]],".",Tabla1[[#This Row],[TIPO]]))</f>
        <v/>
      </c>
      <c r="C50" s="14" t="s">
        <v>1060</v>
      </c>
      <c r="D50" s="14" t="s">
        <v>1060</v>
      </c>
      <c r="E50" s="14" t="s">
        <v>1060</v>
      </c>
      <c r="F50" s="14" t="s">
        <v>1060</v>
      </c>
      <c r="G50" s="275"/>
      <c r="H50" s="276"/>
      <c r="I50" s="276"/>
      <c r="J50" s="275"/>
      <c r="K50" s="277"/>
      <c r="L50" s="278">
        <f>+Tabla1[[#This Row],[Precio Unitario]]*Tabla1[[#This Row],[Cantidad de Insumos]]</f>
        <v>0</v>
      </c>
      <c r="M50" s="279"/>
      <c r="N50" s="276"/>
    </row>
    <row r="51" spans="2:14" ht="12.75" x14ac:dyDescent="0.2">
      <c r="B51" s="14" t="str">
        <f>IF(Tabla1[[#This Row],[Código_Actividad]]="","",CONCATENATE(Tabla1[[#This Row],[POA]],".",Tabla1[[#This Row],[SRS]],".",Tabla1[[#This Row],[AREA]],".",Tabla1[[#This Row],[TIPO]]))</f>
        <v/>
      </c>
      <c r="C51" s="14" t="s">
        <v>1060</v>
      </c>
      <c r="D51" s="14" t="s">
        <v>1060</v>
      </c>
      <c r="E51" s="14" t="s">
        <v>1060</v>
      </c>
      <c r="F51" s="14" t="s">
        <v>1060</v>
      </c>
      <c r="G51" s="275"/>
      <c r="H51" s="276"/>
      <c r="I51" s="276"/>
      <c r="J51" s="275"/>
      <c r="K51" s="277"/>
      <c r="L51" s="278">
        <f>+Tabla1[[#This Row],[Precio Unitario]]*Tabla1[[#This Row],[Cantidad de Insumos]]</f>
        <v>0</v>
      </c>
      <c r="M51" s="279"/>
      <c r="N51" s="276"/>
    </row>
    <row r="52" spans="2:14" ht="12.75" x14ac:dyDescent="0.2">
      <c r="B52" s="14" t="str">
        <f>IF(Tabla1[[#This Row],[Código_Actividad]]="","",CONCATENATE(Tabla1[[#This Row],[POA]],".",Tabla1[[#This Row],[SRS]],".",Tabla1[[#This Row],[AREA]],".",Tabla1[[#This Row],[TIPO]]))</f>
        <v/>
      </c>
      <c r="C52" s="14" t="s">
        <v>1060</v>
      </c>
      <c r="D52" s="14" t="s">
        <v>1060</v>
      </c>
      <c r="E52" s="14" t="s">
        <v>1060</v>
      </c>
      <c r="F52" s="14" t="s">
        <v>1060</v>
      </c>
      <c r="G52" s="275"/>
      <c r="H52" s="276"/>
      <c r="I52" s="276"/>
      <c r="J52" s="275"/>
      <c r="K52" s="277"/>
      <c r="L52" s="278">
        <f>+Tabla1[[#This Row],[Precio Unitario]]*Tabla1[[#This Row],[Cantidad de Insumos]]</f>
        <v>0</v>
      </c>
      <c r="M52" s="279"/>
      <c r="N52" s="276"/>
    </row>
    <row r="53" spans="2:14" ht="12.75" x14ac:dyDescent="0.2">
      <c r="B53" s="14" t="str">
        <f>IF(Tabla1[[#This Row],[Código_Actividad]]="","",CONCATENATE(Tabla1[[#This Row],[POA]],".",Tabla1[[#This Row],[SRS]],".",Tabla1[[#This Row],[AREA]],".",Tabla1[[#This Row],[TIPO]]))</f>
        <v/>
      </c>
      <c r="C53" s="14" t="s">
        <v>1060</v>
      </c>
      <c r="D53" s="14" t="s">
        <v>1060</v>
      </c>
      <c r="E53" s="14" t="s">
        <v>1060</v>
      </c>
      <c r="F53" s="14" t="s">
        <v>1060</v>
      </c>
      <c r="G53" s="275"/>
      <c r="H53" s="276"/>
      <c r="I53" s="276"/>
      <c r="J53" s="275"/>
      <c r="K53" s="277"/>
      <c r="L53" s="278">
        <f>+Tabla1[[#This Row],[Precio Unitario]]*Tabla1[[#This Row],[Cantidad de Insumos]]</f>
        <v>0</v>
      </c>
      <c r="M53" s="279"/>
      <c r="N53" s="276"/>
    </row>
    <row r="54" spans="2:14" ht="12.75" x14ac:dyDescent="0.2">
      <c r="B54" s="14" t="str">
        <f>IF(Tabla1[[#This Row],[Código_Actividad]]="","",CONCATENATE(Tabla1[[#This Row],[POA]],".",Tabla1[[#This Row],[SRS]],".",Tabla1[[#This Row],[AREA]],".",Tabla1[[#This Row],[TIPO]]))</f>
        <v/>
      </c>
      <c r="C54" s="14" t="s">
        <v>1060</v>
      </c>
      <c r="D54" s="14" t="s">
        <v>1060</v>
      </c>
      <c r="E54" s="14" t="s">
        <v>1060</v>
      </c>
      <c r="F54" s="14" t="s">
        <v>1060</v>
      </c>
      <c r="G54" s="275"/>
      <c r="H54" s="276"/>
      <c r="I54" s="276"/>
      <c r="J54" s="275"/>
      <c r="K54" s="277"/>
      <c r="L54" s="278">
        <f>+Tabla1[[#This Row],[Precio Unitario]]*Tabla1[[#This Row],[Cantidad de Insumos]]</f>
        <v>0</v>
      </c>
      <c r="M54" s="279"/>
      <c r="N54" s="276"/>
    </row>
    <row r="55" spans="2:14" ht="12.75" x14ac:dyDescent="0.2">
      <c r="B55" s="14" t="str">
        <f>IF(Tabla1[[#This Row],[Código_Actividad]]="","",CONCATENATE(Tabla1[[#This Row],[POA]],".",Tabla1[[#This Row],[SRS]],".",Tabla1[[#This Row],[AREA]],".",Tabla1[[#This Row],[TIPO]]))</f>
        <v/>
      </c>
      <c r="C55" s="14" t="s">
        <v>1060</v>
      </c>
      <c r="D55" s="14" t="s">
        <v>1060</v>
      </c>
      <c r="E55" s="14" t="s">
        <v>1060</v>
      </c>
      <c r="F55" s="14" t="s">
        <v>1060</v>
      </c>
      <c r="G55" s="275"/>
      <c r="H55" s="276"/>
      <c r="I55" s="276"/>
      <c r="J55" s="275"/>
      <c r="K55" s="277"/>
      <c r="L55" s="278">
        <f>+Tabla1[[#This Row],[Precio Unitario]]*Tabla1[[#This Row],[Cantidad de Insumos]]</f>
        <v>0</v>
      </c>
      <c r="M55" s="279"/>
      <c r="N55" s="276"/>
    </row>
    <row r="56" spans="2:14" ht="12.75" x14ac:dyDescent="0.2">
      <c r="B56" s="14" t="str">
        <f>IF(Tabla1[[#This Row],[Código_Actividad]]="","",CONCATENATE(Tabla1[[#This Row],[POA]],".",Tabla1[[#This Row],[SRS]],".",Tabla1[[#This Row],[AREA]],".",Tabla1[[#This Row],[TIPO]]))</f>
        <v/>
      </c>
      <c r="C56" s="14" t="s">
        <v>1060</v>
      </c>
      <c r="D56" s="14" t="s">
        <v>1060</v>
      </c>
      <c r="E56" s="14" t="s">
        <v>1060</v>
      </c>
      <c r="F56" s="14" t="s">
        <v>1060</v>
      </c>
      <c r="G56" s="275"/>
      <c r="H56" s="276"/>
      <c r="I56" s="276"/>
      <c r="J56" s="275"/>
      <c r="K56" s="277"/>
      <c r="L56" s="278">
        <f>+Tabla1[[#This Row],[Precio Unitario]]*Tabla1[[#This Row],[Cantidad de Insumos]]</f>
        <v>0</v>
      </c>
      <c r="M56" s="279"/>
      <c r="N56" s="276"/>
    </row>
    <row r="57" spans="2:14" ht="12.75" x14ac:dyDescent="0.2">
      <c r="B57" s="14" t="str">
        <f>IF(Tabla1[[#This Row],[Código_Actividad]]="","",CONCATENATE(Tabla1[[#This Row],[POA]],".",Tabla1[[#This Row],[SRS]],".",Tabla1[[#This Row],[AREA]],".",Tabla1[[#This Row],[TIPO]]))</f>
        <v/>
      </c>
      <c r="C57" s="14" t="s">
        <v>1060</v>
      </c>
      <c r="D57" s="14" t="s">
        <v>1060</v>
      </c>
      <c r="E57" s="14" t="s">
        <v>1060</v>
      </c>
      <c r="F57" s="14" t="s">
        <v>1060</v>
      </c>
      <c r="G57" s="275"/>
      <c r="H57" s="276"/>
      <c r="I57" s="276"/>
      <c r="J57" s="275"/>
      <c r="K57" s="277"/>
      <c r="L57" s="278">
        <f>+Tabla1[[#This Row],[Precio Unitario]]*Tabla1[[#This Row],[Cantidad de Insumos]]</f>
        <v>0</v>
      </c>
      <c r="M57" s="279"/>
      <c r="N57" s="276"/>
    </row>
    <row r="58" spans="2:14" ht="12.75" x14ac:dyDescent="0.2">
      <c r="B58" s="14" t="str">
        <f>IF(Tabla1[[#This Row],[Código_Actividad]]="","",CONCATENATE(Tabla1[[#This Row],[POA]],".",Tabla1[[#This Row],[SRS]],".",Tabla1[[#This Row],[AREA]],".",Tabla1[[#This Row],[TIPO]]))</f>
        <v/>
      </c>
      <c r="C58" s="14" t="s">
        <v>1060</v>
      </c>
      <c r="D58" s="14" t="s">
        <v>1060</v>
      </c>
      <c r="E58" s="14" t="s">
        <v>1060</v>
      </c>
      <c r="F58" s="14" t="s">
        <v>1060</v>
      </c>
      <c r="G58" s="275"/>
      <c r="H58" s="276"/>
      <c r="I58" s="276"/>
      <c r="J58" s="275"/>
      <c r="K58" s="277"/>
      <c r="L58" s="278">
        <f>+Tabla1[[#This Row],[Precio Unitario]]*Tabla1[[#This Row],[Cantidad de Insumos]]</f>
        <v>0</v>
      </c>
      <c r="M58" s="279"/>
      <c r="N58" s="276"/>
    </row>
    <row r="59" spans="2:14" ht="12.75" x14ac:dyDescent="0.2">
      <c r="B59" s="14" t="str">
        <f>IF(Tabla1[[#This Row],[Código_Actividad]]="","",CONCATENATE(Tabla1[[#This Row],[POA]],".",Tabla1[[#This Row],[SRS]],".",Tabla1[[#This Row],[AREA]],".",Tabla1[[#This Row],[TIPO]]))</f>
        <v/>
      </c>
      <c r="C59" s="14" t="s">
        <v>1060</v>
      </c>
      <c r="D59" s="14" t="s">
        <v>1060</v>
      </c>
      <c r="E59" s="14" t="s">
        <v>1060</v>
      </c>
      <c r="F59" s="14" t="s">
        <v>1060</v>
      </c>
      <c r="G59" s="275"/>
      <c r="H59" s="276"/>
      <c r="I59" s="276"/>
      <c r="J59" s="275"/>
      <c r="K59" s="277"/>
      <c r="L59" s="278">
        <f>+Tabla1[[#This Row],[Precio Unitario]]*Tabla1[[#This Row],[Cantidad de Insumos]]</f>
        <v>0</v>
      </c>
      <c r="M59" s="279"/>
      <c r="N59" s="276"/>
    </row>
    <row r="60" spans="2:14" ht="12.75" x14ac:dyDescent="0.2">
      <c r="B60" s="14" t="str">
        <f>IF(Tabla1[[#This Row],[Código_Actividad]]="","",CONCATENATE(Tabla1[[#This Row],[POA]],".",Tabla1[[#This Row],[SRS]],".",Tabla1[[#This Row],[AREA]],".",Tabla1[[#This Row],[TIPO]]))</f>
        <v/>
      </c>
      <c r="C60" s="14" t="s">
        <v>1060</v>
      </c>
      <c r="D60" s="14" t="s">
        <v>1060</v>
      </c>
      <c r="E60" s="14" t="s">
        <v>1060</v>
      </c>
      <c r="F60" s="14" t="s">
        <v>1060</v>
      </c>
      <c r="G60" s="275"/>
      <c r="H60" s="276"/>
      <c r="I60" s="276"/>
      <c r="J60" s="275"/>
      <c r="K60" s="277"/>
      <c r="L60" s="278">
        <f>+Tabla1[[#This Row],[Precio Unitario]]*Tabla1[[#This Row],[Cantidad de Insumos]]</f>
        <v>0</v>
      </c>
      <c r="M60" s="279"/>
      <c r="N60" s="276"/>
    </row>
    <row r="61" spans="2:14" ht="12.75" x14ac:dyDescent="0.2">
      <c r="B61" s="14" t="str">
        <f>IF(Tabla1[[#This Row],[Código_Actividad]]="","",CONCATENATE(Tabla1[[#This Row],[POA]],".",Tabla1[[#This Row],[SRS]],".",Tabla1[[#This Row],[AREA]],".",Tabla1[[#This Row],[TIPO]]))</f>
        <v/>
      </c>
      <c r="C61" s="14" t="s">
        <v>1060</v>
      </c>
      <c r="D61" s="14" t="s">
        <v>1060</v>
      </c>
      <c r="E61" s="14" t="s">
        <v>1060</v>
      </c>
      <c r="F61" s="14" t="s">
        <v>1060</v>
      </c>
      <c r="G61" s="275"/>
      <c r="H61" s="276"/>
      <c r="I61" s="276"/>
      <c r="J61" s="275"/>
      <c r="K61" s="277"/>
      <c r="L61" s="278">
        <f>+Tabla1[[#This Row],[Precio Unitario]]*Tabla1[[#This Row],[Cantidad de Insumos]]</f>
        <v>0</v>
      </c>
      <c r="M61" s="279"/>
      <c r="N61" s="276"/>
    </row>
    <row r="62" spans="2:14" ht="12.75" x14ac:dyDescent="0.2">
      <c r="B62" s="14" t="str">
        <f>IF(Tabla1[[#This Row],[Código_Actividad]]="","",CONCATENATE(Tabla1[[#This Row],[POA]],".",Tabla1[[#This Row],[SRS]],".",Tabla1[[#This Row],[AREA]],".",Tabla1[[#This Row],[TIPO]]))</f>
        <v/>
      </c>
      <c r="C62" s="14" t="s">
        <v>1060</v>
      </c>
      <c r="D62" s="14" t="s">
        <v>1060</v>
      </c>
      <c r="E62" s="14" t="s">
        <v>1060</v>
      </c>
      <c r="F62" s="14" t="s">
        <v>1060</v>
      </c>
      <c r="G62" s="275"/>
      <c r="H62" s="276"/>
      <c r="I62" s="276"/>
      <c r="J62" s="275"/>
      <c r="K62" s="277"/>
      <c r="L62" s="278">
        <f>+Tabla1[[#This Row],[Precio Unitario]]*Tabla1[[#This Row],[Cantidad de Insumos]]</f>
        <v>0</v>
      </c>
      <c r="M62" s="279"/>
      <c r="N62" s="276"/>
    </row>
    <row r="63" spans="2:14" ht="12.75" x14ac:dyDescent="0.2">
      <c r="B63" s="14" t="str">
        <f>IF(Tabla1[[#This Row],[Código_Actividad]]="","",CONCATENATE(Tabla1[[#This Row],[POA]],".",Tabla1[[#This Row],[SRS]],".",Tabla1[[#This Row],[AREA]],".",Tabla1[[#This Row],[TIPO]]))</f>
        <v/>
      </c>
      <c r="C63" s="14" t="s">
        <v>1060</v>
      </c>
      <c r="D63" s="14" t="s">
        <v>1060</v>
      </c>
      <c r="E63" s="14" t="s">
        <v>1060</v>
      </c>
      <c r="F63" s="14" t="s">
        <v>1060</v>
      </c>
      <c r="G63" s="275"/>
      <c r="H63" s="276"/>
      <c r="I63" s="276"/>
      <c r="J63" s="275"/>
      <c r="K63" s="277"/>
      <c r="L63" s="278">
        <f>+Tabla1[[#This Row],[Precio Unitario]]*Tabla1[[#This Row],[Cantidad de Insumos]]</f>
        <v>0</v>
      </c>
      <c r="M63" s="279"/>
      <c r="N63" s="276"/>
    </row>
    <row r="64" spans="2:14" ht="12.75" x14ac:dyDescent="0.2">
      <c r="B64" s="14" t="str">
        <f>IF(Tabla1[[#This Row],[Código_Actividad]]="","",CONCATENATE(Tabla1[[#This Row],[POA]],".",Tabla1[[#This Row],[SRS]],".",Tabla1[[#This Row],[AREA]],".",Tabla1[[#This Row],[TIPO]]))</f>
        <v/>
      </c>
      <c r="C64" s="14" t="s">
        <v>1060</v>
      </c>
      <c r="D64" s="14" t="s">
        <v>1060</v>
      </c>
      <c r="E64" s="14" t="s">
        <v>1060</v>
      </c>
      <c r="F64" s="14" t="s">
        <v>1060</v>
      </c>
      <c r="G64" s="275"/>
      <c r="H64" s="276"/>
      <c r="I64" s="276"/>
      <c r="J64" s="275"/>
      <c r="K64" s="277"/>
      <c r="L64" s="278">
        <f>+Tabla1[[#This Row],[Precio Unitario]]*Tabla1[[#This Row],[Cantidad de Insumos]]</f>
        <v>0</v>
      </c>
      <c r="M64" s="279"/>
      <c r="N64" s="276"/>
    </row>
    <row r="65" spans="2:14" ht="12.75" x14ac:dyDescent="0.2">
      <c r="B65" s="14" t="str">
        <f>IF(Tabla1[[#This Row],[Código_Actividad]]="","",CONCATENATE(Tabla1[[#This Row],[POA]],".",Tabla1[[#This Row],[SRS]],".",Tabla1[[#This Row],[AREA]],".",Tabla1[[#This Row],[TIPO]]))</f>
        <v/>
      </c>
      <c r="C65" s="14" t="s">
        <v>1060</v>
      </c>
      <c r="D65" s="14" t="s">
        <v>1060</v>
      </c>
      <c r="E65" s="14" t="s">
        <v>1060</v>
      </c>
      <c r="F65" s="14" t="s">
        <v>1060</v>
      </c>
      <c r="G65" s="275"/>
      <c r="H65" s="276"/>
      <c r="I65" s="276"/>
      <c r="J65" s="275"/>
      <c r="K65" s="277"/>
      <c r="L65" s="278">
        <f>+Tabla1[[#This Row],[Precio Unitario]]*Tabla1[[#This Row],[Cantidad de Insumos]]</f>
        <v>0</v>
      </c>
      <c r="M65" s="279"/>
      <c r="N65" s="276"/>
    </row>
    <row r="66" spans="2:14" ht="12.75" x14ac:dyDescent="0.2">
      <c r="B66" s="14" t="str">
        <f>IF(Tabla1[[#This Row],[Código_Actividad]]="","",CONCATENATE(Tabla1[[#This Row],[POA]],".",Tabla1[[#This Row],[SRS]],".",Tabla1[[#This Row],[AREA]],".",Tabla1[[#This Row],[TIPO]]))</f>
        <v/>
      </c>
      <c r="C66" s="14" t="s">
        <v>1060</v>
      </c>
      <c r="D66" s="14" t="s">
        <v>1060</v>
      </c>
      <c r="E66" s="14" t="s">
        <v>1060</v>
      </c>
      <c r="F66" s="14" t="s">
        <v>1060</v>
      </c>
      <c r="G66" s="275"/>
      <c r="H66" s="276"/>
      <c r="I66" s="276"/>
      <c r="J66" s="275"/>
      <c r="K66" s="277"/>
      <c r="L66" s="278">
        <f>+Tabla1[[#This Row],[Precio Unitario]]*Tabla1[[#This Row],[Cantidad de Insumos]]</f>
        <v>0</v>
      </c>
      <c r="M66" s="279"/>
      <c r="N66" s="276"/>
    </row>
    <row r="67" spans="2:14" ht="12.75" x14ac:dyDescent="0.2">
      <c r="B67" s="14" t="str">
        <f>IF(Tabla1[[#This Row],[Código_Actividad]]="","",CONCATENATE(Tabla1[[#This Row],[POA]],".",Tabla1[[#This Row],[SRS]],".",Tabla1[[#This Row],[AREA]],".",Tabla1[[#This Row],[TIPO]]))</f>
        <v/>
      </c>
      <c r="C67" s="14" t="s">
        <v>1060</v>
      </c>
      <c r="D67" s="14" t="s">
        <v>1060</v>
      </c>
      <c r="E67" s="14" t="s">
        <v>1060</v>
      </c>
      <c r="F67" s="14" t="s">
        <v>1060</v>
      </c>
      <c r="G67" s="275"/>
      <c r="H67" s="276"/>
      <c r="I67" s="276"/>
      <c r="J67" s="275"/>
      <c r="K67" s="277"/>
      <c r="L67" s="278">
        <f>+Tabla1[[#This Row],[Precio Unitario]]*Tabla1[[#This Row],[Cantidad de Insumos]]</f>
        <v>0</v>
      </c>
      <c r="M67" s="279"/>
      <c r="N67" s="276"/>
    </row>
    <row r="68" spans="2:14" ht="12.75" x14ac:dyDescent="0.2">
      <c r="B68" s="14" t="str">
        <f>IF(Tabla1[[#This Row],[Código_Actividad]]="","",CONCATENATE(Tabla1[[#This Row],[POA]],".",Tabla1[[#This Row],[SRS]],".",Tabla1[[#This Row],[AREA]],".",Tabla1[[#This Row],[TIPO]]))</f>
        <v/>
      </c>
      <c r="C68" s="14" t="s">
        <v>1060</v>
      </c>
      <c r="D68" s="14" t="s">
        <v>1060</v>
      </c>
      <c r="E68" s="14" t="s">
        <v>1060</v>
      </c>
      <c r="F68" s="14" t="s">
        <v>1060</v>
      </c>
      <c r="G68" s="275"/>
      <c r="H68" s="276"/>
      <c r="I68" s="276"/>
      <c r="J68" s="275"/>
      <c r="K68" s="277"/>
      <c r="L68" s="278">
        <f>+Tabla1[[#This Row],[Precio Unitario]]*Tabla1[[#This Row],[Cantidad de Insumos]]</f>
        <v>0</v>
      </c>
      <c r="M68" s="279"/>
      <c r="N68" s="276"/>
    </row>
    <row r="69" spans="2:14" ht="12.75" x14ac:dyDescent="0.2">
      <c r="B69" s="14" t="str">
        <f>IF(Tabla1[[#This Row],[Código_Actividad]]="","",CONCATENATE(Tabla1[[#This Row],[POA]],".",Tabla1[[#This Row],[SRS]],".",Tabla1[[#This Row],[AREA]],".",Tabla1[[#This Row],[TIPO]]))</f>
        <v/>
      </c>
      <c r="C69" s="14" t="s">
        <v>1060</v>
      </c>
      <c r="D69" s="14" t="s">
        <v>1060</v>
      </c>
      <c r="E69" s="14" t="s">
        <v>1060</v>
      </c>
      <c r="F69" s="14" t="s">
        <v>1060</v>
      </c>
      <c r="G69" s="275"/>
      <c r="H69" s="276"/>
      <c r="I69" s="276"/>
      <c r="J69" s="275"/>
      <c r="K69" s="277"/>
      <c r="L69" s="278">
        <f>+Tabla1[[#This Row],[Precio Unitario]]*Tabla1[[#This Row],[Cantidad de Insumos]]</f>
        <v>0</v>
      </c>
      <c r="M69" s="279"/>
      <c r="N69" s="276"/>
    </row>
    <row r="70" spans="2:14" ht="12.75" x14ac:dyDescent="0.2">
      <c r="B70" s="14" t="str">
        <f>IF(Tabla1[[#This Row],[Código_Actividad]]="","",CONCATENATE(Tabla1[[#This Row],[POA]],".",Tabla1[[#This Row],[SRS]],".",Tabla1[[#This Row],[AREA]],".",Tabla1[[#This Row],[TIPO]]))</f>
        <v/>
      </c>
      <c r="C70" s="14" t="s">
        <v>1060</v>
      </c>
      <c r="D70" s="14" t="s">
        <v>1060</v>
      </c>
      <c r="E70" s="14" t="s">
        <v>1060</v>
      </c>
      <c r="F70" s="14" t="s">
        <v>1060</v>
      </c>
      <c r="G70" s="275"/>
      <c r="H70" s="276"/>
      <c r="I70" s="276"/>
      <c r="J70" s="275"/>
      <c r="K70" s="277"/>
      <c r="L70" s="278">
        <f>+Tabla1[[#This Row],[Precio Unitario]]*Tabla1[[#This Row],[Cantidad de Insumos]]</f>
        <v>0</v>
      </c>
      <c r="M70" s="279"/>
      <c r="N70" s="276"/>
    </row>
    <row r="71" spans="2:14" ht="12.75" x14ac:dyDescent="0.2">
      <c r="B71" s="14" t="str">
        <f>IF(Tabla1[[#This Row],[Código_Actividad]]="","",CONCATENATE(Tabla1[[#This Row],[POA]],".",Tabla1[[#This Row],[SRS]],".",Tabla1[[#This Row],[AREA]],".",Tabla1[[#This Row],[TIPO]]))</f>
        <v/>
      </c>
      <c r="C71" s="14" t="s">
        <v>1060</v>
      </c>
      <c r="D71" s="14" t="s">
        <v>1060</v>
      </c>
      <c r="E71" s="14" t="s">
        <v>1060</v>
      </c>
      <c r="F71" s="14" t="s">
        <v>1060</v>
      </c>
      <c r="G71" s="275"/>
      <c r="H71" s="276"/>
      <c r="I71" s="276"/>
      <c r="J71" s="275"/>
      <c r="K71" s="277"/>
      <c r="L71" s="278">
        <f>+Tabla1[[#This Row],[Precio Unitario]]*Tabla1[[#This Row],[Cantidad de Insumos]]</f>
        <v>0</v>
      </c>
      <c r="M71" s="279"/>
      <c r="N71" s="276"/>
    </row>
    <row r="72" spans="2:14" ht="12.75" x14ac:dyDescent="0.2">
      <c r="B72" s="14" t="str">
        <f>IF(Tabla1[[#This Row],[Código_Actividad]]="","",CONCATENATE(Tabla1[[#This Row],[POA]],".",Tabla1[[#This Row],[SRS]],".",Tabla1[[#This Row],[AREA]],".",Tabla1[[#This Row],[TIPO]]))</f>
        <v/>
      </c>
      <c r="C72" s="14" t="s">
        <v>1060</v>
      </c>
      <c r="D72" s="14" t="s">
        <v>1060</v>
      </c>
      <c r="E72" s="14" t="s">
        <v>1060</v>
      </c>
      <c r="F72" s="14" t="s">
        <v>1060</v>
      </c>
      <c r="G72" s="275"/>
      <c r="H72" s="276"/>
      <c r="I72" s="276"/>
      <c r="J72" s="275"/>
      <c r="K72" s="277"/>
      <c r="L72" s="278">
        <f>+Tabla1[[#This Row],[Precio Unitario]]*Tabla1[[#This Row],[Cantidad de Insumos]]</f>
        <v>0</v>
      </c>
      <c r="M72" s="279"/>
      <c r="N72" s="276"/>
    </row>
    <row r="73" spans="2:14" ht="12.75" x14ac:dyDescent="0.2">
      <c r="B73" s="14" t="str">
        <f>IF(Tabla1[[#This Row],[Código_Actividad]]="","",CONCATENATE(Tabla1[[#This Row],[POA]],".",Tabla1[[#This Row],[SRS]],".",Tabla1[[#This Row],[AREA]],".",Tabla1[[#This Row],[TIPO]]))</f>
        <v/>
      </c>
      <c r="C73" s="14" t="s">
        <v>1060</v>
      </c>
      <c r="D73" s="14" t="s">
        <v>1060</v>
      </c>
      <c r="E73" s="14" t="s">
        <v>1060</v>
      </c>
      <c r="F73" s="14" t="s">
        <v>1060</v>
      </c>
      <c r="G73" s="275"/>
      <c r="H73" s="276"/>
      <c r="I73" s="276"/>
      <c r="J73" s="275"/>
      <c r="K73" s="277"/>
      <c r="L73" s="278">
        <f>+Tabla1[[#This Row],[Precio Unitario]]*Tabla1[[#This Row],[Cantidad de Insumos]]</f>
        <v>0</v>
      </c>
      <c r="M73" s="279"/>
      <c r="N73" s="276"/>
    </row>
    <row r="74" spans="2:14" ht="12.75" x14ac:dyDescent="0.2">
      <c r="B74" s="14" t="str">
        <f>IF(Tabla1[[#This Row],[Código_Actividad]]="","",CONCATENATE(Tabla1[[#This Row],[POA]],".",Tabla1[[#This Row],[SRS]],".",Tabla1[[#This Row],[AREA]],".",Tabla1[[#This Row],[TIPO]]))</f>
        <v/>
      </c>
      <c r="C74" s="14" t="s">
        <v>1060</v>
      </c>
      <c r="D74" s="14" t="s">
        <v>1060</v>
      </c>
      <c r="E74" s="14" t="s">
        <v>1060</v>
      </c>
      <c r="F74" s="14" t="s">
        <v>1060</v>
      </c>
      <c r="G74" s="275"/>
      <c r="H74" s="276"/>
      <c r="I74" s="276"/>
      <c r="J74" s="275"/>
      <c r="K74" s="277"/>
      <c r="L74" s="278">
        <f>+Tabla1[[#This Row],[Precio Unitario]]*Tabla1[[#This Row],[Cantidad de Insumos]]</f>
        <v>0</v>
      </c>
      <c r="M74" s="279"/>
      <c r="N74" s="276"/>
    </row>
    <row r="75" spans="2:14" ht="12.75" x14ac:dyDescent="0.2">
      <c r="B75" s="14" t="str">
        <f>IF(Tabla1[[#This Row],[Código_Actividad]]="","",CONCATENATE(Tabla1[[#This Row],[POA]],".",Tabla1[[#This Row],[SRS]],".",Tabla1[[#This Row],[AREA]],".",Tabla1[[#This Row],[TIPO]]))</f>
        <v/>
      </c>
      <c r="C75" s="14" t="s">
        <v>1060</v>
      </c>
      <c r="D75" s="14" t="s">
        <v>1060</v>
      </c>
      <c r="E75" s="14" t="s">
        <v>1060</v>
      </c>
      <c r="F75" s="14" t="s">
        <v>1060</v>
      </c>
      <c r="G75" s="275"/>
      <c r="H75" s="276"/>
      <c r="I75" s="276"/>
      <c r="J75" s="275"/>
      <c r="K75" s="277"/>
      <c r="L75" s="278">
        <f>+Tabla1[[#This Row],[Precio Unitario]]*Tabla1[[#This Row],[Cantidad de Insumos]]</f>
        <v>0</v>
      </c>
      <c r="M75" s="279"/>
      <c r="N75" s="276"/>
    </row>
    <row r="76" spans="2:14" ht="12.75" x14ac:dyDescent="0.2">
      <c r="B76" s="14" t="str">
        <f>IF(Tabla1[[#This Row],[Código_Actividad]]="","",CONCATENATE(Tabla1[[#This Row],[POA]],".",Tabla1[[#This Row],[SRS]],".",Tabla1[[#This Row],[AREA]],".",Tabla1[[#This Row],[TIPO]]))</f>
        <v/>
      </c>
      <c r="C76" s="14" t="s">
        <v>1060</v>
      </c>
      <c r="D76" s="14" t="s">
        <v>1060</v>
      </c>
      <c r="E76" s="14" t="s">
        <v>1060</v>
      </c>
      <c r="F76" s="14" t="s">
        <v>1060</v>
      </c>
      <c r="G76" s="275"/>
      <c r="H76" s="276"/>
      <c r="I76" s="276"/>
      <c r="J76" s="275"/>
      <c r="K76" s="277"/>
      <c r="L76" s="278">
        <f>+Tabla1[[#This Row],[Precio Unitario]]*Tabla1[[#This Row],[Cantidad de Insumos]]</f>
        <v>0</v>
      </c>
      <c r="M76" s="279"/>
      <c r="N76" s="276"/>
    </row>
    <row r="77" spans="2:14" ht="12.75" x14ac:dyDescent="0.2">
      <c r="B77" s="14" t="str">
        <f>IF(Tabla1[[#This Row],[Código_Actividad]]="","",CONCATENATE(Tabla1[[#This Row],[POA]],".",Tabla1[[#This Row],[SRS]],".",Tabla1[[#This Row],[AREA]],".",Tabla1[[#This Row],[TIPO]]))</f>
        <v/>
      </c>
      <c r="C77" s="14" t="s">
        <v>1060</v>
      </c>
      <c r="D77" s="14" t="s">
        <v>1060</v>
      </c>
      <c r="E77" s="14" t="s">
        <v>1060</v>
      </c>
      <c r="F77" s="14" t="s">
        <v>1060</v>
      </c>
      <c r="G77" s="275"/>
      <c r="H77" s="276"/>
      <c r="I77" s="276"/>
      <c r="J77" s="275"/>
      <c r="K77" s="277"/>
      <c r="L77" s="278">
        <f>+Tabla1[[#This Row],[Precio Unitario]]*Tabla1[[#This Row],[Cantidad de Insumos]]</f>
        <v>0</v>
      </c>
      <c r="M77" s="279"/>
      <c r="N77" s="276"/>
    </row>
    <row r="78" spans="2:14" ht="12.75" x14ac:dyDescent="0.2">
      <c r="B78" s="14" t="str">
        <f>IF(Tabla1[[#This Row],[Código_Actividad]]="","",CONCATENATE(Tabla1[[#This Row],[POA]],".",Tabla1[[#This Row],[SRS]],".",Tabla1[[#This Row],[AREA]],".",Tabla1[[#This Row],[TIPO]]))</f>
        <v/>
      </c>
      <c r="C78" s="14" t="s">
        <v>1060</v>
      </c>
      <c r="D78" s="14" t="s">
        <v>1060</v>
      </c>
      <c r="E78" s="14" t="s">
        <v>1060</v>
      </c>
      <c r="F78" s="14" t="s">
        <v>1060</v>
      </c>
      <c r="G78" s="275"/>
      <c r="H78" s="276"/>
      <c r="I78" s="276"/>
      <c r="J78" s="275"/>
      <c r="K78" s="277"/>
      <c r="L78" s="278">
        <f>+Tabla1[[#This Row],[Precio Unitario]]*Tabla1[[#This Row],[Cantidad de Insumos]]</f>
        <v>0</v>
      </c>
      <c r="M78" s="279"/>
      <c r="N78" s="276"/>
    </row>
    <row r="79" spans="2:14" ht="12.75" x14ac:dyDescent="0.2">
      <c r="B79" s="14" t="str">
        <f>IF(Tabla1[[#This Row],[Código_Actividad]]="","",CONCATENATE(Tabla1[[#This Row],[POA]],".",Tabla1[[#This Row],[SRS]],".",Tabla1[[#This Row],[AREA]],".",Tabla1[[#This Row],[TIPO]]))</f>
        <v/>
      </c>
      <c r="C79" s="14" t="s">
        <v>1060</v>
      </c>
      <c r="D79" s="14" t="s">
        <v>1060</v>
      </c>
      <c r="E79" s="14" t="s">
        <v>1060</v>
      </c>
      <c r="F79" s="14" t="s">
        <v>1060</v>
      </c>
      <c r="G79" s="275"/>
      <c r="H79" s="276"/>
      <c r="I79" s="276"/>
      <c r="J79" s="275"/>
      <c r="K79" s="277"/>
      <c r="L79" s="278">
        <f>+Tabla1[[#This Row],[Precio Unitario]]*Tabla1[[#This Row],[Cantidad de Insumos]]</f>
        <v>0</v>
      </c>
      <c r="M79" s="279"/>
      <c r="N79" s="276"/>
    </row>
    <row r="80" spans="2:14" ht="12.75" x14ac:dyDescent="0.2">
      <c r="B80" s="14" t="str">
        <f>IF(Tabla1[[#This Row],[Código_Actividad]]="","",CONCATENATE(Tabla1[[#This Row],[POA]],".",Tabla1[[#This Row],[SRS]],".",Tabla1[[#This Row],[AREA]],".",Tabla1[[#This Row],[TIPO]]))</f>
        <v/>
      </c>
      <c r="C80" s="14" t="s">
        <v>1060</v>
      </c>
      <c r="D80" s="14" t="s">
        <v>1060</v>
      </c>
      <c r="E80" s="14" t="s">
        <v>1060</v>
      </c>
      <c r="F80" s="14" t="s">
        <v>1060</v>
      </c>
      <c r="G80" s="275"/>
      <c r="H80" s="276"/>
      <c r="I80" s="276"/>
      <c r="J80" s="275"/>
      <c r="K80" s="277"/>
      <c r="L80" s="278">
        <f>+Tabla1[[#This Row],[Precio Unitario]]*Tabla1[[#This Row],[Cantidad de Insumos]]</f>
        <v>0</v>
      </c>
      <c r="M80" s="279"/>
      <c r="N80" s="276"/>
    </row>
    <row r="81" spans="2:14" ht="12.75" x14ac:dyDescent="0.2">
      <c r="B81" s="14" t="str">
        <f>IF(Tabla1[[#This Row],[Código_Actividad]]="","",CONCATENATE(Tabla1[[#This Row],[POA]],".",Tabla1[[#This Row],[SRS]],".",Tabla1[[#This Row],[AREA]],".",Tabla1[[#This Row],[TIPO]]))</f>
        <v/>
      </c>
      <c r="C81" s="14" t="s">
        <v>1060</v>
      </c>
      <c r="D81" s="14" t="s">
        <v>1060</v>
      </c>
      <c r="E81" s="14" t="s">
        <v>1060</v>
      </c>
      <c r="F81" s="14" t="s">
        <v>1060</v>
      </c>
      <c r="G81" s="275"/>
      <c r="H81" s="276"/>
      <c r="I81" s="276"/>
      <c r="J81" s="275"/>
      <c r="K81" s="277"/>
      <c r="L81" s="278">
        <f>+Tabla1[[#This Row],[Precio Unitario]]*Tabla1[[#This Row],[Cantidad de Insumos]]</f>
        <v>0</v>
      </c>
      <c r="M81" s="279"/>
      <c r="N81" s="276"/>
    </row>
    <row r="82" spans="2:14" ht="12.75" x14ac:dyDescent="0.2">
      <c r="B82" s="14" t="str">
        <f>IF(Tabla1[[#This Row],[Código_Actividad]]="","",CONCATENATE(Tabla1[[#This Row],[POA]],".",Tabla1[[#This Row],[SRS]],".",Tabla1[[#This Row],[AREA]],".",Tabla1[[#This Row],[TIPO]]))</f>
        <v/>
      </c>
      <c r="C82" s="14" t="s">
        <v>1060</v>
      </c>
      <c r="D82" s="14" t="s">
        <v>1060</v>
      </c>
      <c r="E82" s="14" t="s">
        <v>1060</v>
      </c>
      <c r="F82" s="14" t="s">
        <v>1060</v>
      </c>
      <c r="G82" s="275"/>
      <c r="H82" s="276"/>
      <c r="I82" s="276"/>
      <c r="J82" s="275"/>
      <c r="K82" s="277"/>
      <c r="L82" s="278">
        <f>+Tabla1[[#This Row],[Precio Unitario]]*Tabla1[[#This Row],[Cantidad de Insumos]]</f>
        <v>0</v>
      </c>
      <c r="M82" s="279"/>
      <c r="N82" s="276"/>
    </row>
    <row r="83" spans="2:14" ht="12.75" x14ac:dyDescent="0.2">
      <c r="B83" s="14" t="str">
        <f>IF(Tabla1[[#This Row],[Código_Actividad]]="","",CONCATENATE(Tabla1[[#This Row],[POA]],".",Tabla1[[#This Row],[SRS]],".",Tabla1[[#This Row],[AREA]],".",Tabla1[[#This Row],[TIPO]]))</f>
        <v/>
      </c>
      <c r="C83" s="14" t="s">
        <v>1060</v>
      </c>
      <c r="D83" s="14" t="s">
        <v>1060</v>
      </c>
      <c r="E83" s="14" t="s">
        <v>1060</v>
      </c>
      <c r="F83" s="14" t="s">
        <v>1060</v>
      </c>
      <c r="G83" s="275"/>
      <c r="H83" s="276"/>
      <c r="I83" s="276"/>
      <c r="J83" s="275"/>
      <c r="K83" s="277"/>
      <c r="L83" s="278">
        <f>+Tabla1[[#This Row],[Precio Unitario]]*Tabla1[[#This Row],[Cantidad de Insumos]]</f>
        <v>0</v>
      </c>
      <c r="M83" s="279"/>
      <c r="N83" s="276"/>
    </row>
    <row r="84" spans="2:14" ht="12.75" x14ac:dyDescent="0.2">
      <c r="B84" s="14" t="str">
        <f>IF(Tabla1[[#This Row],[Código_Actividad]]="","",CONCATENATE(Tabla1[[#This Row],[POA]],".",Tabla1[[#This Row],[SRS]],".",Tabla1[[#This Row],[AREA]],".",Tabla1[[#This Row],[TIPO]]))</f>
        <v/>
      </c>
      <c r="C84" s="14" t="s">
        <v>1060</v>
      </c>
      <c r="D84" s="14" t="s">
        <v>1060</v>
      </c>
      <c r="E84" s="14" t="s">
        <v>1060</v>
      </c>
      <c r="F84" s="14" t="s">
        <v>1060</v>
      </c>
      <c r="G84" s="275"/>
      <c r="H84" s="276"/>
      <c r="I84" s="276"/>
      <c r="J84" s="275"/>
      <c r="K84" s="277"/>
      <c r="L84" s="278">
        <f>+Tabla1[[#This Row],[Precio Unitario]]*Tabla1[[#This Row],[Cantidad de Insumos]]</f>
        <v>0</v>
      </c>
      <c r="M84" s="279"/>
      <c r="N84" s="276"/>
    </row>
    <row r="85" spans="2:14" ht="12.75" x14ac:dyDescent="0.2">
      <c r="B85" s="14" t="str">
        <f>IF(Tabla1[[#This Row],[Código_Actividad]]="","",CONCATENATE(Tabla1[[#This Row],[POA]],".",Tabla1[[#This Row],[SRS]],".",Tabla1[[#This Row],[AREA]],".",Tabla1[[#This Row],[TIPO]]))</f>
        <v/>
      </c>
      <c r="C85" s="14" t="s">
        <v>1060</v>
      </c>
      <c r="D85" s="14" t="s">
        <v>1060</v>
      </c>
      <c r="E85" s="14" t="s">
        <v>1060</v>
      </c>
      <c r="F85" s="14" t="s">
        <v>1060</v>
      </c>
      <c r="G85" s="275"/>
      <c r="H85" s="276"/>
      <c r="I85" s="276"/>
      <c r="J85" s="275"/>
      <c r="K85" s="277"/>
      <c r="L85" s="278">
        <f>+Tabla1[[#This Row],[Precio Unitario]]*Tabla1[[#This Row],[Cantidad de Insumos]]</f>
        <v>0</v>
      </c>
      <c r="M85" s="279"/>
      <c r="N85" s="276"/>
    </row>
    <row r="86" spans="2:14" ht="12.75" x14ac:dyDescent="0.2">
      <c r="B86" s="14" t="str">
        <f>IF(Tabla1[[#This Row],[Código_Actividad]]="","",CONCATENATE(Tabla1[[#This Row],[POA]],".",Tabla1[[#This Row],[SRS]],".",Tabla1[[#This Row],[AREA]],".",Tabla1[[#This Row],[TIPO]]))</f>
        <v/>
      </c>
      <c r="C86" s="14" t="s">
        <v>1060</v>
      </c>
      <c r="D86" s="14" t="s">
        <v>1060</v>
      </c>
      <c r="E86" s="14" t="s">
        <v>1060</v>
      </c>
      <c r="F86" s="14" t="s">
        <v>1060</v>
      </c>
      <c r="G86" s="275"/>
      <c r="H86" s="276"/>
      <c r="I86" s="276"/>
      <c r="J86" s="275"/>
      <c r="K86" s="277"/>
      <c r="L86" s="278">
        <f>+Tabla1[[#This Row],[Precio Unitario]]*Tabla1[[#This Row],[Cantidad de Insumos]]</f>
        <v>0</v>
      </c>
      <c r="M86" s="279"/>
      <c r="N86" s="276"/>
    </row>
    <row r="87" spans="2:14" ht="12.75" x14ac:dyDescent="0.2">
      <c r="B87" s="14" t="str">
        <f>IF(Tabla1[[#This Row],[Código_Actividad]]="","",CONCATENATE(Tabla1[[#This Row],[POA]],".",Tabla1[[#This Row],[SRS]],".",Tabla1[[#This Row],[AREA]],".",Tabla1[[#This Row],[TIPO]]))</f>
        <v/>
      </c>
      <c r="C87" s="14" t="s">
        <v>1060</v>
      </c>
      <c r="D87" s="14" t="s">
        <v>1060</v>
      </c>
      <c r="E87" s="14" t="s">
        <v>1060</v>
      </c>
      <c r="F87" s="14" t="s">
        <v>1060</v>
      </c>
      <c r="G87" s="275"/>
      <c r="H87" s="276"/>
      <c r="I87" s="276"/>
      <c r="J87" s="275"/>
      <c r="K87" s="277"/>
      <c r="L87" s="278">
        <f>+Tabla1[[#This Row],[Precio Unitario]]*Tabla1[[#This Row],[Cantidad de Insumos]]</f>
        <v>0</v>
      </c>
      <c r="M87" s="279"/>
      <c r="N87" s="276"/>
    </row>
    <row r="88" spans="2:14" ht="12.75" x14ac:dyDescent="0.2">
      <c r="B88" s="14" t="str">
        <f>IF(Tabla1[[#This Row],[Código_Actividad]]="","",CONCATENATE(Tabla1[[#This Row],[POA]],".",Tabla1[[#This Row],[SRS]],".",Tabla1[[#This Row],[AREA]],".",Tabla1[[#This Row],[TIPO]]))</f>
        <v/>
      </c>
      <c r="C88" s="14" t="s">
        <v>1060</v>
      </c>
      <c r="D88" s="14" t="s">
        <v>1060</v>
      </c>
      <c r="E88" s="14" t="s">
        <v>1060</v>
      </c>
      <c r="F88" s="14" t="s">
        <v>1060</v>
      </c>
      <c r="G88" s="275"/>
      <c r="H88" s="276"/>
      <c r="I88" s="276"/>
      <c r="J88" s="275"/>
      <c r="K88" s="277"/>
      <c r="L88" s="278">
        <f>+Tabla1[[#This Row],[Precio Unitario]]*Tabla1[[#This Row],[Cantidad de Insumos]]</f>
        <v>0</v>
      </c>
      <c r="M88" s="279"/>
      <c r="N88" s="276"/>
    </row>
    <row r="89" spans="2:14" ht="12.75" x14ac:dyDescent="0.2">
      <c r="B89" s="14" t="str">
        <f>IF(Tabla1[[#This Row],[Código_Actividad]]="","",CONCATENATE(Tabla1[[#This Row],[POA]],".",Tabla1[[#This Row],[SRS]],".",Tabla1[[#This Row],[AREA]],".",Tabla1[[#This Row],[TIPO]]))</f>
        <v/>
      </c>
      <c r="C89" s="14" t="s">
        <v>1060</v>
      </c>
      <c r="D89" s="14" t="s">
        <v>1060</v>
      </c>
      <c r="E89" s="14" t="s">
        <v>1060</v>
      </c>
      <c r="F89" s="14" t="s">
        <v>1060</v>
      </c>
      <c r="G89" s="275"/>
      <c r="H89" s="276"/>
      <c r="I89" s="276"/>
      <c r="J89" s="275"/>
      <c r="K89" s="277"/>
      <c r="L89" s="278">
        <f>+Tabla1[[#This Row],[Precio Unitario]]*Tabla1[[#This Row],[Cantidad de Insumos]]</f>
        <v>0</v>
      </c>
      <c r="M89" s="279"/>
      <c r="N89" s="276"/>
    </row>
    <row r="90" spans="2:14" ht="12.75" x14ac:dyDescent="0.2">
      <c r="B90" s="14" t="str">
        <f>IF(Tabla1[[#This Row],[Código_Actividad]]="","",CONCATENATE(Tabla1[[#This Row],[POA]],".",Tabla1[[#This Row],[SRS]],".",Tabla1[[#This Row],[AREA]],".",Tabla1[[#This Row],[TIPO]]))</f>
        <v/>
      </c>
      <c r="C90" s="14" t="s">
        <v>1060</v>
      </c>
      <c r="D90" s="14" t="s">
        <v>1060</v>
      </c>
      <c r="E90" s="14" t="s">
        <v>1060</v>
      </c>
      <c r="F90" s="14" t="s">
        <v>1060</v>
      </c>
      <c r="G90" s="275"/>
      <c r="H90" s="276"/>
      <c r="I90" s="276"/>
      <c r="J90" s="275"/>
      <c r="K90" s="277"/>
      <c r="L90" s="278">
        <f>+Tabla1[[#This Row],[Precio Unitario]]*Tabla1[[#This Row],[Cantidad de Insumos]]</f>
        <v>0</v>
      </c>
      <c r="M90" s="279"/>
      <c r="N90" s="276"/>
    </row>
    <row r="91" spans="2:14" ht="12.75" x14ac:dyDescent="0.2">
      <c r="B91" s="14" t="str">
        <f>IF(Tabla1[[#This Row],[Código_Actividad]]="","",CONCATENATE(Tabla1[[#This Row],[POA]],".",Tabla1[[#This Row],[SRS]],".",Tabla1[[#This Row],[AREA]],".",Tabla1[[#This Row],[TIPO]]))</f>
        <v/>
      </c>
      <c r="C91" s="14" t="s">
        <v>1060</v>
      </c>
      <c r="D91" s="14" t="s">
        <v>1060</v>
      </c>
      <c r="E91" s="14" t="s">
        <v>1060</v>
      </c>
      <c r="F91" s="14" t="s">
        <v>1060</v>
      </c>
      <c r="G91" s="275"/>
      <c r="H91" s="276"/>
      <c r="I91" s="276"/>
      <c r="J91" s="275"/>
      <c r="K91" s="277"/>
      <c r="L91" s="278">
        <f>+Tabla1[[#This Row],[Precio Unitario]]*Tabla1[[#This Row],[Cantidad de Insumos]]</f>
        <v>0</v>
      </c>
      <c r="M91" s="279"/>
      <c r="N91" s="276"/>
    </row>
    <row r="92" spans="2:14" ht="12.75" x14ac:dyDescent="0.2">
      <c r="B92" s="14" t="str">
        <f>IF(Tabla1[[#This Row],[Código_Actividad]]="","",CONCATENATE(Tabla1[[#This Row],[POA]],".",Tabla1[[#This Row],[SRS]],".",Tabla1[[#This Row],[AREA]],".",Tabla1[[#This Row],[TIPO]]))</f>
        <v/>
      </c>
      <c r="C92" s="14" t="s">
        <v>1060</v>
      </c>
      <c r="D92" s="14" t="s">
        <v>1060</v>
      </c>
      <c r="E92" s="14" t="s">
        <v>1060</v>
      </c>
      <c r="F92" s="14" t="s">
        <v>1060</v>
      </c>
      <c r="G92" s="275"/>
      <c r="H92" s="276"/>
      <c r="I92" s="276"/>
      <c r="J92" s="275"/>
      <c r="K92" s="277"/>
      <c r="L92" s="278">
        <f>+Tabla1[[#This Row],[Precio Unitario]]*Tabla1[[#This Row],[Cantidad de Insumos]]</f>
        <v>0</v>
      </c>
      <c r="M92" s="279"/>
      <c r="N92" s="276"/>
    </row>
    <row r="93" spans="2:14" ht="12.75" x14ac:dyDescent="0.2">
      <c r="B93" s="14" t="str">
        <f>IF(Tabla1[[#This Row],[Código_Actividad]]="","",CONCATENATE(Tabla1[[#This Row],[POA]],".",Tabla1[[#This Row],[SRS]],".",Tabla1[[#This Row],[AREA]],".",Tabla1[[#This Row],[TIPO]]))</f>
        <v/>
      </c>
      <c r="C93" s="14" t="s">
        <v>1060</v>
      </c>
      <c r="D93" s="14" t="s">
        <v>1060</v>
      </c>
      <c r="E93" s="14" t="s">
        <v>1060</v>
      </c>
      <c r="F93" s="14" t="s">
        <v>1060</v>
      </c>
      <c r="G93" s="275"/>
      <c r="H93" s="276"/>
      <c r="I93" s="276"/>
      <c r="J93" s="275"/>
      <c r="K93" s="277"/>
      <c r="L93" s="278">
        <f>+Tabla1[[#This Row],[Precio Unitario]]*Tabla1[[#This Row],[Cantidad de Insumos]]</f>
        <v>0</v>
      </c>
      <c r="M93" s="279"/>
      <c r="N93" s="276"/>
    </row>
    <row r="94" spans="2:14" ht="12.75" x14ac:dyDescent="0.2">
      <c r="B94" s="14" t="str">
        <f>IF(Tabla1[[#This Row],[Código_Actividad]]="","",CONCATENATE(Tabla1[[#This Row],[POA]],".",Tabla1[[#This Row],[SRS]],".",Tabla1[[#This Row],[AREA]],".",Tabla1[[#This Row],[TIPO]]))</f>
        <v/>
      </c>
      <c r="C94" s="14" t="s">
        <v>1060</v>
      </c>
      <c r="D94" s="14" t="s">
        <v>1060</v>
      </c>
      <c r="E94" s="14" t="s">
        <v>1060</v>
      </c>
      <c r="F94" s="14" t="s">
        <v>1060</v>
      </c>
      <c r="G94" s="275"/>
      <c r="H94" s="276"/>
      <c r="I94" s="276"/>
      <c r="J94" s="275"/>
      <c r="K94" s="277"/>
      <c r="L94" s="278">
        <f>+Tabla1[[#This Row],[Precio Unitario]]*Tabla1[[#This Row],[Cantidad de Insumos]]</f>
        <v>0</v>
      </c>
      <c r="M94" s="279"/>
      <c r="N94" s="276"/>
    </row>
    <row r="95" spans="2:14" ht="12.75" x14ac:dyDescent="0.2">
      <c r="B95" s="14" t="str">
        <f>IF(Tabla1[[#This Row],[Código_Actividad]]="","",CONCATENATE(Tabla1[[#This Row],[POA]],".",Tabla1[[#This Row],[SRS]],".",Tabla1[[#This Row],[AREA]],".",Tabla1[[#This Row],[TIPO]]))</f>
        <v/>
      </c>
      <c r="C95" s="14" t="s">
        <v>1060</v>
      </c>
      <c r="D95" s="14" t="s">
        <v>1060</v>
      </c>
      <c r="E95" s="14" t="s">
        <v>1060</v>
      </c>
      <c r="F95" s="14" t="s">
        <v>1060</v>
      </c>
      <c r="G95" s="275"/>
      <c r="H95" s="276"/>
      <c r="I95" s="276"/>
      <c r="J95" s="275"/>
      <c r="K95" s="277"/>
      <c r="L95" s="278">
        <f>+Tabla1[[#This Row],[Precio Unitario]]*Tabla1[[#This Row],[Cantidad de Insumos]]</f>
        <v>0</v>
      </c>
      <c r="M95" s="279"/>
      <c r="N95" s="276"/>
    </row>
    <row r="96" spans="2:14" ht="12.75" x14ac:dyDescent="0.2">
      <c r="B96" s="14" t="str">
        <f>IF(Tabla1[[#This Row],[Código_Actividad]]="","",CONCATENATE(Tabla1[[#This Row],[POA]],".",Tabla1[[#This Row],[SRS]],".",Tabla1[[#This Row],[AREA]],".",Tabla1[[#This Row],[TIPO]]))</f>
        <v/>
      </c>
      <c r="C96" s="14" t="s">
        <v>1060</v>
      </c>
      <c r="D96" s="14" t="s">
        <v>1060</v>
      </c>
      <c r="E96" s="14" t="s">
        <v>1060</v>
      </c>
      <c r="F96" s="14" t="s">
        <v>1060</v>
      </c>
      <c r="G96" s="275"/>
      <c r="H96" s="276"/>
      <c r="I96" s="276"/>
      <c r="J96" s="275"/>
      <c r="K96" s="277"/>
      <c r="L96" s="278">
        <f>+Tabla1[[#This Row],[Precio Unitario]]*Tabla1[[#This Row],[Cantidad de Insumos]]</f>
        <v>0</v>
      </c>
      <c r="M96" s="279"/>
      <c r="N96" s="276"/>
    </row>
    <row r="97" spans="2:14" ht="12.75" x14ac:dyDescent="0.2">
      <c r="B97" s="14" t="str">
        <f>IF(Tabla1[[#This Row],[Código_Actividad]]="","",CONCATENATE(Tabla1[[#This Row],[POA]],".",Tabla1[[#This Row],[SRS]],".",Tabla1[[#This Row],[AREA]],".",Tabla1[[#This Row],[TIPO]]))</f>
        <v/>
      </c>
      <c r="C97" s="14" t="s">
        <v>1060</v>
      </c>
      <c r="D97" s="14" t="s">
        <v>1060</v>
      </c>
      <c r="E97" s="14" t="s">
        <v>1060</v>
      </c>
      <c r="F97" s="14" t="s">
        <v>1060</v>
      </c>
      <c r="G97" s="275"/>
      <c r="H97" s="276"/>
      <c r="I97" s="276"/>
      <c r="J97" s="275"/>
      <c r="K97" s="277"/>
      <c r="L97" s="278">
        <f>+Tabla1[[#This Row],[Precio Unitario]]*Tabla1[[#This Row],[Cantidad de Insumos]]</f>
        <v>0</v>
      </c>
      <c r="M97" s="279"/>
      <c r="N97" s="276"/>
    </row>
    <row r="98" spans="2:14" ht="12.75" x14ac:dyDescent="0.2">
      <c r="B98" s="14" t="str">
        <f>IF(Tabla1[[#This Row],[Código_Actividad]]="","",CONCATENATE(Tabla1[[#This Row],[POA]],".",Tabla1[[#This Row],[SRS]],".",Tabla1[[#This Row],[AREA]],".",Tabla1[[#This Row],[TIPO]]))</f>
        <v/>
      </c>
      <c r="C98" s="14" t="s">
        <v>1060</v>
      </c>
      <c r="D98" s="14" t="s">
        <v>1060</v>
      </c>
      <c r="E98" s="14" t="s">
        <v>1060</v>
      </c>
      <c r="F98" s="14" t="s">
        <v>1060</v>
      </c>
      <c r="G98" s="275"/>
      <c r="H98" s="276"/>
      <c r="I98" s="276"/>
      <c r="J98" s="275"/>
      <c r="K98" s="277"/>
      <c r="L98" s="278">
        <f>+Tabla1[[#This Row],[Precio Unitario]]*Tabla1[[#This Row],[Cantidad de Insumos]]</f>
        <v>0</v>
      </c>
      <c r="M98" s="279"/>
      <c r="N98" s="276"/>
    </row>
    <row r="99" spans="2:14" ht="12.75" x14ac:dyDescent="0.2">
      <c r="B99" s="14" t="str">
        <f>IF(Tabla1[[#This Row],[Código_Actividad]]="","",CONCATENATE(Tabla1[[#This Row],[POA]],".",Tabla1[[#This Row],[SRS]],".",Tabla1[[#This Row],[AREA]],".",Tabla1[[#This Row],[TIPO]]))</f>
        <v/>
      </c>
      <c r="C99" s="14" t="s">
        <v>1060</v>
      </c>
      <c r="D99" s="14" t="s">
        <v>1060</v>
      </c>
      <c r="E99" s="14" t="s">
        <v>1060</v>
      </c>
      <c r="F99" s="14" t="s">
        <v>1060</v>
      </c>
      <c r="G99" s="275"/>
      <c r="H99" s="276"/>
      <c r="I99" s="276"/>
      <c r="J99" s="275"/>
      <c r="K99" s="277"/>
      <c r="L99" s="278">
        <f>+Tabla1[[#This Row],[Precio Unitario]]*Tabla1[[#This Row],[Cantidad de Insumos]]</f>
        <v>0</v>
      </c>
      <c r="M99" s="279"/>
      <c r="N99" s="276"/>
    </row>
    <row r="100" spans="2:14" ht="12.75" x14ac:dyDescent="0.2">
      <c r="B100" s="14" t="str">
        <f>IF(Tabla1[[#This Row],[Código_Actividad]]="","",CONCATENATE(Tabla1[[#This Row],[POA]],".",Tabla1[[#This Row],[SRS]],".",Tabla1[[#This Row],[AREA]],".",Tabla1[[#This Row],[TIPO]]))</f>
        <v/>
      </c>
      <c r="C100" s="14" t="s">
        <v>1060</v>
      </c>
      <c r="D100" s="14" t="s">
        <v>1060</v>
      </c>
      <c r="E100" s="14" t="s">
        <v>1060</v>
      </c>
      <c r="F100" s="14" t="s">
        <v>1060</v>
      </c>
      <c r="G100" s="275"/>
      <c r="H100" s="276"/>
      <c r="I100" s="276"/>
      <c r="J100" s="275"/>
      <c r="K100" s="277"/>
      <c r="L100" s="278">
        <f>+Tabla1[[#This Row],[Precio Unitario]]*Tabla1[[#This Row],[Cantidad de Insumos]]</f>
        <v>0</v>
      </c>
      <c r="M100" s="279"/>
      <c r="N100" s="276"/>
    </row>
    <row r="101" spans="2:14" ht="12.75" x14ac:dyDescent="0.2">
      <c r="B101" s="14" t="str">
        <f>IF(Tabla1[[#This Row],[Código_Actividad]]="","",CONCATENATE(Tabla1[[#This Row],[POA]],".",Tabla1[[#This Row],[SRS]],".",Tabla1[[#This Row],[AREA]],".",Tabla1[[#This Row],[TIPO]]))</f>
        <v/>
      </c>
      <c r="C101" s="14" t="s">
        <v>1060</v>
      </c>
      <c r="D101" s="14" t="s">
        <v>1060</v>
      </c>
      <c r="E101" s="14" t="s">
        <v>1060</v>
      </c>
      <c r="F101" s="14" t="s">
        <v>1060</v>
      </c>
      <c r="G101" s="275"/>
      <c r="H101" s="276"/>
      <c r="I101" s="276"/>
      <c r="J101" s="275"/>
      <c r="K101" s="277"/>
      <c r="L101" s="278">
        <f>+Tabla1[[#This Row],[Precio Unitario]]*Tabla1[[#This Row],[Cantidad de Insumos]]</f>
        <v>0</v>
      </c>
      <c r="M101" s="279"/>
      <c r="N101" s="276"/>
    </row>
    <row r="102" spans="2:14" ht="12.75" x14ac:dyDescent="0.2">
      <c r="B102" s="14" t="str">
        <f>IF(Tabla1[[#This Row],[Código_Actividad]]="","",CONCATENATE(Tabla1[[#This Row],[POA]],".",Tabla1[[#This Row],[SRS]],".",Tabla1[[#This Row],[AREA]],".",Tabla1[[#This Row],[TIPO]]))</f>
        <v/>
      </c>
      <c r="C102" s="14" t="s">
        <v>1060</v>
      </c>
      <c r="D102" s="14" t="s">
        <v>1060</v>
      </c>
      <c r="E102" s="14" t="s">
        <v>1060</v>
      </c>
      <c r="F102" s="14" t="s">
        <v>1060</v>
      </c>
      <c r="G102" s="275"/>
      <c r="H102" s="276"/>
      <c r="I102" s="276"/>
      <c r="J102" s="275"/>
      <c r="K102" s="277"/>
      <c r="L102" s="278">
        <f>+Tabla1[[#This Row],[Precio Unitario]]*Tabla1[[#This Row],[Cantidad de Insumos]]</f>
        <v>0</v>
      </c>
      <c r="M102" s="279"/>
      <c r="N102" s="276"/>
    </row>
    <row r="103" spans="2:14" ht="12.75" x14ac:dyDescent="0.2">
      <c r="B103" s="14" t="str">
        <f>IF(Tabla1[[#This Row],[Código_Actividad]]="","",CONCATENATE(Tabla1[[#This Row],[POA]],".",Tabla1[[#This Row],[SRS]],".",Tabla1[[#This Row],[AREA]],".",Tabla1[[#This Row],[TIPO]]))</f>
        <v/>
      </c>
      <c r="C103" s="14" t="s">
        <v>1060</v>
      </c>
      <c r="D103" s="14" t="s">
        <v>1060</v>
      </c>
      <c r="E103" s="14" t="s">
        <v>1060</v>
      </c>
      <c r="F103" s="14" t="s">
        <v>1060</v>
      </c>
      <c r="G103" s="275"/>
      <c r="H103" s="276"/>
      <c r="I103" s="276"/>
      <c r="J103" s="275"/>
      <c r="K103" s="277"/>
      <c r="L103" s="278">
        <f>+Tabla1[[#This Row],[Precio Unitario]]*Tabla1[[#This Row],[Cantidad de Insumos]]</f>
        <v>0</v>
      </c>
      <c r="M103" s="279"/>
      <c r="N103" s="276"/>
    </row>
    <row r="104" spans="2:14" ht="12.75" x14ac:dyDescent="0.2">
      <c r="B104" s="14" t="str">
        <f>IF(Tabla1[[#This Row],[Código_Actividad]]="","",CONCATENATE(Tabla1[[#This Row],[POA]],".",Tabla1[[#This Row],[SRS]],".",Tabla1[[#This Row],[AREA]],".",Tabla1[[#This Row],[TIPO]]))</f>
        <v/>
      </c>
      <c r="C104" s="14" t="s">
        <v>1060</v>
      </c>
      <c r="D104" s="14" t="s">
        <v>1060</v>
      </c>
      <c r="E104" s="14" t="s">
        <v>1060</v>
      </c>
      <c r="F104" s="14" t="s">
        <v>1060</v>
      </c>
      <c r="G104" s="275"/>
      <c r="H104" s="276"/>
      <c r="I104" s="276"/>
      <c r="J104" s="275"/>
      <c r="K104" s="277"/>
      <c r="L104" s="278">
        <f>+Tabla1[[#This Row],[Precio Unitario]]*Tabla1[[#This Row],[Cantidad de Insumos]]</f>
        <v>0</v>
      </c>
      <c r="M104" s="279"/>
      <c r="N104" s="276"/>
    </row>
    <row r="105" spans="2:14" ht="12.75" x14ac:dyDescent="0.2">
      <c r="B105" s="14" t="str">
        <f>IF(Tabla1[[#This Row],[Código_Actividad]]="","",CONCATENATE(Tabla1[[#This Row],[POA]],".",Tabla1[[#This Row],[SRS]],".",Tabla1[[#This Row],[AREA]],".",Tabla1[[#This Row],[TIPO]]))</f>
        <v/>
      </c>
      <c r="C105" s="14" t="s">
        <v>1060</v>
      </c>
      <c r="D105" s="14" t="s">
        <v>1060</v>
      </c>
      <c r="E105" s="14" t="s">
        <v>1060</v>
      </c>
      <c r="F105" s="14" t="s">
        <v>1060</v>
      </c>
      <c r="G105" s="275"/>
      <c r="H105" s="276"/>
      <c r="I105" s="276"/>
      <c r="J105" s="275"/>
      <c r="K105" s="277"/>
      <c r="L105" s="278">
        <f>+Tabla1[[#This Row],[Precio Unitario]]*Tabla1[[#This Row],[Cantidad de Insumos]]</f>
        <v>0</v>
      </c>
      <c r="M105" s="279"/>
      <c r="N105" s="276"/>
    </row>
    <row r="106" spans="2:14" ht="12.75" x14ac:dyDescent="0.2">
      <c r="B106" s="14" t="str">
        <f>IF(Tabla1[[#This Row],[Código_Actividad]]="","",CONCATENATE(Tabla1[[#This Row],[POA]],".",Tabla1[[#This Row],[SRS]],".",Tabla1[[#This Row],[AREA]],".",Tabla1[[#This Row],[TIPO]]))</f>
        <v/>
      </c>
      <c r="C106" s="14" t="s">
        <v>1060</v>
      </c>
      <c r="D106" s="14" t="s">
        <v>1060</v>
      </c>
      <c r="E106" s="14" t="s">
        <v>1060</v>
      </c>
      <c r="F106" s="14" t="s">
        <v>1060</v>
      </c>
      <c r="G106" s="275"/>
      <c r="H106" s="276"/>
      <c r="I106" s="276"/>
      <c r="J106" s="275"/>
      <c r="K106" s="277"/>
      <c r="L106" s="278">
        <f>+Tabla1[[#This Row],[Precio Unitario]]*Tabla1[[#This Row],[Cantidad de Insumos]]</f>
        <v>0</v>
      </c>
      <c r="M106" s="279"/>
      <c r="N106" s="276"/>
    </row>
    <row r="107" spans="2:14" ht="12.75" x14ac:dyDescent="0.2">
      <c r="B107" s="14" t="str">
        <f>IF(Tabla1[[#This Row],[Código_Actividad]]="","",CONCATENATE(Tabla1[[#This Row],[POA]],".",Tabla1[[#This Row],[SRS]],".",Tabla1[[#This Row],[AREA]],".",Tabla1[[#This Row],[TIPO]]))</f>
        <v/>
      </c>
      <c r="C107" s="14" t="s">
        <v>1060</v>
      </c>
      <c r="D107" s="14" t="s">
        <v>1060</v>
      </c>
      <c r="E107" s="14" t="s">
        <v>1060</v>
      </c>
      <c r="F107" s="14" t="s">
        <v>1060</v>
      </c>
      <c r="G107" s="275"/>
      <c r="H107" s="276"/>
      <c r="I107" s="276"/>
      <c r="J107" s="275"/>
      <c r="K107" s="277"/>
      <c r="L107" s="278">
        <f>+Tabla1[[#This Row],[Precio Unitario]]*Tabla1[[#This Row],[Cantidad de Insumos]]</f>
        <v>0</v>
      </c>
      <c r="M107" s="279"/>
      <c r="N107" s="276"/>
    </row>
    <row r="108" spans="2:14" ht="12.75" x14ac:dyDescent="0.2">
      <c r="B108" s="14" t="str">
        <f>IF(Tabla1[[#This Row],[Código_Actividad]]="","",CONCATENATE(Tabla1[[#This Row],[POA]],".",Tabla1[[#This Row],[SRS]],".",Tabla1[[#This Row],[AREA]],".",Tabla1[[#This Row],[TIPO]]))</f>
        <v/>
      </c>
      <c r="C108" s="14" t="s">
        <v>1060</v>
      </c>
      <c r="D108" s="14" t="s">
        <v>1060</v>
      </c>
      <c r="E108" s="14" t="s">
        <v>1060</v>
      </c>
      <c r="F108" s="14" t="s">
        <v>1060</v>
      </c>
      <c r="G108" s="275"/>
      <c r="H108" s="276"/>
      <c r="I108" s="276"/>
      <c r="J108" s="275"/>
      <c r="K108" s="277"/>
      <c r="L108" s="278">
        <f>+Tabla1[[#This Row],[Precio Unitario]]*Tabla1[[#This Row],[Cantidad de Insumos]]</f>
        <v>0</v>
      </c>
      <c r="M108" s="279"/>
      <c r="N108" s="276"/>
    </row>
    <row r="109" spans="2:14" ht="12.75" x14ac:dyDescent="0.2">
      <c r="B109" s="14" t="str">
        <f>IF(Tabla1[[#This Row],[Código_Actividad]]="","",CONCATENATE(Tabla1[[#This Row],[POA]],".",Tabla1[[#This Row],[SRS]],".",Tabla1[[#This Row],[AREA]],".",Tabla1[[#This Row],[TIPO]]))</f>
        <v/>
      </c>
      <c r="C109" s="14" t="s">
        <v>1060</v>
      </c>
      <c r="D109" s="14" t="s">
        <v>1060</v>
      </c>
      <c r="E109" s="14" t="s">
        <v>1060</v>
      </c>
      <c r="F109" s="14" t="s">
        <v>1060</v>
      </c>
      <c r="G109" s="275"/>
      <c r="H109" s="276"/>
      <c r="I109" s="276"/>
      <c r="J109" s="275"/>
      <c r="K109" s="277"/>
      <c r="L109" s="278">
        <f>+Tabla1[[#This Row],[Precio Unitario]]*Tabla1[[#This Row],[Cantidad de Insumos]]</f>
        <v>0</v>
      </c>
      <c r="M109" s="279"/>
      <c r="N109" s="276"/>
    </row>
    <row r="110" spans="2:14" ht="12.75" x14ac:dyDescent="0.2">
      <c r="B110" s="14" t="str">
        <f>IF(Tabla1[[#This Row],[Código_Actividad]]="","",CONCATENATE(Tabla1[[#This Row],[POA]],".",Tabla1[[#This Row],[SRS]],".",Tabla1[[#This Row],[AREA]],".",Tabla1[[#This Row],[TIPO]]))</f>
        <v/>
      </c>
      <c r="C110" s="14" t="s">
        <v>1060</v>
      </c>
      <c r="D110" s="14" t="s">
        <v>1060</v>
      </c>
      <c r="E110" s="14" t="s">
        <v>1060</v>
      </c>
      <c r="F110" s="14" t="s">
        <v>1060</v>
      </c>
      <c r="G110" s="275"/>
      <c r="H110" s="276"/>
      <c r="I110" s="276"/>
      <c r="J110" s="275"/>
      <c r="K110" s="277"/>
      <c r="L110" s="278">
        <f>+Tabla1[[#This Row],[Precio Unitario]]*Tabla1[[#This Row],[Cantidad de Insumos]]</f>
        <v>0</v>
      </c>
      <c r="M110" s="279"/>
      <c r="N110" s="276"/>
    </row>
    <row r="111" spans="2:14" ht="12.75" x14ac:dyDescent="0.2">
      <c r="B111" s="14" t="str">
        <f>IF(Tabla1[[#This Row],[Código_Actividad]]="","",CONCATENATE(Tabla1[[#This Row],[POA]],".",Tabla1[[#This Row],[SRS]],".",Tabla1[[#This Row],[AREA]],".",Tabla1[[#This Row],[TIPO]]))</f>
        <v/>
      </c>
      <c r="C111" s="14" t="s">
        <v>1060</v>
      </c>
      <c r="D111" s="14" t="s">
        <v>1060</v>
      </c>
      <c r="E111" s="14" t="s">
        <v>1060</v>
      </c>
      <c r="F111" s="14" t="s">
        <v>1060</v>
      </c>
      <c r="G111" s="275"/>
      <c r="H111" s="276"/>
      <c r="I111" s="276"/>
      <c r="J111" s="275"/>
      <c r="K111" s="277"/>
      <c r="L111" s="278">
        <f>+Tabla1[[#This Row],[Precio Unitario]]*Tabla1[[#This Row],[Cantidad de Insumos]]</f>
        <v>0</v>
      </c>
      <c r="M111" s="279"/>
      <c r="N111" s="276"/>
    </row>
    <row r="112" spans="2:14" ht="12.75" x14ac:dyDescent="0.2">
      <c r="B112" s="14" t="str">
        <f>IF(Tabla1[[#This Row],[Código_Actividad]]="","",CONCATENATE(Tabla1[[#This Row],[POA]],".",Tabla1[[#This Row],[SRS]],".",Tabla1[[#This Row],[AREA]],".",Tabla1[[#This Row],[TIPO]]))</f>
        <v/>
      </c>
      <c r="C112" s="14" t="s">
        <v>1060</v>
      </c>
      <c r="D112" s="14" t="s">
        <v>1060</v>
      </c>
      <c r="E112" s="14" t="s">
        <v>1060</v>
      </c>
      <c r="F112" s="14" t="s">
        <v>1060</v>
      </c>
      <c r="G112" s="275"/>
      <c r="H112" s="276"/>
      <c r="I112" s="276"/>
      <c r="J112" s="275"/>
      <c r="K112" s="277"/>
      <c r="L112" s="278">
        <f>+Tabla1[[#This Row],[Precio Unitario]]*Tabla1[[#This Row],[Cantidad de Insumos]]</f>
        <v>0</v>
      </c>
      <c r="M112" s="279"/>
      <c r="N112" s="276"/>
    </row>
    <row r="113" spans="2:14" ht="12.75" x14ac:dyDescent="0.2">
      <c r="B113" s="14" t="str">
        <f>IF(Tabla1[[#This Row],[Código_Actividad]]="","",CONCATENATE(Tabla1[[#This Row],[POA]],".",Tabla1[[#This Row],[SRS]],".",Tabla1[[#This Row],[AREA]],".",Tabla1[[#This Row],[TIPO]]))</f>
        <v/>
      </c>
      <c r="C113" s="14" t="s">
        <v>1060</v>
      </c>
      <c r="D113" s="14" t="s">
        <v>1060</v>
      </c>
      <c r="E113" s="14" t="s">
        <v>1060</v>
      </c>
      <c r="F113" s="14" t="s">
        <v>1060</v>
      </c>
      <c r="G113" s="275"/>
      <c r="H113" s="276"/>
      <c r="I113" s="276"/>
      <c r="J113" s="275"/>
      <c r="K113" s="277"/>
      <c r="L113" s="278">
        <f>+Tabla1[[#This Row],[Precio Unitario]]*Tabla1[[#This Row],[Cantidad de Insumos]]</f>
        <v>0</v>
      </c>
      <c r="M113" s="279"/>
      <c r="N113" s="276"/>
    </row>
    <row r="114" spans="2:14" ht="12.75" x14ac:dyDescent="0.2">
      <c r="B114" s="14" t="str">
        <f>IF(Tabla1[[#This Row],[Código_Actividad]]="","",CONCATENATE(Tabla1[[#This Row],[POA]],".",Tabla1[[#This Row],[SRS]],".",Tabla1[[#This Row],[AREA]],".",Tabla1[[#This Row],[TIPO]]))</f>
        <v/>
      </c>
      <c r="C114" s="14" t="s">
        <v>1060</v>
      </c>
      <c r="D114" s="14" t="s">
        <v>1060</v>
      </c>
      <c r="E114" s="14" t="s">
        <v>1060</v>
      </c>
      <c r="F114" s="14" t="s">
        <v>1060</v>
      </c>
      <c r="G114" s="275"/>
      <c r="H114" s="276"/>
      <c r="I114" s="276"/>
      <c r="J114" s="275"/>
      <c r="K114" s="277"/>
      <c r="L114" s="278">
        <f>+Tabla1[[#This Row],[Precio Unitario]]*Tabla1[[#This Row],[Cantidad de Insumos]]</f>
        <v>0</v>
      </c>
      <c r="M114" s="279"/>
      <c r="N114" s="276"/>
    </row>
    <row r="115" spans="2:14" ht="12.75" x14ac:dyDescent="0.2">
      <c r="B115" s="14" t="str">
        <f>IF(Tabla1[[#This Row],[Código_Actividad]]="","",CONCATENATE(Tabla1[[#This Row],[POA]],".",Tabla1[[#This Row],[SRS]],".",Tabla1[[#This Row],[AREA]],".",Tabla1[[#This Row],[TIPO]]))</f>
        <v/>
      </c>
      <c r="C115" s="14" t="s">
        <v>1060</v>
      </c>
      <c r="D115" s="14" t="s">
        <v>1060</v>
      </c>
      <c r="E115" s="14" t="s">
        <v>1060</v>
      </c>
      <c r="F115" s="14" t="s">
        <v>1060</v>
      </c>
      <c r="G115" s="275"/>
      <c r="H115" s="276"/>
      <c r="I115" s="276"/>
      <c r="J115" s="275"/>
      <c r="K115" s="277"/>
      <c r="L115" s="278">
        <f>+Tabla1[[#This Row],[Precio Unitario]]*Tabla1[[#This Row],[Cantidad de Insumos]]</f>
        <v>0</v>
      </c>
      <c r="M115" s="279"/>
      <c r="N115" s="276"/>
    </row>
    <row r="116" spans="2:14" ht="12.75" x14ac:dyDescent="0.2">
      <c r="B116" s="14" t="str">
        <f>IF(Tabla1[[#This Row],[Código_Actividad]]="","",CONCATENATE(Tabla1[[#This Row],[POA]],".",Tabla1[[#This Row],[SRS]],".",Tabla1[[#This Row],[AREA]],".",Tabla1[[#This Row],[TIPO]]))</f>
        <v/>
      </c>
      <c r="C116" s="14" t="s">
        <v>1060</v>
      </c>
      <c r="D116" s="14" t="s">
        <v>1060</v>
      </c>
      <c r="E116" s="14" t="s">
        <v>1060</v>
      </c>
      <c r="F116" s="14" t="s">
        <v>1060</v>
      </c>
      <c r="G116" s="275"/>
      <c r="H116" s="276"/>
      <c r="I116" s="276"/>
      <c r="J116" s="275"/>
      <c r="K116" s="277"/>
      <c r="L116" s="278">
        <f>+Tabla1[[#This Row],[Precio Unitario]]*Tabla1[[#This Row],[Cantidad de Insumos]]</f>
        <v>0</v>
      </c>
      <c r="M116" s="279"/>
      <c r="N116" s="276"/>
    </row>
    <row r="117" spans="2:14" ht="12.75" x14ac:dyDescent="0.2">
      <c r="B117" s="14" t="str">
        <f>IF(Tabla1[[#This Row],[Código_Actividad]]="","",CONCATENATE(Tabla1[[#This Row],[POA]],".",Tabla1[[#This Row],[SRS]],".",Tabla1[[#This Row],[AREA]],".",Tabla1[[#This Row],[TIPO]]))</f>
        <v/>
      </c>
      <c r="C117" s="14" t="s">
        <v>1060</v>
      </c>
      <c r="D117" s="14" t="s">
        <v>1060</v>
      </c>
      <c r="E117" s="14" t="s">
        <v>1060</v>
      </c>
      <c r="F117" s="14" t="s">
        <v>1060</v>
      </c>
      <c r="G117" s="275"/>
      <c r="H117" s="276"/>
      <c r="I117" s="276"/>
      <c r="J117" s="275"/>
      <c r="K117" s="277"/>
      <c r="L117" s="278">
        <f>+Tabla1[[#This Row],[Precio Unitario]]*Tabla1[[#This Row],[Cantidad de Insumos]]</f>
        <v>0</v>
      </c>
      <c r="M117" s="279"/>
      <c r="N117" s="276"/>
    </row>
    <row r="118" spans="2:14" ht="12.75" x14ac:dyDescent="0.2">
      <c r="B118" s="14" t="str">
        <f>IF(Tabla1[[#This Row],[Código_Actividad]]="","",CONCATENATE(Tabla1[[#This Row],[POA]],".",Tabla1[[#This Row],[SRS]],".",Tabla1[[#This Row],[AREA]],".",Tabla1[[#This Row],[TIPO]]))</f>
        <v/>
      </c>
      <c r="C118" s="14" t="s">
        <v>1060</v>
      </c>
      <c r="D118" s="14" t="s">
        <v>1060</v>
      </c>
      <c r="E118" s="14" t="s">
        <v>1060</v>
      </c>
      <c r="F118" s="14" t="s">
        <v>1060</v>
      </c>
      <c r="G118" s="275"/>
      <c r="H118" s="276"/>
      <c r="I118" s="276"/>
      <c r="J118" s="275"/>
      <c r="K118" s="277"/>
      <c r="L118" s="278">
        <f>+Tabla1[[#This Row],[Precio Unitario]]*Tabla1[[#This Row],[Cantidad de Insumos]]</f>
        <v>0</v>
      </c>
      <c r="M118" s="279"/>
      <c r="N118" s="276"/>
    </row>
    <row r="119" spans="2:14" ht="12.75" x14ac:dyDescent="0.2">
      <c r="B119" s="14" t="str">
        <f>IF(Tabla1[[#This Row],[Código_Actividad]]="","",CONCATENATE(Tabla1[[#This Row],[POA]],".",Tabla1[[#This Row],[SRS]],".",Tabla1[[#This Row],[AREA]],".",Tabla1[[#This Row],[TIPO]]))</f>
        <v/>
      </c>
      <c r="C119" s="14" t="s">
        <v>1060</v>
      </c>
      <c r="D119" s="14" t="s">
        <v>1060</v>
      </c>
      <c r="E119" s="14" t="s">
        <v>1060</v>
      </c>
      <c r="F119" s="14" t="s">
        <v>1060</v>
      </c>
      <c r="G119" s="275"/>
      <c r="H119" s="276"/>
      <c r="I119" s="276"/>
      <c r="J119" s="275"/>
      <c r="K119" s="277"/>
      <c r="L119" s="278">
        <f>+Tabla1[[#This Row],[Precio Unitario]]*Tabla1[[#This Row],[Cantidad de Insumos]]</f>
        <v>0</v>
      </c>
      <c r="M119" s="279"/>
      <c r="N119" s="276"/>
    </row>
    <row r="120" spans="2:14" ht="12.75" x14ac:dyDescent="0.2">
      <c r="B120" s="14" t="str">
        <f>IF(Tabla1[[#This Row],[Código_Actividad]]="","",CONCATENATE(Tabla1[[#This Row],[POA]],".",Tabla1[[#This Row],[SRS]],".",Tabla1[[#This Row],[AREA]],".",Tabla1[[#This Row],[TIPO]]))</f>
        <v/>
      </c>
      <c r="C120" s="14" t="s">
        <v>1060</v>
      </c>
      <c r="D120" s="14" t="s">
        <v>1060</v>
      </c>
      <c r="E120" s="14" t="s">
        <v>1060</v>
      </c>
      <c r="F120" s="14" t="s">
        <v>1060</v>
      </c>
      <c r="G120" s="275"/>
      <c r="H120" s="276"/>
      <c r="I120" s="276"/>
      <c r="J120" s="275"/>
      <c r="K120" s="277"/>
      <c r="L120" s="278">
        <f>+Tabla1[[#This Row],[Precio Unitario]]*Tabla1[[#This Row],[Cantidad de Insumos]]</f>
        <v>0</v>
      </c>
      <c r="M120" s="279"/>
      <c r="N120" s="276"/>
    </row>
    <row r="121" spans="2:14" ht="12.75" x14ac:dyDescent="0.2">
      <c r="B121" s="14" t="str">
        <f>IF(Tabla1[[#This Row],[Código_Actividad]]="","",CONCATENATE(Tabla1[[#This Row],[POA]],".",Tabla1[[#This Row],[SRS]],".",Tabla1[[#This Row],[AREA]],".",Tabla1[[#This Row],[TIPO]]))</f>
        <v/>
      </c>
      <c r="C121" s="14" t="s">
        <v>1060</v>
      </c>
      <c r="D121" s="14" t="s">
        <v>1060</v>
      </c>
      <c r="E121" s="14" t="s">
        <v>1060</v>
      </c>
      <c r="F121" s="14" t="s">
        <v>1060</v>
      </c>
      <c r="G121" s="275"/>
      <c r="H121" s="276"/>
      <c r="I121" s="276"/>
      <c r="J121" s="275"/>
      <c r="K121" s="277"/>
      <c r="L121" s="278">
        <f>+Tabla1[[#This Row],[Precio Unitario]]*Tabla1[[#This Row],[Cantidad de Insumos]]</f>
        <v>0</v>
      </c>
      <c r="M121" s="279"/>
      <c r="N121" s="276"/>
    </row>
    <row r="122" spans="2:14" ht="12.75" x14ac:dyDescent="0.2">
      <c r="B122" s="14" t="str">
        <f>IF(Tabla1[[#This Row],[Código_Actividad]]="","",CONCATENATE(Tabla1[[#This Row],[POA]],".",Tabla1[[#This Row],[SRS]],".",Tabla1[[#This Row],[AREA]],".",Tabla1[[#This Row],[TIPO]]))</f>
        <v/>
      </c>
      <c r="C122" s="14" t="s">
        <v>1060</v>
      </c>
      <c r="D122" s="14" t="s">
        <v>1060</v>
      </c>
      <c r="E122" s="14" t="s">
        <v>1060</v>
      </c>
      <c r="F122" s="14" t="s">
        <v>1060</v>
      </c>
      <c r="G122" s="275"/>
      <c r="H122" s="276"/>
      <c r="I122" s="276"/>
      <c r="J122" s="275"/>
      <c r="K122" s="277"/>
      <c r="L122" s="278">
        <f>+Tabla1[[#This Row],[Precio Unitario]]*Tabla1[[#This Row],[Cantidad de Insumos]]</f>
        <v>0</v>
      </c>
      <c r="M122" s="279"/>
      <c r="N122" s="276"/>
    </row>
    <row r="123" spans="2:14" ht="12.75" x14ac:dyDescent="0.2">
      <c r="B123" s="14" t="str">
        <f>IF(Tabla1[[#This Row],[Código_Actividad]]="","",CONCATENATE(Tabla1[[#This Row],[POA]],".",Tabla1[[#This Row],[SRS]],".",Tabla1[[#This Row],[AREA]],".",Tabla1[[#This Row],[TIPO]]))</f>
        <v/>
      </c>
      <c r="C123" s="14" t="s">
        <v>1060</v>
      </c>
      <c r="D123" s="14" t="s">
        <v>1060</v>
      </c>
      <c r="E123" s="14" t="s">
        <v>1060</v>
      </c>
      <c r="F123" s="14" t="s">
        <v>1060</v>
      </c>
      <c r="G123" s="275"/>
      <c r="H123" s="276"/>
      <c r="I123" s="276"/>
      <c r="J123" s="275"/>
      <c r="K123" s="277"/>
      <c r="L123" s="278">
        <f>+Tabla1[[#This Row],[Precio Unitario]]*Tabla1[[#This Row],[Cantidad de Insumos]]</f>
        <v>0</v>
      </c>
      <c r="M123" s="279"/>
      <c r="N123" s="276"/>
    </row>
    <row r="124" spans="2:14" ht="12.75" x14ac:dyDescent="0.2">
      <c r="B124" s="14" t="str">
        <f>IF(Tabla1[[#This Row],[Código_Actividad]]="","",CONCATENATE(Tabla1[[#This Row],[POA]],".",Tabla1[[#This Row],[SRS]],".",Tabla1[[#This Row],[AREA]],".",Tabla1[[#This Row],[TIPO]]))</f>
        <v/>
      </c>
      <c r="C124" s="14" t="s">
        <v>1060</v>
      </c>
      <c r="D124" s="14" t="s">
        <v>1060</v>
      </c>
      <c r="E124" s="14" t="s">
        <v>1060</v>
      </c>
      <c r="F124" s="14" t="s">
        <v>1060</v>
      </c>
      <c r="G124" s="275"/>
      <c r="H124" s="276"/>
      <c r="I124" s="276"/>
      <c r="J124" s="275"/>
      <c r="K124" s="277"/>
      <c r="L124" s="278">
        <f>+Tabla1[[#This Row],[Precio Unitario]]*Tabla1[[#This Row],[Cantidad de Insumos]]</f>
        <v>0</v>
      </c>
      <c r="M124" s="279"/>
      <c r="N124" s="276"/>
    </row>
    <row r="125" spans="2:14" ht="12.75" x14ac:dyDescent="0.2">
      <c r="B125" s="14" t="str">
        <f>IF(Tabla1[[#This Row],[Código_Actividad]]="","",CONCATENATE(Tabla1[[#This Row],[POA]],".",Tabla1[[#This Row],[SRS]],".",Tabla1[[#This Row],[AREA]],".",Tabla1[[#This Row],[TIPO]]))</f>
        <v/>
      </c>
      <c r="C125" s="14" t="s">
        <v>1060</v>
      </c>
      <c r="D125" s="14" t="s">
        <v>1060</v>
      </c>
      <c r="E125" s="14" t="s">
        <v>1060</v>
      </c>
      <c r="F125" s="14" t="s">
        <v>1060</v>
      </c>
      <c r="G125" s="275"/>
      <c r="H125" s="276"/>
      <c r="I125" s="276"/>
      <c r="J125" s="275"/>
      <c r="K125" s="277"/>
      <c r="L125" s="278">
        <f>+Tabla1[[#This Row],[Precio Unitario]]*Tabla1[[#This Row],[Cantidad de Insumos]]</f>
        <v>0</v>
      </c>
      <c r="M125" s="279"/>
      <c r="N125" s="276"/>
    </row>
    <row r="126" spans="2:14" ht="12.75" x14ac:dyDescent="0.2">
      <c r="B126" s="14" t="str">
        <f>IF(Tabla1[[#This Row],[Código_Actividad]]="","",CONCATENATE(Tabla1[[#This Row],[POA]],".",Tabla1[[#This Row],[SRS]],".",Tabla1[[#This Row],[AREA]],".",Tabla1[[#This Row],[TIPO]]))</f>
        <v/>
      </c>
      <c r="C126" s="14" t="s">
        <v>1060</v>
      </c>
      <c r="D126" s="14" t="s">
        <v>1060</v>
      </c>
      <c r="E126" s="14" t="s">
        <v>1060</v>
      </c>
      <c r="F126" s="14" t="s">
        <v>1060</v>
      </c>
      <c r="G126" s="275"/>
      <c r="H126" s="276"/>
      <c r="I126" s="276"/>
      <c r="J126" s="275"/>
      <c r="K126" s="277"/>
      <c r="L126" s="278">
        <f>+Tabla1[[#This Row],[Precio Unitario]]*Tabla1[[#This Row],[Cantidad de Insumos]]</f>
        <v>0</v>
      </c>
      <c r="M126" s="279"/>
      <c r="N126" s="276"/>
    </row>
    <row r="127" spans="2:14" ht="12.75" x14ac:dyDescent="0.2">
      <c r="B127" s="14" t="str">
        <f>IF(Tabla1[[#This Row],[Código_Actividad]]="","",CONCATENATE(Tabla1[[#This Row],[POA]],".",Tabla1[[#This Row],[SRS]],".",Tabla1[[#This Row],[AREA]],".",Tabla1[[#This Row],[TIPO]]))</f>
        <v/>
      </c>
      <c r="C127" s="14" t="s">
        <v>1060</v>
      </c>
      <c r="D127" s="14" t="s">
        <v>1060</v>
      </c>
      <c r="E127" s="14" t="s">
        <v>1060</v>
      </c>
      <c r="F127" s="14" t="s">
        <v>1060</v>
      </c>
      <c r="G127" s="275"/>
      <c r="H127" s="276"/>
      <c r="I127" s="276"/>
      <c r="J127" s="275"/>
      <c r="K127" s="277"/>
      <c r="L127" s="278">
        <f>+Tabla1[[#This Row],[Precio Unitario]]*Tabla1[[#This Row],[Cantidad de Insumos]]</f>
        <v>0</v>
      </c>
      <c r="M127" s="279"/>
      <c r="N127" s="276"/>
    </row>
    <row r="128" spans="2:14" ht="12.75" x14ac:dyDescent="0.2">
      <c r="B128" s="14" t="str">
        <f>IF(Tabla1[[#This Row],[Código_Actividad]]="","",CONCATENATE(Tabla1[[#This Row],[POA]],".",Tabla1[[#This Row],[SRS]],".",Tabla1[[#This Row],[AREA]],".",Tabla1[[#This Row],[TIPO]]))</f>
        <v/>
      </c>
      <c r="C128" s="14" t="s">
        <v>1060</v>
      </c>
      <c r="D128" s="14" t="s">
        <v>1060</v>
      </c>
      <c r="E128" s="14" t="s">
        <v>1060</v>
      </c>
      <c r="F128" s="14" t="s">
        <v>1060</v>
      </c>
      <c r="G128" s="275"/>
      <c r="H128" s="276"/>
      <c r="I128" s="276"/>
      <c r="J128" s="275"/>
      <c r="K128" s="277"/>
      <c r="L128" s="278">
        <f>+Tabla1[[#This Row],[Precio Unitario]]*Tabla1[[#This Row],[Cantidad de Insumos]]</f>
        <v>0</v>
      </c>
      <c r="M128" s="279"/>
      <c r="N128" s="276"/>
    </row>
    <row r="129" spans="2:14" ht="12.75" x14ac:dyDescent="0.2">
      <c r="B129" s="14" t="str">
        <f>IF(Tabla1[[#This Row],[Código_Actividad]]="","",CONCATENATE(Tabla1[[#This Row],[POA]],".",Tabla1[[#This Row],[SRS]],".",Tabla1[[#This Row],[AREA]],".",Tabla1[[#This Row],[TIPO]]))</f>
        <v/>
      </c>
      <c r="C129" s="14" t="s">
        <v>1060</v>
      </c>
      <c r="D129" s="14" t="s">
        <v>1060</v>
      </c>
      <c r="E129" s="14" t="s">
        <v>1060</v>
      </c>
      <c r="F129" s="14" t="s">
        <v>1060</v>
      </c>
      <c r="G129" s="275"/>
      <c r="H129" s="276"/>
      <c r="I129" s="276"/>
      <c r="J129" s="275"/>
      <c r="K129" s="277"/>
      <c r="L129" s="278">
        <f>+Tabla1[[#This Row],[Precio Unitario]]*Tabla1[[#This Row],[Cantidad de Insumos]]</f>
        <v>0</v>
      </c>
      <c r="M129" s="279"/>
      <c r="N129" s="276"/>
    </row>
    <row r="130" spans="2:14" ht="12.75" x14ac:dyDescent="0.2">
      <c r="B130" s="14" t="str">
        <f>IF(Tabla1[[#This Row],[Código_Actividad]]="","",CONCATENATE(Tabla1[[#This Row],[POA]],".",Tabla1[[#This Row],[SRS]],".",Tabla1[[#This Row],[AREA]],".",Tabla1[[#This Row],[TIPO]]))</f>
        <v/>
      </c>
      <c r="C130" s="14" t="s">
        <v>1060</v>
      </c>
      <c r="D130" s="14" t="s">
        <v>1060</v>
      </c>
      <c r="E130" s="14" t="s">
        <v>1060</v>
      </c>
      <c r="F130" s="14" t="s">
        <v>1060</v>
      </c>
      <c r="G130" s="275"/>
      <c r="H130" s="276"/>
      <c r="I130" s="276"/>
      <c r="J130" s="275"/>
      <c r="K130" s="277"/>
      <c r="L130" s="278">
        <f>+Tabla1[[#This Row],[Precio Unitario]]*Tabla1[[#This Row],[Cantidad de Insumos]]</f>
        <v>0</v>
      </c>
      <c r="M130" s="279"/>
      <c r="N130" s="276"/>
    </row>
    <row r="131" spans="2:14" ht="12.75" x14ac:dyDescent="0.2">
      <c r="B131" s="14" t="str">
        <f>IF(Tabla1[[#This Row],[Código_Actividad]]="","",CONCATENATE(Tabla1[[#This Row],[POA]],".",Tabla1[[#This Row],[SRS]],".",Tabla1[[#This Row],[AREA]],".",Tabla1[[#This Row],[TIPO]]))</f>
        <v/>
      </c>
      <c r="C131" s="14" t="s">
        <v>1060</v>
      </c>
      <c r="D131" s="14" t="s">
        <v>1060</v>
      </c>
      <c r="E131" s="14" t="s">
        <v>1060</v>
      </c>
      <c r="F131" s="14" t="s">
        <v>1060</v>
      </c>
      <c r="G131" s="275"/>
      <c r="H131" s="276"/>
      <c r="I131" s="276"/>
      <c r="J131" s="275"/>
      <c r="K131" s="277"/>
      <c r="L131" s="278">
        <f>+Tabla1[[#This Row],[Precio Unitario]]*Tabla1[[#This Row],[Cantidad de Insumos]]</f>
        <v>0</v>
      </c>
      <c r="M131" s="279"/>
      <c r="N131" s="276"/>
    </row>
    <row r="132" spans="2:14" ht="12.75" x14ac:dyDescent="0.2">
      <c r="B132" s="14" t="str">
        <f>IF(Tabla1[[#This Row],[Código_Actividad]]="","",CONCATENATE(Tabla1[[#This Row],[POA]],".",Tabla1[[#This Row],[SRS]],".",Tabla1[[#This Row],[AREA]],".",Tabla1[[#This Row],[TIPO]]))</f>
        <v/>
      </c>
      <c r="C132" s="14" t="s">
        <v>1060</v>
      </c>
      <c r="D132" s="14" t="s">
        <v>1060</v>
      </c>
      <c r="E132" s="14" t="s">
        <v>1060</v>
      </c>
      <c r="F132" s="14" t="s">
        <v>1060</v>
      </c>
      <c r="G132" s="275"/>
      <c r="H132" s="276"/>
      <c r="I132" s="276"/>
      <c r="J132" s="275"/>
      <c r="K132" s="277"/>
      <c r="L132" s="278">
        <f>+Tabla1[[#This Row],[Precio Unitario]]*Tabla1[[#This Row],[Cantidad de Insumos]]</f>
        <v>0</v>
      </c>
      <c r="M132" s="279"/>
      <c r="N132" s="276"/>
    </row>
    <row r="133" spans="2:14" ht="12.75" x14ac:dyDescent="0.2">
      <c r="B133" s="14" t="str">
        <f>IF(Tabla1[[#This Row],[Código_Actividad]]="","",CONCATENATE(Tabla1[[#This Row],[POA]],".",Tabla1[[#This Row],[SRS]],".",Tabla1[[#This Row],[AREA]],".",Tabla1[[#This Row],[TIPO]]))</f>
        <v/>
      </c>
      <c r="C133" s="14" t="s">
        <v>1060</v>
      </c>
      <c r="D133" s="14" t="s">
        <v>1060</v>
      </c>
      <c r="E133" s="14" t="s">
        <v>1060</v>
      </c>
      <c r="F133" s="14" t="s">
        <v>1060</v>
      </c>
      <c r="G133" s="275"/>
      <c r="H133" s="276"/>
      <c r="I133" s="276"/>
      <c r="J133" s="275"/>
      <c r="K133" s="277"/>
      <c r="L133" s="278">
        <f>+Tabla1[[#This Row],[Precio Unitario]]*Tabla1[[#This Row],[Cantidad de Insumos]]</f>
        <v>0</v>
      </c>
      <c r="M133" s="279"/>
      <c r="N133" s="276"/>
    </row>
    <row r="134" spans="2:14" ht="12.75" x14ac:dyDescent="0.2">
      <c r="B134" s="14" t="str">
        <f>IF(Tabla1[[#This Row],[Código_Actividad]]="","",CONCATENATE(Tabla1[[#This Row],[POA]],".",Tabla1[[#This Row],[SRS]],".",Tabla1[[#This Row],[AREA]],".",Tabla1[[#This Row],[TIPO]]))</f>
        <v/>
      </c>
      <c r="C134" s="14" t="s">
        <v>1060</v>
      </c>
      <c r="D134" s="14" t="s">
        <v>1060</v>
      </c>
      <c r="E134" s="14" t="s">
        <v>1060</v>
      </c>
      <c r="F134" s="14" t="s">
        <v>1060</v>
      </c>
      <c r="G134" s="275"/>
      <c r="H134" s="276"/>
      <c r="I134" s="276"/>
      <c r="J134" s="275"/>
      <c r="K134" s="277"/>
      <c r="L134" s="278">
        <f>+Tabla1[[#This Row],[Precio Unitario]]*Tabla1[[#This Row],[Cantidad de Insumos]]</f>
        <v>0</v>
      </c>
      <c r="M134" s="279"/>
      <c r="N134" s="276"/>
    </row>
    <row r="135" spans="2:14" ht="12.75" x14ac:dyDescent="0.2">
      <c r="B135" s="14" t="str">
        <f>IF(Tabla1[[#This Row],[Código_Actividad]]="","",CONCATENATE(Tabla1[[#This Row],[POA]],".",Tabla1[[#This Row],[SRS]],".",Tabla1[[#This Row],[AREA]],".",Tabla1[[#This Row],[TIPO]]))</f>
        <v/>
      </c>
      <c r="C135" s="14" t="s">
        <v>1060</v>
      </c>
      <c r="D135" s="14" t="s">
        <v>1060</v>
      </c>
      <c r="E135" s="14" t="s">
        <v>1060</v>
      </c>
      <c r="F135" s="14" t="s">
        <v>1060</v>
      </c>
      <c r="G135" s="275"/>
      <c r="H135" s="276"/>
      <c r="I135" s="276"/>
      <c r="J135" s="275"/>
      <c r="K135" s="277"/>
      <c r="L135" s="278">
        <f>+Tabla1[[#This Row],[Precio Unitario]]*Tabla1[[#This Row],[Cantidad de Insumos]]</f>
        <v>0</v>
      </c>
      <c r="M135" s="279"/>
      <c r="N135" s="276"/>
    </row>
    <row r="136" spans="2:14" ht="12.75" x14ac:dyDescent="0.2">
      <c r="B136" s="14" t="str">
        <f>IF(Tabla1[[#This Row],[Código_Actividad]]="","",CONCATENATE(Tabla1[[#This Row],[POA]],".",Tabla1[[#This Row],[SRS]],".",Tabla1[[#This Row],[AREA]],".",Tabla1[[#This Row],[TIPO]]))</f>
        <v/>
      </c>
      <c r="C136" s="14" t="s">
        <v>1060</v>
      </c>
      <c r="D136" s="14" t="s">
        <v>1060</v>
      </c>
      <c r="E136" s="14" t="s">
        <v>1060</v>
      </c>
      <c r="F136" s="14" t="s">
        <v>1060</v>
      </c>
      <c r="G136" s="275"/>
      <c r="H136" s="276"/>
      <c r="I136" s="276"/>
      <c r="J136" s="275"/>
      <c r="K136" s="277"/>
      <c r="L136" s="278">
        <f>+Tabla1[[#This Row],[Precio Unitario]]*Tabla1[[#This Row],[Cantidad de Insumos]]</f>
        <v>0</v>
      </c>
      <c r="M136" s="279"/>
      <c r="N136" s="276"/>
    </row>
    <row r="137" spans="2:14" ht="12.75" x14ac:dyDescent="0.2">
      <c r="B137" s="14" t="str">
        <f>IF(Tabla1[[#This Row],[Código_Actividad]]="","",CONCATENATE(Tabla1[[#This Row],[POA]],".",Tabla1[[#This Row],[SRS]],".",Tabla1[[#This Row],[AREA]],".",Tabla1[[#This Row],[TIPO]]))</f>
        <v/>
      </c>
      <c r="C137" s="14" t="s">
        <v>1060</v>
      </c>
      <c r="D137" s="14" t="s">
        <v>1060</v>
      </c>
      <c r="E137" s="14" t="s">
        <v>1060</v>
      </c>
      <c r="F137" s="14" t="s">
        <v>1060</v>
      </c>
      <c r="G137" s="275"/>
      <c r="H137" s="276"/>
      <c r="I137" s="276"/>
      <c r="J137" s="275"/>
      <c r="K137" s="277"/>
      <c r="L137" s="278">
        <f>+Tabla1[[#This Row],[Precio Unitario]]*Tabla1[[#This Row],[Cantidad de Insumos]]</f>
        <v>0</v>
      </c>
      <c r="M137" s="279"/>
      <c r="N137" s="276"/>
    </row>
    <row r="138" spans="2:14" ht="12.75" x14ac:dyDescent="0.2">
      <c r="B138" s="14" t="str">
        <f>IF(Tabla1[[#This Row],[Código_Actividad]]="","",CONCATENATE(Tabla1[[#This Row],[POA]],".",Tabla1[[#This Row],[SRS]],".",Tabla1[[#This Row],[AREA]],".",Tabla1[[#This Row],[TIPO]]))</f>
        <v/>
      </c>
      <c r="C138" s="14" t="s">
        <v>1060</v>
      </c>
      <c r="D138" s="14" t="s">
        <v>1060</v>
      </c>
      <c r="E138" s="14" t="s">
        <v>1060</v>
      </c>
      <c r="F138" s="14" t="s">
        <v>1060</v>
      </c>
      <c r="G138" s="275"/>
      <c r="H138" s="276"/>
      <c r="I138" s="276"/>
      <c r="J138" s="275"/>
      <c r="K138" s="277"/>
      <c r="L138" s="278">
        <f>+Tabla1[[#This Row],[Precio Unitario]]*Tabla1[[#This Row],[Cantidad de Insumos]]</f>
        <v>0</v>
      </c>
      <c r="M138" s="279"/>
      <c r="N138" s="276"/>
    </row>
    <row r="139" spans="2:14" ht="12.75" x14ac:dyDescent="0.2">
      <c r="B139" s="14" t="str">
        <f>IF(Tabla1[[#This Row],[Código_Actividad]]="","",CONCATENATE(Tabla1[[#This Row],[POA]],".",Tabla1[[#This Row],[SRS]],".",Tabla1[[#This Row],[AREA]],".",Tabla1[[#This Row],[TIPO]]))</f>
        <v/>
      </c>
      <c r="C139" s="14" t="s">
        <v>1060</v>
      </c>
      <c r="D139" s="14" t="s">
        <v>1060</v>
      </c>
      <c r="E139" s="14" t="s">
        <v>1060</v>
      </c>
      <c r="F139" s="14" t="s">
        <v>1060</v>
      </c>
      <c r="G139" s="275"/>
      <c r="H139" s="276"/>
      <c r="I139" s="276"/>
      <c r="J139" s="275"/>
      <c r="K139" s="277"/>
      <c r="L139" s="278">
        <f>+Tabla1[[#This Row],[Precio Unitario]]*Tabla1[[#This Row],[Cantidad de Insumos]]</f>
        <v>0</v>
      </c>
      <c r="M139" s="279"/>
      <c r="N139" s="276"/>
    </row>
    <row r="140" spans="2:14" ht="12.75" x14ac:dyDescent="0.2">
      <c r="B140" s="14" t="str">
        <f>IF(Tabla1[[#This Row],[Código_Actividad]]="","",CONCATENATE(Tabla1[[#This Row],[POA]],".",Tabla1[[#This Row],[SRS]],".",Tabla1[[#This Row],[AREA]],".",Tabla1[[#This Row],[TIPO]]))</f>
        <v/>
      </c>
      <c r="C140" s="14" t="s">
        <v>1060</v>
      </c>
      <c r="D140" s="14" t="s">
        <v>1060</v>
      </c>
      <c r="E140" s="14" t="s">
        <v>1060</v>
      </c>
      <c r="F140" s="14" t="s">
        <v>1060</v>
      </c>
      <c r="G140" s="275"/>
      <c r="H140" s="276"/>
      <c r="I140" s="276"/>
      <c r="J140" s="275"/>
      <c r="K140" s="277"/>
      <c r="L140" s="278">
        <f>+Tabla1[[#This Row],[Precio Unitario]]*Tabla1[[#This Row],[Cantidad de Insumos]]</f>
        <v>0</v>
      </c>
      <c r="M140" s="279"/>
      <c r="N140" s="276"/>
    </row>
    <row r="141" spans="2:14" ht="12.75" x14ac:dyDescent="0.2">
      <c r="B141" s="14" t="str">
        <f>IF(Tabla1[[#This Row],[Código_Actividad]]="","",CONCATENATE(Tabla1[[#This Row],[POA]],".",Tabla1[[#This Row],[SRS]],".",Tabla1[[#This Row],[AREA]],".",Tabla1[[#This Row],[TIPO]]))</f>
        <v/>
      </c>
      <c r="C141" s="14" t="s">
        <v>1060</v>
      </c>
      <c r="D141" s="14" t="s">
        <v>1060</v>
      </c>
      <c r="E141" s="14" t="s">
        <v>1060</v>
      </c>
      <c r="F141" s="14" t="s">
        <v>1060</v>
      </c>
      <c r="G141" s="275"/>
      <c r="H141" s="276"/>
      <c r="I141" s="276"/>
      <c r="J141" s="275"/>
      <c r="K141" s="277"/>
      <c r="L141" s="278">
        <f>+Tabla1[[#This Row],[Precio Unitario]]*Tabla1[[#This Row],[Cantidad de Insumos]]</f>
        <v>0</v>
      </c>
      <c r="M141" s="279"/>
      <c r="N141" s="276"/>
    </row>
    <row r="142" spans="2:14" ht="12.75" x14ac:dyDescent="0.2">
      <c r="B142" s="14" t="str">
        <f>IF(Tabla1[[#This Row],[Código_Actividad]]="","",CONCATENATE(Tabla1[[#This Row],[POA]],".",Tabla1[[#This Row],[SRS]],".",Tabla1[[#This Row],[AREA]],".",Tabla1[[#This Row],[TIPO]]))</f>
        <v/>
      </c>
      <c r="C142" s="14" t="s">
        <v>1060</v>
      </c>
      <c r="D142" s="14" t="s">
        <v>1060</v>
      </c>
      <c r="E142" s="14" t="s">
        <v>1060</v>
      </c>
      <c r="F142" s="14" t="s">
        <v>1060</v>
      </c>
      <c r="G142" s="275"/>
      <c r="H142" s="276"/>
      <c r="I142" s="276"/>
      <c r="J142" s="275"/>
      <c r="K142" s="277"/>
      <c r="L142" s="278">
        <f>+Tabla1[[#This Row],[Precio Unitario]]*Tabla1[[#This Row],[Cantidad de Insumos]]</f>
        <v>0</v>
      </c>
      <c r="M142" s="279"/>
      <c r="N142" s="276"/>
    </row>
    <row r="143" spans="2:14" ht="12.75" x14ac:dyDescent="0.2">
      <c r="B143" s="14" t="str">
        <f>IF(Tabla1[[#This Row],[Código_Actividad]]="","",CONCATENATE(Tabla1[[#This Row],[POA]],".",Tabla1[[#This Row],[SRS]],".",Tabla1[[#This Row],[AREA]],".",Tabla1[[#This Row],[TIPO]]))</f>
        <v/>
      </c>
      <c r="C143" s="14" t="s">
        <v>1060</v>
      </c>
      <c r="D143" s="14" t="s">
        <v>1060</v>
      </c>
      <c r="E143" s="14" t="s">
        <v>1060</v>
      </c>
      <c r="F143" s="14" t="s">
        <v>1060</v>
      </c>
      <c r="G143" s="275"/>
      <c r="H143" s="276"/>
      <c r="I143" s="276"/>
      <c r="J143" s="275"/>
      <c r="K143" s="277"/>
      <c r="L143" s="278">
        <f>+Tabla1[[#This Row],[Precio Unitario]]*Tabla1[[#This Row],[Cantidad de Insumos]]</f>
        <v>0</v>
      </c>
      <c r="M143" s="279"/>
      <c r="N143" s="276"/>
    </row>
    <row r="144" spans="2:14" ht="12.75" x14ac:dyDescent="0.2">
      <c r="B144" s="14" t="str">
        <f>IF(Tabla1[[#This Row],[Código_Actividad]]="","",CONCATENATE(Tabla1[[#This Row],[POA]],".",Tabla1[[#This Row],[SRS]],".",Tabla1[[#This Row],[AREA]],".",Tabla1[[#This Row],[TIPO]]))</f>
        <v/>
      </c>
      <c r="C144" s="14" t="s">
        <v>1060</v>
      </c>
      <c r="D144" s="14" t="s">
        <v>1060</v>
      </c>
      <c r="E144" s="14" t="s">
        <v>1060</v>
      </c>
      <c r="F144" s="14" t="s">
        <v>1060</v>
      </c>
      <c r="G144" s="275"/>
      <c r="H144" s="276"/>
      <c r="I144" s="276"/>
      <c r="J144" s="275"/>
      <c r="K144" s="277"/>
      <c r="L144" s="278">
        <f>+Tabla1[[#This Row],[Precio Unitario]]*Tabla1[[#This Row],[Cantidad de Insumos]]</f>
        <v>0</v>
      </c>
      <c r="M144" s="279"/>
      <c r="N144" s="276"/>
    </row>
    <row r="145" spans="2:14" ht="12.75" x14ac:dyDescent="0.2">
      <c r="B145" s="14" t="str">
        <f>IF(Tabla1[[#This Row],[Código_Actividad]]="","",CONCATENATE(Tabla1[[#This Row],[POA]],".",Tabla1[[#This Row],[SRS]],".",Tabla1[[#This Row],[AREA]],".",Tabla1[[#This Row],[TIPO]]))</f>
        <v/>
      </c>
      <c r="C145" s="14" t="s">
        <v>1060</v>
      </c>
      <c r="D145" s="14" t="s">
        <v>1060</v>
      </c>
      <c r="E145" s="14" t="s">
        <v>1060</v>
      </c>
      <c r="F145" s="14" t="s">
        <v>1060</v>
      </c>
      <c r="G145" s="275"/>
      <c r="H145" s="276"/>
      <c r="I145" s="276"/>
      <c r="J145" s="275"/>
      <c r="K145" s="277"/>
      <c r="L145" s="278">
        <f>+Tabla1[[#This Row],[Precio Unitario]]*Tabla1[[#This Row],[Cantidad de Insumos]]</f>
        <v>0</v>
      </c>
      <c r="M145" s="279"/>
      <c r="N145" s="276"/>
    </row>
    <row r="146" spans="2:14" ht="12.75" x14ac:dyDescent="0.2">
      <c r="B146" s="14" t="str">
        <f>IF(Tabla1[[#This Row],[Código_Actividad]]="","",CONCATENATE(Tabla1[[#This Row],[POA]],".",Tabla1[[#This Row],[SRS]],".",Tabla1[[#This Row],[AREA]],".",Tabla1[[#This Row],[TIPO]]))</f>
        <v/>
      </c>
      <c r="C146" s="14" t="s">
        <v>1060</v>
      </c>
      <c r="D146" s="14" t="s">
        <v>1060</v>
      </c>
      <c r="E146" s="14" t="s">
        <v>1060</v>
      </c>
      <c r="F146" s="14" t="s">
        <v>1060</v>
      </c>
      <c r="G146" s="275"/>
      <c r="H146" s="276"/>
      <c r="I146" s="276"/>
      <c r="J146" s="275"/>
      <c r="K146" s="277"/>
      <c r="L146" s="278">
        <f>+Tabla1[[#This Row],[Precio Unitario]]*Tabla1[[#This Row],[Cantidad de Insumos]]</f>
        <v>0</v>
      </c>
      <c r="M146" s="279"/>
      <c r="N146" s="276"/>
    </row>
    <row r="147" spans="2:14" ht="12.75" x14ac:dyDescent="0.2">
      <c r="B147" s="14" t="str">
        <f>IF(Tabla1[[#This Row],[Código_Actividad]]="","",CONCATENATE(Tabla1[[#This Row],[POA]],".",Tabla1[[#This Row],[SRS]],".",Tabla1[[#This Row],[AREA]],".",Tabla1[[#This Row],[TIPO]]))</f>
        <v/>
      </c>
      <c r="C147" s="14" t="s">
        <v>1060</v>
      </c>
      <c r="D147" s="14" t="s">
        <v>1060</v>
      </c>
      <c r="E147" s="14" t="s">
        <v>1060</v>
      </c>
      <c r="F147" s="14" t="s">
        <v>1060</v>
      </c>
      <c r="G147" s="275"/>
      <c r="H147" s="276"/>
      <c r="I147" s="276"/>
      <c r="J147" s="275"/>
      <c r="K147" s="277"/>
      <c r="L147" s="278">
        <f>+Tabla1[[#This Row],[Precio Unitario]]*Tabla1[[#This Row],[Cantidad de Insumos]]</f>
        <v>0</v>
      </c>
      <c r="M147" s="279"/>
      <c r="N147" s="276"/>
    </row>
    <row r="148" spans="2:14" ht="12.75" x14ac:dyDescent="0.2">
      <c r="B148" s="14" t="str">
        <f>IF(Tabla1[[#This Row],[Código_Actividad]]="","",CONCATENATE(Tabla1[[#This Row],[POA]],".",Tabla1[[#This Row],[SRS]],".",Tabla1[[#This Row],[AREA]],".",Tabla1[[#This Row],[TIPO]]))</f>
        <v/>
      </c>
      <c r="C148" s="14" t="s">
        <v>1060</v>
      </c>
      <c r="D148" s="14" t="s">
        <v>1060</v>
      </c>
      <c r="E148" s="14" t="s">
        <v>1060</v>
      </c>
      <c r="F148" s="14" t="s">
        <v>1060</v>
      </c>
      <c r="G148" s="275"/>
      <c r="H148" s="276"/>
      <c r="I148" s="276"/>
      <c r="J148" s="275"/>
      <c r="K148" s="277"/>
      <c r="L148" s="278">
        <f>+Tabla1[[#This Row],[Precio Unitario]]*Tabla1[[#This Row],[Cantidad de Insumos]]</f>
        <v>0</v>
      </c>
      <c r="M148" s="279"/>
      <c r="N148" s="276"/>
    </row>
    <row r="149" spans="2:14" ht="12.75" x14ac:dyDescent="0.2">
      <c r="B149" s="14" t="str">
        <f>IF(Tabla1[[#This Row],[Código_Actividad]]="","",CONCATENATE(Tabla1[[#This Row],[POA]],".",Tabla1[[#This Row],[SRS]],".",Tabla1[[#This Row],[AREA]],".",Tabla1[[#This Row],[TIPO]]))</f>
        <v/>
      </c>
      <c r="C149" s="14" t="s">
        <v>1060</v>
      </c>
      <c r="D149" s="14" t="s">
        <v>1060</v>
      </c>
      <c r="E149" s="14" t="s">
        <v>1060</v>
      </c>
      <c r="F149" s="14" t="s">
        <v>1060</v>
      </c>
      <c r="G149" s="275"/>
      <c r="H149" s="276"/>
      <c r="I149" s="276"/>
      <c r="J149" s="275"/>
      <c r="K149" s="277"/>
      <c r="L149" s="278">
        <f>+Tabla1[[#This Row],[Precio Unitario]]*Tabla1[[#This Row],[Cantidad de Insumos]]</f>
        <v>0</v>
      </c>
      <c r="M149" s="279"/>
      <c r="N149" s="276"/>
    </row>
    <row r="150" spans="2:14" ht="12.75" x14ac:dyDescent="0.2">
      <c r="B150" s="14" t="str">
        <f>IF(Tabla1[[#This Row],[Código_Actividad]]="","",CONCATENATE(Tabla1[[#This Row],[POA]],".",Tabla1[[#This Row],[SRS]],".",Tabla1[[#This Row],[AREA]],".",Tabla1[[#This Row],[TIPO]]))</f>
        <v/>
      </c>
      <c r="C150" s="14" t="s">
        <v>1060</v>
      </c>
      <c r="D150" s="14" t="s">
        <v>1060</v>
      </c>
      <c r="E150" s="14" t="s">
        <v>1060</v>
      </c>
      <c r="F150" s="14" t="s">
        <v>1060</v>
      </c>
      <c r="G150" s="275"/>
      <c r="H150" s="276"/>
      <c r="I150" s="276"/>
      <c r="J150" s="275"/>
      <c r="K150" s="277"/>
      <c r="L150" s="278">
        <f>+Tabla1[[#This Row],[Precio Unitario]]*Tabla1[[#This Row],[Cantidad de Insumos]]</f>
        <v>0</v>
      </c>
      <c r="M150" s="279"/>
      <c r="N150" s="276"/>
    </row>
    <row r="151" spans="2:14" ht="12.75" x14ac:dyDescent="0.2">
      <c r="B151" s="14" t="str">
        <f>IF(Tabla1[[#This Row],[Código_Actividad]]="","",CONCATENATE(Tabla1[[#This Row],[POA]],".",Tabla1[[#This Row],[SRS]],".",Tabla1[[#This Row],[AREA]],".",Tabla1[[#This Row],[TIPO]]))</f>
        <v/>
      </c>
      <c r="C151" s="14" t="s">
        <v>1060</v>
      </c>
      <c r="D151" s="14" t="s">
        <v>1060</v>
      </c>
      <c r="E151" s="14" t="s">
        <v>1060</v>
      </c>
      <c r="F151" s="14" t="s">
        <v>1060</v>
      </c>
      <c r="G151" s="275"/>
      <c r="H151" s="276"/>
      <c r="I151" s="276"/>
      <c r="J151" s="275"/>
      <c r="K151" s="277"/>
      <c r="L151" s="278">
        <f>+Tabla1[[#This Row],[Precio Unitario]]*Tabla1[[#This Row],[Cantidad de Insumos]]</f>
        <v>0</v>
      </c>
      <c r="M151" s="279"/>
      <c r="N151" s="276"/>
    </row>
    <row r="152" spans="2:14" ht="12.75" x14ac:dyDescent="0.2">
      <c r="B152" s="14" t="str">
        <f>IF(Tabla1[[#This Row],[Código_Actividad]]="","",CONCATENATE(Tabla1[[#This Row],[POA]],".",Tabla1[[#This Row],[SRS]],".",Tabla1[[#This Row],[AREA]],".",Tabla1[[#This Row],[TIPO]]))</f>
        <v/>
      </c>
      <c r="C152" s="14" t="s">
        <v>1060</v>
      </c>
      <c r="D152" s="14" t="s">
        <v>1060</v>
      </c>
      <c r="E152" s="14" t="s">
        <v>1060</v>
      </c>
      <c r="F152" s="14" t="s">
        <v>1060</v>
      </c>
      <c r="G152" s="275"/>
      <c r="H152" s="276"/>
      <c r="I152" s="276"/>
      <c r="J152" s="275"/>
      <c r="K152" s="277"/>
      <c r="L152" s="278">
        <f>+Tabla1[[#This Row],[Precio Unitario]]*Tabla1[[#This Row],[Cantidad de Insumos]]</f>
        <v>0</v>
      </c>
      <c r="M152" s="279"/>
      <c r="N152" s="276"/>
    </row>
    <row r="153" spans="2:14" ht="12.75" x14ac:dyDescent="0.2">
      <c r="B153" s="14" t="str">
        <f>IF(Tabla1[[#This Row],[Código_Actividad]]="","",CONCATENATE(Tabla1[[#This Row],[POA]],".",Tabla1[[#This Row],[SRS]],".",Tabla1[[#This Row],[AREA]],".",Tabla1[[#This Row],[TIPO]]))</f>
        <v/>
      </c>
      <c r="C153" s="14" t="s">
        <v>1060</v>
      </c>
      <c r="D153" s="14" t="s">
        <v>1060</v>
      </c>
      <c r="E153" s="14" t="s">
        <v>1060</v>
      </c>
      <c r="F153" s="14" t="s">
        <v>1060</v>
      </c>
      <c r="G153" s="275"/>
      <c r="H153" s="276"/>
      <c r="I153" s="276"/>
      <c r="J153" s="275"/>
      <c r="K153" s="277"/>
      <c r="L153" s="278">
        <f>+Tabla1[[#This Row],[Precio Unitario]]*Tabla1[[#This Row],[Cantidad de Insumos]]</f>
        <v>0</v>
      </c>
      <c r="M153" s="279"/>
      <c r="N153" s="276"/>
    </row>
    <row r="154" spans="2:14" ht="12.75" x14ac:dyDescent="0.2">
      <c r="B154" s="14" t="str">
        <f>IF(Tabla1[[#This Row],[Código_Actividad]]="","",CONCATENATE(Tabla1[[#This Row],[POA]],".",Tabla1[[#This Row],[SRS]],".",Tabla1[[#This Row],[AREA]],".",Tabla1[[#This Row],[TIPO]]))</f>
        <v/>
      </c>
      <c r="C154" s="14" t="s">
        <v>1060</v>
      </c>
      <c r="D154" s="14" t="s">
        <v>1060</v>
      </c>
      <c r="E154" s="14" t="s">
        <v>1060</v>
      </c>
      <c r="F154" s="14" t="s">
        <v>1060</v>
      </c>
      <c r="G154" s="275"/>
      <c r="H154" s="276"/>
      <c r="I154" s="276"/>
      <c r="J154" s="275"/>
      <c r="K154" s="277"/>
      <c r="L154" s="278">
        <f>+Tabla1[[#This Row],[Precio Unitario]]*Tabla1[[#This Row],[Cantidad de Insumos]]</f>
        <v>0</v>
      </c>
      <c r="M154" s="279"/>
      <c r="N154" s="276"/>
    </row>
    <row r="155" spans="2:14" ht="12.75" x14ac:dyDescent="0.2">
      <c r="B155" s="14" t="str">
        <f>IF(Tabla1[[#This Row],[Código_Actividad]]="","",CONCATENATE(Tabla1[[#This Row],[POA]],".",Tabla1[[#This Row],[SRS]],".",Tabla1[[#This Row],[AREA]],".",Tabla1[[#This Row],[TIPO]]))</f>
        <v/>
      </c>
      <c r="C155" s="14" t="s">
        <v>1060</v>
      </c>
      <c r="D155" s="14" t="s">
        <v>1060</v>
      </c>
      <c r="E155" s="14" t="s">
        <v>1060</v>
      </c>
      <c r="F155" s="14" t="s">
        <v>1060</v>
      </c>
      <c r="G155" s="275"/>
      <c r="H155" s="276"/>
      <c r="I155" s="276"/>
      <c r="J155" s="275"/>
      <c r="K155" s="277"/>
      <c r="L155" s="278">
        <f>+Tabla1[[#This Row],[Precio Unitario]]*Tabla1[[#This Row],[Cantidad de Insumos]]</f>
        <v>0</v>
      </c>
      <c r="M155" s="279"/>
      <c r="N155" s="276"/>
    </row>
    <row r="156" spans="2:14" ht="12.75" x14ac:dyDescent="0.2">
      <c r="B156" s="14" t="str">
        <f>IF(Tabla1[[#This Row],[Código_Actividad]]="","",CONCATENATE(Tabla1[[#This Row],[POA]],".",Tabla1[[#This Row],[SRS]],".",Tabla1[[#This Row],[AREA]],".",Tabla1[[#This Row],[TIPO]]))</f>
        <v/>
      </c>
      <c r="C156" s="14" t="s">
        <v>1060</v>
      </c>
      <c r="D156" s="14" t="s">
        <v>1060</v>
      </c>
      <c r="E156" s="14" t="s">
        <v>1060</v>
      </c>
      <c r="F156" s="14" t="s">
        <v>1060</v>
      </c>
      <c r="G156" s="275"/>
      <c r="H156" s="276"/>
      <c r="I156" s="276"/>
      <c r="J156" s="275"/>
      <c r="K156" s="277"/>
      <c r="L156" s="278">
        <f>+Tabla1[[#This Row],[Precio Unitario]]*Tabla1[[#This Row],[Cantidad de Insumos]]</f>
        <v>0</v>
      </c>
      <c r="M156" s="279"/>
      <c r="N156" s="276"/>
    </row>
    <row r="157" spans="2:14" ht="12.75" x14ac:dyDescent="0.2">
      <c r="B157" s="14" t="str">
        <f>IF(Tabla1[[#This Row],[Código_Actividad]]="","",CONCATENATE(Tabla1[[#This Row],[POA]],".",Tabla1[[#This Row],[SRS]],".",Tabla1[[#This Row],[AREA]],".",Tabla1[[#This Row],[TIPO]]))</f>
        <v/>
      </c>
      <c r="C157" s="14" t="s">
        <v>1060</v>
      </c>
      <c r="D157" s="14" t="s">
        <v>1060</v>
      </c>
      <c r="E157" s="14" t="s">
        <v>1060</v>
      </c>
      <c r="F157" s="14" t="s">
        <v>1060</v>
      </c>
      <c r="G157" s="275"/>
      <c r="H157" s="276"/>
      <c r="I157" s="276"/>
      <c r="J157" s="275"/>
      <c r="K157" s="277"/>
      <c r="L157" s="278">
        <f>+Tabla1[[#This Row],[Precio Unitario]]*Tabla1[[#This Row],[Cantidad de Insumos]]</f>
        <v>0</v>
      </c>
      <c r="M157" s="279"/>
      <c r="N157" s="276"/>
    </row>
    <row r="158" spans="2:14" ht="12.75" x14ac:dyDescent="0.2">
      <c r="B158" s="14" t="str">
        <f>IF(Tabla1[[#This Row],[Código_Actividad]]="","",CONCATENATE(Tabla1[[#This Row],[POA]],".",Tabla1[[#This Row],[SRS]],".",Tabla1[[#This Row],[AREA]],".",Tabla1[[#This Row],[TIPO]]))</f>
        <v/>
      </c>
      <c r="C158" s="14" t="s">
        <v>1060</v>
      </c>
      <c r="D158" s="14" t="s">
        <v>1060</v>
      </c>
      <c r="E158" s="14" t="s">
        <v>1060</v>
      </c>
      <c r="F158" s="14" t="s">
        <v>1060</v>
      </c>
      <c r="G158" s="275"/>
      <c r="H158" s="276"/>
      <c r="I158" s="276"/>
      <c r="J158" s="275"/>
      <c r="K158" s="277"/>
      <c r="L158" s="278">
        <f>+Tabla1[[#This Row],[Precio Unitario]]*Tabla1[[#This Row],[Cantidad de Insumos]]</f>
        <v>0</v>
      </c>
      <c r="M158" s="279"/>
      <c r="N158" s="276"/>
    </row>
    <row r="159" spans="2:14" ht="12.75" x14ac:dyDescent="0.2">
      <c r="B159" s="14" t="str">
        <f>IF(Tabla1[[#This Row],[Código_Actividad]]="","",CONCATENATE(Tabla1[[#This Row],[POA]],".",Tabla1[[#This Row],[SRS]],".",Tabla1[[#This Row],[AREA]],".",Tabla1[[#This Row],[TIPO]]))</f>
        <v/>
      </c>
      <c r="C159" s="14" t="s">
        <v>1060</v>
      </c>
      <c r="D159" s="14" t="s">
        <v>1060</v>
      </c>
      <c r="E159" s="14" t="s">
        <v>1060</v>
      </c>
      <c r="F159" s="14" t="s">
        <v>1060</v>
      </c>
      <c r="G159" s="275"/>
      <c r="H159" s="276"/>
      <c r="I159" s="276"/>
      <c r="J159" s="275"/>
      <c r="K159" s="277"/>
      <c r="L159" s="278">
        <f>+Tabla1[[#This Row],[Precio Unitario]]*Tabla1[[#This Row],[Cantidad de Insumos]]</f>
        <v>0</v>
      </c>
      <c r="M159" s="279"/>
      <c r="N159" s="276"/>
    </row>
    <row r="160" spans="2:14" ht="12.75" x14ac:dyDescent="0.2">
      <c r="B160" s="14" t="str">
        <f>IF(Tabla1[[#This Row],[Código_Actividad]]="","",CONCATENATE(Tabla1[[#This Row],[POA]],".",Tabla1[[#This Row],[SRS]],".",Tabla1[[#This Row],[AREA]],".",Tabla1[[#This Row],[TIPO]]))</f>
        <v/>
      </c>
      <c r="C160" s="14" t="s">
        <v>1060</v>
      </c>
      <c r="D160" s="14" t="s">
        <v>1060</v>
      </c>
      <c r="E160" s="14" t="s">
        <v>1060</v>
      </c>
      <c r="F160" s="14" t="s">
        <v>1060</v>
      </c>
      <c r="G160" s="275"/>
      <c r="H160" s="276"/>
      <c r="I160" s="276"/>
      <c r="J160" s="275"/>
      <c r="K160" s="277"/>
      <c r="L160" s="278">
        <f>+Tabla1[[#This Row],[Precio Unitario]]*Tabla1[[#This Row],[Cantidad de Insumos]]</f>
        <v>0</v>
      </c>
      <c r="M160" s="279"/>
      <c r="N160" s="276"/>
    </row>
    <row r="161" spans="2:14" ht="12.75" x14ac:dyDescent="0.2">
      <c r="B161" s="14" t="str">
        <f>IF(Tabla1[[#This Row],[Código_Actividad]]="","",CONCATENATE(Tabla1[[#This Row],[POA]],".",Tabla1[[#This Row],[SRS]],".",Tabla1[[#This Row],[AREA]],".",Tabla1[[#This Row],[TIPO]]))</f>
        <v/>
      </c>
      <c r="C161" s="14" t="s">
        <v>1060</v>
      </c>
      <c r="D161" s="14" t="s">
        <v>1060</v>
      </c>
      <c r="E161" s="14" t="s">
        <v>1060</v>
      </c>
      <c r="F161" s="14" t="s">
        <v>1060</v>
      </c>
      <c r="G161" s="275"/>
      <c r="H161" s="276"/>
      <c r="I161" s="276"/>
      <c r="J161" s="275"/>
      <c r="K161" s="277"/>
      <c r="L161" s="278">
        <f>+Tabla1[[#This Row],[Precio Unitario]]*Tabla1[[#This Row],[Cantidad de Insumos]]</f>
        <v>0</v>
      </c>
      <c r="M161" s="279"/>
      <c r="N161" s="276"/>
    </row>
    <row r="162" spans="2:14" ht="12.75" x14ac:dyDescent="0.2">
      <c r="B162" s="14" t="str">
        <f>IF(Tabla1[[#This Row],[Código_Actividad]]="","",CONCATENATE(Tabla1[[#This Row],[POA]],".",Tabla1[[#This Row],[SRS]],".",Tabla1[[#This Row],[AREA]],".",Tabla1[[#This Row],[TIPO]]))</f>
        <v/>
      </c>
      <c r="C162" s="14" t="s">
        <v>1060</v>
      </c>
      <c r="D162" s="14" t="s">
        <v>1060</v>
      </c>
      <c r="E162" s="14" t="s">
        <v>1060</v>
      </c>
      <c r="F162" s="14" t="s">
        <v>1060</v>
      </c>
      <c r="G162" s="275"/>
      <c r="H162" s="276"/>
      <c r="I162" s="276"/>
      <c r="J162" s="275"/>
      <c r="K162" s="277"/>
      <c r="L162" s="278">
        <f>+Tabla1[[#This Row],[Precio Unitario]]*Tabla1[[#This Row],[Cantidad de Insumos]]</f>
        <v>0</v>
      </c>
      <c r="M162" s="279"/>
      <c r="N162" s="276"/>
    </row>
    <row r="163" spans="2:14" ht="12.75" x14ac:dyDescent="0.2">
      <c r="B163" s="14" t="str">
        <f>IF(Tabla1[[#This Row],[Código_Actividad]]="","",CONCATENATE(Tabla1[[#This Row],[POA]],".",Tabla1[[#This Row],[SRS]],".",Tabla1[[#This Row],[AREA]],".",Tabla1[[#This Row],[TIPO]]))</f>
        <v/>
      </c>
      <c r="C163" s="14" t="s">
        <v>1060</v>
      </c>
      <c r="D163" s="14" t="s">
        <v>1060</v>
      </c>
      <c r="E163" s="14" t="s">
        <v>1060</v>
      </c>
      <c r="F163" s="14" t="s">
        <v>1060</v>
      </c>
      <c r="G163" s="275"/>
      <c r="H163" s="276"/>
      <c r="I163" s="276"/>
      <c r="J163" s="275"/>
      <c r="K163" s="277"/>
      <c r="L163" s="278">
        <f>+Tabla1[[#This Row],[Precio Unitario]]*Tabla1[[#This Row],[Cantidad de Insumos]]</f>
        <v>0</v>
      </c>
      <c r="M163" s="279"/>
      <c r="N163" s="276"/>
    </row>
    <row r="164" spans="2:14" ht="12.75" x14ac:dyDescent="0.2">
      <c r="B164" s="14" t="str">
        <f>IF(Tabla1[[#This Row],[Código_Actividad]]="","",CONCATENATE(Tabla1[[#This Row],[POA]],".",Tabla1[[#This Row],[SRS]],".",Tabla1[[#This Row],[AREA]],".",Tabla1[[#This Row],[TIPO]]))</f>
        <v/>
      </c>
      <c r="C164" s="14" t="s">
        <v>1060</v>
      </c>
      <c r="D164" s="14" t="s">
        <v>1060</v>
      </c>
      <c r="E164" s="14" t="s">
        <v>1060</v>
      </c>
      <c r="F164" s="14" t="s">
        <v>1060</v>
      </c>
      <c r="G164" s="275"/>
      <c r="H164" s="276"/>
      <c r="I164" s="276"/>
      <c r="J164" s="275"/>
      <c r="K164" s="277"/>
      <c r="L164" s="278">
        <f>+Tabla1[[#This Row],[Precio Unitario]]*Tabla1[[#This Row],[Cantidad de Insumos]]</f>
        <v>0</v>
      </c>
      <c r="M164" s="279"/>
      <c r="N164" s="276"/>
    </row>
    <row r="165" spans="2:14" ht="12.75" x14ac:dyDescent="0.2">
      <c r="B165" s="14" t="str">
        <f>IF(Tabla1[[#This Row],[Código_Actividad]]="","",CONCATENATE(Tabla1[[#This Row],[POA]],".",Tabla1[[#This Row],[SRS]],".",Tabla1[[#This Row],[AREA]],".",Tabla1[[#This Row],[TIPO]]))</f>
        <v/>
      </c>
      <c r="C165" s="14" t="s">
        <v>1060</v>
      </c>
      <c r="D165" s="14" t="s">
        <v>1060</v>
      </c>
      <c r="E165" s="14" t="s">
        <v>1060</v>
      </c>
      <c r="F165" s="14" t="s">
        <v>1060</v>
      </c>
      <c r="G165" s="275"/>
      <c r="H165" s="276"/>
      <c r="I165" s="276"/>
      <c r="J165" s="275"/>
      <c r="K165" s="277"/>
      <c r="L165" s="278">
        <f>+Tabla1[[#This Row],[Precio Unitario]]*Tabla1[[#This Row],[Cantidad de Insumos]]</f>
        <v>0</v>
      </c>
      <c r="M165" s="279"/>
      <c r="N165" s="276"/>
    </row>
    <row r="166" spans="2:14" ht="12.75" x14ac:dyDescent="0.2">
      <c r="B166" s="14" t="str">
        <f>IF(Tabla1[[#This Row],[Código_Actividad]]="","",CONCATENATE(Tabla1[[#This Row],[POA]],".",Tabla1[[#This Row],[SRS]],".",Tabla1[[#This Row],[AREA]],".",Tabla1[[#This Row],[TIPO]]))</f>
        <v/>
      </c>
      <c r="C166" s="14" t="s">
        <v>1060</v>
      </c>
      <c r="D166" s="14" t="s">
        <v>1060</v>
      </c>
      <c r="E166" s="14" t="s">
        <v>1060</v>
      </c>
      <c r="F166" s="14" t="s">
        <v>1060</v>
      </c>
      <c r="G166" s="275"/>
      <c r="H166" s="276"/>
      <c r="I166" s="276"/>
      <c r="J166" s="275"/>
      <c r="K166" s="277"/>
      <c r="L166" s="278">
        <f>+Tabla1[[#This Row],[Precio Unitario]]*Tabla1[[#This Row],[Cantidad de Insumos]]</f>
        <v>0</v>
      </c>
      <c r="M166" s="279"/>
      <c r="N166" s="276"/>
    </row>
    <row r="167" spans="2:14" ht="12.75" x14ac:dyDescent="0.2">
      <c r="B167" s="14" t="str">
        <f>IF(Tabla1[[#This Row],[Código_Actividad]]="","",CONCATENATE(Tabla1[[#This Row],[POA]],".",Tabla1[[#This Row],[SRS]],".",Tabla1[[#This Row],[AREA]],".",Tabla1[[#This Row],[TIPO]]))</f>
        <v/>
      </c>
      <c r="C167" s="14" t="s">
        <v>1060</v>
      </c>
      <c r="D167" s="14" t="s">
        <v>1060</v>
      </c>
      <c r="E167" s="14" t="s">
        <v>1060</v>
      </c>
      <c r="F167" s="14" t="s">
        <v>1060</v>
      </c>
      <c r="G167" s="275"/>
      <c r="H167" s="276"/>
      <c r="I167" s="276"/>
      <c r="J167" s="275"/>
      <c r="K167" s="277"/>
      <c r="L167" s="278">
        <f>+Tabla1[[#This Row],[Precio Unitario]]*Tabla1[[#This Row],[Cantidad de Insumos]]</f>
        <v>0</v>
      </c>
      <c r="M167" s="279"/>
      <c r="N167" s="276"/>
    </row>
    <row r="168" spans="2:14" ht="12.75" x14ac:dyDescent="0.2">
      <c r="B168" s="14" t="str">
        <f>IF(Tabla1[[#This Row],[Código_Actividad]]="","",CONCATENATE(Tabla1[[#This Row],[POA]],".",Tabla1[[#This Row],[SRS]],".",Tabla1[[#This Row],[AREA]],".",Tabla1[[#This Row],[TIPO]]))</f>
        <v/>
      </c>
      <c r="C168" s="14" t="s">
        <v>1060</v>
      </c>
      <c r="D168" s="14" t="s">
        <v>1060</v>
      </c>
      <c r="E168" s="14" t="s">
        <v>1060</v>
      </c>
      <c r="F168" s="14" t="s">
        <v>1060</v>
      </c>
      <c r="G168" s="275"/>
      <c r="H168" s="276"/>
      <c r="I168" s="276"/>
      <c r="J168" s="275"/>
      <c r="K168" s="277"/>
      <c r="L168" s="278">
        <f>+Tabla1[[#This Row],[Precio Unitario]]*Tabla1[[#This Row],[Cantidad de Insumos]]</f>
        <v>0</v>
      </c>
      <c r="M168" s="279"/>
      <c r="N168" s="276"/>
    </row>
    <row r="169" spans="2:14" ht="12.75" x14ac:dyDescent="0.2">
      <c r="B169" s="14" t="str">
        <f>IF(Tabla1[[#This Row],[Código_Actividad]]="","",CONCATENATE(Tabla1[[#This Row],[POA]],".",Tabla1[[#This Row],[SRS]],".",Tabla1[[#This Row],[AREA]],".",Tabla1[[#This Row],[TIPO]]))</f>
        <v/>
      </c>
      <c r="C169" s="14" t="s">
        <v>1060</v>
      </c>
      <c r="D169" s="14" t="s">
        <v>1060</v>
      </c>
      <c r="E169" s="14" t="s">
        <v>1060</v>
      </c>
      <c r="F169" s="14" t="s">
        <v>1060</v>
      </c>
      <c r="G169" s="275"/>
      <c r="H169" s="276"/>
      <c r="I169" s="276"/>
      <c r="J169" s="275"/>
      <c r="K169" s="277"/>
      <c r="L169" s="278">
        <f>+Tabla1[[#This Row],[Precio Unitario]]*Tabla1[[#This Row],[Cantidad de Insumos]]</f>
        <v>0</v>
      </c>
      <c r="M169" s="279"/>
      <c r="N169" s="276"/>
    </row>
    <row r="170" spans="2:14" ht="12.75" x14ac:dyDescent="0.2">
      <c r="B170" s="14" t="str">
        <f>IF(Tabla1[[#This Row],[Código_Actividad]]="","",CONCATENATE(Tabla1[[#This Row],[POA]],".",Tabla1[[#This Row],[SRS]],".",Tabla1[[#This Row],[AREA]],".",Tabla1[[#This Row],[TIPO]]))</f>
        <v/>
      </c>
      <c r="C170" s="14" t="s">
        <v>1060</v>
      </c>
      <c r="D170" s="14" t="s">
        <v>1060</v>
      </c>
      <c r="E170" s="14" t="s">
        <v>1060</v>
      </c>
      <c r="F170" s="14" t="s">
        <v>1060</v>
      </c>
      <c r="G170" s="275"/>
      <c r="H170" s="276"/>
      <c r="I170" s="276"/>
      <c r="J170" s="275"/>
      <c r="K170" s="277"/>
      <c r="L170" s="278">
        <f>+Tabla1[[#This Row],[Precio Unitario]]*Tabla1[[#This Row],[Cantidad de Insumos]]</f>
        <v>0</v>
      </c>
      <c r="M170" s="279"/>
      <c r="N170" s="276"/>
    </row>
    <row r="171" spans="2:14" ht="12.75" x14ac:dyDescent="0.2">
      <c r="B171" s="14" t="str">
        <f>IF(Tabla1[[#This Row],[Código_Actividad]]="","",CONCATENATE(Tabla1[[#This Row],[POA]],".",Tabla1[[#This Row],[SRS]],".",Tabla1[[#This Row],[AREA]],".",Tabla1[[#This Row],[TIPO]]))</f>
        <v/>
      </c>
      <c r="C171" s="14" t="s">
        <v>1060</v>
      </c>
      <c r="D171" s="14" t="s">
        <v>1060</v>
      </c>
      <c r="E171" s="14" t="s">
        <v>1060</v>
      </c>
      <c r="F171" s="14" t="s">
        <v>1060</v>
      </c>
      <c r="G171" s="275"/>
      <c r="H171" s="276"/>
      <c r="I171" s="276"/>
      <c r="J171" s="275"/>
      <c r="K171" s="277"/>
      <c r="L171" s="278">
        <f>+Tabla1[[#This Row],[Precio Unitario]]*Tabla1[[#This Row],[Cantidad de Insumos]]</f>
        <v>0</v>
      </c>
      <c r="M171" s="279"/>
      <c r="N171" s="276"/>
    </row>
    <row r="172" spans="2:14" ht="12.75" x14ac:dyDescent="0.2">
      <c r="B172" s="14" t="str">
        <f>IF(Tabla1[[#This Row],[Código_Actividad]]="","",CONCATENATE(Tabla1[[#This Row],[POA]],".",Tabla1[[#This Row],[SRS]],".",Tabla1[[#This Row],[AREA]],".",Tabla1[[#This Row],[TIPO]]))</f>
        <v/>
      </c>
      <c r="C172" s="14" t="s">
        <v>1060</v>
      </c>
      <c r="D172" s="14" t="s">
        <v>1060</v>
      </c>
      <c r="E172" s="14" t="s">
        <v>1060</v>
      </c>
      <c r="F172" s="14" t="s">
        <v>1060</v>
      </c>
      <c r="G172" s="275"/>
      <c r="H172" s="276"/>
      <c r="I172" s="276"/>
      <c r="J172" s="275"/>
      <c r="K172" s="277"/>
      <c r="L172" s="278">
        <f>+Tabla1[[#This Row],[Precio Unitario]]*Tabla1[[#This Row],[Cantidad de Insumos]]</f>
        <v>0</v>
      </c>
      <c r="M172" s="279"/>
      <c r="N172" s="276"/>
    </row>
    <row r="173" spans="2:14" ht="12.75" x14ac:dyDescent="0.2">
      <c r="B173" s="14" t="str">
        <f>IF(Tabla1[[#This Row],[Código_Actividad]]="","",CONCATENATE(Tabla1[[#This Row],[POA]],".",Tabla1[[#This Row],[SRS]],".",Tabla1[[#This Row],[AREA]],".",Tabla1[[#This Row],[TIPO]]))</f>
        <v/>
      </c>
      <c r="C173" s="14" t="s">
        <v>1060</v>
      </c>
      <c r="D173" s="14" t="s">
        <v>1060</v>
      </c>
      <c r="E173" s="14" t="s">
        <v>1060</v>
      </c>
      <c r="F173" s="14" t="s">
        <v>1060</v>
      </c>
      <c r="G173" s="275"/>
      <c r="H173" s="276"/>
      <c r="I173" s="276"/>
      <c r="J173" s="275"/>
      <c r="K173" s="277"/>
      <c r="L173" s="278">
        <f>+Tabla1[[#This Row],[Precio Unitario]]*Tabla1[[#This Row],[Cantidad de Insumos]]</f>
        <v>0</v>
      </c>
      <c r="M173" s="279"/>
      <c r="N173" s="276"/>
    </row>
    <row r="174" spans="2:14" ht="12.75" x14ac:dyDescent="0.2">
      <c r="B174" s="14" t="str">
        <f>IF(Tabla1[[#This Row],[Código_Actividad]]="","",CONCATENATE(Tabla1[[#This Row],[POA]],".",Tabla1[[#This Row],[SRS]],".",Tabla1[[#This Row],[AREA]],".",Tabla1[[#This Row],[TIPO]]))</f>
        <v/>
      </c>
      <c r="C174" s="14" t="s">
        <v>1060</v>
      </c>
      <c r="D174" s="14" t="s">
        <v>1060</v>
      </c>
      <c r="E174" s="14" t="s">
        <v>1060</v>
      </c>
      <c r="F174" s="14" t="s">
        <v>1060</v>
      </c>
      <c r="G174" s="275"/>
      <c r="H174" s="276"/>
      <c r="I174" s="276"/>
      <c r="J174" s="275"/>
      <c r="K174" s="277"/>
      <c r="L174" s="278">
        <f>+Tabla1[[#This Row],[Precio Unitario]]*Tabla1[[#This Row],[Cantidad de Insumos]]</f>
        <v>0</v>
      </c>
      <c r="M174" s="279"/>
      <c r="N174" s="276"/>
    </row>
    <row r="175" spans="2:14" ht="12.75" x14ac:dyDescent="0.2">
      <c r="B175" s="14" t="str">
        <f>IF(Tabla1[[#This Row],[Código_Actividad]]="","",CONCATENATE(Tabla1[[#This Row],[POA]],".",Tabla1[[#This Row],[SRS]],".",Tabla1[[#This Row],[AREA]],".",Tabla1[[#This Row],[TIPO]]))</f>
        <v/>
      </c>
      <c r="C175" s="14" t="s">
        <v>1060</v>
      </c>
      <c r="D175" s="14" t="s">
        <v>1060</v>
      </c>
      <c r="E175" s="14" t="s">
        <v>1060</v>
      </c>
      <c r="F175" s="14" t="s">
        <v>1060</v>
      </c>
      <c r="G175" s="275"/>
      <c r="H175" s="276"/>
      <c r="I175" s="276"/>
      <c r="J175" s="275"/>
      <c r="K175" s="277"/>
      <c r="L175" s="278">
        <f>+Tabla1[[#This Row],[Precio Unitario]]*Tabla1[[#This Row],[Cantidad de Insumos]]</f>
        <v>0</v>
      </c>
      <c r="M175" s="279"/>
      <c r="N175" s="276"/>
    </row>
    <row r="176" spans="2:14" ht="12.75" x14ac:dyDescent="0.2">
      <c r="B176" s="14" t="str">
        <f>IF(Tabla1[[#This Row],[Código_Actividad]]="","",CONCATENATE(Tabla1[[#This Row],[POA]],".",Tabla1[[#This Row],[SRS]],".",Tabla1[[#This Row],[AREA]],".",Tabla1[[#This Row],[TIPO]]))</f>
        <v/>
      </c>
      <c r="C176" s="14" t="s">
        <v>1060</v>
      </c>
      <c r="D176" s="14" t="s">
        <v>1060</v>
      </c>
      <c r="E176" s="14" t="s">
        <v>1060</v>
      </c>
      <c r="F176" s="14" t="s">
        <v>1060</v>
      </c>
      <c r="G176" s="275"/>
      <c r="H176" s="276"/>
      <c r="I176" s="276"/>
      <c r="J176" s="275"/>
      <c r="K176" s="277"/>
      <c r="L176" s="278">
        <f>+Tabla1[[#This Row],[Precio Unitario]]*Tabla1[[#This Row],[Cantidad de Insumos]]</f>
        <v>0</v>
      </c>
      <c r="M176" s="279"/>
      <c r="N176" s="276"/>
    </row>
    <row r="177" spans="2:14" ht="12.75" x14ac:dyDescent="0.2">
      <c r="B177" s="14" t="str">
        <f>IF(Tabla1[[#This Row],[Código_Actividad]]="","",CONCATENATE(Tabla1[[#This Row],[POA]],".",Tabla1[[#This Row],[SRS]],".",Tabla1[[#This Row],[AREA]],".",Tabla1[[#This Row],[TIPO]]))</f>
        <v/>
      </c>
      <c r="C177" s="14" t="s">
        <v>1060</v>
      </c>
      <c r="D177" s="14" t="s">
        <v>1060</v>
      </c>
      <c r="E177" s="14" t="s">
        <v>1060</v>
      </c>
      <c r="F177" s="14" t="s">
        <v>1060</v>
      </c>
      <c r="G177" s="275"/>
      <c r="H177" s="276"/>
      <c r="I177" s="276"/>
      <c r="J177" s="275"/>
      <c r="K177" s="277"/>
      <c r="L177" s="278">
        <f>+Tabla1[[#This Row],[Precio Unitario]]*Tabla1[[#This Row],[Cantidad de Insumos]]</f>
        <v>0</v>
      </c>
      <c r="M177" s="279"/>
      <c r="N177" s="276"/>
    </row>
    <row r="178" spans="2:14" ht="12.75" x14ac:dyDescent="0.2">
      <c r="B178" s="14" t="str">
        <f>IF(Tabla1[[#This Row],[Código_Actividad]]="","",CONCATENATE(Tabla1[[#This Row],[POA]],".",Tabla1[[#This Row],[SRS]],".",Tabla1[[#This Row],[AREA]],".",Tabla1[[#This Row],[TIPO]]))</f>
        <v/>
      </c>
      <c r="C178" s="14" t="s">
        <v>1060</v>
      </c>
      <c r="D178" s="14" t="s">
        <v>1060</v>
      </c>
      <c r="E178" s="14" t="s">
        <v>1060</v>
      </c>
      <c r="F178" s="14" t="s">
        <v>1060</v>
      </c>
      <c r="G178" s="275"/>
      <c r="H178" s="276"/>
      <c r="I178" s="276"/>
      <c r="J178" s="275"/>
      <c r="K178" s="277"/>
      <c r="L178" s="278">
        <f>+Tabla1[[#This Row],[Precio Unitario]]*Tabla1[[#This Row],[Cantidad de Insumos]]</f>
        <v>0</v>
      </c>
      <c r="M178" s="279"/>
      <c r="N178" s="276"/>
    </row>
    <row r="179" spans="2:14" ht="12.75" x14ac:dyDescent="0.2">
      <c r="B179" s="14" t="str">
        <f>IF(Tabla1[[#This Row],[Código_Actividad]]="","",CONCATENATE(Tabla1[[#This Row],[POA]],".",Tabla1[[#This Row],[SRS]],".",Tabla1[[#This Row],[AREA]],".",Tabla1[[#This Row],[TIPO]]))</f>
        <v/>
      </c>
      <c r="C179" s="14" t="s">
        <v>1060</v>
      </c>
      <c r="D179" s="14" t="s">
        <v>1060</v>
      </c>
      <c r="E179" s="14" t="s">
        <v>1060</v>
      </c>
      <c r="F179" s="14" t="s">
        <v>1060</v>
      </c>
      <c r="G179" s="275"/>
      <c r="H179" s="276"/>
      <c r="I179" s="276"/>
      <c r="J179" s="275"/>
      <c r="K179" s="277"/>
      <c r="L179" s="278">
        <f>+Tabla1[[#This Row],[Precio Unitario]]*Tabla1[[#This Row],[Cantidad de Insumos]]</f>
        <v>0</v>
      </c>
      <c r="M179" s="279"/>
      <c r="N179" s="276"/>
    </row>
    <row r="180" spans="2:14" ht="12.75" x14ac:dyDescent="0.2">
      <c r="B180" s="14" t="str">
        <f>IF(Tabla1[[#This Row],[Código_Actividad]]="","",CONCATENATE(Tabla1[[#This Row],[POA]],".",Tabla1[[#This Row],[SRS]],".",Tabla1[[#This Row],[AREA]],".",Tabla1[[#This Row],[TIPO]]))</f>
        <v/>
      </c>
      <c r="C180" s="14" t="s">
        <v>1060</v>
      </c>
      <c r="D180" s="14" t="s">
        <v>1060</v>
      </c>
      <c r="E180" s="14" t="s">
        <v>1060</v>
      </c>
      <c r="F180" s="14" t="s">
        <v>1060</v>
      </c>
      <c r="G180" s="275"/>
      <c r="H180" s="276"/>
      <c r="I180" s="276"/>
      <c r="J180" s="275"/>
      <c r="K180" s="277"/>
      <c r="L180" s="278">
        <f>+Tabla1[[#This Row],[Precio Unitario]]*Tabla1[[#This Row],[Cantidad de Insumos]]</f>
        <v>0</v>
      </c>
      <c r="M180" s="279"/>
      <c r="N180" s="276"/>
    </row>
    <row r="181" spans="2:14" ht="12.75" x14ac:dyDescent="0.2">
      <c r="B181" s="14" t="str">
        <f>IF(Tabla1[[#This Row],[Código_Actividad]]="","",CONCATENATE(Tabla1[[#This Row],[POA]],".",Tabla1[[#This Row],[SRS]],".",Tabla1[[#This Row],[AREA]],".",Tabla1[[#This Row],[TIPO]]))</f>
        <v/>
      </c>
      <c r="C181" s="14" t="s">
        <v>1060</v>
      </c>
      <c r="D181" s="14" t="s">
        <v>1060</v>
      </c>
      <c r="E181" s="14" t="s">
        <v>1060</v>
      </c>
      <c r="F181" s="14" t="s">
        <v>1060</v>
      </c>
      <c r="G181" s="275"/>
      <c r="H181" s="276"/>
      <c r="I181" s="276"/>
      <c r="J181" s="275"/>
      <c r="K181" s="277"/>
      <c r="L181" s="278">
        <f>+Tabla1[[#This Row],[Precio Unitario]]*Tabla1[[#This Row],[Cantidad de Insumos]]</f>
        <v>0</v>
      </c>
      <c r="M181" s="279"/>
      <c r="N181" s="276"/>
    </row>
    <row r="182" spans="2:14" ht="12.75" x14ac:dyDescent="0.2">
      <c r="B182" s="14" t="str">
        <f>IF(Tabla1[[#This Row],[Código_Actividad]]="","",CONCATENATE(Tabla1[[#This Row],[POA]],".",Tabla1[[#This Row],[SRS]],".",Tabla1[[#This Row],[AREA]],".",Tabla1[[#This Row],[TIPO]]))</f>
        <v/>
      </c>
      <c r="C182" s="14" t="s">
        <v>1060</v>
      </c>
      <c r="D182" s="14" t="s">
        <v>1060</v>
      </c>
      <c r="E182" s="14" t="s">
        <v>1060</v>
      </c>
      <c r="F182" s="14" t="s">
        <v>1060</v>
      </c>
      <c r="G182" s="275"/>
      <c r="H182" s="276"/>
      <c r="I182" s="276"/>
      <c r="J182" s="275"/>
      <c r="K182" s="277"/>
      <c r="L182" s="278">
        <f>+Tabla1[[#This Row],[Precio Unitario]]*Tabla1[[#This Row],[Cantidad de Insumos]]</f>
        <v>0</v>
      </c>
      <c r="M182" s="279"/>
      <c r="N182" s="276"/>
    </row>
    <row r="183" spans="2:14" ht="12.75" x14ac:dyDescent="0.2">
      <c r="B183" s="14" t="str">
        <f>IF(Tabla1[[#This Row],[Código_Actividad]]="","",CONCATENATE(Tabla1[[#This Row],[POA]],".",Tabla1[[#This Row],[SRS]],".",Tabla1[[#This Row],[AREA]],".",Tabla1[[#This Row],[TIPO]]))</f>
        <v/>
      </c>
      <c r="C183" s="14" t="s">
        <v>1060</v>
      </c>
      <c r="D183" s="14" t="s">
        <v>1060</v>
      </c>
      <c r="E183" s="14" t="s">
        <v>1060</v>
      </c>
      <c r="F183" s="14" t="s">
        <v>1060</v>
      </c>
      <c r="G183" s="275"/>
      <c r="H183" s="276"/>
      <c r="I183" s="276"/>
      <c r="J183" s="275"/>
      <c r="K183" s="277"/>
      <c r="L183" s="278">
        <f>+Tabla1[[#This Row],[Precio Unitario]]*Tabla1[[#This Row],[Cantidad de Insumos]]</f>
        <v>0</v>
      </c>
      <c r="M183" s="279"/>
      <c r="N183" s="276"/>
    </row>
    <row r="184" spans="2:14" ht="12.75" x14ac:dyDescent="0.2">
      <c r="B184" s="14" t="str">
        <f>IF(Tabla1[[#This Row],[Código_Actividad]]="","",CONCATENATE(Tabla1[[#This Row],[POA]],".",Tabla1[[#This Row],[SRS]],".",Tabla1[[#This Row],[AREA]],".",Tabla1[[#This Row],[TIPO]]))</f>
        <v/>
      </c>
      <c r="C184" s="14" t="s">
        <v>1060</v>
      </c>
      <c r="D184" s="14" t="s">
        <v>1060</v>
      </c>
      <c r="E184" s="14" t="s">
        <v>1060</v>
      </c>
      <c r="F184" s="14" t="s">
        <v>1060</v>
      </c>
      <c r="G184" s="275"/>
      <c r="H184" s="276"/>
      <c r="I184" s="276"/>
      <c r="J184" s="275"/>
      <c r="K184" s="277"/>
      <c r="L184" s="278">
        <f>+Tabla1[[#This Row],[Precio Unitario]]*Tabla1[[#This Row],[Cantidad de Insumos]]</f>
        <v>0</v>
      </c>
      <c r="M184" s="279"/>
      <c r="N184" s="276"/>
    </row>
    <row r="185" spans="2:14" ht="12.75" x14ac:dyDescent="0.2">
      <c r="B185" s="14" t="str">
        <f>IF(Tabla1[[#This Row],[Código_Actividad]]="","",CONCATENATE(Tabla1[[#This Row],[POA]],".",Tabla1[[#This Row],[SRS]],".",Tabla1[[#This Row],[AREA]],".",Tabla1[[#This Row],[TIPO]]))</f>
        <v/>
      </c>
      <c r="C185" s="14" t="s">
        <v>1060</v>
      </c>
      <c r="D185" s="14" t="s">
        <v>1060</v>
      </c>
      <c r="E185" s="14" t="s">
        <v>1060</v>
      </c>
      <c r="F185" s="14" t="s">
        <v>1060</v>
      </c>
      <c r="G185" s="275"/>
      <c r="H185" s="276"/>
      <c r="I185" s="276"/>
      <c r="J185" s="275"/>
      <c r="K185" s="277"/>
      <c r="L185" s="278">
        <f>+Tabla1[[#This Row],[Precio Unitario]]*Tabla1[[#This Row],[Cantidad de Insumos]]</f>
        <v>0</v>
      </c>
      <c r="M185" s="279"/>
      <c r="N185" s="276"/>
    </row>
    <row r="186" spans="2:14" ht="12.75" x14ac:dyDescent="0.2">
      <c r="B186" s="14" t="str">
        <f>IF(Tabla1[[#This Row],[Código_Actividad]]="","",CONCATENATE(Tabla1[[#This Row],[POA]],".",Tabla1[[#This Row],[SRS]],".",Tabla1[[#This Row],[AREA]],".",Tabla1[[#This Row],[TIPO]]))</f>
        <v/>
      </c>
      <c r="C186" s="14" t="s">
        <v>1060</v>
      </c>
      <c r="D186" s="14" t="s">
        <v>1060</v>
      </c>
      <c r="E186" s="14" t="s">
        <v>1060</v>
      </c>
      <c r="F186" s="14" t="s">
        <v>1060</v>
      </c>
      <c r="G186" s="275"/>
      <c r="H186" s="276"/>
      <c r="I186" s="276"/>
      <c r="J186" s="275"/>
      <c r="K186" s="277"/>
      <c r="L186" s="278">
        <f>+Tabla1[[#This Row],[Precio Unitario]]*Tabla1[[#This Row],[Cantidad de Insumos]]</f>
        <v>0</v>
      </c>
      <c r="M186" s="279"/>
      <c r="N186" s="276"/>
    </row>
    <row r="187" spans="2:14" ht="12.75" x14ac:dyDescent="0.2">
      <c r="B187" s="14" t="str">
        <f>IF(Tabla1[[#This Row],[Código_Actividad]]="","",CONCATENATE(Tabla1[[#This Row],[POA]],".",Tabla1[[#This Row],[SRS]],".",Tabla1[[#This Row],[AREA]],".",Tabla1[[#This Row],[TIPO]]))</f>
        <v/>
      </c>
      <c r="C187" s="14" t="s">
        <v>1060</v>
      </c>
      <c r="D187" s="14" t="s">
        <v>1060</v>
      </c>
      <c r="E187" s="14" t="s">
        <v>1060</v>
      </c>
      <c r="F187" s="14" t="s">
        <v>1060</v>
      </c>
      <c r="G187" s="275"/>
      <c r="H187" s="276"/>
      <c r="I187" s="276"/>
      <c r="J187" s="275"/>
      <c r="K187" s="277"/>
      <c r="L187" s="278">
        <f>+Tabla1[[#This Row],[Precio Unitario]]*Tabla1[[#This Row],[Cantidad de Insumos]]</f>
        <v>0</v>
      </c>
      <c r="M187" s="279"/>
      <c r="N187" s="276"/>
    </row>
    <row r="188" spans="2:14" ht="12.75" x14ac:dyDescent="0.2">
      <c r="B188" s="14" t="str">
        <f>IF(Tabla1[[#This Row],[Código_Actividad]]="","",CONCATENATE(Tabla1[[#This Row],[POA]],".",Tabla1[[#This Row],[SRS]],".",Tabla1[[#This Row],[AREA]],".",Tabla1[[#This Row],[TIPO]]))</f>
        <v/>
      </c>
      <c r="C188" s="14" t="s">
        <v>1060</v>
      </c>
      <c r="D188" s="14" t="s">
        <v>1060</v>
      </c>
      <c r="E188" s="14" t="s">
        <v>1060</v>
      </c>
      <c r="F188" s="14" t="s">
        <v>1060</v>
      </c>
      <c r="G188" s="275"/>
      <c r="H188" s="276"/>
      <c r="I188" s="276"/>
      <c r="J188" s="275"/>
      <c r="K188" s="277"/>
      <c r="L188" s="278">
        <f>+Tabla1[[#This Row],[Precio Unitario]]*Tabla1[[#This Row],[Cantidad de Insumos]]</f>
        <v>0</v>
      </c>
      <c r="M188" s="279"/>
      <c r="N188" s="276"/>
    </row>
    <row r="189" spans="2:14" ht="12.75" x14ac:dyDescent="0.2">
      <c r="B189" s="14" t="str">
        <f>IF(Tabla1[[#This Row],[Código_Actividad]]="","",CONCATENATE(Tabla1[[#This Row],[POA]],".",Tabla1[[#This Row],[SRS]],".",Tabla1[[#This Row],[AREA]],".",Tabla1[[#This Row],[TIPO]]))</f>
        <v/>
      </c>
      <c r="C189" s="14" t="s">
        <v>1060</v>
      </c>
      <c r="D189" s="14" t="s">
        <v>1060</v>
      </c>
      <c r="E189" s="14" t="s">
        <v>1060</v>
      </c>
      <c r="F189" s="14" t="s">
        <v>1060</v>
      </c>
      <c r="G189" s="275"/>
      <c r="H189" s="276"/>
      <c r="I189" s="276"/>
      <c r="J189" s="275"/>
      <c r="K189" s="277"/>
      <c r="L189" s="278">
        <f>+Tabla1[[#This Row],[Precio Unitario]]*Tabla1[[#This Row],[Cantidad de Insumos]]</f>
        <v>0</v>
      </c>
      <c r="M189" s="279"/>
      <c r="N189" s="276"/>
    </row>
    <row r="190" spans="2:14" ht="12.75" x14ac:dyDescent="0.2">
      <c r="B190" s="14" t="str">
        <f>IF(Tabla1[[#This Row],[Código_Actividad]]="","",CONCATENATE(Tabla1[[#This Row],[POA]],".",Tabla1[[#This Row],[SRS]],".",Tabla1[[#This Row],[AREA]],".",Tabla1[[#This Row],[TIPO]]))</f>
        <v/>
      </c>
      <c r="C190" s="14" t="s">
        <v>1060</v>
      </c>
      <c r="D190" s="14" t="s">
        <v>1060</v>
      </c>
      <c r="E190" s="14" t="s">
        <v>1060</v>
      </c>
      <c r="F190" s="14" t="s">
        <v>1060</v>
      </c>
      <c r="G190" s="275"/>
      <c r="H190" s="276"/>
      <c r="I190" s="276"/>
      <c r="J190" s="275"/>
      <c r="K190" s="277"/>
      <c r="L190" s="278">
        <f>+Tabla1[[#This Row],[Precio Unitario]]*Tabla1[[#This Row],[Cantidad de Insumos]]</f>
        <v>0</v>
      </c>
      <c r="M190" s="279"/>
      <c r="N190" s="276"/>
    </row>
    <row r="191" spans="2:14" ht="12.75" x14ac:dyDescent="0.2">
      <c r="B191" s="14" t="str">
        <f>IF(Tabla1[[#This Row],[Código_Actividad]]="","",CONCATENATE(Tabla1[[#This Row],[POA]],".",Tabla1[[#This Row],[SRS]],".",Tabla1[[#This Row],[AREA]],".",Tabla1[[#This Row],[TIPO]]))</f>
        <v/>
      </c>
      <c r="C191" s="14" t="s">
        <v>1060</v>
      </c>
      <c r="D191" s="14" t="s">
        <v>1060</v>
      </c>
      <c r="E191" s="14" t="s">
        <v>1060</v>
      </c>
      <c r="F191" s="14" t="s">
        <v>1060</v>
      </c>
      <c r="G191" s="275"/>
      <c r="H191" s="276"/>
      <c r="I191" s="276"/>
      <c r="J191" s="275"/>
      <c r="K191" s="277"/>
      <c r="L191" s="278">
        <f>+Tabla1[[#This Row],[Precio Unitario]]*Tabla1[[#This Row],[Cantidad de Insumos]]</f>
        <v>0</v>
      </c>
      <c r="M191" s="279"/>
      <c r="N191" s="276"/>
    </row>
    <row r="192" spans="2:14" ht="12.75" x14ac:dyDescent="0.2">
      <c r="B192" s="14" t="str">
        <f>IF(Tabla1[[#This Row],[Código_Actividad]]="","",CONCATENATE(Tabla1[[#This Row],[POA]],".",Tabla1[[#This Row],[SRS]],".",Tabla1[[#This Row],[AREA]],".",Tabla1[[#This Row],[TIPO]]))</f>
        <v/>
      </c>
      <c r="C192" s="14" t="s">
        <v>1060</v>
      </c>
      <c r="D192" s="14" t="s">
        <v>1060</v>
      </c>
      <c r="E192" s="14" t="s">
        <v>1060</v>
      </c>
      <c r="F192" s="14" t="s">
        <v>1060</v>
      </c>
      <c r="G192" s="275"/>
      <c r="H192" s="276"/>
      <c r="I192" s="276"/>
      <c r="J192" s="275"/>
      <c r="K192" s="277"/>
      <c r="L192" s="278">
        <f>+Tabla1[[#This Row],[Precio Unitario]]*Tabla1[[#This Row],[Cantidad de Insumos]]</f>
        <v>0</v>
      </c>
      <c r="M192" s="279"/>
      <c r="N192" s="276"/>
    </row>
    <row r="193" spans="2:14" ht="12.75" x14ac:dyDescent="0.2">
      <c r="B193" s="14" t="str">
        <f>IF(Tabla1[[#This Row],[Código_Actividad]]="","",CONCATENATE(Tabla1[[#This Row],[POA]],".",Tabla1[[#This Row],[SRS]],".",Tabla1[[#This Row],[AREA]],".",Tabla1[[#This Row],[TIPO]]))</f>
        <v/>
      </c>
      <c r="C193" s="14" t="s">
        <v>1060</v>
      </c>
      <c r="D193" s="14" t="s">
        <v>1060</v>
      </c>
      <c r="E193" s="14" t="s">
        <v>1060</v>
      </c>
      <c r="F193" s="14" t="s">
        <v>1060</v>
      </c>
      <c r="G193" s="275"/>
      <c r="H193" s="276"/>
      <c r="I193" s="276"/>
      <c r="J193" s="275"/>
      <c r="K193" s="277"/>
      <c r="L193" s="278">
        <f>+Tabla1[[#This Row],[Precio Unitario]]*Tabla1[[#This Row],[Cantidad de Insumos]]</f>
        <v>0</v>
      </c>
      <c r="M193" s="279"/>
      <c r="N193" s="276"/>
    </row>
    <row r="194" spans="2:14" ht="12.75" x14ac:dyDescent="0.2">
      <c r="B194" s="14" t="str">
        <f>IF(Tabla1[[#This Row],[Código_Actividad]]="","",CONCATENATE(Tabla1[[#This Row],[POA]],".",Tabla1[[#This Row],[SRS]],".",Tabla1[[#This Row],[AREA]],".",Tabla1[[#This Row],[TIPO]]))</f>
        <v/>
      </c>
      <c r="C194" s="14" t="s">
        <v>1060</v>
      </c>
      <c r="D194" s="14" t="s">
        <v>1060</v>
      </c>
      <c r="E194" s="14" t="s">
        <v>1060</v>
      </c>
      <c r="F194" s="14" t="s">
        <v>1060</v>
      </c>
      <c r="G194" s="275"/>
      <c r="H194" s="276"/>
      <c r="I194" s="276"/>
      <c r="J194" s="275"/>
      <c r="K194" s="277"/>
      <c r="L194" s="278">
        <f>+Tabla1[[#This Row],[Precio Unitario]]*Tabla1[[#This Row],[Cantidad de Insumos]]</f>
        <v>0</v>
      </c>
      <c r="M194" s="279"/>
      <c r="N194" s="276"/>
    </row>
    <row r="195" spans="2:14" ht="12.75" x14ac:dyDescent="0.2">
      <c r="B195" s="14" t="str">
        <f>IF(Tabla1[[#This Row],[Código_Actividad]]="","",CONCATENATE(Tabla1[[#This Row],[POA]],".",Tabla1[[#This Row],[SRS]],".",Tabla1[[#This Row],[AREA]],".",Tabla1[[#This Row],[TIPO]]))</f>
        <v/>
      </c>
      <c r="C195" s="14" t="s">
        <v>1060</v>
      </c>
      <c r="D195" s="14" t="s">
        <v>1060</v>
      </c>
      <c r="E195" s="14" t="s">
        <v>1060</v>
      </c>
      <c r="F195" s="14" t="s">
        <v>1060</v>
      </c>
      <c r="G195" s="275"/>
      <c r="H195" s="276"/>
      <c r="I195" s="276"/>
      <c r="J195" s="275"/>
      <c r="K195" s="277"/>
      <c r="L195" s="278">
        <f>+Tabla1[[#This Row],[Precio Unitario]]*Tabla1[[#This Row],[Cantidad de Insumos]]</f>
        <v>0</v>
      </c>
      <c r="M195" s="279"/>
      <c r="N195" s="276"/>
    </row>
    <row r="196" spans="2:14" ht="12.75" x14ac:dyDescent="0.2">
      <c r="B196" s="14" t="str">
        <f>IF(Tabla1[[#This Row],[Código_Actividad]]="","",CONCATENATE(Tabla1[[#This Row],[POA]],".",Tabla1[[#This Row],[SRS]],".",Tabla1[[#This Row],[AREA]],".",Tabla1[[#This Row],[TIPO]]))</f>
        <v/>
      </c>
      <c r="C196" s="14" t="s">
        <v>1060</v>
      </c>
      <c r="D196" s="14" t="s">
        <v>1060</v>
      </c>
      <c r="E196" s="14" t="s">
        <v>1060</v>
      </c>
      <c r="F196" s="14" t="s">
        <v>1060</v>
      </c>
      <c r="G196" s="275"/>
      <c r="H196" s="276"/>
      <c r="I196" s="276"/>
      <c r="J196" s="275"/>
      <c r="K196" s="277"/>
      <c r="L196" s="278">
        <f>+Tabla1[[#This Row],[Precio Unitario]]*Tabla1[[#This Row],[Cantidad de Insumos]]</f>
        <v>0</v>
      </c>
      <c r="M196" s="279"/>
      <c r="N196" s="276"/>
    </row>
    <row r="197" spans="2:14" ht="12.75" x14ac:dyDescent="0.2">
      <c r="B197" s="14" t="str">
        <f>IF(Tabla1[[#This Row],[Código_Actividad]]="","",CONCATENATE(Tabla1[[#This Row],[POA]],".",Tabla1[[#This Row],[SRS]],".",Tabla1[[#This Row],[AREA]],".",Tabla1[[#This Row],[TIPO]]))</f>
        <v/>
      </c>
      <c r="C197" s="14" t="s">
        <v>1060</v>
      </c>
      <c r="D197" s="14" t="s">
        <v>1060</v>
      </c>
      <c r="E197" s="14" t="s">
        <v>1060</v>
      </c>
      <c r="F197" s="14" t="s">
        <v>1060</v>
      </c>
      <c r="G197" s="275"/>
      <c r="H197" s="276"/>
      <c r="I197" s="276"/>
      <c r="J197" s="275"/>
      <c r="K197" s="277"/>
      <c r="L197" s="278">
        <f>+Tabla1[[#This Row],[Precio Unitario]]*Tabla1[[#This Row],[Cantidad de Insumos]]</f>
        <v>0</v>
      </c>
      <c r="M197" s="279"/>
      <c r="N197" s="276"/>
    </row>
    <row r="198" spans="2:14" ht="12.75" x14ac:dyDescent="0.2">
      <c r="B198" s="14" t="str">
        <f>IF(Tabla1[[#This Row],[Código_Actividad]]="","",CONCATENATE(Tabla1[[#This Row],[POA]],".",Tabla1[[#This Row],[SRS]],".",Tabla1[[#This Row],[AREA]],".",Tabla1[[#This Row],[TIPO]]))</f>
        <v/>
      </c>
      <c r="C198" s="14" t="s">
        <v>1060</v>
      </c>
      <c r="D198" s="14" t="s">
        <v>1060</v>
      </c>
      <c r="E198" s="14" t="s">
        <v>1060</v>
      </c>
      <c r="F198" s="14" t="s">
        <v>1060</v>
      </c>
      <c r="G198" s="275"/>
      <c r="H198" s="276"/>
      <c r="I198" s="276"/>
      <c r="J198" s="275"/>
      <c r="K198" s="277"/>
      <c r="L198" s="278">
        <f>+Tabla1[[#This Row],[Precio Unitario]]*Tabla1[[#This Row],[Cantidad de Insumos]]</f>
        <v>0</v>
      </c>
      <c r="M198" s="279"/>
      <c r="N198" s="276"/>
    </row>
    <row r="199" spans="2:14" ht="12.75" x14ac:dyDescent="0.2">
      <c r="B199" s="14" t="str">
        <f>IF(Tabla1[[#This Row],[Código_Actividad]]="","",CONCATENATE(Tabla1[[#This Row],[POA]],".",Tabla1[[#This Row],[SRS]],".",Tabla1[[#This Row],[AREA]],".",Tabla1[[#This Row],[TIPO]]))</f>
        <v/>
      </c>
      <c r="C199" s="14" t="s">
        <v>1060</v>
      </c>
      <c r="D199" s="14" t="s">
        <v>1060</v>
      </c>
      <c r="E199" s="14" t="s">
        <v>1060</v>
      </c>
      <c r="F199" s="14" t="s">
        <v>1060</v>
      </c>
      <c r="G199" s="275"/>
      <c r="H199" s="276"/>
      <c r="I199" s="276"/>
      <c r="J199" s="275"/>
      <c r="K199" s="277"/>
      <c r="L199" s="278">
        <f>+Tabla1[[#This Row],[Precio Unitario]]*Tabla1[[#This Row],[Cantidad de Insumos]]</f>
        <v>0</v>
      </c>
      <c r="M199" s="279"/>
      <c r="N199" s="276"/>
    </row>
    <row r="200" spans="2:14" ht="12.75" x14ac:dyDescent="0.2">
      <c r="B200" s="14" t="str">
        <f>IF(Tabla1[[#This Row],[Código_Actividad]]="","",CONCATENATE(Tabla1[[#This Row],[POA]],".",Tabla1[[#This Row],[SRS]],".",Tabla1[[#This Row],[AREA]],".",Tabla1[[#This Row],[TIPO]]))</f>
        <v/>
      </c>
      <c r="C200" s="14" t="s">
        <v>1060</v>
      </c>
      <c r="D200" s="14" t="s">
        <v>1060</v>
      </c>
      <c r="E200" s="14" t="s">
        <v>1060</v>
      </c>
      <c r="F200" s="14" t="s">
        <v>1060</v>
      </c>
      <c r="G200" s="275"/>
      <c r="H200" s="276"/>
      <c r="I200" s="276"/>
      <c r="J200" s="275"/>
      <c r="K200" s="277"/>
      <c r="L200" s="278">
        <f>+Tabla1[[#This Row],[Precio Unitario]]*Tabla1[[#This Row],[Cantidad de Insumos]]</f>
        <v>0</v>
      </c>
      <c r="M200" s="279"/>
      <c r="N200" s="276"/>
    </row>
    <row r="201" spans="2:14" ht="12.75" x14ac:dyDescent="0.2">
      <c r="B201" s="14" t="str">
        <f>IF(Tabla1[[#This Row],[Código_Actividad]]="","",CONCATENATE(Tabla1[[#This Row],[POA]],".",Tabla1[[#This Row],[SRS]],".",Tabla1[[#This Row],[AREA]],".",Tabla1[[#This Row],[TIPO]]))</f>
        <v/>
      </c>
      <c r="C201" s="14" t="s">
        <v>1060</v>
      </c>
      <c r="D201" s="14" t="s">
        <v>1060</v>
      </c>
      <c r="E201" s="14" t="s">
        <v>1060</v>
      </c>
      <c r="F201" s="14" t="s">
        <v>1060</v>
      </c>
      <c r="G201" s="275"/>
      <c r="H201" s="276"/>
      <c r="I201" s="276"/>
      <c r="J201" s="275"/>
      <c r="K201" s="277"/>
      <c r="L201" s="278">
        <f>+Tabla1[[#This Row],[Precio Unitario]]*Tabla1[[#This Row],[Cantidad de Insumos]]</f>
        <v>0</v>
      </c>
      <c r="M201" s="279"/>
      <c r="N201" s="276"/>
    </row>
    <row r="202" spans="2:14" ht="12.75" x14ac:dyDescent="0.2">
      <c r="B202" s="14" t="str">
        <f>IF(Tabla1[[#This Row],[Código_Actividad]]="","",CONCATENATE(Tabla1[[#This Row],[POA]],".",Tabla1[[#This Row],[SRS]],".",Tabla1[[#This Row],[AREA]],".",Tabla1[[#This Row],[TIPO]]))</f>
        <v/>
      </c>
      <c r="C202" s="14" t="s">
        <v>1060</v>
      </c>
      <c r="D202" s="14" t="s">
        <v>1060</v>
      </c>
      <c r="E202" s="14" t="s">
        <v>1060</v>
      </c>
      <c r="F202" s="14" t="s">
        <v>1060</v>
      </c>
      <c r="G202" s="275"/>
      <c r="H202" s="276"/>
      <c r="I202" s="276"/>
      <c r="J202" s="275"/>
      <c r="K202" s="277"/>
      <c r="L202" s="278">
        <f>+Tabla1[[#This Row],[Precio Unitario]]*Tabla1[[#This Row],[Cantidad de Insumos]]</f>
        <v>0</v>
      </c>
      <c r="M202" s="279"/>
      <c r="N202" s="276"/>
    </row>
    <row r="203" spans="2:14" ht="12.75" x14ac:dyDescent="0.2">
      <c r="B203" s="14" t="str">
        <f>IF(Tabla1[[#This Row],[Código_Actividad]]="","",CONCATENATE(Tabla1[[#This Row],[POA]],".",Tabla1[[#This Row],[SRS]],".",Tabla1[[#This Row],[AREA]],".",Tabla1[[#This Row],[TIPO]]))</f>
        <v/>
      </c>
      <c r="C203" s="14" t="s">
        <v>1060</v>
      </c>
      <c r="D203" s="14" t="s">
        <v>1060</v>
      </c>
      <c r="E203" s="14" t="s">
        <v>1060</v>
      </c>
      <c r="F203" s="14" t="s">
        <v>1060</v>
      </c>
      <c r="G203" s="275"/>
      <c r="H203" s="276"/>
      <c r="I203" s="276"/>
      <c r="J203" s="275"/>
      <c r="K203" s="277"/>
      <c r="L203" s="278">
        <f>+Tabla1[[#This Row],[Precio Unitario]]*Tabla1[[#This Row],[Cantidad de Insumos]]</f>
        <v>0</v>
      </c>
      <c r="M203" s="279"/>
      <c r="N203" s="276"/>
    </row>
    <row r="204" spans="2:14" ht="12.75" x14ac:dyDescent="0.2">
      <c r="B204" s="14" t="str">
        <f>IF(Tabla1[[#This Row],[Código_Actividad]]="","",CONCATENATE(Tabla1[[#This Row],[POA]],".",Tabla1[[#This Row],[SRS]],".",Tabla1[[#This Row],[AREA]],".",Tabla1[[#This Row],[TIPO]]))</f>
        <v/>
      </c>
      <c r="C204" s="14" t="s">
        <v>1060</v>
      </c>
      <c r="D204" s="14" t="s">
        <v>1060</v>
      </c>
      <c r="E204" s="14" t="s">
        <v>1060</v>
      </c>
      <c r="F204" s="14" t="s">
        <v>1060</v>
      </c>
      <c r="G204" s="275"/>
      <c r="H204" s="276"/>
      <c r="I204" s="276"/>
      <c r="J204" s="275"/>
      <c r="K204" s="277"/>
      <c r="L204" s="278">
        <f>+Tabla1[[#This Row],[Precio Unitario]]*Tabla1[[#This Row],[Cantidad de Insumos]]</f>
        <v>0</v>
      </c>
      <c r="M204" s="279"/>
      <c r="N204" s="276"/>
    </row>
    <row r="205" spans="2:14" ht="12.75" x14ac:dyDescent="0.2">
      <c r="B205" s="14" t="str">
        <f>IF(Tabla1[[#This Row],[Código_Actividad]]="","",CONCATENATE(Tabla1[[#This Row],[POA]],".",Tabla1[[#This Row],[SRS]],".",Tabla1[[#This Row],[AREA]],".",Tabla1[[#This Row],[TIPO]]))</f>
        <v/>
      </c>
      <c r="C205" s="14" t="s">
        <v>1060</v>
      </c>
      <c r="D205" s="14" t="s">
        <v>1060</v>
      </c>
      <c r="E205" s="14" t="s">
        <v>1060</v>
      </c>
      <c r="F205" s="14" t="s">
        <v>1060</v>
      </c>
      <c r="G205" s="275"/>
      <c r="H205" s="276"/>
      <c r="I205" s="276"/>
      <c r="J205" s="275"/>
      <c r="K205" s="277"/>
      <c r="L205" s="278">
        <f>+Tabla1[[#This Row],[Precio Unitario]]*Tabla1[[#This Row],[Cantidad de Insumos]]</f>
        <v>0</v>
      </c>
      <c r="M205" s="279"/>
      <c r="N205" s="276"/>
    </row>
    <row r="206" spans="2:14" ht="12.75" x14ac:dyDescent="0.2">
      <c r="B206" s="14" t="str">
        <f>IF(Tabla1[[#This Row],[Código_Actividad]]="","",CONCATENATE(Tabla1[[#This Row],[POA]],".",Tabla1[[#This Row],[SRS]],".",Tabla1[[#This Row],[AREA]],".",Tabla1[[#This Row],[TIPO]]))</f>
        <v/>
      </c>
      <c r="C206" s="14" t="s">
        <v>1060</v>
      </c>
      <c r="D206" s="14" t="s">
        <v>1060</v>
      </c>
      <c r="E206" s="14" t="s">
        <v>1060</v>
      </c>
      <c r="F206" s="14" t="s">
        <v>1060</v>
      </c>
      <c r="G206" s="275"/>
      <c r="H206" s="276"/>
      <c r="I206" s="276"/>
      <c r="J206" s="275"/>
      <c r="K206" s="277"/>
      <c r="L206" s="278">
        <f>+Tabla1[[#This Row],[Precio Unitario]]*Tabla1[[#This Row],[Cantidad de Insumos]]</f>
        <v>0</v>
      </c>
      <c r="M206" s="279"/>
      <c r="N206" s="276"/>
    </row>
    <row r="207" spans="2:14" ht="12.75" x14ac:dyDescent="0.2">
      <c r="B207" s="14" t="str">
        <f>IF(Tabla1[[#This Row],[Código_Actividad]]="","",CONCATENATE(Tabla1[[#This Row],[POA]],".",Tabla1[[#This Row],[SRS]],".",Tabla1[[#This Row],[AREA]],".",Tabla1[[#This Row],[TIPO]]))</f>
        <v/>
      </c>
      <c r="C207" s="14" t="s">
        <v>1060</v>
      </c>
      <c r="D207" s="14" t="s">
        <v>1060</v>
      </c>
      <c r="E207" s="14" t="s">
        <v>1060</v>
      </c>
      <c r="F207" s="14" t="s">
        <v>1060</v>
      </c>
      <c r="G207" s="275"/>
      <c r="H207" s="276"/>
      <c r="I207" s="276"/>
      <c r="J207" s="275"/>
      <c r="K207" s="277"/>
      <c r="L207" s="278">
        <f>+Tabla1[[#This Row],[Precio Unitario]]*Tabla1[[#This Row],[Cantidad de Insumos]]</f>
        <v>0</v>
      </c>
      <c r="M207" s="279"/>
      <c r="N207" s="276"/>
    </row>
    <row r="208" spans="2:14" ht="12.75" x14ac:dyDescent="0.2">
      <c r="B208" s="14" t="str">
        <f>IF(Tabla1[[#This Row],[Código_Actividad]]="","",CONCATENATE(Tabla1[[#This Row],[POA]],".",Tabla1[[#This Row],[SRS]],".",Tabla1[[#This Row],[AREA]],".",Tabla1[[#This Row],[TIPO]]))</f>
        <v/>
      </c>
      <c r="C208" s="14" t="s">
        <v>1060</v>
      </c>
      <c r="D208" s="14" t="s">
        <v>1060</v>
      </c>
      <c r="E208" s="14" t="s">
        <v>1060</v>
      </c>
      <c r="F208" s="14" t="s">
        <v>1060</v>
      </c>
      <c r="G208" s="275"/>
      <c r="H208" s="276"/>
      <c r="I208" s="276"/>
      <c r="J208" s="275"/>
      <c r="K208" s="277"/>
      <c r="L208" s="278">
        <f>+Tabla1[[#This Row],[Precio Unitario]]*Tabla1[[#This Row],[Cantidad de Insumos]]</f>
        <v>0</v>
      </c>
      <c r="M208" s="279"/>
      <c r="N208" s="276"/>
    </row>
    <row r="209" spans="2:14" ht="12.75" x14ac:dyDescent="0.2">
      <c r="B209" s="14" t="str">
        <f>IF(Tabla1[[#This Row],[Código_Actividad]]="","",CONCATENATE(Tabla1[[#This Row],[POA]],".",Tabla1[[#This Row],[SRS]],".",Tabla1[[#This Row],[AREA]],".",Tabla1[[#This Row],[TIPO]]))</f>
        <v/>
      </c>
      <c r="C209" s="14" t="s">
        <v>1060</v>
      </c>
      <c r="D209" s="14" t="s">
        <v>1060</v>
      </c>
      <c r="E209" s="14" t="s">
        <v>1060</v>
      </c>
      <c r="F209" s="14" t="s">
        <v>1060</v>
      </c>
      <c r="G209" s="275"/>
      <c r="H209" s="276"/>
      <c r="I209" s="276"/>
      <c r="J209" s="275"/>
      <c r="K209" s="277"/>
      <c r="L209" s="278">
        <f>+Tabla1[[#This Row],[Precio Unitario]]*Tabla1[[#This Row],[Cantidad de Insumos]]</f>
        <v>0</v>
      </c>
      <c r="M209" s="279"/>
      <c r="N209" s="276"/>
    </row>
    <row r="210" spans="2:14" ht="12.75" x14ac:dyDescent="0.2">
      <c r="B210" s="14" t="str">
        <f>IF(Tabla1[[#This Row],[Código_Actividad]]="","",CONCATENATE(Tabla1[[#This Row],[POA]],".",Tabla1[[#This Row],[SRS]],".",Tabla1[[#This Row],[AREA]],".",Tabla1[[#This Row],[TIPO]]))</f>
        <v/>
      </c>
      <c r="C210" s="14" t="s">
        <v>1060</v>
      </c>
      <c r="D210" s="14" t="s">
        <v>1060</v>
      </c>
      <c r="E210" s="14" t="s">
        <v>1060</v>
      </c>
      <c r="F210" s="14" t="s">
        <v>1060</v>
      </c>
      <c r="G210" s="275"/>
      <c r="H210" s="276"/>
      <c r="I210" s="276"/>
      <c r="J210" s="275"/>
      <c r="K210" s="277"/>
      <c r="L210" s="278">
        <f>+Tabla1[[#This Row],[Precio Unitario]]*Tabla1[[#This Row],[Cantidad de Insumos]]</f>
        <v>0</v>
      </c>
      <c r="M210" s="279"/>
      <c r="N210" s="276"/>
    </row>
    <row r="211" spans="2:14" ht="12.75" x14ac:dyDescent="0.2">
      <c r="B211" s="14" t="str">
        <f>IF(Tabla1[[#This Row],[Código_Actividad]]="","",CONCATENATE(Tabla1[[#This Row],[POA]],".",Tabla1[[#This Row],[SRS]],".",Tabla1[[#This Row],[AREA]],".",Tabla1[[#This Row],[TIPO]]))</f>
        <v/>
      </c>
      <c r="C211" s="14" t="s">
        <v>1060</v>
      </c>
      <c r="D211" s="14" t="s">
        <v>1060</v>
      </c>
      <c r="E211" s="14" t="s">
        <v>1060</v>
      </c>
      <c r="F211" s="14" t="s">
        <v>1060</v>
      </c>
      <c r="G211" s="275"/>
      <c r="H211" s="276"/>
      <c r="I211" s="276"/>
      <c r="J211" s="275"/>
      <c r="K211" s="277"/>
      <c r="L211" s="278">
        <f>+Tabla1[[#This Row],[Precio Unitario]]*Tabla1[[#This Row],[Cantidad de Insumos]]</f>
        <v>0</v>
      </c>
      <c r="M211" s="279"/>
      <c r="N211" s="276"/>
    </row>
    <row r="212" spans="2:14" ht="12.75" x14ac:dyDescent="0.2">
      <c r="B212" s="14" t="str">
        <f>IF(Tabla1[[#This Row],[Código_Actividad]]="","",CONCATENATE(Tabla1[[#This Row],[POA]],".",Tabla1[[#This Row],[SRS]],".",Tabla1[[#This Row],[AREA]],".",Tabla1[[#This Row],[TIPO]]))</f>
        <v/>
      </c>
      <c r="C212" s="14" t="s">
        <v>1060</v>
      </c>
      <c r="D212" s="14" t="s">
        <v>1060</v>
      </c>
      <c r="E212" s="14" t="s">
        <v>1060</v>
      </c>
      <c r="F212" s="14" t="s">
        <v>1060</v>
      </c>
      <c r="G212" s="275"/>
      <c r="H212" s="276"/>
      <c r="I212" s="276"/>
      <c r="J212" s="275"/>
      <c r="K212" s="277"/>
      <c r="L212" s="278">
        <f>+Tabla1[[#This Row],[Precio Unitario]]*Tabla1[[#This Row],[Cantidad de Insumos]]</f>
        <v>0</v>
      </c>
      <c r="M212" s="279"/>
      <c r="N212" s="276"/>
    </row>
    <row r="213" spans="2:14" ht="12.75" x14ac:dyDescent="0.2">
      <c r="B213" s="14" t="str">
        <f>IF(Tabla1[[#This Row],[Código_Actividad]]="","",CONCATENATE(Tabla1[[#This Row],[POA]],".",Tabla1[[#This Row],[SRS]],".",Tabla1[[#This Row],[AREA]],".",Tabla1[[#This Row],[TIPO]]))</f>
        <v/>
      </c>
      <c r="C213" s="14" t="s">
        <v>1060</v>
      </c>
      <c r="D213" s="14" t="s">
        <v>1060</v>
      </c>
      <c r="E213" s="14" t="s">
        <v>1060</v>
      </c>
      <c r="F213" s="14" t="s">
        <v>1060</v>
      </c>
      <c r="G213" s="275"/>
      <c r="H213" s="276"/>
      <c r="I213" s="276"/>
      <c r="J213" s="275"/>
      <c r="K213" s="277"/>
      <c r="L213" s="278">
        <f>+Tabla1[[#This Row],[Precio Unitario]]*Tabla1[[#This Row],[Cantidad de Insumos]]</f>
        <v>0</v>
      </c>
      <c r="M213" s="279"/>
      <c r="N213" s="276"/>
    </row>
    <row r="214" spans="2:14" ht="12.75" x14ac:dyDescent="0.2">
      <c r="B214" s="14" t="str">
        <f>IF(Tabla1[[#This Row],[Código_Actividad]]="","",CONCATENATE(Tabla1[[#This Row],[POA]],".",Tabla1[[#This Row],[SRS]],".",Tabla1[[#This Row],[AREA]],".",Tabla1[[#This Row],[TIPO]]))</f>
        <v/>
      </c>
      <c r="C214" s="14" t="s">
        <v>1060</v>
      </c>
      <c r="D214" s="14" t="s">
        <v>1060</v>
      </c>
      <c r="E214" s="14" t="s">
        <v>1060</v>
      </c>
      <c r="F214" s="14" t="s">
        <v>1060</v>
      </c>
      <c r="G214" s="275"/>
      <c r="H214" s="276"/>
      <c r="I214" s="276"/>
      <c r="J214" s="275"/>
      <c r="K214" s="277"/>
      <c r="L214" s="278">
        <f>+Tabla1[[#This Row],[Precio Unitario]]*Tabla1[[#This Row],[Cantidad de Insumos]]</f>
        <v>0</v>
      </c>
      <c r="M214" s="279"/>
      <c r="N214" s="276"/>
    </row>
    <row r="215" spans="2:14" s="52" customFormat="1" x14ac:dyDescent="0.25">
      <c r="G215" s="267"/>
      <c r="H215" s="267"/>
      <c r="I215" s="267"/>
      <c r="J215" s="267"/>
      <c r="K215" s="280"/>
      <c r="L215" s="267"/>
      <c r="M215" s="267"/>
      <c r="N215" s="267"/>
    </row>
    <row r="216" spans="2:14" s="52" customFormat="1" x14ac:dyDescent="0.25">
      <c r="G216" s="267"/>
      <c r="H216" s="267"/>
      <c r="I216" s="267"/>
      <c r="J216" s="267"/>
      <c r="K216" s="280"/>
      <c r="L216" s="267"/>
      <c r="M216" s="267"/>
      <c r="N216" s="267"/>
    </row>
    <row r="217" spans="2:14" s="52" customFormat="1" x14ac:dyDescent="0.25">
      <c r="G217" s="267"/>
      <c r="H217" s="267"/>
      <c r="I217" s="267"/>
      <c r="J217" s="267"/>
      <c r="K217" s="280"/>
      <c r="L217" s="267"/>
      <c r="M217" s="267"/>
      <c r="N217" s="267"/>
    </row>
    <row r="218" spans="2:14" s="52" customFormat="1" x14ac:dyDescent="0.25">
      <c r="G218" s="267"/>
      <c r="H218" s="267"/>
      <c r="I218" s="267"/>
      <c r="J218" s="267"/>
      <c r="K218" s="280"/>
      <c r="L218" s="267"/>
      <c r="M218" s="267"/>
      <c r="N218" s="267"/>
    </row>
    <row r="219" spans="2:14" s="52" customFormat="1" x14ac:dyDescent="0.25">
      <c r="G219" s="267"/>
      <c r="H219" s="267"/>
      <c r="I219" s="267"/>
      <c r="J219" s="267"/>
      <c r="K219" s="280"/>
      <c r="L219" s="267"/>
      <c r="M219" s="267"/>
      <c r="N219" s="267"/>
    </row>
    <row r="220" spans="2:14" s="52" customFormat="1" x14ac:dyDescent="0.25">
      <c r="G220" s="267"/>
      <c r="H220" s="267"/>
      <c r="I220" s="267"/>
      <c r="J220" s="267"/>
      <c r="K220" s="280"/>
      <c r="L220" s="267"/>
      <c r="M220" s="267"/>
      <c r="N220" s="267"/>
    </row>
    <row r="221" spans="2:14" s="52" customFormat="1" x14ac:dyDescent="0.25">
      <c r="G221" s="267"/>
      <c r="H221" s="267"/>
      <c r="I221" s="267"/>
      <c r="J221" s="267"/>
      <c r="K221" s="280"/>
      <c r="L221" s="267"/>
      <c r="M221" s="267"/>
      <c r="N221" s="267"/>
    </row>
    <row r="222" spans="2:14" s="52" customFormat="1" x14ac:dyDescent="0.25">
      <c r="G222" s="267"/>
      <c r="H222" s="267"/>
      <c r="I222" s="267"/>
      <c r="J222" s="267"/>
      <c r="K222" s="280"/>
      <c r="L222" s="267"/>
      <c r="M222" s="267"/>
      <c r="N222" s="267"/>
    </row>
    <row r="223" spans="2:14" s="52" customFormat="1" x14ac:dyDescent="0.25">
      <c r="G223" s="267"/>
      <c r="H223" s="267"/>
      <c r="I223" s="267"/>
      <c r="J223" s="267"/>
      <c r="K223" s="280"/>
      <c r="L223" s="267"/>
      <c r="M223" s="267"/>
      <c r="N223" s="267"/>
    </row>
    <row r="224" spans="2:14" s="52" customFormat="1" x14ac:dyDescent="0.25">
      <c r="G224" s="267"/>
      <c r="H224" s="267"/>
      <c r="I224" s="267"/>
      <c r="J224" s="267"/>
      <c r="K224" s="280"/>
      <c r="L224" s="267"/>
      <c r="M224" s="267"/>
      <c r="N224" s="267"/>
    </row>
    <row r="225" spans="7:14" s="52" customFormat="1" x14ac:dyDescent="0.25">
      <c r="G225" s="267"/>
      <c r="H225" s="267"/>
      <c r="I225" s="267"/>
      <c r="J225" s="267"/>
      <c r="K225" s="280"/>
      <c r="L225" s="267"/>
      <c r="M225" s="267"/>
      <c r="N225" s="267"/>
    </row>
    <row r="226" spans="7:14" s="52" customFormat="1" x14ac:dyDescent="0.25">
      <c r="G226" s="267"/>
      <c r="H226" s="267"/>
      <c r="I226" s="267"/>
      <c r="J226" s="267"/>
      <c r="K226" s="280"/>
      <c r="L226" s="267"/>
      <c r="M226" s="267"/>
      <c r="N226" s="267"/>
    </row>
    <row r="227" spans="7:14" s="52" customFormat="1" x14ac:dyDescent="0.25">
      <c r="G227" s="267"/>
      <c r="H227" s="267"/>
      <c r="I227" s="267"/>
      <c r="J227" s="267"/>
      <c r="K227" s="280"/>
      <c r="L227" s="267"/>
      <c r="M227" s="267"/>
      <c r="N227" s="267"/>
    </row>
    <row r="228" spans="7:14" s="52" customFormat="1" x14ac:dyDescent="0.25">
      <c r="G228" s="267"/>
      <c r="H228" s="267"/>
      <c r="I228" s="267"/>
      <c r="J228" s="267"/>
      <c r="K228" s="280"/>
      <c r="L228" s="267"/>
      <c r="M228" s="267"/>
      <c r="N228" s="267"/>
    </row>
    <row r="229" spans="7:14" s="52" customFormat="1" x14ac:dyDescent="0.25">
      <c r="G229" s="267"/>
      <c r="H229" s="267"/>
      <c r="I229" s="267"/>
      <c r="J229" s="267"/>
      <c r="K229" s="280"/>
      <c r="L229" s="267"/>
      <c r="M229" s="267"/>
      <c r="N229" s="267"/>
    </row>
    <row r="230" spans="7:14" s="52" customFormat="1" x14ac:dyDescent="0.25">
      <c r="G230" s="267"/>
      <c r="H230" s="267"/>
      <c r="I230" s="267"/>
      <c r="J230" s="267"/>
      <c r="K230" s="280"/>
      <c r="L230" s="267"/>
      <c r="M230" s="267"/>
      <c r="N230" s="267"/>
    </row>
    <row r="231" spans="7:14" s="52" customFormat="1" x14ac:dyDescent="0.25">
      <c r="G231" s="267"/>
      <c r="H231" s="267"/>
      <c r="I231" s="267"/>
      <c r="J231" s="267"/>
      <c r="K231" s="280"/>
      <c r="L231" s="267"/>
      <c r="M231" s="267"/>
      <c r="N231" s="267"/>
    </row>
    <row r="232" spans="7:14" s="52" customFormat="1" x14ac:dyDescent="0.25">
      <c r="G232" s="267"/>
      <c r="H232" s="267"/>
      <c r="I232" s="267"/>
      <c r="J232" s="267"/>
      <c r="K232" s="280"/>
      <c r="L232" s="267"/>
      <c r="M232" s="267"/>
      <c r="N232" s="267"/>
    </row>
    <row r="233" spans="7:14" s="52" customFormat="1" x14ac:dyDescent="0.25">
      <c r="G233" s="267"/>
      <c r="H233" s="267"/>
      <c r="I233" s="267"/>
      <c r="J233" s="267"/>
      <c r="K233" s="280"/>
      <c r="L233" s="267"/>
      <c r="M233" s="267"/>
      <c r="N233" s="267"/>
    </row>
    <row r="234" spans="7:14" s="52" customFormat="1" x14ac:dyDescent="0.25">
      <c r="G234" s="267"/>
      <c r="H234" s="267"/>
      <c r="I234" s="267"/>
      <c r="J234" s="267"/>
      <c r="K234" s="280"/>
      <c r="L234" s="267"/>
      <c r="M234" s="267"/>
      <c r="N234" s="267"/>
    </row>
    <row r="235" spans="7:14" s="52" customFormat="1" x14ac:dyDescent="0.25">
      <c r="G235" s="267"/>
      <c r="H235" s="267"/>
      <c r="I235" s="267"/>
      <c r="J235" s="267"/>
      <c r="K235" s="280"/>
      <c r="L235" s="267"/>
      <c r="M235" s="267"/>
      <c r="N235" s="267"/>
    </row>
    <row r="236" spans="7:14" s="52" customFormat="1" x14ac:dyDescent="0.25">
      <c r="G236" s="267"/>
      <c r="H236" s="267"/>
      <c r="I236" s="267"/>
      <c r="J236" s="267"/>
      <c r="K236" s="280"/>
      <c r="L236" s="267"/>
      <c r="M236" s="267"/>
      <c r="N236" s="267"/>
    </row>
    <row r="237" spans="7:14" s="52" customFormat="1" x14ac:dyDescent="0.25">
      <c r="G237" s="267"/>
      <c r="H237" s="267"/>
      <c r="I237" s="267"/>
      <c r="J237" s="267"/>
      <c r="K237" s="280"/>
      <c r="L237" s="267"/>
      <c r="M237" s="267"/>
      <c r="N237" s="267"/>
    </row>
    <row r="238" spans="7:14" s="52" customFormat="1" x14ac:dyDescent="0.25">
      <c r="G238" s="267"/>
      <c r="H238" s="267"/>
      <c r="I238" s="267"/>
      <c r="J238" s="267"/>
      <c r="K238" s="280"/>
      <c r="L238" s="267"/>
      <c r="M238" s="267"/>
      <c r="N238" s="267"/>
    </row>
    <row r="239" spans="7:14" s="52" customFormat="1" x14ac:dyDescent="0.25">
      <c r="G239" s="267"/>
      <c r="H239" s="267"/>
      <c r="I239" s="267"/>
      <c r="J239" s="267"/>
      <c r="K239" s="280"/>
      <c r="L239" s="267"/>
      <c r="M239" s="267"/>
      <c r="N239" s="267"/>
    </row>
    <row r="240" spans="7:14" s="52" customFormat="1" x14ac:dyDescent="0.25">
      <c r="G240" s="267"/>
      <c r="H240" s="267"/>
      <c r="I240" s="267"/>
      <c r="J240" s="267"/>
      <c r="K240" s="280"/>
      <c r="L240" s="267"/>
      <c r="M240" s="267"/>
      <c r="N240" s="267"/>
    </row>
    <row r="241" spans="7:14" s="52" customFormat="1" x14ac:dyDescent="0.25">
      <c r="G241" s="267"/>
      <c r="H241" s="267"/>
      <c r="I241" s="267"/>
      <c r="J241" s="267"/>
      <c r="K241" s="280"/>
      <c r="L241" s="267"/>
      <c r="M241" s="267"/>
      <c r="N241" s="267"/>
    </row>
    <row r="242" spans="7:14" s="52" customFormat="1" x14ac:dyDescent="0.25">
      <c r="G242" s="267"/>
      <c r="H242" s="267"/>
      <c r="I242" s="267"/>
      <c r="J242" s="267"/>
      <c r="K242" s="280"/>
      <c r="L242" s="267"/>
      <c r="M242" s="267"/>
      <c r="N242" s="267"/>
    </row>
    <row r="243" spans="7:14" s="52" customFormat="1" x14ac:dyDescent="0.25">
      <c r="G243" s="267"/>
      <c r="H243" s="267"/>
      <c r="I243" s="267"/>
      <c r="J243" s="267"/>
      <c r="K243" s="280"/>
      <c r="L243" s="267"/>
      <c r="M243" s="267"/>
      <c r="N243" s="267"/>
    </row>
    <row r="244" spans="7:14" s="52" customFormat="1" x14ac:dyDescent="0.25">
      <c r="G244" s="267"/>
      <c r="H244" s="267"/>
      <c r="I244" s="267"/>
      <c r="J244" s="267"/>
      <c r="K244" s="280"/>
      <c r="L244" s="267"/>
      <c r="M244" s="267"/>
      <c r="N244" s="267"/>
    </row>
    <row r="245" spans="7:14" s="52" customFormat="1" x14ac:dyDescent="0.25">
      <c r="G245" s="267"/>
      <c r="H245" s="267"/>
      <c r="I245" s="267"/>
      <c r="J245" s="267"/>
      <c r="K245" s="280"/>
      <c r="L245" s="267"/>
      <c r="M245" s="267"/>
      <c r="N245" s="267"/>
    </row>
    <row r="246" spans="7:14" s="52" customFormat="1" x14ac:dyDescent="0.25">
      <c r="G246" s="267"/>
      <c r="H246" s="267"/>
      <c r="I246" s="267"/>
      <c r="J246" s="267"/>
      <c r="K246" s="280"/>
      <c r="L246" s="267"/>
      <c r="M246" s="267"/>
      <c r="N246" s="267"/>
    </row>
    <row r="247" spans="7:14" s="52" customFormat="1" x14ac:dyDescent="0.25">
      <c r="G247" s="267"/>
      <c r="H247" s="267"/>
      <c r="I247" s="267"/>
      <c r="J247" s="267"/>
      <c r="K247" s="280"/>
      <c r="L247" s="267"/>
      <c r="M247" s="267"/>
      <c r="N247" s="267"/>
    </row>
    <row r="248" spans="7:14" s="52" customFormat="1" x14ac:dyDescent="0.25">
      <c r="G248" s="267"/>
      <c r="H248" s="267"/>
      <c r="I248" s="267"/>
      <c r="J248" s="267"/>
      <c r="K248" s="280"/>
      <c r="L248" s="267"/>
      <c r="M248" s="267"/>
      <c r="N248" s="267"/>
    </row>
    <row r="249" spans="7:14" s="52" customFormat="1" x14ac:dyDescent="0.25">
      <c r="G249" s="267"/>
      <c r="H249" s="267"/>
      <c r="I249" s="267"/>
      <c r="J249" s="267"/>
      <c r="K249" s="280"/>
      <c r="L249" s="267"/>
      <c r="M249" s="267"/>
      <c r="N249" s="267"/>
    </row>
    <row r="250" spans="7:14" s="52" customFormat="1" x14ac:dyDescent="0.25">
      <c r="G250" s="267"/>
      <c r="H250" s="267"/>
      <c r="I250" s="267"/>
      <c r="J250" s="267"/>
      <c r="K250" s="280"/>
      <c r="L250" s="267"/>
      <c r="M250" s="267"/>
      <c r="N250" s="267"/>
    </row>
    <row r="251" spans="7:14" s="52" customFormat="1" x14ac:dyDescent="0.25">
      <c r="G251" s="267"/>
      <c r="H251" s="267"/>
      <c r="I251" s="267"/>
      <c r="J251" s="267"/>
      <c r="K251" s="280"/>
      <c r="L251" s="267"/>
      <c r="M251" s="267"/>
      <c r="N251" s="267"/>
    </row>
    <row r="252" spans="7:14" s="52" customFormat="1" x14ac:dyDescent="0.25">
      <c r="G252" s="267"/>
      <c r="H252" s="267"/>
      <c r="I252" s="267"/>
      <c r="J252" s="267"/>
      <c r="K252" s="280"/>
      <c r="L252" s="267"/>
      <c r="M252" s="267"/>
      <c r="N252" s="267"/>
    </row>
    <row r="253" spans="7:14" s="52" customFormat="1" x14ac:dyDescent="0.25">
      <c r="G253" s="267"/>
      <c r="H253" s="267"/>
      <c r="I253" s="267"/>
      <c r="J253" s="267"/>
      <c r="K253" s="280"/>
      <c r="L253" s="267"/>
      <c r="M253" s="267"/>
      <c r="N253" s="267"/>
    </row>
    <row r="254" spans="7:14" s="52" customFormat="1" x14ac:dyDescent="0.25">
      <c r="G254" s="267"/>
      <c r="H254" s="267"/>
      <c r="I254" s="267"/>
      <c r="J254" s="267"/>
      <c r="K254" s="280"/>
      <c r="L254" s="267"/>
      <c r="M254" s="267"/>
      <c r="N254" s="267"/>
    </row>
    <row r="255" spans="7:14" s="52" customFormat="1" x14ac:dyDescent="0.25">
      <c r="G255" s="267"/>
      <c r="H255" s="267"/>
      <c r="I255" s="267"/>
      <c r="J255" s="267"/>
      <c r="K255" s="280"/>
      <c r="L255" s="267"/>
      <c r="M255" s="267"/>
      <c r="N255" s="267"/>
    </row>
    <row r="256" spans="7:14" s="52" customFormat="1" x14ac:dyDescent="0.25">
      <c r="G256" s="267"/>
      <c r="H256" s="267"/>
      <c r="I256" s="267"/>
      <c r="J256" s="267"/>
      <c r="K256" s="280"/>
      <c r="L256" s="267"/>
      <c r="M256" s="267"/>
      <c r="N256" s="267"/>
    </row>
    <row r="257" spans="7:14" s="52" customFormat="1" x14ac:dyDescent="0.25">
      <c r="G257" s="267"/>
      <c r="H257" s="267"/>
      <c r="I257" s="267"/>
      <c r="J257" s="267"/>
      <c r="K257" s="280"/>
      <c r="L257" s="267"/>
      <c r="M257" s="267"/>
      <c r="N257" s="267"/>
    </row>
    <row r="258" spans="7:14" s="52" customFormat="1" x14ac:dyDescent="0.25">
      <c r="G258" s="267"/>
      <c r="H258" s="267"/>
      <c r="I258" s="267"/>
      <c r="J258" s="267"/>
      <c r="K258" s="280"/>
      <c r="L258" s="267"/>
      <c r="M258" s="267"/>
      <c r="N258" s="267"/>
    </row>
    <row r="259" spans="7:14" s="52" customFormat="1" x14ac:dyDescent="0.25">
      <c r="G259" s="267"/>
      <c r="H259" s="267"/>
      <c r="I259" s="267"/>
      <c r="J259" s="267"/>
      <c r="K259" s="280"/>
      <c r="L259" s="267"/>
      <c r="M259" s="267"/>
      <c r="N259" s="267"/>
    </row>
    <row r="260" spans="7:14" s="52" customFormat="1" x14ac:dyDescent="0.25">
      <c r="G260" s="267"/>
      <c r="H260" s="267"/>
      <c r="I260" s="267"/>
      <c r="J260" s="267"/>
      <c r="K260" s="280"/>
      <c r="L260" s="267"/>
      <c r="M260" s="267"/>
      <c r="N260" s="267"/>
    </row>
    <row r="261" spans="7:14" s="52" customFormat="1" x14ac:dyDescent="0.25">
      <c r="G261" s="267"/>
      <c r="H261" s="267"/>
      <c r="I261" s="267"/>
      <c r="J261" s="267"/>
      <c r="K261" s="280"/>
      <c r="L261" s="267"/>
      <c r="M261" s="267"/>
      <c r="N261" s="267"/>
    </row>
    <row r="262" spans="7:14" s="52" customFormat="1" x14ac:dyDescent="0.25">
      <c r="G262" s="267"/>
      <c r="H262" s="267"/>
      <c r="I262" s="267"/>
      <c r="J262" s="267"/>
      <c r="K262" s="280"/>
      <c r="L262" s="267"/>
      <c r="M262" s="267"/>
      <c r="N262" s="267"/>
    </row>
    <row r="263" spans="7:14" s="52" customFormat="1" x14ac:dyDescent="0.25">
      <c r="G263" s="267"/>
      <c r="H263" s="267"/>
      <c r="I263" s="267"/>
      <c r="J263" s="267"/>
      <c r="K263" s="280"/>
      <c r="L263" s="267"/>
      <c r="M263" s="267"/>
      <c r="N263" s="267"/>
    </row>
    <row r="264" spans="7:14" s="52" customFormat="1" x14ac:dyDescent="0.25">
      <c r="G264" s="267"/>
      <c r="H264" s="267"/>
      <c r="I264" s="267"/>
      <c r="J264" s="267"/>
      <c r="K264" s="280"/>
      <c r="L264" s="267"/>
      <c r="M264" s="267"/>
      <c r="N264" s="267"/>
    </row>
    <row r="265" spans="7:14" s="52" customFormat="1" x14ac:dyDescent="0.25">
      <c r="G265" s="267"/>
      <c r="H265" s="267"/>
      <c r="I265" s="267"/>
      <c r="J265" s="267"/>
      <c r="K265" s="280"/>
      <c r="L265" s="267"/>
      <c r="M265" s="267"/>
      <c r="N265" s="267"/>
    </row>
    <row r="266" spans="7:14" s="52" customFormat="1" x14ac:dyDescent="0.25">
      <c r="G266" s="267"/>
      <c r="H266" s="267"/>
      <c r="I266" s="267"/>
      <c r="J266" s="267"/>
      <c r="K266" s="280"/>
      <c r="L266" s="267"/>
      <c r="M266" s="267"/>
      <c r="N266" s="267"/>
    </row>
    <row r="267" spans="7:14" s="52" customFormat="1" x14ac:dyDescent="0.25">
      <c r="G267" s="267"/>
      <c r="H267" s="267"/>
      <c r="I267" s="267"/>
      <c r="J267" s="267"/>
      <c r="K267" s="280"/>
      <c r="L267" s="267"/>
      <c r="M267" s="267"/>
      <c r="N267" s="267"/>
    </row>
    <row r="268" spans="7:14" s="52" customFormat="1" x14ac:dyDescent="0.25">
      <c r="G268" s="267"/>
      <c r="H268" s="267"/>
      <c r="I268" s="267"/>
      <c r="J268" s="267"/>
      <c r="K268" s="280"/>
      <c r="L268" s="267"/>
      <c r="M268" s="267"/>
      <c r="N268" s="267"/>
    </row>
    <row r="269" spans="7:14" s="52" customFormat="1" x14ac:dyDescent="0.25">
      <c r="G269" s="267"/>
      <c r="H269" s="267"/>
      <c r="I269" s="267"/>
      <c r="J269" s="267"/>
      <c r="K269" s="280"/>
      <c r="L269" s="267"/>
      <c r="M269" s="267"/>
      <c r="N269" s="267"/>
    </row>
    <row r="270" spans="7:14" s="52" customFormat="1" x14ac:dyDescent="0.25">
      <c r="G270" s="267"/>
      <c r="H270" s="267"/>
      <c r="I270" s="267"/>
      <c r="J270" s="267"/>
      <c r="K270" s="280"/>
      <c r="L270" s="267"/>
      <c r="M270" s="267"/>
      <c r="N270" s="267"/>
    </row>
    <row r="271" spans="7:14" s="52" customFormat="1" x14ac:dyDescent="0.25">
      <c r="G271" s="267"/>
      <c r="H271" s="267"/>
      <c r="I271" s="267"/>
      <c r="J271" s="267"/>
      <c r="K271" s="280"/>
      <c r="L271" s="267"/>
      <c r="M271" s="267"/>
      <c r="N271" s="267"/>
    </row>
    <row r="272" spans="7:14" s="52" customFormat="1" x14ac:dyDescent="0.25">
      <c r="G272" s="267"/>
      <c r="H272" s="267"/>
      <c r="I272" s="267"/>
      <c r="J272" s="267"/>
      <c r="K272" s="280"/>
      <c r="L272" s="267"/>
      <c r="M272" s="267"/>
      <c r="N272" s="267"/>
    </row>
    <row r="273" spans="7:14" s="52" customFormat="1" x14ac:dyDescent="0.25">
      <c r="G273" s="267"/>
      <c r="H273" s="267"/>
      <c r="I273" s="267"/>
      <c r="J273" s="267"/>
      <c r="K273" s="280"/>
      <c r="L273" s="267"/>
      <c r="M273" s="267"/>
      <c r="N273" s="267"/>
    </row>
    <row r="274" spans="7:14" s="52" customFormat="1" x14ac:dyDescent="0.25">
      <c r="G274" s="267"/>
      <c r="H274" s="267"/>
      <c r="I274" s="267"/>
      <c r="J274" s="267"/>
      <c r="K274" s="280"/>
      <c r="L274" s="267"/>
      <c r="M274" s="267"/>
      <c r="N274" s="267"/>
    </row>
    <row r="275" spans="7:14" s="52" customFormat="1" x14ac:dyDescent="0.25">
      <c r="G275" s="267"/>
      <c r="H275" s="267"/>
      <c r="I275" s="267"/>
      <c r="J275" s="267"/>
      <c r="K275" s="280"/>
      <c r="L275" s="267"/>
      <c r="M275" s="267"/>
      <c r="N275" s="267"/>
    </row>
    <row r="276" spans="7:14" s="52" customFormat="1" x14ac:dyDescent="0.25">
      <c r="G276" s="267"/>
      <c r="H276" s="267"/>
      <c r="I276" s="267"/>
      <c r="J276" s="267"/>
      <c r="K276" s="280"/>
      <c r="L276" s="267"/>
      <c r="M276" s="267"/>
      <c r="N276" s="267"/>
    </row>
    <row r="277" spans="7:14" s="52" customFormat="1" x14ac:dyDescent="0.25">
      <c r="G277" s="267"/>
      <c r="H277" s="267"/>
      <c r="I277" s="267"/>
      <c r="J277" s="267"/>
      <c r="K277" s="280"/>
      <c r="L277" s="267"/>
      <c r="M277" s="267"/>
      <c r="N277" s="267"/>
    </row>
    <row r="278" spans="7:14" s="52" customFormat="1" x14ac:dyDescent="0.25">
      <c r="G278" s="267"/>
      <c r="H278" s="267"/>
      <c r="I278" s="267"/>
      <c r="J278" s="267"/>
      <c r="K278" s="280"/>
      <c r="L278" s="267"/>
      <c r="M278" s="267"/>
      <c r="N278" s="267"/>
    </row>
    <row r="279" spans="7:14" s="52" customFormat="1" x14ac:dyDescent="0.25">
      <c r="G279" s="267"/>
      <c r="H279" s="267"/>
      <c r="I279" s="267"/>
      <c r="J279" s="267"/>
      <c r="K279" s="280"/>
      <c r="L279" s="267"/>
      <c r="M279" s="267"/>
      <c r="N279" s="267"/>
    </row>
    <row r="280" spans="7:14" s="52" customFormat="1" x14ac:dyDescent="0.25">
      <c r="G280" s="267"/>
      <c r="H280" s="267"/>
      <c r="I280" s="267"/>
      <c r="J280" s="267"/>
      <c r="K280" s="280"/>
      <c r="L280" s="267"/>
      <c r="M280" s="267"/>
      <c r="N280" s="267"/>
    </row>
    <row r="281" spans="7:14" s="52" customFormat="1" x14ac:dyDescent="0.25">
      <c r="G281" s="267"/>
      <c r="H281" s="267"/>
      <c r="I281" s="267"/>
      <c r="J281" s="267"/>
      <c r="K281" s="280"/>
      <c r="L281" s="267"/>
      <c r="M281" s="267"/>
      <c r="N281" s="267"/>
    </row>
    <row r="282" spans="7:14" s="52" customFormat="1" x14ac:dyDescent="0.25">
      <c r="G282" s="267"/>
      <c r="H282" s="267"/>
      <c r="I282" s="267"/>
      <c r="J282" s="267"/>
      <c r="K282" s="280"/>
      <c r="L282" s="267"/>
      <c r="M282" s="267"/>
      <c r="N282" s="267"/>
    </row>
    <row r="283" spans="7:14" s="52" customFormat="1" x14ac:dyDescent="0.25">
      <c r="G283" s="267"/>
      <c r="H283" s="267"/>
      <c r="I283" s="267"/>
      <c r="J283" s="267"/>
      <c r="K283" s="280"/>
      <c r="L283" s="267"/>
      <c r="M283" s="267"/>
      <c r="N283" s="267"/>
    </row>
    <row r="284" spans="7:14" s="52" customFormat="1" x14ac:dyDescent="0.25">
      <c r="G284" s="267"/>
      <c r="H284" s="267"/>
      <c r="I284" s="267"/>
      <c r="J284" s="267"/>
      <c r="K284" s="280"/>
      <c r="L284" s="267"/>
      <c r="M284" s="267"/>
      <c r="N284" s="267"/>
    </row>
    <row r="285" spans="7:14" s="52" customFormat="1" x14ac:dyDescent="0.25">
      <c r="G285" s="267"/>
      <c r="H285" s="267"/>
      <c r="I285" s="267"/>
      <c r="J285" s="267"/>
      <c r="K285" s="280"/>
      <c r="L285" s="267"/>
      <c r="M285" s="267"/>
      <c r="N285" s="267"/>
    </row>
    <row r="286" spans="7:14" s="52" customFormat="1" x14ac:dyDescent="0.25">
      <c r="G286" s="267"/>
      <c r="H286" s="267"/>
      <c r="I286" s="267"/>
      <c r="J286" s="267"/>
      <c r="K286" s="280"/>
      <c r="L286" s="267"/>
      <c r="M286" s="267"/>
      <c r="N286" s="267"/>
    </row>
    <row r="287" spans="7:14" s="52" customFormat="1" x14ac:dyDescent="0.25">
      <c r="G287" s="267"/>
      <c r="H287" s="267"/>
      <c r="I287" s="267"/>
      <c r="J287" s="267"/>
      <c r="K287" s="280"/>
      <c r="L287" s="267"/>
      <c r="M287" s="267"/>
      <c r="N287" s="267"/>
    </row>
    <row r="288" spans="7:14" s="52" customFormat="1" x14ac:dyDescent="0.25">
      <c r="G288" s="267"/>
      <c r="H288" s="267"/>
      <c r="I288" s="267"/>
      <c r="J288" s="267"/>
      <c r="K288" s="280"/>
      <c r="L288" s="267"/>
      <c r="M288" s="267"/>
      <c r="N288" s="267"/>
    </row>
    <row r="289" spans="7:14" s="52" customFormat="1" x14ac:dyDescent="0.25">
      <c r="G289" s="267"/>
      <c r="H289" s="267"/>
      <c r="I289" s="267"/>
      <c r="J289" s="267"/>
      <c r="K289" s="280"/>
      <c r="L289" s="267"/>
      <c r="M289" s="267"/>
      <c r="N289" s="267"/>
    </row>
    <row r="290" spans="7:14" s="52" customFormat="1" x14ac:dyDescent="0.25">
      <c r="G290" s="267"/>
      <c r="H290" s="267"/>
      <c r="I290" s="267"/>
      <c r="J290" s="267"/>
      <c r="K290" s="280"/>
      <c r="L290" s="267"/>
      <c r="M290" s="267"/>
      <c r="N290" s="267"/>
    </row>
    <row r="291" spans="7:14" s="52" customFormat="1" x14ac:dyDescent="0.25">
      <c r="G291" s="267"/>
      <c r="H291" s="267"/>
      <c r="I291" s="267"/>
      <c r="J291" s="267"/>
      <c r="K291" s="280"/>
      <c r="L291" s="267"/>
      <c r="M291" s="267"/>
      <c r="N291" s="267"/>
    </row>
    <row r="292" spans="7:14" s="52" customFormat="1" x14ac:dyDescent="0.25">
      <c r="G292" s="267"/>
      <c r="H292" s="267"/>
      <c r="I292" s="267"/>
      <c r="J292" s="267"/>
      <c r="K292" s="280"/>
      <c r="L292" s="267"/>
      <c r="M292" s="267"/>
      <c r="N292" s="267"/>
    </row>
    <row r="293" spans="7:14" s="52" customFormat="1" x14ac:dyDescent="0.25">
      <c r="G293" s="267"/>
      <c r="H293" s="267"/>
      <c r="I293" s="267"/>
      <c r="J293" s="267"/>
      <c r="K293" s="280"/>
      <c r="L293" s="267"/>
      <c r="M293" s="267"/>
      <c r="N293" s="267"/>
    </row>
    <row r="294" spans="7:14" s="52" customFormat="1" x14ac:dyDescent="0.25">
      <c r="G294" s="267"/>
      <c r="H294" s="267"/>
      <c r="I294" s="267"/>
      <c r="J294" s="267"/>
      <c r="K294" s="280"/>
      <c r="L294" s="267"/>
      <c r="M294" s="267"/>
      <c r="N294" s="267"/>
    </row>
    <row r="295" spans="7:14" s="52" customFormat="1" x14ac:dyDescent="0.25">
      <c r="G295" s="267"/>
      <c r="H295" s="267"/>
      <c r="I295" s="267"/>
      <c r="J295" s="267"/>
      <c r="K295" s="280"/>
      <c r="L295" s="267"/>
      <c r="M295" s="267"/>
      <c r="N295" s="267"/>
    </row>
    <row r="296" spans="7:14" s="52" customFormat="1" x14ac:dyDescent="0.25">
      <c r="G296" s="267"/>
      <c r="H296" s="267"/>
      <c r="I296" s="267"/>
      <c r="J296" s="267"/>
      <c r="K296" s="280"/>
      <c r="L296" s="267"/>
      <c r="M296" s="267"/>
      <c r="N296" s="267"/>
    </row>
    <row r="297" spans="7:14" s="52" customFormat="1" x14ac:dyDescent="0.25">
      <c r="G297" s="267"/>
      <c r="H297" s="267"/>
      <c r="I297" s="267"/>
      <c r="J297" s="267"/>
      <c r="K297" s="280"/>
      <c r="L297" s="267"/>
      <c r="M297" s="267"/>
      <c r="N297" s="267"/>
    </row>
    <row r="298" spans="7:14" s="52" customFormat="1" x14ac:dyDescent="0.25">
      <c r="G298" s="267"/>
      <c r="H298" s="267"/>
      <c r="I298" s="267"/>
      <c r="J298" s="267"/>
      <c r="K298" s="280"/>
      <c r="L298" s="267"/>
      <c r="M298" s="267"/>
      <c r="N298" s="267"/>
    </row>
    <row r="299" spans="7:14" s="52" customFormat="1" x14ac:dyDescent="0.25">
      <c r="G299" s="267"/>
      <c r="H299" s="267"/>
      <c r="I299" s="267"/>
      <c r="J299" s="267"/>
      <c r="K299" s="280"/>
      <c r="L299" s="267"/>
      <c r="M299" s="267"/>
      <c r="N299" s="267"/>
    </row>
    <row r="300" spans="7:14" s="52" customFormat="1" x14ac:dyDescent="0.25">
      <c r="G300" s="267"/>
      <c r="H300" s="267"/>
      <c r="I300" s="267"/>
      <c r="J300" s="267"/>
      <c r="K300" s="280"/>
      <c r="L300" s="267"/>
      <c r="M300" s="267"/>
      <c r="N300" s="267"/>
    </row>
    <row r="301" spans="7:14" s="52" customFormat="1" x14ac:dyDescent="0.25">
      <c r="G301" s="267"/>
      <c r="H301" s="267"/>
      <c r="I301" s="267"/>
      <c r="J301" s="267"/>
      <c r="K301" s="280"/>
      <c r="L301" s="267"/>
      <c r="M301" s="267"/>
      <c r="N301" s="267"/>
    </row>
    <row r="302" spans="7:14" s="52" customFormat="1" x14ac:dyDescent="0.25">
      <c r="G302" s="267"/>
      <c r="H302" s="267"/>
      <c r="I302" s="267"/>
      <c r="J302" s="267"/>
      <c r="K302" s="280"/>
      <c r="L302" s="267"/>
      <c r="M302" s="267"/>
      <c r="N302" s="267"/>
    </row>
    <row r="303" spans="7:14" s="52" customFormat="1" x14ac:dyDescent="0.25">
      <c r="G303" s="267"/>
      <c r="H303" s="267"/>
      <c r="I303" s="267"/>
      <c r="J303" s="267"/>
      <c r="K303" s="280"/>
      <c r="L303" s="267"/>
      <c r="M303" s="267"/>
      <c r="N303" s="267"/>
    </row>
    <row r="304" spans="7:14" s="52" customFormat="1" x14ac:dyDescent="0.25">
      <c r="G304" s="267"/>
      <c r="H304" s="267"/>
      <c r="I304" s="267"/>
      <c r="J304" s="267"/>
      <c r="K304" s="280"/>
      <c r="L304" s="267"/>
      <c r="M304" s="267"/>
      <c r="N304" s="267"/>
    </row>
    <row r="305" spans="7:14" s="52" customFormat="1" x14ac:dyDescent="0.25">
      <c r="G305" s="267"/>
      <c r="H305" s="267"/>
      <c r="I305" s="267"/>
      <c r="J305" s="267"/>
      <c r="K305" s="280"/>
      <c r="L305" s="267"/>
      <c r="M305" s="267"/>
      <c r="N305" s="267"/>
    </row>
    <row r="306" spans="7:14" s="52" customFormat="1" x14ac:dyDescent="0.25">
      <c r="G306" s="267"/>
      <c r="H306" s="267"/>
      <c r="I306" s="267"/>
      <c r="J306" s="267"/>
      <c r="K306" s="280"/>
      <c r="L306" s="267"/>
      <c r="M306" s="267"/>
      <c r="N306" s="267"/>
    </row>
    <row r="307" spans="7:14" s="52" customFormat="1" x14ac:dyDescent="0.25">
      <c r="G307" s="267"/>
      <c r="H307" s="267"/>
      <c r="I307" s="267"/>
      <c r="J307" s="267"/>
      <c r="K307" s="280"/>
      <c r="L307" s="267"/>
      <c r="M307" s="267"/>
      <c r="N307" s="267"/>
    </row>
    <row r="308" spans="7:14" s="52" customFormat="1" x14ac:dyDescent="0.25">
      <c r="G308" s="267"/>
      <c r="H308" s="267"/>
      <c r="I308" s="267"/>
      <c r="J308" s="267"/>
      <c r="K308" s="280"/>
      <c r="L308" s="267"/>
      <c r="M308" s="267"/>
      <c r="N308" s="267"/>
    </row>
    <row r="309" spans="7:14" s="52" customFormat="1" x14ac:dyDescent="0.25">
      <c r="G309" s="267"/>
      <c r="H309" s="267"/>
      <c r="I309" s="267"/>
      <c r="J309" s="267"/>
      <c r="K309" s="280"/>
      <c r="L309" s="267"/>
      <c r="M309" s="267"/>
      <c r="N309" s="267"/>
    </row>
    <row r="310" spans="7:14" s="52" customFormat="1" x14ac:dyDescent="0.25">
      <c r="G310" s="267"/>
      <c r="H310" s="267"/>
      <c r="I310" s="267"/>
      <c r="J310" s="267"/>
      <c r="K310" s="280"/>
      <c r="L310" s="267"/>
      <c r="M310" s="267"/>
      <c r="N310" s="267"/>
    </row>
    <row r="311" spans="7:14" s="52" customFormat="1" x14ac:dyDescent="0.25">
      <c r="G311" s="267"/>
      <c r="H311" s="267"/>
      <c r="I311" s="267"/>
      <c r="J311" s="267"/>
      <c r="K311" s="280"/>
      <c r="L311" s="267"/>
      <c r="M311" s="267"/>
      <c r="N311" s="267"/>
    </row>
    <row r="312" spans="7:14" s="52" customFormat="1" x14ac:dyDescent="0.25">
      <c r="G312" s="267"/>
      <c r="H312" s="267"/>
      <c r="I312" s="267"/>
      <c r="J312" s="267"/>
      <c r="K312" s="280"/>
      <c r="L312" s="267"/>
      <c r="M312" s="267"/>
      <c r="N312" s="267"/>
    </row>
    <row r="313" spans="7:14" s="52" customFormat="1" x14ac:dyDescent="0.25">
      <c r="G313" s="267"/>
      <c r="H313" s="267"/>
      <c r="I313" s="267"/>
      <c r="J313" s="267"/>
      <c r="K313" s="280"/>
      <c r="L313" s="267"/>
      <c r="M313" s="267"/>
      <c r="N313" s="267"/>
    </row>
    <row r="314" spans="7:14" s="52" customFormat="1" x14ac:dyDescent="0.25">
      <c r="G314" s="267"/>
      <c r="H314" s="267"/>
      <c r="I314" s="267"/>
      <c r="J314" s="267"/>
      <c r="K314" s="280"/>
      <c r="L314" s="267"/>
      <c r="M314" s="267"/>
      <c r="N314" s="267"/>
    </row>
    <row r="315" spans="7:14" s="52" customFormat="1" x14ac:dyDescent="0.25">
      <c r="G315" s="267"/>
      <c r="H315" s="267"/>
      <c r="I315" s="267"/>
      <c r="J315" s="267"/>
      <c r="K315" s="280"/>
      <c r="L315" s="267"/>
      <c r="M315" s="267"/>
      <c r="N315" s="267"/>
    </row>
    <row r="316" spans="7:14" s="52" customFormat="1" x14ac:dyDescent="0.25">
      <c r="G316" s="267"/>
      <c r="H316" s="267"/>
      <c r="I316" s="267"/>
      <c r="J316" s="267"/>
      <c r="K316" s="280"/>
      <c r="L316" s="267"/>
      <c r="M316" s="267"/>
      <c r="N316" s="267"/>
    </row>
    <row r="317" spans="7:14" s="52" customFormat="1" x14ac:dyDescent="0.25">
      <c r="G317" s="267"/>
      <c r="H317" s="267"/>
      <c r="I317" s="267"/>
      <c r="J317" s="267"/>
      <c r="K317" s="280"/>
      <c r="L317" s="267"/>
      <c r="M317" s="267"/>
      <c r="N317" s="267"/>
    </row>
    <row r="318" spans="7:14" s="52" customFormat="1" x14ac:dyDescent="0.25">
      <c r="G318" s="267"/>
      <c r="H318" s="267"/>
      <c r="I318" s="267"/>
      <c r="J318" s="267"/>
      <c r="K318" s="280"/>
      <c r="L318" s="267"/>
      <c r="M318" s="267"/>
      <c r="N318" s="267"/>
    </row>
    <row r="319" spans="7:14" s="52" customFormat="1" x14ac:dyDescent="0.25">
      <c r="G319" s="267"/>
      <c r="H319" s="267"/>
      <c r="I319" s="267"/>
      <c r="J319" s="267"/>
      <c r="K319" s="280"/>
      <c r="L319" s="267"/>
      <c r="M319" s="267"/>
      <c r="N319" s="267"/>
    </row>
    <row r="320" spans="7:14" s="52" customFormat="1" x14ac:dyDescent="0.25">
      <c r="G320" s="267"/>
      <c r="H320" s="267"/>
      <c r="I320" s="267"/>
      <c r="J320" s="267"/>
      <c r="K320" s="280"/>
      <c r="L320" s="267"/>
      <c r="M320" s="267"/>
      <c r="N320" s="267"/>
    </row>
    <row r="321" spans="7:14" s="52" customFormat="1" x14ac:dyDescent="0.25">
      <c r="G321" s="267"/>
      <c r="H321" s="267"/>
      <c r="I321" s="267"/>
      <c r="J321" s="267"/>
      <c r="K321" s="280"/>
      <c r="L321" s="267"/>
      <c r="M321" s="267"/>
      <c r="N321" s="267"/>
    </row>
    <row r="322" spans="7:14" s="52" customFormat="1" x14ac:dyDescent="0.25">
      <c r="G322" s="267"/>
      <c r="H322" s="267"/>
      <c r="I322" s="267"/>
      <c r="J322" s="267"/>
      <c r="K322" s="280"/>
      <c r="L322" s="267"/>
      <c r="M322" s="267"/>
      <c r="N322" s="267"/>
    </row>
    <row r="323" spans="7:14" s="52" customFormat="1" x14ac:dyDescent="0.25">
      <c r="G323" s="267"/>
      <c r="H323" s="267"/>
      <c r="I323" s="267"/>
      <c r="J323" s="267"/>
      <c r="K323" s="280"/>
      <c r="L323" s="267"/>
      <c r="M323" s="267"/>
      <c r="N323" s="267"/>
    </row>
    <row r="324" spans="7:14" s="52" customFormat="1" x14ac:dyDescent="0.25">
      <c r="G324" s="267"/>
      <c r="H324" s="267"/>
      <c r="I324" s="267"/>
      <c r="J324" s="267"/>
      <c r="K324" s="280"/>
      <c r="L324" s="267"/>
      <c r="M324" s="267"/>
      <c r="N324" s="267"/>
    </row>
    <row r="325" spans="7:14" s="52" customFormat="1" x14ac:dyDescent="0.25">
      <c r="G325" s="267"/>
      <c r="H325" s="267"/>
      <c r="I325" s="267"/>
      <c r="J325" s="267"/>
      <c r="K325" s="280"/>
      <c r="L325" s="267"/>
      <c r="M325" s="267"/>
      <c r="N325" s="267"/>
    </row>
    <row r="326" spans="7:14" s="52" customFormat="1" x14ac:dyDescent="0.25">
      <c r="G326" s="267"/>
      <c r="H326" s="267"/>
      <c r="I326" s="267"/>
      <c r="J326" s="267"/>
      <c r="K326" s="280"/>
      <c r="L326" s="267"/>
      <c r="M326" s="267"/>
      <c r="N326" s="267"/>
    </row>
    <row r="327" spans="7:14" s="52" customFormat="1" x14ac:dyDescent="0.25">
      <c r="G327" s="267"/>
      <c r="H327" s="267"/>
      <c r="I327" s="267"/>
      <c r="J327" s="267"/>
      <c r="K327" s="280"/>
      <c r="L327" s="267"/>
      <c r="M327" s="267"/>
      <c r="N327" s="267"/>
    </row>
    <row r="328" spans="7:14" s="52" customFormat="1" x14ac:dyDescent="0.25">
      <c r="G328" s="267"/>
      <c r="H328" s="267"/>
      <c r="I328" s="267"/>
      <c r="J328" s="267"/>
      <c r="K328" s="280"/>
      <c r="L328" s="267"/>
      <c r="M328" s="267"/>
      <c r="N328" s="267"/>
    </row>
    <row r="329" spans="7:14" s="52" customFormat="1" x14ac:dyDescent="0.25">
      <c r="G329" s="267"/>
      <c r="H329" s="267"/>
      <c r="I329" s="267"/>
      <c r="J329" s="267"/>
      <c r="K329" s="280"/>
      <c r="L329" s="267"/>
      <c r="M329" s="267"/>
      <c r="N329" s="267"/>
    </row>
    <row r="330" spans="7:14" s="52" customFormat="1" x14ac:dyDescent="0.25">
      <c r="G330" s="267"/>
      <c r="H330" s="267"/>
      <c r="I330" s="267"/>
      <c r="J330" s="267"/>
      <c r="K330" s="280"/>
      <c r="L330" s="267"/>
      <c r="M330" s="267"/>
      <c r="N330" s="267"/>
    </row>
    <row r="331" spans="7:14" s="52" customFormat="1" x14ac:dyDescent="0.25">
      <c r="G331" s="267"/>
      <c r="H331" s="267"/>
      <c r="I331" s="267"/>
      <c r="J331" s="267"/>
      <c r="K331" s="280"/>
      <c r="L331" s="267"/>
      <c r="M331" s="267"/>
      <c r="N331" s="267"/>
    </row>
    <row r="332" spans="7:14" s="52" customFormat="1" x14ac:dyDescent="0.25">
      <c r="G332" s="267"/>
      <c r="H332" s="267"/>
      <c r="I332" s="267"/>
      <c r="J332" s="267"/>
      <c r="K332" s="280"/>
      <c r="L332" s="267"/>
      <c r="M332" s="267"/>
      <c r="N332" s="267"/>
    </row>
    <row r="333" spans="7:14" s="52" customFormat="1" x14ac:dyDescent="0.25">
      <c r="G333" s="267"/>
      <c r="H333" s="267"/>
      <c r="I333" s="267"/>
      <c r="J333" s="267"/>
      <c r="K333" s="280"/>
      <c r="L333" s="267"/>
      <c r="M333" s="267"/>
      <c r="N333" s="267"/>
    </row>
    <row r="334" spans="7:14" s="52" customFormat="1" x14ac:dyDescent="0.25">
      <c r="G334" s="267"/>
      <c r="H334" s="267"/>
      <c r="I334" s="267"/>
      <c r="J334" s="267"/>
      <c r="K334" s="280"/>
      <c r="L334" s="267"/>
      <c r="M334" s="267"/>
      <c r="N334" s="267"/>
    </row>
    <row r="335" spans="7:14" s="52" customFormat="1" x14ac:dyDescent="0.25">
      <c r="G335" s="267"/>
      <c r="H335" s="267"/>
      <c r="I335" s="267"/>
      <c r="J335" s="267"/>
      <c r="K335" s="280"/>
      <c r="L335" s="267"/>
      <c r="M335" s="267"/>
      <c r="N335" s="267"/>
    </row>
    <row r="336" spans="7:14" s="52" customFormat="1" x14ac:dyDescent="0.25">
      <c r="G336" s="267"/>
      <c r="H336" s="267"/>
      <c r="I336" s="267"/>
      <c r="J336" s="267"/>
      <c r="K336" s="280"/>
      <c r="L336" s="267"/>
      <c r="M336" s="267"/>
      <c r="N336" s="267"/>
    </row>
    <row r="337" spans="7:14" s="52" customFormat="1" x14ac:dyDescent="0.25">
      <c r="G337" s="267"/>
      <c r="H337" s="267"/>
      <c r="I337" s="267"/>
      <c r="J337" s="267"/>
      <c r="K337" s="280"/>
      <c r="L337" s="267"/>
      <c r="M337" s="267"/>
      <c r="N337" s="267"/>
    </row>
    <row r="338" spans="7:14" s="52" customFormat="1" x14ac:dyDescent="0.25">
      <c r="G338" s="267"/>
      <c r="H338" s="267"/>
      <c r="I338" s="267"/>
      <c r="J338" s="267"/>
      <c r="K338" s="280"/>
      <c r="L338" s="267"/>
      <c r="M338" s="267"/>
      <c r="N338" s="267"/>
    </row>
    <row r="339" spans="7:14" s="52" customFormat="1" x14ac:dyDescent="0.25">
      <c r="G339" s="267"/>
      <c r="H339" s="267"/>
      <c r="I339" s="267"/>
      <c r="J339" s="267"/>
      <c r="K339" s="280"/>
      <c r="L339" s="267"/>
      <c r="M339" s="267"/>
      <c r="N339" s="267"/>
    </row>
    <row r="340" spans="7:14" s="52" customFormat="1" x14ac:dyDescent="0.25">
      <c r="G340" s="267"/>
      <c r="H340" s="267"/>
      <c r="I340" s="267"/>
      <c r="J340" s="267"/>
      <c r="K340" s="280"/>
      <c r="L340" s="267"/>
      <c r="M340" s="267"/>
      <c r="N340" s="267"/>
    </row>
    <row r="341" spans="7:14" s="52" customFormat="1" x14ac:dyDescent="0.25">
      <c r="G341" s="267"/>
      <c r="H341" s="267"/>
      <c r="I341" s="267"/>
      <c r="J341" s="267"/>
      <c r="K341" s="280"/>
      <c r="L341" s="267"/>
      <c r="M341" s="267"/>
      <c r="N341" s="267"/>
    </row>
    <row r="342" spans="7:14" s="52" customFormat="1" x14ac:dyDescent="0.25">
      <c r="G342" s="267"/>
      <c r="H342" s="267"/>
      <c r="I342" s="267"/>
      <c r="J342" s="267"/>
      <c r="K342" s="280"/>
      <c r="L342" s="267"/>
      <c r="M342" s="267"/>
      <c r="N342" s="267"/>
    </row>
    <row r="343" spans="7:14" s="52" customFormat="1" x14ac:dyDescent="0.25">
      <c r="G343" s="267"/>
      <c r="H343" s="267"/>
      <c r="I343" s="267"/>
      <c r="J343" s="267"/>
      <c r="K343" s="280"/>
      <c r="L343" s="267"/>
      <c r="M343" s="267"/>
      <c r="N343" s="267"/>
    </row>
    <row r="344" spans="7:14" s="52" customFormat="1" x14ac:dyDescent="0.25">
      <c r="G344" s="267"/>
      <c r="H344" s="267"/>
      <c r="I344" s="267"/>
      <c r="J344" s="267"/>
      <c r="K344" s="280"/>
      <c r="L344" s="267"/>
      <c r="M344" s="267"/>
      <c r="N344" s="267"/>
    </row>
    <row r="345" spans="7:14" s="52" customFormat="1" x14ac:dyDescent="0.25">
      <c r="G345" s="267"/>
      <c r="H345" s="267"/>
      <c r="I345" s="267"/>
      <c r="J345" s="267"/>
      <c r="K345" s="280"/>
      <c r="L345" s="267"/>
      <c r="M345" s="267"/>
      <c r="N345" s="267"/>
    </row>
    <row r="346" spans="7:14" s="52" customFormat="1" x14ac:dyDescent="0.25">
      <c r="G346" s="267"/>
      <c r="H346" s="267"/>
      <c r="I346" s="267"/>
      <c r="J346" s="267"/>
      <c r="K346" s="280"/>
      <c r="L346" s="267"/>
      <c r="M346" s="267"/>
      <c r="N346" s="267"/>
    </row>
    <row r="347" spans="7:14" s="52" customFormat="1" x14ac:dyDescent="0.25">
      <c r="G347" s="267"/>
      <c r="H347" s="267"/>
      <c r="I347" s="267"/>
      <c r="J347" s="267"/>
      <c r="K347" s="280"/>
      <c r="L347" s="267"/>
      <c r="M347" s="267"/>
      <c r="N347" s="267"/>
    </row>
    <row r="348" spans="7:14" s="52" customFormat="1" x14ac:dyDescent="0.25">
      <c r="G348" s="267"/>
      <c r="H348" s="267"/>
      <c r="I348" s="267"/>
      <c r="J348" s="267"/>
      <c r="K348" s="280"/>
      <c r="L348" s="267"/>
      <c r="M348" s="267"/>
      <c r="N348" s="267"/>
    </row>
    <row r="349" spans="7:14" s="52" customFormat="1" x14ac:dyDescent="0.25">
      <c r="G349" s="267"/>
      <c r="H349" s="267"/>
      <c r="I349" s="267"/>
      <c r="J349" s="267"/>
      <c r="K349" s="280"/>
      <c r="L349" s="267"/>
      <c r="M349" s="267"/>
      <c r="N349" s="267"/>
    </row>
    <row r="350" spans="7:14" s="52" customFormat="1" x14ac:dyDescent="0.25">
      <c r="G350" s="267"/>
      <c r="H350" s="267"/>
      <c r="I350" s="267"/>
      <c r="J350" s="267"/>
      <c r="K350" s="280"/>
      <c r="L350" s="267"/>
      <c r="M350" s="267"/>
      <c r="N350" s="267"/>
    </row>
    <row r="351" spans="7:14" s="52" customFormat="1" x14ac:dyDescent="0.25">
      <c r="G351" s="267"/>
      <c r="H351" s="267"/>
      <c r="I351" s="267"/>
      <c r="J351" s="267"/>
      <c r="K351" s="280"/>
      <c r="L351" s="267"/>
      <c r="M351" s="267"/>
      <c r="N351" s="267"/>
    </row>
    <row r="352" spans="7:14" s="52" customFormat="1" x14ac:dyDescent="0.25">
      <c r="G352" s="267"/>
      <c r="H352" s="267"/>
      <c r="I352" s="267"/>
      <c r="J352" s="267"/>
      <c r="K352" s="280"/>
      <c r="L352" s="267"/>
      <c r="M352" s="267"/>
      <c r="N352" s="267"/>
    </row>
    <row r="353" spans="7:14" s="52" customFormat="1" x14ac:dyDescent="0.25">
      <c r="G353" s="267"/>
      <c r="H353" s="267"/>
      <c r="I353" s="267"/>
      <c r="J353" s="267"/>
      <c r="K353" s="280"/>
      <c r="L353" s="267"/>
      <c r="M353" s="267"/>
      <c r="N353" s="267"/>
    </row>
    <row r="354" spans="7:14" s="52" customFormat="1" x14ac:dyDescent="0.25">
      <c r="G354" s="267"/>
      <c r="H354" s="267"/>
      <c r="I354" s="267"/>
      <c r="J354" s="267"/>
      <c r="K354" s="280"/>
      <c r="L354" s="267"/>
      <c r="M354" s="267"/>
      <c r="N354" s="267"/>
    </row>
    <row r="355" spans="7:14" s="52" customFormat="1" x14ac:dyDescent="0.25">
      <c r="G355" s="267"/>
      <c r="H355" s="267"/>
      <c r="I355" s="267"/>
      <c r="J355" s="267"/>
      <c r="K355" s="280"/>
      <c r="L355" s="267"/>
      <c r="M355" s="267"/>
      <c r="N355" s="267"/>
    </row>
    <row r="356" spans="7:14" s="52" customFormat="1" x14ac:dyDescent="0.25">
      <c r="G356" s="267"/>
      <c r="H356" s="267"/>
      <c r="I356" s="267"/>
      <c r="J356" s="267"/>
      <c r="K356" s="280"/>
      <c r="L356" s="267"/>
      <c r="M356" s="267"/>
      <c r="N356" s="267"/>
    </row>
    <row r="357" spans="7:14" s="52" customFormat="1" x14ac:dyDescent="0.25">
      <c r="G357" s="267"/>
      <c r="H357" s="267"/>
      <c r="I357" s="267"/>
      <c r="J357" s="267"/>
      <c r="K357" s="280"/>
      <c r="L357" s="267"/>
      <c r="M357" s="267"/>
      <c r="N357" s="267"/>
    </row>
    <row r="358" spans="7:14" s="52" customFormat="1" x14ac:dyDescent="0.25">
      <c r="G358" s="267"/>
      <c r="H358" s="267"/>
      <c r="I358" s="267"/>
      <c r="J358" s="267"/>
      <c r="K358" s="280"/>
      <c r="L358" s="267"/>
      <c r="M358" s="267"/>
      <c r="N358" s="267"/>
    </row>
    <row r="359" spans="7:14" s="52" customFormat="1" x14ac:dyDescent="0.25">
      <c r="G359" s="267"/>
      <c r="H359" s="267"/>
      <c r="I359" s="267"/>
      <c r="J359" s="267"/>
      <c r="K359" s="280"/>
      <c r="L359" s="267"/>
      <c r="M359" s="267"/>
      <c r="N359" s="267"/>
    </row>
    <row r="360" spans="7:14" s="52" customFormat="1" x14ac:dyDescent="0.25">
      <c r="G360" s="267"/>
      <c r="H360" s="267"/>
      <c r="I360" s="267"/>
      <c r="J360" s="267"/>
      <c r="K360" s="280"/>
      <c r="L360" s="267"/>
      <c r="M360" s="267"/>
      <c r="N360" s="267"/>
    </row>
    <row r="361" spans="7:14" s="52" customFormat="1" x14ac:dyDescent="0.25">
      <c r="G361" s="267"/>
      <c r="H361" s="267"/>
      <c r="I361" s="267"/>
      <c r="J361" s="267"/>
      <c r="K361" s="280"/>
      <c r="L361" s="267"/>
      <c r="M361" s="267"/>
      <c r="N361" s="267"/>
    </row>
    <row r="362" spans="7:14" s="52" customFormat="1" x14ac:dyDescent="0.25">
      <c r="G362" s="267"/>
      <c r="H362" s="267"/>
      <c r="I362" s="267"/>
      <c r="J362" s="267"/>
      <c r="K362" s="280"/>
      <c r="L362" s="267"/>
      <c r="M362" s="267"/>
      <c r="N362" s="267"/>
    </row>
    <row r="363" spans="7:14" s="52" customFormat="1" x14ac:dyDescent="0.25">
      <c r="G363" s="267"/>
      <c r="H363" s="267"/>
      <c r="I363" s="267"/>
      <c r="J363" s="267"/>
      <c r="K363" s="280"/>
      <c r="L363" s="267"/>
      <c r="M363" s="267"/>
      <c r="N363" s="267"/>
    </row>
    <row r="364" spans="7:14" s="52" customFormat="1" x14ac:dyDescent="0.25">
      <c r="G364" s="267"/>
      <c r="H364" s="267"/>
      <c r="I364" s="267"/>
      <c r="J364" s="267"/>
      <c r="K364" s="280"/>
      <c r="L364" s="267"/>
      <c r="M364" s="267"/>
      <c r="N364" s="267"/>
    </row>
    <row r="365" spans="7:14" s="52" customFormat="1" x14ac:dyDescent="0.25">
      <c r="G365" s="267"/>
      <c r="H365" s="267"/>
      <c r="I365" s="267"/>
      <c r="J365" s="267"/>
      <c r="K365" s="280"/>
      <c r="L365" s="267"/>
      <c r="M365" s="267"/>
      <c r="N365" s="267"/>
    </row>
    <row r="366" spans="7:14" s="52" customFormat="1" x14ac:dyDescent="0.25">
      <c r="G366" s="267"/>
      <c r="H366" s="267"/>
      <c r="I366" s="267"/>
      <c r="J366" s="267"/>
      <c r="K366" s="280"/>
      <c r="L366" s="267"/>
      <c r="M366" s="267"/>
      <c r="N366" s="267"/>
    </row>
    <row r="367" spans="7:14" s="52" customFormat="1" x14ac:dyDescent="0.25">
      <c r="G367" s="267"/>
      <c r="H367" s="267"/>
      <c r="I367" s="267"/>
      <c r="J367" s="267"/>
      <c r="K367" s="280"/>
      <c r="L367" s="267"/>
      <c r="M367" s="267"/>
      <c r="N367" s="267"/>
    </row>
    <row r="368" spans="7:14" s="52" customFormat="1" x14ac:dyDescent="0.25">
      <c r="G368" s="267"/>
      <c r="H368" s="267"/>
      <c r="I368" s="267"/>
      <c r="J368" s="267"/>
      <c r="K368" s="280"/>
      <c r="L368" s="267"/>
      <c r="M368" s="267"/>
      <c r="N368" s="267"/>
    </row>
    <row r="369" spans="2:14" s="52" customFormat="1" x14ac:dyDescent="0.25">
      <c r="G369" s="267"/>
      <c r="H369" s="267"/>
      <c r="I369" s="267"/>
      <c r="J369" s="267"/>
      <c r="K369" s="280"/>
      <c r="L369" s="267"/>
      <c r="M369" s="267"/>
      <c r="N369" s="267"/>
    </row>
    <row r="370" spans="2:14" s="52" customFormat="1" x14ac:dyDescent="0.25">
      <c r="G370" s="267"/>
      <c r="H370" s="267"/>
      <c r="I370" s="267"/>
      <c r="J370" s="267"/>
      <c r="K370" s="280"/>
      <c r="L370" s="267"/>
      <c r="M370" s="267"/>
      <c r="N370" s="267"/>
    </row>
    <row r="371" spans="2:14" s="52" customFormat="1" x14ac:dyDescent="0.25">
      <c r="G371" s="267"/>
      <c r="H371" s="267"/>
      <c r="I371" s="267"/>
      <c r="J371" s="267"/>
      <c r="K371" s="280"/>
      <c r="L371" s="267"/>
      <c r="M371" s="267"/>
      <c r="N371" s="267"/>
    </row>
    <row r="372" spans="2:14" s="52" customFormat="1" x14ac:dyDescent="0.25">
      <c r="G372" s="267"/>
      <c r="H372" s="267"/>
      <c r="I372" s="267"/>
      <c r="J372" s="267"/>
      <c r="K372" s="280"/>
      <c r="L372" s="267"/>
      <c r="M372" s="267"/>
      <c r="N372" s="267"/>
    </row>
    <row r="373" spans="2:14" s="52" customFormat="1" x14ac:dyDescent="0.25">
      <c r="G373" s="267"/>
      <c r="H373" s="267"/>
      <c r="I373" s="267"/>
      <c r="J373" s="267"/>
      <c r="K373" s="280"/>
      <c r="L373" s="267"/>
      <c r="M373" s="267"/>
      <c r="N373" s="267"/>
    </row>
    <row r="374" spans="2:14" s="52" customFormat="1" x14ac:dyDescent="0.25">
      <c r="G374" s="267"/>
      <c r="H374" s="267"/>
      <c r="I374" s="267"/>
      <c r="J374" s="267"/>
      <c r="K374" s="280"/>
      <c r="L374" s="267"/>
      <c r="M374" s="267"/>
      <c r="N374" s="267"/>
    </row>
    <row r="375" spans="2:14" s="52" customFormat="1" x14ac:dyDescent="0.25">
      <c r="G375" s="267"/>
      <c r="H375" s="267"/>
      <c r="I375" s="267"/>
      <c r="J375" s="267"/>
      <c r="K375" s="280"/>
      <c r="L375" s="267"/>
      <c r="M375" s="267"/>
      <c r="N375" s="267"/>
    </row>
    <row r="376" spans="2:14" s="52" customFormat="1" x14ac:dyDescent="0.25">
      <c r="G376" s="267"/>
      <c r="H376" s="267"/>
      <c r="I376" s="267"/>
      <c r="J376" s="267"/>
      <c r="K376" s="280"/>
      <c r="L376" s="267"/>
      <c r="M376" s="267"/>
      <c r="N376" s="267"/>
    </row>
    <row r="377" spans="2:14" s="52" customFormat="1" x14ac:dyDescent="0.25">
      <c r="G377" s="267"/>
      <c r="H377" s="267"/>
      <c r="I377" s="267"/>
      <c r="J377" s="267"/>
      <c r="K377" s="280"/>
      <c r="L377" s="267"/>
      <c r="M377" s="267"/>
      <c r="N377" s="267"/>
    </row>
    <row r="378" spans="2:14" s="52" customFormat="1" x14ac:dyDescent="0.25">
      <c r="B378"/>
      <c r="C378"/>
      <c r="D378"/>
      <c r="E378"/>
      <c r="F378"/>
      <c r="G378" s="267"/>
      <c r="H378" s="267"/>
      <c r="I378" s="267"/>
      <c r="J378" s="267"/>
      <c r="K378" s="280"/>
      <c r="L378" s="267"/>
      <c r="M378" s="267"/>
      <c r="N378" s="267"/>
    </row>
  </sheetData>
  <mergeCells count="5">
    <mergeCell ref="H6:N6"/>
    <mergeCell ref="J5:K5"/>
    <mergeCell ref="G2:P2"/>
    <mergeCell ref="G3:P3"/>
    <mergeCell ref="G4:P4"/>
  </mergeCells>
  <dataValidations count="1">
    <dataValidation type="list" allowBlank="1" showInputMessage="1" showErrorMessage="1" sqref="N8:N214">
      <formula1>$S$2:$S$4</formula1>
    </dataValidation>
  </dataValidations>
  <pageMargins left="0.7" right="0.7" top="0.75" bottom="0.75" header="0.3" footer="0.3"/>
  <pageSetup orientation="portrait" verticalDpi="0"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PPNE2!$C$16:$C$149</xm:f>
          </x14:formula1>
          <xm:sqref>G8:G214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73"/>
  <sheetViews>
    <sheetView showGridLines="0" workbookViewId="0">
      <selection activeCell="A4" sqref="A4:G4"/>
    </sheetView>
  </sheetViews>
  <sheetFormatPr baseColWidth="10" defaultColWidth="11.42578125" defaultRowHeight="15" x14ac:dyDescent="0.25"/>
  <cols>
    <col min="1" max="1" width="5.85546875" style="17" customWidth="1"/>
    <col min="2" max="2" width="5.7109375" style="17" customWidth="1"/>
    <col min="3" max="3" width="5.5703125" style="17" customWidth="1"/>
    <col min="4" max="4" width="5.7109375" style="17" customWidth="1"/>
    <col min="5" max="5" width="46.42578125" style="17" customWidth="1"/>
    <col min="6" max="6" width="13.7109375" style="17" customWidth="1"/>
    <col min="7" max="7" width="11.42578125" style="17"/>
    <col min="8" max="50" width="11.42578125" style="52"/>
  </cols>
  <sheetData>
    <row r="1" spans="1:7" ht="12.75" x14ac:dyDescent="0.2">
      <c r="A1" s="447" t="str">
        <f>+PPNE1!B1</f>
        <v>Plan Operativo Anual</v>
      </c>
      <c r="B1" s="448"/>
      <c r="C1" s="448"/>
      <c r="D1" s="448"/>
      <c r="E1" s="448"/>
      <c r="F1" s="448"/>
      <c r="G1" s="448"/>
    </row>
    <row r="2" spans="1:7" ht="15.75" x14ac:dyDescent="0.25">
      <c r="A2" s="449" t="str">
        <f>+PPNE1!B2</f>
        <v>Servicio Nacional de Salud</v>
      </c>
      <c r="B2" s="450"/>
      <c r="C2" s="450"/>
      <c r="D2" s="450"/>
      <c r="E2" s="450"/>
      <c r="F2" s="450"/>
      <c r="G2" s="450"/>
    </row>
    <row r="3" spans="1:7" x14ac:dyDescent="0.25">
      <c r="A3" s="451" t="str">
        <f>+PPNE1!B3</f>
        <v>Dirección de Planificación y Desarrollo</v>
      </c>
      <c r="B3" s="452"/>
      <c r="C3" s="452"/>
      <c r="D3" s="452"/>
      <c r="E3" s="452"/>
      <c r="F3" s="452"/>
      <c r="G3" s="452"/>
    </row>
    <row r="4" spans="1:7" ht="12.75" x14ac:dyDescent="0.2">
      <c r="A4" s="453" t="s">
        <v>46</v>
      </c>
      <c r="B4" s="454"/>
      <c r="C4" s="454"/>
      <c r="D4" s="454"/>
      <c r="E4" s="454"/>
      <c r="F4" s="454"/>
      <c r="G4" s="454"/>
    </row>
    <row r="5" spans="1:7" ht="12.75" x14ac:dyDescent="0.2">
      <c r="A5" s="453">
        <f>+PPNE1!C5</f>
        <v>2026</v>
      </c>
      <c r="B5" s="454"/>
      <c r="C5" s="454"/>
      <c r="D5" s="454"/>
      <c r="E5" s="454"/>
      <c r="F5" s="454"/>
      <c r="G5" s="454"/>
    </row>
    <row r="6" spans="1:7" ht="12.75" x14ac:dyDescent="0.2">
      <c r="A6" s="15" t="s">
        <v>214</v>
      </c>
      <c r="B6" s="5"/>
      <c r="C6" s="5"/>
      <c r="D6" s="5"/>
      <c r="E6" s="455" t="str">
        <f>+PPNE1!B6</f>
        <v>Cibao Norte</v>
      </c>
      <c r="F6" s="455"/>
      <c r="G6" s="455"/>
    </row>
    <row r="7" spans="1:7" ht="12.75" x14ac:dyDescent="0.2">
      <c r="A7" s="18" t="s">
        <v>911</v>
      </c>
      <c r="B7" s="19"/>
      <c r="C7" s="19"/>
      <c r="D7" s="16"/>
      <c r="E7" s="446">
        <f>+PPNE1!B7</f>
        <v>0</v>
      </c>
      <c r="F7" s="446"/>
      <c r="G7" s="446"/>
    </row>
    <row r="8" spans="1:7" ht="48" customHeight="1" x14ac:dyDescent="0.2">
      <c r="A8" s="293" t="s">
        <v>958</v>
      </c>
      <c r="B8" s="293" t="s">
        <v>959</v>
      </c>
      <c r="C8" s="293" t="s">
        <v>4</v>
      </c>
      <c r="D8" s="293" t="s">
        <v>20</v>
      </c>
      <c r="E8" s="294" t="s">
        <v>221</v>
      </c>
      <c r="F8" s="313" t="s">
        <v>229</v>
      </c>
      <c r="G8" s="313" t="s">
        <v>19</v>
      </c>
    </row>
    <row r="9" spans="1:7" ht="12.75" x14ac:dyDescent="0.2">
      <c r="A9" s="295">
        <v>3</v>
      </c>
      <c r="B9" s="296"/>
      <c r="C9" s="296"/>
      <c r="D9" s="296"/>
      <c r="E9" s="297" t="s">
        <v>222</v>
      </c>
      <c r="F9" s="314">
        <f>+F10</f>
        <v>0</v>
      </c>
      <c r="G9" s="315">
        <f>G10</f>
        <v>0</v>
      </c>
    </row>
    <row r="10" spans="1:7" ht="12.75" x14ac:dyDescent="0.2">
      <c r="A10" s="298"/>
      <c r="B10" s="298">
        <v>31</v>
      </c>
      <c r="C10" s="299"/>
      <c r="D10" s="299"/>
      <c r="E10" s="300" t="s">
        <v>960</v>
      </c>
      <c r="F10" s="316">
        <f>SUM(F11:F11)</f>
        <v>0</v>
      </c>
      <c r="G10" s="317">
        <f>G11</f>
        <v>0</v>
      </c>
    </row>
    <row r="11" spans="1:7" ht="12.75" x14ac:dyDescent="0.2">
      <c r="A11" s="301"/>
      <c r="B11" s="301"/>
      <c r="C11" s="301">
        <v>312</v>
      </c>
      <c r="D11" s="302"/>
      <c r="E11" s="303" t="s">
        <v>961</v>
      </c>
      <c r="F11" s="318">
        <v>0</v>
      </c>
      <c r="G11" s="319">
        <f>IFERROR(F11/$F$31*100,"0.00")</f>
        <v>0</v>
      </c>
    </row>
    <row r="12" spans="1:7" ht="12.75" x14ac:dyDescent="0.2">
      <c r="A12" s="304">
        <v>4</v>
      </c>
      <c r="B12" s="305"/>
      <c r="C12" s="305"/>
      <c r="D12" s="305"/>
      <c r="E12" s="306" t="s">
        <v>962</v>
      </c>
      <c r="F12" s="320">
        <f>+F13+F19</f>
        <v>1650000000</v>
      </c>
      <c r="G12" s="320">
        <f>G13+G19</f>
        <v>94.657766535935195</v>
      </c>
    </row>
    <row r="13" spans="1:7" ht="12.75" x14ac:dyDescent="0.2">
      <c r="A13" s="298"/>
      <c r="B13" s="298">
        <v>41</v>
      </c>
      <c r="C13" s="1"/>
      <c r="D13" s="299"/>
      <c r="E13" s="307" t="s">
        <v>254</v>
      </c>
      <c r="F13" s="316">
        <f>SUM(F15:F18)</f>
        <v>1650000000</v>
      </c>
      <c r="G13" s="321">
        <f>SUM(G15:G18)</f>
        <v>94.657766535935195</v>
      </c>
    </row>
    <row r="14" spans="1:7" ht="24" x14ac:dyDescent="0.2">
      <c r="A14" s="298"/>
      <c r="B14" s="298"/>
      <c r="C14" s="298">
        <v>413</v>
      </c>
      <c r="D14" s="299"/>
      <c r="E14" s="307" t="s">
        <v>963</v>
      </c>
      <c r="F14" s="316">
        <f>SUM(F16:F19)</f>
        <v>1650000000</v>
      </c>
      <c r="G14" s="321">
        <f>SUM(G16:G19)</f>
        <v>94.657766535935195</v>
      </c>
    </row>
    <row r="15" spans="1:7" ht="12.75" x14ac:dyDescent="0.2">
      <c r="A15" s="301"/>
      <c r="B15" s="301"/>
      <c r="C15" s="301">
        <v>413</v>
      </c>
      <c r="D15" s="302" t="s">
        <v>964</v>
      </c>
      <c r="E15" s="303" t="s">
        <v>276</v>
      </c>
      <c r="F15" s="318">
        <v>0</v>
      </c>
      <c r="G15" s="319">
        <f>IFERROR(F15/$F$31*100,"0.00")</f>
        <v>0</v>
      </c>
    </row>
    <row r="16" spans="1:7" ht="12.75" x14ac:dyDescent="0.2">
      <c r="A16" s="301"/>
      <c r="B16" s="301"/>
      <c r="C16" s="301">
        <v>413</v>
      </c>
      <c r="D16" s="302" t="s">
        <v>965</v>
      </c>
      <c r="E16" s="303" t="s">
        <v>223</v>
      </c>
      <c r="F16" s="318">
        <v>0</v>
      </c>
      <c r="G16" s="319">
        <f>IFERROR(F16/$F$31*100,"0.00")</f>
        <v>0</v>
      </c>
    </row>
    <row r="17" spans="1:7" ht="12.75" x14ac:dyDescent="0.2">
      <c r="A17" s="301"/>
      <c r="B17" s="301"/>
      <c r="C17" s="301">
        <v>413</v>
      </c>
      <c r="D17" s="302" t="s">
        <v>966</v>
      </c>
      <c r="E17" s="303" t="s">
        <v>967</v>
      </c>
      <c r="F17" s="318">
        <v>0</v>
      </c>
      <c r="G17" s="319">
        <f>IFERROR(F17/$F$31*100,"0.00")</f>
        <v>0</v>
      </c>
    </row>
    <row r="18" spans="1:7" ht="24" x14ac:dyDescent="0.2">
      <c r="A18" s="301"/>
      <c r="B18" s="301"/>
      <c r="C18" s="301">
        <v>414</v>
      </c>
      <c r="D18" s="302"/>
      <c r="E18" s="308" t="s">
        <v>968</v>
      </c>
      <c r="F18" s="318">
        <v>1650000000</v>
      </c>
      <c r="G18" s="319">
        <f>IFERROR(F18/$F$31*100,"0.00")</f>
        <v>94.657766535935195</v>
      </c>
    </row>
    <row r="19" spans="1:7" ht="12.75" x14ac:dyDescent="0.2">
      <c r="A19" s="298"/>
      <c r="B19" s="298">
        <v>42</v>
      </c>
      <c r="C19" s="298"/>
      <c r="D19" s="299"/>
      <c r="E19" s="300" t="s">
        <v>969</v>
      </c>
      <c r="F19" s="316">
        <f>SUM(F21:F22)</f>
        <v>0</v>
      </c>
      <c r="G19" s="321">
        <f>G21+G22</f>
        <v>0</v>
      </c>
    </row>
    <row r="20" spans="1:7" ht="24" x14ac:dyDescent="0.2">
      <c r="A20" s="298"/>
      <c r="B20" s="298"/>
      <c r="C20" s="298">
        <v>423</v>
      </c>
      <c r="D20" s="299"/>
      <c r="E20" s="300" t="s">
        <v>970</v>
      </c>
      <c r="F20" s="316">
        <f>+F21+F22</f>
        <v>0</v>
      </c>
      <c r="G20" s="319">
        <f>+G21+G22</f>
        <v>0</v>
      </c>
    </row>
    <row r="21" spans="1:7" ht="12.75" x14ac:dyDescent="0.2">
      <c r="A21" s="301"/>
      <c r="B21" s="301"/>
      <c r="C21" s="301">
        <v>423</v>
      </c>
      <c r="D21" s="302" t="s">
        <v>964</v>
      </c>
      <c r="E21" s="303" t="s">
        <v>277</v>
      </c>
      <c r="F21" s="318">
        <v>0</v>
      </c>
      <c r="G21" s="319">
        <f>IFERROR(F21/$F$31*100,"0.00")</f>
        <v>0</v>
      </c>
    </row>
    <row r="22" spans="1:7" ht="12.75" x14ac:dyDescent="0.2">
      <c r="A22" s="301"/>
      <c r="B22" s="301"/>
      <c r="C22" s="301">
        <v>423</v>
      </c>
      <c r="D22" s="302" t="s">
        <v>965</v>
      </c>
      <c r="E22" s="303" t="s">
        <v>278</v>
      </c>
      <c r="F22" s="318">
        <v>0</v>
      </c>
      <c r="G22" s="319">
        <f>IFERROR(F22/$F$31*100,"0.00")</f>
        <v>0</v>
      </c>
    </row>
    <row r="23" spans="1:7" ht="12.75" x14ac:dyDescent="0.2">
      <c r="A23" s="304">
        <v>5</v>
      </c>
      <c r="B23" s="305"/>
      <c r="C23" s="305"/>
      <c r="D23" s="305"/>
      <c r="E23" s="306" t="s">
        <v>971</v>
      </c>
      <c r="F23" s="320">
        <f>+F24</f>
        <v>93121626.870000005</v>
      </c>
      <c r="G23" s="320">
        <f>G24</f>
        <v>5.3422334640648064</v>
      </c>
    </row>
    <row r="24" spans="1:7" ht="12.75" x14ac:dyDescent="0.2">
      <c r="A24" s="298"/>
      <c r="B24" s="298">
        <v>51</v>
      </c>
      <c r="C24" s="298"/>
      <c r="D24" s="299"/>
      <c r="E24" s="307" t="s">
        <v>972</v>
      </c>
      <c r="F24" s="316">
        <f>F25</f>
        <v>93121626.870000005</v>
      </c>
      <c r="G24" s="319">
        <f>G25</f>
        <v>5.3422334640648064</v>
      </c>
    </row>
    <row r="25" spans="1:7" ht="12.75" x14ac:dyDescent="0.2">
      <c r="A25" s="298"/>
      <c r="B25" s="298"/>
      <c r="C25" s="298">
        <v>512</v>
      </c>
      <c r="D25" s="299"/>
      <c r="E25" s="307" t="s">
        <v>973</v>
      </c>
      <c r="F25" s="316">
        <f>F26</f>
        <v>93121626.870000005</v>
      </c>
      <c r="G25" s="319">
        <f>G26</f>
        <v>5.3422334640648064</v>
      </c>
    </row>
    <row r="26" spans="1:7" ht="12.75" x14ac:dyDescent="0.2">
      <c r="A26" s="298"/>
      <c r="B26" s="298"/>
      <c r="C26" s="301">
        <v>512</v>
      </c>
      <c r="D26" s="309" t="s">
        <v>974</v>
      </c>
      <c r="E26" s="310" t="s">
        <v>975</v>
      </c>
      <c r="F26" s="322">
        <f>+F27+F28+F29+F30</f>
        <v>93121626.870000005</v>
      </c>
      <c r="G26" s="319">
        <f>+G27+G28+G29+G30</f>
        <v>5.3422334640648064</v>
      </c>
    </row>
    <row r="27" spans="1:7" ht="24" x14ac:dyDescent="0.2">
      <c r="A27" s="302"/>
      <c r="B27" s="301"/>
      <c r="C27" s="301">
        <v>513</v>
      </c>
      <c r="D27" s="302"/>
      <c r="E27" s="310" t="s">
        <v>224</v>
      </c>
      <c r="F27" s="318">
        <v>44698380.899999999</v>
      </c>
      <c r="G27" s="319">
        <f>IFERROR(F27/$F$31*100,"0.00")</f>
        <v>2.5642720628887909</v>
      </c>
    </row>
    <row r="28" spans="1:7" ht="24" x14ac:dyDescent="0.2">
      <c r="A28" s="302"/>
      <c r="B28" s="302"/>
      <c r="C28" s="301">
        <v>512</v>
      </c>
      <c r="D28" s="302"/>
      <c r="E28" s="310" t="s">
        <v>225</v>
      </c>
      <c r="F28" s="318">
        <v>20486757.91</v>
      </c>
      <c r="G28" s="319">
        <f>IFERROR(F28/$F$31*100,"0.00")</f>
        <v>1.1752913620139418</v>
      </c>
    </row>
    <row r="29" spans="1:7" ht="24" x14ac:dyDescent="0.2">
      <c r="A29" s="302"/>
      <c r="B29" s="302"/>
      <c r="C29" s="301">
        <v>512</v>
      </c>
      <c r="D29" s="302"/>
      <c r="E29" s="310" t="s">
        <v>226</v>
      </c>
      <c r="F29" s="318">
        <v>27936488.059999999</v>
      </c>
      <c r="G29" s="319">
        <f>IFERROR(F29/$F$31*100,"0.00")</f>
        <v>1.6026700391620734</v>
      </c>
    </row>
    <row r="30" spans="1:7" ht="12.75" x14ac:dyDescent="0.2">
      <c r="A30" s="302"/>
      <c r="B30" s="302"/>
      <c r="C30" s="301">
        <v>512</v>
      </c>
      <c r="D30" s="302"/>
      <c r="E30" s="310" t="s">
        <v>227</v>
      </c>
      <c r="F30" s="318">
        <v>0</v>
      </c>
      <c r="G30" s="319">
        <f>IFERROR(F30/$F$31*100,"0.00")</f>
        <v>0</v>
      </c>
    </row>
    <row r="31" spans="1:7" s="52" customFormat="1" ht="12.75" x14ac:dyDescent="0.2">
      <c r="A31" s="311"/>
      <c r="B31" s="311"/>
      <c r="C31" s="311"/>
      <c r="D31" s="311"/>
      <c r="E31" s="312" t="s">
        <v>228</v>
      </c>
      <c r="F31" s="323">
        <f>+F23+F12+F9</f>
        <v>1743121626.8699999</v>
      </c>
      <c r="G31" s="323">
        <f>+G23+G12+G9</f>
        <v>100</v>
      </c>
    </row>
    <row r="32" spans="1:7" s="52" customFormat="1" x14ac:dyDescent="0.25">
      <c r="A32" s="57"/>
      <c r="B32" s="57"/>
      <c r="C32" s="57"/>
      <c r="D32" s="57"/>
      <c r="E32" s="57"/>
      <c r="F32" s="57"/>
      <c r="G32" s="57"/>
    </row>
    <row r="33" spans="1:7" s="52" customFormat="1" x14ac:dyDescent="0.25">
      <c r="A33" s="57"/>
      <c r="B33" s="57"/>
      <c r="C33" s="57"/>
      <c r="D33" s="57"/>
      <c r="E33" s="57"/>
      <c r="F33" s="57"/>
      <c r="G33" s="57"/>
    </row>
    <row r="34" spans="1:7" s="52" customFormat="1" x14ac:dyDescent="0.25">
      <c r="A34" s="57"/>
      <c r="B34" s="57"/>
      <c r="C34" s="57"/>
      <c r="D34" s="57"/>
      <c r="E34" s="57"/>
      <c r="F34" s="57"/>
      <c r="G34" s="57"/>
    </row>
    <row r="35" spans="1:7" s="52" customFormat="1" x14ac:dyDescent="0.25">
      <c r="A35" s="57"/>
      <c r="B35" s="57"/>
      <c r="C35" s="57"/>
      <c r="D35" s="57"/>
      <c r="E35" s="57"/>
      <c r="F35" s="57"/>
      <c r="G35" s="57"/>
    </row>
    <row r="36" spans="1:7" s="52" customFormat="1" x14ac:dyDescent="0.25">
      <c r="A36" s="57"/>
      <c r="B36" s="57"/>
      <c r="C36" s="57"/>
      <c r="D36" s="57"/>
      <c r="E36" s="57"/>
      <c r="F36" s="57"/>
      <c r="G36" s="57"/>
    </row>
    <row r="37" spans="1:7" s="52" customFormat="1" x14ac:dyDescent="0.25">
      <c r="A37" s="57"/>
      <c r="B37" s="57"/>
      <c r="C37" s="57"/>
      <c r="D37" s="57"/>
      <c r="E37" s="57"/>
      <c r="F37" s="57"/>
      <c r="G37" s="57"/>
    </row>
    <row r="38" spans="1:7" s="52" customFormat="1" x14ac:dyDescent="0.25">
      <c r="A38" s="57"/>
      <c r="B38" s="57"/>
      <c r="C38" s="57"/>
      <c r="D38" s="57"/>
      <c r="E38" s="57"/>
      <c r="F38" s="57"/>
      <c r="G38" s="57"/>
    </row>
    <row r="39" spans="1:7" s="52" customFormat="1" x14ac:dyDescent="0.25">
      <c r="A39" s="58"/>
      <c r="B39" s="58"/>
      <c r="C39" s="58"/>
      <c r="D39" s="58"/>
      <c r="E39" s="58"/>
      <c r="F39" s="58"/>
      <c r="G39" s="58"/>
    </row>
    <row r="40" spans="1:7" s="52" customFormat="1" x14ac:dyDescent="0.25">
      <c r="A40" s="58"/>
      <c r="B40" s="58"/>
      <c r="C40" s="58"/>
      <c r="D40" s="58"/>
      <c r="E40" s="58"/>
      <c r="F40" s="58"/>
      <c r="G40" s="58"/>
    </row>
    <row r="41" spans="1:7" s="52" customFormat="1" x14ac:dyDescent="0.25">
      <c r="A41" s="58"/>
      <c r="B41" s="58"/>
      <c r="C41" s="58"/>
      <c r="D41" s="58"/>
      <c r="E41" s="58"/>
      <c r="F41" s="58"/>
      <c r="G41" s="58"/>
    </row>
    <row r="42" spans="1:7" s="52" customFormat="1" x14ac:dyDescent="0.25">
      <c r="A42" s="58"/>
      <c r="B42" s="58"/>
      <c r="C42" s="58"/>
      <c r="D42" s="58"/>
      <c r="E42" s="58"/>
      <c r="F42" s="58"/>
      <c r="G42" s="58"/>
    </row>
    <row r="43" spans="1:7" s="52" customFormat="1" x14ac:dyDescent="0.25">
      <c r="A43" s="58"/>
      <c r="B43" s="58"/>
      <c r="C43" s="58"/>
      <c r="D43" s="58"/>
      <c r="E43" s="58"/>
      <c r="F43" s="58"/>
      <c r="G43" s="58"/>
    </row>
    <row r="44" spans="1:7" s="52" customFormat="1" x14ac:dyDescent="0.25">
      <c r="A44" s="58"/>
      <c r="B44" s="58"/>
      <c r="C44" s="58"/>
      <c r="D44" s="58"/>
      <c r="E44" s="58"/>
      <c r="F44" s="58"/>
      <c r="G44" s="58"/>
    </row>
    <row r="45" spans="1:7" s="52" customFormat="1" x14ac:dyDescent="0.25">
      <c r="A45" s="58"/>
      <c r="B45" s="58"/>
      <c r="C45" s="58"/>
      <c r="D45" s="58"/>
      <c r="E45" s="58"/>
      <c r="F45" s="58"/>
      <c r="G45" s="58"/>
    </row>
    <row r="46" spans="1:7" s="52" customFormat="1" x14ac:dyDescent="0.25">
      <c r="A46" s="58"/>
      <c r="B46" s="58"/>
      <c r="C46" s="58"/>
      <c r="D46" s="58"/>
      <c r="E46" s="58"/>
      <c r="F46" s="58"/>
      <c r="G46" s="58"/>
    </row>
    <row r="47" spans="1:7" s="52" customFormat="1" x14ac:dyDescent="0.25">
      <c r="A47" s="58"/>
      <c r="B47" s="58"/>
      <c r="C47" s="58"/>
      <c r="D47" s="58"/>
      <c r="E47" s="58"/>
      <c r="F47" s="58"/>
      <c r="G47" s="58"/>
    </row>
    <row r="48" spans="1:7" s="52" customFormat="1" x14ac:dyDescent="0.25">
      <c r="A48" s="58"/>
      <c r="B48" s="58"/>
      <c r="C48" s="58"/>
      <c r="D48" s="58"/>
      <c r="E48" s="58"/>
      <c r="F48" s="58"/>
      <c r="G48" s="58"/>
    </row>
    <row r="49" spans="1:7" s="52" customFormat="1" x14ac:dyDescent="0.25">
      <c r="A49" s="58"/>
      <c r="B49" s="58"/>
      <c r="C49" s="58"/>
      <c r="D49" s="58"/>
      <c r="E49" s="58"/>
      <c r="F49" s="58"/>
      <c r="G49" s="58"/>
    </row>
    <row r="50" spans="1:7" s="52" customFormat="1" x14ac:dyDescent="0.25">
      <c r="A50" s="58"/>
      <c r="B50" s="58"/>
      <c r="C50" s="58"/>
      <c r="D50" s="58"/>
      <c r="E50" s="58"/>
      <c r="F50" s="58"/>
      <c r="G50" s="58"/>
    </row>
    <row r="51" spans="1:7" s="52" customFormat="1" x14ac:dyDescent="0.25">
      <c r="A51" s="58"/>
      <c r="B51" s="58"/>
      <c r="C51" s="58"/>
      <c r="D51" s="58"/>
      <c r="E51" s="58"/>
      <c r="F51" s="58"/>
      <c r="G51" s="58"/>
    </row>
    <row r="52" spans="1:7" s="52" customFormat="1" x14ac:dyDescent="0.25">
      <c r="A52" s="58"/>
      <c r="B52" s="58"/>
      <c r="C52" s="58"/>
      <c r="D52" s="58"/>
      <c r="E52" s="58"/>
      <c r="F52" s="58"/>
      <c r="G52" s="58"/>
    </row>
    <row r="53" spans="1:7" s="52" customFormat="1" x14ac:dyDescent="0.25">
      <c r="A53" s="58"/>
      <c r="B53" s="58"/>
      <c r="C53" s="58"/>
      <c r="D53" s="58"/>
      <c r="E53" s="58"/>
      <c r="F53" s="58"/>
      <c r="G53" s="58"/>
    </row>
    <row r="54" spans="1:7" s="52" customFormat="1" x14ac:dyDescent="0.25">
      <c r="A54" s="58"/>
      <c r="B54" s="58"/>
      <c r="C54" s="58"/>
      <c r="D54" s="58"/>
      <c r="E54" s="58"/>
      <c r="F54" s="58"/>
      <c r="G54" s="58"/>
    </row>
    <row r="55" spans="1:7" s="52" customFormat="1" x14ac:dyDescent="0.25">
      <c r="A55" s="58"/>
      <c r="B55" s="58"/>
      <c r="C55" s="58"/>
      <c r="D55" s="58"/>
      <c r="E55" s="58"/>
      <c r="F55" s="58"/>
      <c r="G55" s="58"/>
    </row>
    <row r="56" spans="1:7" s="52" customFormat="1" x14ac:dyDescent="0.25">
      <c r="A56" s="58"/>
      <c r="B56" s="58"/>
      <c r="C56" s="58"/>
      <c r="D56" s="58"/>
      <c r="E56" s="58"/>
      <c r="F56" s="58"/>
      <c r="G56" s="58"/>
    </row>
    <row r="57" spans="1:7" s="52" customFormat="1" x14ac:dyDescent="0.25">
      <c r="A57" s="58"/>
      <c r="B57" s="58"/>
      <c r="C57" s="58"/>
      <c r="D57" s="58"/>
      <c r="E57" s="58"/>
      <c r="F57" s="58"/>
      <c r="G57" s="58"/>
    </row>
    <row r="58" spans="1:7" s="52" customFormat="1" x14ac:dyDescent="0.25">
      <c r="A58" s="58"/>
      <c r="B58" s="58"/>
      <c r="C58" s="58"/>
      <c r="D58" s="58"/>
      <c r="E58" s="58"/>
      <c r="F58" s="58"/>
      <c r="G58" s="58"/>
    </row>
    <row r="59" spans="1:7" s="52" customFormat="1" x14ac:dyDescent="0.25">
      <c r="A59" s="58"/>
      <c r="B59" s="58"/>
      <c r="C59" s="58"/>
      <c r="D59" s="58"/>
      <c r="E59" s="58"/>
      <c r="F59" s="58"/>
      <c r="G59" s="58"/>
    </row>
    <row r="60" spans="1:7" s="52" customFormat="1" x14ac:dyDescent="0.25">
      <c r="A60" s="58"/>
      <c r="B60" s="58"/>
      <c r="C60" s="58"/>
      <c r="D60" s="58"/>
      <c r="E60" s="58"/>
      <c r="F60" s="58"/>
      <c r="G60" s="58"/>
    </row>
    <row r="61" spans="1:7" s="52" customFormat="1" x14ac:dyDescent="0.25">
      <c r="A61" s="58"/>
      <c r="B61" s="58"/>
      <c r="C61" s="58"/>
      <c r="D61" s="58"/>
      <c r="E61" s="58"/>
      <c r="F61" s="58"/>
      <c r="G61" s="58"/>
    </row>
    <row r="62" spans="1:7" s="52" customFormat="1" x14ac:dyDescent="0.25">
      <c r="A62" s="58"/>
      <c r="B62" s="58"/>
      <c r="C62" s="58"/>
      <c r="D62" s="58"/>
      <c r="E62" s="58"/>
      <c r="F62" s="58"/>
      <c r="G62" s="58"/>
    </row>
    <row r="63" spans="1:7" s="52" customFormat="1" x14ac:dyDescent="0.25">
      <c r="A63" s="58"/>
      <c r="B63" s="58"/>
      <c r="C63" s="58"/>
      <c r="D63" s="58"/>
      <c r="E63" s="58"/>
      <c r="F63" s="58"/>
      <c r="G63" s="58"/>
    </row>
    <row r="64" spans="1:7" s="52" customFormat="1" x14ac:dyDescent="0.25">
      <c r="A64" s="58"/>
      <c r="B64" s="58"/>
      <c r="C64" s="58"/>
      <c r="D64" s="58"/>
      <c r="E64" s="58"/>
      <c r="F64" s="58"/>
      <c r="G64" s="58"/>
    </row>
    <row r="65" spans="1:7" s="52" customFormat="1" x14ac:dyDescent="0.25">
      <c r="A65" s="58"/>
      <c r="B65" s="58"/>
      <c r="C65" s="58"/>
      <c r="D65" s="58"/>
      <c r="E65" s="58"/>
      <c r="F65" s="58"/>
      <c r="G65" s="58"/>
    </row>
    <row r="66" spans="1:7" s="52" customFormat="1" x14ac:dyDescent="0.25">
      <c r="A66" s="58"/>
      <c r="B66" s="58"/>
      <c r="C66" s="58"/>
      <c r="D66" s="58"/>
      <c r="E66" s="58"/>
      <c r="F66" s="58"/>
      <c r="G66" s="58"/>
    </row>
    <row r="67" spans="1:7" s="52" customFormat="1" x14ac:dyDescent="0.25">
      <c r="A67" s="58"/>
      <c r="B67" s="58"/>
      <c r="C67" s="58"/>
      <c r="D67" s="58"/>
      <c r="E67" s="58"/>
      <c r="F67" s="58"/>
      <c r="G67" s="58"/>
    </row>
    <row r="68" spans="1:7" s="52" customFormat="1" x14ac:dyDescent="0.25">
      <c r="A68" s="58"/>
      <c r="B68" s="58"/>
      <c r="C68" s="58"/>
      <c r="D68" s="58"/>
      <c r="E68" s="58"/>
      <c r="F68" s="58"/>
      <c r="G68" s="58"/>
    </row>
    <row r="69" spans="1:7" s="52" customFormat="1" x14ac:dyDescent="0.25">
      <c r="A69" s="58"/>
      <c r="B69" s="58"/>
      <c r="C69" s="58"/>
      <c r="D69" s="58"/>
      <c r="E69" s="58"/>
      <c r="F69" s="58"/>
      <c r="G69" s="58"/>
    </row>
    <row r="70" spans="1:7" s="52" customFormat="1" x14ac:dyDescent="0.25">
      <c r="A70" s="58"/>
      <c r="B70" s="58"/>
      <c r="C70" s="58"/>
      <c r="D70" s="58"/>
      <c r="E70" s="58"/>
      <c r="F70" s="58"/>
      <c r="G70" s="58"/>
    </row>
    <row r="71" spans="1:7" s="52" customFormat="1" x14ac:dyDescent="0.25">
      <c r="A71" s="58"/>
      <c r="B71" s="58"/>
      <c r="C71" s="58"/>
      <c r="D71" s="58"/>
      <c r="E71" s="58"/>
      <c r="F71" s="58"/>
      <c r="G71" s="58"/>
    </row>
    <row r="72" spans="1:7" s="52" customFormat="1" x14ac:dyDescent="0.25">
      <c r="A72" s="58"/>
      <c r="B72" s="58"/>
      <c r="C72" s="58"/>
      <c r="D72" s="58"/>
      <c r="E72" s="58"/>
      <c r="F72" s="58"/>
      <c r="G72" s="58"/>
    </row>
    <row r="73" spans="1:7" s="52" customFormat="1" x14ac:dyDescent="0.25">
      <c r="A73" s="58"/>
      <c r="B73" s="58"/>
      <c r="C73" s="58"/>
      <c r="D73" s="58"/>
      <c r="E73" s="58"/>
      <c r="F73" s="58"/>
      <c r="G73" s="58"/>
    </row>
    <row r="74" spans="1:7" s="52" customFormat="1" x14ac:dyDescent="0.25">
      <c r="A74" s="58"/>
      <c r="B74" s="58"/>
      <c r="C74" s="58"/>
      <c r="D74" s="58"/>
      <c r="E74" s="58"/>
      <c r="F74" s="58"/>
      <c r="G74" s="58"/>
    </row>
    <row r="75" spans="1:7" s="52" customFormat="1" x14ac:dyDescent="0.25">
      <c r="A75" s="58"/>
      <c r="B75" s="58"/>
      <c r="C75" s="58"/>
      <c r="D75" s="58"/>
      <c r="E75" s="58"/>
      <c r="F75" s="58"/>
      <c r="G75" s="58"/>
    </row>
    <row r="76" spans="1:7" s="52" customFormat="1" x14ac:dyDescent="0.25">
      <c r="A76" s="58"/>
      <c r="B76" s="58"/>
      <c r="C76" s="58"/>
      <c r="D76" s="58"/>
      <c r="E76" s="58"/>
      <c r="F76" s="58"/>
      <c r="G76" s="58"/>
    </row>
    <row r="77" spans="1:7" s="52" customFormat="1" x14ac:dyDescent="0.25">
      <c r="A77" s="58"/>
      <c r="B77" s="58"/>
      <c r="C77" s="58"/>
      <c r="D77" s="58"/>
      <c r="E77" s="58"/>
      <c r="F77" s="58"/>
      <c r="G77" s="58"/>
    </row>
    <row r="78" spans="1:7" s="52" customFormat="1" x14ac:dyDescent="0.25">
      <c r="A78" s="58"/>
      <c r="B78" s="58"/>
      <c r="C78" s="58"/>
      <c r="D78" s="58"/>
      <c r="E78" s="58"/>
      <c r="F78" s="58"/>
      <c r="G78" s="58"/>
    </row>
    <row r="79" spans="1:7" s="52" customFormat="1" x14ac:dyDescent="0.25">
      <c r="A79" s="58"/>
      <c r="B79" s="58"/>
      <c r="C79" s="58"/>
      <c r="D79" s="58"/>
      <c r="E79" s="58"/>
      <c r="F79" s="58"/>
      <c r="G79" s="58"/>
    </row>
    <row r="80" spans="1:7" s="52" customFormat="1" x14ac:dyDescent="0.25">
      <c r="A80" s="58"/>
      <c r="B80" s="58"/>
      <c r="C80" s="58"/>
      <c r="D80" s="58"/>
      <c r="E80" s="58"/>
      <c r="F80" s="58"/>
      <c r="G80" s="58"/>
    </row>
    <row r="81" spans="1:7" s="52" customFormat="1" x14ac:dyDescent="0.25">
      <c r="A81" s="58"/>
      <c r="B81" s="58"/>
      <c r="C81" s="58"/>
      <c r="D81" s="58"/>
      <c r="E81" s="58"/>
      <c r="F81" s="58"/>
      <c r="G81" s="58"/>
    </row>
    <row r="82" spans="1:7" s="52" customFormat="1" x14ac:dyDescent="0.25">
      <c r="A82" s="58"/>
      <c r="B82" s="58"/>
      <c r="C82" s="58"/>
      <c r="D82" s="58"/>
      <c r="E82" s="58"/>
      <c r="F82" s="58"/>
      <c r="G82" s="58"/>
    </row>
    <row r="83" spans="1:7" s="52" customFormat="1" x14ac:dyDescent="0.25">
      <c r="A83" s="58"/>
      <c r="B83" s="58"/>
      <c r="C83" s="58"/>
      <c r="D83" s="58"/>
      <c r="E83" s="58"/>
      <c r="F83" s="58"/>
      <c r="G83" s="58"/>
    </row>
    <row r="84" spans="1:7" s="52" customFormat="1" x14ac:dyDescent="0.25">
      <c r="A84" s="58"/>
      <c r="B84" s="58"/>
      <c r="C84" s="58"/>
      <c r="D84" s="58"/>
      <c r="E84" s="58"/>
      <c r="F84" s="58"/>
      <c r="G84" s="58"/>
    </row>
    <row r="85" spans="1:7" s="52" customFormat="1" x14ac:dyDescent="0.25">
      <c r="A85" s="58"/>
      <c r="B85" s="58"/>
      <c r="C85" s="58"/>
      <c r="D85" s="58"/>
      <c r="E85" s="58"/>
      <c r="F85" s="58"/>
      <c r="G85" s="58"/>
    </row>
    <row r="86" spans="1:7" s="52" customFormat="1" x14ac:dyDescent="0.25">
      <c r="A86" s="58"/>
      <c r="B86" s="58"/>
      <c r="C86" s="58"/>
      <c r="D86" s="58"/>
      <c r="E86" s="58"/>
      <c r="F86" s="58"/>
      <c r="G86" s="58"/>
    </row>
    <row r="87" spans="1:7" s="52" customFormat="1" x14ac:dyDescent="0.25">
      <c r="A87" s="58"/>
      <c r="B87" s="58"/>
      <c r="C87" s="58"/>
      <c r="D87" s="58"/>
      <c r="E87" s="58"/>
      <c r="F87" s="58"/>
      <c r="G87" s="58"/>
    </row>
    <row r="88" spans="1:7" s="52" customFormat="1" x14ac:dyDescent="0.25">
      <c r="A88" s="58"/>
      <c r="B88" s="58"/>
      <c r="C88" s="58"/>
      <c r="D88" s="58"/>
      <c r="E88" s="58"/>
      <c r="F88" s="58"/>
      <c r="G88" s="58"/>
    </row>
    <row r="89" spans="1:7" s="52" customFormat="1" x14ac:dyDescent="0.25">
      <c r="A89" s="58"/>
      <c r="B89" s="58"/>
      <c r="C89" s="58"/>
      <c r="D89" s="58"/>
      <c r="E89" s="58"/>
      <c r="F89" s="58"/>
      <c r="G89" s="58"/>
    </row>
    <row r="90" spans="1:7" s="52" customFormat="1" x14ac:dyDescent="0.25">
      <c r="A90" s="58"/>
      <c r="B90" s="58"/>
      <c r="C90" s="58"/>
      <c r="D90" s="58"/>
      <c r="E90" s="58"/>
      <c r="F90" s="58"/>
      <c r="G90" s="58"/>
    </row>
    <row r="91" spans="1:7" s="52" customFormat="1" x14ac:dyDescent="0.25">
      <c r="A91" s="58"/>
      <c r="B91" s="58"/>
      <c r="C91" s="58"/>
      <c r="D91" s="58"/>
      <c r="E91" s="58"/>
      <c r="F91" s="58"/>
      <c r="G91" s="58"/>
    </row>
    <row r="92" spans="1:7" s="52" customFormat="1" x14ac:dyDescent="0.25">
      <c r="A92" s="58"/>
      <c r="B92" s="58"/>
      <c r="C92" s="58"/>
      <c r="D92" s="58"/>
      <c r="E92" s="58"/>
      <c r="F92" s="58"/>
      <c r="G92" s="58"/>
    </row>
    <row r="93" spans="1:7" s="52" customFormat="1" x14ac:dyDescent="0.25">
      <c r="A93" s="58"/>
      <c r="B93" s="58"/>
      <c r="C93" s="58"/>
      <c r="D93" s="58"/>
      <c r="E93" s="58"/>
      <c r="F93" s="58"/>
      <c r="G93" s="58"/>
    </row>
    <row r="94" spans="1:7" s="52" customFormat="1" x14ac:dyDescent="0.25">
      <c r="A94" s="58"/>
      <c r="B94" s="58"/>
      <c r="C94" s="58"/>
      <c r="D94" s="58"/>
      <c r="E94" s="58"/>
      <c r="F94" s="58"/>
      <c r="G94" s="58"/>
    </row>
    <row r="95" spans="1:7" s="52" customFormat="1" x14ac:dyDescent="0.25">
      <c r="A95" s="58"/>
      <c r="B95" s="58"/>
      <c r="C95" s="58"/>
      <c r="D95" s="58"/>
      <c r="E95" s="58"/>
      <c r="F95" s="58"/>
      <c r="G95" s="58"/>
    </row>
    <row r="96" spans="1:7" s="52" customFormat="1" x14ac:dyDescent="0.25">
      <c r="A96" s="58"/>
      <c r="B96" s="58"/>
      <c r="C96" s="58"/>
      <c r="D96" s="58"/>
      <c r="E96" s="58"/>
      <c r="F96" s="58"/>
      <c r="G96" s="58"/>
    </row>
    <row r="97" spans="1:7" s="52" customFormat="1" x14ac:dyDescent="0.25">
      <c r="A97" s="58"/>
      <c r="B97" s="58"/>
      <c r="C97" s="58"/>
      <c r="D97" s="58"/>
      <c r="E97" s="58"/>
      <c r="F97" s="58"/>
      <c r="G97" s="58"/>
    </row>
    <row r="98" spans="1:7" s="52" customFormat="1" x14ac:dyDescent="0.25">
      <c r="A98" s="58"/>
      <c r="B98" s="58"/>
      <c r="C98" s="58"/>
      <c r="D98" s="58"/>
      <c r="E98" s="58"/>
      <c r="F98" s="58"/>
      <c r="G98" s="58"/>
    </row>
    <row r="99" spans="1:7" s="52" customFormat="1" x14ac:dyDescent="0.25">
      <c r="A99" s="58"/>
      <c r="B99" s="58"/>
      <c r="C99" s="58"/>
      <c r="D99" s="58"/>
      <c r="E99" s="58"/>
      <c r="F99" s="58"/>
      <c r="G99" s="58"/>
    </row>
    <row r="100" spans="1:7" s="52" customFormat="1" x14ac:dyDescent="0.25">
      <c r="A100" s="58"/>
      <c r="B100" s="58"/>
      <c r="C100" s="58"/>
      <c r="D100" s="58"/>
      <c r="E100" s="58"/>
      <c r="F100" s="58"/>
      <c r="G100" s="58"/>
    </row>
    <row r="101" spans="1:7" s="52" customFormat="1" x14ac:dyDescent="0.25">
      <c r="A101" s="58"/>
      <c r="B101" s="58"/>
      <c r="C101" s="58"/>
      <c r="D101" s="58"/>
      <c r="E101" s="58"/>
      <c r="F101" s="58"/>
      <c r="G101" s="58"/>
    </row>
    <row r="102" spans="1:7" s="52" customFormat="1" x14ac:dyDescent="0.25">
      <c r="A102" s="58"/>
      <c r="B102" s="58"/>
      <c r="C102" s="58"/>
      <c r="D102" s="58"/>
      <c r="E102" s="58"/>
      <c r="F102" s="58"/>
      <c r="G102" s="58"/>
    </row>
    <row r="103" spans="1:7" s="52" customFormat="1" x14ac:dyDescent="0.25">
      <c r="A103" s="58"/>
      <c r="B103" s="58"/>
      <c r="C103" s="58"/>
      <c r="D103" s="58"/>
      <c r="E103" s="58"/>
      <c r="F103" s="58"/>
      <c r="G103" s="58"/>
    </row>
    <row r="104" spans="1:7" s="52" customFormat="1" x14ac:dyDescent="0.25">
      <c r="A104" s="58"/>
      <c r="B104" s="58"/>
      <c r="C104" s="58"/>
      <c r="D104" s="58"/>
      <c r="E104" s="58"/>
      <c r="F104" s="58"/>
      <c r="G104" s="58"/>
    </row>
    <row r="105" spans="1:7" s="52" customFormat="1" x14ac:dyDescent="0.25">
      <c r="A105" s="58"/>
      <c r="B105" s="58"/>
      <c r="C105" s="58"/>
      <c r="D105" s="58"/>
      <c r="E105" s="58"/>
      <c r="F105" s="58"/>
      <c r="G105" s="58"/>
    </row>
    <row r="106" spans="1:7" s="52" customFormat="1" x14ac:dyDescent="0.25">
      <c r="A106" s="58"/>
      <c r="B106" s="58"/>
      <c r="C106" s="58"/>
      <c r="D106" s="58"/>
      <c r="E106" s="58"/>
      <c r="F106" s="58"/>
      <c r="G106" s="58"/>
    </row>
    <row r="107" spans="1:7" s="52" customFormat="1" x14ac:dyDescent="0.25">
      <c r="A107" s="58"/>
      <c r="B107" s="58"/>
      <c r="C107" s="58"/>
      <c r="D107" s="58"/>
      <c r="E107" s="58"/>
      <c r="F107" s="58"/>
      <c r="G107" s="58"/>
    </row>
    <row r="108" spans="1:7" s="52" customFormat="1" x14ac:dyDescent="0.25">
      <c r="A108" s="58"/>
      <c r="B108" s="58"/>
      <c r="C108" s="58"/>
      <c r="D108" s="58"/>
      <c r="E108" s="58"/>
      <c r="F108" s="58"/>
      <c r="G108" s="58"/>
    </row>
    <row r="109" spans="1:7" s="52" customFormat="1" x14ac:dyDescent="0.25">
      <c r="A109" s="58"/>
      <c r="B109" s="58"/>
      <c r="C109" s="58"/>
      <c r="D109" s="58"/>
      <c r="E109" s="58"/>
      <c r="F109" s="58"/>
      <c r="G109" s="58"/>
    </row>
    <row r="110" spans="1:7" s="52" customFormat="1" x14ac:dyDescent="0.25">
      <c r="A110" s="58"/>
      <c r="B110" s="58"/>
      <c r="C110" s="58"/>
      <c r="D110" s="58"/>
      <c r="E110" s="58"/>
      <c r="F110" s="58"/>
      <c r="G110" s="58"/>
    </row>
    <row r="111" spans="1:7" s="52" customFormat="1" x14ac:dyDescent="0.25">
      <c r="A111" s="58"/>
      <c r="B111" s="58"/>
      <c r="C111" s="58"/>
      <c r="D111" s="58"/>
      <c r="E111" s="58"/>
      <c r="F111" s="58"/>
      <c r="G111" s="58"/>
    </row>
    <row r="112" spans="1:7" s="52" customFormat="1" x14ac:dyDescent="0.25">
      <c r="A112" s="58"/>
      <c r="B112" s="58"/>
      <c r="C112" s="58"/>
      <c r="D112" s="58"/>
      <c r="E112" s="58"/>
      <c r="F112" s="58"/>
      <c r="G112" s="58"/>
    </row>
    <row r="113" spans="1:7" s="52" customFormat="1" x14ac:dyDescent="0.25">
      <c r="A113" s="58"/>
      <c r="B113" s="58"/>
      <c r="C113" s="58"/>
      <c r="D113" s="58"/>
      <c r="E113" s="58"/>
      <c r="F113" s="58"/>
      <c r="G113" s="58"/>
    </row>
    <row r="114" spans="1:7" s="52" customFormat="1" x14ac:dyDescent="0.25">
      <c r="A114" s="58"/>
      <c r="B114" s="58"/>
      <c r="C114" s="58"/>
      <c r="D114" s="58"/>
      <c r="E114" s="58"/>
      <c r="F114" s="58"/>
      <c r="G114" s="58"/>
    </row>
    <row r="115" spans="1:7" s="52" customFormat="1" x14ac:dyDescent="0.25">
      <c r="A115" s="58"/>
      <c r="B115" s="58"/>
      <c r="C115" s="58"/>
      <c r="D115" s="58"/>
      <c r="E115" s="58"/>
      <c r="F115" s="58"/>
      <c r="G115" s="58"/>
    </row>
    <row r="116" spans="1:7" s="52" customFormat="1" x14ac:dyDescent="0.25">
      <c r="A116" s="58"/>
      <c r="B116" s="58"/>
      <c r="C116" s="58"/>
      <c r="D116" s="58"/>
      <c r="E116" s="58"/>
      <c r="F116" s="58"/>
      <c r="G116" s="58"/>
    </row>
    <row r="117" spans="1:7" s="52" customFormat="1" x14ac:dyDescent="0.25">
      <c r="A117" s="58"/>
      <c r="B117" s="58"/>
      <c r="C117" s="58"/>
      <c r="D117" s="58"/>
      <c r="E117" s="58"/>
      <c r="F117" s="58"/>
      <c r="G117" s="58"/>
    </row>
    <row r="118" spans="1:7" s="52" customFormat="1" x14ac:dyDescent="0.25">
      <c r="A118" s="58"/>
      <c r="B118" s="58"/>
      <c r="C118" s="58"/>
      <c r="D118" s="58"/>
      <c r="E118" s="58"/>
      <c r="F118" s="58"/>
      <c r="G118" s="58"/>
    </row>
    <row r="119" spans="1:7" s="52" customFormat="1" x14ac:dyDescent="0.25">
      <c r="A119" s="58"/>
      <c r="B119" s="58"/>
      <c r="C119" s="58"/>
      <c r="D119" s="58"/>
      <c r="E119" s="58"/>
      <c r="F119" s="58"/>
      <c r="G119" s="58"/>
    </row>
    <row r="120" spans="1:7" s="52" customFormat="1" x14ac:dyDescent="0.25">
      <c r="A120" s="58"/>
      <c r="B120" s="58"/>
      <c r="C120" s="58"/>
      <c r="D120" s="58"/>
      <c r="E120" s="58"/>
      <c r="F120" s="58"/>
      <c r="G120" s="58"/>
    </row>
    <row r="121" spans="1:7" s="52" customFormat="1" x14ac:dyDescent="0.25">
      <c r="A121" s="58"/>
      <c r="B121" s="58"/>
      <c r="C121" s="58"/>
      <c r="D121" s="58"/>
      <c r="E121" s="58"/>
      <c r="F121" s="58"/>
      <c r="G121" s="58"/>
    </row>
    <row r="122" spans="1:7" s="52" customFormat="1" x14ac:dyDescent="0.25">
      <c r="A122" s="58"/>
      <c r="B122" s="58"/>
      <c r="C122" s="58"/>
      <c r="D122" s="58"/>
      <c r="E122" s="58"/>
      <c r="F122" s="58"/>
      <c r="G122" s="58"/>
    </row>
    <row r="123" spans="1:7" s="52" customFormat="1" x14ac:dyDescent="0.25">
      <c r="A123" s="58"/>
      <c r="B123" s="58"/>
      <c r="C123" s="58"/>
      <c r="D123" s="58"/>
      <c r="E123" s="58"/>
      <c r="F123" s="58"/>
      <c r="G123" s="58"/>
    </row>
    <row r="124" spans="1:7" s="52" customFormat="1" x14ac:dyDescent="0.25">
      <c r="A124" s="58"/>
      <c r="B124" s="58"/>
      <c r="C124" s="58"/>
      <c r="D124" s="58"/>
      <c r="E124" s="58"/>
      <c r="F124" s="58"/>
      <c r="G124" s="58"/>
    </row>
    <row r="125" spans="1:7" s="52" customFormat="1" x14ac:dyDescent="0.25">
      <c r="A125" s="58"/>
      <c r="B125" s="58"/>
      <c r="C125" s="58"/>
      <c r="D125" s="58"/>
      <c r="E125" s="58"/>
      <c r="F125" s="58"/>
      <c r="G125" s="58"/>
    </row>
    <row r="126" spans="1:7" s="52" customFormat="1" x14ac:dyDescent="0.25">
      <c r="A126" s="58"/>
      <c r="B126" s="58"/>
      <c r="C126" s="58"/>
      <c r="D126" s="58"/>
      <c r="E126" s="58"/>
      <c r="F126" s="58"/>
      <c r="G126" s="58"/>
    </row>
    <row r="127" spans="1:7" s="52" customFormat="1" x14ac:dyDescent="0.25">
      <c r="A127" s="58"/>
      <c r="B127" s="58"/>
      <c r="C127" s="58"/>
      <c r="D127" s="58"/>
      <c r="E127" s="58"/>
      <c r="F127" s="58"/>
      <c r="G127" s="58"/>
    </row>
    <row r="128" spans="1:7" s="52" customFormat="1" x14ac:dyDescent="0.25">
      <c r="A128" s="58"/>
      <c r="B128" s="58"/>
      <c r="C128" s="58"/>
      <c r="D128" s="58"/>
      <c r="E128" s="58"/>
      <c r="F128" s="58"/>
      <c r="G128" s="58"/>
    </row>
    <row r="129" spans="1:7" s="52" customFormat="1" x14ac:dyDescent="0.25">
      <c r="A129" s="58"/>
      <c r="B129" s="58"/>
      <c r="C129" s="58"/>
      <c r="D129" s="58"/>
      <c r="E129" s="58"/>
      <c r="F129" s="58"/>
      <c r="G129" s="58"/>
    </row>
    <row r="130" spans="1:7" s="52" customFormat="1" x14ac:dyDescent="0.25">
      <c r="A130" s="58"/>
      <c r="B130" s="58"/>
      <c r="C130" s="58"/>
      <c r="D130" s="58"/>
      <c r="E130" s="58"/>
      <c r="F130" s="58"/>
      <c r="G130" s="58"/>
    </row>
    <row r="131" spans="1:7" s="52" customFormat="1" x14ac:dyDescent="0.25">
      <c r="A131" s="58"/>
      <c r="B131" s="58"/>
      <c r="C131" s="58"/>
      <c r="D131" s="58"/>
      <c r="E131" s="58"/>
      <c r="F131" s="58"/>
      <c r="G131" s="58"/>
    </row>
    <row r="132" spans="1:7" s="52" customFormat="1" x14ac:dyDescent="0.25">
      <c r="A132" s="58"/>
      <c r="B132" s="58"/>
      <c r="C132" s="58"/>
      <c r="D132" s="58"/>
      <c r="E132" s="58"/>
      <c r="F132" s="58"/>
      <c r="G132" s="58"/>
    </row>
    <row r="133" spans="1:7" s="52" customFormat="1" x14ac:dyDescent="0.25">
      <c r="A133" s="58"/>
      <c r="B133" s="58"/>
      <c r="C133" s="58"/>
      <c r="D133" s="58"/>
      <c r="E133" s="58"/>
      <c r="F133" s="58"/>
      <c r="G133" s="58"/>
    </row>
    <row r="134" spans="1:7" s="52" customFormat="1" x14ac:dyDescent="0.25">
      <c r="A134" s="58"/>
      <c r="B134" s="58"/>
      <c r="C134" s="58"/>
      <c r="D134" s="58"/>
      <c r="E134" s="58"/>
      <c r="F134" s="58"/>
      <c r="G134" s="58"/>
    </row>
    <row r="135" spans="1:7" s="52" customFormat="1" x14ac:dyDescent="0.25">
      <c r="A135" s="58"/>
      <c r="B135" s="58"/>
      <c r="C135" s="58"/>
      <c r="D135" s="58"/>
      <c r="E135" s="58"/>
      <c r="F135" s="58"/>
      <c r="G135" s="58"/>
    </row>
    <row r="136" spans="1:7" s="52" customFormat="1" x14ac:dyDescent="0.25">
      <c r="A136" s="58"/>
      <c r="B136" s="58"/>
      <c r="C136" s="58"/>
      <c r="D136" s="58"/>
      <c r="E136" s="58"/>
      <c r="F136" s="58"/>
      <c r="G136" s="58"/>
    </row>
    <row r="137" spans="1:7" s="52" customFormat="1" x14ac:dyDescent="0.25">
      <c r="A137" s="58"/>
      <c r="B137" s="58"/>
      <c r="C137" s="58"/>
      <c r="D137" s="58"/>
      <c r="E137" s="58"/>
      <c r="F137" s="58"/>
      <c r="G137" s="58"/>
    </row>
    <row r="138" spans="1:7" s="52" customFormat="1" x14ac:dyDescent="0.25">
      <c r="A138" s="58"/>
      <c r="B138" s="58"/>
      <c r="C138" s="58"/>
      <c r="D138" s="58"/>
      <c r="E138" s="58"/>
      <c r="F138" s="58"/>
      <c r="G138" s="58"/>
    </row>
    <row r="139" spans="1:7" s="52" customFormat="1" x14ac:dyDescent="0.25">
      <c r="A139" s="58"/>
      <c r="B139" s="58"/>
      <c r="C139" s="58"/>
      <c r="D139" s="58"/>
      <c r="E139" s="58"/>
      <c r="F139" s="58"/>
      <c r="G139" s="58"/>
    </row>
    <row r="140" spans="1:7" s="52" customFormat="1" x14ac:dyDescent="0.25">
      <c r="A140" s="58"/>
      <c r="B140" s="58"/>
      <c r="C140" s="58"/>
      <c r="D140" s="58"/>
      <c r="E140" s="58"/>
      <c r="F140" s="58"/>
      <c r="G140" s="58"/>
    </row>
    <row r="141" spans="1:7" s="52" customFormat="1" x14ac:dyDescent="0.25">
      <c r="A141" s="58"/>
      <c r="B141" s="58"/>
      <c r="C141" s="58"/>
      <c r="D141" s="58"/>
      <c r="E141" s="58"/>
      <c r="F141" s="58"/>
      <c r="G141" s="58"/>
    </row>
    <row r="142" spans="1:7" s="52" customFormat="1" x14ac:dyDescent="0.25">
      <c r="A142" s="58"/>
      <c r="B142" s="58"/>
      <c r="C142" s="58"/>
      <c r="D142" s="58"/>
      <c r="E142" s="58"/>
      <c r="F142" s="58"/>
      <c r="G142" s="58"/>
    </row>
    <row r="143" spans="1:7" s="52" customFormat="1" x14ac:dyDescent="0.25">
      <c r="A143" s="58"/>
      <c r="B143" s="58"/>
      <c r="C143" s="58"/>
      <c r="D143" s="58"/>
      <c r="E143" s="58"/>
      <c r="F143" s="58"/>
      <c r="G143" s="58"/>
    </row>
    <row r="144" spans="1:7" s="52" customFormat="1" x14ac:dyDescent="0.25">
      <c r="A144" s="58"/>
      <c r="B144" s="58"/>
      <c r="C144" s="58"/>
      <c r="D144" s="58"/>
      <c r="E144" s="58"/>
      <c r="F144" s="58"/>
      <c r="G144" s="58"/>
    </row>
    <row r="145" spans="1:7" s="52" customFormat="1" x14ac:dyDescent="0.25">
      <c r="A145" s="58"/>
      <c r="B145" s="58"/>
      <c r="C145" s="58"/>
      <c r="D145" s="58"/>
      <c r="E145" s="58"/>
      <c r="F145" s="58"/>
      <c r="G145" s="58"/>
    </row>
    <row r="146" spans="1:7" s="52" customFormat="1" x14ac:dyDescent="0.25">
      <c r="A146" s="58"/>
      <c r="B146" s="58"/>
      <c r="C146" s="58"/>
      <c r="D146" s="58"/>
      <c r="E146" s="58"/>
      <c r="F146" s="58"/>
      <c r="G146" s="58"/>
    </row>
    <row r="147" spans="1:7" s="52" customFormat="1" x14ac:dyDescent="0.25">
      <c r="A147" s="58"/>
      <c r="B147" s="58"/>
      <c r="C147" s="58"/>
      <c r="D147" s="58"/>
      <c r="E147" s="58"/>
      <c r="F147" s="58"/>
      <c r="G147" s="58"/>
    </row>
    <row r="148" spans="1:7" s="52" customFormat="1" x14ac:dyDescent="0.25">
      <c r="A148" s="58"/>
      <c r="B148" s="58"/>
      <c r="C148" s="58"/>
      <c r="D148" s="58"/>
      <c r="E148" s="58"/>
      <c r="F148" s="58"/>
      <c r="G148" s="58"/>
    </row>
    <row r="149" spans="1:7" s="52" customFormat="1" x14ac:dyDescent="0.25">
      <c r="A149" s="58"/>
      <c r="B149" s="58"/>
      <c r="C149" s="58"/>
      <c r="D149" s="58"/>
      <c r="E149" s="58"/>
      <c r="F149" s="58"/>
      <c r="G149" s="58"/>
    </row>
    <row r="150" spans="1:7" s="52" customFormat="1" x14ac:dyDescent="0.25">
      <c r="A150" s="58"/>
      <c r="B150" s="58"/>
      <c r="C150" s="58"/>
      <c r="D150" s="58"/>
      <c r="E150" s="58"/>
      <c r="F150" s="58"/>
      <c r="G150" s="58"/>
    </row>
    <row r="151" spans="1:7" s="52" customFormat="1" x14ac:dyDescent="0.25">
      <c r="A151" s="58"/>
      <c r="B151" s="58"/>
      <c r="C151" s="58"/>
      <c r="D151" s="58"/>
      <c r="E151" s="58"/>
      <c r="F151" s="58"/>
      <c r="G151" s="58"/>
    </row>
    <row r="152" spans="1:7" s="52" customFormat="1" x14ac:dyDescent="0.25">
      <c r="A152" s="58"/>
      <c r="B152" s="58"/>
      <c r="C152" s="58"/>
      <c r="D152" s="58"/>
      <c r="E152" s="58"/>
      <c r="F152" s="58"/>
      <c r="G152" s="58"/>
    </row>
    <row r="153" spans="1:7" s="52" customFormat="1" x14ac:dyDescent="0.25">
      <c r="A153" s="58"/>
      <c r="B153" s="58"/>
      <c r="C153" s="58"/>
      <c r="D153" s="58"/>
      <c r="E153" s="58"/>
      <c r="F153" s="58"/>
      <c r="G153" s="58"/>
    </row>
    <row r="154" spans="1:7" s="52" customFormat="1" x14ac:dyDescent="0.25">
      <c r="A154" s="58"/>
      <c r="B154" s="58"/>
      <c r="C154" s="58"/>
      <c r="D154" s="58"/>
      <c r="E154" s="58"/>
      <c r="F154" s="58"/>
      <c r="G154" s="58"/>
    </row>
    <row r="155" spans="1:7" s="52" customFormat="1" x14ac:dyDescent="0.25">
      <c r="A155" s="58"/>
      <c r="B155" s="58"/>
      <c r="C155" s="58"/>
      <c r="D155" s="58"/>
      <c r="E155" s="58"/>
      <c r="F155" s="58"/>
      <c r="G155" s="58"/>
    </row>
    <row r="156" spans="1:7" s="52" customFormat="1" x14ac:dyDescent="0.25">
      <c r="A156" s="58"/>
      <c r="B156" s="58"/>
      <c r="C156" s="58"/>
      <c r="D156" s="58"/>
      <c r="E156" s="58"/>
      <c r="F156" s="58"/>
      <c r="G156" s="58"/>
    </row>
    <row r="157" spans="1:7" s="52" customFormat="1" x14ac:dyDescent="0.25">
      <c r="A157" s="58"/>
      <c r="B157" s="58"/>
      <c r="C157" s="58"/>
      <c r="D157" s="58"/>
      <c r="E157" s="58"/>
      <c r="F157" s="58"/>
      <c r="G157" s="58"/>
    </row>
    <row r="158" spans="1:7" s="52" customFormat="1" x14ac:dyDescent="0.25">
      <c r="A158" s="58"/>
      <c r="B158" s="58"/>
      <c r="C158" s="58"/>
      <c r="D158" s="58"/>
      <c r="E158" s="58"/>
      <c r="F158" s="58"/>
      <c r="G158" s="58"/>
    </row>
    <row r="159" spans="1:7" s="52" customFormat="1" x14ac:dyDescent="0.25">
      <c r="A159" s="58"/>
      <c r="B159" s="58"/>
      <c r="C159" s="58"/>
      <c r="D159" s="58"/>
      <c r="E159" s="58"/>
      <c r="F159" s="58"/>
      <c r="G159" s="58"/>
    </row>
    <row r="160" spans="1:7" s="52" customFormat="1" x14ac:dyDescent="0.25">
      <c r="A160" s="58"/>
      <c r="B160" s="58"/>
      <c r="C160" s="58"/>
      <c r="D160" s="58"/>
      <c r="E160" s="58"/>
      <c r="F160" s="58"/>
      <c r="G160" s="58"/>
    </row>
    <row r="161" spans="1:7" s="52" customFormat="1" x14ac:dyDescent="0.25">
      <c r="A161" s="58"/>
      <c r="B161" s="58"/>
      <c r="C161" s="58"/>
      <c r="D161" s="58"/>
      <c r="E161" s="58"/>
      <c r="F161" s="58"/>
      <c r="G161" s="58"/>
    </row>
    <row r="162" spans="1:7" s="52" customFormat="1" x14ac:dyDescent="0.25">
      <c r="A162" s="58"/>
      <c r="B162" s="58"/>
      <c r="C162" s="58"/>
      <c r="D162" s="58"/>
      <c r="E162" s="58"/>
      <c r="F162" s="58"/>
      <c r="G162" s="58"/>
    </row>
    <row r="163" spans="1:7" s="52" customFormat="1" x14ac:dyDescent="0.25">
      <c r="A163" s="58"/>
      <c r="B163" s="58"/>
      <c r="C163" s="58"/>
      <c r="D163" s="58"/>
      <c r="E163" s="58"/>
      <c r="F163" s="58"/>
      <c r="G163" s="58"/>
    </row>
    <row r="164" spans="1:7" s="52" customFormat="1" x14ac:dyDescent="0.25">
      <c r="A164" s="58"/>
      <c r="B164" s="58"/>
      <c r="C164" s="58"/>
      <c r="D164" s="58"/>
      <c r="E164" s="58"/>
      <c r="F164" s="58"/>
      <c r="G164" s="58"/>
    </row>
    <row r="165" spans="1:7" s="52" customFormat="1" x14ac:dyDescent="0.25">
      <c r="A165" s="58"/>
      <c r="B165" s="58"/>
      <c r="C165" s="58"/>
      <c r="D165" s="58"/>
      <c r="E165" s="58"/>
      <c r="F165" s="58"/>
      <c r="G165" s="58"/>
    </row>
    <row r="166" spans="1:7" s="52" customFormat="1" x14ac:dyDescent="0.25">
      <c r="A166" s="58"/>
      <c r="B166" s="58"/>
      <c r="C166" s="58"/>
      <c r="D166" s="58"/>
      <c r="E166" s="58"/>
      <c r="F166" s="58"/>
      <c r="G166" s="58"/>
    </row>
    <row r="167" spans="1:7" s="52" customFormat="1" x14ac:dyDescent="0.25">
      <c r="A167" s="58"/>
      <c r="B167" s="58"/>
      <c r="C167" s="58"/>
      <c r="D167" s="58"/>
      <c r="E167" s="58"/>
      <c r="F167" s="58"/>
      <c r="G167" s="58"/>
    </row>
    <row r="168" spans="1:7" s="52" customFormat="1" x14ac:dyDescent="0.25">
      <c r="A168" s="58"/>
      <c r="B168" s="58"/>
      <c r="C168" s="58"/>
      <c r="D168" s="58"/>
      <c r="E168" s="58"/>
      <c r="F168" s="58"/>
      <c r="G168" s="58"/>
    </row>
    <row r="169" spans="1:7" s="52" customFormat="1" x14ac:dyDescent="0.25">
      <c r="A169" s="58"/>
      <c r="B169" s="58"/>
      <c r="C169" s="58"/>
      <c r="D169" s="58"/>
      <c r="E169" s="58"/>
      <c r="F169" s="58"/>
      <c r="G169" s="58"/>
    </row>
    <row r="170" spans="1:7" s="52" customFormat="1" x14ac:dyDescent="0.25">
      <c r="A170" s="58"/>
      <c r="B170" s="58"/>
      <c r="C170" s="58"/>
      <c r="D170" s="58"/>
      <c r="E170" s="58"/>
      <c r="F170" s="58"/>
      <c r="G170" s="58"/>
    </row>
    <row r="171" spans="1:7" s="52" customFormat="1" x14ac:dyDescent="0.25">
      <c r="A171" s="58"/>
      <c r="B171" s="58"/>
      <c r="C171" s="58"/>
      <c r="D171" s="58"/>
      <c r="E171" s="58"/>
      <c r="F171" s="58"/>
      <c r="G171" s="58"/>
    </row>
    <row r="172" spans="1:7" s="52" customFormat="1" x14ac:dyDescent="0.25">
      <c r="A172" s="58"/>
      <c r="B172" s="58"/>
      <c r="C172" s="58"/>
      <c r="D172" s="58"/>
      <c r="E172" s="58"/>
      <c r="F172" s="58"/>
      <c r="G172" s="58"/>
    </row>
    <row r="173" spans="1:7" s="52" customFormat="1" x14ac:dyDescent="0.25">
      <c r="A173" s="58"/>
      <c r="B173" s="58"/>
      <c r="C173" s="58"/>
      <c r="D173" s="58"/>
      <c r="E173" s="58"/>
      <c r="F173" s="58"/>
      <c r="G173" s="58"/>
    </row>
  </sheetData>
  <mergeCells count="7">
    <mergeCell ref="E7:G7"/>
    <mergeCell ref="A1:G1"/>
    <mergeCell ref="A2:G2"/>
    <mergeCell ref="A3:G3"/>
    <mergeCell ref="A5:G5"/>
    <mergeCell ref="A4:G4"/>
    <mergeCell ref="E6:G6"/>
  </mergeCells>
  <pageMargins left="0.9055118110236221" right="0.70866141732283472" top="0.94488188976377963" bottom="0.74803149606299213" header="0.31496062992125984" footer="0.31496062992125984"/>
  <pageSetup paperSize="9" scale="95"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688"/>
  <sheetViews>
    <sheetView showGridLines="0" tabSelected="1" view="pageBreakPreview" topLeftCell="G3" zoomScale="60" zoomScaleNormal="82" workbookViewId="0">
      <pane ySplit="15" topLeftCell="A20" activePane="bottomLeft" state="frozen"/>
      <selection activeCell="E3" sqref="E3"/>
      <selection pane="bottomLeft" activeCell="S24" sqref="S24"/>
    </sheetView>
  </sheetViews>
  <sheetFormatPr baseColWidth="10" defaultColWidth="11.42578125" defaultRowHeight="15.75" x14ac:dyDescent="0.3"/>
  <cols>
    <col min="1" max="1" width="6" style="2" customWidth="1"/>
    <col min="2" max="2" width="5.7109375" style="2" customWidth="1"/>
    <col min="3" max="3" width="6.140625" style="2" customWidth="1"/>
    <col min="4" max="4" width="5.42578125" style="2" customWidth="1"/>
    <col min="5" max="5" width="6.42578125" style="2" customWidth="1"/>
    <col min="6" max="6" width="76.42578125" style="2" customWidth="1"/>
    <col min="7" max="7" width="18.5703125" style="2" bestFit="1" customWidth="1"/>
    <col min="8" max="8" width="16.5703125" style="2" customWidth="1"/>
    <col min="9" max="9" width="14.85546875" style="2" customWidth="1"/>
    <col min="10" max="10" width="15" style="2" customWidth="1"/>
    <col min="11" max="11" width="14" style="2" customWidth="1"/>
    <col min="12" max="12" width="15.7109375" style="2" customWidth="1"/>
    <col min="13" max="13" width="16.28515625" style="2" customWidth="1"/>
    <col min="14" max="14" width="15.5703125" style="2" customWidth="1"/>
    <col min="15" max="15" width="11.42578125" style="1"/>
    <col min="16" max="16" width="18.7109375" style="59" bestFit="1" customWidth="1"/>
    <col min="17" max="44" width="11.42578125" style="59"/>
    <col min="45" max="16384" width="11.42578125" style="1"/>
  </cols>
  <sheetData>
    <row r="1" spans="1:15" ht="15.75" customHeight="1" x14ac:dyDescent="0.2">
      <c r="A1" s="456" t="str">
        <f>+PPNE1!B1</f>
        <v>Plan Operativo Anual</v>
      </c>
      <c r="B1" s="457"/>
      <c r="C1" s="457"/>
      <c r="D1" s="457"/>
      <c r="E1" s="457"/>
      <c r="F1" s="457"/>
      <c r="G1" s="457"/>
      <c r="H1" s="457"/>
      <c r="I1" s="457"/>
      <c r="J1" s="457"/>
      <c r="K1" s="457"/>
      <c r="L1" s="457"/>
      <c r="M1" s="457"/>
      <c r="N1" s="457"/>
      <c r="O1" s="458"/>
    </row>
    <row r="2" spans="1:15" ht="15.75" customHeight="1" x14ac:dyDescent="0.25">
      <c r="A2" s="459" t="s">
        <v>269</v>
      </c>
      <c r="B2" s="450"/>
      <c r="C2" s="450"/>
      <c r="D2" s="450"/>
      <c r="E2" s="450"/>
      <c r="F2" s="450"/>
      <c r="G2" s="450"/>
      <c r="H2" s="450"/>
      <c r="I2" s="450"/>
      <c r="J2" s="450"/>
      <c r="K2" s="450"/>
      <c r="L2" s="450"/>
      <c r="M2" s="450"/>
      <c r="N2" s="450"/>
      <c r="O2" s="460"/>
    </row>
    <row r="3" spans="1:15" ht="15.75" customHeight="1" x14ac:dyDescent="0.25">
      <c r="A3" s="461" t="s">
        <v>270</v>
      </c>
      <c r="B3" s="452"/>
      <c r="C3" s="452"/>
      <c r="D3" s="452"/>
      <c r="E3" s="452"/>
      <c r="F3" s="452"/>
      <c r="G3" s="452"/>
      <c r="H3" s="452"/>
      <c r="I3" s="452"/>
      <c r="J3" s="452"/>
      <c r="K3" s="452"/>
      <c r="L3" s="452"/>
      <c r="M3" s="452"/>
      <c r="N3" s="452"/>
      <c r="O3" s="462"/>
    </row>
    <row r="4" spans="1:15" ht="15.75" customHeight="1" x14ac:dyDescent="0.2">
      <c r="A4" s="453" t="s">
        <v>53</v>
      </c>
      <c r="B4" s="454"/>
      <c r="C4" s="454"/>
      <c r="D4" s="454"/>
      <c r="E4" s="454"/>
      <c r="F4" s="454"/>
      <c r="G4" s="454"/>
      <c r="H4" s="454"/>
      <c r="I4" s="454"/>
      <c r="J4" s="454"/>
      <c r="K4" s="454"/>
      <c r="L4" s="454"/>
      <c r="M4" s="454"/>
      <c r="N4" s="454"/>
      <c r="O4" s="463"/>
    </row>
    <row r="5" spans="1:15" ht="15.75" customHeight="1" x14ac:dyDescent="0.2">
      <c r="A5" s="453">
        <f>+PPNE1!C5</f>
        <v>2026</v>
      </c>
      <c r="B5" s="454"/>
      <c r="C5" s="454"/>
      <c r="D5" s="454"/>
      <c r="E5" s="454"/>
      <c r="F5" s="454"/>
      <c r="G5" s="454"/>
      <c r="H5" s="454"/>
      <c r="I5" s="454"/>
      <c r="J5" s="454"/>
      <c r="K5" s="454"/>
      <c r="L5" s="454"/>
      <c r="M5" s="454"/>
      <c r="N5" s="454"/>
      <c r="O5" s="463"/>
    </row>
    <row r="6" spans="1:15" ht="15.75" customHeight="1" x14ac:dyDescent="0.2">
      <c r="A6" s="15" t="s">
        <v>214</v>
      </c>
      <c r="B6" s="5"/>
      <c r="C6" s="5"/>
      <c r="D6" s="5"/>
      <c r="E6" s="5"/>
      <c r="F6" s="455" t="str">
        <f>+PPNE1!B6</f>
        <v>Cibao Norte</v>
      </c>
      <c r="G6" s="455"/>
      <c r="H6" s="455"/>
      <c r="I6" s="455"/>
      <c r="J6" s="455"/>
      <c r="K6" s="455"/>
      <c r="L6" s="455"/>
      <c r="M6" s="455"/>
      <c r="N6" s="455"/>
      <c r="O6" s="464"/>
    </row>
    <row r="7" spans="1:15" ht="15.75" customHeight="1" x14ac:dyDescent="0.2">
      <c r="A7" s="18" t="s">
        <v>213</v>
      </c>
      <c r="B7" s="19"/>
      <c r="C7" s="19"/>
      <c r="D7" s="16"/>
      <c r="E7" s="19"/>
      <c r="F7" s="465">
        <f>+PPNE1!B7</f>
        <v>0</v>
      </c>
      <c r="G7" s="465"/>
      <c r="H7" s="465"/>
      <c r="I7" s="465"/>
      <c r="J7" s="465"/>
      <c r="K7" s="465"/>
      <c r="L7" s="465"/>
      <c r="M7" s="465"/>
      <c r="N7" s="465"/>
      <c r="O7" s="466"/>
    </row>
    <row r="8" spans="1:15" ht="15.75" customHeight="1" x14ac:dyDescent="0.2">
      <c r="A8" s="22" t="s">
        <v>46</v>
      </c>
      <c r="B8" s="23"/>
      <c r="C8" s="23"/>
      <c r="D8" s="23"/>
      <c r="E8" s="23"/>
      <c r="F8" s="23"/>
      <c r="G8" s="23"/>
      <c r="H8" s="23"/>
      <c r="I8" s="23"/>
      <c r="J8" s="23"/>
      <c r="K8" s="23"/>
      <c r="L8" s="23"/>
      <c r="M8" s="23"/>
      <c r="N8" s="23"/>
      <c r="O8" s="24"/>
    </row>
    <row r="9" spans="1:15" ht="13.5" x14ac:dyDescent="0.25">
      <c r="A9" s="42" t="s">
        <v>212</v>
      </c>
      <c r="B9" s="3"/>
      <c r="C9" s="3"/>
      <c r="D9" s="3"/>
      <c r="E9" s="43"/>
      <c r="F9" s="44"/>
      <c r="G9" s="55">
        <f>+PPNE3!F16</f>
        <v>0</v>
      </c>
      <c r="H9" s="41"/>
      <c r="I9" s="41"/>
      <c r="J9" s="41"/>
      <c r="K9" s="41"/>
      <c r="L9" s="41"/>
      <c r="M9" s="41"/>
      <c r="N9" s="41"/>
      <c r="O9" s="45"/>
    </row>
    <row r="10" spans="1:15" ht="13.5" x14ac:dyDescent="0.25">
      <c r="A10" s="42" t="s">
        <v>41</v>
      </c>
      <c r="B10" s="3"/>
      <c r="C10" s="3"/>
      <c r="D10" s="3"/>
      <c r="E10" s="43"/>
      <c r="F10" s="44"/>
      <c r="G10" s="55">
        <f>+PPNE3!F25</f>
        <v>93121626.870000005</v>
      </c>
      <c r="H10" s="41"/>
      <c r="I10" s="41"/>
      <c r="J10" s="41"/>
      <c r="K10" s="41"/>
      <c r="L10" s="41"/>
      <c r="M10" s="41"/>
      <c r="N10" s="41"/>
      <c r="O10" s="45"/>
    </row>
    <row r="11" spans="1:15" ht="13.5" x14ac:dyDescent="0.25">
      <c r="A11" s="42" t="s">
        <v>279</v>
      </c>
      <c r="B11" s="3"/>
      <c r="C11" s="3"/>
      <c r="D11" s="3"/>
      <c r="E11" s="43"/>
      <c r="F11" s="44"/>
      <c r="G11" s="55">
        <f>+PPNE3!F15</f>
        <v>0</v>
      </c>
      <c r="H11" s="41"/>
      <c r="I11" s="41"/>
      <c r="J11" s="41"/>
      <c r="K11" s="41"/>
      <c r="L11" s="41"/>
      <c r="M11" s="41"/>
      <c r="N11" s="41"/>
      <c r="O11" s="45"/>
    </row>
    <row r="12" spans="1:15" ht="13.5" x14ac:dyDescent="0.25">
      <c r="A12" s="42" t="s">
        <v>42</v>
      </c>
      <c r="B12" s="3"/>
      <c r="C12" s="3"/>
      <c r="D12" s="3"/>
      <c r="E12" s="43"/>
      <c r="F12" s="44"/>
      <c r="G12" s="55">
        <f>+PPNE3!F9+PPNE3!F17+PPNE3!F21+PPNE3!F22</f>
        <v>0</v>
      </c>
      <c r="H12" s="41"/>
      <c r="I12" s="41"/>
      <c r="J12" s="41"/>
      <c r="K12" s="41"/>
      <c r="L12" s="41"/>
      <c r="M12" s="41"/>
      <c r="N12" s="41"/>
      <c r="O12" s="45"/>
    </row>
    <row r="13" spans="1:15" ht="13.5" x14ac:dyDescent="0.25">
      <c r="A13" s="46" t="s">
        <v>52</v>
      </c>
      <c r="B13" s="3"/>
      <c r="C13" s="3"/>
      <c r="D13" s="3"/>
      <c r="E13" s="43"/>
      <c r="F13" s="44"/>
      <c r="G13" s="56">
        <f>+PPNE3!F18</f>
        <v>1650000000</v>
      </c>
      <c r="H13" s="41"/>
      <c r="I13" s="41"/>
      <c r="J13" s="41"/>
      <c r="K13" s="41"/>
      <c r="L13" s="41"/>
      <c r="M13" s="41"/>
      <c r="N13" s="41"/>
      <c r="O13" s="45"/>
    </row>
    <row r="14" spans="1:15" ht="14.25" thickBot="1" x14ac:dyDescent="0.3">
      <c r="A14" s="34" t="s">
        <v>63</v>
      </c>
      <c r="B14" s="35"/>
      <c r="C14" s="35"/>
      <c r="D14" s="35"/>
      <c r="E14" s="36"/>
      <c r="F14" s="37"/>
      <c r="G14" s="38">
        <f>SUM(G9:G13)</f>
        <v>1743121626.8699999</v>
      </c>
      <c r="H14" s="39"/>
      <c r="I14" s="39"/>
      <c r="J14" s="39"/>
      <c r="K14" s="39"/>
      <c r="L14" s="39"/>
      <c r="M14" s="39"/>
      <c r="N14" s="39"/>
      <c r="O14" s="40"/>
    </row>
    <row r="15" spans="1:15" ht="15.75" customHeight="1" thickTop="1" x14ac:dyDescent="0.2">
      <c r="A15" s="25" t="s">
        <v>48</v>
      </c>
      <c r="B15" s="20"/>
      <c r="C15" s="20"/>
      <c r="D15" s="20"/>
      <c r="E15" s="20"/>
      <c r="F15" s="20"/>
      <c r="G15" s="20"/>
      <c r="H15" s="20"/>
      <c r="I15" s="20"/>
      <c r="J15" s="20"/>
      <c r="K15" s="20"/>
      <c r="L15" s="20"/>
      <c r="M15" s="20"/>
      <c r="N15" s="20"/>
      <c r="O15" s="26"/>
    </row>
    <row r="16" spans="1:15" ht="19.5" customHeight="1" x14ac:dyDescent="0.2">
      <c r="A16" s="474" t="s">
        <v>64</v>
      </c>
      <c r="B16" s="474" t="s">
        <v>49</v>
      </c>
      <c r="C16" s="474" t="s">
        <v>4</v>
      </c>
      <c r="D16" s="474" t="s">
        <v>50</v>
      </c>
      <c r="E16" s="474" t="s">
        <v>20</v>
      </c>
      <c r="F16" s="468" t="s">
        <v>54</v>
      </c>
      <c r="G16" s="467" t="s">
        <v>55</v>
      </c>
      <c r="H16" s="467" t="s">
        <v>56</v>
      </c>
      <c r="I16" s="472" t="s">
        <v>57</v>
      </c>
      <c r="J16" s="473" t="s">
        <v>61</v>
      </c>
      <c r="K16" s="473"/>
      <c r="L16" s="467" t="s">
        <v>62</v>
      </c>
      <c r="M16" s="467"/>
      <c r="N16" s="470" t="s">
        <v>230</v>
      </c>
      <c r="O16" s="470" t="s">
        <v>19</v>
      </c>
    </row>
    <row r="17" spans="1:16" ht="44.25" customHeight="1" x14ac:dyDescent="0.2">
      <c r="A17" s="474"/>
      <c r="B17" s="474"/>
      <c r="C17" s="474"/>
      <c r="D17" s="474"/>
      <c r="E17" s="474"/>
      <c r="F17" s="469"/>
      <c r="G17" s="467"/>
      <c r="H17" s="467"/>
      <c r="I17" s="472"/>
      <c r="J17" s="21" t="s">
        <v>58</v>
      </c>
      <c r="K17" s="21" t="s">
        <v>59</v>
      </c>
      <c r="L17" s="21" t="s">
        <v>40</v>
      </c>
      <c r="M17" s="21" t="s">
        <v>60</v>
      </c>
      <c r="N17" s="471"/>
      <c r="O17" s="471"/>
    </row>
    <row r="18" spans="1:16" ht="12.75" x14ac:dyDescent="0.2">
      <c r="A18" s="324">
        <v>2</v>
      </c>
      <c r="B18" s="325"/>
      <c r="C18" s="325"/>
      <c r="D18" s="325"/>
      <c r="E18" s="325"/>
      <c r="F18" s="326" t="s">
        <v>10</v>
      </c>
      <c r="G18" s="31">
        <f>+G19+G67+G171+G255+G272+G325</f>
        <v>170438512.56309998</v>
      </c>
      <c r="H18" s="31">
        <f t="shared" ref="H18:O18" si="0">+H19+H67+H171+H255+H272+H325</f>
        <v>165327302.0731</v>
      </c>
      <c r="I18" s="31">
        <f t="shared" si="0"/>
        <v>631607603.58299994</v>
      </c>
      <c r="J18" s="31">
        <f t="shared" si="0"/>
        <v>130016823.8749</v>
      </c>
      <c r="K18" s="31">
        <f t="shared" si="0"/>
        <v>136976759.84510002</v>
      </c>
      <c r="L18" s="31">
        <f t="shared" si="0"/>
        <v>123681626.15669999</v>
      </c>
      <c r="M18" s="31">
        <f>+M19+M67+M171+M255+M272+M325</f>
        <v>385072998.76999998</v>
      </c>
      <c r="N18" s="31">
        <f>+N19+N67+N171+N255+N272+N325</f>
        <v>1743121626.8658996</v>
      </c>
      <c r="O18" s="478">
        <f t="shared" ref="O18:O81" si="1">IFERROR(N18/$N$18*100,"0.00")/100</f>
        <v>1</v>
      </c>
      <c r="P18" s="475"/>
    </row>
    <row r="19" spans="1:16" ht="12.75" x14ac:dyDescent="0.2">
      <c r="A19" s="327">
        <v>2</v>
      </c>
      <c r="B19" s="328">
        <v>1</v>
      </c>
      <c r="C19" s="329"/>
      <c r="D19" s="329"/>
      <c r="E19" s="329"/>
      <c r="F19" s="330" t="s">
        <v>231</v>
      </c>
      <c r="G19" s="33">
        <f>+G20+G42+G54+G58</f>
        <v>166226863.84259999</v>
      </c>
      <c r="H19" s="33">
        <f t="shared" ref="H19:O19" si="2">+H20+H42+H54+H58</f>
        <v>139088326.3082</v>
      </c>
      <c r="I19" s="33">
        <f t="shared" si="2"/>
        <v>395235210.27700001</v>
      </c>
      <c r="J19" s="33">
        <f t="shared" si="2"/>
        <v>96211128.367799997</v>
      </c>
      <c r="K19" s="33">
        <f t="shared" si="2"/>
        <v>128281504.4904</v>
      </c>
      <c r="L19" s="33">
        <f t="shared" si="2"/>
        <v>121641778.11619999</v>
      </c>
      <c r="M19" s="33">
        <f t="shared" si="2"/>
        <v>203525525.22999996</v>
      </c>
      <c r="N19" s="33">
        <f>+G19+H19+I19+J19+K19+L19+M19</f>
        <v>1250210336.6321998</v>
      </c>
      <c r="O19" s="479">
        <f t="shared" si="1"/>
        <v>0.71722495858195212</v>
      </c>
    </row>
    <row r="20" spans="1:16" ht="12.75" x14ac:dyDescent="0.2">
      <c r="A20" s="331">
        <v>2</v>
      </c>
      <c r="B20" s="332">
        <v>1</v>
      </c>
      <c r="C20" s="332">
        <v>1</v>
      </c>
      <c r="D20" s="332"/>
      <c r="E20" s="332"/>
      <c r="F20" s="333" t="s">
        <v>65</v>
      </c>
      <c r="G20" s="32">
        <f>+G21+G26+G33+G35+G37</f>
        <v>131502667.8105</v>
      </c>
      <c r="H20" s="32">
        <f t="shared" ref="H20:N20" si="3">+H21+H26+H33+H35+H37</f>
        <v>106482755.73910001</v>
      </c>
      <c r="I20" s="32">
        <f t="shared" si="3"/>
        <v>306839558.2245</v>
      </c>
      <c r="J20" s="32">
        <f t="shared" si="3"/>
        <v>78901600.686299995</v>
      </c>
      <c r="K20" s="32">
        <f t="shared" si="3"/>
        <v>105202134.2484</v>
      </c>
      <c r="L20" s="32">
        <f t="shared" si="3"/>
        <v>96435289.727699995</v>
      </c>
      <c r="M20" s="32">
        <f t="shared" si="3"/>
        <v>192906614.95999998</v>
      </c>
      <c r="N20" s="32">
        <f t="shared" ref="N19:N82" si="4">+G20+H20+I20+J20+K20+L20+M20</f>
        <v>1018270621.3965001</v>
      </c>
      <c r="O20" s="480">
        <f t="shared" si="1"/>
        <v>0.58416498636835335</v>
      </c>
    </row>
    <row r="21" spans="1:16" ht="12.75" x14ac:dyDescent="0.2">
      <c r="A21" s="334">
        <v>2</v>
      </c>
      <c r="B21" s="335">
        <v>1</v>
      </c>
      <c r="C21" s="335">
        <v>1</v>
      </c>
      <c r="D21" s="335">
        <v>1</v>
      </c>
      <c r="E21" s="335"/>
      <c r="F21" s="336" t="s">
        <v>66</v>
      </c>
      <c r="G21" s="30">
        <f>SUM(G22:G25)</f>
        <v>121904945.90099999</v>
      </c>
      <c r="H21" s="30">
        <f t="shared" ref="H21:M21" si="5">SUM(H22:H25)</f>
        <v>105650953.11420001</v>
      </c>
      <c r="I21" s="30">
        <f t="shared" si="5"/>
        <v>284444873.76899999</v>
      </c>
      <c r="J21" s="30">
        <f t="shared" si="5"/>
        <v>73142967.540600002</v>
      </c>
      <c r="K21" s="30">
        <f t="shared" si="5"/>
        <v>97523956.720799997</v>
      </c>
      <c r="L21" s="30">
        <f t="shared" si="5"/>
        <v>89396960.327399999</v>
      </c>
      <c r="M21" s="30">
        <f t="shared" si="5"/>
        <v>40634981.969999999</v>
      </c>
      <c r="N21" s="30">
        <f t="shared" si="4"/>
        <v>812699639.34300005</v>
      </c>
      <c r="O21" s="481">
        <f t="shared" si="1"/>
        <v>0.46623231954514777</v>
      </c>
    </row>
    <row r="22" spans="1:16" ht="12.75" x14ac:dyDescent="0.2">
      <c r="A22" s="337">
        <v>2</v>
      </c>
      <c r="B22" s="338">
        <v>1</v>
      </c>
      <c r="C22" s="338">
        <v>1</v>
      </c>
      <c r="D22" s="338">
        <v>1</v>
      </c>
      <c r="E22" s="338" t="s">
        <v>202</v>
      </c>
      <c r="F22" s="339" t="s">
        <v>232</v>
      </c>
      <c r="G22" s="27">
        <f>812699639.34*0.15</f>
        <v>121904945.90099999</v>
      </c>
      <c r="H22" s="27">
        <f>812699639.34*0.13</f>
        <v>105650953.11420001</v>
      </c>
      <c r="I22" s="27">
        <f>812699639.34*0.35</f>
        <v>284444873.76899999</v>
      </c>
      <c r="J22" s="27">
        <f>812699639.34*0.09</f>
        <v>73142967.540600002</v>
      </c>
      <c r="K22" s="27">
        <f>812699639.34*0.12</f>
        <v>97523956.720799997</v>
      </c>
      <c r="L22" s="27">
        <f>812699639.34*0.11</f>
        <v>89396960.327399999</v>
      </c>
      <c r="M22" s="27">
        <v>40634981.969999999</v>
      </c>
      <c r="N22" s="27">
        <f t="shared" si="4"/>
        <v>812699639.34300005</v>
      </c>
      <c r="O22" s="482">
        <f t="shared" si="1"/>
        <v>0.46623231954514777</v>
      </c>
    </row>
    <row r="23" spans="1:16" ht="12.75" x14ac:dyDescent="0.2">
      <c r="A23" s="337">
        <v>2</v>
      </c>
      <c r="B23" s="338">
        <v>1</v>
      </c>
      <c r="C23" s="338">
        <v>1</v>
      </c>
      <c r="D23" s="338">
        <v>1</v>
      </c>
      <c r="E23" s="338" t="s">
        <v>203</v>
      </c>
      <c r="F23" s="340" t="s">
        <v>67</v>
      </c>
      <c r="G23" s="27"/>
      <c r="H23" s="27"/>
      <c r="I23" s="27"/>
      <c r="J23" s="27"/>
      <c r="K23" s="27"/>
      <c r="L23" s="27"/>
      <c r="M23" s="27"/>
      <c r="N23" s="27">
        <f t="shared" si="4"/>
        <v>0</v>
      </c>
      <c r="O23" s="482">
        <f t="shared" si="1"/>
        <v>0</v>
      </c>
    </row>
    <row r="24" spans="1:16" ht="12.75" x14ac:dyDescent="0.2">
      <c r="A24" s="337">
        <v>2</v>
      </c>
      <c r="B24" s="338">
        <v>1</v>
      </c>
      <c r="C24" s="338">
        <v>1</v>
      </c>
      <c r="D24" s="338">
        <v>1</v>
      </c>
      <c r="E24" s="338" t="s">
        <v>208</v>
      </c>
      <c r="F24" s="340" t="s">
        <v>68</v>
      </c>
      <c r="G24" s="27"/>
      <c r="H24" s="27"/>
      <c r="I24" s="27"/>
      <c r="J24" s="27"/>
      <c r="K24" s="27"/>
      <c r="L24" s="27"/>
      <c r="M24" s="27"/>
      <c r="N24" s="27">
        <f t="shared" si="4"/>
        <v>0</v>
      </c>
      <c r="O24" s="482">
        <f t="shared" si="1"/>
        <v>0</v>
      </c>
    </row>
    <row r="25" spans="1:16" ht="12.75" x14ac:dyDescent="0.2">
      <c r="A25" s="337">
        <v>2</v>
      </c>
      <c r="B25" s="338">
        <v>1</v>
      </c>
      <c r="C25" s="338">
        <v>1</v>
      </c>
      <c r="D25" s="338">
        <v>1</v>
      </c>
      <c r="E25" s="338" t="s">
        <v>233</v>
      </c>
      <c r="F25" s="340" t="s">
        <v>234</v>
      </c>
      <c r="G25" s="27"/>
      <c r="H25" s="27"/>
      <c r="I25" s="27"/>
      <c r="J25" s="27"/>
      <c r="K25" s="27"/>
      <c r="L25" s="27"/>
      <c r="M25" s="27"/>
      <c r="N25" s="27">
        <f t="shared" si="4"/>
        <v>0</v>
      </c>
      <c r="O25" s="482">
        <f t="shared" si="1"/>
        <v>0</v>
      </c>
    </row>
    <row r="26" spans="1:16" ht="12.75" x14ac:dyDescent="0.2">
      <c r="A26" s="334">
        <v>2</v>
      </c>
      <c r="B26" s="335">
        <v>1</v>
      </c>
      <c r="C26" s="335">
        <v>1</v>
      </c>
      <c r="D26" s="335">
        <v>2</v>
      </c>
      <c r="E26" s="335"/>
      <c r="F26" s="336" t="s">
        <v>69</v>
      </c>
      <c r="G26" s="30">
        <f>SUM(G27:G32)</f>
        <v>0</v>
      </c>
      <c r="H26" s="30">
        <f t="shared" ref="H26:L26" si="6">SUM(H27:H32)</f>
        <v>0</v>
      </c>
      <c r="I26" s="30">
        <f t="shared" si="6"/>
        <v>0</v>
      </c>
      <c r="J26" s="30">
        <f t="shared" si="6"/>
        <v>0</v>
      </c>
      <c r="K26" s="30">
        <f t="shared" si="6"/>
        <v>0</v>
      </c>
      <c r="L26" s="30">
        <f t="shared" si="6"/>
        <v>0</v>
      </c>
      <c r="M26" s="30">
        <f>SUM(M27:M32)</f>
        <v>140071938.09</v>
      </c>
      <c r="N26" s="30">
        <f t="shared" si="4"/>
        <v>140071938.09</v>
      </c>
      <c r="O26" s="481">
        <f t="shared" si="1"/>
        <v>8.035695038782048E-2</v>
      </c>
    </row>
    <row r="27" spans="1:16" ht="12.75" x14ac:dyDescent="0.2">
      <c r="A27" s="337">
        <v>2</v>
      </c>
      <c r="B27" s="338">
        <v>1</v>
      </c>
      <c r="C27" s="338">
        <v>1</v>
      </c>
      <c r="D27" s="338">
        <v>2</v>
      </c>
      <c r="E27" s="338" t="s">
        <v>204</v>
      </c>
      <c r="F27" s="340" t="s">
        <v>34</v>
      </c>
      <c r="G27" s="27"/>
      <c r="H27" s="27"/>
      <c r="I27" s="27"/>
      <c r="J27" s="27"/>
      <c r="K27" s="27"/>
      <c r="L27" s="27"/>
      <c r="M27" s="27"/>
      <c r="N27" s="27">
        <f t="shared" si="4"/>
        <v>0</v>
      </c>
      <c r="O27" s="482">
        <f t="shared" si="1"/>
        <v>0</v>
      </c>
    </row>
    <row r="28" spans="1:16" ht="12.75" x14ac:dyDescent="0.2">
      <c r="A28" s="337">
        <v>2</v>
      </c>
      <c r="B28" s="338">
        <v>1</v>
      </c>
      <c r="C28" s="338">
        <v>1</v>
      </c>
      <c r="D28" s="338">
        <v>2</v>
      </c>
      <c r="E28" s="338" t="s">
        <v>208</v>
      </c>
      <c r="F28" s="340" t="s">
        <v>70</v>
      </c>
      <c r="G28" s="27"/>
      <c r="H28" s="27"/>
      <c r="I28" s="27"/>
      <c r="J28" s="27"/>
      <c r="K28" s="27"/>
      <c r="L28" s="27"/>
      <c r="M28" s="27"/>
      <c r="N28" s="27">
        <f t="shared" si="4"/>
        <v>0</v>
      </c>
      <c r="O28" s="482">
        <f t="shared" si="1"/>
        <v>0</v>
      </c>
    </row>
    <row r="29" spans="1:16" ht="12.75" x14ac:dyDescent="0.2">
      <c r="A29" s="337">
        <v>2</v>
      </c>
      <c r="B29" s="338">
        <v>1</v>
      </c>
      <c r="C29" s="338">
        <v>1</v>
      </c>
      <c r="D29" s="338">
        <v>2</v>
      </c>
      <c r="E29" s="338" t="s">
        <v>233</v>
      </c>
      <c r="F29" s="340" t="s">
        <v>71</v>
      </c>
      <c r="G29" s="27"/>
      <c r="H29" s="27"/>
      <c r="I29" s="27"/>
      <c r="J29" s="27"/>
      <c r="K29" s="27"/>
      <c r="L29" s="27"/>
      <c r="M29" s="27"/>
      <c r="N29" s="27">
        <f t="shared" si="4"/>
        <v>0</v>
      </c>
      <c r="O29" s="482">
        <f t="shared" si="1"/>
        <v>0</v>
      </c>
    </row>
    <row r="30" spans="1:16" ht="12.75" x14ac:dyDescent="0.2">
      <c r="A30" s="337">
        <v>2</v>
      </c>
      <c r="B30" s="338">
        <v>1</v>
      </c>
      <c r="C30" s="338">
        <v>1</v>
      </c>
      <c r="D30" s="338">
        <v>2</v>
      </c>
      <c r="E30" s="338" t="s">
        <v>239</v>
      </c>
      <c r="F30" s="340" t="s">
        <v>976</v>
      </c>
      <c r="G30" s="27"/>
      <c r="H30" s="27"/>
      <c r="I30" s="27"/>
      <c r="J30" s="27"/>
      <c r="K30" s="27"/>
      <c r="L30" s="27"/>
      <c r="M30" s="27">
        <v>140071938.09</v>
      </c>
      <c r="N30" s="27">
        <f t="shared" si="4"/>
        <v>140071938.09</v>
      </c>
      <c r="O30" s="482">
        <f t="shared" si="1"/>
        <v>8.035695038782048E-2</v>
      </c>
      <c r="P30" s="475"/>
    </row>
    <row r="31" spans="1:16" ht="12.75" x14ac:dyDescent="0.2">
      <c r="A31" s="337">
        <v>2</v>
      </c>
      <c r="B31" s="338">
        <v>1</v>
      </c>
      <c r="C31" s="338">
        <v>1</v>
      </c>
      <c r="D31" s="338">
        <v>2</v>
      </c>
      <c r="E31" s="338" t="s">
        <v>240</v>
      </c>
      <c r="F31" s="340" t="s">
        <v>977</v>
      </c>
      <c r="G31" s="27"/>
      <c r="H31" s="27"/>
      <c r="I31" s="27"/>
      <c r="J31" s="27"/>
      <c r="K31" s="27"/>
      <c r="L31" s="27"/>
      <c r="M31" s="27"/>
      <c r="N31" s="27">
        <f t="shared" si="4"/>
        <v>0</v>
      </c>
      <c r="O31" s="482">
        <f t="shared" si="1"/>
        <v>0</v>
      </c>
    </row>
    <row r="32" spans="1:16" ht="12.75" x14ac:dyDescent="0.2">
      <c r="A32" s="337">
        <v>2</v>
      </c>
      <c r="B32" s="338">
        <v>1</v>
      </c>
      <c r="C32" s="338">
        <v>1</v>
      </c>
      <c r="D32" s="338">
        <v>2</v>
      </c>
      <c r="E32" s="338" t="s">
        <v>978</v>
      </c>
      <c r="F32" s="340" t="s">
        <v>979</v>
      </c>
      <c r="G32" s="27"/>
      <c r="H32" s="27"/>
      <c r="I32" s="27"/>
      <c r="J32" s="27"/>
      <c r="K32" s="27"/>
      <c r="L32" s="27"/>
      <c r="M32" s="27"/>
      <c r="N32" s="27">
        <f t="shared" si="4"/>
        <v>0</v>
      </c>
      <c r="O32" s="482">
        <f t="shared" si="1"/>
        <v>0</v>
      </c>
    </row>
    <row r="33" spans="1:15" ht="12.75" x14ac:dyDescent="0.2">
      <c r="A33" s="334">
        <v>2</v>
      </c>
      <c r="B33" s="335">
        <v>1</v>
      </c>
      <c r="C33" s="335">
        <v>1</v>
      </c>
      <c r="D33" s="335">
        <v>3</v>
      </c>
      <c r="E33" s="335"/>
      <c r="F33" s="336" t="s">
        <v>72</v>
      </c>
      <c r="G33" s="30">
        <f>G34</f>
        <v>0</v>
      </c>
      <c r="H33" s="30">
        <f t="shared" ref="H33:O33" si="7">H34</f>
        <v>0</v>
      </c>
      <c r="I33" s="30">
        <f t="shared" si="7"/>
        <v>0</v>
      </c>
      <c r="J33" s="30">
        <f t="shared" si="7"/>
        <v>0</v>
      </c>
      <c r="K33" s="30">
        <f t="shared" si="7"/>
        <v>0</v>
      </c>
      <c r="L33" s="30">
        <f t="shared" si="7"/>
        <v>0</v>
      </c>
      <c r="M33" s="30">
        <f t="shared" si="7"/>
        <v>0</v>
      </c>
      <c r="N33" s="30">
        <f t="shared" si="4"/>
        <v>0</v>
      </c>
      <c r="O33" s="481">
        <f t="shared" si="1"/>
        <v>0</v>
      </c>
    </row>
    <row r="34" spans="1:15" ht="12.75" x14ac:dyDescent="0.2">
      <c r="A34" s="337">
        <v>2</v>
      </c>
      <c r="B34" s="338">
        <v>1</v>
      </c>
      <c r="C34" s="338">
        <v>1</v>
      </c>
      <c r="D34" s="338">
        <v>3</v>
      </c>
      <c r="E34" s="338" t="s">
        <v>202</v>
      </c>
      <c r="F34" s="340" t="s">
        <v>72</v>
      </c>
      <c r="G34" s="27"/>
      <c r="H34" s="27"/>
      <c r="I34" s="27"/>
      <c r="J34" s="27"/>
      <c r="K34" s="27"/>
      <c r="L34" s="27"/>
      <c r="M34" s="27"/>
      <c r="N34" s="27">
        <f t="shared" si="4"/>
        <v>0</v>
      </c>
      <c r="O34" s="482">
        <f t="shared" si="1"/>
        <v>0</v>
      </c>
    </row>
    <row r="35" spans="1:15" ht="12.75" x14ac:dyDescent="0.2">
      <c r="A35" s="334">
        <v>2</v>
      </c>
      <c r="B35" s="335">
        <v>1</v>
      </c>
      <c r="C35" s="335">
        <v>1</v>
      </c>
      <c r="D35" s="335">
        <v>4</v>
      </c>
      <c r="E35" s="335"/>
      <c r="F35" s="336" t="s">
        <v>236</v>
      </c>
      <c r="G35" s="30">
        <f>G36</f>
        <v>9597721.9094999991</v>
      </c>
      <c r="H35" s="30">
        <f t="shared" ref="H35:M35" si="8">H36</f>
        <v>831802.62490000005</v>
      </c>
      <c r="I35" s="30">
        <f t="shared" si="8"/>
        <v>22394684.455499999</v>
      </c>
      <c r="J35" s="30">
        <f t="shared" si="8"/>
        <v>5758633.1456999993</v>
      </c>
      <c r="K35" s="30">
        <f t="shared" si="8"/>
        <v>7678177.5275999997</v>
      </c>
      <c r="L35" s="30">
        <f t="shared" si="8"/>
        <v>7038329.4002999999</v>
      </c>
      <c r="M35" s="30">
        <f t="shared" si="8"/>
        <v>10685463.67</v>
      </c>
      <c r="N35" s="30">
        <f t="shared" si="4"/>
        <v>63984812.733500004</v>
      </c>
      <c r="O35" s="481">
        <f t="shared" si="1"/>
        <v>3.670702706416621E-2</v>
      </c>
    </row>
    <row r="36" spans="1:15" ht="12.75" x14ac:dyDescent="0.2">
      <c r="A36" s="337">
        <v>2</v>
      </c>
      <c r="B36" s="338">
        <v>1</v>
      </c>
      <c r="C36" s="338">
        <v>1</v>
      </c>
      <c r="D36" s="338">
        <v>4</v>
      </c>
      <c r="E36" s="338" t="s">
        <v>202</v>
      </c>
      <c r="F36" s="340" t="s">
        <v>236</v>
      </c>
      <c r="G36" s="27">
        <f>63984812.73*0.15</f>
        <v>9597721.9094999991</v>
      </c>
      <c r="H36" s="27">
        <f>6398481.73*0.13</f>
        <v>831802.62490000005</v>
      </c>
      <c r="I36" s="27">
        <f>63984812.73*0.35</f>
        <v>22394684.455499999</v>
      </c>
      <c r="J36" s="27">
        <f>63984812.73*0.09</f>
        <v>5758633.1456999993</v>
      </c>
      <c r="K36" s="27">
        <f>63984812.73*0.12</f>
        <v>7678177.5275999997</v>
      </c>
      <c r="L36" s="27">
        <f>63984812.73*0.11</f>
        <v>7038329.4002999999</v>
      </c>
      <c r="M36" s="27">
        <v>10685463.67</v>
      </c>
      <c r="N36" s="27">
        <f t="shared" si="4"/>
        <v>63984812.733500004</v>
      </c>
      <c r="O36" s="482">
        <f t="shared" si="1"/>
        <v>3.670702706416621E-2</v>
      </c>
    </row>
    <row r="37" spans="1:15" ht="12.75" x14ac:dyDescent="0.2">
      <c r="A37" s="334">
        <v>2</v>
      </c>
      <c r="B37" s="335">
        <v>1</v>
      </c>
      <c r="C37" s="335">
        <v>1</v>
      </c>
      <c r="D37" s="335">
        <v>5</v>
      </c>
      <c r="E37" s="335"/>
      <c r="F37" s="336" t="s">
        <v>237</v>
      </c>
      <c r="G37" s="30">
        <f>SUM(G38:G41)</f>
        <v>0</v>
      </c>
      <c r="H37" s="30">
        <f t="shared" ref="H37:O37" si="9">SUM(H38:H41)</f>
        <v>0</v>
      </c>
      <c r="I37" s="30">
        <f t="shared" si="9"/>
        <v>0</v>
      </c>
      <c r="J37" s="30">
        <f t="shared" si="9"/>
        <v>0</v>
      </c>
      <c r="K37" s="30">
        <f t="shared" si="9"/>
        <v>0</v>
      </c>
      <c r="L37" s="30">
        <f t="shared" si="9"/>
        <v>0</v>
      </c>
      <c r="M37" s="30">
        <f t="shared" si="9"/>
        <v>1514231.23</v>
      </c>
      <c r="N37" s="30">
        <f t="shared" si="4"/>
        <v>1514231.23</v>
      </c>
      <c r="O37" s="481">
        <f t="shared" si="1"/>
        <v>8.6868937121878278E-4</v>
      </c>
    </row>
    <row r="38" spans="1:15" ht="12.75" x14ac:dyDescent="0.2">
      <c r="A38" s="337">
        <v>2</v>
      </c>
      <c r="B38" s="338">
        <v>1</v>
      </c>
      <c r="C38" s="338">
        <v>1</v>
      </c>
      <c r="D38" s="338">
        <v>5</v>
      </c>
      <c r="E38" s="338" t="s">
        <v>202</v>
      </c>
      <c r="F38" s="341" t="s">
        <v>237</v>
      </c>
      <c r="G38" s="27"/>
      <c r="H38" s="27"/>
      <c r="I38" s="27"/>
      <c r="J38" s="27"/>
      <c r="K38" s="27"/>
      <c r="L38" s="27"/>
      <c r="M38" s="27"/>
      <c r="N38" s="27">
        <f t="shared" si="4"/>
        <v>0</v>
      </c>
      <c r="O38" s="482">
        <f t="shared" si="1"/>
        <v>0</v>
      </c>
    </row>
    <row r="39" spans="1:15" ht="12.75" x14ac:dyDescent="0.2">
      <c r="A39" s="337">
        <v>2</v>
      </c>
      <c r="B39" s="338">
        <v>1</v>
      </c>
      <c r="C39" s="338">
        <v>1</v>
      </c>
      <c r="D39" s="338">
        <v>5</v>
      </c>
      <c r="E39" s="338" t="s">
        <v>203</v>
      </c>
      <c r="F39" s="340" t="s">
        <v>73</v>
      </c>
      <c r="G39" s="27"/>
      <c r="H39" s="27"/>
      <c r="I39" s="27"/>
      <c r="J39" s="27"/>
      <c r="K39" s="27"/>
      <c r="L39" s="27"/>
      <c r="M39" s="27"/>
      <c r="N39" s="27">
        <f t="shared" si="4"/>
        <v>0</v>
      </c>
      <c r="O39" s="482">
        <f t="shared" si="1"/>
        <v>0</v>
      </c>
    </row>
    <row r="40" spans="1:15" ht="12.75" x14ac:dyDescent="0.2">
      <c r="A40" s="337">
        <v>2</v>
      </c>
      <c r="B40" s="338">
        <v>1</v>
      </c>
      <c r="C40" s="338">
        <v>1</v>
      </c>
      <c r="D40" s="338">
        <v>5</v>
      </c>
      <c r="E40" s="338" t="s">
        <v>204</v>
      </c>
      <c r="F40" s="340" t="s">
        <v>238</v>
      </c>
      <c r="G40" s="27"/>
      <c r="H40" s="27"/>
      <c r="I40" s="27"/>
      <c r="J40" s="27"/>
      <c r="K40" s="27"/>
      <c r="L40" s="27"/>
      <c r="M40" s="27">
        <v>907400</v>
      </c>
      <c r="N40" s="27">
        <f t="shared" si="4"/>
        <v>907400</v>
      </c>
      <c r="O40" s="482">
        <f t="shared" si="1"/>
        <v>5.2056034760551305E-4</v>
      </c>
    </row>
    <row r="41" spans="1:15" ht="12.75" x14ac:dyDescent="0.2">
      <c r="A41" s="337">
        <v>2</v>
      </c>
      <c r="B41" s="338">
        <v>1</v>
      </c>
      <c r="C41" s="338">
        <v>1</v>
      </c>
      <c r="D41" s="338">
        <v>5</v>
      </c>
      <c r="E41" s="338" t="s">
        <v>205</v>
      </c>
      <c r="F41" s="340" t="s">
        <v>206</v>
      </c>
      <c r="G41" s="27"/>
      <c r="H41" s="27"/>
      <c r="I41" s="27"/>
      <c r="J41" s="27"/>
      <c r="K41" s="27"/>
      <c r="L41" s="27"/>
      <c r="M41" s="27">
        <v>606831.23</v>
      </c>
      <c r="N41" s="27">
        <f t="shared" si="4"/>
        <v>606831.23</v>
      </c>
      <c r="O41" s="482">
        <f t="shared" si="1"/>
        <v>3.4812902361326984E-4</v>
      </c>
    </row>
    <row r="42" spans="1:15" ht="12.75" x14ac:dyDescent="0.2">
      <c r="A42" s="331">
        <v>2</v>
      </c>
      <c r="B42" s="332">
        <v>1</v>
      </c>
      <c r="C42" s="332">
        <v>2</v>
      </c>
      <c r="D42" s="332"/>
      <c r="E42" s="332"/>
      <c r="F42" s="333" t="s">
        <v>21</v>
      </c>
      <c r="G42" s="32">
        <f>+G43+G45</f>
        <v>17700607.320600003</v>
      </c>
      <c r="H42" s="32">
        <f t="shared" ref="H42:O42" si="10">+H43+H45</f>
        <v>17851793.685800001</v>
      </c>
      <c r="I42" s="32">
        <f t="shared" si="10"/>
        <v>48673945.059</v>
      </c>
      <c r="J42" s="32">
        <f t="shared" si="10"/>
        <v>7095374.4545999998</v>
      </c>
      <c r="K42" s="32">
        <f t="shared" si="10"/>
        <v>9460499.2727999985</v>
      </c>
      <c r="L42" s="32">
        <f t="shared" si="10"/>
        <v>12722523.3334</v>
      </c>
      <c r="M42" s="32">
        <f t="shared" si="10"/>
        <v>4944380.7</v>
      </c>
      <c r="N42" s="32">
        <f t="shared" si="4"/>
        <v>118449123.82620001</v>
      </c>
      <c r="O42" s="480">
        <f t="shared" si="1"/>
        <v>6.7952300057896334E-2</v>
      </c>
    </row>
    <row r="43" spans="1:15" ht="12.75" x14ac:dyDescent="0.2">
      <c r="A43" s="334">
        <v>2</v>
      </c>
      <c r="B43" s="335">
        <v>1</v>
      </c>
      <c r="C43" s="335">
        <v>2</v>
      </c>
      <c r="D43" s="335">
        <v>1</v>
      </c>
      <c r="E43" s="335"/>
      <c r="F43" s="336" t="s">
        <v>74</v>
      </c>
      <c r="G43" s="30">
        <f>G44</f>
        <v>5874983.2296000011</v>
      </c>
      <c r="H43" s="30">
        <f t="shared" ref="H43:O43" si="11">H44</f>
        <v>7602919.4736000011</v>
      </c>
      <c r="I43" s="30">
        <f t="shared" si="11"/>
        <v>21080822.18</v>
      </c>
      <c r="J43" s="30">
        <f t="shared" si="11"/>
        <v>0</v>
      </c>
      <c r="K43" s="30">
        <f t="shared" si="11"/>
        <v>0</v>
      </c>
      <c r="L43" s="30">
        <f t="shared" si="11"/>
        <v>0</v>
      </c>
      <c r="M43" s="30">
        <f t="shared" si="11"/>
        <v>0</v>
      </c>
      <c r="N43" s="30">
        <f t="shared" si="4"/>
        <v>34558724.883200005</v>
      </c>
      <c r="O43" s="481">
        <f t="shared" si="1"/>
        <v>1.9825767950189428E-2</v>
      </c>
    </row>
    <row r="44" spans="1:15" ht="12.75" x14ac:dyDescent="0.2">
      <c r="A44" s="337">
        <v>2</v>
      </c>
      <c r="B44" s="338">
        <v>1</v>
      </c>
      <c r="C44" s="338">
        <v>2</v>
      </c>
      <c r="D44" s="338">
        <v>1</v>
      </c>
      <c r="E44" s="338" t="s">
        <v>202</v>
      </c>
      <c r="F44" s="340" t="s">
        <v>74</v>
      </c>
      <c r="G44" s="27">
        <f>34558724.88*0.17</f>
        <v>5874983.2296000011</v>
      </c>
      <c r="H44" s="27">
        <f>34558724.88*0.22</f>
        <v>7602919.4736000011</v>
      </c>
      <c r="I44" s="27">
        <v>21080822.18</v>
      </c>
      <c r="J44" s="27"/>
      <c r="K44" s="27"/>
      <c r="L44" s="27"/>
      <c r="M44" s="27"/>
      <c r="N44" s="27">
        <f t="shared" si="4"/>
        <v>34558724.883200005</v>
      </c>
      <c r="O44" s="482">
        <f t="shared" si="1"/>
        <v>1.9825767950189428E-2</v>
      </c>
    </row>
    <row r="45" spans="1:15" ht="12.75" x14ac:dyDescent="0.2">
      <c r="A45" s="334">
        <v>2</v>
      </c>
      <c r="B45" s="335">
        <v>1</v>
      </c>
      <c r="C45" s="335">
        <v>2</v>
      </c>
      <c r="D45" s="335">
        <v>2</v>
      </c>
      <c r="E45" s="335"/>
      <c r="F45" s="336" t="s">
        <v>75</v>
      </c>
      <c r="G45" s="30">
        <f>SUM(G46:G53)</f>
        <v>11825624.091</v>
      </c>
      <c r="H45" s="30">
        <f t="shared" ref="H45:M45" si="12">SUM(H46:H53)</f>
        <v>10248874.212199999</v>
      </c>
      <c r="I45" s="30">
        <f t="shared" si="12"/>
        <v>27593122.878999997</v>
      </c>
      <c r="J45" s="30">
        <f t="shared" si="12"/>
        <v>7095374.4545999998</v>
      </c>
      <c r="K45" s="30">
        <f t="shared" si="12"/>
        <v>9460499.2727999985</v>
      </c>
      <c r="L45" s="30">
        <f t="shared" si="12"/>
        <v>12722523.3334</v>
      </c>
      <c r="M45" s="30">
        <f t="shared" si="12"/>
        <v>4944380.7</v>
      </c>
      <c r="N45" s="30">
        <f t="shared" si="4"/>
        <v>83890398.943000004</v>
      </c>
      <c r="O45" s="481">
        <f t="shared" si="1"/>
        <v>4.8126532107706899E-2</v>
      </c>
    </row>
    <row r="46" spans="1:15" ht="12.75" x14ac:dyDescent="0.2">
      <c r="A46" s="337">
        <v>2</v>
      </c>
      <c r="B46" s="338">
        <v>1</v>
      </c>
      <c r="C46" s="338">
        <v>2</v>
      </c>
      <c r="D46" s="338">
        <v>2</v>
      </c>
      <c r="E46" s="338" t="s">
        <v>204</v>
      </c>
      <c r="F46" s="342" t="s">
        <v>76</v>
      </c>
      <c r="G46" s="356"/>
      <c r="H46" s="27"/>
      <c r="I46" s="27"/>
      <c r="J46" s="27"/>
      <c r="K46" s="27"/>
      <c r="L46" s="27"/>
      <c r="M46" s="27"/>
      <c r="N46" s="27">
        <f t="shared" si="4"/>
        <v>0</v>
      </c>
      <c r="O46" s="482">
        <f t="shared" si="1"/>
        <v>0</v>
      </c>
    </row>
    <row r="47" spans="1:15" ht="12.75" x14ac:dyDescent="0.2">
      <c r="A47" s="337">
        <v>2</v>
      </c>
      <c r="B47" s="338">
        <v>1</v>
      </c>
      <c r="C47" s="338">
        <v>2</v>
      </c>
      <c r="D47" s="338">
        <v>2</v>
      </c>
      <c r="E47" s="338" t="s">
        <v>205</v>
      </c>
      <c r="F47" s="340" t="s">
        <v>77</v>
      </c>
      <c r="G47" s="356"/>
      <c r="H47" s="27"/>
      <c r="I47" s="27"/>
      <c r="J47" s="27"/>
      <c r="K47" s="27"/>
      <c r="L47" s="27"/>
      <c r="M47" s="27"/>
      <c r="N47" s="27">
        <f t="shared" si="4"/>
        <v>0</v>
      </c>
      <c r="O47" s="482">
        <f t="shared" si="1"/>
        <v>0</v>
      </c>
    </row>
    <row r="48" spans="1:15" ht="12.75" x14ac:dyDescent="0.2">
      <c r="A48" s="337">
        <v>2</v>
      </c>
      <c r="B48" s="338">
        <v>1</v>
      </c>
      <c r="C48" s="338">
        <v>2</v>
      </c>
      <c r="D48" s="338">
        <v>2</v>
      </c>
      <c r="E48" s="338" t="s">
        <v>208</v>
      </c>
      <c r="F48" s="340" t="s">
        <v>78</v>
      </c>
      <c r="G48" s="356"/>
      <c r="H48" s="27"/>
      <c r="I48" s="27"/>
      <c r="J48" s="27"/>
      <c r="K48" s="27"/>
      <c r="L48" s="27"/>
      <c r="M48" s="27">
        <v>540000</v>
      </c>
      <c r="N48" s="27">
        <f t="shared" si="4"/>
        <v>540000</v>
      </c>
      <c r="O48" s="482">
        <f t="shared" si="1"/>
        <v>3.097890541183348E-4</v>
      </c>
    </row>
    <row r="49" spans="1:15" ht="12.75" x14ac:dyDescent="0.2">
      <c r="A49" s="337">
        <v>2</v>
      </c>
      <c r="B49" s="338">
        <v>1</v>
      </c>
      <c r="C49" s="338">
        <v>2</v>
      </c>
      <c r="D49" s="338">
        <v>2</v>
      </c>
      <c r="E49" s="338" t="s">
        <v>233</v>
      </c>
      <c r="F49" s="340" t="s">
        <v>980</v>
      </c>
      <c r="G49" s="356">
        <f>9283645*0.15</f>
        <v>1392546.75</v>
      </c>
      <c r="H49" s="27">
        <f>9283645*0.13</f>
        <v>1206873.8500000001</v>
      </c>
      <c r="I49" s="27">
        <f>9283645*0.35</f>
        <v>3249275.75</v>
      </c>
      <c r="J49" s="27">
        <f>9283645*0.09</f>
        <v>835528.04999999993</v>
      </c>
      <c r="K49" s="27">
        <f>9283645*0.12</f>
        <v>1114037.3999999999</v>
      </c>
      <c r="L49" s="27">
        <f>9283645*0.11</f>
        <v>1021200.95</v>
      </c>
      <c r="M49" s="27">
        <v>464182.25</v>
      </c>
      <c r="N49" s="27">
        <f t="shared" si="4"/>
        <v>9283644.9999999981</v>
      </c>
      <c r="O49" s="482">
        <f t="shared" si="1"/>
        <v>5.3258733394822367E-3</v>
      </c>
    </row>
    <row r="50" spans="1:15" ht="12.75" x14ac:dyDescent="0.2">
      <c r="A50" s="337">
        <v>2</v>
      </c>
      <c r="B50" s="338">
        <v>1</v>
      </c>
      <c r="C50" s="338">
        <v>2</v>
      </c>
      <c r="D50" s="338">
        <v>2</v>
      </c>
      <c r="E50" s="338" t="s">
        <v>235</v>
      </c>
      <c r="F50" s="340" t="s">
        <v>79</v>
      </c>
      <c r="G50" s="356"/>
      <c r="H50" s="27"/>
      <c r="I50" s="27"/>
      <c r="J50" s="27"/>
      <c r="K50" s="27"/>
      <c r="L50" s="27"/>
      <c r="M50" s="27"/>
      <c r="N50" s="27">
        <f t="shared" si="4"/>
        <v>0</v>
      </c>
      <c r="O50" s="482">
        <f t="shared" si="1"/>
        <v>0</v>
      </c>
    </row>
    <row r="51" spans="1:15" ht="12.75" x14ac:dyDescent="0.2">
      <c r="A51" s="337">
        <v>2</v>
      </c>
      <c r="B51" s="338">
        <v>1</v>
      </c>
      <c r="C51" s="338">
        <v>2</v>
      </c>
      <c r="D51" s="338">
        <v>2</v>
      </c>
      <c r="E51" s="338" t="s">
        <v>239</v>
      </c>
      <c r="F51" s="340" t="s">
        <v>80</v>
      </c>
      <c r="G51" s="27"/>
      <c r="H51" s="27"/>
      <c r="I51" s="27"/>
      <c r="J51" s="27"/>
      <c r="K51" s="27"/>
      <c r="L51" s="27">
        <v>4050399</v>
      </c>
      <c r="M51" s="27"/>
      <c r="N51" s="27">
        <f t="shared" si="4"/>
        <v>4050399</v>
      </c>
      <c r="O51" s="482">
        <f t="shared" si="1"/>
        <v>2.3236468055774988E-3</v>
      </c>
    </row>
    <row r="52" spans="1:15" ht="12.75" x14ac:dyDescent="0.2">
      <c r="A52" s="337">
        <v>2</v>
      </c>
      <c r="B52" s="338">
        <v>1</v>
      </c>
      <c r="C52" s="338">
        <v>2</v>
      </c>
      <c r="D52" s="338">
        <v>2</v>
      </c>
      <c r="E52" s="338" t="s">
        <v>240</v>
      </c>
      <c r="F52" s="340" t="s">
        <v>81</v>
      </c>
      <c r="G52" s="27"/>
      <c r="H52" s="27"/>
      <c r="I52" s="27"/>
      <c r="J52" s="27"/>
      <c r="K52" s="27"/>
      <c r="L52" s="27"/>
      <c r="M52" s="27">
        <v>462506</v>
      </c>
      <c r="N52" s="27">
        <f t="shared" si="4"/>
        <v>462506</v>
      </c>
      <c r="O52" s="482">
        <f t="shared" si="1"/>
        <v>2.6533203011861958E-4</v>
      </c>
    </row>
    <row r="53" spans="1:15" ht="12.75" x14ac:dyDescent="0.2">
      <c r="A53" s="337">
        <v>2</v>
      </c>
      <c r="B53" s="338">
        <v>1</v>
      </c>
      <c r="C53" s="338">
        <v>2</v>
      </c>
      <c r="D53" s="338">
        <v>2</v>
      </c>
      <c r="E53" s="338" t="s">
        <v>241</v>
      </c>
      <c r="F53" s="342" t="s">
        <v>981</v>
      </c>
      <c r="G53" s="27">
        <f>69553848.94*0.15</f>
        <v>10433077.341</v>
      </c>
      <c r="H53" s="27">
        <f>69553848.94*0.13</f>
        <v>9042000.3621999994</v>
      </c>
      <c r="I53" s="27">
        <f>69553848.94*0.35</f>
        <v>24343847.128999997</v>
      </c>
      <c r="J53" s="27">
        <f>69553848.94*0.09</f>
        <v>6259846.4046</v>
      </c>
      <c r="K53" s="27">
        <f>69553848.94*0.12</f>
        <v>8346461.8727999991</v>
      </c>
      <c r="L53" s="27">
        <f>69553848.94*0.11</f>
        <v>7650923.3833999997</v>
      </c>
      <c r="M53" s="27">
        <v>3477692.45</v>
      </c>
      <c r="N53" s="27">
        <f t="shared" si="4"/>
        <v>69553848.942999989</v>
      </c>
      <c r="O53" s="482">
        <f t="shared" si="1"/>
        <v>3.9901890878410201E-2</v>
      </c>
    </row>
    <row r="54" spans="1:15" ht="12.75" x14ac:dyDescent="0.2">
      <c r="A54" s="331">
        <v>2</v>
      </c>
      <c r="B54" s="332">
        <v>1</v>
      </c>
      <c r="C54" s="332">
        <v>3</v>
      </c>
      <c r="D54" s="332"/>
      <c r="E54" s="332"/>
      <c r="F54" s="333" t="s">
        <v>35</v>
      </c>
      <c r="G54" s="32">
        <f>+G55</f>
        <v>0</v>
      </c>
      <c r="H54" s="32">
        <f t="shared" ref="H54:O54" si="13">+H55</f>
        <v>0</v>
      </c>
      <c r="I54" s="32">
        <f t="shared" si="13"/>
        <v>0</v>
      </c>
      <c r="J54" s="32">
        <f t="shared" si="13"/>
        <v>0</v>
      </c>
      <c r="K54" s="32">
        <f t="shared" si="13"/>
        <v>0</v>
      </c>
      <c r="L54" s="32">
        <f t="shared" si="13"/>
        <v>0</v>
      </c>
      <c r="M54" s="32">
        <f t="shared" si="13"/>
        <v>0</v>
      </c>
      <c r="N54" s="32">
        <f t="shared" si="4"/>
        <v>0</v>
      </c>
      <c r="O54" s="480">
        <f t="shared" si="1"/>
        <v>0</v>
      </c>
    </row>
    <row r="55" spans="1:15" ht="12.75" x14ac:dyDescent="0.2">
      <c r="A55" s="334">
        <v>2</v>
      </c>
      <c r="B55" s="335">
        <v>1</v>
      </c>
      <c r="C55" s="335">
        <v>3</v>
      </c>
      <c r="D55" s="335">
        <v>2</v>
      </c>
      <c r="E55" s="335"/>
      <c r="F55" s="343" t="s">
        <v>82</v>
      </c>
      <c r="G55" s="30">
        <f>SUM(G56:G57)</f>
        <v>0</v>
      </c>
      <c r="H55" s="30">
        <f t="shared" ref="H55:O55" si="14">SUM(H56:H57)</f>
        <v>0</v>
      </c>
      <c r="I55" s="30">
        <f t="shared" si="14"/>
        <v>0</v>
      </c>
      <c r="J55" s="30">
        <f t="shared" si="14"/>
        <v>0</v>
      </c>
      <c r="K55" s="30">
        <f t="shared" si="14"/>
        <v>0</v>
      </c>
      <c r="L55" s="30">
        <f t="shared" si="14"/>
        <v>0</v>
      </c>
      <c r="M55" s="30">
        <f t="shared" si="14"/>
        <v>0</v>
      </c>
      <c r="N55" s="30">
        <f t="shared" si="4"/>
        <v>0</v>
      </c>
      <c r="O55" s="481">
        <f t="shared" si="1"/>
        <v>0</v>
      </c>
    </row>
    <row r="56" spans="1:15" ht="12.75" x14ac:dyDescent="0.2">
      <c r="A56" s="344">
        <v>2</v>
      </c>
      <c r="B56" s="338">
        <v>1</v>
      </c>
      <c r="C56" s="338">
        <v>3</v>
      </c>
      <c r="D56" s="338">
        <v>2</v>
      </c>
      <c r="E56" s="338" t="s">
        <v>202</v>
      </c>
      <c r="F56" s="345" t="s">
        <v>83</v>
      </c>
      <c r="G56" s="27"/>
      <c r="H56" s="27"/>
      <c r="I56" s="27"/>
      <c r="J56" s="27"/>
      <c r="K56" s="27"/>
      <c r="L56" s="27"/>
      <c r="M56" s="27"/>
      <c r="N56" s="27">
        <f t="shared" si="4"/>
        <v>0</v>
      </c>
      <c r="O56" s="482">
        <f t="shared" si="1"/>
        <v>0</v>
      </c>
    </row>
    <row r="57" spans="1:15" ht="12.75" x14ac:dyDescent="0.2">
      <c r="A57" s="344">
        <v>2</v>
      </c>
      <c r="B57" s="338">
        <v>1</v>
      </c>
      <c r="C57" s="338">
        <v>3</v>
      </c>
      <c r="D57" s="338">
        <v>2</v>
      </c>
      <c r="E57" s="338" t="s">
        <v>203</v>
      </c>
      <c r="F57" s="345" t="s">
        <v>84</v>
      </c>
      <c r="G57" s="27"/>
      <c r="H57" s="27"/>
      <c r="I57" s="27"/>
      <c r="J57" s="27"/>
      <c r="K57" s="27"/>
      <c r="L57" s="27"/>
      <c r="M57" s="27"/>
      <c r="N57" s="27">
        <f t="shared" si="4"/>
        <v>0</v>
      </c>
      <c r="O57" s="482">
        <f t="shared" si="1"/>
        <v>0</v>
      </c>
    </row>
    <row r="58" spans="1:15" ht="12.75" x14ac:dyDescent="0.2">
      <c r="A58" s="331">
        <v>2</v>
      </c>
      <c r="B58" s="332">
        <v>1</v>
      </c>
      <c r="C58" s="332">
        <v>5</v>
      </c>
      <c r="D58" s="332"/>
      <c r="E58" s="332"/>
      <c r="F58" s="333" t="s">
        <v>242</v>
      </c>
      <c r="G58" s="32">
        <f>G59+G61+G63+G65</f>
        <v>17023588.7115</v>
      </c>
      <c r="H58" s="32">
        <f t="shared" ref="H58:O58" si="15">H59+H61+H63+H65</f>
        <v>14753776.883299999</v>
      </c>
      <c r="I58" s="32">
        <f t="shared" si="15"/>
        <v>39721706.993499994</v>
      </c>
      <c r="J58" s="32">
        <f t="shared" si="15"/>
        <v>10214153.226899998</v>
      </c>
      <c r="K58" s="32">
        <f t="shared" si="15"/>
        <v>13618870.9692</v>
      </c>
      <c r="L58" s="32">
        <f t="shared" si="15"/>
        <v>12483965.0551</v>
      </c>
      <c r="M58" s="32">
        <f t="shared" si="15"/>
        <v>5674529.5700000003</v>
      </c>
      <c r="N58" s="32">
        <f t="shared" si="4"/>
        <v>113490591.40949997</v>
      </c>
      <c r="O58" s="480">
        <f t="shared" si="1"/>
        <v>6.5107672155702609E-2</v>
      </c>
    </row>
    <row r="59" spans="1:15" ht="12.75" x14ac:dyDescent="0.2">
      <c r="A59" s="334">
        <v>2</v>
      </c>
      <c r="B59" s="335">
        <v>1</v>
      </c>
      <c r="C59" s="335">
        <v>5</v>
      </c>
      <c r="D59" s="335">
        <v>1</v>
      </c>
      <c r="E59" s="335"/>
      <c r="F59" s="336" t="s">
        <v>85</v>
      </c>
      <c r="G59" s="30">
        <f>G60</f>
        <v>7849108.5539999995</v>
      </c>
      <c r="H59" s="30">
        <f t="shared" ref="H59:O59" si="16">H60</f>
        <v>6802560.7467999998</v>
      </c>
      <c r="I59" s="30">
        <f t="shared" si="16"/>
        <v>18314586.625999998</v>
      </c>
      <c r="J59" s="30">
        <f t="shared" si="16"/>
        <v>4709465.1323999995</v>
      </c>
      <c r="K59" s="30">
        <f t="shared" si="16"/>
        <v>6279286.8432</v>
      </c>
      <c r="L59" s="30">
        <f t="shared" si="16"/>
        <v>5756012.9396000002</v>
      </c>
      <c r="M59" s="30">
        <f t="shared" si="16"/>
        <v>2616369.52</v>
      </c>
      <c r="N59" s="30">
        <f t="shared" si="4"/>
        <v>52327390.361999996</v>
      </c>
      <c r="O59" s="481">
        <f t="shared" si="1"/>
        <v>3.0019356971712683E-2</v>
      </c>
    </row>
    <row r="60" spans="1:15" ht="12.75" x14ac:dyDescent="0.2">
      <c r="A60" s="337">
        <v>2</v>
      </c>
      <c r="B60" s="338">
        <v>1</v>
      </c>
      <c r="C60" s="338">
        <v>5</v>
      </c>
      <c r="D60" s="338">
        <v>1</v>
      </c>
      <c r="E60" s="338" t="s">
        <v>202</v>
      </c>
      <c r="F60" s="340" t="s">
        <v>85</v>
      </c>
      <c r="G60" s="27">
        <f>52327390.36*0.15</f>
        <v>7849108.5539999995</v>
      </c>
      <c r="H60" s="27">
        <f>52327390.36*0.13</f>
        <v>6802560.7467999998</v>
      </c>
      <c r="I60" s="27">
        <f>52327390.36*0.35</f>
        <v>18314586.625999998</v>
      </c>
      <c r="J60" s="27">
        <f>52327390.36*0.09</f>
        <v>4709465.1323999995</v>
      </c>
      <c r="K60" s="27">
        <f>52327390.36*0.12</f>
        <v>6279286.8432</v>
      </c>
      <c r="L60" s="27">
        <f>52327390.36*0.11</f>
        <v>5756012.9396000002</v>
      </c>
      <c r="M60" s="27">
        <v>2616369.52</v>
      </c>
      <c r="N60" s="27">
        <f t="shared" si="4"/>
        <v>52327390.361999996</v>
      </c>
      <c r="O60" s="482">
        <f t="shared" si="1"/>
        <v>3.0019356971712683E-2</v>
      </c>
    </row>
    <row r="61" spans="1:15" ht="12.75" x14ac:dyDescent="0.2">
      <c r="A61" s="334">
        <v>2</v>
      </c>
      <c r="B61" s="335">
        <v>1</v>
      </c>
      <c r="C61" s="335">
        <v>5</v>
      </c>
      <c r="D61" s="335">
        <v>2</v>
      </c>
      <c r="E61" s="335"/>
      <c r="F61" s="343" t="s">
        <v>86</v>
      </c>
      <c r="G61" s="30">
        <f>G62</f>
        <v>7849108.5539999995</v>
      </c>
      <c r="H61" s="29">
        <f t="shared" ref="H61:O61" si="17">H62</f>
        <v>6802560.7467999998</v>
      </c>
      <c r="I61" s="29">
        <f t="shared" si="17"/>
        <v>18314586.625999998</v>
      </c>
      <c r="J61" s="29">
        <f t="shared" si="17"/>
        <v>4709465.1323999995</v>
      </c>
      <c r="K61" s="29">
        <f t="shared" si="17"/>
        <v>6279286.8432</v>
      </c>
      <c r="L61" s="29">
        <f t="shared" si="17"/>
        <v>5756012.9396000002</v>
      </c>
      <c r="M61" s="29">
        <f t="shared" si="17"/>
        <v>2616369.52</v>
      </c>
      <c r="N61" s="29">
        <f t="shared" si="4"/>
        <v>52327390.361999996</v>
      </c>
      <c r="O61" s="483">
        <f t="shared" si="1"/>
        <v>3.0019356971712683E-2</v>
      </c>
    </row>
    <row r="62" spans="1:15" ht="12.75" x14ac:dyDescent="0.2">
      <c r="A62" s="337">
        <v>2</v>
      </c>
      <c r="B62" s="338">
        <v>1</v>
      </c>
      <c r="C62" s="338">
        <v>5</v>
      </c>
      <c r="D62" s="338">
        <v>2</v>
      </c>
      <c r="E62" s="338" t="s">
        <v>202</v>
      </c>
      <c r="F62" s="340" t="s">
        <v>86</v>
      </c>
      <c r="G62" s="27">
        <f>52327390.36*0.15</f>
        <v>7849108.5539999995</v>
      </c>
      <c r="H62" s="27">
        <f>52327390.36*0.13</f>
        <v>6802560.7467999998</v>
      </c>
      <c r="I62" s="27">
        <f>52327390.36*0.35</f>
        <v>18314586.625999998</v>
      </c>
      <c r="J62" s="27">
        <f>52327390.36*0.09</f>
        <v>4709465.1323999995</v>
      </c>
      <c r="K62" s="27">
        <f>52327390.36*0.12</f>
        <v>6279286.8432</v>
      </c>
      <c r="L62" s="27">
        <f>52327390.36*0.11</f>
        <v>5756012.9396000002</v>
      </c>
      <c r="M62" s="27">
        <v>2616369.52</v>
      </c>
      <c r="N62" s="27">
        <f t="shared" si="4"/>
        <v>52327390.361999996</v>
      </c>
      <c r="O62" s="482">
        <f t="shared" si="1"/>
        <v>3.0019356971712683E-2</v>
      </c>
    </row>
    <row r="63" spans="1:15" ht="12.75" x14ac:dyDescent="0.2">
      <c r="A63" s="334">
        <v>2</v>
      </c>
      <c r="B63" s="335">
        <v>1</v>
      </c>
      <c r="C63" s="335">
        <v>5</v>
      </c>
      <c r="D63" s="335">
        <v>3</v>
      </c>
      <c r="E63" s="335"/>
      <c r="F63" s="343" t="s">
        <v>87</v>
      </c>
      <c r="G63" s="30">
        <f>G64</f>
        <v>1325371.6035</v>
      </c>
      <c r="H63" s="30">
        <f t="shared" ref="H63:O63" si="18">H64</f>
        <v>1148655.3896999999</v>
      </c>
      <c r="I63" s="30">
        <f t="shared" si="18"/>
        <v>3092533.7414999995</v>
      </c>
      <c r="J63" s="30">
        <f t="shared" si="18"/>
        <v>795222.96209999989</v>
      </c>
      <c r="K63" s="30">
        <f t="shared" si="18"/>
        <v>1060297.2827999999</v>
      </c>
      <c r="L63" s="30">
        <f t="shared" si="18"/>
        <v>971939.17589999991</v>
      </c>
      <c r="M63" s="30">
        <f t="shared" si="18"/>
        <v>441790.53</v>
      </c>
      <c r="N63" s="30">
        <f t="shared" si="4"/>
        <v>8835810.6854999997</v>
      </c>
      <c r="O63" s="481">
        <f t="shared" si="1"/>
        <v>5.0689582122772602E-3</v>
      </c>
    </row>
    <row r="64" spans="1:15" ht="12.75" x14ac:dyDescent="0.2">
      <c r="A64" s="337">
        <v>2</v>
      </c>
      <c r="B64" s="338">
        <v>1</v>
      </c>
      <c r="C64" s="338">
        <v>5</v>
      </c>
      <c r="D64" s="338">
        <v>3</v>
      </c>
      <c r="E64" s="338" t="s">
        <v>202</v>
      </c>
      <c r="F64" s="340" t="s">
        <v>87</v>
      </c>
      <c r="G64" s="27">
        <f>8835810.69*0.15</f>
        <v>1325371.6035</v>
      </c>
      <c r="H64" s="27">
        <f>8835810.69*0.13</f>
        <v>1148655.3896999999</v>
      </c>
      <c r="I64" s="27">
        <f>8835810.69*0.35</f>
        <v>3092533.7414999995</v>
      </c>
      <c r="J64" s="27">
        <f>8835810.69*0.09</f>
        <v>795222.96209999989</v>
      </c>
      <c r="K64" s="27">
        <f>8835810.69*0.12</f>
        <v>1060297.2827999999</v>
      </c>
      <c r="L64" s="27">
        <f>8835810.69*0.11</f>
        <v>971939.17589999991</v>
      </c>
      <c r="M64" s="27">
        <v>441790.53</v>
      </c>
      <c r="N64" s="27">
        <f t="shared" si="4"/>
        <v>8835810.6854999997</v>
      </c>
      <c r="O64" s="482">
        <f t="shared" si="1"/>
        <v>5.0689582122772602E-3</v>
      </c>
    </row>
    <row r="65" spans="1:15" ht="12.75" x14ac:dyDescent="0.2">
      <c r="A65" s="334">
        <v>2</v>
      </c>
      <c r="B65" s="335">
        <v>1</v>
      </c>
      <c r="C65" s="335">
        <v>5</v>
      </c>
      <c r="D65" s="335">
        <v>4</v>
      </c>
      <c r="E65" s="335"/>
      <c r="F65" s="343" t="s">
        <v>88</v>
      </c>
      <c r="G65" s="30">
        <f>G66</f>
        <v>0</v>
      </c>
      <c r="H65" s="30">
        <f t="shared" ref="H65:O65" si="19">H66</f>
        <v>0</v>
      </c>
      <c r="I65" s="30">
        <f t="shared" si="19"/>
        <v>0</v>
      </c>
      <c r="J65" s="30">
        <f t="shared" si="19"/>
        <v>0</v>
      </c>
      <c r="K65" s="30">
        <f t="shared" si="19"/>
        <v>0</v>
      </c>
      <c r="L65" s="30">
        <f t="shared" si="19"/>
        <v>0</v>
      </c>
      <c r="M65" s="30">
        <f t="shared" si="19"/>
        <v>0</v>
      </c>
      <c r="N65" s="30">
        <f t="shared" si="4"/>
        <v>0</v>
      </c>
      <c r="O65" s="481">
        <f t="shared" si="1"/>
        <v>0</v>
      </c>
    </row>
    <row r="66" spans="1:15" ht="12.75" x14ac:dyDescent="0.2">
      <c r="A66" s="337">
        <v>2</v>
      </c>
      <c r="B66" s="338">
        <v>1</v>
      </c>
      <c r="C66" s="338">
        <v>5</v>
      </c>
      <c r="D66" s="338">
        <v>4</v>
      </c>
      <c r="E66" s="338" t="s">
        <v>202</v>
      </c>
      <c r="F66" s="340" t="s">
        <v>88</v>
      </c>
      <c r="G66" s="27"/>
      <c r="H66" s="27"/>
      <c r="I66" s="27"/>
      <c r="J66" s="27"/>
      <c r="K66" s="27"/>
      <c r="L66" s="27"/>
      <c r="M66" s="27"/>
      <c r="N66" s="27">
        <f t="shared" si="4"/>
        <v>0</v>
      </c>
      <c r="O66" s="482">
        <f t="shared" si="1"/>
        <v>0</v>
      </c>
    </row>
    <row r="67" spans="1:15" ht="12.75" x14ac:dyDescent="0.2">
      <c r="A67" s="327">
        <v>2</v>
      </c>
      <c r="B67" s="328">
        <v>2</v>
      </c>
      <c r="C67" s="329"/>
      <c r="D67" s="329"/>
      <c r="E67" s="329"/>
      <c r="F67" s="330" t="s">
        <v>243</v>
      </c>
      <c r="G67" s="33">
        <f>+G68+G82+G87+G92+G99+G116+G125+G143</f>
        <v>0</v>
      </c>
      <c r="H67" s="33">
        <f t="shared" ref="H67:N67" si="20">+H68+H82+H87+H92+H99+H116+H125+H143</f>
        <v>0</v>
      </c>
      <c r="I67" s="33">
        <f t="shared" si="20"/>
        <v>0</v>
      </c>
      <c r="J67" s="33">
        <f t="shared" si="20"/>
        <v>0</v>
      </c>
      <c r="K67" s="33">
        <f t="shared" si="20"/>
        <v>0</v>
      </c>
      <c r="L67" s="33">
        <f t="shared" si="20"/>
        <v>0</v>
      </c>
      <c r="M67" s="33">
        <f>+M68+M82+M87+M92+M99+M116+M125+M143</f>
        <v>72682711.849999994</v>
      </c>
      <c r="N67" s="33">
        <f t="shared" si="4"/>
        <v>72682711.849999994</v>
      </c>
      <c r="O67" s="479">
        <f t="shared" si="1"/>
        <v>4.1696867694012936E-2</v>
      </c>
    </row>
    <row r="68" spans="1:15" ht="12.75" x14ac:dyDescent="0.2">
      <c r="A68" s="331">
        <v>2</v>
      </c>
      <c r="B68" s="332">
        <v>2</v>
      </c>
      <c r="C68" s="332">
        <v>1</v>
      </c>
      <c r="D68" s="332"/>
      <c r="E68" s="332"/>
      <c r="F68" s="333" t="s">
        <v>22</v>
      </c>
      <c r="G68" s="32">
        <f>+G69+G71+G73+G75+G78+G80</f>
        <v>0</v>
      </c>
      <c r="H68" s="32">
        <f t="shared" ref="H68:N68" si="21">+H69+H71+H73+H75+H78+H80</f>
        <v>0</v>
      </c>
      <c r="I68" s="32">
        <f t="shared" si="21"/>
        <v>0</v>
      </c>
      <c r="J68" s="32">
        <f t="shared" si="21"/>
        <v>0</v>
      </c>
      <c r="K68" s="32">
        <f t="shared" si="21"/>
        <v>0</v>
      </c>
      <c r="L68" s="32">
        <f t="shared" si="21"/>
        <v>0</v>
      </c>
      <c r="M68" s="32">
        <f>+M71+M78+M80</f>
        <v>3804000</v>
      </c>
      <c r="N68" s="32">
        <f t="shared" si="4"/>
        <v>3804000</v>
      </c>
      <c r="O68" s="480">
        <f t="shared" si="1"/>
        <v>2.1822917812336032E-3</v>
      </c>
    </row>
    <row r="69" spans="1:15" ht="12.75" x14ac:dyDescent="0.2">
      <c r="A69" s="334">
        <v>2</v>
      </c>
      <c r="B69" s="335">
        <v>2</v>
      </c>
      <c r="C69" s="335">
        <v>1</v>
      </c>
      <c r="D69" s="335">
        <v>2</v>
      </c>
      <c r="E69" s="335"/>
      <c r="F69" s="336" t="s">
        <v>89</v>
      </c>
      <c r="G69" s="30">
        <f>G70</f>
        <v>0</v>
      </c>
      <c r="H69" s="30">
        <f t="shared" ref="H69:O69" si="22">H70</f>
        <v>0</v>
      </c>
      <c r="I69" s="30">
        <f t="shared" si="22"/>
        <v>0</v>
      </c>
      <c r="J69" s="30">
        <f t="shared" si="22"/>
        <v>0</v>
      </c>
      <c r="K69" s="30">
        <f t="shared" si="22"/>
        <v>0</v>
      </c>
      <c r="L69" s="30">
        <f t="shared" si="22"/>
        <v>0</v>
      </c>
      <c r="M69" s="30">
        <f t="shared" si="22"/>
        <v>0</v>
      </c>
      <c r="N69" s="30">
        <f t="shared" si="4"/>
        <v>0</v>
      </c>
      <c r="O69" s="481">
        <f t="shared" si="1"/>
        <v>0</v>
      </c>
    </row>
    <row r="70" spans="1:15" ht="12.75" x14ac:dyDescent="0.2">
      <c r="A70" s="344">
        <v>2</v>
      </c>
      <c r="B70" s="338">
        <v>2</v>
      </c>
      <c r="C70" s="338">
        <v>1</v>
      </c>
      <c r="D70" s="338">
        <v>2</v>
      </c>
      <c r="E70" s="338" t="s">
        <v>202</v>
      </c>
      <c r="F70" s="345" t="s">
        <v>89</v>
      </c>
      <c r="G70" s="27"/>
      <c r="H70" s="27"/>
      <c r="I70" s="27"/>
      <c r="J70" s="27"/>
      <c r="K70" s="27"/>
      <c r="L70" s="27"/>
      <c r="M70" s="27"/>
      <c r="N70" s="27">
        <f t="shared" si="4"/>
        <v>0</v>
      </c>
      <c r="O70" s="482">
        <f t="shared" si="1"/>
        <v>0</v>
      </c>
    </row>
    <row r="71" spans="1:15" ht="12.75" x14ac:dyDescent="0.2">
      <c r="A71" s="334">
        <v>2</v>
      </c>
      <c r="B71" s="335">
        <v>2</v>
      </c>
      <c r="C71" s="335">
        <v>1</v>
      </c>
      <c r="D71" s="335">
        <v>3</v>
      </c>
      <c r="E71" s="335"/>
      <c r="F71" s="336" t="s">
        <v>90</v>
      </c>
      <c r="G71" s="30">
        <f>G72</f>
        <v>0</v>
      </c>
      <c r="H71" s="29">
        <f t="shared" ref="H71:O71" si="23">H72</f>
        <v>0</v>
      </c>
      <c r="I71" s="29">
        <f t="shared" si="23"/>
        <v>0</v>
      </c>
      <c r="J71" s="29">
        <f t="shared" si="23"/>
        <v>0</v>
      </c>
      <c r="K71" s="29">
        <f t="shared" si="23"/>
        <v>0</v>
      </c>
      <c r="L71" s="29">
        <f t="shared" si="23"/>
        <v>0</v>
      </c>
      <c r="M71" s="29">
        <f t="shared" si="23"/>
        <v>2724000</v>
      </c>
      <c r="N71" s="29">
        <f t="shared" si="4"/>
        <v>2724000</v>
      </c>
      <c r="O71" s="483">
        <f t="shared" si="1"/>
        <v>1.5627136729969334E-3</v>
      </c>
    </row>
    <row r="72" spans="1:15" ht="12.75" x14ac:dyDescent="0.2">
      <c r="A72" s="337">
        <v>2</v>
      </c>
      <c r="B72" s="338">
        <v>2</v>
      </c>
      <c r="C72" s="338">
        <v>1</v>
      </c>
      <c r="D72" s="338">
        <v>3</v>
      </c>
      <c r="E72" s="338" t="s">
        <v>202</v>
      </c>
      <c r="F72" s="340" t="s">
        <v>90</v>
      </c>
      <c r="G72" s="27"/>
      <c r="H72" s="27"/>
      <c r="I72" s="27"/>
      <c r="J72" s="27"/>
      <c r="K72" s="27"/>
      <c r="L72" s="27"/>
      <c r="M72" s="27">
        <v>2724000</v>
      </c>
      <c r="N72" s="27">
        <f t="shared" si="4"/>
        <v>2724000</v>
      </c>
      <c r="O72" s="482">
        <f t="shared" si="1"/>
        <v>1.5627136729969334E-3</v>
      </c>
    </row>
    <row r="73" spans="1:15" ht="12.75" x14ac:dyDescent="0.2">
      <c r="A73" s="334">
        <v>2</v>
      </c>
      <c r="B73" s="335">
        <v>2</v>
      </c>
      <c r="C73" s="335">
        <v>1</v>
      </c>
      <c r="D73" s="335">
        <v>5</v>
      </c>
      <c r="E73" s="335"/>
      <c r="F73" s="336" t="s">
        <v>91</v>
      </c>
      <c r="G73" s="30">
        <f>G74</f>
        <v>0</v>
      </c>
      <c r="H73" s="30">
        <f t="shared" ref="H73:O73" si="24">H74</f>
        <v>0</v>
      </c>
      <c r="I73" s="30">
        <f t="shared" si="24"/>
        <v>0</v>
      </c>
      <c r="J73" s="30">
        <f t="shared" si="24"/>
        <v>0</v>
      </c>
      <c r="K73" s="30">
        <f t="shared" si="24"/>
        <v>0</v>
      </c>
      <c r="L73" s="30">
        <f t="shared" si="24"/>
        <v>0</v>
      </c>
      <c r="M73" s="30">
        <f t="shared" si="24"/>
        <v>0</v>
      </c>
      <c r="N73" s="30">
        <f t="shared" si="4"/>
        <v>0</v>
      </c>
      <c r="O73" s="481">
        <f t="shared" si="1"/>
        <v>0</v>
      </c>
    </row>
    <row r="74" spans="1:15" ht="12.75" x14ac:dyDescent="0.2">
      <c r="A74" s="344">
        <v>2</v>
      </c>
      <c r="B74" s="338">
        <v>2</v>
      </c>
      <c r="C74" s="338">
        <v>1</v>
      </c>
      <c r="D74" s="338">
        <v>5</v>
      </c>
      <c r="E74" s="338" t="s">
        <v>202</v>
      </c>
      <c r="F74" s="345" t="s">
        <v>91</v>
      </c>
      <c r="G74" s="27"/>
      <c r="H74" s="27"/>
      <c r="I74" s="27"/>
      <c r="J74" s="27"/>
      <c r="K74" s="27"/>
      <c r="L74" s="27"/>
      <c r="M74" s="27"/>
      <c r="N74" s="27">
        <f t="shared" si="4"/>
        <v>0</v>
      </c>
      <c r="O74" s="482">
        <f t="shared" si="1"/>
        <v>0</v>
      </c>
    </row>
    <row r="75" spans="1:15" ht="12.75" x14ac:dyDescent="0.2">
      <c r="A75" s="334">
        <v>2</v>
      </c>
      <c r="B75" s="335">
        <v>2</v>
      </c>
      <c r="C75" s="335">
        <v>1</v>
      </c>
      <c r="D75" s="335">
        <v>6</v>
      </c>
      <c r="E75" s="335"/>
      <c r="F75" s="336" t="s">
        <v>23</v>
      </c>
      <c r="G75" s="30">
        <f>G76+G77</f>
        <v>0</v>
      </c>
      <c r="H75" s="30">
        <f t="shared" ref="H75:M75" si="25">H76+H77</f>
        <v>0</v>
      </c>
      <c r="I75" s="30">
        <f t="shared" si="25"/>
        <v>0</v>
      </c>
      <c r="J75" s="30">
        <f t="shared" si="25"/>
        <v>0</v>
      </c>
      <c r="K75" s="30">
        <f t="shared" si="25"/>
        <v>0</v>
      </c>
      <c r="L75" s="30">
        <f t="shared" si="25"/>
        <v>0</v>
      </c>
      <c r="M75" s="30">
        <f t="shared" si="25"/>
        <v>0</v>
      </c>
      <c r="N75" s="30">
        <f t="shared" si="4"/>
        <v>0</v>
      </c>
      <c r="O75" s="481">
        <f t="shared" si="1"/>
        <v>0</v>
      </c>
    </row>
    <row r="76" spans="1:15" ht="12.75" x14ac:dyDescent="0.2">
      <c r="A76" s="344">
        <v>2</v>
      </c>
      <c r="B76" s="338">
        <v>2</v>
      </c>
      <c r="C76" s="338">
        <v>1</v>
      </c>
      <c r="D76" s="338">
        <v>6</v>
      </c>
      <c r="E76" s="338" t="s">
        <v>202</v>
      </c>
      <c r="F76" s="345" t="s">
        <v>92</v>
      </c>
      <c r="G76" s="27"/>
      <c r="H76" s="27"/>
      <c r="I76" s="27"/>
      <c r="J76" s="27"/>
      <c r="K76" s="27"/>
      <c r="L76" s="27"/>
      <c r="M76" s="27"/>
      <c r="N76" s="27">
        <f t="shared" si="4"/>
        <v>0</v>
      </c>
      <c r="O76" s="482">
        <f t="shared" si="1"/>
        <v>0</v>
      </c>
    </row>
    <row r="77" spans="1:15" ht="12.75" x14ac:dyDescent="0.2">
      <c r="A77" s="344">
        <v>2</v>
      </c>
      <c r="B77" s="338">
        <v>2</v>
      </c>
      <c r="C77" s="338">
        <v>1</v>
      </c>
      <c r="D77" s="338">
        <v>6</v>
      </c>
      <c r="E77" s="338" t="s">
        <v>203</v>
      </c>
      <c r="F77" s="345" t="s">
        <v>93</v>
      </c>
      <c r="G77" s="27"/>
      <c r="H77" s="27"/>
      <c r="I77" s="27"/>
      <c r="J77" s="27"/>
      <c r="K77" s="27"/>
      <c r="L77" s="27"/>
      <c r="M77" s="27"/>
      <c r="N77" s="27">
        <f t="shared" si="4"/>
        <v>0</v>
      </c>
      <c r="O77" s="482">
        <f t="shared" si="1"/>
        <v>0</v>
      </c>
    </row>
    <row r="78" spans="1:15" ht="12.75" x14ac:dyDescent="0.2">
      <c r="A78" s="334">
        <v>2</v>
      </c>
      <c r="B78" s="335">
        <v>2</v>
      </c>
      <c r="C78" s="335">
        <v>1</v>
      </c>
      <c r="D78" s="335">
        <v>7</v>
      </c>
      <c r="E78" s="335"/>
      <c r="F78" s="336" t="s">
        <v>24</v>
      </c>
      <c r="G78" s="30">
        <f>G79</f>
        <v>0</v>
      </c>
      <c r="H78" s="30">
        <f t="shared" ref="H78:O78" si="26">H79</f>
        <v>0</v>
      </c>
      <c r="I78" s="30">
        <f t="shared" si="26"/>
        <v>0</v>
      </c>
      <c r="J78" s="30">
        <f t="shared" si="26"/>
        <v>0</v>
      </c>
      <c r="K78" s="30">
        <f t="shared" si="26"/>
        <v>0</v>
      </c>
      <c r="L78" s="30">
        <f t="shared" si="26"/>
        <v>0</v>
      </c>
      <c r="M78" s="30">
        <f t="shared" si="26"/>
        <v>780000</v>
      </c>
      <c r="N78" s="30">
        <f t="shared" si="4"/>
        <v>780000</v>
      </c>
      <c r="O78" s="481">
        <f t="shared" si="1"/>
        <v>4.4747307817092805E-4</v>
      </c>
    </row>
    <row r="79" spans="1:15" ht="12.75" x14ac:dyDescent="0.2">
      <c r="A79" s="344">
        <v>2</v>
      </c>
      <c r="B79" s="338">
        <v>2</v>
      </c>
      <c r="C79" s="338">
        <v>1</v>
      </c>
      <c r="D79" s="338">
        <v>7</v>
      </c>
      <c r="E79" s="338" t="s">
        <v>202</v>
      </c>
      <c r="F79" s="345" t="s">
        <v>24</v>
      </c>
      <c r="G79" s="27"/>
      <c r="H79" s="27"/>
      <c r="I79" s="27"/>
      <c r="J79" s="27"/>
      <c r="K79" s="27"/>
      <c r="L79" s="27"/>
      <c r="M79" s="27">
        <v>780000</v>
      </c>
      <c r="N79" s="27">
        <f t="shared" si="4"/>
        <v>780000</v>
      </c>
      <c r="O79" s="482">
        <f t="shared" si="1"/>
        <v>4.4747307817092805E-4</v>
      </c>
    </row>
    <row r="80" spans="1:15" ht="12.75" x14ac:dyDescent="0.2">
      <c r="A80" s="334">
        <v>2</v>
      </c>
      <c r="B80" s="335">
        <v>2</v>
      </c>
      <c r="C80" s="335">
        <v>1</v>
      </c>
      <c r="D80" s="335">
        <v>8</v>
      </c>
      <c r="E80" s="335"/>
      <c r="F80" s="336" t="s">
        <v>94</v>
      </c>
      <c r="G80" s="30">
        <f>G81</f>
        <v>0</v>
      </c>
      <c r="H80" s="30">
        <f t="shared" ref="H80:M80" si="27">H81</f>
        <v>0</v>
      </c>
      <c r="I80" s="30">
        <f t="shared" si="27"/>
        <v>0</v>
      </c>
      <c r="J80" s="30">
        <f t="shared" si="27"/>
        <v>0</v>
      </c>
      <c r="K80" s="30">
        <f t="shared" si="27"/>
        <v>0</v>
      </c>
      <c r="L80" s="30">
        <f t="shared" si="27"/>
        <v>0</v>
      </c>
      <c r="M80" s="30">
        <f t="shared" si="27"/>
        <v>300000</v>
      </c>
      <c r="N80" s="30">
        <f t="shared" si="4"/>
        <v>300000</v>
      </c>
      <c r="O80" s="481">
        <f t="shared" si="1"/>
        <v>1.7210503006574157E-4</v>
      </c>
    </row>
    <row r="81" spans="1:15" ht="12.75" x14ac:dyDescent="0.2">
      <c r="A81" s="337">
        <v>2</v>
      </c>
      <c r="B81" s="338">
        <v>2</v>
      </c>
      <c r="C81" s="338">
        <v>1</v>
      </c>
      <c r="D81" s="338">
        <v>8</v>
      </c>
      <c r="E81" s="338" t="s">
        <v>202</v>
      </c>
      <c r="F81" s="340" t="s">
        <v>94</v>
      </c>
      <c r="G81" s="27"/>
      <c r="H81" s="27"/>
      <c r="I81" s="27"/>
      <c r="J81" s="27"/>
      <c r="K81" s="27"/>
      <c r="L81" s="27"/>
      <c r="M81" s="27">
        <v>300000</v>
      </c>
      <c r="N81" s="27">
        <f t="shared" si="4"/>
        <v>300000</v>
      </c>
      <c r="O81" s="482">
        <f t="shared" si="1"/>
        <v>1.7210503006574157E-4</v>
      </c>
    </row>
    <row r="82" spans="1:15" ht="12.75" x14ac:dyDescent="0.2">
      <c r="A82" s="331">
        <v>2</v>
      </c>
      <c r="B82" s="332">
        <v>2</v>
      </c>
      <c r="C82" s="332">
        <v>2</v>
      </c>
      <c r="D82" s="332"/>
      <c r="E82" s="332"/>
      <c r="F82" s="333" t="s">
        <v>244</v>
      </c>
      <c r="G82" s="32">
        <f>+G83+G85</f>
        <v>0</v>
      </c>
      <c r="H82" s="32">
        <f t="shared" ref="H82:O82" si="28">+H83+H85</f>
        <v>0</v>
      </c>
      <c r="I82" s="32">
        <f t="shared" si="28"/>
        <v>0</v>
      </c>
      <c r="J82" s="32">
        <f t="shared" si="28"/>
        <v>0</v>
      </c>
      <c r="K82" s="32">
        <f t="shared" si="28"/>
        <v>0</v>
      </c>
      <c r="L82" s="32">
        <f t="shared" si="28"/>
        <v>0</v>
      </c>
      <c r="M82" s="32">
        <f t="shared" si="28"/>
        <v>0</v>
      </c>
      <c r="N82" s="32">
        <f t="shared" si="4"/>
        <v>0</v>
      </c>
      <c r="O82" s="480">
        <f t="shared" ref="O82:O145" si="29">IFERROR(N82/$N$18*100,"0.00")/100</f>
        <v>0</v>
      </c>
    </row>
    <row r="83" spans="1:15" ht="12.75" x14ac:dyDescent="0.2">
      <c r="A83" s="334">
        <v>2</v>
      </c>
      <c r="B83" s="335">
        <v>2</v>
      </c>
      <c r="C83" s="335">
        <v>2</v>
      </c>
      <c r="D83" s="335">
        <v>1</v>
      </c>
      <c r="E83" s="335"/>
      <c r="F83" s="336" t="s">
        <v>95</v>
      </c>
      <c r="G83" s="30">
        <f>G84</f>
        <v>0</v>
      </c>
      <c r="H83" s="29">
        <f t="shared" ref="H83:O83" si="30">H84</f>
        <v>0</v>
      </c>
      <c r="I83" s="29">
        <f t="shared" si="30"/>
        <v>0</v>
      </c>
      <c r="J83" s="29">
        <f t="shared" si="30"/>
        <v>0</v>
      </c>
      <c r="K83" s="29">
        <f t="shared" si="30"/>
        <v>0</v>
      </c>
      <c r="L83" s="29">
        <f t="shared" si="30"/>
        <v>0</v>
      </c>
      <c r="M83" s="29">
        <f t="shared" si="30"/>
        <v>0</v>
      </c>
      <c r="N83" s="29">
        <f t="shared" ref="N83:N146" si="31">+G83+H83+I83+J83+K83+L83+M83</f>
        <v>0</v>
      </c>
      <c r="O83" s="483">
        <f t="shared" si="29"/>
        <v>0</v>
      </c>
    </row>
    <row r="84" spans="1:15" ht="12.75" x14ac:dyDescent="0.2">
      <c r="A84" s="337">
        <v>2</v>
      </c>
      <c r="B84" s="338">
        <v>2</v>
      </c>
      <c r="C84" s="338">
        <v>2</v>
      </c>
      <c r="D84" s="338">
        <v>1</v>
      </c>
      <c r="E84" s="338" t="s">
        <v>202</v>
      </c>
      <c r="F84" s="340" t="s">
        <v>95</v>
      </c>
      <c r="G84" s="27"/>
      <c r="H84" s="27"/>
      <c r="I84" s="27"/>
      <c r="J84" s="27"/>
      <c r="K84" s="27"/>
      <c r="L84" s="27"/>
      <c r="M84" s="27"/>
      <c r="N84" s="27">
        <f t="shared" si="31"/>
        <v>0</v>
      </c>
      <c r="O84" s="482">
        <f t="shared" si="29"/>
        <v>0</v>
      </c>
    </row>
    <row r="85" spans="1:15" ht="12.75" x14ac:dyDescent="0.2">
      <c r="A85" s="334">
        <v>2</v>
      </c>
      <c r="B85" s="335">
        <v>2</v>
      </c>
      <c r="C85" s="335">
        <v>2</v>
      </c>
      <c r="D85" s="335">
        <v>2</v>
      </c>
      <c r="E85" s="335"/>
      <c r="F85" s="336" t="s">
        <v>96</v>
      </c>
      <c r="G85" s="30">
        <f>G86</f>
        <v>0</v>
      </c>
      <c r="H85" s="29">
        <f t="shared" ref="H85:O85" si="32">H86</f>
        <v>0</v>
      </c>
      <c r="I85" s="29">
        <f t="shared" si="32"/>
        <v>0</v>
      </c>
      <c r="J85" s="29">
        <f t="shared" si="32"/>
        <v>0</v>
      </c>
      <c r="K85" s="29">
        <f t="shared" si="32"/>
        <v>0</v>
      </c>
      <c r="L85" s="29">
        <f t="shared" si="32"/>
        <v>0</v>
      </c>
      <c r="M85" s="29">
        <f t="shared" si="32"/>
        <v>0</v>
      </c>
      <c r="N85" s="29">
        <f t="shared" si="31"/>
        <v>0</v>
      </c>
      <c r="O85" s="483">
        <f t="shared" si="29"/>
        <v>0</v>
      </c>
    </row>
    <row r="86" spans="1:15" ht="12.75" x14ac:dyDescent="0.2">
      <c r="A86" s="337">
        <v>2</v>
      </c>
      <c r="B86" s="338">
        <v>2</v>
      </c>
      <c r="C86" s="338">
        <v>2</v>
      </c>
      <c r="D86" s="338">
        <v>2</v>
      </c>
      <c r="E86" s="338" t="s">
        <v>202</v>
      </c>
      <c r="F86" s="340" t="s">
        <v>96</v>
      </c>
      <c r="G86" s="27"/>
      <c r="H86" s="27"/>
      <c r="I86" s="27"/>
      <c r="J86" s="27"/>
      <c r="K86" s="27"/>
      <c r="L86" s="27"/>
      <c r="M86" s="27"/>
      <c r="N86" s="27">
        <f t="shared" si="31"/>
        <v>0</v>
      </c>
      <c r="O86" s="482">
        <f t="shared" si="29"/>
        <v>0</v>
      </c>
    </row>
    <row r="87" spans="1:15" ht="12.75" x14ac:dyDescent="0.2">
      <c r="A87" s="331">
        <v>2</v>
      </c>
      <c r="B87" s="332">
        <v>2</v>
      </c>
      <c r="C87" s="332">
        <v>3</v>
      </c>
      <c r="D87" s="332"/>
      <c r="E87" s="332"/>
      <c r="F87" s="333" t="s">
        <v>25</v>
      </c>
      <c r="G87" s="32">
        <f>+G88+G90</f>
        <v>0</v>
      </c>
      <c r="H87" s="32">
        <f>+H88+H90</f>
        <v>0</v>
      </c>
      <c r="I87" s="32">
        <f t="shared" ref="I87:M87" si="33">+I88+I90</f>
        <v>0</v>
      </c>
      <c r="J87" s="32">
        <f t="shared" si="33"/>
        <v>0</v>
      </c>
      <c r="K87" s="32">
        <f t="shared" si="33"/>
        <v>0</v>
      </c>
      <c r="L87" s="32">
        <f t="shared" si="33"/>
        <v>0</v>
      </c>
      <c r="M87" s="32">
        <f t="shared" si="33"/>
        <v>0</v>
      </c>
      <c r="N87" s="32">
        <f t="shared" si="31"/>
        <v>0</v>
      </c>
      <c r="O87" s="480">
        <f t="shared" si="29"/>
        <v>0</v>
      </c>
    </row>
    <row r="88" spans="1:15" ht="12.75" x14ac:dyDescent="0.2">
      <c r="A88" s="334">
        <v>2</v>
      </c>
      <c r="B88" s="335">
        <v>2</v>
      </c>
      <c r="C88" s="335">
        <v>3</v>
      </c>
      <c r="D88" s="335">
        <v>1</v>
      </c>
      <c r="E88" s="335"/>
      <c r="F88" s="336" t="s">
        <v>97</v>
      </c>
      <c r="G88" s="30">
        <f>G89</f>
        <v>0</v>
      </c>
      <c r="H88" s="30">
        <f t="shared" ref="H88:O88" si="34">H89</f>
        <v>0</v>
      </c>
      <c r="I88" s="30">
        <f t="shared" si="34"/>
        <v>0</v>
      </c>
      <c r="J88" s="30">
        <f t="shared" si="34"/>
        <v>0</v>
      </c>
      <c r="K88" s="30">
        <f t="shared" si="34"/>
        <v>0</v>
      </c>
      <c r="L88" s="30">
        <f t="shared" si="34"/>
        <v>0</v>
      </c>
      <c r="M88" s="30">
        <f t="shared" si="34"/>
        <v>0</v>
      </c>
      <c r="N88" s="30">
        <f t="shared" si="31"/>
        <v>0</v>
      </c>
      <c r="O88" s="481">
        <f t="shared" si="29"/>
        <v>0</v>
      </c>
    </row>
    <row r="89" spans="1:15" ht="12.75" x14ac:dyDescent="0.2">
      <c r="A89" s="337">
        <v>2</v>
      </c>
      <c r="B89" s="338">
        <v>2</v>
      </c>
      <c r="C89" s="338">
        <v>3</v>
      </c>
      <c r="D89" s="338">
        <v>1</v>
      </c>
      <c r="E89" s="338" t="s">
        <v>202</v>
      </c>
      <c r="F89" s="340" t="s">
        <v>97</v>
      </c>
      <c r="G89" s="27"/>
      <c r="H89" s="27"/>
      <c r="I89" s="27"/>
      <c r="J89" s="27"/>
      <c r="K89" s="27"/>
      <c r="L89" s="27"/>
      <c r="M89" s="27"/>
      <c r="N89" s="27">
        <f t="shared" si="31"/>
        <v>0</v>
      </c>
      <c r="O89" s="482">
        <f t="shared" si="29"/>
        <v>0</v>
      </c>
    </row>
    <row r="90" spans="1:15" ht="12.75" x14ac:dyDescent="0.2">
      <c r="A90" s="334">
        <v>2</v>
      </c>
      <c r="B90" s="335">
        <v>2</v>
      </c>
      <c r="C90" s="335">
        <v>3</v>
      </c>
      <c r="D90" s="335">
        <v>2</v>
      </c>
      <c r="E90" s="335"/>
      <c r="F90" s="336" t="s">
        <v>98</v>
      </c>
      <c r="G90" s="30">
        <f>G91</f>
        <v>0</v>
      </c>
      <c r="H90" s="30">
        <f t="shared" ref="H90:O90" si="35">H91</f>
        <v>0</v>
      </c>
      <c r="I90" s="30">
        <f t="shared" si="35"/>
        <v>0</v>
      </c>
      <c r="J90" s="30">
        <f t="shared" si="35"/>
        <v>0</v>
      </c>
      <c r="K90" s="30">
        <f t="shared" si="35"/>
        <v>0</v>
      </c>
      <c r="L90" s="30">
        <f t="shared" si="35"/>
        <v>0</v>
      </c>
      <c r="M90" s="30">
        <f t="shared" si="35"/>
        <v>0</v>
      </c>
      <c r="N90" s="30">
        <f t="shared" si="31"/>
        <v>0</v>
      </c>
      <c r="O90" s="481">
        <f t="shared" si="29"/>
        <v>0</v>
      </c>
    </row>
    <row r="91" spans="1:15" ht="12.75" x14ac:dyDescent="0.2">
      <c r="A91" s="344">
        <v>2</v>
      </c>
      <c r="B91" s="338">
        <v>2</v>
      </c>
      <c r="C91" s="338">
        <v>3</v>
      </c>
      <c r="D91" s="338">
        <v>2</v>
      </c>
      <c r="E91" s="338" t="s">
        <v>202</v>
      </c>
      <c r="F91" s="345" t="s">
        <v>98</v>
      </c>
      <c r="G91" s="27"/>
      <c r="H91" s="27"/>
      <c r="I91" s="27"/>
      <c r="J91" s="27"/>
      <c r="K91" s="27"/>
      <c r="L91" s="27"/>
      <c r="M91" s="27"/>
      <c r="N91" s="27">
        <f t="shared" si="31"/>
        <v>0</v>
      </c>
      <c r="O91" s="482">
        <f t="shared" si="29"/>
        <v>0</v>
      </c>
    </row>
    <row r="92" spans="1:15" ht="12.75" x14ac:dyDescent="0.2">
      <c r="A92" s="331">
        <v>2</v>
      </c>
      <c r="B92" s="332">
        <v>2</v>
      </c>
      <c r="C92" s="332">
        <v>4</v>
      </c>
      <c r="D92" s="332"/>
      <c r="E92" s="332"/>
      <c r="F92" s="333" t="s">
        <v>99</v>
      </c>
      <c r="G92" s="32">
        <f>+G93+G95+G97</f>
        <v>0</v>
      </c>
      <c r="H92" s="32">
        <f t="shared" ref="H92:O92" si="36">+H93+H95+H97</f>
        <v>0</v>
      </c>
      <c r="I92" s="32">
        <f t="shared" si="36"/>
        <v>0</v>
      </c>
      <c r="J92" s="32">
        <f t="shared" si="36"/>
        <v>0</v>
      </c>
      <c r="K92" s="32">
        <f t="shared" si="36"/>
        <v>0</v>
      </c>
      <c r="L92" s="32">
        <f t="shared" si="36"/>
        <v>0</v>
      </c>
      <c r="M92" s="32">
        <f t="shared" si="36"/>
        <v>708803.54</v>
      </c>
      <c r="N92" s="32">
        <f t="shared" si="31"/>
        <v>708803.54</v>
      </c>
      <c r="O92" s="480">
        <f t="shared" si="29"/>
        <v>4.066288485413468E-4</v>
      </c>
    </row>
    <row r="93" spans="1:15" ht="12.75" x14ac:dyDescent="0.2">
      <c r="A93" s="334">
        <v>2</v>
      </c>
      <c r="B93" s="335">
        <v>2</v>
      </c>
      <c r="C93" s="335">
        <v>4</v>
      </c>
      <c r="D93" s="335">
        <v>1</v>
      </c>
      <c r="E93" s="335"/>
      <c r="F93" s="343" t="s">
        <v>982</v>
      </c>
      <c r="G93" s="30">
        <f>G94</f>
        <v>0</v>
      </c>
      <c r="H93" s="29">
        <f t="shared" ref="H93:O93" si="37">H94</f>
        <v>0</v>
      </c>
      <c r="I93" s="29">
        <f t="shared" si="37"/>
        <v>0</v>
      </c>
      <c r="J93" s="29">
        <f t="shared" si="37"/>
        <v>0</v>
      </c>
      <c r="K93" s="29">
        <f t="shared" si="37"/>
        <v>0</v>
      </c>
      <c r="L93" s="29">
        <f t="shared" si="37"/>
        <v>0</v>
      </c>
      <c r="M93" s="29">
        <f t="shared" si="37"/>
        <v>0</v>
      </c>
      <c r="N93" s="29">
        <f t="shared" si="31"/>
        <v>0</v>
      </c>
      <c r="O93" s="483">
        <f t="shared" si="29"/>
        <v>0</v>
      </c>
    </row>
    <row r="94" spans="1:15" ht="12.75" x14ac:dyDescent="0.2">
      <c r="A94" s="337">
        <v>2</v>
      </c>
      <c r="B94" s="338">
        <v>2</v>
      </c>
      <c r="C94" s="338">
        <v>4</v>
      </c>
      <c r="D94" s="338">
        <v>1</v>
      </c>
      <c r="E94" s="338" t="s">
        <v>202</v>
      </c>
      <c r="F94" s="339" t="s">
        <v>982</v>
      </c>
      <c r="G94" s="27"/>
      <c r="H94" s="27"/>
      <c r="I94" s="27"/>
      <c r="J94" s="27"/>
      <c r="K94" s="27"/>
      <c r="L94" s="27"/>
      <c r="M94" s="27"/>
      <c r="N94" s="27">
        <f t="shared" si="31"/>
        <v>0</v>
      </c>
      <c r="O94" s="482">
        <f t="shared" si="29"/>
        <v>0</v>
      </c>
    </row>
    <row r="95" spans="1:15" ht="12.75" x14ac:dyDescent="0.2">
      <c r="A95" s="334">
        <v>2</v>
      </c>
      <c r="B95" s="335">
        <v>2</v>
      </c>
      <c r="C95" s="335">
        <v>4</v>
      </c>
      <c r="D95" s="335">
        <v>2</v>
      </c>
      <c r="E95" s="335"/>
      <c r="F95" s="343" t="s">
        <v>26</v>
      </c>
      <c r="G95" s="30">
        <f>G96</f>
        <v>0</v>
      </c>
      <c r="H95" s="29">
        <f t="shared" ref="H95:O95" si="38">H96</f>
        <v>0</v>
      </c>
      <c r="I95" s="29">
        <f t="shared" si="38"/>
        <v>0</v>
      </c>
      <c r="J95" s="29">
        <f t="shared" si="38"/>
        <v>0</v>
      </c>
      <c r="K95" s="29">
        <f t="shared" si="38"/>
        <v>0</v>
      </c>
      <c r="L95" s="29">
        <f t="shared" si="38"/>
        <v>0</v>
      </c>
      <c r="M95" s="29">
        <f t="shared" si="38"/>
        <v>708803.54</v>
      </c>
      <c r="N95" s="29">
        <f t="shared" si="31"/>
        <v>708803.54</v>
      </c>
      <c r="O95" s="483">
        <f t="shared" si="29"/>
        <v>4.066288485413468E-4</v>
      </c>
    </row>
    <row r="96" spans="1:15" ht="12.75" x14ac:dyDescent="0.2">
      <c r="A96" s="344">
        <v>2</v>
      </c>
      <c r="B96" s="338">
        <v>2</v>
      </c>
      <c r="C96" s="338">
        <v>4</v>
      </c>
      <c r="D96" s="338">
        <v>2</v>
      </c>
      <c r="E96" s="338" t="s">
        <v>202</v>
      </c>
      <c r="F96" s="345" t="s">
        <v>26</v>
      </c>
      <c r="G96" s="27"/>
      <c r="H96" s="27"/>
      <c r="I96" s="27"/>
      <c r="J96" s="27"/>
      <c r="K96" s="27"/>
      <c r="L96" s="27"/>
      <c r="M96" s="27">
        <v>708803.54</v>
      </c>
      <c r="N96" s="27">
        <f t="shared" si="31"/>
        <v>708803.54</v>
      </c>
      <c r="O96" s="482">
        <f t="shared" si="29"/>
        <v>4.066288485413468E-4</v>
      </c>
    </row>
    <row r="97" spans="1:15" ht="12.75" x14ac:dyDescent="0.2">
      <c r="A97" s="334">
        <v>2</v>
      </c>
      <c r="B97" s="335">
        <v>2</v>
      </c>
      <c r="C97" s="335">
        <v>4</v>
      </c>
      <c r="D97" s="335">
        <v>4</v>
      </c>
      <c r="E97" s="335"/>
      <c r="F97" s="343" t="s">
        <v>100</v>
      </c>
      <c r="G97" s="30">
        <f>G98</f>
        <v>0</v>
      </c>
      <c r="H97" s="29">
        <f t="shared" ref="H97:O97" si="39">H98</f>
        <v>0</v>
      </c>
      <c r="I97" s="29">
        <f t="shared" si="39"/>
        <v>0</v>
      </c>
      <c r="J97" s="29">
        <f t="shared" si="39"/>
        <v>0</v>
      </c>
      <c r="K97" s="29">
        <f t="shared" si="39"/>
        <v>0</v>
      </c>
      <c r="L97" s="29">
        <f t="shared" si="39"/>
        <v>0</v>
      </c>
      <c r="M97" s="29">
        <f t="shared" si="39"/>
        <v>0</v>
      </c>
      <c r="N97" s="29">
        <f t="shared" si="31"/>
        <v>0</v>
      </c>
      <c r="O97" s="483">
        <f t="shared" si="29"/>
        <v>0</v>
      </c>
    </row>
    <row r="98" spans="1:15" ht="12.75" x14ac:dyDescent="0.2">
      <c r="A98" s="344">
        <v>2</v>
      </c>
      <c r="B98" s="338">
        <v>2</v>
      </c>
      <c r="C98" s="338">
        <v>4</v>
      </c>
      <c r="D98" s="338">
        <v>4</v>
      </c>
      <c r="E98" s="338" t="s">
        <v>202</v>
      </c>
      <c r="F98" s="345" t="s">
        <v>100</v>
      </c>
      <c r="G98" s="27"/>
      <c r="H98" s="27"/>
      <c r="I98" s="27"/>
      <c r="J98" s="27"/>
      <c r="K98" s="27"/>
      <c r="L98" s="27"/>
      <c r="M98" s="27"/>
      <c r="N98" s="27">
        <f t="shared" si="31"/>
        <v>0</v>
      </c>
      <c r="O98" s="482">
        <f t="shared" si="29"/>
        <v>0</v>
      </c>
    </row>
    <row r="99" spans="1:15" ht="12.75" x14ac:dyDescent="0.2">
      <c r="A99" s="331">
        <v>2</v>
      </c>
      <c r="B99" s="332">
        <v>2</v>
      </c>
      <c r="C99" s="332">
        <v>5</v>
      </c>
      <c r="D99" s="332"/>
      <c r="E99" s="332"/>
      <c r="F99" s="333" t="s">
        <v>101</v>
      </c>
      <c r="G99" s="32">
        <f>+G100+G102+G104+G110+G112+G114</f>
        <v>0</v>
      </c>
      <c r="H99" s="32">
        <f t="shared" ref="H99:M99" si="40">+H100+H102+H104+H110+H112+H114</f>
        <v>0</v>
      </c>
      <c r="I99" s="32">
        <f t="shared" si="40"/>
        <v>0</v>
      </c>
      <c r="J99" s="32">
        <f t="shared" si="40"/>
        <v>0</v>
      </c>
      <c r="K99" s="32">
        <f t="shared" si="40"/>
        <v>0</v>
      </c>
      <c r="L99" s="32">
        <f t="shared" si="40"/>
        <v>0</v>
      </c>
      <c r="M99" s="32">
        <f t="shared" si="40"/>
        <v>4200000</v>
      </c>
      <c r="N99" s="32">
        <f t="shared" si="31"/>
        <v>4200000</v>
      </c>
      <c r="O99" s="480">
        <f t="shared" si="29"/>
        <v>2.4094704209203818E-3</v>
      </c>
    </row>
    <row r="100" spans="1:15" ht="12.75" x14ac:dyDescent="0.2">
      <c r="A100" s="334">
        <v>2</v>
      </c>
      <c r="B100" s="335">
        <v>2</v>
      </c>
      <c r="C100" s="335">
        <v>5</v>
      </c>
      <c r="D100" s="335">
        <v>1</v>
      </c>
      <c r="E100" s="335"/>
      <c r="F100" s="343" t="s">
        <v>102</v>
      </c>
      <c r="G100" s="30">
        <f>G101</f>
        <v>0</v>
      </c>
      <c r="H100" s="30">
        <f t="shared" ref="H100:O100" si="41">H101</f>
        <v>0</v>
      </c>
      <c r="I100" s="30">
        <f t="shared" si="41"/>
        <v>0</v>
      </c>
      <c r="J100" s="30">
        <f t="shared" si="41"/>
        <v>0</v>
      </c>
      <c r="K100" s="30">
        <f t="shared" si="41"/>
        <v>0</v>
      </c>
      <c r="L100" s="30">
        <f t="shared" si="41"/>
        <v>0</v>
      </c>
      <c r="M100" s="30">
        <f t="shared" si="41"/>
        <v>0</v>
      </c>
      <c r="N100" s="30">
        <f t="shared" si="31"/>
        <v>0</v>
      </c>
      <c r="O100" s="481">
        <f t="shared" si="29"/>
        <v>0</v>
      </c>
    </row>
    <row r="101" spans="1:15" ht="12.75" x14ac:dyDescent="0.2">
      <c r="A101" s="344">
        <v>2</v>
      </c>
      <c r="B101" s="338">
        <v>2</v>
      </c>
      <c r="C101" s="338">
        <v>5</v>
      </c>
      <c r="D101" s="338">
        <v>1</v>
      </c>
      <c r="E101" s="338" t="s">
        <v>202</v>
      </c>
      <c r="F101" s="345" t="s">
        <v>102</v>
      </c>
      <c r="G101" s="27"/>
      <c r="H101" s="27"/>
      <c r="I101" s="27"/>
      <c r="J101" s="27"/>
      <c r="K101" s="27"/>
      <c r="L101" s="27"/>
      <c r="M101" s="27"/>
      <c r="N101" s="27">
        <f t="shared" si="31"/>
        <v>0</v>
      </c>
      <c r="O101" s="482">
        <f t="shared" si="29"/>
        <v>0</v>
      </c>
    </row>
    <row r="102" spans="1:15" ht="12.75" x14ac:dyDescent="0.2">
      <c r="A102" s="346">
        <v>2</v>
      </c>
      <c r="B102" s="335">
        <v>2</v>
      </c>
      <c r="C102" s="335">
        <v>5</v>
      </c>
      <c r="D102" s="335">
        <v>2</v>
      </c>
      <c r="E102" s="335"/>
      <c r="F102" s="347" t="s">
        <v>983</v>
      </c>
      <c r="G102" s="30">
        <f>G103</f>
        <v>0</v>
      </c>
      <c r="H102" s="29">
        <f t="shared" ref="H102:O102" si="42">H103</f>
        <v>0</v>
      </c>
      <c r="I102" s="29">
        <f t="shared" si="42"/>
        <v>0</v>
      </c>
      <c r="J102" s="29">
        <f t="shared" si="42"/>
        <v>0</v>
      </c>
      <c r="K102" s="29">
        <f t="shared" si="42"/>
        <v>0</v>
      </c>
      <c r="L102" s="29">
        <f t="shared" si="42"/>
        <v>0</v>
      </c>
      <c r="M102" s="29">
        <f t="shared" si="42"/>
        <v>0</v>
      </c>
      <c r="N102" s="29">
        <f t="shared" si="31"/>
        <v>0</v>
      </c>
      <c r="O102" s="483">
        <f t="shared" si="29"/>
        <v>0</v>
      </c>
    </row>
    <row r="103" spans="1:15" ht="12.75" x14ac:dyDescent="0.2">
      <c r="A103" s="344">
        <v>2</v>
      </c>
      <c r="B103" s="338">
        <v>2</v>
      </c>
      <c r="C103" s="338">
        <v>5</v>
      </c>
      <c r="D103" s="338">
        <v>2</v>
      </c>
      <c r="E103" s="338" t="s">
        <v>202</v>
      </c>
      <c r="F103" s="345" t="s">
        <v>983</v>
      </c>
      <c r="G103" s="27"/>
      <c r="H103" s="27"/>
      <c r="I103" s="27"/>
      <c r="J103" s="27"/>
      <c r="K103" s="27"/>
      <c r="L103" s="27"/>
      <c r="M103" s="27"/>
      <c r="N103" s="27">
        <f t="shared" si="31"/>
        <v>0</v>
      </c>
      <c r="O103" s="482">
        <f t="shared" si="29"/>
        <v>0</v>
      </c>
    </row>
    <row r="104" spans="1:15" ht="12.75" x14ac:dyDescent="0.2">
      <c r="A104" s="346">
        <v>2</v>
      </c>
      <c r="B104" s="335">
        <v>2</v>
      </c>
      <c r="C104" s="335">
        <v>5</v>
      </c>
      <c r="D104" s="335">
        <v>3</v>
      </c>
      <c r="E104" s="335"/>
      <c r="F104" s="347" t="s">
        <v>984</v>
      </c>
      <c r="G104" s="30">
        <f>SUM(G105:G109)</f>
        <v>0</v>
      </c>
      <c r="H104" s="30">
        <f t="shared" ref="H104:M104" si="43">SUM(H105:H109)</f>
        <v>0</v>
      </c>
      <c r="I104" s="30">
        <f t="shared" si="43"/>
        <v>0</v>
      </c>
      <c r="J104" s="30">
        <f t="shared" si="43"/>
        <v>0</v>
      </c>
      <c r="K104" s="30">
        <f t="shared" si="43"/>
        <v>0</v>
      </c>
      <c r="L104" s="30">
        <f t="shared" si="43"/>
        <v>0</v>
      </c>
      <c r="M104" s="30">
        <f t="shared" si="43"/>
        <v>4200000</v>
      </c>
      <c r="N104" s="30">
        <f t="shared" si="31"/>
        <v>4200000</v>
      </c>
      <c r="O104" s="481">
        <f t="shared" si="29"/>
        <v>2.4094704209203818E-3</v>
      </c>
    </row>
    <row r="105" spans="1:15" ht="12.75" x14ac:dyDescent="0.2">
      <c r="A105" s="344">
        <v>2</v>
      </c>
      <c r="B105" s="338">
        <v>2</v>
      </c>
      <c r="C105" s="338">
        <v>5</v>
      </c>
      <c r="D105" s="338">
        <v>3</v>
      </c>
      <c r="E105" s="338" t="s">
        <v>202</v>
      </c>
      <c r="F105" s="345" t="s">
        <v>103</v>
      </c>
      <c r="G105" s="27"/>
      <c r="H105" s="27"/>
      <c r="I105" s="27"/>
      <c r="J105" s="27"/>
      <c r="K105" s="27"/>
      <c r="L105" s="27"/>
      <c r="M105" s="27">
        <v>4200000</v>
      </c>
      <c r="N105" s="27">
        <f t="shared" si="31"/>
        <v>4200000</v>
      </c>
      <c r="O105" s="482">
        <f t="shared" si="29"/>
        <v>2.4094704209203818E-3</v>
      </c>
    </row>
    <row r="106" spans="1:15" ht="12.75" x14ac:dyDescent="0.2">
      <c r="A106" s="344">
        <v>2</v>
      </c>
      <c r="B106" s="338">
        <v>2</v>
      </c>
      <c r="C106" s="338">
        <v>5</v>
      </c>
      <c r="D106" s="338">
        <v>3</v>
      </c>
      <c r="E106" s="338" t="s">
        <v>203</v>
      </c>
      <c r="F106" s="345" t="s">
        <v>104</v>
      </c>
      <c r="G106" s="27"/>
      <c r="H106" s="27"/>
      <c r="I106" s="27"/>
      <c r="J106" s="27"/>
      <c r="K106" s="27"/>
      <c r="L106" s="27"/>
      <c r="M106" s="27"/>
      <c r="N106" s="27">
        <f t="shared" si="31"/>
        <v>0</v>
      </c>
      <c r="O106" s="482">
        <f t="shared" si="29"/>
        <v>0</v>
      </c>
    </row>
    <row r="107" spans="1:15" ht="12.75" x14ac:dyDescent="0.2">
      <c r="A107" s="344">
        <v>2</v>
      </c>
      <c r="B107" s="338">
        <v>2</v>
      </c>
      <c r="C107" s="338">
        <v>5</v>
      </c>
      <c r="D107" s="338">
        <v>3</v>
      </c>
      <c r="E107" s="338" t="s">
        <v>204</v>
      </c>
      <c r="F107" s="345" t="s">
        <v>105</v>
      </c>
      <c r="G107" s="27"/>
      <c r="H107" s="27"/>
      <c r="I107" s="27"/>
      <c r="J107" s="27"/>
      <c r="K107" s="27"/>
      <c r="L107" s="27"/>
      <c r="M107" s="27"/>
      <c r="N107" s="27">
        <f t="shared" si="31"/>
        <v>0</v>
      </c>
      <c r="O107" s="482">
        <f t="shared" si="29"/>
        <v>0</v>
      </c>
    </row>
    <row r="108" spans="1:15" ht="12.75" x14ac:dyDescent="0.2">
      <c r="A108" s="344">
        <v>2</v>
      </c>
      <c r="B108" s="338">
        <v>2</v>
      </c>
      <c r="C108" s="338">
        <v>5</v>
      </c>
      <c r="D108" s="338">
        <v>3</v>
      </c>
      <c r="E108" s="338" t="s">
        <v>205</v>
      </c>
      <c r="F108" s="345" t="s">
        <v>106</v>
      </c>
      <c r="G108" s="27"/>
      <c r="H108" s="27"/>
      <c r="I108" s="27"/>
      <c r="J108" s="27"/>
      <c r="K108" s="27"/>
      <c r="L108" s="27"/>
      <c r="M108" s="27"/>
      <c r="N108" s="27">
        <f t="shared" si="31"/>
        <v>0</v>
      </c>
      <c r="O108" s="482">
        <f t="shared" si="29"/>
        <v>0</v>
      </c>
    </row>
    <row r="109" spans="1:15" ht="12.75" x14ac:dyDescent="0.2">
      <c r="A109" s="344">
        <v>2</v>
      </c>
      <c r="B109" s="338">
        <v>2</v>
      </c>
      <c r="C109" s="338">
        <v>5</v>
      </c>
      <c r="D109" s="338">
        <v>3</v>
      </c>
      <c r="E109" s="338" t="s">
        <v>208</v>
      </c>
      <c r="F109" s="345" t="s">
        <v>107</v>
      </c>
      <c r="G109" s="27"/>
      <c r="H109" s="27"/>
      <c r="I109" s="27"/>
      <c r="J109" s="27"/>
      <c r="K109" s="27"/>
      <c r="L109" s="27"/>
      <c r="M109" s="27"/>
      <c r="N109" s="27">
        <f t="shared" si="31"/>
        <v>0</v>
      </c>
      <c r="O109" s="482">
        <f t="shared" si="29"/>
        <v>0</v>
      </c>
    </row>
    <row r="110" spans="1:15" ht="12.75" x14ac:dyDescent="0.2">
      <c r="A110" s="334">
        <v>2</v>
      </c>
      <c r="B110" s="335">
        <v>2</v>
      </c>
      <c r="C110" s="335">
        <v>5</v>
      </c>
      <c r="D110" s="335">
        <v>4</v>
      </c>
      <c r="E110" s="335"/>
      <c r="F110" s="343" t="s">
        <v>108</v>
      </c>
      <c r="G110" s="29">
        <f>+G111</f>
        <v>0</v>
      </c>
      <c r="H110" s="29">
        <f t="shared" ref="H110:O110" si="44">+H111</f>
        <v>0</v>
      </c>
      <c r="I110" s="29">
        <f t="shared" si="44"/>
        <v>0</v>
      </c>
      <c r="J110" s="29">
        <f t="shared" si="44"/>
        <v>0</v>
      </c>
      <c r="K110" s="29">
        <f t="shared" si="44"/>
        <v>0</v>
      </c>
      <c r="L110" s="29">
        <f t="shared" si="44"/>
        <v>0</v>
      </c>
      <c r="M110" s="29">
        <f t="shared" si="44"/>
        <v>0</v>
      </c>
      <c r="N110" s="29">
        <f t="shared" si="31"/>
        <v>0</v>
      </c>
      <c r="O110" s="483">
        <f t="shared" si="29"/>
        <v>0</v>
      </c>
    </row>
    <row r="111" spans="1:15" ht="12.75" x14ac:dyDescent="0.2">
      <c r="A111" s="344">
        <v>2</v>
      </c>
      <c r="B111" s="338">
        <v>2</v>
      </c>
      <c r="C111" s="338">
        <v>5</v>
      </c>
      <c r="D111" s="338">
        <v>4</v>
      </c>
      <c r="E111" s="338" t="s">
        <v>202</v>
      </c>
      <c r="F111" s="345" t="s">
        <v>108</v>
      </c>
      <c r="G111" s="27"/>
      <c r="H111" s="27"/>
      <c r="I111" s="27"/>
      <c r="J111" s="27"/>
      <c r="K111" s="27"/>
      <c r="L111" s="27"/>
      <c r="M111" s="27"/>
      <c r="N111" s="27">
        <f t="shared" si="31"/>
        <v>0</v>
      </c>
      <c r="O111" s="482">
        <f t="shared" si="29"/>
        <v>0</v>
      </c>
    </row>
    <row r="112" spans="1:15" ht="12.75" x14ac:dyDescent="0.2">
      <c r="A112" s="346">
        <v>2</v>
      </c>
      <c r="B112" s="335">
        <v>2</v>
      </c>
      <c r="C112" s="335">
        <v>5</v>
      </c>
      <c r="D112" s="335">
        <v>8</v>
      </c>
      <c r="E112" s="335"/>
      <c r="F112" s="347" t="s">
        <v>109</v>
      </c>
      <c r="G112" s="30">
        <f>G113</f>
        <v>0</v>
      </c>
      <c r="H112" s="29">
        <f t="shared" ref="H112:O112" si="45">H113</f>
        <v>0</v>
      </c>
      <c r="I112" s="29">
        <f t="shared" si="45"/>
        <v>0</v>
      </c>
      <c r="J112" s="29">
        <f t="shared" si="45"/>
        <v>0</v>
      </c>
      <c r="K112" s="29">
        <f t="shared" si="45"/>
        <v>0</v>
      </c>
      <c r="L112" s="29">
        <f t="shared" si="45"/>
        <v>0</v>
      </c>
      <c r="M112" s="29">
        <f t="shared" si="45"/>
        <v>0</v>
      </c>
      <c r="N112" s="29">
        <f t="shared" si="31"/>
        <v>0</v>
      </c>
      <c r="O112" s="483">
        <f t="shared" si="29"/>
        <v>0</v>
      </c>
    </row>
    <row r="113" spans="1:15" ht="12.75" x14ac:dyDescent="0.2">
      <c r="A113" s="344">
        <v>2</v>
      </c>
      <c r="B113" s="338">
        <v>2</v>
      </c>
      <c r="C113" s="338">
        <v>5</v>
      </c>
      <c r="D113" s="338">
        <v>8</v>
      </c>
      <c r="E113" s="338" t="s">
        <v>202</v>
      </c>
      <c r="F113" s="345" t="s">
        <v>109</v>
      </c>
      <c r="G113" s="27"/>
      <c r="H113" s="27"/>
      <c r="I113" s="27"/>
      <c r="J113" s="27"/>
      <c r="K113" s="27"/>
      <c r="L113" s="27"/>
      <c r="M113" s="27"/>
      <c r="N113" s="27">
        <f t="shared" si="31"/>
        <v>0</v>
      </c>
      <c r="O113" s="482">
        <f t="shared" si="29"/>
        <v>0</v>
      </c>
    </row>
    <row r="114" spans="1:15" ht="12.75" x14ac:dyDescent="0.2">
      <c r="A114" s="346">
        <v>2</v>
      </c>
      <c r="B114" s="335">
        <v>2</v>
      </c>
      <c r="C114" s="335">
        <v>5</v>
      </c>
      <c r="D114" s="335">
        <v>9</v>
      </c>
      <c r="E114" s="335"/>
      <c r="F114" s="347" t="s">
        <v>985</v>
      </c>
      <c r="G114" s="29">
        <f>+G115</f>
        <v>0</v>
      </c>
      <c r="H114" s="29">
        <f t="shared" ref="H114:O114" si="46">H115</f>
        <v>0</v>
      </c>
      <c r="I114" s="29">
        <f t="shared" si="46"/>
        <v>0</v>
      </c>
      <c r="J114" s="29">
        <f t="shared" si="46"/>
        <v>0</v>
      </c>
      <c r="K114" s="29">
        <f t="shared" si="46"/>
        <v>0</v>
      </c>
      <c r="L114" s="29">
        <f t="shared" si="46"/>
        <v>0</v>
      </c>
      <c r="M114" s="29">
        <f t="shared" si="46"/>
        <v>0</v>
      </c>
      <c r="N114" s="29">
        <f t="shared" si="31"/>
        <v>0</v>
      </c>
      <c r="O114" s="483">
        <f t="shared" si="29"/>
        <v>0</v>
      </c>
    </row>
    <row r="115" spans="1:15" ht="12.75" x14ac:dyDescent="0.2">
      <c r="A115" s="344">
        <v>2</v>
      </c>
      <c r="B115" s="338">
        <v>2</v>
      </c>
      <c r="C115" s="338">
        <v>5</v>
      </c>
      <c r="D115" s="338">
        <v>8</v>
      </c>
      <c r="E115" s="338" t="s">
        <v>202</v>
      </c>
      <c r="F115" s="345" t="s">
        <v>986</v>
      </c>
      <c r="G115" s="27"/>
      <c r="H115" s="27"/>
      <c r="I115" s="27"/>
      <c r="J115" s="27"/>
      <c r="K115" s="27"/>
      <c r="L115" s="27"/>
      <c r="M115" s="27"/>
      <c r="N115" s="27">
        <f t="shared" si="31"/>
        <v>0</v>
      </c>
      <c r="O115" s="482">
        <f t="shared" si="29"/>
        <v>0</v>
      </c>
    </row>
    <row r="116" spans="1:15" ht="12.75" x14ac:dyDescent="0.2">
      <c r="A116" s="331">
        <v>2</v>
      </c>
      <c r="B116" s="332">
        <v>2</v>
      </c>
      <c r="C116" s="332">
        <v>6</v>
      </c>
      <c r="D116" s="332"/>
      <c r="E116" s="332"/>
      <c r="F116" s="333" t="s">
        <v>110</v>
      </c>
      <c r="G116" s="32">
        <f>+G117+G119+G121+G123</f>
        <v>0</v>
      </c>
      <c r="H116" s="389">
        <f t="shared" ref="H116:N116" si="47">+H117+H119+H121+H123</f>
        <v>0</v>
      </c>
      <c r="I116" s="389">
        <f t="shared" si="47"/>
        <v>0</v>
      </c>
      <c r="J116" s="389">
        <f t="shared" si="47"/>
        <v>0</v>
      </c>
      <c r="K116" s="389">
        <f t="shared" si="47"/>
        <v>0</v>
      </c>
      <c r="L116" s="389">
        <f t="shared" si="47"/>
        <v>0</v>
      </c>
      <c r="M116" s="389">
        <f t="shared" si="47"/>
        <v>0</v>
      </c>
      <c r="N116" s="389">
        <f t="shared" si="31"/>
        <v>0</v>
      </c>
      <c r="O116" s="484">
        <f t="shared" si="29"/>
        <v>0</v>
      </c>
    </row>
    <row r="117" spans="1:15" ht="12.75" x14ac:dyDescent="0.2">
      <c r="A117" s="334">
        <v>2</v>
      </c>
      <c r="B117" s="335">
        <v>2</v>
      </c>
      <c r="C117" s="335">
        <v>6</v>
      </c>
      <c r="D117" s="335">
        <v>1</v>
      </c>
      <c r="E117" s="335"/>
      <c r="F117" s="343" t="s">
        <v>245</v>
      </c>
      <c r="G117" s="30">
        <f>G118</f>
        <v>0</v>
      </c>
      <c r="H117" s="29">
        <f t="shared" ref="H117:O117" si="48">H118</f>
        <v>0</v>
      </c>
      <c r="I117" s="29">
        <f t="shared" si="48"/>
        <v>0</v>
      </c>
      <c r="J117" s="29">
        <f t="shared" si="48"/>
        <v>0</v>
      </c>
      <c r="K117" s="29">
        <f t="shared" si="48"/>
        <v>0</v>
      </c>
      <c r="L117" s="29">
        <f t="shared" si="48"/>
        <v>0</v>
      </c>
      <c r="M117" s="29">
        <f t="shared" si="48"/>
        <v>0</v>
      </c>
      <c r="N117" s="29">
        <f t="shared" si="31"/>
        <v>0</v>
      </c>
      <c r="O117" s="483">
        <f t="shared" si="29"/>
        <v>0</v>
      </c>
    </row>
    <row r="118" spans="1:15" ht="12.75" x14ac:dyDescent="0.2">
      <c r="A118" s="344">
        <v>2</v>
      </c>
      <c r="B118" s="338">
        <v>2</v>
      </c>
      <c r="C118" s="338">
        <v>6</v>
      </c>
      <c r="D118" s="338">
        <v>1</v>
      </c>
      <c r="E118" s="338" t="s">
        <v>202</v>
      </c>
      <c r="F118" s="345" t="s">
        <v>245</v>
      </c>
      <c r="G118" s="27"/>
      <c r="H118" s="27"/>
      <c r="I118" s="27"/>
      <c r="J118" s="27"/>
      <c r="K118" s="27"/>
      <c r="L118" s="27"/>
      <c r="M118" s="27"/>
      <c r="N118" s="27">
        <f t="shared" si="31"/>
        <v>0</v>
      </c>
      <c r="O118" s="482">
        <f t="shared" si="29"/>
        <v>0</v>
      </c>
    </row>
    <row r="119" spans="1:15" ht="12.75" x14ac:dyDescent="0.2">
      <c r="A119" s="334">
        <v>2</v>
      </c>
      <c r="B119" s="335">
        <v>2</v>
      </c>
      <c r="C119" s="335">
        <v>6</v>
      </c>
      <c r="D119" s="335">
        <v>2</v>
      </c>
      <c r="E119" s="335"/>
      <c r="F119" s="343" t="s">
        <v>111</v>
      </c>
      <c r="G119" s="30">
        <f>G120</f>
        <v>0</v>
      </c>
      <c r="H119" s="29">
        <f t="shared" ref="H119:O119" si="49">H120</f>
        <v>0</v>
      </c>
      <c r="I119" s="29">
        <f t="shared" si="49"/>
        <v>0</v>
      </c>
      <c r="J119" s="29">
        <f t="shared" si="49"/>
        <v>0</v>
      </c>
      <c r="K119" s="29">
        <f t="shared" si="49"/>
        <v>0</v>
      </c>
      <c r="L119" s="29">
        <f t="shared" si="49"/>
        <v>0</v>
      </c>
      <c r="M119" s="29">
        <f t="shared" si="49"/>
        <v>0</v>
      </c>
      <c r="N119" s="29">
        <f t="shared" si="31"/>
        <v>0</v>
      </c>
      <c r="O119" s="483">
        <f t="shared" si="29"/>
        <v>0</v>
      </c>
    </row>
    <row r="120" spans="1:15" ht="12.75" x14ac:dyDescent="0.2">
      <c r="A120" s="344">
        <v>2</v>
      </c>
      <c r="B120" s="338">
        <v>2</v>
      </c>
      <c r="C120" s="338">
        <v>6</v>
      </c>
      <c r="D120" s="338">
        <v>2</v>
      </c>
      <c r="E120" s="338" t="s">
        <v>202</v>
      </c>
      <c r="F120" s="345" t="s">
        <v>111</v>
      </c>
      <c r="G120" s="27"/>
      <c r="H120" s="27"/>
      <c r="I120" s="27"/>
      <c r="J120" s="27"/>
      <c r="K120" s="27"/>
      <c r="L120" s="27"/>
      <c r="M120" s="27"/>
      <c r="N120" s="27">
        <f t="shared" si="31"/>
        <v>0</v>
      </c>
      <c r="O120" s="482">
        <f t="shared" si="29"/>
        <v>0</v>
      </c>
    </row>
    <row r="121" spans="1:15" ht="12.75" x14ac:dyDescent="0.2">
      <c r="A121" s="334">
        <v>2</v>
      </c>
      <c r="B121" s="335">
        <v>2</v>
      </c>
      <c r="C121" s="335">
        <v>6</v>
      </c>
      <c r="D121" s="335">
        <v>3</v>
      </c>
      <c r="E121" s="335"/>
      <c r="F121" s="343" t="s">
        <v>112</v>
      </c>
      <c r="G121" s="30">
        <f>G122</f>
        <v>0</v>
      </c>
      <c r="H121" s="29">
        <f t="shared" ref="H121:O121" si="50">H122</f>
        <v>0</v>
      </c>
      <c r="I121" s="29">
        <f t="shared" si="50"/>
        <v>0</v>
      </c>
      <c r="J121" s="29">
        <f t="shared" si="50"/>
        <v>0</v>
      </c>
      <c r="K121" s="29">
        <f t="shared" si="50"/>
        <v>0</v>
      </c>
      <c r="L121" s="29">
        <f t="shared" si="50"/>
        <v>0</v>
      </c>
      <c r="M121" s="29">
        <f t="shared" si="50"/>
        <v>0</v>
      </c>
      <c r="N121" s="29">
        <f t="shared" si="31"/>
        <v>0</v>
      </c>
      <c r="O121" s="483">
        <f t="shared" si="29"/>
        <v>0</v>
      </c>
    </row>
    <row r="122" spans="1:15" ht="12.75" x14ac:dyDescent="0.2">
      <c r="A122" s="344">
        <v>2</v>
      </c>
      <c r="B122" s="338">
        <v>2</v>
      </c>
      <c r="C122" s="338">
        <v>6</v>
      </c>
      <c r="D122" s="338">
        <v>3</v>
      </c>
      <c r="E122" s="338" t="s">
        <v>202</v>
      </c>
      <c r="F122" s="345" t="s">
        <v>112</v>
      </c>
      <c r="G122" s="27"/>
      <c r="H122" s="27"/>
      <c r="I122" s="27"/>
      <c r="J122" s="27"/>
      <c r="K122" s="27"/>
      <c r="L122" s="27"/>
      <c r="M122" s="27"/>
      <c r="N122" s="27">
        <f t="shared" si="31"/>
        <v>0</v>
      </c>
      <c r="O122" s="482">
        <f t="shared" si="29"/>
        <v>0</v>
      </c>
    </row>
    <row r="123" spans="1:15" ht="12.75" x14ac:dyDescent="0.2">
      <c r="A123" s="346">
        <v>2</v>
      </c>
      <c r="B123" s="335">
        <v>2</v>
      </c>
      <c r="C123" s="335">
        <v>6</v>
      </c>
      <c r="D123" s="335">
        <v>9</v>
      </c>
      <c r="E123" s="335"/>
      <c r="F123" s="347" t="s">
        <v>207</v>
      </c>
      <c r="G123" s="29">
        <f>+G124</f>
        <v>0</v>
      </c>
      <c r="H123" s="29">
        <f t="shared" ref="H123:O123" si="51">H124</f>
        <v>0</v>
      </c>
      <c r="I123" s="29">
        <f t="shared" si="51"/>
        <v>0</v>
      </c>
      <c r="J123" s="29">
        <f t="shared" si="51"/>
        <v>0</v>
      </c>
      <c r="K123" s="29">
        <f t="shared" si="51"/>
        <v>0</v>
      </c>
      <c r="L123" s="29">
        <f t="shared" si="51"/>
        <v>0</v>
      </c>
      <c r="M123" s="29">
        <f t="shared" si="51"/>
        <v>0</v>
      </c>
      <c r="N123" s="29">
        <f t="shared" si="31"/>
        <v>0</v>
      </c>
      <c r="O123" s="483">
        <f t="shared" si="29"/>
        <v>0</v>
      </c>
    </row>
    <row r="124" spans="1:15" ht="12.75" x14ac:dyDescent="0.2">
      <c r="A124" s="344">
        <v>2</v>
      </c>
      <c r="B124" s="338">
        <v>2</v>
      </c>
      <c r="C124" s="338">
        <v>6</v>
      </c>
      <c r="D124" s="338">
        <v>9</v>
      </c>
      <c r="E124" s="338" t="s">
        <v>202</v>
      </c>
      <c r="F124" s="345" t="s">
        <v>207</v>
      </c>
      <c r="G124" s="27"/>
      <c r="H124" s="27"/>
      <c r="I124" s="27"/>
      <c r="J124" s="27"/>
      <c r="K124" s="27"/>
      <c r="L124" s="27"/>
      <c r="M124" s="27"/>
      <c r="N124" s="27">
        <f t="shared" si="31"/>
        <v>0</v>
      </c>
      <c r="O124" s="482">
        <f t="shared" si="29"/>
        <v>0</v>
      </c>
    </row>
    <row r="125" spans="1:15" ht="12.75" x14ac:dyDescent="0.2">
      <c r="A125" s="331">
        <v>2</v>
      </c>
      <c r="B125" s="332">
        <v>2</v>
      </c>
      <c r="C125" s="332">
        <v>7</v>
      </c>
      <c r="D125" s="332"/>
      <c r="E125" s="332"/>
      <c r="F125" s="333" t="s">
        <v>113</v>
      </c>
      <c r="G125" s="32">
        <f>+G126+G131+G141</f>
        <v>0</v>
      </c>
      <c r="H125" s="389">
        <f t="shared" ref="H125:N125" si="52">+H126+H128+H130+H136+H138+H140+H142+H144</f>
        <v>0</v>
      </c>
      <c r="I125" s="389">
        <f t="shared" si="52"/>
        <v>0</v>
      </c>
      <c r="J125" s="389">
        <f t="shared" si="52"/>
        <v>0</v>
      </c>
      <c r="K125" s="389">
        <f t="shared" si="52"/>
        <v>0</v>
      </c>
      <c r="L125" s="389">
        <f t="shared" si="52"/>
        <v>0</v>
      </c>
      <c r="M125" s="389">
        <f>+M126+M141+M131</f>
        <v>59157826.969999999</v>
      </c>
      <c r="N125" s="389">
        <f t="shared" si="31"/>
        <v>59157826.969999999</v>
      </c>
      <c r="O125" s="484">
        <f t="shared" si="29"/>
        <v>3.3937865297652622E-2</v>
      </c>
    </row>
    <row r="126" spans="1:15" ht="12.75" x14ac:dyDescent="0.2">
      <c r="A126" s="346">
        <v>2</v>
      </c>
      <c r="B126" s="335">
        <v>2</v>
      </c>
      <c r="C126" s="335">
        <v>7</v>
      </c>
      <c r="D126" s="335">
        <v>1</v>
      </c>
      <c r="E126" s="335"/>
      <c r="F126" s="347" t="s">
        <v>987</v>
      </c>
      <c r="G126" s="30">
        <f>SUM(G127:G130)</f>
        <v>0</v>
      </c>
      <c r="H126" s="30">
        <f t="shared" ref="H126:N126" si="53">SUM(H127:H130)</f>
        <v>0</v>
      </c>
      <c r="I126" s="30">
        <f t="shared" si="53"/>
        <v>0</v>
      </c>
      <c r="J126" s="30">
        <f t="shared" si="53"/>
        <v>0</v>
      </c>
      <c r="K126" s="30">
        <f t="shared" si="53"/>
        <v>0</v>
      </c>
      <c r="L126" s="30">
        <f t="shared" si="53"/>
        <v>0</v>
      </c>
      <c r="M126" s="30">
        <f t="shared" si="53"/>
        <v>10040000</v>
      </c>
      <c r="N126" s="30">
        <f t="shared" si="31"/>
        <v>10040000</v>
      </c>
      <c r="O126" s="481">
        <f t="shared" si="29"/>
        <v>5.7597816728668181E-3</v>
      </c>
    </row>
    <row r="127" spans="1:15" ht="12.75" x14ac:dyDescent="0.2">
      <c r="A127" s="337">
        <v>2</v>
      </c>
      <c r="B127" s="338">
        <v>2</v>
      </c>
      <c r="C127" s="338">
        <v>7</v>
      </c>
      <c r="D127" s="338">
        <v>1</v>
      </c>
      <c r="E127" s="338" t="s">
        <v>202</v>
      </c>
      <c r="F127" s="348" t="s">
        <v>988</v>
      </c>
      <c r="G127" s="27"/>
      <c r="H127" s="27"/>
      <c r="I127" s="27"/>
      <c r="J127" s="27"/>
      <c r="K127" s="27"/>
      <c r="L127" s="27"/>
      <c r="M127" s="27">
        <v>10040000</v>
      </c>
      <c r="N127" s="27">
        <f t="shared" si="31"/>
        <v>10040000</v>
      </c>
      <c r="O127" s="482">
        <f t="shared" si="29"/>
        <v>5.7597816728668181E-3</v>
      </c>
    </row>
    <row r="128" spans="1:15" ht="12.75" x14ac:dyDescent="0.2">
      <c r="A128" s="337">
        <v>2</v>
      </c>
      <c r="B128" s="338">
        <v>2</v>
      </c>
      <c r="C128" s="338">
        <v>7</v>
      </c>
      <c r="D128" s="338">
        <v>1</v>
      </c>
      <c r="E128" s="338" t="s">
        <v>233</v>
      </c>
      <c r="F128" s="348" t="s">
        <v>989</v>
      </c>
      <c r="G128" s="27"/>
      <c r="H128" s="27"/>
      <c r="I128" s="27"/>
      <c r="J128" s="27"/>
      <c r="K128" s="27"/>
      <c r="L128" s="27"/>
      <c r="M128" s="27"/>
      <c r="N128" s="27">
        <f t="shared" si="31"/>
        <v>0</v>
      </c>
      <c r="O128" s="482">
        <f t="shared" si="29"/>
        <v>0</v>
      </c>
    </row>
    <row r="129" spans="1:15" ht="12.75" x14ac:dyDescent="0.2">
      <c r="A129" s="337">
        <v>2</v>
      </c>
      <c r="B129" s="338">
        <v>2</v>
      </c>
      <c r="C129" s="338">
        <v>7</v>
      </c>
      <c r="D129" s="338">
        <v>1</v>
      </c>
      <c r="E129" s="338" t="s">
        <v>235</v>
      </c>
      <c r="F129" s="348" t="s">
        <v>990</v>
      </c>
      <c r="G129" s="27"/>
      <c r="H129" s="27"/>
      <c r="I129" s="27"/>
      <c r="J129" s="27"/>
      <c r="K129" s="27"/>
      <c r="L129" s="27"/>
      <c r="M129" s="27"/>
      <c r="N129" s="27">
        <f t="shared" si="31"/>
        <v>0</v>
      </c>
      <c r="O129" s="482">
        <f t="shared" si="29"/>
        <v>0</v>
      </c>
    </row>
    <row r="130" spans="1:15" ht="12.75" x14ac:dyDescent="0.2">
      <c r="A130" s="337">
        <v>2</v>
      </c>
      <c r="B130" s="338">
        <v>2</v>
      </c>
      <c r="C130" s="338">
        <v>7</v>
      </c>
      <c r="D130" s="338">
        <v>1</v>
      </c>
      <c r="E130" s="338" t="s">
        <v>991</v>
      </c>
      <c r="F130" s="348" t="s">
        <v>992</v>
      </c>
      <c r="G130" s="27"/>
      <c r="H130" s="27"/>
      <c r="I130" s="27"/>
      <c r="J130" s="27"/>
      <c r="K130" s="27"/>
      <c r="L130" s="27"/>
      <c r="M130" s="27"/>
      <c r="N130" s="27">
        <f t="shared" si="31"/>
        <v>0</v>
      </c>
      <c r="O130" s="482">
        <f t="shared" si="29"/>
        <v>0</v>
      </c>
    </row>
    <row r="131" spans="1:15" ht="12.75" x14ac:dyDescent="0.2">
      <c r="A131" s="334">
        <v>2</v>
      </c>
      <c r="B131" s="335">
        <v>2</v>
      </c>
      <c r="C131" s="335">
        <v>7</v>
      </c>
      <c r="D131" s="335">
        <v>2</v>
      </c>
      <c r="E131" s="335"/>
      <c r="F131" s="343" t="s">
        <v>246</v>
      </c>
      <c r="G131" s="30">
        <f>SUM(G132:G140)</f>
        <v>0</v>
      </c>
      <c r="H131" s="30">
        <f t="shared" ref="H131:O131" si="54">SUM(H132:H140)</f>
        <v>0</v>
      </c>
      <c r="I131" s="30">
        <f t="shared" si="54"/>
        <v>0</v>
      </c>
      <c r="J131" s="30">
        <f t="shared" si="54"/>
        <v>0</v>
      </c>
      <c r="K131" s="30">
        <f t="shared" si="54"/>
        <v>0</v>
      </c>
      <c r="L131" s="30">
        <f t="shared" si="54"/>
        <v>0</v>
      </c>
      <c r="M131" s="30">
        <f>SUM(M132:M140)</f>
        <v>49117826.969999999</v>
      </c>
      <c r="N131" s="30">
        <f t="shared" si="31"/>
        <v>49117826.969999999</v>
      </c>
      <c r="O131" s="481">
        <f t="shared" si="29"/>
        <v>2.8178083624785809E-2</v>
      </c>
    </row>
    <row r="132" spans="1:15" ht="12.75" x14ac:dyDescent="0.2">
      <c r="A132" s="337">
        <v>2</v>
      </c>
      <c r="B132" s="338">
        <v>2</v>
      </c>
      <c r="C132" s="338">
        <v>7</v>
      </c>
      <c r="D132" s="338">
        <v>2</v>
      </c>
      <c r="E132" s="338" t="s">
        <v>202</v>
      </c>
      <c r="F132" s="348" t="s">
        <v>993</v>
      </c>
      <c r="G132" s="27"/>
      <c r="H132" s="27"/>
      <c r="I132" s="27"/>
      <c r="J132" s="27"/>
      <c r="K132" s="27"/>
      <c r="L132" s="27"/>
      <c r="M132" s="27">
        <v>12693529.359999999</v>
      </c>
      <c r="N132" s="27">
        <f t="shared" si="31"/>
        <v>12693529.359999999</v>
      </c>
      <c r="O132" s="482">
        <f t="shared" si="29"/>
        <v>7.2820675071439108E-3</v>
      </c>
    </row>
    <row r="133" spans="1:15" ht="12.75" x14ac:dyDescent="0.2">
      <c r="A133" s="337">
        <v>2</v>
      </c>
      <c r="B133" s="338">
        <v>2</v>
      </c>
      <c r="C133" s="338">
        <v>7</v>
      </c>
      <c r="D133" s="338">
        <v>2</v>
      </c>
      <c r="E133" s="338" t="s">
        <v>203</v>
      </c>
      <c r="F133" s="348" t="s">
        <v>994</v>
      </c>
      <c r="G133" s="27"/>
      <c r="H133" s="27"/>
      <c r="I133" s="27"/>
      <c r="J133" s="27"/>
      <c r="K133" s="27"/>
      <c r="L133" s="27"/>
      <c r="M133" s="27"/>
      <c r="N133" s="27">
        <f t="shared" si="31"/>
        <v>0</v>
      </c>
      <c r="O133" s="482">
        <f t="shared" si="29"/>
        <v>0</v>
      </c>
    </row>
    <row r="134" spans="1:15" ht="12.75" x14ac:dyDescent="0.2">
      <c r="A134" s="337">
        <v>2</v>
      </c>
      <c r="B134" s="338">
        <v>2</v>
      </c>
      <c r="C134" s="338">
        <v>7</v>
      </c>
      <c r="D134" s="338">
        <v>2</v>
      </c>
      <c r="E134" s="338" t="s">
        <v>204</v>
      </c>
      <c r="F134" s="348" t="s">
        <v>995</v>
      </c>
      <c r="G134" s="27"/>
      <c r="H134" s="27"/>
      <c r="I134" s="27"/>
      <c r="J134" s="27"/>
      <c r="K134" s="27"/>
      <c r="L134" s="27"/>
      <c r="M134" s="27"/>
      <c r="N134" s="27">
        <f t="shared" si="31"/>
        <v>0</v>
      </c>
      <c r="O134" s="482">
        <f t="shared" si="29"/>
        <v>0</v>
      </c>
    </row>
    <row r="135" spans="1:15" ht="12.75" x14ac:dyDescent="0.2">
      <c r="A135" s="337">
        <v>2</v>
      </c>
      <c r="B135" s="338">
        <v>2</v>
      </c>
      <c r="C135" s="338">
        <v>7</v>
      </c>
      <c r="D135" s="338">
        <v>2</v>
      </c>
      <c r="E135" s="338" t="s">
        <v>205</v>
      </c>
      <c r="F135" s="348" t="s">
        <v>996</v>
      </c>
      <c r="G135" s="27"/>
      <c r="H135" s="27"/>
      <c r="I135" s="27"/>
      <c r="J135" s="27"/>
      <c r="K135" s="27"/>
      <c r="L135" s="27"/>
      <c r="M135" s="27">
        <v>24524297.609999999</v>
      </c>
      <c r="N135" s="27">
        <f t="shared" si="31"/>
        <v>24524297.609999999</v>
      </c>
      <c r="O135" s="482">
        <f t="shared" si="29"/>
        <v>1.4069183258367479E-2</v>
      </c>
    </row>
    <row r="136" spans="1:15" ht="12.75" x14ac:dyDescent="0.2">
      <c r="A136" s="337">
        <v>2</v>
      </c>
      <c r="B136" s="338">
        <v>2</v>
      </c>
      <c r="C136" s="338">
        <v>7</v>
      </c>
      <c r="D136" s="338">
        <v>2</v>
      </c>
      <c r="E136" s="338" t="s">
        <v>208</v>
      </c>
      <c r="F136" s="348" t="s">
        <v>209</v>
      </c>
      <c r="G136" s="27"/>
      <c r="H136" s="27"/>
      <c r="I136" s="27"/>
      <c r="J136" s="27"/>
      <c r="K136" s="27"/>
      <c r="L136" s="27"/>
      <c r="M136" s="27"/>
      <c r="N136" s="27">
        <f t="shared" si="31"/>
        <v>0</v>
      </c>
      <c r="O136" s="482">
        <f t="shared" si="29"/>
        <v>0</v>
      </c>
    </row>
    <row r="137" spans="1:15" ht="12.75" x14ac:dyDescent="0.2">
      <c r="A137" s="337">
        <v>2</v>
      </c>
      <c r="B137" s="338">
        <v>2</v>
      </c>
      <c r="C137" s="338">
        <v>7</v>
      </c>
      <c r="D137" s="338">
        <v>2</v>
      </c>
      <c r="E137" s="338" t="s">
        <v>233</v>
      </c>
      <c r="F137" s="349" t="s">
        <v>116</v>
      </c>
      <c r="G137" s="27"/>
      <c r="H137" s="27"/>
      <c r="I137" s="27"/>
      <c r="J137" s="27"/>
      <c r="K137" s="27"/>
      <c r="L137" s="27"/>
      <c r="M137" s="27">
        <v>5600000</v>
      </c>
      <c r="N137" s="27">
        <f t="shared" si="31"/>
        <v>5600000</v>
      </c>
      <c r="O137" s="482">
        <f t="shared" si="29"/>
        <v>3.2126272278938427E-3</v>
      </c>
    </row>
    <row r="138" spans="1:15" ht="12.75" x14ac:dyDescent="0.2">
      <c r="A138" s="337">
        <v>2</v>
      </c>
      <c r="B138" s="338">
        <v>2</v>
      </c>
      <c r="C138" s="338">
        <v>7</v>
      </c>
      <c r="D138" s="338">
        <v>2</v>
      </c>
      <c r="E138" s="338" t="s">
        <v>235</v>
      </c>
      <c r="F138" s="349" t="s">
        <v>997</v>
      </c>
      <c r="G138" s="27"/>
      <c r="H138" s="27"/>
      <c r="I138" s="27"/>
      <c r="J138" s="27"/>
      <c r="K138" s="27"/>
      <c r="L138" s="27"/>
      <c r="M138" s="27">
        <v>300000</v>
      </c>
      <c r="N138" s="27">
        <f t="shared" si="31"/>
        <v>300000</v>
      </c>
      <c r="O138" s="482">
        <f t="shared" si="29"/>
        <v>1.7210503006574157E-4</v>
      </c>
    </row>
    <row r="139" spans="1:15" ht="12.75" x14ac:dyDescent="0.2">
      <c r="A139" s="337">
        <v>2</v>
      </c>
      <c r="B139" s="338">
        <v>2</v>
      </c>
      <c r="C139" s="338">
        <v>7</v>
      </c>
      <c r="D139" s="338">
        <v>2</v>
      </c>
      <c r="E139" s="338" t="s">
        <v>239</v>
      </c>
      <c r="F139" s="349" t="s">
        <v>998</v>
      </c>
      <c r="G139" s="27"/>
      <c r="H139" s="27"/>
      <c r="I139" s="27"/>
      <c r="J139" s="27"/>
      <c r="K139" s="27"/>
      <c r="L139" s="27"/>
      <c r="M139" s="27">
        <v>6000000</v>
      </c>
      <c r="N139" s="27">
        <f t="shared" si="31"/>
        <v>6000000</v>
      </c>
      <c r="O139" s="482">
        <f t="shared" si="29"/>
        <v>3.4421006013148313E-3</v>
      </c>
    </row>
    <row r="140" spans="1:15" ht="12.75" x14ac:dyDescent="0.2">
      <c r="A140" s="337">
        <v>2</v>
      </c>
      <c r="B140" s="338">
        <v>2</v>
      </c>
      <c r="C140" s="338">
        <v>7</v>
      </c>
      <c r="D140" s="338">
        <v>2</v>
      </c>
      <c r="E140" s="338" t="s">
        <v>991</v>
      </c>
      <c r="F140" s="349" t="s">
        <v>999</v>
      </c>
      <c r="G140" s="27"/>
      <c r="H140" s="27"/>
      <c r="I140" s="27"/>
      <c r="J140" s="27"/>
      <c r="K140" s="27"/>
      <c r="L140" s="27"/>
      <c r="M140" s="27"/>
      <c r="N140" s="27">
        <f t="shared" si="31"/>
        <v>0</v>
      </c>
      <c r="O140" s="482">
        <f t="shared" si="29"/>
        <v>0</v>
      </c>
    </row>
    <row r="141" spans="1:15" ht="12.75" x14ac:dyDescent="0.2">
      <c r="A141" s="334">
        <v>2</v>
      </c>
      <c r="B141" s="335">
        <v>2</v>
      </c>
      <c r="C141" s="335">
        <v>7</v>
      </c>
      <c r="D141" s="335">
        <v>3</v>
      </c>
      <c r="E141" s="335"/>
      <c r="F141" s="343" t="s">
        <v>117</v>
      </c>
      <c r="G141" s="30">
        <f>G142</f>
        <v>0</v>
      </c>
      <c r="H141" s="30">
        <f t="shared" ref="H141:O141" si="55">H142</f>
        <v>0</v>
      </c>
      <c r="I141" s="30">
        <f t="shared" si="55"/>
        <v>0</v>
      </c>
      <c r="J141" s="30">
        <f t="shared" si="55"/>
        <v>0</v>
      </c>
      <c r="K141" s="30">
        <f t="shared" si="55"/>
        <v>0</v>
      </c>
      <c r="L141" s="30">
        <f t="shared" si="55"/>
        <v>0</v>
      </c>
      <c r="M141" s="30">
        <f t="shared" si="55"/>
        <v>0</v>
      </c>
      <c r="N141" s="30">
        <f t="shared" si="31"/>
        <v>0</v>
      </c>
      <c r="O141" s="481">
        <f t="shared" si="29"/>
        <v>0</v>
      </c>
    </row>
    <row r="142" spans="1:15" ht="12.75" x14ac:dyDescent="0.2">
      <c r="A142" s="337">
        <v>2</v>
      </c>
      <c r="B142" s="338">
        <v>2</v>
      </c>
      <c r="C142" s="338">
        <v>7</v>
      </c>
      <c r="D142" s="338">
        <v>3</v>
      </c>
      <c r="E142" s="338" t="s">
        <v>202</v>
      </c>
      <c r="F142" s="339" t="s">
        <v>117</v>
      </c>
      <c r="G142" s="27"/>
      <c r="H142" s="27"/>
      <c r="I142" s="27"/>
      <c r="J142" s="27"/>
      <c r="K142" s="27"/>
      <c r="L142" s="27"/>
      <c r="M142" s="27"/>
      <c r="N142" s="27">
        <f t="shared" si="31"/>
        <v>0</v>
      </c>
      <c r="O142" s="482">
        <f t="shared" si="29"/>
        <v>0</v>
      </c>
    </row>
    <row r="143" spans="1:15" ht="12.75" x14ac:dyDescent="0.2">
      <c r="A143" s="331">
        <v>2</v>
      </c>
      <c r="B143" s="332">
        <v>2</v>
      </c>
      <c r="C143" s="332">
        <v>8</v>
      </c>
      <c r="D143" s="332"/>
      <c r="E143" s="332"/>
      <c r="F143" s="333" t="s">
        <v>247</v>
      </c>
      <c r="G143" s="32">
        <f>+G144+G146+G148+G150+G154+G157+G164</f>
        <v>0</v>
      </c>
      <c r="H143" s="32">
        <f t="shared" ref="H143:O143" si="56">+H144+H146+H148+H150+H154+H157+H164</f>
        <v>0</v>
      </c>
      <c r="I143" s="32">
        <f t="shared" si="56"/>
        <v>0</v>
      </c>
      <c r="J143" s="32">
        <f t="shared" si="56"/>
        <v>0</v>
      </c>
      <c r="K143" s="32">
        <f t="shared" si="56"/>
        <v>0</v>
      </c>
      <c r="L143" s="32">
        <f t="shared" si="56"/>
        <v>0</v>
      </c>
      <c r="M143" s="32">
        <f>+M144+M146+M148+M150+M154+M157+M164+M168</f>
        <v>4812081.34</v>
      </c>
      <c r="N143" s="32">
        <f t="shared" si="31"/>
        <v>4812081.34</v>
      </c>
      <c r="O143" s="480">
        <f t="shared" si="29"/>
        <v>2.7606113456649802E-3</v>
      </c>
    </row>
    <row r="144" spans="1:15" ht="12.75" x14ac:dyDescent="0.2">
      <c r="A144" s="334">
        <v>2</v>
      </c>
      <c r="B144" s="335">
        <v>2</v>
      </c>
      <c r="C144" s="335">
        <v>8</v>
      </c>
      <c r="D144" s="335">
        <v>1</v>
      </c>
      <c r="E144" s="335"/>
      <c r="F144" s="343" t="s">
        <v>1000</v>
      </c>
      <c r="G144" s="30">
        <f>G145</f>
        <v>0</v>
      </c>
      <c r="H144" s="29">
        <f t="shared" ref="H144:O144" si="57">H145</f>
        <v>0</v>
      </c>
      <c r="I144" s="29">
        <f t="shared" si="57"/>
        <v>0</v>
      </c>
      <c r="J144" s="29">
        <f t="shared" si="57"/>
        <v>0</v>
      </c>
      <c r="K144" s="29">
        <f t="shared" si="57"/>
        <v>0</v>
      </c>
      <c r="L144" s="29">
        <f t="shared" si="57"/>
        <v>0</v>
      </c>
      <c r="M144" s="29">
        <f t="shared" si="57"/>
        <v>0</v>
      </c>
      <c r="N144" s="29">
        <f t="shared" si="31"/>
        <v>0</v>
      </c>
      <c r="O144" s="483">
        <f t="shared" si="29"/>
        <v>0</v>
      </c>
    </row>
    <row r="145" spans="1:15" ht="12.75" x14ac:dyDescent="0.2">
      <c r="A145" s="337">
        <v>2</v>
      </c>
      <c r="B145" s="338">
        <v>2</v>
      </c>
      <c r="C145" s="338">
        <v>8</v>
      </c>
      <c r="D145" s="338">
        <v>1</v>
      </c>
      <c r="E145" s="338" t="s">
        <v>202</v>
      </c>
      <c r="F145" s="339" t="s">
        <v>1000</v>
      </c>
      <c r="G145" s="27"/>
      <c r="H145" s="27"/>
      <c r="I145" s="27"/>
      <c r="J145" s="27"/>
      <c r="K145" s="27"/>
      <c r="L145" s="27"/>
      <c r="M145" s="27"/>
      <c r="N145" s="27">
        <f t="shared" si="31"/>
        <v>0</v>
      </c>
      <c r="O145" s="482">
        <f t="shared" si="29"/>
        <v>0</v>
      </c>
    </row>
    <row r="146" spans="1:15" ht="12.75" x14ac:dyDescent="0.2">
      <c r="A146" s="334">
        <v>2</v>
      </c>
      <c r="B146" s="335">
        <v>2</v>
      </c>
      <c r="C146" s="335">
        <v>8</v>
      </c>
      <c r="D146" s="335">
        <v>2</v>
      </c>
      <c r="E146" s="335"/>
      <c r="F146" s="343" t="s">
        <v>1001</v>
      </c>
      <c r="G146" s="30">
        <f>G147</f>
        <v>0</v>
      </c>
      <c r="H146" s="30">
        <f t="shared" ref="H146:O148" si="58">H147</f>
        <v>0</v>
      </c>
      <c r="I146" s="30">
        <f t="shared" si="58"/>
        <v>0</v>
      </c>
      <c r="J146" s="30">
        <f t="shared" si="58"/>
        <v>0</v>
      </c>
      <c r="K146" s="30">
        <f t="shared" si="58"/>
        <v>0</v>
      </c>
      <c r="L146" s="30">
        <f t="shared" si="58"/>
        <v>0</v>
      </c>
      <c r="M146" s="30">
        <f t="shared" si="58"/>
        <v>156000</v>
      </c>
      <c r="N146" s="30">
        <f t="shared" si="31"/>
        <v>156000</v>
      </c>
      <c r="O146" s="481">
        <f t="shared" ref="O146:O209" si="59">IFERROR(N146/$N$18*100,"0.00")/100</f>
        <v>8.9494615634185619E-5</v>
      </c>
    </row>
    <row r="147" spans="1:15" ht="12.75" x14ac:dyDescent="0.2">
      <c r="A147" s="337">
        <v>2</v>
      </c>
      <c r="B147" s="338">
        <v>2</v>
      </c>
      <c r="C147" s="338">
        <v>8</v>
      </c>
      <c r="D147" s="338">
        <v>2</v>
      </c>
      <c r="E147" s="338" t="s">
        <v>202</v>
      </c>
      <c r="F147" s="339" t="s">
        <v>1002</v>
      </c>
      <c r="G147" s="27"/>
      <c r="H147" s="27"/>
      <c r="I147" s="27"/>
      <c r="J147" s="27"/>
      <c r="K147" s="27"/>
      <c r="L147" s="27"/>
      <c r="M147" s="27">
        <v>156000</v>
      </c>
      <c r="N147" s="27">
        <f t="shared" ref="N147:N170" si="60">+G147+H147+I147+J147+K147+L147+M147</f>
        <v>156000</v>
      </c>
      <c r="O147" s="482">
        <f t="shared" si="59"/>
        <v>8.9494615634185619E-5</v>
      </c>
    </row>
    <row r="148" spans="1:15" ht="12.75" x14ac:dyDescent="0.2">
      <c r="A148" s="334">
        <v>2</v>
      </c>
      <c r="B148" s="335">
        <v>2</v>
      </c>
      <c r="C148" s="335">
        <v>8</v>
      </c>
      <c r="D148" s="335">
        <v>4</v>
      </c>
      <c r="E148" s="335"/>
      <c r="F148" s="343" t="s">
        <v>118</v>
      </c>
      <c r="G148" s="30">
        <f>G149</f>
        <v>0</v>
      </c>
      <c r="H148" s="30">
        <f t="shared" ref="H148:M148" si="61">H149</f>
        <v>0</v>
      </c>
      <c r="I148" s="30">
        <f t="shared" si="61"/>
        <v>0</v>
      </c>
      <c r="J148" s="30">
        <f t="shared" si="61"/>
        <v>0</v>
      </c>
      <c r="K148" s="30">
        <f t="shared" si="61"/>
        <v>0</v>
      </c>
      <c r="L148" s="30">
        <f t="shared" si="61"/>
        <v>0</v>
      </c>
      <c r="M148" s="30">
        <f t="shared" si="61"/>
        <v>0</v>
      </c>
      <c r="N148" s="30">
        <f t="shared" si="60"/>
        <v>0</v>
      </c>
      <c r="O148" s="481">
        <f t="shared" si="59"/>
        <v>0</v>
      </c>
    </row>
    <row r="149" spans="1:15" ht="12.75" x14ac:dyDescent="0.2">
      <c r="A149" s="337">
        <v>2</v>
      </c>
      <c r="B149" s="338">
        <v>2</v>
      </c>
      <c r="C149" s="338">
        <v>8</v>
      </c>
      <c r="D149" s="338">
        <v>4</v>
      </c>
      <c r="E149" s="338" t="s">
        <v>202</v>
      </c>
      <c r="F149" s="339" t="s">
        <v>118</v>
      </c>
      <c r="G149" s="27"/>
      <c r="H149" s="27"/>
      <c r="I149" s="27"/>
      <c r="J149" s="27"/>
      <c r="K149" s="27"/>
      <c r="L149" s="27"/>
      <c r="M149" s="27"/>
      <c r="N149" s="27">
        <f t="shared" si="60"/>
        <v>0</v>
      </c>
      <c r="O149" s="482">
        <f t="shared" si="59"/>
        <v>0</v>
      </c>
    </row>
    <row r="150" spans="1:15" ht="12.75" x14ac:dyDescent="0.2">
      <c r="A150" s="334">
        <v>2</v>
      </c>
      <c r="B150" s="335">
        <v>2</v>
      </c>
      <c r="C150" s="335">
        <v>8</v>
      </c>
      <c r="D150" s="335">
        <v>5</v>
      </c>
      <c r="E150" s="335"/>
      <c r="F150" s="343" t="s">
        <v>119</v>
      </c>
      <c r="G150" s="30">
        <f>SUM(G151:G153)</f>
        <v>0</v>
      </c>
      <c r="H150" s="30">
        <f t="shared" ref="H150:N150" si="62">SUM(H151:H153)</f>
        <v>0</v>
      </c>
      <c r="I150" s="30">
        <f t="shared" si="62"/>
        <v>0</v>
      </c>
      <c r="J150" s="30">
        <f t="shared" si="62"/>
        <v>0</v>
      </c>
      <c r="K150" s="30">
        <f t="shared" si="62"/>
        <v>0</v>
      </c>
      <c r="L150" s="30">
        <f t="shared" si="62"/>
        <v>0</v>
      </c>
      <c r="M150" s="30">
        <f t="shared" si="62"/>
        <v>0</v>
      </c>
      <c r="N150" s="30">
        <f t="shared" si="60"/>
        <v>0</v>
      </c>
      <c r="O150" s="481">
        <f t="shared" si="59"/>
        <v>0</v>
      </c>
    </row>
    <row r="151" spans="1:15" ht="12.75" x14ac:dyDescent="0.2">
      <c r="A151" s="337">
        <v>2</v>
      </c>
      <c r="B151" s="338">
        <v>2</v>
      </c>
      <c r="C151" s="338">
        <v>8</v>
      </c>
      <c r="D151" s="338">
        <v>5</v>
      </c>
      <c r="E151" s="338" t="s">
        <v>202</v>
      </c>
      <c r="F151" s="339" t="s">
        <v>120</v>
      </c>
      <c r="G151" s="27"/>
      <c r="H151" s="27"/>
      <c r="I151" s="27"/>
      <c r="J151" s="27"/>
      <c r="K151" s="27"/>
      <c r="L151" s="27"/>
      <c r="M151" s="27"/>
      <c r="N151" s="27">
        <f t="shared" si="60"/>
        <v>0</v>
      </c>
      <c r="O151" s="482">
        <f t="shared" si="59"/>
        <v>0</v>
      </c>
    </row>
    <row r="152" spans="1:15" ht="12.75" x14ac:dyDescent="0.2">
      <c r="A152" s="337">
        <v>2</v>
      </c>
      <c r="B152" s="338">
        <v>2</v>
      </c>
      <c r="C152" s="338">
        <v>8</v>
      </c>
      <c r="D152" s="338">
        <v>5</v>
      </c>
      <c r="E152" s="338" t="s">
        <v>203</v>
      </c>
      <c r="F152" s="339" t="s">
        <v>121</v>
      </c>
      <c r="G152" s="27"/>
      <c r="H152" s="27"/>
      <c r="I152" s="27"/>
      <c r="J152" s="27"/>
      <c r="K152" s="27"/>
      <c r="L152" s="27"/>
      <c r="M152" s="27"/>
      <c r="N152" s="27">
        <f t="shared" si="60"/>
        <v>0</v>
      </c>
      <c r="O152" s="482">
        <f t="shared" si="59"/>
        <v>0</v>
      </c>
    </row>
    <row r="153" spans="1:15" ht="12.75" x14ac:dyDescent="0.2">
      <c r="A153" s="337">
        <v>2</v>
      </c>
      <c r="B153" s="338">
        <v>2</v>
      </c>
      <c r="C153" s="338">
        <v>8</v>
      </c>
      <c r="D153" s="338">
        <v>5</v>
      </c>
      <c r="E153" s="338" t="s">
        <v>204</v>
      </c>
      <c r="F153" s="339" t="s">
        <v>210</v>
      </c>
      <c r="G153" s="27"/>
      <c r="H153" s="27"/>
      <c r="I153" s="27"/>
      <c r="J153" s="27"/>
      <c r="K153" s="27"/>
      <c r="L153" s="27"/>
      <c r="M153" s="27"/>
      <c r="N153" s="27">
        <f t="shared" si="60"/>
        <v>0</v>
      </c>
      <c r="O153" s="482">
        <f t="shared" si="59"/>
        <v>0</v>
      </c>
    </row>
    <row r="154" spans="1:15" ht="12.75" x14ac:dyDescent="0.2">
      <c r="A154" s="334">
        <v>2</v>
      </c>
      <c r="B154" s="335">
        <v>2</v>
      </c>
      <c r="C154" s="335">
        <v>8</v>
      </c>
      <c r="D154" s="335">
        <v>6</v>
      </c>
      <c r="E154" s="335"/>
      <c r="F154" s="343" t="s">
        <v>1003</v>
      </c>
      <c r="G154" s="30">
        <f>SUM(G155:G156)</f>
        <v>0</v>
      </c>
      <c r="H154" s="30">
        <f t="shared" ref="H154:O154" si="63">SUM(H155:H156)</f>
        <v>0</v>
      </c>
      <c r="I154" s="30">
        <f t="shared" si="63"/>
        <v>0</v>
      </c>
      <c r="J154" s="30">
        <f t="shared" si="63"/>
        <v>0</v>
      </c>
      <c r="K154" s="30">
        <f t="shared" si="63"/>
        <v>0</v>
      </c>
      <c r="L154" s="30">
        <f t="shared" si="63"/>
        <v>0</v>
      </c>
      <c r="M154" s="30">
        <f t="shared" si="63"/>
        <v>4656081.34</v>
      </c>
      <c r="N154" s="30">
        <f t="shared" si="60"/>
        <v>4656081.34</v>
      </c>
      <c r="O154" s="481">
        <f t="shared" si="59"/>
        <v>2.6711167300307944E-3</v>
      </c>
    </row>
    <row r="155" spans="1:15" ht="12.75" x14ac:dyDescent="0.2">
      <c r="A155" s="337">
        <v>2</v>
      </c>
      <c r="B155" s="338">
        <v>2</v>
      </c>
      <c r="C155" s="338">
        <v>8</v>
      </c>
      <c r="D155" s="338">
        <v>6</v>
      </c>
      <c r="E155" s="338" t="s">
        <v>202</v>
      </c>
      <c r="F155" s="339" t="s">
        <v>248</v>
      </c>
      <c r="G155" s="27"/>
      <c r="H155" s="27"/>
      <c r="I155" s="27"/>
      <c r="J155" s="27"/>
      <c r="K155" s="27"/>
      <c r="L155" s="27"/>
      <c r="M155" s="27">
        <v>4656081.34</v>
      </c>
      <c r="N155" s="27">
        <f t="shared" si="60"/>
        <v>4656081.34</v>
      </c>
      <c r="O155" s="482">
        <f t="shared" si="59"/>
        <v>2.6711167300307944E-3</v>
      </c>
    </row>
    <row r="156" spans="1:15" ht="12.75" x14ac:dyDescent="0.2">
      <c r="A156" s="337">
        <v>2</v>
      </c>
      <c r="B156" s="338">
        <v>2</v>
      </c>
      <c r="C156" s="338">
        <v>8</v>
      </c>
      <c r="D156" s="338">
        <v>6</v>
      </c>
      <c r="E156" s="338" t="s">
        <v>203</v>
      </c>
      <c r="F156" s="339" t="s">
        <v>122</v>
      </c>
      <c r="G156" s="27"/>
      <c r="H156" s="27"/>
      <c r="I156" s="27"/>
      <c r="J156" s="27"/>
      <c r="K156" s="27"/>
      <c r="L156" s="27"/>
      <c r="M156" s="27"/>
      <c r="N156" s="27">
        <f t="shared" si="60"/>
        <v>0</v>
      </c>
      <c r="O156" s="482">
        <f t="shared" si="59"/>
        <v>0</v>
      </c>
    </row>
    <row r="157" spans="1:15" ht="12.75" x14ac:dyDescent="0.2">
      <c r="A157" s="334">
        <v>2</v>
      </c>
      <c r="B157" s="335">
        <v>2</v>
      </c>
      <c r="C157" s="335">
        <v>8</v>
      </c>
      <c r="D157" s="335">
        <v>7</v>
      </c>
      <c r="E157" s="335"/>
      <c r="F157" s="343" t="s">
        <v>123</v>
      </c>
      <c r="G157" s="30">
        <f>SUM(G158:G163)</f>
        <v>0</v>
      </c>
      <c r="H157" s="30">
        <f t="shared" ref="H157:O157" si="64">SUM(H158:H163)</f>
        <v>0</v>
      </c>
      <c r="I157" s="30">
        <f t="shared" si="64"/>
        <v>0</v>
      </c>
      <c r="J157" s="30">
        <f t="shared" si="64"/>
        <v>0</v>
      </c>
      <c r="K157" s="30">
        <f t="shared" si="64"/>
        <v>0</v>
      </c>
      <c r="L157" s="30">
        <f t="shared" si="64"/>
        <v>0</v>
      </c>
      <c r="M157" s="30">
        <f t="shared" si="64"/>
        <v>0</v>
      </c>
      <c r="N157" s="30">
        <f t="shared" si="60"/>
        <v>0</v>
      </c>
      <c r="O157" s="481">
        <f t="shared" si="59"/>
        <v>0</v>
      </c>
    </row>
    <row r="158" spans="1:15" ht="12.75" x14ac:dyDescent="0.2">
      <c r="A158" s="337">
        <v>2</v>
      </c>
      <c r="B158" s="338">
        <v>2</v>
      </c>
      <c r="C158" s="338">
        <v>8</v>
      </c>
      <c r="D158" s="338">
        <v>7</v>
      </c>
      <c r="E158" s="338" t="s">
        <v>202</v>
      </c>
      <c r="F158" s="349" t="s">
        <v>705</v>
      </c>
      <c r="G158" s="27"/>
      <c r="H158" s="27"/>
      <c r="I158" s="27"/>
      <c r="J158" s="27"/>
      <c r="K158" s="27"/>
      <c r="L158" s="27"/>
      <c r="M158" s="27"/>
      <c r="N158" s="27">
        <f t="shared" si="60"/>
        <v>0</v>
      </c>
      <c r="O158" s="482">
        <f t="shared" si="59"/>
        <v>0</v>
      </c>
    </row>
    <row r="159" spans="1:15" ht="12.75" x14ac:dyDescent="0.2">
      <c r="A159" s="337">
        <v>2</v>
      </c>
      <c r="B159" s="338">
        <v>2</v>
      </c>
      <c r="C159" s="338">
        <v>8</v>
      </c>
      <c r="D159" s="338">
        <v>7</v>
      </c>
      <c r="E159" s="338" t="s">
        <v>203</v>
      </c>
      <c r="F159" s="349" t="s">
        <v>124</v>
      </c>
      <c r="G159" s="27"/>
      <c r="H159" s="27"/>
      <c r="I159" s="27"/>
      <c r="J159" s="27"/>
      <c r="K159" s="27"/>
      <c r="L159" s="27"/>
      <c r="M159" s="27"/>
      <c r="N159" s="27">
        <f t="shared" si="60"/>
        <v>0</v>
      </c>
      <c r="O159" s="482">
        <f t="shared" si="59"/>
        <v>0</v>
      </c>
    </row>
    <row r="160" spans="1:15" ht="12.75" x14ac:dyDescent="0.2">
      <c r="A160" s="337">
        <v>2</v>
      </c>
      <c r="B160" s="338">
        <v>2</v>
      </c>
      <c r="C160" s="338">
        <v>8</v>
      </c>
      <c r="D160" s="338">
        <v>7</v>
      </c>
      <c r="E160" s="338" t="s">
        <v>204</v>
      </c>
      <c r="F160" s="349" t="s">
        <v>125</v>
      </c>
      <c r="G160" s="27"/>
      <c r="H160" s="27"/>
      <c r="I160" s="27"/>
      <c r="J160" s="27"/>
      <c r="K160" s="27"/>
      <c r="L160" s="27"/>
      <c r="M160" s="27"/>
      <c r="N160" s="27">
        <f t="shared" si="60"/>
        <v>0</v>
      </c>
      <c r="O160" s="482">
        <f t="shared" si="59"/>
        <v>0</v>
      </c>
    </row>
    <row r="161" spans="1:16" ht="12.75" x14ac:dyDescent="0.2">
      <c r="A161" s="337">
        <v>2</v>
      </c>
      <c r="B161" s="338">
        <v>2</v>
      </c>
      <c r="C161" s="338">
        <v>8</v>
      </c>
      <c r="D161" s="338">
        <v>7</v>
      </c>
      <c r="E161" s="338" t="s">
        <v>205</v>
      </c>
      <c r="F161" s="349" t="s">
        <v>126</v>
      </c>
      <c r="G161" s="27"/>
      <c r="H161" s="27"/>
      <c r="I161" s="27"/>
      <c r="J161" s="27"/>
      <c r="K161" s="27"/>
      <c r="L161" s="27"/>
      <c r="M161" s="27"/>
      <c r="N161" s="27">
        <f t="shared" si="60"/>
        <v>0</v>
      </c>
      <c r="O161" s="482">
        <f t="shared" si="59"/>
        <v>0</v>
      </c>
    </row>
    <row r="162" spans="1:16" ht="12.75" x14ac:dyDescent="0.2">
      <c r="A162" s="337">
        <v>2</v>
      </c>
      <c r="B162" s="338">
        <v>2</v>
      </c>
      <c r="C162" s="338">
        <v>8</v>
      </c>
      <c r="D162" s="338">
        <v>7</v>
      </c>
      <c r="E162" s="338" t="s">
        <v>208</v>
      </c>
      <c r="F162" s="349" t="s">
        <v>127</v>
      </c>
      <c r="G162" s="27"/>
      <c r="H162" s="27"/>
      <c r="I162" s="27"/>
      <c r="J162" s="27"/>
      <c r="K162" s="27"/>
      <c r="L162" s="27"/>
      <c r="M162" s="27"/>
      <c r="N162" s="27">
        <f t="shared" si="60"/>
        <v>0</v>
      </c>
      <c r="O162" s="482">
        <f t="shared" si="59"/>
        <v>0</v>
      </c>
    </row>
    <row r="163" spans="1:16" ht="12.75" x14ac:dyDescent="0.2">
      <c r="A163" s="337">
        <v>2</v>
      </c>
      <c r="B163" s="338">
        <v>2</v>
      </c>
      <c r="C163" s="338">
        <v>8</v>
      </c>
      <c r="D163" s="338">
        <v>7</v>
      </c>
      <c r="E163" s="338" t="s">
        <v>233</v>
      </c>
      <c r="F163" s="349" t="s">
        <v>128</v>
      </c>
      <c r="G163" s="27"/>
      <c r="H163" s="27"/>
      <c r="I163" s="27"/>
      <c r="J163" s="27"/>
      <c r="K163" s="27"/>
      <c r="L163" s="27"/>
      <c r="M163" s="27"/>
      <c r="N163" s="27">
        <f t="shared" si="60"/>
        <v>0</v>
      </c>
      <c r="O163" s="482">
        <f t="shared" si="59"/>
        <v>0</v>
      </c>
    </row>
    <row r="164" spans="1:16" ht="12.75" x14ac:dyDescent="0.2">
      <c r="A164" s="334">
        <v>2</v>
      </c>
      <c r="B164" s="335">
        <v>2</v>
      </c>
      <c r="C164" s="335">
        <v>8</v>
      </c>
      <c r="D164" s="335">
        <v>8</v>
      </c>
      <c r="E164" s="335"/>
      <c r="F164" s="343" t="s">
        <v>129</v>
      </c>
      <c r="G164" s="30">
        <f>SUM(G165:G167)</f>
        <v>0</v>
      </c>
      <c r="H164" s="30">
        <f t="shared" ref="H164:O164" si="65">SUM(H165:H167)</f>
        <v>0</v>
      </c>
      <c r="I164" s="30">
        <f t="shared" si="65"/>
        <v>0</v>
      </c>
      <c r="J164" s="30">
        <f t="shared" si="65"/>
        <v>0</v>
      </c>
      <c r="K164" s="30">
        <f t="shared" si="65"/>
        <v>0</v>
      </c>
      <c r="L164" s="30">
        <f t="shared" si="65"/>
        <v>0</v>
      </c>
      <c r="M164" s="30">
        <f t="shared" si="65"/>
        <v>0</v>
      </c>
      <c r="N164" s="30">
        <f t="shared" si="60"/>
        <v>0</v>
      </c>
      <c r="O164" s="481">
        <f t="shared" si="59"/>
        <v>0</v>
      </c>
    </row>
    <row r="165" spans="1:16" ht="12.75" x14ac:dyDescent="0.2">
      <c r="A165" s="337">
        <v>2</v>
      </c>
      <c r="B165" s="338">
        <v>2</v>
      </c>
      <c r="C165" s="338">
        <v>8</v>
      </c>
      <c r="D165" s="338">
        <v>8</v>
      </c>
      <c r="E165" s="338" t="s">
        <v>202</v>
      </c>
      <c r="F165" s="349" t="s">
        <v>130</v>
      </c>
      <c r="G165" s="27"/>
      <c r="H165" s="27"/>
      <c r="I165" s="27"/>
      <c r="J165" s="27"/>
      <c r="K165" s="27"/>
      <c r="L165" s="27"/>
      <c r="M165" s="27"/>
      <c r="N165" s="27">
        <f t="shared" si="60"/>
        <v>0</v>
      </c>
      <c r="O165" s="482">
        <f t="shared" si="59"/>
        <v>0</v>
      </c>
    </row>
    <row r="166" spans="1:16" ht="12.75" x14ac:dyDescent="0.2">
      <c r="A166" s="337">
        <v>2</v>
      </c>
      <c r="B166" s="338">
        <v>2</v>
      </c>
      <c r="C166" s="338">
        <v>8</v>
      </c>
      <c r="D166" s="338">
        <v>8</v>
      </c>
      <c r="E166" s="338" t="s">
        <v>203</v>
      </c>
      <c r="F166" s="349" t="s">
        <v>131</v>
      </c>
      <c r="G166" s="27"/>
      <c r="H166" s="27"/>
      <c r="I166" s="27"/>
      <c r="J166" s="27"/>
      <c r="K166" s="27"/>
      <c r="L166" s="27"/>
      <c r="M166" s="27"/>
      <c r="N166" s="27">
        <f t="shared" si="60"/>
        <v>0</v>
      </c>
      <c r="O166" s="482">
        <f t="shared" si="59"/>
        <v>0</v>
      </c>
    </row>
    <row r="167" spans="1:16" ht="12.75" x14ac:dyDescent="0.2">
      <c r="A167" s="337">
        <v>2</v>
      </c>
      <c r="B167" s="338">
        <v>2</v>
      </c>
      <c r="C167" s="338">
        <v>8</v>
      </c>
      <c r="D167" s="338">
        <v>8</v>
      </c>
      <c r="E167" s="338" t="s">
        <v>204</v>
      </c>
      <c r="F167" s="349" t="s">
        <v>132</v>
      </c>
      <c r="G167" s="27"/>
      <c r="H167" s="27"/>
      <c r="I167" s="27"/>
      <c r="J167" s="27"/>
      <c r="K167" s="27"/>
      <c r="L167" s="27"/>
      <c r="M167" s="27"/>
      <c r="N167" s="27">
        <f t="shared" si="60"/>
        <v>0</v>
      </c>
      <c r="O167" s="482">
        <f t="shared" si="59"/>
        <v>0</v>
      </c>
    </row>
    <row r="168" spans="1:16" ht="12.75" x14ac:dyDescent="0.2">
      <c r="A168" s="334">
        <v>2</v>
      </c>
      <c r="B168" s="335">
        <v>2</v>
      </c>
      <c r="C168" s="335">
        <v>9</v>
      </c>
      <c r="D168" s="335">
        <v>2</v>
      </c>
      <c r="E168" s="338"/>
      <c r="F168" s="343" t="s">
        <v>1004</v>
      </c>
      <c r="G168" s="29">
        <f>+G169+G170</f>
        <v>0</v>
      </c>
      <c r="H168" s="29">
        <f t="shared" ref="H168:O168" si="66">+H169+H170</f>
        <v>0</v>
      </c>
      <c r="I168" s="29">
        <f t="shared" si="66"/>
        <v>0</v>
      </c>
      <c r="J168" s="29">
        <f t="shared" si="66"/>
        <v>0</v>
      </c>
      <c r="K168" s="29">
        <f t="shared" si="66"/>
        <v>0</v>
      </c>
      <c r="L168" s="29">
        <f t="shared" si="66"/>
        <v>0</v>
      </c>
      <c r="M168" s="29">
        <f>+M169+M170</f>
        <v>0</v>
      </c>
      <c r="N168" s="29">
        <f t="shared" si="60"/>
        <v>0</v>
      </c>
      <c r="O168" s="483">
        <f t="shared" si="59"/>
        <v>0</v>
      </c>
    </row>
    <row r="169" spans="1:16" ht="12.75" x14ac:dyDescent="0.2">
      <c r="A169" s="337">
        <v>2</v>
      </c>
      <c r="B169" s="338">
        <v>2</v>
      </c>
      <c r="C169" s="338">
        <v>9</v>
      </c>
      <c r="D169" s="338">
        <v>2</v>
      </c>
      <c r="E169" s="338" t="s">
        <v>202</v>
      </c>
      <c r="F169" s="339" t="s">
        <v>1005</v>
      </c>
      <c r="G169" s="27"/>
      <c r="H169" s="27"/>
      <c r="I169" s="27"/>
      <c r="J169" s="27"/>
      <c r="K169" s="27"/>
      <c r="L169" s="27"/>
      <c r="M169" s="27"/>
      <c r="N169" s="27">
        <f t="shared" si="60"/>
        <v>0</v>
      </c>
      <c r="O169" s="482">
        <f t="shared" si="59"/>
        <v>0</v>
      </c>
      <c r="P169" s="477"/>
    </row>
    <row r="170" spans="1:16" ht="12.75" x14ac:dyDescent="0.2">
      <c r="A170" s="337">
        <v>2</v>
      </c>
      <c r="B170" s="338">
        <v>2</v>
      </c>
      <c r="C170" s="338">
        <v>9</v>
      </c>
      <c r="D170" s="338">
        <v>2</v>
      </c>
      <c r="E170" s="338" t="s">
        <v>204</v>
      </c>
      <c r="F170" s="349" t="s">
        <v>1006</v>
      </c>
      <c r="G170" s="27"/>
      <c r="H170" s="27"/>
      <c r="I170" s="27"/>
      <c r="J170" s="27"/>
      <c r="K170" s="27"/>
      <c r="L170" s="27"/>
      <c r="M170" s="27"/>
      <c r="N170" s="27">
        <f t="shared" si="60"/>
        <v>0</v>
      </c>
      <c r="O170" s="482">
        <f t="shared" si="59"/>
        <v>0</v>
      </c>
    </row>
    <row r="171" spans="1:16" ht="12.75" x14ac:dyDescent="0.2">
      <c r="A171" s="327">
        <v>2</v>
      </c>
      <c r="B171" s="328">
        <v>3</v>
      </c>
      <c r="C171" s="329"/>
      <c r="D171" s="329"/>
      <c r="E171" s="329"/>
      <c r="F171" s="330" t="s">
        <v>27</v>
      </c>
      <c r="G171" s="33">
        <f>+G172+G180+G189+G198+G201+G210+G225+G238</f>
        <v>4093407.7205000003</v>
      </c>
      <c r="H171" s="33">
        <f t="shared" ref="G171:O171" si="67">+H172+H180+H189+H198+H201+H210+H225+H238</f>
        <v>26144252.484899998</v>
      </c>
      <c r="I171" s="33">
        <f t="shared" si="67"/>
        <v>235188352.30599999</v>
      </c>
      <c r="J171" s="33">
        <f t="shared" si="67"/>
        <v>33805695.507100001</v>
      </c>
      <c r="K171" s="33">
        <f t="shared" si="67"/>
        <v>8695255.3547000065</v>
      </c>
      <c r="L171" s="33">
        <f t="shared" si="67"/>
        <v>2039848.0405000001</v>
      </c>
      <c r="M171" s="33">
        <f t="shared" si="67"/>
        <v>28589963.969999999</v>
      </c>
      <c r="N171" s="33">
        <f>+G171+H171+I171+J171+K171+L171+M171</f>
        <v>338556775.38370001</v>
      </c>
      <c r="O171" s="479">
        <f t="shared" si="59"/>
        <v>0.19422441335457402</v>
      </c>
    </row>
    <row r="172" spans="1:16" ht="12.75" x14ac:dyDescent="0.2">
      <c r="A172" s="331">
        <v>2</v>
      </c>
      <c r="B172" s="332">
        <v>3</v>
      </c>
      <c r="C172" s="332">
        <v>1</v>
      </c>
      <c r="D172" s="332"/>
      <c r="E172" s="332"/>
      <c r="F172" s="333" t="s">
        <v>28</v>
      </c>
      <c r="G172" s="32">
        <f>+G173+G175+G178</f>
        <v>815939.21620000002</v>
      </c>
      <c r="H172" s="32">
        <f t="shared" ref="H172:O172" si="68">+H173+H175+H178</f>
        <v>1631878.4324</v>
      </c>
      <c r="I172" s="32">
        <f t="shared" si="68"/>
        <v>28557872.567000002</v>
      </c>
      <c r="J172" s="32">
        <f t="shared" si="68"/>
        <v>1223908.8243</v>
      </c>
      <c r="K172" s="32">
        <f t="shared" si="68"/>
        <v>2039848.0405000001</v>
      </c>
      <c r="L172" s="32">
        <f t="shared" si="68"/>
        <v>2039848.0405000001</v>
      </c>
      <c r="M172" s="32">
        <f t="shared" si="68"/>
        <v>4487665.6900000004</v>
      </c>
      <c r="N172" s="32">
        <f t="shared" ref="N132:N195" si="69">+G172+H172+I172+J172+K172+L172+M172</f>
        <v>40796960.810900003</v>
      </c>
      <c r="O172" s="480">
        <f t="shared" si="59"/>
        <v>2.3404540556502752E-2</v>
      </c>
    </row>
    <row r="173" spans="1:16" ht="12.75" x14ac:dyDescent="0.2">
      <c r="A173" s="334">
        <v>2</v>
      </c>
      <c r="B173" s="335">
        <v>3</v>
      </c>
      <c r="C173" s="335">
        <v>1</v>
      </c>
      <c r="D173" s="335">
        <v>1</v>
      </c>
      <c r="E173" s="335"/>
      <c r="F173" s="343" t="s">
        <v>133</v>
      </c>
      <c r="G173" s="30">
        <f>+G174</f>
        <v>815939.21620000002</v>
      </c>
      <c r="H173" s="30">
        <f t="shared" ref="H173:O173" si="70">+H174</f>
        <v>1631878.4324</v>
      </c>
      <c r="I173" s="30">
        <f t="shared" si="70"/>
        <v>28557872.567000002</v>
      </c>
      <c r="J173" s="30">
        <f t="shared" si="70"/>
        <v>1223908.8243</v>
      </c>
      <c r="K173" s="30">
        <f t="shared" si="70"/>
        <v>2039848.0405000001</v>
      </c>
      <c r="L173" s="30">
        <f t="shared" si="70"/>
        <v>2039848.0405000001</v>
      </c>
      <c r="M173" s="30">
        <f t="shared" si="70"/>
        <v>4487665.6900000004</v>
      </c>
      <c r="N173" s="30">
        <f t="shared" si="69"/>
        <v>40796960.810900003</v>
      </c>
      <c r="O173" s="481">
        <f t="shared" si="59"/>
        <v>2.3404540556502752E-2</v>
      </c>
    </row>
    <row r="174" spans="1:16" ht="12.75" x14ac:dyDescent="0.2">
      <c r="A174" s="344">
        <v>2</v>
      </c>
      <c r="B174" s="338">
        <v>3</v>
      </c>
      <c r="C174" s="338">
        <v>1</v>
      </c>
      <c r="D174" s="338">
        <v>1</v>
      </c>
      <c r="E174" s="338" t="s">
        <v>202</v>
      </c>
      <c r="F174" s="339" t="s">
        <v>133</v>
      </c>
      <c r="G174" s="27">
        <v>815939.21620000002</v>
      </c>
      <c r="H174" s="27">
        <v>1631878.4324</v>
      </c>
      <c r="I174" s="27">
        <v>28557872.567000002</v>
      </c>
      <c r="J174" s="27">
        <v>1223908.8243</v>
      </c>
      <c r="K174" s="27">
        <v>2039848.0405000001</v>
      </c>
      <c r="L174" s="27">
        <v>2039848.0405000001</v>
      </c>
      <c r="M174" s="27">
        <v>4487665.6900000004</v>
      </c>
      <c r="N174" s="27">
        <f t="shared" si="69"/>
        <v>40796960.810900003</v>
      </c>
      <c r="O174" s="482">
        <f t="shared" si="59"/>
        <v>2.3404540556502752E-2</v>
      </c>
    </row>
    <row r="175" spans="1:16" ht="12.75" x14ac:dyDescent="0.2">
      <c r="A175" s="334">
        <v>2</v>
      </c>
      <c r="B175" s="335">
        <v>3</v>
      </c>
      <c r="C175" s="335">
        <v>1</v>
      </c>
      <c r="D175" s="335">
        <v>3</v>
      </c>
      <c r="E175" s="335"/>
      <c r="F175" s="343" t="s">
        <v>134</v>
      </c>
      <c r="G175" s="30">
        <f>SUM(G176:G177)</f>
        <v>0</v>
      </c>
      <c r="H175" s="30">
        <f t="shared" ref="H175:O175" si="71">SUM(H176:H177)</f>
        <v>0</v>
      </c>
      <c r="I175" s="30">
        <f t="shared" si="71"/>
        <v>0</v>
      </c>
      <c r="J175" s="30">
        <f t="shared" si="71"/>
        <v>0</v>
      </c>
      <c r="K175" s="30">
        <f t="shared" si="71"/>
        <v>0</v>
      </c>
      <c r="L175" s="30">
        <f t="shared" si="71"/>
        <v>0</v>
      </c>
      <c r="M175" s="30">
        <f t="shared" si="71"/>
        <v>0</v>
      </c>
      <c r="N175" s="30">
        <f t="shared" si="69"/>
        <v>0</v>
      </c>
      <c r="O175" s="481">
        <f t="shared" si="59"/>
        <v>0</v>
      </c>
    </row>
    <row r="176" spans="1:16" ht="12.75" x14ac:dyDescent="0.2">
      <c r="A176" s="344">
        <v>2</v>
      </c>
      <c r="B176" s="338">
        <v>3</v>
      </c>
      <c r="C176" s="338">
        <v>1</v>
      </c>
      <c r="D176" s="338">
        <v>3</v>
      </c>
      <c r="E176" s="338" t="s">
        <v>203</v>
      </c>
      <c r="F176" s="339" t="s">
        <v>135</v>
      </c>
      <c r="G176" s="27"/>
      <c r="H176" s="27"/>
      <c r="I176" s="27"/>
      <c r="J176" s="27"/>
      <c r="K176" s="27"/>
      <c r="L176" s="27"/>
      <c r="M176" s="27"/>
      <c r="N176" s="27">
        <f t="shared" si="69"/>
        <v>0</v>
      </c>
      <c r="O176" s="482">
        <f t="shared" si="59"/>
        <v>0</v>
      </c>
    </row>
    <row r="177" spans="1:15" ht="12.75" x14ac:dyDescent="0.2">
      <c r="A177" s="344">
        <v>2</v>
      </c>
      <c r="B177" s="338">
        <v>3</v>
      </c>
      <c r="C177" s="338">
        <v>1</v>
      </c>
      <c r="D177" s="338">
        <v>3</v>
      </c>
      <c r="E177" s="338" t="s">
        <v>204</v>
      </c>
      <c r="F177" s="339" t="s">
        <v>136</v>
      </c>
      <c r="G177" s="27"/>
      <c r="H177" s="27"/>
      <c r="I177" s="27"/>
      <c r="J177" s="27"/>
      <c r="K177" s="27"/>
      <c r="L177" s="27"/>
      <c r="M177" s="27"/>
      <c r="N177" s="27">
        <f t="shared" si="69"/>
        <v>0</v>
      </c>
      <c r="O177" s="482">
        <f t="shared" si="59"/>
        <v>0</v>
      </c>
    </row>
    <row r="178" spans="1:15" ht="12.75" x14ac:dyDescent="0.2">
      <c r="A178" s="334">
        <v>2</v>
      </c>
      <c r="B178" s="335">
        <v>3</v>
      </c>
      <c r="C178" s="335">
        <v>1</v>
      </c>
      <c r="D178" s="335">
        <v>4</v>
      </c>
      <c r="E178" s="335"/>
      <c r="F178" s="343" t="s">
        <v>137</v>
      </c>
      <c r="G178" s="29">
        <f>+G179</f>
        <v>0</v>
      </c>
      <c r="H178" s="29">
        <f t="shared" ref="H178:O178" si="72">+H179</f>
        <v>0</v>
      </c>
      <c r="I178" s="29">
        <f t="shared" si="72"/>
        <v>0</v>
      </c>
      <c r="J178" s="29">
        <f t="shared" si="72"/>
        <v>0</v>
      </c>
      <c r="K178" s="29">
        <f t="shared" si="72"/>
        <v>0</v>
      </c>
      <c r="L178" s="29">
        <f t="shared" si="72"/>
        <v>0</v>
      </c>
      <c r="M178" s="29">
        <f t="shared" si="72"/>
        <v>0</v>
      </c>
      <c r="N178" s="29">
        <f t="shared" si="69"/>
        <v>0</v>
      </c>
      <c r="O178" s="483">
        <f t="shared" si="59"/>
        <v>0</v>
      </c>
    </row>
    <row r="179" spans="1:15" ht="12.75" x14ac:dyDescent="0.2">
      <c r="A179" s="344">
        <v>2</v>
      </c>
      <c r="B179" s="338">
        <v>3</v>
      </c>
      <c r="C179" s="338">
        <v>1</v>
      </c>
      <c r="D179" s="338">
        <v>4</v>
      </c>
      <c r="E179" s="338" t="s">
        <v>202</v>
      </c>
      <c r="F179" s="339" t="s">
        <v>137</v>
      </c>
      <c r="G179" s="27"/>
      <c r="H179" s="27"/>
      <c r="I179" s="27"/>
      <c r="J179" s="27"/>
      <c r="K179" s="27"/>
      <c r="L179" s="27"/>
      <c r="M179" s="27"/>
      <c r="N179" s="27">
        <f t="shared" si="69"/>
        <v>0</v>
      </c>
      <c r="O179" s="482">
        <f t="shared" si="59"/>
        <v>0</v>
      </c>
    </row>
    <row r="180" spans="1:15" ht="12.75" x14ac:dyDescent="0.2">
      <c r="A180" s="331">
        <v>2</v>
      </c>
      <c r="B180" s="332">
        <v>3</v>
      </c>
      <c r="C180" s="332">
        <v>2</v>
      </c>
      <c r="D180" s="332"/>
      <c r="E180" s="332"/>
      <c r="F180" s="333" t="s">
        <v>29</v>
      </c>
      <c r="G180" s="32">
        <f>+G181+G183+G185+G187</f>
        <v>0</v>
      </c>
      <c r="H180" s="32">
        <f t="shared" ref="H180:O180" si="73">+H181+H183+H185+H187</f>
        <v>0</v>
      </c>
      <c r="I180" s="32">
        <f t="shared" si="73"/>
        <v>0</v>
      </c>
      <c r="J180" s="32">
        <f t="shared" si="73"/>
        <v>0</v>
      </c>
      <c r="K180" s="32">
        <f t="shared" si="73"/>
        <v>0</v>
      </c>
      <c r="L180" s="32">
        <f t="shared" si="73"/>
        <v>0</v>
      </c>
      <c r="M180" s="32">
        <f t="shared" si="73"/>
        <v>2793648.81</v>
      </c>
      <c r="N180" s="32">
        <f t="shared" si="69"/>
        <v>2793648.81</v>
      </c>
      <c r="O180" s="480">
        <f t="shared" si="59"/>
        <v>1.6026700414605772E-3</v>
      </c>
    </row>
    <row r="181" spans="1:15" ht="12.75" x14ac:dyDescent="0.2">
      <c r="A181" s="334">
        <v>2</v>
      </c>
      <c r="B181" s="335">
        <v>3</v>
      </c>
      <c r="C181" s="335">
        <v>2</v>
      </c>
      <c r="D181" s="335">
        <v>1</v>
      </c>
      <c r="E181" s="335"/>
      <c r="F181" s="343" t="s">
        <v>1007</v>
      </c>
      <c r="G181" s="29">
        <f>+G182</f>
        <v>0</v>
      </c>
      <c r="H181" s="29">
        <f t="shared" ref="H181:O181" si="74">H182</f>
        <v>0</v>
      </c>
      <c r="I181" s="29">
        <f t="shared" si="74"/>
        <v>0</v>
      </c>
      <c r="J181" s="29">
        <f t="shared" si="74"/>
        <v>0</v>
      </c>
      <c r="K181" s="29">
        <f t="shared" si="74"/>
        <v>0</v>
      </c>
      <c r="L181" s="29">
        <f t="shared" si="74"/>
        <v>0</v>
      </c>
      <c r="M181" s="29">
        <f t="shared" si="74"/>
        <v>0</v>
      </c>
      <c r="N181" s="29">
        <f t="shared" si="69"/>
        <v>0</v>
      </c>
      <c r="O181" s="483">
        <f t="shared" si="59"/>
        <v>0</v>
      </c>
    </row>
    <row r="182" spans="1:15" ht="12.75" x14ac:dyDescent="0.2">
      <c r="A182" s="344">
        <v>2</v>
      </c>
      <c r="B182" s="338">
        <v>3</v>
      </c>
      <c r="C182" s="338">
        <v>2</v>
      </c>
      <c r="D182" s="338">
        <v>1</v>
      </c>
      <c r="E182" s="338" t="s">
        <v>202</v>
      </c>
      <c r="F182" s="339" t="s">
        <v>1007</v>
      </c>
      <c r="G182" s="27"/>
      <c r="H182" s="27"/>
      <c r="I182" s="27"/>
      <c r="J182" s="27"/>
      <c r="K182" s="27"/>
      <c r="L182" s="27"/>
      <c r="M182" s="27"/>
      <c r="N182" s="27">
        <f t="shared" si="69"/>
        <v>0</v>
      </c>
      <c r="O182" s="482">
        <f t="shared" si="59"/>
        <v>0</v>
      </c>
    </row>
    <row r="183" spans="1:15" ht="12.75" x14ac:dyDescent="0.2">
      <c r="A183" s="334">
        <v>2</v>
      </c>
      <c r="B183" s="335">
        <v>3</v>
      </c>
      <c r="C183" s="335">
        <v>2</v>
      </c>
      <c r="D183" s="335">
        <v>2</v>
      </c>
      <c r="E183" s="335"/>
      <c r="F183" s="343" t="s">
        <v>138</v>
      </c>
      <c r="G183" s="29">
        <f>+G184</f>
        <v>0</v>
      </c>
      <c r="H183" s="29">
        <f t="shared" ref="H183:O185" si="75">+H184</f>
        <v>0</v>
      </c>
      <c r="I183" s="29">
        <f t="shared" si="75"/>
        <v>0</v>
      </c>
      <c r="J183" s="29">
        <f t="shared" si="75"/>
        <v>0</v>
      </c>
      <c r="K183" s="29">
        <f t="shared" si="75"/>
        <v>0</v>
      </c>
      <c r="L183" s="29">
        <f t="shared" si="75"/>
        <v>0</v>
      </c>
      <c r="M183" s="29">
        <f t="shared" si="75"/>
        <v>0</v>
      </c>
      <c r="N183" s="29">
        <f t="shared" si="69"/>
        <v>0</v>
      </c>
      <c r="O183" s="483">
        <f t="shared" si="59"/>
        <v>0</v>
      </c>
    </row>
    <row r="184" spans="1:15" ht="12.75" x14ac:dyDescent="0.2">
      <c r="A184" s="344">
        <v>2</v>
      </c>
      <c r="B184" s="338">
        <v>3</v>
      </c>
      <c r="C184" s="338">
        <v>2</v>
      </c>
      <c r="D184" s="338">
        <v>2</v>
      </c>
      <c r="E184" s="338" t="s">
        <v>202</v>
      </c>
      <c r="F184" s="339" t="s">
        <v>138</v>
      </c>
      <c r="G184" s="27"/>
      <c r="H184" s="27"/>
      <c r="I184" s="27"/>
      <c r="J184" s="27"/>
      <c r="K184" s="27"/>
      <c r="L184" s="27"/>
      <c r="M184" s="27"/>
      <c r="N184" s="27">
        <f t="shared" si="69"/>
        <v>0</v>
      </c>
      <c r="O184" s="482">
        <f t="shared" si="59"/>
        <v>0</v>
      </c>
    </row>
    <row r="185" spans="1:15" ht="12.75" x14ac:dyDescent="0.2">
      <c r="A185" s="334">
        <v>2</v>
      </c>
      <c r="B185" s="335">
        <v>3</v>
      </c>
      <c r="C185" s="335">
        <v>2</v>
      </c>
      <c r="D185" s="335">
        <v>3</v>
      </c>
      <c r="E185" s="335"/>
      <c r="F185" s="343" t="s">
        <v>139</v>
      </c>
      <c r="G185" s="29">
        <f>+G186</f>
        <v>0</v>
      </c>
      <c r="H185" s="29">
        <f t="shared" ref="H185:M185" si="76">+H186</f>
        <v>0</v>
      </c>
      <c r="I185" s="29">
        <f t="shared" si="76"/>
        <v>0</v>
      </c>
      <c r="J185" s="29">
        <f t="shared" si="76"/>
        <v>0</v>
      </c>
      <c r="K185" s="29">
        <f t="shared" si="76"/>
        <v>0</v>
      </c>
      <c r="L185" s="29">
        <f t="shared" si="76"/>
        <v>0</v>
      </c>
      <c r="M185" s="29">
        <f t="shared" si="76"/>
        <v>2793648.81</v>
      </c>
      <c r="N185" s="29">
        <f t="shared" si="69"/>
        <v>2793648.81</v>
      </c>
      <c r="O185" s="483">
        <f t="shared" si="59"/>
        <v>1.6026700414605772E-3</v>
      </c>
    </row>
    <row r="186" spans="1:15" ht="12.75" x14ac:dyDescent="0.2">
      <c r="A186" s="344">
        <v>2</v>
      </c>
      <c r="B186" s="338">
        <v>3</v>
      </c>
      <c r="C186" s="338">
        <v>2</v>
      </c>
      <c r="D186" s="338">
        <v>3</v>
      </c>
      <c r="E186" s="338" t="s">
        <v>202</v>
      </c>
      <c r="F186" s="339" t="s">
        <v>139</v>
      </c>
      <c r="G186" s="27"/>
      <c r="H186" s="27"/>
      <c r="I186" s="27"/>
      <c r="J186" s="27"/>
      <c r="K186" s="27"/>
      <c r="L186" s="27"/>
      <c r="M186" s="27">
        <v>2793648.81</v>
      </c>
      <c r="N186" s="27">
        <f t="shared" si="69"/>
        <v>2793648.81</v>
      </c>
      <c r="O186" s="482">
        <f t="shared" si="59"/>
        <v>1.6026700414605772E-3</v>
      </c>
    </row>
    <row r="187" spans="1:15" ht="12.75" x14ac:dyDescent="0.2">
      <c r="A187" s="334">
        <v>2</v>
      </c>
      <c r="B187" s="335">
        <v>3</v>
      </c>
      <c r="C187" s="335">
        <v>2</v>
      </c>
      <c r="D187" s="335">
        <v>4</v>
      </c>
      <c r="E187" s="335"/>
      <c r="F187" s="343" t="s">
        <v>30</v>
      </c>
      <c r="G187" s="29">
        <f>+G188</f>
        <v>0</v>
      </c>
      <c r="H187" s="29">
        <f t="shared" ref="H187:O187" si="77">+H188</f>
        <v>0</v>
      </c>
      <c r="I187" s="29">
        <f t="shared" si="77"/>
        <v>0</v>
      </c>
      <c r="J187" s="29">
        <f t="shared" si="77"/>
        <v>0</v>
      </c>
      <c r="K187" s="29">
        <f t="shared" si="77"/>
        <v>0</v>
      </c>
      <c r="L187" s="29">
        <f t="shared" si="77"/>
        <v>0</v>
      </c>
      <c r="M187" s="29">
        <f t="shared" si="77"/>
        <v>0</v>
      </c>
      <c r="N187" s="29">
        <f t="shared" si="69"/>
        <v>0</v>
      </c>
      <c r="O187" s="483">
        <f t="shared" si="59"/>
        <v>0</v>
      </c>
    </row>
    <row r="188" spans="1:15" ht="12.75" x14ac:dyDescent="0.2">
      <c r="A188" s="344">
        <v>2</v>
      </c>
      <c r="B188" s="338">
        <v>3</v>
      </c>
      <c r="C188" s="338">
        <v>2</v>
      </c>
      <c r="D188" s="338">
        <v>4</v>
      </c>
      <c r="E188" s="338" t="s">
        <v>202</v>
      </c>
      <c r="F188" s="339" t="s">
        <v>30</v>
      </c>
      <c r="G188" s="27"/>
      <c r="H188" s="27"/>
      <c r="I188" s="27"/>
      <c r="J188" s="27"/>
      <c r="K188" s="27"/>
      <c r="L188" s="27"/>
      <c r="M188" s="27"/>
      <c r="N188" s="27">
        <f t="shared" si="69"/>
        <v>0</v>
      </c>
      <c r="O188" s="482">
        <f t="shared" si="59"/>
        <v>0</v>
      </c>
    </row>
    <row r="189" spans="1:15" ht="12.75" x14ac:dyDescent="0.2">
      <c r="A189" s="331">
        <v>2</v>
      </c>
      <c r="B189" s="332">
        <v>3</v>
      </c>
      <c r="C189" s="332">
        <v>3</v>
      </c>
      <c r="D189" s="332"/>
      <c r="E189" s="332"/>
      <c r="F189" s="333" t="s">
        <v>249</v>
      </c>
      <c r="G189" s="32">
        <f>+G190+G192+G194+G196</f>
        <v>0</v>
      </c>
      <c r="H189" s="32">
        <f t="shared" ref="H189:O189" si="78">+H190+H192+H194+H196</f>
        <v>0</v>
      </c>
      <c r="I189" s="32">
        <f t="shared" si="78"/>
        <v>0</v>
      </c>
      <c r="J189" s="32">
        <f t="shared" si="78"/>
        <v>0</v>
      </c>
      <c r="K189" s="32">
        <f t="shared" si="78"/>
        <v>0</v>
      </c>
      <c r="L189" s="32">
        <f t="shared" si="78"/>
        <v>0</v>
      </c>
      <c r="M189" s="32">
        <f t="shared" si="78"/>
        <v>3036800</v>
      </c>
      <c r="N189" s="32">
        <f t="shared" si="69"/>
        <v>3036800</v>
      </c>
      <c r="O189" s="480">
        <f t="shared" si="59"/>
        <v>1.7421618510121467E-3</v>
      </c>
    </row>
    <row r="190" spans="1:15" ht="12.75" x14ac:dyDescent="0.2">
      <c r="A190" s="334">
        <v>2</v>
      </c>
      <c r="B190" s="335">
        <v>3</v>
      </c>
      <c r="C190" s="335">
        <v>3</v>
      </c>
      <c r="D190" s="335">
        <v>1</v>
      </c>
      <c r="E190" s="335"/>
      <c r="F190" s="343" t="s">
        <v>140</v>
      </c>
      <c r="G190" s="30">
        <f>G191</f>
        <v>0</v>
      </c>
      <c r="H190" s="29">
        <f t="shared" ref="H190:O190" si="79">H191</f>
        <v>0</v>
      </c>
      <c r="I190" s="29">
        <f t="shared" si="79"/>
        <v>0</v>
      </c>
      <c r="J190" s="29">
        <f t="shared" si="79"/>
        <v>0</v>
      </c>
      <c r="K190" s="29">
        <f t="shared" si="79"/>
        <v>0</v>
      </c>
      <c r="L190" s="29">
        <f t="shared" si="79"/>
        <v>0</v>
      </c>
      <c r="M190" s="29">
        <f t="shared" si="79"/>
        <v>0</v>
      </c>
      <c r="N190" s="29">
        <f t="shared" si="69"/>
        <v>0</v>
      </c>
      <c r="O190" s="483">
        <f t="shared" si="59"/>
        <v>0</v>
      </c>
    </row>
    <row r="191" spans="1:15" ht="12.75" x14ac:dyDescent="0.2">
      <c r="A191" s="344">
        <v>2</v>
      </c>
      <c r="B191" s="338">
        <v>3</v>
      </c>
      <c r="C191" s="338">
        <v>3</v>
      </c>
      <c r="D191" s="338">
        <v>1</v>
      </c>
      <c r="E191" s="338" t="s">
        <v>202</v>
      </c>
      <c r="F191" s="339" t="s">
        <v>140</v>
      </c>
      <c r="G191" s="27"/>
      <c r="H191" s="27"/>
      <c r="I191" s="27"/>
      <c r="J191" s="27"/>
      <c r="K191" s="27"/>
      <c r="L191" s="27"/>
      <c r="M191" s="27"/>
      <c r="N191" s="27">
        <f t="shared" si="69"/>
        <v>0</v>
      </c>
      <c r="O191" s="482">
        <f t="shared" si="59"/>
        <v>0</v>
      </c>
    </row>
    <row r="192" spans="1:15" ht="12.75" x14ac:dyDescent="0.2">
      <c r="A192" s="334">
        <v>2</v>
      </c>
      <c r="B192" s="335">
        <v>3</v>
      </c>
      <c r="C192" s="335">
        <v>3</v>
      </c>
      <c r="D192" s="335">
        <v>2</v>
      </c>
      <c r="E192" s="335"/>
      <c r="F192" s="343" t="s">
        <v>141</v>
      </c>
      <c r="G192" s="29">
        <f>+G193</f>
        <v>0</v>
      </c>
      <c r="H192" s="29">
        <f t="shared" ref="H192:N192" si="80">+H193</f>
        <v>0</v>
      </c>
      <c r="I192" s="29">
        <f t="shared" si="80"/>
        <v>0</v>
      </c>
      <c r="J192" s="29">
        <f t="shared" si="80"/>
        <v>0</v>
      </c>
      <c r="K192" s="29">
        <f t="shared" si="80"/>
        <v>0</v>
      </c>
      <c r="L192" s="29">
        <f t="shared" si="80"/>
        <v>0</v>
      </c>
      <c r="M192" s="29">
        <f t="shared" si="80"/>
        <v>0</v>
      </c>
      <c r="N192" s="29">
        <f t="shared" si="69"/>
        <v>0</v>
      </c>
      <c r="O192" s="483">
        <f t="shared" si="59"/>
        <v>0</v>
      </c>
    </row>
    <row r="193" spans="1:15" ht="12.75" x14ac:dyDescent="0.2">
      <c r="A193" s="344">
        <v>2</v>
      </c>
      <c r="B193" s="338">
        <v>3</v>
      </c>
      <c r="C193" s="338">
        <v>3</v>
      </c>
      <c r="D193" s="338">
        <v>2</v>
      </c>
      <c r="E193" s="338" t="s">
        <v>202</v>
      </c>
      <c r="F193" s="339" t="s">
        <v>141</v>
      </c>
      <c r="G193" s="27"/>
      <c r="H193" s="27"/>
      <c r="I193" s="27"/>
      <c r="J193" s="27"/>
      <c r="K193" s="27"/>
      <c r="L193" s="27"/>
      <c r="M193" s="27"/>
      <c r="N193" s="27">
        <f t="shared" si="69"/>
        <v>0</v>
      </c>
      <c r="O193" s="482">
        <f t="shared" si="59"/>
        <v>0</v>
      </c>
    </row>
    <row r="194" spans="1:15" ht="12.75" x14ac:dyDescent="0.2">
      <c r="A194" s="334">
        <v>2</v>
      </c>
      <c r="B194" s="335">
        <v>3</v>
      </c>
      <c r="C194" s="335">
        <v>3</v>
      </c>
      <c r="D194" s="335">
        <v>3</v>
      </c>
      <c r="E194" s="335"/>
      <c r="F194" s="343" t="s">
        <v>142</v>
      </c>
      <c r="G194" s="29">
        <f>+G195</f>
        <v>0</v>
      </c>
      <c r="H194" s="29">
        <f t="shared" ref="H194:O194" si="81">+H195</f>
        <v>0</v>
      </c>
      <c r="I194" s="29">
        <f t="shared" si="81"/>
        <v>0</v>
      </c>
      <c r="J194" s="29">
        <f t="shared" si="81"/>
        <v>0</v>
      </c>
      <c r="K194" s="29">
        <f t="shared" si="81"/>
        <v>0</v>
      </c>
      <c r="L194" s="29">
        <f t="shared" si="81"/>
        <v>0</v>
      </c>
      <c r="M194" s="29">
        <f t="shared" si="81"/>
        <v>3036800</v>
      </c>
      <c r="N194" s="29">
        <f t="shared" si="69"/>
        <v>3036800</v>
      </c>
      <c r="O194" s="483">
        <f t="shared" si="59"/>
        <v>1.7421618510121467E-3</v>
      </c>
    </row>
    <row r="195" spans="1:15" ht="12.75" x14ac:dyDescent="0.2">
      <c r="A195" s="344">
        <v>2</v>
      </c>
      <c r="B195" s="338">
        <v>3</v>
      </c>
      <c r="C195" s="338">
        <v>3</v>
      </c>
      <c r="D195" s="338">
        <v>3</v>
      </c>
      <c r="E195" s="338" t="s">
        <v>202</v>
      </c>
      <c r="F195" s="339" t="s">
        <v>142</v>
      </c>
      <c r="G195" s="27"/>
      <c r="H195" s="27"/>
      <c r="I195" s="27"/>
      <c r="J195" s="27"/>
      <c r="K195" s="27"/>
      <c r="L195" s="27"/>
      <c r="M195" s="27">
        <v>3036800</v>
      </c>
      <c r="N195" s="27">
        <f t="shared" si="69"/>
        <v>3036800</v>
      </c>
      <c r="O195" s="482">
        <f t="shared" si="59"/>
        <v>1.7421618510121467E-3</v>
      </c>
    </row>
    <row r="196" spans="1:15" ht="12.75" x14ac:dyDescent="0.2">
      <c r="A196" s="334">
        <v>2</v>
      </c>
      <c r="B196" s="335">
        <v>3</v>
      </c>
      <c r="C196" s="335">
        <v>3</v>
      </c>
      <c r="D196" s="335">
        <v>4</v>
      </c>
      <c r="E196" s="335"/>
      <c r="F196" s="343" t="s">
        <v>143</v>
      </c>
      <c r="G196" s="29">
        <f>+G197</f>
        <v>0</v>
      </c>
      <c r="H196" s="29">
        <f t="shared" ref="H196:M196" si="82">+H197</f>
        <v>0</v>
      </c>
      <c r="I196" s="29">
        <f t="shared" si="82"/>
        <v>0</v>
      </c>
      <c r="J196" s="29">
        <f t="shared" si="82"/>
        <v>0</v>
      </c>
      <c r="K196" s="29">
        <f t="shared" si="82"/>
        <v>0</v>
      </c>
      <c r="L196" s="29">
        <f t="shared" si="82"/>
        <v>0</v>
      </c>
      <c r="M196" s="29">
        <f t="shared" si="82"/>
        <v>0</v>
      </c>
      <c r="N196" s="29">
        <f t="shared" ref="N196:N259" si="83">+G196+H196+I196+J196+K196+L196+M196</f>
        <v>0</v>
      </c>
      <c r="O196" s="483">
        <f t="shared" si="59"/>
        <v>0</v>
      </c>
    </row>
    <row r="197" spans="1:15" ht="12.75" x14ac:dyDescent="0.2">
      <c r="A197" s="344">
        <v>2</v>
      </c>
      <c r="B197" s="338">
        <v>3</v>
      </c>
      <c r="C197" s="338">
        <v>3</v>
      </c>
      <c r="D197" s="338">
        <v>4</v>
      </c>
      <c r="E197" s="338" t="s">
        <v>202</v>
      </c>
      <c r="F197" s="339" t="s">
        <v>143</v>
      </c>
      <c r="G197" s="27"/>
      <c r="H197" s="27"/>
      <c r="I197" s="27"/>
      <c r="J197" s="27"/>
      <c r="K197" s="27"/>
      <c r="L197" s="27"/>
      <c r="M197" s="27"/>
      <c r="N197" s="27">
        <f t="shared" si="83"/>
        <v>0</v>
      </c>
      <c r="O197" s="482">
        <f t="shared" si="59"/>
        <v>0</v>
      </c>
    </row>
    <row r="198" spans="1:15" ht="12.75" x14ac:dyDescent="0.2">
      <c r="A198" s="331">
        <v>2</v>
      </c>
      <c r="B198" s="332">
        <v>3</v>
      </c>
      <c r="C198" s="332">
        <v>4</v>
      </c>
      <c r="D198" s="332"/>
      <c r="E198" s="332"/>
      <c r="F198" s="333" t="s">
        <v>250</v>
      </c>
      <c r="G198" s="32">
        <f>+G199</f>
        <v>695681.82150000008</v>
      </c>
      <c r="H198" s="32">
        <f t="shared" ref="H198:O199" si="84">+H199</f>
        <v>10435227.3225</v>
      </c>
      <c r="I198" s="32">
        <f t="shared" si="84"/>
        <v>55654545.720000006</v>
      </c>
      <c r="J198" s="32">
        <f t="shared" si="84"/>
        <v>0</v>
      </c>
      <c r="K198" s="32">
        <f t="shared" si="84"/>
        <v>2782727.2900000066</v>
      </c>
      <c r="L198" s="32">
        <f t="shared" si="84"/>
        <v>0</v>
      </c>
      <c r="M198" s="32">
        <f t="shared" si="84"/>
        <v>0</v>
      </c>
      <c r="N198" s="32">
        <f t="shared" si="83"/>
        <v>69568182.154000014</v>
      </c>
      <c r="O198" s="480">
        <f t="shared" si="59"/>
        <v>3.9910113604110529E-2</v>
      </c>
    </row>
    <row r="199" spans="1:15" ht="12.75" x14ac:dyDescent="0.2">
      <c r="A199" s="334">
        <v>2</v>
      </c>
      <c r="B199" s="335">
        <v>3</v>
      </c>
      <c r="C199" s="335">
        <v>4</v>
      </c>
      <c r="D199" s="335">
        <v>1</v>
      </c>
      <c r="E199" s="335"/>
      <c r="F199" s="343" t="s">
        <v>144</v>
      </c>
      <c r="G199" s="29">
        <f>+G200</f>
        <v>695681.82150000008</v>
      </c>
      <c r="H199" s="29">
        <f t="shared" si="84"/>
        <v>10435227.3225</v>
      </c>
      <c r="I199" s="29">
        <f t="shared" si="84"/>
        <v>55654545.720000006</v>
      </c>
      <c r="J199" s="29">
        <f t="shared" si="84"/>
        <v>0</v>
      </c>
      <c r="K199" s="29">
        <f t="shared" si="84"/>
        <v>2782727.2900000066</v>
      </c>
      <c r="L199" s="29">
        <f t="shared" si="84"/>
        <v>0</v>
      </c>
      <c r="M199" s="29">
        <f t="shared" si="84"/>
        <v>0</v>
      </c>
      <c r="N199" s="29">
        <f t="shared" si="83"/>
        <v>69568182.154000014</v>
      </c>
      <c r="O199" s="483">
        <f t="shared" si="59"/>
        <v>3.9910113604110529E-2</v>
      </c>
    </row>
    <row r="200" spans="1:15" ht="12.75" x14ac:dyDescent="0.2">
      <c r="A200" s="344">
        <v>2</v>
      </c>
      <c r="B200" s="338">
        <v>3</v>
      </c>
      <c r="C200" s="338">
        <v>4</v>
      </c>
      <c r="D200" s="338">
        <v>1</v>
      </c>
      <c r="E200" s="338" t="s">
        <v>202</v>
      </c>
      <c r="F200" s="339" t="s">
        <v>144</v>
      </c>
      <c r="G200" s="27">
        <f>69568182.15*0.01</f>
        <v>695681.82150000008</v>
      </c>
      <c r="H200" s="27">
        <f>69568182.15*0.15</f>
        <v>10435227.3225</v>
      </c>
      <c r="I200" s="27">
        <f>69568182.15*0.8</f>
        <v>55654545.720000006</v>
      </c>
      <c r="J200" s="27"/>
      <c r="K200" s="27">
        <v>2782727.2900000066</v>
      </c>
      <c r="L200" s="27"/>
      <c r="M200" s="27"/>
      <c r="N200" s="27">
        <f t="shared" si="83"/>
        <v>69568182.154000014</v>
      </c>
      <c r="O200" s="482">
        <f t="shared" si="59"/>
        <v>3.9910113604110529E-2</v>
      </c>
    </row>
    <row r="201" spans="1:15" ht="12.75" x14ac:dyDescent="0.2">
      <c r="A201" s="331">
        <v>2</v>
      </c>
      <c r="B201" s="332">
        <v>3</v>
      </c>
      <c r="C201" s="332">
        <v>5</v>
      </c>
      <c r="D201" s="332"/>
      <c r="E201" s="332"/>
      <c r="F201" s="333" t="s">
        <v>146</v>
      </c>
      <c r="G201" s="32">
        <f>+G202+G204+G206+G208</f>
        <v>0</v>
      </c>
      <c r="H201" s="32">
        <f t="shared" ref="H201:O201" si="85">+H202+H204+H206+H208</f>
        <v>0</v>
      </c>
      <c r="I201" s="32">
        <f t="shared" si="85"/>
        <v>0</v>
      </c>
      <c r="J201" s="32">
        <f t="shared" si="85"/>
        <v>0</v>
      </c>
      <c r="K201" s="32">
        <f t="shared" si="85"/>
        <v>0</v>
      </c>
      <c r="L201" s="32">
        <f t="shared" si="85"/>
        <v>0</v>
      </c>
      <c r="M201" s="32">
        <f t="shared" si="85"/>
        <v>0</v>
      </c>
      <c r="N201" s="32">
        <f t="shared" si="83"/>
        <v>0</v>
      </c>
      <c r="O201" s="480">
        <f t="shared" si="59"/>
        <v>0</v>
      </c>
    </row>
    <row r="202" spans="1:15" ht="12.75" x14ac:dyDescent="0.2">
      <c r="A202" s="334">
        <v>2</v>
      </c>
      <c r="B202" s="335">
        <v>3</v>
      </c>
      <c r="C202" s="335">
        <v>5</v>
      </c>
      <c r="D202" s="335">
        <v>2</v>
      </c>
      <c r="E202" s="335"/>
      <c r="F202" s="343" t="s">
        <v>1008</v>
      </c>
      <c r="G202" s="29">
        <f>+G203</f>
        <v>0</v>
      </c>
      <c r="H202" s="29">
        <f t="shared" ref="H202:O202" si="86">+H203</f>
        <v>0</v>
      </c>
      <c r="I202" s="29">
        <f t="shared" si="86"/>
        <v>0</v>
      </c>
      <c r="J202" s="29">
        <f t="shared" si="86"/>
        <v>0</v>
      </c>
      <c r="K202" s="29">
        <f t="shared" si="86"/>
        <v>0</v>
      </c>
      <c r="L202" s="29">
        <f t="shared" si="86"/>
        <v>0</v>
      </c>
      <c r="M202" s="29">
        <f t="shared" si="86"/>
        <v>0</v>
      </c>
      <c r="N202" s="29">
        <f t="shared" si="83"/>
        <v>0</v>
      </c>
      <c r="O202" s="483">
        <f t="shared" si="59"/>
        <v>0</v>
      </c>
    </row>
    <row r="203" spans="1:15" ht="12.75" x14ac:dyDescent="0.2">
      <c r="A203" s="344">
        <v>2</v>
      </c>
      <c r="B203" s="338">
        <v>3</v>
      </c>
      <c r="C203" s="338">
        <v>5</v>
      </c>
      <c r="D203" s="338">
        <v>2</v>
      </c>
      <c r="E203" s="338" t="s">
        <v>202</v>
      </c>
      <c r="F203" s="339" t="s">
        <v>1008</v>
      </c>
      <c r="G203" s="27"/>
      <c r="H203" s="27"/>
      <c r="I203" s="27"/>
      <c r="J203" s="27"/>
      <c r="K203" s="27"/>
      <c r="L203" s="27"/>
      <c r="M203" s="27"/>
      <c r="N203" s="27">
        <f t="shared" si="83"/>
        <v>0</v>
      </c>
      <c r="O203" s="482">
        <f t="shared" si="59"/>
        <v>0</v>
      </c>
    </row>
    <row r="204" spans="1:15" ht="12.75" x14ac:dyDescent="0.2">
      <c r="A204" s="334">
        <v>2</v>
      </c>
      <c r="B204" s="335">
        <v>3</v>
      </c>
      <c r="C204" s="335">
        <v>5</v>
      </c>
      <c r="D204" s="335">
        <v>3</v>
      </c>
      <c r="E204" s="335"/>
      <c r="F204" s="343" t="s">
        <v>145</v>
      </c>
      <c r="G204" s="29">
        <f>+G205</f>
        <v>0</v>
      </c>
      <c r="H204" s="29">
        <f t="shared" ref="H204:O204" si="87">+H205</f>
        <v>0</v>
      </c>
      <c r="I204" s="29">
        <f t="shared" si="87"/>
        <v>0</v>
      </c>
      <c r="J204" s="29">
        <f t="shared" si="87"/>
        <v>0</v>
      </c>
      <c r="K204" s="29">
        <f t="shared" si="87"/>
        <v>0</v>
      </c>
      <c r="L204" s="29">
        <f t="shared" si="87"/>
        <v>0</v>
      </c>
      <c r="M204" s="29">
        <f t="shared" si="87"/>
        <v>0</v>
      </c>
      <c r="N204" s="29">
        <f t="shared" si="83"/>
        <v>0</v>
      </c>
      <c r="O204" s="483">
        <f t="shared" si="59"/>
        <v>0</v>
      </c>
    </row>
    <row r="205" spans="1:15" ht="12.75" x14ac:dyDescent="0.2">
      <c r="A205" s="344">
        <v>2</v>
      </c>
      <c r="B205" s="338">
        <v>3</v>
      </c>
      <c r="C205" s="338">
        <v>5</v>
      </c>
      <c r="D205" s="338">
        <v>3</v>
      </c>
      <c r="E205" s="338" t="s">
        <v>202</v>
      </c>
      <c r="F205" s="339" t="s">
        <v>145</v>
      </c>
      <c r="G205" s="27"/>
      <c r="H205" s="27"/>
      <c r="I205" s="27"/>
      <c r="J205" s="27"/>
      <c r="K205" s="27"/>
      <c r="L205" s="27"/>
      <c r="M205" s="27"/>
      <c r="N205" s="27">
        <f t="shared" si="83"/>
        <v>0</v>
      </c>
      <c r="O205" s="482">
        <f t="shared" si="59"/>
        <v>0</v>
      </c>
    </row>
    <row r="206" spans="1:15" ht="12.75" x14ac:dyDescent="0.2">
      <c r="A206" s="334">
        <v>2</v>
      </c>
      <c r="B206" s="335">
        <v>3</v>
      </c>
      <c r="C206" s="335">
        <v>5</v>
      </c>
      <c r="D206" s="335">
        <v>4</v>
      </c>
      <c r="E206" s="335"/>
      <c r="F206" s="343" t="s">
        <v>1009</v>
      </c>
      <c r="G206" s="29">
        <f>+G207</f>
        <v>0</v>
      </c>
      <c r="H206" s="29">
        <f t="shared" ref="H206:O206" si="88">+H207</f>
        <v>0</v>
      </c>
      <c r="I206" s="29">
        <f t="shared" si="88"/>
        <v>0</v>
      </c>
      <c r="J206" s="29">
        <f t="shared" si="88"/>
        <v>0</v>
      </c>
      <c r="K206" s="29">
        <f t="shared" si="88"/>
        <v>0</v>
      </c>
      <c r="L206" s="29">
        <f t="shared" si="88"/>
        <v>0</v>
      </c>
      <c r="M206" s="29">
        <f t="shared" si="88"/>
        <v>0</v>
      </c>
      <c r="N206" s="29">
        <f t="shared" si="83"/>
        <v>0</v>
      </c>
      <c r="O206" s="483">
        <f t="shared" si="59"/>
        <v>0</v>
      </c>
    </row>
    <row r="207" spans="1:15" ht="12.75" x14ac:dyDescent="0.2">
      <c r="A207" s="344">
        <v>2</v>
      </c>
      <c r="B207" s="338">
        <v>3</v>
      </c>
      <c r="C207" s="338">
        <v>5</v>
      </c>
      <c r="D207" s="338">
        <v>4</v>
      </c>
      <c r="E207" s="338" t="s">
        <v>202</v>
      </c>
      <c r="F207" s="339" t="s">
        <v>1009</v>
      </c>
      <c r="G207" s="27"/>
      <c r="H207" s="27"/>
      <c r="I207" s="27"/>
      <c r="J207" s="27"/>
      <c r="K207" s="27"/>
      <c r="L207" s="27"/>
      <c r="M207" s="27"/>
      <c r="N207" s="27">
        <f t="shared" si="83"/>
        <v>0</v>
      </c>
      <c r="O207" s="482">
        <f t="shared" si="59"/>
        <v>0</v>
      </c>
    </row>
    <row r="208" spans="1:15" ht="12.75" x14ac:dyDescent="0.2">
      <c r="A208" s="334">
        <v>2</v>
      </c>
      <c r="B208" s="335">
        <v>3</v>
      </c>
      <c r="C208" s="335">
        <v>5</v>
      </c>
      <c r="D208" s="335">
        <v>5</v>
      </c>
      <c r="E208" s="335"/>
      <c r="F208" s="343" t="s">
        <v>251</v>
      </c>
      <c r="G208" s="29">
        <f>+G209</f>
        <v>0</v>
      </c>
      <c r="H208" s="29">
        <f t="shared" ref="H208:O208" si="89">+H209</f>
        <v>0</v>
      </c>
      <c r="I208" s="29">
        <f t="shared" si="89"/>
        <v>0</v>
      </c>
      <c r="J208" s="29">
        <f t="shared" si="89"/>
        <v>0</v>
      </c>
      <c r="K208" s="29">
        <f t="shared" si="89"/>
        <v>0</v>
      </c>
      <c r="L208" s="29">
        <f t="shared" si="89"/>
        <v>0</v>
      </c>
      <c r="M208" s="29">
        <f t="shared" si="89"/>
        <v>0</v>
      </c>
      <c r="N208" s="29">
        <f t="shared" si="83"/>
        <v>0</v>
      </c>
      <c r="O208" s="483">
        <f t="shared" si="59"/>
        <v>0</v>
      </c>
    </row>
    <row r="209" spans="1:15" ht="12.75" x14ac:dyDescent="0.2">
      <c r="A209" s="344">
        <v>2</v>
      </c>
      <c r="B209" s="338">
        <v>3</v>
      </c>
      <c r="C209" s="338">
        <v>5</v>
      </c>
      <c r="D209" s="338">
        <v>5</v>
      </c>
      <c r="E209" s="338" t="s">
        <v>202</v>
      </c>
      <c r="F209" s="339" t="s">
        <v>147</v>
      </c>
      <c r="G209" s="27"/>
      <c r="H209" s="27"/>
      <c r="I209" s="27"/>
      <c r="J209" s="27"/>
      <c r="K209" s="27"/>
      <c r="L209" s="27"/>
      <c r="M209" s="27"/>
      <c r="N209" s="27">
        <f t="shared" si="83"/>
        <v>0</v>
      </c>
      <c r="O209" s="482">
        <f t="shared" si="59"/>
        <v>0</v>
      </c>
    </row>
    <row r="210" spans="1:15" ht="12.75" x14ac:dyDescent="0.2">
      <c r="A210" s="331">
        <v>2</v>
      </c>
      <c r="B210" s="332">
        <v>3</v>
      </c>
      <c r="C210" s="332">
        <v>6</v>
      </c>
      <c r="D210" s="332"/>
      <c r="E210" s="332"/>
      <c r="F210" s="333" t="s">
        <v>148</v>
      </c>
      <c r="G210" s="32">
        <f>+G211+G215+G219+G223</f>
        <v>0</v>
      </c>
      <c r="H210" s="32">
        <f t="shared" ref="H210:O210" si="90">+H211+H215+H219+H223</f>
        <v>0</v>
      </c>
      <c r="I210" s="32">
        <f t="shared" si="90"/>
        <v>0</v>
      </c>
      <c r="J210" s="32">
        <f t="shared" si="90"/>
        <v>0</v>
      </c>
      <c r="K210" s="32">
        <f t="shared" si="90"/>
        <v>0</v>
      </c>
      <c r="L210" s="32">
        <f t="shared" si="90"/>
        <v>0</v>
      </c>
      <c r="M210" s="32">
        <f t="shared" si="90"/>
        <v>0</v>
      </c>
      <c r="N210" s="32">
        <f t="shared" si="83"/>
        <v>0</v>
      </c>
      <c r="O210" s="480">
        <f t="shared" ref="O210:O273" si="91">IFERROR(N210/$N$18*100,"0.00")/100</f>
        <v>0</v>
      </c>
    </row>
    <row r="211" spans="1:15" ht="12.75" x14ac:dyDescent="0.2">
      <c r="A211" s="334">
        <v>2</v>
      </c>
      <c r="B211" s="335">
        <v>3</v>
      </c>
      <c r="C211" s="335">
        <v>6</v>
      </c>
      <c r="D211" s="335">
        <v>1</v>
      </c>
      <c r="E211" s="335"/>
      <c r="F211" s="343" t="s">
        <v>149</v>
      </c>
      <c r="G211" s="29">
        <f>+G212+G213+G214</f>
        <v>0</v>
      </c>
      <c r="H211" s="29">
        <f t="shared" ref="H211:O211" si="92">+H212+H213+H214</f>
        <v>0</v>
      </c>
      <c r="I211" s="29">
        <f t="shared" si="92"/>
        <v>0</v>
      </c>
      <c r="J211" s="29">
        <f t="shared" si="92"/>
        <v>0</v>
      </c>
      <c r="K211" s="29">
        <f t="shared" si="92"/>
        <v>0</v>
      </c>
      <c r="L211" s="29">
        <f t="shared" si="92"/>
        <v>0</v>
      </c>
      <c r="M211" s="29">
        <f t="shared" si="92"/>
        <v>0</v>
      </c>
      <c r="N211" s="29">
        <f t="shared" si="83"/>
        <v>0</v>
      </c>
      <c r="O211" s="483">
        <f t="shared" si="91"/>
        <v>0</v>
      </c>
    </row>
    <row r="212" spans="1:15" ht="12.75" x14ac:dyDescent="0.2">
      <c r="A212" s="344">
        <v>2</v>
      </c>
      <c r="B212" s="338">
        <v>3</v>
      </c>
      <c r="C212" s="338">
        <v>6</v>
      </c>
      <c r="D212" s="338">
        <v>1</v>
      </c>
      <c r="E212" s="338" t="s">
        <v>202</v>
      </c>
      <c r="F212" s="339" t="s">
        <v>150</v>
      </c>
      <c r="G212" s="27"/>
      <c r="H212" s="27"/>
      <c r="I212" s="27"/>
      <c r="J212" s="27"/>
      <c r="K212" s="27"/>
      <c r="L212" s="27"/>
      <c r="M212" s="27"/>
      <c r="N212" s="27">
        <f t="shared" si="83"/>
        <v>0</v>
      </c>
      <c r="O212" s="482">
        <f t="shared" si="91"/>
        <v>0</v>
      </c>
    </row>
    <row r="213" spans="1:15" ht="12.75" x14ac:dyDescent="0.2">
      <c r="A213" s="344">
        <v>2</v>
      </c>
      <c r="B213" s="338">
        <v>3</v>
      </c>
      <c r="C213" s="338">
        <v>6</v>
      </c>
      <c r="D213" s="338">
        <v>1</v>
      </c>
      <c r="E213" s="338" t="s">
        <v>203</v>
      </c>
      <c r="F213" s="339" t="s">
        <v>151</v>
      </c>
      <c r="G213" s="27"/>
      <c r="H213" s="27"/>
      <c r="I213" s="27"/>
      <c r="J213" s="27"/>
      <c r="K213" s="27"/>
      <c r="L213" s="27"/>
      <c r="M213" s="27"/>
      <c r="N213" s="27">
        <f t="shared" si="83"/>
        <v>0</v>
      </c>
      <c r="O213" s="482">
        <f t="shared" si="91"/>
        <v>0</v>
      </c>
    </row>
    <row r="214" spans="1:15" ht="12.75" x14ac:dyDescent="0.2">
      <c r="A214" s="344">
        <v>2</v>
      </c>
      <c r="B214" s="338">
        <v>3</v>
      </c>
      <c r="C214" s="338">
        <v>6</v>
      </c>
      <c r="D214" s="338">
        <v>1</v>
      </c>
      <c r="E214" s="338" t="s">
        <v>205</v>
      </c>
      <c r="F214" s="339" t="s">
        <v>152</v>
      </c>
      <c r="G214" s="27"/>
      <c r="H214" s="27"/>
      <c r="I214" s="27"/>
      <c r="J214" s="27"/>
      <c r="K214" s="27"/>
      <c r="L214" s="27"/>
      <c r="M214" s="27"/>
      <c r="N214" s="27">
        <f t="shared" si="83"/>
        <v>0</v>
      </c>
      <c r="O214" s="482">
        <f t="shared" si="91"/>
        <v>0</v>
      </c>
    </row>
    <row r="215" spans="1:15" ht="12.75" x14ac:dyDescent="0.2">
      <c r="A215" s="334">
        <v>2</v>
      </c>
      <c r="B215" s="335">
        <v>3</v>
      </c>
      <c r="C215" s="335">
        <v>6</v>
      </c>
      <c r="D215" s="335">
        <v>2</v>
      </c>
      <c r="E215" s="335"/>
      <c r="F215" s="343" t="s">
        <v>153</v>
      </c>
      <c r="G215" s="29">
        <f>+G216+G217+G218</f>
        <v>0</v>
      </c>
      <c r="H215" s="29">
        <f t="shared" ref="H215:O215" si="93">+H216+H217+H218</f>
        <v>0</v>
      </c>
      <c r="I215" s="29">
        <f t="shared" si="93"/>
        <v>0</v>
      </c>
      <c r="J215" s="29">
        <f t="shared" si="93"/>
        <v>0</v>
      </c>
      <c r="K215" s="29">
        <f t="shared" si="93"/>
        <v>0</v>
      </c>
      <c r="L215" s="29">
        <f t="shared" si="93"/>
        <v>0</v>
      </c>
      <c r="M215" s="29">
        <f t="shared" si="93"/>
        <v>0</v>
      </c>
      <c r="N215" s="29">
        <f t="shared" si="83"/>
        <v>0</v>
      </c>
      <c r="O215" s="483">
        <f t="shared" si="91"/>
        <v>0</v>
      </c>
    </row>
    <row r="216" spans="1:15" ht="12.75" x14ac:dyDescent="0.2">
      <c r="A216" s="344">
        <v>2</v>
      </c>
      <c r="B216" s="338">
        <v>3</v>
      </c>
      <c r="C216" s="338">
        <v>6</v>
      </c>
      <c r="D216" s="338">
        <v>2</v>
      </c>
      <c r="E216" s="338" t="s">
        <v>202</v>
      </c>
      <c r="F216" s="339" t="s">
        <v>154</v>
      </c>
      <c r="G216" s="27"/>
      <c r="H216" s="27"/>
      <c r="I216" s="27"/>
      <c r="J216" s="27"/>
      <c r="K216" s="27"/>
      <c r="L216" s="27"/>
      <c r="M216" s="27"/>
      <c r="N216" s="27">
        <f t="shared" si="83"/>
        <v>0</v>
      </c>
      <c r="O216" s="482">
        <f t="shared" si="91"/>
        <v>0</v>
      </c>
    </row>
    <row r="217" spans="1:15" ht="12.75" x14ac:dyDescent="0.2">
      <c r="A217" s="344">
        <v>2</v>
      </c>
      <c r="B217" s="338">
        <v>3</v>
      </c>
      <c r="C217" s="338">
        <v>6</v>
      </c>
      <c r="D217" s="338">
        <v>2</v>
      </c>
      <c r="E217" s="338" t="s">
        <v>203</v>
      </c>
      <c r="F217" s="339" t="s">
        <v>155</v>
      </c>
      <c r="G217" s="27"/>
      <c r="H217" s="27"/>
      <c r="I217" s="27"/>
      <c r="J217" s="27"/>
      <c r="K217" s="27"/>
      <c r="L217" s="27"/>
      <c r="M217" s="27"/>
      <c r="N217" s="27">
        <f t="shared" si="83"/>
        <v>0</v>
      </c>
      <c r="O217" s="482">
        <f t="shared" si="91"/>
        <v>0</v>
      </c>
    </row>
    <row r="218" spans="1:15" ht="12.75" x14ac:dyDescent="0.2">
      <c r="A218" s="344">
        <v>2</v>
      </c>
      <c r="B218" s="338">
        <v>3</v>
      </c>
      <c r="C218" s="338">
        <v>6</v>
      </c>
      <c r="D218" s="338">
        <v>2</v>
      </c>
      <c r="E218" s="338" t="s">
        <v>204</v>
      </c>
      <c r="F218" s="339" t="s">
        <v>156</v>
      </c>
      <c r="G218" s="27"/>
      <c r="H218" s="27"/>
      <c r="I218" s="27"/>
      <c r="J218" s="27"/>
      <c r="K218" s="27"/>
      <c r="L218" s="27"/>
      <c r="M218" s="27"/>
      <c r="N218" s="27">
        <f t="shared" si="83"/>
        <v>0</v>
      </c>
      <c r="O218" s="482">
        <f t="shared" si="91"/>
        <v>0</v>
      </c>
    </row>
    <row r="219" spans="1:15" ht="12.75" x14ac:dyDescent="0.2">
      <c r="A219" s="334">
        <v>2</v>
      </c>
      <c r="B219" s="335">
        <v>3</v>
      </c>
      <c r="C219" s="335">
        <v>6</v>
      </c>
      <c r="D219" s="335">
        <v>3</v>
      </c>
      <c r="E219" s="335"/>
      <c r="F219" s="343" t="s">
        <v>157</v>
      </c>
      <c r="G219" s="29">
        <f>+G220+G221+G222</f>
        <v>0</v>
      </c>
      <c r="H219" s="29">
        <f t="shared" ref="H219:O219" si="94">+H220+H221+H222</f>
        <v>0</v>
      </c>
      <c r="I219" s="29">
        <f t="shared" si="94"/>
        <v>0</v>
      </c>
      <c r="J219" s="29">
        <f t="shared" si="94"/>
        <v>0</v>
      </c>
      <c r="K219" s="29">
        <f t="shared" si="94"/>
        <v>0</v>
      </c>
      <c r="L219" s="29">
        <f t="shared" si="94"/>
        <v>0</v>
      </c>
      <c r="M219" s="29">
        <f t="shared" si="94"/>
        <v>0</v>
      </c>
      <c r="N219" s="29">
        <f t="shared" si="83"/>
        <v>0</v>
      </c>
      <c r="O219" s="483">
        <f t="shared" si="91"/>
        <v>0</v>
      </c>
    </row>
    <row r="220" spans="1:15" ht="12.75" x14ac:dyDescent="0.2">
      <c r="A220" s="344">
        <v>2</v>
      </c>
      <c r="B220" s="338">
        <v>3</v>
      </c>
      <c r="C220" s="338">
        <v>6</v>
      </c>
      <c r="D220" s="338">
        <v>3</v>
      </c>
      <c r="E220" s="338" t="s">
        <v>205</v>
      </c>
      <c r="F220" s="349" t="s">
        <v>158</v>
      </c>
      <c r="G220" s="27"/>
      <c r="H220" s="27"/>
      <c r="I220" s="27"/>
      <c r="J220" s="27"/>
      <c r="K220" s="27"/>
      <c r="L220" s="27"/>
      <c r="M220" s="27"/>
      <c r="N220" s="27">
        <f t="shared" si="83"/>
        <v>0</v>
      </c>
      <c r="O220" s="482">
        <f t="shared" si="91"/>
        <v>0</v>
      </c>
    </row>
    <row r="221" spans="1:15" ht="12.75" x14ac:dyDescent="0.2">
      <c r="A221" s="344">
        <v>2</v>
      </c>
      <c r="B221" s="338">
        <v>3</v>
      </c>
      <c r="C221" s="338">
        <v>6</v>
      </c>
      <c r="D221" s="338">
        <v>3</v>
      </c>
      <c r="E221" s="338" t="s">
        <v>208</v>
      </c>
      <c r="F221" s="339" t="s">
        <v>159</v>
      </c>
      <c r="G221" s="27"/>
      <c r="H221" s="27"/>
      <c r="I221" s="27"/>
      <c r="J221" s="27"/>
      <c r="K221" s="27"/>
      <c r="L221" s="27"/>
      <c r="M221" s="27"/>
      <c r="N221" s="27">
        <f t="shared" si="83"/>
        <v>0</v>
      </c>
      <c r="O221" s="482">
        <f t="shared" si="91"/>
        <v>0</v>
      </c>
    </row>
    <row r="222" spans="1:15" ht="12.75" x14ac:dyDescent="0.2">
      <c r="A222" s="344">
        <v>2</v>
      </c>
      <c r="B222" s="338">
        <v>3</v>
      </c>
      <c r="C222" s="338">
        <v>6</v>
      </c>
      <c r="D222" s="338">
        <v>3</v>
      </c>
      <c r="E222" s="338" t="s">
        <v>233</v>
      </c>
      <c r="F222" s="339" t="s">
        <v>1010</v>
      </c>
      <c r="G222" s="27"/>
      <c r="H222" s="27"/>
      <c r="I222" s="27"/>
      <c r="J222" s="27"/>
      <c r="K222" s="27"/>
      <c r="L222" s="27"/>
      <c r="M222" s="27"/>
      <c r="N222" s="27">
        <f t="shared" si="83"/>
        <v>0</v>
      </c>
      <c r="O222" s="482">
        <f t="shared" si="91"/>
        <v>0</v>
      </c>
    </row>
    <row r="223" spans="1:15" ht="12.75" x14ac:dyDescent="0.2">
      <c r="A223" s="334">
        <v>2</v>
      </c>
      <c r="B223" s="335">
        <v>3</v>
      </c>
      <c r="C223" s="335">
        <v>6</v>
      </c>
      <c r="D223" s="335">
        <v>4</v>
      </c>
      <c r="E223" s="335"/>
      <c r="F223" s="343" t="s">
        <v>31</v>
      </c>
      <c r="G223" s="29">
        <f>+G224</f>
        <v>0</v>
      </c>
      <c r="H223" s="29">
        <f t="shared" ref="H223:O223" si="95">+H224</f>
        <v>0</v>
      </c>
      <c r="I223" s="29">
        <f t="shared" si="95"/>
        <v>0</v>
      </c>
      <c r="J223" s="29">
        <f t="shared" si="95"/>
        <v>0</v>
      </c>
      <c r="K223" s="29">
        <f t="shared" si="95"/>
        <v>0</v>
      </c>
      <c r="L223" s="29">
        <f t="shared" si="95"/>
        <v>0</v>
      </c>
      <c r="M223" s="29">
        <f t="shared" si="95"/>
        <v>0</v>
      </c>
      <c r="N223" s="29">
        <f t="shared" si="83"/>
        <v>0</v>
      </c>
      <c r="O223" s="483">
        <f t="shared" si="91"/>
        <v>0</v>
      </c>
    </row>
    <row r="224" spans="1:15" ht="12.75" x14ac:dyDescent="0.2">
      <c r="A224" s="344">
        <v>2</v>
      </c>
      <c r="B224" s="338">
        <v>3</v>
      </c>
      <c r="C224" s="338">
        <v>6</v>
      </c>
      <c r="D224" s="338">
        <v>4</v>
      </c>
      <c r="E224" s="338" t="s">
        <v>205</v>
      </c>
      <c r="F224" s="339" t="s">
        <v>160</v>
      </c>
      <c r="G224" s="27"/>
      <c r="H224" s="27"/>
      <c r="I224" s="27"/>
      <c r="J224" s="27"/>
      <c r="K224" s="27"/>
      <c r="L224" s="27"/>
      <c r="M224" s="27"/>
      <c r="N224" s="27">
        <f t="shared" si="83"/>
        <v>0</v>
      </c>
      <c r="O224" s="482">
        <f t="shared" si="91"/>
        <v>0</v>
      </c>
    </row>
    <row r="225" spans="1:15" ht="12.75" x14ac:dyDescent="0.2">
      <c r="A225" s="331">
        <v>2</v>
      </c>
      <c r="B225" s="332">
        <v>3</v>
      </c>
      <c r="C225" s="332">
        <v>7</v>
      </c>
      <c r="D225" s="332"/>
      <c r="E225" s="332"/>
      <c r="F225" s="333" t="s">
        <v>252</v>
      </c>
      <c r="G225" s="32">
        <f>+G226+G233</f>
        <v>0</v>
      </c>
      <c r="H225" s="32">
        <f t="shared" ref="H225:O225" si="96">+H226+H233</f>
        <v>3750000</v>
      </c>
      <c r="I225" s="32">
        <f t="shared" si="96"/>
        <v>41250000</v>
      </c>
      <c r="J225" s="32">
        <f t="shared" si="96"/>
        <v>30000000</v>
      </c>
      <c r="K225" s="32">
        <f t="shared" si="96"/>
        <v>0</v>
      </c>
      <c r="L225" s="32">
        <f t="shared" si="96"/>
        <v>0</v>
      </c>
      <c r="M225" s="32">
        <f t="shared" si="96"/>
        <v>5871497.5099999998</v>
      </c>
      <c r="N225" s="32">
        <f t="shared" si="83"/>
        <v>80871497.510000005</v>
      </c>
      <c r="O225" s="480">
        <f t="shared" si="91"/>
        <v>4.6394638368066982E-2</v>
      </c>
    </row>
    <row r="226" spans="1:15" ht="12.75" x14ac:dyDescent="0.2">
      <c r="A226" s="334">
        <v>2</v>
      </c>
      <c r="B226" s="335">
        <v>3</v>
      </c>
      <c r="C226" s="335">
        <v>7</v>
      </c>
      <c r="D226" s="335">
        <v>1</v>
      </c>
      <c r="E226" s="335"/>
      <c r="F226" s="343" t="s">
        <v>161</v>
      </c>
      <c r="G226" s="29">
        <f>+G227+G228+G229+G230+G231+G232</f>
        <v>0</v>
      </c>
      <c r="H226" s="29">
        <f t="shared" ref="H226:O226" si="97">+H227+H228+H229+H230+H231+H232</f>
        <v>0</v>
      </c>
      <c r="I226" s="29">
        <f t="shared" si="97"/>
        <v>0</v>
      </c>
      <c r="J226" s="29">
        <f t="shared" si="97"/>
        <v>0</v>
      </c>
      <c r="K226" s="29">
        <f t="shared" si="97"/>
        <v>0</v>
      </c>
      <c r="L226" s="29">
        <f t="shared" si="97"/>
        <v>0</v>
      </c>
      <c r="M226" s="29">
        <f t="shared" si="97"/>
        <v>5866652.54</v>
      </c>
      <c r="N226" s="29">
        <f t="shared" si="83"/>
        <v>5866652.54</v>
      </c>
      <c r="O226" s="483">
        <f t="shared" si="91"/>
        <v>3.3656013726065304E-3</v>
      </c>
    </row>
    <row r="227" spans="1:15" ht="12.75" x14ac:dyDescent="0.2">
      <c r="A227" s="344">
        <v>2</v>
      </c>
      <c r="B227" s="338">
        <v>3</v>
      </c>
      <c r="C227" s="338">
        <v>7</v>
      </c>
      <c r="D227" s="338">
        <v>1</v>
      </c>
      <c r="E227" s="338" t="s">
        <v>202</v>
      </c>
      <c r="F227" s="339" t="s">
        <v>162</v>
      </c>
      <c r="G227" s="27"/>
      <c r="H227" s="27"/>
      <c r="I227" s="27"/>
      <c r="J227" s="27"/>
      <c r="K227" s="27"/>
      <c r="L227" s="27"/>
      <c r="M227" s="27">
        <v>1200000</v>
      </c>
      <c r="N227" s="27">
        <f t="shared" si="83"/>
        <v>1200000</v>
      </c>
      <c r="O227" s="482">
        <f t="shared" si="91"/>
        <v>6.8842012026296628E-4</v>
      </c>
    </row>
    <row r="228" spans="1:15" ht="12.75" x14ac:dyDescent="0.2">
      <c r="A228" s="344">
        <v>2</v>
      </c>
      <c r="B228" s="338">
        <v>3</v>
      </c>
      <c r="C228" s="338">
        <v>7</v>
      </c>
      <c r="D228" s="338">
        <v>1</v>
      </c>
      <c r="E228" s="338" t="s">
        <v>203</v>
      </c>
      <c r="F228" s="339" t="s">
        <v>163</v>
      </c>
      <c r="G228" s="27"/>
      <c r="H228" s="27"/>
      <c r="I228" s="27"/>
      <c r="J228" s="27"/>
      <c r="K228" s="27"/>
      <c r="L228" s="27"/>
      <c r="M228" s="27">
        <v>2804220</v>
      </c>
      <c r="N228" s="27">
        <f t="shared" si="83"/>
        <v>2804220</v>
      </c>
      <c r="O228" s="482">
        <f t="shared" si="91"/>
        <v>1.6087345580365127E-3</v>
      </c>
    </row>
    <row r="229" spans="1:15" ht="12.75" x14ac:dyDescent="0.2">
      <c r="A229" s="344">
        <v>2</v>
      </c>
      <c r="B229" s="338">
        <v>3</v>
      </c>
      <c r="C229" s="338">
        <v>7</v>
      </c>
      <c r="D229" s="338">
        <v>1</v>
      </c>
      <c r="E229" s="338" t="s">
        <v>204</v>
      </c>
      <c r="F229" s="339" t="s">
        <v>164</v>
      </c>
      <c r="G229" s="27"/>
      <c r="H229" s="27"/>
      <c r="I229" s="27"/>
      <c r="J229" s="27"/>
      <c r="K229" s="27"/>
      <c r="L229" s="27"/>
      <c r="M229" s="27"/>
      <c r="N229" s="27">
        <f t="shared" si="83"/>
        <v>0</v>
      </c>
      <c r="O229" s="482">
        <f t="shared" si="91"/>
        <v>0</v>
      </c>
    </row>
    <row r="230" spans="1:15" ht="12.75" x14ac:dyDescent="0.2">
      <c r="A230" s="344">
        <v>2</v>
      </c>
      <c r="B230" s="338">
        <v>3</v>
      </c>
      <c r="C230" s="338">
        <v>7</v>
      </c>
      <c r="D230" s="338">
        <v>1</v>
      </c>
      <c r="E230" s="338" t="s">
        <v>205</v>
      </c>
      <c r="F230" s="339" t="s">
        <v>165</v>
      </c>
      <c r="G230" s="27"/>
      <c r="H230" s="27"/>
      <c r="I230" s="27"/>
      <c r="J230" s="27"/>
      <c r="K230" s="27"/>
      <c r="L230" s="27"/>
      <c r="M230" s="27">
        <v>1862432.54</v>
      </c>
      <c r="N230" s="27">
        <f t="shared" si="83"/>
        <v>1862432.54</v>
      </c>
      <c r="O230" s="482">
        <f t="shared" si="91"/>
        <v>1.0684466943070515E-3</v>
      </c>
    </row>
    <row r="231" spans="1:15" ht="12.75" x14ac:dyDescent="0.2">
      <c r="A231" s="344">
        <v>2</v>
      </c>
      <c r="B231" s="338">
        <v>3</v>
      </c>
      <c r="C231" s="338">
        <v>7</v>
      </c>
      <c r="D231" s="338">
        <v>1</v>
      </c>
      <c r="E231" s="338" t="s">
        <v>208</v>
      </c>
      <c r="F231" s="339" t="s">
        <v>166</v>
      </c>
      <c r="G231" s="27"/>
      <c r="H231" s="27"/>
      <c r="I231" s="27"/>
      <c r="J231" s="27"/>
      <c r="K231" s="27"/>
      <c r="L231" s="27"/>
      <c r="M231" s="27"/>
      <c r="N231" s="27">
        <f t="shared" si="83"/>
        <v>0</v>
      </c>
      <c r="O231" s="482">
        <f t="shared" si="91"/>
        <v>0</v>
      </c>
    </row>
    <row r="232" spans="1:15" ht="12.75" x14ac:dyDescent="0.2">
      <c r="A232" s="344">
        <v>2</v>
      </c>
      <c r="B232" s="338">
        <v>3</v>
      </c>
      <c r="C232" s="338">
        <v>7</v>
      </c>
      <c r="D232" s="338">
        <v>1</v>
      </c>
      <c r="E232" s="338" t="s">
        <v>233</v>
      </c>
      <c r="F232" s="339" t="s">
        <v>167</v>
      </c>
      <c r="G232" s="27"/>
      <c r="H232" s="27"/>
      <c r="I232" s="27"/>
      <c r="J232" s="27"/>
      <c r="K232" s="27"/>
      <c r="L232" s="27"/>
      <c r="M232" s="27"/>
      <c r="N232" s="27">
        <f t="shared" si="83"/>
        <v>0</v>
      </c>
      <c r="O232" s="482">
        <f t="shared" si="91"/>
        <v>0</v>
      </c>
    </row>
    <row r="233" spans="1:15" ht="12.75" x14ac:dyDescent="0.2">
      <c r="A233" s="334">
        <v>2</v>
      </c>
      <c r="B233" s="335">
        <v>3</v>
      </c>
      <c r="C233" s="335">
        <v>7</v>
      </c>
      <c r="D233" s="335">
        <v>2</v>
      </c>
      <c r="E233" s="335"/>
      <c r="F233" s="343" t="s">
        <v>168</v>
      </c>
      <c r="G233" s="29">
        <f>+G234+G235+G236+G237</f>
        <v>0</v>
      </c>
      <c r="H233" s="29">
        <f t="shared" ref="H233:O233" si="98">+H234+H235+H236+H237</f>
        <v>3750000</v>
      </c>
      <c r="I233" s="29">
        <f t="shared" si="98"/>
        <v>41250000</v>
      </c>
      <c r="J233" s="29">
        <f t="shared" si="98"/>
        <v>30000000</v>
      </c>
      <c r="K233" s="29">
        <f t="shared" si="98"/>
        <v>0</v>
      </c>
      <c r="L233" s="29">
        <f t="shared" si="98"/>
        <v>0</v>
      </c>
      <c r="M233" s="29">
        <f t="shared" si="98"/>
        <v>4844.97</v>
      </c>
      <c r="N233" s="29">
        <f t="shared" si="83"/>
        <v>75004844.969999999</v>
      </c>
      <c r="O233" s="483">
        <f t="shared" si="91"/>
        <v>4.302903699546045E-2</v>
      </c>
    </row>
    <row r="234" spans="1:15" ht="12.75" x14ac:dyDescent="0.2">
      <c r="A234" s="337">
        <v>2</v>
      </c>
      <c r="B234" s="338">
        <v>3</v>
      </c>
      <c r="C234" s="338">
        <v>7</v>
      </c>
      <c r="D234" s="338">
        <v>2</v>
      </c>
      <c r="E234" s="338" t="s">
        <v>203</v>
      </c>
      <c r="F234" s="339" t="s">
        <v>169</v>
      </c>
      <c r="G234" s="27"/>
      <c r="H234" s="27"/>
      <c r="I234" s="27"/>
      <c r="J234" s="27"/>
      <c r="K234" s="27"/>
      <c r="L234" s="27"/>
      <c r="M234" s="27"/>
      <c r="N234" s="27">
        <f t="shared" si="83"/>
        <v>0</v>
      </c>
      <c r="O234" s="482">
        <f t="shared" si="91"/>
        <v>0</v>
      </c>
    </row>
    <row r="235" spans="1:15" ht="12.75" x14ac:dyDescent="0.2">
      <c r="A235" s="337">
        <v>2</v>
      </c>
      <c r="B235" s="338">
        <v>3</v>
      </c>
      <c r="C235" s="338">
        <v>7</v>
      </c>
      <c r="D235" s="338">
        <v>2</v>
      </c>
      <c r="E235" s="338" t="s">
        <v>204</v>
      </c>
      <c r="F235" s="339" t="s">
        <v>170</v>
      </c>
      <c r="G235" s="27"/>
      <c r="H235" s="27">
        <f>75000000*0.05</f>
        <v>3750000</v>
      </c>
      <c r="I235" s="27">
        <f>75000000*0.55</f>
        <v>41250000</v>
      </c>
      <c r="J235" s="27">
        <v>30000000</v>
      </c>
      <c r="K235" s="27"/>
      <c r="L235" s="27"/>
      <c r="M235" s="27"/>
      <c r="N235" s="27">
        <f t="shared" si="83"/>
        <v>75000000</v>
      </c>
      <c r="O235" s="482">
        <f t="shared" si="91"/>
        <v>4.3026257516435393E-2</v>
      </c>
    </row>
    <row r="236" spans="1:15" ht="12.75" x14ac:dyDescent="0.2">
      <c r="A236" s="337">
        <v>2</v>
      </c>
      <c r="B236" s="338">
        <v>3</v>
      </c>
      <c r="C236" s="338">
        <v>7</v>
      </c>
      <c r="D236" s="338">
        <v>2</v>
      </c>
      <c r="E236" s="338" t="s">
        <v>208</v>
      </c>
      <c r="F236" s="339" t="s">
        <v>171</v>
      </c>
      <c r="G236" s="27"/>
      <c r="H236" s="27"/>
      <c r="I236" s="27"/>
      <c r="J236" s="27"/>
      <c r="K236" s="27"/>
      <c r="L236" s="27"/>
      <c r="M236" s="27"/>
      <c r="N236" s="27">
        <f t="shared" si="83"/>
        <v>0</v>
      </c>
      <c r="O236" s="482">
        <f t="shared" si="91"/>
        <v>0</v>
      </c>
    </row>
    <row r="237" spans="1:15" ht="12.75" x14ac:dyDescent="0.2">
      <c r="A237" s="349">
        <v>2</v>
      </c>
      <c r="B237" s="350">
        <v>3</v>
      </c>
      <c r="C237" s="350">
        <v>7</v>
      </c>
      <c r="D237" s="350">
        <v>2</v>
      </c>
      <c r="E237" s="350" t="s">
        <v>233</v>
      </c>
      <c r="F237" s="340" t="s">
        <v>253</v>
      </c>
      <c r="G237" s="27"/>
      <c r="H237" s="27"/>
      <c r="I237" s="27"/>
      <c r="J237" s="27"/>
      <c r="K237" s="27"/>
      <c r="L237" s="27"/>
      <c r="M237" s="27">
        <v>4844.97</v>
      </c>
      <c r="N237" s="27">
        <f t="shared" si="83"/>
        <v>4844.97</v>
      </c>
      <c r="O237" s="482">
        <f t="shared" si="91"/>
        <v>2.7794790250587204E-6</v>
      </c>
    </row>
    <row r="238" spans="1:15" ht="12.75" x14ac:dyDescent="0.2">
      <c r="A238" s="331">
        <v>2</v>
      </c>
      <c r="B238" s="332">
        <v>3</v>
      </c>
      <c r="C238" s="332">
        <v>9</v>
      </c>
      <c r="D238" s="332"/>
      <c r="E238" s="332"/>
      <c r="F238" s="333" t="s">
        <v>32</v>
      </c>
      <c r="G238" s="32">
        <f>+G239+G242+G245+G247+G249+G251+G253</f>
        <v>2581786.6828000001</v>
      </c>
      <c r="H238" s="32">
        <f t="shared" ref="H238:O238" si="99">+H239+H242+H245+H247+H249+H251+H253</f>
        <v>10327146.73</v>
      </c>
      <c r="I238" s="32">
        <f t="shared" si="99"/>
        <v>109725934.01899999</v>
      </c>
      <c r="J238" s="32">
        <f t="shared" si="99"/>
        <v>2581786.6828000001</v>
      </c>
      <c r="K238" s="32">
        <f t="shared" si="99"/>
        <v>3872680.0241999999</v>
      </c>
      <c r="L238" s="32">
        <f t="shared" si="99"/>
        <v>0</v>
      </c>
      <c r="M238" s="32">
        <f t="shared" si="99"/>
        <v>12400351.960000001</v>
      </c>
      <c r="N238" s="32">
        <f t="shared" si="83"/>
        <v>141489686.0988</v>
      </c>
      <c r="O238" s="480">
        <f t="shared" si="91"/>
        <v>8.1170288933421042E-2</v>
      </c>
    </row>
    <row r="239" spans="1:15" ht="12.75" x14ac:dyDescent="0.2">
      <c r="A239" s="334">
        <v>2</v>
      </c>
      <c r="B239" s="335">
        <v>3</v>
      </c>
      <c r="C239" s="335">
        <v>9</v>
      </c>
      <c r="D239" s="335">
        <v>1</v>
      </c>
      <c r="E239" s="335"/>
      <c r="F239" s="343" t="s">
        <v>1011</v>
      </c>
      <c r="G239" s="29">
        <f>+G240+G241</f>
        <v>0</v>
      </c>
      <c r="H239" s="29">
        <f t="shared" ref="H239:O239" si="100">+H240+H241</f>
        <v>0</v>
      </c>
      <c r="I239" s="29">
        <f t="shared" si="100"/>
        <v>0</v>
      </c>
      <c r="J239" s="29">
        <f t="shared" si="100"/>
        <v>0</v>
      </c>
      <c r="K239" s="29">
        <f t="shared" si="100"/>
        <v>0</v>
      </c>
      <c r="L239" s="29">
        <f t="shared" si="100"/>
        <v>0</v>
      </c>
      <c r="M239" s="29">
        <f t="shared" si="100"/>
        <v>9600000</v>
      </c>
      <c r="N239" s="29">
        <f t="shared" si="83"/>
        <v>9600000</v>
      </c>
      <c r="O239" s="483">
        <f t="shared" si="91"/>
        <v>5.5073609621037302E-3</v>
      </c>
    </row>
    <row r="240" spans="1:15" ht="12.75" x14ac:dyDescent="0.2">
      <c r="A240" s="344">
        <v>2</v>
      </c>
      <c r="B240" s="338">
        <v>3</v>
      </c>
      <c r="C240" s="338">
        <v>9</v>
      </c>
      <c r="D240" s="338">
        <v>1</v>
      </c>
      <c r="E240" s="338" t="s">
        <v>202</v>
      </c>
      <c r="F240" s="339" t="s">
        <v>172</v>
      </c>
      <c r="G240" s="355"/>
      <c r="H240" s="355"/>
      <c r="I240" s="355"/>
      <c r="J240" s="355"/>
      <c r="K240" s="355"/>
      <c r="L240" s="355"/>
      <c r="M240" s="355">
        <v>9600000</v>
      </c>
      <c r="N240" s="355">
        <f t="shared" si="83"/>
        <v>9600000</v>
      </c>
      <c r="O240" s="485">
        <f t="shared" si="91"/>
        <v>5.5073609621037302E-3</v>
      </c>
    </row>
    <row r="241" spans="1:16" ht="12.75" x14ac:dyDescent="0.2">
      <c r="A241" s="344">
        <v>2</v>
      </c>
      <c r="B241" s="338">
        <v>3</v>
      </c>
      <c r="C241" s="338">
        <v>9</v>
      </c>
      <c r="D241" s="338">
        <v>1</v>
      </c>
      <c r="E241" s="338" t="s">
        <v>203</v>
      </c>
      <c r="F241" s="339" t="s">
        <v>1012</v>
      </c>
      <c r="G241" s="355"/>
      <c r="H241" s="355"/>
      <c r="I241" s="355"/>
      <c r="J241" s="355"/>
      <c r="K241" s="355"/>
      <c r="L241" s="355"/>
      <c r="M241" s="355"/>
      <c r="N241" s="355">
        <f t="shared" si="83"/>
        <v>0</v>
      </c>
      <c r="O241" s="485">
        <f t="shared" si="91"/>
        <v>0</v>
      </c>
    </row>
    <row r="242" spans="1:16" ht="12.75" x14ac:dyDescent="0.2">
      <c r="A242" s="334">
        <v>2</v>
      </c>
      <c r="B242" s="335">
        <v>3</v>
      </c>
      <c r="C242" s="335">
        <v>9</v>
      </c>
      <c r="D242" s="335">
        <v>2</v>
      </c>
      <c r="E242" s="335"/>
      <c r="F242" s="343" t="s">
        <v>1013</v>
      </c>
      <c r="G242" s="29">
        <f>+G243+G244</f>
        <v>0</v>
      </c>
      <c r="H242" s="29">
        <f t="shared" ref="H242:O242" si="101">+H243+H244</f>
        <v>0</v>
      </c>
      <c r="I242" s="29">
        <f t="shared" si="101"/>
        <v>0</v>
      </c>
      <c r="J242" s="29">
        <f t="shared" si="101"/>
        <v>0</v>
      </c>
      <c r="K242" s="29">
        <f t="shared" si="101"/>
        <v>0</v>
      </c>
      <c r="L242" s="29">
        <f t="shared" si="101"/>
        <v>0</v>
      </c>
      <c r="M242" s="29">
        <f t="shared" si="101"/>
        <v>220416.96</v>
      </c>
      <c r="N242" s="29">
        <f t="shared" si="83"/>
        <v>220416.96</v>
      </c>
      <c r="O242" s="483">
        <f t="shared" si="91"/>
        <v>1.2644955842599785E-4</v>
      </c>
    </row>
    <row r="243" spans="1:16" ht="12.75" x14ac:dyDescent="0.2">
      <c r="A243" s="344">
        <v>2</v>
      </c>
      <c r="B243" s="338">
        <v>3</v>
      </c>
      <c r="C243" s="338">
        <v>9</v>
      </c>
      <c r="D243" s="338">
        <v>2</v>
      </c>
      <c r="E243" s="338" t="s">
        <v>202</v>
      </c>
      <c r="F243" s="339" t="s">
        <v>1014</v>
      </c>
      <c r="G243" s="27"/>
      <c r="H243" s="27"/>
      <c r="I243" s="27"/>
      <c r="J243" s="27"/>
      <c r="K243" s="27"/>
      <c r="L243" s="27"/>
      <c r="M243" s="27">
        <v>220416.96</v>
      </c>
      <c r="N243" s="27">
        <f t="shared" si="83"/>
        <v>220416.96</v>
      </c>
      <c r="O243" s="482">
        <f t="shared" si="91"/>
        <v>1.2644955842599785E-4</v>
      </c>
    </row>
    <row r="244" spans="1:16" ht="12.75" x14ac:dyDescent="0.2">
      <c r="A244" s="344">
        <v>2</v>
      </c>
      <c r="B244" s="338">
        <v>3</v>
      </c>
      <c r="C244" s="338">
        <v>9</v>
      </c>
      <c r="D244" s="338">
        <v>2</v>
      </c>
      <c r="E244" s="338" t="s">
        <v>203</v>
      </c>
      <c r="F244" s="339" t="s">
        <v>1015</v>
      </c>
      <c r="G244" s="27"/>
      <c r="H244" s="27"/>
      <c r="I244" s="27"/>
      <c r="J244" s="27"/>
      <c r="K244" s="27"/>
      <c r="L244" s="27"/>
      <c r="M244" s="27"/>
      <c r="N244" s="27">
        <f t="shared" si="83"/>
        <v>0</v>
      </c>
      <c r="O244" s="482">
        <f t="shared" si="91"/>
        <v>0</v>
      </c>
    </row>
    <row r="245" spans="1:16" ht="12.75" x14ac:dyDescent="0.2">
      <c r="A245" s="334">
        <v>2</v>
      </c>
      <c r="B245" s="335">
        <v>3</v>
      </c>
      <c r="C245" s="335">
        <v>9</v>
      </c>
      <c r="D245" s="335">
        <v>3</v>
      </c>
      <c r="E245" s="335"/>
      <c r="F245" s="343" t="s">
        <v>1016</v>
      </c>
      <c r="G245" s="29">
        <f>+G246</f>
        <v>2581786.6828000001</v>
      </c>
      <c r="H245" s="29">
        <f t="shared" ref="H245:O245" si="102">+H246</f>
        <v>10327146.73</v>
      </c>
      <c r="I245" s="29">
        <f t="shared" si="102"/>
        <v>109725934.01899999</v>
      </c>
      <c r="J245" s="29">
        <f t="shared" si="102"/>
        <v>2581786.6828000001</v>
      </c>
      <c r="K245" s="29">
        <f t="shared" si="102"/>
        <v>3872680.0241999999</v>
      </c>
      <c r="L245" s="29">
        <f t="shared" si="102"/>
        <v>0</v>
      </c>
      <c r="M245" s="29">
        <f t="shared" si="102"/>
        <v>0</v>
      </c>
      <c r="N245" s="29">
        <f t="shared" si="83"/>
        <v>129089334.1388</v>
      </c>
      <c r="O245" s="483">
        <f t="shared" si="91"/>
        <v>7.4056412443749109E-2</v>
      </c>
    </row>
    <row r="246" spans="1:16" ht="12.75" x14ac:dyDescent="0.2">
      <c r="A246" s="344">
        <v>2</v>
      </c>
      <c r="B246" s="338">
        <v>3</v>
      </c>
      <c r="C246" s="338">
        <v>9</v>
      </c>
      <c r="D246" s="338">
        <v>3</v>
      </c>
      <c r="E246" s="338" t="s">
        <v>202</v>
      </c>
      <c r="F246" s="339" t="s">
        <v>1016</v>
      </c>
      <c r="G246" s="27">
        <f>129089334.14*0.02</f>
        <v>2581786.6828000001</v>
      </c>
      <c r="H246" s="27">
        <v>10327146.73</v>
      </c>
      <c r="I246" s="27">
        <f>129089334.14*0.85</f>
        <v>109725934.01899999</v>
      </c>
      <c r="J246" s="27">
        <f>129089334.14*0.02</f>
        <v>2581786.6828000001</v>
      </c>
      <c r="K246" s="27">
        <f>129089334.14*0.03</f>
        <v>3872680.0241999999</v>
      </c>
      <c r="L246" s="27"/>
      <c r="M246" s="27"/>
      <c r="N246" s="27">
        <f t="shared" si="83"/>
        <v>129089334.1388</v>
      </c>
      <c r="O246" s="482">
        <f t="shared" si="91"/>
        <v>7.4056412443749109E-2</v>
      </c>
      <c r="P246" s="477"/>
    </row>
    <row r="247" spans="1:16" ht="12.75" x14ac:dyDescent="0.2">
      <c r="A247" s="334">
        <v>2</v>
      </c>
      <c r="B247" s="335">
        <v>3</v>
      </c>
      <c r="C247" s="335">
        <v>9</v>
      </c>
      <c r="D247" s="335">
        <v>5</v>
      </c>
      <c r="E247" s="335"/>
      <c r="F247" s="343" t="s">
        <v>173</v>
      </c>
      <c r="G247" s="29">
        <f>+G248</f>
        <v>0</v>
      </c>
      <c r="H247" s="29">
        <f t="shared" ref="H247:O247" si="103">+H248</f>
        <v>0</v>
      </c>
      <c r="I247" s="29">
        <f t="shared" si="103"/>
        <v>0</v>
      </c>
      <c r="J247" s="29">
        <f t="shared" si="103"/>
        <v>0</v>
      </c>
      <c r="K247" s="29">
        <f t="shared" si="103"/>
        <v>0</v>
      </c>
      <c r="L247" s="29">
        <f t="shared" si="103"/>
        <v>0</v>
      </c>
      <c r="M247" s="29">
        <f t="shared" si="103"/>
        <v>0</v>
      </c>
      <c r="N247" s="29">
        <f t="shared" si="83"/>
        <v>0</v>
      </c>
      <c r="O247" s="483">
        <f t="shared" si="91"/>
        <v>0</v>
      </c>
    </row>
    <row r="248" spans="1:16" ht="12.75" x14ac:dyDescent="0.2">
      <c r="A248" s="344">
        <v>2</v>
      </c>
      <c r="B248" s="338">
        <v>3</v>
      </c>
      <c r="C248" s="338">
        <v>9</v>
      </c>
      <c r="D248" s="338">
        <v>5</v>
      </c>
      <c r="E248" s="338" t="s">
        <v>202</v>
      </c>
      <c r="F248" s="339" t="s">
        <v>173</v>
      </c>
      <c r="G248" s="27"/>
      <c r="H248" s="27"/>
      <c r="I248" s="27"/>
      <c r="J248" s="27"/>
      <c r="K248" s="27"/>
      <c r="L248" s="27"/>
      <c r="M248" s="27"/>
      <c r="N248" s="27">
        <f t="shared" si="83"/>
        <v>0</v>
      </c>
      <c r="O248" s="482">
        <f t="shared" si="91"/>
        <v>0</v>
      </c>
    </row>
    <row r="249" spans="1:16" ht="12.75" x14ac:dyDescent="0.2">
      <c r="A249" s="334">
        <v>2</v>
      </c>
      <c r="B249" s="335">
        <v>3</v>
      </c>
      <c r="C249" s="335">
        <v>9</v>
      </c>
      <c r="D249" s="335">
        <v>6</v>
      </c>
      <c r="E249" s="335"/>
      <c r="F249" s="343" t="s">
        <v>174</v>
      </c>
      <c r="G249" s="29">
        <f>+G250</f>
        <v>0</v>
      </c>
      <c r="H249" s="29">
        <f t="shared" ref="H249:O249" si="104">+H250</f>
        <v>0</v>
      </c>
      <c r="I249" s="29">
        <f t="shared" si="104"/>
        <v>0</v>
      </c>
      <c r="J249" s="29">
        <f t="shared" si="104"/>
        <v>0</v>
      </c>
      <c r="K249" s="29">
        <f t="shared" si="104"/>
        <v>0</v>
      </c>
      <c r="L249" s="29">
        <f t="shared" si="104"/>
        <v>0</v>
      </c>
      <c r="M249" s="29">
        <f t="shared" si="104"/>
        <v>48000</v>
      </c>
      <c r="N249" s="29">
        <f t="shared" si="83"/>
        <v>48000</v>
      </c>
      <c r="O249" s="483">
        <f t="shared" si="91"/>
        <v>2.7536804810518652E-5</v>
      </c>
    </row>
    <row r="250" spans="1:16" ht="12.75" x14ac:dyDescent="0.2">
      <c r="A250" s="344">
        <v>2</v>
      </c>
      <c r="B250" s="338">
        <v>3</v>
      </c>
      <c r="C250" s="338">
        <v>9</v>
      </c>
      <c r="D250" s="338">
        <v>6</v>
      </c>
      <c r="E250" s="338" t="s">
        <v>202</v>
      </c>
      <c r="F250" s="339" t="s">
        <v>174</v>
      </c>
      <c r="G250" s="27"/>
      <c r="H250" s="27"/>
      <c r="I250" s="27"/>
      <c r="J250" s="27"/>
      <c r="K250" s="27"/>
      <c r="L250" s="27"/>
      <c r="M250" s="27">
        <v>48000</v>
      </c>
      <c r="N250" s="27">
        <f t="shared" si="83"/>
        <v>48000</v>
      </c>
      <c r="O250" s="482">
        <f t="shared" si="91"/>
        <v>2.7536804810518652E-5</v>
      </c>
    </row>
    <row r="251" spans="1:16" ht="12.75" x14ac:dyDescent="0.2">
      <c r="A251" s="334">
        <v>2</v>
      </c>
      <c r="B251" s="335">
        <v>3</v>
      </c>
      <c r="C251" s="335">
        <v>9</v>
      </c>
      <c r="D251" s="335">
        <v>8</v>
      </c>
      <c r="E251" s="335"/>
      <c r="F251" s="343" t="s">
        <v>1017</v>
      </c>
      <c r="G251" s="29">
        <f>+G252</f>
        <v>0</v>
      </c>
      <c r="H251" s="29">
        <f t="shared" ref="H251:O251" si="105">+H252</f>
        <v>0</v>
      </c>
      <c r="I251" s="29">
        <f t="shared" si="105"/>
        <v>0</v>
      </c>
      <c r="J251" s="29">
        <f t="shared" si="105"/>
        <v>0</v>
      </c>
      <c r="K251" s="29">
        <f t="shared" si="105"/>
        <v>0</v>
      </c>
      <c r="L251" s="29">
        <f t="shared" si="105"/>
        <v>0</v>
      </c>
      <c r="M251" s="29">
        <f t="shared" si="105"/>
        <v>2531935</v>
      </c>
      <c r="N251" s="29">
        <f t="shared" si="83"/>
        <v>2531935</v>
      </c>
      <c r="O251" s="483">
        <f t="shared" si="91"/>
        <v>1.452529164331678E-3</v>
      </c>
    </row>
    <row r="252" spans="1:16" ht="12.75" x14ac:dyDescent="0.2">
      <c r="A252" s="344">
        <v>2</v>
      </c>
      <c r="B252" s="338">
        <v>3</v>
      </c>
      <c r="C252" s="338">
        <v>9</v>
      </c>
      <c r="D252" s="338">
        <v>8</v>
      </c>
      <c r="E252" s="338" t="s">
        <v>202</v>
      </c>
      <c r="F252" s="339" t="s">
        <v>1017</v>
      </c>
      <c r="G252" s="27"/>
      <c r="H252" s="27"/>
      <c r="I252" s="27"/>
      <c r="J252" s="27"/>
      <c r="K252" s="27"/>
      <c r="L252" s="27"/>
      <c r="M252" s="27">
        <v>2531935</v>
      </c>
      <c r="N252" s="27">
        <f t="shared" si="83"/>
        <v>2531935</v>
      </c>
      <c r="O252" s="482">
        <f t="shared" si="91"/>
        <v>1.452529164331678E-3</v>
      </c>
    </row>
    <row r="253" spans="1:16" ht="12.75" x14ac:dyDescent="0.2">
      <c r="A253" s="334">
        <v>2</v>
      </c>
      <c r="B253" s="335">
        <v>3</v>
      </c>
      <c r="C253" s="335">
        <v>9</v>
      </c>
      <c r="D253" s="335">
        <v>9</v>
      </c>
      <c r="E253" s="335"/>
      <c r="F253" s="343" t="s">
        <v>1018</v>
      </c>
      <c r="G253" s="29">
        <f>+G254</f>
        <v>0</v>
      </c>
      <c r="H253" s="29">
        <f t="shared" ref="H253:O253" si="106">+H254</f>
        <v>0</v>
      </c>
      <c r="I253" s="29">
        <f t="shared" si="106"/>
        <v>0</v>
      </c>
      <c r="J253" s="29">
        <f t="shared" si="106"/>
        <v>0</v>
      </c>
      <c r="K253" s="29">
        <f t="shared" si="106"/>
        <v>0</v>
      </c>
      <c r="L253" s="29">
        <f t="shared" si="106"/>
        <v>0</v>
      </c>
      <c r="M253" s="29">
        <f t="shared" si="106"/>
        <v>0</v>
      </c>
      <c r="N253" s="29">
        <f t="shared" si="83"/>
        <v>0</v>
      </c>
      <c r="O253" s="483">
        <f t="shared" si="91"/>
        <v>0</v>
      </c>
    </row>
    <row r="254" spans="1:16" ht="12.75" x14ac:dyDescent="0.2">
      <c r="A254" s="344">
        <v>2</v>
      </c>
      <c r="B254" s="338">
        <v>3</v>
      </c>
      <c r="C254" s="338">
        <v>9</v>
      </c>
      <c r="D254" s="338">
        <v>9</v>
      </c>
      <c r="E254" s="338" t="s">
        <v>202</v>
      </c>
      <c r="F254" s="339" t="s">
        <v>1018</v>
      </c>
      <c r="G254" s="27"/>
      <c r="H254" s="27"/>
      <c r="I254" s="27"/>
      <c r="J254" s="27"/>
      <c r="K254" s="27"/>
      <c r="L254" s="27"/>
      <c r="M254" s="27"/>
      <c r="N254" s="27">
        <f t="shared" si="83"/>
        <v>0</v>
      </c>
      <c r="O254" s="482">
        <f t="shared" si="91"/>
        <v>0</v>
      </c>
    </row>
    <row r="255" spans="1:16" ht="12.75" x14ac:dyDescent="0.2">
      <c r="A255" s="327">
        <v>2</v>
      </c>
      <c r="B255" s="328">
        <v>4</v>
      </c>
      <c r="C255" s="329"/>
      <c r="D255" s="329"/>
      <c r="E255" s="329"/>
      <c r="F255" s="330" t="s">
        <v>254</v>
      </c>
      <c r="G255" s="33">
        <f>+G256+G264+G267</f>
        <v>0</v>
      </c>
      <c r="H255" s="33">
        <f t="shared" ref="H255:O255" si="107">+H256+H264+H267</f>
        <v>0</v>
      </c>
      <c r="I255" s="33">
        <f t="shared" si="107"/>
        <v>0</v>
      </c>
      <c r="J255" s="33">
        <f t="shared" si="107"/>
        <v>0</v>
      </c>
      <c r="K255" s="33">
        <f t="shared" si="107"/>
        <v>0</v>
      </c>
      <c r="L255" s="33">
        <f t="shared" si="107"/>
        <v>0</v>
      </c>
      <c r="M255" s="33">
        <f t="shared" si="107"/>
        <v>1500000</v>
      </c>
      <c r="N255" s="33">
        <f t="shared" si="83"/>
        <v>1500000</v>
      </c>
      <c r="O255" s="479">
        <f t="shared" si="91"/>
        <v>8.6052515032870782E-4</v>
      </c>
    </row>
    <row r="256" spans="1:16" ht="12.75" x14ac:dyDescent="0.2">
      <c r="A256" s="331">
        <v>2</v>
      </c>
      <c r="B256" s="332">
        <v>4</v>
      </c>
      <c r="C256" s="332">
        <v>1</v>
      </c>
      <c r="D256" s="332"/>
      <c r="E256" s="332"/>
      <c r="F256" s="333" t="s">
        <v>255</v>
      </c>
      <c r="G256" s="32">
        <f>+G257+G260+G262</f>
        <v>0</v>
      </c>
      <c r="H256" s="32">
        <f t="shared" ref="H256:O256" si="108">+H257+H260+H262</f>
        <v>0</v>
      </c>
      <c r="I256" s="32">
        <f t="shared" si="108"/>
        <v>0</v>
      </c>
      <c r="J256" s="32">
        <f t="shared" si="108"/>
        <v>0</v>
      </c>
      <c r="K256" s="32">
        <f t="shared" si="108"/>
        <v>0</v>
      </c>
      <c r="L256" s="32">
        <f t="shared" si="108"/>
        <v>0</v>
      </c>
      <c r="M256" s="32">
        <f t="shared" si="108"/>
        <v>1500000</v>
      </c>
      <c r="N256" s="32">
        <f t="shared" si="83"/>
        <v>1500000</v>
      </c>
      <c r="O256" s="480">
        <f t="shared" si="91"/>
        <v>8.6052515032870782E-4</v>
      </c>
    </row>
    <row r="257" spans="1:15" ht="12.75" x14ac:dyDescent="0.2">
      <c r="A257" s="334">
        <v>2</v>
      </c>
      <c r="B257" s="335">
        <v>4</v>
      </c>
      <c r="C257" s="335">
        <v>1</v>
      </c>
      <c r="D257" s="335">
        <v>2</v>
      </c>
      <c r="E257" s="335"/>
      <c r="F257" s="343" t="s">
        <v>256</v>
      </c>
      <c r="G257" s="29">
        <f>+G258+G259</f>
        <v>0</v>
      </c>
      <c r="H257" s="29">
        <f t="shared" ref="H257:O257" si="109">+H258+H259</f>
        <v>0</v>
      </c>
      <c r="I257" s="29">
        <f t="shared" si="109"/>
        <v>0</v>
      </c>
      <c r="J257" s="29">
        <f t="shared" si="109"/>
        <v>0</v>
      </c>
      <c r="K257" s="29">
        <f t="shared" si="109"/>
        <v>0</v>
      </c>
      <c r="L257" s="29">
        <f t="shared" si="109"/>
        <v>0</v>
      </c>
      <c r="M257" s="29">
        <f t="shared" si="109"/>
        <v>1500000</v>
      </c>
      <c r="N257" s="29">
        <f t="shared" si="83"/>
        <v>1500000</v>
      </c>
      <c r="O257" s="483">
        <f t="shared" si="91"/>
        <v>8.6052515032870782E-4</v>
      </c>
    </row>
    <row r="258" spans="1:15" ht="12.75" x14ac:dyDescent="0.2">
      <c r="A258" s="344">
        <v>2</v>
      </c>
      <c r="B258" s="338">
        <v>4</v>
      </c>
      <c r="C258" s="338">
        <v>1</v>
      </c>
      <c r="D258" s="338">
        <v>2</v>
      </c>
      <c r="E258" s="338" t="s">
        <v>202</v>
      </c>
      <c r="F258" s="342" t="s">
        <v>257</v>
      </c>
      <c r="G258" s="27"/>
      <c r="H258" s="27"/>
      <c r="I258" s="27"/>
      <c r="J258" s="27"/>
      <c r="K258" s="27"/>
      <c r="L258" s="27"/>
      <c r="M258" s="27">
        <v>1500000</v>
      </c>
      <c r="N258" s="27">
        <f t="shared" si="83"/>
        <v>1500000</v>
      </c>
      <c r="O258" s="482">
        <f t="shared" si="91"/>
        <v>8.6052515032870782E-4</v>
      </c>
    </row>
    <row r="259" spans="1:15" ht="12.75" x14ac:dyDescent="0.2">
      <c r="A259" s="344">
        <v>2</v>
      </c>
      <c r="B259" s="338">
        <v>4</v>
      </c>
      <c r="C259" s="338">
        <v>1</v>
      </c>
      <c r="D259" s="338">
        <v>2</v>
      </c>
      <c r="E259" s="338" t="s">
        <v>203</v>
      </c>
      <c r="F259" s="342" t="s">
        <v>258</v>
      </c>
      <c r="G259" s="27"/>
      <c r="H259" s="27"/>
      <c r="I259" s="27"/>
      <c r="J259" s="27"/>
      <c r="K259" s="27"/>
      <c r="L259" s="27"/>
      <c r="M259" s="27"/>
      <c r="N259" s="27">
        <f t="shared" si="83"/>
        <v>0</v>
      </c>
      <c r="O259" s="482">
        <f t="shared" si="91"/>
        <v>0</v>
      </c>
    </row>
    <row r="260" spans="1:15" ht="12.75" x14ac:dyDescent="0.2">
      <c r="A260" s="346">
        <v>2</v>
      </c>
      <c r="B260" s="335">
        <v>4</v>
      </c>
      <c r="C260" s="335">
        <v>1</v>
      </c>
      <c r="D260" s="335">
        <v>5</v>
      </c>
      <c r="E260" s="335"/>
      <c r="F260" s="351" t="s">
        <v>259</v>
      </c>
      <c r="G260" s="30">
        <f>+G261</f>
        <v>0</v>
      </c>
      <c r="H260" s="30">
        <f t="shared" ref="H260:O265" si="110">+H261</f>
        <v>0</v>
      </c>
      <c r="I260" s="30">
        <f t="shared" si="110"/>
        <v>0</v>
      </c>
      <c r="J260" s="30">
        <f t="shared" si="110"/>
        <v>0</v>
      </c>
      <c r="K260" s="30">
        <f t="shared" si="110"/>
        <v>0</v>
      </c>
      <c r="L260" s="30">
        <f t="shared" si="110"/>
        <v>0</v>
      </c>
      <c r="M260" s="30">
        <f t="shared" si="110"/>
        <v>0</v>
      </c>
      <c r="N260" s="30">
        <f t="shared" ref="N260:N323" si="111">+G260+H260+I260+J260+K260+L260+M260</f>
        <v>0</v>
      </c>
      <c r="O260" s="481">
        <f t="shared" si="91"/>
        <v>0</v>
      </c>
    </row>
    <row r="261" spans="1:15" ht="12.75" x14ac:dyDescent="0.2">
      <c r="A261" s="344">
        <v>2</v>
      </c>
      <c r="B261" s="338">
        <v>4</v>
      </c>
      <c r="C261" s="338">
        <v>1</v>
      </c>
      <c r="D261" s="338">
        <v>5</v>
      </c>
      <c r="E261" s="338" t="s">
        <v>202</v>
      </c>
      <c r="F261" s="342" t="s">
        <v>259</v>
      </c>
      <c r="G261" s="28"/>
      <c r="H261" s="28"/>
      <c r="I261" s="28"/>
      <c r="J261" s="28"/>
      <c r="K261" s="28"/>
      <c r="L261" s="28"/>
      <c r="M261" s="28"/>
      <c r="N261" s="28">
        <f t="shared" si="111"/>
        <v>0</v>
      </c>
      <c r="O261" s="486">
        <f t="shared" si="91"/>
        <v>0</v>
      </c>
    </row>
    <row r="262" spans="1:15" ht="12.75" x14ac:dyDescent="0.2">
      <c r="A262" s="334">
        <v>2</v>
      </c>
      <c r="B262" s="335">
        <v>4</v>
      </c>
      <c r="C262" s="335">
        <v>1</v>
      </c>
      <c r="D262" s="335">
        <v>6</v>
      </c>
      <c r="E262" s="338"/>
      <c r="F262" s="351" t="s">
        <v>260</v>
      </c>
      <c r="G262" s="29">
        <f>+G263</f>
        <v>0</v>
      </c>
      <c r="H262" s="29">
        <f t="shared" ref="H262:M262" si="112">+H263</f>
        <v>0</v>
      </c>
      <c r="I262" s="29">
        <f t="shared" si="112"/>
        <v>0</v>
      </c>
      <c r="J262" s="29">
        <f t="shared" si="112"/>
        <v>0</v>
      </c>
      <c r="K262" s="29">
        <f t="shared" si="112"/>
        <v>0</v>
      </c>
      <c r="L262" s="29">
        <f t="shared" si="112"/>
        <v>0</v>
      </c>
      <c r="M262" s="29">
        <f t="shared" si="112"/>
        <v>0</v>
      </c>
      <c r="N262" s="29">
        <f t="shared" si="111"/>
        <v>0</v>
      </c>
      <c r="O262" s="483">
        <f t="shared" si="91"/>
        <v>0</v>
      </c>
    </row>
    <row r="263" spans="1:15" ht="12.75" x14ac:dyDescent="0.2">
      <c r="A263" s="344">
        <v>2</v>
      </c>
      <c r="B263" s="338">
        <v>4</v>
      </c>
      <c r="C263" s="338">
        <v>1</v>
      </c>
      <c r="D263" s="338">
        <v>6</v>
      </c>
      <c r="E263" s="338" t="s">
        <v>202</v>
      </c>
      <c r="F263" s="342" t="s">
        <v>261</v>
      </c>
      <c r="G263" s="27"/>
      <c r="H263" s="27"/>
      <c r="I263" s="27"/>
      <c r="J263" s="27"/>
      <c r="K263" s="27"/>
      <c r="L263" s="27"/>
      <c r="M263" s="27"/>
      <c r="N263" s="27">
        <f t="shared" si="111"/>
        <v>0</v>
      </c>
      <c r="O263" s="482">
        <f t="shared" si="91"/>
        <v>0</v>
      </c>
    </row>
    <row r="264" spans="1:15" ht="12.75" x14ac:dyDescent="0.2">
      <c r="A264" s="331">
        <v>2</v>
      </c>
      <c r="B264" s="332">
        <v>4</v>
      </c>
      <c r="C264" s="332">
        <v>4</v>
      </c>
      <c r="D264" s="332"/>
      <c r="E264" s="332"/>
      <c r="F264" s="333" t="s">
        <v>1019</v>
      </c>
      <c r="G264" s="32">
        <f>+G265</f>
        <v>0</v>
      </c>
      <c r="H264" s="32">
        <f t="shared" ref="H264:M265" si="113">+H265</f>
        <v>0</v>
      </c>
      <c r="I264" s="32">
        <f t="shared" si="113"/>
        <v>0</v>
      </c>
      <c r="J264" s="32">
        <f t="shared" si="113"/>
        <v>0</v>
      </c>
      <c r="K264" s="32">
        <f t="shared" si="113"/>
        <v>0</v>
      </c>
      <c r="L264" s="32">
        <f t="shared" si="113"/>
        <v>0</v>
      </c>
      <c r="M264" s="32">
        <f t="shared" si="113"/>
        <v>0</v>
      </c>
      <c r="N264" s="32">
        <f t="shared" si="111"/>
        <v>0</v>
      </c>
      <c r="O264" s="480">
        <f t="shared" si="91"/>
        <v>0</v>
      </c>
    </row>
    <row r="265" spans="1:15" ht="12.75" x14ac:dyDescent="0.2">
      <c r="A265" s="343">
        <v>2</v>
      </c>
      <c r="B265" s="335">
        <v>4</v>
      </c>
      <c r="C265" s="335">
        <v>4</v>
      </c>
      <c r="D265" s="335">
        <v>1</v>
      </c>
      <c r="E265" s="335"/>
      <c r="F265" s="351" t="s">
        <v>1020</v>
      </c>
      <c r="G265" s="29">
        <f>+G266</f>
        <v>0</v>
      </c>
      <c r="H265" s="29">
        <f t="shared" si="113"/>
        <v>0</v>
      </c>
      <c r="I265" s="29">
        <f t="shared" si="113"/>
        <v>0</v>
      </c>
      <c r="J265" s="29">
        <f t="shared" si="113"/>
        <v>0</v>
      </c>
      <c r="K265" s="29">
        <f t="shared" si="113"/>
        <v>0</v>
      </c>
      <c r="L265" s="29">
        <f t="shared" si="113"/>
        <v>0</v>
      </c>
      <c r="M265" s="29">
        <f t="shared" si="113"/>
        <v>0</v>
      </c>
      <c r="N265" s="29">
        <f t="shared" si="111"/>
        <v>0</v>
      </c>
      <c r="O265" s="483">
        <f t="shared" si="91"/>
        <v>0</v>
      </c>
    </row>
    <row r="266" spans="1:15" ht="22.5" x14ac:dyDescent="0.2">
      <c r="A266" s="339">
        <v>2</v>
      </c>
      <c r="B266" s="338">
        <v>4</v>
      </c>
      <c r="C266" s="338">
        <v>4</v>
      </c>
      <c r="D266" s="338">
        <v>1</v>
      </c>
      <c r="E266" s="338" t="s">
        <v>204</v>
      </c>
      <c r="F266" s="342" t="s">
        <v>1021</v>
      </c>
      <c r="G266" s="27"/>
      <c r="H266" s="27"/>
      <c r="I266" s="27"/>
      <c r="J266" s="27"/>
      <c r="K266" s="27"/>
      <c r="L266" s="27"/>
      <c r="M266" s="27"/>
      <c r="N266" s="27">
        <f t="shared" si="111"/>
        <v>0</v>
      </c>
      <c r="O266" s="482">
        <f t="shared" si="91"/>
        <v>0</v>
      </c>
    </row>
    <row r="267" spans="1:15" ht="12.75" x14ac:dyDescent="0.2">
      <c r="A267" s="331">
        <v>2</v>
      </c>
      <c r="B267" s="332">
        <v>4</v>
      </c>
      <c r="C267" s="332">
        <v>9</v>
      </c>
      <c r="D267" s="332"/>
      <c r="E267" s="332"/>
      <c r="F267" s="333" t="s">
        <v>262</v>
      </c>
      <c r="G267" s="32">
        <f>+G268+G270</f>
        <v>0</v>
      </c>
      <c r="H267" s="32">
        <f t="shared" ref="H267:O267" si="114">+H268+H270</f>
        <v>0</v>
      </c>
      <c r="I267" s="32">
        <f t="shared" si="114"/>
        <v>0</v>
      </c>
      <c r="J267" s="32">
        <f t="shared" si="114"/>
        <v>0</v>
      </c>
      <c r="K267" s="32">
        <f t="shared" si="114"/>
        <v>0</v>
      </c>
      <c r="L267" s="32">
        <f t="shared" si="114"/>
        <v>0</v>
      </c>
      <c r="M267" s="32">
        <f t="shared" si="114"/>
        <v>0</v>
      </c>
      <c r="N267" s="32">
        <f t="shared" si="111"/>
        <v>0</v>
      </c>
      <c r="O267" s="480">
        <f t="shared" si="91"/>
        <v>0</v>
      </c>
    </row>
    <row r="268" spans="1:15" ht="12.75" x14ac:dyDescent="0.2">
      <c r="A268" s="346">
        <v>2</v>
      </c>
      <c r="B268" s="335">
        <v>4</v>
      </c>
      <c r="C268" s="335">
        <v>9</v>
      </c>
      <c r="D268" s="335">
        <v>1</v>
      </c>
      <c r="E268" s="335"/>
      <c r="F268" s="351" t="s">
        <v>262</v>
      </c>
      <c r="G268" s="29">
        <f>+G269</f>
        <v>0</v>
      </c>
      <c r="H268" s="29">
        <f t="shared" ref="H268:O276" si="115">+H269</f>
        <v>0</v>
      </c>
      <c r="I268" s="29">
        <f t="shared" si="115"/>
        <v>0</v>
      </c>
      <c r="J268" s="29">
        <f t="shared" si="115"/>
        <v>0</v>
      </c>
      <c r="K268" s="29">
        <f t="shared" si="115"/>
        <v>0</v>
      </c>
      <c r="L268" s="29">
        <f t="shared" si="115"/>
        <v>0</v>
      </c>
      <c r="M268" s="29">
        <f t="shared" si="115"/>
        <v>0</v>
      </c>
      <c r="N268" s="29">
        <f t="shared" si="111"/>
        <v>0</v>
      </c>
      <c r="O268" s="483">
        <f t="shared" si="91"/>
        <v>0</v>
      </c>
    </row>
    <row r="269" spans="1:15" ht="12.75" x14ac:dyDescent="0.2">
      <c r="A269" s="344">
        <v>2</v>
      </c>
      <c r="B269" s="338">
        <v>4</v>
      </c>
      <c r="C269" s="338">
        <v>9</v>
      </c>
      <c r="D269" s="338">
        <v>1</v>
      </c>
      <c r="E269" s="338" t="s">
        <v>202</v>
      </c>
      <c r="F269" s="342" t="s">
        <v>262</v>
      </c>
      <c r="G269" s="27"/>
      <c r="H269" s="27"/>
      <c r="I269" s="27"/>
      <c r="J269" s="27"/>
      <c r="K269" s="27"/>
      <c r="L269" s="27"/>
      <c r="M269" s="27"/>
      <c r="N269" s="27">
        <f t="shared" si="111"/>
        <v>0</v>
      </c>
      <c r="O269" s="482">
        <f t="shared" si="91"/>
        <v>0</v>
      </c>
    </row>
    <row r="270" spans="1:15" ht="12.75" x14ac:dyDescent="0.2">
      <c r="A270" s="346">
        <v>2</v>
      </c>
      <c r="B270" s="335">
        <v>4</v>
      </c>
      <c r="C270" s="335">
        <v>9</v>
      </c>
      <c r="D270" s="335">
        <v>4</v>
      </c>
      <c r="E270" s="335"/>
      <c r="F270" s="351" t="s">
        <v>263</v>
      </c>
      <c r="G270" s="29">
        <f>+G271</f>
        <v>0</v>
      </c>
      <c r="H270" s="29">
        <f t="shared" ref="H270:M270" si="116">+H271</f>
        <v>0</v>
      </c>
      <c r="I270" s="29">
        <f t="shared" si="116"/>
        <v>0</v>
      </c>
      <c r="J270" s="29">
        <f t="shared" si="116"/>
        <v>0</v>
      </c>
      <c r="K270" s="29">
        <f t="shared" si="116"/>
        <v>0</v>
      </c>
      <c r="L270" s="29">
        <f t="shared" si="116"/>
        <v>0</v>
      </c>
      <c r="M270" s="29">
        <f t="shared" si="116"/>
        <v>0</v>
      </c>
      <c r="N270" s="29">
        <f t="shared" si="111"/>
        <v>0</v>
      </c>
      <c r="O270" s="483">
        <f t="shared" si="91"/>
        <v>0</v>
      </c>
    </row>
    <row r="271" spans="1:15" ht="12.75" x14ac:dyDescent="0.2">
      <c r="A271" s="337">
        <v>2</v>
      </c>
      <c r="B271" s="338">
        <v>4</v>
      </c>
      <c r="C271" s="338">
        <v>9</v>
      </c>
      <c r="D271" s="338">
        <v>4</v>
      </c>
      <c r="E271" s="338" t="s">
        <v>202</v>
      </c>
      <c r="F271" s="342" t="s">
        <v>263</v>
      </c>
      <c r="G271" s="27"/>
      <c r="H271" s="27"/>
      <c r="I271" s="27"/>
      <c r="J271" s="27"/>
      <c r="K271" s="27"/>
      <c r="L271" s="27"/>
      <c r="M271" s="27"/>
      <c r="N271" s="27">
        <f t="shared" si="111"/>
        <v>0</v>
      </c>
      <c r="O271" s="482">
        <f t="shared" si="91"/>
        <v>0</v>
      </c>
    </row>
    <row r="272" spans="1:15" ht="12.75" x14ac:dyDescent="0.2">
      <c r="A272" s="327">
        <v>2</v>
      </c>
      <c r="B272" s="328">
        <v>6</v>
      </c>
      <c r="C272" s="329"/>
      <c r="D272" s="329"/>
      <c r="E272" s="329"/>
      <c r="F272" s="330" t="s">
        <v>176</v>
      </c>
      <c r="G272" s="33">
        <f>+G273+G284+G291+G296+G303+G312+G315</f>
        <v>118241</v>
      </c>
      <c r="H272" s="33">
        <f t="shared" ref="H272:O272" si="117">+H273+H284+H291+H296+H303+H312+H315</f>
        <v>94723.28</v>
      </c>
      <c r="I272" s="33">
        <f t="shared" si="117"/>
        <v>1184041</v>
      </c>
      <c r="J272" s="33">
        <f t="shared" si="117"/>
        <v>0</v>
      </c>
      <c r="K272" s="33">
        <f t="shared" si="117"/>
        <v>0</v>
      </c>
      <c r="L272" s="33">
        <f t="shared" si="117"/>
        <v>0</v>
      </c>
      <c r="M272" s="33">
        <f t="shared" si="117"/>
        <v>78774797.719999999</v>
      </c>
      <c r="N272" s="33">
        <f t="shared" si="111"/>
        <v>80171803</v>
      </c>
      <c r="O272" s="479">
        <f t="shared" si="91"/>
        <v>4.5993235219132365E-2</v>
      </c>
    </row>
    <row r="273" spans="1:16" ht="12.75" x14ac:dyDescent="0.2">
      <c r="A273" s="331">
        <v>2</v>
      </c>
      <c r="B273" s="332">
        <v>6</v>
      </c>
      <c r="C273" s="332">
        <v>1</v>
      </c>
      <c r="D273" s="332"/>
      <c r="E273" s="332"/>
      <c r="F273" s="333" t="s">
        <v>177</v>
      </c>
      <c r="G273" s="32">
        <f>+G274+G276+G278+G280+G282</f>
        <v>118241</v>
      </c>
      <c r="H273" s="32">
        <f t="shared" ref="H273:O273" si="118">+H274+H276+H278+H280+H282</f>
        <v>94723.28</v>
      </c>
      <c r="I273" s="32">
        <f t="shared" si="118"/>
        <v>1184041</v>
      </c>
      <c r="J273" s="32">
        <f t="shared" si="118"/>
        <v>0</v>
      </c>
      <c r="K273" s="32">
        <f t="shared" si="118"/>
        <v>0</v>
      </c>
      <c r="L273" s="32">
        <f t="shared" si="118"/>
        <v>0</v>
      </c>
      <c r="M273" s="32">
        <f t="shared" si="118"/>
        <v>7008557.7200000007</v>
      </c>
      <c r="N273" s="32">
        <f t="shared" si="111"/>
        <v>8405563</v>
      </c>
      <c r="O273" s="480">
        <f t="shared" si="91"/>
        <v>4.8221322427816167E-3</v>
      </c>
      <c r="P273" s="477"/>
    </row>
    <row r="274" spans="1:16" ht="12.75" x14ac:dyDescent="0.2">
      <c r="A274" s="334">
        <v>2</v>
      </c>
      <c r="B274" s="335">
        <v>6</v>
      </c>
      <c r="C274" s="335">
        <v>1</v>
      </c>
      <c r="D274" s="335">
        <v>1</v>
      </c>
      <c r="E274" s="335"/>
      <c r="F274" s="343" t="s">
        <v>1022</v>
      </c>
      <c r="G274" s="29">
        <f>+G275</f>
        <v>118241</v>
      </c>
      <c r="H274" s="29">
        <f t="shared" ref="H274:O274" si="119">+H275</f>
        <v>94723.28</v>
      </c>
      <c r="I274" s="29">
        <f t="shared" si="119"/>
        <v>1184041</v>
      </c>
      <c r="J274" s="29">
        <f t="shared" si="119"/>
        <v>0</v>
      </c>
      <c r="K274" s="29">
        <f t="shared" si="119"/>
        <v>0</v>
      </c>
      <c r="L274" s="29">
        <f t="shared" si="119"/>
        <v>0</v>
      </c>
      <c r="M274" s="29">
        <f t="shared" si="119"/>
        <v>3339158.72</v>
      </c>
      <c r="N274" s="29">
        <f t="shared" si="111"/>
        <v>4736164</v>
      </c>
      <c r="O274" s="483">
        <f t="shared" ref="O274:O319" si="120">IFERROR(N274/$N$18*100,"0.00")/100</f>
        <v>2.7170588253876094E-3</v>
      </c>
    </row>
    <row r="275" spans="1:16" ht="12.75" x14ac:dyDescent="0.2">
      <c r="A275" s="337">
        <v>2</v>
      </c>
      <c r="B275" s="338">
        <v>6</v>
      </c>
      <c r="C275" s="338">
        <v>1</v>
      </c>
      <c r="D275" s="338">
        <v>1</v>
      </c>
      <c r="E275" s="338" t="s">
        <v>202</v>
      </c>
      <c r="F275" s="339" t="s">
        <v>1022</v>
      </c>
      <c r="G275" s="27">
        <v>118241</v>
      </c>
      <c r="H275" s="27">
        <f>4736164*0.02</f>
        <v>94723.28</v>
      </c>
      <c r="I275" s="27">
        <f>4736164*0.25</f>
        <v>1184041</v>
      </c>
      <c r="J275" s="27"/>
      <c r="K275" s="27"/>
      <c r="L275" s="27"/>
      <c r="M275" s="27">
        <v>3339158.72</v>
      </c>
      <c r="N275" s="27">
        <f t="shared" si="111"/>
        <v>4736164</v>
      </c>
      <c r="O275" s="482">
        <f t="shared" si="120"/>
        <v>2.7170588253876094E-3</v>
      </c>
      <c r="P275" s="477"/>
    </row>
    <row r="276" spans="1:16" ht="12.75" x14ac:dyDescent="0.2">
      <c r="A276" s="334">
        <v>2</v>
      </c>
      <c r="B276" s="335">
        <v>6</v>
      </c>
      <c r="C276" s="335">
        <v>1</v>
      </c>
      <c r="D276" s="335">
        <v>2</v>
      </c>
      <c r="E276" s="335"/>
      <c r="F276" s="343" t="s">
        <v>550</v>
      </c>
      <c r="G276" s="29">
        <f>+G277</f>
        <v>0</v>
      </c>
      <c r="H276" s="29">
        <f t="shared" ref="H276:M276" si="121">+H277</f>
        <v>0</v>
      </c>
      <c r="I276" s="29">
        <f t="shared" si="121"/>
        <v>0</v>
      </c>
      <c r="J276" s="29">
        <f t="shared" si="121"/>
        <v>0</v>
      </c>
      <c r="K276" s="29">
        <f t="shared" si="121"/>
        <v>0</v>
      </c>
      <c r="L276" s="29">
        <f t="shared" si="121"/>
        <v>0</v>
      </c>
      <c r="M276" s="29">
        <f t="shared" si="121"/>
        <v>182500</v>
      </c>
      <c r="N276" s="29">
        <f t="shared" si="111"/>
        <v>182500</v>
      </c>
      <c r="O276" s="483">
        <f t="shared" si="120"/>
        <v>1.0469722662332612E-4</v>
      </c>
    </row>
    <row r="277" spans="1:16" ht="12.75" x14ac:dyDescent="0.2">
      <c r="A277" s="337">
        <v>2</v>
      </c>
      <c r="B277" s="338">
        <v>6</v>
      </c>
      <c r="C277" s="338">
        <v>1</v>
      </c>
      <c r="D277" s="338">
        <v>2</v>
      </c>
      <c r="E277" s="338" t="s">
        <v>202</v>
      </c>
      <c r="F277" s="342" t="s">
        <v>550</v>
      </c>
      <c r="G277" s="27"/>
      <c r="H277" s="27"/>
      <c r="I277" s="27"/>
      <c r="J277" s="27"/>
      <c r="K277" s="27"/>
      <c r="L277" s="27"/>
      <c r="M277" s="27">
        <v>182500</v>
      </c>
      <c r="N277" s="27">
        <f t="shared" si="111"/>
        <v>182500</v>
      </c>
      <c r="O277" s="482">
        <f t="shared" si="120"/>
        <v>1.0469722662332612E-4</v>
      </c>
    </row>
    <row r="278" spans="1:16" ht="12.75" x14ac:dyDescent="0.2">
      <c r="A278" s="334">
        <v>2</v>
      </c>
      <c r="B278" s="335">
        <v>6</v>
      </c>
      <c r="C278" s="335">
        <v>1</v>
      </c>
      <c r="D278" s="335">
        <v>3</v>
      </c>
      <c r="E278" s="335"/>
      <c r="F278" s="351" t="s">
        <v>1023</v>
      </c>
      <c r="G278" s="29">
        <f>+G279</f>
        <v>0</v>
      </c>
      <c r="H278" s="29">
        <f t="shared" ref="H278:O278" si="122">+H279</f>
        <v>0</v>
      </c>
      <c r="I278" s="29">
        <f t="shared" si="122"/>
        <v>0</v>
      </c>
      <c r="J278" s="29">
        <f t="shared" si="122"/>
        <v>0</v>
      </c>
      <c r="K278" s="29">
        <f t="shared" si="122"/>
        <v>0</v>
      </c>
      <c r="L278" s="29">
        <f t="shared" si="122"/>
        <v>0</v>
      </c>
      <c r="M278" s="29">
        <f t="shared" si="122"/>
        <v>2049094</v>
      </c>
      <c r="N278" s="29">
        <f t="shared" si="111"/>
        <v>2049094</v>
      </c>
      <c r="O278" s="483">
        <f t="shared" si="120"/>
        <v>1.1755312815917688E-3</v>
      </c>
    </row>
    <row r="279" spans="1:16" ht="12.75" x14ac:dyDescent="0.2">
      <c r="A279" s="337">
        <v>2</v>
      </c>
      <c r="B279" s="338">
        <v>6</v>
      </c>
      <c r="C279" s="338">
        <v>1</v>
      </c>
      <c r="D279" s="338">
        <v>3</v>
      </c>
      <c r="E279" s="338" t="s">
        <v>202</v>
      </c>
      <c r="F279" s="342" t="s">
        <v>1023</v>
      </c>
      <c r="G279" s="27"/>
      <c r="H279" s="27"/>
      <c r="I279" s="27"/>
      <c r="J279" s="27"/>
      <c r="K279" s="27"/>
      <c r="L279" s="27"/>
      <c r="M279" s="27">
        <v>2049094</v>
      </c>
      <c r="N279" s="27">
        <f t="shared" si="111"/>
        <v>2049094</v>
      </c>
      <c r="O279" s="482">
        <f t="shared" si="120"/>
        <v>1.1755312815917688E-3</v>
      </c>
    </row>
    <row r="280" spans="1:16" ht="12.75" x14ac:dyDescent="0.2">
      <c r="A280" s="334">
        <v>2</v>
      </c>
      <c r="B280" s="335">
        <v>6</v>
      </c>
      <c r="C280" s="335">
        <v>1</v>
      </c>
      <c r="D280" s="335">
        <v>4</v>
      </c>
      <c r="E280" s="335"/>
      <c r="F280" s="343" t="s">
        <v>264</v>
      </c>
      <c r="G280" s="29">
        <f>+G281</f>
        <v>0</v>
      </c>
      <c r="H280" s="29">
        <f t="shared" ref="H280:O280" si="123">+H281</f>
        <v>0</v>
      </c>
      <c r="I280" s="29">
        <f t="shared" si="123"/>
        <v>0</v>
      </c>
      <c r="J280" s="29">
        <f t="shared" si="123"/>
        <v>0</v>
      </c>
      <c r="K280" s="29">
        <f t="shared" si="123"/>
        <v>0</v>
      </c>
      <c r="L280" s="29">
        <f t="shared" si="123"/>
        <v>0</v>
      </c>
      <c r="M280" s="29">
        <f t="shared" si="123"/>
        <v>667310</v>
      </c>
      <c r="N280" s="29">
        <f t="shared" si="111"/>
        <v>667310</v>
      </c>
      <c r="O280" s="483">
        <f t="shared" si="120"/>
        <v>3.8282469204390003E-4</v>
      </c>
    </row>
    <row r="281" spans="1:16" ht="12.75" x14ac:dyDescent="0.2">
      <c r="A281" s="337">
        <v>2</v>
      </c>
      <c r="B281" s="338">
        <v>6</v>
      </c>
      <c r="C281" s="338">
        <v>1</v>
      </c>
      <c r="D281" s="338">
        <v>4</v>
      </c>
      <c r="E281" s="338" t="s">
        <v>202</v>
      </c>
      <c r="F281" s="342" t="s">
        <v>264</v>
      </c>
      <c r="G281" s="27"/>
      <c r="H281" s="27"/>
      <c r="I281" s="27"/>
      <c r="J281" s="27"/>
      <c r="K281" s="27"/>
      <c r="L281" s="27"/>
      <c r="M281" s="27">
        <v>667310</v>
      </c>
      <c r="N281" s="27">
        <f t="shared" si="111"/>
        <v>667310</v>
      </c>
      <c r="O281" s="482">
        <f t="shared" si="120"/>
        <v>3.8282469204390003E-4</v>
      </c>
    </row>
    <row r="282" spans="1:16" ht="12.75" x14ac:dyDescent="0.2">
      <c r="A282" s="334">
        <v>2</v>
      </c>
      <c r="B282" s="335">
        <v>6</v>
      </c>
      <c r="C282" s="335">
        <v>1</v>
      </c>
      <c r="D282" s="335">
        <v>9</v>
      </c>
      <c r="E282" s="335"/>
      <c r="F282" s="343" t="s">
        <v>179</v>
      </c>
      <c r="G282" s="29">
        <f>+G283</f>
        <v>0</v>
      </c>
      <c r="H282" s="29">
        <f t="shared" ref="H282:O282" si="124">+H283</f>
        <v>0</v>
      </c>
      <c r="I282" s="29">
        <f t="shared" si="124"/>
        <v>0</v>
      </c>
      <c r="J282" s="29">
        <f t="shared" si="124"/>
        <v>0</v>
      </c>
      <c r="K282" s="29">
        <f t="shared" si="124"/>
        <v>0</v>
      </c>
      <c r="L282" s="29">
        <f t="shared" si="124"/>
        <v>0</v>
      </c>
      <c r="M282" s="29">
        <f t="shared" si="124"/>
        <v>770495</v>
      </c>
      <c r="N282" s="29">
        <f t="shared" si="111"/>
        <v>770495</v>
      </c>
      <c r="O282" s="483">
        <f t="shared" si="120"/>
        <v>4.4202021713501185E-4</v>
      </c>
    </row>
    <row r="283" spans="1:16" ht="12.75" x14ac:dyDescent="0.2">
      <c r="A283" s="337">
        <v>2</v>
      </c>
      <c r="B283" s="338">
        <v>6</v>
      </c>
      <c r="C283" s="338">
        <v>1</v>
      </c>
      <c r="D283" s="338">
        <v>9</v>
      </c>
      <c r="E283" s="338" t="s">
        <v>202</v>
      </c>
      <c r="F283" s="342" t="s">
        <v>179</v>
      </c>
      <c r="G283" s="27"/>
      <c r="H283" s="27"/>
      <c r="I283" s="27"/>
      <c r="J283" s="27"/>
      <c r="K283" s="27"/>
      <c r="L283" s="27"/>
      <c r="M283" s="27">
        <v>770495</v>
      </c>
      <c r="N283" s="27">
        <f t="shared" si="111"/>
        <v>770495</v>
      </c>
      <c r="O283" s="482">
        <f t="shared" si="120"/>
        <v>4.4202021713501185E-4</v>
      </c>
    </row>
    <row r="284" spans="1:16" ht="12.75" x14ac:dyDescent="0.2">
      <c r="A284" s="331">
        <v>2</v>
      </c>
      <c r="B284" s="332">
        <v>6</v>
      </c>
      <c r="C284" s="332">
        <v>2</v>
      </c>
      <c r="D284" s="332"/>
      <c r="E284" s="332"/>
      <c r="F284" s="333" t="s">
        <v>1024</v>
      </c>
      <c r="G284" s="32">
        <f>+G285+G287+G289</f>
        <v>0</v>
      </c>
      <c r="H284" s="32">
        <f t="shared" ref="H284:O284" si="125">+H285+H287+H289</f>
        <v>0</v>
      </c>
      <c r="I284" s="32">
        <f t="shared" si="125"/>
        <v>0</v>
      </c>
      <c r="J284" s="32">
        <f t="shared" si="125"/>
        <v>0</v>
      </c>
      <c r="K284" s="32">
        <f t="shared" si="125"/>
        <v>0</v>
      </c>
      <c r="L284" s="32">
        <f t="shared" si="125"/>
        <v>0</v>
      </c>
      <c r="M284" s="32">
        <f>+M285+M287+M289</f>
        <v>0</v>
      </c>
      <c r="N284" s="32">
        <f t="shared" si="111"/>
        <v>0</v>
      </c>
      <c r="O284" s="480">
        <f t="shared" si="120"/>
        <v>0</v>
      </c>
    </row>
    <row r="285" spans="1:16" ht="12.75" x14ac:dyDescent="0.2">
      <c r="A285" s="334">
        <v>2</v>
      </c>
      <c r="B285" s="335">
        <v>6</v>
      </c>
      <c r="C285" s="335">
        <v>2</v>
      </c>
      <c r="D285" s="335">
        <v>1</v>
      </c>
      <c r="E285" s="335"/>
      <c r="F285" s="343" t="s">
        <v>265</v>
      </c>
      <c r="G285" s="29">
        <f>+G286</f>
        <v>0</v>
      </c>
      <c r="H285" s="29">
        <f t="shared" ref="H285:O285" si="126">+H286</f>
        <v>0</v>
      </c>
      <c r="I285" s="29">
        <f t="shared" si="126"/>
        <v>0</v>
      </c>
      <c r="J285" s="29">
        <f t="shared" si="126"/>
        <v>0</v>
      </c>
      <c r="K285" s="29">
        <f t="shared" si="126"/>
        <v>0</v>
      </c>
      <c r="L285" s="29">
        <f t="shared" si="126"/>
        <v>0</v>
      </c>
      <c r="M285" s="29">
        <f t="shared" si="126"/>
        <v>0</v>
      </c>
      <c r="N285" s="29">
        <f t="shared" si="111"/>
        <v>0</v>
      </c>
      <c r="O285" s="483">
        <f t="shared" si="120"/>
        <v>0</v>
      </c>
    </row>
    <row r="286" spans="1:16" ht="12.75" x14ac:dyDescent="0.2">
      <c r="A286" s="344">
        <v>2</v>
      </c>
      <c r="B286" s="338">
        <v>6</v>
      </c>
      <c r="C286" s="338">
        <v>2</v>
      </c>
      <c r="D286" s="338">
        <v>1</v>
      </c>
      <c r="E286" s="338" t="s">
        <v>202</v>
      </c>
      <c r="F286" s="342" t="s">
        <v>265</v>
      </c>
      <c r="G286" s="27"/>
      <c r="H286" s="27"/>
      <c r="I286" s="27"/>
      <c r="J286" s="27"/>
      <c r="K286" s="27"/>
      <c r="L286" s="27"/>
      <c r="M286" s="27"/>
      <c r="N286" s="27">
        <f t="shared" si="111"/>
        <v>0</v>
      </c>
      <c r="O286" s="482">
        <f t="shared" si="120"/>
        <v>0</v>
      </c>
    </row>
    <row r="287" spans="1:16" ht="12.75" x14ac:dyDescent="0.2">
      <c r="A287" s="334">
        <v>2</v>
      </c>
      <c r="B287" s="335">
        <v>6</v>
      </c>
      <c r="C287" s="335">
        <v>2</v>
      </c>
      <c r="D287" s="335">
        <v>3</v>
      </c>
      <c r="E287" s="335"/>
      <c r="F287" s="343" t="s">
        <v>180</v>
      </c>
      <c r="G287" s="29">
        <f>+G288</f>
        <v>0</v>
      </c>
      <c r="H287" s="29">
        <f t="shared" ref="H287:N287" si="127">+H288+H289+H290+H291+H292+H293+H294</f>
        <v>0</v>
      </c>
      <c r="I287" s="29">
        <f t="shared" si="127"/>
        <v>0</v>
      </c>
      <c r="J287" s="29">
        <f t="shared" si="127"/>
        <v>0</v>
      </c>
      <c r="K287" s="29">
        <f t="shared" si="127"/>
        <v>0</v>
      </c>
      <c r="L287" s="29">
        <f t="shared" si="127"/>
        <v>0</v>
      </c>
      <c r="M287" s="29">
        <v>0</v>
      </c>
      <c r="N287" s="29">
        <f t="shared" si="111"/>
        <v>0</v>
      </c>
      <c r="O287" s="483">
        <f t="shared" si="120"/>
        <v>0</v>
      </c>
    </row>
    <row r="288" spans="1:16" ht="12.75" x14ac:dyDescent="0.2">
      <c r="A288" s="344">
        <v>2</v>
      </c>
      <c r="B288" s="338">
        <v>6</v>
      </c>
      <c r="C288" s="338">
        <v>2</v>
      </c>
      <c r="D288" s="338">
        <v>3</v>
      </c>
      <c r="E288" s="338" t="s">
        <v>202</v>
      </c>
      <c r="F288" s="342" t="s">
        <v>180</v>
      </c>
      <c r="G288" s="27"/>
      <c r="H288" s="27"/>
      <c r="I288" s="27"/>
      <c r="J288" s="27"/>
      <c r="K288" s="27"/>
      <c r="L288" s="27"/>
      <c r="M288" s="27"/>
      <c r="N288" s="27">
        <f t="shared" si="111"/>
        <v>0</v>
      </c>
      <c r="O288" s="482">
        <f t="shared" si="120"/>
        <v>0</v>
      </c>
    </row>
    <row r="289" spans="1:15" ht="12.75" x14ac:dyDescent="0.2">
      <c r="A289" s="334">
        <v>2</v>
      </c>
      <c r="B289" s="335">
        <v>6</v>
      </c>
      <c r="C289" s="335">
        <v>2</v>
      </c>
      <c r="D289" s="335">
        <v>4</v>
      </c>
      <c r="E289" s="335"/>
      <c r="F289" s="343" t="s">
        <v>1025</v>
      </c>
      <c r="G289" s="29">
        <f>+G290</f>
        <v>0</v>
      </c>
      <c r="H289" s="29">
        <f t="shared" ref="H289:O289" si="128">+H290</f>
        <v>0</v>
      </c>
      <c r="I289" s="29">
        <f t="shared" si="128"/>
        <v>0</v>
      </c>
      <c r="J289" s="29">
        <f t="shared" si="128"/>
        <v>0</v>
      </c>
      <c r="K289" s="29">
        <f t="shared" si="128"/>
        <v>0</v>
      </c>
      <c r="L289" s="29">
        <f t="shared" si="128"/>
        <v>0</v>
      </c>
      <c r="M289" s="29">
        <f t="shared" si="128"/>
        <v>0</v>
      </c>
      <c r="N289" s="29">
        <f t="shared" si="111"/>
        <v>0</v>
      </c>
      <c r="O289" s="483">
        <f t="shared" si="120"/>
        <v>0</v>
      </c>
    </row>
    <row r="290" spans="1:15" ht="12.75" x14ac:dyDescent="0.2">
      <c r="A290" s="344">
        <v>2</v>
      </c>
      <c r="B290" s="338">
        <v>6</v>
      </c>
      <c r="C290" s="338">
        <v>2</v>
      </c>
      <c r="D290" s="338">
        <v>4</v>
      </c>
      <c r="E290" s="338" t="s">
        <v>202</v>
      </c>
      <c r="F290" s="339" t="s">
        <v>1025</v>
      </c>
      <c r="G290" s="27"/>
      <c r="H290" s="27"/>
      <c r="I290" s="27"/>
      <c r="J290" s="27"/>
      <c r="K290" s="27"/>
      <c r="L290" s="27"/>
      <c r="M290" s="27"/>
      <c r="N290" s="27">
        <f t="shared" si="111"/>
        <v>0</v>
      </c>
      <c r="O290" s="482">
        <f t="shared" si="120"/>
        <v>0</v>
      </c>
    </row>
    <row r="291" spans="1:15" ht="12.75" x14ac:dyDescent="0.2">
      <c r="A291" s="331">
        <v>2</v>
      </c>
      <c r="B291" s="332">
        <v>6</v>
      </c>
      <c r="C291" s="332">
        <v>3</v>
      </c>
      <c r="D291" s="332"/>
      <c r="E291" s="332"/>
      <c r="F291" s="333" t="s">
        <v>181</v>
      </c>
      <c r="G291" s="32">
        <f>+G292+G294</f>
        <v>0</v>
      </c>
      <c r="H291" s="32">
        <f t="shared" ref="H291:O291" si="129">+H292+H294</f>
        <v>0</v>
      </c>
      <c r="I291" s="32">
        <f t="shared" si="129"/>
        <v>0</v>
      </c>
      <c r="J291" s="32">
        <f t="shared" si="129"/>
        <v>0</v>
      </c>
      <c r="K291" s="32">
        <f t="shared" si="129"/>
        <v>0</v>
      </c>
      <c r="L291" s="32">
        <f t="shared" si="129"/>
        <v>0</v>
      </c>
      <c r="M291" s="32">
        <f t="shared" si="129"/>
        <v>71430240</v>
      </c>
      <c r="N291" s="32">
        <f t="shared" si="111"/>
        <v>71430240</v>
      </c>
      <c r="O291" s="480">
        <f t="shared" si="120"/>
        <v>4.0978345342677122E-2</v>
      </c>
    </row>
    <row r="292" spans="1:15" ht="12.75" x14ac:dyDescent="0.2">
      <c r="A292" s="346">
        <v>2</v>
      </c>
      <c r="B292" s="335">
        <v>6</v>
      </c>
      <c r="C292" s="335">
        <v>3</v>
      </c>
      <c r="D292" s="335">
        <v>1</v>
      </c>
      <c r="E292" s="335"/>
      <c r="F292" s="351" t="s">
        <v>182</v>
      </c>
      <c r="G292" s="29">
        <f>+G293</f>
        <v>0</v>
      </c>
      <c r="H292" s="29">
        <f t="shared" ref="H292:O292" si="130">+H293</f>
        <v>0</v>
      </c>
      <c r="I292" s="29">
        <f t="shared" si="130"/>
        <v>0</v>
      </c>
      <c r="J292" s="29">
        <f t="shared" si="130"/>
        <v>0</v>
      </c>
      <c r="K292" s="29">
        <f t="shared" si="130"/>
        <v>0</v>
      </c>
      <c r="L292" s="29">
        <f t="shared" si="130"/>
        <v>0</v>
      </c>
      <c r="M292" s="29">
        <f t="shared" si="130"/>
        <v>70488828</v>
      </c>
      <c r="N292" s="29">
        <f t="shared" si="111"/>
        <v>70488828</v>
      </c>
      <c r="O292" s="483">
        <f t="shared" si="120"/>
        <v>4.043827287412962E-2</v>
      </c>
    </row>
    <row r="293" spans="1:15" ht="12.75" x14ac:dyDescent="0.2">
      <c r="A293" s="337">
        <v>2</v>
      </c>
      <c r="B293" s="338">
        <v>6</v>
      </c>
      <c r="C293" s="338">
        <v>3</v>
      </c>
      <c r="D293" s="338">
        <v>1</v>
      </c>
      <c r="E293" s="338" t="s">
        <v>202</v>
      </c>
      <c r="F293" s="339" t="s">
        <v>182</v>
      </c>
      <c r="G293" s="27"/>
      <c r="H293" s="27"/>
      <c r="I293" s="27"/>
      <c r="J293" s="27"/>
      <c r="K293" s="27"/>
      <c r="L293" s="27"/>
      <c r="M293" s="27">
        <v>70488828</v>
      </c>
      <c r="N293" s="27">
        <f t="shared" si="111"/>
        <v>70488828</v>
      </c>
      <c r="O293" s="482">
        <f t="shared" si="120"/>
        <v>4.043827287412962E-2</v>
      </c>
    </row>
    <row r="294" spans="1:15" ht="12.75" x14ac:dyDescent="0.2">
      <c r="A294" s="334">
        <v>2</v>
      </c>
      <c r="B294" s="335">
        <v>6</v>
      </c>
      <c r="C294" s="335">
        <v>3</v>
      </c>
      <c r="D294" s="335">
        <v>2</v>
      </c>
      <c r="E294" s="335"/>
      <c r="F294" s="343" t="s">
        <v>183</v>
      </c>
      <c r="G294" s="29">
        <f>+G295</f>
        <v>0</v>
      </c>
      <c r="H294" s="29">
        <f t="shared" ref="H294:O294" si="131">+H295</f>
        <v>0</v>
      </c>
      <c r="I294" s="29">
        <f t="shared" si="131"/>
        <v>0</v>
      </c>
      <c r="J294" s="29">
        <f t="shared" si="131"/>
        <v>0</v>
      </c>
      <c r="K294" s="29">
        <f t="shared" si="131"/>
        <v>0</v>
      </c>
      <c r="L294" s="29">
        <f t="shared" si="131"/>
        <v>0</v>
      </c>
      <c r="M294" s="29">
        <f t="shared" si="131"/>
        <v>941412</v>
      </c>
      <c r="N294" s="29">
        <f t="shared" si="111"/>
        <v>941412</v>
      </c>
      <c r="O294" s="483">
        <f t="shared" si="120"/>
        <v>5.4007246854749968E-4</v>
      </c>
    </row>
    <row r="295" spans="1:15" ht="12.75" x14ac:dyDescent="0.2">
      <c r="A295" s="344">
        <v>2</v>
      </c>
      <c r="B295" s="338">
        <v>6</v>
      </c>
      <c r="C295" s="338">
        <v>3</v>
      </c>
      <c r="D295" s="338">
        <v>2</v>
      </c>
      <c r="E295" s="338" t="s">
        <v>202</v>
      </c>
      <c r="F295" s="342" t="s">
        <v>183</v>
      </c>
      <c r="G295" s="27"/>
      <c r="H295" s="27"/>
      <c r="I295" s="27"/>
      <c r="J295" s="27"/>
      <c r="K295" s="27"/>
      <c r="L295" s="27"/>
      <c r="M295" s="27">
        <v>941412</v>
      </c>
      <c r="N295" s="27">
        <f t="shared" si="111"/>
        <v>941412</v>
      </c>
      <c r="O295" s="482">
        <f t="shared" si="120"/>
        <v>5.4007246854749968E-4</v>
      </c>
    </row>
    <row r="296" spans="1:15" ht="12.75" x14ac:dyDescent="0.2">
      <c r="A296" s="331">
        <v>2</v>
      </c>
      <c r="B296" s="332">
        <v>6</v>
      </c>
      <c r="C296" s="332">
        <v>4</v>
      </c>
      <c r="D296" s="332"/>
      <c r="E296" s="332"/>
      <c r="F296" s="333" t="s">
        <v>184</v>
      </c>
      <c r="G296" s="32">
        <f>+G297+G299+G301</f>
        <v>0</v>
      </c>
      <c r="H296" s="32">
        <f t="shared" ref="H296:O296" si="132">+H297+H299+H301</f>
        <v>0</v>
      </c>
      <c r="I296" s="32">
        <f t="shared" si="132"/>
        <v>0</v>
      </c>
      <c r="J296" s="32">
        <f t="shared" si="132"/>
        <v>0</v>
      </c>
      <c r="K296" s="32">
        <f t="shared" si="132"/>
        <v>0</v>
      </c>
      <c r="L296" s="32">
        <f t="shared" si="132"/>
        <v>0</v>
      </c>
      <c r="M296" s="32">
        <f t="shared" si="132"/>
        <v>0</v>
      </c>
      <c r="N296" s="32">
        <f t="shared" si="111"/>
        <v>0</v>
      </c>
      <c r="O296" s="480">
        <f t="shared" si="120"/>
        <v>0</v>
      </c>
    </row>
    <row r="297" spans="1:15" ht="12.75" x14ac:dyDescent="0.2">
      <c r="A297" s="334">
        <v>2</v>
      </c>
      <c r="B297" s="335">
        <v>6</v>
      </c>
      <c r="C297" s="335">
        <v>4</v>
      </c>
      <c r="D297" s="335">
        <v>1</v>
      </c>
      <c r="E297" s="335"/>
      <c r="F297" s="343" t="s">
        <v>185</v>
      </c>
      <c r="G297" s="29">
        <f>+G298</f>
        <v>0</v>
      </c>
      <c r="H297" s="29">
        <f t="shared" ref="H297:O301" si="133">+H298</f>
        <v>0</v>
      </c>
      <c r="I297" s="29">
        <f t="shared" si="133"/>
        <v>0</v>
      </c>
      <c r="J297" s="29">
        <f t="shared" si="133"/>
        <v>0</v>
      </c>
      <c r="K297" s="29">
        <f t="shared" si="133"/>
        <v>0</v>
      </c>
      <c r="L297" s="29">
        <f t="shared" si="133"/>
        <v>0</v>
      </c>
      <c r="M297" s="29">
        <f t="shared" si="133"/>
        <v>0</v>
      </c>
      <c r="N297" s="29">
        <f t="shared" si="111"/>
        <v>0</v>
      </c>
      <c r="O297" s="483">
        <f t="shared" si="120"/>
        <v>0</v>
      </c>
    </row>
    <row r="298" spans="1:15" ht="12.75" x14ac:dyDescent="0.2">
      <c r="A298" s="344">
        <v>2</v>
      </c>
      <c r="B298" s="338">
        <v>6</v>
      </c>
      <c r="C298" s="338">
        <v>4</v>
      </c>
      <c r="D298" s="338">
        <v>1</v>
      </c>
      <c r="E298" s="338" t="s">
        <v>202</v>
      </c>
      <c r="F298" s="342" t="s">
        <v>185</v>
      </c>
      <c r="G298" s="27"/>
      <c r="H298" s="27"/>
      <c r="I298" s="27"/>
      <c r="J298" s="27"/>
      <c r="K298" s="27"/>
      <c r="L298" s="27"/>
      <c r="M298" s="27"/>
      <c r="N298" s="27">
        <f t="shared" si="111"/>
        <v>0</v>
      </c>
      <c r="O298" s="482">
        <f t="shared" si="120"/>
        <v>0</v>
      </c>
    </row>
    <row r="299" spans="1:15" ht="12.75" x14ac:dyDescent="0.2">
      <c r="A299" s="334">
        <v>2</v>
      </c>
      <c r="B299" s="335">
        <v>6</v>
      </c>
      <c r="C299" s="335">
        <v>4</v>
      </c>
      <c r="D299" s="335">
        <v>2</v>
      </c>
      <c r="E299" s="335"/>
      <c r="F299" s="343" t="s">
        <v>186</v>
      </c>
      <c r="G299" s="29">
        <f>+G300</f>
        <v>0</v>
      </c>
      <c r="H299" s="29">
        <f t="shared" ref="H299:M299" si="134">+H300</f>
        <v>0</v>
      </c>
      <c r="I299" s="29">
        <f t="shared" si="134"/>
        <v>0</v>
      </c>
      <c r="J299" s="29">
        <f t="shared" si="134"/>
        <v>0</v>
      </c>
      <c r="K299" s="29">
        <f t="shared" si="134"/>
        <v>0</v>
      </c>
      <c r="L299" s="29">
        <f t="shared" si="134"/>
        <v>0</v>
      </c>
      <c r="M299" s="29">
        <f t="shared" si="134"/>
        <v>0</v>
      </c>
      <c r="N299" s="29">
        <f t="shared" si="111"/>
        <v>0</v>
      </c>
      <c r="O299" s="483">
        <f t="shared" si="120"/>
        <v>0</v>
      </c>
    </row>
    <row r="300" spans="1:15" ht="12.75" x14ac:dyDescent="0.2">
      <c r="A300" s="344">
        <v>2</v>
      </c>
      <c r="B300" s="338">
        <v>6</v>
      </c>
      <c r="C300" s="338">
        <v>4</v>
      </c>
      <c r="D300" s="338">
        <v>2</v>
      </c>
      <c r="E300" s="338" t="s">
        <v>202</v>
      </c>
      <c r="F300" s="342" t="s">
        <v>186</v>
      </c>
      <c r="G300" s="27"/>
      <c r="H300" s="27"/>
      <c r="I300" s="27"/>
      <c r="J300" s="27"/>
      <c r="K300" s="27"/>
      <c r="L300" s="27"/>
      <c r="M300" s="27"/>
      <c r="N300" s="27">
        <f t="shared" si="111"/>
        <v>0</v>
      </c>
      <c r="O300" s="482">
        <f t="shared" si="120"/>
        <v>0</v>
      </c>
    </row>
    <row r="301" spans="1:15" ht="12.75" x14ac:dyDescent="0.2">
      <c r="A301" s="334">
        <v>2</v>
      </c>
      <c r="B301" s="335">
        <v>6</v>
      </c>
      <c r="C301" s="335">
        <v>4</v>
      </c>
      <c r="D301" s="335">
        <v>8</v>
      </c>
      <c r="E301" s="335"/>
      <c r="F301" s="343" t="s">
        <v>187</v>
      </c>
      <c r="G301" s="29">
        <f>+G302</f>
        <v>0</v>
      </c>
      <c r="H301" s="29">
        <f t="shared" ref="H301:M301" si="135">+H302</f>
        <v>0</v>
      </c>
      <c r="I301" s="29">
        <f t="shared" si="135"/>
        <v>0</v>
      </c>
      <c r="J301" s="29">
        <f t="shared" si="135"/>
        <v>0</v>
      </c>
      <c r="K301" s="29">
        <f t="shared" si="135"/>
        <v>0</v>
      </c>
      <c r="L301" s="29">
        <f t="shared" si="135"/>
        <v>0</v>
      </c>
      <c r="M301" s="29">
        <f t="shared" si="135"/>
        <v>0</v>
      </c>
      <c r="N301" s="29">
        <f t="shared" si="111"/>
        <v>0</v>
      </c>
      <c r="O301" s="483">
        <f t="shared" si="120"/>
        <v>0</v>
      </c>
    </row>
    <row r="302" spans="1:15" ht="12.75" x14ac:dyDescent="0.2">
      <c r="A302" s="344">
        <v>2</v>
      </c>
      <c r="B302" s="338">
        <v>6</v>
      </c>
      <c r="C302" s="338">
        <v>4</v>
      </c>
      <c r="D302" s="338">
        <v>8</v>
      </c>
      <c r="E302" s="338" t="s">
        <v>202</v>
      </c>
      <c r="F302" s="342" t="s">
        <v>187</v>
      </c>
      <c r="G302" s="27"/>
      <c r="H302" s="27"/>
      <c r="I302" s="27"/>
      <c r="J302" s="27"/>
      <c r="K302" s="27"/>
      <c r="L302" s="27"/>
      <c r="M302" s="27"/>
      <c r="N302" s="27">
        <f t="shared" si="111"/>
        <v>0</v>
      </c>
      <c r="O302" s="482">
        <f t="shared" si="120"/>
        <v>0</v>
      </c>
    </row>
    <row r="303" spans="1:15" ht="12.75" x14ac:dyDescent="0.2">
      <c r="A303" s="331">
        <v>2</v>
      </c>
      <c r="B303" s="332">
        <v>6</v>
      </c>
      <c r="C303" s="332">
        <v>5</v>
      </c>
      <c r="D303" s="332"/>
      <c r="E303" s="332"/>
      <c r="F303" s="333" t="s">
        <v>188</v>
      </c>
      <c r="G303" s="32">
        <f>+G304+G306+G308+G310</f>
        <v>0</v>
      </c>
      <c r="H303" s="32">
        <f t="shared" ref="H303:O303" si="136">+H304+H306+H308+H310</f>
        <v>0</v>
      </c>
      <c r="I303" s="32">
        <f t="shared" si="136"/>
        <v>0</v>
      </c>
      <c r="J303" s="32">
        <f t="shared" si="136"/>
        <v>0</v>
      </c>
      <c r="K303" s="32">
        <f t="shared" si="136"/>
        <v>0</v>
      </c>
      <c r="L303" s="32">
        <f t="shared" si="136"/>
        <v>0</v>
      </c>
      <c r="M303" s="32">
        <f t="shared" si="136"/>
        <v>336000</v>
      </c>
      <c r="N303" s="32">
        <f t="shared" si="111"/>
        <v>336000</v>
      </c>
      <c r="O303" s="480">
        <f t="shared" si="120"/>
        <v>1.9275763367363055E-4</v>
      </c>
    </row>
    <row r="304" spans="1:15" ht="12.75" x14ac:dyDescent="0.2">
      <c r="A304" s="334">
        <v>2</v>
      </c>
      <c r="B304" s="335">
        <v>6</v>
      </c>
      <c r="C304" s="335">
        <v>5</v>
      </c>
      <c r="D304" s="335">
        <v>2</v>
      </c>
      <c r="E304" s="335"/>
      <c r="F304" s="343" t="s">
        <v>189</v>
      </c>
      <c r="G304" s="29">
        <f>+G305</f>
        <v>0</v>
      </c>
      <c r="H304" s="29">
        <f t="shared" ref="H304:O304" si="137">+H305</f>
        <v>0</v>
      </c>
      <c r="I304" s="29">
        <f t="shared" si="137"/>
        <v>0</v>
      </c>
      <c r="J304" s="29">
        <f t="shared" si="137"/>
        <v>0</v>
      </c>
      <c r="K304" s="29">
        <f t="shared" si="137"/>
        <v>0</v>
      </c>
      <c r="L304" s="29">
        <f t="shared" si="137"/>
        <v>0</v>
      </c>
      <c r="M304" s="29">
        <f t="shared" si="137"/>
        <v>0</v>
      </c>
      <c r="N304" s="29">
        <f t="shared" si="111"/>
        <v>0</v>
      </c>
      <c r="O304" s="483">
        <f t="shared" si="120"/>
        <v>0</v>
      </c>
    </row>
    <row r="305" spans="1:15" ht="12.75" x14ac:dyDescent="0.2">
      <c r="A305" s="337">
        <v>2</v>
      </c>
      <c r="B305" s="338">
        <v>6</v>
      </c>
      <c r="C305" s="338">
        <v>5</v>
      </c>
      <c r="D305" s="338">
        <v>2</v>
      </c>
      <c r="E305" s="338" t="s">
        <v>202</v>
      </c>
      <c r="F305" s="342" t="s">
        <v>189</v>
      </c>
      <c r="G305" s="27"/>
      <c r="H305" s="27"/>
      <c r="I305" s="27"/>
      <c r="J305" s="27"/>
      <c r="K305" s="27"/>
      <c r="L305" s="27"/>
      <c r="M305" s="27"/>
      <c r="N305" s="27">
        <f t="shared" si="111"/>
        <v>0</v>
      </c>
      <c r="O305" s="482">
        <f t="shared" si="120"/>
        <v>0</v>
      </c>
    </row>
    <row r="306" spans="1:15" ht="12.75" x14ac:dyDescent="0.2">
      <c r="A306" s="334">
        <v>2</v>
      </c>
      <c r="B306" s="335">
        <v>6</v>
      </c>
      <c r="C306" s="335">
        <v>5</v>
      </c>
      <c r="D306" s="335">
        <v>4</v>
      </c>
      <c r="E306" s="335"/>
      <c r="F306" s="343" t="s">
        <v>1026</v>
      </c>
      <c r="G306" s="29">
        <f>+G307</f>
        <v>0</v>
      </c>
      <c r="H306" s="29">
        <f t="shared" ref="H306:O306" si="138">+H307</f>
        <v>0</v>
      </c>
      <c r="I306" s="29">
        <f t="shared" si="138"/>
        <v>0</v>
      </c>
      <c r="J306" s="29">
        <f t="shared" si="138"/>
        <v>0</v>
      </c>
      <c r="K306" s="29">
        <f t="shared" si="138"/>
        <v>0</v>
      </c>
      <c r="L306" s="29">
        <f t="shared" si="138"/>
        <v>0</v>
      </c>
      <c r="M306" s="29">
        <f t="shared" si="138"/>
        <v>336000</v>
      </c>
      <c r="N306" s="29">
        <f t="shared" si="111"/>
        <v>336000</v>
      </c>
      <c r="O306" s="483">
        <f t="shared" si="120"/>
        <v>1.9275763367363055E-4</v>
      </c>
    </row>
    <row r="307" spans="1:15" ht="12.75" x14ac:dyDescent="0.2">
      <c r="A307" s="337">
        <v>2</v>
      </c>
      <c r="B307" s="338">
        <v>6</v>
      </c>
      <c r="C307" s="338">
        <v>5</v>
      </c>
      <c r="D307" s="338">
        <v>4</v>
      </c>
      <c r="E307" s="338" t="s">
        <v>202</v>
      </c>
      <c r="F307" s="342" t="s">
        <v>1026</v>
      </c>
      <c r="G307" s="27"/>
      <c r="H307" s="27"/>
      <c r="I307" s="27"/>
      <c r="J307" s="27"/>
      <c r="K307" s="27"/>
      <c r="L307" s="27"/>
      <c r="M307" s="27">
        <v>336000</v>
      </c>
      <c r="N307" s="27">
        <f t="shared" si="111"/>
        <v>336000</v>
      </c>
      <c r="O307" s="482">
        <f t="shared" si="120"/>
        <v>1.9275763367363055E-4</v>
      </c>
    </row>
    <row r="308" spans="1:15" ht="12.75" x14ac:dyDescent="0.2">
      <c r="A308" s="334">
        <v>2</v>
      </c>
      <c r="B308" s="335">
        <v>6</v>
      </c>
      <c r="C308" s="335">
        <v>5</v>
      </c>
      <c r="D308" s="335">
        <v>5</v>
      </c>
      <c r="E308" s="335"/>
      <c r="F308" s="343" t="s">
        <v>190</v>
      </c>
      <c r="G308" s="29">
        <f>+G309</f>
        <v>0</v>
      </c>
      <c r="H308" s="29">
        <f t="shared" ref="H308:O308" si="139">+H309</f>
        <v>0</v>
      </c>
      <c r="I308" s="29">
        <f t="shared" si="139"/>
        <v>0</v>
      </c>
      <c r="J308" s="29">
        <f t="shared" si="139"/>
        <v>0</v>
      </c>
      <c r="K308" s="29">
        <f t="shared" si="139"/>
        <v>0</v>
      </c>
      <c r="L308" s="29">
        <f t="shared" si="139"/>
        <v>0</v>
      </c>
      <c r="M308" s="29">
        <f t="shared" si="139"/>
        <v>0</v>
      </c>
      <c r="N308" s="29">
        <f t="shared" si="111"/>
        <v>0</v>
      </c>
      <c r="O308" s="483">
        <f t="shared" si="120"/>
        <v>0</v>
      </c>
    </row>
    <row r="309" spans="1:15" ht="12.75" x14ac:dyDescent="0.2">
      <c r="A309" s="337">
        <v>2</v>
      </c>
      <c r="B309" s="338">
        <v>6</v>
      </c>
      <c r="C309" s="338">
        <v>5</v>
      </c>
      <c r="D309" s="338">
        <v>5</v>
      </c>
      <c r="E309" s="338" t="s">
        <v>202</v>
      </c>
      <c r="F309" s="342" t="s">
        <v>190</v>
      </c>
      <c r="G309" s="27"/>
      <c r="H309" s="27"/>
      <c r="I309" s="27"/>
      <c r="J309" s="27"/>
      <c r="K309" s="27"/>
      <c r="L309" s="27"/>
      <c r="M309" s="27"/>
      <c r="N309" s="27">
        <f t="shared" si="111"/>
        <v>0</v>
      </c>
      <c r="O309" s="482">
        <f t="shared" si="120"/>
        <v>0</v>
      </c>
    </row>
    <row r="310" spans="1:15" ht="12.75" x14ac:dyDescent="0.2">
      <c r="A310" s="334">
        <v>2</v>
      </c>
      <c r="B310" s="335">
        <v>6</v>
      </c>
      <c r="C310" s="335">
        <v>5</v>
      </c>
      <c r="D310" s="335">
        <v>6</v>
      </c>
      <c r="E310" s="335"/>
      <c r="F310" s="343" t="s">
        <v>191</v>
      </c>
      <c r="G310" s="29">
        <f>+G311</f>
        <v>0</v>
      </c>
      <c r="H310" s="29">
        <f t="shared" ref="H310:O310" si="140">+H311</f>
        <v>0</v>
      </c>
      <c r="I310" s="29">
        <f t="shared" si="140"/>
        <v>0</v>
      </c>
      <c r="J310" s="29">
        <f t="shared" si="140"/>
        <v>0</v>
      </c>
      <c r="K310" s="29">
        <f t="shared" si="140"/>
        <v>0</v>
      </c>
      <c r="L310" s="29">
        <f t="shared" si="140"/>
        <v>0</v>
      </c>
      <c r="M310" s="29">
        <f t="shared" si="140"/>
        <v>0</v>
      </c>
      <c r="N310" s="29">
        <f t="shared" si="111"/>
        <v>0</v>
      </c>
      <c r="O310" s="483">
        <f t="shared" si="120"/>
        <v>0</v>
      </c>
    </row>
    <row r="311" spans="1:15" ht="12.75" x14ac:dyDescent="0.2">
      <c r="A311" s="337">
        <v>2</v>
      </c>
      <c r="B311" s="338">
        <v>6</v>
      </c>
      <c r="C311" s="338">
        <v>5</v>
      </c>
      <c r="D311" s="338">
        <v>6</v>
      </c>
      <c r="E311" s="338" t="s">
        <v>202</v>
      </c>
      <c r="F311" s="342" t="s">
        <v>191</v>
      </c>
      <c r="G311" s="27"/>
      <c r="H311" s="27"/>
      <c r="I311" s="27"/>
      <c r="J311" s="27"/>
      <c r="K311" s="27"/>
      <c r="L311" s="27"/>
      <c r="M311" s="27"/>
      <c r="N311" s="27">
        <f t="shared" si="111"/>
        <v>0</v>
      </c>
      <c r="O311" s="482">
        <f t="shared" si="120"/>
        <v>0</v>
      </c>
    </row>
    <row r="312" spans="1:15" ht="12.75" x14ac:dyDescent="0.2">
      <c r="A312" s="331">
        <v>2</v>
      </c>
      <c r="B312" s="332">
        <v>6</v>
      </c>
      <c r="C312" s="332">
        <v>6</v>
      </c>
      <c r="D312" s="332"/>
      <c r="E312" s="332"/>
      <c r="F312" s="333" t="s">
        <v>266</v>
      </c>
      <c r="G312" s="32">
        <f>+G313</f>
        <v>0</v>
      </c>
      <c r="H312" s="32">
        <f t="shared" ref="H312:O321" si="141">+H313</f>
        <v>0</v>
      </c>
      <c r="I312" s="32">
        <f t="shared" si="141"/>
        <v>0</v>
      </c>
      <c r="J312" s="32">
        <f t="shared" si="141"/>
        <v>0</v>
      </c>
      <c r="K312" s="32">
        <f t="shared" si="141"/>
        <v>0</v>
      </c>
      <c r="L312" s="32">
        <f t="shared" si="141"/>
        <v>0</v>
      </c>
      <c r="M312" s="32">
        <f t="shared" si="141"/>
        <v>0</v>
      </c>
      <c r="N312" s="32">
        <f t="shared" si="111"/>
        <v>0</v>
      </c>
      <c r="O312" s="480">
        <f t="shared" si="120"/>
        <v>0</v>
      </c>
    </row>
    <row r="313" spans="1:15" ht="12.75" x14ac:dyDescent="0.2">
      <c r="A313" s="334">
        <v>2</v>
      </c>
      <c r="B313" s="335">
        <v>6</v>
      </c>
      <c r="C313" s="335">
        <v>6</v>
      </c>
      <c r="D313" s="335">
        <v>1</v>
      </c>
      <c r="E313" s="335"/>
      <c r="F313" s="351" t="s">
        <v>267</v>
      </c>
      <c r="G313" s="30">
        <f>+G314</f>
        <v>0</v>
      </c>
      <c r="H313" s="30">
        <f t="shared" si="141"/>
        <v>0</v>
      </c>
      <c r="I313" s="30">
        <f t="shared" si="141"/>
        <v>0</v>
      </c>
      <c r="J313" s="30">
        <f t="shared" si="141"/>
        <v>0</v>
      </c>
      <c r="K313" s="30">
        <f t="shared" si="141"/>
        <v>0</v>
      </c>
      <c r="L313" s="30">
        <f t="shared" si="141"/>
        <v>0</v>
      </c>
      <c r="M313" s="30">
        <f t="shared" si="141"/>
        <v>0</v>
      </c>
      <c r="N313" s="30">
        <f t="shared" si="111"/>
        <v>0</v>
      </c>
      <c r="O313" s="481">
        <f t="shared" si="120"/>
        <v>0</v>
      </c>
    </row>
    <row r="314" spans="1:15" ht="12.75" x14ac:dyDescent="0.2">
      <c r="A314" s="337">
        <v>2</v>
      </c>
      <c r="B314" s="338">
        <v>6</v>
      </c>
      <c r="C314" s="338">
        <v>6</v>
      </c>
      <c r="D314" s="338">
        <v>1</v>
      </c>
      <c r="E314" s="338" t="s">
        <v>202</v>
      </c>
      <c r="F314" s="342" t="s">
        <v>267</v>
      </c>
      <c r="G314" s="27"/>
      <c r="H314" s="27"/>
      <c r="I314" s="27"/>
      <c r="J314" s="27"/>
      <c r="K314" s="27"/>
      <c r="L314" s="27"/>
      <c r="M314" s="27"/>
      <c r="N314" s="27">
        <f t="shared" si="111"/>
        <v>0</v>
      </c>
      <c r="O314" s="482">
        <f t="shared" si="120"/>
        <v>0</v>
      </c>
    </row>
    <row r="315" spans="1:15" ht="12.75" x14ac:dyDescent="0.2">
      <c r="A315" s="331">
        <v>2</v>
      </c>
      <c r="B315" s="332">
        <v>6</v>
      </c>
      <c r="C315" s="332">
        <v>8</v>
      </c>
      <c r="D315" s="332"/>
      <c r="E315" s="332"/>
      <c r="F315" s="333" t="s">
        <v>193</v>
      </c>
      <c r="G315" s="32">
        <f>+G316+G319+G321+G323</f>
        <v>0</v>
      </c>
      <c r="H315" s="32">
        <f t="shared" ref="H315:O315" si="142">+H316+H319+H321+H323</f>
        <v>0</v>
      </c>
      <c r="I315" s="32">
        <f t="shared" si="142"/>
        <v>0</v>
      </c>
      <c r="J315" s="32">
        <f t="shared" si="142"/>
        <v>0</v>
      </c>
      <c r="K315" s="32">
        <f t="shared" si="142"/>
        <v>0</v>
      </c>
      <c r="L315" s="32">
        <f t="shared" si="142"/>
        <v>0</v>
      </c>
      <c r="M315" s="32">
        <f t="shared" si="142"/>
        <v>0</v>
      </c>
      <c r="N315" s="32">
        <f t="shared" si="111"/>
        <v>0</v>
      </c>
      <c r="O315" s="480">
        <f t="shared" si="120"/>
        <v>0</v>
      </c>
    </row>
    <row r="316" spans="1:15" ht="12.75" x14ac:dyDescent="0.2">
      <c r="A316" s="334">
        <v>2</v>
      </c>
      <c r="B316" s="335">
        <v>6</v>
      </c>
      <c r="C316" s="335">
        <v>8</v>
      </c>
      <c r="D316" s="335">
        <v>3</v>
      </c>
      <c r="E316" s="335"/>
      <c r="F316" s="343" t="s">
        <v>194</v>
      </c>
      <c r="G316" s="29">
        <f>+G317+G318</f>
        <v>0</v>
      </c>
      <c r="H316" s="29">
        <f t="shared" ref="H316:O316" si="143">+H317+H318</f>
        <v>0</v>
      </c>
      <c r="I316" s="29">
        <f t="shared" si="143"/>
        <v>0</v>
      </c>
      <c r="J316" s="29">
        <f t="shared" si="143"/>
        <v>0</v>
      </c>
      <c r="K316" s="29">
        <f t="shared" si="143"/>
        <v>0</v>
      </c>
      <c r="L316" s="29">
        <f t="shared" si="143"/>
        <v>0</v>
      </c>
      <c r="M316" s="29">
        <f t="shared" si="143"/>
        <v>0</v>
      </c>
      <c r="N316" s="29">
        <f t="shared" si="111"/>
        <v>0</v>
      </c>
      <c r="O316" s="483">
        <f t="shared" si="120"/>
        <v>0</v>
      </c>
    </row>
    <row r="317" spans="1:15" ht="12.75" x14ac:dyDescent="0.2">
      <c r="A317" s="344">
        <v>2</v>
      </c>
      <c r="B317" s="338">
        <v>6</v>
      </c>
      <c r="C317" s="338">
        <v>8</v>
      </c>
      <c r="D317" s="338">
        <v>3</v>
      </c>
      <c r="E317" s="338" t="s">
        <v>202</v>
      </c>
      <c r="F317" s="342" t="s">
        <v>195</v>
      </c>
      <c r="G317" s="27"/>
      <c r="H317" s="27"/>
      <c r="I317" s="27"/>
      <c r="J317" s="27"/>
      <c r="K317" s="27"/>
      <c r="L317" s="27"/>
      <c r="M317" s="27"/>
      <c r="N317" s="27">
        <f t="shared" si="111"/>
        <v>0</v>
      </c>
      <c r="O317" s="482">
        <f t="shared" si="120"/>
        <v>0</v>
      </c>
    </row>
    <row r="318" spans="1:15" ht="12.75" x14ac:dyDescent="0.2">
      <c r="A318" s="344">
        <v>2</v>
      </c>
      <c r="B318" s="338">
        <v>6</v>
      </c>
      <c r="C318" s="338">
        <v>8</v>
      </c>
      <c r="D318" s="338">
        <v>3</v>
      </c>
      <c r="E318" s="338" t="s">
        <v>203</v>
      </c>
      <c r="F318" s="342" t="s">
        <v>196</v>
      </c>
      <c r="G318" s="27"/>
      <c r="H318" s="27"/>
      <c r="I318" s="27"/>
      <c r="J318" s="27"/>
      <c r="K318" s="27"/>
      <c r="L318" s="27"/>
      <c r="M318" s="27"/>
      <c r="N318" s="27">
        <f t="shared" si="111"/>
        <v>0</v>
      </c>
      <c r="O318" s="482">
        <f t="shared" si="120"/>
        <v>0</v>
      </c>
    </row>
    <row r="319" spans="1:15" ht="12.75" x14ac:dyDescent="0.2">
      <c r="A319" s="334">
        <v>2</v>
      </c>
      <c r="B319" s="335">
        <v>6</v>
      </c>
      <c r="C319" s="335">
        <v>8</v>
      </c>
      <c r="D319" s="335">
        <v>5</v>
      </c>
      <c r="E319" s="335"/>
      <c r="F319" s="343" t="s">
        <v>197</v>
      </c>
      <c r="G319" s="29">
        <f>+G320</f>
        <v>0</v>
      </c>
      <c r="H319" s="29">
        <f t="shared" ref="H319:M319" si="144">+H320</f>
        <v>0</v>
      </c>
      <c r="I319" s="29">
        <f t="shared" si="144"/>
        <v>0</v>
      </c>
      <c r="J319" s="29">
        <f t="shared" si="144"/>
        <v>0</v>
      </c>
      <c r="K319" s="29">
        <f t="shared" si="144"/>
        <v>0</v>
      </c>
      <c r="L319" s="29">
        <f t="shared" si="144"/>
        <v>0</v>
      </c>
      <c r="M319" s="29">
        <f t="shared" si="144"/>
        <v>0</v>
      </c>
      <c r="N319" s="29">
        <f t="shared" si="111"/>
        <v>0</v>
      </c>
      <c r="O319" s="483">
        <f t="shared" si="120"/>
        <v>0</v>
      </c>
    </row>
    <row r="320" spans="1:15" ht="12.75" x14ac:dyDescent="0.2">
      <c r="A320" s="344">
        <v>2</v>
      </c>
      <c r="B320" s="338">
        <v>6</v>
      </c>
      <c r="C320" s="338">
        <v>8</v>
      </c>
      <c r="D320" s="338">
        <v>5</v>
      </c>
      <c r="E320" s="338" t="s">
        <v>202</v>
      </c>
      <c r="F320" s="342" t="s">
        <v>197</v>
      </c>
      <c r="G320" s="27"/>
      <c r="H320" s="27"/>
      <c r="I320" s="27"/>
      <c r="J320" s="27"/>
      <c r="K320" s="27"/>
      <c r="L320" s="27"/>
      <c r="M320" s="27"/>
      <c r="N320" s="27">
        <f t="shared" si="111"/>
        <v>0</v>
      </c>
      <c r="O320" s="482">
        <f>IFERROR(N320/$N$18*100,"0.00")/100</f>
        <v>0</v>
      </c>
    </row>
    <row r="321" spans="1:15" ht="12.75" x14ac:dyDescent="0.2">
      <c r="A321" s="334">
        <v>2</v>
      </c>
      <c r="B321" s="335">
        <v>6</v>
      </c>
      <c r="C321" s="335">
        <v>8</v>
      </c>
      <c r="D321" s="335">
        <v>8</v>
      </c>
      <c r="E321" s="335"/>
      <c r="F321" s="351" t="s">
        <v>198</v>
      </c>
      <c r="G321" s="29">
        <f>+G322</f>
        <v>0</v>
      </c>
      <c r="H321" s="29">
        <f t="shared" ref="H321:M321" si="145">+H322</f>
        <v>0</v>
      </c>
      <c r="I321" s="29">
        <f t="shared" si="145"/>
        <v>0</v>
      </c>
      <c r="J321" s="29">
        <f t="shared" si="145"/>
        <v>0</v>
      </c>
      <c r="K321" s="29">
        <f t="shared" si="145"/>
        <v>0</v>
      </c>
      <c r="L321" s="29">
        <f t="shared" si="145"/>
        <v>0</v>
      </c>
      <c r="M321" s="29">
        <f t="shared" si="145"/>
        <v>0</v>
      </c>
      <c r="N321" s="29">
        <f t="shared" si="111"/>
        <v>0</v>
      </c>
      <c r="O321" s="483">
        <f t="shared" ref="O321:O328" si="146">IFERROR(N321/$N$18*100,"0.00")/100</f>
        <v>0</v>
      </c>
    </row>
    <row r="322" spans="1:15" ht="12.75" x14ac:dyDescent="0.2">
      <c r="A322" s="344">
        <v>2</v>
      </c>
      <c r="B322" s="338">
        <v>6</v>
      </c>
      <c r="C322" s="338">
        <v>8</v>
      </c>
      <c r="D322" s="338">
        <v>8</v>
      </c>
      <c r="E322" s="338" t="s">
        <v>202</v>
      </c>
      <c r="F322" s="342" t="s">
        <v>1027</v>
      </c>
      <c r="G322" s="27"/>
      <c r="H322" s="27"/>
      <c r="I322" s="27"/>
      <c r="J322" s="27"/>
      <c r="K322" s="27"/>
      <c r="L322" s="27"/>
      <c r="M322" s="27"/>
      <c r="N322" s="27">
        <f t="shared" si="111"/>
        <v>0</v>
      </c>
      <c r="O322" s="482">
        <f t="shared" si="146"/>
        <v>0</v>
      </c>
    </row>
    <row r="323" spans="1:15" ht="12.75" x14ac:dyDescent="0.2">
      <c r="A323" s="334">
        <v>2</v>
      </c>
      <c r="B323" s="335">
        <v>6</v>
      </c>
      <c r="C323" s="335">
        <v>8</v>
      </c>
      <c r="D323" s="335">
        <v>9</v>
      </c>
      <c r="E323" s="335"/>
      <c r="F323" s="351" t="s">
        <v>199</v>
      </c>
      <c r="G323" s="29">
        <f>+G324</f>
        <v>0</v>
      </c>
      <c r="H323" s="29">
        <f t="shared" ref="H323:M323" si="147">+H324</f>
        <v>0</v>
      </c>
      <c r="I323" s="29">
        <f t="shared" si="147"/>
        <v>0</v>
      </c>
      <c r="J323" s="29">
        <f t="shared" si="147"/>
        <v>0</v>
      </c>
      <c r="K323" s="29">
        <f t="shared" si="147"/>
        <v>0</v>
      </c>
      <c r="L323" s="29">
        <f t="shared" si="147"/>
        <v>0</v>
      </c>
      <c r="M323" s="29">
        <f t="shared" si="147"/>
        <v>0</v>
      </c>
      <c r="N323" s="29">
        <f t="shared" si="111"/>
        <v>0</v>
      </c>
      <c r="O323" s="483">
        <f t="shared" si="146"/>
        <v>0</v>
      </c>
    </row>
    <row r="324" spans="1:15" ht="12.75" x14ac:dyDescent="0.2">
      <c r="A324" s="344">
        <v>2</v>
      </c>
      <c r="B324" s="338">
        <v>6</v>
      </c>
      <c r="C324" s="338">
        <v>8</v>
      </c>
      <c r="D324" s="338">
        <v>9</v>
      </c>
      <c r="E324" s="338" t="s">
        <v>202</v>
      </c>
      <c r="F324" s="342" t="s">
        <v>199</v>
      </c>
      <c r="G324" s="27"/>
      <c r="H324" s="27"/>
      <c r="I324" s="27"/>
      <c r="J324" s="27"/>
      <c r="K324" s="27"/>
      <c r="L324" s="27"/>
      <c r="M324" s="27"/>
      <c r="N324" s="27">
        <f t="shared" ref="N324:N328" si="148">+G324+H324+I324+J324+K324+L324+M324</f>
        <v>0</v>
      </c>
      <c r="O324" s="482">
        <f t="shared" si="146"/>
        <v>0</v>
      </c>
    </row>
    <row r="325" spans="1:15" ht="12.75" x14ac:dyDescent="0.2">
      <c r="A325" s="327">
        <v>2</v>
      </c>
      <c r="B325" s="328">
        <v>7</v>
      </c>
      <c r="C325" s="329"/>
      <c r="D325" s="329"/>
      <c r="E325" s="329"/>
      <c r="F325" s="330" t="s">
        <v>175</v>
      </c>
      <c r="G325" s="33">
        <f>+G326</f>
        <v>0</v>
      </c>
      <c r="H325" s="33">
        <f t="shared" ref="H325:O327" si="149">+H326</f>
        <v>0</v>
      </c>
      <c r="I325" s="33">
        <f t="shared" si="149"/>
        <v>0</v>
      </c>
      <c r="J325" s="33">
        <f t="shared" si="149"/>
        <v>0</v>
      </c>
      <c r="K325" s="33">
        <f t="shared" si="149"/>
        <v>0</v>
      </c>
      <c r="L325" s="33">
        <f t="shared" si="149"/>
        <v>0</v>
      </c>
      <c r="M325" s="33">
        <f t="shared" si="149"/>
        <v>0</v>
      </c>
      <c r="N325" s="33">
        <f t="shared" si="148"/>
        <v>0</v>
      </c>
      <c r="O325" s="479">
        <f t="shared" si="146"/>
        <v>0</v>
      </c>
    </row>
    <row r="326" spans="1:15" ht="12.75" x14ac:dyDescent="0.2">
      <c r="A326" s="331">
        <v>2</v>
      </c>
      <c r="B326" s="332">
        <v>7</v>
      </c>
      <c r="C326" s="332">
        <v>1</v>
      </c>
      <c r="D326" s="332"/>
      <c r="E326" s="332"/>
      <c r="F326" s="333" t="s">
        <v>200</v>
      </c>
      <c r="G326" s="32">
        <f>+G327</f>
        <v>0</v>
      </c>
      <c r="H326" s="32">
        <f t="shared" si="149"/>
        <v>0</v>
      </c>
      <c r="I326" s="32">
        <f t="shared" si="149"/>
        <v>0</v>
      </c>
      <c r="J326" s="32">
        <f t="shared" si="149"/>
        <v>0</v>
      </c>
      <c r="K326" s="32">
        <f t="shared" si="149"/>
        <v>0</v>
      </c>
      <c r="L326" s="32">
        <f t="shared" si="149"/>
        <v>0</v>
      </c>
      <c r="M326" s="32">
        <f t="shared" si="149"/>
        <v>0</v>
      </c>
      <c r="N326" s="32">
        <f t="shared" si="148"/>
        <v>0</v>
      </c>
      <c r="O326" s="480">
        <f t="shared" si="146"/>
        <v>0</v>
      </c>
    </row>
    <row r="327" spans="1:15" ht="12.75" x14ac:dyDescent="0.2">
      <c r="A327" s="334">
        <v>2</v>
      </c>
      <c r="B327" s="335">
        <v>7</v>
      </c>
      <c r="C327" s="335">
        <v>1</v>
      </c>
      <c r="D327" s="335">
        <v>2</v>
      </c>
      <c r="E327" s="335"/>
      <c r="F327" s="343" t="s">
        <v>201</v>
      </c>
      <c r="G327" s="29">
        <f>+G328</f>
        <v>0</v>
      </c>
      <c r="H327" s="29">
        <f t="shared" si="149"/>
        <v>0</v>
      </c>
      <c r="I327" s="29">
        <f t="shared" si="149"/>
        <v>0</v>
      </c>
      <c r="J327" s="29">
        <f t="shared" si="149"/>
        <v>0</v>
      </c>
      <c r="K327" s="29">
        <f t="shared" si="149"/>
        <v>0</v>
      </c>
      <c r="L327" s="29">
        <f t="shared" si="149"/>
        <v>0</v>
      </c>
      <c r="M327" s="29">
        <f t="shared" si="149"/>
        <v>0</v>
      </c>
      <c r="N327" s="29">
        <f t="shared" si="148"/>
        <v>0</v>
      </c>
      <c r="O327" s="483">
        <f t="shared" si="146"/>
        <v>0</v>
      </c>
    </row>
    <row r="328" spans="1:15" ht="12.75" x14ac:dyDescent="0.2">
      <c r="A328" s="352">
        <v>2</v>
      </c>
      <c r="B328" s="353">
        <v>7</v>
      </c>
      <c r="C328" s="353">
        <v>1</v>
      </c>
      <c r="D328" s="353">
        <v>2</v>
      </c>
      <c r="E328" s="353" t="s">
        <v>202</v>
      </c>
      <c r="F328" s="354" t="s">
        <v>201</v>
      </c>
      <c r="G328" s="390"/>
      <c r="H328" s="390"/>
      <c r="I328" s="390"/>
      <c r="J328" s="390"/>
      <c r="K328" s="390"/>
      <c r="L328" s="390"/>
      <c r="M328" s="390"/>
      <c r="N328" s="390">
        <f t="shared" si="148"/>
        <v>0</v>
      </c>
      <c r="O328" s="487">
        <f t="shared" si="146"/>
        <v>0</v>
      </c>
    </row>
    <row r="329" spans="1:15" s="59" customFormat="1" x14ac:dyDescent="0.3">
      <c r="A329" s="60"/>
      <c r="B329" s="60"/>
      <c r="C329" s="60"/>
      <c r="D329" s="60"/>
      <c r="E329" s="60"/>
      <c r="F329" s="60"/>
      <c r="G329" s="60"/>
      <c r="H329" s="60"/>
      <c r="I329" s="60"/>
      <c r="J329" s="60"/>
      <c r="K329" s="60"/>
      <c r="L329" s="60"/>
      <c r="M329" s="60"/>
      <c r="N329" s="60"/>
    </row>
    <row r="330" spans="1:15" s="59" customFormat="1" x14ac:dyDescent="0.3">
      <c r="A330" s="60"/>
      <c r="B330" s="60"/>
      <c r="C330" s="60"/>
      <c r="D330" s="60"/>
      <c r="E330" s="60"/>
      <c r="F330" s="60"/>
      <c r="G330" s="60"/>
      <c r="H330" s="60"/>
      <c r="I330" s="60"/>
      <c r="J330" s="60"/>
      <c r="K330" s="60"/>
      <c r="L330" s="60"/>
      <c r="M330" s="60"/>
      <c r="N330" s="60"/>
    </row>
    <row r="331" spans="1:15" s="59" customFormat="1" x14ac:dyDescent="0.3">
      <c r="A331" s="60"/>
      <c r="B331" s="60"/>
      <c r="C331" s="60"/>
      <c r="D331" s="60"/>
      <c r="E331" s="60"/>
      <c r="F331" s="60"/>
      <c r="G331" s="60"/>
      <c r="H331" s="60"/>
      <c r="I331" s="60"/>
      <c r="J331" s="60"/>
      <c r="K331" s="60"/>
      <c r="L331" s="60"/>
      <c r="M331" s="60"/>
      <c r="N331" s="60"/>
    </row>
    <row r="332" spans="1:15" s="59" customFormat="1" x14ac:dyDescent="0.3">
      <c r="A332" s="60"/>
      <c r="B332" s="60"/>
      <c r="C332" s="60"/>
      <c r="D332" s="60"/>
      <c r="E332" s="60"/>
      <c r="F332" s="60"/>
      <c r="G332" s="60"/>
      <c r="H332" s="60"/>
      <c r="I332" s="60"/>
      <c r="J332" s="60"/>
      <c r="K332" s="60"/>
      <c r="L332" s="60"/>
      <c r="M332" s="60"/>
      <c r="N332" s="60"/>
    </row>
    <row r="333" spans="1:15" s="59" customFormat="1" x14ac:dyDescent="0.3">
      <c r="A333" s="60"/>
      <c r="B333" s="60"/>
      <c r="C333" s="60"/>
      <c r="D333" s="60"/>
      <c r="E333" s="60"/>
      <c r="F333" s="60"/>
      <c r="G333" s="60"/>
      <c r="H333" s="60"/>
      <c r="I333" s="60"/>
      <c r="J333" s="60"/>
      <c r="K333" s="60"/>
      <c r="L333" s="60"/>
      <c r="M333" s="60"/>
      <c r="N333" s="60"/>
    </row>
    <row r="334" spans="1:15" s="59" customFormat="1" x14ac:dyDescent="0.3">
      <c r="A334" s="60"/>
      <c r="B334" s="60"/>
      <c r="C334" s="60"/>
      <c r="D334" s="60"/>
      <c r="E334" s="60"/>
      <c r="F334" s="60"/>
      <c r="G334" s="60"/>
      <c r="H334" s="60"/>
      <c r="I334" s="60"/>
      <c r="J334" s="60"/>
      <c r="K334" s="60"/>
      <c r="L334" s="60"/>
      <c r="M334" s="60"/>
      <c r="N334" s="60"/>
    </row>
    <row r="335" spans="1:15" s="59" customFormat="1" x14ac:dyDescent="0.3">
      <c r="A335" s="60"/>
      <c r="B335" s="60"/>
      <c r="C335" s="60"/>
      <c r="D335" s="60"/>
      <c r="E335" s="60"/>
      <c r="F335" s="60"/>
      <c r="G335" s="60"/>
      <c r="H335" s="60"/>
      <c r="I335" s="60"/>
      <c r="J335" s="60"/>
      <c r="K335" s="60"/>
      <c r="L335" s="60"/>
      <c r="M335" s="60"/>
      <c r="N335" s="60"/>
    </row>
    <row r="336" spans="1:15" s="59" customFormat="1" x14ac:dyDescent="0.3">
      <c r="A336" s="60"/>
      <c r="B336" s="60"/>
      <c r="C336" s="60"/>
      <c r="D336" s="60"/>
      <c r="E336" s="60"/>
      <c r="F336" s="60"/>
      <c r="G336" s="60"/>
      <c r="H336" s="60"/>
      <c r="I336" s="60"/>
      <c r="J336" s="60"/>
      <c r="K336" s="60"/>
      <c r="L336" s="60"/>
      <c r="M336" s="60"/>
      <c r="N336" s="60"/>
    </row>
    <row r="337" spans="1:14" s="59" customFormat="1" x14ac:dyDescent="0.3">
      <c r="A337" s="60"/>
      <c r="B337" s="60"/>
      <c r="C337" s="60"/>
      <c r="D337" s="60"/>
      <c r="E337" s="60"/>
      <c r="F337" s="60"/>
      <c r="G337" s="60"/>
      <c r="H337" s="60"/>
      <c r="I337" s="60"/>
      <c r="J337" s="60"/>
      <c r="K337" s="60"/>
      <c r="L337" s="60"/>
      <c r="M337" s="60"/>
      <c r="N337" s="60"/>
    </row>
    <row r="338" spans="1:14" s="59" customFormat="1" x14ac:dyDescent="0.3">
      <c r="A338" s="60"/>
      <c r="B338" s="60"/>
      <c r="C338" s="60"/>
      <c r="D338" s="60"/>
      <c r="E338" s="60"/>
      <c r="F338" s="60"/>
      <c r="G338" s="60"/>
      <c r="H338" s="60"/>
      <c r="I338" s="60"/>
      <c r="J338" s="60"/>
      <c r="K338" s="60"/>
      <c r="L338" s="60"/>
      <c r="M338" s="60"/>
      <c r="N338" s="60"/>
    </row>
    <row r="339" spans="1:14" s="59" customFormat="1" x14ac:dyDescent="0.3">
      <c r="A339" s="60"/>
      <c r="B339" s="60"/>
      <c r="C339" s="60"/>
      <c r="D339" s="60"/>
      <c r="E339" s="60"/>
      <c r="F339" s="60"/>
      <c r="G339" s="60"/>
      <c r="H339" s="60"/>
      <c r="I339" s="60"/>
      <c r="J339" s="60"/>
      <c r="K339" s="60"/>
      <c r="L339" s="60"/>
      <c r="M339" s="60"/>
      <c r="N339" s="60"/>
    </row>
    <row r="340" spans="1:14" s="59" customFormat="1" x14ac:dyDescent="0.3">
      <c r="A340" s="60"/>
      <c r="B340" s="60"/>
      <c r="C340" s="60"/>
      <c r="D340" s="60"/>
      <c r="E340" s="60"/>
      <c r="F340" s="60"/>
      <c r="G340" s="60"/>
      <c r="H340" s="60"/>
      <c r="I340" s="60"/>
      <c r="J340" s="60"/>
      <c r="K340" s="60"/>
      <c r="L340" s="60"/>
      <c r="M340" s="60"/>
      <c r="N340" s="60"/>
    </row>
    <row r="341" spans="1:14" s="59" customFormat="1" x14ac:dyDescent="0.3">
      <c r="A341" s="60"/>
      <c r="B341" s="60"/>
      <c r="C341" s="60"/>
      <c r="D341" s="60"/>
      <c r="E341" s="60"/>
      <c r="F341" s="60"/>
      <c r="G341" s="60"/>
      <c r="H341" s="60"/>
      <c r="I341" s="60"/>
      <c r="J341" s="60"/>
      <c r="K341" s="60"/>
      <c r="L341" s="60"/>
      <c r="M341" s="60"/>
      <c r="N341" s="60"/>
    </row>
    <row r="342" spans="1:14" s="59" customFormat="1" x14ac:dyDescent="0.3">
      <c r="A342" s="60"/>
      <c r="B342" s="60"/>
      <c r="C342" s="60"/>
      <c r="D342" s="60"/>
      <c r="E342" s="60"/>
      <c r="F342" s="60"/>
      <c r="G342" s="60"/>
      <c r="H342" s="60"/>
      <c r="I342" s="60"/>
      <c r="J342" s="60"/>
      <c r="K342" s="60"/>
      <c r="L342" s="60"/>
      <c r="M342" s="60"/>
      <c r="N342" s="60"/>
    </row>
    <row r="343" spans="1:14" s="59" customFormat="1" x14ac:dyDescent="0.3">
      <c r="A343" s="60"/>
      <c r="B343" s="60"/>
      <c r="C343" s="60"/>
      <c r="D343" s="60"/>
      <c r="E343" s="60"/>
      <c r="F343" s="60"/>
      <c r="G343" s="60"/>
      <c r="H343" s="60"/>
      <c r="I343" s="60"/>
      <c r="J343" s="60"/>
      <c r="K343" s="60"/>
      <c r="L343" s="60"/>
      <c r="M343" s="60"/>
      <c r="N343" s="60"/>
    </row>
    <row r="344" spans="1:14" s="59" customFormat="1" x14ac:dyDescent="0.3">
      <c r="A344" s="60"/>
      <c r="B344" s="60"/>
      <c r="C344" s="60"/>
      <c r="D344" s="60"/>
      <c r="E344" s="60"/>
      <c r="F344" s="60"/>
      <c r="G344" s="60"/>
      <c r="H344" s="60"/>
      <c r="I344" s="60"/>
      <c r="J344" s="60"/>
      <c r="K344" s="60"/>
      <c r="L344" s="60"/>
      <c r="M344" s="60"/>
      <c r="N344" s="60"/>
    </row>
    <row r="345" spans="1:14" s="59" customFormat="1" x14ac:dyDescent="0.3">
      <c r="A345" s="60"/>
      <c r="B345" s="60"/>
      <c r="C345" s="60"/>
      <c r="D345" s="60"/>
      <c r="E345" s="60"/>
      <c r="F345" s="60"/>
      <c r="G345" s="60"/>
      <c r="H345" s="60"/>
      <c r="I345" s="60"/>
      <c r="J345" s="60"/>
      <c r="K345" s="60"/>
      <c r="L345" s="60"/>
      <c r="M345" s="60"/>
      <c r="N345" s="60"/>
    </row>
    <row r="346" spans="1:14" s="59" customFormat="1" x14ac:dyDescent="0.3">
      <c r="A346" s="60"/>
      <c r="B346" s="60"/>
      <c r="C346" s="60"/>
      <c r="D346" s="60"/>
      <c r="E346" s="60"/>
      <c r="F346" s="60"/>
      <c r="G346" s="60"/>
      <c r="H346" s="60"/>
      <c r="I346" s="60"/>
      <c r="J346" s="60"/>
      <c r="K346" s="60"/>
      <c r="L346" s="60"/>
      <c r="M346" s="60"/>
      <c r="N346" s="60"/>
    </row>
    <row r="347" spans="1:14" s="59" customFormat="1" x14ac:dyDescent="0.3">
      <c r="A347" s="60"/>
      <c r="B347" s="60"/>
      <c r="C347" s="60"/>
      <c r="D347" s="60"/>
      <c r="E347" s="60"/>
      <c r="F347" s="60"/>
      <c r="G347" s="60"/>
      <c r="H347" s="60"/>
      <c r="I347" s="60"/>
      <c r="J347" s="60"/>
      <c r="K347" s="60"/>
      <c r="L347" s="60"/>
      <c r="M347" s="60"/>
      <c r="N347" s="60"/>
    </row>
    <row r="348" spans="1:14" s="59" customFormat="1" x14ac:dyDescent="0.3">
      <c r="A348" s="60"/>
      <c r="B348" s="60"/>
      <c r="C348" s="60"/>
      <c r="D348" s="60"/>
      <c r="E348" s="60"/>
      <c r="F348" s="60"/>
      <c r="G348" s="60"/>
      <c r="H348" s="60"/>
      <c r="I348" s="60"/>
      <c r="J348" s="60"/>
      <c r="K348" s="60"/>
      <c r="L348" s="60"/>
      <c r="M348" s="60"/>
      <c r="N348" s="60"/>
    </row>
    <row r="349" spans="1:14" s="59" customFormat="1" x14ac:dyDescent="0.3">
      <c r="A349" s="60"/>
      <c r="B349" s="60"/>
      <c r="C349" s="60"/>
      <c r="D349" s="60"/>
      <c r="E349" s="60"/>
      <c r="F349" s="60"/>
      <c r="G349" s="60"/>
      <c r="H349" s="60"/>
      <c r="I349" s="60"/>
      <c r="J349" s="60"/>
      <c r="K349" s="60"/>
      <c r="L349" s="60"/>
      <c r="M349" s="60"/>
      <c r="N349" s="60"/>
    </row>
    <row r="350" spans="1:14" s="59" customFormat="1" x14ac:dyDescent="0.3">
      <c r="A350" s="60"/>
      <c r="B350" s="60"/>
      <c r="C350" s="60"/>
      <c r="D350" s="60"/>
      <c r="E350" s="60"/>
      <c r="F350" s="60"/>
      <c r="G350" s="60"/>
      <c r="H350" s="60"/>
      <c r="I350" s="60"/>
      <c r="J350" s="60"/>
      <c r="K350" s="60"/>
      <c r="L350" s="60"/>
      <c r="M350" s="60"/>
      <c r="N350" s="60"/>
    </row>
    <row r="351" spans="1:14" s="59" customFormat="1" x14ac:dyDescent="0.3">
      <c r="A351" s="60"/>
      <c r="B351" s="60"/>
      <c r="C351" s="60"/>
      <c r="D351" s="60"/>
      <c r="E351" s="60"/>
      <c r="F351" s="60"/>
      <c r="G351" s="60"/>
      <c r="H351" s="60"/>
      <c r="I351" s="60"/>
      <c r="J351" s="60"/>
      <c r="K351" s="60"/>
      <c r="L351" s="60"/>
      <c r="M351" s="60"/>
      <c r="N351" s="60"/>
    </row>
    <row r="352" spans="1:14" s="59" customFormat="1" x14ac:dyDescent="0.3">
      <c r="A352" s="60"/>
      <c r="B352" s="60"/>
      <c r="C352" s="60"/>
      <c r="D352" s="60"/>
      <c r="E352" s="60"/>
      <c r="F352" s="60"/>
      <c r="G352" s="60"/>
      <c r="H352" s="60"/>
      <c r="I352" s="60"/>
      <c r="J352" s="60"/>
      <c r="K352" s="60"/>
      <c r="L352" s="60"/>
      <c r="M352" s="60"/>
      <c r="N352" s="60"/>
    </row>
    <row r="353" spans="1:14" s="59" customFormat="1" x14ac:dyDescent="0.3">
      <c r="A353" s="60"/>
      <c r="B353" s="60"/>
      <c r="C353" s="60"/>
      <c r="D353" s="60"/>
      <c r="E353" s="60"/>
      <c r="F353" s="60"/>
      <c r="G353" s="60"/>
      <c r="H353" s="60"/>
      <c r="I353" s="60"/>
      <c r="J353" s="60"/>
      <c r="K353" s="60"/>
      <c r="L353" s="60"/>
      <c r="M353" s="60"/>
      <c r="N353" s="60"/>
    </row>
    <row r="354" spans="1:14" s="59" customFormat="1" x14ac:dyDescent="0.3">
      <c r="A354" s="60"/>
      <c r="B354" s="60"/>
      <c r="C354" s="60"/>
      <c r="D354" s="60"/>
      <c r="E354" s="60"/>
      <c r="F354" s="60"/>
      <c r="G354" s="60"/>
      <c r="H354" s="60"/>
      <c r="I354" s="60"/>
      <c r="J354" s="60"/>
      <c r="K354" s="60"/>
      <c r="L354" s="60"/>
      <c r="M354" s="60"/>
      <c r="N354" s="60"/>
    </row>
    <row r="355" spans="1:14" s="59" customFormat="1" x14ac:dyDescent="0.3">
      <c r="A355" s="60"/>
      <c r="B355" s="60"/>
      <c r="C355" s="60"/>
      <c r="D355" s="60"/>
      <c r="E355" s="60"/>
      <c r="F355" s="60"/>
      <c r="G355" s="60"/>
      <c r="H355" s="60"/>
      <c r="I355" s="60"/>
      <c r="J355" s="60"/>
      <c r="K355" s="60"/>
      <c r="L355" s="60"/>
      <c r="M355" s="60"/>
      <c r="N355" s="60"/>
    </row>
    <row r="356" spans="1:14" s="59" customFormat="1" x14ac:dyDescent="0.3">
      <c r="A356" s="60"/>
      <c r="B356" s="60"/>
      <c r="C356" s="60"/>
      <c r="D356" s="60"/>
      <c r="E356" s="60"/>
      <c r="F356" s="60"/>
      <c r="G356" s="60"/>
      <c r="H356" s="60"/>
      <c r="I356" s="60"/>
      <c r="J356" s="60"/>
      <c r="K356" s="60"/>
      <c r="L356" s="60"/>
      <c r="M356" s="60"/>
      <c r="N356" s="60"/>
    </row>
    <row r="357" spans="1:14" s="59" customFormat="1" x14ac:dyDescent="0.3">
      <c r="A357" s="60"/>
      <c r="B357" s="60"/>
      <c r="C357" s="60"/>
      <c r="D357" s="60"/>
      <c r="E357" s="60"/>
      <c r="F357" s="60"/>
      <c r="G357" s="60"/>
      <c r="H357" s="60"/>
      <c r="I357" s="60"/>
      <c r="J357" s="60"/>
      <c r="K357" s="60"/>
      <c r="L357" s="60"/>
      <c r="M357" s="60"/>
      <c r="N357" s="60"/>
    </row>
    <row r="358" spans="1:14" s="59" customFormat="1" x14ac:dyDescent="0.3">
      <c r="A358" s="60"/>
      <c r="B358" s="60"/>
      <c r="C358" s="60"/>
      <c r="D358" s="60"/>
      <c r="E358" s="60"/>
      <c r="F358" s="60"/>
      <c r="G358" s="60"/>
      <c r="H358" s="60"/>
      <c r="I358" s="60"/>
      <c r="J358" s="60"/>
      <c r="K358" s="60"/>
      <c r="L358" s="60"/>
      <c r="M358" s="60"/>
      <c r="N358" s="60"/>
    </row>
    <row r="359" spans="1:14" s="59" customFormat="1" x14ac:dyDescent="0.3">
      <c r="A359" s="60"/>
      <c r="B359" s="60"/>
      <c r="C359" s="60"/>
      <c r="D359" s="60"/>
      <c r="E359" s="60"/>
      <c r="F359" s="60"/>
      <c r="G359" s="60"/>
      <c r="H359" s="60"/>
      <c r="I359" s="60"/>
      <c r="J359" s="60"/>
      <c r="K359" s="60"/>
      <c r="L359" s="60"/>
      <c r="M359" s="60"/>
      <c r="N359" s="60"/>
    </row>
    <row r="360" spans="1:14" s="59" customFormat="1" x14ac:dyDescent="0.3">
      <c r="A360" s="60"/>
      <c r="B360" s="60"/>
      <c r="C360" s="60"/>
      <c r="D360" s="60"/>
      <c r="E360" s="60"/>
      <c r="F360" s="60"/>
      <c r="G360" s="60"/>
      <c r="H360" s="60"/>
      <c r="I360" s="60"/>
      <c r="J360" s="60"/>
      <c r="K360" s="60"/>
      <c r="L360" s="60"/>
      <c r="M360" s="60"/>
      <c r="N360" s="60"/>
    </row>
    <row r="361" spans="1:14" s="59" customFormat="1" x14ac:dyDescent="0.3">
      <c r="A361" s="60"/>
      <c r="B361" s="60"/>
      <c r="C361" s="60"/>
      <c r="D361" s="60"/>
      <c r="E361" s="60"/>
      <c r="F361" s="60"/>
      <c r="G361" s="60"/>
      <c r="H361" s="60"/>
      <c r="I361" s="60"/>
      <c r="J361" s="60"/>
      <c r="K361" s="60"/>
      <c r="L361" s="60"/>
      <c r="M361" s="60"/>
      <c r="N361" s="60"/>
    </row>
    <row r="362" spans="1:14" s="59" customFormat="1" x14ac:dyDescent="0.3">
      <c r="A362" s="60"/>
      <c r="B362" s="60"/>
      <c r="C362" s="60"/>
      <c r="D362" s="60"/>
      <c r="E362" s="60"/>
      <c r="F362" s="60"/>
      <c r="G362" s="60"/>
      <c r="H362" s="60"/>
      <c r="I362" s="60"/>
      <c r="J362" s="60"/>
      <c r="K362" s="60"/>
      <c r="L362" s="60"/>
      <c r="M362" s="60"/>
      <c r="N362" s="60"/>
    </row>
    <row r="363" spans="1:14" s="59" customFormat="1" x14ac:dyDescent="0.3">
      <c r="A363" s="60"/>
      <c r="B363" s="60"/>
      <c r="C363" s="60"/>
      <c r="D363" s="60"/>
      <c r="E363" s="60"/>
      <c r="F363" s="60"/>
      <c r="G363" s="60"/>
      <c r="H363" s="60"/>
      <c r="I363" s="60"/>
      <c r="J363" s="60"/>
      <c r="K363" s="60"/>
      <c r="L363" s="60"/>
      <c r="M363" s="60"/>
      <c r="N363" s="60"/>
    </row>
    <row r="364" spans="1:14" s="59" customFormat="1" x14ac:dyDescent="0.3">
      <c r="A364" s="60"/>
      <c r="B364" s="60"/>
      <c r="C364" s="60"/>
      <c r="D364" s="60"/>
      <c r="E364" s="60"/>
      <c r="F364" s="60"/>
      <c r="G364" s="60"/>
      <c r="H364" s="60"/>
      <c r="I364" s="60"/>
      <c r="J364" s="60"/>
      <c r="K364" s="60"/>
      <c r="L364" s="60"/>
      <c r="M364" s="60"/>
      <c r="N364" s="60"/>
    </row>
    <row r="365" spans="1:14" s="59" customFormat="1" x14ac:dyDescent="0.3">
      <c r="A365" s="60"/>
      <c r="B365" s="60"/>
      <c r="C365" s="60"/>
      <c r="D365" s="60"/>
      <c r="E365" s="60"/>
      <c r="F365" s="60"/>
      <c r="G365" s="60"/>
      <c r="H365" s="60"/>
      <c r="I365" s="60"/>
      <c r="J365" s="60"/>
      <c r="K365" s="60"/>
      <c r="L365" s="60"/>
      <c r="M365" s="60"/>
      <c r="N365" s="60"/>
    </row>
    <row r="366" spans="1:14" s="59" customFormat="1" x14ac:dyDescent="0.3">
      <c r="A366" s="60"/>
      <c r="B366" s="60"/>
      <c r="C366" s="60"/>
      <c r="D366" s="60"/>
      <c r="E366" s="60"/>
      <c r="F366" s="60"/>
      <c r="G366" s="60"/>
      <c r="H366" s="60"/>
      <c r="I366" s="60"/>
      <c r="J366" s="60"/>
      <c r="K366" s="60"/>
      <c r="L366" s="60"/>
      <c r="M366" s="60"/>
      <c r="N366" s="60"/>
    </row>
    <row r="367" spans="1:14" s="59" customFormat="1" x14ac:dyDescent="0.3">
      <c r="A367" s="60"/>
      <c r="B367" s="60"/>
      <c r="C367" s="60"/>
      <c r="D367" s="60"/>
      <c r="E367" s="60"/>
      <c r="F367" s="60"/>
      <c r="G367" s="60"/>
      <c r="H367" s="60"/>
      <c r="I367" s="60"/>
      <c r="J367" s="60"/>
      <c r="K367" s="60"/>
      <c r="L367" s="60"/>
      <c r="M367" s="60"/>
      <c r="N367" s="60"/>
    </row>
    <row r="368" spans="1:14" s="59" customFormat="1" x14ac:dyDescent="0.3">
      <c r="A368" s="60"/>
      <c r="B368" s="60"/>
      <c r="C368" s="60"/>
      <c r="D368" s="60"/>
      <c r="E368" s="60"/>
      <c r="F368" s="60"/>
      <c r="G368" s="60"/>
      <c r="H368" s="60"/>
      <c r="I368" s="60"/>
      <c r="J368" s="60"/>
      <c r="K368" s="60"/>
      <c r="L368" s="60"/>
      <c r="M368" s="60"/>
      <c r="N368" s="60"/>
    </row>
    <row r="369" spans="1:14" s="59" customFormat="1" x14ac:dyDescent="0.3">
      <c r="A369" s="60"/>
      <c r="B369" s="60"/>
      <c r="C369" s="60"/>
      <c r="D369" s="60"/>
      <c r="E369" s="60"/>
      <c r="F369" s="60"/>
      <c r="G369" s="60"/>
      <c r="H369" s="60"/>
      <c r="I369" s="60"/>
      <c r="J369" s="60"/>
      <c r="K369" s="60"/>
      <c r="L369" s="60"/>
      <c r="M369" s="60"/>
      <c r="N369" s="60"/>
    </row>
    <row r="370" spans="1:14" s="59" customFormat="1" x14ac:dyDescent="0.3">
      <c r="A370" s="60"/>
      <c r="B370" s="60"/>
      <c r="C370" s="60"/>
      <c r="D370" s="60"/>
      <c r="E370" s="60"/>
      <c r="F370" s="60"/>
      <c r="G370" s="60"/>
      <c r="H370" s="60"/>
      <c r="I370" s="60"/>
      <c r="J370" s="60"/>
      <c r="K370" s="60"/>
      <c r="L370" s="60"/>
      <c r="M370" s="60"/>
      <c r="N370" s="60"/>
    </row>
    <row r="371" spans="1:14" s="59" customFormat="1" x14ac:dyDescent="0.3">
      <c r="A371" s="60"/>
      <c r="B371" s="60"/>
      <c r="C371" s="60"/>
      <c r="D371" s="60"/>
      <c r="E371" s="60"/>
      <c r="F371" s="60"/>
      <c r="G371" s="60"/>
      <c r="H371" s="60"/>
      <c r="I371" s="60"/>
      <c r="J371" s="60"/>
      <c r="K371" s="60"/>
      <c r="L371" s="60"/>
      <c r="M371" s="60"/>
      <c r="N371" s="60"/>
    </row>
    <row r="372" spans="1:14" s="59" customFormat="1" x14ac:dyDescent="0.3">
      <c r="A372" s="60"/>
      <c r="B372" s="60"/>
      <c r="C372" s="60"/>
      <c r="D372" s="60"/>
      <c r="E372" s="60"/>
      <c r="F372" s="60"/>
      <c r="G372" s="60"/>
      <c r="H372" s="60"/>
      <c r="I372" s="60"/>
      <c r="J372" s="60"/>
      <c r="K372" s="60"/>
      <c r="L372" s="60"/>
      <c r="M372" s="60"/>
      <c r="N372" s="60"/>
    </row>
    <row r="373" spans="1:14" s="59" customFormat="1" x14ac:dyDescent="0.3">
      <c r="A373" s="60"/>
      <c r="B373" s="60"/>
      <c r="C373" s="60"/>
      <c r="D373" s="60"/>
      <c r="E373" s="60"/>
      <c r="F373" s="60"/>
      <c r="G373" s="60"/>
      <c r="H373" s="60"/>
      <c r="I373" s="60"/>
      <c r="J373" s="60"/>
      <c r="K373" s="60"/>
      <c r="L373" s="60"/>
      <c r="M373" s="60"/>
      <c r="N373" s="60"/>
    </row>
    <row r="374" spans="1:14" s="59" customFormat="1" x14ac:dyDescent="0.3">
      <c r="A374" s="60"/>
      <c r="B374" s="60"/>
      <c r="C374" s="60"/>
      <c r="D374" s="60"/>
      <c r="E374" s="60"/>
      <c r="F374" s="60"/>
      <c r="G374" s="60"/>
      <c r="H374" s="60"/>
      <c r="I374" s="60"/>
      <c r="J374" s="60"/>
      <c r="K374" s="60"/>
      <c r="L374" s="60"/>
      <c r="M374" s="60"/>
      <c r="N374" s="60"/>
    </row>
    <row r="375" spans="1:14" s="59" customFormat="1" x14ac:dyDescent="0.3">
      <c r="A375" s="60"/>
      <c r="B375" s="60"/>
      <c r="C375" s="60"/>
      <c r="D375" s="60"/>
      <c r="E375" s="60"/>
      <c r="F375" s="60"/>
      <c r="G375" s="60"/>
      <c r="H375" s="60"/>
      <c r="I375" s="60"/>
      <c r="J375" s="60"/>
      <c r="K375" s="60"/>
      <c r="L375" s="60"/>
      <c r="M375" s="60"/>
      <c r="N375" s="60"/>
    </row>
    <row r="376" spans="1:14" s="59" customFormat="1" x14ac:dyDescent="0.3">
      <c r="A376" s="60"/>
      <c r="B376" s="60"/>
      <c r="C376" s="60"/>
      <c r="D376" s="60"/>
      <c r="E376" s="60"/>
      <c r="F376" s="60"/>
      <c r="G376" s="60"/>
      <c r="H376" s="60"/>
      <c r="I376" s="60"/>
      <c r="J376" s="60"/>
      <c r="K376" s="60"/>
      <c r="L376" s="60"/>
      <c r="M376" s="60"/>
      <c r="N376" s="60"/>
    </row>
    <row r="377" spans="1:14" s="59" customFormat="1" x14ac:dyDescent="0.3">
      <c r="A377" s="60"/>
      <c r="B377" s="60"/>
      <c r="C377" s="60"/>
      <c r="D377" s="60"/>
      <c r="E377" s="60"/>
      <c r="F377" s="60"/>
      <c r="G377" s="60"/>
      <c r="H377" s="60"/>
      <c r="I377" s="60"/>
      <c r="J377" s="60"/>
      <c r="K377" s="60"/>
      <c r="L377" s="60"/>
      <c r="M377" s="60"/>
      <c r="N377" s="60"/>
    </row>
    <row r="378" spans="1:14" s="59" customFormat="1" x14ac:dyDescent="0.3">
      <c r="A378" s="60"/>
      <c r="B378" s="60"/>
      <c r="C378" s="60"/>
      <c r="D378" s="60"/>
      <c r="E378" s="60"/>
      <c r="F378" s="60"/>
      <c r="G378" s="60"/>
      <c r="H378" s="60"/>
      <c r="I378" s="60"/>
      <c r="J378" s="60"/>
      <c r="K378" s="60"/>
      <c r="L378" s="60"/>
      <c r="M378" s="60"/>
      <c r="N378" s="60"/>
    </row>
    <row r="379" spans="1:14" s="59" customFormat="1" x14ac:dyDescent="0.3">
      <c r="A379" s="60"/>
      <c r="B379" s="60"/>
      <c r="C379" s="60"/>
      <c r="D379" s="60"/>
      <c r="E379" s="60"/>
      <c r="F379" s="60"/>
      <c r="G379" s="60"/>
      <c r="H379" s="60"/>
      <c r="I379" s="60"/>
      <c r="J379" s="60"/>
      <c r="K379" s="60"/>
      <c r="L379" s="60"/>
      <c r="M379" s="60"/>
      <c r="N379" s="60"/>
    </row>
    <row r="380" spans="1:14" s="59" customFormat="1" x14ac:dyDescent="0.3">
      <c r="A380" s="60"/>
      <c r="B380" s="60"/>
      <c r="C380" s="60"/>
      <c r="D380" s="60"/>
      <c r="E380" s="60"/>
      <c r="F380" s="60"/>
      <c r="G380" s="60"/>
      <c r="H380" s="60"/>
      <c r="I380" s="60"/>
      <c r="J380" s="60"/>
      <c r="K380" s="60"/>
      <c r="L380" s="60"/>
      <c r="M380" s="60"/>
      <c r="N380" s="60"/>
    </row>
    <row r="381" spans="1:14" s="59" customFormat="1" x14ac:dyDescent="0.3">
      <c r="A381" s="60"/>
      <c r="B381" s="60"/>
      <c r="C381" s="60"/>
      <c r="D381" s="60"/>
      <c r="E381" s="60"/>
      <c r="F381" s="60"/>
      <c r="G381" s="60"/>
      <c r="H381" s="60"/>
      <c r="I381" s="60"/>
      <c r="J381" s="60"/>
      <c r="K381" s="60"/>
      <c r="L381" s="60"/>
      <c r="M381" s="60"/>
      <c r="N381" s="60"/>
    </row>
    <row r="382" spans="1:14" s="59" customFormat="1" x14ac:dyDescent="0.3">
      <c r="A382" s="60"/>
      <c r="B382" s="60"/>
      <c r="C382" s="60"/>
      <c r="D382" s="60"/>
      <c r="E382" s="60"/>
      <c r="F382" s="60"/>
      <c r="G382" s="60"/>
      <c r="H382" s="60"/>
      <c r="I382" s="60"/>
      <c r="J382" s="60"/>
      <c r="K382" s="60"/>
      <c r="L382" s="60"/>
      <c r="M382" s="60"/>
      <c r="N382" s="60"/>
    </row>
    <row r="383" spans="1:14" s="59" customFormat="1" x14ac:dyDescent="0.3">
      <c r="A383" s="60"/>
      <c r="B383" s="60"/>
      <c r="C383" s="60"/>
      <c r="D383" s="60"/>
      <c r="E383" s="60"/>
      <c r="F383" s="60"/>
      <c r="G383" s="60"/>
      <c r="H383" s="60"/>
      <c r="I383" s="60"/>
      <c r="J383" s="60"/>
      <c r="K383" s="60"/>
      <c r="L383" s="60"/>
      <c r="M383" s="60"/>
      <c r="N383" s="60"/>
    </row>
    <row r="384" spans="1:14" s="59" customFormat="1" x14ac:dyDescent="0.3">
      <c r="A384" s="60"/>
      <c r="B384" s="60"/>
      <c r="C384" s="60"/>
      <c r="D384" s="60"/>
      <c r="E384" s="60"/>
      <c r="F384" s="60"/>
      <c r="G384" s="60"/>
      <c r="H384" s="60"/>
      <c r="I384" s="60"/>
      <c r="J384" s="60"/>
      <c r="K384" s="60"/>
      <c r="L384" s="60"/>
      <c r="M384" s="60"/>
      <c r="N384" s="60"/>
    </row>
    <row r="385" spans="1:14" s="59" customFormat="1" x14ac:dyDescent="0.3">
      <c r="A385" s="60"/>
      <c r="B385" s="60"/>
      <c r="C385" s="60"/>
      <c r="D385" s="60"/>
      <c r="E385" s="60"/>
      <c r="F385" s="60"/>
      <c r="G385" s="60"/>
      <c r="H385" s="60"/>
      <c r="I385" s="60"/>
      <c r="J385" s="60"/>
      <c r="K385" s="60"/>
      <c r="L385" s="60"/>
      <c r="M385" s="60"/>
      <c r="N385" s="60"/>
    </row>
    <row r="386" spans="1:14" s="59" customFormat="1" x14ac:dyDescent="0.3">
      <c r="A386" s="60"/>
      <c r="B386" s="60"/>
      <c r="C386" s="60"/>
      <c r="D386" s="60"/>
      <c r="E386" s="60"/>
      <c r="F386" s="60"/>
      <c r="G386" s="60"/>
      <c r="H386" s="60"/>
      <c r="I386" s="60"/>
      <c r="J386" s="60"/>
      <c r="K386" s="60"/>
      <c r="L386" s="60"/>
      <c r="M386" s="60"/>
      <c r="N386" s="60"/>
    </row>
    <row r="387" spans="1:14" s="59" customFormat="1" x14ac:dyDescent="0.3">
      <c r="A387" s="60"/>
      <c r="B387" s="60"/>
      <c r="C387" s="60"/>
      <c r="D387" s="60"/>
      <c r="E387" s="60"/>
      <c r="F387" s="60"/>
      <c r="G387" s="60"/>
      <c r="H387" s="60"/>
      <c r="I387" s="60"/>
      <c r="J387" s="60"/>
      <c r="K387" s="60"/>
      <c r="L387" s="60"/>
      <c r="M387" s="60"/>
      <c r="N387" s="60"/>
    </row>
    <row r="388" spans="1:14" s="59" customFormat="1" x14ac:dyDescent="0.3">
      <c r="A388" s="60"/>
      <c r="B388" s="60"/>
      <c r="C388" s="60"/>
      <c r="D388" s="60"/>
      <c r="E388" s="60"/>
      <c r="F388" s="60"/>
      <c r="G388" s="60"/>
      <c r="H388" s="60"/>
      <c r="I388" s="60"/>
      <c r="J388" s="60"/>
      <c r="K388" s="60"/>
      <c r="L388" s="60"/>
      <c r="M388" s="60"/>
      <c r="N388" s="60"/>
    </row>
    <row r="389" spans="1:14" s="59" customFormat="1" x14ac:dyDescent="0.3">
      <c r="A389" s="60"/>
      <c r="B389" s="60"/>
      <c r="C389" s="60"/>
      <c r="D389" s="60"/>
      <c r="E389" s="60"/>
      <c r="F389" s="60"/>
      <c r="G389" s="60"/>
      <c r="H389" s="60"/>
      <c r="I389" s="60"/>
      <c r="J389" s="60"/>
      <c r="K389" s="60"/>
      <c r="L389" s="60"/>
      <c r="M389" s="60"/>
      <c r="N389" s="60"/>
    </row>
    <row r="390" spans="1:14" s="59" customFormat="1" x14ac:dyDescent="0.3">
      <c r="A390" s="60"/>
      <c r="B390" s="60"/>
      <c r="C390" s="60"/>
      <c r="D390" s="60"/>
      <c r="E390" s="60"/>
      <c r="F390" s="60"/>
      <c r="G390" s="60"/>
      <c r="H390" s="60"/>
      <c r="I390" s="60"/>
      <c r="J390" s="60"/>
      <c r="K390" s="60"/>
      <c r="L390" s="60"/>
      <c r="M390" s="60"/>
      <c r="N390" s="60"/>
    </row>
    <row r="391" spans="1:14" s="59" customFormat="1" x14ac:dyDescent="0.3">
      <c r="A391" s="60"/>
      <c r="B391" s="60"/>
      <c r="C391" s="60"/>
      <c r="D391" s="60"/>
      <c r="E391" s="60"/>
      <c r="F391" s="60"/>
      <c r="G391" s="60"/>
      <c r="H391" s="60"/>
      <c r="I391" s="60"/>
      <c r="J391" s="60"/>
      <c r="K391" s="60"/>
      <c r="L391" s="60"/>
      <c r="M391" s="60"/>
      <c r="N391" s="60"/>
    </row>
    <row r="392" spans="1:14" s="59" customFormat="1" x14ac:dyDescent="0.3">
      <c r="A392" s="60"/>
      <c r="B392" s="60"/>
      <c r="C392" s="60"/>
      <c r="D392" s="60"/>
      <c r="E392" s="60"/>
      <c r="F392" s="60"/>
      <c r="G392" s="60"/>
      <c r="H392" s="60"/>
      <c r="I392" s="60"/>
      <c r="J392" s="60"/>
      <c r="K392" s="60"/>
      <c r="L392" s="60"/>
      <c r="M392" s="60"/>
      <c r="N392" s="60"/>
    </row>
    <row r="393" spans="1:14" s="59" customFormat="1" x14ac:dyDescent="0.3">
      <c r="A393" s="60"/>
      <c r="B393" s="60"/>
      <c r="C393" s="60"/>
      <c r="D393" s="60"/>
      <c r="E393" s="60"/>
      <c r="F393" s="60"/>
      <c r="G393" s="60"/>
      <c r="H393" s="60"/>
      <c r="I393" s="60"/>
      <c r="J393" s="60"/>
      <c r="K393" s="60"/>
      <c r="L393" s="60"/>
      <c r="M393" s="60"/>
      <c r="N393" s="60"/>
    </row>
    <row r="394" spans="1:14" s="59" customFormat="1" x14ac:dyDescent="0.3">
      <c r="A394" s="60"/>
      <c r="B394" s="60"/>
      <c r="C394" s="60"/>
      <c r="D394" s="60"/>
      <c r="E394" s="60"/>
      <c r="F394" s="60"/>
      <c r="G394" s="60"/>
      <c r="H394" s="60"/>
      <c r="I394" s="60"/>
      <c r="J394" s="60"/>
      <c r="K394" s="60"/>
      <c r="L394" s="60"/>
      <c r="M394" s="60"/>
      <c r="N394" s="60"/>
    </row>
    <row r="395" spans="1:14" s="59" customFormat="1" x14ac:dyDescent="0.3">
      <c r="A395" s="60"/>
      <c r="B395" s="60"/>
      <c r="C395" s="60"/>
      <c r="D395" s="60"/>
      <c r="E395" s="60"/>
      <c r="F395" s="60"/>
      <c r="G395" s="60"/>
      <c r="H395" s="60"/>
      <c r="I395" s="60"/>
      <c r="J395" s="60"/>
      <c r="K395" s="60"/>
      <c r="L395" s="60"/>
      <c r="M395" s="60"/>
      <c r="N395" s="60"/>
    </row>
    <row r="396" spans="1:14" s="59" customFormat="1" x14ac:dyDescent="0.3">
      <c r="A396" s="60"/>
      <c r="B396" s="60"/>
      <c r="C396" s="60"/>
      <c r="D396" s="60"/>
      <c r="E396" s="60"/>
      <c r="F396" s="60"/>
      <c r="G396" s="60"/>
      <c r="H396" s="60"/>
      <c r="I396" s="60"/>
      <c r="J396" s="60"/>
      <c r="K396" s="60"/>
      <c r="L396" s="60"/>
      <c r="M396" s="60"/>
      <c r="N396" s="60"/>
    </row>
    <row r="397" spans="1:14" s="59" customFormat="1" x14ac:dyDescent="0.3">
      <c r="A397" s="60"/>
      <c r="B397" s="60"/>
      <c r="C397" s="60"/>
      <c r="D397" s="60"/>
      <c r="E397" s="60"/>
      <c r="F397" s="60"/>
      <c r="G397" s="60"/>
      <c r="H397" s="60"/>
      <c r="I397" s="60"/>
      <c r="J397" s="60"/>
      <c r="K397" s="60"/>
      <c r="L397" s="60"/>
      <c r="M397" s="60"/>
      <c r="N397" s="60"/>
    </row>
    <row r="398" spans="1:14" s="59" customFormat="1" x14ac:dyDescent="0.3">
      <c r="A398" s="60"/>
      <c r="B398" s="60"/>
      <c r="C398" s="60"/>
      <c r="D398" s="60"/>
      <c r="E398" s="60"/>
      <c r="F398" s="60"/>
      <c r="G398" s="60"/>
      <c r="H398" s="60"/>
      <c r="I398" s="60"/>
      <c r="J398" s="60"/>
      <c r="K398" s="60"/>
      <c r="L398" s="60"/>
      <c r="M398" s="60"/>
      <c r="N398" s="60"/>
    </row>
    <row r="399" spans="1:14" s="59" customFormat="1" x14ac:dyDescent="0.3">
      <c r="A399" s="60"/>
      <c r="B399" s="60"/>
      <c r="C399" s="60"/>
      <c r="D399" s="60"/>
      <c r="E399" s="60"/>
      <c r="F399" s="60"/>
      <c r="G399" s="60"/>
      <c r="H399" s="60"/>
      <c r="I399" s="60"/>
      <c r="J399" s="60"/>
      <c r="K399" s="60"/>
      <c r="L399" s="60"/>
      <c r="M399" s="60"/>
      <c r="N399" s="60"/>
    </row>
    <row r="400" spans="1:14" s="59" customFormat="1" x14ac:dyDescent="0.3">
      <c r="A400" s="60"/>
      <c r="B400" s="60"/>
      <c r="C400" s="60"/>
      <c r="D400" s="60"/>
      <c r="E400" s="60"/>
      <c r="F400" s="60"/>
      <c r="G400" s="60"/>
      <c r="H400" s="60"/>
      <c r="I400" s="60"/>
      <c r="J400" s="60"/>
      <c r="K400" s="60"/>
      <c r="L400" s="60"/>
      <c r="M400" s="60"/>
      <c r="N400" s="60"/>
    </row>
    <row r="401" spans="1:14" s="59" customFormat="1" x14ac:dyDescent="0.3">
      <c r="A401" s="60"/>
      <c r="B401" s="60"/>
      <c r="C401" s="60"/>
      <c r="D401" s="60"/>
      <c r="E401" s="60"/>
      <c r="F401" s="60"/>
      <c r="G401" s="60"/>
      <c r="H401" s="60"/>
      <c r="I401" s="60"/>
      <c r="J401" s="60"/>
      <c r="K401" s="60"/>
      <c r="L401" s="60"/>
      <c r="M401" s="60"/>
      <c r="N401" s="60"/>
    </row>
    <row r="402" spans="1:14" s="59" customFormat="1" x14ac:dyDescent="0.3">
      <c r="A402" s="60"/>
      <c r="B402" s="60"/>
      <c r="C402" s="60"/>
      <c r="D402" s="60"/>
      <c r="E402" s="60"/>
      <c r="F402" s="60"/>
      <c r="G402" s="60"/>
      <c r="H402" s="60"/>
      <c r="I402" s="60"/>
      <c r="J402" s="60"/>
      <c r="K402" s="60"/>
      <c r="L402" s="60"/>
      <c r="M402" s="60"/>
      <c r="N402" s="60"/>
    </row>
    <row r="403" spans="1:14" s="59" customFormat="1" x14ac:dyDescent="0.3">
      <c r="A403" s="60"/>
      <c r="B403" s="60"/>
      <c r="C403" s="60"/>
      <c r="D403" s="60"/>
      <c r="E403" s="60"/>
      <c r="F403" s="60"/>
      <c r="G403" s="60"/>
      <c r="H403" s="60"/>
      <c r="I403" s="60"/>
      <c r="J403" s="60"/>
      <c r="K403" s="60"/>
      <c r="L403" s="60"/>
      <c r="M403" s="60"/>
      <c r="N403" s="60"/>
    </row>
    <row r="404" spans="1:14" s="59" customFormat="1" x14ac:dyDescent="0.3">
      <c r="A404" s="60"/>
      <c r="B404" s="60"/>
      <c r="C404" s="60"/>
      <c r="D404" s="60"/>
      <c r="E404" s="60"/>
      <c r="F404" s="60"/>
      <c r="G404" s="60"/>
      <c r="H404" s="60"/>
      <c r="I404" s="60"/>
      <c r="J404" s="60"/>
      <c r="K404" s="60"/>
      <c r="L404" s="60"/>
      <c r="M404" s="60"/>
      <c r="N404" s="60"/>
    </row>
    <row r="405" spans="1:14" s="59" customFormat="1" x14ac:dyDescent="0.3">
      <c r="A405" s="60"/>
      <c r="B405" s="60"/>
      <c r="C405" s="60"/>
      <c r="D405" s="60"/>
      <c r="E405" s="60"/>
      <c r="F405" s="60"/>
      <c r="G405" s="60"/>
      <c r="H405" s="60"/>
      <c r="I405" s="60"/>
      <c r="J405" s="60"/>
      <c r="K405" s="60"/>
      <c r="L405" s="60"/>
      <c r="M405" s="60"/>
      <c r="N405" s="60"/>
    </row>
    <row r="406" spans="1:14" s="59" customFormat="1" x14ac:dyDescent="0.3">
      <c r="A406" s="60"/>
      <c r="B406" s="60"/>
      <c r="C406" s="60"/>
      <c r="D406" s="60"/>
      <c r="E406" s="60"/>
      <c r="F406" s="60"/>
      <c r="G406" s="60"/>
      <c r="H406" s="60"/>
      <c r="I406" s="60"/>
      <c r="J406" s="60"/>
      <c r="K406" s="60"/>
      <c r="L406" s="60"/>
      <c r="M406" s="60"/>
      <c r="N406" s="60"/>
    </row>
    <row r="407" spans="1:14" s="59" customFormat="1" x14ac:dyDescent="0.3">
      <c r="A407" s="60"/>
      <c r="B407" s="60"/>
      <c r="C407" s="60"/>
      <c r="D407" s="60"/>
      <c r="E407" s="60"/>
      <c r="F407" s="60"/>
      <c r="G407" s="60"/>
      <c r="H407" s="60"/>
      <c r="I407" s="60"/>
      <c r="J407" s="60"/>
      <c r="K407" s="60"/>
      <c r="L407" s="60"/>
      <c r="M407" s="60"/>
      <c r="N407" s="60"/>
    </row>
    <row r="408" spans="1:14" s="59" customFormat="1" x14ac:dyDescent="0.3">
      <c r="A408" s="60"/>
      <c r="B408" s="60"/>
      <c r="C408" s="60"/>
      <c r="D408" s="60"/>
      <c r="E408" s="60"/>
      <c r="F408" s="60"/>
      <c r="G408" s="60"/>
      <c r="H408" s="60"/>
      <c r="I408" s="60"/>
      <c r="J408" s="60"/>
      <c r="K408" s="60"/>
      <c r="L408" s="60"/>
      <c r="M408" s="60"/>
      <c r="N408" s="60"/>
    </row>
    <row r="409" spans="1:14" s="59" customFormat="1" x14ac:dyDescent="0.3">
      <c r="A409" s="60"/>
      <c r="B409" s="60"/>
      <c r="C409" s="60"/>
      <c r="D409" s="60"/>
      <c r="E409" s="60"/>
      <c r="F409" s="60"/>
      <c r="G409" s="60"/>
      <c r="H409" s="60"/>
      <c r="I409" s="60"/>
      <c r="J409" s="60"/>
      <c r="K409" s="60"/>
      <c r="L409" s="60"/>
      <c r="M409" s="60"/>
      <c r="N409" s="60"/>
    </row>
    <row r="410" spans="1:14" s="59" customFormat="1" x14ac:dyDescent="0.3">
      <c r="A410" s="60"/>
      <c r="B410" s="60"/>
      <c r="C410" s="60"/>
      <c r="D410" s="60"/>
      <c r="E410" s="60"/>
      <c r="F410" s="60"/>
      <c r="G410" s="60"/>
      <c r="H410" s="60"/>
      <c r="I410" s="60"/>
      <c r="J410" s="60"/>
      <c r="K410" s="60"/>
      <c r="L410" s="60"/>
      <c r="M410" s="60"/>
      <c r="N410" s="60"/>
    </row>
    <row r="411" spans="1:14" s="59" customFormat="1" x14ac:dyDescent="0.3">
      <c r="A411" s="60"/>
      <c r="B411" s="60"/>
      <c r="C411" s="60"/>
      <c r="D411" s="60"/>
      <c r="E411" s="60"/>
      <c r="F411" s="60"/>
      <c r="G411" s="60"/>
      <c r="H411" s="60"/>
      <c r="I411" s="60"/>
      <c r="J411" s="60"/>
      <c r="K411" s="60"/>
      <c r="L411" s="60"/>
      <c r="M411" s="60"/>
      <c r="N411" s="60"/>
    </row>
    <row r="412" spans="1:14" s="59" customFormat="1" x14ac:dyDescent="0.3">
      <c r="A412" s="60"/>
      <c r="B412" s="60"/>
      <c r="C412" s="60"/>
      <c r="D412" s="60"/>
      <c r="E412" s="60"/>
      <c r="F412" s="60"/>
      <c r="G412" s="60"/>
      <c r="H412" s="60"/>
      <c r="I412" s="60"/>
      <c r="J412" s="60"/>
      <c r="K412" s="60"/>
      <c r="L412" s="60"/>
      <c r="M412" s="60"/>
      <c r="N412" s="60"/>
    </row>
    <row r="413" spans="1:14" s="59" customFormat="1" x14ac:dyDescent="0.3">
      <c r="A413" s="60"/>
      <c r="B413" s="60"/>
      <c r="C413" s="60"/>
      <c r="D413" s="60"/>
      <c r="E413" s="60"/>
      <c r="F413" s="60"/>
      <c r="G413" s="60"/>
      <c r="H413" s="60"/>
      <c r="I413" s="60"/>
      <c r="J413" s="60"/>
      <c r="K413" s="60"/>
      <c r="L413" s="60"/>
      <c r="M413" s="60"/>
      <c r="N413" s="60"/>
    </row>
    <row r="414" spans="1:14" s="59" customFormat="1" x14ac:dyDescent="0.3">
      <c r="A414" s="60"/>
      <c r="B414" s="60"/>
      <c r="C414" s="60"/>
      <c r="D414" s="60"/>
      <c r="E414" s="60"/>
      <c r="F414" s="60"/>
      <c r="G414" s="60"/>
      <c r="H414" s="60"/>
      <c r="I414" s="60"/>
      <c r="J414" s="60"/>
      <c r="K414" s="60"/>
      <c r="L414" s="60"/>
      <c r="M414" s="60"/>
      <c r="N414" s="60"/>
    </row>
    <row r="415" spans="1:14" s="59" customFormat="1" x14ac:dyDescent="0.3">
      <c r="A415" s="60"/>
      <c r="B415" s="60"/>
      <c r="C415" s="60"/>
      <c r="D415" s="60"/>
      <c r="E415" s="60"/>
      <c r="F415" s="60"/>
      <c r="G415" s="60"/>
      <c r="H415" s="60"/>
      <c r="I415" s="60"/>
      <c r="J415" s="60"/>
      <c r="K415" s="60"/>
      <c r="L415" s="60"/>
      <c r="M415" s="60"/>
      <c r="N415" s="60"/>
    </row>
    <row r="416" spans="1:14" s="59" customFormat="1" x14ac:dyDescent="0.3">
      <c r="A416" s="60"/>
      <c r="B416" s="60"/>
      <c r="C416" s="60"/>
      <c r="D416" s="60"/>
      <c r="E416" s="60"/>
      <c r="F416" s="60"/>
      <c r="G416" s="60"/>
      <c r="H416" s="60"/>
      <c r="I416" s="60"/>
      <c r="J416" s="60"/>
      <c r="K416" s="60"/>
      <c r="L416" s="60"/>
      <c r="M416" s="60"/>
      <c r="N416" s="60"/>
    </row>
    <row r="417" spans="1:14" s="59" customFormat="1" x14ac:dyDescent="0.3">
      <c r="A417" s="60"/>
      <c r="B417" s="60"/>
      <c r="C417" s="60"/>
      <c r="D417" s="60"/>
      <c r="E417" s="60"/>
      <c r="F417" s="60"/>
      <c r="G417" s="60"/>
      <c r="H417" s="60"/>
      <c r="I417" s="60"/>
      <c r="J417" s="60"/>
      <c r="K417" s="60"/>
      <c r="L417" s="60"/>
      <c r="M417" s="60"/>
      <c r="N417" s="60"/>
    </row>
    <row r="418" spans="1:14" s="59" customFormat="1" x14ac:dyDescent="0.3">
      <c r="A418" s="60"/>
      <c r="B418" s="60"/>
      <c r="C418" s="60"/>
      <c r="D418" s="60"/>
      <c r="E418" s="60"/>
      <c r="F418" s="60"/>
      <c r="G418" s="60"/>
      <c r="H418" s="60"/>
      <c r="I418" s="60"/>
      <c r="J418" s="60"/>
      <c r="K418" s="60"/>
      <c r="L418" s="60"/>
      <c r="M418" s="60"/>
      <c r="N418" s="60"/>
    </row>
    <row r="419" spans="1:14" s="59" customFormat="1" x14ac:dyDescent="0.3">
      <c r="A419" s="60"/>
      <c r="B419" s="60"/>
      <c r="C419" s="60"/>
      <c r="D419" s="60"/>
      <c r="E419" s="60"/>
      <c r="F419" s="60"/>
      <c r="G419" s="60"/>
      <c r="H419" s="60"/>
      <c r="I419" s="60"/>
      <c r="J419" s="60"/>
      <c r="K419" s="60"/>
      <c r="L419" s="60"/>
      <c r="M419" s="60"/>
      <c r="N419" s="60"/>
    </row>
    <row r="420" spans="1:14" s="59" customFormat="1" x14ac:dyDescent="0.3">
      <c r="A420" s="60"/>
      <c r="B420" s="60"/>
      <c r="C420" s="60"/>
      <c r="D420" s="60"/>
      <c r="E420" s="60"/>
      <c r="F420" s="60"/>
      <c r="G420" s="60"/>
      <c r="H420" s="60"/>
      <c r="I420" s="60"/>
      <c r="J420" s="60"/>
      <c r="K420" s="60"/>
      <c r="L420" s="60"/>
      <c r="M420" s="60"/>
      <c r="N420" s="60"/>
    </row>
    <row r="421" spans="1:14" s="59" customFormat="1" x14ac:dyDescent="0.3">
      <c r="A421" s="60"/>
      <c r="B421" s="60"/>
      <c r="C421" s="60"/>
      <c r="D421" s="60"/>
      <c r="E421" s="60"/>
      <c r="F421" s="60"/>
      <c r="G421" s="60"/>
      <c r="H421" s="60"/>
      <c r="I421" s="60"/>
      <c r="J421" s="60"/>
      <c r="K421" s="60"/>
      <c r="L421" s="60"/>
      <c r="M421" s="60"/>
      <c r="N421" s="60"/>
    </row>
    <row r="422" spans="1:14" s="59" customFormat="1" x14ac:dyDescent="0.3">
      <c r="A422" s="60"/>
      <c r="B422" s="60"/>
      <c r="C422" s="60"/>
      <c r="D422" s="60"/>
      <c r="E422" s="60"/>
      <c r="F422" s="60"/>
      <c r="G422" s="60"/>
      <c r="H422" s="60"/>
      <c r="I422" s="60"/>
      <c r="J422" s="60"/>
      <c r="K422" s="60"/>
      <c r="L422" s="60"/>
      <c r="M422" s="60"/>
      <c r="N422" s="60"/>
    </row>
    <row r="423" spans="1:14" s="59" customFormat="1" x14ac:dyDescent="0.3">
      <c r="A423" s="60"/>
      <c r="B423" s="60"/>
      <c r="C423" s="60"/>
      <c r="D423" s="60"/>
      <c r="E423" s="60"/>
      <c r="F423" s="60"/>
      <c r="G423" s="60"/>
      <c r="H423" s="60"/>
      <c r="I423" s="60"/>
      <c r="J423" s="60"/>
      <c r="K423" s="60"/>
      <c r="L423" s="60"/>
      <c r="M423" s="60"/>
      <c r="N423" s="60"/>
    </row>
    <row r="424" spans="1:14" s="59" customFormat="1" x14ac:dyDescent="0.3">
      <c r="A424" s="60"/>
      <c r="B424" s="60"/>
      <c r="C424" s="60"/>
      <c r="D424" s="60"/>
      <c r="E424" s="60"/>
      <c r="F424" s="60"/>
      <c r="G424" s="60"/>
      <c r="H424" s="60"/>
      <c r="I424" s="60"/>
      <c r="J424" s="60"/>
      <c r="K424" s="60"/>
      <c r="L424" s="60"/>
      <c r="M424" s="60"/>
      <c r="N424" s="60"/>
    </row>
    <row r="425" spans="1:14" s="59" customFormat="1" x14ac:dyDescent="0.3">
      <c r="A425" s="60"/>
      <c r="B425" s="60"/>
      <c r="C425" s="60"/>
      <c r="D425" s="60"/>
      <c r="E425" s="60"/>
      <c r="F425" s="60"/>
      <c r="G425" s="60"/>
      <c r="H425" s="60"/>
      <c r="I425" s="60"/>
      <c r="J425" s="60"/>
      <c r="K425" s="60"/>
      <c r="L425" s="60"/>
      <c r="M425" s="60"/>
      <c r="N425" s="60"/>
    </row>
    <row r="426" spans="1:14" s="59" customFormat="1" x14ac:dyDescent="0.3">
      <c r="A426" s="60"/>
      <c r="B426" s="60"/>
      <c r="C426" s="60"/>
      <c r="D426" s="60"/>
      <c r="E426" s="60"/>
      <c r="F426" s="60"/>
      <c r="G426" s="60"/>
      <c r="H426" s="60"/>
      <c r="I426" s="60"/>
      <c r="J426" s="60"/>
      <c r="K426" s="60"/>
      <c r="L426" s="60"/>
      <c r="M426" s="60"/>
      <c r="N426" s="60"/>
    </row>
    <row r="427" spans="1:14" s="59" customFormat="1" x14ac:dyDescent="0.3">
      <c r="A427" s="60"/>
      <c r="B427" s="60"/>
      <c r="C427" s="60"/>
      <c r="D427" s="60"/>
      <c r="E427" s="60"/>
      <c r="F427" s="60"/>
      <c r="G427" s="60"/>
      <c r="H427" s="60"/>
      <c r="I427" s="60"/>
      <c r="J427" s="60"/>
      <c r="K427" s="60"/>
      <c r="L427" s="60"/>
      <c r="M427" s="60"/>
      <c r="N427" s="60"/>
    </row>
    <row r="428" spans="1:14" s="59" customFormat="1" x14ac:dyDescent="0.3">
      <c r="A428" s="60"/>
      <c r="B428" s="60"/>
      <c r="C428" s="60"/>
      <c r="D428" s="60"/>
      <c r="E428" s="60"/>
      <c r="F428" s="60"/>
      <c r="G428" s="60"/>
      <c r="H428" s="60"/>
      <c r="I428" s="60"/>
      <c r="J428" s="60"/>
      <c r="K428" s="60"/>
      <c r="L428" s="60"/>
      <c r="M428" s="60"/>
      <c r="N428" s="60"/>
    </row>
    <row r="429" spans="1:14" s="59" customFormat="1" x14ac:dyDescent="0.3">
      <c r="A429" s="60"/>
      <c r="B429" s="60"/>
      <c r="C429" s="60"/>
      <c r="D429" s="60"/>
      <c r="E429" s="60"/>
      <c r="F429" s="60"/>
      <c r="G429" s="60"/>
      <c r="H429" s="60"/>
      <c r="I429" s="60"/>
      <c r="J429" s="60"/>
      <c r="K429" s="60"/>
      <c r="L429" s="60"/>
      <c r="M429" s="60"/>
      <c r="N429" s="60"/>
    </row>
    <row r="430" spans="1:14" s="59" customFormat="1" x14ac:dyDescent="0.3">
      <c r="A430" s="60"/>
      <c r="B430" s="60"/>
      <c r="C430" s="60"/>
      <c r="D430" s="60"/>
      <c r="E430" s="60"/>
      <c r="F430" s="60"/>
      <c r="G430" s="60"/>
      <c r="H430" s="60"/>
      <c r="I430" s="60"/>
      <c r="J430" s="60"/>
      <c r="K430" s="60"/>
      <c r="L430" s="60"/>
      <c r="M430" s="60"/>
      <c r="N430" s="60"/>
    </row>
    <row r="431" spans="1:14" s="59" customFormat="1" x14ac:dyDescent="0.3">
      <c r="A431" s="60"/>
      <c r="B431" s="60"/>
      <c r="C431" s="60"/>
      <c r="D431" s="60"/>
      <c r="E431" s="60"/>
      <c r="F431" s="60"/>
      <c r="G431" s="60"/>
      <c r="H431" s="60"/>
      <c r="I431" s="60"/>
      <c r="J431" s="60"/>
      <c r="K431" s="60"/>
      <c r="L431" s="60"/>
      <c r="M431" s="60"/>
      <c r="N431" s="60"/>
    </row>
    <row r="432" spans="1:14" s="59" customFormat="1" x14ac:dyDescent="0.3">
      <c r="A432" s="60"/>
      <c r="B432" s="60"/>
      <c r="C432" s="60"/>
      <c r="D432" s="60"/>
      <c r="E432" s="60"/>
      <c r="F432" s="60"/>
      <c r="G432" s="60"/>
      <c r="H432" s="60"/>
      <c r="I432" s="60"/>
      <c r="J432" s="60"/>
      <c r="K432" s="60"/>
      <c r="L432" s="60"/>
      <c r="M432" s="60"/>
      <c r="N432" s="60"/>
    </row>
    <row r="433" spans="1:14" s="59" customFormat="1" x14ac:dyDescent="0.3">
      <c r="A433" s="60"/>
      <c r="B433" s="60"/>
      <c r="C433" s="60"/>
      <c r="D433" s="60"/>
      <c r="E433" s="60"/>
      <c r="F433" s="60"/>
      <c r="G433" s="60"/>
      <c r="H433" s="60"/>
      <c r="I433" s="60"/>
      <c r="J433" s="60"/>
      <c r="K433" s="60"/>
      <c r="L433" s="60"/>
      <c r="M433" s="60"/>
      <c r="N433" s="60"/>
    </row>
    <row r="434" spans="1:14" s="59" customFormat="1" x14ac:dyDescent="0.3">
      <c r="A434" s="60"/>
      <c r="B434" s="60"/>
      <c r="C434" s="60"/>
      <c r="D434" s="60"/>
      <c r="E434" s="60"/>
      <c r="F434" s="60"/>
      <c r="G434" s="60"/>
      <c r="H434" s="60"/>
      <c r="I434" s="60"/>
      <c r="J434" s="60"/>
      <c r="K434" s="60"/>
      <c r="L434" s="60"/>
      <c r="M434" s="60"/>
      <c r="N434" s="60"/>
    </row>
    <row r="435" spans="1:14" s="59" customFormat="1" x14ac:dyDescent="0.3">
      <c r="A435" s="60"/>
      <c r="B435" s="60"/>
      <c r="C435" s="60"/>
      <c r="D435" s="60"/>
      <c r="E435" s="60"/>
      <c r="F435" s="60"/>
      <c r="G435" s="60"/>
      <c r="H435" s="60"/>
      <c r="I435" s="60"/>
      <c r="J435" s="60"/>
      <c r="K435" s="60"/>
      <c r="L435" s="60"/>
      <c r="M435" s="60"/>
      <c r="N435" s="60"/>
    </row>
    <row r="436" spans="1:14" s="59" customFormat="1" x14ac:dyDescent="0.3">
      <c r="A436" s="60"/>
      <c r="B436" s="60"/>
      <c r="C436" s="60"/>
      <c r="D436" s="60"/>
      <c r="E436" s="60"/>
      <c r="F436" s="60"/>
      <c r="G436" s="60"/>
      <c r="H436" s="60"/>
      <c r="I436" s="60"/>
      <c r="J436" s="60"/>
      <c r="K436" s="60"/>
      <c r="L436" s="60"/>
      <c r="M436" s="60"/>
      <c r="N436" s="60"/>
    </row>
    <row r="437" spans="1:14" s="59" customFormat="1" x14ac:dyDescent="0.3">
      <c r="A437" s="60"/>
      <c r="B437" s="60"/>
      <c r="C437" s="60"/>
      <c r="D437" s="60"/>
      <c r="E437" s="60"/>
      <c r="F437" s="60"/>
      <c r="G437" s="60"/>
      <c r="H437" s="60"/>
      <c r="I437" s="60"/>
      <c r="J437" s="60"/>
      <c r="K437" s="60"/>
      <c r="L437" s="60"/>
      <c r="M437" s="60"/>
      <c r="N437" s="60"/>
    </row>
    <row r="438" spans="1:14" s="59" customFormat="1" x14ac:dyDescent="0.3">
      <c r="A438" s="60"/>
      <c r="B438" s="60"/>
      <c r="C438" s="60"/>
      <c r="D438" s="60"/>
      <c r="E438" s="60"/>
      <c r="F438" s="60"/>
      <c r="G438" s="60"/>
      <c r="H438" s="60"/>
      <c r="I438" s="60"/>
      <c r="J438" s="60"/>
      <c r="K438" s="60"/>
      <c r="L438" s="60"/>
      <c r="M438" s="60"/>
      <c r="N438" s="60"/>
    </row>
    <row r="439" spans="1:14" s="59" customFormat="1" x14ac:dyDescent="0.3">
      <c r="A439" s="60"/>
      <c r="B439" s="60"/>
      <c r="C439" s="60"/>
      <c r="D439" s="60"/>
      <c r="E439" s="60"/>
      <c r="F439" s="60"/>
      <c r="G439" s="60"/>
      <c r="H439" s="60"/>
      <c r="I439" s="60"/>
      <c r="J439" s="60"/>
      <c r="K439" s="60"/>
      <c r="L439" s="60"/>
      <c r="M439" s="60"/>
      <c r="N439" s="60"/>
    </row>
    <row r="440" spans="1:14" s="59" customFormat="1" x14ac:dyDescent="0.3">
      <c r="A440" s="60"/>
      <c r="B440" s="60"/>
      <c r="C440" s="60"/>
      <c r="D440" s="60"/>
      <c r="E440" s="60"/>
      <c r="F440" s="60"/>
      <c r="G440" s="60"/>
      <c r="H440" s="60"/>
      <c r="I440" s="60"/>
      <c r="J440" s="60"/>
      <c r="K440" s="60"/>
      <c r="L440" s="60"/>
      <c r="M440" s="60"/>
      <c r="N440" s="60"/>
    </row>
    <row r="441" spans="1:14" s="59" customFormat="1" x14ac:dyDescent="0.3">
      <c r="A441" s="60"/>
      <c r="B441" s="60"/>
      <c r="C441" s="60"/>
      <c r="D441" s="60"/>
      <c r="E441" s="60"/>
      <c r="F441" s="60"/>
      <c r="G441" s="60"/>
      <c r="H441" s="60"/>
      <c r="I441" s="60"/>
      <c r="J441" s="60"/>
      <c r="K441" s="60"/>
      <c r="L441" s="60"/>
      <c r="M441" s="60"/>
      <c r="N441" s="60"/>
    </row>
    <row r="442" spans="1:14" s="59" customFormat="1" x14ac:dyDescent="0.3">
      <c r="A442" s="60"/>
      <c r="B442" s="60"/>
      <c r="C442" s="60"/>
      <c r="D442" s="60"/>
      <c r="E442" s="60"/>
      <c r="F442" s="60"/>
      <c r="G442" s="60"/>
      <c r="H442" s="60"/>
      <c r="I442" s="60"/>
      <c r="J442" s="60"/>
      <c r="K442" s="60"/>
      <c r="L442" s="60"/>
      <c r="M442" s="60"/>
      <c r="N442" s="60"/>
    </row>
    <row r="443" spans="1:14" s="59" customFormat="1" x14ac:dyDescent="0.3">
      <c r="A443" s="60"/>
      <c r="B443" s="60"/>
      <c r="C443" s="60"/>
      <c r="D443" s="60"/>
      <c r="E443" s="60"/>
      <c r="F443" s="60"/>
      <c r="G443" s="60"/>
      <c r="H443" s="60"/>
      <c r="I443" s="60"/>
      <c r="J443" s="60"/>
      <c r="K443" s="60"/>
      <c r="L443" s="60"/>
      <c r="M443" s="60"/>
      <c r="N443" s="60"/>
    </row>
    <row r="444" spans="1:14" s="59" customFormat="1" x14ac:dyDescent="0.3">
      <c r="A444" s="60"/>
      <c r="B444" s="60"/>
      <c r="C444" s="60"/>
      <c r="D444" s="60"/>
      <c r="E444" s="60"/>
      <c r="F444" s="60"/>
      <c r="G444" s="60"/>
      <c r="H444" s="60"/>
      <c r="I444" s="60"/>
      <c r="J444" s="60"/>
      <c r="K444" s="60"/>
      <c r="L444" s="60"/>
      <c r="M444" s="60"/>
      <c r="N444" s="60"/>
    </row>
    <row r="445" spans="1:14" s="59" customFormat="1" x14ac:dyDescent="0.3">
      <c r="A445" s="60"/>
      <c r="B445" s="60"/>
      <c r="C445" s="60"/>
      <c r="D445" s="60"/>
      <c r="E445" s="60"/>
      <c r="F445" s="60"/>
      <c r="G445" s="60"/>
      <c r="H445" s="60"/>
      <c r="I445" s="60"/>
      <c r="J445" s="60"/>
      <c r="K445" s="60"/>
      <c r="L445" s="60"/>
      <c r="M445" s="60"/>
      <c r="N445" s="60"/>
    </row>
    <row r="446" spans="1:14" s="59" customFormat="1" x14ac:dyDescent="0.3">
      <c r="A446" s="60"/>
      <c r="B446" s="60"/>
      <c r="C446" s="60"/>
      <c r="D446" s="60"/>
      <c r="E446" s="60"/>
      <c r="F446" s="60"/>
      <c r="G446" s="60"/>
      <c r="H446" s="60"/>
      <c r="I446" s="60"/>
      <c r="J446" s="60"/>
      <c r="K446" s="60"/>
      <c r="L446" s="60"/>
      <c r="M446" s="60"/>
      <c r="N446" s="60"/>
    </row>
    <row r="447" spans="1:14" s="59" customFormat="1" x14ac:dyDescent="0.3">
      <c r="A447" s="60"/>
      <c r="B447" s="60"/>
      <c r="C447" s="60"/>
      <c r="D447" s="60"/>
      <c r="E447" s="60"/>
      <c r="F447" s="60"/>
      <c r="G447" s="60"/>
      <c r="H447" s="60"/>
      <c r="I447" s="60"/>
      <c r="J447" s="60"/>
      <c r="K447" s="60"/>
      <c r="L447" s="60"/>
      <c r="M447" s="60"/>
      <c r="N447" s="60"/>
    </row>
    <row r="448" spans="1:14" s="59" customFormat="1" x14ac:dyDescent="0.3">
      <c r="A448" s="60"/>
      <c r="B448" s="60"/>
      <c r="C448" s="60"/>
      <c r="D448" s="60"/>
      <c r="E448" s="60"/>
      <c r="F448" s="60"/>
      <c r="G448" s="60"/>
      <c r="H448" s="60"/>
      <c r="I448" s="60"/>
      <c r="J448" s="60"/>
      <c r="K448" s="60"/>
      <c r="L448" s="60"/>
      <c r="M448" s="60"/>
      <c r="N448" s="60"/>
    </row>
    <row r="449" spans="1:14" s="59" customFormat="1" x14ac:dyDescent="0.3">
      <c r="A449" s="60"/>
      <c r="B449" s="60"/>
      <c r="C449" s="60"/>
      <c r="D449" s="60"/>
      <c r="E449" s="60"/>
      <c r="F449" s="60"/>
      <c r="G449" s="60"/>
      <c r="H449" s="60"/>
      <c r="I449" s="60"/>
      <c r="J449" s="60"/>
      <c r="K449" s="60"/>
      <c r="L449" s="60"/>
      <c r="M449" s="60"/>
      <c r="N449" s="60"/>
    </row>
    <row r="450" spans="1:14" s="59" customFormat="1" x14ac:dyDescent="0.3">
      <c r="A450" s="60"/>
      <c r="B450" s="60"/>
      <c r="C450" s="60"/>
      <c r="D450" s="60"/>
      <c r="E450" s="60"/>
      <c r="F450" s="60"/>
      <c r="G450" s="60"/>
      <c r="H450" s="60"/>
      <c r="I450" s="60"/>
      <c r="J450" s="60"/>
      <c r="K450" s="60"/>
      <c r="L450" s="60"/>
      <c r="M450" s="60"/>
      <c r="N450" s="60"/>
    </row>
    <row r="451" spans="1:14" s="59" customFormat="1" x14ac:dyDescent="0.3">
      <c r="A451" s="60"/>
      <c r="B451" s="60"/>
      <c r="C451" s="60"/>
      <c r="D451" s="60"/>
      <c r="E451" s="60"/>
      <c r="F451" s="60"/>
      <c r="G451" s="60"/>
      <c r="H451" s="60"/>
      <c r="I451" s="60"/>
      <c r="J451" s="60"/>
      <c r="K451" s="60"/>
      <c r="L451" s="60"/>
      <c r="M451" s="60"/>
      <c r="N451" s="60"/>
    </row>
    <row r="452" spans="1:14" s="59" customFormat="1" x14ac:dyDescent="0.3">
      <c r="A452" s="60"/>
      <c r="B452" s="60"/>
      <c r="C452" s="60"/>
      <c r="D452" s="60"/>
      <c r="E452" s="60"/>
      <c r="F452" s="60"/>
      <c r="G452" s="60"/>
      <c r="H452" s="60"/>
      <c r="I452" s="60"/>
      <c r="J452" s="60"/>
      <c r="K452" s="60"/>
      <c r="L452" s="60"/>
      <c r="M452" s="60"/>
      <c r="N452" s="60"/>
    </row>
    <row r="453" spans="1:14" s="59" customFormat="1" x14ac:dyDescent="0.3">
      <c r="A453" s="60"/>
      <c r="B453" s="60"/>
      <c r="C453" s="60"/>
      <c r="D453" s="60"/>
      <c r="E453" s="60"/>
      <c r="F453" s="60"/>
      <c r="G453" s="60"/>
      <c r="H453" s="60"/>
      <c r="I453" s="60"/>
      <c r="J453" s="60"/>
      <c r="K453" s="60"/>
      <c r="L453" s="60"/>
      <c r="M453" s="60"/>
      <c r="N453" s="60"/>
    </row>
    <row r="454" spans="1:14" s="59" customFormat="1" x14ac:dyDescent="0.3">
      <c r="A454" s="60"/>
      <c r="B454" s="60"/>
      <c r="C454" s="60"/>
      <c r="D454" s="60"/>
      <c r="E454" s="60"/>
      <c r="F454" s="60"/>
      <c r="G454" s="60"/>
      <c r="H454" s="60"/>
      <c r="I454" s="60"/>
      <c r="J454" s="60"/>
      <c r="K454" s="60"/>
      <c r="L454" s="60"/>
      <c r="M454" s="60"/>
      <c r="N454" s="60"/>
    </row>
    <row r="455" spans="1:14" s="59" customFormat="1" x14ac:dyDescent="0.3">
      <c r="A455" s="60"/>
      <c r="B455" s="60"/>
      <c r="C455" s="60"/>
      <c r="D455" s="60"/>
      <c r="E455" s="60"/>
      <c r="F455" s="60"/>
      <c r="G455" s="60"/>
      <c r="H455" s="60"/>
      <c r="I455" s="60"/>
      <c r="J455" s="60"/>
      <c r="K455" s="60"/>
      <c r="L455" s="60"/>
      <c r="M455" s="60"/>
      <c r="N455" s="60"/>
    </row>
    <row r="456" spans="1:14" s="59" customFormat="1" x14ac:dyDescent="0.3">
      <c r="A456" s="60"/>
      <c r="B456" s="60"/>
      <c r="C456" s="60"/>
      <c r="D456" s="60"/>
      <c r="E456" s="60"/>
      <c r="F456" s="60"/>
      <c r="G456" s="60"/>
      <c r="H456" s="60"/>
      <c r="I456" s="60"/>
      <c r="J456" s="60"/>
      <c r="K456" s="60"/>
      <c r="L456" s="60"/>
      <c r="M456" s="60"/>
      <c r="N456" s="60"/>
    </row>
    <row r="457" spans="1:14" s="59" customFormat="1" x14ac:dyDescent="0.3">
      <c r="A457" s="60"/>
      <c r="B457" s="60"/>
      <c r="C457" s="60"/>
      <c r="D457" s="60"/>
      <c r="E457" s="60"/>
      <c r="F457" s="60"/>
      <c r="G457" s="60"/>
      <c r="H457" s="60"/>
      <c r="I457" s="60"/>
      <c r="J457" s="60"/>
      <c r="K457" s="60"/>
      <c r="L457" s="60"/>
      <c r="M457" s="60"/>
      <c r="N457" s="60"/>
    </row>
    <row r="458" spans="1:14" s="59" customFormat="1" x14ac:dyDescent="0.3">
      <c r="A458" s="60"/>
      <c r="B458" s="60"/>
      <c r="C458" s="60"/>
      <c r="D458" s="60"/>
      <c r="E458" s="60"/>
      <c r="F458" s="60"/>
      <c r="G458" s="60"/>
      <c r="H458" s="60"/>
      <c r="I458" s="60"/>
      <c r="J458" s="60"/>
      <c r="K458" s="60"/>
      <c r="L458" s="60"/>
      <c r="M458" s="60"/>
      <c r="N458" s="60"/>
    </row>
    <row r="459" spans="1:14" s="59" customFormat="1" x14ac:dyDescent="0.3">
      <c r="A459" s="60"/>
      <c r="B459" s="60"/>
      <c r="C459" s="60"/>
      <c r="D459" s="60"/>
      <c r="E459" s="60"/>
      <c r="F459" s="60"/>
      <c r="G459" s="60"/>
      <c r="H459" s="60"/>
      <c r="I459" s="60"/>
      <c r="J459" s="60"/>
      <c r="K459" s="60"/>
      <c r="L459" s="60"/>
      <c r="M459" s="60"/>
      <c r="N459" s="60"/>
    </row>
    <row r="460" spans="1:14" s="59" customFormat="1" x14ac:dyDescent="0.3">
      <c r="A460" s="60"/>
      <c r="B460" s="60"/>
      <c r="C460" s="60"/>
      <c r="D460" s="60"/>
      <c r="E460" s="60"/>
      <c r="F460" s="60"/>
      <c r="G460" s="60"/>
      <c r="H460" s="60"/>
      <c r="I460" s="60"/>
      <c r="J460" s="60"/>
      <c r="K460" s="60"/>
      <c r="L460" s="60"/>
      <c r="M460" s="60"/>
      <c r="N460" s="60"/>
    </row>
    <row r="461" spans="1:14" s="59" customFormat="1" x14ac:dyDescent="0.3">
      <c r="A461" s="60"/>
      <c r="B461" s="60"/>
      <c r="C461" s="60"/>
      <c r="D461" s="60"/>
      <c r="E461" s="60"/>
      <c r="F461" s="60"/>
      <c r="G461" s="60"/>
      <c r="H461" s="60"/>
      <c r="I461" s="60"/>
      <c r="J461" s="60"/>
      <c r="K461" s="60"/>
      <c r="L461" s="60"/>
      <c r="M461" s="60"/>
      <c r="N461" s="60"/>
    </row>
    <row r="462" spans="1:14" s="59" customFormat="1" x14ac:dyDescent="0.3">
      <c r="A462" s="60"/>
      <c r="B462" s="60"/>
      <c r="C462" s="60"/>
      <c r="D462" s="60"/>
      <c r="E462" s="60"/>
      <c r="F462" s="60"/>
      <c r="G462" s="60"/>
      <c r="H462" s="60"/>
      <c r="I462" s="60"/>
      <c r="J462" s="60"/>
      <c r="K462" s="60"/>
      <c r="L462" s="60"/>
      <c r="M462" s="60"/>
      <c r="N462" s="60"/>
    </row>
    <row r="463" spans="1:14" s="59" customFormat="1" x14ac:dyDescent="0.3">
      <c r="A463" s="60"/>
      <c r="B463" s="60"/>
      <c r="C463" s="60"/>
      <c r="D463" s="60"/>
      <c r="E463" s="60"/>
      <c r="F463" s="60"/>
      <c r="G463" s="60"/>
      <c r="H463" s="60"/>
      <c r="I463" s="60"/>
      <c r="J463" s="60"/>
      <c r="K463" s="60"/>
      <c r="L463" s="60"/>
      <c r="M463" s="60"/>
      <c r="N463" s="60"/>
    </row>
    <row r="464" spans="1:14" s="59" customFormat="1" x14ac:dyDescent="0.3">
      <c r="A464" s="60"/>
      <c r="B464" s="60"/>
      <c r="C464" s="60"/>
      <c r="D464" s="60"/>
      <c r="E464" s="60"/>
      <c r="F464" s="60"/>
      <c r="G464" s="60"/>
      <c r="H464" s="60"/>
      <c r="I464" s="60"/>
      <c r="J464" s="60"/>
      <c r="K464" s="60"/>
      <c r="L464" s="60"/>
      <c r="M464" s="60"/>
      <c r="N464" s="60"/>
    </row>
    <row r="465" spans="1:14" s="59" customFormat="1" x14ac:dyDescent="0.3">
      <c r="A465" s="60"/>
      <c r="B465" s="60"/>
      <c r="C465" s="60"/>
      <c r="D465" s="60"/>
      <c r="E465" s="60"/>
      <c r="F465" s="60"/>
      <c r="G465" s="60"/>
      <c r="H465" s="60"/>
      <c r="I465" s="60"/>
      <c r="J465" s="60"/>
      <c r="K465" s="60"/>
      <c r="L465" s="60"/>
      <c r="M465" s="60"/>
      <c r="N465" s="60"/>
    </row>
    <row r="466" spans="1:14" s="59" customFormat="1" x14ac:dyDescent="0.3">
      <c r="A466" s="60"/>
      <c r="B466" s="60"/>
      <c r="C466" s="60"/>
      <c r="D466" s="60"/>
      <c r="E466" s="60"/>
      <c r="F466" s="60"/>
      <c r="G466" s="60"/>
      <c r="H466" s="60"/>
      <c r="I466" s="60"/>
      <c r="J466" s="60"/>
      <c r="K466" s="60"/>
      <c r="L466" s="60"/>
      <c r="M466" s="60"/>
      <c r="N466" s="60"/>
    </row>
    <row r="467" spans="1:14" s="59" customFormat="1" x14ac:dyDescent="0.3">
      <c r="A467" s="60"/>
      <c r="B467" s="60"/>
      <c r="C467" s="60"/>
      <c r="D467" s="60"/>
      <c r="E467" s="60"/>
      <c r="F467" s="60"/>
      <c r="G467" s="60"/>
      <c r="H467" s="60"/>
      <c r="I467" s="60"/>
      <c r="J467" s="60"/>
      <c r="K467" s="60"/>
      <c r="L467" s="60"/>
      <c r="M467" s="60"/>
      <c r="N467" s="60"/>
    </row>
    <row r="468" spans="1:14" s="59" customFormat="1" x14ac:dyDescent="0.3">
      <c r="A468" s="60"/>
      <c r="B468" s="60"/>
      <c r="C468" s="60"/>
      <c r="D468" s="60"/>
      <c r="E468" s="60"/>
      <c r="F468" s="60"/>
      <c r="G468" s="60"/>
      <c r="H468" s="60"/>
      <c r="I468" s="60"/>
      <c r="J468" s="60"/>
      <c r="K468" s="60"/>
      <c r="L468" s="60"/>
      <c r="M468" s="60"/>
      <c r="N468" s="60"/>
    </row>
    <row r="469" spans="1:14" s="59" customFormat="1" x14ac:dyDescent="0.3">
      <c r="A469" s="60"/>
      <c r="B469" s="60"/>
      <c r="C469" s="60"/>
      <c r="D469" s="60"/>
      <c r="E469" s="60"/>
      <c r="F469" s="60"/>
      <c r="G469" s="60"/>
      <c r="H469" s="60"/>
      <c r="I469" s="60"/>
      <c r="J469" s="60"/>
      <c r="K469" s="60"/>
      <c r="L469" s="60"/>
      <c r="M469" s="60"/>
      <c r="N469" s="60"/>
    </row>
    <row r="470" spans="1:14" s="59" customFormat="1" x14ac:dyDescent="0.3">
      <c r="A470" s="60"/>
      <c r="B470" s="60"/>
      <c r="C470" s="60"/>
      <c r="D470" s="60"/>
      <c r="E470" s="60"/>
      <c r="F470" s="60"/>
      <c r="G470" s="60"/>
      <c r="H470" s="60"/>
      <c r="I470" s="60"/>
      <c r="J470" s="60"/>
      <c r="K470" s="60"/>
      <c r="L470" s="60"/>
      <c r="M470" s="60"/>
      <c r="N470" s="60"/>
    </row>
    <row r="471" spans="1:14" s="59" customFormat="1" x14ac:dyDescent="0.3">
      <c r="A471" s="60"/>
      <c r="B471" s="60"/>
      <c r="C471" s="60"/>
      <c r="D471" s="60"/>
      <c r="E471" s="60"/>
      <c r="F471" s="60"/>
      <c r="G471" s="60"/>
      <c r="H471" s="60"/>
      <c r="I471" s="60"/>
      <c r="J471" s="60"/>
      <c r="K471" s="60"/>
      <c r="L471" s="60"/>
      <c r="M471" s="60"/>
      <c r="N471" s="60"/>
    </row>
    <row r="472" spans="1:14" s="59" customFormat="1" x14ac:dyDescent="0.3">
      <c r="A472" s="60"/>
      <c r="B472" s="60"/>
      <c r="C472" s="60"/>
      <c r="D472" s="60"/>
      <c r="E472" s="60"/>
      <c r="F472" s="60"/>
      <c r="G472" s="60"/>
      <c r="H472" s="60"/>
      <c r="I472" s="60"/>
      <c r="J472" s="60"/>
      <c r="K472" s="60"/>
      <c r="L472" s="60"/>
      <c r="M472" s="60"/>
      <c r="N472" s="60"/>
    </row>
    <row r="473" spans="1:14" s="59" customFormat="1" x14ac:dyDescent="0.3">
      <c r="A473" s="60"/>
      <c r="B473" s="60"/>
      <c r="C473" s="60"/>
      <c r="D473" s="60"/>
      <c r="E473" s="60"/>
      <c r="F473" s="60"/>
      <c r="G473" s="60"/>
      <c r="H473" s="60"/>
      <c r="I473" s="60"/>
      <c r="J473" s="60"/>
      <c r="K473" s="60"/>
      <c r="L473" s="60"/>
      <c r="M473" s="60"/>
      <c r="N473" s="60"/>
    </row>
    <row r="474" spans="1:14" s="59" customFormat="1" x14ac:dyDescent="0.3">
      <c r="A474" s="60"/>
      <c r="B474" s="60"/>
      <c r="C474" s="60"/>
      <c r="D474" s="60"/>
      <c r="E474" s="60"/>
      <c r="F474" s="60"/>
      <c r="G474" s="60"/>
      <c r="H474" s="60"/>
      <c r="I474" s="60"/>
      <c r="J474" s="60"/>
      <c r="K474" s="60"/>
      <c r="L474" s="60"/>
      <c r="M474" s="60"/>
      <c r="N474" s="60"/>
    </row>
    <row r="475" spans="1:14" s="59" customFormat="1" x14ac:dyDescent="0.3">
      <c r="A475" s="60"/>
      <c r="B475" s="60"/>
      <c r="C475" s="60"/>
      <c r="D475" s="60"/>
      <c r="E475" s="60"/>
      <c r="F475" s="60"/>
      <c r="G475" s="60"/>
      <c r="H475" s="60"/>
      <c r="I475" s="60"/>
      <c r="J475" s="60"/>
      <c r="K475" s="60"/>
      <c r="L475" s="60"/>
      <c r="M475" s="60"/>
      <c r="N475" s="60"/>
    </row>
    <row r="476" spans="1:14" s="59" customFormat="1" x14ac:dyDescent="0.3">
      <c r="A476" s="60"/>
      <c r="B476" s="60"/>
      <c r="C476" s="60"/>
      <c r="D476" s="60"/>
      <c r="E476" s="60"/>
      <c r="F476" s="60"/>
      <c r="G476" s="60"/>
      <c r="H476" s="60"/>
      <c r="I476" s="60"/>
      <c r="J476" s="60"/>
      <c r="K476" s="60"/>
      <c r="L476" s="60"/>
      <c r="M476" s="60"/>
      <c r="N476" s="60"/>
    </row>
    <row r="477" spans="1:14" s="59" customFormat="1" x14ac:dyDescent="0.3">
      <c r="A477" s="60"/>
      <c r="B477" s="60"/>
      <c r="C477" s="60"/>
      <c r="D477" s="60"/>
      <c r="E477" s="60"/>
      <c r="F477" s="60"/>
      <c r="G477" s="60"/>
      <c r="H477" s="60"/>
      <c r="I477" s="60"/>
      <c r="J477" s="60"/>
      <c r="K477" s="60"/>
      <c r="L477" s="60"/>
      <c r="M477" s="60"/>
      <c r="N477" s="60"/>
    </row>
    <row r="478" spans="1:14" s="59" customFormat="1" x14ac:dyDescent="0.3">
      <c r="A478" s="60"/>
      <c r="B478" s="60"/>
      <c r="C478" s="60"/>
      <c r="D478" s="60"/>
      <c r="E478" s="60"/>
      <c r="F478" s="60"/>
      <c r="G478" s="60"/>
      <c r="H478" s="60"/>
      <c r="I478" s="60"/>
      <c r="J478" s="60"/>
      <c r="K478" s="60"/>
      <c r="L478" s="60"/>
      <c r="M478" s="60"/>
      <c r="N478" s="60"/>
    </row>
    <row r="479" spans="1:14" s="59" customFormat="1" x14ac:dyDescent="0.3">
      <c r="A479" s="60"/>
      <c r="B479" s="60"/>
      <c r="C479" s="60"/>
      <c r="D479" s="60"/>
      <c r="E479" s="60"/>
      <c r="F479" s="60"/>
      <c r="G479" s="60"/>
      <c r="H479" s="60"/>
      <c r="I479" s="60"/>
      <c r="J479" s="60"/>
      <c r="K479" s="60"/>
      <c r="L479" s="60"/>
      <c r="M479" s="60"/>
      <c r="N479" s="60"/>
    </row>
    <row r="480" spans="1:14" s="59" customFormat="1" x14ac:dyDescent="0.3">
      <c r="A480" s="60"/>
      <c r="B480" s="60"/>
      <c r="C480" s="60"/>
      <c r="D480" s="60"/>
      <c r="E480" s="60"/>
      <c r="F480" s="60"/>
      <c r="G480" s="60"/>
      <c r="H480" s="60"/>
      <c r="I480" s="60"/>
      <c r="J480" s="60"/>
      <c r="K480" s="60"/>
      <c r="L480" s="60"/>
      <c r="M480" s="60"/>
      <c r="N480" s="60"/>
    </row>
    <row r="481" spans="1:14" s="59" customFormat="1" x14ac:dyDescent="0.3">
      <c r="A481" s="60"/>
      <c r="B481" s="60"/>
      <c r="C481" s="60"/>
      <c r="D481" s="60"/>
      <c r="E481" s="60"/>
      <c r="F481" s="60"/>
      <c r="G481" s="60"/>
      <c r="H481" s="60"/>
      <c r="I481" s="60"/>
      <c r="J481" s="60"/>
      <c r="K481" s="60"/>
      <c r="L481" s="60"/>
      <c r="M481" s="60"/>
      <c r="N481" s="60"/>
    </row>
    <row r="482" spans="1:14" s="59" customFormat="1" x14ac:dyDescent="0.3">
      <c r="A482" s="60"/>
      <c r="B482" s="60"/>
      <c r="C482" s="60"/>
      <c r="D482" s="60"/>
      <c r="E482" s="60"/>
      <c r="F482" s="60"/>
      <c r="G482" s="60"/>
      <c r="H482" s="60"/>
      <c r="I482" s="60"/>
      <c r="J482" s="60"/>
      <c r="K482" s="60"/>
      <c r="L482" s="60"/>
      <c r="M482" s="60"/>
      <c r="N482" s="60"/>
    </row>
    <row r="483" spans="1:14" s="59" customFormat="1" x14ac:dyDescent="0.3">
      <c r="A483" s="60"/>
      <c r="B483" s="60"/>
      <c r="C483" s="60"/>
      <c r="D483" s="60"/>
      <c r="E483" s="60"/>
      <c r="F483" s="60"/>
      <c r="G483" s="60"/>
      <c r="H483" s="60"/>
      <c r="I483" s="60"/>
      <c r="J483" s="60"/>
      <c r="K483" s="60"/>
      <c r="L483" s="60"/>
      <c r="M483" s="60"/>
      <c r="N483" s="60"/>
    </row>
    <row r="484" spans="1:14" s="59" customFormat="1" x14ac:dyDescent="0.3">
      <c r="A484" s="60"/>
      <c r="B484" s="60"/>
      <c r="C484" s="60"/>
      <c r="D484" s="60"/>
      <c r="E484" s="60"/>
      <c r="F484" s="60"/>
      <c r="G484" s="60"/>
      <c r="H484" s="60"/>
      <c r="I484" s="60"/>
      <c r="J484" s="60"/>
      <c r="K484" s="60"/>
      <c r="L484" s="60"/>
      <c r="M484" s="60"/>
      <c r="N484" s="60"/>
    </row>
    <row r="485" spans="1:14" s="59" customFormat="1" x14ac:dyDescent="0.3">
      <c r="A485" s="60"/>
      <c r="B485" s="60"/>
      <c r="C485" s="60"/>
      <c r="D485" s="60"/>
      <c r="E485" s="60"/>
      <c r="F485" s="60"/>
      <c r="G485" s="60"/>
      <c r="H485" s="60"/>
      <c r="I485" s="60"/>
      <c r="J485" s="60"/>
      <c r="K485" s="60"/>
      <c r="L485" s="60"/>
      <c r="M485" s="60"/>
      <c r="N485" s="60"/>
    </row>
    <row r="486" spans="1:14" s="59" customFormat="1" x14ac:dyDescent="0.3">
      <c r="A486" s="60"/>
      <c r="B486" s="60"/>
      <c r="C486" s="60"/>
      <c r="D486" s="60"/>
      <c r="E486" s="60"/>
      <c r="F486" s="60"/>
      <c r="G486" s="60"/>
      <c r="H486" s="60"/>
      <c r="I486" s="60"/>
      <c r="J486" s="60"/>
      <c r="K486" s="60"/>
      <c r="L486" s="60"/>
      <c r="M486" s="60"/>
      <c r="N486" s="60"/>
    </row>
    <row r="487" spans="1:14" s="59" customFormat="1" x14ac:dyDescent="0.3">
      <c r="A487" s="60"/>
      <c r="B487" s="60"/>
      <c r="C487" s="60"/>
      <c r="D487" s="60"/>
      <c r="E487" s="60"/>
      <c r="F487" s="60"/>
      <c r="G487" s="60"/>
      <c r="H487" s="60"/>
      <c r="I487" s="60"/>
      <c r="J487" s="60"/>
      <c r="K487" s="60"/>
      <c r="L487" s="60"/>
      <c r="M487" s="60"/>
      <c r="N487" s="60"/>
    </row>
    <row r="488" spans="1:14" s="59" customFormat="1" x14ac:dyDescent="0.3">
      <c r="A488" s="60"/>
      <c r="B488" s="60"/>
      <c r="C488" s="60"/>
      <c r="D488" s="60"/>
      <c r="E488" s="60"/>
      <c r="F488" s="60"/>
      <c r="G488" s="60"/>
      <c r="H488" s="60"/>
      <c r="I488" s="60"/>
      <c r="J488" s="60"/>
      <c r="K488" s="60"/>
      <c r="L488" s="60"/>
      <c r="M488" s="60"/>
      <c r="N488" s="60"/>
    </row>
    <row r="489" spans="1:14" s="59" customFormat="1" x14ac:dyDescent="0.3">
      <c r="A489" s="60"/>
      <c r="B489" s="60"/>
      <c r="C489" s="60"/>
      <c r="D489" s="60"/>
      <c r="E489" s="60"/>
      <c r="F489" s="60"/>
      <c r="G489" s="60"/>
      <c r="H489" s="60"/>
      <c r="I489" s="60"/>
      <c r="J489" s="60"/>
      <c r="K489" s="60"/>
      <c r="L489" s="60"/>
      <c r="M489" s="60"/>
      <c r="N489" s="60"/>
    </row>
    <row r="490" spans="1:14" s="59" customFormat="1" x14ac:dyDescent="0.3">
      <c r="A490" s="60"/>
      <c r="B490" s="60"/>
      <c r="C490" s="60"/>
      <c r="D490" s="60"/>
      <c r="E490" s="60"/>
      <c r="F490" s="60"/>
      <c r="G490" s="60"/>
      <c r="H490" s="60"/>
      <c r="I490" s="60"/>
      <c r="J490" s="60"/>
      <c r="K490" s="60"/>
      <c r="L490" s="60"/>
      <c r="M490" s="60"/>
      <c r="N490" s="60"/>
    </row>
    <row r="491" spans="1:14" s="59" customFormat="1" x14ac:dyDescent="0.3">
      <c r="A491" s="60"/>
      <c r="B491" s="60"/>
      <c r="C491" s="60"/>
      <c r="D491" s="60"/>
      <c r="E491" s="60"/>
      <c r="F491" s="60"/>
      <c r="G491" s="60"/>
      <c r="H491" s="60"/>
      <c r="I491" s="60"/>
      <c r="J491" s="60"/>
      <c r="K491" s="60"/>
      <c r="L491" s="60"/>
      <c r="M491" s="60"/>
      <c r="N491" s="60"/>
    </row>
    <row r="492" spans="1:14" s="59" customFormat="1" x14ac:dyDescent="0.3">
      <c r="A492" s="60"/>
      <c r="B492" s="60"/>
      <c r="C492" s="60"/>
      <c r="D492" s="60"/>
      <c r="E492" s="60"/>
      <c r="F492" s="60"/>
      <c r="G492" s="60"/>
      <c r="H492" s="60"/>
      <c r="I492" s="60"/>
      <c r="J492" s="60"/>
      <c r="K492" s="60"/>
      <c r="L492" s="60"/>
      <c r="M492" s="60"/>
      <c r="N492" s="60"/>
    </row>
    <row r="493" spans="1:14" s="59" customFormat="1" x14ac:dyDescent="0.3">
      <c r="A493" s="60"/>
      <c r="B493" s="60"/>
      <c r="C493" s="60"/>
      <c r="D493" s="60"/>
      <c r="E493" s="60"/>
      <c r="F493" s="60"/>
      <c r="G493" s="60"/>
      <c r="H493" s="60"/>
      <c r="I493" s="60"/>
      <c r="J493" s="60"/>
      <c r="K493" s="60"/>
      <c r="L493" s="60"/>
      <c r="M493" s="60"/>
      <c r="N493" s="60"/>
    </row>
    <row r="494" spans="1:14" s="59" customFormat="1" x14ac:dyDescent="0.3">
      <c r="A494" s="60"/>
      <c r="B494" s="60"/>
      <c r="C494" s="60"/>
      <c r="D494" s="60"/>
      <c r="E494" s="60"/>
      <c r="F494" s="60"/>
      <c r="G494" s="60"/>
      <c r="H494" s="60"/>
      <c r="I494" s="60"/>
      <c r="J494" s="60"/>
      <c r="K494" s="60"/>
      <c r="L494" s="60"/>
      <c r="M494" s="60"/>
      <c r="N494" s="60"/>
    </row>
    <row r="495" spans="1:14" s="59" customFormat="1" x14ac:dyDescent="0.3">
      <c r="A495" s="60"/>
      <c r="B495" s="60"/>
      <c r="C495" s="60"/>
      <c r="D495" s="60"/>
      <c r="E495" s="60"/>
      <c r="F495" s="60"/>
      <c r="G495" s="60"/>
      <c r="H495" s="60"/>
      <c r="I495" s="60"/>
      <c r="J495" s="60"/>
      <c r="K495" s="60"/>
      <c r="L495" s="60"/>
      <c r="M495" s="60"/>
      <c r="N495" s="60"/>
    </row>
    <row r="496" spans="1:14" s="59" customFormat="1" x14ac:dyDescent="0.3">
      <c r="A496" s="60"/>
      <c r="B496" s="60"/>
      <c r="C496" s="60"/>
      <c r="D496" s="60"/>
      <c r="E496" s="60"/>
      <c r="F496" s="60"/>
      <c r="G496" s="60"/>
      <c r="H496" s="60"/>
      <c r="I496" s="60"/>
      <c r="J496" s="60"/>
      <c r="K496" s="60"/>
      <c r="L496" s="60"/>
      <c r="M496" s="60"/>
      <c r="N496" s="60"/>
    </row>
    <row r="497" spans="1:14" s="59" customFormat="1" x14ac:dyDescent="0.3">
      <c r="A497" s="60"/>
      <c r="B497" s="60"/>
      <c r="C497" s="60"/>
      <c r="D497" s="60"/>
      <c r="E497" s="60"/>
      <c r="F497" s="60"/>
      <c r="G497" s="60"/>
      <c r="H497" s="60"/>
      <c r="I497" s="60"/>
      <c r="J497" s="60"/>
      <c r="K497" s="60"/>
      <c r="L497" s="60"/>
      <c r="M497" s="60"/>
      <c r="N497" s="60"/>
    </row>
    <row r="498" spans="1:14" s="59" customFormat="1" x14ac:dyDescent="0.3">
      <c r="A498" s="60"/>
      <c r="B498" s="60"/>
      <c r="C498" s="60"/>
      <c r="D498" s="60"/>
      <c r="E498" s="60"/>
      <c r="F498" s="60"/>
      <c r="G498" s="60"/>
      <c r="H498" s="60"/>
      <c r="I498" s="60"/>
      <c r="J498" s="60"/>
      <c r="K498" s="60"/>
      <c r="L498" s="60"/>
      <c r="M498" s="60"/>
      <c r="N498" s="60"/>
    </row>
    <row r="499" spans="1:14" s="59" customFormat="1" x14ac:dyDescent="0.3">
      <c r="A499" s="60"/>
      <c r="B499" s="60"/>
      <c r="C499" s="60"/>
      <c r="D499" s="60"/>
      <c r="E499" s="60"/>
      <c r="F499" s="60"/>
      <c r="G499" s="60"/>
      <c r="H499" s="60"/>
      <c r="I499" s="60"/>
      <c r="J499" s="60"/>
      <c r="K499" s="60"/>
      <c r="L499" s="60"/>
      <c r="M499" s="60"/>
      <c r="N499" s="60"/>
    </row>
    <row r="500" spans="1:14" s="59" customFormat="1" x14ac:dyDescent="0.3">
      <c r="A500" s="60"/>
      <c r="B500" s="60"/>
      <c r="C500" s="60"/>
      <c r="D500" s="60"/>
      <c r="E500" s="60"/>
      <c r="F500" s="60"/>
      <c r="G500" s="60"/>
      <c r="H500" s="60"/>
      <c r="I500" s="60"/>
      <c r="J500" s="60"/>
      <c r="K500" s="60"/>
      <c r="L500" s="60"/>
      <c r="M500" s="60"/>
      <c r="N500" s="60"/>
    </row>
    <row r="501" spans="1:14" s="59" customFormat="1" x14ac:dyDescent="0.3">
      <c r="A501" s="60"/>
      <c r="B501" s="60"/>
      <c r="C501" s="60"/>
      <c r="D501" s="60"/>
      <c r="E501" s="60"/>
      <c r="F501" s="60"/>
      <c r="G501" s="60"/>
      <c r="H501" s="60"/>
      <c r="I501" s="60"/>
      <c r="J501" s="60"/>
      <c r="K501" s="60"/>
      <c r="L501" s="60"/>
      <c r="M501" s="60"/>
      <c r="N501" s="60"/>
    </row>
    <row r="502" spans="1:14" s="59" customFormat="1" x14ac:dyDescent="0.3">
      <c r="A502" s="60"/>
      <c r="B502" s="60"/>
      <c r="C502" s="60"/>
      <c r="D502" s="60"/>
      <c r="E502" s="60"/>
      <c r="F502" s="60"/>
      <c r="G502" s="60"/>
      <c r="H502" s="60"/>
      <c r="I502" s="60"/>
      <c r="J502" s="60"/>
      <c r="K502" s="60"/>
      <c r="L502" s="60"/>
      <c r="M502" s="60"/>
      <c r="N502" s="60"/>
    </row>
    <row r="503" spans="1:14" s="59" customFormat="1" x14ac:dyDescent="0.3">
      <c r="A503" s="60"/>
      <c r="B503" s="60"/>
      <c r="C503" s="60"/>
      <c r="D503" s="60"/>
      <c r="E503" s="60"/>
      <c r="F503" s="60"/>
      <c r="G503" s="60"/>
      <c r="H503" s="60"/>
      <c r="I503" s="60"/>
      <c r="J503" s="60"/>
      <c r="K503" s="60"/>
      <c r="L503" s="60"/>
      <c r="M503" s="60"/>
      <c r="N503" s="60"/>
    </row>
    <row r="504" spans="1:14" s="59" customFormat="1" x14ac:dyDescent="0.3">
      <c r="A504" s="60"/>
      <c r="B504" s="60"/>
      <c r="C504" s="60"/>
      <c r="D504" s="60"/>
      <c r="E504" s="60"/>
      <c r="F504" s="60"/>
      <c r="G504" s="60"/>
      <c r="H504" s="60"/>
      <c r="I504" s="60"/>
      <c r="J504" s="60"/>
      <c r="K504" s="60"/>
      <c r="L504" s="60"/>
      <c r="M504" s="60"/>
      <c r="N504" s="60"/>
    </row>
    <row r="505" spans="1:14" s="59" customFormat="1" x14ac:dyDescent="0.3">
      <c r="A505" s="60"/>
      <c r="B505" s="60"/>
      <c r="C505" s="60"/>
      <c r="D505" s="60"/>
      <c r="E505" s="60"/>
      <c r="F505" s="60"/>
      <c r="G505" s="60"/>
      <c r="H505" s="60"/>
      <c r="I505" s="60"/>
      <c r="J505" s="60"/>
      <c r="K505" s="60"/>
      <c r="L505" s="60"/>
      <c r="M505" s="60"/>
      <c r="N505" s="60"/>
    </row>
    <row r="506" spans="1:14" s="59" customFormat="1" x14ac:dyDescent="0.3">
      <c r="A506" s="60"/>
      <c r="B506" s="60"/>
      <c r="C506" s="60"/>
      <c r="D506" s="60"/>
      <c r="E506" s="60"/>
      <c r="F506" s="60"/>
      <c r="G506" s="60"/>
      <c r="H506" s="60"/>
      <c r="I506" s="60"/>
      <c r="J506" s="60"/>
      <c r="K506" s="60"/>
      <c r="L506" s="60"/>
      <c r="M506" s="60"/>
      <c r="N506" s="60"/>
    </row>
    <row r="507" spans="1:14" s="59" customFormat="1" x14ac:dyDescent="0.3">
      <c r="A507" s="60"/>
      <c r="B507" s="60"/>
      <c r="C507" s="60"/>
      <c r="D507" s="60"/>
      <c r="E507" s="60"/>
      <c r="F507" s="60"/>
      <c r="G507" s="60"/>
      <c r="H507" s="60"/>
      <c r="I507" s="60"/>
      <c r="J507" s="60"/>
      <c r="K507" s="60"/>
      <c r="L507" s="60"/>
      <c r="M507" s="60"/>
      <c r="N507" s="60"/>
    </row>
    <row r="508" spans="1:14" s="59" customFormat="1" x14ac:dyDescent="0.3">
      <c r="A508" s="60"/>
      <c r="B508" s="60"/>
      <c r="C508" s="60"/>
      <c r="D508" s="60"/>
      <c r="E508" s="60"/>
      <c r="F508" s="60"/>
      <c r="G508" s="60"/>
      <c r="H508" s="60"/>
      <c r="I508" s="60"/>
      <c r="J508" s="60"/>
      <c r="K508" s="60"/>
      <c r="L508" s="60"/>
      <c r="M508" s="60"/>
      <c r="N508" s="60"/>
    </row>
    <row r="509" spans="1:14" s="59" customFormat="1" x14ac:dyDescent="0.3">
      <c r="A509" s="60"/>
      <c r="B509" s="60"/>
      <c r="C509" s="60"/>
      <c r="D509" s="60"/>
      <c r="E509" s="60"/>
      <c r="F509" s="60"/>
      <c r="G509" s="60"/>
      <c r="H509" s="60"/>
      <c r="I509" s="60"/>
      <c r="J509" s="60"/>
      <c r="K509" s="60"/>
      <c r="L509" s="60"/>
      <c r="M509" s="60"/>
      <c r="N509" s="60"/>
    </row>
    <row r="510" spans="1:14" s="59" customFormat="1" x14ac:dyDescent="0.3">
      <c r="A510" s="60"/>
      <c r="B510" s="60"/>
      <c r="C510" s="60"/>
      <c r="D510" s="60"/>
      <c r="E510" s="60"/>
      <c r="F510" s="60"/>
      <c r="G510" s="60"/>
      <c r="H510" s="60"/>
      <c r="I510" s="60"/>
      <c r="J510" s="60"/>
      <c r="K510" s="60"/>
      <c r="L510" s="60"/>
      <c r="M510" s="60"/>
      <c r="N510" s="60"/>
    </row>
    <row r="511" spans="1:14" s="59" customFormat="1" x14ac:dyDescent="0.3">
      <c r="A511" s="60"/>
      <c r="B511" s="60"/>
      <c r="C511" s="60"/>
      <c r="D511" s="60"/>
      <c r="E511" s="60"/>
      <c r="F511" s="60"/>
      <c r="G511" s="60"/>
      <c r="H511" s="60"/>
      <c r="I511" s="60"/>
      <c r="J511" s="60"/>
      <c r="K511" s="60"/>
      <c r="L511" s="60"/>
      <c r="M511" s="60"/>
      <c r="N511" s="60"/>
    </row>
    <row r="512" spans="1:14" s="59" customFormat="1" x14ac:dyDescent="0.3">
      <c r="A512" s="60"/>
      <c r="B512" s="60"/>
      <c r="C512" s="60"/>
      <c r="D512" s="60"/>
      <c r="E512" s="60"/>
      <c r="F512" s="60"/>
      <c r="G512" s="60"/>
      <c r="H512" s="60"/>
      <c r="I512" s="60"/>
      <c r="J512" s="60"/>
      <c r="K512" s="60"/>
      <c r="L512" s="60"/>
      <c r="M512" s="60"/>
      <c r="N512" s="60"/>
    </row>
    <row r="513" spans="1:14" s="59" customFormat="1" x14ac:dyDescent="0.3">
      <c r="A513" s="60"/>
      <c r="B513" s="60"/>
      <c r="C513" s="60"/>
      <c r="D513" s="60"/>
      <c r="E513" s="60"/>
      <c r="F513" s="60"/>
      <c r="G513" s="60"/>
      <c r="H513" s="60"/>
      <c r="I513" s="60"/>
      <c r="J513" s="60"/>
      <c r="K513" s="60"/>
      <c r="L513" s="60"/>
      <c r="M513" s="60"/>
      <c r="N513" s="60"/>
    </row>
    <row r="514" spans="1:14" s="59" customFormat="1" x14ac:dyDescent="0.3">
      <c r="A514" s="60"/>
      <c r="B514" s="60"/>
      <c r="C514" s="60"/>
      <c r="D514" s="60"/>
      <c r="E514" s="60"/>
      <c r="F514" s="60"/>
      <c r="G514" s="60"/>
      <c r="H514" s="60"/>
      <c r="I514" s="60"/>
      <c r="J514" s="60"/>
      <c r="K514" s="60"/>
      <c r="L514" s="60"/>
      <c r="M514" s="60"/>
      <c r="N514" s="60"/>
    </row>
    <row r="515" spans="1:14" s="59" customFormat="1" x14ac:dyDescent="0.3">
      <c r="A515" s="60"/>
      <c r="B515" s="60"/>
      <c r="C515" s="60"/>
      <c r="D515" s="60"/>
      <c r="E515" s="60"/>
      <c r="F515" s="60"/>
      <c r="G515" s="60"/>
      <c r="H515" s="60"/>
      <c r="I515" s="60"/>
      <c r="J515" s="60"/>
      <c r="K515" s="60"/>
      <c r="L515" s="60"/>
      <c r="M515" s="60"/>
      <c r="N515" s="60"/>
    </row>
    <row r="516" spans="1:14" s="59" customFormat="1" x14ac:dyDescent="0.3">
      <c r="A516" s="60"/>
      <c r="B516" s="60"/>
      <c r="C516" s="60"/>
      <c r="D516" s="60"/>
      <c r="E516" s="60"/>
      <c r="F516" s="60"/>
      <c r="G516" s="60"/>
      <c r="H516" s="60"/>
      <c r="I516" s="60"/>
      <c r="J516" s="60"/>
      <c r="K516" s="60"/>
      <c r="L516" s="60"/>
      <c r="M516" s="60"/>
      <c r="N516" s="60"/>
    </row>
    <row r="517" spans="1:14" s="59" customFormat="1" x14ac:dyDescent="0.3">
      <c r="A517" s="60"/>
      <c r="B517" s="60"/>
      <c r="C517" s="60"/>
      <c r="D517" s="60"/>
      <c r="E517" s="60"/>
      <c r="F517" s="60"/>
      <c r="G517" s="60"/>
      <c r="H517" s="60"/>
      <c r="I517" s="60"/>
      <c r="J517" s="60"/>
      <c r="K517" s="60"/>
      <c r="L517" s="60"/>
      <c r="M517" s="60"/>
      <c r="N517" s="60"/>
    </row>
    <row r="518" spans="1:14" s="59" customFormat="1" x14ac:dyDescent="0.3">
      <c r="A518" s="60"/>
      <c r="B518" s="60"/>
      <c r="C518" s="60"/>
      <c r="D518" s="60"/>
      <c r="E518" s="60"/>
      <c r="F518" s="60"/>
      <c r="G518" s="60"/>
      <c r="H518" s="60"/>
      <c r="I518" s="60"/>
      <c r="J518" s="60"/>
      <c r="K518" s="60"/>
      <c r="L518" s="60"/>
      <c r="M518" s="60"/>
      <c r="N518" s="60"/>
    </row>
    <row r="519" spans="1:14" s="59" customFormat="1" x14ac:dyDescent="0.3">
      <c r="A519" s="60"/>
      <c r="B519" s="60"/>
      <c r="C519" s="60"/>
      <c r="D519" s="60"/>
      <c r="E519" s="60"/>
      <c r="F519" s="60"/>
      <c r="G519" s="60"/>
      <c r="H519" s="60"/>
      <c r="I519" s="60"/>
      <c r="J519" s="60"/>
      <c r="K519" s="60"/>
      <c r="L519" s="60"/>
      <c r="M519" s="60"/>
      <c r="N519" s="60"/>
    </row>
    <row r="520" spans="1:14" s="59" customFormat="1" x14ac:dyDescent="0.3">
      <c r="A520" s="60"/>
      <c r="B520" s="60"/>
      <c r="C520" s="60"/>
      <c r="D520" s="60"/>
      <c r="E520" s="60"/>
      <c r="F520" s="60"/>
      <c r="G520" s="60"/>
      <c r="H520" s="60"/>
      <c r="I520" s="60"/>
      <c r="J520" s="60"/>
      <c r="K520" s="60"/>
      <c r="L520" s="60"/>
      <c r="M520" s="60"/>
      <c r="N520" s="60"/>
    </row>
    <row r="521" spans="1:14" s="59" customFormat="1" x14ac:dyDescent="0.3">
      <c r="A521" s="60"/>
      <c r="B521" s="60"/>
      <c r="C521" s="60"/>
      <c r="D521" s="60"/>
      <c r="E521" s="60"/>
      <c r="F521" s="60"/>
      <c r="G521" s="60"/>
      <c r="H521" s="60"/>
      <c r="I521" s="60"/>
      <c r="J521" s="60"/>
      <c r="K521" s="60"/>
      <c r="L521" s="60"/>
      <c r="M521" s="60"/>
      <c r="N521" s="60"/>
    </row>
    <row r="522" spans="1:14" s="59" customFormat="1" x14ac:dyDescent="0.3">
      <c r="A522" s="60"/>
      <c r="B522" s="60"/>
      <c r="C522" s="60"/>
      <c r="D522" s="60"/>
      <c r="E522" s="60"/>
      <c r="F522" s="60"/>
      <c r="G522" s="60"/>
      <c r="H522" s="60"/>
      <c r="I522" s="60"/>
      <c r="J522" s="60"/>
      <c r="K522" s="60"/>
      <c r="L522" s="60"/>
      <c r="M522" s="60"/>
      <c r="N522" s="60"/>
    </row>
    <row r="523" spans="1:14" s="59" customFormat="1" x14ac:dyDescent="0.3">
      <c r="A523" s="60"/>
      <c r="B523" s="60"/>
      <c r="C523" s="60"/>
      <c r="D523" s="60"/>
      <c r="E523" s="60"/>
      <c r="F523" s="60"/>
      <c r="G523" s="60"/>
      <c r="H523" s="60"/>
      <c r="I523" s="60"/>
      <c r="J523" s="60"/>
      <c r="K523" s="60"/>
      <c r="L523" s="60"/>
      <c r="M523" s="60"/>
      <c r="N523" s="60"/>
    </row>
    <row r="524" spans="1:14" s="59" customFormat="1" x14ac:dyDescent="0.3">
      <c r="A524" s="60"/>
      <c r="B524" s="60"/>
      <c r="C524" s="60"/>
      <c r="D524" s="60"/>
      <c r="E524" s="60"/>
      <c r="F524" s="60"/>
      <c r="G524" s="60"/>
      <c r="H524" s="60"/>
      <c r="I524" s="60"/>
      <c r="J524" s="60"/>
      <c r="K524" s="60"/>
      <c r="L524" s="60"/>
      <c r="M524" s="60"/>
      <c r="N524" s="60"/>
    </row>
    <row r="525" spans="1:14" s="59" customFormat="1" x14ac:dyDescent="0.3">
      <c r="A525" s="60"/>
      <c r="B525" s="60"/>
      <c r="C525" s="60"/>
      <c r="D525" s="60"/>
      <c r="E525" s="60"/>
      <c r="F525" s="60"/>
      <c r="G525" s="60"/>
      <c r="H525" s="60"/>
      <c r="I525" s="60"/>
      <c r="J525" s="60"/>
      <c r="K525" s="60"/>
      <c r="L525" s="60"/>
      <c r="M525" s="60"/>
      <c r="N525" s="60"/>
    </row>
    <row r="526" spans="1:14" s="59" customFormat="1" x14ac:dyDescent="0.3">
      <c r="A526" s="60"/>
      <c r="B526" s="60"/>
      <c r="C526" s="60"/>
      <c r="D526" s="60"/>
      <c r="E526" s="60"/>
      <c r="F526" s="60"/>
      <c r="G526" s="60"/>
      <c r="H526" s="60"/>
      <c r="I526" s="60"/>
      <c r="J526" s="60"/>
      <c r="K526" s="60"/>
      <c r="L526" s="60"/>
      <c r="M526" s="60"/>
      <c r="N526" s="60"/>
    </row>
    <row r="527" spans="1:14" s="59" customFormat="1" x14ac:dyDescent="0.3">
      <c r="A527" s="60"/>
      <c r="B527" s="60"/>
      <c r="C527" s="60"/>
      <c r="D527" s="60"/>
      <c r="E527" s="60"/>
      <c r="F527" s="60"/>
      <c r="G527" s="60"/>
      <c r="H527" s="60"/>
      <c r="I527" s="60"/>
      <c r="J527" s="60"/>
      <c r="K527" s="60"/>
      <c r="L527" s="60"/>
      <c r="M527" s="60"/>
      <c r="N527" s="60"/>
    </row>
    <row r="528" spans="1:14" s="59" customFormat="1" x14ac:dyDescent="0.3">
      <c r="A528" s="60"/>
      <c r="B528" s="60"/>
      <c r="C528" s="60"/>
      <c r="D528" s="60"/>
      <c r="E528" s="60"/>
      <c r="F528" s="60"/>
      <c r="G528" s="60"/>
      <c r="H528" s="60"/>
      <c r="I528" s="60"/>
      <c r="J528" s="60"/>
      <c r="K528" s="60"/>
      <c r="L528" s="60"/>
      <c r="M528" s="60"/>
      <c r="N528" s="60"/>
    </row>
    <row r="529" spans="1:14" s="59" customFormat="1" x14ac:dyDescent="0.3">
      <c r="A529" s="60"/>
      <c r="B529" s="60"/>
      <c r="C529" s="60"/>
      <c r="D529" s="60"/>
      <c r="E529" s="60"/>
      <c r="F529" s="60"/>
      <c r="G529" s="60"/>
      <c r="H529" s="60"/>
      <c r="I529" s="60"/>
      <c r="J529" s="60"/>
      <c r="K529" s="60"/>
      <c r="L529" s="60"/>
      <c r="M529" s="60"/>
      <c r="N529" s="60"/>
    </row>
    <row r="530" spans="1:14" s="59" customFormat="1" x14ac:dyDescent="0.3">
      <c r="A530" s="60"/>
      <c r="B530" s="60"/>
      <c r="C530" s="60"/>
      <c r="D530" s="60"/>
      <c r="E530" s="60"/>
      <c r="F530" s="60"/>
      <c r="G530" s="60"/>
      <c r="H530" s="60"/>
      <c r="I530" s="60"/>
      <c r="J530" s="60"/>
      <c r="K530" s="60"/>
      <c r="L530" s="60"/>
      <c r="M530" s="60"/>
      <c r="N530" s="60"/>
    </row>
    <row r="531" spans="1:14" s="59" customFormat="1" x14ac:dyDescent="0.3">
      <c r="A531" s="60"/>
      <c r="B531" s="60"/>
      <c r="C531" s="60"/>
      <c r="D531" s="60"/>
      <c r="E531" s="60"/>
      <c r="F531" s="60"/>
      <c r="G531" s="60"/>
      <c r="H531" s="60"/>
      <c r="I531" s="60"/>
      <c r="J531" s="60"/>
      <c r="K531" s="60"/>
      <c r="L531" s="60"/>
      <c r="M531" s="60"/>
      <c r="N531" s="60"/>
    </row>
    <row r="532" spans="1:14" s="59" customFormat="1" x14ac:dyDescent="0.3">
      <c r="A532" s="60"/>
      <c r="B532" s="60"/>
      <c r="C532" s="60"/>
      <c r="D532" s="60"/>
      <c r="E532" s="60"/>
      <c r="F532" s="60"/>
      <c r="G532" s="60"/>
      <c r="H532" s="60"/>
      <c r="I532" s="60"/>
      <c r="J532" s="60"/>
      <c r="K532" s="60"/>
      <c r="L532" s="60"/>
      <c r="M532" s="60"/>
      <c r="N532" s="60"/>
    </row>
    <row r="533" spans="1:14" s="59" customFormat="1" x14ac:dyDescent="0.3">
      <c r="A533" s="60"/>
      <c r="B533" s="60"/>
      <c r="C533" s="60"/>
      <c r="D533" s="60"/>
      <c r="E533" s="60"/>
      <c r="F533" s="60"/>
      <c r="G533" s="60"/>
      <c r="H533" s="60"/>
      <c r="I533" s="60"/>
      <c r="J533" s="60"/>
      <c r="K533" s="60"/>
      <c r="L533" s="60"/>
      <c r="M533" s="60"/>
      <c r="N533" s="60"/>
    </row>
    <row r="534" spans="1:14" s="59" customFormat="1" x14ac:dyDescent="0.3">
      <c r="A534" s="60"/>
      <c r="B534" s="60"/>
      <c r="C534" s="60"/>
      <c r="D534" s="60"/>
      <c r="E534" s="60"/>
      <c r="F534" s="60"/>
      <c r="G534" s="60"/>
      <c r="H534" s="60"/>
      <c r="I534" s="60"/>
      <c r="J534" s="60"/>
      <c r="K534" s="60"/>
      <c r="L534" s="60"/>
      <c r="M534" s="60"/>
      <c r="N534" s="60"/>
    </row>
    <row r="535" spans="1:14" s="59" customFormat="1" x14ac:dyDescent="0.3">
      <c r="A535" s="60"/>
      <c r="B535" s="60"/>
      <c r="C535" s="60"/>
      <c r="D535" s="60"/>
      <c r="E535" s="60"/>
      <c r="F535" s="60"/>
      <c r="G535" s="60"/>
      <c r="H535" s="60"/>
      <c r="I535" s="60"/>
      <c r="J535" s="60"/>
      <c r="K535" s="60"/>
      <c r="L535" s="60"/>
      <c r="M535" s="60"/>
      <c r="N535" s="60"/>
    </row>
    <row r="536" spans="1:14" s="59" customFormat="1" x14ac:dyDescent="0.3">
      <c r="A536" s="60"/>
      <c r="B536" s="60"/>
      <c r="C536" s="60"/>
      <c r="D536" s="60"/>
      <c r="E536" s="60"/>
      <c r="F536" s="60"/>
      <c r="G536" s="60"/>
      <c r="H536" s="60"/>
      <c r="I536" s="60"/>
      <c r="J536" s="60"/>
      <c r="K536" s="60"/>
      <c r="L536" s="60"/>
      <c r="M536" s="60"/>
      <c r="N536" s="60"/>
    </row>
    <row r="537" spans="1:14" s="59" customFormat="1" x14ac:dyDescent="0.3">
      <c r="A537" s="60"/>
      <c r="B537" s="60"/>
      <c r="C537" s="60"/>
      <c r="D537" s="60"/>
      <c r="E537" s="60"/>
      <c r="F537" s="60"/>
      <c r="G537" s="60"/>
      <c r="H537" s="60"/>
      <c r="I537" s="60"/>
      <c r="J537" s="60"/>
      <c r="K537" s="60"/>
      <c r="L537" s="60"/>
      <c r="M537" s="60"/>
      <c r="N537" s="60"/>
    </row>
    <row r="538" spans="1:14" s="59" customFormat="1" x14ac:dyDescent="0.3">
      <c r="A538" s="60"/>
      <c r="B538" s="60"/>
      <c r="C538" s="60"/>
      <c r="D538" s="60"/>
      <c r="E538" s="60"/>
      <c r="F538" s="60"/>
      <c r="G538" s="60"/>
      <c r="H538" s="60"/>
      <c r="I538" s="60"/>
      <c r="J538" s="60"/>
      <c r="K538" s="60"/>
      <c r="L538" s="60"/>
      <c r="M538" s="60"/>
      <c r="N538" s="60"/>
    </row>
    <row r="539" spans="1:14" s="59" customFormat="1" x14ac:dyDescent="0.3">
      <c r="A539" s="60"/>
      <c r="B539" s="60"/>
      <c r="C539" s="60"/>
      <c r="D539" s="60"/>
      <c r="E539" s="60"/>
      <c r="F539" s="60"/>
      <c r="G539" s="60"/>
      <c r="H539" s="60"/>
      <c r="I539" s="60"/>
      <c r="J539" s="60"/>
      <c r="K539" s="60"/>
      <c r="L539" s="60"/>
      <c r="M539" s="60"/>
      <c r="N539" s="60"/>
    </row>
    <row r="540" spans="1:14" s="59" customFormat="1" x14ac:dyDescent="0.3">
      <c r="A540" s="60"/>
      <c r="B540" s="60"/>
      <c r="C540" s="60"/>
      <c r="D540" s="60"/>
      <c r="E540" s="60"/>
      <c r="F540" s="60"/>
      <c r="G540" s="60"/>
      <c r="H540" s="60"/>
      <c r="I540" s="60"/>
      <c r="J540" s="60"/>
      <c r="K540" s="60"/>
      <c r="L540" s="60"/>
      <c r="M540" s="60"/>
      <c r="N540" s="60"/>
    </row>
    <row r="541" spans="1:14" s="59" customFormat="1" x14ac:dyDescent="0.3">
      <c r="A541" s="60"/>
      <c r="B541" s="60"/>
      <c r="C541" s="60"/>
      <c r="D541" s="60"/>
      <c r="E541" s="60"/>
      <c r="F541" s="60"/>
      <c r="G541" s="60"/>
      <c r="H541" s="60"/>
      <c r="I541" s="60"/>
      <c r="J541" s="60"/>
      <c r="K541" s="60"/>
      <c r="L541" s="60"/>
      <c r="M541" s="60"/>
      <c r="N541" s="60"/>
    </row>
    <row r="542" spans="1:14" s="59" customFormat="1" x14ac:dyDescent="0.3">
      <c r="A542" s="60"/>
      <c r="B542" s="60"/>
      <c r="C542" s="60"/>
      <c r="D542" s="60"/>
      <c r="E542" s="60"/>
      <c r="F542" s="60"/>
      <c r="G542" s="60"/>
      <c r="H542" s="60"/>
      <c r="I542" s="60"/>
      <c r="J542" s="60"/>
      <c r="K542" s="60"/>
      <c r="L542" s="60"/>
      <c r="M542" s="60"/>
      <c r="N542" s="60"/>
    </row>
    <row r="543" spans="1:14" s="59" customFormat="1" x14ac:dyDescent="0.3">
      <c r="A543" s="60"/>
      <c r="B543" s="60"/>
      <c r="C543" s="60"/>
      <c r="D543" s="60"/>
      <c r="E543" s="60"/>
      <c r="F543" s="60"/>
      <c r="G543" s="60"/>
      <c r="H543" s="60"/>
      <c r="I543" s="60"/>
      <c r="J543" s="60"/>
      <c r="K543" s="60"/>
      <c r="L543" s="60"/>
      <c r="M543" s="60"/>
      <c r="N543" s="60"/>
    </row>
    <row r="544" spans="1:14" s="59" customFormat="1" x14ac:dyDescent="0.3">
      <c r="A544" s="60"/>
      <c r="B544" s="60"/>
      <c r="C544" s="60"/>
      <c r="D544" s="60"/>
      <c r="E544" s="60"/>
      <c r="F544" s="60"/>
      <c r="G544" s="60"/>
      <c r="H544" s="60"/>
      <c r="I544" s="60"/>
      <c r="J544" s="60"/>
      <c r="K544" s="60"/>
      <c r="L544" s="60"/>
      <c r="M544" s="60"/>
      <c r="N544" s="60"/>
    </row>
    <row r="545" spans="1:14" s="59" customFormat="1" x14ac:dyDescent="0.3">
      <c r="A545" s="60"/>
      <c r="B545" s="60"/>
      <c r="C545" s="60"/>
      <c r="D545" s="60"/>
      <c r="E545" s="60"/>
      <c r="F545" s="60"/>
      <c r="G545" s="60"/>
      <c r="H545" s="60"/>
      <c r="I545" s="60"/>
      <c r="J545" s="60"/>
      <c r="K545" s="60"/>
      <c r="L545" s="60"/>
      <c r="M545" s="60"/>
      <c r="N545" s="60"/>
    </row>
    <row r="546" spans="1:14" s="59" customFormat="1" x14ac:dyDescent="0.3">
      <c r="A546" s="60"/>
      <c r="B546" s="60"/>
      <c r="C546" s="60"/>
      <c r="D546" s="60"/>
      <c r="E546" s="60"/>
      <c r="F546" s="60"/>
      <c r="G546" s="60"/>
      <c r="H546" s="60"/>
      <c r="I546" s="60"/>
      <c r="J546" s="60"/>
      <c r="K546" s="60"/>
      <c r="L546" s="60"/>
      <c r="M546" s="60"/>
      <c r="N546" s="60"/>
    </row>
    <row r="547" spans="1:14" s="59" customFormat="1" x14ac:dyDescent="0.3">
      <c r="A547" s="60"/>
      <c r="B547" s="60"/>
      <c r="C547" s="60"/>
      <c r="D547" s="60"/>
      <c r="E547" s="60"/>
      <c r="F547" s="60"/>
      <c r="G547" s="60"/>
      <c r="H547" s="60"/>
      <c r="I547" s="60"/>
      <c r="J547" s="60"/>
      <c r="K547" s="60"/>
      <c r="L547" s="60"/>
      <c r="M547" s="60"/>
      <c r="N547" s="60"/>
    </row>
    <row r="548" spans="1:14" s="59" customFormat="1" x14ac:dyDescent="0.3">
      <c r="A548" s="60"/>
      <c r="B548" s="60"/>
      <c r="C548" s="60"/>
      <c r="D548" s="60"/>
      <c r="E548" s="60"/>
      <c r="F548" s="60"/>
      <c r="G548" s="60"/>
      <c r="H548" s="60"/>
      <c r="I548" s="60"/>
      <c r="J548" s="60"/>
      <c r="K548" s="60"/>
      <c r="L548" s="60"/>
      <c r="M548" s="60"/>
      <c r="N548" s="60"/>
    </row>
    <row r="549" spans="1:14" s="59" customFormat="1" x14ac:dyDescent="0.3">
      <c r="A549" s="60"/>
      <c r="B549" s="60"/>
      <c r="C549" s="60"/>
      <c r="D549" s="60"/>
      <c r="E549" s="60"/>
      <c r="F549" s="60"/>
      <c r="G549" s="60"/>
      <c r="H549" s="60"/>
      <c r="I549" s="60"/>
      <c r="J549" s="60"/>
      <c r="K549" s="60"/>
      <c r="L549" s="60"/>
      <c r="M549" s="60"/>
      <c r="N549" s="60"/>
    </row>
    <row r="550" spans="1:14" s="59" customFormat="1" x14ac:dyDescent="0.3">
      <c r="A550" s="60"/>
      <c r="B550" s="60"/>
      <c r="C550" s="60"/>
      <c r="D550" s="60"/>
      <c r="E550" s="60"/>
      <c r="F550" s="60"/>
      <c r="G550" s="60"/>
      <c r="H550" s="60"/>
      <c r="I550" s="60"/>
      <c r="J550" s="60"/>
      <c r="K550" s="60"/>
      <c r="L550" s="60"/>
      <c r="M550" s="60"/>
      <c r="N550" s="60"/>
    </row>
    <row r="551" spans="1:14" s="59" customFormat="1" x14ac:dyDescent="0.3">
      <c r="A551" s="60"/>
      <c r="B551" s="60"/>
      <c r="C551" s="60"/>
      <c r="D551" s="60"/>
      <c r="E551" s="60"/>
      <c r="F551" s="60"/>
      <c r="G551" s="60"/>
      <c r="H551" s="60"/>
      <c r="I551" s="60"/>
      <c r="J551" s="60"/>
      <c r="K551" s="60"/>
      <c r="L551" s="60"/>
      <c r="M551" s="60"/>
      <c r="N551" s="60"/>
    </row>
    <row r="552" spans="1:14" s="59" customFormat="1" x14ac:dyDescent="0.3">
      <c r="A552" s="60"/>
      <c r="B552" s="60"/>
      <c r="C552" s="60"/>
      <c r="D552" s="60"/>
      <c r="E552" s="60"/>
      <c r="F552" s="60"/>
      <c r="G552" s="60"/>
      <c r="H552" s="60"/>
      <c r="I552" s="60"/>
      <c r="J552" s="60"/>
      <c r="K552" s="60"/>
      <c r="L552" s="60"/>
      <c r="M552" s="60"/>
      <c r="N552" s="60"/>
    </row>
    <row r="553" spans="1:14" s="59" customFormat="1" x14ac:dyDescent="0.3">
      <c r="A553" s="60"/>
      <c r="B553" s="60"/>
      <c r="C553" s="60"/>
      <c r="D553" s="60"/>
      <c r="E553" s="60"/>
      <c r="F553" s="60"/>
      <c r="G553" s="60"/>
      <c r="H553" s="60"/>
      <c r="I553" s="60"/>
      <c r="J553" s="60"/>
      <c r="K553" s="60"/>
      <c r="L553" s="60"/>
      <c r="M553" s="60"/>
      <c r="N553" s="60"/>
    </row>
    <row r="554" spans="1:14" s="59" customFormat="1" x14ac:dyDescent="0.3">
      <c r="A554" s="60"/>
      <c r="B554" s="60"/>
      <c r="C554" s="60"/>
      <c r="D554" s="60"/>
      <c r="E554" s="60"/>
      <c r="F554" s="60"/>
      <c r="G554" s="60"/>
      <c r="H554" s="60"/>
      <c r="I554" s="60"/>
      <c r="J554" s="60"/>
      <c r="K554" s="60"/>
      <c r="L554" s="60"/>
      <c r="M554" s="60"/>
      <c r="N554" s="60"/>
    </row>
    <row r="555" spans="1:14" s="59" customFormat="1" x14ac:dyDescent="0.3">
      <c r="A555" s="60"/>
      <c r="B555" s="60"/>
      <c r="C555" s="60"/>
      <c r="D555" s="60"/>
      <c r="E555" s="60"/>
      <c r="F555" s="60"/>
      <c r="G555" s="60"/>
      <c r="H555" s="60"/>
      <c r="I555" s="60"/>
      <c r="J555" s="60"/>
      <c r="K555" s="60"/>
      <c r="L555" s="60"/>
      <c r="M555" s="60"/>
      <c r="N555" s="60"/>
    </row>
    <row r="556" spans="1:14" s="59" customFormat="1" x14ac:dyDescent="0.3">
      <c r="A556" s="60"/>
      <c r="B556" s="60"/>
      <c r="C556" s="60"/>
      <c r="D556" s="60"/>
      <c r="E556" s="60"/>
      <c r="F556" s="60"/>
      <c r="G556" s="60"/>
      <c r="H556" s="60"/>
      <c r="I556" s="60"/>
      <c r="J556" s="60"/>
      <c r="K556" s="60"/>
      <c r="L556" s="60"/>
      <c r="M556" s="60"/>
      <c r="N556" s="60"/>
    </row>
    <row r="557" spans="1:14" s="59" customFormat="1" x14ac:dyDescent="0.3">
      <c r="A557" s="60"/>
      <c r="B557" s="60"/>
      <c r="C557" s="60"/>
      <c r="D557" s="60"/>
      <c r="E557" s="60"/>
      <c r="F557" s="60"/>
      <c r="G557" s="60"/>
      <c r="H557" s="60"/>
      <c r="I557" s="60"/>
      <c r="J557" s="60"/>
      <c r="K557" s="60"/>
      <c r="L557" s="60"/>
      <c r="M557" s="60"/>
      <c r="N557" s="60"/>
    </row>
    <row r="558" spans="1:14" s="59" customFormat="1" x14ac:dyDescent="0.3">
      <c r="A558" s="60"/>
      <c r="B558" s="60"/>
      <c r="C558" s="60"/>
      <c r="D558" s="60"/>
      <c r="E558" s="60"/>
      <c r="F558" s="60"/>
      <c r="G558" s="60"/>
      <c r="H558" s="60"/>
      <c r="I558" s="60"/>
      <c r="J558" s="60"/>
      <c r="K558" s="60"/>
      <c r="L558" s="60"/>
      <c r="M558" s="60"/>
      <c r="N558" s="60"/>
    </row>
    <row r="559" spans="1:14" s="59" customFormat="1" x14ac:dyDescent="0.3">
      <c r="A559" s="60"/>
      <c r="B559" s="60"/>
      <c r="C559" s="60"/>
      <c r="D559" s="60"/>
      <c r="E559" s="60"/>
      <c r="F559" s="60"/>
      <c r="G559" s="60"/>
      <c r="H559" s="60"/>
      <c r="I559" s="60"/>
      <c r="J559" s="60"/>
      <c r="K559" s="60"/>
      <c r="L559" s="60"/>
      <c r="M559" s="60"/>
      <c r="N559" s="60"/>
    </row>
    <row r="560" spans="1:14" s="59" customFormat="1" x14ac:dyDescent="0.3">
      <c r="A560" s="60"/>
      <c r="B560" s="60"/>
      <c r="C560" s="60"/>
      <c r="D560" s="60"/>
      <c r="E560" s="60"/>
      <c r="F560" s="60"/>
      <c r="G560" s="60"/>
      <c r="H560" s="60"/>
      <c r="I560" s="60"/>
      <c r="J560" s="60"/>
      <c r="K560" s="60"/>
      <c r="L560" s="60"/>
      <c r="M560" s="60"/>
      <c r="N560" s="60"/>
    </row>
    <row r="561" spans="1:14" s="59" customFormat="1" x14ac:dyDescent="0.3">
      <c r="A561" s="60"/>
      <c r="B561" s="60"/>
      <c r="C561" s="60"/>
      <c r="D561" s="60"/>
      <c r="E561" s="60"/>
      <c r="F561" s="60"/>
      <c r="G561" s="60"/>
      <c r="H561" s="60"/>
      <c r="I561" s="60"/>
      <c r="J561" s="60"/>
      <c r="K561" s="60"/>
      <c r="L561" s="60"/>
      <c r="M561" s="60"/>
      <c r="N561" s="60"/>
    </row>
    <row r="562" spans="1:14" s="59" customFormat="1" x14ac:dyDescent="0.3">
      <c r="A562" s="60"/>
      <c r="B562" s="60"/>
      <c r="C562" s="60"/>
      <c r="D562" s="60"/>
      <c r="E562" s="60"/>
      <c r="F562" s="60"/>
      <c r="G562" s="60"/>
      <c r="H562" s="60"/>
      <c r="I562" s="60"/>
      <c r="J562" s="60"/>
      <c r="K562" s="60"/>
      <c r="L562" s="60"/>
      <c r="M562" s="60"/>
      <c r="N562" s="60"/>
    </row>
    <row r="563" spans="1:14" s="59" customFormat="1" x14ac:dyDescent="0.3">
      <c r="A563" s="60"/>
      <c r="B563" s="60"/>
      <c r="C563" s="60"/>
      <c r="D563" s="60"/>
      <c r="E563" s="60"/>
      <c r="F563" s="60"/>
      <c r="G563" s="60"/>
      <c r="H563" s="60"/>
      <c r="I563" s="60"/>
      <c r="J563" s="60"/>
      <c r="K563" s="60"/>
      <c r="L563" s="60"/>
      <c r="M563" s="60"/>
      <c r="N563" s="60"/>
    </row>
    <row r="564" spans="1:14" s="59" customFormat="1" x14ac:dyDescent="0.3">
      <c r="A564" s="60"/>
      <c r="B564" s="60"/>
      <c r="C564" s="60"/>
      <c r="D564" s="60"/>
      <c r="E564" s="60"/>
      <c r="F564" s="60"/>
      <c r="G564" s="60"/>
      <c r="H564" s="60"/>
      <c r="I564" s="60"/>
      <c r="J564" s="60"/>
      <c r="K564" s="60"/>
      <c r="L564" s="60"/>
      <c r="M564" s="60"/>
      <c r="N564" s="60"/>
    </row>
    <row r="565" spans="1:14" s="59" customFormat="1" x14ac:dyDescent="0.3">
      <c r="A565" s="60"/>
      <c r="B565" s="60"/>
      <c r="C565" s="60"/>
      <c r="D565" s="60"/>
      <c r="E565" s="60"/>
      <c r="F565" s="60"/>
      <c r="G565" s="60"/>
      <c r="H565" s="60"/>
      <c r="I565" s="60"/>
      <c r="J565" s="60"/>
      <c r="K565" s="60"/>
      <c r="L565" s="60"/>
      <c r="M565" s="60"/>
      <c r="N565" s="60"/>
    </row>
    <row r="566" spans="1:14" s="59" customFormat="1" x14ac:dyDescent="0.3">
      <c r="A566" s="60"/>
      <c r="B566" s="60"/>
      <c r="C566" s="60"/>
      <c r="D566" s="60"/>
      <c r="E566" s="60"/>
      <c r="F566" s="60"/>
      <c r="G566" s="60"/>
      <c r="H566" s="60"/>
      <c r="I566" s="60"/>
      <c r="J566" s="60"/>
      <c r="K566" s="60"/>
      <c r="L566" s="60"/>
      <c r="M566" s="60"/>
      <c r="N566" s="60"/>
    </row>
    <row r="567" spans="1:14" s="59" customFormat="1" x14ac:dyDescent="0.3">
      <c r="A567" s="60"/>
      <c r="B567" s="60"/>
      <c r="C567" s="60"/>
      <c r="D567" s="60"/>
      <c r="E567" s="60"/>
      <c r="F567" s="60"/>
      <c r="G567" s="60"/>
      <c r="H567" s="60"/>
      <c r="I567" s="60"/>
      <c r="J567" s="60"/>
      <c r="K567" s="60"/>
      <c r="L567" s="60"/>
      <c r="M567" s="60"/>
      <c r="N567" s="60"/>
    </row>
    <row r="568" spans="1:14" s="59" customFormat="1" x14ac:dyDescent="0.3">
      <c r="A568" s="60"/>
      <c r="B568" s="60"/>
      <c r="C568" s="60"/>
      <c r="D568" s="60"/>
      <c r="E568" s="60"/>
      <c r="F568" s="60"/>
      <c r="G568" s="60"/>
      <c r="H568" s="60"/>
      <c r="I568" s="60"/>
      <c r="J568" s="60"/>
      <c r="K568" s="60"/>
      <c r="L568" s="60"/>
      <c r="M568" s="60"/>
      <c r="N568" s="60"/>
    </row>
    <row r="569" spans="1:14" s="59" customFormat="1" x14ac:dyDescent="0.3">
      <c r="A569" s="60"/>
      <c r="B569" s="60"/>
      <c r="C569" s="60"/>
      <c r="D569" s="60"/>
      <c r="E569" s="60"/>
      <c r="F569" s="60"/>
      <c r="G569" s="60"/>
      <c r="H569" s="60"/>
      <c r="I569" s="60"/>
      <c r="J569" s="60"/>
      <c r="K569" s="60"/>
      <c r="L569" s="60"/>
      <c r="M569" s="60"/>
      <c r="N569" s="60"/>
    </row>
    <row r="570" spans="1:14" s="59" customFormat="1" x14ac:dyDescent="0.3">
      <c r="A570" s="60"/>
      <c r="B570" s="60"/>
      <c r="C570" s="60"/>
      <c r="D570" s="60"/>
      <c r="E570" s="60"/>
      <c r="F570" s="60"/>
      <c r="G570" s="60"/>
      <c r="H570" s="60"/>
      <c r="I570" s="60"/>
      <c r="J570" s="60"/>
      <c r="K570" s="60"/>
      <c r="L570" s="60"/>
      <c r="M570" s="60"/>
      <c r="N570" s="60"/>
    </row>
    <row r="571" spans="1:14" s="59" customFormat="1" x14ac:dyDescent="0.3">
      <c r="A571" s="60"/>
      <c r="B571" s="60"/>
      <c r="C571" s="60"/>
      <c r="D571" s="60"/>
      <c r="E571" s="60"/>
      <c r="F571" s="60"/>
      <c r="G571" s="60"/>
      <c r="H571" s="60"/>
      <c r="I571" s="60"/>
      <c r="J571" s="60"/>
      <c r="K571" s="60"/>
      <c r="L571" s="60"/>
      <c r="M571" s="60"/>
      <c r="N571" s="60"/>
    </row>
    <row r="572" spans="1:14" s="59" customFormat="1" x14ac:dyDescent="0.3">
      <c r="A572" s="60"/>
      <c r="B572" s="60"/>
      <c r="C572" s="60"/>
      <c r="D572" s="60"/>
      <c r="E572" s="60"/>
      <c r="F572" s="60"/>
      <c r="G572" s="60"/>
      <c r="H572" s="60"/>
      <c r="I572" s="60"/>
      <c r="J572" s="60"/>
      <c r="K572" s="60"/>
      <c r="L572" s="60"/>
      <c r="M572" s="60"/>
      <c r="N572" s="60"/>
    </row>
    <row r="573" spans="1:14" s="59" customFormat="1" x14ac:dyDescent="0.3">
      <c r="A573" s="60"/>
      <c r="B573" s="60"/>
      <c r="C573" s="60"/>
      <c r="D573" s="60"/>
      <c r="E573" s="60"/>
      <c r="F573" s="60"/>
      <c r="G573" s="60"/>
      <c r="H573" s="60"/>
      <c r="I573" s="60"/>
      <c r="J573" s="60"/>
      <c r="K573" s="60"/>
      <c r="L573" s="60"/>
      <c r="M573" s="60"/>
      <c r="N573" s="60"/>
    </row>
    <row r="574" spans="1:14" s="59" customFormat="1" x14ac:dyDescent="0.3">
      <c r="A574" s="60"/>
      <c r="B574" s="60"/>
      <c r="C574" s="60"/>
      <c r="D574" s="60"/>
      <c r="E574" s="60"/>
      <c r="F574" s="60"/>
      <c r="G574" s="60"/>
      <c r="H574" s="60"/>
      <c r="I574" s="60"/>
      <c r="J574" s="60"/>
      <c r="K574" s="60"/>
      <c r="L574" s="60"/>
      <c r="M574" s="60"/>
      <c r="N574" s="60"/>
    </row>
    <row r="575" spans="1:14" s="59" customFormat="1" x14ac:dyDescent="0.3">
      <c r="A575" s="60"/>
      <c r="B575" s="60"/>
      <c r="C575" s="60"/>
      <c r="D575" s="60"/>
      <c r="E575" s="60"/>
      <c r="F575" s="60"/>
      <c r="G575" s="60"/>
      <c r="H575" s="60"/>
      <c r="I575" s="60"/>
      <c r="J575" s="60"/>
      <c r="K575" s="60"/>
      <c r="L575" s="60"/>
      <c r="M575" s="60"/>
      <c r="N575" s="60"/>
    </row>
    <row r="576" spans="1:14" s="59" customFormat="1" x14ac:dyDescent="0.3">
      <c r="A576" s="60"/>
      <c r="B576" s="60"/>
      <c r="C576" s="60"/>
      <c r="D576" s="60"/>
      <c r="E576" s="60"/>
      <c r="F576" s="60"/>
      <c r="G576" s="60"/>
      <c r="H576" s="60"/>
      <c r="I576" s="60"/>
      <c r="J576" s="60"/>
      <c r="K576" s="60"/>
      <c r="L576" s="60"/>
      <c r="M576" s="60"/>
      <c r="N576" s="60"/>
    </row>
    <row r="577" spans="1:14" s="59" customFormat="1" x14ac:dyDescent="0.3">
      <c r="A577" s="60"/>
      <c r="B577" s="60"/>
      <c r="C577" s="60"/>
      <c r="D577" s="60"/>
      <c r="E577" s="60"/>
      <c r="F577" s="60"/>
      <c r="G577" s="60"/>
      <c r="H577" s="60"/>
      <c r="I577" s="60"/>
      <c r="J577" s="60"/>
      <c r="K577" s="60"/>
      <c r="L577" s="60"/>
      <c r="M577" s="60"/>
      <c r="N577" s="60"/>
    </row>
    <row r="578" spans="1:14" s="59" customFormat="1" x14ac:dyDescent="0.3">
      <c r="A578" s="60"/>
      <c r="B578" s="60"/>
      <c r="C578" s="60"/>
      <c r="D578" s="60"/>
      <c r="E578" s="60"/>
      <c r="F578" s="60"/>
      <c r="G578" s="60"/>
      <c r="H578" s="60"/>
      <c r="I578" s="60"/>
      <c r="J578" s="60"/>
      <c r="K578" s="60"/>
      <c r="L578" s="60"/>
      <c r="M578" s="60"/>
      <c r="N578" s="60"/>
    </row>
    <row r="579" spans="1:14" s="59" customFormat="1" x14ac:dyDescent="0.3">
      <c r="A579" s="60"/>
      <c r="B579" s="60"/>
      <c r="C579" s="60"/>
      <c r="D579" s="60"/>
      <c r="E579" s="60"/>
      <c r="F579" s="60"/>
      <c r="G579" s="60"/>
      <c r="H579" s="60"/>
      <c r="I579" s="60"/>
      <c r="J579" s="60"/>
      <c r="K579" s="60"/>
      <c r="L579" s="60"/>
      <c r="M579" s="60"/>
      <c r="N579" s="60"/>
    </row>
    <row r="580" spans="1:14" s="59" customFormat="1" x14ac:dyDescent="0.3">
      <c r="A580" s="60"/>
      <c r="B580" s="60"/>
      <c r="C580" s="60"/>
      <c r="D580" s="60"/>
      <c r="E580" s="60"/>
      <c r="F580" s="60"/>
      <c r="G580" s="60"/>
      <c r="H580" s="60"/>
      <c r="I580" s="60"/>
      <c r="J580" s="60"/>
      <c r="K580" s="60"/>
      <c r="L580" s="60"/>
      <c r="M580" s="60"/>
      <c r="N580" s="60"/>
    </row>
    <row r="581" spans="1:14" s="59" customFormat="1" x14ac:dyDescent="0.3">
      <c r="A581" s="60"/>
      <c r="B581" s="60"/>
      <c r="C581" s="60"/>
      <c r="D581" s="60"/>
      <c r="E581" s="60"/>
      <c r="F581" s="60"/>
      <c r="G581" s="60"/>
      <c r="H581" s="60"/>
      <c r="I581" s="60"/>
      <c r="J581" s="60"/>
      <c r="K581" s="60"/>
      <c r="L581" s="60"/>
      <c r="M581" s="60"/>
      <c r="N581" s="60"/>
    </row>
    <row r="582" spans="1:14" s="59" customFormat="1" x14ac:dyDescent="0.3">
      <c r="A582" s="60"/>
      <c r="B582" s="60"/>
      <c r="C582" s="60"/>
      <c r="D582" s="60"/>
      <c r="E582" s="60"/>
      <c r="F582" s="60"/>
      <c r="G582" s="60"/>
      <c r="H582" s="60"/>
      <c r="I582" s="60"/>
      <c r="J582" s="60"/>
      <c r="K582" s="60"/>
      <c r="L582" s="60"/>
      <c r="M582" s="60"/>
      <c r="N582" s="60"/>
    </row>
    <row r="583" spans="1:14" s="59" customFormat="1" x14ac:dyDescent="0.3">
      <c r="A583" s="60"/>
      <c r="B583" s="60"/>
      <c r="C583" s="60"/>
      <c r="D583" s="60"/>
      <c r="E583" s="60"/>
      <c r="F583" s="60"/>
      <c r="G583" s="60"/>
      <c r="H583" s="60"/>
      <c r="I583" s="60"/>
      <c r="J583" s="60"/>
      <c r="K583" s="60"/>
      <c r="L583" s="60"/>
      <c r="M583" s="60"/>
      <c r="N583" s="60"/>
    </row>
    <row r="584" spans="1:14" s="59" customFormat="1" x14ac:dyDescent="0.3">
      <c r="A584" s="60"/>
      <c r="B584" s="60"/>
      <c r="C584" s="60"/>
      <c r="D584" s="60"/>
      <c r="E584" s="60"/>
      <c r="F584" s="60"/>
      <c r="G584" s="60"/>
      <c r="H584" s="60"/>
      <c r="I584" s="60"/>
      <c r="J584" s="60"/>
      <c r="K584" s="60"/>
      <c r="L584" s="60"/>
      <c r="M584" s="60"/>
      <c r="N584" s="60"/>
    </row>
    <row r="585" spans="1:14" s="59" customFormat="1" x14ac:dyDescent="0.3">
      <c r="A585" s="60"/>
      <c r="B585" s="60"/>
      <c r="C585" s="60"/>
      <c r="D585" s="60"/>
      <c r="E585" s="60"/>
      <c r="F585" s="60"/>
      <c r="G585" s="60"/>
      <c r="H585" s="60"/>
      <c r="I585" s="60"/>
      <c r="J585" s="60"/>
      <c r="K585" s="60"/>
      <c r="L585" s="60"/>
      <c r="M585" s="60"/>
      <c r="N585" s="60"/>
    </row>
    <row r="586" spans="1:14" s="59" customFormat="1" x14ac:dyDescent="0.3">
      <c r="A586" s="60"/>
      <c r="B586" s="60"/>
      <c r="C586" s="60"/>
      <c r="D586" s="60"/>
      <c r="E586" s="60"/>
      <c r="F586" s="60"/>
      <c r="G586" s="60"/>
      <c r="H586" s="60"/>
      <c r="I586" s="60"/>
      <c r="J586" s="60"/>
      <c r="K586" s="60"/>
      <c r="L586" s="60"/>
      <c r="M586" s="60"/>
      <c r="N586" s="60"/>
    </row>
    <row r="587" spans="1:14" s="59" customFormat="1" x14ac:dyDescent="0.3">
      <c r="A587" s="60"/>
      <c r="B587" s="60"/>
      <c r="C587" s="60"/>
      <c r="D587" s="60"/>
      <c r="E587" s="60"/>
      <c r="F587" s="60"/>
      <c r="G587" s="60"/>
      <c r="H587" s="60"/>
      <c r="I587" s="60"/>
      <c r="J587" s="60"/>
      <c r="K587" s="60"/>
      <c r="L587" s="60"/>
      <c r="M587" s="60"/>
      <c r="N587" s="60"/>
    </row>
    <row r="588" spans="1:14" s="59" customFormat="1" x14ac:dyDescent="0.3">
      <c r="A588" s="60"/>
      <c r="B588" s="60"/>
      <c r="C588" s="60"/>
      <c r="D588" s="60"/>
      <c r="E588" s="60"/>
      <c r="F588" s="60"/>
      <c r="G588" s="60"/>
      <c r="H588" s="60"/>
      <c r="I588" s="60"/>
      <c r="J588" s="60"/>
      <c r="K588" s="60"/>
      <c r="L588" s="60"/>
      <c r="M588" s="60"/>
      <c r="N588" s="60"/>
    </row>
    <row r="589" spans="1:14" s="59" customFormat="1" x14ac:dyDescent="0.3">
      <c r="A589" s="60"/>
      <c r="B589" s="60"/>
      <c r="C589" s="60"/>
      <c r="D589" s="60"/>
      <c r="E589" s="60"/>
      <c r="F589" s="60"/>
      <c r="G589" s="60"/>
      <c r="H589" s="60"/>
      <c r="I589" s="60"/>
      <c r="J589" s="60"/>
      <c r="K589" s="60"/>
      <c r="L589" s="60"/>
      <c r="M589" s="60"/>
      <c r="N589" s="60"/>
    </row>
    <row r="590" spans="1:14" s="59" customFormat="1" x14ac:dyDescent="0.3">
      <c r="A590" s="60"/>
      <c r="B590" s="60"/>
      <c r="C590" s="60"/>
      <c r="D590" s="60"/>
      <c r="E590" s="60"/>
      <c r="F590" s="60"/>
      <c r="G590" s="60"/>
      <c r="H590" s="60"/>
      <c r="I590" s="60"/>
      <c r="J590" s="60"/>
      <c r="K590" s="60"/>
      <c r="L590" s="60"/>
      <c r="M590" s="60"/>
      <c r="N590" s="60"/>
    </row>
    <row r="591" spans="1:14" s="59" customFormat="1" x14ac:dyDescent="0.3">
      <c r="A591" s="60"/>
      <c r="B591" s="60"/>
      <c r="C591" s="60"/>
      <c r="D591" s="60"/>
      <c r="E591" s="60"/>
      <c r="F591" s="60"/>
      <c r="G591" s="60"/>
      <c r="H591" s="60"/>
      <c r="I591" s="60"/>
      <c r="J591" s="60"/>
      <c r="K591" s="60"/>
      <c r="L591" s="60"/>
      <c r="M591" s="60"/>
      <c r="N591" s="60"/>
    </row>
    <row r="592" spans="1:14" s="59" customFormat="1" x14ac:dyDescent="0.3">
      <c r="A592" s="60"/>
      <c r="B592" s="60"/>
      <c r="C592" s="60"/>
      <c r="D592" s="60"/>
      <c r="E592" s="60"/>
      <c r="F592" s="60"/>
      <c r="G592" s="60"/>
      <c r="H592" s="60"/>
      <c r="I592" s="60"/>
      <c r="J592" s="60"/>
      <c r="K592" s="60"/>
      <c r="L592" s="60"/>
      <c r="M592" s="60"/>
      <c r="N592" s="60"/>
    </row>
    <row r="593" spans="1:14" s="59" customFormat="1" x14ac:dyDescent="0.3">
      <c r="A593" s="60"/>
      <c r="B593" s="60"/>
      <c r="C593" s="60"/>
      <c r="D593" s="60"/>
      <c r="E593" s="60"/>
      <c r="F593" s="60"/>
      <c r="G593" s="60"/>
      <c r="H593" s="60"/>
      <c r="I593" s="60"/>
      <c r="J593" s="60"/>
      <c r="K593" s="60"/>
      <c r="L593" s="60"/>
      <c r="M593" s="60"/>
      <c r="N593" s="60"/>
    </row>
    <row r="594" spans="1:14" s="59" customFormat="1" x14ac:dyDescent="0.3">
      <c r="A594" s="60"/>
      <c r="B594" s="60"/>
      <c r="C594" s="60"/>
      <c r="D594" s="60"/>
      <c r="E594" s="60"/>
      <c r="F594" s="60"/>
      <c r="G594" s="60"/>
      <c r="H594" s="60"/>
      <c r="I594" s="60"/>
      <c r="J594" s="60"/>
      <c r="K594" s="60"/>
      <c r="L594" s="60"/>
      <c r="M594" s="60"/>
      <c r="N594" s="60"/>
    </row>
    <row r="595" spans="1:14" s="59" customFormat="1" x14ac:dyDescent="0.3">
      <c r="A595" s="60"/>
      <c r="B595" s="60"/>
      <c r="C595" s="60"/>
      <c r="D595" s="60"/>
      <c r="E595" s="60"/>
      <c r="F595" s="60"/>
      <c r="G595" s="60"/>
      <c r="H595" s="60"/>
      <c r="I595" s="60"/>
      <c r="J595" s="60"/>
      <c r="K595" s="60"/>
      <c r="L595" s="60"/>
      <c r="M595" s="60"/>
      <c r="N595" s="60"/>
    </row>
    <row r="596" spans="1:14" s="59" customFormat="1" x14ac:dyDescent="0.3">
      <c r="A596" s="60"/>
      <c r="B596" s="60"/>
      <c r="C596" s="60"/>
      <c r="D596" s="60"/>
      <c r="E596" s="60"/>
      <c r="F596" s="60"/>
      <c r="G596" s="60"/>
      <c r="H596" s="60"/>
      <c r="I596" s="60"/>
      <c r="J596" s="60"/>
      <c r="K596" s="60"/>
      <c r="L596" s="60"/>
      <c r="M596" s="60"/>
      <c r="N596" s="60"/>
    </row>
    <row r="597" spans="1:14" s="59" customFormat="1" x14ac:dyDescent="0.3">
      <c r="A597" s="60"/>
      <c r="B597" s="60"/>
      <c r="C597" s="60"/>
      <c r="D597" s="60"/>
      <c r="E597" s="60"/>
      <c r="F597" s="60"/>
      <c r="G597" s="60"/>
      <c r="H597" s="60"/>
      <c r="I597" s="60"/>
      <c r="J597" s="60"/>
      <c r="K597" s="60"/>
      <c r="L597" s="60"/>
      <c r="M597" s="60"/>
      <c r="N597" s="60"/>
    </row>
    <row r="598" spans="1:14" s="59" customFormat="1" x14ac:dyDescent="0.3">
      <c r="A598" s="60"/>
      <c r="B598" s="60"/>
      <c r="C598" s="60"/>
      <c r="D598" s="60"/>
      <c r="E598" s="60"/>
      <c r="F598" s="60"/>
      <c r="G598" s="60"/>
      <c r="H598" s="60"/>
      <c r="I598" s="60"/>
      <c r="J598" s="60"/>
      <c r="K598" s="60"/>
      <c r="L598" s="60"/>
      <c r="M598" s="60"/>
      <c r="N598" s="60"/>
    </row>
    <row r="599" spans="1:14" s="59" customFormat="1" x14ac:dyDescent="0.3">
      <c r="A599" s="60"/>
      <c r="B599" s="60"/>
      <c r="C599" s="60"/>
      <c r="D599" s="60"/>
      <c r="E599" s="60"/>
      <c r="F599" s="60"/>
      <c r="G599" s="60"/>
      <c r="H599" s="60"/>
      <c r="I599" s="60"/>
      <c r="J599" s="60"/>
      <c r="K599" s="60"/>
      <c r="L599" s="60"/>
      <c r="M599" s="60"/>
      <c r="N599" s="60"/>
    </row>
    <row r="600" spans="1:14" s="59" customFormat="1" x14ac:dyDescent="0.3">
      <c r="A600" s="60"/>
      <c r="B600" s="60"/>
      <c r="C600" s="60"/>
      <c r="D600" s="60"/>
      <c r="E600" s="60"/>
      <c r="F600" s="60"/>
      <c r="G600" s="60"/>
      <c r="H600" s="60"/>
      <c r="I600" s="60"/>
      <c r="J600" s="60"/>
      <c r="K600" s="60"/>
      <c r="L600" s="60"/>
      <c r="M600" s="60"/>
      <c r="N600" s="60"/>
    </row>
    <row r="601" spans="1:14" s="59" customFormat="1" x14ac:dyDescent="0.3">
      <c r="A601" s="60"/>
      <c r="B601" s="60"/>
      <c r="C601" s="60"/>
      <c r="D601" s="60"/>
      <c r="E601" s="60"/>
      <c r="F601" s="60"/>
      <c r="G601" s="60"/>
      <c r="H601" s="60"/>
      <c r="I601" s="60"/>
      <c r="J601" s="60"/>
      <c r="K601" s="60"/>
      <c r="L601" s="60"/>
      <c r="M601" s="60"/>
      <c r="N601" s="60"/>
    </row>
    <row r="602" spans="1:14" s="59" customFormat="1" x14ac:dyDescent="0.3">
      <c r="A602" s="60"/>
      <c r="B602" s="60"/>
      <c r="C602" s="60"/>
      <c r="D602" s="60"/>
      <c r="E602" s="60"/>
      <c r="F602" s="60"/>
      <c r="G602" s="60"/>
      <c r="H602" s="60"/>
      <c r="I602" s="60"/>
      <c r="J602" s="60"/>
      <c r="K602" s="60"/>
      <c r="L602" s="60"/>
      <c r="M602" s="60"/>
      <c r="N602" s="60"/>
    </row>
    <row r="603" spans="1:14" s="59" customFormat="1" x14ac:dyDescent="0.3">
      <c r="A603" s="60"/>
      <c r="B603" s="60"/>
      <c r="C603" s="60"/>
      <c r="D603" s="60"/>
      <c r="E603" s="60"/>
      <c r="F603" s="60"/>
      <c r="G603" s="60"/>
      <c r="H603" s="60"/>
      <c r="I603" s="60"/>
      <c r="J603" s="60"/>
      <c r="K603" s="60"/>
      <c r="L603" s="60"/>
      <c r="M603" s="60"/>
      <c r="N603" s="60"/>
    </row>
    <row r="604" spans="1:14" s="59" customFormat="1" x14ac:dyDescent="0.3">
      <c r="A604" s="60"/>
      <c r="B604" s="60"/>
      <c r="C604" s="60"/>
      <c r="D604" s="60"/>
      <c r="E604" s="60"/>
      <c r="F604" s="60"/>
      <c r="G604" s="60"/>
      <c r="H604" s="60"/>
      <c r="I604" s="60"/>
      <c r="J604" s="60"/>
      <c r="K604" s="60"/>
      <c r="L604" s="60"/>
      <c r="M604" s="60"/>
      <c r="N604" s="60"/>
    </row>
    <row r="605" spans="1:14" s="59" customFormat="1" x14ac:dyDescent="0.3">
      <c r="A605" s="60"/>
      <c r="B605" s="60"/>
      <c r="C605" s="60"/>
      <c r="D605" s="60"/>
      <c r="E605" s="60"/>
      <c r="F605" s="60"/>
      <c r="G605" s="60"/>
      <c r="H605" s="60"/>
      <c r="I605" s="60"/>
      <c r="J605" s="60"/>
      <c r="K605" s="60"/>
      <c r="L605" s="60"/>
      <c r="M605" s="60"/>
      <c r="N605" s="60"/>
    </row>
    <row r="606" spans="1:14" s="59" customFormat="1" x14ac:dyDescent="0.3">
      <c r="A606" s="60"/>
      <c r="B606" s="60"/>
      <c r="C606" s="60"/>
      <c r="D606" s="60"/>
      <c r="E606" s="60"/>
      <c r="F606" s="60"/>
      <c r="G606" s="60"/>
      <c r="H606" s="60"/>
      <c r="I606" s="60"/>
      <c r="J606" s="60"/>
      <c r="K606" s="60"/>
      <c r="L606" s="60"/>
      <c r="M606" s="60"/>
      <c r="N606" s="60"/>
    </row>
    <row r="607" spans="1:14" s="59" customFormat="1" x14ac:dyDescent="0.3">
      <c r="A607" s="60"/>
      <c r="B607" s="60"/>
      <c r="C607" s="60"/>
      <c r="D607" s="60"/>
      <c r="E607" s="60"/>
      <c r="F607" s="60"/>
      <c r="G607" s="60"/>
      <c r="H607" s="60"/>
      <c r="I607" s="60"/>
      <c r="J607" s="60"/>
      <c r="K607" s="60"/>
      <c r="L607" s="60"/>
      <c r="M607" s="60"/>
      <c r="N607" s="60"/>
    </row>
    <row r="608" spans="1:14" s="59" customFormat="1" x14ac:dyDescent="0.3">
      <c r="A608" s="60"/>
      <c r="B608" s="60"/>
      <c r="C608" s="60"/>
      <c r="D608" s="60"/>
      <c r="E608" s="60"/>
      <c r="F608" s="60"/>
      <c r="G608" s="60"/>
      <c r="H608" s="60"/>
      <c r="I608" s="60"/>
      <c r="J608" s="60"/>
      <c r="K608" s="60"/>
      <c r="L608" s="60"/>
      <c r="M608" s="60"/>
      <c r="N608" s="60"/>
    </row>
    <row r="609" spans="1:14" s="59" customFormat="1" x14ac:dyDescent="0.3">
      <c r="A609" s="60"/>
      <c r="B609" s="60"/>
      <c r="C609" s="60"/>
      <c r="D609" s="60"/>
      <c r="E609" s="60"/>
      <c r="F609" s="60"/>
      <c r="G609" s="60"/>
      <c r="H609" s="60"/>
      <c r="I609" s="60"/>
      <c r="J609" s="60"/>
      <c r="K609" s="60"/>
      <c r="L609" s="60"/>
      <c r="M609" s="60"/>
      <c r="N609" s="60"/>
    </row>
    <row r="610" spans="1:14" s="59" customFormat="1" x14ac:dyDescent="0.3">
      <c r="A610" s="60"/>
      <c r="B610" s="60"/>
      <c r="C610" s="60"/>
      <c r="D610" s="60"/>
      <c r="E610" s="60"/>
      <c r="F610" s="60"/>
      <c r="G610" s="60"/>
      <c r="H610" s="60"/>
      <c r="I610" s="60"/>
      <c r="J610" s="60"/>
      <c r="K610" s="60"/>
      <c r="L610" s="60"/>
      <c r="M610" s="60"/>
      <c r="N610" s="60"/>
    </row>
    <row r="611" spans="1:14" s="59" customFormat="1" x14ac:dyDescent="0.3">
      <c r="A611" s="60"/>
      <c r="B611" s="60"/>
      <c r="C611" s="60"/>
      <c r="D611" s="60"/>
      <c r="E611" s="60"/>
      <c r="F611" s="60"/>
      <c r="G611" s="60"/>
      <c r="H611" s="60"/>
      <c r="I611" s="60"/>
      <c r="J611" s="60"/>
      <c r="K611" s="60"/>
      <c r="L611" s="60"/>
      <c r="M611" s="60"/>
      <c r="N611" s="60"/>
    </row>
    <row r="612" spans="1:14" s="59" customFormat="1" x14ac:dyDescent="0.3">
      <c r="A612" s="60"/>
      <c r="B612" s="60"/>
      <c r="C612" s="60"/>
      <c r="D612" s="60"/>
      <c r="E612" s="60"/>
      <c r="F612" s="60"/>
      <c r="G612" s="60"/>
      <c r="H612" s="60"/>
      <c r="I612" s="60"/>
      <c r="J612" s="60"/>
      <c r="K612" s="60"/>
      <c r="L612" s="60"/>
      <c r="M612" s="60"/>
      <c r="N612" s="60"/>
    </row>
    <row r="613" spans="1:14" s="59" customFormat="1" x14ac:dyDescent="0.3">
      <c r="A613" s="60"/>
      <c r="B613" s="60"/>
      <c r="C613" s="60"/>
      <c r="D613" s="60"/>
      <c r="E613" s="60"/>
      <c r="F613" s="60"/>
      <c r="G613" s="60"/>
      <c r="H613" s="60"/>
      <c r="I613" s="60"/>
      <c r="J613" s="60"/>
      <c r="K613" s="60"/>
      <c r="L613" s="60"/>
      <c r="M613" s="60"/>
      <c r="N613" s="60"/>
    </row>
    <row r="614" spans="1:14" s="59" customFormat="1" x14ac:dyDescent="0.3">
      <c r="A614" s="60"/>
      <c r="B614" s="60"/>
      <c r="C614" s="60"/>
      <c r="D614" s="60"/>
      <c r="E614" s="60"/>
      <c r="F614" s="60"/>
      <c r="G614" s="60"/>
      <c r="H614" s="60"/>
      <c r="I614" s="60"/>
      <c r="J614" s="60"/>
      <c r="K614" s="60"/>
      <c r="L614" s="60"/>
      <c r="M614" s="60"/>
      <c r="N614" s="60"/>
    </row>
    <row r="615" spans="1:14" s="59" customFormat="1" x14ac:dyDescent="0.3">
      <c r="A615" s="60"/>
      <c r="B615" s="60"/>
      <c r="C615" s="60"/>
      <c r="D615" s="60"/>
      <c r="E615" s="60"/>
      <c r="F615" s="60"/>
      <c r="G615" s="60"/>
      <c r="H615" s="60"/>
      <c r="I615" s="60"/>
      <c r="J615" s="60"/>
      <c r="K615" s="60"/>
      <c r="L615" s="60"/>
      <c r="M615" s="60"/>
      <c r="N615" s="60"/>
    </row>
    <row r="616" spans="1:14" s="59" customFormat="1" x14ac:dyDescent="0.3">
      <c r="A616" s="60"/>
      <c r="B616" s="60"/>
      <c r="C616" s="60"/>
      <c r="D616" s="60"/>
      <c r="E616" s="60"/>
      <c r="F616" s="60"/>
      <c r="G616" s="60"/>
      <c r="H616" s="60"/>
      <c r="I616" s="60"/>
      <c r="J616" s="60"/>
      <c r="K616" s="60"/>
      <c r="L616" s="60"/>
      <c r="M616" s="60"/>
      <c r="N616" s="60"/>
    </row>
    <row r="617" spans="1:14" s="59" customFormat="1" x14ac:dyDescent="0.3">
      <c r="A617" s="60"/>
      <c r="B617" s="60"/>
      <c r="C617" s="60"/>
      <c r="D617" s="60"/>
      <c r="E617" s="60"/>
      <c r="F617" s="60"/>
      <c r="G617" s="60"/>
      <c r="H617" s="60"/>
      <c r="I617" s="60"/>
      <c r="J617" s="60"/>
      <c r="K617" s="60"/>
      <c r="L617" s="60"/>
      <c r="M617" s="60"/>
      <c r="N617" s="60"/>
    </row>
    <row r="618" spans="1:14" s="59" customFormat="1" x14ac:dyDescent="0.3">
      <c r="A618" s="60"/>
      <c r="B618" s="60"/>
      <c r="C618" s="60"/>
      <c r="D618" s="60"/>
      <c r="E618" s="60"/>
      <c r="F618" s="60"/>
      <c r="G618" s="60"/>
      <c r="H618" s="60"/>
      <c r="I618" s="60"/>
      <c r="J618" s="60"/>
      <c r="K618" s="60"/>
      <c r="L618" s="60"/>
      <c r="M618" s="60"/>
      <c r="N618" s="60"/>
    </row>
    <row r="619" spans="1:14" s="59" customFormat="1" x14ac:dyDescent="0.3">
      <c r="A619" s="60"/>
      <c r="B619" s="60"/>
      <c r="C619" s="60"/>
      <c r="D619" s="60"/>
      <c r="E619" s="60"/>
      <c r="F619" s="60"/>
      <c r="G619" s="60"/>
      <c r="H619" s="60"/>
      <c r="I619" s="60"/>
      <c r="J619" s="60"/>
      <c r="K619" s="60"/>
      <c r="L619" s="60"/>
      <c r="M619" s="60"/>
      <c r="N619" s="60"/>
    </row>
    <row r="620" spans="1:14" s="59" customFormat="1" x14ac:dyDescent="0.3">
      <c r="A620" s="60"/>
      <c r="B620" s="60"/>
      <c r="C620" s="60"/>
      <c r="D620" s="60"/>
      <c r="E620" s="60"/>
      <c r="F620" s="60"/>
      <c r="G620" s="60"/>
      <c r="H620" s="60"/>
      <c r="I620" s="60"/>
      <c r="J620" s="60"/>
      <c r="K620" s="60"/>
      <c r="L620" s="60"/>
      <c r="M620" s="60"/>
      <c r="N620" s="60"/>
    </row>
    <row r="621" spans="1:14" s="59" customFormat="1" x14ac:dyDescent="0.3">
      <c r="A621" s="60"/>
      <c r="B621" s="60"/>
      <c r="C621" s="60"/>
      <c r="D621" s="60"/>
      <c r="E621" s="60"/>
      <c r="F621" s="60"/>
      <c r="G621" s="60"/>
      <c r="H621" s="60"/>
      <c r="I621" s="60"/>
      <c r="J621" s="60"/>
      <c r="K621" s="60"/>
      <c r="L621" s="60"/>
      <c r="M621" s="60"/>
      <c r="N621" s="60"/>
    </row>
    <row r="622" spans="1:14" s="59" customFormat="1" x14ac:dyDescent="0.3">
      <c r="A622" s="60"/>
      <c r="B622" s="60"/>
      <c r="C622" s="60"/>
      <c r="D622" s="60"/>
      <c r="E622" s="60"/>
      <c r="F622" s="60"/>
      <c r="G622" s="60"/>
      <c r="H622" s="60"/>
      <c r="I622" s="60"/>
      <c r="J622" s="60"/>
      <c r="K622" s="60"/>
      <c r="L622" s="60"/>
      <c r="M622" s="60"/>
      <c r="N622" s="60"/>
    </row>
    <row r="623" spans="1:14" s="59" customFormat="1" x14ac:dyDescent="0.3">
      <c r="A623" s="60"/>
      <c r="B623" s="60"/>
      <c r="C623" s="60"/>
      <c r="D623" s="60"/>
      <c r="E623" s="60"/>
      <c r="F623" s="60"/>
      <c r="G623" s="60"/>
      <c r="H623" s="60"/>
      <c r="I623" s="60"/>
      <c r="J623" s="60"/>
      <c r="K623" s="60"/>
      <c r="L623" s="60"/>
      <c r="M623" s="60"/>
      <c r="N623" s="60"/>
    </row>
    <row r="624" spans="1:14" s="59" customFormat="1" x14ac:dyDescent="0.3">
      <c r="A624" s="60"/>
      <c r="B624" s="60"/>
      <c r="C624" s="60"/>
      <c r="D624" s="60"/>
      <c r="E624" s="60"/>
      <c r="F624" s="60"/>
      <c r="G624" s="60"/>
      <c r="H624" s="60"/>
      <c r="I624" s="60"/>
      <c r="J624" s="60"/>
      <c r="K624" s="60"/>
      <c r="L624" s="60"/>
      <c r="M624" s="60"/>
      <c r="N624" s="60"/>
    </row>
    <row r="625" spans="1:14" s="59" customFormat="1" x14ac:dyDescent="0.3">
      <c r="A625" s="60"/>
      <c r="B625" s="60"/>
      <c r="C625" s="60"/>
      <c r="D625" s="60"/>
      <c r="E625" s="60"/>
      <c r="F625" s="60"/>
      <c r="G625" s="60"/>
      <c r="H625" s="60"/>
      <c r="I625" s="60"/>
      <c r="J625" s="60"/>
      <c r="K625" s="60"/>
      <c r="L625" s="60"/>
      <c r="M625" s="60"/>
      <c r="N625" s="60"/>
    </row>
    <row r="626" spans="1:14" s="59" customFormat="1" x14ac:dyDescent="0.3">
      <c r="A626" s="60"/>
      <c r="B626" s="60"/>
      <c r="C626" s="60"/>
      <c r="D626" s="60"/>
      <c r="E626" s="60"/>
      <c r="F626" s="60"/>
      <c r="G626" s="60"/>
      <c r="H626" s="60"/>
      <c r="I626" s="60"/>
      <c r="J626" s="60"/>
      <c r="K626" s="60"/>
      <c r="L626" s="60"/>
      <c r="M626" s="60"/>
      <c r="N626" s="60"/>
    </row>
    <row r="627" spans="1:14" s="59" customFormat="1" x14ac:dyDescent="0.3">
      <c r="A627" s="60"/>
      <c r="B627" s="60"/>
      <c r="C627" s="60"/>
      <c r="D627" s="60"/>
      <c r="E627" s="60"/>
      <c r="F627" s="60"/>
      <c r="G627" s="60"/>
      <c r="H627" s="60"/>
      <c r="I627" s="60"/>
      <c r="J627" s="60"/>
      <c r="K627" s="60"/>
      <c r="L627" s="60"/>
      <c r="M627" s="60"/>
      <c r="N627" s="60"/>
    </row>
    <row r="628" spans="1:14" s="59" customFormat="1" x14ac:dyDescent="0.3">
      <c r="A628" s="60"/>
      <c r="B628" s="60"/>
      <c r="C628" s="60"/>
      <c r="D628" s="60"/>
      <c r="E628" s="60"/>
      <c r="F628" s="60"/>
      <c r="G628" s="60"/>
      <c r="H628" s="60"/>
      <c r="I628" s="60"/>
      <c r="J628" s="60"/>
      <c r="K628" s="60"/>
      <c r="L628" s="60"/>
      <c r="M628" s="60"/>
      <c r="N628" s="60"/>
    </row>
    <row r="629" spans="1:14" s="59" customFormat="1" x14ac:dyDescent="0.3">
      <c r="A629" s="60"/>
      <c r="B629" s="60"/>
      <c r="C629" s="60"/>
      <c r="D629" s="60"/>
      <c r="E629" s="60"/>
      <c r="F629" s="60"/>
      <c r="G629" s="60"/>
      <c r="H629" s="60"/>
      <c r="I629" s="60"/>
      <c r="J629" s="60"/>
      <c r="K629" s="60"/>
      <c r="L629" s="60"/>
      <c r="M629" s="60"/>
      <c r="N629" s="60"/>
    </row>
    <row r="630" spans="1:14" s="59" customFormat="1" x14ac:dyDescent="0.3">
      <c r="A630" s="60"/>
      <c r="B630" s="60"/>
      <c r="C630" s="60"/>
      <c r="D630" s="60"/>
      <c r="E630" s="60"/>
      <c r="F630" s="60"/>
      <c r="G630" s="60"/>
      <c r="H630" s="60"/>
      <c r="I630" s="60"/>
      <c r="J630" s="60"/>
      <c r="K630" s="60"/>
      <c r="L630" s="60"/>
      <c r="M630" s="60"/>
      <c r="N630" s="60"/>
    </row>
    <row r="631" spans="1:14" s="59" customFormat="1" x14ac:dyDescent="0.3">
      <c r="A631" s="60"/>
      <c r="B631" s="60"/>
      <c r="C631" s="60"/>
      <c r="D631" s="60"/>
      <c r="E631" s="60"/>
      <c r="F631" s="60"/>
      <c r="G631" s="60"/>
      <c r="H631" s="60"/>
      <c r="I631" s="60"/>
      <c r="J631" s="60"/>
      <c r="K631" s="60"/>
      <c r="L631" s="60"/>
      <c r="M631" s="60"/>
      <c r="N631" s="60"/>
    </row>
    <row r="632" spans="1:14" s="59" customFormat="1" x14ac:dyDescent="0.3">
      <c r="A632" s="60"/>
      <c r="B632" s="60"/>
      <c r="C632" s="60"/>
      <c r="D632" s="60"/>
      <c r="E632" s="60"/>
      <c r="F632" s="60"/>
      <c r="G632" s="60"/>
      <c r="H632" s="60"/>
      <c r="I632" s="60"/>
      <c r="J632" s="60"/>
      <c r="K632" s="60"/>
      <c r="L632" s="60"/>
      <c r="M632" s="60"/>
      <c r="N632" s="60"/>
    </row>
    <row r="633" spans="1:14" s="59" customFormat="1" x14ac:dyDescent="0.3">
      <c r="A633" s="60"/>
      <c r="B633" s="60"/>
      <c r="C633" s="60"/>
      <c r="D633" s="60"/>
      <c r="E633" s="60"/>
      <c r="F633" s="60"/>
      <c r="G633" s="60"/>
      <c r="H633" s="60"/>
      <c r="I633" s="60"/>
      <c r="J633" s="60"/>
      <c r="K633" s="60"/>
      <c r="L633" s="60"/>
      <c r="M633" s="60"/>
      <c r="N633" s="60"/>
    </row>
    <row r="634" spans="1:14" s="59" customFormat="1" x14ac:dyDescent="0.3">
      <c r="A634" s="60"/>
      <c r="B634" s="60"/>
      <c r="C634" s="60"/>
      <c r="D634" s="60"/>
      <c r="E634" s="60"/>
      <c r="F634" s="60"/>
      <c r="G634" s="60"/>
      <c r="H634" s="60"/>
      <c r="I634" s="60"/>
      <c r="J634" s="60"/>
      <c r="K634" s="60"/>
      <c r="L634" s="60"/>
      <c r="M634" s="60"/>
      <c r="N634" s="60"/>
    </row>
    <row r="635" spans="1:14" s="59" customFormat="1" x14ac:dyDescent="0.3">
      <c r="A635" s="60"/>
      <c r="B635" s="60"/>
      <c r="C635" s="60"/>
      <c r="D635" s="60"/>
      <c r="E635" s="60"/>
      <c r="F635" s="60"/>
      <c r="G635" s="60"/>
      <c r="H635" s="60"/>
      <c r="I635" s="60"/>
      <c r="J635" s="60"/>
      <c r="K635" s="60"/>
      <c r="L635" s="60"/>
      <c r="M635" s="60"/>
      <c r="N635" s="60"/>
    </row>
    <row r="636" spans="1:14" s="59" customFormat="1" x14ac:dyDescent="0.3">
      <c r="A636" s="60"/>
      <c r="B636" s="60"/>
      <c r="C636" s="60"/>
      <c r="D636" s="60"/>
      <c r="E636" s="60"/>
      <c r="F636" s="60"/>
      <c r="G636" s="60"/>
      <c r="H636" s="60"/>
      <c r="I636" s="60"/>
      <c r="J636" s="60"/>
      <c r="K636" s="60"/>
      <c r="L636" s="60"/>
      <c r="M636" s="60"/>
      <c r="N636" s="60"/>
    </row>
    <row r="637" spans="1:14" s="59" customFormat="1" x14ac:dyDescent="0.3">
      <c r="A637" s="60"/>
      <c r="B637" s="60"/>
      <c r="C637" s="60"/>
      <c r="D637" s="60"/>
      <c r="E637" s="60"/>
      <c r="F637" s="60"/>
      <c r="G637" s="60"/>
      <c r="H637" s="60"/>
      <c r="I637" s="60"/>
      <c r="J637" s="60"/>
      <c r="K637" s="60"/>
      <c r="L637" s="60"/>
      <c r="M637" s="60"/>
      <c r="N637" s="60"/>
    </row>
    <row r="638" spans="1:14" s="59" customFormat="1" x14ac:dyDescent="0.3">
      <c r="A638" s="60"/>
      <c r="B638" s="60"/>
      <c r="C638" s="60"/>
      <c r="D638" s="60"/>
      <c r="E638" s="60"/>
      <c r="F638" s="60"/>
      <c r="G638" s="60"/>
      <c r="H638" s="60"/>
      <c r="I638" s="60"/>
      <c r="J638" s="60"/>
      <c r="K638" s="60"/>
      <c r="L638" s="60"/>
      <c r="M638" s="60"/>
      <c r="N638" s="60"/>
    </row>
    <row r="639" spans="1:14" s="59" customFormat="1" x14ac:dyDescent="0.3">
      <c r="A639" s="60"/>
      <c r="B639" s="60"/>
      <c r="C639" s="60"/>
      <c r="D639" s="60"/>
      <c r="E639" s="60"/>
      <c r="F639" s="60"/>
      <c r="G639" s="60"/>
      <c r="H639" s="60"/>
      <c r="I639" s="60"/>
      <c r="J639" s="60"/>
      <c r="K639" s="60"/>
      <c r="L639" s="60"/>
      <c r="M639" s="60"/>
      <c r="N639" s="60"/>
    </row>
    <row r="640" spans="1:14" s="59" customFormat="1" x14ac:dyDescent="0.3">
      <c r="A640" s="60"/>
      <c r="B640" s="60"/>
      <c r="C640" s="60"/>
      <c r="D640" s="60"/>
      <c r="E640" s="60"/>
      <c r="F640" s="60"/>
      <c r="G640" s="60"/>
      <c r="H640" s="60"/>
      <c r="I640" s="60"/>
      <c r="J640" s="60"/>
      <c r="K640" s="60"/>
      <c r="L640" s="60"/>
      <c r="M640" s="60"/>
      <c r="N640" s="60"/>
    </row>
    <row r="641" spans="1:14" s="59" customFormat="1" x14ac:dyDescent="0.3">
      <c r="A641" s="60"/>
      <c r="B641" s="60"/>
      <c r="C641" s="60"/>
      <c r="D641" s="60"/>
      <c r="E641" s="60"/>
      <c r="F641" s="60"/>
      <c r="G641" s="60"/>
      <c r="H641" s="60"/>
      <c r="I641" s="60"/>
      <c r="J641" s="60"/>
      <c r="K641" s="60"/>
      <c r="L641" s="60"/>
      <c r="M641" s="60"/>
      <c r="N641" s="60"/>
    </row>
    <row r="642" spans="1:14" s="59" customFormat="1" x14ac:dyDescent="0.3">
      <c r="A642" s="60"/>
      <c r="B642" s="60"/>
      <c r="C642" s="60"/>
      <c r="D642" s="60"/>
      <c r="E642" s="60"/>
      <c r="F642" s="60"/>
      <c r="G642" s="60"/>
      <c r="H642" s="60"/>
      <c r="I642" s="60"/>
      <c r="J642" s="60"/>
      <c r="K642" s="60"/>
      <c r="L642" s="60"/>
      <c r="M642" s="60"/>
      <c r="N642" s="60"/>
    </row>
    <row r="643" spans="1:14" s="59" customFormat="1" x14ac:dyDescent="0.3">
      <c r="A643" s="60"/>
      <c r="B643" s="60"/>
      <c r="C643" s="60"/>
      <c r="D643" s="60"/>
      <c r="E643" s="60"/>
      <c r="F643" s="60"/>
      <c r="G643" s="60"/>
      <c r="H643" s="60"/>
      <c r="I643" s="60"/>
      <c r="J643" s="60"/>
      <c r="K643" s="60"/>
      <c r="L643" s="60"/>
      <c r="M643" s="60"/>
      <c r="N643" s="60"/>
    </row>
    <row r="644" spans="1:14" s="59" customFormat="1" x14ac:dyDescent="0.3">
      <c r="A644" s="60"/>
      <c r="B644" s="60"/>
      <c r="C644" s="60"/>
      <c r="D644" s="60"/>
      <c r="E644" s="60"/>
      <c r="F644" s="60"/>
      <c r="G644" s="60"/>
      <c r="H644" s="60"/>
      <c r="I644" s="60"/>
      <c r="J644" s="60"/>
      <c r="K644" s="60"/>
      <c r="L644" s="60"/>
      <c r="M644" s="60"/>
      <c r="N644" s="60"/>
    </row>
    <row r="645" spans="1:14" s="59" customFormat="1" x14ac:dyDescent="0.3">
      <c r="A645" s="60"/>
      <c r="B645" s="60"/>
      <c r="C645" s="60"/>
      <c r="D645" s="60"/>
      <c r="E645" s="60"/>
      <c r="F645" s="60"/>
      <c r="G645" s="60"/>
      <c r="H645" s="60"/>
      <c r="I645" s="60"/>
      <c r="J645" s="60"/>
      <c r="K645" s="60"/>
      <c r="L645" s="60"/>
      <c r="M645" s="60"/>
      <c r="N645" s="60"/>
    </row>
    <row r="646" spans="1:14" s="59" customFormat="1" x14ac:dyDescent="0.3">
      <c r="A646" s="60"/>
      <c r="B646" s="60"/>
      <c r="C646" s="60"/>
      <c r="D646" s="60"/>
      <c r="E646" s="60"/>
      <c r="F646" s="60"/>
      <c r="G646" s="60"/>
      <c r="H646" s="60"/>
      <c r="I646" s="60"/>
      <c r="J646" s="60"/>
      <c r="K646" s="60"/>
      <c r="L646" s="60"/>
      <c r="M646" s="60"/>
      <c r="N646" s="60"/>
    </row>
    <row r="647" spans="1:14" s="59" customFormat="1" x14ac:dyDescent="0.3">
      <c r="A647" s="60"/>
      <c r="B647" s="60"/>
      <c r="C647" s="60"/>
      <c r="D647" s="60"/>
      <c r="E647" s="60"/>
      <c r="F647" s="60"/>
      <c r="G647" s="60"/>
      <c r="H647" s="60"/>
      <c r="I647" s="60"/>
      <c r="J647" s="60"/>
      <c r="K647" s="60"/>
      <c r="L647" s="60"/>
      <c r="M647" s="60"/>
      <c r="N647" s="60"/>
    </row>
    <row r="648" spans="1:14" s="59" customFormat="1" x14ac:dyDescent="0.3">
      <c r="A648" s="60"/>
      <c r="B648" s="60"/>
      <c r="C648" s="60"/>
      <c r="D648" s="60"/>
      <c r="E648" s="60"/>
      <c r="F648" s="60"/>
      <c r="G648" s="60"/>
      <c r="H648" s="60"/>
      <c r="I648" s="60"/>
      <c r="J648" s="60"/>
      <c r="K648" s="60"/>
      <c r="L648" s="60"/>
      <c r="M648" s="60"/>
      <c r="N648" s="60"/>
    </row>
    <row r="649" spans="1:14" s="59" customFormat="1" x14ac:dyDescent="0.3">
      <c r="A649" s="60"/>
      <c r="B649" s="60"/>
      <c r="C649" s="60"/>
      <c r="D649" s="60"/>
      <c r="E649" s="60"/>
      <c r="F649" s="60"/>
      <c r="G649" s="60"/>
      <c r="H649" s="60"/>
      <c r="I649" s="60"/>
      <c r="J649" s="60"/>
      <c r="K649" s="60"/>
      <c r="L649" s="60"/>
      <c r="M649" s="60"/>
      <c r="N649" s="60"/>
    </row>
    <row r="650" spans="1:14" s="59" customFormat="1" x14ac:dyDescent="0.3">
      <c r="A650" s="60"/>
      <c r="B650" s="60"/>
      <c r="C650" s="60"/>
      <c r="D650" s="60"/>
      <c r="E650" s="60"/>
      <c r="F650" s="60"/>
      <c r="G650" s="60"/>
      <c r="H650" s="60"/>
      <c r="I650" s="60"/>
      <c r="J650" s="60"/>
      <c r="K650" s="60"/>
      <c r="L650" s="60"/>
      <c r="M650" s="60"/>
      <c r="N650" s="60"/>
    </row>
    <row r="651" spans="1:14" s="59" customFormat="1" x14ac:dyDescent="0.3">
      <c r="A651" s="60"/>
      <c r="B651" s="60"/>
      <c r="C651" s="60"/>
      <c r="D651" s="60"/>
      <c r="E651" s="60"/>
      <c r="F651" s="60"/>
      <c r="G651" s="60"/>
      <c r="H651" s="60"/>
      <c r="I651" s="60"/>
      <c r="J651" s="60"/>
      <c r="K651" s="60"/>
      <c r="L651" s="60"/>
      <c r="M651" s="60"/>
      <c r="N651" s="60"/>
    </row>
    <row r="652" spans="1:14" s="59" customFormat="1" x14ac:dyDescent="0.3">
      <c r="A652" s="60"/>
      <c r="B652" s="60"/>
      <c r="C652" s="60"/>
      <c r="D652" s="60"/>
      <c r="E652" s="60"/>
      <c r="F652" s="60"/>
      <c r="G652" s="60"/>
      <c r="H652" s="60"/>
      <c r="I652" s="60"/>
      <c r="J652" s="60"/>
      <c r="K652" s="60"/>
      <c r="L652" s="60"/>
      <c r="M652" s="60"/>
      <c r="N652" s="60"/>
    </row>
    <row r="653" spans="1:14" s="59" customFormat="1" x14ac:dyDescent="0.3">
      <c r="A653" s="60"/>
      <c r="B653" s="60"/>
      <c r="C653" s="60"/>
      <c r="D653" s="60"/>
      <c r="E653" s="60"/>
      <c r="F653" s="60"/>
      <c r="G653" s="60"/>
      <c r="H653" s="60"/>
      <c r="I653" s="60"/>
      <c r="J653" s="60"/>
      <c r="K653" s="60"/>
      <c r="L653" s="60"/>
      <c r="M653" s="60"/>
      <c r="N653" s="60"/>
    </row>
    <row r="654" spans="1:14" s="59" customFormat="1" x14ac:dyDescent="0.3">
      <c r="A654" s="60"/>
      <c r="B654" s="60"/>
      <c r="C654" s="60"/>
      <c r="D654" s="60"/>
      <c r="E654" s="60"/>
      <c r="F654" s="60"/>
      <c r="G654" s="60"/>
      <c r="H654" s="60"/>
      <c r="I654" s="60"/>
      <c r="J654" s="60"/>
      <c r="K654" s="60"/>
      <c r="L654" s="60"/>
      <c r="M654" s="60"/>
      <c r="N654" s="60"/>
    </row>
    <row r="655" spans="1:14" s="59" customFormat="1" x14ac:dyDescent="0.3">
      <c r="A655" s="60"/>
      <c r="B655" s="60"/>
      <c r="C655" s="60"/>
      <c r="D655" s="60"/>
      <c r="E655" s="60"/>
      <c r="F655" s="60"/>
      <c r="G655" s="60"/>
      <c r="H655" s="60"/>
      <c r="I655" s="60"/>
      <c r="J655" s="60"/>
      <c r="K655" s="60"/>
      <c r="L655" s="60"/>
      <c r="M655" s="60"/>
      <c r="N655" s="60"/>
    </row>
    <row r="656" spans="1:14" s="59" customFormat="1" x14ac:dyDescent="0.3">
      <c r="A656" s="60"/>
      <c r="B656" s="60"/>
      <c r="C656" s="60"/>
      <c r="D656" s="60"/>
      <c r="E656" s="60"/>
      <c r="F656" s="60"/>
      <c r="G656" s="60"/>
      <c r="H656" s="60"/>
      <c r="I656" s="60"/>
      <c r="J656" s="60"/>
      <c r="K656" s="60"/>
      <c r="L656" s="60"/>
      <c r="M656" s="60"/>
      <c r="N656" s="60"/>
    </row>
    <row r="657" spans="1:14" s="59" customFormat="1" x14ac:dyDescent="0.3">
      <c r="A657" s="60"/>
      <c r="B657" s="60"/>
      <c r="C657" s="60"/>
      <c r="D657" s="60"/>
      <c r="E657" s="60"/>
      <c r="F657" s="60"/>
      <c r="G657" s="60"/>
      <c r="H657" s="60"/>
      <c r="I657" s="60"/>
      <c r="J657" s="60"/>
      <c r="K657" s="60"/>
      <c r="L657" s="60"/>
      <c r="M657" s="60"/>
      <c r="N657" s="60"/>
    </row>
    <row r="658" spans="1:14" s="59" customFormat="1" x14ac:dyDescent="0.3">
      <c r="A658" s="60"/>
      <c r="B658" s="60"/>
      <c r="C658" s="60"/>
      <c r="D658" s="60"/>
      <c r="E658" s="60"/>
      <c r="F658" s="60"/>
      <c r="G658" s="60"/>
      <c r="H658" s="60"/>
      <c r="I658" s="60"/>
      <c r="J658" s="60"/>
      <c r="K658" s="60"/>
      <c r="L658" s="60"/>
      <c r="M658" s="60"/>
      <c r="N658" s="60"/>
    </row>
    <row r="659" spans="1:14" s="59" customFormat="1" x14ac:dyDescent="0.3">
      <c r="A659" s="60"/>
      <c r="B659" s="60"/>
      <c r="C659" s="60"/>
      <c r="D659" s="60"/>
      <c r="E659" s="60"/>
      <c r="F659" s="60"/>
      <c r="G659" s="60"/>
      <c r="H659" s="60"/>
      <c r="I659" s="60"/>
      <c r="J659" s="60"/>
      <c r="K659" s="60"/>
      <c r="L659" s="60"/>
      <c r="M659" s="60"/>
      <c r="N659" s="60"/>
    </row>
    <row r="660" spans="1:14" s="59" customFormat="1" x14ac:dyDescent="0.3">
      <c r="A660" s="60"/>
      <c r="B660" s="60"/>
      <c r="C660" s="60"/>
      <c r="D660" s="60"/>
      <c r="E660" s="60"/>
      <c r="F660" s="60"/>
      <c r="G660" s="60"/>
      <c r="H660" s="60"/>
      <c r="I660" s="60"/>
      <c r="J660" s="60"/>
      <c r="K660" s="60"/>
      <c r="L660" s="60"/>
      <c r="M660" s="60"/>
      <c r="N660" s="60"/>
    </row>
    <row r="661" spans="1:14" s="59" customFormat="1" x14ac:dyDescent="0.3">
      <c r="A661" s="60"/>
      <c r="B661" s="60"/>
      <c r="C661" s="60"/>
      <c r="D661" s="60"/>
      <c r="E661" s="60"/>
      <c r="F661" s="60"/>
      <c r="G661" s="60"/>
      <c r="H661" s="60"/>
      <c r="I661" s="60"/>
      <c r="J661" s="60"/>
      <c r="K661" s="60"/>
      <c r="L661" s="60"/>
      <c r="M661" s="60"/>
      <c r="N661" s="60"/>
    </row>
    <row r="662" spans="1:14" s="59" customFormat="1" x14ac:dyDescent="0.3">
      <c r="A662" s="60"/>
      <c r="B662" s="60"/>
      <c r="C662" s="60"/>
      <c r="D662" s="60"/>
      <c r="E662" s="60"/>
      <c r="F662" s="60"/>
      <c r="G662" s="60"/>
      <c r="H662" s="60"/>
      <c r="I662" s="60"/>
      <c r="J662" s="60"/>
      <c r="K662" s="60"/>
      <c r="L662" s="60"/>
      <c r="M662" s="60"/>
      <c r="N662" s="60"/>
    </row>
    <row r="663" spans="1:14" s="59" customFormat="1" x14ac:dyDescent="0.3">
      <c r="A663" s="60"/>
      <c r="B663" s="60"/>
      <c r="C663" s="60"/>
      <c r="D663" s="60"/>
      <c r="E663" s="60"/>
      <c r="F663" s="60"/>
      <c r="G663" s="60"/>
      <c r="H663" s="60"/>
      <c r="I663" s="60"/>
      <c r="J663" s="60"/>
      <c r="K663" s="60"/>
      <c r="L663" s="60"/>
      <c r="M663" s="60"/>
      <c r="N663" s="60"/>
    </row>
    <row r="664" spans="1:14" s="59" customFormat="1" x14ac:dyDescent="0.3">
      <c r="A664" s="60"/>
      <c r="B664" s="60"/>
      <c r="C664" s="60"/>
      <c r="D664" s="60"/>
      <c r="E664" s="60"/>
      <c r="F664" s="60"/>
      <c r="G664" s="60"/>
      <c r="H664" s="60"/>
      <c r="I664" s="60"/>
      <c r="J664" s="60"/>
      <c r="K664" s="60"/>
      <c r="L664" s="60"/>
      <c r="M664" s="60"/>
      <c r="N664" s="60"/>
    </row>
    <row r="665" spans="1:14" s="59" customFormat="1" x14ac:dyDescent="0.3">
      <c r="A665" s="60"/>
      <c r="B665" s="60"/>
      <c r="C665" s="60"/>
      <c r="D665" s="60"/>
      <c r="E665" s="60"/>
      <c r="F665" s="60"/>
      <c r="G665" s="60"/>
      <c r="H665" s="60"/>
      <c r="I665" s="60"/>
      <c r="J665" s="60"/>
      <c r="K665" s="60"/>
      <c r="L665" s="60"/>
      <c r="M665" s="60"/>
      <c r="N665" s="60"/>
    </row>
    <row r="666" spans="1:14" s="59" customFormat="1" x14ac:dyDescent="0.3">
      <c r="A666" s="60"/>
      <c r="B666" s="60"/>
      <c r="C666" s="60"/>
      <c r="D666" s="60"/>
      <c r="E666" s="60"/>
      <c r="F666" s="60"/>
      <c r="G666" s="60"/>
      <c r="H666" s="60"/>
      <c r="I666" s="60"/>
      <c r="J666" s="60"/>
      <c r="K666" s="60"/>
      <c r="L666" s="60"/>
      <c r="M666" s="60"/>
      <c r="N666" s="60"/>
    </row>
    <row r="667" spans="1:14" s="59" customFormat="1" x14ac:dyDescent="0.3">
      <c r="A667" s="60"/>
      <c r="B667" s="60"/>
      <c r="C667" s="60"/>
      <c r="D667" s="60"/>
      <c r="E667" s="60"/>
      <c r="F667" s="60"/>
      <c r="G667" s="60"/>
      <c r="H667" s="60"/>
      <c r="I667" s="60"/>
      <c r="J667" s="60"/>
      <c r="K667" s="60"/>
      <c r="L667" s="60"/>
      <c r="M667" s="60"/>
      <c r="N667" s="60"/>
    </row>
    <row r="668" spans="1:14" s="59" customFormat="1" x14ac:dyDescent="0.3">
      <c r="A668" s="60"/>
      <c r="B668" s="60"/>
      <c r="C668" s="60"/>
      <c r="D668" s="60"/>
      <c r="E668" s="60"/>
      <c r="F668" s="60"/>
      <c r="G668" s="60"/>
      <c r="H668" s="60"/>
      <c r="I668" s="60"/>
      <c r="J668" s="60"/>
      <c r="K668" s="60"/>
      <c r="L668" s="60"/>
      <c r="M668" s="60"/>
      <c r="N668" s="60"/>
    </row>
    <row r="669" spans="1:14" s="59" customFormat="1" x14ac:dyDescent="0.3">
      <c r="A669" s="60"/>
      <c r="B669" s="60"/>
      <c r="C669" s="60"/>
      <c r="D669" s="60"/>
      <c r="E669" s="60"/>
      <c r="F669" s="60"/>
      <c r="G669" s="60"/>
      <c r="H669" s="60"/>
      <c r="I669" s="60"/>
      <c r="J669" s="60"/>
      <c r="K669" s="60"/>
      <c r="L669" s="60"/>
      <c r="M669" s="60"/>
      <c r="N669" s="60"/>
    </row>
    <row r="670" spans="1:14" s="59" customFormat="1" x14ac:dyDescent="0.3">
      <c r="A670" s="60"/>
      <c r="B670" s="60"/>
      <c r="C670" s="60"/>
      <c r="D670" s="60"/>
      <c r="E670" s="60"/>
      <c r="F670" s="60"/>
      <c r="G670" s="60"/>
      <c r="H670" s="60"/>
      <c r="I670" s="60"/>
      <c r="J670" s="60"/>
      <c r="K670" s="60"/>
      <c r="L670" s="60"/>
      <c r="M670" s="60"/>
      <c r="N670" s="60"/>
    </row>
    <row r="671" spans="1:14" s="59" customFormat="1" x14ac:dyDescent="0.3">
      <c r="A671" s="60"/>
      <c r="B671" s="60"/>
      <c r="C671" s="60"/>
      <c r="D671" s="60"/>
      <c r="E671" s="60"/>
      <c r="F671" s="60"/>
      <c r="G671" s="60"/>
      <c r="H671" s="60"/>
      <c r="I671" s="60"/>
      <c r="J671" s="60"/>
      <c r="K671" s="60"/>
      <c r="L671" s="60"/>
      <c r="M671" s="60"/>
      <c r="N671" s="60"/>
    </row>
    <row r="672" spans="1:14" s="59" customFormat="1" x14ac:dyDescent="0.3">
      <c r="A672" s="60"/>
      <c r="B672" s="60"/>
      <c r="C672" s="60"/>
      <c r="D672" s="60"/>
      <c r="E672" s="60"/>
      <c r="F672" s="60"/>
      <c r="G672" s="60"/>
      <c r="H672" s="60"/>
      <c r="I672" s="60"/>
      <c r="J672" s="60"/>
      <c r="K672" s="60"/>
      <c r="L672" s="60"/>
      <c r="M672" s="60"/>
      <c r="N672" s="60"/>
    </row>
    <row r="673" spans="1:14" s="59" customFormat="1" x14ac:dyDescent="0.3">
      <c r="A673" s="60"/>
      <c r="B673" s="60"/>
      <c r="C673" s="60"/>
      <c r="D673" s="60"/>
      <c r="E673" s="60"/>
      <c r="F673" s="60"/>
      <c r="G673" s="60"/>
      <c r="H673" s="60"/>
      <c r="I673" s="60"/>
      <c r="J673" s="60"/>
      <c r="K673" s="60"/>
      <c r="L673" s="60"/>
      <c r="M673" s="60"/>
      <c r="N673" s="60"/>
    </row>
    <row r="674" spans="1:14" s="59" customFormat="1" x14ac:dyDescent="0.3">
      <c r="A674" s="60"/>
      <c r="B674" s="60"/>
      <c r="C674" s="60"/>
      <c r="D674" s="60"/>
      <c r="E674" s="60"/>
      <c r="F674" s="60"/>
      <c r="G674" s="60"/>
      <c r="H674" s="60"/>
      <c r="I674" s="60"/>
      <c r="J674" s="60"/>
      <c r="K674" s="60"/>
      <c r="L674" s="60"/>
      <c r="M674" s="60"/>
      <c r="N674" s="60"/>
    </row>
    <row r="675" spans="1:14" s="59" customFormat="1" x14ac:dyDescent="0.3">
      <c r="A675" s="60"/>
      <c r="B675" s="60"/>
      <c r="C675" s="60"/>
      <c r="D675" s="60"/>
      <c r="E675" s="60"/>
      <c r="F675" s="60"/>
      <c r="G675" s="60"/>
      <c r="H675" s="60"/>
      <c r="I675" s="60"/>
      <c r="J675" s="60"/>
      <c r="K675" s="60"/>
      <c r="L675" s="60"/>
      <c r="M675" s="60"/>
      <c r="N675" s="60"/>
    </row>
    <row r="676" spans="1:14" s="59" customFormat="1" x14ac:dyDescent="0.3">
      <c r="A676" s="60"/>
      <c r="B676" s="60"/>
      <c r="C676" s="60"/>
      <c r="D676" s="60"/>
      <c r="E676" s="60"/>
      <c r="F676" s="60"/>
      <c r="G676" s="60"/>
      <c r="H676" s="60"/>
      <c r="I676" s="60"/>
      <c r="J676" s="60"/>
      <c r="K676" s="60"/>
      <c r="L676" s="60"/>
      <c r="M676" s="60"/>
      <c r="N676" s="60"/>
    </row>
    <row r="677" spans="1:14" s="59" customFormat="1" x14ac:dyDescent="0.3">
      <c r="A677" s="60"/>
      <c r="B677" s="60"/>
      <c r="C677" s="60"/>
      <c r="D677" s="60"/>
      <c r="E677" s="60"/>
      <c r="F677" s="60"/>
      <c r="G677" s="60"/>
      <c r="H677" s="60"/>
      <c r="I677" s="60"/>
      <c r="J677" s="60"/>
      <c r="K677" s="60"/>
      <c r="L677" s="60"/>
      <c r="M677" s="60"/>
      <c r="N677" s="60"/>
    </row>
    <row r="678" spans="1:14" s="59" customFormat="1" x14ac:dyDescent="0.3">
      <c r="A678" s="60"/>
      <c r="B678" s="60"/>
      <c r="C678" s="60"/>
      <c r="D678" s="60"/>
      <c r="E678" s="60"/>
      <c r="F678" s="60"/>
      <c r="G678" s="60"/>
      <c r="H678" s="60"/>
      <c r="I678" s="60"/>
      <c r="J678" s="60"/>
      <c r="K678" s="60"/>
      <c r="L678" s="60"/>
      <c r="M678" s="60"/>
      <c r="N678" s="60"/>
    </row>
    <row r="679" spans="1:14" s="59" customFormat="1" x14ac:dyDescent="0.3">
      <c r="A679" s="60"/>
      <c r="B679" s="60"/>
      <c r="C679" s="60"/>
      <c r="D679" s="60"/>
      <c r="E679" s="60"/>
      <c r="F679" s="60"/>
      <c r="G679" s="60"/>
      <c r="H679" s="60"/>
      <c r="I679" s="60"/>
      <c r="J679" s="60"/>
      <c r="K679" s="60"/>
      <c r="L679" s="60"/>
      <c r="M679" s="60"/>
      <c r="N679" s="60"/>
    </row>
    <row r="680" spans="1:14" s="59" customFormat="1" x14ac:dyDescent="0.3">
      <c r="A680" s="60"/>
      <c r="B680" s="60"/>
      <c r="C680" s="60"/>
      <c r="D680" s="60"/>
      <c r="E680" s="60"/>
      <c r="F680" s="60"/>
      <c r="G680" s="60"/>
      <c r="H680" s="60"/>
      <c r="I680" s="60"/>
      <c r="J680" s="60"/>
      <c r="K680" s="60"/>
      <c r="L680" s="60"/>
      <c r="M680" s="60"/>
      <c r="N680" s="60"/>
    </row>
    <row r="681" spans="1:14" s="59" customFormat="1" x14ac:dyDescent="0.3">
      <c r="A681" s="60"/>
      <c r="B681" s="60"/>
      <c r="C681" s="60"/>
      <c r="D681" s="60"/>
      <c r="E681" s="60"/>
      <c r="F681" s="60"/>
      <c r="G681" s="60"/>
      <c r="H681" s="60"/>
      <c r="I681" s="60"/>
      <c r="J681" s="60"/>
      <c r="K681" s="60"/>
      <c r="L681" s="60"/>
      <c r="M681" s="60"/>
      <c r="N681" s="60"/>
    </row>
    <row r="682" spans="1:14" s="59" customFormat="1" x14ac:dyDescent="0.3">
      <c r="A682" s="60"/>
      <c r="B682" s="60"/>
      <c r="C682" s="60"/>
      <c r="D682" s="60"/>
      <c r="E682" s="60"/>
      <c r="F682" s="60"/>
      <c r="G682" s="60"/>
      <c r="H682" s="60"/>
      <c r="I682" s="60"/>
      <c r="J682" s="60"/>
      <c r="K682" s="60"/>
      <c r="L682" s="60"/>
      <c r="M682" s="60"/>
      <c r="N682" s="60"/>
    </row>
    <row r="683" spans="1:14" s="59" customFormat="1" x14ac:dyDescent="0.3">
      <c r="A683" s="60"/>
      <c r="B683" s="60"/>
      <c r="C683" s="60"/>
      <c r="D683" s="60"/>
      <c r="E683" s="60"/>
      <c r="F683" s="60"/>
      <c r="G683" s="60"/>
      <c r="H683" s="60"/>
      <c r="I683" s="60"/>
      <c r="J683" s="60"/>
      <c r="K683" s="60"/>
      <c r="L683" s="60"/>
      <c r="M683" s="60"/>
      <c r="N683" s="60"/>
    </row>
    <row r="684" spans="1:14" s="59" customFormat="1" x14ac:dyDescent="0.3">
      <c r="A684" s="60"/>
      <c r="B684" s="60"/>
      <c r="C684" s="60"/>
      <c r="D684" s="60"/>
      <c r="E684" s="60"/>
      <c r="F684" s="60"/>
      <c r="G684" s="60"/>
      <c r="H684" s="60"/>
      <c r="I684" s="60"/>
      <c r="J684" s="60"/>
      <c r="K684" s="60"/>
      <c r="L684" s="60"/>
      <c r="M684" s="60"/>
      <c r="N684" s="60"/>
    </row>
    <row r="685" spans="1:14" s="59" customFormat="1" x14ac:dyDescent="0.3">
      <c r="A685" s="60"/>
      <c r="B685" s="60"/>
      <c r="C685" s="60"/>
      <c r="D685" s="60"/>
      <c r="E685" s="60"/>
      <c r="F685" s="60"/>
      <c r="G685" s="60"/>
      <c r="H685" s="60"/>
      <c r="I685" s="60"/>
      <c r="J685" s="60"/>
      <c r="K685" s="60"/>
      <c r="L685" s="60"/>
      <c r="M685" s="60"/>
      <c r="N685" s="60"/>
    </row>
    <row r="686" spans="1:14" s="59" customFormat="1" x14ac:dyDescent="0.3">
      <c r="A686" s="60"/>
      <c r="B686" s="60"/>
      <c r="C686" s="60"/>
      <c r="D686" s="60"/>
      <c r="E686" s="60"/>
      <c r="F686" s="60"/>
      <c r="G686" s="60"/>
      <c r="H686" s="60"/>
      <c r="I686" s="60"/>
      <c r="J686" s="60"/>
      <c r="K686" s="60"/>
      <c r="L686" s="60"/>
      <c r="M686" s="60"/>
      <c r="N686" s="60"/>
    </row>
    <row r="687" spans="1:14" s="59" customFormat="1" x14ac:dyDescent="0.3">
      <c r="A687" s="60"/>
      <c r="B687" s="60"/>
      <c r="C687" s="60"/>
      <c r="D687" s="60"/>
      <c r="E687" s="60"/>
      <c r="F687" s="60"/>
      <c r="G687" s="60"/>
      <c r="H687" s="60"/>
      <c r="I687" s="60"/>
      <c r="J687" s="60"/>
      <c r="K687" s="60"/>
      <c r="L687" s="60"/>
      <c r="M687" s="60"/>
      <c r="N687" s="60"/>
    </row>
    <row r="688" spans="1:14" s="59" customFormat="1" x14ac:dyDescent="0.3">
      <c r="A688" s="60"/>
      <c r="B688" s="60"/>
      <c r="C688" s="60"/>
      <c r="D688" s="60"/>
      <c r="E688" s="60"/>
      <c r="F688" s="60"/>
      <c r="G688" s="60"/>
      <c r="H688" s="60"/>
      <c r="I688" s="60"/>
      <c r="J688" s="60"/>
      <c r="K688" s="60"/>
      <c r="L688" s="60"/>
      <c r="M688" s="60"/>
      <c r="N688" s="60"/>
    </row>
  </sheetData>
  <mergeCells count="20">
    <mergeCell ref="A16:A17"/>
    <mergeCell ref="B16:B17"/>
    <mergeCell ref="C16:C17"/>
    <mergeCell ref="D16:D17"/>
    <mergeCell ref="E16:E17"/>
    <mergeCell ref="F6:O6"/>
    <mergeCell ref="F7:O7"/>
    <mergeCell ref="G16:G17"/>
    <mergeCell ref="H16:H17"/>
    <mergeCell ref="F16:F17"/>
    <mergeCell ref="O16:O17"/>
    <mergeCell ref="N16:N17"/>
    <mergeCell ref="I16:I17"/>
    <mergeCell ref="J16:K16"/>
    <mergeCell ref="L16:M16"/>
    <mergeCell ref="A1:O1"/>
    <mergeCell ref="A2:O2"/>
    <mergeCell ref="A3:O3"/>
    <mergeCell ref="A4:O4"/>
    <mergeCell ref="A5:O5"/>
  </mergeCells>
  <pageMargins left="7.874015748031496E-2" right="0.11811023622047245" top="0.27559055118110237" bottom="0.23622047244094491" header="0" footer="0"/>
  <pageSetup scale="52" orientation="landscape" r:id="rId1"/>
  <headerFooter alignWithMargins="0"/>
  <colBreaks count="1" manualBreakCount="1">
    <brk id="15" max="1048575" man="1"/>
  </col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619"/>
  <sheetViews>
    <sheetView showGridLines="0" view="pageBreakPreview" zoomScale="85" zoomScaleNormal="110" zoomScaleSheetLayoutView="85" workbookViewId="0">
      <selection activeCell="G11" sqref="G11"/>
    </sheetView>
  </sheetViews>
  <sheetFormatPr baseColWidth="10" defaultColWidth="11.42578125" defaultRowHeight="15.75" x14ac:dyDescent="0.3"/>
  <cols>
    <col min="1" max="5" width="2.28515625" style="2" customWidth="1"/>
    <col min="6" max="6" width="32.5703125" style="2" customWidth="1"/>
    <col min="7" max="7" width="20.42578125" style="2" customWidth="1"/>
    <col min="8" max="8" width="14.28515625" style="2" customWidth="1"/>
    <col min="9" max="9" width="14.85546875" style="2" customWidth="1"/>
    <col min="10" max="10" width="15.5703125" style="2" customWidth="1"/>
    <col min="11" max="11" width="11.42578125" style="1"/>
    <col min="12" max="12" width="19" style="59" bestFit="1" customWidth="1"/>
    <col min="13" max="58" width="11.42578125" style="59"/>
    <col min="59" max="16384" width="11.42578125" style="1"/>
  </cols>
  <sheetData>
    <row r="1" spans="1:11" ht="12.75" x14ac:dyDescent="0.2">
      <c r="A1" s="456" t="str">
        <f>+PPNE1!B1</f>
        <v>Plan Operativo Anual</v>
      </c>
      <c r="B1" s="457"/>
      <c r="C1" s="457"/>
      <c r="D1" s="457"/>
      <c r="E1" s="457"/>
      <c r="F1" s="457"/>
      <c r="G1" s="457"/>
      <c r="H1" s="457"/>
      <c r="I1" s="457"/>
      <c r="J1" s="457"/>
      <c r="K1" s="458"/>
    </row>
    <row r="2" spans="1:11" x14ac:dyDescent="0.25">
      <c r="A2" s="459" t="s">
        <v>269</v>
      </c>
      <c r="B2" s="450"/>
      <c r="C2" s="450"/>
      <c r="D2" s="450"/>
      <c r="E2" s="450"/>
      <c r="F2" s="450"/>
      <c r="G2" s="450"/>
      <c r="H2" s="450"/>
      <c r="I2" s="450"/>
      <c r="J2" s="450"/>
      <c r="K2" s="460"/>
    </row>
    <row r="3" spans="1:11" ht="15" x14ac:dyDescent="0.25">
      <c r="A3" s="461" t="s">
        <v>270</v>
      </c>
      <c r="B3" s="452"/>
      <c r="C3" s="452"/>
      <c r="D3" s="452"/>
      <c r="E3" s="452"/>
      <c r="F3" s="452"/>
      <c r="G3" s="452"/>
      <c r="H3" s="452"/>
      <c r="I3" s="452"/>
      <c r="J3" s="452"/>
      <c r="K3" s="462"/>
    </row>
    <row r="4" spans="1:11" ht="12.75" x14ac:dyDescent="0.2">
      <c r="A4" s="453" t="s">
        <v>211</v>
      </c>
      <c r="B4" s="454"/>
      <c r="C4" s="454"/>
      <c r="D4" s="454"/>
      <c r="E4" s="454"/>
      <c r="F4" s="454"/>
      <c r="G4" s="454"/>
      <c r="H4" s="454"/>
      <c r="I4" s="454"/>
      <c r="J4" s="454"/>
      <c r="K4" s="463"/>
    </row>
    <row r="5" spans="1:11" ht="12.75" x14ac:dyDescent="0.2">
      <c r="A5" s="453">
        <f>+PPNE1!C5</f>
        <v>2026</v>
      </c>
      <c r="B5" s="454"/>
      <c r="C5" s="454"/>
      <c r="D5" s="454"/>
      <c r="E5" s="454"/>
      <c r="F5" s="454"/>
      <c r="G5" s="454"/>
      <c r="H5" s="454"/>
      <c r="I5" s="454"/>
      <c r="J5" s="454"/>
      <c r="K5" s="463"/>
    </row>
    <row r="6" spans="1:11" ht="12.75" x14ac:dyDescent="0.2">
      <c r="A6" s="15" t="s">
        <v>214</v>
      </c>
      <c r="B6" s="5"/>
      <c r="C6" s="5"/>
      <c r="D6" s="5"/>
      <c r="E6" s="5"/>
      <c r="F6" s="455" t="str">
        <f>+PPNE1!B6</f>
        <v>Cibao Norte</v>
      </c>
      <c r="G6" s="455"/>
      <c r="H6" s="455"/>
      <c r="I6" s="455"/>
      <c r="J6" s="455"/>
      <c r="K6" s="464"/>
    </row>
    <row r="7" spans="1:11" ht="12.75" x14ac:dyDescent="0.2">
      <c r="A7" s="18" t="s">
        <v>213</v>
      </c>
      <c r="B7" s="19"/>
      <c r="C7" s="19"/>
      <c r="D7" s="16"/>
      <c r="E7" s="19"/>
      <c r="F7" s="465">
        <f>+PPNE1!B7</f>
        <v>0</v>
      </c>
      <c r="G7" s="465"/>
      <c r="H7" s="465"/>
      <c r="I7" s="465"/>
      <c r="J7" s="465"/>
      <c r="K7" s="466"/>
    </row>
    <row r="8" spans="1:11" ht="12.75" x14ac:dyDescent="0.2">
      <c r="A8" s="22" t="s">
        <v>46</v>
      </c>
      <c r="B8" s="23"/>
      <c r="C8" s="23"/>
      <c r="D8" s="23"/>
      <c r="E8" s="23"/>
      <c r="F8" s="23"/>
      <c r="G8" s="23"/>
      <c r="H8" s="23"/>
      <c r="I8" s="23"/>
      <c r="J8" s="23"/>
      <c r="K8" s="24"/>
    </row>
    <row r="9" spans="1:11" ht="13.5" x14ac:dyDescent="0.25">
      <c r="A9" s="42" t="s">
        <v>212</v>
      </c>
      <c r="B9" s="3"/>
      <c r="C9" s="3"/>
      <c r="D9" s="3"/>
      <c r="E9" s="43"/>
      <c r="F9" s="44"/>
      <c r="G9" s="55">
        <f>+PPNE3!F16</f>
        <v>0</v>
      </c>
      <c r="H9" s="41"/>
      <c r="I9" s="41"/>
      <c r="J9" s="41"/>
      <c r="K9" s="45"/>
    </row>
    <row r="10" spans="1:11" ht="13.5" x14ac:dyDescent="0.25">
      <c r="A10" s="42" t="s">
        <v>41</v>
      </c>
      <c r="B10" s="3"/>
      <c r="C10" s="3"/>
      <c r="D10" s="3"/>
      <c r="E10" s="43"/>
      <c r="F10" s="44"/>
      <c r="G10" s="55">
        <f>+PPNE3!F25</f>
        <v>93121626.870000005</v>
      </c>
      <c r="H10" s="41"/>
      <c r="I10" s="41"/>
      <c r="J10" s="41"/>
      <c r="K10" s="45"/>
    </row>
    <row r="11" spans="1:11" ht="13.5" x14ac:dyDescent="0.25">
      <c r="A11" s="42" t="s">
        <v>279</v>
      </c>
      <c r="B11" s="3"/>
      <c r="C11" s="3"/>
      <c r="D11" s="3"/>
      <c r="E11" s="43"/>
      <c r="F11" s="44"/>
      <c r="G11" s="55">
        <f>+PPNE3!F15</f>
        <v>0</v>
      </c>
      <c r="H11" s="41"/>
      <c r="I11" s="41"/>
      <c r="J11" s="41"/>
      <c r="K11" s="45"/>
    </row>
    <row r="12" spans="1:11" ht="13.5" x14ac:dyDescent="0.25">
      <c r="A12" s="42" t="s">
        <v>42</v>
      </c>
      <c r="B12" s="3"/>
      <c r="C12" s="3"/>
      <c r="D12" s="3"/>
      <c r="E12" s="43"/>
      <c r="F12" s="44"/>
      <c r="G12" s="55">
        <f>+PPNE3!F9+PPNE3!F17+PPNE3!F21+PPNE3!F22</f>
        <v>0</v>
      </c>
      <c r="H12" s="41"/>
      <c r="I12" s="41"/>
      <c r="J12" s="41"/>
      <c r="K12" s="45"/>
    </row>
    <row r="13" spans="1:11" ht="13.5" x14ac:dyDescent="0.25">
      <c r="A13" s="46" t="s">
        <v>52</v>
      </c>
      <c r="B13" s="3"/>
      <c r="C13" s="3"/>
      <c r="D13" s="3"/>
      <c r="E13" s="43"/>
      <c r="F13" s="44"/>
      <c r="G13" s="56">
        <f>+PPNE3!F18</f>
        <v>1650000000</v>
      </c>
      <c r="H13" s="41"/>
      <c r="I13" s="41"/>
      <c r="J13" s="41"/>
      <c r="K13" s="45"/>
    </row>
    <row r="14" spans="1:11" ht="14.25" thickBot="1" x14ac:dyDescent="0.3">
      <c r="A14" s="34" t="s">
        <v>63</v>
      </c>
      <c r="B14" s="35"/>
      <c r="C14" s="35"/>
      <c r="D14" s="35"/>
      <c r="E14" s="36"/>
      <c r="F14" s="37"/>
      <c r="G14" s="38">
        <f>SUM(G9:G13)</f>
        <v>1743121626.8699999</v>
      </c>
      <c r="H14" s="39"/>
      <c r="I14" s="39"/>
      <c r="J14" s="39"/>
      <c r="K14" s="40"/>
    </row>
    <row r="15" spans="1:11" ht="13.5" thickTop="1" x14ac:dyDescent="0.2">
      <c r="A15" s="25" t="s">
        <v>48</v>
      </c>
      <c r="B15" s="20"/>
      <c r="C15" s="20"/>
      <c r="D15" s="20"/>
      <c r="E15" s="20"/>
      <c r="F15" s="20"/>
      <c r="G15" s="20"/>
      <c r="H15" s="20"/>
      <c r="I15" s="20"/>
      <c r="J15" s="20"/>
      <c r="K15" s="26"/>
    </row>
    <row r="16" spans="1:11" ht="12.75" x14ac:dyDescent="0.2">
      <c r="A16" s="474" t="s">
        <v>64</v>
      </c>
      <c r="B16" s="474" t="s">
        <v>49</v>
      </c>
      <c r="C16" s="474" t="s">
        <v>4</v>
      </c>
      <c r="D16" s="474" t="s">
        <v>50</v>
      </c>
      <c r="E16" s="474" t="s">
        <v>20</v>
      </c>
      <c r="F16" s="468" t="s">
        <v>54</v>
      </c>
      <c r="G16" s="467" t="s">
        <v>51</v>
      </c>
      <c r="H16" s="467" t="s">
        <v>33</v>
      </c>
      <c r="I16" s="467" t="s">
        <v>280</v>
      </c>
      <c r="J16" s="470" t="s">
        <v>230</v>
      </c>
      <c r="K16" s="470" t="s">
        <v>19</v>
      </c>
    </row>
    <row r="17" spans="1:12" ht="12.75" x14ac:dyDescent="0.2">
      <c r="A17" s="474"/>
      <c r="B17" s="474"/>
      <c r="C17" s="474"/>
      <c r="D17" s="474"/>
      <c r="E17" s="474"/>
      <c r="F17" s="469"/>
      <c r="G17" s="467"/>
      <c r="H17" s="467"/>
      <c r="I17" s="467"/>
      <c r="J17" s="471"/>
      <c r="K17" s="471"/>
    </row>
    <row r="18" spans="1:12" ht="12.75" x14ac:dyDescent="0.2">
      <c r="A18" s="357">
        <v>2</v>
      </c>
      <c r="B18" s="358"/>
      <c r="C18" s="358"/>
      <c r="D18" s="358"/>
      <c r="E18" s="358"/>
      <c r="F18" s="359" t="s">
        <v>10</v>
      </c>
      <c r="G18" s="360">
        <f>+G19+G67+G170+G254+G270</f>
        <v>1649999999.99</v>
      </c>
      <c r="H18" s="360">
        <f>+H19+H67+H170+H254+H270+H323</f>
        <v>93121626.879999995</v>
      </c>
      <c r="I18" s="360">
        <f t="shared" ref="H18:K18" si="0">+I19+I67+I170+I254+I270+I323</f>
        <v>0</v>
      </c>
      <c r="J18" s="360">
        <f>+J19+J67+J170+J254+J270</f>
        <v>1743121626.8699999</v>
      </c>
      <c r="K18" s="488">
        <f t="shared" ref="K18:K81" si="1">IFERROR(J18/$J$18*100,"0.00")/100</f>
        <v>1</v>
      </c>
      <c r="L18" s="476"/>
    </row>
    <row r="19" spans="1:12" ht="12.75" x14ac:dyDescent="0.2">
      <c r="A19" s="361">
        <v>2</v>
      </c>
      <c r="B19" s="362">
        <v>1</v>
      </c>
      <c r="C19" s="362"/>
      <c r="D19" s="362"/>
      <c r="E19" s="362"/>
      <c r="F19" s="363" t="s">
        <v>231</v>
      </c>
      <c r="G19" s="364">
        <f>+G20+G42+G54+G58</f>
        <v>1250210336.6200001</v>
      </c>
      <c r="H19" s="33">
        <f>+H20+H42+H54+H58</f>
        <v>0</v>
      </c>
      <c r="I19" s="33">
        <f>+I20+I47+I63+I70+I78</f>
        <v>0</v>
      </c>
      <c r="J19" s="33">
        <f>+G19+H19</f>
        <v>1250210336.6200001</v>
      </c>
      <c r="K19" s="479">
        <f t="shared" si="1"/>
        <v>0.7172249585732664</v>
      </c>
    </row>
    <row r="20" spans="1:12" ht="12.75" x14ac:dyDescent="0.2">
      <c r="A20" s="365">
        <v>2</v>
      </c>
      <c r="B20" s="366">
        <v>1</v>
      </c>
      <c r="C20" s="366">
        <v>1</v>
      </c>
      <c r="D20" s="366"/>
      <c r="E20" s="366"/>
      <c r="F20" s="367" t="s">
        <v>65</v>
      </c>
      <c r="G20" s="368">
        <f>+G21+G26+G33+G35+G37</f>
        <v>1018270621.3900001</v>
      </c>
      <c r="H20" s="32">
        <f>+H21+H28+H36+H38+H40+H45</f>
        <v>0</v>
      </c>
      <c r="I20" s="32">
        <f>+I21+I28+I36+I38+I40+I45</f>
        <v>0</v>
      </c>
      <c r="J20" s="32">
        <f t="shared" ref="J20:J83" si="2">+G20+H20</f>
        <v>1018270621.3900001</v>
      </c>
      <c r="K20" s="480">
        <f t="shared" si="1"/>
        <v>0.58416498636325032</v>
      </c>
    </row>
    <row r="21" spans="1:12" ht="12.75" x14ac:dyDescent="0.2">
      <c r="A21" s="369">
        <v>2</v>
      </c>
      <c r="B21" s="370">
        <v>1</v>
      </c>
      <c r="C21" s="370">
        <v>1</v>
      </c>
      <c r="D21" s="370">
        <v>1</v>
      </c>
      <c r="E21" s="370"/>
      <c r="F21" s="371" t="s">
        <v>66</v>
      </c>
      <c r="G21" s="372">
        <f>SUM(G22:G25)</f>
        <v>812699639.34000003</v>
      </c>
      <c r="H21" s="30">
        <f>SUM(H22:H27)</f>
        <v>0</v>
      </c>
      <c r="I21" s="30">
        <f>SUM(I22:I27)</f>
        <v>0</v>
      </c>
      <c r="J21" s="30">
        <f t="shared" si="2"/>
        <v>812699639.34000003</v>
      </c>
      <c r="K21" s="481">
        <f t="shared" si="1"/>
        <v>0.46623231954233008</v>
      </c>
    </row>
    <row r="22" spans="1:12" ht="12.75" x14ac:dyDescent="0.2">
      <c r="A22" s="373">
        <v>2</v>
      </c>
      <c r="B22" s="374">
        <v>1</v>
      </c>
      <c r="C22" s="374">
        <v>1</v>
      </c>
      <c r="D22" s="374">
        <v>1</v>
      </c>
      <c r="E22" s="374" t="s">
        <v>202</v>
      </c>
      <c r="F22" s="375" t="s">
        <v>232</v>
      </c>
      <c r="G22" s="376">
        <v>812699639.34000003</v>
      </c>
      <c r="H22" s="27"/>
      <c r="I22" s="27"/>
      <c r="J22" s="27">
        <f t="shared" si="2"/>
        <v>812699639.34000003</v>
      </c>
      <c r="K22" s="482">
        <f t="shared" si="1"/>
        <v>0.46623231954233008</v>
      </c>
    </row>
    <row r="23" spans="1:12" ht="12.75" x14ac:dyDescent="0.2">
      <c r="A23" s="373">
        <v>2</v>
      </c>
      <c r="B23" s="374">
        <v>1</v>
      </c>
      <c r="C23" s="374">
        <v>1</v>
      </c>
      <c r="D23" s="374">
        <v>1</v>
      </c>
      <c r="E23" s="374" t="s">
        <v>203</v>
      </c>
      <c r="F23" s="377" t="s">
        <v>67</v>
      </c>
      <c r="G23" s="376"/>
      <c r="H23" s="27"/>
      <c r="I23" s="27"/>
      <c r="J23" s="27">
        <f t="shared" si="2"/>
        <v>0</v>
      </c>
      <c r="K23" s="482">
        <f t="shared" si="1"/>
        <v>0</v>
      </c>
    </row>
    <row r="24" spans="1:12" ht="12.75" x14ac:dyDescent="0.2">
      <c r="A24" s="373">
        <v>2</v>
      </c>
      <c r="B24" s="374">
        <v>1</v>
      </c>
      <c r="C24" s="374">
        <v>1</v>
      </c>
      <c r="D24" s="374">
        <v>1</v>
      </c>
      <c r="E24" s="374" t="s">
        <v>208</v>
      </c>
      <c r="F24" s="377" t="s">
        <v>68</v>
      </c>
      <c r="G24" s="376"/>
      <c r="H24" s="27"/>
      <c r="I24" s="27"/>
      <c r="J24" s="27">
        <f t="shared" si="2"/>
        <v>0</v>
      </c>
      <c r="K24" s="482">
        <f t="shared" si="1"/>
        <v>0</v>
      </c>
    </row>
    <row r="25" spans="1:12" ht="12.75" x14ac:dyDescent="0.2">
      <c r="A25" s="373">
        <v>2</v>
      </c>
      <c r="B25" s="374">
        <v>1</v>
      </c>
      <c r="C25" s="374">
        <v>1</v>
      </c>
      <c r="D25" s="374">
        <v>1</v>
      </c>
      <c r="E25" s="374" t="s">
        <v>233</v>
      </c>
      <c r="F25" s="377" t="s">
        <v>234</v>
      </c>
      <c r="G25" s="376"/>
      <c r="H25" s="27"/>
      <c r="I25" s="27"/>
      <c r="J25" s="27">
        <f t="shared" si="2"/>
        <v>0</v>
      </c>
      <c r="K25" s="482">
        <f t="shared" si="1"/>
        <v>0</v>
      </c>
    </row>
    <row r="26" spans="1:12" ht="22.5" x14ac:dyDescent="0.2">
      <c r="A26" s="369">
        <v>2</v>
      </c>
      <c r="B26" s="370">
        <v>1</v>
      </c>
      <c r="C26" s="370">
        <v>1</v>
      </c>
      <c r="D26" s="370">
        <v>2</v>
      </c>
      <c r="E26" s="370"/>
      <c r="F26" s="371" t="s">
        <v>69</v>
      </c>
      <c r="G26" s="372">
        <f>SUM(G27:G32)</f>
        <v>140071938.09</v>
      </c>
      <c r="H26" s="372">
        <f t="shared" ref="H26:I26" si="3">SUM(H27:H32)</f>
        <v>0</v>
      </c>
      <c r="I26" s="372">
        <f t="shared" si="3"/>
        <v>0</v>
      </c>
      <c r="J26" s="372">
        <f t="shared" si="2"/>
        <v>140071938.09</v>
      </c>
      <c r="K26" s="489">
        <f t="shared" si="1"/>
        <v>8.0356950387631437E-2</v>
      </c>
    </row>
    <row r="27" spans="1:12" ht="12.75" x14ac:dyDescent="0.2">
      <c r="A27" s="373">
        <v>2</v>
      </c>
      <c r="B27" s="374">
        <v>1</v>
      </c>
      <c r="C27" s="374">
        <v>1</v>
      </c>
      <c r="D27" s="374">
        <v>2</v>
      </c>
      <c r="E27" s="374" t="s">
        <v>204</v>
      </c>
      <c r="F27" s="377" t="s">
        <v>34</v>
      </c>
      <c r="G27" s="376"/>
      <c r="H27" s="27"/>
      <c r="I27" s="27"/>
      <c r="J27" s="27">
        <f t="shared" si="2"/>
        <v>0</v>
      </c>
      <c r="K27" s="482">
        <f t="shared" si="1"/>
        <v>0</v>
      </c>
    </row>
    <row r="28" spans="1:12" ht="22.5" x14ac:dyDescent="0.2">
      <c r="A28" s="373">
        <v>2</v>
      </c>
      <c r="B28" s="374">
        <v>1</v>
      </c>
      <c r="C28" s="374">
        <v>1</v>
      </c>
      <c r="D28" s="374">
        <v>2</v>
      </c>
      <c r="E28" s="374" t="s">
        <v>208</v>
      </c>
      <c r="F28" s="377" t="s">
        <v>70</v>
      </c>
      <c r="G28" s="376"/>
      <c r="H28" s="356"/>
      <c r="I28" s="356"/>
      <c r="J28" s="356">
        <f t="shared" si="2"/>
        <v>0</v>
      </c>
      <c r="K28" s="490">
        <f t="shared" si="1"/>
        <v>0</v>
      </c>
    </row>
    <row r="29" spans="1:12" ht="12.75" x14ac:dyDescent="0.2">
      <c r="A29" s="373">
        <v>2</v>
      </c>
      <c r="B29" s="374">
        <v>1</v>
      </c>
      <c r="C29" s="374">
        <v>1</v>
      </c>
      <c r="D29" s="374">
        <v>2</v>
      </c>
      <c r="E29" s="374" t="s">
        <v>233</v>
      </c>
      <c r="F29" s="377" t="s">
        <v>71</v>
      </c>
      <c r="G29" s="376"/>
      <c r="H29" s="27"/>
      <c r="I29" s="27"/>
      <c r="J29" s="27">
        <f t="shared" si="2"/>
        <v>0</v>
      </c>
      <c r="K29" s="482">
        <f t="shared" si="1"/>
        <v>0</v>
      </c>
    </row>
    <row r="30" spans="1:12" ht="12.75" x14ac:dyDescent="0.2">
      <c r="A30" s="378">
        <v>2</v>
      </c>
      <c r="B30" s="379">
        <v>1</v>
      </c>
      <c r="C30" s="379">
        <v>1</v>
      </c>
      <c r="D30" s="379">
        <v>2</v>
      </c>
      <c r="E30" s="379" t="s">
        <v>239</v>
      </c>
      <c r="F30" s="380" t="s">
        <v>976</v>
      </c>
      <c r="G30" s="376">
        <v>140071938.09</v>
      </c>
      <c r="H30" s="27"/>
      <c r="I30" s="27"/>
      <c r="J30" s="27">
        <f t="shared" si="2"/>
        <v>140071938.09</v>
      </c>
      <c r="K30" s="482">
        <f t="shared" si="1"/>
        <v>8.0356950387631437E-2</v>
      </c>
    </row>
    <row r="31" spans="1:12" ht="12.75" x14ac:dyDescent="0.2">
      <c r="A31" s="378">
        <v>2</v>
      </c>
      <c r="B31" s="379">
        <v>1</v>
      </c>
      <c r="C31" s="379">
        <v>1</v>
      </c>
      <c r="D31" s="379">
        <v>2</v>
      </c>
      <c r="E31" s="379" t="s">
        <v>240</v>
      </c>
      <c r="F31" s="380" t="s">
        <v>977</v>
      </c>
      <c r="G31" s="376"/>
      <c r="H31" s="27"/>
      <c r="I31" s="27"/>
      <c r="J31" s="27">
        <f t="shared" si="2"/>
        <v>0</v>
      </c>
      <c r="K31" s="482">
        <f t="shared" si="1"/>
        <v>0</v>
      </c>
    </row>
    <row r="32" spans="1:12" ht="12.75" x14ac:dyDescent="0.2">
      <c r="A32" s="378">
        <v>2</v>
      </c>
      <c r="B32" s="379">
        <v>1</v>
      </c>
      <c r="C32" s="379">
        <v>1</v>
      </c>
      <c r="D32" s="379">
        <v>2</v>
      </c>
      <c r="E32" s="379" t="s">
        <v>978</v>
      </c>
      <c r="F32" s="380" t="s">
        <v>979</v>
      </c>
      <c r="G32" s="376"/>
      <c r="H32" s="27"/>
      <c r="I32" s="27"/>
      <c r="J32" s="27">
        <f t="shared" si="2"/>
        <v>0</v>
      </c>
      <c r="K32" s="482">
        <f t="shared" si="1"/>
        <v>0</v>
      </c>
    </row>
    <row r="33" spans="1:11" ht="22.5" x14ac:dyDescent="0.2">
      <c r="A33" s="369">
        <v>2</v>
      </c>
      <c r="B33" s="370">
        <v>1</v>
      </c>
      <c r="C33" s="370">
        <v>1</v>
      </c>
      <c r="D33" s="370">
        <v>3</v>
      </c>
      <c r="E33" s="370"/>
      <c r="F33" s="371" t="s">
        <v>72</v>
      </c>
      <c r="G33" s="372">
        <f>G34</f>
        <v>0</v>
      </c>
      <c r="H33" s="372">
        <f t="shared" ref="H33:K33" si="4">H34</f>
        <v>0</v>
      </c>
      <c r="I33" s="372">
        <f t="shared" si="4"/>
        <v>0</v>
      </c>
      <c r="J33" s="372">
        <f t="shared" si="2"/>
        <v>0</v>
      </c>
      <c r="K33" s="489">
        <f t="shared" si="1"/>
        <v>0</v>
      </c>
    </row>
    <row r="34" spans="1:11" ht="22.5" x14ac:dyDescent="0.2">
      <c r="A34" s="373">
        <v>2</v>
      </c>
      <c r="B34" s="374">
        <v>1</v>
      </c>
      <c r="C34" s="374">
        <v>1</v>
      </c>
      <c r="D34" s="374">
        <v>3</v>
      </c>
      <c r="E34" s="374" t="s">
        <v>202</v>
      </c>
      <c r="F34" s="377" t="s">
        <v>72</v>
      </c>
      <c r="G34" s="376"/>
      <c r="H34" s="27"/>
      <c r="I34" s="27"/>
      <c r="J34" s="27">
        <f t="shared" si="2"/>
        <v>0</v>
      </c>
      <c r="K34" s="482">
        <f t="shared" si="1"/>
        <v>0</v>
      </c>
    </row>
    <row r="35" spans="1:11" ht="12.75" x14ac:dyDescent="0.2">
      <c r="A35" s="369">
        <v>2</v>
      </c>
      <c r="B35" s="370">
        <v>1</v>
      </c>
      <c r="C35" s="370">
        <v>1</v>
      </c>
      <c r="D35" s="370">
        <v>4</v>
      </c>
      <c r="E35" s="370"/>
      <c r="F35" s="371" t="s">
        <v>236</v>
      </c>
      <c r="G35" s="372">
        <f>G36</f>
        <v>63984812.729999997</v>
      </c>
      <c r="H35" s="372">
        <f t="shared" ref="H35:K35" si="5">H36</f>
        <v>0</v>
      </c>
      <c r="I35" s="372">
        <f t="shared" si="5"/>
        <v>0</v>
      </c>
      <c r="J35" s="372">
        <f t="shared" si="2"/>
        <v>63984812.729999997</v>
      </c>
      <c r="K35" s="489">
        <f t="shared" si="1"/>
        <v>3.6707027062071969E-2</v>
      </c>
    </row>
    <row r="36" spans="1:11" ht="12.75" x14ac:dyDescent="0.2">
      <c r="A36" s="373">
        <v>2</v>
      </c>
      <c r="B36" s="374">
        <v>1</v>
      </c>
      <c r="C36" s="374">
        <v>1</v>
      </c>
      <c r="D36" s="374">
        <v>4</v>
      </c>
      <c r="E36" s="374" t="s">
        <v>202</v>
      </c>
      <c r="F36" s="377" t="s">
        <v>236</v>
      </c>
      <c r="G36" s="376">
        <v>63984812.729999997</v>
      </c>
      <c r="H36" s="376"/>
      <c r="I36" s="376"/>
      <c r="J36" s="376">
        <f t="shared" si="2"/>
        <v>63984812.729999997</v>
      </c>
      <c r="K36" s="491">
        <f t="shared" si="1"/>
        <v>3.6707027062071969E-2</v>
      </c>
    </row>
    <row r="37" spans="1:11" ht="12.75" x14ac:dyDescent="0.2">
      <c r="A37" s="369">
        <v>2</v>
      </c>
      <c r="B37" s="370">
        <v>1</v>
      </c>
      <c r="C37" s="370">
        <v>1</v>
      </c>
      <c r="D37" s="370">
        <v>5</v>
      </c>
      <c r="E37" s="370"/>
      <c r="F37" s="371" t="s">
        <v>237</v>
      </c>
      <c r="G37" s="372">
        <f>SUM(G38:G41)</f>
        <v>1514231.23</v>
      </c>
      <c r="H37" s="372">
        <f t="shared" ref="H37:K37" si="6">SUM(H38:H41)</f>
        <v>0</v>
      </c>
      <c r="I37" s="372">
        <f t="shared" si="6"/>
        <v>0</v>
      </c>
      <c r="J37" s="372">
        <f t="shared" si="2"/>
        <v>1514231.23</v>
      </c>
      <c r="K37" s="489">
        <f t="shared" si="1"/>
        <v>8.6868937121673939E-4</v>
      </c>
    </row>
    <row r="38" spans="1:11" ht="12.75" x14ac:dyDescent="0.2">
      <c r="A38" s="373">
        <v>2</v>
      </c>
      <c r="B38" s="374">
        <v>1</v>
      </c>
      <c r="C38" s="374">
        <v>1</v>
      </c>
      <c r="D38" s="374">
        <v>5</v>
      </c>
      <c r="E38" s="374" t="s">
        <v>202</v>
      </c>
      <c r="F38" s="381" t="s">
        <v>237</v>
      </c>
      <c r="G38" s="376"/>
      <c r="H38" s="376"/>
      <c r="I38" s="376"/>
      <c r="J38" s="376">
        <f t="shared" si="2"/>
        <v>0</v>
      </c>
      <c r="K38" s="491">
        <f t="shared" si="1"/>
        <v>0</v>
      </c>
    </row>
    <row r="39" spans="1:11" ht="22.5" x14ac:dyDescent="0.2">
      <c r="A39" s="373">
        <v>2</v>
      </c>
      <c r="B39" s="374">
        <v>1</v>
      </c>
      <c r="C39" s="374">
        <v>1</v>
      </c>
      <c r="D39" s="374">
        <v>5</v>
      </c>
      <c r="E39" s="374" t="s">
        <v>203</v>
      </c>
      <c r="F39" s="377" t="s">
        <v>73</v>
      </c>
      <c r="G39" s="376"/>
      <c r="H39" s="376"/>
      <c r="I39" s="376"/>
      <c r="J39" s="376">
        <f t="shared" si="2"/>
        <v>0</v>
      </c>
      <c r="K39" s="491">
        <f t="shared" si="1"/>
        <v>0</v>
      </c>
    </row>
    <row r="40" spans="1:11" ht="12.75" x14ac:dyDescent="0.2">
      <c r="A40" s="373">
        <v>2</v>
      </c>
      <c r="B40" s="374">
        <v>1</v>
      </c>
      <c r="C40" s="374">
        <v>1</v>
      </c>
      <c r="D40" s="374">
        <v>5</v>
      </c>
      <c r="E40" s="374" t="s">
        <v>204</v>
      </c>
      <c r="F40" s="377" t="s">
        <v>238</v>
      </c>
      <c r="G40" s="376">
        <v>907400</v>
      </c>
      <c r="H40" s="376"/>
      <c r="I40" s="376"/>
      <c r="J40" s="376">
        <f t="shared" si="2"/>
        <v>907400</v>
      </c>
      <c r="K40" s="491">
        <f t="shared" si="1"/>
        <v>5.2056034760428844E-4</v>
      </c>
    </row>
    <row r="41" spans="1:11" ht="12.75" x14ac:dyDescent="0.2">
      <c r="A41" s="373">
        <v>2</v>
      </c>
      <c r="B41" s="374">
        <v>1</v>
      </c>
      <c r="C41" s="374">
        <v>1</v>
      </c>
      <c r="D41" s="374">
        <v>5</v>
      </c>
      <c r="E41" s="374" t="s">
        <v>205</v>
      </c>
      <c r="F41" s="377" t="s">
        <v>206</v>
      </c>
      <c r="G41" s="376">
        <v>606831.23</v>
      </c>
      <c r="H41" s="376"/>
      <c r="I41" s="376"/>
      <c r="J41" s="376">
        <f t="shared" si="2"/>
        <v>606831.23</v>
      </c>
      <c r="K41" s="491">
        <f t="shared" si="1"/>
        <v>3.4812902361245089E-4</v>
      </c>
    </row>
    <row r="42" spans="1:11" ht="12.75" x14ac:dyDescent="0.2">
      <c r="A42" s="365">
        <v>2</v>
      </c>
      <c r="B42" s="366">
        <v>1</v>
      </c>
      <c r="C42" s="366">
        <v>2</v>
      </c>
      <c r="D42" s="366"/>
      <c r="E42" s="366"/>
      <c r="F42" s="367" t="s">
        <v>21</v>
      </c>
      <c r="G42" s="368">
        <f>+G43+G45</f>
        <v>118449123.81999999</v>
      </c>
      <c r="H42" s="368">
        <f t="shared" ref="H42:K42" si="7">+H43+H45</f>
        <v>0</v>
      </c>
      <c r="I42" s="368">
        <f t="shared" si="7"/>
        <v>0</v>
      </c>
      <c r="J42" s="368">
        <f t="shared" si="2"/>
        <v>118449123.81999999</v>
      </c>
      <c r="K42" s="492">
        <f t="shared" si="1"/>
        <v>6.795230005417964E-2</v>
      </c>
    </row>
    <row r="43" spans="1:11" ht="12.75" x14ac:dyDescent="0.2">
      <c r="A43" s="369">
        <v>2</v>
      </c>
      <c r="B43" s="370">
        <v>1</v>
      </c>
      <c r="C43" s="370">
        <v>2</v>
      </c>
      <c r="D43" s="370">
        <v>1</v>
      </c>
      <c r="E43" s="370"/>
      <c r="F43" s="371" t="s">
        <v>74</v>
      </c>
      <c r="G43" s="372">
        <f>G44</f>
        <v>34558724.880000003</v>
      </c>
      <c r="H43" s="372">
        <f t="shared" ref="H43:K43" si="8">H44</f>
        <v>0</v>
      </c>
      <c r="I43" s="372">
        <f t="shared" si="8"/>
        <v>0</v>
      </c>
      <c r="J43" s="372">
        <f t="shared" si="2"/>
        <v>34558724.880000003</v>
      </c>
      <c r="K43" s="489">
        <f t="shared" si="1"/>
        <v>1.9825767948307003E-2</v>
      </c>
    </row>
    <row r="44" spans="1:11" ht="12.75" x14ac:dyDescent="0.2">
      <c r="A44" s="373">
        <v>2</v>
      </c>
      <c r="B44" s="374">
        <v>1</v>
      </c>
      <c r="C44" s="374">
        <v>2</v>
      </c>
      <c r="D44" s="374">
        <v>1</v>
      </c>
      <c r="E44" s="374" t="s">
        <v>202</v>
      </c>
      <c r="F44" s="377" t="s">
        <v>74</v>
      </c>
      <c r="G44" s="376">
        <v>34558724.880000003</v>
      </c>
      <c r="H44" s="27"/>
      <c r="I44" s="27"/>
      <c r="J44" s="27">
        <f t="shared" si="2"/>
        <v>34558724.880000003</v>
      </c>
      <c r="K44" s="482">
        <f t="shared" si="1"/>
        <v>1.9825767948307003E-2</v>
      </c>
    </row>
    <row r="45" spans="1:11" ht="12.75" x14ac:dyDescent="0.2">
      <c r="A45" s="369">
        <v>2</v>
      </c>
      <c r="B45" s="370">
        <v>1</v>
      </c>
      <c r="C45" s="370">
        <v>2</v>
      </c>
      <c r="D45" s="370">
        <v>2</v>
      </c>
      <c r="E45" s="370"/>
      <c r="F45" s="371" t="s">
        <v>75</v>
      </c>
      <c r="G45" s="372">
        <f>SUM(G46:G53)</f>
        <v>83890398.939999998</v>
      </c>
      <c r="H45" s="372">
        <f t="shared" ref="H45:K45" si="9">SUM(H46:H53)</f>
        <v>0</v>
      </c>
      <c r="I45" s="372">
        <f t="shared" si="9"/>
        <v>0</v>
      </c>
      <c r="J45" s="372">
        <f t="shared" si="2"/>
        <v>83890398.939999998</v>
      </c>
      <c r="K45" s="489">
        <f t="shared" si="1"/>
        <v>4.812653210587263E-2</v>
      </c>
    </row>
    <row r="46" spans="1:11" ht="33.75" x14ac:dyDescent="0.2">
      <c r="A46" s="373">
        <v>2</v>
      </c>
      <c r="B46" s="374">
        <v>1</v>
      </c>
      <c r="C46" s="374">
        <v>2</v>
      </c>
      <c r="D46" s="374">
        <v>2</v>
      </c>
      <c r="E46" s="374" t="s">
        <v>204</v>
      </c>
      <c r="F46" s="377" t="s">
        <v>76</v>
      </c>
      <c r="G46" s="376"/>
      <c r="H46" s="376"/>
      <c r="I46" s="376"/>
      <c r="J46" s="376">
        <f t="shared" si="2"/>
        <v>0</v>
      </c>
      <c r="K46" s="491">
        <f t="shared" si="1"/>
        <v>0</v>
      </c>
    </row>
    <row r="47" spans="1:11" ht="12.75" x14ac:dyDescent="0.2">
      <c r="A47" s="373">
        <v>2</v>
      </c>
      <c r="B47" s="374">
        <v>1</v>
      </c>
      <c r="C47" s="374">
        <v>2</v>
      </c>
      <c r="D47" s="374">
        <v>2</v>
      </c>
      <c r="E47" s="374" t="s">
        <v>205</v>
      </c>
      <c r="F47" s="377" t="s">
        <v>77</v>
      </c>
      <c r="G47" s="376"/>
      <c r="H47" s="376"/>
      <c r="I47" s="376"/>
      <c r="J47" s="376">
        <f t="shared" si="2"/>
        <v>0</v>
      </c>
      <c r="K47" s="491">
        <f t="shared" si="1"/>
        <v>0</v>
      </c>
    </row>
    <row r="48" spans="1:11" ht="12.75" x14ac:dyDescent="0.2">
      <c r="A48" s="373">
        <v>2</v>
      </c>
      <c r="B48" s="374">
        <v>1</v>
      </c>
      <c r="C48" s="374">
        <v>2</v>
      </c>
      <c r="D48" s="374">
        <v>2</v>
      </c>
      <c r="E48" s="374" t="s">
        <v>208</v>
      </c>
      <c r="F48" s="377" t="s">
        <v>78</v>
      </c>
      <c r="G48" s="376">
        <v>540000</v>
      </c>
      <c r="H48" s="376"/>
      <c r="I48" s="376"/>
      <c r="J48" s="376">
        <f t="shared" si="2"/>
        <v>540000</v>
      </c>
      <c r="K48" s="491">
        <f t="shared" si="1"/>
        <v>3.0978905411760611E-4</v>
      </c>
    </row>
    <row r="49" spans="1:11" ht="12.75" x14ac:dyDescent="0.2">
      <c r="A49" s="373">
        <v>2</v>
      </c>
      <c r="B49" s="374">
        <v>1</v>
      </c>
      <c r="C49" s="374">
        <v>2</v>
      </c>
      <c r="D49" s="374">
        <v>2</v>
      </c>
      <c r="E49" s="374" t="s">
        <v>233</v>
      </c>
      <c r="F49" s="377" t="s">
        <v>980</v>
      </c>
      <c r="G49" s="376">
        <v>9283645</v>
      </c>
      <c r="H49" s="376"/>
      <c r="I49" s="376"/>
      <c r="J49" s="376">
        <f t="shared" si="2"/>
        <v>9283645</v>
      </c>
      <c r="K49" s="491">
        <f t="shared" si="1"/>
        <v>5.3258733394697102E-3</v>
      </c>
    </row>
    <row r="50" spans="1:11" ht="12.75" x14ac:dyDescent="0.2">
      <c r="A50" s="373">
        <v>2</v>
      </c>
      <c r="B50" s="374">
        <v>1</v>
      </c>
      <c r="C50" s="374">
        <v>2</v>
      </c>
      <c r="D50" s="374">
        <v>2</v>
      </c>
      <c r="E50" s="374" t="s">
        <v>235</v>
      </c>
      <c r="F50" s="377" t="s">
        <v>79</v>
      </c>
      <c r="G50" s="376"/>
      <c r="H50" s="376"/>
      <c r="I50" s="376"/>
      <c r="J50" s="376">
        <f t="shared" si="2"/>
        <v>0</v>
      </c>
      <c r="K50" s="491">
        <f t="shared" si="1"/>
        <v>0</v>
      </c>
    </row>
    <row r="51" spans="1:11" ht="12.75" x14ac:dyDescent="0.2">
      <c r="A51" s="373">
        <v>2</v>
      </c>
      <c r="B51" s="374">
        <v>1</v>
      </c>
      <c r="C51" s="374">
        <v>2</v>
      </c>
      <c r="D51" s="374">
        <v>2</v>
      </c>
      <c r="E51" s="374" t="s">
        <v>239</v>
      </c>
      <c r="F51" s="377" t="s">
        <v>80</v>
      </c>
      <c r="G51" s="376">
        <v>4050399</v>
      </c>
      <c r="H51" s="376"/>
      <c r="I51" s="376"/>
      <c r="J51" s="376">
        <f t="shared" si="2"/>
        <v>4050399</v>
      </c>
      <c r="K51" s="491">
        <f t="shared" si="1"/>
        <v>2.3236468055720326E-3</v>
      </c>
    </row>
    <row r="52" spans="1:11" ht="12.75" x14ac:dyDescent="0.2">
      <c r="A52" s="373">
        <v>2</v>
      </c>
      <c r="B52" s="374">
        <v>1</v>
      </c>
      <c r="C52" s="374">
        <v>2</v>
      </c>
      <c r="D52" s="374">
        <v>2</v>
      </c>
      <c r="E52" s="374" t="s">
        <v>240</v>
      </c>
      <c r="F52" s="377" t="s">
        <v>81</v>
      </c>
      <c r="G52" s="376">
        <v>462506</v>
      </c>
      <c r="H52" s="376"/>
      <c r="I52" s="376"/>
      <c r="J52" s="376">
        <f t="shared" si="2"/>
        <v>462506</v>
      </c>
      <c r="K52" s="491">
        <f t="shared" si="1"/>
        <v>2.6533203011799541E-4</v>
      </c>
    </row>
    <row r="53" spans="1:11" ht="22.5" x14ac:dyDescent="0.2">
      <c r="A53" s="373">
        <v>2</v>
      </c>
      <c r="B53" s="374">
        <v>1</v>
      </c>
      <c r="C53" s="374">
        <v>2</v>
      </c>
      <c r="D53" s="374">
        <v>2</v>
      </c>
      <c r="E53" s="374" t="s">
        <v>241</v>
      </c>
      <c r="F53" s="377" t="s">
        <v>981</v>
      </c>
      <c r="G53" s="376">
        <v>69553848.939999998</v>
      </c>
      <c r="H53" s="376"/>
      <c r="I53" s="376"/>
      <c r="J53" s="376">
        <f t="shared" si="2"/>
        <v>69553848.939999998</v>
      </c>
      <c r="K53" s="491">
        <f t="shared" si="1"/>
        <v>3.9901890876595299E-2</v>
      </c>
    </row>
    <row r="54" spans="1:11" ht="12.75" x14ac:dyDescent="0.2">
      <c r="A54" s="365">
        <v>2</v>
      </c>
      <c r="B54" s="366">
        <v>1</v>
      </c>
      <c r="C54" s="366">
        <v>3</v>
      </c>
      <c r="D54" s="366"/>
      <c r="E54" s="366"/>
      <c r="F54" s="367" t="s">
        <v>35</v>
      </c>
      <c r="G54" s="368">
        <f>+G55</f>
        <v>0</v>
      </c>
      <c r="H54" s="368">
        <f t="shared" ref="H54:K54" si="10">+H55</f>
        <v>0</v>
      </c>
      <c r="I54" s="368">
        <f t="shared" si="10"/>
        <v>0</v>
      </c>
      <c r="J54" s="368">
        <f t="shared" si="2"/>
        <v>0</v>
      </c>
      <c r="K54" s="492">
        <f t="shared" si="1"/>
        <v>0</v>
      </c>
    </row>
    <row r="55" spans="1:11" ht="12.75" x14ac:dyDescent="0.2">
      <c r="A55" s="369">
        <v>2</v>
      </c>
      <c r="B55" s="370">
        <v>1</v>
      </c>
      <c r="C55" s="370">
        <v>3</v>
      </c>
      <c r="D55" s="370">
        <v>2</v>
      </c>
      <c r="E55" s="370"/>
      <c r="F55" s="382" t="s">
        <v>82</v>
      </c>
      <c r="G55" s="372">
        <f>SUM(G56:G57)</f>
        <v>0</v>
      </c>
      <c r="H55" s="372">
        <f t="shared" ref="H55:J55" si="11">SUM(H56:H57)</f>
        <v>0</v>
      </c>
      <c r="I55" s="372">
        <f t="shared" si="11"/>
        <v>0</v>
      </c>
      <c r="J55" s="372">
        <f t="shared" si="2"/>
        <v>0</v>
      </c>
      <c r="K55" s="489">
        <f t="shared" si="1"/>
        <v>0</v>
      </c>
    </row>
    <row r="56" spans="1:11" ht="12.75" x14ac:dyDescent="0.2">
      <c r="A56" s="373">
        <v>2</v>
      </c>
      <c r="B56" s="374">
        <v>1</v>
      </c>
      <c r="C56" s="374">
        <v>3</v>
      </c>
      <c r="D56" s="374">
        <v>2</v>
      </c>
      <c r="E56" s="374" t="s">
        <v>202</v>
      </c>
      <c r="F56" s="377" t="s">
        <v>83</v>
      </c>
      <c r="G56" s="376"/>
      <c r="H56" s="27"/>
      <c r="I56" s="27"/>
      <c r="J56" s="27">
        <f t="shared" si="2"/>
        <v>0</v>
      </c>
      <c r="K56" s="482">
        <f t="shared" si="1"/>
        <v>0</v>
      </c>
    </row>
    <row r="57" spans="1:11" ht="12.75" x14ac:dyDescent="0.2">
      <c r="A57" s="373">
        <v>2</v>
      </c>
      <c r="B57" s="374">
        <v>1</v>
      </c>
      <c r="C57" s="374">
        <v>3</v>
      </c>
      <c r="D57" s="374">
        <v>2</v>
      </c>
      <c r="E57" s="374" t="s">
        <v>203</v>
      </c>
      <c r="F57" s="377" t="s">
        <v>84</v>
      </c>
      <c r="G57" s="376"/>
      <c r="H57" s="27"/>
      <c r="I57" s="27"/>
      <c r="J57" s="27">
        <f t="shared" si="2"/>
        <v>0</v>
      </c>
      <c r="K57" s="482">
        <f t="shared" si="1"/>
        <v>0</v>
      </c>
    </row>
    <row r="58" spans="1:11" ht="22.5" x14ac:dyDescent="0.2">
      <c r="A58" s="365">
        <v>2</v>
      </c>
      <c r="B58" s="366">
        <v>1</v>
      </c>
      <c r="C58" s="366">
        <v>5</v>
      </c>
      <c r="D58" s="366"/>
      <c r="E58" s="366"/>
      <c r="F58" s="367" t="s">
        <v>242</v>
      </c>
      <c r="G58" s="368">
        <f>G59+G61+G63+G65</f>
        <v>113490591.41</v>
      </c>
      <c r="H58" s="368">
        <f t="shared" ref="H58:K58" si="12">H59+H61+H63+H65</f>
        <v>0</v>
      </c>
      <c r="I58" s="368">
        <f t="shared" si="12"/>
        <v>0</v>
      </c>
      <c r="J58" s="368">
        <f t="shared" si="2"/>
        <v>113490591.41</v>
      </c>
      <c r="K58" s="492">
        <f t="shared" si="1"/>
        <v>6.5107672155836321E-2</v>
      </c>
    </row>
    <row r="59" spans="1:11" ht="12.75" x14ac:dyDescent="0.2">
      <c r="A59" s="369">
        <v>2</v>
      </c>
      <c r="B59" s="370">
        <v>1</v>
      </c>
      <c r="C59" s="370">
        <v>5</v>
      </c>
      <c r="D59" s="370">
        <v>1</v>
      </c>
      <c r="E59" s="370"/>
      <c r="F59" s="371" t="s">
        <v>85</v>
      </c>
      <c r="G59" s="372">
        <f>G60</f>
        <v>52327390.359999999</v>
      </c>
      <c r="H59" s="372">
        <f t="shared" ref="H59:K59" si="13">H60</f>
        <v>0</v>
      </c>
      <c r="I59" s="372">
        <f t="shared" si="13"/>
        <v>0</v>
      </c>
      <c r="J59" s="372">
        <f t="shared" si="2"/>
        <v>52327390.359999999</v>
      </c>
      <c r="K59" s="489">
        <f t="shared" si="1"/>
        <v>3.0019356970494702E-2</v>
      </c>
    </row>
    <row r="60" spans="1:11" ht="12.75" x14ac:dyDescent="0.2">
      <c r="A60" s="373">
        <v>2</v>
      </c>
      <c r="B60" s="374">
        <v>1</v>
      </c>
      <c r="C60" s="374">
        <v>5</v>
      </c>
      <c r="D60" s="374">
        <v>1</v>
      </c>
      <c r="E60" s="374" t="s">
        <v>202</v>
      </c>
      <c r="F60" s="377" t="s">
        <v>85</v>
      </c>
      <c r="G60" s="376">
        <v>52327390.359999999</v>
      </c>
      <c r="H60" s="27"/>
      <c r="I60" s="27"/>
      <c r="J60" s="27">
        <f t="shared" si="2"/>
        <v>52327390.359999999</v>
      </c>
      <c r="K60" s="482">
        <f t="shared" si="1"/>
        <v>3.0019356970494702E-2</v>
      </c>
    </row>
    <row r="61" spans="1:11" ht="12.75" x14ac:dyDescent="0.2">
      <c r="A61" s="369">
        <v>2</v>
      </c>
      <c r="B61" s="370">
        <v>1</v>
      </c>
      <c r="C61" s="370">
        <v>5</v>
      </c>
      <c r="D61" s="370">
        <v>2</v>
      </c>
      <c r="E61" s="370"/>
      <c r="F61" s="382" t="s">
        <v>86</v>
      </c>
      <c r="G61" s="372">
        <f>G62</f>
        <v>52327390.359999999</v>
      </c>
      <c r="H61" s="30">
        <f>H62</f>
        <v>0</v>
      </c>
      <c r="I61" s="30">
        <f>I62</f>
        <v>0</v>
      </c>
      <c r="J61" s="30">
        <f t="shared" si="2"/>
        <v>52327390.359999999</v>
      </c>
      <c r="K61" s="481">
        <f t="shared" si="1"/>
        <v>3.0019356970494702E-2</v>
      </c>
    </row>
    <row r="62" spans="1:11" ht="12.75" x14ac:dyDescent="0.2">
      <c r="A62" s="373">
        <v>2</v>
      </c>
      <c r="B62" s="374">
        <v>1</v>
      </c>
      <c r="C62" s="374">
        <v>5</v>
      </c>
      <c r="D62" s="374">
        <v>2</v>
      </c>
      <c r="E62" s="374" t="s">
        <v>202</v>
      </c>
      <c r="F62" s="377" t="s">
        <v>86</v>
      </c>
      <c r="G62" s="376">
        <v>52327390.359999999</v>
      </c>
      <c r="H62" s="27"/>
      <c r="I62" s="27"/>
      <c r="J62" s="27">
        <f t="shared" si="2"/>
        <v>52327390.359999999</v>
      </c>
      <c r="K62" s="482">
        <f t="shared" si="1"/>
        <v>3.0019356970494702E-2</v>
      </c>
    </row>
    <row r="63" spans="1:11" ht="12.75" x14ac:dyDescent="0.2">
      <c r="A63" s="369">
        <v>2</v>
      </c>
      <c r="B63" s="370">
        <v>1</v>
      </c>
      <c r="C63" s="370">
        <v>5</v>
      </c>
      <c r="D63" s="370">
        <v>3</v>
      </c>
      <c r="E63" s="370"/>
      <c r="F63" s="382" t="s">
        <v>87</v>
      </c>
      <c r="G63" s="372">
        <f>G64</f>
        <v>8835810.6899999995</v>
      </c>
      <c r="H63" s="372">
        <f t="shared" ref="H63:K63" si="14">H64</f>
        <v>0</v>
      </c>
      <c r="I63" s="372">
        <f t="shared" si="14"/>
        <v>0</v>
      </c>
      <c r="J63" s="372">
        <f t="shared" si="2"/>
        <v>8835810.6899999995</v>
      </c>
      <c r="K63" s="489">
        <f t="shared" si="1"/>
        <v>5.068958214846913E-3</v>
      </c>
    </row>
    <row r="64" spans="1:11" ht="12.75" x14ac:dyDescent="0.2">
      <c r="A64" s="373">
        <v>2</v>
      </c>
      <c r="B64" s="374">
        <v>1</v>
      </c>
      <c r="C64" s="374">
        <v>5</v>
      </c>
      <c r="D64" s="374">
        <v>3</v>
      </c>
      <c r="E64" s="374" t="s">
        <v>202</v>
      </c>
      <c r="F64" s="377" t="s">
        <v>87</v>
      </c>
      <c r="G64" s="376">
        <v>8835810.6899999995</v>
      </c>
      <c r="H64" s="376"/>
      <c r="I64" s="376"/>
      <c r="J64" s="376">
        <f t="shared" si="2"/>
        <v>8835810.6899999995</v>
      </c>
      <c r="K64" s="491">
        <f t="shared" si="1"/>
        <v>5.068958214846913E-3</v>
      </c>
    </row>
    <row r="65" spans="1:11" ht="22.5" x14ac:dyDescent="0.2">
      <c r="A65" s="369">
        <v>2</v>
      </c>
      <c r="B65" s="370">
        <v>1</v>
      </c>
      <c r="C65" s="370">
        <v>5</v>
      </c>
      <c r="D65" s="370">
        <v>4</v>
      </c>
      <c r="E65" s="370"/>
      <c r="F65" s="382" t="s">
        <v>88</v>
      </c>
      <c r="G65" s="372">
        <f>G66</f>
        <v>0</v>
      </c>
      <c r="H65" s="372">
        <f t="shared" ref="H65:K65" si="15">H66</f>
        <v>0</v>
      </c>
      <c r="I65" s="372">
        <f t="shared" si="15"/>
        <v>0</v>
      </c>
      <c r="J65" s="372">
        <f t="shared" si="2"/>
        <v>0</v>
      </c>
      <c r="K65" s="489">
        <f t="shared" si="1"/>
        <v>0</v>
      </c>
    </row>
    <row r="66" spans="1:11" ht="22.5" x14ac:dyDescent="0.2">
      <c r="A66" s="373">
        <v>2</v>
      </c>
      <c r="B66" s="374">
        <v>1</v>
      </c>
      <c r="C66" s="374">
        <v>5</v>
      </c>
      <c r="D66" s="374">
        <v>4</v>
      </c>
      <c r="E66" s="374" t="s">
        <v>202</v>
      </c>
      <c r="F66" s="377" t="s">
        <v>88</v>
      </c>
      <c r="G66" s="376"/>
      <c r="H66" s="27"/>
      <c r="I66" s="27"/>
      <c r="J66" s="27">
        <f t="shared" si="2"/>
        <v>0</v>
      </c>
      <c r="K66" s="482">
        <f t="shared" si="1"/>
        <v>0</v>
      </c>
    </row>
    <row r="67" spans="1:11" ht="12.75" x14ac:dyDescent="0.2">
      <c r="A67" s="361">
        <v>2</v>
      </c>
      <c r="B67" s="362">
        <v>2</v>
      </c>
      <c r="C67" s="362"/>
      <c r="D67" s="362"/>
      <c r="E67" s="362"/>
      <c r="F67" s="363" t="s">
        <v>243</v>
      </c>
      <c r="G67" s="364">
        <f>+G68+G82+G87+G92+G99+G116+G125+G143</f>
        <v>47730529.359999895</v>
      </c>
      <c r="H67" s="364">
        <f>+H68+H82+H87+H92+H99+H116+H125+H143+H167</f>
        <v>24952182.489999998</v>
      </c>
      <c r="I67" s="364">
        <f t="shared" ref="H67:K67" si="16">+I68+I82+I87+I92+I99+I116+I125+I143</f>
        <v>0</v>
      </c>
      <c r="J67" s="364">
        <f t="shared" si="2"/>
        <v>72682711.84999989</v>
      </c>
      <c r="K67" s="493">
        <f t="shared" si="1"/>
        <v>4.1696867693914792E-2</v>
      </c>
    </row>
    <row r="68" spans="1:11" ht="12.75" x14ac:dyDescent="0.2">
      <c r="A68" s="365">
        <v>2</v>
      </c>
      <c r="B68" s="366">
        <v>2</v>
      </c>
      <c r="C68" s="366">
        <v>1</v>
      </c>
      <c r="D68" s="366"/>
      <c r="E68" s="366"/>
      <c r="F68" s="367" t="s">
        <v>22</v>
      </c>
      <c r="G68" s="368">
        <f>+G69+G71+G73+G75+G78+G80</f>
        <v>0</v>
      </c>
      <c r="H68" s="368">
        <f>+H69+H71+H73+H75+H78+H80</f>
        <v>3804000</v>
      </c>
      <c r="I68" s="368">
        <f t="shared" ref="H68:K68" si="17">+I69+I71+I73+I75+I78+I80</f>
        <v>0</v>
      </c>
      <c r="J68" s="368">
        <f t="shared" si="2"/>
        <v>3804000</v>
      </c>
      <c r="K68" s="492">
        <f t="shared" si="1"/>
        <v>2.1822917812284698E-3</v>
      </c>
    </row>
    <row r="69" spans="1:11" ht="12.75" x14ac:dyDescent="0.2">
      <c r="A69" s="369">
        <v>2</v>
      </c>
      <c r="B69" s="370">
        <v>2</v>
      </c>
      <c r="C69" s="370">
        <v>1</v>
      </c>
      <c r="D69" s="370">
        <v>2</v>
      </c>
      <c r="E69" s="370"/>
      <c r="F69" s="371" t="s">
        <v>89</v>
      </c>
      <c r="G69" s="372">
        <f>G70</f>
        <v>0</v>
      </c>
      <c r="H69" s="372">
        <f t="shared" ref="H69:K69" si="18">H70</f>
        <v>0</v>
      </c>
      <c r="I69" s="372">
        <f t="shared" si="18"/>
        <v>0</v>
      </c>
      <c r="J69" s="372">
        <f t="shared" si="2"/>
        <v>0</v>
      </c>
      <c r="K69" s="489">
        <f t="shared" si="1"/>
        <v>0</v>
      </c>
    </row>
    <row r="70" spans="1:11" ht="12.75" x14ac:dyDescent="0.2">
      <c r="A70" s="373">
        <v>2</v>
      </c>
      <c r="B70" s="374">
        <v>2</v>
      </c>
      <c r="C70" s="374">
        <v>1</v>
      </c>
      <c r="D70" s="374">
        <v>2</v>
      </c>
      <c r="E70" s="374" t="s">
        <v>202</v>
      </c>
      <c r="F70" s="377" t="s">
        <v>89</v>
      </c>
      <c r="G70" s="376"/>
      <c r="H70" s="376"/>
      <c r="I70" s="376"/>
      <c r="J70" s="376">
        <f t="shared" si="2"/>
        <v>0</v>
      </c>
      <c r="K70" s="491">
        <f t="shared" si="1"/>
        <v>0</v>
      </c>
    </row>
    <row r="71" spans="1:11" ht="12.75" x14ac:dyDescent="0.2">
      <c r="A71" s="369">
        <v>2</v>
      </c>
      <c r="B71" s="370">
        <v>2</v>
      </c>
      <c r="C71" s="370">
        <v>1</v>
      </c>
      <c r="D71" s="370">
        <v>3</v>
      </c>
      <c r="E71" s="370"/>
      <c r="F71" s="371" t="s">
        <v>90</v>
      </c>
      <c r="G71" s="372">
        <f>G72</f>
        <v>0</v>
      </c>
      <c r="H71" s="372">
        <f t="shared" ref="H71:K71" si="19">H72</f>
        <v>2724000</v>
      </c>
      <c r="I71" s="372">
        <f t="shared" si="19"/>
        <v>0</v>
      </c>
      <c r="J71" s="372">
        <f t="shared" si="2"/>
        <v>2724000</v>
      </c>
      <c r="K71" s="489">
        <f t="shared" si="1"/>
        <v>1.5627136729932576E-3</v>
      </c>
    </row>
    <row r="72" spans="1:11" ht="12.75" x14ac:dyDescent="0.2">
      <c r="A72" s="373">
        <v>2</v>
      </c>
      <c r="B72" s="374">
        <v>2</v>
      </c>
      <c r="C72" s="374">
        <v>1</v>
      </c>
      <c r="D72" s="374">
        <v>3</v>
      </c>
      <c r="E72" s="374" t="s">
        <v>202</v>
      </c>
      <c r="F72" s="377" t="s">
        <v>90</v>
      </c>
      <c r="G72" s="376"/>
      <c r="H72" s="27">
        <v>2724000</v>
      </c>
      <c r="I72" s="27"/>
      <c r="J72" s="27">
        <f t="shared" si="2"/>
        <v>2724000</v>
      </c>
      <c r="K72" s="482">
        <f t="shared" si="1"/>
        <v>1.5627136729932576E-3</v>
      </c>
    </row>
    <row r="73" spans="1:11" ht="12.75" x14ac:dyDescent="0.2">
      <c r="A73" s="369">
        <v>2</v>
      </c>
      <c r="B73" s="370">
        <v>2</v>
      </c>
      <c r="C73" s="370">
        <v>1</v>
      </c>
      <c r="D73" s="370">
        <v>5</v>
      </c>
      <c r="E73" s="370"/>
      <c r="F73" s="371" t="s">
        <v>91</v>
      </c>
      <c r="G73" s="372">
        <f>G74</f>
        <v>0</v>
      </c>
      <c r="H73" s="372">
        <f t="shared" ref="H73:K73" si="20">H74</f>
        <v>0</v>
      </c>
      <c r="I73" s="372">
        <f t="shared" si="20"/>
        <v>0</v>
      </c>
      <c r="J73" s="372">
        <f t="shared" si="2"/>
        <v>0</v>
      </c>
      <c r="K73" s="489">
        <f t="shared" si="1"/>
        <v>0</v>
      </c>
    </row>
    <row r="74" spans="1:11" ht="12.75" x14ac:dyDescent="0.2">
      <c r="A74" s="373">
        <v>2</v>
      </c>
      <c r="B74" s="374">
        <v>2</v>
      </c>
      <c r="C74" s="374">
        <v>1</v>
      </c>
      <c r="D74" s="374">
        <v>5</v>
      </c>
      <c r="E74" s="374" t="s">
        <v>202</v>
      </c>
      <c r="F74" s="377" t="s">
        <v>91</v>
      </c>
      <c r="G74" s="376"/>
      <c r="H74" s="27"/>
      <c r="I74" s="27"/>
      <c r="J74" s="27">
        <f t="shared" si="2"/>
        <v>0</v>
      </c>
      <c r="K74" s="482">
        <f t="shared" si="1"/>
        <v>0</v>
      </c>
    </row>
    <row r="75" spans="1:11" ht="12.75" x14ac:dyDescent="0.2">
      <c r="A75" s="369">
        <v>2</v>
      </c>
      <c r="B75" s="370">
        <v>2</v>
      </c>
      <c r="C75" s="370">
        <v>1</v>
      </c>
      <c r="D75" s="370">
        <v>6</v>
      </c>
      <c r="E75" s="370"/>
      <c r="F75" s="371" t="s">
        <v>23</v>
      </c>
      <c r="G75" s="372">
        <f>G76+G77</f>
        <v>0</v>
      </c>
      <c r="H75" s="372">
        <f t="shared" ref="H75:K75" si="21">H76+H77</f>
        <v>0</v>
      </c>
      <c r="I75" s="372">
        <f t="shared" si="21"/>
        <v>0</v>
      </c>
      <c r="J75" s="372">
        <f t="shared" si="2"/>
        <v>0</v>
      </c>
      <c r="K75" s="489">
        <f t="shared" si="1"/>
        <v>0</v>
      </c>
    </row>
    <row r="76" spans="1:11" ht="12.75" x14ac:dyDescent="0.2">
      <c r="A76" s="373">
        <v>2</v>
      </c>
      <c r="B76" s="374">
        <v>2</v>
      </c>
      <c r="C76" s="374">
        <v>1</v>
      </c>
      <c r="D76" s="374">
        <v>6</v>
      </c>
      <c r="E76" s="374" t="s">
        <v>202</v>
      </c>
      <c r="F76" s="377" t="s">
        <v>92</v>
      </c>
      <c r="G76" s="383"/>
      <c r="H76" s="27"/>
      <c r="I76" s="27"/>
      <c r="J76" s="27">
        <f t="shared" si="2"/>
        <v>0</v>
      </c>
      <c r="K76" s="482">
        <f t="shared" si="1"/>
        <v>0</v>
      </c>
    </row>
    <row r="77" spans="1:11" ht="12.75" x14ac:dyDescent="0.2">
      <c r="A77" s="373">
        <v>2</v>
      </c>
      <c r="B77" s="374">
        <v>2</v>
      </c>
      <c r="C77" s="374">
        <v>1</v>
      </c>
      <c r="D77" s="374">
        <v>6</v>
      </c>
      <c r="E77" s="374" t="s">
        <v>203</v>
      </c>
      <c r="F77" s="377" t="s">
        <v>93</v>
      </c>
      <c r="G77" s="383"/>
      <c r="H77" s="27"/>
      <c r="I77" s="27"/>
      <c r="J77" s="27">
        <f t="shared" si="2"/>
        <v>0</v>
      </c>
      <c r="K77" s="482">
        <f t="shared" si="1"/>
        <v>0</v>
      </c>
    </row>
    <row r="78" spans="1:11" ht="12.75" x14ac:dyDescent="0.2">
      <c r="A78" s="369">
        <v>2</v>
      </c>
      <c r="B78" s="370">
        <v>2</v>
      </c>
      <c r="C78" s="370">
        <v>1</v>
      </c>
      <c r="D78" s="370">
        <v>7</v>
      </c>
      <c r="E78" s="370"/>
      <c r="F78" s="371" t="s">
        <v>24</v>
      </c>
      <c r="G78" s="372">
        <f>G79</f>
        <v>0</v>
      </c>
      <c r="H78" s="372">
        <f t="shared" ref="H78:K78" si="22">H79</f>
        <v>780000</v>
      </c>
      <c r="I78" s="372">
        <f t="shared" si="22"/>
        <v>0</v>
      </c>
      <c r="J78" s="372">
        <f t="shared" si="2"/>
        <v>780000</v>
      </c>
      <c r="K78" s="489">
        <f t="shared" si="1"/>
        <v>4.4747307816987556E-4</v>
      </c>
    </row>
    <row r="79" spans="1:11" ht="12.75" x14ac:dyDescent="0.2">
      <c r="A79" s="373">
        <v>2</v>
      </c>
      <c r="B79" s="374">
        <v>2</v>
      </c>
      <c r="C79" s="374">
        <v>1</v>
      </c>
      <c r="D79" s="374">
        <v>7</v>
      </c>
      <c r="E79" s="374" t="s">
        <v>202</v>
      </c>
      <c r="F79" s="377" t="s">
        <v>24</v>
      </c>
      <c r="G79" s="376"/>
      <c r="H79" s="356">
        <v>780000</v>
      </c>
      <c r="I79" s="356"/>
      <c r="J79" s="356">
        <f t="shared" si="2"/>
        <v>780000</v>
      </c>
      <c r="K79" s="490">
        <f t="shared" si="1"/>
        <v>4.4747307816987556E-4</v>
      </c>
    </row>
    <row r="80" spans="1:11" ht="12.75" x14ac:dyDescent="0.2">
      <c r="A80" s="369">
        <v>2</v>
      </c>
      <c r="B80" s="370">
        <v>2</v>
      </c>
      <c r="C80" s="370">
        <v>1</v>
      </c>
      <c r="D80" s="370">
        <v>8</v>
      </c>
      <c r="E80" s="370"/>
      <c r="F80" s="371" t="s">
        <v>94</v>
      </c>
      <c r="G80" s="372">
        <f>G81</f>
        <v>0</v>
      </c>
      <c r="H80" s="372">
        <f t="shared" ref="H80:K80" si="23">H81</f>
        <v>300000</v>
      </c>
      <c r="I80" s="372">
        <f t="shared" si="23"/>
        <v>0</v>
      </c>
      <c r="J80" s="372">
        <f t="shared" si="2"/>
        <v>300000</v>
      </c>
      <c r="K80" s="489">
        <f t="shared" si="1"/>
        <v>1.721050300653367E-4</v>
      </c>
    </row>
    <row r="81" spans="1:11" ht="12.75" x14ac:dyDescent="0.2">
      <c r="A81" s="373">
        <v>2</v>
      </c>
      <c r="B81" s="374">
        <v>2</v>
      </c>
      <c r="C81" s="374">
        <v>1</v>
      </c>
      <c r="D81" s="374">
        <v>8</v>
      </c>
      <c r="E81" s="374" t="s">
        <v>202</v>
      </c>
      <c r="F81" s="377" t="s">
        <v>94</v>
      </c>
      <c r="G81" s="376"/>
      <c r="H81" s="30">
        <v>300000</v>
      </c>
      <c r="I81" s="30"/>
      <c r="J81" s="30">
        <f t="shared" si="2"/>
        <v>300000</v>
      </c>
      <c r="K81" s="481">
        <f t="shared" si="1"/>
        <v>1.721050300653367E-4</v>
      </c>
    </row>
    <row r="82" spans="1:11" ht="12.75" x14ac:dyDescent="0.2">
      <c r="A82" s="365">
        <v>2</v>
      </c>
      <c r="B82" s="366">
        <v>2</v>
      </c>
      <c r="C82" s="366">
        <v>2</v>
      </c>
      <c r="D82" s="366"/>
      <c r="E82" s="366"/>
      <c r="F82" s="367" t="s">
        <v>244</v>
      </c>
      <c r="G82" s="368">
        <f>+G83+G85</f>
        <v>0</v>
      </c>
      <c r="H82" s="368">
        <f>+H83+H85</f>
        <v>0</v>
      </c>
      <c r="I82" s="368">
        <f t="shared" ref="H82:K82" si="24">+I83+I85</f>
        <v>0</v>
      </c>
      <c r="J82" s="368">
        <f t="shared" si="2"/>
        <v>0</v>
      </c>
      <c r="K82" s="492">
        <f t="shared" ref="K82:K145" si="25">IFERROR(J82/$J$18*100,"0.00")/100</f>
        <v>0</v>
      </c>
    </row>
    <row r="83" spans="1:11" ht="12.75" x14ac:dyDescent="0.2">
      <c r="A83" s="369">
        <v>2</v>
      </c>
      <c r="B83" s="370">
        <v>2</v>
      </c>
      <c r="C83" s="370">
        <v>2</v>
      </c>
      <c r="D83" s="370">
        <v>1</v>
      </c>
      <c r="E83" s="370"/>
      <c r="F83" s="371" t="s">
        <v>95</v>
      </c>
      <c r="G83" s="372">
        <f>G84</f>
        <v>0</v>
      </c>
      <c r="H83" s="372">
        <f t="shared" ref="H83:K83" si="26">H84</f>
        <v>0</v>
      </c>
      <c r="I83" s="372">
        <f t="shared" si="26"/>
        <v>0</v>
      </c>
      <c r="J83" s="372">
        <f t="shared" si="2"/>
        <v>0</v>
      </c>
      <c r="K83" s="489">
        <f t="shared" si="25"/>
        <v>0</v>
      </c>
    </row>
    <row r="84" spans="1:11" ht="12.75" x14ac:dyDescent="0.2">
      <c r="A84" s="373">
        <v>2</v>
      </c>
      <c r="B84" s="374">
        <v>2</v>
      </c>
      <c r="C84" s="374">
        <v>2</v>
      </c>
      <c r="D84" s="374">
        <v>1</v>
      </c>
      <c r="E84" s="374" t="s">
        <v>202</v>
      </c>
      <c r="F84" s="377" t="s">
        <v>95</v>
      </c>
      <c r="G84" s="376"/>
      <c r="H84" s="27"/>
      <c r="I84" s="27"/>
      <c r="J84" s="27">
        <f t="shared" ref="J84:J147" si="27">+G84+H84</f>
        <v>0</v>
      </c>
      <c r="K84" s="482">
        <f t="shared" si="25"/>
        <v>0</v>
      </c>
    </row>
    <row r="85" spans="1:11" ht="12.75" x14ac:dyDescent="0.2">
      <c r="A85" s="369">
        <v>2</v>
      </c>
      <c r="B85" s="370">
        <v>2</v>
      </c>
      <c r="C85" s="370">
        <v>2</v>
      </c>
      <c r="D85" s="370">
        <v>2</v>
      </c>
      <c r="E85" s="370"/>
      <c r="F85" s="371" t="s">
        <v>96</v>
      </c>
      <c r="G85" s="372">
        <f>G86</f>
        <v>0</v>
      </c>
      <c r="H85" s="30">
        <f>H86</f>
        <v>0</v>
      </c>
      <c r="I85" s="30">
        <f>I86</f>
        <v>0</v>
      </c>
      <c r="J85" s="30">
        <f t="shared" si="27"/>
        <v>0</v>
      </c>
      <c r="K85" s="481">
        <f t="shared" si="25"/>
        <v>0</v>
      </c>
    </row>
    <row r="86" spans="1:11" ht="12.75" x14ac:dyDescent="0.2">
      <c r="A86" s="373">
        <v>2</v>
      </c>
      <c r="B86" s="374">
        <v>2</v>
      </c>
      <c r="C86" s="374">
        <v>2</v>
      </c>
      <c r="D86" s="374">
        <v>2</v>
      </c>
      <c r="E86" s="374" t="s">
        <v>202</v>
      </c>
      <c r="F86" s="377" t="s">
        <v>96</v>
      </c>
      <c r="G86" s="376"/>
      <c r="H86" s="27"/>
      <c r="I86" s="27"/>
      <c r="J86" s="27">
        <f t="shared" si="27"/>
        <v>0</v>
      </c>
      <c r="K86" s="482">
        <f t="shared" si="25"/>
        <v>0</v>
      </c>
    </row>
    <row r="87" spans="1:11" ht="12.75" x14ac:dyDescent="0.2">
      <c r="A87" s="365">
        <v>2</v>
      </c>
      <c r="B87" s="366">
        <v>2</v>
      </c>
      <c r="C87" s="366">
        <v>3</v>
      </c>
      <c r="D87" s="366"/>
      <c r="E87" s="366"/>
      <c r="F87" s="367" t="s">
        <v>25</v>
      </c>
      <c r="G87" s="368">
        <f>+G88+G90</f>
        <v>0</v>
      </c>
      <c r="H87" s="368">
        <f>+H88+H90</f>
        <v>0</v>
      </c>
      <c r="I87" s="368">
        <f t="shared" ref="H87:K87" si="28">+I88+I90</f>
        <v>0</v>
      </c>
      <c r="J87" s="368">
        <f t="shared" si="27"/>
        <v>0</v>
      </c>
      <c r="K87" s="492">
        <f t="shared" si="25"/>
        <v>0</v>
      </c>
    </row>
    <row r="88" spans="1:11" ht="12.75" x14ac:dyDescent="0.2">
      <c r="A88" s="369">
        <v>2</v>
      </c>
      <c r="B88" s="370">
        <v>2</v>
      </c>
      <c r="C88" s="370">
        <v>3</v>
      </c>
      <c r="D88" s="370">
        <v>1</v>
      </c>
      <c r="E88" s="370"/>
      <c r="F88" s="371" t="s">
        <v>97</v>
      </c>
      <c r="G88" s="372">
        <f>G89</f>
        <v>0</v>
      </c>
      <c r="H88" s="372">
        <f t="shared" ref="H88:K88" si="29">H89</f>
        <v>0</v>
      </c>
      <c r="I88" s="372">
        <f t="shared" si="29"/>
        <v>0</v>
      </c>
      <c r="J88" s="372">
        <f t="shared" si="27"/>
        <v>0</v>
      </c>
      <c r="K88" s="489">
        <f t="shared" si="25"/>
        <v>0</v>
      </c>
    </row>
    <row r="89" spans="1:11" ht="12.75" x14ac:dyDescent="0.2">
      <c r="A89" s="373">
        <v>2</v>
      </c>
      <c r="B89" s="374">
        <v>2</v>
      </c>
      <c r="C89" s="374">
        <v>3</v>
      </c>
      <c r="D89" s="374">
        <v>1</v>
      </c>
      <c r="E89" s="374" t="s">
        <v>202</v>
      </c>
      <c r="F89" s="377" t="s">
        <v>97</v>
      </c>
      <c r="G89" s="376"/>
      <c r="H89" s="376"/>
      <c r="I89" s="376"/>
      <c r="J89" s="376">
        <f t="shared" si="27"/>
        <v>0</v>
      </c>
      <c r="K89" s="491">
        <f t="shared" si="25"/>
        <v>0</v>
      </c>
    </row>
    <row r="90" spans="1:11" ht="12.75" x14ac:dyDescent="0.2">
      <c r="A90" s="369">
        <v>2</v>
      </c>
      <c r="B90" s="370">
        <v>2</v>
      </c>
      <c r="C90" s="370">
        <v>3</v>
      </c>
      <c r="D90" s="370">
        <v>2</v>
      </c>
      <c r="E90" s="370"/>
      <c r="F90" s="371" t="s">
        <v>98</v>
      </c>
      <c r="G90" s="372">
        <f>G91</f>
        <v>0</v>
      </c>
      <c r="H90" s="372">
        <f t="shared" ref="H90:K90" si="30">H91</f>
        <v>0</v>
      </c>
      <c r="I90" s="372">
        <f t="shared" si="30"/>
        <v>0</v>
      </c>
      <c r="J90" s="372">
        <f t="shared" si="27"/>
        <v>0</v>
      </c>
      <c r="K90" s="489">
        <f t="shared" si="25"/>
        <v>0</v>
      </c>
    </row>
    <row r="91" spans="1:11" ht="12.75" x14ac:dyDescent="0.2">
      <c r="A91" s="373">
        <v>2</v>
      </c>
      <c r="B91" s="374">
        <v>2</v>
      </c>
      <c r="C91" s="374">
        <v>3</v>
      </c>
      <c r="D91" s="374">
        <v>2</v>
      </c>
      <c r="E91" s="374" t="s">
        <v>202</v>
      </c>
      <c r="F91" s="377" t="s">
        <v>98</v>
      </c>
      <c r="G91" s="376"/>
      <c r="H91" s="376"/>
      <c r="I91" s="376"/>
      <c r="J91" s="376">
        <f t="shared" si="27"/>
        <v>0</v>
      </c>
      <c r="K91" s="491">
        <f t="shared" si="25"/>
        <v>0</v>
      </c>
    </row>
    <row r="92" spans="1:11" ht="12.75" x14ac:dyDescent="0.2">
      <c r="A92" s="365">
        <v>2</v>
      </c>
      <c r="B92" s="366">
        <v>2</v>
      </c>
      <c r="C92" s="366">
        <v>4</v>
      </c>
      <c r="D92" s="366"/>
      <c r="E92" s="366"/>
      <c r="F92" s="367" t="s">
        <v>99</v>
      </c>
      <c r="G92" s="368">
        <f>+G93+G95+G97</f>
        <v>0</v>
      </c>
      <c r="H92" s="368">
        <f>+H93+H95+H97</f>
        <v>708803.54</v>
      </c>
      <c r="I92" s="368">
        <f t="shared" ref="H92:K92" si="31">+I93+I95+I97</f>
        <v>0</v>
      </c>
      <c r="J92" s="368">
        <f t="shared" si="27"/>
        <v>708803.54</v>
      </c>
      <c r="K92" s="492">
        <f t="shared" si="25"/>
        <v>4.0662884854039037E-4</v>
      </c>
    </row>
    <row r="93" spans="1:11" ht="12.75" x14ac:dyDescent="0.2">
      <c r="A93" s="369">
        <v>2</v>
      </c>
      <c r="B93" s="370">
        <v>2</v>
      </c>
      <c r="C93" s="370">
        <v>4</v>
      </c>
      <c r="D93" s="370">
        <v>1</v>
      </c>
      <c r="E93" s="370"/>
      <c r="F93" s="382" t="s">
        <v>982</v>
      </c>
      <c r="G93" s="372">
        <f>G94</f>
        <v>0</v>
      </c>
      <c r="H93" s="372">
        <f t="shared" ref="H93:K93" si="32">H94</f>
        <v>0</v>
      </c>
      <c r="I93" s="372">
        <f t="shared" si="32"/>
        <v>0</v>
      </c>
      <c r="J93" s="372">
        <f t="shared" si="27"/>
        <v>0</v>
      </c>
      <c r="K93" s="489">
        <f t="shared" si="25"/>
        <v>0</v>
      </c>
    </row>
    <row r="94" spans="1:11" ht="12.75" x14ac:dyDescent="0.2">
      <c r="A94" s="373">
        <v>2</v>
      </c>
      <c r="B94" s="374">
        <v>2</v>
      </c>
      <c r="C94" s="374">
        <v>4</v>
      </c>
      <c r="D94" s="374">
        <v>1</v>
      </c>
      <c r="E94" s="374" t="s">
        <v>202</v>
      </c>
      <c r="F94" s="375" t="s">
        <v>982</v>
      </c>
      <c r="G94" s="376"/>
      <c r="H94" s="27"/>
      <c r="I94" s="27"/>
      <c r="J94" s="27">
        <f t="shared" si="27"/>
        <v>0</v>
      </c>
      <c r="K94" s="482">
        <f t="shared" si="25"/>
        <v>0</v>
      </c>
    </row>
    <row r="95" spans="1:11" ht="12.75" x14ac:dyDescent="0.2">
      <c r="A95" s="369">
        <v>2</v>
      </c>
      <c r="B95" s="370">
        <v>2</v>
      </c>
      <c r="C95" s="370">
        <v>4</v>
      </c>
      <c r="D95" s="370">
        <v>2</v>
      </c>
      <c r="E95" s="370"/>
      <c r="F95" s="382" t="s">
        <v>26</v>
      </c>
      <c r="G95" s="372">
        <f>G96</f>
        <v>0</v>
      </c>
      <c r="H95" s="372">
        <f t="shared" ref="H95:K95" si="33">H96</f>
        <v>708803.54</v>
      </c>
      <c r="I95" s="372">
        <f t="shared" si="33"/>
        <v>0</v>
      </c>
      <c r="J95" s="372">
        <f t="shared" si="27"/>
        <v>708803.54</v>
      </c>
      <c r="K95" s="489">
        <f t="shared" si="25"/>
        <v>4.0662884854039037E-4</v>
      </c>
    </row>
    <row r="96" spans="1:11" ht="12.75" x14ac:dyDescent="0.2">
      <c r="A96" s="373">
        <v>2</v>
      </c>
      <c r="B96" s="374">
        <v>2</v>
      </c>
      <c r="C96" s="374">
        <v>4</v>
      </c>
      <c r="D96" s="374">
        <v>2</v>
      </c>
      <c r="E96" s="374" t="s">
        <v>202</v>
      </c>
      <c r="F96" s="377" t="s">
        <v>26</v>
      </c>
      <c r="G96" s="376"/>
      <c r="H96" s="27">
        <v>708803.54</v>
      </c>
      <c r="I96" s="27"/>
      <c r="J96" s="27">
        <f t="shared" si="27"/>
        <v>708803.54</v>
      </c>
      <c r="K96" s="482">
        <f t="shared" si="25"/>
        <v>4.0662884854039037E-4</v>
      </c>
    </row>
    <row r="97" spans="1:11" ht="12.75" x14ac:dyDescent="0.2">
      <c r="A97" s="369">
        <v>2</v>
      </c>
      <c r="B97" s="370">
        <v>2</v>
      </c>
      <c r="C97" s="370">
        <v>4</v>
      </c>
      <c r="D97" s="370">
        <v>4</v>
      </c>
      <c r="E97" s="370"/>
      <c r="F97" s="382" t="s">
        <v>100</v>
      </c>
      <c r="G97" s="372">
        <f>G98</f>
        <v>0</v>
      </c>
      <c r="H97" s="372">
        <f t="shared" ref="H97:K97" si="34">H98</f>
        <v>0</v>
      </c>
      <c r="I97" s="372">
        <f t="shared" si="34"/>
        <v>0</v>
      </c>
      <c r="J97" s="372">
        <f t="shared" si="27"/>
        <v>0</v>
      </c>
      <c r="K97" s="489">
        <f t="shared" si="25"/>
        <v>0</v>
      </c>
    </row>
    <row r="98" spans="1:11" ht="12.75" x14ac:dyDescent="0.2">
      <c r="A98" s="373">
        <v>2</v>
      </c>
      <c r="B98" s="374">
        <v>2</v>
      </c>
      <c r="C98" s="374">
        <v>4</v>
      </c>
      <c r="D98" s="374">
        <v>4</v>
      </c>
      <c r="E98" s="374" t="s">
        <v>202</v>
      </c>
      <c r="F98" s="377" t="s">
        <v>100</v>
      </c>
      <c r="G98" s="376"/>
      <c r="H98" s="27"/>
      <c r="I98" s="27"/>
      <c r="J98" s="27">
        <f t="shared" si="27"/>
        <v>0</v>
      </c>
      <c r="K98" s="482">
        <f t="shared" si="25"/>
        <v>0</v>
      </c>
    </row>
    <row r="99" spans="1:11" ht="12.75" x14ac:dyDescent="0.2">
      <c r="A99" s="365">
        <v>2</v>
      </c>
      <c r="B99" s="366">
        <v>2</v>
      </c>
      <c r="C99" s="366">
        <v>5</v>
      </c>
      <c r="D99" s="366"/>
      <c r="E99" s="366"/>
      <c r="F99" s="367" t="s">
        <v>101</v>
      </c>
      <c r="G99" s="368">
        <f>+G100+G102+G104+G110+G112</f>
        <v>0</v>
      </c>
      <c r="H99" s="368">
        <f t="shared" ref="H99:K99" si="35">+H100+H102+H104+H110+H112</f>
        <v>4200000</v>
      </c>
      <c r="I99" s="368">
        <f t="shared" si="35"/>
        <v>0</v>
      </c>
      <c r="J99" s="368">
        <f t="shared" si="27"/>
        <v>4200000</v>
      </c>
      <c r="K99" s="492">
        <f t="shared" si="25"/>
        <v>2.409470420914714E-3</v>
      </c>
    </row>
    <row r="100" spans="1:11" ht="12.75" x14ac:dyDescent="0.2">
      <c r="A100" s="369">
        <v>2</v>
      </c>
      <c r="B100" s="370">
        <v>2</v>
      </c>
      <c r="C100" s="370">
        <v>5</v>
      </c>
      <c r="D100" s="370">
        <v>1</v>
      </c>
      <c r="E100" s="370"/>
      <c r="F100" s="382" t="s">
        <v>102</v>
      </c>
      <c r="G100" s="372">
        <f>G101</f>
        <v>0</v>
      </c>
      <c r="H100" s="372">
        <f t="shared" ref="H100:K100" si="36">H101</f>
        <v>0</v>
      </c>
      <c r="I100" s="372">
        <f t="shared" si="36"/>
        <v>0</v>
      </c>
      <c r="J100" s="372">
        <f t="shared" si="27"/>
        <v>0</v>
      </c>
      <c r="K100" s="489">
        <f t="shared" si="25"/>
        <v>0</v>
      </c>
    </row>
    <row r="101" spans="1:11" ht="12.75" x14ac:dyDescent="0.2">
      <c r="A101" s="373">
        <v>2</v>
      </c>
      <c r="B101" s="374">
        <v>2</v>
      </c>
      <c r="C101" s="374">
        <v>5</v>
      </c>
      <c r="D101" s="374">
        <v>1</v>
      </c>
      <c r="E101" s="374" t="s">
        <v>202</v>
      </c>
      <c r="F101" s="377" t="s">
        <v>102</v>
      </c>
      <c r="G101" s="376"/>
      <c r="H101" s="28"/>
      <c r="I101" s="28"/>
      <c r="J101" s="28">
        <f t="shared" si="27"/>
        <v>0</v>
      </c>
      <c r="K101" s="486">
        <f t="shared" si="25"/>
        <v>0</v>
      </c>
    </row>
    <row r="102" spans="1:11" ht="22.5" x14ac:dyDescent="0.2">
      <c r="A102" s="369">
        <v>2</v>
      </c>
      <c r="B102" s="370">
        <v>2</v>
      </c>
      <c r="C102" s="370">
        <v>5</v>
      </c>
      <c r="D102" s="370">
        <v>2</v>
      </c>
      <c r="E102" s="370"/>
      <c r="F102" s="371" t="s">
        <v>983</v>
      </c>
      <c r="G102" s="372">
        <f>G103</f>
        <v>0</v>
      </c>
      <c r="H102" s="372">
        <f t="shared" ref="H102:K102" si="37">H103</f>
        <v>0</v>
      </c>
      <c r="I102" s="372">
        <f t="shared" si="37"/>
        <v>0</v>
      </c>
      <c r="J102" s="372">
        <f t="shared" si="27"/>
        <v>0</v>
      </c>
      <c r="K102" s="489">
        <f t="shared" si="25"/>
        <v>0</v>
      </c>
    </row>
    <row r="103" spans="1:11" ht="22.5" x14ac:dyDescent="0.2">
      <c r="A103" s="373">
        <v>2</v>
      </c>
      <c r="B103" s="374">
        <v>2</v>
      </c>
      <c r="C103" s="374">
        <v>5</v>
      </c>
      <c r="D103" s="374">
        <v>2</v>
      </c>
      <c r="E103" s="374" t="s">
        <v>202</v>
      </c>
      <c r="F103" s="377" t="s">
        <v>983</v>
      </c>
      <c r="G103" s="376"/>
      <c r="H103" s="27"/>
      <c r="I103" s="27"/>
      <c r="J103" s="27">
        <f t="shared" si="27"/>
        <v>0</v>
      </c>
      <c r="K103" s="482">
        <f t="shared" si="25"/>
        <v>0</v>
      </c>
    </row>
    <row r="104" spans="1:11" ht="12.75" x14ac:dyDescent="0.2">
      <c r="A104" s="369">
        <v>2</v>
      </c>
      <c r="B104" s="370">
        <v>2</v>
      </c>
      <c r="C104" s="370">
        <v>5</v>
      </c>
      <c r="D104" s="370">
        <v>3</v>
      </c>
      <c r="E104" s="370"/>
      <c r="F104" s="371" t="s">
        <v>984</v>
      </c>
      <c r="G104" s="372">
        <f>SUM(G105:G109)</f>
        <v>0</v>
      </c>
      <c r="H104" s="372">
        <f t="shared" ref="H104:I104" si="38">SUM(H105:H109)</f>
        <v>4200000</v>
      </c>
      <c r="I104" s="372">
        <f t="shared" si="38"/>
        <v>0</v>
      </c>
      <c r="J104" s="372">
        <f t="shared" si="27"/>
        <v>4200000</v>
      </c>
      <c r="K104" s="489">
        <f t="shared" si="25"/>
        <v>2.409470420914714E-3</v>
      </c>
    </row>
    <row r="105" spans="1:11" ht="12.75" x14ac:dyDescent="0.2">
      <c r="A105" s="373">
        <v>2</v>
      </c>
      <c r="B105" s="374">
        <v>2</v>
      </c>
      <c r="C105" s="374">
        <v>5</v>
      </c>
      <c r="D105" s="374">
        <v>3</v>
      </c>
      <c r="E105" s="374" t="s">
        <v>202</v>
      </c>
      <c r="F105" s="377" t="s">
        <v>103</v>
      </c>
      <c r="G105" s="376"/>
      <c r="H105" s="376">
        <v>4200000</v>
      </c>
      <c r="I105" s="376"/>
      <c r="J105" s="376">
        <f t="shared" si="27"/>
        <v>4200000</v>
      </c>
      <c r="K105" s="491">
        <f t="shared" si="25"/>
        <v>2.409470420914714E-3</v>
      </c>
    </row>
    <row r="106" spans="1:11" ht="12.75" x14ac:dyDescent="0.2">
      <c r="A106" s="373">
        <v>2</v>
      </c>
      <c r="B106" s="374">
        <v>2</v>
      </c>
      <c r="C106" s="374">
        <v>5</v>
      </c>
      <c r="D106" s="374">
        <v>3</v>
      </c>
      <c r="E106" s="374" t="s">
        <v>203</v>
      </c>
      <c r="F106" s="377" t="s">
        <v>104</v>
      </c>
      <c r="G106" s="376"/>
      <c r="H106" s="376"/>
      <c r="I106" s="376"/>
      <c r="J106" s="376">
        <f t="shared" si="27"/>
        <v>0</v>
      </c>
      <c r="K106" s="491">
        <f t="shared" si="25"/>
        <v>0</v>
      </c>
    </row>
    <row r="107" spans="1:11" ht="12.75" x14ac:dyDescent="0.2">
      <c r="A107" s="373">
        <v>2</v>
      </c>
      <c r="B107" s="374">
        <v>2</v>
      </c>
      <c r="C107" s="374">
        <v>5</v>
      </c>
      <c r="D107" s="374">
        <v>3</v>
      </c>
      <c r="E107" s="374" t="s">
        <v>204</v>
      </c>
      <c r="F107" s="377" t="s">
        <v>105</v>
      </c>
      <c r="G107" s="376"/>
      <c r="H107" s="376"/>
      <c r="I107" s="376"/>
      <c r="J107" s="376">
        <f t="shared" si="27"/>
        <v>0</v>
      </c>
      <c r="K107" s="491">
        <f t="shared" si="25"/>
        <v>0</v>
      </c>
    </row>
    <row r="108" spans="1:11" ht="12.75" x14ac:dyDescent="0.2">
      <c r="A108" s="373">
        <v>2</v>
      </c>
      <c r="B108" s="374">
        <v>2</v>
      </c>
      <c r="C108" s="374">
        <v>5</v>
      </c>
      <c r="D108" s="374">
        <v>3</v>
      </c>
      <c r="E108" s="374" t="s">
        <v>205</v>
      </c>
      <c r="F108" s="377" t="s">
        <v>106</v>
      </c>
      <c r="G108" s="376"/>
      <c r="H108" s="376"/>
      <c r="I108" s="376"/>
      <c r="J108" s="376">
        <f t="shared" si="27"/>
        <v>0</v>
      </c>
      <c r="K108" s="491">
        <f t="shared" si="25"/>
        <v>0</v>
      </c>
    </row>
    <row r="109" spans="1:11" ht="22.5" x14ac:dyDescent="0.2">
      <c r="A109" s="373">
        <v>2</v>
      </c>
      <c r="B109" s="374">
        <v>2</v>
      </c>
      <c r="C109" s="374">
        <v>5</v>
      </c>
      <c r="D109" s="374">
        <v>3</v>
      </c>
      <c r="E109" s="374" t="s">
        <v>208</v>
      </c>
      <c r="F109" s="377" t="s">
        <v>107</v>
      </c>
      <c r="G109" s="376"/>
      <c r="H109" s="376"/>
      <c r="I109" s="376"/>
      <c r="J109" s="376">
        <f t="shared" si="27"/>
        <v>0</v>
      </c>
      <c r="K109" s="491">
        <f t="shared" si="25"/>
        <v>0</v>
      </c>
    </row>
    <row r="110" spans="1:11" ht="22.5" x14ac:dyDescent="0.2">
      <c r="A110" s="369">
        <v>2</v>
      </c>
      <c r="B110" s="370">
        <v>2</v>
      </c>
      <c r="C110" s="370">
        <v>5</v>
      </c>
      <c r="D110" s="370">
        <v>4</v>
      </c>
      <c r="E110" s="370"/>
      <c r="F110" s="382" t="s">
        <v>108</v>
      </c>
      <c r="G110" s="372">
        <f>G111</f>
        <v>0</v>
      </c>
      <c r="H110" s="372">
        <f t="shared" ref="H110:K110" si="39">H111</f>
        <v>0</v>
      </c>
      <c r="I110" s="372">
        <f t="shared" si="39"/>
        <v>0</v>
      </c>
      <c r="J110" s="372">
        <f t="shared" si="27"/>
        <v>0</v>
      </c>
      <c r="K110" s="489">
        <f t="shared" si="25"/>
        <v>0</v>
      </c>
    </row>
    <row r="111" spans="1:11" ht="22.5" x14ac:dyDescent="0.2">
      <c r="A111" s="373">
        <v>2</v>
      </c>
      <c r="B111" s="374">
        <v>2</v>
      </c>
      <c r="C111" s="374">
        <v>5</v>
      </c>
      <c r="D111" s="374">
        <v>4</v>
      </c>
      <c r="E111" s="374" t="s">
        <v>202</v>
      </c>
      <c r="F111" s="377" t="s">
        <v>108</v>
      </c>
      <c r="G111" s="376"/>
      <c r="H111" s="376"/>
      <c r="I111" s="376"/>
      <c r="J111" s="376">
        <f t="shared" si="27"/>
        <v>0</v>
      </c>
      <c r="K111" s="491">
        <f t="shared" si="25"/>
        <v>0</v>
      </c>
    </row>
    <row r="112" spans="1:11" ht="12.75" x14ac:dyDescent="0.2">
      <c r="A112" s="369">
        <v>2</v>
      </c>
      <c r="B112" s="370">
        <v>2</v>
      </c>
      <c r="C112" s="370">
        <v>5</v>
      </c>
      <c r="D112" s="370">
        <v>8</v>
      </c>
      <c r="E112" s="370"/>
      <c r="F112" s="371" t="s">
        <v>109</v>
      </c>
      <c r="G112" s="372">
        <f>G113</f>
        <v>0</v>
      </c>
      <c r="H112" s="30">
        <f>H113</f>
        <v>0</v>
      </c>
      <c r="I112" s="30">
        <f>I113</f>
        <v>0</v>
      </c>
      <c r="J112" s="30">
        <f t="shared" si="27"/>
        <v>0</v>
      </c>
      <c r="K112" s="481">
        <f t="shared" si="25"/>
        <v>0</v>
      </c>
    </row>
    <row r="113" spans="1:11" ht="12.75" x14ac:dyDescent="0.2">
      <c r="A113" s="373">
        <v>2</v>
      </c>
      <c r="B113" s="374">
        <v>2</v>
      </c>
      <c r="C113" s="374">
        <v>5</v>
      </c>
      <c r="D113" s="374">
        <v>8</v>
      </c>
      <c r="E113" s="374" t="s">
        <v>202</v>
      </c>
      <c r="F113" s="377" t="s">
        <v>109</v>
      </c>
      <c r="G113" s="376"/>
      <c r="H113" s="27"/>
      <c r="I113" s="27"/>
      <c r="J113" s="27">
        <f t="shared" si="27"/>
        <v>0</v>
      </c>
      <c r="K113" s="482">
        <f t="shared" si="25"/>
        <v>0</v>
      </c>
    </row>
    <row r="114" spans="1:11" ht="12.75" x14ac:dyDescent="0.2">
      <c r="A114" s="369">
        <v>2</v>
      </c>
      <c r="B114" s="370">
        <v>2</v>
      </c>
      <c r="C114" s="370">
        <v>5</v>
      </c>
      <c r="D114" s="370">
        <v>9</v>
      </c>
      <c r="E114" s="370"/>
      <c r="F114" s="371" t="s">
        <v>1028</v>
      </c>
      <c r="G114" s="384">
        <f>+G115</f>
        <v>0</v>
      </c>
      <c r="H114" s="384">
        <f t="shared" ref="H114:K114" si="40">+H115</f>
        <v>0</v>
      </c>
      <c r="I114" s="384">
        <f t="shared" si="40"/>
        <v>0</v>
      </c>
      <c r="J114" s="384">
        <f t="shared" si="27"/>
        <v>0</v>
      </c>
      <c r="K114" s="494">
        <f t="shared" si="25"/>
        <v>0</v>
      </c>
    </row>
    <row r="115" spans="1:11" ht="12.75" x14ac:dyDescent="0.2">
      <c r="A115" s="373">
        <v>2</v>
      </c>
      <c r="B115" s="374">
        <v>2</v>
      </c>
      <c r="C115" s="374">
        <v>5</v>
      </c>
      <c r="D115" s="374">
        <v>9</v>
      </c>
      <c r="E115" s="374" t="s">
        <v>202</v>
      </c>
      <c r="F115" s="377" t="s">
        <v>986</v>
      </c>
      <c r="G115" s="376"/>
      <c r="H115" s="27"/>
      <c r="I115" s="27"/>
      <c r="J115" s="27">
        <f t="shared" si="27"/>
        <v>0</v>
      </c>
      <c r="K115" s="482">
        <f t="shared" si="25"/>
        <v>0</v>
      </c>
    </row>
    <row r="116" spans="1:11" ht="12.75" x14ac:dyDescent="0.2">
      <c r="A116" s="365">
        <v>2</v>
      </c>
      <c r="B116" s="366">
        <v>2</v>
      </c>
      <c r="C116" s="366">
        <v>6</v>
      </c>
      <c r="D116" s="366"/>
      <c r="E116" s="366"/>
      <c r="F116" s="367" t="s">
        <v>110</v>
      </c>
      <c r="G116" s="368">
        <f>+G117+G119+G121+G123</f>
        <v>0</v>
      </c>
      <c r="H116" s="32">
        <f>+H117+H119+H121+H123</f>
        <v>0</v>
      </c>
      <c r="I116" s="32">
        <f>+I117+I119+I121+I123</f>
        <v>0</v>
      </c>
      <c r="J116" s="32">
        <f t="shared" si="27"/>
        <v>0</v>
      </c>
      <c r="K116" s="480">
        <f t="shared" si="25"/>
        <v>0</v>
      </c>
    </row>
    <row r="117" spans="1:11" ht="12.75" x14ac:dyDescent="0.2">
      <c r="A117" s="369">
        <v>2</v>
      </c>
      <c r="B117" s="370">
        <v>2</v>
      </c>
      <c r="C117" s="370">
        <v>6</v>
      </c>
      <c r="D117" s="370">
        <v>1</v>
      </c>
      <c r="E117" s="370"/>
      <c r="F117" s="382" t="s">
        <v>245</v>
      </c>
      <c r="G117" s="372">
        <f>G118</f>
        <v>0</v>
      </c>
      <c r="H117" s="372">
        <f t="shared" ref="H117:K117" si="41">H118</f>
        <v>0</v>
      </c>
      <c r="I117" s="372">
        <f t="shared" si="41"/>
        <v>0</v>
      </c>
      <c r="J117" s="372">
        <f t="shared" si="27"/>
        <v>0</v>
      </c>
      <c r="K117" s="489">
        <f t="shared" si="25"/>
        <v>0</v>
      </c>
    </row>
    <row r="118" spans="1:11" ht="12.75" x14ac:dyDescent="0.2">
      <c r="A118" s="373">
        <v>2</v>
      </c>
      <c r="B118" s="374">
        <v>2</v>
      </c>
      <c r="C118" s="374">
        <v>6</v>
      </c>
      <c r="D118" s="374">
        <v>1</v>
      </c>
      <c r="E118" s="374" t="s">
        <v>202</v>
      </c>
      <c r="F118" s="377" t="s">
        <v>245</v>
      </c>
      <c r="G118" s="376"/>
      <c r="H118" s="27"/>
      <c r="I118" s="27"/>
      <c r="J118" s="27">
        <f t="shared" si="27"/>
        <v>0</v>
      </c>
      <c r="K118" s="482">
        <f t="shared" si="25"/>
        <v>0</v>
      </c>
    </row>
    <row r="119" spans="1:11" ht="12.75" x14ac:dyDescent="0.2">
      <c r="A119" s="369">
        <v>2</v>
      </c>
      <c r="B119" s="370">
        <v>2</v>
      </c>
      <c r="C119" s="370">
        <v>6</v>
      </c>
      <c r="D119" s="370">
        <v>2</v>
      </c>
      <c r="E119" s="370"/>
      <c r="F119" s="382" t="s">
        <v>111</v>
      </c>
      <c r="G119" s="372">
        <f>G120</f>
        <v>0</v>
      </c>
      <c r="H119" s="372">
        <f t="shared" ref="H119:K119" si="42">H120</f>
        <v>0</v>
      </c>
      <c r="I119" s="372">
        <f t="shared" si="42"/>
        <v>0</v>
      </c>
      <c r="J119" s="372">
        <f t="shared" si="27"/>
        <v>0</v>
      </c>
      <c r="K119" s="489">
        <f t="shared" si="25"/>
        <v>0</v>
      </c>
    </row>
    <row r="120" spans="1:11" ht="12.75" x14ac:dyDescent="0.2">
      <c r="A120" s="373">
        <v>2</v>
      </c>
      <c r="B120" s="374">
        <v>2</v>
      </c>
      <c r="C120" s="374">
        <v>6</v>
      </c>
      <c r="D120" s="374">
        <v>2</v>
      </c>
      <c r="E120" s="374" t="s">
        <v>202</v>
      </c>
      <c r="F120" s="377" t="s">
        <v>111</v>
      </c>
      <c r="G120" s="376"/>
      <c r="H120" s="27"/>
      <c r="I120" s="27"/>
      <c r="J120" s="27">
        <f t="shared" si="27"/>
        <v>0</v>
      </c>
      <c r="K120" s="482">
        <f t="shared" si="25"/>
        <v>0</v>
      </c>
    </row>
    <row r="121" spans="1:11" ht="12.75" x14ac:dyDescent="0.2">
      <c r="A121" s="369">
        <v>2</v>
      </c>
      <c r="B121" s="370">
        <v>2</v>
      </c>
      <c r="C121" s="370">
        <v>6</v>
      </c>
      <c r="D121" s="370">
        <v>3</v>
      </c>
      <c r="E121" s="370"/>
      <c r="F121" s="382" t="s">
        <v>112</v>
      </c>
      <c r="G121" s="372">
        <f>G122</f>
        <v>0</v>
      </c>
      <c r="H121" s="372">
        <f t="shared" ref="H121:K121" si="43">H122</f>
        <v>0</v>
      </c>
      <c r="I121" s="372">
        <f t="shared" si="43"/>
        <v>0</v>
      </c>
      <c r="J121" s="372">
        <f t="shared" si="27"/>
        <v>0</v>
      </c>
      <c r="K121" s="489">
        <f t="shared" si="25"/>
        <v>0</v>
      </c>
    </row>
    <row r="122" spans="1:11" ht="12.75" x14ac:dyDescent="0.2">
      <c r="A122" s="373">
        <v>2</v>
      </c>
      <c r="B122" s="374">
        <v>2</v>
      </c>
      <c r="C122" s="374">
        <v>6</v>
      </c>
      <c r="D122" s="374">
        <v>3</v>
      </c>
      <c r="E122" s="374" t="s">
        <v>202</v>
      </c>
      <c r="F122" s="377" t="s">
        <v>112</v>
      </c>
      <c r="G122" s="376"/>
      <c r="H122" s="27"/>
      <c r="I122" s="27"/>
      <c r="J122" s="27">
        <f t="shared" si="27"/>
        <v>0</v>
      </c>
      <c r="K122" s="482">
        <f t="shared" si="25"/>
        <v>0</v>
      </c>
    </row>
    <row r="123" spans="1:11" ht="12.75" x14ac:dyDescent="0.2">
      <c r="A123" s="369">
        <v>2</v>
      </c>
      <c r="B123" s="370">
        <v>2</v>
      </c>
      <c r="C123" s="370">
        <v>6</v>
      </c>
      <c r="D123" s="370">
        <v>9</v>
      </c>
      <c r="E123" s="370"/>
      <c r="F123" s="371" t="s">
        <v>207</v>
      </c>
      <c r="G123" s="384">
        <f>+G124</f>
        <v>0</v>
      </c>
      <c r="H123" s="384">
        <f t="shared" ref="H123:K123" si="44">+H124</f>
        <v>0</v>
      </c>
      <c r="I123" s="384">
        <f t="shared" si="44"/>
        <v>0</v>
      </c>
      <c r="J123" s="384">
        <f t="shared" si="27"/>
        <v>0</v>
      </c>
      <c r="K123" s="494">
        <f t="shared" si="25"/>
        <v>0</v>
      </c>
    </row>
    <row r="124" spans="1:11" ht="12.75" x14ac:dyDescent="0.2">
      <c r="A124" s="373">
        <v>2</v>
      </c>
      <c r="B124" s="374">
        <v>2</v>
      </c>
      <c r="C124" s="374">
        <v>6</v>
      </c>
      <c r="D124" s="374">
        <v>9</v>
      </c>
      <c r="E124" s="374" t="s">
        <v>202</v>
      </c>
      <c r="F124" s="377" t="s">
        <v>207</v>
      </c>
      <c r="G124" s="376"/>
      <c r="H124" s="27"/>
      <c r="I124" s="27"/>
      <c r="J124" s="27">
        <f t="shared" si="27"/>
        <v>0</v>
      </c>
      <c r="K124" s="482">
        <f t="shared" si="25"/>
        <v>0</v>
      </c>
    </row>
    <row r="125" spans="1:11" ht="22.5" x14ac:dyDescent="0.2">
      <c r="A125" s="365">
        <v>2</v>
      </c>
      <c r="B125" s="366">
        <v>2</v>
      </c>
      <c r="C125" s="366">
        <v>7</v>
      </c>
      <c r="D125" s="366"/>
      <c r="E125" s="366"/>
      <c r="F125" s="367" t="s">
        <v>113</v>
      </c>
      <c r="G125" s="368">
        <f>+G126+G131+G141</f>
        <v>47730529.359999895</v>
      </c>
      <c r="H125" s="368">
        <f>+H126+H131+H141</f>
        <v>11427297.609999999</v>
      </c>
      <c r="I125" s="368">
        <f t="shared" ref="H125:K125" si="45">+I126+I131+I141</f>
        <v>0</v>
      </c>
      <c r="J125" s="368">
        <f t="shared" si="27"/>
        <v>59157826.969999894</v>
      </c>
      <c r="K125" s="492">
        <f t="shared" si="25"/>
        <v>3.3937865297572735E-2</v>
      </c>
    </row>
    <row r="126" spans="1:11" ht="22.5" x14ac:dyDescent="0.2">
      <c r="A126" s="369">
        <v>2</v>
      </c>
      <c r="B126" s="370">
        <v>2</v>
      </c>
      <c r="C126" s="370">
        <v>7</v>
      </c>
      <c r="D126" s="370">
        <v>1</v>
      </c>
      <c r="E126" s="370"/>
      <c r="F126" s="371" t="s">
        <v>987</v>
      </c>
      <c r="G126" s="372">
        <f>SUM(G127:G130)</f>
        <v>4200000</v>
      </c>
      <c r="H126" s="372">
        <f t="shared" ref="H126:K126" si="46">SUM(H127:H130)</f>
        <v>5840000</v>
      </c>
      <c r="I126" s="372">
        <f t="shared" si="46"/>
        <v>0</v>
      </c>
      <c r="J126" s="372">
        <f t="shared" si="27"/>
        <v>10040000</v>
      </c>
      <c r="K126" s="489">
        <f t="shared" si="25"/>
        <v>5.759781672853269E-3</v>
      </c>
    </row>
    <row r="127" spans="1:11" ht="22.5" x14ac:dyDescent="0.2">
      <c r="A127" s="373">
        <v>2</v>
      </c>
      <c r="B127" s="374">
        <v>2</v>
      </c>
      <c r="C127" s="374">
        <v>7</v>
      </c>
      <c r="D127" s="374">
        <v>1</v>
      </c>
      <c r="E127" s="374" t="s">
        <v>202</v>
      </c>
      <c r="F127" s="377" t="s">
        <v>988</v>
      </c>
      <c r="G127" s="376">
        <v>4200000</v>
      </c>
      <c r="H127" s="376">
        <v>5840000</v>
      </c>
      <c r="I127" s="376"/>
      <c r="J127" s="376">
        <f t="shared" si="27"/>
        <v>10040000</v>
      </c>
      <c r="K127" s="491">
        <f t="shared" si="25"/>
        <v>5.759781672853269E-3</v>
      </c>
    </row>
    <row r="128" spans="1:11" ht="22.5" x14ac:dyDescent="0.2">
      <c r="A128" s="373">
        <v>2</v>
      </c>
      <c r="B128" s="374">
        <v>2</v>
      </c>
      <c r="C128" s="374">
        <v>7</v>
      </c>
      <c r="D128" s="374">
        <v>1</v>
      </c>
      <c r="E128" s="374" t="s">
        <v>233</v>
      </c>
      <c r="F128" s="377" t="s">
        <v>989</v>
      </c>
      <c r="G128" s="376"/>
      <c r="H128" s="376"/>
      <c r="I128" s="376"/>
      <c r="J128" s="376">
        <f t="shared" si="27"/>
        <v>0</v>
      </c>
      <c r="K128" s="491">
        <f t="shared" si="25"/>
        <v>0</v>
      </c>
    </row>
    <row r="129" spans="1:11" ht="22.5" x14ac:dyDescent="0.2">
      <c r="A129" s="373">
        <v>2</v>
      </c>
      <c r="B129" s="374">
        <v>2</v>
      </c>
      <c r="C129" s="374">
        <v>7</v>
      </c>
      <c r="D129" s="374">
        <v>1</v>
      </c>
      <c r="E129" s="374" t="s">
        <v>235</v>
      </c>
      <c r="F129" s="377" t="s">
        <v>990</v>
      </c>
      <c r="G129" s="376"/>
      <c r="H129" s="376"/>
      <c r="I129" s="376"/>
      <c r="J129" s="376">
        <f t="shared" si="27"/>
        <v>0</v>
      </c>
      <c r="K129" s="491">
        <f t="shared" si="25"/>
        <v>0</v>
      </c>
    </row>
    <row r="130" spans="1:11" ht="33.75" x14ac:dyDescent="0.2">
      <c r="A130" s="373">
        <v>2</v>
      </c>
      <c r="B130" s="374">
        <v>2</v>
      </c>
      <c r="C130" s="374">
        <v>7</v>
      </c>
      <c r="D130" s="374">
        <v>1</v>
      </c>
      <c r="E130" s="374" t="s">
        <v>991</v>
      </c>
      <c r="F130" s="377" t="s">
        <v>992</v>
      </c>
      <c r="G130" s="376"/>
      <c r="H130" s="376"/>
      <c r="I130" s="376"/>
      <c r="J130" s="376">
        <f t="shared" si="27"/>
        <v>0</v>
      </c>
      <c r="K130" s="491">
        <f t="shared" si="25"/>
        <v>0</v>
      </c>
    </row>
    <row r="131" spans="1:11" ht="22.5" x14ac:dyDescent="0.2">
      <c r="A131" s="369">
        <v>2</v>
      </c>
      <c r="B131" s="370">
        <v>2</v>
      </c>
      <c r="C131" s="370">
        <v>7</v>
      </c>
      <c r="D131" s="370">
        <v>2</v>
      </c>
      <c r="E131" s="370"/>
      <c r="F131" s="382" t="s">
        <v>246</v>
      </c>
      <c r="G131" s="372">
        <f>SUM(G132:G140)</f>
        <v>43530529.359999895</v>
      </c>
      <c r="H131" s="372">
        <f t="shared" ref="H131:K131" si="47">SUM(H132:H140)</f>
        <v>5587297.6100000003</v>
      </c>
      <c r="I131" s="372">
        <f t="shared" si="47"/>
        <v>0</v>
      </c>
      <c r="J131" s="372">
        <f t="shared" si="27"/>
        <v>49117826.969999894</v>
      </c>
      <c r="K131" s="489">
        <f t="shared" si="25"/>
        <v>2.817808362471946E-2</v>
      </c>
    </row>
    <row r="132" spans="1:11" ht="22.5" x14ac:dyDescent="0.2">
      <c r="A132" s="373">
        <v>2</v>
      </c>
      <c r="B132" s="374">
        <v>2</v>
      </c>
      <c r="C132" s="374">
        <v>7</v>
      </c>
      <c r="D132" s="374">
        <v>2</v>
      </c>
      <c r="E132" s="374" t="s">
        <v>202</v>
      </c>
      <c r="F132" s="377" t="s">
        <v>993</v>
      </c>
      <c r="G132" s="376">
        <v>12693529.359999895</v>
      </c>
      <c r="H132" s="376"/>
      <c r="I132" s="376"/>
      <c r="J132" s="376">
        <f t="shared" si="27"/>
        <v>12693529.359999895</v>
      </c>
      <c r="K132" s="491">
        <f t="shared" si="25"/>
        <v>7.2820675071267214E-3</v>
      </c>
    </row>
    <row r="133" spans="1:11" ht="22.5" x14ac:dyDescent="0.2">
      <c r="A133" s="373">
        <v>2</v>
      </c>
      <c r="B133" s="374">
        <v>2</v>
      </c>
      <c r="C133" s="374">
        <v>7</v>
      </c>
      <c r="D133" s="374">
        <v>2</v>
      </c>
      <c r="E133" s="374" t="s">
        <v>203</v>
      </c>
      <c r="F133" s="377" t="s">
        <v>994</v>
      </c>
      <c r="G133" s="376"/>
      <c r="H133" s="376"/>
      <c r="I133" s="376"/>
      <c r="J133" s="376">
        <f t="shared" si="27"/>
        <v>0</v>
      </c>
      <c r="K133" s="491">
        <f t="shared" si="25"/>
        <v>0</v>
      </c>
    </row>
    <row r="134" spans="1:11" ht="22.5" x14ac:dyDescent="0.2">
      <c r="A134" s="373">
        <v>2</v>
      </c>
      <c r="B134" s="374">
        <v>2</v>
      </c>
      <c r="C134" s="374">
        <v>7</v>
      </c>
      <c r="D134" s="374">
        <v>2</v>
      </c>
      <c r="E134" s="374" t="s">
        <v>204</v>
      </c>
      <c r="F134" s="377" t="s">
        <v>995</v>
      </c>
      <c r="G134" s="376"/>
      <c r="H134" s="376"/>
      <c r="I134" s="376"/>
      <c r="J134" s="376">
        <f t="shared" si="27"/>
        <v>0</v>
      </c>
      <c r="K134" s="491">
        <f t="shared" si="25"/>
        <v>0</v>
      </c>
    </row>
    <row r="135" spans="1:11" ht="22.5" x14ac:dyDescent="0.2">
      <c r="A135" s="373">
        <v>2</v>
      </c>
      <c r="B135" s="374">
        <v>2</v>
      </c>
      <c r="C135" s="374">
        <v>7</v>
      </c>
      <c r="D135" s="374">
        <v>2</v>
      </c>
      <c r="E135" s="374" t="s">
        <v>205</v>
      </c>
      <c r="F135" s="377" t="s">
        <v>996</v>
      </c>
      <c r="G135" s="376">
        <v>18937000</v>
      </c>
      <c r="H135" s="376">
        <v>5587297.6100000003</v>
      </c>
      <c r="I135" s="376"/>
      <c r="J135" s="376">
        <f t="shared" si="27"/>
        <v>24524297.609999999</v>
      </c>
      <c r="K135" s="491">
        <f t="shared" si="25"/>
        <v>1.4069183258334386E-2</v>
      </c>
    </row>
    <row r="136" spans="1:11" ht="22.5" x14ac:dyDescent="0.2">
      <c r="A136" s="373">
        <v>2</v>
      </c>
      <c r="B136" s="374">
        <v>2</v>
      </c>
      <c r="C136" s="374">
        <v>7</v>
      </c>
      <c r="D136" s="374">
        <v>2</v>
      </c>
      <c r="E136" s="374" t="s">
        <v>208</v>
      </c>
      <c r="F136" s="377" t="s">
        <v>209</v>
      </c>
      <c r="G136" s="376"/>
      <c r="H136" s="376"/>
      <c r="I136" s="376"/>
      <c r="J136" s="376">
        <f t="shared" si="27"/>
        <v>0</v>
      </c>
      <c r="K136" s="491">
        <f t="shared" si="25"/>
        <v>0</v>
      </c>
    </row>
    <row r="137" spans="1:11" ht="22.5" x14ac:dyDescent="0.2">
      <c r="A137" s="373">
        <v>2</v>
      </c>
      <c r="B137" s="374">
        <v>2</v>
      </c>
      <c r="C137" s="374">
        <v>7</v>
      </c>
      <c r="D137" s="374">
        <v>2</v>
      </c>
      <c r="E137" s="374" t="s">
        <v>233</v>
      </c>
      <c r="F137" s="375" t="s">
        <v>116</v>
      </c>
      <c r="G137" s="376">
        <v>5600000</v>
      </c>
      <c r="H137" s="376"/>
      <c r="I137" s="376"/>
      <c r="J137" s="376">
        <f t="shared" si="27"/>
        <v>5600000</v>
      </c>
      <c r="K137" s="491">
        <f t="shared" si="25"/>
        <v>3.2126272278862854E-3</v>
      </c>
    </row>
    <row r="138" spans="1:11" ht="22.5" x14ac:dyDescent="0.2">
      <c r="A138" s="373">
        <v>2</v>
      </c>
      <c r="B138" s="374">
        <v>2</v>
      </c>
      <c r="C138" s="374">
        <v>7</v>
      </c>
      <c r="D138" s="374">
        <v>2</v>
      </c>
      <c r="E138" s="374" t="s">
        <v>235</v>
      </c>
      <c r="F138" s="375" t="s">
        <v>997</v>
      </c>
      <c r="G138" s="376">
        <v>300000</v>
      </c>
      <c r="H138" s="376"/>
      <c r="I138" s="376"/>
      <c r="J138" s="376">
        <f t="shared" si="27"/>
        <v>300000</v>
      </c>
      <c r="K138" s="491">
        <f t="shared" si="25"/>
        <v>1.721050300653367E-4</v>
      </c>
    </row>
    <row r="139" spans="1:11" ht="22.5" x14ac:dyDescent="0.2">
      <c r="A139" s="373">
        <v>2</v>
      </c>
      <c r="B139" s="374">
        <v>2</v>
      </c>
      <c r="C139" s="374">
        <v>7</v>
      </c>
      <c r="D139" s="374">
        <v>2</v>
      </c>
      <c r="E139" s="374" t="s">
        <v>239</v>
      </c>
      <c r="F139" s="375" t="s">
        <v>1029</v>
      </c>
      <c r="G139" s="376">
        <v>6000000</v>
      </c>
      <c r="H139" s="376"/>
      <c r="I139" s="376"/>
      <c r="J139" s="376">
        <f t="shared" si="27"/>
        <v>6000000</v>
      </c>
      <c r="K139" s="491">
        <f t="shared" si="25"/>
        <v>3.4421006013067345E-3</v>
      </c>
    </row>
    <row r="140" spans="1:11" ht="33.75" x14ac:dyDescent="0.2">
      <c r="A140" s="373">
        <v>2</v>
      </c>
      <c r="B140" s="374">
        <v>2</v>
      </c>
      <c r="C140" s="374">
        <v>7</v>
      </c>
      <c r="D140" s="374">
        <v>2</v>
      </c>
      <c r="E140" s="374" t="s">
        <v>991</v>
      </c>
      <c r="F140" s="375" t="s">
        <v>1030</v>
      </c>
      <c r="G140" s="376"/>
      <c r="H140" s="376"/>
      <c r="I140" s="376"/>
      <c r="J140" s="376">
        <f t="shared" si="27"/>
        <v>0</v>
      </c>
      <c r="K140" s="491">
        <f t="shared" si="25"/>
        <v>0</v>
      </c>
    </row>
    <row r="141" spans="1:11" ht="12.75" x14ac:dyDescent="0.2">
      <c r="A141" s="369">
        <v>2</v>
      </c>
      <c r="B141" s="370">
        <v>2</v>
      </c>
      <c r="C141" s="370">
        <v>7</v>
      </c>
      <c r="D141" s="370">
        <v>3</v>
      </c>
      <c r="E141" s="370"/>
      <c r="F141" s="382" t="s">
        <v>117</v>
      </c>
      <c r="G141" s="372">
        <f>G142</f>
        <v>0</v>
      </c>
      <c r="H141" s="372">
        <f t="shared" ref="H141:K141" si="48">H142</f>
        <v>0</v>
      </c>
      <c r="I141" s="372">
        <f t="shared" si="48"/>
        <v>0</v>
      </c>
      <c r="J141" s="372">
        <f t="shared" si="27"/>
        <v>0</v>
      </c>
      <c r="K141" s="489">
        <f t="shared" si="25"/>
        <v>0</v>
      </c>
    </row>
    <row r="142" spans="1:11" ht="12.75" x14ac:dyDescent="0.2">
      <c r="A142" s="373">
        <v>2</v>
      </c>
      <c r="B142" s="374">
        <v>2</v>
      </c>
      <c r="C142" s="374">
        <v>7</v>
      </c>
      <c r="D142" s="374">
        <v>3</v>
      </c>
      <c r="E142" s="374" t="s">
        <v>202</v>
      </c>
      <c r="F142" s="375" t="s">
        <v>117</v>
      </c>
      <c r="G142" s="376"/>
      <c r="H142" s="376"/>
      <c r="I142" s="376"/>
      <c r="J142" s="376">
        <f t="shared" si="27"/>
        <v>0</v>
      </c>
      <c r="K142" s="491">
        <f t="shared" si="25"/>
        <v>0</v>
      </c>
    </row>
    <row r="143" spans="1:11" ht="22.5" x14ac:dyDescent="0.2">
      <c r="A143" s="365">
        <v>2</v>
      </c>
      <c r="B143" s="366">
        <v>2</v>
      </c>
      <c r="C143" s="366">
        <v>8</v>
      </c>
      <c r="D143" s="366"/>
      <c r="E143" s="366"/>
      <c r="F143" s="367" t="s">
        <v>247</v>
      </c>
      <c r="G143" s="368">
        <f>+G144+G146+G148+G150+G154+G157+G164</f>
        <v>0</v>
      </c>
      <c r="H143" s="368">
        <f>+H144+H146+H148+H150+H154+H157+H164</f>
        <v>4812081.34</v>
      </c>
      <c r="I143" s="368">
        <f t="shared" ref="H143:K143" si="49">+I144+I146+I148+I150+I154+I157+I164</f>
        <v>0</v>
      </c>
      <c r="J143" s="368">
        <f t="shared" si="27"/>
        <v>4812081.34</v>
      </c>
      <c r="K143" s="492">
        <f t="shared" si="25"/>
        <v>2.7606113456584863E-3</v>
      </c>
    </row>
    <row r="144" spans="1:11" ht="12.75" x14ac:dyDescent="0.2">
      <c r="A144" s="369">
        <v>2</v>
      </c>
      <c r="B144" s="370">
        <v>2</v>
      </c>
      <c r="C144" s="370">
        <v>8</v>
      </c>
      <c r="D144" s="370">
        <v>1</v>
      </c>
      <c r="E144" s="370"/>
      <c r="F144" s="382" t="s">
        <v>1000</v>
      </c>
      <c r="G144" s="372">
        <f>G145</f>
        <v>0</v>
      </c>
      <c r="H144" s="372">
        <f t="shared" ref="H144:K144" si="50">H145</f>
        <v>0</v>
      </c>
      <c r="I144" s="372">
        <f t="shared" si="50"/>
        <v>0</v>
      </c>
      <c r="J144" s="372">
        <f t="shared" si="27"/>
        <v>0</v>
      </c>
      <c r="K144" s="489">
        <f t="shared" si="25"/>
        <v>0</v>
      </c>
    </row>
    <row r="145" spans="1:11" ht="12.75" x14ac:dyDescent="0.2">
      <c r="A145" s="373">
        <v>2</v>
      </c>
      <c r="B145" s="374">
        <v>2</v>
      </c>
      <c r="C145" s="374">
        <v>8</v>
      </c>
      <c r="D145" s="374">
        <v>1</v>
      </c>
      <c r="E145" s="374" t="s">
        <v>202</v>
      </c>
      <c r="F145" s="375" t="s">
        <v>1000</v>
      </c>
      <c r="G145" s="376"/>
      <c r="H145" s="27"/>
      <c r="I145" s="27"/>
      <c r="J145" s="27">
        <f t="shared" si="27"/>
        <v>0</v>
      </c>
      <c r="K145" s="482">
        <f t="shared" si="25"/>
        <v>0</v>
      </c>
    </row>
    <row r="146" spans="1:11" ht="12.75" x14ac:dyDescent="0.2">
      <c r="A146" s="369">
        <v>2</v>
      </c>
      <c r="B146" s="370">
        <v>2</v>
      </c>
      <c r="C146" s="370">
        <v>8</v>
      </c>
      <c r="D146" s="370">
        <v>2</v>
      </c>
      <c r="E146" s="370"/>
      <c r="F146" s="382" t="s">
        <v>1001</v>
      </c>
      <c r="G146" s="372">
        <f>G147</f>
        <v>0</v>
      </c>
      <c r="H146" s="372">
        <f t="shared" ref="H146:K146" si="51">H147</f>
        <v>156000</v>
      </c>
      <c r="I146" s="372">
        <f t="shared" si="51"/>
        <v>0</v>
      </c>
      <c r="J146" s="372">
        <f t="shared" si="27"/>
        <v>156000</v>
      </c>
      <c r="K146" s="489">
        <f t="shared" ref="K146:K209" si="52">IFERROR(J146/$J$18*100,"0.00")/100</f>
        <v>8.9494615633975094E-5</v>
      </c>
    </row>
    <row r="147" spans="1:11" ht="12.75" x14ac:dyDescent="0.2">
      <c r="A147" s="373">
        <v>2</v>
      </c>
      <c r="B147" s="374">
        <v>2</v>
      </c>
      <c r="C147" s="374">
        <v>8</v>
      </c>
      <c r="D147" s="374">
        <v>2</v>
      </c>
      <c r="E147" s="374" t="s">
        <v>202</v>
      </c>
      <c r="F147" s="375" t="s">
        <v>1002</v>
      </c>
      <c r="G147" s="376"/>
      <c r="H147" s="376">
        <v>156000</v>
      </c>
      <c r="I147" s="376"/>
      <c r="J147" s="376">
        <f t="shared" si="27"/>
        <v>156000</v>
      </c>
      <c r="K147" s="491">
        <f t="shared" si="52"/>
        <v>8.9494615633975094E-5</v>
      </c>
    </row>
    <row r="148" spans="1:11" ht="12.75" x14ac:dyDescent="0.2">
      <c r="A148" s="369">
        <v>2</v>
      </c>
      <c r="B148" s="370">
        <v>2</v>
      </c>
      <c r="C148" s="370">
        <v>8</v>
      </c>
      <c r="D148" s="370">
        <v>4</v>
      </c>
      <c r="E148" s="370"/>
      <c r="F148" s="382" t="s">
        <v>118</v>
      </c>
      <c r="G148" s="372">
        <f>G149</f>
        <v>0</v>
      </c>
      <c r="H148" s="372">
        <f t="shared" ref="H148:K148" si="53">H149</f>
        <v>0</v>
      </c>
      <c r="I148" s="372">
        <f t="shared" si="53"/>
        <v>0</v>
      </c>
      <c r="J148" s="372">
        <f t="shared" ref="J148:J211" si="54">+G148+H148</f>
        <v>0</v>
      </c>
      <c r="K148" s="489">
        <f t="shared" si="52"/>
        <v>0</v>
      </c>
    </row>
    <row r="149" spans="1:11" ht="12.75" x14ac:dyDescent="0.2">
      <c r="A149" s="373">
        <v>2</v>
      </c>
      <c r="B149" s="374">
        <v>2</v>
      </c>
      <c r="C149" s="374">
        <v>8</v>
      </c>
      <c r="D149" s="374">
        <v>4</v>
      </c>
      <c r="E149" s="374" t="s">
        <v>202</v>
      </c>
      <c r="F149" s="375" t="s">
        <v>118</v>
      </c>
      <c r="G149" s="376"/>
      <c r="H149" s="376"/>
      <c r="I149" s="376"/>
      <c r="J149" s="376">
        <f t="shared" si="54"/>
        <v>0</v>
      </c>
      <c r="K149" s="491">
        <f t="shared" si="52"/>
        <v>0</v>
      </c>
    </row>
    <row r="150" spans="1:11" ht="12.75" x14ac:dyDescent="0.2">
      <c r="A150" s="369">
        <v>2</v>
      </c>
      <c r="B150" s="370">
        <v>2</v>
      </c>
      <c r="C150" s="370">
        <v>8</v>
      </c>
      <c r="D150" s="370">
        <v>5</v>
      </c>
      <c r="E150" s="370"/>
      <c r="F150" s="382" t="s">
        <v>119</v>
      </c>
      <c r="G150" s="372">
        <f>SUM(G151:G153)</f>
        <v>0</v>
      </c>
      <c r="H150" s="372">
        <f t="shared" ref="H150:K150" si="55">SUM(H151:H153)</f>
        <v>0</v>
      </c>
      <c r="I150" s="372">
        <f t="shared" si="55"/>
        <v>0</v>
      </c>
      <c r="J150" s="372">
        <f t="shared" si="54"/>
        <v>0</v>
      </c>
      <c r="K150" s="489">
        <f t="shared" si="52"/>
        <v>0</v>
      </c>
    </row>
    <row r="151" spans="1:11" ht="12.75" x14ac:dyDescent="0.2">
      <c r="A151" s="373">
        <v>2</v>
      </c>
      <c r="B151" s="374">
        <v>2</v>
      </c>
      <c r="C151" s="374">
        <v>8</v>
      </c>
      <c r="D151" s="374">
        <v>5</v>
      </c>
      <c r="E151" s="374" t="s">
        <v>202</v>
      </c>
      <c r="F151" s="375" t="s">
        <v>120</v>
      </c>
      <c r="G151" s="376"/>
      <c r="H151" s="376"/>
      <c r="I151" s="376"/>
      <c r="J151" s="376">
        <f t="shared" si="54"/>
        <v>0</v>
      </c>
      <c r="K151" s="491">
        <f t="shared" si="52"/>
        <v>0</v>
      </c>
    </row>
    <row r="152" spans="1:11" ht="12.75" x14ac:dyDescent="0.2">
      <c r="A152" s="373">
        <v>2</v>
      </c>
      <c r="B152" s="374">
        <v>2</v>
      </c>
      <c r="C152" s="374">
        <v>8</v>
      </c>
      <c r="D152" s="374">
        <v>5</v>
      </c>
      <c r="E152" s="374" t="s">
        <v>203</v>
      </c>
      <c r="F152" s="375" t="s">
        <v>121</v>
      </c>
      <c r="G152" s="376"/>
      <c r="H152" s="27"/>
      <c r="I152" s="27"/>
      <c r="J152" s="27">
        <f t="shared" si="54"/>
        <v>0</v>
      </c>
      <c r="K152" s="482">
        <f t="shared" si="52"/>
        <v>0</v>
      </c>
    </row>
    <row r="153" spans="1:11" ht="12.75" x14ac:dyDescent="0.2">
      <c r="A153" s="373">
        <v>2</v>
      </c>
      <c r="B153" s="374">
        <v>2</v>
      </c>
      <c r="C153" s="374">
        <v>8</v>
      </c>
      <c r="D153" s="374">
        <v>5</v>
      </c>
      <c r="E153" s="374" t="s">
        <v>204</v>
      </c>
      <c r="F153" s="375" t="s">
        <v>210</v>
      </c>
      <c r="G153" s="376"/>
      <c r="H153" s="376"/>
      <c r="I153" s="376"/>
      <c r="J153" s="376">
        <f t="shared" si="54"/>
        <v>0</v>
      </c>
      <c r="K153" s="491">
        <f t="shared" si="52"/>
        <v>0</v>
      </c>
    </row>
    <row r="154" spans="1:11" ht="22.5" x14ac:dyDescent="0.2">
      <c r="A154" s="369">
        <v>2</v>
      </c>
      <c r="B154" s="370">
        <v>2</v>
      </c>
      <c r="C154" s="370">
        <v>8</v>
      </c>
      <c r="D154" s="370">
        <v>6</v>
      </c>
      <c r="E154" s="370"/>
      <c r="F154" s="382" t="s">
        <v>1003</v>
      </c>
      <c r="G154" s="372">
        <f>SUM(G155:G156)</f>
        <v>0</v>
      </c>
      <c r="H154" s="372">
        <f t="shared" ref="H154:I154" si="56">SUM(H155:H156)</f>
        <v>4656081.34</v>
      </c>
      <c r="I154" s="372">
        <f t="shared" si="56"/>
        <v>0</v>
      </c>
      <c r="J154" s="372">
        <f t="shared" si="54"/>
        <v>4656081.34</v>
      </c>
      <c r="K154" s="489">
        <f t="shared" si="52"/>
        <v>2.6711167300245116E-3</v>
      </c>
    </row>
    <row r="155" spans="1:11" ht="12.75" x14ac:dyDescent="0.2">
      <c r="A155" s="373">
        <v>2</v>
      </c>
      <c r="B155" s="374">
        <v>2</v>
      </c>
      <c r="C155" s="374">
        <v>8</v>
      </c>
      <c r="D155" s="374">
        <v>6</v>
      </c>
      <c r="E155" s="374" t="s">
        <v>202</v>
      </c>
      <c r="F155" s="375" t="s">
        <v>444</v>
      </c>
      <c r="G155" s="376"/>
      <c r="H155" s="376">
        <v>4656081.34</v>
      </c>
      <c r="I155" s="376"/>
      <c r="J155" s="376">
        <f t="shared" si="54"/>
        <v>4656081.34</v>
      </c>
      <c r="K155" s="491">
        <f t="shared" si="52"/>
        <v>2.6711167300245116E-3</v>
      </c>
    </row>
    <row r="156" spans="1:11" ht="12.75" x14ac:dyDescent="0.2">
      <c r="A156" s="373">
        <v>2</v>
      </c>
      <c r="B156" s="374">
        <v>2</v>
      </c>
      <c r="C156" s="374">
        <v>8</v>
      </c>
      <c r="D156" s="374">
        <v>6</v>
      </c>
      <c r="E156" s="374" t="s">
        <v>203</v>
      </c>
      <c r="F156" s="375" t="s">
        <v>122</v>
      </c>
      <c r="G156" s="376"/>
      <c r="H156" s="27"/>
      <c r="I156" s="27"/>
      <c r="J156" s="27">
        <f t="shared" si="54"/>
        <v>0</v>
      </c>
      <c r="K156" s="482">
        <f t="shared" si="52"/>
        <v>0</v>
      </c>
    </row>
    <row r="157" spans="1:11" ht="12.75" x14ac:dyDescent="0.2">
      <c r="A157" s="369">
        <v>2</v>
      </c>
      <c r="B157" s="370">
        <v>2</v>
      </c>
      <c r="C157" s="370">
        <v>8</v>
      </c>
      <c r="D157" s="370">
        <v>7</v>
      </c>
      <c r="E157" s="370"/>
      <c r="F157" s="382" t="s">
        <v>123</v>
      </c>
      <c r="G157" s="372">
        <f>SUM(G158:G163)</f>
        <v>0</v>
      </c>
      <c r="H157" s="29">
        <f>+H158</f>
        <v>0</v>
      </c>
      <c r="I157" s="29">
        <f>+I158</f>
        <v>0</v>
      </c>
      <c r="J157" s="29">
        <f t="shared" si="54"/>
        <v>0</v>
      </c>
      <c r="K157" s="483">
        <f t="shared" si="52"/>
        <v>0</v>
      </c>
    </row>
    <row r="158" spans="1:11" ht="12.75" x14ac:dyDescent="0.2">
      <c r="A158" s="373">
        <v>2</v>
      </c>
      <c r="B158" s="374">
        <v>2</v>
      </c>
      <c r="C158" s="374">
        <v>8</v>
      </c>
      <c r="D158" s="374">
        <v>7</v>
      </c>
      <c r="E158" s="374" t="s">
        <v>202</v>
      </c>
      <c r="F158" s="375" t="s">
        <v>123</v>
      </c>
      <c r="G158" s="376"/>
      <c r="H158" s="376"/>
      <c r="I158" s="376"/>
      <c r="J158" s="376">
        <f t="shared" si="54"/>
        <v>0</v>
      </c>
      <c r="K158" s="491">
        <f t="shared" si="52"/>
        <v>0</v>
      </c>
    </row>
    <row r="159" spans="1:11" ht="12.75" x14ac:dyDescent="0.2">
      <c r="A159" s="373">
        <v>2</v>
      </c>
      <c r="B159" s="374">
        <v>2</v>
      </c>
      <c r="C159" s="374">
        <v>8</v>
      </c>
      <c r="D159" s="374">
        <v>7</v>
      </c>
      <c r="E159" s="374" t="s">
        <v>203</v>
      </c>
      <c r="F159" s="375" t="s">
        <v>124</v>
      </c>
      <c r="G159" s="376"/>
      <c r="H159" s="376"/>
      <c r="I159" s="376"/>
      <c r="J159" s="376">
        <f t="shared" si="54"/>
        <v>0</v>
      </c>
      <c r="K159" s="491">
        <f t="shared" si="52"/>
        <v>0</v>
      </c>
    </row>
    <row r="160" spans="1:11" ht="12.75" x14ac:dyDescent="0.2">
      <c r="A160" s="373">
        <v>2</v>
      </c>
      <c r="B160" s="374">
        <v>2</v>
      </c>
      <c r="C160" s="374">
        <v>8</v>
      </c>
      <c r="D160" s="374">
        <v>7</v>
      </c>
      <c r="E160" s="374" t="s">
        <v>204</v>
      </c>
      <c r="F160" s="375" t="s">
        <v>125</v>
      </c>
      <c r="G160" s="376"/>
      <c r="H160" s="376"/>
      <c r="I160" s="376"/>
      <c r="J160" s="376">
        <f t="shared" si="54"/>
        <v>0</v>
      </c>
      <c r="K160" s="491">
        <f t="shared" si="52"/>
        <v>0</v>
      </c>
    </row>
    <row r="161" spans="1:11" ht="12.75" x14ac:dyDescent="0.2">
      <c r="A161" s="373">
        <v>2</v>
      </c>
      <c r="B161" s="374">
        <v>2</v>
      </c>
      <c r="C161" s="374">
        <v>8</v>
      </c>
      <c r="D161" s="374">
        <v>7</v>
      </c>
      <c r="E161" s="374" t="s">
        <v>205</v>
      </c>
      <c r="F161" s="375" t="s">
        <v>126</v>
      </c>
      <c r="G161" s="376"/>
      <c r="H161" s="376"/>
      <c r="I161" s="376"/>
      <c r="J161" s="376">
        <f t="shared" si="54"/>
        <v>0</v>
      </c>
      <c r="K161" s="491">
        <f t="shared" si="52"/>
        <v>0</v>
      </c>
    </row>
    <row r="162" spans="1:11" ht="22.5" x14ac:dyDescent="0.2">
      <c r="A162" s="373">
        <v>2</v>
      </c>
      <c r="B162" s="374">
        <v>2</v>
      </c>
      <c r="C162" s="374">
        <v>8</v>
      </c>
      <c r="D162" s="374">
        <v>7</v>
      </c>
      <c r="E162" s="374" t="s">
        <v>208</v>
      </c>
      <c r="F162" s="375" t="s">
        <v>127</v>
      </c>
      <c r="G162" s="376"/>
      <c r="H162" s="376"/>
      <c r="I162" s="376"/>
      <c r="J162" s="376">
        <f t="shared" si="54"/>
        <v>0</v>
      </c>
      <c r="K162" s="491">
        <f t="shared" si="52"/>
        <v>0</v>
      </c>
    </row>
    <row r="163" spans="1:11" ht="12.75" x14ac:dyDescent="0.2">
      <c r="A163" s="373">
        <v>2</v>
      </c>
      <c r="B163" s="374">
        <v>2</v>
      </c>
      <c r="C163" s="374">
        <v>8</v>
      </c>
      <c r="D163" s="374">
        <v>7</v>
      </c>
      <c r="E163" s="374" t="s">
        <v>233</v>
      </c>
      <c r="F163" s="375" t="s">
        <v>128</v>
      </c>
      <c r="G163" s="376"/>
      <c r="H163" s="376"/>
      <c r="I163" s="376"/>
      <c r="J163" s="376">
        <f t="shared" si="54"/>
        <v>0</v>
      </c>
      <c r="K163" s="491">
        <f t="shared" si="52"/>
        <v>0</v>
      </c>
    </row>
    <row r="164" spans="1:11" ht="12.75" x14ac:dyDescent="0.2">
      <c r="A164" s="369">
        <v>2</v>
      </c>
      <c r="B164" s="370">
        <v>2</v>
      </c>
      <c r="C164" s="370">
        <v>8</v>
      </c>
      <c r="D164" s="370">
        <v>8</v>
      </c>
      <c r="E164" s="370"/>
      <c r="F164" s="382" t="s">
        <v>129</v>
      </c>
      <c r="G164" s="372">
        <f>SUM(G165:G166)</f>
        <v>0</v>
      </c>
      <c r="H164" s="372">
        <f t="shared" ref="H164:K164" si="57">SUM(H165:H166)</f>
        <v>0</v>
      </c>
      <c r="I164" s="372">
        <f t="shared" si="57"/>
        <v>0</v>
      </c>
      <c r="J164" s="372">
        <f t="shared" si="54"/>
        <v>0</v>
      </c>
      <c r="K164" s="489">
        <f t="shared" si="52"/>
        <v>0</v>
      </c>
    </row>
    <row r="165" spans="1:11" ht="12.75" x14ac:dyDescent="0.2">
      <c r="A165" s="373">
        <v>2</v>
      </c>
      <c r="B165" s="374">
        <v>2</v>
      </c>
      <c r="C165" s="374">
        <v>8</v>
      </c>
      <c r="D165" s="374">
        <v>8</v>
      </c>
      <c r="E165" s="374" t="s">
        <v>202</v>
      </c>
      <c r="F165" s="375" t="s">
        <v>130</v>
      </c>
      <c r="G165" s="376"/>
      <c r="H165" s="376"/>
      <c r="I165" s="376"/>
      <c r="J165" s="376">
        <f t="shared" si="54"/>
        <v>0</v>
      </c>
      <c r="K165" s="491">
        <f t="shared" si="52"/>
        <v>0</v>
      </c>
    </row>
    <row r="166" spans="1:11" ht="12.75" x14ac:dyDescent="0.2">
      <c r="A166" s="373">
        <v>2</v>
      </c>
      <c r="B166" s="374">
        <v>2</v>
      </c>
      <c r="C166" s="374">
        <v>8</v>
      </c>
      <c r="D166" s="374">
        <v>8</v>
      </c>
      <c r="E166" s="374" t="s">
        <v>203</v>
      </c>
      <c r="F166" s="375" t="s">
        <v>131</v>
      </c>
      <c r="G166" s="376"/>
      <c r="H166" s="376"/>
      <c r="I166" s="376"/>
      <c r="J166" s="376">
        <f t="shared" si="54"/>
        <v>0</v>
      </c>
      <c r="K166" s="491">
        <f t="shared" si="52"/>
        <v>0</v>
      </c>
    </row>
    <row r="167" spans="1:11" ht="12.75" x14ac:dyDescent="0.2">
      <c r="A167" s="369">
        <v>2</v>
      </c>
      <c r="B167" s="370">
        <v>2</v>
      </c>
      <c r="C167" s="370">
        <v>9</v>
      </c>
      <c r="D167" s="370">
        <v>2</v>
      </c>
      <c r="E167" s="374"/>
      <c r="F167" s="382" t="s">
        <v>1004</v>
      </c>
      <c r="G167" s="372">
        <f>+G168+G169</f>
        <v>0</v>
      </c>
      <c r="H167" s="372">
        <f t="shared" ref="H167:I167" si="58">+H168+H169</f>
        <v>0</v>
      </c>
      <c r="I167" s="372">
        <f t="shared" si="58"/>
        <v>0</v>
      </c>
      <c r="J167" s="372">
        <f t="shared" si="54"/>
        <v>0</v>
      </c>
      <c r="K167" s="489">
        <f t="shared" si="52"/>
        <v>0</v>
      </c>
    </row>
    <row r="168" spans="1:11" ht="12.75" x14ac:dyDescent="0.2">
      <c r="A168" s="373">
        <v>2</v>
      </c>
      <c r="B168" s="374">
        <v>2</v>
      </c>
      <c r="C168" s="374">
        <v>9</v>
      </c>
      <c r="D168" s="374">
        <v>2</v>
      </c>
      <c r="E168" s="374" t="s">
        <v>964</v>
      </c>
      <c r="F168" s="375" t="s">
        <v>1004</v>
      </c>
      <c r="G168" s="385"/>
      <c r="H168" s="27"/>
      <c r="I168" s="27"/>
      <c r="J168" s="27">
        <f t="shared" si="54"/>
        <v>0</v>
      </c>
      <c r="K168" s="482">
        <f t="shared" si="52"/>
        <v>0</v>
      </c>
    </row>
    <row r="169" spans="1:11" ht="12.75" x14ac:dyDescent="0.2">
      <c r="A169" s="373">
        <v>2</v>
      </c>
      <c r="B169" s="374">
        <v>2</v>
      </c>
      <c r="C169" s="374">
        <v>9</v>
      </c>
      <c r="D169" s="374">
        <v>2</v>
      </c>
      <c r="E169" s="374" t="s">
        <v>204</v>
      </c>
      <c r="F169" s="375" t="s">
        <v>1006</v>
      </c>
      <c r="G169" s="376"/>
      <c r="H169" s="27"/>
      <c r="I169" s="27"/>
      <c r="J169" s="27">
        <f t="shared" si="54"/>
        <v>0</v>
      </c>
      <c r="K169" s="482">
        <f t="shared" si="52"/>
        <v>0</v>
      </c>
    </row>
    <row r="170" spans="1:11" ht="12.75" x14ac:dyDescent="0.2">
      <c r="A170" s="361">
        <v>2</v>
      </c>
      <c r="B170" s="362">
        <v>3</v>
      </c>
      <c r="C170" s="362"/>
      <c r="D170" s="362"/>
      <c r="E170" s="362"/>
      <c r="F170" s="363" t="s">
        <v>27</v>
      </c>
      <c r="G170" s="364">
        <f>+G171+G179+G188+G197+G200+G209+G224+G237</f>
        <v>271887331.00999999</v>
      </c>
      <c r="H170" s="364">
        <f>+H171+H179+H188+H197+H200+H209+H224+H237</f>
        <v>66669444.390000001</v>
      </c>
      <c r="I170" s="364">
        <f t="shared" ref="H170:K170" si="59">+I171+I179+I188+I197+I200+I209+I224+I237</f>
        <v>0</v>
      </c>
      <c r="J170" s="364">
        <f t="shared" si="54"/>
        <v>338556775.39999998</v>
      </c>
      <c r="K170" s="493">
        <f t="shared" si="52"/>
        <v>0.19422441336346816</v>
      </c>
    </row>
    <row r="171" spans="1:11" ht="12.75" x14ac:dyDescent="0.2">
      <c r="A171" s="365">
        <v>2</v>
      </c>
      <c r="B171" s="366">
        <v>3</v>
      </c>
      <c r="C171" s="366">
        <v>1</v>
      </c>
      <c r="D171" s="366"/>
      <c r="E171" s="366"/>
      <c r="F171" s="367" t="s">
        <v>28</v>
      </c>
      <c r="G171" s="368">
        <f>+G172+G174+G177</f>
        <v>0</v>
      </c>
      <c r="H171" s="368">
        <f t="shared" ref="H171:K171" si="60">+H172+H174+H177</f>
        <v>40796960.810000002</v>
      </c>
      <c r="I171" s="368">
        <f t="shared" si="60"/>
        <v>0</v>
      </c>
      <c r="J171" s="368">
        <f t="shared" si="54"/>
        <v>40796960.810000002</v>
      </c>
      <c r="K171" s="492">
        <f t="shared" si="52"/>
        <v>2.3404540555931382E-2</v>
      </c>
    </row>
    <row r="172" spans="1:11" ht="12.75" x14ac:dyDescent="0.2">
      <c r="A172" s="369">
        <v>2</v>
      </c>
      <c r="B172" s="370">
        <v>3</v>
      </c>
      <c r="C172" s="370">
        <v>1</v>
      </c>
      <c r="D172" s="370">
        <v>1</v>
      </c>
      <c r="E172" s="370"/>
      <c r="F172" s="382" t="s">
        <v>133</v>
      </c>
      <c r="G172" s="372">
        <f>+G173</f>
        <v>0</v>
      </c>
      <c r="H172" s="372">
        <f t="shared" ref="H172:K172" si="61">+H173</f>
        <v>40796960.810000002</v>
      </c>
      <c r="I172" s="372">
        <f t="shared" si="61"/>
        <v>0</v>
      </c>
      <c r="J172" s="372">
        <f t="shared" si="54"/>
        <v>40796960.810000002</v>
      </c>
      <c r="K172" s="489">
        <f t="shared" si="52"/>
        <v>2.3404540555931382E-2</v>
      </c>
    </row>
    <row r="173" spans="1:11" ht="12.75" x14ac:dyDescent="0.2">
      <c r="A173" s="373">
        <v>2</v>
      </c>
      <c r="B173" s="374">
        <v>3</v>
      </c>
      <c r="C173" s="374">
        <v>1</v>
      </c>
      <c r="D173" s="374">
        <v>1</v>
      </c>
      <c r="E173" s="374" t="s">
        <v>202</v>
      </c>
      <c r="F173" s="375" t="s">
        <v>133</v>
      </c>
      <c r="G173" s="376"/>
      <c r="H173" s="27">
        <v>40796960.810000002</v>
      </c>
      <c r="I173" s="27"/>
      <c r="J173" s="27">
        <f t="shared" si="54"/>
        <v>40796960.810000002</v>
      </c>
      <c r="K173" s="482">
        <f t="shared" si="52"/>
        <v>2.3404540555931382E-2</v>
      </c>
    </row>
    <row r="174" spans="1:11" ht="12.75" x14ac:dyDescent="0.2">
      <c r="A174" s="369">
        <v>2</v>
      </c>
      <c r="B174" s="370">
        <v>3</v>
      </c>
      <c r="C174" s="370">
        <v>1</v>
      </c>
      <c r="D174" s="370">
        <v>3</v>
      </c>
      <c r="E174" s="370"/>
      <c r="F174" s="382" t="s">
        <v>134</v>
      </c>
      <c r="G174" s="372">
        <f>SUM(G175:G176)</f>
        <v>0</v>
      </c>
      <c r="H174" s="372">
        <f t="shared" ref="H174:K174" si="62">SUM(H175:H176)</f>
        <v>0</v>
      </c>
      <c r="I174" s="372">
        <f t="shared" si="62"/>
        <v>0</v>
      </c>
      <c r="J174" s="372">
        <f t="shared" si="54"/>
        <v>0</v>
      </c>
      <c r="K174" s="489">
        <f t="shared" si="52"/>
        <v>0</v>
      </c>
    </row>
    <row r="175" spans="1:11" ht="12.75" x14ac:dyDescent="0.2">
      <c r="A175" s="373">
        <v>2</v>
      </c>
      <c r="B175" s="374">
        <v>3</v>
      </c>
      <c r="C175" s="374">
        <v>1</v>
      </c>
      <c r="D175" s="374">
        <v>3</v>
      </c>
      <c r="E175" s="374" t="s">
        <v>203</v>
      </c>
      <c r="F175" s="375" t="s">
        <v>135</v>
      </c>
      <c r="G175" s="376"/>
      <c r="H175" s="27"/>
      <c r="I175" s="27"/>
      <c r="J175" s="27">
        <f t="shared" si="54"/>
        <v>0</v>
      </c>
      <c r="K175" s="482">
        <f t="shared" si="52"/>
        <v>0</v>
      </c>
    </row>
    <row r="176" spans="1:11" ht="12.75" x14ac:dyDescent="0.2">
      <c r="A176" s="373">
        <v>2</v>
      </c>
      <c r="B176" s="374">
        <v>3</v>
      </c>
      <c r="C176" s="374">
        <v>1</v>
      </c>
      <c r="D176" s="374">
        <v>3</v>
      </c>
      <c r="E176" s="374" t="s">
        <v>204</v>
      </c>
      <c r="F176" s="375" t="s">
        <v>136</v>
      </c>
      <c r="G176" s="383"/>
      <c r="H176" s="27"/>
      <c r="I176" s="27"/>
      <c r="J176" s="27">
        <f t="shared" si="54"/>
        <v>0</v>
      </c>
      <c r="K176" s="482">
        <f t="shared" si="52"/>
        <v>0</v>
      </c>
    </row>
    <row r="177" spans="1:11" ht="12.75" x14ac:dyDescent="0.2">
      <c r="A177" s="369">
        <v>2</v>
      </c>
      <c r="B177" s="370">
        <v>3</v>
      </c>
      <c r="C177" s="370">
        <v>1</v>
      </c>
      <c r="D177" s="370">
        <v>4</v>
      </c>
      <c r="E177" s="370"/>
      <c r="F177" s="382" t="s">
        <v>137</v>
      </c>
      <c r="G177" s="384">
        <f>+G178</f>
        <v>0</v>
      </c>
      <c r="H177" s="384">
        <f t="shared" ref="H177:K177" si="63">+H178</f>
        <v>0</v>
      </c>
      <c r="I177" s="384">
        <f t="shared" si="63"/>
        <v>0</v>
      </c>
      <c r="J177" s="384">
        <f t="shared" si="54"/>
        <v>0</v>
      </c>
      <c r="K177" s="494">
        <f t="shared" si="52"/>
        <v>0</v>
      </c>
    </row>
    <row r="178" spans="1:11" ht="12.75" x14ac:dyDescent="0.2">
      <c r="A178" s="373">
        <v>2</v>
      </c>
      <c r="B178" s="374">
        <v>3</v>
      </c>
      <c r="C178" s="374">
        <v>1</v>
      </c>
      <c r="D178" s="374">
        <v>4</v>
      </c>
      <c r="E178" s="374" t="s">
        <v>202</v>
      </c>
      <c r="F178" s="375" t="s">
        <v>137</v>
      </c>
      <c r="G178" s="383"/>
      <c r="H178" s="27"/>
      <c r="I178" s="27"/>
      <c r="J178" s="27">
        <f t="shared" si="54"/>
        <v>0</v>
      </c>
      <c r="K178" s="482">
        <f t="shared" si="52"/>
        <v>0</v>
      </c>
    </row>
    <row r="179" spans="1:11" ht="12.75" x14ac:dyDescent="0.2">
      <c r="A179" s="365">
        <v>2</v>
      </c>
      <c r="B179" s="366">
        <v>3</v>
      </c>
      <c r="C179" s="366">
        <v>2</v>
      </c>
      <c r="D179" s="366"/>
      <c r="E179" s="366"/>
      <c r="F179" s="367" t="s">
        <v>29</v>
      </c>
      <c r="G179" s="368">
        <f>+G180+G182+G184+G186</f>
        <v>0</v>
      </c>
      <c r="H179" s="368">
        <f t="shared" ref="H179:K179" si="64">+H180+H182+H184+H186</f>
        <v>2793648.81</v>
      </c>
      <c r="I179" s="368">
        <f t="shared" si="64"/>
        <v>0</v>
      </c>
      <c r="J179" s="368">
        <f t="shared" si="54"/>
        <v>2793648.81</v>
      </c>
      <c r="K179" s="492">
        <f t="shared" si="52"/>
        <v>1.6026700414568074E-3</v>
      </c>
    </row>
    <row r="180" spans="1:11" ht="12.75" x14ac:dyDescent="0.2">
      <c r="A180" s="369">
        <v>2</v>
      </c>
      <c r="B180" s="370">
        <v>3</v>
      </c>
      <c r="C180" s="370">
        <v>2</v>
      </c>
      <c r="D180" s="370">
        <v>1</v>
      </c>
      <c r="E180" s="370"/>
      <c r="F180" s="382" t="s">
        <v>1007</v>
      </c>
      <c r="G180" s="384">
        <f>+G181</f>
        <v>0</v>
      </c>
      <c r="H180" s="384">
        <f t="shared" ref="H180:K180" si="65">+H181</f>
        <v>0</v>
      </c>
      <c r="I180" s="384">
        <f t="shared" si="65"/>
        <v>0</v>
      </c>
      <c r="J180" s="384">
        <f t="shared" si="54"/>
        <v>0</v>
      </c>
      <c r="K180" s="494">
        <f t="shared" si="52"/>
        <v>0</v>
      </c>
    </row>
    <row r="181" spans="1:11" ht="12.75" x14ac:dyDescent="0.2">
      <c r="A181" s="373">
        <v>2</v>
      </c>
      <c r="B181" s="374">
        <v>3</v>
      </c>
      <c r="C181" s="374">
        <v>2</v>
      </c>
      <c r="D181" s="374">
        <v>1</v>
      </c>
      <c r="E181" s="374" t="s">
        <v>202</v>
      </c>
      <c r="F181" s="375" t="s">
        <v>1007</v>
      </c>
      <c r="G181" s="383"/>
      <c r="H181" s="383"/>
      <c r="I181" s="383"/>
      <c r="J181" s="383">
        <f t="shared" si="54"/>
        <v>0</v>
      </c>
      <c r="K181" s="495">
        <f t="shared" si="52"/>
        <v>0</v>
      </c>
    </row>
    <row r="182" spans="1:11" ht="12.75" x14ac:dyDescent="0.2">
      <c r="A182" s="369">
        <v>2</v>
      </c>
      <c r="B182" s="370">
        <v>3</v>
      </c>
      <c r="C182" s="370">
        <v>2</v>
      </c>
      <c r="D182" s="370">
        <v>2</v>
      </c>
      <c r="E182" s="370"/>
      <c r="F182" s="382" t="s">
        <v>138</v>
      </c>
      <c r="G182" s="384">
        <f>+G183</f>
        <v>0</v>
      </c>
      <c r="H182" s="384">
        <f t="shared" ref="H182:K182" si="66">+H183</f>
        <v>0</v>
      </c>
      <c r="I182" s="384">
        <f t="shared" si="66"/>
        <v>0</v>
      </c>
      <c r="J182" s="384">
        <f t="shared" si="54"/>
        <v>0</v>
      </c>
      <c r="K182" s="494">
        <f t="shared" si="52"/>
        <v>0</v>
      </c>
    </row>
    <row r="183" spans="1:11" ht="12.75" x14ac:dyDescent="0.2">
      <c r="A183" s="373">
        <v>2</v>
      </c>
      <c r="B183" s="374">
        <v>3</v>
      </c>
      <c r="C183" s="374">
        <v>2</v>
      </c>
      <c r="D183" s="374">
        <v>2</v>
      </c>
      <c r="E183" s="374" t="s">
        <v>202</v>
      </c>
      <c r="F183" s="375" t="s">
        <v>138</v>
      </c>
      <c r="G183" s="383"/>
      <c r="H183" s="383"/>
      <c r="I183" s="383"/>
      <c r="J183" s="383">
        <f t="shared" si="54"/>
        <v>0</v>
      </c>
      <c r="K183" s="495">
        <f t="shared" si="52"/>
        <v>0</v>
      </c>
    </row>
    <row r="184" spans="1:11" ht="12.75" x14ac:dyDescent="0.2">
      <c r="A184" s="369">
        <v>2</v>
      </c>
      <c r="B184" s="370">
        <v>3</v>
      </c>
      <c r="C184" s="370">
        <v>2</v>
      </c>
      <c r="D184" s="370">
        <v>3</v>
      </c>
      <c r="E184" s="370"/>
      <c r="F184" s="382" t="s">
        <v>139</v>
      </c>
      <c r="G184" s="384">
        <f>+G185</f>
        <v>0</v>
      </c>
      <c r="H184" s="384">
        <f t="shared" ref="H184:K184" si="67">+H185</f>
        <v>2793648.81</v>
      </c>
      <c r="I184" s="384">
        <f t="shared" si="67"/>
        <v>0</v>
      </c>
      <c r="J184" s="384">
        <f t="shared" si="54"/>
        <v>2793648.81</v>
      </c>
      <c r="K184" s="494">
        <f t="shared" si="52"/>
        <v>1.6026700414568074E-3</v>
      </c>
    </row>
    <row r="185" spans="1:11" ht="12.75" x14ac:dyDescent="0.2">
      <c r="A185" s="373">
        <v>2</v>
      </c>
      <c r="B185" s="374">
        <v>3</v>
      </c>
      <c r="C185" s="374">
        <v>2</v>
      </c>
      <c r="D185" s="374">
        <v>3</v>
      </c>
      <c r="E185" s="374" t="s">
        <v>202</v>
      </c>
      <c r="F185" s="375" t="s">
        <v>139</v>
      </c>
      <c r="G185" s="383"/>
      <c r="H185" s="27">
        <v>2793648.81</v>
      </c>
      <c r="I185" s="27"/>
      <c r="J185" s="27">
        <f t="shared" si="54"/>
        <v>2793648.81</v>
      </c>
      <c r="K185" s="482">
        <f t="shared" si="52"/>
        <v>1.6026700414568074E-3</v>
      </c>
    </row>
    <row r="186" spans="1:11" ht="12.75" x14ac:dyDescent="0.2">
      <c r="A186" s="369">
        <v>2</v>
      </c>
      <c r="B186" s="370">
        <v>3</v>
      </c>
      <c r="C186" s="370">
        <v>2</v>
      </c>
      <c r="D186" s="370">
        <v>4</v>
      </c>
      <c r="E186" s="370"/>
      <c r="F186" s="382" t="s">
        <v>30</v>
      </c>
      <c r="G186" s="384">
        <f>+G187</f>
        <v>0</v>
      </c>
      <c r="H186" s="384">
        <f t="shared" ref="H186:K186" si="68">+H187</f>
        <v>0</v>
      </c>
      <c r="I186" s="384">
        <f t="shared" si="68"/>
        <v>0</v>
      </c>
      <c r="J186" s="384">
        <f t="shared" si="54"/>
        <v>0</v>
      </c>
      <c r="K186" s="494">
        <f t="shared" si="52"/>
        <v>0</v>
      </c>
    </row>
    <row r="187" spans="1:11" ht="12.75" x14ac:dyDescent="0.2">
      <c r="A187" s="373">
        <v>2</v>
      </c>
      <c r="B187" s="374">
        <v>3</v>
      </c>
      <c r="C187" s="374">
        <v>2</v>
      </c>
      <c r="D187" s="374">
        <v>4</v>
      </c>
      <c r="E187" s="374" t="s">
        <v>202</v>
      </c>
      <c r="F187" s="375" t="s">
        <v>30</v>
      </c>
      <c r="G187" s="383"/>
      <c r="H187" s="27"/>
      <c r="I187" s="27"/>
      <c r="J187" s="27">
        <f t="shared" si="54"/>
        <v>0</v>
      </c>
      <c r="K187" s="482">
        <f t="shared" si="52"/>
        <v>0</v>
      </c>
    </row>
    <row r="188" spans="1:11" ht="12.75" x14ac:dyDescent="0.2">
      <c r="A188" s="365">
        <v>2</v>
      </c>
      <c r="B188" s="366">
        <v>3</v>
      </c>
      <c r="C188" s="366">
        <v>3</v>
      </c>
      <c r="D188" s="366"/>
      <c r="E188" s="366"/>
      <c r="F188" s="367" t="s">
        <v>249</v>
      </c>
      <c r="G188" s="368">
        <f>+G189+G191+G193+G195</f>
        <v>17400</v>
      </c>
      <c r="H188" s="368">
        <f t="shared" ref="H188:K188" si="69">+H189+H191+H193+H195</f>
        <v>3019400</v>
      </c>
      <c r="I188" s="368">
        <f t="shared" si="69"/>
        <v>0</v>
      </c>
      <c r="J188" s="368">
        <f t="shared" si="54"/>
        <v>3036800</v>
      </c>
      <c r="K188" s="492">
        <f t="shared" si="52"/>
        <v>1.7421618510080486E-3</v>
      </c>
    </row>
    <row r="189" spans="1:11" ht="12.75" x14ac:dyDescent="0.2">
      <c r="A189" s="369">
        <v>2</v>
      </c>
      <c r="B189" s="370">
        <v>3</v>
      </c>
      <c r="C189" s="370">
        <v>3</v>
      </c>
      <c r="D189" s="370">
        <v>1</v>
      </c>
      <c r="E189" s="370"/>
      <c r="F189" s="382" t="s">
        <v>140</v>
      </c>
      <c r="G189" s="372">
        <f>G190</f>
        <v>0</v>
      </c>
      <c r="H189" s="372">
        <f t="shared" ref="H189:K189" si="70">H190</f>
        <v>0</v>
      </c>
      <c r="I189" s="372">
        <f t="shared" si="70"/>
        <v>0</v>
      </c>
      <c r="J189" s="372">
        <f t="shared" si="54"/>
        <v>0</v>
      </c>
      <c r="K189" s="489">
        <f t="shared" si="52"/>
        <v>0</v>
      </c>
    </row>
    <row r="190" spans="1:11" ht="12.75" x14ac:dyDescent="0.2">
      <c r="A190" s="373">
        <v>2</v>
      </c>
      <c r="B190" s="374">
        <v>3</v>
      </c>
      <c r="C190" s="374">
        <v>3</v>
      </c>
      <c r="D190" s="374">
        <v>1</v>
      </c>
      <c r="E190" s="374" t="s">
        <v>202</v>
      </c>
      <c r="F190" s="375" t="s">
        <v>140</v>
      </c>
      <c r="G190" s="376"/>
      <c r="H190" s="376"/>
      <c r="I190" s="376"/>
      <c r="J190" s="376">
        <f t="shared" si="54"/>
        <v>0</v>
      </c>
      <c r="K190" s="491">
        <f t="shared" si="52"/>
        <v>0</v>
      </c>
    </row>
    <row r="191" spans="1:11" ht="12.75" x14ac:dyDescent="0.2">
      <c r="A191" s="369">
        <v>2</v>
      </c>
      <c r="B191" s="370">
        <v>3</v>
      </c>
      <c r="C191" s="370">
        <v>3</v>
      </c>
      <c r="D191" s="370">
        <v>2</v>
      </c>
      <c r="E191" s="370"/>
      <c r="F191" s="382" t="s">
        <v>141</v>
      </c>
      <c r="G191" s="384">
        <f>+G192</f>
        <v>0</v>
      </c>
      <c r="H191" s="384">
        <f t="shared" ref="H191:K191" si="71">+H192</f>
        <v>0</v>
      </c>
      <c r="I191" s="384">
        <f t="shared" si="71"/>
        <v>0</v>
      </c>
      <c r="J191" s="384">
        <f t="shared" si="54"/>
        <v>0</v>
      </c>
      <c r="K191" s="494">
        <f t="shared" si="52"/>
        <v>0</v>
      </c>
    </row>
    <row r="192" spans="1:11" ht="12.75" x14ac:dyDescent="0.2">
      <c r="A192" s="373">
        <v>2</v>
      </c>
      <c r="B192" s="374">
        <v>3</v>
      </c>
      <c r="C192" s="374">
        <v>3</v>
      </c>
      <c r="D192" s="374">
        <v>2</v>
      </c>
      <c r="E192" s="374" t="s">
        <v>202</v>
      </c>
      <c r="F192" s="375" t="s">
        <v>141</v>
      </c>
      <c r="G192" s="376"/>
      <c r="H192" s="376"/>
      <c r="I192" s="376"/>
      <c r="J192" s="376">
        <f t="shared" si="54"/>
        <v>0</v>
      </c>
      <c r="K192" s="491">
        <f t="shared" si="52"/>
        <v>0</v>
      </c>
    </row>
    <row r="193" spans="1:11" ht="12.75" x14ac:dyDescent="0.2">
      <c r="A193" s="369">
        <v>2</v>
      </c>
      <c r="B193" s="370">
        <v>3</v>
      </c>
      <c r="C193" s="370">
        <v>3</v>
      </c>
      <c r="D193" s="370">
        <v>3</v>
      </c>
      <c r="E193" s="370"/>
      <c r="F193" s="382" t="s">
        <v>142</v>
      </c>
      <c r="G193" s="384">
        <f>+G194</f>
        <v>17400</v>
      </c>
      <c r="H193" s="384">
        <f t="shared" ref="H193:I193" si="72">+H194</f>
        <v>3019400</v>
      </c>
      <c r="I193" s="384">
        <f t="shared" si="72"/>
        <v>0</v>
      </c>
      <c r="J193" s="384">
        <f t="shared" si="54"/>
        <v>3036800</v>
      </c>
      <c r="K193" s="494">
        <f t="shared" si="52"/>
        <v>1.7421618510080486E-3</v>
      </c>
    </row>
    <row r="194" spans="1:11" ht="12.75" x14ac:dyDescent="0.2">
      <c r="A194" s="373">
        <v>2</v>
      </c>
      <c r="B194" s="374">
        <v>3</v>
      </c>
      <c r="C194" s="374">
        <v>3</v>
      </c>
      <c r="D194" s="374">
        <v>3</v>
      </c>
      <c r="E194" s="374" t="s">
        <v>202</v>
      </c>
      <c r="F194" s="375" t="s">
        <v>142</v>
      </c>
      <c r="G194" s="376">
        <v>17400</v>
      </c>
      <c r="H194" s="27">
        <v>3019400</v>
      </c>
      <c r="I194" s="27"/>
      <c r="J194" s="27">
        <f t="shared" si="54"/>
        <v>3036800</v>
      </c>
      <c r="K194" s="482">
        <f t="shared" si="52"/>
        <v>1.7421618510080486E-3</v>
      </c>
    </row>
    <row r="195" spans="1:11" ht="12.75" x14ac:dyDescent="0.2">
      <c r="A195" s="369">
        <v>2</v>
      </c>
      <c r="B195" s="370">
        <v>3</v>
      </c>
      <c r="C195" s="370">
        <v>3</v>
      </c>
      <c r="D195" s="370">
        <v>4</v>
      </c>
      <c r="E195" s="370"/>
      <c r="F195" s="382" t="s">
        <v>143</v>
      </c>
      <c r="G195" s="384">
        <f>+G196</f>
        <v>0</v>
      </c>
      <c r="H195" s="384">
        <f t="shared" ref="H195:K195" si="73">+H196</f>
        <v>0</v>
      </c>
      <c r="I195" s="384">
        <f t="shared" si="73"/>
        <v>0</v>
      </c>
      <c r="J195" s="384">
        <f t="shared" si="54"/>
        <v>0</v>
      </c>
      <c r="K195" s="494">
        <f t="shared" si="52"/>
        <v>0</v>
      </c>
    </row>
    <row r="196" spans="1:11" ht="12.75" x14ac:dyDescent="0.2">
      <c r="A196" s="373">
        <v>2</v>
      </c>
      <c r="B196" s="374">
        <v>3</v>
      </c>
      <c r="C196" s="374">
        <v>3</v>
      </c>
      <c r="D196" s="374">
        <v>4</v>
      </c>
      <c r="E196" s="374" t="s">
        <v>202</v>
      </c>
      <c r="F196" s="375" t="s">
        <v>143</v>
      </c>
      <c r="G196" s="383"/>
      <c r="H196" s="383"/>
      <c r="I196" s="383"/>
      <c r="J196" s="383">
        <f t="shared" si="54"/>
        <v>0</v>
      </c>
      <c r="K196" s="495">
        <f t="shared" si="52"/>
        <v>0</v>
      </c>
    </row>
    <row r="197" spans="1:11" ht="12.75" x14ac:dyDescent="0.2">
      <c r="A197" s="365">
        <v>2</v>
      </c>
      <c r="B197" s="366">
        <v>3</v>
      </c>
      <c r="C197" s="366">
        <v>4</v>
      </c>
      <c r="D197" s="366"/>
      <c r="E197" s="366"/>
      <c r="F197" s="367" t="s">
        <v>250</v>
      </c>
      <c r="G197" s="368">
        <f t="shared" ref="G197:K198" si="74">+G198</f>
        <v>67571179.920000002</v>
      </c>
      <c r="H197" s="368">
        <f t="shared" si="74"/>
        <v>1997002.23</v>
      </c>
      <c r="I197" s="368">
        <f t="shared" si="74"/>
        <v>0</v>
      </c>
      <c r="J197" s="368">
        <f t="shared" si="54"/>
        <v>69568182.150000006</v>
      </c>
      <c r="K197" s="492">
        <f t="shared" si="52"/>
        <v>3.9910113601721912E-2</v>
      </c>
    </row>
    <row r="198" spans="1:11" ht="12.75" x14ac:dyDescent="0.2">
      <c r="A198" s="369">
        <v>2</v>
      </c>
      <c r="B198" s="370">
        <v>3</v>
      </c>
      <c r="C198" s="370">
        <v>4</v>
      </c>
      <c r="D198" s="370">
        <v>1</v>
      </c>
      <c r="E198" s="370"/>
      <c r="F198" s="382" t="s">
        <v>144</v>
      </c>
      <c r="G198" s="384">
        <f t="shared" si="74"/>
        <v>67571179.920000002</v>
      </c>
      <c r="H198" s="384">
        <f t="shared" si="74"/>
        <v>1997002.23</v>
      </c>
      <c r="I198" s="384">
        <f t="shared" si="74"/>
        <v>0</v>
      </c>
      <c r="J198" s="384">
        <f t="shared" si="54"/>
        <v>69568182.150000006</v>
      </c>
      <c r="K198" s="494">
        <f t="shared" si="52"/>
        <v>3.9910113601721912E-2</v>
      </c>
    </row>
    <row r="199" spans="1:11" ht="12.75" x14ac:dyDescent="0.2">
      <c r="A199" s="373">
        <v>2</v>
      </c>
      <c r="B199" s="374">
        <v>3</v>
      </c>
      <c r="C199" s="374">
        <v>4</v>
      </c>
      <c r="D199" s="374">
        <v>1</v>
      </c>
      <c r="E199" s="374" t="s">
        <v>202</v>
      </c>
      <c r="F199" s="375" t="s">
        <v>144</v>
      </c>
      <c r="G199" s="376">
        <v>67571179.920000002</v>
      </c>
      <c r="H199" s="27">
        <v>1997002.23</v>
      </c>
      <c r="I199" s="27"/>
      <c r="J199" s="27">
        <f t="shared" si="54"/>
        <v>69568182.150000006</v>
      </c>
      <c r="K199" s="482">
        <f t="shared" si="52"/>
        <v>3.9910113601721912E-2</v>
      </c>
    </row>
    <row r="200" spans="1:11" ht="12.75" x14ac:dyDescent="0.2">
      <c r="A200" s="365">
        <v>2</v>
      </c>
      <c r="B200" s="366">
        <v>3</v>
      </c>
      <c r="C200" s="366">
        <v>5</v>
      </c>
      <c r="D200" s="366"/>
      <c r="E200" s="366"/>
      <c r="F200" s="367" t="s">
        <v>146</v>
      </c>
      <c r="G200" s="368">
        <f>+G201+G203+G205+G207</f>
        <v>0</v>
      </c>
      <c r="H200" s="368">
        <f t="shared" ref="H200:K200" si="75">+H201+H203+H205+H207</f>
        <v>0</v>
      </c>
      <c r="I200" s="368">
        <f t="shared" si="75"/>
        <v>0</v>
      </c>
      <c r="J200" s="368">
        <f t="shared" si="54"/>
        <v>0</v>
      </c>
      <c r="K200" s="492">
        <f t="shared" si="52"/>
        <v>0</v>
      </c>
    </row>
    <row r="201" spans="1:11" ht="12.75" x14ac:dyDescent="0.2">
      <c r="A201" s="369">
        <v>2</v>
      </c>
      <c r="B201" s="370">
        <v>3</v>
      </c>
      <c r="C201" s="370">
        <v>5</v>
      </c>
      <c r="D201" s="370">
        <v>2</v>
      </c>
      <c r="E201" s="370"/>
      <c r="F201" s="382" t="s">
        <v>1008</v>
      </c>
      <c r="G201" s="384">
        <f>+G202</f>
        <v>0</v>
      </c>
      <c r="H201" s="384">
        <f t="shared" ref="H201:K201" si="76">+H202</f>
        <v>0</v>
      </c>
      <c r="I201" s="384">
        <f t="shared" si="76"/>
        <v>0</v>
      </c>
      <c r="J201" s="384">
        <f t="shared" si="54"/>
        <v>0</v>
      </c>
      <c r="K201" s="494">
        <f t="shared" si="52"/>
        <v>0</v>
      </c>
    </row>
    <row r="202" spans="1:11" ht="12.75" x14ac:dyDescent="0.2">
      <c r="A202" s="373">
        <v>2</v>
      </c>
      <c r="B202" s="374">
        <v>3</v>
      </c>
      <c r="C202" s="374">
        <v>5</v>
      </c>
      <c r="D202" s="374">
        <v>2</v>
      </c>
      <c r="E202" s="374" t="s">
        <v>202</v>
      </c>
      <c r="F202" s="375" t="s">
        <v>1008</v>
      </c>
      <c r="G202" s="383"/>
      <c r="H202" s="27"/>
      <c r="I202" s="27"/>
      <c r="J202" s="27">
        <f t="shared" si="54"/>
        <v>0</v>
      </c>
      <c r="K202" s="482">
        <f t="shared" si="52"/>
        <v>0</v>
      </c>
    </row>
    <row r="203" spans="1:11" ht="12.75" x14ac:dyDescent="0.2">
      <c r="A203" s="369">
        <v>2</v>
      </c>
      <c r="B203" s="370">
        <v>3</v>
      </c>
      <c r="C203" s="370">
        <v>5</v>
      </c>
      <c r="D203" s="370">
        <v>3</v>
      </c>
      <c r="E203" s="370"/>
      <c r="F203" s="382" t="s">
        <v>145</v>
      </c>
      <c r="G203" s="384">
        <f>+G204</f>
        <v>0</v>
      </c>
      <c r="H203" s="384">
        <f t="shared" ref="H203:K203" si="77">+H204</f>
        <v>0</v>
      </c>
      <c r="I203" s="384">
        <f t="shared" si="77"/>
        <v>0</v>
      </c>
      <c r="J203" s="384">
        <f t="shared" si="54"/>
        <v>0</v>
      </c>
      <c r="K203" s="494">
        <f t="shared" si="52"/>
        <v>0</v>
      </c>
    </row>
    <row r="204" spans="1:11" ht="12.75" x14ac:dyDescent="0.2">
      <c r="A204" s="373">
        <v>2</v>
      </c>
      <c r="B204" s="374">
        <v>3</v>
      </c>
      <c r="C204" s="374">
        <v>5</v>
      </c>
      <c r="D204" s="374">
        <v>3</v>
      </c>
      <c r="E204" s="374" t="s">
        <v>202</v>
      </c>
      <c r="F204" s="375" t="s">
        <v>145</v>
      </c>
      <c r="G204" s="376"/>
      <c r="H204" s="27"/>
      <c r="I204" s="27"/>
      <c r="J204" s="27">
        <f t="shared" si="54"/>
        <v>0</v>
      </c>
      <c r="K204" s="482">
        <f t="shared" si="52"/>
        <v>0</v>
      </c>
    </row>
    <row r="205" spans="1:11" ht="12.75" x14ac:dyDescent="0.2">
      <c r="A205" s="369">
        <v>2</v>
      </c>
      <c r="B205" s="370">
        <v>3</v>
      </c>
      <c r="C205" s="370">
        <v>5</v>
      </c>
      <c r="D205" s="370">
        <v>4</v>
      </c>
      <c r="E205" s="370"/>
      <c r="F205" s="382" t="s">
        <v>1009</v>
      </c>
      <c r="G205" s="384">
        <f>+G206</f>
        <v>0</v>
      </c>
      <c r="H205" s="384">
        <f t="shared" ref="H205:I205" si="78">+H206</f>
        <v>0</v>
      </c>
      <c r="I205" s="384">
        <f t="shared" si="78"/>
        <v>0</v>
      </c>
      <c r="J205" s="384">
        <f t="shared" si="54"/>
        <v>0</v>
      </c>
      <c r="K205" s="494">
        <f t="shared" si="52"/>
        <v>0</v>
      </c>
    </row>
    <row r="206" spans="1:11" ht="12.75" x14ac:dyDescent="0.2">
      <c r="A206" s="373">
        <v>2</v>
      </c>
      <c r="B206" s="374">
        <v>3</v>
      </c>
      <c r="C206" s="374">
        <v>5</v>
      </c>
      <c r="D206" s="374">
        <v>4</v>
      </c>
      <c r="E206" s="374" t="s">
        <v>202</v>
      </c>
      <c r="F206" s="375" t="s">
        <v>1009</v>
      </c>
      <c r="G206" s="383"/>
      <c r="H206" s="27"/>
      <c r="I206" s="27"/>
      <c r="J206" s="27">
        <f t="shared" si="54"/>
        <v>0</v>
      </c>
      <c r="K206" s="482">
        <f t="shared" si="52"/>
        <v>0</v>
      </c>
    </row>
    <row r="207" spans="1:11" ht="12.75" x14ac:dyDescent="0.2">
      <c r="A207" s="369">
        <v>2</v>
      </c>
      <c r="B207" s="370">
        <v>3</v>
      </c>
      <c r="C207" s="370">
        <v>5</v>
      </c>
      <c r="D207" s="370">
        <v>5</v>
      </c>
      <c r="E207" s="370"/>
      <c r="F207" s="382" t="s">
        <v>251</v>
      </c>
      <c r="G207" s="384">
        <f>+G208</f>
        <v>0</v>
      </c>
      <c r="H207" s="384">
        <f t="shared" ref="H207:K207" si="79">+H208</f>
        <v>0</v>
      </c>
      <c r="I207" s="384">
        <f t="shared" si="79"/>
        <v>0</v>
      </c>
      <c r="J207" s="384">
        <f t="shared" si="54"/>
        <v>0</v>
      </c>
      <c r="K207" s="494">
        <f t="shared" si="52"/>
        <v>0</v>
      </c>
    </row>
    <row r="208" spans="1:11" ht="12.75" x14ac:dyDescent="0.2">
      <c r="A208" s="373">
        <v>2</v>
      </c>
      <c r="B208" s="374">
        <v>3</v>
      </c>
      <c r="C208" s="374">
        <v>5</v>
      </c>
      <c r="D208" s="374">
        <v>5</v>
      </c>
      <c r="E208" s="374" t="s">
        <v>202</v>
      </c>
      <c r="F208" s="375" t="s">
        <v>147</v>
      </c>
      <c r="G208" s="376"/>
      <c r="H208" s="30"/>
      <c r="I208" s="30"/>
      <c r="J208" s="30">
        <f t="shared" si="54"/>
        <v>0</v>
      </c>
      <c r="K208" s="481">
        <f t="shared" si="52"/>
        <v>0</v>
      </c>
    </row>
    <row r="209" spans="1:11" ht="22.5" x14ac:dyDescent="0.2">
      <c r="A209" s="365">
        <v>2</v>
      </c>
      <c r="B209" s="366">
        <v>3</v>
      </c>
      <c r="C209" s="366">
        <v>6</v>
      </c>
      <c r="D209" s="366"/>
      <c r="E209" s="366"/>
      <c r="F209" s="367" t="s">
        <v>148</v>
      </c>
      <c r="G209" s="368">
        <f>+G210+G214+G218+G222</f>
        <v>0</v>
      </c>
      <c r="H209" s="368">
        <f t="shared" ref="H209:K209" si="80">+H210+H214+H218+H222</f>
        <v>0</v>
      </c>
      <c r="I209" s="368">
        <f t="shared" si="80"/>
        <v>0</v>
      </c>
      <c r="J209" s="368">
        <f t="shared" si="54"/>
        <v>0</v>
      </c>
      <c r="K209" s="492">
        <f t="shared" si="52"/>
        <v>0</v>
      </c>
    </row>
    <row r="210" spans="1:11" ht="22.5" x14ac:dyDescent="0.2">
      <c r="A210" s="369">
        <v>2</v>
      </c>
      <c r="B210" s="370">
        <v>3</v>
      </c>
      <c r="C210" s="370">
        <v>6</v>
      </c>
      <c r="D210" s="370">
        <v>1</v>
      </c>
      <c r="E210" s="370"/>
      <c r="F210" s="382" t="s">
        <v>149</v>
      </c>
      <c r="G210" s="384">
        <f>+G211+G212+G213</f>
        <v>0</v>
      </c>
      <c r="H210" s="384">
        <f t="shared" ref="H210:K210" si="81">+H211+H212+H213</f>
        <v>0</v>
      </c>
      <c r="I210" s="384">
        <f t="shared" si="81"/>
        <v>0</v>
      </c>
      <c r="J210" s="384">
        <f t="shared" si="54"/>
        <v>0</v>
      </c>
      <c r="K210" s="494">
        <f t="shared" ref="K210:K273" si="82">IFERROR(J210/$J$18*100,"0.00")/100</f>
        <v>0</v>
      </c>
    </row>
    <row r="211" spans="1:11" ht="12.75" x14ac:dyDescent="0.2">
      <c r="A211" s="373">
        <v>2</v>
      </c>
      <c r="B211" s="374">
        <v>3</v>
      </c>
      <c r="C211" s="374">
        <v>6</v>
      </c>
      <c r="D211" s="374">
        <v>1</v>
      </c>
      <c r="E211" s="374" t="s">
        <v>202</v>
      </c>
      <c r="F211" s="375" t="s">
        <v>150</v>
      </c>
      <c r="G211" s="376"/>
      <c r="H211" s="27"/>
      <c r="I211" s="27"/>
      <c r="J211" s="27">
        <f t="shared" si="54"/>
        <v>0</v>
      </c>
      <c r="K211" s="482">
        <f t="shared" si="82"/>
        <v>0</v>
      </c>
    </row>
    <row r="212" spans="1:11" ht="12.75" x14ac:dyDescent="0.2">
      <c r="A212" s="373">
        <v>2</v>
      </c>
      <c r="B212" s="374">
        <v>3</v>
      </c>
      <c r="C212" s="374">
        <v>6</v>
      </c>
      <c r="D212" s="374">
        <v>1</v>
      </c>
      <c r="E212" s="374" t="s">
        <v>203</v>
      </c>
      <c r="F212" s="375" t="s">
        <v>151</v>
      </c>
      <c r="G212" s="376"/>
      <c r="H212" s="376"/>
      <c r="I212" s="376"/>
      <c r="J212" s="376">
        <f t="shared" ref="J212:J275" si="83">+G212+H212</f>
        <v>0</v>
      </c>
      <c r="K212" s="491">
        <f t="shared" si="82"/>
        <v>0</v>
      </c>
    </row>
    <row r="213" spans="1:11" ht="12.75" x14ac:dyDescent="0.2">
      <c r="A213" s="373">
        <v>2</v>
      </c>
      <c r="B213" s="374">
        <v>3</v>
      </c>
      <c r="C213" s="374">
        <v>6</v>
      </c>
      <c r="D213" s="374">
        <v>1</v>
      </c>
      <c r="E213" s="374" t="s">
        <v>205</v>
      </c>
      <c r="F213" s="375" t="s">
        <v>152</v>
      </c>
      <c r="G213" s="376"/>
      <c r="H213" s="27"/>
      <c r="I213" s="27"/>
      <c r="J213" s="27">
        <f t="shared" si="83"/>
        <v>0</v>
      </c>
      <c r="K213" s="482">
        <f t="shared" si="82"/>
        <v>0</v>
      </c>
    </row>
    <row r="214" spans="1:11" ht="12.75" x14ac:dyDescent="0.2">
      <c r="A214" s="369">
        <v>2</v>
      </c>
      <c r="B214" s="370">
        <v>3</v>
      </c>
      <c r="C214" s="370">
        <v>6</v>
      </c>
      <c r="D214" s="370">
        <v>2</v>
      </c>
      <c r="E214" s="370"/>
      <c r="F214" s="382" t="s">
        <v>153</v>
      </c>
      <c r="G214" s="384">
        <f>+G215+G216+G217</f>
        <v>0</v>
      </c>
      <c r="H214" s="384">
        <f t="shared" ref="H214:K214" si="84">+H215+H216+H217</f>
        <v>0</v>
      </c>
      <c r="I214" s="384">
        <f t="shared" si="84"/>
        <v>0</v>
      </c>
      <c r="J214" s="384">
        <f t="shared" si="83"/>
        <v>0</v>
      </c>
      <c r="K214" s="494">
        <f t="shared" si="82"/>
        <v>0</v>
      </c>
    </row>
    <row r="215" spans="1:11" ht="12.75" x14ac:dyDescent="0.2">
      <c r="A215" s="373">
        <v>2</v>
      </c>
      <c r="B215" s="374">
        <v>3</v>
      </c>
      <c r="C215" s="374">
        <v>6</v>
      </c>
      <c r="D215" s="374">
        <v>2</v>
      </c>
      <c r="E215" s="374" t="s">
        <v>202</v>
      </c>
      <c r="F215" s="375" t="s">
        <v>154</v>
      </c>
      <c r="G215" s="376"/>
      <c r="H215" s="27"/>
      <c r="I215" s="27"/>
      <c r="J215" s="27">
        <f t="shared" si="83"/>
        <v>0</v>
      </c>
      <c r="K215" s="482">
        <f t="shared" si="82"/>
        <v>0</v>
      </c>
    </row>
    <row r="216" spans="1:11" ht="12.75" x14ac:dyDescent="0.2">
      <c r="A216" s="373">
        <v>2</v>
      </c>
      <c r="B216" s="374">
        <v>3</v>
      </c>
      <c r="C216" s="374">
        <v>6</v>
      </c>
      <c r="D216" s="374">
        <v>2</v>
      </c>
      <c r="E216" s="374" t="s">
        <v>203</v>
      </c>
      <c r="F216" s="375" t="s">
        <v>155</v>
      </c>
      <c r="G216" s="376"/>
      <c r="H216" s="27"/>
      <c r="I216" s="27"/>
      <c r="J216" s="27">
        <f t="shared" si="83"/>
        <v>0</v>
      </c>
      <c r="K216" s="482">
        <f t="shared" si="82"/>
        <v>0</v>
      </c>
    </row>
    <row r="217" spans="1:11" ht="12.75" x14ac:dyDescent="0.2">
      <c r="A217" s="373">
        <v>2</v>
      </c>
      <c r="B217" s="374">
        <v>3</v>
      </c>
      <c r="C217" s="374">
        <v>6</v>
      </c>
      <c r="D217" s="374">
        <v>2</v>
      </c>
      <c r="E217" s="374" t="s">
        <v>204</v>
      </c>
      <c r="F217" s="375" t="s">
        <v>156</v>
      </c>
      <c r="G217" s="383"/>
      <c r="H217" s="27"/>
      <c r="I217" s="27"/>
      <c r="J217" s="27">
        <f t="shared" si="83"/>
        <v>0</v>
      </c>
      <c r="K217" s="482">
        <f t="shared" si="82"/>
        <v>0</v>
      </c>
    </row>
    <row r="218" spans="1:11" ht="12.75" x14ac:dyDescent="0.2">
      <c r="A218" s="369">
        <v>2</v>
      </c>
      <c r="B218" s="370">
        <v>3</v>
      </c>
      <c r="C218" s="370">
        <v>6</v>
      </c>
      <c r="D218" s="370">
        <v>3</v>
      </c>
      <c r="E218" s="370"/>
      <c r="F218" s="382" t="s">
        <v>157</v>
      </c>
      <c r="G218" s="384">
        <f>+G219+G220+G221</f>
        <v>0</v>
      </c>
      <c r="H218" s="384">
        <f t="shared" ref="H218:K218" si="85">+H219+H220+H221</f>
        <v>0</v>
      </c>
      <c r="I218" s="384">
        <f t="shared" si="85"/>
        <v>0</v>
      </c>
      <c r="J218" s="384">
        <f t="shared" si="83"/>
        <v>0</v>
      </c>
      <c r="K218" s="494">
        <f t="shared" si="82"/>
        <v>0</v>
      </c>
    </row>
    <row r="219" spans="1:11" ht="12.75" x14ac:dyDescent="0.2">
      <c r="A219" s="373">
        <v>2</v>
      </c>
      <c r="B219" s="374">
        <v>3</v>
      </c>
      <c r="C219" s="374">
        <v>6</v>
      </c>
      <c r="D219" s="374">
        <v>3</v>
      </c>
      <c r="E219" s="374" t="s">
        <v>205</v>
      </c>
      <c r="F219" s="375" t="s">
        <v>158</v>
      </c>
      <c r="G219" s="376"/>
      <c r="H219" s="376"/>
      <c r="I219" s="376"/>
      <c r="J219" s="376">
        <f t="shared" si="83"/>
        <v>0</v>
      </c>
      <c r="K219" s="491">
        <f t="shared" si="82"/>
        <v>0</v>
      </c>
    </row>
    <row r="220" spans="1:11" ht="12.75" x14ac:dyDescent="0.2">
      <c r="A220" s="373">
        <v>2</v>
      </c>
      <c r="B220" s="374">
        <v>3</v>
      </c>
      <c r="C220" s="374">
        <v>6</v>
      </c>
      <c r="D220" s="374">
        <v>3</v>
      </c>
      <c r="E220" s="374" t="s">
        <v>208</v>
      </c>
      <c r="F220" s="375" t="s">
        <v>159</v>
      </c>
      <c r="G220" s="376"/>
      <c r="H220" s="376"/>
      <c r="I220" s="376"/>
      <c r="J220" s="376">
        <f t="shared" si="83"/>
        <v>0</v>
      </c>
      <c r="K220" s="491">
        <f t="shared" si="82"/>
        <v>0</v>
      </c>
    </row>
    <row r="221" spans="1:11" ht="12.75" x14ac:dyDescent="0.2">
      <c r="A221" s="373">
        <v>2</v>
      </c>
      <c r="B221" s="374">
        <v>3</v>
      </c>
      <c r="C221" s="374">
        <v>6</v>
      </c>
      <c r="D221" s="374">
        <v>3</v>
      </c>
      <c r="E221" s="374" t="s">
        <v>233</v>
      </c>
      <c r="F221" s="375" t="s">
        <v>1010</v>
      </c>
      <c r="G221" s="383"/>
      <c r="H221" s="383"/>
      <c r="I221" s="383"/>
      <c r="J221" s="383">
        <f t="shared" si="83"/>
        <v>0</v>
      </c>
      <c r="K221" s="495">
        <f t="shared" si="82"/>
        <v>0</v>
      </c>
    </row>
    <row r="222" spans="1:11" ht="12.75" x14ac:dyDescent="0.2">
      <c r="A222" s="369">
        <v>2</v>
      </c>
      <c r="B222" s="370">
        <v>3</v>
      </c>
      <c r="C222" s="370">
        <v>6</v>
      </c>
      <c r="D222" s="370">
        <v>4</v>
      </c>
      <c r="E222" s="370"/>
      <c r="F222" s="382" t="s">
        <v>31</v>
      </c>
      <c r="G222" s="384">
        <f>+G223</f>
        <v>0</v>
      </c>
      <c r="H222" s="384">
        <f t="shared" ref="H222:J222" si="86">+H223</f>
        <v>0</v>
      </c>
      <c r="I222" s="384">
        <f t="shared" si="86"/>
        <v>0</v>
      </c>
      <c r="J222" s="384">
        <f t="shared" si="83"/>
        <v>0</v>
      </c>
      <c r="K222" s="494">
        <f t="shared" si="82"/>
        <v>0</v>
      </c>
    </row>
    <row r="223" spans="1:11" ht="12.75" x14ac:dyDescent="0.2">
      <c r="A223" s="373">
        <v>2</v>
      </c>
      <c r="B223" s="374">
        <v>3</v>
      </c>
      <c r="C223" s="374">
        <v>6</v>
      </c>
      <c r="D223" s="374">
        <v>4</v>
      </c>
      <c r="E223" s="374" t="s">
        <v>205</v>
      </c>
      <c r="F223" s="375" t="s">
        <v>160</v>
      </c>
      <c r="G223" s="376"/>
      <c r="H223" s="376"/>
      <c r="I223" s="376"/>
      <c r="J223" s="376">
        <f t="shared" si="83"/>
        <v>0</v>
      </c>
      <c r="K223" s="491">
        <f t="shared" si="82"/>
        <v>0</v>
      </c>
    </row>
    <row r="224" spans="1:11" ht="22.5" x14ac:dyDescent="0.2">
      <c r="A224" s="365">
        <v>2</v>
      </c>
      <c r="B224" s="366">
        <v>3</v>
      </c>
      <c r="C224" s="366">
        <v>7</v>
      </c>
      <c r="D224" s="366"/>
      <c r="E224" s="366"/>
      <c r="F224" s="367" t="s">
        <v>252</v>
      </c>
      <c r="G224" s="368">
        <f>+G225+G232</f>
        <v>76009064.989999995</v>
      </c>
      <c r="H224" s="368">
        <f t="shared" ref="H224:J224" si="87">+H225+H232</f>
        <v>4862432.54</v>
      </c>
      <c r="I224" s="368">
        <f t="shared" si="87"/>
        <v>0</v>
      </c>
      <c r="J224" s="368">
        <f t="shared" si="83"/>
        <v>80871497.530000001</v>
      </c>
      <c r="K224" s="492">
        <f t="shared" si="82"/>
        <v>4.6394638379431516E-2</v>
      </c>
    </row>
    <row r="225" spans="1:11" ht="12.75" x14ac:dyDescent="0.2">
      <c r="A225" s="369">
        <v>2</v>
      </c>
      <c r="B225" s="370">
        <v>3</v>
      </c>
      <c r="C225" s="370">
        <v>7</v>
      </c>
      <c r="D225" s="370">
        <v>1</v>
      </c>
      <c r="E225" s="370"/>
      <c r="F225" s="382" t="s">
        <v>161</v>
      </c>
      <c r="G225" s="384">
        <f>+G226+G227+G228+G229+G230+G231</f>
        <v>1004220</v>
      </c>
      <c r="H225" s="384">
        <f>+H226+H227+H228+H229+H230+H231</f>
        <v>4862432.54</v>
      </c>
      <c r="I225" s="384">
        <f t="shared" ref="H225:J225" si="88">+I226+I227+I228+I229+I230+I231</f>
        <v>0</v>
      </c>
      <c r="J225" s="384">
        <f t="shared" si="83"/>
        <v>5866652.54</v>
      </c>
      <c r="K225" s="494">
        <f t="shared" si="82"/>
        <v>3.3656013725986132E-3</v>
      </c>
    </row>
    <row r="226" spans="1:11" ht="12.75" x14ac:dyDescent="0.2">
      <c r="A226" s="373">
        <v>2</v>
      </c>
      <c r="B226" s="374">
        <v>3</v>
      </c>
      <c r="C226" s="374">
        <v>7</v>
      </c>
      <c r="D226" s="374">
        <v>1</v>
      </c>
      <c r="E226" s="374" t="s">
        <v>202</v>
      </c>
      <c r="F226" s="375" t="s">
        <v>162</v>
      </c>
      <c r="G226" s="376"/>
      <c r="H226" s="376">
        <v>1200000</v>
      </c>
      <c r="I226" s="376"/>
      <c r="J226" s="376">
        <f t="shared" si="83"/>
        <v>1200000</v>
      </c>
      <c r="K226" s="491">
        <f t="shared" si="82"/>
        <v>6.8842012026134681E-4</v>
      </c>
    </row>
    <row r="227" spans="1:11" ht="12.75" x14ac:dyDescent="0.2">
      <c r="A227" s="373">
        <v>2</v>
      </c>
      <c r="B227" s="374">
        <v>3</v>
      </c>
      <c r="C227" s="374">
        <v>7</v>
      </c>
      <c r="D227" s="374">
        <v>1</v>
      </c>
      <c r="E227" s="374" t="s">
        <v>203</v>
      </c>
      <c r="F227" s="375" t="s">
        <v>163</v>
      </c>
      <c r="G227" s="376">
        <v>1004220</v>
      </c>
      <c r="H227" s="376">
        <v>1800000</v>
      </c>
      <c r="I227" s="376"/>
      <c r="J227" s="376">
        <f t="shared" si="83"/>
        <v>2804220</v>
      </c>
      <c r="K227" s="491">
        <f t="shared" si="82"/>
        <v>1.6087345580327284E-3</v>
      </c>
    </row>
    <row r="228" spans="1:11" ht="12.75" x14ac:dyDescent="0.2">
      <c r="A228" s="373">
        <v>2</v>
      </c>
      <c r="B228" s="374">
        <v>3</v>
      </c>
      <c r="C228" s="374">
        <v>7</v>
      </c>
      <c r="D228" s="374">
        <v>1</v>
      </c>
      <c r="E228" s="374" t="s">
        <v>204</v>
      </c>
      <c r="F228" s="375" t="s">
        <v>164</v>
      </c>
      <c r="G228" s="376"/>
      <c r="H228" s="376"/>
      <c r="I228" s="376"/>
      <c r="J228" s="376">
        <f t="shared" si="83"/>
        <v>0</v>
      </c>
      <c r="K228" s="491">
        <f t="shared" si="82"/>
        <v>0</v>
      </c>
    </row>
    <row r="229" spans="1:11" ht="12.75" x14ac:dyDescent="0.2">
      <c r="A229" s="373">
        <v>2</v>
      </c>
      <c r="B229" s="374">
        <v>3</v>
      </c>
      <c r="C229" s="374">
        <v>7</v>
      </c>
      <c r="D229" s="374">
        <v>1</v>
      </c>
      <c r="E229" s="374" t="s">
        <v>205</v>
      </c>
      <c r="F229" s="375" t="s">
        <v>165</v>
      </c>
      <c r="G229" s="376"/>
      <c r="H229" s="376">
        <v>1862432.54</v>
      </c>
      <c r="I229" s="376"/>
      <c r="J229" s="376">
        <f t="shared" si="83"/>
        <v>1862432.54</v>
      </c>
      <c r="K229" s="491">
        <f t="shared" si="82"/>
        <v>1.0684466943045381E-3</v>
      </c>
    </row>
    <row r="230" spans="1:11" ht="12.75" x14ac:dyDescent="0.2">
      <c r="A230" s="373">
        <v>2</v>
      </c>
      <c r="B230" s="374">
        <v>3</v>
      </c>
      <c r="C230" s="374">
        <v>7</v>
      </c>
      <c r="D230" s="374">
        <v>1</v>
      </c>
      <c r="E230" s="374" t="s">
        <v>208</v>
      </c>
      <c r="F230" s="375" t="s">
        <v>166</v>
      </c>
      <c r="G230" s="376"/>
      <c r="H230" s="376"/>
      <c r="I230" s="376"/>
      <c r="J230" s="376">
        <f t="shared" si="83"/>
        <v>0</v>
      </c>
      <c r="K230" s="491">
        <f t="shared" si="82"/>
        <v>0</v>
      </c>
    </row>
    <row r="231" spans="1:11" ht="12.75" x14ac:dyDescent="0.2">
      <c r="A231" s="373">
        <v>2</v>
      </c>
      <c r="B231" s="374">
        <v>3</v>
      </c>
      <c r="C231" s="374">
        <v>7</v>
      </c>
      <c r="D231" s="374">
        <v>1</v>
      </c>
      <c r="E231" s="374" t="s">
        <v>233</v>
      </c>
      <c r="F231" s="375" t="s">
        <v>167</v>
      </c>
      <c r="G231" s="376"/>
      <c r="H231" s="376"/>
      <c r="I231" s="376"/>
      <c r="J231" s="376">
        <f t="shared" si="83"/>
        <v>0</v>
      </c>
      <c r="K231" s="491">
        <f t="shared" si="82"/>
        <v>0</v>
      </c>
    </row>
    <row r="232" spans="1:11" ht="12.75" x14ac:dyDescent="0.2">
      <c r="A232" s="369">
        <v>2</v>
      </c>
      <c r="B232" s="370">
        <v>3</v>
      </c>
      <c r="C232" s="370">
        <v>7</v>
      </c>
      <c r="D232" s="370">
        <v>2</v>
      </c>
      <c r="E232" s="370"/>
      <c r="F232" s="382" t="s">
        <v>168</v>
      </c>
      <c r="G232" s="384">
        <f>+G233+G234+G235+G236</f>
        <v>75004844.989999995</v>
      </c>
      <c r="H232" s="384">
        <f t="shared" ref="H232:I232" si="89">+H233+H234+H235+H236</f>
        <v>0</v>
      </c>
      <c r="I232" s="384">
        <f t="shared" si="89"/>
        <v>0</v>
      </c>
      <c r="J232" s="384">
        <f t="shared" si="83"/>
        <v>75004844.989999995</v>
      </c>
      <c r="K232" s="494">
        <f t="shared" si="82"/>
        <v>4.3029037006832895E-2</v>
      </c>
    </row>
    <row r="233" spans="1:11" ht="12.75" x14ac:dyDescent="0.2">
      <c r="A233" s="373">
        <v>2</v>
      </c>
      <c r="B233" s="374">
        <v>3</v>
      </c>
      <c r="C233" s="374">
        <v>7</v>
      </c>
      <c r="D233" s="374">
        <v>2</v>
      </c>
      <c r="E233" s="374" t="s">
        <v>203</v>
      </c>
      <c r="F233" s="375" t="s">
        <v>169</v>
      </c>
      <c r="G233" s="376"/>
      <c r="H233" s="376"/>
      <c r="I233" s="376"/>
      <c r="J233" s="376">
        <f t="shared" si="83"/>
        <v>0</v>
      </c>
      <c r="K233" s="491">
        <f t="shared" si="82"/>
        <v>0</v>
      </c>
    </row>
    <row r="234" spans="1:11" ht="12.75" x14ac:dyDescent="0.2">
      <c r="A234" s="373">
        <v>2</v>
      </c>
      <c r="B234" s="374">
        <v>3</v>
      </c>
      <c r="C234" s="374">
        <v>7</v>
      </c>
      <c r="D234" s="374">
        <v>2</v>
      </c>
      <c r="E234" s="374" t="s">
        <v>204</v>
      </c>
      <c r="F234" s="375" t="s">
        <v>170</v>
      </c>
      <c r="G234" s="376">
        <v>75000000</v>
      </c>
      <c r="H234" s="376"/>
      <c r="I234" s="376"/>
      <c r="J234" s="376">
        <f t="shared" si="83"/>
        <v>75000000</v>
      </c>
      <c r="K234" s="491">
        <f t="shared" si="82"/>
        <v>4.3026257516334182E-2</v>
      </c>
    </row>
    <row r="235" spans="1:11" ht="12.75" x14ac:dyDescent="0.2">
      <c r="A235" s="373">
        <v>2</v>
      </c>
      <c r="B235" s="374">
        <v>3</v>
      </c>
      <c r="C235" s="374">
        <v>7</v>
      </c>
      <c r="D235" s="374">
        <v>2</v>
      </c>
      <c r="E235" s="374" t="s">
        <v>208</v>
      </c>
      <c r="F235" s="375" t="s">
        <v>171</v>
      </c>
      <c r="G235" s="383"/>
      <c r="H235" s="383"/>
      <c r="I235" s="383"/>
      <c r="J235" s="383">
        <f t="shared" si="83"/>
        <v>0</v>
      </c>
      <c r="K235" s="495">
        <f t="shared" si="82"/>
        <v>0</v>
      </c>
    </row>
    <row r="236" spans="1:11" ht="22.5" x14ac:dyDescent="0.2">
      <c r="A236" s="375">
        <v>2</v>
      </c>
      <c r="B236" s="386">
        <v>3</v>
      </c>
      <c r="C236" s="386">
        <v>7</v>
      </c>
      <c r="D236" s="386">
        <v>2</v>
      </c>
      <c r="E236" s="386" t="s">
        <v>233</v>
      </c>
      <c r="F236" s="377" t="s">
        <v>253</v>
      </c>
      <c r="G236" s="376">
        <v>4844.99</v>
      </c>
      <c r="H236" s="383"/>
      <c r="I236" s="383"/>
      <c r="J236" s="383">
        <f t="shared" si="83"/>
        <v>4844.99</v>
      </c>
      <c r="K236" s="495">
        <f t="shared" si="82"/>
        <v>2.7794904987208524E-6</v>
      </c>
    </row>
    <row r="237" spans="1:11" ht="12.75" x14ac:dyDescent="0.2">
      <c r="A237" s="365">
        <v>2</v>
      </c>
      <c r="B237" s="366">
        <v>3</v>
      </c>
      <c r="C237" s="366">
        <v>9</v>
      </c>
      <c r="D237" s="366"/>
      <c r="E237" s="366"/>
      <c r="F237" s="367" t="s">
        <v>32</v>
      </c>
      <c r="G237" s="368">
        <f>+G238+G241+G244+G246+G248+G250+G252</f>
        <v>128289686.09999999</v>
      </c>
      <c r="H237" s="368">
        <f t="shared" ref="H237:K237" si="90">+H238+H241+H244+H246+H248+H250+H252</f>
        <v>13200000</v>
      </c>
      <c r="I237" s="368">
        <f t="shared" si="90"/>
        <v>0</v>
      </c>
      <c r="J237" s="368">
        <f t="shared" si="83"/>
        <v>141489686.09999999</v>
      </c>
      <c r="K237" s="492">
        <f t="shared" si="82"/>
        <v>8.1170288933918519E-2</v>
      </c>
    </row>
    <row r="238" spans="1:11" ht="12.75" x14ac:dyDescent="0.2">
      <c r="A238" s="369">
        <v>2</v>
      </c>
      <c r="B238" s="370">
        <v>3</v>
      </c>
      <c r="C238" s="370">
        <v>9</v>
      </c>
      <c r="D238" s="370">
        <v>1</v>
      </c>
      <c r="E238" s="370"/>
      <c r="F238" s="382" t="s">
        <v>1011</v>
      </c>
      <c r="G238" s="384">
        <f>+G239+G240</f>
        <v>0</v>
      </c>
      <c r="H238" s="384">
        <f t="shared" ref="H238:K238" si="91">+H239+H240</f>
        <v>9600000</v>
      </c>
      <c r="I238" s="384">
        <f t="shared" si="91"/>
        <v>0</v>
      </c>
      <c r="J238" s="384">
        <f t="shared" si="83"/>
        <v>9600000</v>
      </c>
      <c r="K238" s="494">
        <f t="shared" si="82"/>
        <v>5.5073609620907744E-3</v>
      </c>
    </row>
    <row r="239" spans="1:11" ht="12.75" x14ac:dyDescent="0.2">
      <c r="A239" s="373">
        <v>2</v>
      </c>
      <c r="B239" s="374">
        <v>3</v>
      </c>
      <c r="C239" s="374">
        <v>9</v>
      </c>
      <c r="D239" s="374">
        <v>1</v>
      </c>
      <c r="E239" s="374" t="s">
        <v>202</v>
      </c>
      <c r="F239" s="375" t="s">
        <v>172</v>
      </c>
      <c r="G239" s="376"/>
      <c r="H239" s="376">
        <v>9600000</v>
      </c>
      <c r="I239" s="376"/>
      <c r="J239" s="376">
        <f t="shared" si="83"/>
        <v>9600000</v>
      </c>
      <c r="K239" s="491">
        <f t="shared" si="82"/>
        <v>5.5073609620907744E-3</v>
      </c>
    </row>
    <row r="240" spans="1:11" ht="22.5" x14ac:dyDescent="0.2">
      <c r="A240" s="373">
        <v>2</v>
      </c>
      <c r="B240" s="374">
        <v>3</v>
      </c>
      <c r="C240" s="374">
        <v>9</v>
      </c>
      <c r="D240" s="374">
        <v>1</v>
      </c>
      <c r="E240" s="374" t="s">
        <v>203</v>
      </c>
      <c r="F240" s="375" t="s">
        <v>1012</v>
      </c>
      <c r="G240" s="376"/>
      <c r="H240" s="376"/>
      <c r="I240" s="376"/>
      <c r="J240" s="376">
        <f t="shared" si="83"/>
        <v>0</v>
      </c>
      <c r="K240" s="491">
        <f t="shared" si="82"/>
        <v>0</v>
      </c>
    </row>
    <row r="241" spans="1:11" ht="22.5" x14ac:dyDescent="0.2">
      <c r="A241" s="369">
        <v>2</v>
      </c>
      <c r="B241" s="370">
        <v>3</v>
      </c>
      <c r="C241" s="370">
        <v>9</v>
      </c>
      <c r="D241" s="370">
        <v>2</v>
      </c>
      <c r="E241" s="370"/>
      <c r="F241" s="382" t="s">
        <v>1013</v>
      </c>
      <c r="G241" s="384">
        <f>+G242+G243</f>
        <v>220416.96</v>
      </c>
      <c r="H241" s="384">
        <f t="shared" ref="H241:K241" si="92">+H242+H243</f>
        <v>0</v>
      </c>
      <c r="I241" s="384">
        <f t="shared" si="92"/>
        <v>0</v>
      </c>
      <c r="J241" s="384">
        <f t="shared" si="83"/>
        <v>220416.96</v>
      </c>
      <c r="K241" s="494">
        <f t="shared" si="82"/>
        <v>1.264495584257004E-4</v>
      </c>
    </row>
    <row r="242" spans="1:11" ht="22.5" x14ac:dyDescent="0.2">
      <c r="A242" s="373">
        <v>2</v>
      </c>
      <c r="B242" s="374">
        <v>3</v>
      </c>
      <c r="C242" s="374">
        <v>9</v>
      </c>
      <c r="D242" s="374">
        <v>2</v>
      </c>
      <c r="E242" s="374" t="s">
        <v>202</v>
      </c>
      <c r="F242" s="375" t="s">
        <v>1014</v>
      </c>
      <c r="G242" s="376">
        <v>220416.96</v>
      </c>
      <c r="H242" s="376"/>
      <c r="I242" s="376"/>
      <c r="J242" s="376">
        <f t="shared" si="83"/>
        <v>220416.96</v>
      </c>
      <c r="K242" s="491">
        <f t="shared" si="82"/>
        <v>1.264495584257004E-4</v>
      </c>
    </row>
    <row r="243" spans="1:11" ht="12.75" x14ac:dyDescent="0.2">
      <c r="A243" s="373">
        <v>2</v>
      </c>
      <c r="B243" s="374">
        <v>3</v>
      </c>
      <c r="C243" s="374">
        <v>9</v>
      </c>
      <c r="D243" s="374">
        <v>2</v>
      </c>
      <c r="E243" s="374" t="s">
        <v>203</v>
      </c>
      <c r="F243" s="375" t="s">
        <v>1015</v>
      </c>
      <c r="G243" s="376"/>
      <c r="H243" s="376"/>
      <c r="I243" s="376"/>
      <c r="J243" s="376">
        <f t="shared" si="83"/>
        <v>0</v>
      </c>
      <c r="K243" s="491">
        <f t="shared" si="82"/>
        <v>0</v>
      </c>
    </row>
    <row r="244" spans="1:11" ht="22.5" x14ac:dyDescent="0.2">
      <c r="A244" s="369">
        <v>2</v>
      </c>
      <c r="B244" s="370">
        <v>3</v>
      </c>
      <c r="C244" s="370">
        <v>9</v>
      </c>
      <c r="D244" s="370">
        <v>3</v>
      </c>
      <c r="E244" s="370"/>
      <c r="F244" s="382" t="s">
        <v>1016</v>
      </c>
      <c r="G244" s="384">
        <f>+G245</f>
        <v>125489334.14</v>
      </c>
      <c r="H244" s="384">
        <f t="shared" ref="H244:K244" si="93">+H245</f>
        <v>3600000</v>
      </c>
      <c r="I244" s="384">
        <f t="shared" si="93"/>
        <v>0</v>
      </c>
      <c r="J244" s="384">
        <f t="shared" si="83"/>
        <v>129089334.14</v>
      </c>
      <c r="K244" s="494">
        <f t="shared" si="82"/>
        <v>7.4056412444263336E-2</v>
      </c>
    </row>
    <row r="245" spans="1:11" ht="22.5" x14ac:dyDescent="0.2">
      <c r="A245" s="373">
        <v>2</v>
      </c>
      <c r="B245" s="374">
        <v>3</v>
      </c>
      <c r="C245" s="374">
        <v>9</v>
      </c>
      <c r="D245" s="374">
        <v>3</v>
      </c>
      <c r="E245" s="374" t="s">
        <v>202</v>
      </c>
      <c r="F245" s="375" t="s">
        <v>1016</v>
      </c>
      <c r="G245" s="376">
        <v>125489334.14</v>
      </c>
      <c r="H245" s="376">
        <v>3600000</v>
      </c>
      <c r="I245" s="376"/>
      <c r="J245" s="376">
        <f t="shared" si="83"/>
        <v>129089334.14</v>
      </c>
      <c r="K245" s="491">
        <f t="shared" si="82"/>
        <v>7.4056412444263336E-2</v>
      </c>
    </row>
    <row r="246" spans="1:11" ht="12.75" x14ac:dyDescent="0.2">
      <c r="A246" s="369">
        <v>2</v>
      </c>
      <c r="B246" s="370">
        <v>3</v>
      </c>
      <c r="C246" s="370">
        <v>9</v>
      </c>
      <c r="D246" s="370">
        <v>5</v>
      </c>
      <c r="E246" s="370"/>
      <c r="F246" s="382" t="s">
        <v>173</v>
      </c>
      <c r="G246" s="384">
        <f>+G247</f>
        <v>0</v>
      </c>
      <c r="H246" s="384">
        <f t="shared" ref="H246:K246" si="94">+H247</f>
        <v>0</v>
      </c>
      <c r="I246" s="384">
        <f t="shared" si="94"/>
        <v>0</v>
      </c>
      <c r="J246" s="384">
        <f t="shared" si="83"/>
        <v>0</v>
      </c>
      <c r="K246" s="494">
        <f t="shared" si="82"/>
        <v>0</v>
      </c>
    </row>
    <row r="247" spans="1:11" ht="12.75" x14ac:dyDescent="0.2">
      <c r="A247" s="373">
        <v>2</v>
      </c>
      <c r="B247" s="374">
        <v>3</v>
      </c>
      <c r="C247" s="374">
        <v>9</v>
      </c>
      <c r="D247" s="374">
        <v>5</v>
      </c>
      <c r="E247" s="374" t="s">
        <v>202</v>
      </c>
      <c r="F247" s="375" t="s">
        <v>173</v>
      </c>
      <c r="G247" s="383"/>
      <c r="H247" s="383"/>
      <c r="I247" s="383"/>
      <c r="J247" s="383">
        <f t="shared" si="83"/>
        <v>0</v>
      </c>
      <c r="K247" s="495">
        <f t="shared" si="82"/>
        <v>0</v>
      </c>
    </row>
    <row r="248" spans="1:11" ht="12.75" x14ac:dyDescent="0.2">
      <c r="A248" s="369">
        <v>2</v>
      </c>
      <c r="B248" s="370">
        <v>3</v>
      </c>
      <c r="C248" s="370">
        <v>9</v>
      </c>
      <c r="D248" s="370">
        <v>6</v>
      </c>
      <c r="E248" s="370"/>
      <c r="F248" s="382" t="s">
        <v>174</v>
      </c>
      <c r="G248" s="384">
        <f>+G249</f>
        <v>48000</v>
      </c>
      <c r="H248" s="384">
        <f t="shared" ref="H248:K248" si="95">+H249</f>
        <v>0</v>
      </c>
      <c r="I248" s="384">
        <f t="shared" si="95"/>
        <v>0</v>
      </c>
      <c r="J248" s="384">
        <f t="shared" si="83"/>
        <v>48000</v>
      </c>
      <c r="K248" s="494">
        <f t="shared" si="82"/>
        <v>2.7536804810453878E-5</v>
      </c>
    </row>
    <row r="249" spans="1:11" ht="12.75" x14ac:dyDescent="0.2">
      <c r="A249" s="373">
        <v>2</v>
      </c>
      <c r="B249" s="374">
        <v>3</v>
      </c>
      <c r="C249" s="374">
        <v>9</v>
      </c>
      <c r="D249" s="374">
        <v>6</v>
      </c>
      <c r="E249" s="374" t="s">
        <v>202</v>
      </c>
      <c r="F249" s="375" t="s">
        <v>174</v>
      </c>
      <c r="G249" s="376">
        <v>48000</v>
      </c>
      <c r="H249" s="376"/>
      <c r="I249" s="376"/>
      <c r="J249" s="376">
        <f t="shared" si="83"/>
        <v>48000</v>
      </c>
      <c r="K249" s="491">
        <f t="shared" si="82"/>
        <v>2.7536804810453878E-5</v>
      </c>
    </row>
    <row r="250" spans="1:11" ht="12.75" x14ac:dyDescent="0.2">
      <c r="A250" s="369">
        <v>2</v>
      </c>
      <c r="B250" s="370">
        <v>3</v>
      </c>
      <c r="C250" s="370">
        <v>9</v>
      </c>
      <c r="D250" s="370">
        <v>8</v>
      </c>
      <c r="E250" s="370"/>
      <c r="F250" s="382" t="s">
        <v>1017</v>
      </c>
      <c r="G250" s="384">
        <f>+G251</f>
        <v>2531935</v>
      </c>
      <c r="H250" s="384">
        <f t="shared" ref="H250:K250" si="96">+H251</f>
        <v>0</v>
      </c>
      <c r="I250" s="384">
        <f t="shared" si="96"/>
        <v>0</v>
      </c>
      <c r="J250" s="384">
        <f t="shared" si="83"/>
        <v>2531935</v>
      </c>
      <c r="K250" s="494">
        <f t="shared" si="82"/>
        <v>1.4525291643282612E-3</v>
      </c>
    </row>
    <row r="251" spans="1:11" ht="12.75" x14ac:dyDescent="0.2">
      <c r="A251" s="373">
        <v>2</v>
      </c>
      <c r="B251" s="374">
        <v>3</v>
      </c>
      <c r="C251" s="374">
        <v>9</v>
      </c>
      <c r="D251" s="374">
        <v>8</v>
      </c>
      <c r="E251" s="374" t="s">
        <v>202</v>
      </c>
      <c r="F251" s="375" t="s">
        <v>1017</v>
      </c>
      <c r="G251" s="376">
        <v>2531935</v>
      </c>
      <c r="H251" s="383"/>
      <c r="I251" s="383"/>
      <c r="J251" s="383">
        <f t="shared" si="83"/>
        <v>2531935</v>
      </c>
      <c r="K251" s="495">
        <f t="shared" si="82"/>
        <v>1.4525291643282612E-3</v>
      </c>
    </row>
    <row r="252" spans="1:11" ht="22.5" x14ac:dyDescent="0.2">
      <c r="A252" s="369">
        <v>2</v>
      </c>
      <c r="B252" s="370">
        <v>3</v>
      </c>
      <c r="C252" s="370">
        <v>9</v>
      </c>
      <c r="D252" s="370">
        <v>9</v>
      </c>
      <c r="E252" s="370"/>
      <c r="F252" s="382" t="s">
        <v>1018</v>
      </c>
      <c r="G252" s="384">
        <f>+G253</f>
        <v>0</v>
      </c>
      <c r="H252" s="384">
        <f t="shared" ref="H252:K252" si="97">+H253</f>
        <v>0</v>
      </c>
      <c r="I252" s="384">
        <f t="shared" si="97"/>
        <v>0</v>
      </c>
      <c r="J252" s="384">
        <f t="shared" si="83"/>
        <v>0</v>
      </c>
      <c r="K252" s="494">
        <f t="shared" si="82"/>
        <v>0</v>
      </c>
    </row>
    <row r="253" spans="1:11" ht="22.5" x14ac:dyDescent="0.2">
      <c r="A253" s="373">
        <v>2</v>
      </c>
      <c r="B253" s="374">
        <v>3</v>
      </c>
      <c r="C253" s="374">
        <v>9</v>
      </c>
      <c r="D253" s="374">
        <v>9</v>
      </c>
      <c r="E253" s="374" t="s">
        <v>202</v>
      </c>
      <c r="F253" s="375" t="s">
        <v>1018</v>
      </c>
      <c r="G253" s="376"/>
      <c r="H253" s="376"/>
      <c r="I253" s="376"/>
      <c r="J253" s="376">
        <f t="shared" si="83"/>
        <v>0</v>
      </c>
      <c r="K253" s="491">
        <f t="shared" si="82"/>
        <v>0</v>
      </c>
    </row>
    <row r="254" spans="1:11" ht="12.75" x14ac:dyDescent="0.2">
      <c r="A254" s="361">
        <v>2</v>
      </c>
      <c r="B254" s="362">
        <v>4</v>
      </c>
      <c r="C254" s="362"/>
      <c r="D254" s="362"/>
      <c r="E254" s="362"/>
      <c r="F254" s="363" t="s">
        <v>254</v>
      </c>
      <c r="G254" s="364">
        <f>+G262+G265</f>
        <v>0</v>
      </c>
      <c r="H254" s="364">
        <f>+H255</f>
        <v>1500000</v>
      </c>
      <c r="I254" s="364">
        <f t="shared" ref="H254:K254" si="98">+I262+I265</f>
        <v>0</v>
      </c>
      <c r="J254" s="364">
        <f t="shared" si="83"/>
        <v>1500000</v>
      </c>
      <c r="K254" s="493">
        <f t="shared" si="82"/>
        <v>8.6052515032668362E-4</v>
      </c>
    </row>
    <row r="255" spans="1:11" ht="12.75" x14ac:dyDescent="0.2">
      <c r="A255" s="369">
        <v>2</v>
      </c>
      <c r="B255" s="370">
        <v>4</v>
      </c>
      <c r="C255" s="370">
        <v>1</v>
      </c>
      <c r="D255" s="370">
        <v>2</v>
      </c>
      <c r="E255" s="370"/>
      <c r="F255" s="382" t="s">
        <v>256</v>
      </c>
      <c r="G255" s="384">
        <f>+G256+G257</f>
        <v>0</v>
      </c>
      <c r="H255" s="384">
        <f t="shared" ref="H255:K255" si="99">+H256+H257</f>
        <v>1500000</v>
      </c>
      <c r="I255" s="384">
        <f t="shared" si="99"/>
        <v>0</v>
      </c>
      <c r="J255" s="384">
        <f t="shared" si="83"/>
        <v>1500000</v>
      </c>
      <c r="K255" s="494">
        <f t="shared" si="82"/>
        <v>8.6052515032668362E-4</v>
      </c>
    </row>
    <row r="256" spans="1:11" ht="22.5" x14ac:dyDescent="0.2">
      <c r="A256" s="373">
        <v>2</v>
      </c>
      <c r="B256" s="374">
        <v>4</v>
      </c>
      <c r="C256" s="374">
        <v>1</v>
      </c>
      <c r="D256" s="374">
        <v>2</v>
      </c>
      <c r="E256" s="374" t="s">
        <v>202</v>
      </c>
      <c r="F256" s="377" t="s">
        <v>257</v>
      </c>
      <c r="G256" s="376"/>
      <c r="H256" s="376">
        <v>1500000</v>
      </c>
      <c r="I256" s="376"/>
      <c r="J256" s="376">
        <f t="shared" si="83"/>
        <v>1500000</v>
      </c>
      <c r="K256" s="491">
        <f t="shared" si="82"/>
        <v>8.6052515032668362E-4</v>
      </c>
    </row>
    <row r="257" spans="1:11" ht="22.5" x14ac:dyDescent="0.2">
      <c r="A257" s="373">
        <v>2</v>
      </c>
      <c r="B257" s="374">
        <v>4</v>
      </c>
      <c r="C257" s="374">
        <v>1</v>
      </c>
      <c r="D257" s="374">
        <v>2</v>
      </c>
      <c r="E257" s="374" t="s">
        <v>203</v>
      </c>
      <c r="F257" s="377" t="s">
        <v>258</v>
      </c>
      <c r="G257" s="376"/>
      <c r="H257" s="376"/>
      <c r="I257" s="376"/>
      <c r="J257" s="376">
        <f t="shared" si="83"/>
        <v>0</v>
      </c>
      <c r="K257" s="491">
        <f t="shared" si="82"/>
        <v>0</v>
      </c>
    </row>
    <row r="258" spans="1:11" ht="22.5" x14ac:dyDescent="0.2">
      <c r="A258" s="369">
        <v>2</v>
      </c>
      <c r="B258" s="370">
        <v>4</v>
      </c>
      <c r="C258" s="370">
        <v>1</v>
      </c>
      <c r="D258" s="370">
        <v>5</v>
      </c>
      <c r="E258" s="370"/>
      <c r="F258" s="371" t="s">
        <v>259</v>
      </c>
      <c r="G258" s="372">
        <f>+G259</f>
        <v>0</v>
      </c>
      <c r="H258" s="372">
        <f t="shared" ref="H258:K258" si="100">+H259</f>
        <v>0</v>
      </c>
      <c r="I258" s="372">
        <f t="shared" si="100"/>
        <v>0</v>
      </c>
      <c r="J258" s="372">
        <f t="shared" si="83"/>
        <v>0</v>
      </c>
      <c r="K258" s="489">
        <f t="shared" si="82"/>
        <v>0</v>
      </c>
    </row>
    <row r="259" spans="1:11" ht="22.5" x14ac:dyDescent="0.2">
      <c r="A259" s="373">
        <v>2</v>
      </c>
      <c r="B259" s="374">
        <v>4</v>
      </c>
      <c r="C259" s="374">
        <v>1</v>
      </c>
      <c r="D259" s="374">
        <v>5</v>
      </c>
      <c r="E259" s="374" t="s">
        <v>202</v>
      </c>
      <c r="F259" s="377" t="s">
        <v>259</v>
      </c>
      <c r="G259" s="383"/>
      <c r="H259" s="383"/>
      <c r="I259" s="383"/>
      <c r="J259" s="383">
        <f t="shared" si="83"/>
        <v>0</v>
      </c>
      <c r="K259" s="495">
        <f t="shared" si="82"/>
        <v>0</v>
      </c>
    </row>
    <row r="260" spans="1:11" ht="22.5" x14ac:dyDescent="0.2">
      <c r="A260" s="369">
        <v>2</v>
      </c>
      <c r="B260" s="370">
        <v>4</v>
      </c>
      <c r="C260" s="370">
        <v>1</v>
      </c>
      <c r="D260" s="370">
        <v>6</v>
      </c>
      <c r="E260" s="374"/>
      <c r="F260" s="371" t="s">
        <v>260</v>
      </c>
      <c r="G260" s="384">
        <f>+G261</f>
        <v>0</v>
      </c>
      <c r="H260" s="384">
        <f t="shared" ref="H260:K260" si="101">+H261</f>
        <v>0</v>
      </c>
      <c r="I260" s="384">
        <f t="shared" si="101"/>
        <v>0</v>
      </c>
      <c r="J260" s="384">
        <f t="shared" si="83"/>
        <v>0</v>
      </c>
      <c r="K260" s="494">
        <f t="shared" si="82"/>
        <v>0</v>
      </c>
    </row>
    <row r="261" spans="1:11" ht="22.5" x14ac:dyDescent="0.2">
      <c r="A261" s="373">
        <v>2</v>
      </c>
      <c r="B261" s="374">
        <v>4</v>
      </c>
      <c r="C261" s="374">
        <v>1</v>
      </c>
      <c r="D261" s="374">
        <v>6</v>
      </c>
      <c r="E261" s="374" t="s">
        <v>202</v>
      </c>
      <c r="F261" s="377" t="s">
        <v>261</v>
      </c>
      <c r="G261" s="383"/>
      <c r="H261" s="383"/>
      <c r="I261" s="383"/>
      <c r="J261" s="383">
        <f t="shared" si="83"/>
        <v>0</v>
      </c>
      <c r="K261" s="495">
        <f t="shared" si="82"/>
        <v>0</v>
      </c>
    </row>
    <row r="262" spans="1:11" ht="22.5" x14ac:dyDescent="0.2">
      <c r="A262" s="365">
        <v>2</v>
      </c>
      <c r="B262" s="366">
        <v>4</v>
      </c>
      <c r="C262" s="366">
        <v>4</v>
      </c>
      <c r="D262" s="366"/>
      <c r="E262" s="366"/>
      <c r="F262" s="367" t="s">
        <v>1019</v>
      </c>
      <c r="G262" s="368">
        <f>+G263</f>
        <v>0</v>
      </c>
      <c r="H262" s="368">
        <f t="shared" ref="H262:K263" si="102">+H263</f>
        <v>0</v>
      </c>
      <c r="I262" s="368">
        <f t="shared" si="102"/>
        <v>0</v>
      </c>
      <c r="J262" s="368">
        <f t="shared" si="83"/>
        <v>0</v>
      </c>
      <c r="K262" s="492">
        <f t="shared" si="82"/>
        <v>0</v>
      </c>
    </row>
    <row r="263" spans="1:11" ht="22.5" x14ac:dyDescent="0.2">
      <c r="A263" s="387">
        <v>2</v>
      </c>
      <c r="B263" s="370">
        <v>4</v>
      </c>
      <c r="C263" s="370">
        <v>4</v>
      </c>
      <c r="D263" s="370">
        <v>1</v>
      </c>
      <c r="E263" s="370"/>
      <c r="F263" s="371" t="s">
        <v>1020</v>
      </c>
      <c r="G263" s="384">
        <f>+G264</f>
        <v>0</v>
      </c>
      <c r="H263" s="384">
        <f t="shared" si="102"/>
        <v>0</v>
      </c>
      <c r="I263" s="384">
        <f t="shared" si="102"/>
        <v>0</v>
      </c>
      <c r="J263" s="384">
        <f t="shared" si="83"/>
        <v>0</v>
      </c>
      <c r="K263" s="494">
        <f t="shared" si="82"/>
        <v>0</v>
      </c>
    </row>
    <row r="264" spans="1:11" ht="33.75" x14ac:dyDescent="0.2">
      <c r="A264" s="388">
        <v>2</v>
      </c>
      <c r="B264" s="374">
        <v>4</v>
      </c>
      <c r="C264" s="374">
        <v>4</v>
      </c>
      <c r="D264" s="374">
        <v>1</v>
      </c>
      <c r="E264" s="374" t="s">
        <v>204</v>
      </c>
      <c r="F264" s="377" t="s">
        <v>1021</v>
      </c>
      <c r="G264" s="376"/>
      <c r="H264" s="27"/>
      <c r="I264" s="27"/>
      <c r="J264" s="27">
        <f t="shared" si="83"/>
        <v>0</v>
      </c>
      <c r="K264" s="482">
        <f t="shared" si="82"/>
        <v>0</v>
      </c>
    </row>
    <row r="265" spans="1:11" ht="22.5" x14ac:dyDescent="0.2">
      <c r="A265" s="365">
        <v>2</v>
      </c>
      <c r="B265" s="366">
        <v>4</v>
      </c>
      <c r="C265" s="366">
        <v>9</v>
      </c>
      <c r="D265" s="366"/>
      <c r="E265" s="366"/>
      <c r="F265" s="367" t="s">
        <v>262</v>
      </c>
      <c r="G265" s="368">
        <f>+G266+G268</f>
        <v>0</v>
      </c>
      <c r="H265" s="368">
        <f t="shared" ref="H265:K265" si="103">+H266+H268</f>
        <v>0</v>
      </c>
      <c r="I265" s="368">
        <f t="shared" si="103"/>
        <v>0</v>
      </c>
      <c r="J265" s="368">
        <f t="shared" si="83"/>
        <v>0</v>
      </c>
      <c r="K265" s="492">
        <f t="shared" si="82"/>
        <v>0</v>
      </c>
    </row>
    <row r="266" spans="1:11" ht="22.5" x14ac:dyDescent="0.2">
      <c r="A266" s="369">
        <v>2</v>
      </c>
      <c r="B266" s="370">
        <v>4</v>
      </c>
      <c r="C266" s="370">
        <v>9</v>
      </c>
      <c r="D266" s="370">
        <v>1</v>
      </c>
      <c r="E266" s="370"/>
      <c r="F266" s="371" t="s">
        <v>262</v>
      </c>
      <c r="G266" s="384">
        <f>+G267</f>
        <v>0</v>
      </c>
      <c r="H266" s="384">
        <f t="shared" ref="H266:K266" si="104">+H267</f>
        <v>0</v>
      </c>
      <c r="I266" s="384">
        <f t="shared" si="104"/>
        <v>0</v>
      </c>
      <c r="J266" s="384">
        <f t="shared" si="83"/>
        <v>0</v>
      </c>
      <c r="K266" s="494">
        <f t="shared" si="82"/>
        <v>0</v>
      </c>
    </row>
    <row r="267" spans="1:11" ht="22.5" x14ac:dyDescent="0.2">
      <c r="A267" s="373">
        <v>2</v>
      </c>
      <c r="B267" s="374">
        <v>4</v>
      </c>
      <c r="C267" s="374">
        <v>9</v>
      </c>
      <c r="D267" s="374">
        <v>1</v>
      </c>
      <c r="E267" s="374" t="s">
        <v>202</v>
      </c>
      <c r="F267" s="377" t="s">
        <v>262</v>
      </c>
      <c r="G267" s="383"/>
      <c r="H267" s="383"/>
      <c r="I267" s="383"/>
      <c r="J267" s="383">
        <f t="shared" si="83"/>
        <v>0</v>
      </c>
      <c r="K267" s="495">
        <f t="shared" si="82"/>
        <v>0</v>
      </c>
    </row>
    <row r="268" spans="1:11" ht="22.5" x14ac:dyDescent="0.2">
      <c r="A268" s="369">
        <v>2</v>
      </c>
      <c r="B268" s="370">
        <v>4</v>
      </c>
      <c r="C268" s="370">
        <v>9</v>
      </c>
      <c r="D268" s="370">
        <v>4</v>
      </c>
      <c r="E268" s="370"/>
      <c r="F268" s="371" t="s">
        <v>263</v>
      </c>
      <c r="G268" s="384">
        <f>+G269</f>
        <v>0</v>
      </c>
      <c r="H268" s="384">
        <f t="shared" ref="H268:K268" si="105">+H269</f>
        <v>0</v>
      </c>
      <c r="I268" s="384">
        <f t="shared" si="105"/>
        <v>0</v>
      </c>
      <c r="J268" s="384">
        <f t="shared" si="83"/>
        <v>0</v>
      </c>
      <c r="K268" s="494">
        <f t="shared" si="82"/>
        <v>0</v>
      </c>
    </row>
    <row r="269" spans="1:11" ht="22.5" x14ac:dyDescent="0.2">
      <c r="A269" s="373">
        <v>2</v>
      </c>
      <c r="B269" s="374">
        <v>4</v>
      </c>
      <c r="C269" s="374">
        <v>9</v>
      </c>
      <c r="D269" s="374">
        <v>4</v>
      </c>
      <c r="E269" s="374" t="s">
        <v>202</v>
      </c>
      <c r="F269" s="377" t="s">
        <v>263</v>
      </c>
      <c r="G269" s="383"/>
      <c r="H269" s="383"/>
      <c r="I269" s="383"/>
      <c r="J269" s="383">
        <f t="shared" si="83"/>
        <v>0</v>
      </c>
      <c r="K269" s="495">
        <f t="shared" si="82"/>
        <v>0</v>
      </c>
    </row>
    <row r="270" spans="1:11" ht="12.75" x14ac:dyDescent="0.2">
      <c r="A270" s="361">
        <v>2</v>
      </c>
      <c r="B270" s="362">
        <v>6</v>
      </c>
      <c r="C270" s="362"/>
      <c r="D270" s="362"/>
      <c r="E270" s="362"/>
      <c r="F270" s="363" t="s">
        <v>176</v>
      </c>
      <c r="G270" s="364">
        <f>+G271+G289+G282+G294+G301+G310+G313</f>
        <v>80171803</v>
      </c>
      <c r="H270" s="364">
        <f t="shared" ref="H270:K270" si="106">+H271+H282+H289+H294+H301+H310+H313</f>
        <v>0</v>
      </c>
      <c r="I270" s="364">
        <f t="shared" si="106"/>
        <v>0</v>
      </c>
      <c r="J270" s="364">
        <f t="shared" si="83"/>
        <v>80171803</v>
      </c>
      <c r="K270" s="493">
        <f t="shared" si="82"/>
        <v>4.5993235219024174E-2</v>
      </c>
    </row>
    <row r="271" spans="1:11" ht="12.75" x14ac:dyDescent="0.2">
      <c r="A271" s="365">
        <v>2</v>
      </c>
      <c r="B271" s="366">
        <v>6</v>
      </c>
      <c r="C271" s="366">
        <v>1</v>
      </c>
      <c r="D271" s="366"/>
      <c r="E271" s="366"/>
      <c r="F271" s="367" t="s">
        <v>177</v>
      </c>
      <c r="G271" s="368">
        <f>+G272+G274+G276+G278+G280</f>
        <v>8405563</v>
      </c>
      <c r="H271" s="368">
        <f t="shared" ref="H271:K271" si="107">+H272+H274+H276+H278+H280</f>
        <v>0</v>
      </c>
      <c r="I271" s="368">
        <f t="shared" si="107"/>
        <v>0</v>
      </c>
      <c r="J271" s="368">
        <f t="shared" si="83"/>
        <v>8405563</v>
      </c>
      <c r="K271" s="492">
        <f t="shared" si="82"/>
        <v>4.8221322427702733E-3</v>
      </c>
    </row>
    <row r="272" spans="1:11" ht="12.75" x14ac:dyDescent="0.2">
      <c r="A272" s="369">
        <v>2</v>
      </c>
      <c r="B272" s="370">
        <v>6</v>
      </c>
      <c r="C272" s="370">
        <v>1</v>
      </c>
      <c r="D272" s="370">
        <v>1</v>
      </c>
      <c r="E272" s="370"/>
      <c r="F272" s="382" t="s">
        <v>1022</v>
      </c>
      <c r="G272" s="384">
        <f>+G273</f>
        <v>4736164</v>
      </c>
      <c r="H272" s="384">
        <f t="shared" ref="H272:K272" si="108">+H273</f>
        <v>0</v>
      </c>
      <c r="I272" s="384">
        <f t="shared" si="108"/>
        <v>0</v>
      </c>
      <c r="J272" s="384">
        <f t="shared" si="83"/>
        <v>4736164</v>
      </c>
      <c r="K272" s="494">
        <f t="shared" si="82"/>
        <v>2.7170588253812183E-3</v>
      </c>
    </row>
    <row r="273" spans="1:11" ht="12.75" x14ac:dyDescent="0.2">
      <c r="A273" s="373">
        <v>2</v>
      </c>
      <c r="B273" s="374">
        <v>6</v>
      </c>
      <c r="C273" s="374">
        <v>1</v>
      </c>
      <c r="D273" s="374">
        <v>1</v>
      </c>
      <c r="E273" s="374" t="s">
        <v>202</v>
      </c>
      <c r="F273" s="375" t="s">
        <v>1022</v>
      </c>
      <c r="G273" s="376">
        <v>4736164</v>
      </c>
      <c r="H273" s="27"/>
      <c r="I273" s="27"/>
      <c r="J273" s="27">
        <f t="shared" si="83"/>
        <v>4736164</v>
      </c>
      <c r="K273" s="482">
        <f t="shared" si="82"/>
        <v>2.7170588253812183E-3</v>
      </c>
    </row>
    <row r="274" spans="1:11" ht="12.75" x14ac:dyDescent="0.2">
      <c r="A274" s="369">
        <v>2</v>
      </c>
      <c r="B274" s="370">
        <v>6</v>
      </c>
      <c r="C274" s="370">
        <v>1</v>
      </c>
      <c r="D274" s="370">
        <v>2</v>
      </c>
      <c r="E274" s="370"/>
      <c r="F274" s="382" t="s">
        <v>550</v>
      </c>
      <c r="G274" s="384">
        <f>+G275</f>
        <v>182500</v>
      </c>
      <c r="H274" s="384">
        <f t="shared" ref="H274:K274" si="109">+H275</f>
        <v>0</v>
      </c>
      <c r="I274" s="384">
        <f t="shared" si="109"/>
        <v>0</v>
      </c>
      <c r="J274" s="384">
        <f t="shared" si="83"/>
        <v>182500</v>
      </c>
      <c r="K274" s="494">
        <f t="shared" ref="K274:K325" si="110">IFERROR(J274/$J$18*100,"0.00")/100</f>
        <v>1.0469722662307983E-4</v>
      </c>
    </row>
    <row r="275" spans="1:11" ht="12.75" x14ac:dyDescent="0.2">
      <c r="A275" s="373">
        <v>2</v>
      </c>
      <c r="B275" s="374">
        <v>6</v>
      </c>
      <c r="C275" s="374">
        <v>1</v>
      </c>
      <c r="D275" s="374">
        <v>2</v>
      </c>
      <c r="E275" s="374" t="s">
        <v>202</v>
      </c>
      <c r="F275" s="377" t="s">
        <v>550</v>
      </c>
      <c r="G275" s="376">
        <v>182500</v>
      </c>
      <c r="H275" s="28"/>
      <c r="I275" s="28"/>
      <c r="J275" s="28">
        <f t="shared" si="83"/>
        <v>182500</v>
      </c>
      <c r="K275" s="486">
        <f t="shared" si="110"/>
        <v>1.0469722662307983E-4</v>
      </c>
    </row>
    <row r="276" spans="1:11" ht="22.5" x14ac:dyDescent="0.2">
      <c r="A276" s="369">
        <v>2</v>
      </c>
      <c r="B276" s="370">
        <v>6</v>
      </c>
      <c r="C276" s="370">
        <v>1</v>
      </c>
      <c r="D276" s="370">
        <v>3</v>
      </c>
      <c r="E276" s="370"/>
      <c r="F276" s="371" t="s">
        <v>1023</v>
      </c>
      <c r="G276" s="384">
        <f>+G277</f>
        <v>2049094</v>
      </c>
      <c r="H276" s="384">
        <f t="shared" ref="H276:K276" si="111">+H277</f>
        <v>0</v>
      </c>
      <c r="I276" s="384">
        <f t="shared" si="111"/>
        <v>0</v>
      </c>
      <c r="J276" s="384">
        <f t="shared" ref="J276:J326" si="112">+G276+H276</f>
        <v>2049094</v>
      </c>
      <c r="K276" s="494">
        <f t="shared" si="110"/>
        <v>1.1755312815890037E-3</v>
      </c>
    </row>
    <row r="277" spans="1:11" ht="22.5" x14ac:dyDescent="0.2">
      <c r="A277" s="373">
        <v>2</v>
      </c>
      <c r="B277" s="374">
        <v>6</v>
      </c>
      <c r="C277" s="374">
        <v>1</v>
      </c>
      <c r="D277" s="374">
        <v>3</v>
      </c>
      <c r="E277" s="374" t="s">
        <v>202</v>
      </c>
      <c r="F277" s="377" t="s">
        <v>1023</v>
      </c>
      <c r="G277" s="376">
        <v>2049094</v>
      </c>
      <c r="H277" s="27"/>
      <c r="I277" s="27"/>
      <c r="J277" s="27">
        <f t="shared" si="112"/>
        <v>2049094</v>
      </c>
      <c r="K277" s="482">
        <f t="shared" si="110"/>
        <v>1.1755312815890037E-3</v>
      </c>
    </row>
    <row r="278" spans="1:11" ht="12.75" x14ac:dyDescent="0.2">
      <c r="A278" s="369">
        <v>2</v>
      </c>
      <c r="B278" s="370">
        <v>6</v>
      </c>
      <c r="C278" s="370">
        <v>1</v>
      </c>
      <c r="D278" s="370">
        <v>4</v>
      </c>
      <c r="E278" s="370"/>
      <c r="F278" s="382" t="s">
        <v>264</v>
      </c>
      <c r="G278" s="384">
        <f>+G279</f>
        <v>667310</v>
      </c>
      <c r="H278" s="384">
        <f t="shared" ref="H278:K278" si="113">+H279</f>
        <v>0</v>
      </c>
      <c r="I278" s="384">
        <f t="shared" si="113"/>
        <v>0</v>
      </c>
      <c r="J278" s="384">
        <f t="shared" si="112"/>
        <v>667310</v>
      </c>
      <c r="K278" s="494">
        <f t="shared" si="110"/>
        <v>3.8282469204299949E-4</v>
      </c>
    </row>
    <row r="279" spans="1:11" ht="12.75" x14ac:dyDescent="0.2">
      <c r="A279" s="373">
        <v>2</v>
      </c>
      <c r="B279" s="374">
        <v>6</v>
      </c>
      <c r="C279" s="374">
        <v>1</v>
      </c>
      <c r="D279" s="374">
        <v>4</v>
      </c>
      <c r="E279" s="374" t="s">
        <v>202</v>
      </c>
      <c r="F279" s="377" t="s">
        <v>264</v>
      </c>
      <c r="G279" s="376">
        <v>667310</v>
      </c>
      <c r="H279" s="28"/>
      <c r="I279" s="28"/>
      <c r="J279" s="28">
        <f t="shared" si="112"/>
        <v>667310</v>
      </c>
      <c r="K279" s="486">
        <f t="shared" si="110"/>
        <v>3.8282469204299949E-4</v>
      </c>
    </row>
    <row r="280" spans="1:11" ht="22.5" x14ac:dyDescent="0.2">
      <c r="A280" s="369">
        <v>2</v>
      </c>
      <c r="B280" s="370">
        <v>6</v>
      </c>
      <c r="C280" s="370">
        <v>1</v>
      </c>
      <c r="D280" s="370">
        <v>9</v>
      </c>
      <c r="E280" s="370"/>
      <c r="F280" s="382" t="s">
        <v>179</v>
      </c>
      <c r="G280" s="384">
        <f>+G281</f>
        <v>770495</v>
      </c>
      <c r="H280" s="384">
        <f t="shared" ref="H280:K280" si="114">+H281</f>
        <v>0</v>
      </c>
      <c r="I280" s="384">
        <f t="shared" si="114"/>
        <v>0</v>
      </c>
      <c r="J280" s="384">
        <f t="shared" si="112"/>
        <v>770495</v>
      </c>
      <c r="K280" s="494">
        <f t="shared" si="110"/>
        <v>4.420202171339721E-4</v>
      </c>
    </row>
    <row r="281" spans="1:11" ht="22.5" x14ac:dyDescent="0.2">
      <c r="A281" s="373">
        <v>2</v>
      </c>
      <c r="B281" s="374">
        <v>6</v>
      </c>
      <c r="C281" s="374">
        <v>1</v>
      </c>
      <c r="D281" s="374">
        <v>9</v>
      </c>
      <c r="E281" s="374" t="s">
        <v>202</v>
      </c>
      <c r="F281" s="377" t="s">
        <v>179</v>
      </c>
      <c r="G281" s="376">
        <v>770495</v>
      </c>
      <c r="H281" s="27"/>
      <c r="I281" s="27"/>
      <c r="J281" s="27">
        <f t="shared" si="112"/>
        <v>770495</v>
      </c>
      <c r="K281" s="482">
        <f t="shared" si="110"/>
        <v>4.420202171339721E-4</v>
      </c>
    </row>
    <row r="282" spans="1:11" ht="22.5" x14ac:dyDescent="0.2">
      <c r="A282" s="365">
        <v>2</v>
      </c>
      <c r="B282" s="366">
        <v>6</v>
      </c>
      <c r="C282" s="366">
        <v>2</v>
      </c>
      <c r="D282" s="366"/>
      <c r="E282" s="366"/>
      <c r="F282" s="367" t="s">
        <v>1024</v>
      </c>
      <c r="G282" s="368">
        <f>+G283+G285+G287</f>
        <v>0</v>
      </c>
      <c r="H282" s="368">
        <f t="shared" ref="H282:K282" si="115">+H283+H285+H287</f>
        <v>0</v>
      </c>
      <c r="I282" s="368">
        <f t="shared" si="115"/>
        <v>0</v>
      </c>
      <c r="J282" s="368">
        <f t="shared" si="112"/>
        <v>0</v>
      </c>
      <c r="K282" s="492">
        <f t="shared" si="110"/>
        <v>0</v>
      </c>
    </row>
    <row r="283" spans="1:11" ht="12.75" x14ac:dyDescent="0.2">
      <c r="A283" s="369">
        <v>2</v>
      </c>
      <c r="B283" s="370">
        <v>6</v>
      </c>
      <c r="C283" s="370">
        <v>2</v>
      </c>
      <c r="D283" s="370">
        <v>1</v>
      </c>
      <c r="E283" s="370"/>
      <c r="F283" s="382" t="s">
        <v>265</v>
      </c>
      <c r="G283" s="384">
        <f>+G284</f>
        <v>0</v>
      </c>
      <c r="H283" s="384">
        <f t="shared" ref="H283:K283" si="116">+H284</f>
        <v>0</v>
      </c>
      <c r="I283" s="384">
        <f t="shared" si="116"/>
        <v>0</v>
      </c>
      <c r="J283" s="384">
        <f t="shared" si="112"/>
        <v>0</v>
      </c>
      <c r="K283" s="494">
        <f t="shared" si="110"/>
        <v>0</v>
      </c>
    </row>
    <row r="284" spans="1:11" ht="12.75" x14ac:dyDescent="0.2">
      <c r="A284" s="373">
        <v>2</v>
      </c>
      <c r="B284" s="374">
        <v>6</v>
      </c>
      <c r="C284" s="374">
        <v>2</v>
      </c>
      <c r="D284" s="374">
        <v>1</v>
      </c>
      <c r="E284" s="374" t="s">
        <v>202</v>
      </c>
      <c r="F284" s="377" t="s">
        <v>265</v>
      </c>
      <c r="G284" s="383"/>
      <c r="H284" s="27"/>
      <c r="I284" s="27"/>
      <c r="J284" s="27">
        <f t="shared" si="112"/>
        <v>0</v>
      </c>
      <c r="K284" s="482">
        <f t="shared" si="110"/>
        <v>0</v>
      </c>
    </row>
    <row r="285" spans="1:11" ht="12.75" x14ac:dyDescent="0.2">
      <c r="A285" s="369">
        <v>2</v>
      </c>
      <c r="B285" s="370">
        <v>6</v>
      </c>
      <c r="C285" s="370">
        <v>2</v>
      </c>
      <c r="D285" s="370">
        <v>3</v>
      </c>
      <c r="E285" s="370"/>
      <c r="F285" s="382" t="s">
        <v>180</v>
      </c>
      <c r="G285" s="384">
        <f>+G286</f>
        <v>0</v>
      </c>
      <c r="H285" s="384">
        <f t="shared" ref="H285:J285" si="117">+H286</f>
        <v>0</v>
      </c>
      <c r="I285" s="384">
        <f t="shared" si="117"/>
        <v>0</v>
      </c>
      <c r="J285" s="384">
        <f t="shared" si="112"/>
        <v>0</v>
      </c>
      <c r="K285" s="494">
        <f t="shared" si="110"/>
        <v>0</v>
      </c>
    </row>
    <row r="286" spans="1:11" ht="12.75" x14ac:dyDescent="0.2">
      <c r="A286" s="373">
        <v>2</v>
      </c>
      <c r="B286" s="374">
        <v>6</v>
      </c>
      <c r="C286" s="374">
        <v>2</v>
      </c>
      <c r="D286" s="374">
        <v>3</v>
      </c>
      <c r="E286" s="374" t="s">
        <v>202</v>
      </c>
      <c r="F286" s="377" t="s">
        <v>180</v>
      </c>
      <c r="G286" s="383"/>
      <c r="H286" s="28"/>
      <c r="I286" s="28"/>
      <c r="J286" s="28">
        <f t="shared" si="112"/>
        <v>0</v>
      </c>
      <c r="K286" s="486">
        <f t="shared" si="110"/>
        <v>0</v>
      </c>
    </row>
    <row r="287" spans="1:11" ht="12.75" x14ac:dyDescent="0.2">
      <c r="A287" s="369">
        <v>2</v>
      </c>
      <c r="B287" s="370">
        <v>6</v>
      </c>
      <c r="C287" s="370">
        <v>2</v>
      </c>
      <c r="D287" s="370">
        <v>4</v>
      </c>
      <c r="E287" s="370"/>
      <c r="F287" s="382" t="s">
        <v>1025</v>
      </c>
      <c r="G287" s="384">
        <f>+G288</f>
        <v>0</v>
      </c>
      <c r="H287" s="29">
        <f>+H288+H289+H290+H291+H292+H293+H294</f>
        <v>0</v>
      </c>
      <c r="I287" s="29">
        <f>+I288+I289+I290+I291+I292+I293+I294</f>
        <v>0</v>
      </c>
      <c r="J287" s="29">
        <f t="shared" si="112"/>
        <v>0</v>
      </c>
      <c r="K287" s="483">
        <f t="shared" si="110"/>
        <v>0</v>
      </c>
    </row>
    <row r="288" spans="1:11" ht="22.5" x14ac:dyDescent="0.2">
      <c r="A288" s="373">
        <v>2</v>
      </c>
      <c r="B288" s="374">
        <v>6</v>
      </c>
      <c r="C288" s="374">
        <v>2</v>
      </c>
      <c r="D288" s="374">
        <v>4</v>
      </c>
      <c r="E288" s="374" t="s">
        <v>202</v>
      </c>
      <c r="F288" s="375" t="s">
        <v>1025</v>
      </c>
      <c r="G288" s="383"/>
      <c r="H288" s="27"/>
      <c r="I288" s="27"/>
      <c r="J288" s="27">
        <f t="shared" si="112"/>
        <v>0</v>
      </c>
      <c r="K288" s="482">
        <f t="shared" si="110"/>
        <v>0</v>
      </c>
    </row>
    <row r="289" spans="1:11" ht="12.75" x14ac:dyDescent="0.2">
      <c r="A289" s="365">
        <v>2</v>
      </c>
      <c r="B289" s="366">
        <v>6</v>
      </c>
      <c r="C289" s="366">
        <v>3</v>
      </c>
      <c r="D289" s="366"/>
      <c r="E289" s="366"/>
      <c r="F289" s="367" t="s">
        <v>181</v>
      </c>
      <c r="G289" s="368">
        <f>+G290+G292</f>
        <v>71430240</v>
      </c>
      <c r="H289" s="368">
        <f t="shared" ref="H289:K289" si="118">+H290+H292</f>
        <v>0</v>
      </c>
      <c r="I289" s="368">
        <f t="shared" si="118"/>
        <v>0</v>
      </c>
      <c r="J289" s="368">
        <f t="shared" si="112"/>
        <v>71430240</v>
      </c>
      <c r="K289" s="492">
        <f t="shared" si="110"/>
        <v>4.0978345342580734E-2</v>
      </c>
    </row>
    <row r="290" spans="1:11" ht="12.75" x14ac:dyDescent="0.2">
      <c r="A290" s="369">
        <v>2</v>
      </c>
      <c r="B290" s="370">
        <v>6</v>
      </c>
      <c r="C290" s="370">
        <v>3</v>
      </c>
      <c r="D290" s="370">
        <v>1</v>
      </c>
      <c r="E290" s="370"/>
      <c r="F290" s="371" t="s">
        <v>182</v>
      </c>
      <c r="G290" s="384">
        <f>+G291</f>
        <v>70488828</v>
      </c>
      <c r="H290" s="384">
        <f t="shared" ref="H290:K290" si="119">+H291</f>
        <v>0</v>
      </c>
      <c r="I290" s="384">
        <f t="shared" si="119"/>
        <v>0</v>
      </c>
      <c r="J290" s="384">
        <f t="shared" si="112"/>
        <v>70488828</v>
      </c>
      <c r="K290" s="494">
        <f t="shared" si="110"/>
        <v>4.0438272874034495E-2</v>
      </c>
    </row>
    <row r="291" spans="1:11" ht="12.75" x14ac:dyDescent="0.2">
      <c r="A291" s="373">
        <v>2</v>
      </c>
      <c r="B291" s="374">
        <v>6</v>
      </c>
      <c r="C291" s="374">
        <v>3</v>
      </c>
      <c r="D291" s="374">
        <v>1</v>
      </c>
      <c r="E291" s="374" t="s">
        <v>202</v>
      </c>
      <c r="F291" s="375" t="s">
        <v>182</v>
      </c>
      <c r="G291" s="376">
        <v>70488828</v>
      </c>
      <c r="H291" s="27"/>
      <c r="I291" s="27"/>
      <c r="J291" s="27">
        <f t="shared" si="112"/>
        <v>70488828</v>
      </c>
      <c r="K291" s="482">
        <f t="shared" si="110"/>
        <v>4.0438272874034495E-2</v>
      </c>
    </row>
    <row r="292" spans="1:11" ht="12.75" x14ac:dyDescent="0.2">
      <c r="A292" s="369">
        <v>2</v>
      </c>
      <c r="B292" s="370">
        <v>6</v>
      </c>
      <c r="C292" s="370">
        <v>3</v>
      </c>
      <c r="D292" s="370">
        <v>2</v>
      </c>
      <c r="E292" s="370"/>
      <c r="F292" s="382" t="s">
        <v>183</v>
      </c>
      <c r="G292" s="384">
        <f>+G293</f>
        <v>941412</v>
      </c>
      <c r="H292" s="384">
        <f t="shared" ref="H292:K292" si="120">+H293</f>
        <v>0</v>
      </c>
      <c r="I292" s="384">
        <f t="shared" si="120"/>
        <v>0</v>
      </c>
      <c r="J292" s="384">
        <f t="shared" si="112"/>
        <v>941412</v>
      </c>
      <c r="K292" s="494">
        <f t="shared" si="110"/>
        <v>5.4007246854622922E-4</v>
      </c>
    </row>
    <row r="293" spans="1:11" ht="12.75" x14ac:dyDescent="0.2">
      <c r="A293" s="373">
        <v>2</v>
      </c>
      <c r="B293" s="374">
        <v>6</v>
      </c>
      <c r="C293" s="374">
        <v>3</v>
      </c>
      <c r="D293" s="374">
        <v>2</v>
      </c>
      <c r="E293" s="374" t="s">
        <v>202</v>
      </c>
      <c r="F293" s="377" t="s">
        <v>183</v>
      </c>
      <c r="G293" s="376">
        <v>941412</v>
      </c>
      <c r="H293" s="27"/>
      <c r="I293" s="27"/>
      <c r="J293" s="27">
        <f t="shared" si="112"/>
        <v>941412</v>
      </c>
      <c r="K293" s="482">
        <f t="shared" si="110"/>
        <v>5.4007246854622922E-4</v>
      </c>
    </row>
    <row r="294" spans="1:11" ht="22.5" x14ac:dyDescent="0.2">
      <c r="A294" s="365">
        <v>2</v>
      </c>
      <c r="B294" s="366">
        <v>6</v>
      </c>
      <c r="C294" s="366">
        <v>4</v>
      </c>
      <c r="D294" s="366"/>
      <c r="E294" s="366"/>
      <c r="F294" s="367" t="s">
        <v>184</v>
      </c>
      <c r="G294" s="368">
        <f>+G295+G297+G299</f>
        <v>0</v>
      </c>
      <c r="H294" s="368">
        <f t="shared" ref="H294:K294" si="121">+H295+H297+H299</f>
        <v>0</v>
      </c>
      <c r="I294" s="368">
        <f t="shared" si="121"/>
        <v>0</v>
      </c>
      <c r="J294" s="368">
        <f t="shared" si="112"/>
        <v>0</v>
      </c>
      <c r="K294" s="492">
        <f t="shared" si="110"/>
        <v>0</v>
      </c>
    </row>
    <row r="295" spans="1:11" ht="12.75" x14ac:dyDescent="0.2">
      <c r="A295" s="369">
        <v>2</v>
      </c>
      <c r="B295" s="370">
        <v>6</v>
      </c>
      <c r="C295" s="370">
        <v>4</v>
      </c>
      <c r="D295" s="370">
        <v>1</v>
      </c>
      <c r="E295" s="370"/>
      <c r="F295" s="382" t="s">
        <v>185</v>
      </c>
      <c r="G295" s="384">
        <f>+G296</f>
        <v>0</v>
      </c>
      <c r="H295" s="384">
        <f t="shared" ref="H295:K295" si="122">+H296</f>
        <v>0</v>
      </c>
      <c r="I295" s="384">
        <f t="shared" si="122"/>
        <v>0</v>
      </c>
      <c r="J295" s="384">
        <f t="shared" si="112"/>
        <v>0</v>
      </c>
      <c r="K295" s="494">
        <f t="shared" si="110"/>
        <v>0</v>
      </c>
    </row>
    <row r="296" spans="1:11" ht="12.75" x14ac:dyDescent="0.2">
      <c r="A296" s="373">
        <v>2</v>
      </c>
      <c r="B296" s="374">
        <v>6</v>
      </c>
      <c r="C296" s="374">
        <v>4</v>
      </c>
      <c r="D296" s="374">
        <v>1</v>
      </c>
      <c r="E296" s="374" t="s">
        <v>202</v>
      </c>
      <c r="F296" s="377" t="s">
        <v>185</v>
      </c>
      <c r="G296" s="383"/>
      <c r="H296" s="28"/>
      <c r="I296" s="28"/>
      <c r="J296" s="28">
        <f t="shared" si="112"/>
        <v>0</v>
      </c>
      <c r="K296" s="486">
        <f t="shared" si="110"/>
        <v>0</v>
      </c>
    </row>
    <row r="297" spans="1:11" ht="12.75" x14ac:dyDescent="0.2">
      <c r="A297" s="369">
        <v>2</v>
      </c>
      <c r="B297" s="370">
        <v>6</v>
      </c>
      <c r="C297" s="370">
        <v>4</v>
      </c>
      <c r="D297" s="370">
        <v>2</v>
      </c>
      <c r="E297" s="370"/>
      <c r="F297" s="382" t="s">
        <v>186</v>
      </c>
      <c r="G297" s="384">
        <f>+G298</f>
        <v>0</v>
      </c>
      <c r="H297" s="384">
        <f t="shared" ref="H297:K297" si="123">+H298</f>
        <v>0</v>
      </c>
      <c r="I297" s="384">
        <f t="shared" si="123"/>
        <v>0</v>
      </c>
      <c r="J297" s="384">
        <f t="shared" si="112"/>
        <v>0</v>
      </c>
      <c r="K297" s="494">
        <f t="shared" si="110"/>
        <v>0</v>
      </c>
    </row>
    <row r="298" spans="1:11" ht="12.75" x14ac:dyDescent="0.2">
      <c r="A298" s="373">
        <v>2</v>
      </c>
      <c r="B298" s="374">
        <v>6</v>
      </c>
      <c r="C298" s="374">
        <v>4</v>
      </c>
      <c r="D298" s="374">
        <v>2</v>
      </c>
      <c r="E298" s="374" t="s">
        <v>202</v>
      </c>
      <c r="F298" s="377" t="s">
        <v>186</v>
      </c>
      <c r="G298" s="383"/>
      <c r="H298" s="383"/>
      <c r="I298" s="383"/>
      <c r="J298" s="383">
        <f t="shared" si="112"/>
        <v>0</v>
      </c>
      <c r="K298" s="495">
        <f t="shared" si="110"/>
        <v>0</v>
      </c>
    </row>
    <row r="299" spans="1:11" ht="12.75" x14ac:dyDescent="0.2">
      <c r="A299" s="369">
        <v>2</v>
      </c>
      <c r="B299" s="370">
        <v>6</v>
      </c>
      <c r="C299" s="370">
        <v>4</v>
      </c>
      <c r="D299" s="370">
        <v>8</v>
      </c>
      <c r="E299" s="370"/>
      <c r="F299" s="382" t="s">
        <v>187</v>
      </c>
      <c r="G299" s="384">
        <f>+G300</f>
        <v>0</v>
      </c>
      <c r="H299" s="384">
        <f t="shared" ref="H299:K299" si="124">+H300</f>
        <v>0</v>
      </c>
      <c r="I299" s="384">
        <f t="shared" si="124"/>
        <v>0</v>
      </c>
      <c r="J299" s="384">
        <f t="shared" si="112"/>
        <v>0</v>
      </c>
      <c r="K299" s="494">
        <f t="shared" si="110"/>
        <v>0</v>
      </c>
    </row>
    <row r="300" spans="1:11" ht="12.75" x14ac:dyDescent="0.2">
      <c r="A300" s="373">
        <v>2</v>
      </c>
      <c r="B300" s="374">
        <v>6</v>
      </c>
      <c r="C300" s="374">
        <v>4</v>
      </c>
      <c r="D300" s="374">
        <v>8</v>
      </c>
      <c r="E300" s="374" t="s">
        <v>202</v>
      </c>
      <c r="F300" s="377" t="s">
        <v>187</v>
      </c>
      <c r="G300" s="383"/>
      <c r="H300" s="27"/>
      <c r="I300" s="27"/>
      <c r="J300" s="27">
        <f t="shared" si="112"/>
        <v>0</v>
      </c>
      <c r="K300" s="482">
        <f t="shared" si="110"/>
        <v>0</v>
      </c>
    </row>
    <row r="301" spans="1:11" ht="12.75" x14ac:dyDescent="0.2">
      <c r="A301" s="365">
        <v>2</v>
      </c>
      <c r="B301" s="366">
        <v>6</v>
      </c>
      <c r="C301" s="366">
        <v>5</v>
      </c>
      <c r="D301" s="366"/>
      <c r="E301" s="366"/>
      <c r="F301" s="367" t="s">
        <v>188</v>
      </c>
      <c r="G301" s="368">
        <f>+G302+G304+G306+G308</f>
        <v>336000</v>
      </c>
      <c r="H301" s="368">
        <f t="shared" ref="H301:K301" si="125">+H302+H304+H306+H308</f>
        <v>0</v>
      </c>
      <c r="I301" s="368">
        <f t="shared" si="125"/>
        <v>0</v>
      </c>
      <c r="J301" s="368">
        <f t="shared" si="112"/>
        <v>336000</v>
      </c>
      <c r="K301" s="492">
        <f t="shared" si="110"/>
        <v>1.9275763367317713E-4</v>
      </c>
    </row>
    <row r="302" spans="1:11" ht="12.75" x14ac:dyDescent="0.2">
      <c r="A302" s="369">
        <v>2</v>
      </c>
      <c r="B302" s="370">
        <v>6</v>
      </c>
      <c r="C302" s="370">
        <v>5</v>
      </c>
      <c r="D302" s="370">
        <v>2</v>
      </c>
      <c r="E302" s="370"/>
      <c r="F302" s="382" t="s">
        <v>189</v>
      </c>
      <c r="G302" s="384">
        <f>+G303</f>
        <v>0</v>
      </c>
      <c r="H302" s="384">
        <f t="shared" ref="H302:K302" si="126">+H303</f>
        <v>0</v>
      </c>
      <c r="I302" s="384">
        <f t="shared" si="126"/>
        <v>0</v>
      </c>
      <c r="J302" s="384">
        <f t="shared" si="112"/>
        <v>0</v>
      </c>
      <c r="K302" s="494">
        <f t="shared" si="110"/>
        <v>0</v>
      </c>
    </row>
    <row r="303" spans="1:11" ht="12.75" x14ac:dyDescent="0.2">
      <c r="A303" s="373">
        <v>2</v>
      </c>
      <c r="B303" s="374">
        <v>6</v>
      </c>
      <c r="C303" s="374">
        <v>5</v>
      </c>
      <c r="D303" s="374">
        <v>2</v>
      </c>
      <c r="E303" s="374" t="s">
        <v>202</v>
      </c>
      <c r="F303" s="377" t="s">
        <v>189</v>
      </c>
      <c r="G303" s="383"/>
      <c r="H303" s="27"/>
      <c r="I303" s="27"/>
      <c r="J303" s="27">
        <f t="shared" si="112"/>
        <v>0</v>
      </c>
      <c r="K303" s="482">
        <f t="shared" si="110"/>
        <v>0</v>
      </c>
    </row>
    <row r="304" spans="1:11" ht="12.75" x14ac:dyDescent="0.2">
      <c r="A304" s="369">
        <v>2</v>
      </c>
      <c r="B304" s="370">
        <v>6</v>
      </c>
      <c r="C304" s="370">
        <v>5</v>
      </c>
      <c r="D304" s="370">
        <v>4</v>
      </c>
      <c r="E304" s="370"/>
      <c r="F304" s="382" t="s">
        <v>1026</v>
      </c>
      <c r="G304" s="384">
        <f>+G305</f>
        <v>336000</v>
      </c>
      <c r="H304" s="384">
        <f t="shared" ref="H304:K304" si="127">+H305</f>
        <v>0</v>
      </c>
      <c r="I304" s="384">
        <f t="shared" si="127"/>
        <v>0</v>
      </c>
      <c r="J304" s="384">
        <f t="shared" si="112"/>
        <v>336000</v>
      </c>
      <c r="K304" s="494">
        <f t="shared" si="110"/>
        <v>1.9275763367317713E-4</v>
      </c>
    </row>
    <row r="305" spans="1:11" ht="12.75" x14ac:dyDescent="0.2">
      <c r="A305" s="373">
        <v>2</v>
      </c>
      <c r="B305" s="374">
        <v>6</v>
      </c>
      <c r="C305" s="374">
        <v>5</v>
      </c>
      <c r="D305" s="374">
        <v>4</v>
      </c>
      <c r="E305" s="374" t="s">
        <v>202</v>
      </c>
      <c r="F305" s="377" t="s">
        <v>1026</v>
      </c>
      <c r="G305" s="376">
        <v>336000</v>
      </c>
      <c r="H305" s="28"/>
      <c r="I305" s="28"/>
      <c r="J305" s="28">
        <f t="shared" si="112"/>
        <v>336000</v>
      </c>
      <c r="K305" s="486">
        <f t="shared" si="110"/>
        <v>1.9275763367317713E-4</v>
      </c>
    </row>
    <row r="306" spans="1:11" ht="22.5" x14ac:dyDescent="0.2">
      <c r="A306" s="369">
        <v>2</v>
      </c>
      <c r="B306" s="370">
        <v>6</v>
      </c>
      <c r="C306" s="370">
        <v>5</v>
      </c>
      <c r="D306" s="370">
        <v>5</v>
      </c>
      <c r="E306" s="370"/>
      <c r="F306" s="382" t="s">
        <v>190</v>
      </c>
      <c r="G306" s="384">
        <f>+G307</f>
        <v>0</v>
      </c>
      <c r="H306" s="384">
        <f t="shared" ref="H306:K306" si="128">+H307</f>
        <v>0</v>
      </c>
      <c r="I306" s="384">
        <f t="shared" si="128"/>
        <v>0</v>
      </c>
      <c r="J306" s="384">
        <f t="shared" si="112"/>
        <v>0</v>
      </c>
      <c r="K306" s="494">
        <f t="shared" si="110"/>
        <v>0</v>
      </c>
    </row>
    <row r="307" spans="1:11" ht="22.5" x14ac:dyDescent="0.2">
      <c r="A307" s="373">
        <v>2</v>
      </c>
      <c r="B307" s="374">
        <v>6</v>
      </c>
      <c r="C307" s="374">
        <v>5</v>
      </c>
      <c r="D307" s="374">
        <v>5</v>
      </c>
      <c r="E307" s="374" t="s">
        <v>202</v>
      </c>
      <c r="F307" s="377" t="s">
        <v>190</v>
      </c>
      <c r="G307" s="383"/>
      <c r="H307" s="27"/>
      <c r="I307" s="27"/>
      <c r="J307" s="27">
        <f t="shared" si="112"/>
        <v>0</v>
      </c>
      <c r="K307" s="482">
        <f t="shared" si="110"/>
        <v>0</v>
      </c>
    </row>
    <row r="308" spans="1:11" ht="22.5" x14ac:dyDescent="0.2">
      <c r="A308" s="369">
        <v>2</v>
      </c>
      <c r="B308" s="370">
        <v>6</v>
      </c>
      <c r="C308" s="370">
        <v>5</v>
      </c>
      <c r="D308" s="370">
        <v>6</v>
      </c>
      <c r="E308" s="370"/>
      <c r="F308" s="382" t="s">
        <v>191</v>
      </c>
      <c r="G308" s="384">
        <f>+G309</f>
        <v>0</v>
      </c>
      <c r="H308" s="384">
        <f t="shared" ref="H308:K308" si="129">+H309</f>
        <v>0</v>
      </c>
      <c r="I308" s="384">
        <f t="shared" si="129"/>
        <v>0</v>
      </c>
      <c r="J308" s="384">
        <f t="shared" si="112"/>
        <v>0</v>
      </c>
      <c r="K308" s="494">
        <f t="shared" si="110"/>
        <v>0</v>
      </c>
    </row>
    <row r="309" spans="1:11" ht="22.5" x14ac:dyDescent="0.2">
      <c r="A309" s="373">
        <v>2</v>
      </c>
      <c r="B309" s="374">
        <v>6</v>
      </c>
      <c r="C309" s="374">
        <v>5</v>
      </c>
      <c r="D309" s="374">
        <v>6</v>
      </c>
      <c r="E309" s="374" t="s">
        <v>202</v>
      </c>
      <c r="F309" s="377" t="s">
        <v>191</v>
      </c>
      <c r="G309" s="383"/>
      <c r="H309" s="27"/>
      <c r="I309" s="27"/>
      <c r="J309" s="27">
        <f t="shared" si="112"/>
        <v>0</v>
      </c>
      <c r="K309" s="482">
        <f t="shared" si="110"/>
        <v>0</v>
      </c>
    </row>
    <row r="310" spans="1:11" ht="12.75" x14ac:dyDescent="0.2">
      <c r="A310" s="365">
        <v>2</v>
      </c>
      <c r="B310" s="366">
        <v>6</v>
      </c>
      <c r="C310" s="366">
        <v>6</v>
      </c>
      <c r="D310" s="366"/>
      <c r="E310" s="366"/>
      <c r="F310" s="367" t="s">
        <v>266</v>
      </c>
      <c r="G310" s="368">
        <f t="shared" ref="G310:K311" si="130">+G311</f>
        <v>0</v>
      </c>
      <c r="H310" s="368">
        <f t="shared" si="130"/>
        <v>0</v>
      </c>
      <c r="I310" s="368">
        <f t="shared" si="130"/>
        <v>0</v>
      </c>
      <c r="J310" s="368">
        <f t="shared" si="112"/>
        <v>0</v>
      </c>
      <c r="K310" s="492">
        <f t="shared" si="110"/>
        <v>0</v>
      </c>
    </row>
    <row r="311" spans="1:11" ht="12.75" x14ac:dyDescent="0.2">
      <c r="A311" s="369">
        <v>2</v>
      </c>
      <c r="B311" s="370">
        <v>6</v>
      </c>
      <c r="C311" s="370">
        <v>6</v>
      </c>
      <c r="D311" s="370">
        <v>2</v>
      </c>
      <c r="E311" s="370"/>
      <c r="F311" s="371" t="s">
        <v>268</v>
      </c>
      <c r="G311" s="384">
        <f t="shared" si="130"/>
        <v>0</v>
      </c>
      <c r="H311" s="384">
        <f t="shared" si="130"/>
        <v>0</v>
      </c>
      <c r="I311" s="384">
        <f t="shared" si="130"/>
        <v>0</v>
      </c>
      <c r="J311" s="384">
        <f t="shared" si="112"/>
        <v>0</v>
      </c>
      <c r="K311" s="494">
        <f t="shared" si="110"/>
        <v>0</v>
      </c>
    </row>
    <row r="312" spans="1:11" ht="12.75" x14ac:dyDescent="0.2">
      <c r="A312" s="373">
        <v>2</v>
      </c>
      <c r="B312" s="374">
        <v>6</v>
      </c>
      <c r="C312" s="374">
        <v>6</v>
      </c>
      <c r="D312" s="374">
        <v>2</v>
      </c>
      <c r="E312" s="374" t="s">
        <v>202</v>
      </c>
      <c r="F312" s="377" t="s">
        <v>268</v>
      </c>
      <c r="G312" s="383"/>
      <c r="H312" s="28"/>
      <c r="I312" s="28"/>
      <c r="J312" s="28">
        <f t="shared" si="112"/>
        <v>0</v>
      </c>
      <c r="K312" s="486">
        <f t="shared" si="110"/>
        <v>0</v>
      </c>
    </row>
    <row r="313" spans="1:11" ht="12.75" x14ac:dyDescent="0.2">
      <c r="A313" s="365">
        <v>2</v>
      </c>
      <c r="B313" s="366">
        <v>6</v>
      </c>
      <c r="C313" s="366">
        <v>8</v>
      </c>
      <c r="D313" s="366"/>
      <c r="E313" s="366"/>
      <c r="F313" s="367" t="s">
        <v>193</v>
      </c>
      <c r="G313" s="368">
        <f>+G314+G317+G319+G321</f>
        <v>0</v>
      </c>
      <c r="H313" s="32">
        <f>+H314+H316</f>
        <v>0</v>
      </c>
      <c r="I313" s="32">
        <f>+I314+I316</f>
        <v>0</v>
      </c>
      <c r="J313" s="32">
        <f t="shared" si="112"/>
        <v>0</v>
      </c>
      <c r="K313" s="480">
        <f t="shared" si="110"/>
        <v>0</v>
      </c>
    </row>
    <row r="314" spans="1:11" ht="12.75" x14ac:dyDescent="0.2">
      <c r="A314" s="369">
        <v>2</v>
      </c>
      <c r="B314" s="370">
        <v>6</v>
      </c>
      <c r="C314" s="370">
        <v>8</v>
      </c>
      <c r="D314" s="370">
        <v>3</v>
      </c>
      <c r="E314" s="370"/>
      <c r="F314" s="382" t="s">
        <v>194</v>
      </c>
      <c r="G314" s="384">
        <f>+G315+G316</f>
        <v>0</v>
      </c>
      <c r="H314" s="30">
        <f>+H315</f>
        <v>0</v>
      </c>
      <c r="I314" s="30">
        <f>+I315</f>
        <v>0</v>
      </c>
      <c r="J314" s="30">
        <f t="shared" si="112"/>
        <v>0</v>
      </c>
      <c r="K314" s="481">
        <f t="shared" si="110"/>
        <v>0</v>
      </c>
    </row>
    <row r="315" spans="1:11" ht="12.75" x14ac:dyDescent="0.2">
      <c r="A315" s="373">
        <v>2</v>
      </c>
      <c r="B315" s="374">
        <v>6</v>
      </c>
      <c r="C315" s="374">
        <v>8</v>
      </c>
      <c r="D315" s="374">
        <v>3</v>
      </c>
      <c r="E315" s="374" t="s">
        <v>202</v>
      </c>
      <c r="F315" s="377" t="s">
        <v>195</v>
      </c>
      <c r="G315" s="376"/>
      <c r="H315" s="376"/>
      <c r="I315" s="376"/>
      <c r="J315" s="376">
        <f t="shared" si="112"/>
        <v>0</v>
      </c>
      <c r="K315" s="491">
        <f t="shared" si="110"/>
        <v>0</v>
      </c>
    </row>
    <row r="316" spans="1:11" ht="12.75" x14ac:dyDescent="0.2">
      <c r="A316" s="373">
        <v>2</v>
      </c>
      <c r="B316" s="374">
        <v>6</v>
      </c>
      <c r="C316" s="374">
        <v>8</v>
      </c>
      <c r="D316" s="374">
        <v>3</v>
      </c>
      <c r="E316" s="374" t="s">
        <v>203</v>
      </c>
      <c r="F316" s="377" t="s">
        <v>196</v>
      </c>
      <c r="G316" s="383"/>
      <c r="H316" s="383"/>
      <c r="I316" s="383"/>
      <c r="J316" s="383">
        <f t="shared" si="112"/>
        <v>0</v>
      </c>
      <c r="K316" s="495">
        <f t="shared" si="110"/>
        <v>0</v>
      </c>
    </row>
    <row r="317" spans="1:11" ht="12.75" x14ac:dyDescent="0.2">
      <c r="A317" s="369">
        <v>2</v>
      </c>
      <c r="B317" s="370">
        <v>6</v>
      </c>
      <c r="C317" s="370">
        <v>8</v>
      </c>
      <c r="D317" s="370">
        <v>5</v>
      </c>
      <c r="E317" s="370"/>
      <c r="F317" s="382" t="s">
        <v>197</v>
      </c>
      <c r="G317" s="384">
        <f>+G318</f>
        <v>0</v>
      </c>
      <c r="H317" s="384">
        <f t="shared" ref="H317:K317" si="131">+H318</f>
        <v>0</v>
      </c>
      <c r="I317" s="384">
        <f t="shared" si="131"/>
        <v>0</v>
      </c>
      <c r="J317" s="384">
        <f t="shared" si="112"/>
        <v>0</v>
      </c>
      <c r="K317" s="494">
        <f t="shared" si="110"/>
        <v>0</v>
      </c>
    </row>
    <row r="318" spans="1:11" ht="12.75" x14ac:dyDescent="0.2">
      <c r="A318" s="373">
        <v>2</v>
      </c>
      <c r="B318" s="374">
        <v>6</v>
      </c>
      <c r="C318" s="374">
        <v>8</v>
      </c>
      <c r="D318" s="374">
        <v>5</v>
      </c>
      <c r="E318" s="374" t="s">
        <v>202</v>
      </c>
      <c r="F318" s="377" t="s">
        <v>197</v>
      </c>
      <c r="G318" s="383"/>
      <c r="H318" s="383"/>
      <c r="I318" s="383"/>
      <c r="J318" s="383">
        <f t="shared" si="112"/>
        <v>0</v>
      </c>
      <c r="K318" s="495">
        <f t="shared" si="110"/>
        <v>0</v>
      </c>
    </row>
    <row r="319" spans="1:11" ht="22.5" x14ac:dyDescent="0.2">
      <c r="A319" s="369">
        <v>2</v>
      </c>
      <c r="B319" s="370">
        <v>6</v>
      </c>
      <c r="C319" s="370">
        <v>8</v>
      </c>
      <c r="D319" s="370">
        <v>8</v>
      </c>
      <c r="E319" s="370"/>
      <c r="F319" s="371" t="s">
        <v>198</v>
      </c>
      <c r="G319" s="384">
        <f>+G320</f>
        <v>0</v>
      </c>
      <c r="H319" s="384">
        <f t="shared" ref="H319:K319" si="132">+H320</f>
        <v>0</v>
      </c>
      <c r="I319" s="384">
        <f t="shared" si="132"/>
        <v>0</v>
      </c>
      <c r="J319" s="384">
        <f t="shared" si="112"/>
        <v>0</v>
      </c>
      <c r="K319" s="494">
        <f t="shared" si="110"/>
        <v>0</v>
      </c>
    </row>
    <row r="320" spans="1:11" ht="12.75" x14ac:dyDescent="0.2">
      <c r="A320" s="373">
        <v>2</v>
      </c>
      <c r="B320" s="374">
        <v>6</v>
      </c>
      <c r="C320" s="374">
        <v>8</v>
      </c>
      <c r="D320" s="374">
        <v>8</v>
      </c>
      <c r="E320" s="374" t="s">
        <v>202</v>
      </c>
      <c r="F320" s="377" t="s">
        <v>1027</v>
      </c>
      <c r="G320" s="376"/>
      <c r="H320" s="376"/>
      <c r="I320" s="376"/>
      <c r="J320" s="376">
        <f t="shared" si="112"/>
        <v>0</v>
      </c>
      <c r="K320" s="491">
        <f t="shared" si="110"/>
        <v>0</v>
      </c>
    </row>
    <row r="321" spans="1:11" ht="12.75" x14ac:dyDescent="0.2">
      <c r="A321" s="369">
        <v>2</v>
      </c>
      <c r="B321" s="370">
        <v>6</v>
      </c>
      <c r="C321" s="370">
        <v>8</v>
      </c>
      <c r="D321" s="370">
        <v>9</v>
      </c>
      <c r="E321" s="370"/>
      <c r="F321" s="371" t="s">
        <v>199</v>
      </c>
      <c r="G321" s="384">
        <f>+G322</f>
        <v>0</v>
      </c>
      <c r="H321" s="384">
        <f t="shared" ref="H321:K321" si="133">+H322</f>
        <v>0</v>
      </c>
      <c r="I321" s="384">
        <f t="shared" si="133"/>
        <v>0</v>
      </c>
      <c r="J321" s="384">
        <f t="shared" si="112"/>
        <v>0</v>
      </c>
      <c r="K321" s="494">
        <f t="shared" si="110"/>
        <v>0</v>
      </c>
    </row>
    <row r="322" spans="1:11" ht="12.75" x14ac:dyDescent="0.2">
      <c r="A322" s="373">
        <v>2</v>
      </c>
      <c r="B322" s="374">
        <v>6</v>
      </c>
      <c r="C322" s="374">
        <v>8</v>
      </c>
      <c r="D322" s="374">
        <v>9</v>
      </c>
      <c r="E322" s="374" t="s">
        <v>202</v>
      </c>
      <c r="F322" s="377" t="s">
        <v>199</v>
      </c>
      <c r="G322" s="383"/>
      <c r="H322" s="27"/>
      <c r="I322" s="27"/>
      <c r="J322" s="27">
        <f t="shared" si="112"/>
        <v>0</v>
      </c>
      <c r="K322" s="482">
        <f t="shared" si="110"/>
        <v>0</v>
      </c>
    </row>
    <row r="323" spans="1:11" ht="12.75" x14ac:dyDescent="0.2">
      <c r="A323" s="361">
        <v>2</v>
      </c>
      <c r="B323" s="362">
        <v>7</v>
      </c>
      <c r="C323" s="362"/>
      <c r="D323" s="362"/>
      <c r="E323" s="362"/>
      <c r="F323" s="363" t="s">
        <v>175</v>
      </c>
      <c r="G323" s="364">
        <f>+G324</f>
        <v>0</v>
      </c>
      <c r="H323" s="364">
        <f t="shared" ref="H323:K324" si="134">+H324</f>
        <v>0</v>
      </c>
      <c r="I323" s="364">
        <f t="shared" si="134"/>
        <v>0</v>
      </c>
      <c r="J323" s="364">
        <f t="shared" si="112"/>
        <v>0</v>
      </c>
      <c r="K323" s="493">
        <f t="shared" si="110"/>
        <v>0</v>
      </c>
    </row>
    <row r="324" spans="1:11" ht="12.75" x14ac:dyDescent="0.2">
      <c r="A324" s="365">
        <v>2</v>
      </c>
      <c r="B324" s="366">
        <v>7</v>
      </c>
      <c r="C324" s="366">
        <v>1</v>
      </c>
      <c r="D324" s="366"/>
      <c r="E324" s="366"/>
      <c r="F324" s="367" t="s">
        <v>200</v>
      </c>
      <c r="G324" s="368">
        <f>+G325</f>
        <v>0</v>
      </c>
      <c r="H324" s="368">
        <f t="shared" si="134"/>
        <v>0</v>
      </c>
      <c r="I324" s="368">
        <f t="shared" si="134"/>
        <v>0</v>
      </c>
      <c r="J324" s="368">
        <f t="shared" si="112"/>
        <v>0</v>
      </c>
      <c r="K324" s="492">
        <f t="shared" si="110"/>
        <v>0</v>
      </c>
    </row>
    <row r="325" spans="1:11" ht="12.75" x14ac:dyDescent="0.2">
      <c r="A325" s="369">
        <v>2</v>
      </c>
      <c r="B325" s="370">
        <v>7</v>
      </c>
      <c r="C325" s="370">
        <v>1</v>
      </c>
      <c r="D325" s="370">
        <v>2</v>
      </c>
      <c r="E325" s="370"/>
      <c r="F325" s="382" t="s">
        <v>201</v>
      </c>
      <c r="G325" s="384">
        <f>+G326</f>
        <v>0</v>
      </c>
      <c r="H325" s="384">
        <f t="shared" ref="H325:I325" si="135">+H326</f>
        <v>0</v>
      </c>
      <c r="I325" s="384">
        <f t="shared" si="135"/>
        <v>0</v>
      </c>
      <c r="J325" s="384">
        <f t="shared" si="112"/>
        <v>0</v>
      </c>
      <c r="K325" s="494">
        <f t="shared" si="110"/>
        <v>0</v>
      </c>
    </row>
    <row r="326" spans="1:11" ht="12.75" x14ac:dyDescent="0.2">
      <c r="A326" s="47">
        <v>2</v>
      </c>
      <c r="B326" s="48">
        <v>7</v>
      </c>
      <c r="C326" s="48">
        <v>1</v>
      </c>
      <c r="D326" s="48">
        <v>2</v>
      </c>
      <c r="E326" s="48" t="s">
        <v>202</v>
      </c>
      <c r="F326" s="49" t="s">
        <v>201</v>
      </c>
      <c r="G326" s="50"/>
      <c r="H326" s="50"/>
      <c r="I326" s="50"/>
      <c r="J326" s="50">
        <f t="shared" si="112"/>
        <v>0</v>
      </c>
      <c r="K326" s="487">
        <f>IFERROR(J326/$J$18*100,"0.00")/100</f>
        <v>0</v>
      </c>
    </row>
    <row r="327" spans="1:11" s="59" customFormat="1" x14ac:dyDescent="0.3">
      <c r="A327" s="60"/>
      <c r="B327" s="60"/>
      <c r="C327" s="60"/>
      <c r="D327" s="60"/>
      <c r="E327" s="60"/>
      <c r="F327" s="60"/>
      <c r="G327" s="60"/>
      <c r="H327" s="60"/>
      <c r="I327" s="60"/>
      <c r="J327" s="60"/>
    </row>
    <row r="328" spans="1:11" s="59" customFormat="1" x14ac:dyDescent="0.3">
      <c r="A328" s="60"/>
      <c r="B328" s="60"/>
      <c r="C328" s="60"/>
      <c r="D328" s="60"/>
      <c r="E328" s="60"/>
      <c r="F328" s="60"/>
      <c r="G328" s="60"/>
      <c r="H328" s="60"/>
      <c r="I328" s="60"/>
      <c r="J328" s="60"/>
    </row>
    <row r="329" spans="1:11" s="59" customFormat="1" x14ac:dyDescent="0.3">
      <c r="A329" s="60"/>
      <c r="B329" s="60"/>
      <c r="C329" s="60"/>
      <c r="D329" s="60"/>
      <c r="E329" s="60"/>
      <c r="F329" s="60"/>
      <c r="G329" s="60"/>
      <c r="H329" s="60"/>
      <c r="I329" s="60"/>
      <c r="J329" s="60"/>
    </row>
    <row r="330" spans="1:11" s="59" customFormat="1" x14ac:dyDescent="0.3">
      <c r="A330" s="60"/>
      <c r="B330" s="60"/>
      <c r="C330" s="60"/>
      <c r="D330" s="60"/>
      <c r="E330" s="60"/>
      <c r="F330" s="60"/>
      <c r="G330" s="60"/>
      <c r="H330" s="60"/>
      <c r="I330" s="60"/>
      <c r="J330" s="60"/>
    </row>
    <row r="331" spans="1:11" s="59" customFormat="1" x14ac:dyDescent="0.3">
      <c r="A331" s="60"/>
      <c r="B331" s="60"/>
      <c r="C331" s="60"/>
      <c r="D331" s="60"/>
      <c r="E331" s="60"/>
      <c r="F331" s="60"/>
      <c r="G331" s="60"/>
      <c r="H331" s="60"/>
      <c r="I331" s="60"/>
      <c r="J331" s="60"/>
    </row>
    <row r="332" spans="1:11" s="59" customFormat="1" x14ac:dyDescent="0.3">
      <c r="A332" s="60"/>
      <c r="B332" s="60"/>
      <c r="C332" s="60"/>
      <c r="D332" s="60"/>
      <c r="E332" s="60"/>
      <c r="F332" s="60"/>
      <c r="G332" s="60"/>
      <c r="H332" s="60"/>
      <c r="I332" s="60"/>
      <c r="J332" s="60"/>
    </row>
    <row r="333" spans="1:11" s="59" customFormat="1" x14ac:dyDescent="0.3">
      <c r="A333" s="60"/>
      <c r="B333" s="60"/>
      <c r="C333" s="60"/>
      <c r="D333" s="60"/>
      <c r="E333" s="60"/>
      <c r="F333" s="60"/>
      <c r="G333" s="60"/>
      <c r="H333" s="60"/>
      <c r="I333" s="60"/>
      <c r="J333" s="60"/>
    </row>
    <row r="334" spans="1:11" s="59" customFormat="1" x14ac:dyDescent="0.3">
      <c r="A334" s="60"/>
      <c r="B334" s="60"/>
      <c r="C334" s="60"/>
      <c r="D334" s="60"/>
      <c r="E334" s="60"/>
      <c r="F334" s="60"/>
      <c r="G334" s="60"/>
      <c r="H334" s="60"/>
      <c r="I334" s="60"/>
      <c r="J334" s="60"/>
    </row>
    <row r="335" spans="1:11" s="59" customFormat="1" x14ac:dyDescent="0.3">
      <c r="A335" s="60"/>
      <c r="B335" s="60"/>
      <c r="C335" s="60"/>
      <c r="D335" s="60"/>
      <c r="E335" s="60"/>
      <c r="F335" s="60"/>
      <c r="G335" s="60"/>
      <c r="H335" s="60"/>
      <c r="I335" s="60"/>
      <c r="J335" s="60"/>
    </row>
    <row r="336" spans="1:11" s="59" customFormat="1" x14ac:dyDescent="0.3">
      <c r="A336" s="60"/>
      <c r="B336" s="60"/>
      <c r="C336" s="60"/>
      <c r="D336" s="60"/>
      <c r="E336" s="60"/>
      <c r="F336" s="60"/>
      <c r="G336" s="60"/>
      <c r="H336" s="60"/>
      <c r="I336" s="60"/>
      <c r="J336" s="60"/>
    </row>
    <row r="337" spans="1:10" s="59" customFormat="1" x14ac:dyDescent="0.3">
      <c r="A337" s="60"/>
      <c r="B337" s="60"/>
      <c r="C337" s="60"/>
      <c r="D337" s="60"/>
      <c r="E337" s="60"/>
      <c r="F337" s="60"/>
      <c r="G337" s="60"/>
      <c r="H337" s="60"/>
      <c r="I337" s="60"/>
      <c r="J337" s="60"/>
    </row>
    <row r="338" spans="1:10" s="59" customFormat="1" x14ac:dyDescent="0.3">
      <c r="A338" s="60"/>
      <c r="B338" s="60"/>
      <c r="C338" s="60"/>
      <c r="D338" s="60"/>
      <c r="E338" s="60"/>
      <c r="F338" s="60"/>
      <c r="G338" s="60"/>
      <c r="H338" s="60"/>
      <c r="I338" s="60"/>
      <c r="J338" s="60"/>
    </row>
    <row r="339" spans="1:10" s="59" customFormat="1" x14ac:dyDescent="0.3">
      <c r="A339" s="60"/>
      <c r="B339" s="60"/>
      <c r="C339" s="60"/>
      <c r="D339" s="60"/>
      <c r="E339" s="60"/>
      <c r="F339" s="60"/>
      <c r="G339" s="60"/>
      <c r="H339" s="60"/>
      <c r="I339" s="60"/>
      <c r="J339" s="60"/>
    </row>
    <row r="340" spans="1:10" s="59" customFormat="1" x14ac:dyDescent="0.3">
      <c r="A340" s="60"/>
      <c r="B340" s="60"/>
      <c r="C340" s="60"/>
      <c r="D340" s="60"/>
      <c r="E340" s="60"/>
      <c r="F340" s="60"/>
      <c r="G340" s="60"/>
      <c r="H340" s="60"/>
      <c r="I340" s="60"/>
      <c r="J340" s="60"/>
    </row>
    <row r="341" spans="1:10" s="59" customFormat="1" x14ac:dyDescent="0.3">
      <c r="A341" s="60"/>
      <c r="B341" s="60"/>
      <c r="C341" s="60"/>
      <c r="D341" s="60"/>
      <c r="E341" s="60"/>
      <c r="F341" s="60"/>
      <c r="G341" s="60"/>
      <c r="H341" s="60"/>
      <c r="I341" s="60"/>
      <c r="J341" s="60"/>
    </row>
    <row r="342" spans="1:10" s="59" customFormat="1" x14ac:dyDescent="0.3">
      <c r="A342" s="60"/>
      <c r="B342" s="60"/>
      <c r="C342" s="60"/>
      <c r="D342" s="60"/>
      <c r="E342" s="60"/>
      <c r="F342" s="60"/>
      <c r="G342" s="60"/>
      <c r="H342" s="60"/>
      <c r="I342" s="60"/>
      <c r="J342" s="60"/>
    </row>
    <row r="343" spans="1:10" s="59" customFormat="1" x14ac:dyDescent="0.3">
      <c r="A343" s="60"/>
      <c r="B343" s="60"/>
      <c r="C343" s="60"/>
      <c r="D343" s="60"/>
      <c r="E343" s="60"/>
      <c r="F343" s="60"/>
      <c r="G343" s="60"/>
      <c r="H343" s="60"/>
      <c r="I343" s="60"/>
      <c r="J343" s="60"/>
    </row>
    <row r="344" spans="1:10" s="59" customFormat="1" x14ac:dyDescent="0.3">
      <c r="A344" s="60"/>
      <c r="B344" s="60"/>
      <c r="C344" s="60"/>
      <c r="D344" s="60"/>
      <c r="E344" s="60"/>
      <c r="F344" s="60"/>
      <c r="G344" s="60"/>
      <c r="H344" s="60"/>
      <c r="I344" s="60"/>
      <c r="J344" s="60"/>
    </row>
    <row r="345" spans="1:10" s="59" customFormat="1" x14ac:dyDescent="0.3">
      <c r="A345" s="60"/>
      <c r="B345" s="60"/>
      <c r="C345" s="60"/>
      <c r="D345" s="60"/>
      <c r="E345" s="60"/>
      <c r="F345" s="60"/>
      <c r="G345" s="60"/>
      <c r="H345" s="60"/>
      <c r="I345" s="60"/>
      <c r="J345" s="60"/>
    </row>
    <row r="346" spans="1:10" s="59" customFormat="1" x14ac:dyDescent="0.3">
      <c r="A346" s="60"/>
      <c r="B346" s="60"/>
      <c r="C346" s="60"/>
      <c r="D346" s="60"/>
      <c r="E346" s="60"/>
      <c r="F346" s="60"/>
      <c r="G346" s="60"/>
      <c r="H346" s="60"/>
      <c r="I346" s="60"/>
      <c r="J346" s="60"/>
    </row>
    <row r="347" spans="1:10" s="59" customFormat="1" x14ac:dyDescent="0.3">
      <c r="A347" s="60"/>
      <c r="B347" s="60"/>
      <c r="C347" s="60"/>
      <c r="D347" s="60"/>
      <c r="E347" s="60"/>
      <c r="F347" s="60"/>
      <c r="G347" s="60"/>
      <c r="H347" s="60"/>
      <c r="I347" s="60"/>
      <c r="J347" s="60"/>
    </row>
    <row r="348" spans="1:10" s="59" customFormat="1" x14ac:dyDescent="0.3">
      <c r="A348" s="60"/>
      <c r="B348" s="60"/>
      <c r="C348" s="60"/>
      <c r="D348" s="60"/>
      <c r="E348" s="60"/>
      <c r="F348" s="60"/>
      <c r="G348" s="60"/>
      <c r="H348" s="60"/>
      <c r="I348" s="60"/>
      <c r="J348" s="60"/>
    </row>
    <row r="349" spans="1:10" s="59" customFormat="1" x14ac:dyDescent="0.3">
      <c r="A349" s="60"/>
      <c r="B349" s="60"/>
      <c r="C349" s="60"/>
      <c r="D349" s="60"/>
      <c r="E349" s="60"/>
      <c r="F349" s="60"/>
      <c r="G349" s="60"/>
      <c r="H349" s="60"/>
      <c r="I349" s="60"/>
      <c r="J349" s="60"/>
    </row>
    <row r="350" spans="1:10" s="59" customFormat="1" x14ac:dyDescent="0.3">
      <c r="A350" s="60"/>
      <c r="B350" s="60"/>
      <c r="C350" s="60"/>
      <c r="D350" s="60"/>
      <c r="E350" s="60"/>
      <c r="F350" s="60"/>
      <c r="G350" s="60"/>
      <c r="H350" s="60"/>
      <c r="I350" s="60"/>
      <c r="J350" s="60"/>
    </row>
    <row r="351" spans="1:10" s="59" customFormat="1" x14ac:dyDescent="0.3">
      <c r="A351" s="60"/>
      <c r="B351" s="60"/>
      <c r="C351" s="60"/>
      <c r="D351" s="60"/>
      <c r="E351" s="60"/>
      <c r="F351" s="60"/>
      <c r="G351" s="60"/>
      <c r="H351" s="60"/>
      <c r="I351" s="60"/>
      <c r="J351" s="60"/>
    </row>
    <row r="352" spans="1:10" s="59" customFormat="1" x14ac:dyDescent="0.3">
      <c r="A352" s="60"/>
      <c r="B352" s="60"/>
      <c r="C352" s="60"/>
      <c r="D352" s="60"/>
      <c r="E352" s="60"/>
      <c r="F352" s="60"/>
      <c r="G352" s="60"/>
      <c r="H352" s="60"/>
      <c r="I352" s="60"/>
      <c r="J352" s="60"/>
    </row>
    <row r="353" spans="1:10" s="59" customFormat="1" x14ac:dyDescent="0.3">
      <c r="A353" s="60"/>
      <c r="B353" s="60"/>
      <c r="C353" s="60"/>
      <c r="D353" s="60"/>
      <c r="E353" s="60"/>
      <c r="F353" s="60"/>
      <c r="G353" s="60"/>
      <c r="H353" s="60"/>
      <c r="I353" s="60"/>
      <c r="J353" s="60"/>
    </row>
    <row r="354" spans="1:10" s="59" customFormat="1" x14ac:dyDescent="0.3">
      <c r="A354" s="60"/>
      <c r="B354" s="60"/>
      <c r="C354" s="60"/>
      <c r="D354" s="60"/>
      <c r="E354" s="60"/>
      <c r="F354" s="60"/>
      <c r="G354" s="60"/>
      <c r="H354" s="60"/>
      <c r="I354" s="60"/>
      <c r="J354" s="60"/>
    </row>
    <row r="355" spans="1:10" s="59" customFormat="1" x14ac:dyDescent="0.3">
      <c r="A355" s="60"/>
      <c r="B355" s="60"/>
      <c r="C355" s="60"/>
      <c r="D355" s="60"/>
      <c r="E355" s="60"/>
      <c r="F355" s="60"/>
      <c r="G355" s="60"/>
      <c r="H355" s="60"/>
      <c r="I355" s="60"/>
      <c r="J355" s="60"/>
    </row>
    <row r="356" spans="1:10" s="59" customFormat="1" x14ac:dyDescent="0.3">
      <c r="A356" s="60"/>
      <c r="B356" s="60"/>
      <c r="C356" s="60"/>
      <c r="D356" s="60"/>
      <c r="E356" s="60"/>
      <c r="F356" s="60"/>
      <c r="G356" s="60"/>
      <c r="H356" s="60"/>
      <c r="I356" s="60"/>
      <c r="J356" s="60"/>
    </row>
    <row r="357" spans="1:10" s="59" customFormat="1" x14ac:dyDescent="0.3">
      <c r="A357" s="60"/>
      <c r="B357" s="60"/>
      <c r="C357" s="60"/>
      <c r="D357" s="60"/>
      <c r="E357" s="60"/>
      <c r="F357" s="60"/>
      <c r="G357" s="60"/>
      <c r="H357" s="60"/>
      <c r="I357" s="60"/>
      <c r="J357" s="60"/>
    </row>
    <row r="358" spans="1:10" s="59" customFormat="1" x14ac:dyDescent="0.3">
      <c r="A358" s="60"/>
      <c r="B358" s="60"/>
      <c r="C358" s="60"/>
      <c r="D358" s="60"/>
      <c r="E358" s="60"/>
      <c r="F358" s="60"/>
      <c r="G358" s="60"/>
      <c r="H358" s="60"/>
      <c r="I358" s="60"/>
      <c r="J358" s="60"/>
    </row>
    <row r="359" spans="1:10" s="59" customFormat="1" x14ac:dyDescent="0.3">
      <c r="A359" s="60"/>
      <c r="B359" s="60"/>
      <c r="C359" s="60"/>
      <c r="D359" s="60"/>
      <c r="E359" s="60"/>
      <c r="F359" s="60"/>
      <c r="G359" s="60"/>
      <c r="H359" s="60"/>
      <c r="I359" s="60"/>
      <c r="J359" s="60"/>
    </row>
    <row r="360" spans="1:10" s="59" customFormat="1" x14ac:dyDescent="0.3">
      <c r="A360" s="60"/>
      <c r="B360" s="60"/>
      <c r="C360" s="60"/>
      <c r="D360" s="60"/>
      <c r="E360" s="60"/>
      <c r="F360" s="60"/>
      <c r="G360" s="60"/>
      <c r="H360" s="60"/>
      <c r="I360" s="60"/>
      <c r="J360" s="60"/>
    </row>
    <row r="361" spans="1:10" s="59" customFormat="1" x14ac:dyDescent="0.3">
      <c r="A361" s="60"/>
      <c r="B361" s="60"/>
      <c r="C361" s="60"/>
      <c r="D361" s="60"/>
      <c r="E361" s="60"/>
      <c r="F361" s="60"/>
      <c r="G361" s="60"/>
      <c r="H361" s="60"/>
      <c r="I361" s="60"/>
      <c r="J361" s="60"/>
    </row>
    <row r="362" spans="1:10" s="59" customFormat="1" x14ac:dyDescent="0.3">
      <c r="A362" s="60"/>
      <c r="B362" s="60"/>
      <c r="C362" s="60"/>
      <c r="D362" s="60"/>
      <c r="E362" s="60"/>
      <c r="F362" s="60"/>
      <c r="G362" s="60"/>
      <c r="H362" s="60"/>
      <c r="I362" s="60"/>
      <c r="J362" s="60"/>
    </row>
    <row r="363" spans="1:10" s="59" customFormat="1" x14ac:dyDescent="0.3">
      <c r="A363" s="60"/>
      <c r="B363" s="60"/>
      <c r="C363" s="60"/>
      <c r="D363" s="60"/>
      <c r="E363" s="60"/>
      <c r="F363" s="60"/>
      <c r="G363" s="60"/>
      <c r="H363" s="60"/>
      <c r="I363" s="60"/>
      <c r="J363" s="60"/>
    </row>
    <row r="364" spans="1:10" s="59" customFormat="1" x14ac:dyDescent="0.3">
      <c r="A364" s="60"/>
      <c r="B364" s="60"/>
      <c r="C364" s="60"/>
      <c r="D364" s="60"/>
      <c r="E364" s="60"/>
      <c r="F364" s="60"/>
      <c r="G364" s="60"/>
      <c r="H364" s="60"/>
      <c r="I364" s="60"/>
      <c r="J364" s="60"/>
    </row>
    <row r="365" spans="1:10" s="59" customFormat="1" x14ac:dyDescent="0.3">
      <c r="A365" s="60"/>
      <c r="B365" s="60"/>
      <c r="C365" s="60"/>
      <c r="D365" s="60"/>
      <c r="E365" s="60"/>
      <c r="F365" s="60"/>
      <c r="G365" s="60"/>
      <c r="H365" s="60"/>
      <c r="I365" s="60"/>
      <c r="J365" s="60"/>
    </row>
    <row r="366" spans="1:10" s="59" customFormat="1" x14ac:dyDescent="0.3">
      <c r="A366" s="60"/>
      <c r="B366" s="60"/>
      <c r="C366" s="60"/>
      <c r="D366" s="60"/>
      <c r="E366" s="60"/>
      <c r="F366" s="60"/>
      <c r="G366" s="60"/>
      <c r="H366" s="60"/>
      <c r="I366" s="60"/>
      <c r="J366" s="60"/>
    </row>
    <row r="367" spans="1:10" s="59" customFormat="1" x14ac:dyDescent="0.3">
      <c r="A367" s="60"/>
      <c r="B367" s="60"/>
      <c r="C367" s="60"/>
      <c r="D367" s="60"/>
      <c r="E367" s="60"/>
      <c r="F367" s="60"/>
      <c r="G367" s="60"/>
      <c r="H367" s="60"/>
      <c r="I367" s="60"/>
      <c r="J367" s="60"/>
    </row>
    <row r="368" spans="1:10" s="59" customFormat="1" x14ac:dyDescent="0.3">
      <c r="A368" s="60"/>
      <c r="B368" s="60"/>
      <c r="C368" s="60"/>
      <c r="D368" s="60"/>
      <c r="E368" s="60"/>
      <c r="F368" s="60"/>
      <c r="G368" s="60"/>
      <c r="H368" s="60"/>
      <c r="I368" s="60"/>
      <c r="J368" s="60"/>
    </row>
    <row r="369" spans="1:10" s="59" customFormat="1" x14ac:dyDescent="0.3">
      <c r="A369" s="60"/>
      <c r="B369" s="60"/>
      <c r="C369" s="60"/>
      <c r="D369" s="60"/>
      <c r="E369" s="60"/>
      <c r="F369" s="60"/>
      <c r="G369" s="60"/>
      <c r="H369" s="60"/>
      <c r="I369" s="60"/>
      <c r="J369" s="60"/>
    </row>
    <row r="370" spans="1:10" s="59" customFormat="1" x14ac:dyDescent="0.3">
      <c r="A370" s="60"/>
      <c r="B370" s="60"/>
      <c r="C370" s="60"/>
      <c r="D370" s="60"/>
      <c r="E370" s="60"/>
      <c r="F370" s="60"/>
      <c r="G370" s="60"/>
      <c r="H370" s="60"/>
      <c r="I370" s="60"/>
      <c r="J370" s="60"/>
    </row>
    <row r="371" spans="1:10" s="59" customFormat="1" x14ac:dyDescent="0.3">
      <c r="A371" s="60"/>
      <c r="B371" s="60"/>
      <c r="C371" s="60"/>
      <c r="D371" s="60"/>
      <c r="E371" s="60"/>
      <c r="F371" s="60"/>
      <c r="G371" s="60"/>
      <c r="H371" s="60"/>
      <c r="I371" s="60"/>
      <c r="J371" s="60"/>
    </row>
    <row r="372" spans="1:10" s="59" customFormat="1" x14ac:dyDescent="0.3">
      <c r="A372" s="60"/>
      <c r="B372" s="60"/>
      <c r="C372" s="60"/>
      <c r="D372" s="60"/>
      <c r="E372" s="60"/>
      <c r="F372" s="60"/>
      <c r="G372" s="60"/>
      <c r="H372" s="60"/>
      <c r="I372" s="60"/>
      <c r="J372" s="60"/>
    </row>
    <row r="373" spans="1:10" s="59" customFormat="1" x14ac:dyDescent="0.3">
      <c r="A373" s="60"/>
      <c r="B373" s="60"/>
      <c r="C373" s="60"/>
      <c r="D373" s="60"/>
      <c r="E373" s="60"/>
      <c r="F373" s="60"/>
      <c r="G373" s="60"/>
      <c r="H373" s="60"/>
      <c r="I373" s="60"/>
      <c r="J373" s="60"/>
    </row>
    <row r="374" spans="1:10" s="59" customFormat="1" x14ac:dyDescent="0.3">
      <c r="A374" s="60"/>
      <c r="B374" s="60"/>
      <c r="C374" s="60"/>
      <c r="D374" s="60"/>
      <c r="E374" s="60"/>
      <c r="F374" s="60"/>
      <c r="G374" s="60"/>
      <c r="H374" s="60"/>
      <c r="I374" s="60"/>
      <c r="J374" s="60"/>
    </row>
    <row r="375" spans="1:10" s="59" customFormat="1" x14ac:dyDescent="0.3">
      <c r="A375" s="60"/>
      <c r="B375" s="60"/>
      <c r="C375" s="60"/>
      <c r="D375" s="60"/>
      <c r="E375" s="60"/>
      <c r="F375" s="60"/>
      <c r="G375" s="60"/>
      <c r="H375" s="60"/>
      <c r="I375" s="60"/>
      <c r="J375" s="60"/>
    </row>
    <row r="376" spans="1:10" s="59" customFormat="1" x14ac:dyDescent="0.3">
      <c r="A376" s="60"/>
      <c r="B376" s="60"/>
      <c r="C376" s="60"/>
      <c r="D376" s="60"/>
      <c r="E376" s="60"/>
      <c r="F376" s="60"/>
      <c r="G376" s="60"/>
      <c r="H376" s="60"/>
      <c r="I376" s="60"/>
      <c r="J376" s="60"/>
    </row>
    <row r="377" spans="1:10" s="59" customFormat="1" x14ac:dyDescent="0.3">
      <c r="A377" s="60"/>
      <c r="B377" s="60"/>
      <c r="C377" s="60"/>
      <c r="D377" s="60"/>
      <c r="E377" s="60"/>
      <c r="F377" s="60"/>
      <c r="G377" s="60"/>
      <c r="H377" s="60"/>
      <c r="I377" s="60"/>
      <c r="J377" s="60"/>
    </row>
    <row r="378" spans="1:10" s="59" customFormat="1" x14ac:dyDescent="0.3">
      <c r="A378" s="60"/>
      <c r="B378" s="60"/>
      <c r="C378" s="60"/>
      <c r="D378" s="60"/>
      <c r="E378" s="60"/>
      <c r="F378" s="60"/>
      <c r="G378" s="60"/>
      <c r="H378" s="60"/>
      <c r="I378" s="60"/>
      <c r="J378" s="60"/>
    </row>
    <row r="379" spans="1:10" s="59" customFormat="1" x14ac:dyDescent="0.3">
      <c r="A379" s="60"/>
      <c r="B379" s="60"/>
      <c r="C379" s="60"/>
      <c r="D379" s="60"/>
      <c r="E379" s="60"/>
      <c r="F379" s="60"/>
      <c r="G379" s="60"/>
      <c r="H379" s="60"/>
      <c r="I379" s="60"/>
      <c r="J379" s="60"/>
    </row>
    <row r="380" spans="1:10" s="59" customFormat="1" x14ac:dyDescent="0.3">
      <c r="A380" s="60"/>
      <c r="B380" s="60"/>
      <c r="C380" s="60"/>
      <c r="D380" s="60"/>
      <c r="E380" s="60"/>
      <c r="F380" s="60"/>
      <c r="G380" s="60"/>
      <c r="H380" s="60"/>
      <c r="I380" s="60"/>
      <c r="J380" s="60"/>
    </row>
    <row r="381" spans="1:10" s="59" customFormat="1" x14ac:dyDescent="0.3">
      <c r="A381" s="60"/>
      <c r="B381" s="60"/>
      <c r="C381" s="60"/>
      <c r="D381" s="60"/>
      <c r="E381" s="60"/>
      <c r="F381" s="60"/>
      <c r="G381" s="60"/>
      <c r="H381" s="60"/>
      <c r="I381" s="60"/>
      <c r="J381" s="60"/>
    </row>
    <row r="382" spans="1:10" s="59" customFormat="1" x14ac:dyDescent="0.3">
      <c r="A382" s="60"/>
      <c r="B382" s="60"/>
      <c r="C382" s="60"/>
      <c r="D382" s="60"/>
      <c r="E382" s="60"/>
      <c r="F382" s="60"/>
      <c r="G382" s="60"/>
      <c r="H382" s="60"/>
      <c r="I382" s="60"/>
      <c r="J382" s="60"/>
    </row>
    <row r="383" spans="1:10" s="59" customFormat="1" x14ac:dyDescent="0.3">
      <c r="A383" s="60"/>
      <c r="B383" s="60"/>
      <c r="C383" s="60"/>
      <c r="D383" s="60"/>
      <c r="E383" s="60"/>
      <c r="F383" s="60"/>
      <c r="G383" s="60"/>
      <c r="H383" s="60"/>
      <c r="I383" s="60"/>
      <c r="J383" s="60"/>
    </row>
    <row r="384" spans="1:10" s="59" customFormat="1" x14ac:dyDescent="0.3">
      <c r="A384" s="60"/>
      <c r="B384" s="60"/>
      <c r="C384" s="60"/>
      <c r="D384" s="60"/>
      <c r="E384" s="60"/>
      <c r="F384" s="60"/>
      <c r="G384" s="60"/>
      <c r="H384" s="60"/>
      <c r="I384" s="60"/>
      <c r="J384" s="60"/>
    </row>
    <row r="385" spans="1:10" s="59" customFormat="1" x14ac:dyDescent="0.3">
      <c r="A385" s="60"/>
      <c r="B385" s="60"/>
      <c r="C385" s="60"/>
      <c r="D385" s="60"/>
      <c r="E385" s="60"/>
      <c r="F385" s="60"/>
      <c r="G385" s="60"/>
      <c r="H385" s="60"/>
      <c r="I385" s="60"/>
      <c r="J385" s="60"/>
    </row>
    <row r="386" spans="1:10" s="59" customFormat="1" x14ac:dyDescent="0.3">
      <c r="A386" s="60"/>
      <c r="B386" s="60"/>
      <c r="C386" s="60"/>
      <c r="D386" s="60"/>
      <c r="E386" s="60"/>
      <c r="F386" s="60"/>
      <c r="G386" s="60"/>
      <c r="H386" s="60"/>
      <c r="I386" s="60"/>
      <c r="J386" s="60"/>
    </row>
    <row r="387" spans="1:10" s="59" customFormat="1" x14ac:dyDescent="0.3">
      <c r="A387" s="60"/>
      <c r="B387" s="60"/>
      <c r="C387" s="60"/>
      <c r="D387" s="60"/>
      <c r="E387" s="60"/>
      <c r="F387" s="60"/>
      <c r="G387" s="60"/>
      <c r="H387" s="60"/>
      <c r="I387" s="60"/>
      <c r="J387" s="60"/>
    </row>
    <row r="388" spans="1:10" s="59" customFormat="1" x14ac:dyDescent="0.3">
      <c r="A388" s="60"/>
      <c r="B388" s="60"/>
      <c r="C388" s="60"/>
      <c r="D388" s="60"/>
      <c r="E388" s="60"/>
      <c r="F388" s="60"/>
      <c r="G388" s="60"/>
      <c r="H388" s="60"/>
      <c r="I388" s="60"/>
      <c r="J388" s="60"/>
    </row>
    <row r="389" spans="1:10" s="59" customFormat="1" x14ac:dyDescent="0.3">
      <c r="A389" s="60"/>
      <c r="B389" s="60"/>
      <c r="C389" s="60"/>
      <c r="D389" s="60"/>
      <c r="E389" s="60"/>
      <c r="F389" s="60"/>
      <c r="G389" s="60"/>
      <c r="H389" s="60"/>
      <c r="I389" s="60"/>
      <c r="J389" s="60"/>
    </row>
    <row r="390" spans="1:10" s="59" customFormat="1" x14ac:dyDescent="0.3">
      <c r="A390" s="60"/>
      <c r="B390" s="60"/>
      <c r="C390" s="60"/>
      <c r="D390" s="60"/>
      <c r="E390" s="60"/>
      <c r="F390" s="60"/>
      <c r="G390" s="60"/>
      <c r="H390" s="60"/>
      <c r="I390" s="60"/>
      <c r="J390" s="60"/>
    </row>
    <row r="391" spans="1:10" s="59" customFormat="1" x14ac:dyDescent="0.3">
      <c r="A391" s="60"/>
      <c r="B391" s="60"/>
      <c r="C391" s="60"/>
      <c r="D391" s="60"/>
      <c r="E391" s="60"/>
      <c r="F391" s="60"/>
      <c r="G391" s="60"/>
      <c r="H391" s="60"/>
      <c r="I391" s="60"/>
      <c r="J391" s="60"/>
    </row>
    <row r="392" spans="1:10" s="59" customFormat="1" x14ac:dyDescent="0.3">
      <c r="A392" s="60"/>
      <c r="B392" s="60"/>
      <c r="C392" s="60"/>
      <c r="D392" s="60"/>
      <c r="E392" s="60"/>
      <c r="F392" s="60"/>
      <c r="G392" s="60"/>
      <c r="H392" s="60"/>
      <c r="I392" s="60"/>
      <c r="J392" s="60"/>
    </row>
    <row r="393" spans="1:10" s="59" customFormat="1" x14ac:dyDescent="0.3">
      <c r="A393" s="60"/>
      <c r="B393" s="60"/>
      <c r="C393" s="60"/>
      <c r="D393" s="60"/>
      <c r="E393" s="60"/>
      <c r="F393" s="60"/>
      <c r="G393" s="60"/>
      <c r="H393" s="60"/>
      <c r="I393" s="60"/>
      <c r="J393" s="60"/>
    </row>
    <row r="394" spans="1:10" s="59" customFormat="1" x14ac:dyDescent="0.3">
      <c r="A394" s="60"/>
      <c r="B394" s="60"/>
      <c r="C394" s="60"/>
      <c r="D394" s="60"/>
      <c r="E394" s="60"/>
      <c r="F394" s="60"/>
      <c r="G394" s="60"/>
      <c r="H394" s="60"/>
      <c r="I394" s="60"/>
      <c r="J394" s="60"/>
    </row>
    <row r="395" spans="1:10" s="59" customFormat="1" x14ac:dyDescent="0.3">
      <c r="A395" s="60"/>
      <c r="B395" s="60"/>
      <c r="C395" s="60"/>
      <c r="D395" s="60"/>
      <c r="E395" s="60"/>
      <c r="F395" s="60"/>
      <c r="G395" s="60"/>
      <c r="H395" s="60"/>
      <c r="I395" s="60"/>
      <c r="J395" s="60"/>
    </row>
    <row r="396" spans="1:10" s="59" customFormat="1" x14ac:dyDescent="0.3">
      <c r="A396" s="60"/>
      <c r="B396" s="60"/>
      <c r="C396" s="60"/>
      <c r="D396" s="60"/>
      <c r="E396" s="60"/>
      <c r="F396" s="60"/>
      <c r="G396" s="60"/>
      <c r="H396" s="60"/>
      <c r="I396" s="60"/>
      <c r="J396" s="60"/>
    </row>
    <row r="397" spans="1:10" s="59" customFormat="1" x14ac:dyDescent="0.3">
      <c r="A397" s="60"/>
      <c r="B397" s="60"/>
      <c r="C397" s="60"/>
      <c r="D397" s="60"/>
      <c r="E397" s="60"/>
      <c r="F397" s="60"/>
      <c r="G397" s="60"/>
      <c r="H397" s="60"/>
      <c r="I397" s="60"/>
      <c r="J397" s="60"/>
    </row>
    <row r="398" spans="1:10" s="59" customFormat="1" x14ac:dyDescent="0.3">
      <c r="A398" s="60"/>
      <c r="B398" s="60"/>
      <c r="C398" s="60"/>
      <c r="D398" s="60"/>
      <c r="E398" s="60"/>
      <c r="F398" s="60"/>
      <c r="G398" s="60"/>
      <c r="H398" s="60"/>
      <c r="I398" s="60"/>
      <c r="J398" s="60"/>
    </row>
    <row r="399" spans="1:10" s="59" customFormat="1" x14ac:dyDescent="0.3">
      <c r="A399" s="60"/>
      <c r="B399" s="60"/>
      <c r="C399" s="60"/>
      <c r="D399" s="60"/>
      <c r="E399" s="60"/>
      <c r="F399" s="60"/>
      <c r="G399" s="60"/>
      <c r="H399" s="60"/>
      <c r="I399" s="60"/>
      <c r="J399" s="60"/>
    </row>
    <row r="400" spans="1:10" s="59" customFormat="1" x14ac:dyDescent="0.3">
      <c r="A400" s="60"/>
      <c r="B400" s="60"/>
      <c r="C400" s="60"/>
      <c r="D400" s="60"/>
      <c r="E400" s="60"/>
      <c r="F400" s="60"/>
      <c r="G400" s="60"/>
      <c r="H400" s="60"/>
      <c r="I400" s="60"/>
      <c r="J400" s="60"/>
    </row>
    <row r="401" spans="1:10" s="59" customFormat="1" x14ac:dyDescent="0.3">
      <c r="A401" s="60"/>
      <c r="B401" s="60"/>
      <c r="C401" s="60"/>
      <c r="D401" s="60"/>
      <c r="E401" s="60"/>
      <c r="F401" s="60"/>
      <c r="G401" s="60"/>
      <c r="H401" s="60"/>
      <c r="I401" s="60"/>
      <c r="J401" s="60"/>
    </row>
    <row r="402" spans="1:10" s="59" customFormat="1" x14ac:dyDescent="0.3">
      <c r="A402" s="60"/>
      <c r="B402" s="60"/>
      <c r="C402" s="60"/>
      <c r="D402" s="60"/>
      <c r="E402" s="60"/>
      <c r="F402" s="60"/>
      <c r="G402" s="60"/>
      <c r="H402" s="60"/>
      <c r="I402" s="60"/>
      <c r="J402" s="60"/>
    </row>
    <row r="403" spans="1:10" s="59" customFormat="1" x14ac:dyDescent="0.3">
      <c r="A403" s="60"/>
      <c r="B403" s="60"/>
      <c r="C403" s="60"/>
      <c r="D403" s="60"/>
      <c r="E403" s="60"/>
      <c r="F403" s="60"/>
      <c r="G403" s="60"/>
      <c r="H403" s="60"/>
      <c r="I403" s="60"/>
      <c r="J403" s="60"/>
    </row>
    <row r="404" spans="1:10" s="59" customFormat="1" x14ac:dyDescent="0.3">
      <c r="A404" s="60"/>
      <c r="B404" s="60"/>
      <c r="C404" s="60"/>
      <c r="D404" s="60"/>
      <c r="E404" s="60"/>
      <c r="F404" s="60"/>
      <c r="G404" s="60"/>
      <c r="H404" s="60"/>
      <c r="I404" s="60"/>
      <c r="J404" s="60"/>
    </row>
    <row r="405" spans="1:10" s="59" customFormat="1" x14ac:dyDescent="0.3">
      <c r="A405" s="60"/>
      <c r="B405" s="60"/>
      <c r="C405" s="60"/>
      <c r="D405" s="60"/>
      <c r="E405" s="60"/>
      <c r="F405" s="60"/>
      <c r="G405" s="60"/>
      <c r="H405" s="60"/>
      <c r="I405" s="60"/>
      <c r="J405" s="60"/>
    </row>
    <row r="406" spans="1:10" s="59" customFormat="1" x14ac:dyDescent="0.3">
      <c r="A406" s="60"/>
      <c r="B406" s="60"/>
      <c r="C406" s="60"/>
      <c r="D406" s="60"/>
      <c r="E406" s="60"/>
      <c r="F406" s="60"/>
      <c r="G406" s="60"/>
      <c r="H406" s="60"/>
      <c r="I406" s="60"/>
      <c r="J406" s="60"/>
    </row>
    <row r="407" spans="1:10" s="59" customFormat="1" x14ac:dyDescent="0.3">
      <c r="A407" s="60"/>
      <c r="B407" s="60"/>
      <c r="C407" s="60"/>
      <c r="D407" s="60"/>
      <c r="E407" s="60"/>
      <c r="F407" s="60"/>
      <c r="G407" s="60"/>
      <c r="H407" s="60"/>
      <c r="I407" s="60"/>
      <c r="J407" s="60"/>
    </row>
    <row r="408" spans="1:10" s="59" customFormat="1" x14ac:dyDescent="0.3">
      <c r="A408" s="60"/>
      <c r="B408" s="60"/>
      <c r="C408" s="60"/>
      <c r="D408" s="60"/>
      <c r="E408" s="60"/>
      <c r="F408" s="60"/>
      <c r="G408" s="60"/>
      <c r="H408" s="60"/>
      <c r="I408" s="60"/>
      <c r="J408" s="60"/>
    </row>
    <row r="409" spans="1:10" s="59" customFormat="1" x14ac:dyDescent="0.3">
      <c r="A409" s="60"/>
      <c r="B409" s="60"/>
      <c r="C409" s="60"/>
      <c r="D409" s="60"/>
      <c r="E409" s="60"/>
      <c r="F409" s="60"/>
      <c r="G409" s="60"/>
      <c r="H409" s="60"/>
      <c r="I409" s="60"/>
      <c r="J409" s="60"/>
    </row>
    <row r="410" spans="1:10" s="59" customFormat="1" x14ac:dyDescent="0.3">
      <c r="A410" s="60"/>
      <c r="B410" s="60"/>
      <c r="C410" s="60"/>
      <c r="D410" s="60"/>
      <c r="E410" s="60"/>
      <c r="F410" s="60"/>
      <c r="G410" s="60"/>
      <c r="H410" s="60"/>
      <c r="I410" s="60"/>
      <c r="J410" s="60"/>
    </row>
    <row r="411" spans="1:10" s="59" customFormat="1" x14ac:dyDescent="0.3">
      <c r="A411" s="60"/>
      <c r="B411" s="60"/>
      <c r="C411" s="60"/>
      <c r="D411" s="60"/>
      <c r="E411" s="60"/>
      <c r="F411" s="60"/>
      <c r="G411" s="60"/>
      <c r="H411" s="60"/>
      <c r="I411" s="60"/>
      <c r="J411" s="60"/>
    </row>
    <row r="412" spans="1:10" s="59" customFormat="1" x14ac:dyDescent="0.3">
      <c r="A412" s="60"/>
      <c r="B412" s="60"/>
      <c r="C412" s="60"/>
      <c r="D412" s="60"/>
      <c r="E412" s="60"/>
      <c r="F412" s="60"/>
      <c r="G412" s="60"/>
      <c r="H412" s="60"/>
      <c r="I412" s="60"/>
      <c r="J412" s="60"/>
    </row>
    <row r="413" spans="1:10" s="59" customFormat="1" x14ac:dyDescent="0.3">
      <c r="A413" s="60"/>
      <c r="B413" s="60"/>
      <c r="C413" s="60"/>
      <c r="D413" s="60"/>
      <c r="E413" s="60"/>
      <c r="F413" s="60"/>
      <c r="G413" s="60"/>
      <c r="H413" s="60"/>
      <c r="I413" s="60"/>
      <c r="J413" s="60"/>
    </row>
    <row r="414" spans="1:10" s="59" customFormat="1" x14ac:dyDescent="0.3">
      <c r="A414" s="60"/>
      <c r="B414" s="60"/>
      <c r="C414" s="60"/>
      <c r="D414" s="60"/>
      <c r="E414" s="60"/>
      <c r="F414" s="60"/>
      <c r="G414" s="60"/>
      <c r="H414" s="60"/>
      <c r="I414" s="60"/>
      <c r="J414" s="60"/>
    </row>
    <row r="415" spans="1:10" s="59" customFormat="1" x14ac:dyDescent="0.3">
      <c r="A415" s="60"/>
      <c r="B415" s="60"/>
      <c r="C415" s="60"/>
      <c r="D415" s="60"/>
      <c r="E415" s="60"/>
      <c r="F415" s="60"/>
      <c r="G415" s="60"/>
      <c r="H415" s="60"/>
      <c r="I415" s="60"/>
      <c r="J415" s="60"/>
    </row>
    <row r="416" spans="1:10" s="59" customFormat="1" x14ac:dyDescent="0.3">
      <c r="A416" s="60"/>
      <c r="B416" s="60"/>
      <c r="C416" s="60"/>
      <c r="D416" s="60"/>
      <c r="E416" s="60"/>
      <c r="F416" s="60"/>
      <c r="G416" s="60"/>
      <c r="H416" s="60"/>
      <c r="I416" s="60"/>
      <c r="J416" s="60"/>
    </row>
    <row r="417" spans="1:10" s="59" customFormat="1" x14ac:dyDescent="0.3">
      <c r="A417" s="60"/>
      <c r="B417" s="60"/>
      <c r="C417" s="60"/>
      <c r="D417" s="60"/>
      <c r="E417" s="60"/>
      <c r="F417" s="60"/>
      <c r="G417" s="60"/>
      <c r="H417" s="60"/>
      <c r="I417" s="60"/>
      <c r="J417" s="60"/>
    </row>
    <row r="418" spans="1:10" s="59" customFormat="1" x14ac:dyDescent="0.3">
      <c r="A418" s="60"/>
      <c r="B418" s="60"/>
      <c r="C418" s="60"/>
      <c r="D418" s="60"/>
      <c r="E418" s="60"/>
      <c r="F418" s="60"/>
      <c r="G418" s="60"/>
      <c r="H418" s="60"/>
      <c r="I418" s="60"/>
      <c r="J418" s="60"/>
    </row>
    <row r="419" spans="1:10" s="59" customFormat="1" x14ac:dyDescent="0.3">
      <c r="A419" s="60"/>
      <c r="B419" s="60"/>
      <c r="C419" s="60"/>
      <c r="D419" s="60"/>
      <c r="E419" s="60"/>
      <c r="F419" s="60"/>
      <c r="G419" s="60"/>
      <c r="H419" s="60"/>
      <c r="I419" s="60"/>
      <c r="J419" s="60"/>
    </row>
    <row r="420" spans="1:10" s="59" customFormat="1" x14ac:dyDescent="0.3">
      <c r="A420" s="60"/>
      <c r="B420" s="60"/>
      <c r="C420" s="60"/>
      <c r="D420" s="60"/>
      <c r="E420" s="60"/>
      <c r="F420" s="60"/>
      <c r="G420" s="60"/>
      <c r="H420" s="60"/>
      <c r="I420" s="60"/>
      <c r="J420" s="60"/>
    </row>
    <row r="421" spans="1:10" s="59" customFormat="1" x14ac:dyDescent="0.3">
      <c r="A421" s="60"/>
      <c r="B421" s="60"/>
      <c r="C421" s="60"/>
      <c r="D421" s="60"/>
      <c r="E421" s="60"/>
      <c r="F421" s="60"/>
      <c r="G421" s="60"/>
      <c r="H421" s="60"/>
      <c r="I421" s="60"/>
      <c r="J421" s="60"/>
    </row>
    <row r="422" spans="1:10" s="59" customFormat="1" x14ac:dyDescent="0.3">
      <c r="A422" s="60"/>
      <c r="B422" s="60"/>
      <c r="C422" s="60"/>
      <c r="D422" s="60"/>
      <c r="E422" s="60"/>
      <c r="F422" s="60"/>
      <c r="G422" s="60"/>
      <c r="H422" s="60"/>
      <c r="I422" s="60"/>
      <c r="J422" s="60"/>
    </row>
    <row r="423" spans="1:10" s="59" customFormat="1" x14ac:dyDescent="0.3">
      <c r="A423" s="60"/>
      <c r="B423" s="60"/>
      <c r="C423" s="60"/>
      <c r="D423" s="60"/>
      <c r="E423" s="60"/>
      <c r="F423" s="60"/>
      <c r="G423" s="60"/>
      <c r="H423" s="60"/>
      <c r="I423" s="60"/>
      <c r="J423" s="60"/>
    </row>
    <row r="424" spans="1:10" s="59" customFormat="1" x14ac:dyDescent="0.3">
      <c r="A424" s="60"/>
      <c r="B424" s="60"/>
      <c r="C424" s="60"/>
      <c r="D424" s="60"/>
      <c r="E424" s="60"/>
      <c r="F424" s="60"/>
      <c r="G424" s="60"/>
      <c r="H424" s="60"/>
      <c r="I424" s="60"/>
      <c r="J424" s="60"/>
    </row>
    <row r="425" spans="1:10" s="59" customFormat="1" x14ac:dyDescent="0.3">
      <c r="A425" s="60"/>
      <c r="B425" s="60"/>
      <c r="C425" s="60"/>
      <c r="D425" s="60"/>
      <c r="E425" s="60"/>
      <c r="F425" s="60"/>
      <c r="G425" s="60"/>
      <c r="H425" s="60"/>
      <c r="I425" s="60"/>
      <c r="J425" s="60"/>
    </row>
    <row r="426" spans="1:10" s="59" customFormat="1" x14ac:dyDescent="0.3">
      <c r="A426" s="60"/>
      <c r="B426" s="60"/>
      <c r="C426" s="60"/>
      <c r="D426" s="60"/>
      <c r="E426" s="60"/>
      <c r="F426" s="60"/>
      <c r="G426" s="60"/>
      <c r="H426" s="60"/>
      <c r="I426" s="60"/>
      <c r="J426" s="60"/>
    </row>
    <row r="427" spans="1:10" s="59" customFormat="1" x14ac:dyDescent="0.3">
      <c r="A427" s="60"/>
      <c r="B427" s="60"/>
      <c r="C427" s="60"/>
      <c r="D427" s="60"/>
      <c r="E427" s="60"/>
      <c r="F427" s="60"/>
      <c r="G427" s="60"/>
      <c r="H427" s="60"/>
      <c r="I427" s="60"/>
      <c r="J427" s="60"/>
    </row>
    <row r="428" spans="1:10" s="59" customFormat="1" x14ac:dyDescent="0.3">
      <c r="A428" s="60"/>
      <c r="B428" s="60"/>
      <c r="C428" s="60"/>
      <c r="D428" s="60"/>
      <c r="E428" s="60"/>
      <c r="F428" s="60"/>
      <c r="G428" s="60"/>
      <c r="H428" s="60"/>
      <c r="I428" s="60"/>
      <c r="J428" s="60"/>
    </row>
    <row r="429" spans="1:10" s="59" customFormat="1" x14ac:dyDescent="0.3">
      <c r="A429" s="60"/>
      <c r="B429" s="60"/>
      <c r="C429" s="60"/>
      <c r="D429" s="60"/>
      <c r="E429" s="60"/>
      <c r="F429" s="60"/>
      <c r="G429" s="60"/>
      <c r="H429" s="60"/>
      <c r="I429" s="60"/>
      <c r="J429" s="60"/>
    </row>
    <row r="430" spans="1:10" s="59" customFormat="1" x14ac:dyDescent="0.3">
      <c r="A430" s="60"/>
      <c r="B430" s="60"/>
      <c r="C430" s="60"/>
      <c r="D430" s="60"/>
      <c r="E430" s="60"/>
      <c r="F430" s="60"/>
      <c r="G430" s="60"/>
      <c r="H430" s="60"/>
      <c r="I430" s="60"/>
      <c r="J430" s="60"/>
    </row>
    <row r="431" spans="1:10" s="59" customFormat="1" x14ac:dyDescent="0.3">
      <c r="A431" s="60"/>
      <c r="B431" s="60"/>
      <c r="C431" s="60"/>
      <c r="D431" s="60"/>
      <c r="E431" s="60"/>
      <c r="F431" s="60"/>
      <c r="G431" s="60"/>
      <c r="H431" s="60"/>
      <c r="I431" s="60"/>
      <c r="J431" s="60"/>
    </row>
    <row r="432" spans="1:10" s="59" customFormat="1" x14ac:dyDescent="0.3">
      <c r="A432" s="60"/>
      <c r="B432" s="60"/>
      <c r="C432" s="60"/>
      <c r="D432" s="60"/>
      <c r="E432" s="60"/>
      <c r="F432" s="60"/>
      <c r="G432" s="60"/>
      <c r="H432" s="60"/>
      <c r="I432" s="60"/>
      <c r="J432" s="60"/>
    </row>
    <row r="433" spans="1:10" s="59" customFormat="1" x14ac:dyDescent="0.3">
      <c r="A433" s="60"/>
      <c r="B433" s="60"/>
      <c r="C433" s="60"/>
      <c r="D433" s="60"/>
      <c r="E433" s="60"/>
      <c r="F433" s="60"/>
      <c r="G433" s="60"/>
      <c r="H433" s="60"/>
      <c r="I433" s="60"/>
      <c r="J433" s="60"/>
    </row>
    <row r="434" spans="1:10" s="59" customFormat="1" x14ac:dyDescent="0.3">
      <c r="A434" s="60"/>
      <c r="B434" s="60"/>
      <c r="C434" s="60"/>
      <c r="D434" s="60"/>
      <c r="E434" s="60"/>
      <c r="F434" s="60"/>
      <c r="G434" s="60"/>
      <c r="H434" s="60"/>
      <c r="I434" s="60"/>
      <c r="J434" s="60"/>
    </row>
    <row r="435" spans="1:10" s="59" customFormat="1" x14ac:dyDescent="0.3">
      <c r="A435" s="60"/>
      <c r="B435" s="60"/>
      <c r="C435" s="60"/>
      <c r="D435" s="60"/>
      <c r="E435" s="60"/>
      <c r="F435" s="60"/>
      <c r="G435" s="60"/>
      <c r="H435" s="60"/>
      <c r="I435" s="60"/>
      <c r="J435" s="60"/>
    </row>
    <row r="436" spans="1:10" s="59" customFormat="1" x14ac:dyDescent="0.3">
      <c r="A436" s="60"/>
      <c r="B436" s="60"/>
      <c r="C436" s="60"/>
      <c r="D436" s="60"/>
      <c r="E436" s="60"/>
      <c r="F436" s="60"/>
      <c r="G436" s="60"/>
      <c r="H436" s="60"/>
      <c r="I436" s="60"/>
      <c r="J436" s="60"/>
    </row>
    <row r="437" spans="1:10" s="59" customFormat="1" x14ac:dyDescent="0.3">
      <c r="A437" s="60"/>
      <c r="B437" s="60"/>
      <c r="C437" s="60"/>
      <c r="D437" s="60"/>
      <c r="E437" s="60"/>
      <c r="F437" s="60"/>
      <c r="G437" s="60"/>
      <c r="H437" s="60"/>
      <c r="I437" s="60"/>
      <c r="J437" s="60"/>
    </row>
    <row r="438" spans="1:10" s="59" customFormat="1" x14ac:dyDescent="0.3">
      <c r="A438" s="60"/>
      <c r="B438" s="60"/>
      <c r="C438" s="60"/>
      <c r="D438" s="60"/>
      <c r="E438" s="60"/>
      <c r="F438" s="60"/>
      <c r="G438" s="60"/>
      <c r="H438" s="60"/>
      <c r="I438" s="60"/>
      <c r="J438" s="60"/>
    </row>
    <row r="439" spans="1:10" s="59" customFormat="1" x14ac:dyDescent="0.3">
      <c r="A439" s="60"/>
      <c r="B439" s="60"/>
      <c r="C439" s="60"/>
      <c r="D439" s="60"/>
      <c r="E439" s="60"/>
      <c r="F439" s="60"/>
      <c r="G439" s="60"/>
      <c r="H439" s="60"/>
      <c r="I439" s="60"/>
      <c r="J439" s="60"/>
    </row>
    <row r="440" spans="1:10" s="59" customFormat="1" x14ac:dyDescent="0.3">
      <c r="A440" s="60"/>
      <c r="B440" s="60"/>
      <c r="C440" s="60"/>
      <c r="D440" s="60"/>
      <c r="E440" s="60"/>
      <c r="F440" s="60"/>
      <c r="G440" s="60"/>
      <c r="H440" s="60"/>
      <c r="I440" s="60"/>
      <c r="J440" s="60"/>
    </row>
    <row r="441" spans="1:10" s="59" customFormat="1" x14ac:dyDescent="0.3">
      <c r="A441" s="60"/>
      <c r="B441" s="60"/>
      <c r="C441" s="60"/>
      <c r="D441" s="60"/>
      <c r="E441" s="60"/>
      <c r="F441" s="60"/>
      <c r="G441" s="60"/>
      <c r="H441" s="60"/>
      <c r="I441" s="60"/>
      <c r="J441" s="60"/>
    </row>
    <row r="442" spans="1:10" s="59" customFormat="1" x14ac:dyDescent="0.3">
      <c r="A442" s="60"/>
      <c r="B442" s="60"/>
      <c r="C442" s="60"/>
      <c r="D442" s="60"/>
      <c r="E442" s="60"/>
      <c r="F442" s="60"/>
      <c r="G442" s="60"/>
      <c r="H442" s="60"/>
      <c r="I442" s="60"/>
      <c r="J442" s="60"/>
    </row>
    <row r="443" spans="1:10" s="59" customFormat="1" x14ac:dyDescent="0.3">
      <c r="A443" s="60"/>
      <c r="B443" s="60"/>
      <c r="C443" s="60"/>
      <c r="D443" s="60"/>
      <c r="E443" s="60"/>
      <c r="F443" s="60"/>
      <c r="G443" s="60"/>
      <c r="H443" s="60"/>
      <c r="I443" s="60"/>
      <c r="J443" s="60"/>
    </row>
    <row r="444" spans="1:10" s="59" customFormat="1" x14ac:dyDescent="0.3">
      <c r="A444" s="60"/>
      <c r="B444" s="60"/>
      <c r="C444" s="60"/>
      <c r="D444" s="60"/>
      <c r="E444" s="60"/>
      <c r="F444" s="60"/>
      <c r="G444" s="60"/>
      <c r="H444" s="60"/>
      <c r="I444" s="60"/>
      <c r="J444" s="60"/>
    </row>
    <row r="445" spans="1:10" s="59" customFormat="1" x14ac:dyDescent="0.3">
      <c r="A445" s="60"/>
      <c r="B445" s="60"/>
      <c r="C445" s="60"/>
      <c r="D445" s="60"/>
      <c r="E445" s="60"/>
      <c r="F445" s="60"/>
      <c r="G445" s="60"/>
      <c r="H445" s="60"/>
      <c r="I445" s="60"/>
      <c r="J445" s="60"/>
    </row>
    <row r="446" spans="1:10" s="59" customFormat="1" x14ac:dyDescent="0.3">
      <c r="A446" s="60"/>
      <c r="B446" s="60"/>
      <c r="C446" s="60"/>
      <c r="D446" s="60"/>
      <c r="E446" s="60"/>
      <c r="F446" s="60"/>
      <c r="G446" s="60"/>
      <c r="H446" s="60"/>
      <c r="I446" s="60"/>
      <c r="J446" s="60"/>
    </row>
    <row r="447" spans="1:10" s="59" customFormat="1" x14ac:dyDescent="0.3">
      <c r="A447" s="60"/>
      <c r="B447" s="60"/>
      <c r="C447" s="60"/>
      <c r="D447" s="60"/>
      <c r="E447" s="60"/>
      <c r="F447" s="60"/>
      <c r="G447" s="60"/>
      <c r="H447" s="60"/>
      <c r="I447" s="60"/>
      <c r="J447" s="60"/>
    </row>
    <row r="448" spans="1:10" s="59" customFormat="1" x14ac:dyDescent="0.3">
      <c r="A448" s="60"/>
      <c r="B448" s="60"/>
      <c r="C448" s="60"/>
      <c r="D448" s="60"/>
      <c r="E448" s="60"/>
      <c r="F448" s="60"/>
      <c r="G448" s="60"/>
      <c r="H448" s="60"/>
      <c r="I448" s="60"/>
      <c r="J448" s="60"/>
    </row>
    <row r="449" spans="1:10" s="59" customFormat="1" x14ac:dyDescent="0.3">
      <c r="A449" s="60"/>
      <c r="B449" s="60"/>
      <c r="C449" s="60"/>
      <c r="D449" s="60"/>
      <c r="E449" s="60"/>
      <c r="F449" s="60"/>
      <c r="G449" s="60"/>
      <c r="H449" s="60"/>
      <c r="I449" s="60"/>
      <c r="J449" s="60"/>
    </row>
    <row r="450" spans="1:10" s="59" customFormat="1" x14ac:dyDescent="0.3">
      <c r="A450" s="60"/>
      <c r="B450" s="60"/>
      <c r="C450" s="60"/>
      <c r="D450" s="60"/>
      <c r="E450" s="60"/>
      <c r="F450" s="60"/>
      <c r="G450" s="60"/>
      <c r="H450" s="60"/>
      <c r="I450" s="60"/>
      <c r="J450" s="60"/>
    </row>
    <row r="451" spans="1:10" s="59" customFormat="1" x14ac:dyDescent="0.3">
      <c r="A451" s="60"/>
      <c r="B451" s="60"/>
      <c r="C451" s="60"/>
      <c r="D451" s="60"/>
      <c r="E451" s="60"/>
      <c r="F451" s="60"/>
      <c r="G451" s="60"/>
      <c r="H451" s="60"/>
      <c r="I451" s="60"/>
      <c r="J451" s="60"/>
    </row>
    <row r="452" spans="1:10" s="59" customFormat="1" x14ac:dyDescent="0.3">
      <c r="A452" s="60"/>
      <c r="B452" s="60"/>
      <c r="C452" s="60"/>
      <c r="D452" s="60"/>
      <c r="E452" s="60"/>
      <c r="F452" s="60"/>
      <c r="G452" s="60"/>
      <c r="H452" s="60"/>
      <c r="I452" s="60"/>
      <c r="J452" s="60"/>
    </row>
    <row r="453" spans="1:10" s="59" customFormat="1" x14ac:dyDescent="0.3">
      <c r="A453" s="60"/>
      <c r="B453" s="60"/>
      <c r="C453" s="60"/>
      <c r="D453" s="60"/>
      <c r="E453" s="60"/>
      <c r="F453" s="60"/>
      <c r="G453" s="60"/>
      <c r="H453" s="60"/>
      <c r="I453" s="60"/>
      <c r="J453" s="60"/>
    </row>
    <row r="454" spans="1:10" s="59" customFormat="1" x14ac:dyDescent="0.3">
      <c r="A454" s="60"/>
      <c r="B454" s="60"/>
      <c r="C454" s="60"/>
      <c r="D454" s="60"/>
      <c r="E454" s="60"/>
      <c r="F454" s="60"/>
      <c r="G454" s="60"/>
      <c r="H454" s="60"/>
      <c r="I454" s="60"/>
      <c r="J454" s="60"/>
    </row>
    <row r="455" spans="1:10" s="59" customFormat="1" x14ac:dyDescent="0.3">
      <c r="A455" s="60"/>
      <c r="B455" s="60"/>
      <c r="C455" s="60"/>
      <c r="D455" s="60"/>
      <c r="E455" s="60"/>
      <c r="F455" s="60"/>
      <c r="G455" s="60"/>
      <c r="H455" s="60"/>
      <c r="I455" s="60"/>
      <c r="J455" s="60"/>
    </row>
    <row r="456" spans="1:10" s="59" customFormat="1" x14ac:dyDescent="0.3">
      <c r="A456" s="60"/>
      <c r="B456" s="60"/>
      <c r="C456" s="60"/>
      <c r="D456" s="60"/>
      <c r="E456" s="60"/>
      <c r="F456" s="60"/>
      <c r="G456" s="60"/>
      <c r="H456" s="60"/>
      <c r="I456" s="60"/>
      <c r="J456" s="60"/>
    </row>
    <row r="457" spans="1:10" s="59" customFormat="1" x14ac:dyDescent="0.3">
      <c r="A457" s="60"/>
      <c r="B457" s="60"/>
      <c r="C457" s="60"/>
      <c r="D457" s="60"/>
      <c r="E457" s="60"/>
      <c r="F457" s="60"/>
      <c r="G457" s="60"/>
      <c r="H457" s="60"/>
      <c r="I457" s="60"/>
      <c r="J457" s="60"/>
    </row>
    <row r="458" spans="1:10" s="59" customFormat="1" x14ac:dyDescent="0.3">
      <c r="A458" s="60"/>
      <c r="B458" s="60"/>
      <c r="C458" s="60"/>
      <c r="D458" s="60"/>
      <c r="E458" s="60"/>
      <c r="F458" s="60"/>
      <c r="G458" s="60"/>
      <c r="H458" s="60"/>
      <c r="I458" s="60"/>
      <c r="J458" s="60"/>
    </row>
    <row r="459" spans="1:10" s="59" customFormat="1" x14ac:dyDescent="0.3">
      <c r="A459" s="60"/>
      <c r="B459" s="60"/>
      <c r="C459" s="60"/>
      <c r="D459" s="60"/>
      <c r="E459" s="60"/>
      <c r="F459" s="60"/>
      <c r="G459" s="60"/>
      <c r="H459" s="60"/>
      <c r="I459" s="60"/>
      <c r="J459" s="60"/>
    </row>
    <row r="460" spans="1:10" s="59" customFormat="1" x14ac:dyDescent="0.3">
      <c r="A460" s="60"/>
      <c r="B460" s="60"/>
      <c r="C460" s="60"/>
      <c r="D460" s="60"/>
      <c r="E460" s="60"/>
      <c r="F460" s="60"/>
      <c r="G460" s="60"/>
      <c r="H460" s="60"/>
      <c r="I460" s="60"/>
      <c r="J460" s="60"/>
    </row>
    <row r="461" spans="1:10" s="59" customFormat="1" x14ac:dyDescent="0.3">
      <c r="A461" s="60"/>
      <c r="B461" s="60"/>
      <c r="C461" s="60"/>
      <c r="D461" s="60"/>
      <c r="E461" s="60"/>
      <c r="F461" s="60"/>
      <c r="G461" s="60"/>
      <c r="H461" s="60"/>
      <c r="I461" s="60"/>
      <c r="J461" s="60"/>
    </row>
    <row r="462" spans="1:10" s="59" customFormat="1" x14ac:dyDescent="0.3">
      <c r="A462" s="60"/>
      <c r="B462" s="60"/>
      <c r="C462" s="60"/>
      <c r="D462" s="60"/>
      <c r="E462" s="60"/>
      <c r="F462" s="60"/>
      <c r="G462" s="60"/>
      <c r="H462" s="60"/>
      <c r="I462" s="60"/>
      <c r="J462" s="60"/>
    </row>
    <row r="463" spans="1:10" s="59" customFormat="1" x14ac:dyDescent="0.3">
      <c r="A463" s="60"/>
      <c r="B463" s="60"/>
      <c r="C463" s="60"/>
      <c r="D463" s="60"/>
      <c r="E463" s="60"/>
      <c r="F463" s="60"/>
      <c r="G463" s="60"/>
      <c r="H463" s="60"/>
      <c r="I463" s="60"/>
      <c r="J463" s="60"/>
    </row>
    <row r="464" spans="1:10" s="59" customFormat="1" x14ac:dyDescent="0.3">
      <c r="A464" s="60"/>
      <c r="B464" s="60"/>
      <c r="C464" s="60"/>
      <c r="D464" s="60"/>
      <c r="E464" s="60"/>
      <c r="F464" s="60"/>
      <c r="G464" s="60"/>
      <c r="H464" s="60"/>
      <c r="I464" s="60"/>
      <c r="J464" s="60"/>
    </row>
    <row r="465" spans="1:10" s="59" customFormat="1" x14ac:dyDescent="0.3">
      <c r="A465" s="60"/>
      <c r="B465" s="60"/>
      <c r="C465" s="60"/>
      <c r="D465" s="60"/>
      <c r="E465" s="60"/>
      <c r="F465" s="60"/>
      <c r="G465" s="60"/>
      <c r="H465" s="60"/>
      <c r="I465" s="60"/>
      <c r="J465" s="60"/>
    </row>
    <row r="466" spans="1:10" s="59" customFormat="1" x14ac:dyDescent="0.3">
      <c r="A466" s="60"/>
      <c r="B466" s="60"/>
      <c r="C466" s="60"/>
      <c r="D466" s="60"/>
      <c r="E466" s="60"/>
      <c r="F466" s="60"/>
      <c r="G466" s="60"/>
      <c r="H466" s="60"/>
      <c r="I466" s="60"/>
      <c r="J466" s="60"/>
    </row>
    <row r="467" spans="1:10" s="59" customFormat="1" x14ac:dyDescent="0.3">
      <c r="A467" s="60"/>
      <c r="B467" s="60"/>
      <c r="C467" s="60"/>
      <c r="D467" s="60"/>
      <c r="E467" s="60"/>
      <c r="F467" s="60"/>
      <c r="G467" s="60"/>
      <c r="H467" s="60"/>
      <c r="I467" s="60"/>
      <c r="J467" s="60"/>
    </row>
    <row r="468" spans="1:10" s="59" customFormat="1" x14ac:dyDescent="0.3">
      <c r="A468" s="60"/>
      <c r="B468" s="60"/>
      <c r="C468" s="60"/>
      <c r="D468" s="60"/>
      <c r="E468" s="60"/>
      <c r="F468" s="60"/>
      <c r="G468" s="60"/>
      <c r="H468" s="60"/>
      <c r="I468" s="60"/>
      <c r="J468" s="60"/>
    </row>
    <row r="469" spans="1:10" s="59" customFormat="1" x14ac:dyDescent="0.3">
      <c r="A469" s="60"/>
      <c r="B469" s="60"/>
      <c r="C469" s="60"/>
      <c r="D469" s="60"/>
      <c r="E469" s="60"/>
      <c r="F469" s="60"/>
      <c r="G469" s="60"/>
      <c r="H469" s="60"/>
      <c r="I469" s="60"/>
      <c r="J469" s="60"/>
    </row>
    <row r="470" spans="1:10" s="59" customFormat="1" x14ac:dyDescent="0.3">
      <c r="A470" s="60"/>
      <c r="B470" s="60"/>
      <c r="C470" s="60"/>
      <c r="D470" s="60"/>
      <c r="E470" s="60"/>
      <c r="F470" s="60"/>
      <c r="G470" s="60"/>
      <c r="H470" s="60"/>
      <c r="I470" s="60"/>
      <c r="J470" s="60"/>
    </row>
    <row r="471" spans="1:10" s="59" customFormat="1" x14ac:dyDescent="0.3">
      <c r="A471" s="60"/>
      <c r="B471" s="60"/>
      <c r="C471" s="60"/>
      <c r="D471" s="60"/>
      <c r="E471" s="60"/>
      <c r="F471" s="60"/>
      <c r="G471" s="60"/>
      <c r="H471" s="60"/>
      <c r="I471" s="60"/>
      <c r="J471" s="60"/>
    </row>
    <row r="472" spans="1:10" s="59" customFormat="1" x14ac:dyDescent="0.3">
      <c r="A472" s="60"/>
      <c r="B472" s="60"/>
      <c r="C472" s="60"/>
      <c r="D472" s="60"/>
      <c r="E472" s="60"/>
      <c r="F472" s="60"/>
      <c r="G472" s="60"/>
      <c r="H472" s="60"/>
      <c r="I472" s="60"/>
      <c r="J472" s="60"/>
    </row>
    <row r="473" spans="1:10" s="59" customFormat="1" x14ac:dyDescent="0.3">
      <c r="A473" s="60"/>
      <c r="B473" s="60"/>
      <c r="C473" s="60"/>
      <c r="D473" s="60"/>
      <c r="E473" s="60"/>
      <c r="F473" s="60"/>
      <c r="G473" s="60"/>
      <c r="H473" s="60"/>
      <c r="I473" s="60"/>
      <c r="J473" s="60"/>
    </row>
    <row r="474" spans="1:10" s="59" customFormat="1" x14ac:dyDescent="0.3">
      <c r="A474" s="60"/>
      <c r="B474" s="60"/>
      <c r="C474" s="60"/>
      <c r="D474" s="60"/>
      <c r="E474" s="60"/>
      <c r="F474" s="60"/>
      <c r="G474" s="60"/>
      <c r="H474" s="60"/>
      <c r="I474" s="60"/>
      <c r="J474" s="60"/>
    </row>
    <row r="475" spans="1:10" s="59" customFormat="1" x14ac:dyDescent="0.3">
      <c r="A475" s="60"/>
      <c r="B475" s="60"/>
      <c r="C475" s="60"/>
      <c r="D475" s="60"/>
      <c r="E475" s="60"/>
      <c r="F475" s="60"/>
      <c r="G475" s="60"/>
      <c r="H475" s="60"/>
      <c r="I475" s="60"/>
      <c r="J475" s="60"/>
    </row>
    <row r="476" spans="1:10" s="59" customFormat="1" x14ac:dyDescent="0.3">
      <c r="A476" s="60"/>
      <c r="B476" s="60"/>
      <c r="C476" s="60"/>
      <c r="D476" s="60"/>
      <c r="E476" s="60"/>
      <c r="F476" s="60"/>
      <c r="G476" s="60"/>
      <c r="H476" s="60"/>
      <c r="I476" s="60"/>
      <c r="J476" s="60"/>
    </row>
    <row r="477" spans="1:10" s="59" customFormat="1" x14ac:dyDescent="0.3">
      <c r="A477" s="60"/>
      <c r="B477" s="60"/>
      <c r="C477" s="60"/>
      <c r="D477" s="60"/>
      <c r="E477" s="60"/>
      <c r="F477" s="60"/>
      <c r="G477" s="60"/>
      <c r="H477" s="60"/>
      <c r="I477" s="60"/>
      <c r="J477" s="60"/>
    </row>
    <row r="478" spans="1:10" s="59" customFormat="1" x14ac:dyDescent="0.3">
      <c r="A478" s="60"/>
      <c r="B478" s="60"/>
      <c r="C478" s="60"/>
      <c r="D478" s="60"/>
      <c r="E478" s="60"/>
      <c r="F478" s="60"/>
      <c r="G478" s="60"/>
      <c r="H478" s="60"/>
      <c r="I478" s="60"/>
      <c r="J478" s="60"/>
    </row>
    <row r="479" spans="1:10" s="59" customFormat="1" x14ac:dyDescent="0.3">
      <c r="A479" s="60"/>
      <c r="B479" s="60"/>
      <c r="C479" s="60"/>
      <c r="D479" s="60"/>
      <c r="E479" s="60"/>
      <c r="F479" s="60"/>
      <c r="G479" s="60"/>
      <c r="H479" s="60"/>
      <c r="I479" s="60"/>
      <c r="J479" s="60"/>
    </row>
    <row r="480" spans="1:10" s="59" customFormat="1" x14ac:dyDescent="0.3">
      <c r="A480" s="60"/>
      <c r="B480" s="60"/>
      <c r="C480" s="60"/>
      <c r="D480" s="60"/>
      <c r="E480" s="60"/>
      <c r="F480" s="60"/>
      <c r="G480" s="60"/>
      <c r="H480" s="60"/>
      <c r="I480" s="60"/>
      <c r="J480" s="60"/>
    </row>
    <row r="481" spans="1:10" s="59" customFormat="1" x14ac:dyDescent="0.3">
      <c r="A481" s="60"/>
      <c r="B481" s="60"/>
      <c r="C481" s="60"/>
      <c r="D481" s="60"/>
      <c r="E481" s="60"/>
      <c r="F481" s="60"/>
      <c r="G481" s="60"/>
      <c r="H481" s="60"/>
      <c r="I481" s="60"/>
      <c r="J481" s="60"/>
    </row>
    <row r="482" spans="1:10" s="59" customFormat="1" x14ac:dyDescent="0.3">
      <c r="A482" s="60"/>
      <c r="B482" s="60"/>
      <c r="C482" s="60"/>
      <c r="D482" s="60"/>
      <c r="E482" s="60"/>
      <c r="F482" s="60"/>
      <c r="G482" s="60"/>
      <c r="H482" s="60"/>
      <c r="I482" s="60"/>
      <c r="J482" s="60"/>
    </row>
    <row r="483" spans="1:10" s="59" customFormat="1" x14ac:dyDescent="0.3">
      <c r="A483" s="60"/>
      <c r="B483" s="60"/>
      <c r="C483" s="60"/>
      <c r="D483" s="60"/>
      <c r="E483" s="60"/>
      <c r="F483" s="60"/>
      <c r="G483" s="60"/>
      <c r="H483" s="60"/>
      <c r="I483" s="60"/>
      <c r="J483" s="60"/>
    </row>
    <row r="484" spans="1:10" s="59" customFormat="1" x14ac:dyDescent="0.3">
      <c r="A484" s="60"/>
      <c r="B484" s="60"/>
      <c r="C484" s="60"/>
      <c r="D484" s="60"/>
      <c r="E484" s="60"/>
      <c r="F484" s="60"/>
      <c r="G484" s="60"/>
      <c r="H484" s="60"/>
      <c r="I484" s="60"/>
      <c r="J484" s="60"/>
    </row>
    <row r="485" spans="1:10" s="59" customFormat="1" x14ac:dyDescent="0.3">
      <c r="A485" s="60"/>
      <c r="B485" s="60"/>
      <c r="C485" s="60"/>
      <c r="D485" s="60"/>
      <c r="E485" s="60"/>
      <c r="F485" s="60"/>
      <c r="G485" s="60"/>
      <c r="H485" s="60"/>
      <c r="I485" s="60"/>
      <c r="J485" s="60"/>
    </row>
    <row r="486" spans="1:10" s="59" customFormat="1" x14ac:dyDescent="0.3">
      <c r="A486" s="60"/>
      <c r="B486" s="60"/>
      <c r="C486" s="60"/>
      <c r="D486" s="60"/>
      <c r="E486" s="60"/>
      <c r="F486" s="60"/>
      <c r="G486" s="60"/>
      <c r="H486" s="60"/>
      <c r="I486" s="60"/>
      <c r="J486" s="60"/>
    </row>
    <row r="487" spans="1:10" s="59" customFormat="1" x14ac:dyDescent="0.3">
      <c r="A487" s="60"/>
      <c r="B487" s="60"/>
      <c r="C487" s="60"/>
      <c r="D487" s="60"/>
      <c r="E487" s="60"/>
      <c r="F487" s="60"/>
      <c r="G487" s="60"/>
      <c r="H487" s="60"/>
      <c r="I487" s="60"/>
      <c r="J487" s="60"/>
    </row>
    <row r="488" spans="1:10" s="59" customFormat="1" x14ac:dyDescent="0.3">
      <c r="A488" s="60"/>
      <c r="B488" s="60"/>
      <c r="C488" s="60"/>
      <c r="D488" s="60"/>
      <c r="E488" s="60"/>
      <c r="F488" s="60"/>
      <c r="G488" s="60"/>
      <c r="H488" s="60"/>
      <c r="I488" s="60"/>
      <c r="J488" s="60"/>
    </row>
    <row r="489" spans="1:10" s="59" customFormat="1" x14ac:dyDescent="0.3">
      <c r="A489" s="60"/>
      <c r="B489" s="60"/>
      <c r="C489" s="60"/>
      <c r="D489" s="60"/>
      <c r="E489" s="60"/>
      <c r="F489" s="60"/>
      <c r="G489" s="60"/>
      <c r="H489" s="60"/>
      <c r="I489" s="60"/>
      <c r="J489" s="60"/>
    </row>
    <row r="490" spans="1:10" s="59" customFormat="1" x14ac:dyDescent="0.3">
      <c r="A490" s="60"/>
      <c r="B490" s="60"/>
      <c r="C490" s="60"/>
      <c r="D490" s="60"/>
      <c r="E490" s="60"/>
      <c r="F490" s="60"/>
      <c r="G490" s="60"/>
      <c r="H490" s="60"/>
      <c r="I490" s="60"/>
      <c r="J490" s="60"/>
    </row>
    <row r="491" spans="1:10" s="59" customFormat="1" x14ac:dyDescent="0.3">
      <c r="A491" s="60"/>
      <c r="B491" s="60"/>
      <c r="C491" s="60"/>
      <c r="D491" s="60"/>
      <c r="E491" s="60"/>
      <c r="F491" s="60"/>
      <c r="G491" s="60"/>
      <c r="H491" s="60"/>
      <c r="I491" s="60"/>
      <c r="J491" s="60"/>
    </row>
    <row r="492" spans="1:10" s="59" customFormat="1" x14ac:dyDescent="0.3">
      <c r="A492" s="60"/>
      <c r="B492" s="60"/>
      <c r="C492" s="60"/>
      <c r="D492" s="60"/>
      <c r="E492" s="60"/>
      <c r="F492" s="60"/>
      <c r="G492" s="60"/>
      <c r="H492" s="60"/>
      <c r="I492" s="60"/>
      <c r="J492" s="60"/>
    </row>
    <row r="493" spans="1:10" s="59" customFormat="1" x14ac:dyDescent="0.3">
      <c r="A493" s="60"/>
      <c r="B493" s="60"/>
      <c r="C493" s="60"/>
      <c r="D493" s="60"/>
      <c r="E493" s="60"/>
      <c r="F493" s="60"/>
      <c r="G493" s="60"/>
      <c r="H493" s="60"/>
      <c r="I493" s="60"/>
      <c r="J493" s="60"/>
    </row>
    <row r="494" spans="1:10" s="59" customFormat="1" x14ac:dyDescent="0.3">
      <c r="A494" s="60"/>
      <c r="B494" s="60"/>
      <c r="C494" s="60"/>
      <c r="D494" s="60"/>
      <c r="E494" s="60"/>
      <c r="F494" s="60"/>
      <c r="G494" s="60"/>
      <c r="H494" s="60"/>
      <c r="I494" s="60"/>
      <c r="J494" s="60"/>
    </row>
    <row r="495" spans="1:10" s="59" customFormat="1" x14ac:dyDescent="0.3">
      <c r="A495" s="60"/>
      <c r="B495" s="60"/>
      <c r="C495" s="60"/>
      <c r="D495" s="60"/>
      <c r="E495" s="60"/>
      <c r="F495" s="60"/>
      <c r="G495" s="60"/>
      <c r="H495" s="60"/>
      <c r="I495" s="60"/>
      <c r="J495" s="60"/>
    </row>
    <row r="496" spans="1:10" s="59" customFormat="1" x14ac:dyDescent="0.3">
      <c r="A496" s="60"/>
      <c r="B496" s="60"/>
      <c r="C496" s="60"/>
      <c r="D496" s="60"/>
      <c r="E496" s="60"/>
      <c r="F496" s="60"/>
      <c r="G496" s="60"/>
      <c r="H496" s="60"/>
      <c r="I496" s="60"/>
      <c r="J496" s="60"/>
    </row>
    <row r="497" spans="1:10" s="59" customFormat="1" x14ac:dyDescent="0.3">
      <c r="A497" s="60"/>
      <c r="B497" s="60"/>
      <c r="C497" s="60"/>
      <c r="D497" s="60"/>
      <c r="E497" s="60"/>
      <c r="F497" s="60"/>
      <c r="G497" s="60"/>
      <c r="H497" s="60"/>
      <c r="I497" s="60"/>
      <c r="J497" s="60"/>
    </row>
    <row r="498" spans="1:10" s="59" customFormat="1" x14ac:dyDescent="0.3">
      <c r="A498" s="60"/>
      <c r="B498" s="60"/>
      <c r="C498" s="60"/>
      <c r="D498" s="60"/>
      <c r="E498" s="60"/>
      <c r="F498" s="60"/>
      <c r="G498" s="60"/>
      <c r="H498" s="60"/>
      <c r="I498" s="60"/>
      <c r="J498" s="60"/>
    </row>
    <row r="499" spans="1:10" s="59" customFormat="1" x14ac:dyDescent="0.3">
      <c r="A499" s="60"/>
      <c r="B499" s="60"/>
      <c r="C499" s="60"/>
      <c r="D499" s="60"/>
      <c r="E499" s="60"/>
      <c r="F499" s="60"/>
      <c r="G499" s="60"/>
      <c r="H499" s="60"/>
      <c r="I499" s="60"/>
      <c r="J499" s="60"/>
    </row>
    <row r="500" spans="1:10" s="59" customFormat="1" x14ac:dyDescent="0.3">
      <c r="A500" s="60"/>
      <c r="B500" s="60"/>
      <c r="C500" s="60"/>
      <c r="D500" s="60"/>
      <c r="E500" s="60"/>
      <c r="F500" s="60"/>
      <c r="G500" s="60"/>
      <c r="H500" s="60"/>
      <c r="I500" s="60"/>
      <c r="J500" s="60"/>
    </row>
    <row r="501" spans="1:10" s="59" customFormat="1" x14ac:dyDescent="0.3">
      <c r="A501" s="60"/>
      <c r="B501" s="60"/>
      <c r="C501" s="60"/>
      <c r="D501" s="60"/>
      <c r="E501" s="60"/>
      <c r="F501" s="60"/>
      <c r="G501" s="60"/>
      <c r="H501" s="60"/>
      <c r="I501" s="60"/>
      <c r="J501" s="60"/>
    </row>
    <row r="502" spans="1:10" s="59" customFormat="1" x14ac:dyDescent="0.3">
      <c r="A502" s="60"/>
      <c r="B502" s="60"/>
      <c r="C502" s="60"/>
      <c r="D502" s="60"/>
      <c r="E502" s="60"/>
      <c r="F502" s="60"/>
      <c r="G502" s="60"/>
      <c r="H502" s="60"/>
      <c r="I502" s="60"/>
      <c r="J502" s="60"/>
    </row>
    <row r="503" spans="1:10" s="59" customFormat="1" x14ac:dyDescent="0.3">
      <c r="A503" s="60"/>
      <c r="B503" s="60"/>
      <c r="C503" s="60"/>
      <c r="D503" s="60"/>
      <c r="E503" s="60"/>
      <c r="F503" s="60"/>
      <c r="G503" s="60"/>
      <c r="H503" s="60"/>
      <c r="I503" s="60"/>
      <c r="J503" s="60"/>
    </row>
    <row r="504" spans="1:10" s="59" customFormat="1" x14ac:dyDescent="0.3">
      <c r="A504" s="60"/>
      <c r="B504" s="60"/>
      <c r="C504" s="60"/>
      <c r="D504" s="60"/>
      <c r="E504" s="60"/>
      <c r="F504" s="60"/>
      <c r="G504" s="60"/>
      <c r="H504" s="60"/>
      <c r="I504" s="60"/>
      <c r="J504" s="60"/>
    </row>
    <row r="505" spans="1:10" s="59" customFormat="1" x14ac:dyDescent="0.3">
      <c r="A505" s="60"/>
      <c r="B505" s="60"/>
      <c r="C505" s="60"/>
      <c r="D505" s="60"/>
      <c r="E505" s="60"/>
      <c r="F505" s="60"/>
      <c r="G505" s="60"/>
      <c r="H505" s="60"/>
      <c r="I505" s="60"/>
      <c r="J505" s="60"/>
    </row>
    <row r="506" spans="1:10" s="59" customFormat="1" x14ac:dyDescent="0.3">
      <c r="A506" s="60"/>
      <c r="B506" s="60"/>
      <c r="C506" s="60"/>
      <c r="D506" s="60"/>
      <c r="E506" s="60"/>
      <c r="F506" s="60"/>
      <c r="G506" s="60"/>
      <c r="H506" s="60"/>
      <c r="I506" s="60"/>
      <c r="J506" s="60"/>
    </row>
    <row r="507" spans="1:10" s="59" customFormat="1" x14ac:dyDescent="0.3">
      <c r="A507" s="60"/>
      <c r="B507" s="60"/>
      <c r="C507" s="60"/>
      <c r="D507" s="60"/>
      <c r="E507" s="60"/>
      <c r="F507" s="60"/>
      <c r="G507" s="60"/>
      <c r="H507" s="60"/>
      <c r="I507" s="60"/>
      <c r="J507" s="60"/>
    </row>
    <row r="508" spans="1:10" s="59" customFormat="1" x14ac:dyDescent="0.3">
      <c r="A508" s="60"/>
      <c r="B508" s="60"/>
      <c r="C508" s="60"/>
      <c r="D508" s="60"/>
      <c r="E508" s="60"/>
      <c r="F508" s="60"/>
      <c r="G508" s="60"/>
      <c r="H508" s="60"/>
      <c r="I508" s="60"/>
      <c r="J508" s="60"/>
    </row>
    <row r="509" spans="1:10" s="59" customFormat="1" x14ac:dyDescent="0.3">
      <c r="A509" s="60"/>
      <c r="B509" s="60"/>
      <c r="C509" s="60"/>
      <c r="D509" s="60"/>
      <c r="E509" s="60"/>
      <c r="F509" s="60"/>
      <c r="G509" s="60"/>
      <c r="H509" s="60"/>
      <c r="I509" s="60"/>
      <c r="J509" s="60"/>
    </row>
    <row r="510" spans="1:10" s="59" customFormat="1" x14ac:dyDescent="0.3">
      <c r="A510" s="60"/>
      <c r="B510" s="60"/>
      <c r="C510" s="60"/>
      <c r="D510" s="60"/>
      <c r="E510" s="60"/>
      <c r="F510" s="60"/>
      <c r="G510" s="60"/>
      <c r="H510" s="60"/>
      <c r="I510" s="60"/>
      <c r="J510" s="60"/>
    </row>
    <row r="511" spans="1:10" s="59" customFormat="1" x14ac:dyDescent="0.3">
      <c r="A511" s="60"/>
      <c r="B511" s="60"/>
      <c r="C511" s="60"/>
      <c r="D511" s="60"/>
      <c r="E511" s="60"/>
      <c r="F511" s="60"/>
      <c r="G511" s="60"/>
      <c r="H511" s="60"/>
      <c r="I511" s="60"/>
      <c r="J511" s="60"/>
    </row>
    <row r="512" spans="1:10" s="59" customFormat="1" x14ac:dyDescent="0.3">
      <c r="A512" s="60"/>
      <c r="B512" s="60"/>
      <c r="C512" s="60"/>
      <c r="D512" s="60"/>
      <c r="E512" s="60"/>
      <c r="F512" s="60"/>
      <c r="G512" s="60"/>
      <c r="H512" s="60"/>
      <c r="I512" s="60"/>
      <c r="J512" s="60"/>
    </row>
    <row r="513" spans="1:10" s="59" customFormat="1" x14ac:dyDescent="0.3">
      <c r="A513" s="60"/>
      <c r="B513" s="60"/>
      <c r="C513" s="60"/>
      <c r="D513" s="60"/>
      <c r="E513" s="60"/>
      <c r="F513" s="60"/>
      <c r="G513" s="60"/>
      <c r="H513" s="60"/>
      <c r="I513" s="60"/>
      <c r="J513" s="60"/>
    </row>
    <row r="514" spans="1:10" s="59" customFormat="1" x14ac:dyDescent="0.3">
      <c r="A514" s="60"/>
      <c r="B514" s="60"/>
      <c r="C514" s="60"/>
      <c r="D514" s="60"/>
      <c r="E514" s="60"/>
      <c r="F514" s="60"/>
      <c r="G514" s="60"/>
      <c r="H514" s="60"/>
      <c r="I514" s="60"/>
      <c r="J514" s="60"/>
    </row>
    <row r="515" spans="1:10" s="59" customFormat="1" x14ac:dyDescent="0.3">
      <c r="A515" s="60"/>
      <c r="B515" s="60"/>
      <c r="C515" s="60"/>
      <c r="D515" s="60"/>
      <c r="E515" s="60"/>
      <c r="F515" s="60"/>
      <c r="G515" s="60"/>
      <c r="H515" s="60"/>
      <c r="I515" s="60"/>
      <c r="J515" s="60"/>
    </row>
    <row r="516" spans="1:10" s="59" customFormat="1" x14ac:dyDescent="0.3">
      <c r="A516" s="60"/>
      <c r="B516" s="60"/>
      <c r="C516" s="60"/>
      <c r="D516" s="60"/>
      <c r="E516" s="60"/>
      <c r="F516" s="60"/>
      <c r="G516" s="60"/>
      <c r="H516" s="60"/>
      <c r="I516" s="60"/>
      <c r="J516" s="60"/>
    </row>
    <row r="517" spans="1:10" s="59" customFormat="1" x14ac:dyDescent="0.3">
      <c r="A517" s="60"/>
      <c r="B517" s="60"/>
      <c r="C517" s="60"/>
      <c r="D517" s="60"/>
      <c r="E517" s="60"/>
      <c r="F517" s="60"/>
      <c r="G517" s="60"/>
      <c r="H517" s="60"/>
      <c r="I517" s="60"/>
      <c r="J517" s="60"/>
    </row>
    <row r="518" spans="1:10" s="59" customFormat="1" x14ac:dyDescent="0.3">
      <c r="A518" s="60"/>
      <c r="B518" s="60"/>
      <c r="C518" s="60"/>
      <c r="D518" s="60"/>
      <c r="E518" s="60"/>
      <c r="F518" s="60"/>
      <c r="G518" s="60"/>
      <c r="H518" s="60"/>
      <c r="I518" s="60"/>
      <c r="J518" s="60"/>
    </row>
    <row r="519" spans="1:10" s="59" customFormat="1" x14ac:dyDescent="0.3">
      <c r="A519" s="60"/>
      <c r="B519" s="60"/>
      <c r="C519" s="60"/>
      <c r="D519" s="60"/>
      <c r="E519" s="60"/>
      <c r="F519" s="60"/>
      <c r="G519" s="60"/>
      <c r="H519" s="60"/>
      <c r="I519" s="60"/>
      <c r="J519" s="60"/>
    </row>
    <row r="520" spans="1:10" s="59" customFormat="1" x14ac:dyDescent="0.3">
      <c r="A520" s="60"/>
      <c r="B520" s="60"/>
      <c r="C520" s="60"/>
      <c r="D520" s="60"/>
      <c r="E520" s="60"/>
      <c r="F520" s="60"/>
      <c r="G520" s="60"/>
      <c r="H520" s="60"/>
      <c r="I520" s="60"/>
      <c r="J520" s="60"/>
    </row>
    <row r="521" spans="1:10" s="59" customFormat="1" x14ac:dyDescent="0.3">
      <c r="A521" s="60"/>
      <c r="B521" s="60"/>
      <c r="C521" s="60"/>
      <c r="D521" s="60"/>
      <c r="E521" s="60"/>
      <c r="F521" s="60"/>
      <c r="G521" s="60"/>
      <c r="H521" s="60"/>
      <c r="I521" s="60"/>
      <c r="J521" s="60"/>
    </row>
    <row r="522" spans="1:10" s="59" customFormat="1" x14ac:dyDescent="0.3">
      <c r="A522" s="60"/>
      <c r="B522" s="60"/>
      <c r="C522" s="60"/>
      <c r="D522" s="60"/>
      <c r="E522" s="60"/>
      <c r="F522" s="60"/>
      <c r="G522" s="60"/>
      <c r="H522" s="60"/>
      <c r="I522" s="60"/>
      <c r="J522" s="60"/>
    </row>
    <row r="523" spans="1:10" s="59" customFormat="1" x14ac:dyDescent="0.3">
      <c r="A523" s="60"/>
      <c r="B523" s="60"/>
      <c r="C523" s="60"/>
      <c r="D523" s="60"/>
      <c r="E523" s="60"/>
      <c r="F523" s="60"/>
      <c r="G523" s="60"/>
      <c r="H523" s="60"/>
      <c r="I523" s="60"/>
      <c r="J523" s="60"/>
    </row>
    <row r="524" spans="1:10" s="59" customFormat="1" x14ac:dyDescent="0.3">
      <c r="A524" s="60"/>
      <c r="B524" s="60"/>
      <c r="C524" s="60"/>
      <c r="D524" s="60"/>
      <c r="E524" s="60"/>
      <c r="F524" s="60"/>
      <c r="G524" s="60"/>
      <c r="H524" s="60"/>
      <c r="I524" s="60"/>
      <c r="J524" s="60"/>
    </row>
    <row r="525" spans="1:10" s="59" customFormat="1" x14ac:dyDescent="0.3">
      <c r="A525" s="60"/>
      <c r="B525" s="60"/>
      <c r="C525" s="60"/>
      <c r="D525" s="60"/>
      <c r="E525" s="60"/>
      <c r="F525" s="60"/>
      <c r="G525" s="60"/>
      <c r="H525" s="60"/>
      <c r="I525" s="60"/>
      <c r="J525" s="60"/>
    </row>
    <row r="526" spans="1:10" s="59" customFormat="1" x14ac:dyDescent="0.3">
      <c r="A526" s="60"/>
      <c r="B526" s="60"/>
      <c r="C526" s="60"/>
      <c r="D526" s="60"/>
      <c r="E526" s="60"/>
      <c r="F526" s="60"/>
      <c r="G526" s="60"/>
      <c r="H526" s="60"/>
      <c r="I526" s="60"/>
      <c r="J526" s="60"/>
    </row>
    <row r="527" spans="1:10" s="59" customFormat="1" x14ac:dyDescent="0.3">
      <c r="A527" s="60"/>
      <c r="B527" s="60"/>
      <c r="C527" s="60"/>
      <c r="D527" s="60"/>
      <c r="E527" s="60"/>
      <c r="F527" s="60"/>
      <c r="G527" s="60"/>
      <c r="H527" s="60"/>
      <c r="I527" s="60"/>
      <c r="J527" s="60"/>
    </row>
    <row r="528" spans="1:10" s="59" customFormat="1" x14ac:dyDescent="0.3">
      <c r="A528" s="60"/>
      <c r="B528" s="60"/>
      <c r="C528" s="60"/>
      <c r="D528" s="60"/>
      <c r="E528" s="60"/>
      <c r="F528" s="60"/>
      <c r="G528" s="60"/>
      <c r="H528" s="60"/>
      <c r="I528" s="60"/>
      <c r="J528" s="60"/>
    </row>
    <row r="529" spans="1:10" s="59" customFormat="1" x14ac:dyDescent="0.3">
      <c r="A529" s="60"/>
      <c r="B529" s="60"/>
      <c r="C529" s="60"/>
      <c r="D529" s="60"/>
      <c r="E529" s="60"/>
      <c r="F529" s="60"/>
      <c r="G529" s="60"/>
      <c r="H529" s="60"/>
      <c r="I529" s="60"/>
      <c r="J529" s="60"/>
    </row>
    <row r="530" spans="1:10" s="59" customFormat="1" x14ac:dyDescent="0.3">
      <c r="A530" s="60"/>
      <c r="B530" s="60"/>
      <c r="C530" s="60"/>
      <c r="D530" s="60"/>
      <c r="E530" s="60"/>
      <c r="F530" s="60"/>
      <c r="G530" s="60"/>
      <c r="H530" s="60"/>
      <c r="I530" s="60"/>
      <c r="J530" s="60"/>
    </row>
    <row r="531" spans="1:10" s="59" customFormat="1" x14ac:dyDescent="0.3">
      <c r="A531" s="60"/>
      <c r="B531" s="60"/>
      <c r="C531" s="60"/>
      <c r="D531" s="60"/>
      <c r="E531" s="60"/>
      <c r="F531" s="60"/>
      <c r="G531" s="60"/>
      <c r="H531" s="60"/>
      <c r="I531" s="60"/>
      <c r="J531" s="60"/>
    </row>
    <row r="532" spans="1:10" s="59" customFormat="1" x14ac:dyDescent="0.3">
      <c r="A532" s="60"/>
      <c r="B532" s="60"/>
      <c r="C532" s="60"/>
      <c r="D532" s="60"/>
      <c r="E532" s="60"/>
      <c r="F532" s="60"/>
      <c r="G532" s="60"/>
      <c r="H532" s="60"/>
      <c r="I532" s="60"/>
      <c r="J532" s="60"/>
    </row>
    <row r="533" spans="1:10" s="59" customFormat="1" x14ac:dyDescent="0.3">
      <c r="A533" s="60"/>
      <c r="B533" s="60"/>
      <c r="C533" s="60"/>
      <c r="D533" s="60"/>
      <c r="E533" s="60"/>
      <c r="F533" s="60"/>
      <c r="G533" s="60"/>
      <c r="H533" s="60"/>
      <c r="I533" s="60"/>
      <c r="J533" s="60"/>
    </row>
    <row r="534" spans="1:10" s="59" customFormat="1" x14ac:dyDescent="0.3">
      <c r="A534" s="60"/>
      <c r="B534" s="60"/>
      <c r="C534" s="60"/>
      <c r="D534" s="60"/>
      <c r="E534" s="60"/>
      <c r="F534" s="60"/>
      <c r="G534" s="60"/>
      <c r="H534" s="60"/>
      <c r="I534" s="60"/>
      <c r="J534" s="60"/>
    </row>
    <row r="535" spans="1:10" s="59" customFormat="1" x14ac:dyDescent="0.3">
      <c r="A535" s="60"/>
      <c r="B535" s="60"/>
      <c r="C535" s="60"/>
      <c r="D535" s="60"/>
      <c r="E535" s="60"/>
      <c r="F535" s="60"/>
      <c r="G535" s="60"/>
      <c r="H535" s="60"/>
      <c r="I535" s="60"/>
      <c r="J535" s="60"/>
    </row>
    <row r="536" spans="1:10" s="59" customFormat="1" x14ac:dyDescent="0.3">
      <c r="A536" s="60"/>
      <c r="B536" s="60"/>
      <c r="C536" s="60"/>
      <c r="D536" s="60"/>
      <c r="E536" s="60"/>
      <c r="F536" s="60"/>
      <c r="G536" s="60"/>
      <c r="H536" s="60"/>
      <c r="I536" s="60"/>
      <c r="J536" s="60"/>
    </row>
    <row r="537" spans="1:10" s="59" customFormat="1" x14ac:dyDescent="0.3">
      <c r="A537" s="60"/>
      <c r="B537" s="60"/>
      <c r="C537" s="60"/>
      <c r="D537" s="60"/>
      <c r="E537" s="60"/>
      <c r="F537" s="60"/>
      <c r="G537" s="60"/>
      <c r="H537" s="60"/>
      <c r="I537" s="60"/>
      <c r="J537" s="60"/>
    </row>
    <row r="538" spans="1:10" s="59" customFormat="1" x14ac:dyDescent="0.3">
      <c r="A538" s="60"/>
      <c r="B538" s="60"/>
      <c r="C538" s="60"/>
      <c r="D538" s="60"/>
      <c r="E538" s="60"/>
      <c r="F538" s="60"/>
      <c r="G538" s="60"/>
      <c r="H538" s="60"/>
      <c r="I538" s="60"/>
      <c r="J538" s="60"/>
    </row>
    <row r="539" spans="1:10" s="59" customFormat="1" x14ac:dyDescent="0.3">
      <c r="A539" s="60"/>
      <c r="B539" s="60"/>
      <c r="C539" s="60"/>
      <c r="D539" s="60"/>
      <c r="E539" s="60"/>
      <c r="F539" s="60"/>
      <c r="G539" s="60"/>
      <c r="H539" s="60"/>
      <c r="I539" s="60"/>
      <c r="J539" s="60"/>
    </row>
    <row r="540" spans="1:10" s="59" customFormat="1" x14ac:dyDescent="0.3">
      <c r="A540" s="60"/>
      <c r="B540" s="60"/>
      <c r="C540" s="60"/>
      <c r="D540" s="60"/>
      <c r="E540" s="60"/>
      <c r="F540" s="60"/>
      <c r="G540" s="60"/>
      <c r="H540" s="60"/>
      <c r="I540" s="60"/>
      <c r="J540" s="60"/>
    </row>
    <row r="541" spans="1:10" s="59" customFormat="1" x14ac:dyDescent="0.3">
      <c r="A541" s="60"/>
      <c r="B541" s="60"/>
      <c r="C541" s="60"/>
      <c r="D541" s="60"/>
      <c r="E541" s="60"/>
      <c r="F541" s="60"/>
      <c r="G541" s="60"/>
      <c r="H541" s="60"/>
      <c r="I541" s="60"/>
      <c r="J541" s="60"/>
    </row>
    <row r="542" spans="1:10" s="59" customFormat="1" x14ac:dyDescent="0.3">
      <c r="A542" s="60"/>
      <c r="B542" s="60"/>
      <c r="C542" s="60"/>
      <c r="D542" s="60"/>
      <c r="E542" s="60"/>
      <c r="F542" s="60"/>
      <c r="G542" s="60"/>
      <c r="H542" s="60"/>
      <c r="I542" s="60"/>
      <c r="J542" s="60"/>
    </row>
    <row r="543" spans="1:10" s="59" customFormat="1" x14ac:dyDescent="0.3">
      <c r="A543" s="60"/>
      <c r="B543" s="60"/>
      <c r="C543" s="60"/>
      <c r="D543" s="60"/>
      <c r="E543" s="60"/>
      <c r="F543" s="60"/>
      <c r="G543" s="60"/>
      <c r="H543" s="60"/>
      <c r="I543" s="60"/>
      <c r="J543" s="60"/>
    </row>
    <row r="544" spans="1:10" s="59" customFormat="1" x14ac:dyDescent="0.3">
      <c r="A544" s="60"/>
      <c r="B544" s="60"/>
      <c r="C544" s="60"/>
      <c r="D544" s="60"/>
      <c r="E544" s="60"/>
      <c r="F544" s="60"/>
      <c r="G544" s="60"/>
      <c r="H544" s="60"/>
      <c r="I544" s="60"/>
      <c r="J544" s="60"/>
    </row>
    <row r="545" spans="1:10" s="59" customFormat="1" x14ac:dyDescent="0.3">
      <c r="A545" s="60"/>
      <c r="B545" s="60"/>
      <c r="C545" s="60"/>
      <c r="D545" s="60"/>
      <c r="E545" s="60"/>
      <c r="F545" s="60"/>
      <c r="G545" s="60"/>
      <c r="H545" s="60"/>
      <c r="I545" s="60"/>
      <c r="J545" s="60"/>
    </row>
    <row r="546" spans="1:10" s="59" customFormat="1" x14ac:dyDescent="0.3">
      <c r="A546" s="60"/>
      <c r="B546" s="60"/>
      <c r="C546" s="60"/>
      <c r="D546" s="60"/>
      <c r="E546" s="60"/>
      <c r="F546" s="60"/>
      <c r="G546" s="60"/>
      <c r="H546" s="60"/>
      <c r="I546" s="60"/>
      <c r="J546" s="60"/>
    </row>
    <row r="547" spans="1:10" s="59" customFormat="1" x14ac:dyDescent="0.3">
      <c r="A547" s="60"/>
      <c r="B547" s="60"/>
      <c r="C547" s="60"/>
      <c r="D547" s="60"/>
      <c r="E547" s="60"/>
      <c r="F547" s="60"/>
      <c r="G547" s="60"/>
      <c r="H547" s="60"/>
      <c r="I547" s="60"/>
      <c r="J547" s="60"/>
    </row>
    <row r="548" spans="1:10" s="59" customFormat="1" x14ac:dyDescent="0.3">
      <c r="A548" s="60"/>
      <c r="B548" s="60"/>
      <c r="C548" s="60"/>
      <c r="D548" s="60"/>
      <c r="E548" s="60"/>
      <c r="F548" s="60"/>
      <c r="G548" s="60"/>
      <c r="H548" s="60"/>
      <c r="I548" s="60"/>
      <c r="J548" s="60"/>
    </row>
    <row r="549" spans="1:10" s="59" customFormat="1" x14ac:dyDescent="0.3">
      <c r="A549" s="60"/>
      <c r="B549" s="60"/>
      <c r="C549" s="60"/>
      <c r="D549" s="60"/>
      <c r="E549" s="60"/>
      <c r="F549" s="60"/>
      <c r="G549" s="60"/>
      <c r="H549" s="60"/>
      <c r="I549" s="60"/>
      <c r="J549" s="60"/>
    </row>
    <row r="550" spans="1:10" s="59" customFormat="1" x14ac:dyDescent="0.3">
      <c r="A550" s="60"/>
      <c r="B550" s="60"/>
      <c r="C550" s="60"/>
      <c r="D550" s="60"/>
      <c r="E550" s="60"/>
      <c r="F550" s="60"/>
      <c r="G550" s="60"/>
      <c r="H550" s="60"/>
      <c r="I550" s="60"/>
      <c r="J550" s="60"/>
    </row>
    <row r="551" spans="1:10" s="59" customFormat="1" x14ac:dyDescent="0.3">
      <c r="A551" s="60"/>
      <c r="B551" s="60"/>
      <c r="C551" s="60"/>
      <c r="D551" s="60"/>
      <c r="E551" s="60"/>
      <c r="F551" s="60"/>
      <c r="G551" s="60"/>
      <c r="H551" s="60"/>
      <c r="I551" s="60"/>
      <c r="J551" s="60"/>
    </row>
    <row r="552" spans="1:10" s="59" customFormat="1" x14ac:dyDescent="0.3">
      <c r="A552" s="60"/>
      <c r="B552" s="60"/>
      <c r="C552" s="60"/>
      <c r="D552" s="60"/>
      <c r="E552" s="60"/>
      <c r="F552" s="60"/>
      <c r="G552" s="60"/>
      <c r="H552" s="60"/>
      <c r="I552" s="60"/>
      <c r="J552" s="60"/>
    </row>
    <row r="553" spans="1:10" s="59" customFormat="1" x14ac:dyDescent="0.3">
      <c r="A553" s="60"/>
      <c r="B553" s="60"/>
      <c r="C553" s="60"/>
      <c r="D553" s="60"/>
      <c r="E553" s="60"/>
      <c r="F553" s="60"/>
      <c r="G553" s="60"/>
      <c r="H553" s="60"/>
      <c r="I553" s="60"/>
      <c r="J553" s="60"/>
    </row>
    <row r="554" spans="1:10" s="59" customFormat="1" x14ac:dyDescent="0.3">
      <c r="A554" s="60"/>
      <c r="B554" s="60"/>
      <c r="C554" s="60"/>
      <c r="D554" s="60"/>
      <c r="E554" s="60"/>
      <c r="F554" s="60"/>
      <c r="G554" s="60"/>
      <c r="H554" s="60"/>
      <c r="I554" s="60"/>
      <c r="J554" s="60"/>
    </row>
    <row r="555" spans="1:10" s="59" customFormat="1" x14ac:dyDescent="0.3">
      <c r="A555" s="60"/>
      <c r="B555" s="60"/>
      <c r="C555" s="60"/>
      <c r="D555" s="60"/>
      <c r="E555" s="60"/>
      <c r="F555" s="60"/>
      <c r="G555" s="60"/>
      <c r="H555" s="60"/>
      <c r="I555" s="60"/>
      <c r="J555" s="60"/>
    </row>
    <row r="556" spans="1:10" s="59" customFormat="1" x14ac:dyDescent="0.3">
      <c r="A556" s="60"/>
      <c r="B556" s="60"/>
      <c r="C556" s="60"/>
      <c r="D556" s="60"/>
      <c r="E556" s="60"/>
      <c r="F556" s="60"/>
      <c r="G556" s="60"/>
      <c r="H556" s="60"/>
      <c r="I556" s="60"/>
      <c r="J556" s="60"/>
    </row>
    <row r="557" spans="1:10" s="59" customFormat="1" x14ac:dyDescent="0.3">
      <c r="A557" s="60"/>
      <c r="B557" s="60"/>
      <c r="C557" s="60"/>
      <c r="D557" s="60"/>
      <c r="E557" s="60"/>
      <c r="F557" s="60"/>
      <c r="G557" s="60"/>
      <c r="H557" s="60"/>
      <c r="I557" s="60"/>
      <c r="J557" s="60"/>
    </row>
    <row r="558" spans="1:10" s="59" customFormat="1" x14ac:dyDescent="0.3">
      <c r="A558" s="60"/>
      <c r="B558" s="60"/>
      <c r="C558" s="60"/>
      <c r="D558" s="60"/>
      <c r="E558" s="60"/>
      <c r="F558" s="60"/>
      <c r="G558" s="60"/>
      <c r="H558" s="60"/>
      <c r="I558" s="60"/>
      <c r="J558" s="60"/>
    </row>
    <row r="559" spans="1:10" s="59" customFormat="1" x14ac:dyDescent="0.3">
      <c r="A559" s="60"/>
      <c r="B559" s="60"/>
      <c r="C559" s="60"/>
      <c r="D559" s="60"/>
      <c r="E559" s="60"/>
      <c r="F559" s="60"/>
      <c r="G559" s="60"/>
      <c r="H559" s="60"/>
      <c r="I559" s="60"/>
      <c r="J559" s="60"/>
    </row>
    <row r="560" spans="1:10" s="59" customFormat="1" x14ac:dyDescent="0.3">
      <c r="A560" s="60"/>
      <c r="B560" s="60"/>
      <c r="C560" s="60"/>
      <c r="D560" s="60"/>
      <c r="E560" s="60"/>
      <c r="F560" s="60"/>
      <c r="G560" s="60"/>
      <c r="H560" s="60"/>
      <c r="I560" s="60"/>
      <c r="J560" s="60"/>
    </row>
    <row r="561" spans="1:10" s="59" customFormat="1" x14ac:dyDescent="0.3">
      <c r="A561" s="60"/>
      <c r="B561" s="60"/>
      <c r="C561" s="60"/>
      <c r="D561" s="60"/>
      <c r="E561" s="60"/>
      <c r="F561" s="60"/>
      <c r="G561" s="60"/>
      <c r="H561" s="60"/>
      <c r="I561" s="60"/>
      <c r="J561" s="60"/>
    </row>
    <row r="562" spans="1:10" s="59" customFormat="1" x14ac:dyDescent="0.3">
      <c r="A562" s="60"/>
      <c r="B562" s="60"/>
      <c r="C562" s="60"/>
      <c r="D562" s="60"/>
      <c r="E562" s="60"/>
      <c r="F562" s="60"/>
      <c r="G562" s="60"/>
      <c r="H562" s="60"/>
      <c r="I562" s="60"/>
      <c r="J562" s="60"/>
    </row>
    <row r="563" spans="1:10" s="59" customFormat="1" x14ac:dyDescent="0.3">
      <c r="A563" s="60"/>
      <c r="B563" s="60"/>
      <c r="C563" s="60"/>
      <c r="D563" s="60"/>
      <c r="E563" s="60"/>
      <c r="F563" s="60"/>
      <c r="G563" s="60"/>
      <c r="H563" s="60"/>
      <c r="I563" s="60"/>
      <c r="J563" s="60"/>
    </row>
    <row r="564" spans="1:10" s="59" customFormat="1" x14ac:dyDescent="0.3">
      <c r="A564" s="60"/>
      <c r="B564" s="60"/>
      <c r="C564" s="60"/>
      <c r="D564" s="60"/>
      <c r="E564" s="60"/>
      <c r="F564" s="60"/>
      <c r="G564" s="60"/>
      <c r="H564" s="60"/>
      <c r="I564" s="60"/>
      <c r="J564" s="60"/>
    </row>
    <row r="565" spans="1:10" s="59" customFormat="1" x14ac:dyDescent="0.3">
      <c r="A565" s="60"/>
      <c r="B565" s="60"/>
      <c r="C565" s="60"/>
      <c r="D565" s="60"/>
      <c r="E565" s="60"/>
      <c r="F565" s="60"/>
      <c r="G565" s="60"/>
      <c r="H565" s="60"/>
      <c r="I565" s="60"/>
      <c r="J565" s="60"/>
    </row>
    <row r="566" spans="1:10" s="59" customFormat="1" x14ac:dyDescent="0.3">
      <c r="A566" s="60"/>
      <c r="B566" s="60"/>
      <c r="C566" s="60"/>
      <c r="D566" s="60"/>
      <c r="E566" s="60"/>
      <c r="F566" s="60"/>
      <c r="G566" s="60"/>
      <c r="H566" s="60"/>
      <c r="I566" s="60"/>
      <c r="J566" s="60"/>
    </row>
    <row r="567" spans="1:10" s="59" customFormat="1" x14ac:dyDescent="0.3">
      <c r="A567" s="60"/>
      <c r="B567" s="60"/>
      <c r="C567" s="60"/>
      <c r="D567" s="60"/>
      <c r="E567" s="60"/>
      <c r="F567" s="60"/>
      <c r="G567" s="60"/>
      <c r="H567" s="60"/>
      <c r="I567" s="60"/>
      <c r="J567" s="60"/>
    </row>
    <row r="568" spans="1:10" s="59" customFormat="1" x14ac:dyDescent="0.3">
      <c r="A568" s="60"/>
      <c r="B568" s="60"/>
      <c r="C568" s="60"/>
      <c r="D568" s="60"/>
      <c r="E568" s="60"/>
      <c r="F568" s="60"/>
      <c r="G568" s="60"/>
      <c r="H568" s="60"/>
      <c r="I568" s="60"/>
      <c r="J568" s="60"/>
    </row>
    <row r="569" spans="1:10" s="59" customFormat="1" x14ac:dyDescent="0.3">
      <c r="A569" s="60"/>
      <c r="B569" s="60"/>
      <c r="C569" s="60"/>
      <c r="D569" s="60"/>
      <c r="E569" s="60"/>
      <c r="F569" s="60"/>
      <c r="G569" s="60"/>
      <c r="H569" s="60"/>
      <c r="I569" s="60"/>
      <c r="J569" s="60"/>
    </row>
    <row r="570" spans="1:10" s="59" customFormat="1" x14ac:dyDescent="0.3">
      <c r="A570" s="60"/>
      <c r="B570" s="60"/>
      <c r="C570" s="60"/>
      <c r="D570" s="60"/>
      <c r="E570" s="60"/>
      <c r="F570" s="60"/>
      <c r="G570" s="60"/>
      <c r="H570" s="60"/>
      <c r="I570" s="60"/>
      <c r="J570" s="60"/>
    </row>
    <row r="571" spans="1:10" s="59" customFormat="1" x14ac:dyDescent="0.3">
      <c r="A571" s="60"/>
      <c r="B571" s="60"/>
      <c r="C571" s="60"/>
      <c r="D571" s="60"/>
      <c r="E571" s="60"/>
      <c r="F571" s="60"/>
      <c r="G571" s="60"/>
      <c r="H571" s="60"/>
      <c r="I571" s="60"/>
      <c r="J571" s="60"/>
    </row>
    <row r="572" spans="1:10" s="59" customFormat="1" x14ac:dyDescent="0.3">
      <c r="A572" s="60"/>
      <c r="B572" s="60"/>
      <c r="C572" s="60"/>
      <c r="D572" s="60"/>
      <c r="E572" s="60"/>
      <c r="F572" s="60"/>
      <c r="G572" s="60"/>
      <c r="H572" s="60"/>
      <c r="I572" s="60"/>
      <c r="J572" s="60"/>
    </row>
    <row r="573" spans="1:10" s="59" customFormat="1" x14ac:dyDescent="0.3">
      <c r="A573" s="60"/>
      <c r="B573" s="60"/>
      <c r="C573" s="60"/>
      <c r="D573" s="60"/>
      <c r="E573" s="60"/>
      <c r="F573" s="60"/>
      <c r="G573" s="60"/>
      <c r="H573" s="60"/>
      <c r="I573" s="60"/>
      <c r="J573" s="60"/>
    </row>
    <row r="574" spans="1:10" s="59" customFormat="1" x14ac:dyDescent="0.3">
      <c r="A574" s="60"/>
      <c r="B574" s="60"/>
      <c r="C574" s="60"/>
      <c r="D574" s="60"/>
      <c r="E574" s="60"/>
      <c r="F574" s="60"/>
      <c r="G574" s="60"/>
      <c r="H574" s="60"/>
      <c r="I574" s="60"/>
      <c r="J574" s="60"/>
    </row>
    <row r="575" spans="1:10" s="59" customFormat="1" x14ac:dyDescent="0.3">
      <c r="A575" s="60"/>
      <c r="B575" s="60"/>
      <c r="C575" s="60"/>
      <c r="D575" s="60"/>
      <c r="E575" s="60"/>
      <c r="F575" s="60"/>
      <c r="G575" s="60"/>
      <c r="H575" s="60"/>
      <c r="I575" s="60"/>
      <c r="J575" s="60"/>
    </row>
    <row r="576" spans="1:10" s="59" customFormat="1" x14ac:dyDescent="0.3">
      <c r="A576" s="60"/>
      <c r="B576" s="60"/>
      <c r="C576" s="60"/>
      <c r="D576" s="60"/>
      <c r="E576" s="60"/>
      <c r="F576" s="60"/>
      <c r="G576" s="60"/>
      <c r="H576" s="60"/>
      <c r="I576" s="60"/>
      <c r="J576" s="60"/>
    </row>
    <row r="577" spans="1:10" s="59" customFormat="1" x14ac:dyDescent="0.3">
      <c r="A577" s="60"/>
      <c r="B577" s="60"/>
      <c r="C577" s="60"/>
      <c r="D577" s="60"/>
      <c r="E577" s="60"/>
      <c r="F577" s="60"/>
      <c r="G577" s="60"/>
      <c r="H577" s="60"/>
      <c r="I577" s="60"/>
      <c r="J577" s="60"/>
    </row>
    <row r="578" spans="1:10" s="59" customFormat="1" x14ac:dyDescent="0.3">
      <c r="A578" s="60"/>
      <c r="B578" s="60"/>
      <c r="C578" s="60"/>
      <c r="D578" s="60"/>
      <c r="E578" s="60"/>
      <c r="F578" s="60"/>
      <c r="G578" s="60"/>
      <c r="H578" s="60"/>
      <c r="I578" s="60"/>
      <c r="J578" s="60"/>
    </row>
    <row r="579" spans="1:10" s="59" customFormat="1" x14ac:dyDescent="0.3">
      <c r="A579" s="60"/>
      <c r="B579" s="60"/>
      <c r="C579" s="60"/>
      <c r="D579" s="60"/>
      <c r="E579" s="60"/>
      <c r="F579" s="60"/>
      <c r="G579" s="60"/>
      <c r="H579" s="60"/>
      <c r="I579" s="60"/>
      <c r="J579" s="60"/>
    </row>
    <row r="580" spans="1:10" s="59" customFormat="1" x14ac:dyDescent="0.3">
      <c r="A580" s="60"/>
      <c r="B580" s="60"/>
      <c r="C580" s="60"/>
      <c r="D580" s="60"/>
      <c r="E580" s="60"/>
      <c r="F580" s="60"/>
      <c r="G580" s="60"/>
      <c r="H580" s="60"/>
      <c r="I580" s="60"/>
      <c r="J580" s="60"/>
    </row>
    <row r="581" spans="1:10" s="59" customFormat="1" x14ac:dyDescent="0.3">
      <c r="A581" s="60"/>
      <c r="B581" s="60"/>
      <c r="C581" s="60"/>
      <c r="D581" s="60"/>
      <c r="E581" s="60"/>
      <c r="F581" s="60"/>
      <c r="G581" s="60"/>
      <c r="H581" s="60"/>
      <c r="I581" s="60"/>
      <c r="J581" s="60"/>
    </row>
    <row r="582" spans="1:10" s="59" customFormat="1" x14ac:dyDescent="0.3">
      <c r="A582" s="60"/>
      <c r="B582" s="60"/>
      <c r="C582" s="60"/>
      <c r="D582" s="60"/>
      <c r="E582" s="60"/>
      <c r="F582" s="60"/>
      <c r="G582" s="60"/>
      <c r="H582" s="60"/>
      <c r="I582" s="60"/>
      <c r="J582" s="60"/>
    </row>
    <row r="583" spans="1:10" s="59" customFormat="1" x14ac:dyDescent="0.3">
      <c r="A583" s="60"/>
      <c r="B583" s="60"/>
      <c r="C583" s="60"/>
      <c r="D583" s="60"/>
      <c r="E583" s="60"/>
      <c r="F583" s="60"/>
      <c r="G583" s="60"/>
      <c r="H583" s="60"/>
      <c r="I583" s="60"/>
      <c r="J583" s="60"/>
    </row>
    <row r="584" spans="1:10" s="59" customFormat="1" x14ac:dyDescent="0.3">
      <c r="A584" s="60"/>
      <c r="B584" s="60"/>
      <c r="C584" s="60"/>
      <c r="D584" s="60"/>
      <c r="E584" s="60"/>
      <c r="F584" s="60"/>
      <c r="G584" s="60"/>
      <c r="H584" s="60"/>
      <c r="I584" s="60"/>
      <c r="J584" s="60"/>
    </row>
    <row r="585" spans="1:10" s="59" customFormat="1" x14ac:dyDescent="0.3">
      <c r="A585" s="60"/>
      <c r="B585" s="60"/>
      <c r="C585" s="60"/>
      <c r="D585" s="60"/>
      <c r="E585" s="60"/>
      <c r="F585" s="60"/>
      <c r="G585" s="60"/>
      <c r="H585" s="60"/>
      <c r="I585" s="60"/>
      <c r="J585" s="60"/>
    </row>
    <row r="586" spans="1:10" s="59" customFormat="1" x14ac:dyDescent="0.3">
      <c r="A586" s="60"/>
      <c r="B586" s="60"/>
      <c r="C586" s="60"/>
      <c r="D586" s="60"/>
      <c r="E586" s="60"/>
      <c r="F586" s="60"/>
      <c r="G586" s="60"/>
      <c r="H586" s="60"/>
      <c r="I586" s="60"/>
      <c r="J586" s="60"/>
    </row>
    <row r="587" spans="1:10" s="59" customFormat="1" x14ac:dyDescent="0.3">
      <c r="A587" s="60"/>
      <c r="B587" s="60"/>
      <c r="C587" s="60"/>
      <c r="D587" s="60"/>
      <c r="E587" s="60"/>
      <c r="F587" s="60"/>
      <c r="G587" s="60"/>
      <c r="H587" s="60"/>
      <c r="I587" s="60"/>
      <c r="J587" s="60"/>
    </row>
    <row r="588" spans="1:10" s="59" customFormat="1" x14ac:dyDescent="0.3">
      <c r="A588" s="60"/>
      <c r="B588" s="60"/>
      <c r="C588" s="60"/>
      <c r="D588" s="60"/>
      <c r="E588" s="60"/>
      <c r="F588" s="60"/>
      <c r="G588" s="60"/>
      <c r="H588" s="60"/>
      <c r="I588" s="60"/>
      <c r="J588" s="60"/>
    </row>
    <row r="589" spans="1:10" s="59" customFormat="1" x14ac:dyDescent="0.3">
      <c r="A589" s="60"/>
      <c r="B589" s="60"/>
      <c r="C589" s="60"/>
      <c r="D589" s="60"/>
      <c r="E589" s="60"/>
      <c r="F589" s="60"/>
      <c r="G589" s="60"/>
      <c r="H589" s="60"/>
      <c r="I589" s="60"/>
      <c r="J589" s="60"/>
    </row>
    <row r="590" spans="1:10" s="59" customFormat="1" x14ac:dyDescent="0.3">
      <c r="A590" s="60"/>
      <c r="B590" s="60"/>
      <c r="C590" s="60"/>
      <c r="D590" s="60"/>
      <c r="E590" s="60"/>
      <c r="F590" s="60"/>
      <c r="G590" s="60"/>
      <c r="H590" s="60"/>
      <c r="I590" s="60"/>
      <c r="J590" s="60"/>
    </row>
    <row r="591" spans="1:10" s="59" customFormat="1" x14ac:dyDescent="0.3">
      <c r="A591" s="60"/>
      <c r="B591" s="60"/>
      <c r="C591" s="60"/>
      <c r="D591" s="60"/>
      <c r="E591" s="60"/>
      <c r="F591" s="60"/>
      <c r="G591" s="60"/>
      <c r="H591" s="60"/>
      <c r="I591" s="60"/>
      <c r="J591" s="60"/>
    </row>
    <row r="592" spans="1:10" s="59" customFormat="1" x14ac:dyDescent="0.3">
      <c r="A592" s="60"/>
      <c r="B592" s="60"/>
      <c r="C592" s="60"/>
      <c r="D592" s="60"/>
      <c r="E592" s="60"/>
      <c r="F592" s="60"/>
      <c r="G592" s="60"/>
      <c r="H592" s="60"/>
      <c r="I592" s="60"/>
      <c r="J592" s="60"/>
    </row>
    <row r="593" spans="1:10" s="59" customFormat="1" x14ac:dyDescent="0.3">
      <c r="A593" s="60"/>
      <c r="B593" s="60"/>
      <c r="C593" s="60"/>
      <c r="D593" s="60"/>
      <c r="E593" s="60"/>
      <c r="F593" s="60"/>
      <c r="G593" s="60"/>
      <c r="H593" s="60"/>
      <c r="I593" s="60"/>
      <c r="J593" s="60"/>
    </row>
    <row r="594" spans="1:10" s="59" customFormat="1" x14ac:dyDescent="0.3">
      <c r="A594" s="60"/>
      <c r="B594" s="60"/>
      <c r="C594" s="60"/>
      <c r="D594" s="60"/>
      <c r="E594" s="60"/>
      <c r="F594" s="60"/>
      <c r="G594" s="60"/>
      <c r="H594" s="60"/>
      <c r="I594" s="60"/>
      <c r="J594" s="60"/>
    </row>
    <row r="595" spans="1:10" s="59" customFormat="1" x14ac:dyDescent="0.3">
      <c r="A595" s="60"/>
      <c r="B595" s="60"/>
      <c r="C595" s="60"/>
      <c r="D595" s="60"/>
      <c r="E595" s="60"/>
      <c r="F595" s="60"/>
      <c r="G595" s="60"/>
      <c r="H595" s="60"/>
      <c r="I595" s="60"/>
      <c r="J595" s="60"/>
    </row>
    <row r="596" spans="1:10" s="59" customFormat="1" x14ac:dyDescent="0.3">
      <c r="A596" s="60"/>
      <c r="B596" s="60"/>
      <c r="C596" s="60"/>
      <c r="D596" s="60"/>
      <c r="E596" s="60"/>
      <c r="F596" s="60"/>
      <c r="G596" s="60"/>
      <c r="H596" s="60"/>
      <c r="I596" s="60"/>
      <c r="J596" s="60"/>
    </row>
    <row r="597" spans="1:10" s="59" customFormat="1" x14ac:dyDescent="0.3">
      <c r="A597" s="60"/>
      <c r="B597" s="60"/>
      <c r="C597" s="60"/>
      <c r="D597" s="60"/>
      <c r="E597" s="60"/>
      <c r="F597" s="60"/>
      <c r="G597" s="60"/>
      <c r="H597" s="60"/>
      <c r="I597" s="60"/>
      <c r="J597" s="60"/>
    </row>
    <row r="598" spans="1:10" s="59" customFormat="1" x14ac:dyDescent="0.3">
      <c r="A598" s="60"/>
      <c r="B598" s="60"/>
      <c r="C598" s="60"/>
      <c r="D598" s="60"/>
      <c r="E598" s="60"/>
      <c r="F598" s="60"/>
      <c r="G598" s="60"/>
      <c r="H598" s="60"/>
      <c r="I598" s="60"/>
      <c r="J598" s="60"/>
    </row>
    <row r="599" spans="1:10" s="59" customFormat="1" x14ac:dyDescent="0.3">
      <c r="A599" s="60"/>
      <c r="B599" s="60"/>
      <c r="C599" s="60"/>
      <c r="D599" s="60"/>
      <c r="E599" s="60"/>
      <c r="F599" s="60"/>
      <c r="G599" s="60"/>
      <c r="H599" s="60"/>
      <c r="I599" s="60"/>
      <c r="J599" s="60"/>
    </row>
    <row r="600" spans="1:10" s="59" customFormat="1" x14ac:dyDescent="0.3">
      <c r="A600" s="60"/>
      <c r="B600" s="60"/>
      <c r="C600" s="60"/>
      <c r="D600" s="60"/>
      <c r="E600" s="60"/>
      <c r="F600" s="60"/>
      <c r="G600" s="60"/>
      <c r="H600" s="60"/>
      <c r="I600" s="60"/>
      <c r="J600" s="60"/>
    </row>
    <row r="601" spans="1:10" s="59" customFormat="1" x14ac:dyDescent="0.3">
      <c r="A601" s="60"/>
      <c r="B601" s="60"/>
      <c r="C601" s="60"/>
      <c r="D601" s="60"/>
      <c r="E601" s="60"/>
      <c r="F601" s="60"/>
      <c r="G601" s="60"/>
      <c r="H601" s="60"/>
      <c r="I601" s="60"/>
      <c r="J601" s="60"/>
    </row>
    <row r="602" spans="1:10" s="59" customFormat="1" x14ac:dyDescent="0.3">
      <c r="A602" s="60"/>
      <c r="B602" s="60"/>
      <c r="C602" s="60"/>
      <c r="D602" s="60"/>
      <c r="E602" s="60"/>
      <c r="F602" s="60"/>
      <c r="G602" s="60"/>
      <c r="H602" s="60"/>
      <c r="I602" s="60"/>
      <c r="J602" s="60"/>
    </row>
    <row r="603" spans="1:10" s="59" customFormat="1" x14ac:dyDescent="0.3">
      <c r="A603" s="60"/>
      <c r="B603" s="60"/>
      <c r="C603" s="60"/>
      <c r="D603" s="60"/>
      <c r="E603" s="60"/>
      <c r="F603" s="60"/>
      <c r="G603" s="60"/>
      <c r="H603" s="60"/>
      <c r="I603" s="60"/>
      <c r="J603" s="60"/>
    </row>
    <row r="604" spans="1:10" s="59" customFormat="1" x14ac:dyDescent="0.3">
      <c r="A604" s="60"/>
      <c r="B604" s="60"/>
      <c r="C604" s="60"/>
      <c r="D604" s="60"/>
      <c r="E604" s="60"/>
      <c r="F604" s="60"/>
      <c r="G604" s="60"/>
      <c r="H604" s="60"/>
      <c r="I604" s="60"/>
      <c r="J604" s="60"/>
    </row>
    <row r="605" spans="1:10" s="59" customFormat="1" x14ac:dyDescent="0.3">
      <c r="A605" s="60"/>
      <c r="B605" s="60"/>
      <c r="C605" s="60"/>
      <c r="D605" s="60"/>
      <c r="E605" s="60"/>
      <c r="F605" s="60"/>
      <c r="G605" s="60"/>
      <c r="H605" s="60"/>
      <c r="I605" s="60"/>
      <c r="J605" s="60"/>
    </row>
    <row r="606" spans="1:10" s="59" customFormat="1" x14ac:dyDescent="0.3">
      <c r="A606" s="60"/>
      <c r="B606" s="60"/>
      <c r="C606" s="60"/>
      <c r="D606" s="60"/>
      <c r="E606" s="60"/>
      <c r="F606" s="60"/>
      <c r="G606" s="60"/>
      <c r="H606" s="60"/>
      <c r="I606" s="60"/>
      <c r="J606" s="60"/>
    </row>
    <row r="607" spans="1:10" s="59" customFormat="1" x14ac:dyDescent="0.3">
      <c r="A607" s="60"/>
      <c r="B607" s="60"/>
      <c r="C607" s="60"/>
      <c r="D607" s="60"/>
      <c r="E607" s="60"/>
      <c r="F607" s="60"/>
      <c r="G607" s="60"/>
      <c r="H607" s="60"/>
      <c r="I607" s="60"/>
      <c r="J607" s="60"/>
    </row>
    <row r="608" spans="1:10" s="59" customFormat="1" x14ac:dyDescent="0.3">
      <c r="A608" s="60"/>
      <c r="B608" s="60"/>
      <c r="C608" s="60"/>
      <c r="D608" s="60"/>
      <c r="E608" s="60"/>
      <c r="F608" s="60"/>
      <c r="G608" s="60"/>
      <c r="H608" s="60"/>
      <c r="I608" s="60"/>
      <c r="J608" s="60"/>
    </row>
    <row r="609" spans="1:10" s="59" customFormat="1" x14ac:dyDescent="0.3">
      <c r="A609" s="60"/>
      <c r="B609" s="60"/>
      <c r="C609" s="60"/>
      <c r="D609" s="60"/>
      <c r="E609" s="60"/>
      <c r="F609" s="60"/>
      <c r="G609" s="60"/>
      <c r="H609" s="60"/>
      <c r="I609" s="60"/>
      <c r="J609" s="60"/>
    </row>
    <row r="610" spans="1:10" s="59" customFormat="1" x14ac:dyDescent="0.3">
      <c r="A610" s="60"/>
      <c r="B610" s="60"/>
      <c r="C610" s="60"/>
      <c r="D610" s="60"/>
      <c r="E610" s="60"/>
      <c r="F610" s="60"/>
      <c r="G610" s="60"/>
      <c r="H610" s="60"/>
      <c r="I610" s="60"/>
      <c r="J610" s="60"/>
    </row>
    <row r="611" spans="1:10" s="59" customFormat="1" x14ac:dyDescent="0.3">
      <c r="A611" s="60"/>
      <c r="B611" s="60"/>
      <c r="C611" s="60"/>
      <c r="D611" s="60"/>
      <c r="E611" s="60"/>
      <c r="F611" s="60"/>
      <c r="G611" s="60"/>
      <c r="H611" s="60"/>
      <c r="I611" s="60"/>
      <c r="J611" s="60"/>
    </row>
    <row r="612" spans="1:10" s="59" customFormat="1" x14ac:dyDescent="0.3">
      <c r="A612" s="60"/>
      <c r="B612" s="60"/>
      <c r="C612" s="60"/>
      <c r="D612" s="60"/>
      <c r="E612" s="60"/>
      <c r="F612" s="60"/>
      <c r="G612" s="60"/>
      <c r="H612" s="60"/>
      <c r="I612" s="60"/>
      <c r="J612" s="60"/>
    </row>
    <row r="613" spans="1:10" s="59" customFormat="1" x14ac:dyDescent="0.3">
      <c r="A613" s="60"/>
      <c r="B613" s="60"/>
      <c r="C613" s="60"/>
      <c r="D613" s="60"/>
      <c r="E613" s="60"/>
      <c r="F613" s="60"/>
      <c r="G613" s="60"/>
      <c r="H613" s="60"/>
      <c r="I613" s="60"/>
      <c r="J613" s="60"/>
    </row>
    <row r="614" spans="1:10" s="59" customFormat="1" x14ac:dyDescent="0.3">
      <c r="A614" s="60"/>
      <c r="B614" s="60"/>
      <c r="C614" s="60"/>
      <c r="D614" s="60"/>
      <c r="E614" s="60"/>
      <c r="F614" s="60"/>
      <c r="G614" s="60"/>
      <c r="H614" s="60"/>
      <c r="I614" s="60"/>
      <c r="J614" s="60"/>
    </row>
    <row r="615" spans="1:10" s="59" customFormat="1" x14ac:dyDescent="0.3">
      <c r="A615" s="60"/>
      <c r="B615" s="60"/>
      <c r="C615" s="60"/>
      <c r="D615" s="60"/>
      <c r="E615" s="60"/>
      <c r="F615" s="60"/>
      <c r="G615" s="60"/>
      <c r="H615" s="60"/>
      <c r="I615" s="60"/>
      <c r="J615" s="60"/>
    </row>
    <row r="616" spans="1:10" s="59" customFormat="1" x14ac:dyDescent="0.3">
      <c r="A616" s="60"/>
      <c r="B616" s="60"/>
      <c r="C616" s="60"/>
      <c r="D616" s="60"/>
      <c r="E616" s="60"/>
      <c r="F616" s="60"/>
      <c r="G616" s="60"/>
      <c r="H616" s="60"/>
      <c r="I616" s="60"/>
      <c r="J616" s="60"/>
    </row>
    <row r="617" spans="1:10" s="59" customFormat="1" x14ac:dyDescent="0.3">
      <c r="A617" s="60"/>
      <c r="B617" s="60"/>
      <c r="C617" s="60"/>
      <c r="D617" s="60"/>
      <c r="E617" s="60"/>
      <c r="F617" s="60"/>
      <c r="G617" s="60"/>
      <c r="H617" s="60"/>
      <c r="I617" s="60"/>
      <c r="J617" s="60"/>
    </row>
    <row r="618" spans="1:10" s="59" customFormat="1" x14ac:dyDescent="0.3">
      <c r="A618" s="60"/>
      <c r="B618" s="60"/>
      <c r="C618" s="60"/>
      <c r="D618" s="60"/>
      <c r="E618" s="60"/>
      <c r="F618" s="60"/>
      <c r="G618" s="60"/>
      <c r="H618" s="60"/>
      <c r="I618" s="60"/>
      <c r="J618" s="60"/>
    </row>
    <row r="619" spans="1:10" s="59" customFormat="1" x14ac:dyDescent="0.3">
      <c r="A619" s="60"/>
      <c r="B619" s="60"/>
      <c r="C619" s="60"/>
      <c r="D619" s="60"/>
      <c r="E619" s="60"/>
      <c r="F619" s="60"/>
      <c r="G619" s="60"/>
      <c r="H619" s="60"/>
      <c r="I619" s="60"/>
      <c r="J619" s="60"/>
    </row>
  </sheetData>
  <mergeCells count="18">
    <mergeCell ref="F6:K6"/>
    <mergeCell ref="F7:K7"/>
    <mergeCell ref="F16:F17"/>
    <mergeCell ref="A16:A17"/>
    <mergeCell ref="B16:B17"/>
    <mergeCell ref="C16:C17"/>
    <mergeCell ref="D16:D17"/>
    <mergeCell ref="E16:E17"/>
    <mergeCell ref="K16:K17"/>
    <mergeCell ref="G16:G17"/>
    <mergeCell ref="H16:H17"/>
    <mergeCell ref="I16:I17"/>
    <mergeCell ref="J16:J17"/>
    <mergeCell ref="A1:K1"/>
    <mergeCell ref="A2:K2"/>
    <mergeCell ref="A3:K3"/>
    <mergeCell ref="A4:K4"/>
    <mergeCell ref="A5:K5"/>
  </mergeCells>
  <pageMargins left="0.47244094488188981" right="0.11811023622047245" top="0.55118110236220474" bottom="0.43307086614173229" header="0" footer="0"/>
  <pageSetup scale="65"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28"/>
  <sheetViews>
    <sheetView topLeftCell="B507" zoomScale="85" zoomScaleNormal="85" workbookViewId="0">
      <selection activeCell="I516" sqref="I516"/>
    </sheetView>
  </sheetViews>
  <sheetFormatPr baseColWidth="10" defaultColWidth="9.140625" defaultRowHeight="12.75" x14ac:dyDescent="0.2"/>
  <cols>
    <col min="1" max="1" width="81.140625" style="245" customWidth="1"/>
    <col min="2" max="2" width="78.42578125" style="245" customWidth="1"/>
    <col min="3" max="3" width="32.28515625" style="242" customWidth="1"/>
    <col min="4" max="4" width="13" style="244" customWidth="1"/>
    <col min="5" max="5" width="15.42578125" style="242" customWidth="1"/>
    <col min="6" max="6" width="16.7109375" style="242" customWidth="1"/>
    <col min="7" max="256" width="9.140625" style="90"/>
    <col min="257" max="257" width="30.7109375" style="90" customWidth="1"/>
    <col min="258" max="258" width="30.140625" style="90" customWidth="1"/>
    <col min="259" max="259" width="52.85546875" style="90" customWidth="1"/>
    <col min="260" max="260" width="13" style="90" customWidth="1"/>
    <col min="261" max="261" width="15.42578125" style="90" customWidth="1"/>
    <col min="262" max="262" width="16.7109375" style="90" customWidth="1"/>
    <col min="263" max="512" width="9.140625" style="90"/>
    <col min="513" max="513" width="30.7109375" style="90" customWidth="1"/>
    <col min="514" max="514" width="30.140625" style="90" customWidth="1"/>
    <col min="515" max="515" width="52.85546875" style="90" customWidth="1"/>
    <col min="516" max="516" width="13" style="90" customWidth="1"/>
    <col min="517" max="517" width="15.42578125" style="90" customWidth="1"/>
    <col min="518" max="518" width="16.7109375" style="90" customWidth="1"/>
    <col min="519" max="768" width="9.140625" style="90"/>
    <col min="769" max="769" width="30.7109375" style="90" customWidth="1"/>
    <col min="770" max="770" width="30.140625" style="90" customWidth="1"/>
    <col min="771" max="771" width="52.85546875" style="90" customWidth="1"/>
    <col min="772" max="772" width="13" style="90" customWidth="1"/>
    <col min="773" max="773" width="15.42578125" style="90" customWidth="1"/>
    <col min="774" max="774" width="16.7109375" style="90" customWidth="1"/>
    <col min="775" max="1024" width="9.140625" style="90"/>
    <col min="1025" max="1025" width="30.7109375" style="90" customWidth="1"/>
    <col min="1026" max="1026" width="30.140625" style="90" customWidth="1"/>
    <col min="1027" max="1027" width="52.85546875" style="90" customWidth="1"/>
    <col min="1028" max="1028" width="13" style="90" customWidth="1"/>
    <col min="1029" max="1029" width="15.42578125" style="90" customWidth="1"/>
    <col min="1030" max="1030" width="16.7109375" style="90" customWidth="1"/>
    <col min="1031" max="1280" width="9.140625" style="90"/>
    <col min="1281" max="1281" width="30.7109375" style="90" customWidth="1"/>
    <col min="1282" max="1282" width="30.140625" style="90" customWidth="1"/>
    <col min="1283" max="1283" width="52.85546875" style="90" customWidth="1"/>
    <col min="1284" max="1284" width="13" style="90" customWidth="1"/>
    <col min="1285" max="1285" width="15.42578125" style="90" customWidth="1"/>
    <col min="1286" max="1286" width="16.7109375" style="90" customWidth="1"/>
    <col min="1287" max="1536" width="9.140625" style="90"/>
    <col min="1537" max="1537" width="30.7109375" style="90" customWidth="1"/>
    <col min="1538" max="1538" width="30.140625" style="90" customWidth="1"/>
    <col min="1539" max="1539" width="52.85546875" style="90" customWidth="1"/>
    <col min="1540" max="1540" width="13" style="90" customWidth="1"/>
    <col min="1541" max="1541" width="15.42578125" style="90" customWidth="1"/>
    <col min="1542" max="1542" width="16.7109375" style="90" customWidth="1"/>
    <col min="1543" max="1792" width="9.140625" style="90"/>
    <col min="1793" max="1793" width="30.7109375" style="90" customWidth="1"/>
    <col min="1794" max="1794" width="30.140625" style="90" customWidth="1"/>
    <col min="1795" max="1795" width="52.85546875" style="90" customWidth="1"/>
    <col min="1796" max="1796" width="13" style="90" customWidth="1"/>
    <col min="1797" max="1797" width="15.42578125" style="90" customWidth="1"/>
    <col min="1798" max="1798" width="16.7109375" style="90" customWidth="1"/>
    <col min="1799" max="2048" width="9.140625" style="90"/>
    <col min="2049" max="2049" width="30.7109375" style="90" customWidth="1"/>
    <col min="2050" max="2050" width="30.140625" style="90" customWidth="1"/>
    <col min="2051" max="2051" width="52.85546875" style="90" customWidth="1"/>
    <col min="2052" max="2052" width="13" style="90" customWidth="1"/>
    <col min="2053" max="2053" width="15.42578125" style="90" customWidth="1"/>
    <col min="2054" max="2054" width="16.7109375" style="90" customWidth="1"/>
    <col min="2055" max="2304" width="9.140625" style="90"/>
    <col min="2305" max="2305" width="30.7109375" style="90" customWidth="1"/>
    <col min="2306" max="2306" width="30.140625" style="90" customWidth="1"/>
    <col min="2307" max="2307" width="52.85546875" style="90" customWidth="1"/>
    <col min="2308" max="2308" width="13" style="90" customWidth="1"/>
    <col min="2309" max="2309" width="15.42578125" style="90" customWidth="1"/>
    <col min="2310" max="2310" width="16.7109375" style="90" customWidth="1"/>
    <col min="2311" max="2560" width="9.140625" style="90"/>
    <col min="2561" max="2561" width="30.7109375" style="90" customWidth="1"/>
    <col min="2562" max="2562" width="30.140625" style="90" customWidth="1"/>
    <col min="2563" max="2563" width="52.85546875" style="90" customWidth="1"/>
    <col min="2564" max="2564" width="13" style="90" customWidth="1"/>
    <col min="2565" max="2565" width="15.42578125" style="90" customWidth="1"/>
    <col min="2566" max="2566" width="16.7109375" style="90" customWidth="1"/>
    <col min="2567" max="2816" width="9.140625" style="90"/>
    <col min="2817" max="2817" width="30.7109375" style="90" customWidth="1"/>
    <col min="2818" max="2818" width="30.140625" style="90" customWidth="1"/>
    <col min="2819" max="2819" width="52.85546875" style="90" customWidth="1"/>
    <col min="2820" max="2820" width="13" style="90" customWidth="1"/>
    <col min="2821" max="2821" width="15.42578125" style="90" customWidth="1"/>
    <col min="2822" max="2822" width="16.7109375" style="90" customWidth="1"/>
    <col min="2823" max="3072" width="9.140625" style="90"/>
    <col min="3073" max="3073" width="30.7109375" style="90" customWidth="1"/>
    <col min="3074" max="3074" width="30.140625" style="90" customWidth="1"/>
    <col min="3075" max="3075" width="52.85546875" style="90" customWidth="1"/>
    <col min="3076" max="3076" width="13" style="90" customWidth="1"/>
    <col min="3077" max="3077" width="15.42578125" style="90" customWidth="1"/>
    <col min="3078" max="3078" width="16.7109375" style="90" customWidth="1"/>
    <col min="3079" max="3328" width="9.140625" style="90"/>
    <col min="3329" max="3329" width="30.7109375" style="90" customWidth="1"/>
    <col min="3330" max="3330" width="30.140625" style="90" customWidth="1"/>
    <col min="3331" max="3331" width="52.85546875" style="90" customWidth="1"/>
    <col min="3332" max="3332" width="13" style="90" customWidth="1"/>
    <col min="3333" max="3333" width="15.42578125" style="90" customWidth="1"/>
    <col min="3334" max="3334" width="16.7109375" style="90" customWidth="1"/>
    <col min="3335" max="3584" width="9.140625" style="90"/>
    <col min="3585" max="3585" width="30.7109375" style="90" customWidth="1"/>
    <col min="3586" max="3586" width="30.140625" style="90" customWidth="1"/>
    <col min="3587" max="3587" width="52.85546875" style="90" customWidth="1"/>
    <col min="3588" max="3588" width="13" style="90" customWidth="1"/>
    <col min="3589" max="3589" width="15.42578125" style="90" customWidth="1"/>
    <col min="3590" max="3590" width="16.7109375" style="90" customWidth="1"/>
    <col min="3591" max="3840" width="9.140625" style="90"/>
    <col min="3841" max="3841" width="30.7109375" style="90" customWidth="1"/>
    <col min="3842" max="3842" width="30.140625" style="90" customWidth="1"/>
    <col min="3843" max="3843" width="52.85546875" style="90" customWidth="1"/>
    <col min="3844" max="3844" width="13" style="90" customWidth="1"/>
    <col min="3845" max="3845" width="15.42578125" style="90" customWidth="1"/>
    <col min="3846" max="3846" width="16.7109375" style="90" customWidth="1"/>
    <col min="3847" max="4096" width="9.140625" style="90"/>
    <col min="4097" max="4097" width="30.7109375" style="90" customWidth="1"/>
    <col min="4098" max="4098" width="30.140625" style="90" customWidth="1"/>
    <col min="4099" max="4099" width="52.85546875" style="90" customWidth="1"/>
    <col min="4100" max="4100" width="13" style="90" customWidth="1"/>
    <col min="4101" max="4101" width="15.42578125" style="90" customWidth="1"/>
    <col min="4102" max="4102" width="16.7109375" style="90" customWidth="1"/>
    <col min="4103" max="4352" width="9.140625" style="90"/>
    <col min="4353" max="4353" width="30.7109375" style="90" customWidth="1"/>
    <col min="4354" max="4354" width="30.140625" style="90" customWidth="1"/>
    <col min="4355" max="4355" width="52.85546875" style="90" customWidth="1"/>
    <col min="4356" max="4356" width="13" style="90" customWidth="1"/>
    <col min="4357" max="4357" width="15.42578125" style="90" customWidth="1"/>
    <col min="4358" max="4358" width="16.7109375" style="90" customWidth="1"/>
    <col min="4359" max="4608" width="9.140625" style="90"/>
    <col min="4609" max="4609" width="30.7109375" style="90" customWidth="1"/>
    <col min="4610" max="4610" width="30.140625" style="90" customWidth="1"/>
    <col min="4611" max="4611" width="52.85546875" style="90" customWidth="1"/>
    <col min="4612" max="4612" width="13" style="90" customWidth="1"/>
    <col min="4613" max="4613" width="15.42578125" style="90" customWidth="1"/>
    <col min="4614" max="4614" width="16.7109375" style="90" customWidth="1"/>
    <col min="4615" max="4864" width="9.140625" style="90"/>
    <col min="4865" max="4865" width="30.7109375" style="90" customWidth="1"/>
    <col min="4866" max="4866" width="30.140625" style="90" customWidth="1"/>
    <col min="4867" max="4867" width="52.85546875" style="90" customWidth="1"/>
    <col min="4868" max="4868" width="13" style="90" customWidth="1"/>
    <col min="4869" max="4869" width="15.42578125" style="90" customWidth="1"/>
    <col min="4870" max="4870" width="16.7109375" style="90" customWidth="1"/>
    <col min="4871" max="5120" width="9.140625" style="90"/>
    <col min="5121" max="5121" width="30.7109375" style="90" customWidth="1"/>
    <col min="5122" max="5122" width="30.140625" style="90" customWidth="1"/>
    <col min="5123" max="5123" width="52.85546875" style="90" customWidth="1"/>
    <col min="5124" max="5124" width="13" style="90" customWidth="1"/>
    <col min="5125" max="5125" width="15.42578125" style="90" customWidth="1"/>
    <col min="5126" max="5126" width="16.7109375" style="90" customWidth="1"/>
    <col min="5127" max="5376" width="9.140625" style="90"/>
    <col min="5377" max="5377" width="30.7109375" style="90" customWidth="1"/>
    <col min="5378" max="5378" width="30.140625" style="90" customWidth="1"/>
    <col min="5379" max="5379" width="52.85546875" style="90" customWidth="1"/>
    <col min="5380" max="5380" width="13" style="90" customWidth="1"/>
    <col min="5381" max="5381" width="15.42578125" style="90" customWidth="1"/>
    <col min="5382" max="5382" width="16.7109375" style="90" customWidth="1"/>
    <col min="5383" max="5632" width="9.140625" style="90"/>
    <col min="5633" max="5633" width="30.7109375" style="90" customWidth="1"/>
    <col min="5634" max="5634" width="30.140625" style="90" customWidth="1"/>
    <col min="5635" max="5635" width="52.85546875" style="90" customWidth="1"/>
    <col min="5636" max="5636" width="13" style="90" customWidth="1"/>
    <col min="5637" max="5637" width="15.42578125" style="90" customWidth="1"/>
    <col min="5638" max="5638" width="16.7109375" style="90" customWidth="1"/>
    <col min="5639" max="5888" width="9.140625" style="90"/>
    <col min="5889" max="5889" width="30.7109375" style="90" customWidth="1"/>
    <col min="5890" max="5890" width="30.140625" style="90" customWidth="1"/>
    <col min="5891" max="5891" width="52.85546875" style="90" customWidth="1"/>
    <col min="5892" max="5892" width="13" style="90" customWidth="1"/>
    <col min="5893" max="5893" width="15.42578125" style="90" customWidth="1"/>
    <col min="5894" max="5894" width="16.7109375" style="90" customWidth="1"/>
    <col min="5895" max="6144" width="9.140625" style="90"/>
    <col min="6145" max="6145" width="30.7109375" style="90" customWidth="1"/>
    <col min="6146" max="6146" width="30.140625" style="90" customWidth="1"/>
    <col min="6147" max="6147" width="52.85546875" style="90" customWidth="1"/>
    <col min="6148" max="6148" width="13" style="90" customWidth="1"/>
    <col min="6149" max="6149" width="15.42578125" style="90" customWidth="1"/>
    <col min="6150" max="6150" width="16.7109375" style="90" customWidth="1"/>
    <col min="6151" max="6400" width="9.140625" style="90"/>
    <col min="6401" max="6401" width="30.7109375" style="90" customWidth="1"/>
    <col min="6402" max="6402" width="30.140625" style="90" customWidth="1"/>
    <col min="6403" max="6403" width="52.85546875" style="90" customWidth="1"/>
    <col min="6404" max="6404" width="13" style="90" customWidth="1"/>
    <col min="6405" max="6405" width="15.42578125" style="90" customWidth="1"/>
    <col min="6406" max="6406" width="16.7109375" style="90" customWidth="1"/>
    <col min="6407" max="6656" width="9.140625" style="90"/>
    <col min="6657" max="6657" width="30.7109375" style="90" customWidth="1"/>
    <col min="6658" max="6658" width="30.140625" style="90" customWidth="1"/>
    <col min="6659" max="6659" width="52.85546875" style="90" customWidth="1"/>
    <col min="6660" max="6660" width="13" style="90" customWidth="1"/>
    <col min="6661" max="6661" width="15.42578125" style="90" customWidth="1"/>
    <col min="6662" max="6662" width="16.7109375" style="90" customWidth="1"/>
    <col min="6663" max="6912" width="9.140625" style="90"/>
    <col min="6913" max="6913" width="30.7109375" style="90" customWidth="1"/>
    <col min="6914" max="6914" width="30.140625" style="90" customWidth="1"/>
    <col min="6915" max="6915" width="52.85546875" style="90" customWidth="1"/>
    <col min="6916" max="6916" width="13" style="90" customWidth="1"/>
    <col min="6917" max="6917" width="15.42578125" style="90" customWidth="1"/>
    <col min="6918" max="6918" width="16.7109375" style="90" customWidth="1"/>
    <col min="6919" max="7168" width="9.140625" style="90"/>
    <col min="7169" max="7169" width="30.7109375" style="90" customWidth="1"/>
    <col min="7170" max="7170" width="30.140625" style="90" customWidth="1"/>
    <col min="7171" max="7171" width="52.85546875" style="90" customWidth="1"/>
    <col min="7172" max="7172" width="13" style="90" customWidth="1"/>
    <col min="7173" max="7173" width="15.42578125" style="90" customWidth="1"/>
    <col min="7174" max="7174" width="16.7109375" style="90" customWidth="1"/>
    <col min="7175" max="7424" width="9.140625" style="90"/>
    <col min="7425" max="7425" width="30.7109375" style="90" customWidth="1"/>
    <col min="7426" max="7426" width="30.140625" style="90" customWidth="1"/>
    <col min="7427" max="7427" width="52.85546875" style="90" customWidth="1"/>
    <col min="7428" max="7428" width="13" style="90" customWidth="1"/>
    <col min="7429" max="7429" width="15.42578125" style="90" customWidth="1"/>
    <col min="7430" max="7430" width="16.7109375" style="90" customWidth="1"/>
    <col min="7431" max="7680" width="9.140625" style="90"/>
    <col min="7681" max="7681" width="30.7109375" style="90" customWidth="1"/>
    <col min="7682" max="7682" width="30.140625" style="90" customWidth="1"/>
    <col min="7683" max="7683" width="52.85546875" style="90" customWidth="1"/>
    <col min="7684" max="7684" width="13" style="90" customWidth="1"/>
    <col min="7685" max="7685" width="15.42578125" style="90" customWidth="1"/>
    <col min="7686" max="7686" width="16.7109375" style="90" customWidth="1"/>
    <col min="7687" max="7936" width="9.140625" style="90"/>
    <col min="7937" max="7937" width="30.7109375" style="90" customWidth="1"/>
    <col min="7938" max="7938" width="30.140625" style="90" customWidth="1"/>
    <col min="7939" max="7939" width="52.85546875" style="90" customWidth="1"/>
    <col min="7940" max="7940" width="13" style="90" customWidth="1"/>
    <col min="7941" max="7941" width="15.42578125" style="90" customWidth="1"/>
    <col min="7942" max="7942" width="16.7109375" style="90" customWidth="1"/>
    <col min="7943" max="8192" width="9.140625" style="90"/>
    <col min="8193" max="8193" width="30.7109375" style="90" customWidth="1"/>
    <col min="8194" max="8194" width="30.140625" style="90" customWidth="1"/>
    <col min="8195" max="8195" width="52.85546875" style="90" customWidth="1"/>
    <col min="8196" max="8196" width="13" style="90" customWidth="1"/>
    <col min="8197" max="8197" width="15.42578125" style="90" customWidth="1"/>
    <col min="8198" max="8198" width="16.7109375" style="90" customWidth="1"/>
    <col min="8199" max="8448" width="9.140625" style="90"/>
    <col min="8449" max="8449" width="30.7109375" style="90" customWidth="1"/>
    <col min="8450" max="8450" width="30.140625" style="90" customWidth="1"/>
    <col min="8451" max="8451" width="52.85546875" style="90" customWidth="1"/>
    <col min="8452" max="8452" width="13" style="90" customWidth="1"/>
    <col min="8453" max="8453" width="15.42578125" style="90" customWidth="1"/>
    <col min="8454" max="8454" width="16.7109375" style="90" customWidth="1"/>
    <col min="8455" max="8704" width="9.140625" style="90"/>
    <col min="8705" max="8705" width="30.7109375" style="90" customWidth="1"/>
    <col min="8706" max="8706" width="30.140625" style="90" customWidth="1"/>
    <col min="8707" max="8707" width="52.85546875" style="90" customWidth="1"/>
    <col min="8708" max="8708" width="13" style="90" customWidth="1"/>
    <col min="8709" max="8709" width="15.42578125" style="90" customWidth="1"/>
    <col min="8710" max="8710" width="16.7109375" style="90" customWidth="1"/>
    <col min="8711" max="8960" width="9.140625" style="90"/>
    <col min="8961" max="8961" width="30.7109375" style="90" customWidth="1"/>
    <col min="8962" max="8962" width="30.140625" style="90" customWidth="1"/>
    <col min="8963" max="8963" width="52.85546875" style="90" customWidth="1"/>
    <col min="8964" max="8964" width="13" style="90" customWidth="1"/>
    <col min="8965" max="8965" width="15.42578125" style="90" customWidth="1"/>
    <col min="8966" max="8966" width="16.7109375" style="90" customWidth="1"/>
    <col min="8967" max="9216" width="9.140625" style="90"/>
    <col min="9217" max="9217" width="30.7109375" style="90" customWidth="1"/>
    <col min="9218" max="9218" width="30.140625" style="90" customWidth="1"/>
    <col min="9219" max="9219" width="52.85546875" style="90" customWidth="1"/>
    <col min="9220" max="9220" width="13" style="90" customWidth="1"/>
    <col min="9221" max="9221" width="15.42578125" style="90" customWidth="1"/>
    <col min="9222" max="9222" width="16.7109375" style="90" customWidth="1"/>
    <col min="9223" max="9472" width="9.140625" style="90"/>
    <col min="9473" max="9473" width="30.7109375" style="90" customWidth="1"/>
    <col min="9474" max="9474" width="30.140625" style="90" customWidth="1"/>
    <col min="9475" max="9475" width="52.85546875" style="90" customWidth="1"/>
    <col min="9476" max="9476" width="13" style="90" customWidth="1"/>
    <col min="9477" max="9477" width="15.42578125" style="90" customWidth="1"/>
    <col min="9478" max="9478" width="16.7109375" style="90" customWidth="1"/>
    <col min="9479" max="9728" width="9.140625" style="90"/>
    <col min="9729" max="9729" width="30.7109375" style="90" customWidth="1"/>
    <col min="9730" max="9730" width="30.140625" style="90" customWidth="1"/>
    <col min="9731" max="9731" width="52.85546875" style="90" customWidth="1"/>
    <col min="9732" max="9732" width="13" style="90" customWidth="1"/>
    <col min="9733" max="9733" width="15.42578125" style="90" customWidth="1"/>
    <col min="9734" max="9734" width="16.7109375" style="90" customWidth="1"/>
    <col min="9735" max="9984" width="9.140625" style="90"/>
    <col min="9985" max="9985" width="30.7109375" style="90" customWidth="1"/>
    <col min="9986" max="9986" width="30.140625" style="90" customWidth="1"/>
    <col min="9987" max="9987" width="52.85546875" style="90" customWidth="1"/>
    <col min="9988" max="9988" width="13" style="90" customWidth="1"/>
    <col min="9989" max="9989" width="15.42578125" style="90" customWidth="1"/>
    <col min="9990" max="9990" width="16.7109375" style="90" customWidth="1"/>
    <col min="9991" max="10240" width="9.140625" style="90"/>
    <col min="10241" max="10241" width="30.7109375" style="90" customWidth="1"/>
    <col min="10242" max="10242" width="30.140625" style="90" customWidth="1"/>
    <col min="10243" max="10243" width="52.85546875" style="90" customWidth="1"/>
    <col min="10244" max="10244" width="13" style="90" customWidth="1"/>
    <col min="10245" max="10245" width="15.42578125" style="90" customWidth="1"/>
    <col min="10246" max="10246" width="16.7109375" style="90" customWidth="1"/>
    <col min="10247" max="10496" width="9.140625" style="90"/>
    <col min="10497" max="10497" width="30.7109375" style="90" customWidth="1"/>
    <col min="10498" max="10498" width="30.140625" style="90" customWidth="1"/>
    <col min="10499" max="10499" width="52.85546875" style="90" customWidth="1"/>
    <col min="10500" max="10500" width="13" style="90" customWidth="1"/>
    <col min="10501" max="10501" width="15.42578125" style="90" customWidth="1"/>
    <col min="10502" max="10502" width="16.7109375" style="90" customWidth="1"/>
    <col min="10503" max="10752" width="9.140625" style="90"/>
    <col min="10753" max="10753" width="30.7109375" style="90" customWidth="1"/>
    <col min="10754" max="10754" width="30.140625" style="90" customWidth="1"/>
    <col min="10755" max="10755" width="52.85546875" style="90" customWidth="1"/>
    <col min="10756" max="10756" width="13" style="90" customWidth="1"/>
    <col min="10757" max="10757" width="15.42578125" style="90" customWidth="1"/>
    <col min="10758" max="10758" width="16.7109375" style="90" customWidth="1"/>
    <col min="10759" max="11008" width="9.140625" style="90"/>
    <col min="11009" max="11009" width="30.7109375" style="90" customWidth="1"/>
    <col min="11010" max="11010" width="30.140625" style="90" customWidth="1"/>
    <col min="11011" max="11011" width="52.85546875" style="90" customWidth="1"/>
    <col min="11012" max="11012" width="13" style="90" customWidth="1"/>
    <col min="11013" max="11013" width="15.42578125" style="90" customWidth="1"/>
    <col min="11014" max="11014" width="16.7109375" style="90" customWidth="1"/>
    <col min="11015" max="11264" width="9.140625" style="90"/>
    <col min="11265" max="11265" width="30.7109375" style="90" customWidth="1"/>
    <col min="11266" max="11266" width="30.140625" style="90" customWidth="1"/>
    <col min="11267" max="11267" width="52.85546875" style="90" customWidth="1"/>
    <col min="11268" max="11268" width="13" style="90" customWidth="1"/>
    <col min="11269" max="11269" width="15.42578125" style="90" customWidth="1"/>
    <col min="11270" max="11270" width="16.7109375" style="90" customWidth="1"/>
    <col min="11271" max="11520" width="9.140625" style="90"/>
    <col min="11521" max="11521" width="30.7109375" style="90" customWidth="1"/>
    <col min="11522" max="11522" width="30.140625" style="90" customWidth="1"/>
    <col min="11523" max="11523" width="52.85546875" style="90" customWidth="1"/>
    <col min="11524" max="11524" width="13" style="90" customWidth="1"/>
    <col min="11525" max="11525" width="15.42578125" style="90" customWidth="1"/>
    <col min="11526" max="11526" width="16.7109375" style="90" customWidth="1"/>
    <col min="11527" max="11776" width="9.140625" style="90"/>
    <col min="11777" max="11777" width="30.7109375" style="90" customWidth="1"/>
    <col min="11778" max="11778" width="30.140625" style="90" customWidth="1"/>
    <col min="11779" max="11779" width="52.85546875" style="90" customWidth="1"/>
    <col min="11780" max="11780" width="13" style="90" customWidth="1"/>
    <col min="11781" max="11781" width="15.42578125" style="90" customWidth="1"/>
    <col min="11782" max="11782" width="16.7109375" style="90" customWidth="1"/>
    <col min="11783" max="12032" width="9.140625" style="90"/>
    <col min="12033" max="12033" width="30.7109375" style="90" customWidth="1"/>
    <col min="12034" max="12034" width="30.140625" style="90" customWidth="1"/>
    <col min="12035" max="12035" width="52.85546875" style="90" customWidth="1"/>
    <col min="12036" max="12036" width="13" style="90" customWidth="1"/>
    <col min="12037" max="12037" width="15.42578125" style="90" customWidth="1"/>
    <col min="12038" max="12038" width="16.7109375" style="90" customWidth="1"/>
    <col min="12039" max="12288" width="9.140625" style="90"/>
    <col min="12289" max="12289" width="30.7109375" style="90" customWidth="1"/>
    <col min="12290" max="12290" width="30.140625" style="90" customWidth="1"/>
    <col min="12291" max="12291" width="52.85546875" style="90" customWidth="1"/>
    <col min="12292" max="12292" width="13" style="90" customWidth="1"/>
    <col min="12293" max="12293" width="15.42578125" style="90" customWidth="1"/>
    <col min="12294" max="12294" width="16.7109375" style="90" customWidth="1"/>
    <col min="12295" max="12544" width="9.140625" style="90"/>
    <col min="12545" max="12545" width="30.7109375" style="90" customWidth="1"/>
    <col min="12546" max="12546" width="30.140625" style="90" customWidth="1"/>
    <col min="12547" max="12547" width="52.85546875" style="90" customWidth="1"/>
    <col min="12548" max="12548" width="13" style="90" customWidth="1"/>
    <col min="12549" max="12549" width="15.42578125" style="90" customWidth="1"/>
    <col min="12550" max="12550" width="16.7109375" style="90" customWidth="1"/>
    <col min="12551" max="12800" width="9.140625" style="90"/>
    <col min="12801" max="12801" width="30.7109375" style="90" customWidth="1"/>
    <col min="12802" max="12802" width="30.140625" style="90" customWidth="1"/>
    <col min="12803" max="12803" width="52.85546875" style="90" customWidth="1"/>
    <col min="12804" max="12804" width="13" style="90" customWidth="1"/>
    <col min="12805" max="12805" width="15.42578125" style="90" customWidth="1"/>
    <col min="12806" max="12806" width="16.7109375" style="90" customWidth="1"/>
    <col min="12807" max="13056" width="9.140625" style="90"/>
    <col min="13057" max="13057" width="30.7109375" style="90" customWidth="1"/>
    <col min="13058" max="13058" width="30.140625" style="90" customWidth="1"/>
    <col min="13059" max="13059" width="52.85546875" style="90" customWidth="1"/>
    <col min="13060" max="13060" width="13" style="90" customWidth="1"/>
    <col min="13061" max="13061" width="15.42578125" style="90" customWidth="1"/>
    <col min="13062" max="13062" width="16.7109375" style="90" customWidth="1"/>
    <col min="13063" max="13312" width="9.140625" style="90"/>
    <col min="13313" max="13313" width="30.7109375" style="90" customWidth="1"/>
    <col min="13314" max="13314" width="30.140625" style="90" customWidth="1"/>
    <col min="13315" max="13315" width="52.85546875" style="90" customWidth="1"/>
    <col min="13316" max="13316" width="13" style="90" customWidth="1"/>
    <col min="13317" max="13317" width="15.42578125" style="90" customWidth="1"/>
    <col min="13318" max="13318" width="16.7109375" style="90" customWidth="1"/>
    <col min="13319" max="13568" width="9.140625" style="90"/>
    <col min="13569" max="13569" width="30.7109375" style="90" customWidth="1"/>
    <col min="13570" max="13570" width="30.140625" style="90" customWidth="1"/>
    <col min="13571" max="13571" width="52.85546875" style="90" customWidth="1"/>
    <col min="13572" max="13572" width="13" style="90" customWidth="1"/>
    <col min="13573" max="13573" width="15.42578125" style="90" customWidth="1"/>
    <col min="13574" max="13574" width="16.7109375" style="90" customWidth="1"/>
    <col min="13575" max="13824" width="9.140625" style="90"/>
    <col min="13825" max="13825" width="30.7109375" style="90" customWidth="1"/>
    <col min="13826" max="13826" width="30.140625" style="90" customWidth="1"/>
    <col min="13827" max="13827" width="52.85546875" style="90" customWidth="1"/>
    <col min="13828" max="13828" width="13" style="90" customWidth="1"/>
    <col min="13829" max="13829" width="15.42578125" style="90" customWidth="1"/>
    <col min="13830" max="13830" width="16.7109375" style="90" customWidth="1"/>
    <col min="13831" max="14080" width="9.140625" style="90"/>
    <col min="14081" max="14081" width="30.7109375" style="90" customWidth="1"/>
    <col min="14082" max="14082" width="30.140625" style="90" customWidth="1"/>
    <col min="14083" max="14083" width="52.85546875" style="90" customWidth="1"/>
    <col min="14084" max="14084" width="13" style="90" customWidth="1"/>
    <col min="14085" max="14085" width="15.42578125" style="90" customWidth="1"/>
    <col min="14086" max="14086" width="16.7109375" style="90" customWidth="1"/>
    <col min="14087" max="14336" width="9.140625" style="90"/>
    <col min="14337" max="14337" width="30.7109375" style="90" customWidth="1"/>
    <col min="14338" max="14338" width="30.140625" style="90" customWidth="1"/>
    <col min="14339" max="14339" width="52.85546875" style="90" customWidth="1"/>
    <col min="14340" max="14340" width="13" style="90" customWidth="1"/>
    <col min="14341" max="14341" width="15.42578125" style="90" customWidth="1"/>
    <col min="14342" max="14342" width="16.7109375" style="90" customWidth="1"/>
    <col min="14343" max="14592" width="9.140625" style="90"/>
    <col min="14593" max="14593" width="30.7109375" style="90" customWidth="1"/>
    <col min="14594" max="14594" width="30.140625" style="90" customWidth="1"/>
    <col min="14595" max="14595" width="52.85546875" style="90" customWidth="1"/>
    <col min="14596" max="14596" width="13" style="90" customWidth="1"/>
    <col min="14597" max="14597" width="15.42578125" style="90" customWidth="1"/>
    <col min="14598" max="14598" width="16.7109375" style="90" customWidth="1"/>
    <col min="14599" max="14848" width="9.140625" style="90"/>
    <col min="14849" max="14849" width="30.7109375" style="90" customWidth="1"/>
    <col min="14850" max="14850" width="30.140625" style="90" customWidth="1"/>
    <col min="14851" max="14851" width="52.85546875" style="90" customWidth="1"/>
    <col min="14852" max="14852" width="13" style="90" customWidth="1"/>
    <col min="14853" max="14853" width="15.42578125" style="90" customWidth="1"/>
    <col min="14854" max="14854" width="16.7109375" style="90" customWidth="1"/>
    <col min="14855" max="15104" width="9.140625" style="90"/>
    <col min="15105" max="15105" width="30.7109375" style="90" customWidth="1"/>
    <col min="15106" max="15106" width="30.140625" style="90" customWidth="1"/>
    <col min="15107" max="15107" width="52.85546875" style="90" customWidth="1"/>
    <col min="15108" max="15108" width="13" style="90" customWidth="1"/>
    <col min="15109" max="15109" width="15.42578125" style="90" customWidth="1"/>
    <col min="15110" max="15110" width="16.7109375" style="90" customWidth="1"/>
    <col min="15111" max="15360" width="9.140625" style="90"/>
    <col min="15361" max="15361" width="30.7109375" style="90" customWidth="1"/>
    <col min="15362" max="15362" width="30.140625" style="90" customWidth="1"/>
    <col min="15363" max="15363" width="52.85546875" style="90" customWidth="1"/>
    <col min="15364" max="15364" width="13" style="90" customWidth="1"/>
    <col min="15365" max="15365" width="15.42578125" style="90" customWidth="1"/>
    <col min="15366" max="15366" width="16.7109375" style="90" customWidth="1"/>
    <col min="15367" max="15616" width="9.140625" style="90"/>
    <col min="15617" max="15617" width="30.7109375" style="90" customWidth="1"/>
    <col min="15618" max="15618" width="30.140625" style="90" customWidth="1"/>
    <col min="15619" max="15619" width="52.85546875" style="90" customWidth="1"/>
    <col min="15620" max="15620" width="13" style="90" customWidth="1"/>
    <col min="15621" max="15621" width="15.42578125" style="90" customWidth="1"/>
    <col min="15622" max="15622" width="16.7109375" style="90" customWidth="1"/>
    <col min="15623" max="15872" width="9.140625" style="90"/>
    <col min="15873" max="15873" width="30.7109375" style="90" customWidth="1"/>
    <col min="15874" max="15874" width="30.140625" style="90" customWidth="1"/>
    <col min="15875" max="15875" width="52.85546875" style="90" customWidth="1"/>
    <col min="15876" max="15876" width="13" style="90" customWidth="1"/>
    <col min="15877" max="15877" width="15.42578125" style="90" customWidth="1"/>
    <col min="15878" max="15878" width="16.7109375" style="90" customWidth="1"/>
    <col min="15879" max="16128" width="9.140625" style="90"/>
    <col min="16129" max="16129" width="30.7109375" style="90" customWidth="1"/>
    <col min="16130" max="16130" width="30.140625" style="90" customWidth="1"/>
    <col min="16131" max="16131" width="52.85546875" style="90" customWidth="1"/>
    <col min="16132" max="16132" width="13" style="90" customWidth="1"/>
    <col min="16133" max="16133" width="15.42578125" style="90" customWidth="1"/>
    <col min="16134" max="16134" width="16.7109375" style="90" customWidth="1"/>
    <col min="16135" max="16384" width="9.140625" style="90"/>
  </cols>
  <sheetData>
    <row r="1" spans="1:6" s="84" customFormat="1" ht="36" x14ac:dyDescent="0.2">
      <c r="A1" s="80" t="s">
        <v>282</v>
      </c>
      <c r="B1" s="80" t="s">
        <v>283</v>
      </c>
      <c r="C1" s="81" t="s">
        <v>284</v>
      </c>
      <c r="D1" s="81" t="s">
        <v>1</v>
      </c>
      <c r="E1" s="82" t="s">
        <v>2</v>
      </c>
      <c r="F1" s="83" t="s">
        <v>285</v>
      </c>
    </row>
    <row r="2" spans="1:6" ht="20.100000000000001" customHeight="1" x14ac:dyDescent="0.2">
      <c r="A2" s="85" t="s">
        <v>138</v>
      </c>
      <c r="B2" s="85" t="s">
        <v>286</v>
      </c>
      <c r="C2" s="86" t="s">
        <v>287</v>
      </c>
      <c r="D2" s="87" t="s">
        <v>288</v>
      </c>
      <c r="E2" s="88">
        <v>944</v>
      </c>
      <c r="F2" s="89" t="s">
        <v>289</v>
      </c>
    </row>
    <row r="3" spans="1:6" ht="24" x14ac:dyDescent="0.2">
      <c r="A3" s="85" t="s">
        <v>138</v>
      </c>
      <c r="B3" s="85" t="s">
        <v>286</v>
      </c>
      <c r="C3" s="86" t="s">
        <v>290</v>
      </c>
      <c r="D3" s="87" t="s">
        <v>288</v>
      </c>
      <c r="E3" s="88">
        <v>590</v>
      </c>
      <c r="F3" s="89" t="s">
        <v>289</v>
      </c>
    </row>
    <row r="4" spans="1:6" ht="36" x14ac:dyDescent="0.2">
      <c r="A4" s="91" t="s">
        <v>133</v>
      </c>
      <c r="B4" s="91" t="s">
        <v>291</v>
      </c>
      <c r="C4" s="91" t="s">
        <v>292</v>
      </c>
      <c r="D4" s="92" t="s">
        <v>288</v>
      </c>
      <c r="E4" s="93">
        <v>5000.5</v>
      </c>
      <c r="F4" s="94" t="s">
        <v>293</v>
      </c>
    </row>
    <row r="5" spans="1:6" ht="36" x14ac:dyDescent="0.2">
      <c r="A5" s="91" t="s">
        <v>133</v>
      </c>
      <c r="B5" s="91" t="s">
        <v>291</v>
      </c>
      <c r="C5" s="91" t="s">
        <v>294</v>
      </c>
      <c r="D5" s="92" t="s">
        <v>288</v>
      </c>
      <c r="E5" s="93">
        <v>10133.5</v>
      </c>
      <c r="F5" s="94" t="s">
        <v>293</v>
      </c>
    </row>
    <row r="6" spans="1:6" ht="36" x14ac:dyDescent="0.2">
      <c r="A6" s="91" t="s">
        <v>133</v>
      </c>
      <c r="B6" s="91" t="s">
        <v>291</v>
      </c>
      <c r="C6" s="91" t="s">
        <v>295</v>
      </c>
      <c r="D6" s="92" t="s">
        <v>288</v>
      </c>
      <c r="E6" s="93">
        <v>25488</v>
      </c>
      <c r="F6" s="94" t="s">
        <v>293</v>
      </c>
    </row>
    <row r="7" spans="1:6" ht="36" x14ac:dyDescent="0.2">
      <c r="A7" s="91" t="s">
        <v>133</v>
      </c>
      <c r="B7" s="91" t="s">
        <v>291</v>
      </c>
      <c r="C7" s="91" t="s">
        <v>296</v>
      </c>
      <c r="D7" s="92" t="s">
        <v>288</v>
      </c>
      <c r="E7" s="93">
        <v>61419</v>
      </c>
      <c r="F7" s="94" t="s">
        <v>293</v>
      </c>
    </row>
    <row r="8" spans="1:6" ht="21.95" customHeight="1" x14ac:dyDescent="0.2">
      <c r="A8" s="91" t="s">
        <v>133</v>
      </c>
      <c r="B8" s="91" t="s">
        <v>291</v>
      </c>
      <c r="C8" s="91" t="s">
        <v>297</v>
      </c>
      <c r="D8" s="92" t="s">
        <v>288</v>
      </c>
      <c r="E8" s="93">
        <v>33435.300000000003</v>
      </c>
      <c r="F8" s="94" t="s">
        <v>293</v>
      </c>
    </row>
    <row r="9" spans="1:6" ht="17.100000000000001" customHeight="1" x14ac:dyDescent="0.2">
      <c r="A9" s="91" t="s">
        <v>133</v>
      </c>
      <c r="B9" s="91" t="s">
        <v>291</v>
      </c>
      <c r="C9" s="91" t="s">
        <v>298</v>
      </c>
      <c r="D9" s="92" t="s">
        <v>288</v>
      </c>
      <c r="E9" s="93">
        <v>9410.5</v>
      </c>
      <c r="F9" s="94" t="s">
        <v>293</v>
      </c>
    </row>
    <row r="10" spans="1:6" ht="18.95" customHeight="1" x14ac:dyDescent="0.2">
      <c r="A10" s="91" t="s">
        <v>133</v>
      </c>
      <c r="B10" s="91" t="s">
        <v>291</v>
      </c>
      <c r="C10" s="91" t="s">
        <v>299</v>
      </c>
      <c r="D10" s="92" t="s">
        <v>288</v>
      </c>
      <c r="E10" s="93">
        <v>5929.5</v>
      </c>
      <c r="F10" s="94" t="s">
        <v>293</v>
      </c>
    </row>
    <row r="11" spans="1:6" ht="17.100000000000001" customHeight="1" x14ac:dyDescent="0.2">
      <c r="A11" s="91" t="s">
        <v>133</v>
      </c>
      <c r="B11" s="91" t="s">
        <v>291</v>
      </c>
      <c r="C11" s="91" t="s">
        <v>300</v>
      </c>
      <c r="D11" s="92" t="s">
        <v>288</v>
      </c>
      <c r="E11" s="93">
        <v>65844</v>
      </c>
      <c r="F11" s="94" t="s">
        <v>293</v>
      </c>
    </row>
    <row r="12" spans="1:6" ht="18" customHeight="1" x14ac:dyDescent="0.2">
      <c r="A12" s="91" t="s">
        <v>133</v>
      </c>
      <c r="B12" s="91" t="s">
        <v>291</v>
      </c>
      <c r="C12" s="91" t="s">
        <v>301</v>
      </c>
      <c r="D12" s="92" t="s">
        <v>288</v>
      </c>
      <c r="E12" s="93">
        <v>29393.8</v>
      </c>
      <c r="F12" s="94" t="s">
        <v>293</v>
      </c>
    </row>
    <row r="13" spans="1:6" ht="18" customHeight="1" x14ac:dyDescent="0.2">
      <c r="A13" s="91" t="s">
        <v>133</v>
      </c>
      <c r="B13" s="91" t="s">
        <v>291</v>
      </c>
      <c r="C13" s="91" t="s">
        <v>302</v>
      </c>
      <c r="D13" s="92" t="s">
        <v>288</v>
      </c>
      <c r="E13" s="93">
        <v>27193.1</v>
      </c>
      <c r="F13" s="94" t="s">
        <v>293</v>
      </c>
    </row>
    <row r="14" spans="1:6" ht="48" x14ac:dyDescent="0.2">
      <c r="A14" s="91" t="s">
        <v>133</v>
      </c>
      <c r="B14" s="91" t="s">
        <v>291</v>
      </c>
      <c r="C14" s="91" t="s">
        <v>303</v>
      </c>
      <c r="D14" s="92" t="s">
        <v>288</v>
      </c>
      <c r="E14" s="93">
        <v>50380.1</v>
      </c>
      <c r="F14" s="94" t="s">
        <v>293</v>
      </c>
    </row>
    <row r="15" spans="1:6" ht="48" x14ac:dyDescent="0.2">
      <c r="A15" s="91" t="s">
        <v>133</v>
      </c>
      <c r="B15" s="91" t="s">
        <v>291</v>
      </c>
      <c r="C15" s="91" t="s">
        <v>304</v>
      </c>
      <c r="D15" s="92" t="s">
        <v>288</v>
      </c>
      <c r="E15" s="93">
        <v>29323</v>
      </c>
      <c r="F15" s="94" t="s">
        <v>293</v>
      </c>
    </row>
    <row r="16" spans="1:6" ht="48" x14ac:dyDescent="0.2">
      <c r="A16" s="91" t="s">
        <v>133</v>
      </c>
      <c r="B16" s="91" t="s">
        <v>291</v>
      </c>
      <c r="C16" s="91" t="s">
        <v>305</v>
      </c>
      <c r="D16" s="92" t="s">
        <v>288</v>
      </c>
      <c r="E16" s="93">
        <v>32833.5</v>
      </c>
      <c r="F16" s="94" t="s">
        <v>293</v>
      </c>
    </row>
    <row r="17" spans="1:6" ht="48" x14ac:dyDescent="0.2">
      <c r="A17" s="91" t="s">
        <v>133</v>
      </c>
      <c r="B17" s="91" t="s">
        <v>291</v>
      </c>
      <c r="C17" s="91" t="s">
        <v>306</v>
      </c>
      <c r="D17" s="92" t="s">
        <v>288</v>
      </c>
      <c r="E17" s="93">
        <v>12537.5</v>
      </c>
      <c r="F17" s="94" t="s">
        <v>293</v>
      </c>
    </row>
    <row r="18" spans="1:6" ht="48" x14ac:dyDescent="0.2">
      <c r="A18" s="91" t="s">
        <v>133</v>
      </c>
      <c r="B18" s="91" t="s">
        <v>291</v>
      </c>
      <c r="C18" s="91" t="s">
        <v>307</v>
      </c>
      <c r="D18" s="92" t="s">
        <v>288</v>
      </c>
      <c r="E18" s="93">
        <v>12626</v>
      </c>
      <c r="F18" s="94" t="s">
        <v>293</v>
      </c>
    </row>
    <row r="19" spans="1:6" ht="48" x14ac:dyDescent="0.2">
      <c r="A19" s="91" t="s">
        <v>133</v>
      </c>
      <c r="B19" s="91" t="s">
        <v>291</v>
      </c>
      <c r="C19" s="91" t="s">
        <v>308</v>
      </c>
      <c r="D19" s="92" t="s">
        <v>288</v>
      </c>
      <c r="E19" s="93">
        <v>95892.7</v>
      </c>
      <c r="F19" s="94" t="s">
        <v>293</v>
      </c>
    </row>
    <row r="20" spans="1:6" ht="22.5" customHeight="1" x14ac:dyDescent="0.2">
      <c r="A20" s="91" t="s">
        <v>133</v>
      </c>
      <c r="B20" s="91" t="s">
        <v>291</v>
      </c>
      <c r="C20" s="91" t="s">
        <v>309</v>
      </c>
      <c r="D20" s="92" t="s">
        <v>288</v>
      </c>
      <c r="E20" s="93">
        <v>19706</v>
      </c>
      <c r="F20" s="94" t="s">
        <v>293</v>
      </c>
    </row>
    <row r="21" spans="1:6" ht="22.5" customHeight="1" x14ac:dyDescent="0.2">
      <c r="A21" s="91" t="s">
        <v>133</v>
      </c>
      <c r="B21" s="91" t="s">
        <v>291</v>
      </c>
      <c r="C21" s="91" t="s">
        <v>310</v>
      </c>
      <c r="D21" s="92" t="s">
        <v>288</v>
      </c>
      <c r="E21" s="93">
        <v>30975</v>
      </c>
      <c r="F21" s="94" t="s">
        <v>293</v>
      </c>
    </row>
    <row r="22" spans="1:6" ht="24" x14ac:dyDescent="0.2">
      <c r="A22" s="91" t="s">
        <v>133</v>
      </c>
      <c r="B22" s="91" t="s">
        <v>291</v>
      </c>
      <c r="C22" s="91" t="s">
        <v>311</v>
      </c>
      <c r="D22" s="92" t="s">
        <v>288</v>
      </c>
      <c r="E22" s="93">
        <v>15251.5</v>
      </c>
      <c r="F22" s="94" t="s">
        <v>293</v>
      </c>
    </row>
    <row r="23" spans="1:6" ht="24" x14ac:dyDescent="0.2">
      <c r="A23" s="91" t="s">
        <v>133</v>
      </c>
      <c r="B23" s="91" t="s">
        <v>291</v>
      </c>
      <c r="C23" s="91" t="s">
        <v>312</v>
      </c>
      <c r="D23" s="92" t="s">
        <v>288</v>
      </c>
      <c r="E23" s="93">
        <v>24225.4</v>
      </c>
      <c r="F23" s="94" t="s">
        <v>293</v>
      </c>
    </row>
    <row r="24" spans="1:6" ht="22.5" customHeight="1" x14ac:dyDescent="0.2">
      <c r="A24" s="95" t="s">
        <v>147</v>
      </c>
      <c r="B24" s="95" t="s">
        <v>313</v>
      </c>
      <c r="C24" s="96" t="s">
        <v>314</v>
      </c>
      <c r="D24" s="97" t="s">
        <v>315</v>
      </c>
      <c r="E24" s="98">
        <v>1003</v>
      </c>
      <c r="F24" s="99" t="s">
        <v>316</v>
      </c>
    </row>
    <row r="25" spans="1:6" x14ac:dyDescent="0.2">
      <c r="A25" s="95" t="s">
        <v>147</v>
      </c>
      <c r="B25" s="95" t="s">
        <v>313</v>
      </c>
      <c r="C25" s="96" t="s">
        <v>317</v>
      </c>
      <c r="D25" s="97" t="s">
        <v>315</v>
      </c>
      <c r="E25" s="98">
        <v>1003</v>
      </c>
      <c r="F25" s="99" t="s">
        <v>316</v>
      </c>
    </row>
    <row r="26" spans="1:6" ht="24" customHeight="1" x14ac:dyDescent="0.2">
      <c r="A26" s="95" t="s">
        <v>147</v>
      </c>
      <c r="B26" s="95" t="s">
        <v>313</v>
      </c>
      <c r="C26" s="96" t="s">
        <v>318</v>
      </c>
      <c r="D26" s="97" t="s">
        <v>315</v>
      </c>
      <c r="E26" s="98">
        <v>3009</v>
      </c>
      <c r="F26" s="99" t="s">
        <v>316</v>
      </c>
    </row>
    <row r="27" spans="1:6" x14ac:dyDescent="0.2">
      <c r="A27" s="95" t="s">
        <v>147</v>
      </c>
      <c r="B27" s="95" t="s">
        <v>313</v>
      </c>
      <c r="C27" s="96" t="s">
        <v>319</v>
      </c>
      <c r="D27" s="97" t="s">
        <v>315</v>
      </c>
      <c r="E27" s="98">
        <v>1882.1</v>
      </c>
      <c r="F27" s="99" t="s">
        <v>316</v>
      </c>
    </row>
    <row r="28" spans="1:6" x14ac:dyDescent="0.2">
      <c r="A28" s="95" t="s">
        <v>147</v>
      </c>
      <c r="B28" s="95" t="s">
        <v>313</v>
      </c>
      <c r="C28" s="96" t="s">
        <v>320</v>
      </c>
      <c r="D28" s="97" t="s">
        <v>288</v>
      </c>
      <c r="E28" s="98">
        <v>83.78</v>
      </c>
      <c r="F28" s="99" t="s">
        <v>316</v>
      </c>
    </row>
    <row r="29" spans="1:6" x14ac:dyDescent="0.2">
      <c r="A29" s="95" t="s">
        <v>147</v>
      </c>
      <c r="B29" s="95" t="s">
        <v>313</v>
      </c>
      <c r="C29" s="96" t="s">
        <v>321</v>
      </c>
      <c r="D29" s="97" t="s">
        <v>288</v>
      </c>
      <c r="E29" s="98">
        <v>192.34</v>
      </c>
      <c r="F29" s="99" t="s">
        <v>316</v>
      </c>
    </row>
    <row r="30" spans="1:6" x14ac:dyDescent="0.2">
      <c r="A30" s="95" t="s">
        <v>147</v>
      </c>
      <c r="B30" s="95" t="s">
        <v>313</v>
      </c>
      <c r="C30" s="96" t="s">
        <v>322</v>
      </c>
      <c r="D30" s="97" t="s">
        <v>288</v>
      </c>
      <c r="E30" s="98">
        <v>421.26</v>
      </c>
      <c r="F30" s="99" t="s">
        <v>316</v>
      </c>
    </row>
    <row r="31" spans="1:6" x14ac:dyDescent="0.2">
      <c r="A31" s="100" t="s">
        <v>323</v>
      </c>
      <c r="B31" s="100" t="s">
        <v>324</v>
      </c>
      <c r="C31" s="101" t="s">
        <v>325</v>
      </c>
      <c r="D31" s="102" t="s">
        <v>288</v>
      </c>
      <c r="E31" s="103">
        <v>6500</v>
      </c>
      <c r="F31" s="104" t="s">
        <v>326</v>
      </c>
    </row>
    <row r="32" spans="1:6" x14ac:dyDescent="0.2">
      <c r="A32" s="100" t="s">
        <v>323</v>
      </c>
      <c r="B32" s="100" t="s">
        <v>324</v>
      </c>
      <c r="C32" s="101" t="s">
        <v>327</v>
      </c>
      <c r="D32" s="102" t="s">
        <v>288</v>
      </c>
      <c r="E32" s="103">
        <v>7265.26</v>
      </c>
      <c r="F32" s="104" t="s">
        <v>326</v>
      </c>
    </row>
    <row r="33" spans="1:6" x14ac:dyDescent="0.2">
      <c r="A33" s="100" t="s">
        <v>323</v>
      </c>
      <c r="B33" s="100" t="s">
        <v>324</v>
      </c>
      <c r="C33" s="101" t="s">
        <v>328</v>
      </c>
      <c r="D33" s="102" t="s">
        <v>288</v>
      </c>
      <c r="E33" s="103">
        <v>4675.2539999999999</v>
      </c>
      <c r="F33" s="104" t="s">
        <v>326</v>
      </c>
    </row>
    <row r="34" spans="1:6" x14ac:dyDescent="0.2">
      <c r="A34" s="100" t="s">
        <v>323</v>
      </c>
      <c r="B34" s="100" t="s">
        <v>324</v>
      </c>
      <c r="C34" s="101" t="s">
        <v>329</v>
      </c>
      <c r="D34" s="102" t="s">
        <v>288</v>
      </c>
      <c r="E34" s="103">
        <v>16785.5</v>
      </c>
      <c r="F34" s="104" t="s">
        <v>326</v>
      </c>
    </row>
    <row r="35" spans="1:6" x14ac:dyDescent="0.2">
      <c r="A35" s="100" t="s">
        <v>323</v>
      </c>
      <c r="B35" s="100" t="s">
        <v>324</v>
      </c>
      <c r="C35" s="101" t="s">
        <v>330</v>
      </c>
      <c r="D35" s="102" t="s">
        <v>288</v>
      </c>
      <c r="E35" s="103">
        <v>15163</v>
      </c>
      <c r="F35" s="104" t="s">
        <v>326</v>
      </c>
    </row>
    <row r="36" spans="1:6" x14ac:dyDescent="0.2">
      <c r="A36" s="105" t="s">
        <v>190</v>
      </c>
      <c r="B36" s="105" t="s">
        <v>331</v>
      </c>
      <c r="C36" s="106" t="s">
        <v>332</v>
      </c>
      <c r="D36" s="107" t="s">
        <v>288</v>
      </c>
      <c r="E36" s="108">
        <v>2330.5</v>
      </c>
      <c r="F36" s="109" t="s">
        <v>333</v>
      </c>
    </row>
    <row r="37" spans="1:6" x14ac:dyDescent="0.2">
      <c r="A37" s="105" t="s">
        <v>190</v>
      </c>
      <c r="B37" s="105" t="s">
        <v>331</v>
      </c>
      <c r="C37" s="106" t="s">
        <v>334</v>
      </c>
      <c r="D37" s="107"/>
      <c r="E37" s="108">
        <v>1150</v>
      </c>
      <c r="F37" s="109" t="s">
        <v>333</v>
      </c>
    </row>
    <row r="38" spans="1:6" ht="24" x14ac:dyDescent="0.2">
      <c r="A38" s="105" t="s">
        <v>190</v>
      </c>
      <c r="B38" s="105" t="s">
        <v>331</v>
      </c>
      <c r="C38" s="106" t="s">
        <v>335</v>
      </c>
      <c r="D38" s="107" t="s">
        <v>288</v>
      </c>
      <c r="E38" s="108">
        <v>2330.5</v>
      </c>
      <c r="F38" s="109" t="s">
        <v>333</v>
      </c>
    </row>
    <row r="39" spans="1:6" ht="36" x14ac:dyDescent="0.2">
      <c r="A39" s="105" t="s">
        <v>190</v>
      </c>
      <c r="B39" s="105" t="s">
        <v>331</v>
      </c>
      <c r="C39" s="106" t="s">
        <v>336</v>
      </c>
      <c r="D39" s="107" t="s">
        <v>288</v>
      </c>
      <c r="E39" s="108">
        <v>3009</v>
      </c>
      <c r="F39" s="109" t="s">
        <v>333</v>
      </c>
    </row>
    <row r="40" spans="1:6" ht="36" x14ac:dyDescent="0.2">
      <c r="A40" s="105" t="s">
        <v>190</v>
      </c>
      <c r="B40" s="105" t="s">
        <v>331</v>
      </c>
      <c r="C40" s="106" t="s">
        <v>337</v>
      </c>
      <c r="D40" s="107" t="s">
        <v>288</v>
      </c>
      <c r="E40" s="108">
        <v>1150.5</v>
      </c>
      <c r="F40" s="109" t="s">
        <v>333</v>
      </c>
    </row>
    <row r="41" spans="1:6" ht="36" x14ac:dyDescent="0.2">
      <c r="A41" s="105" t="s">
        <v>190</v>
      </c>
      <c r="B41" s="105" t="s">
        <v>331</v>
      </c>
      <c r="C41" s="106" t="s">
        <v>338</v>
      </c>
      <c r="D41" s="107" t="s">
        <v>288</v>
      </c>
      <c r="E41" s="108">
        <v>1150.5</v>
      </c>
      <c r="F41" s="109" t="s">
        <v>333</v>
      </c>
    </row>
    <row r="42" spans="1:6" ht="24" x14ac:dyDescent="0.2">
      <c r="A42" s="105" t="s">
        <v>190</v>
      </c>
      <c r="B42" s="105" t="s">
        <v>331</v>
      </c>
      <c r="C42" s="106" t="s">
        <v>339</v>
      </c>
      <c r="D42" s="107" t="s">
        <v>288</v>
      </c>
      <c r="E42" s="108">
        <v>1947</v>
      </c>
      <c r="F42" s="109" t="s">
        <v>333</v>
      </c>
    </row>
    <row r="43" spans="1:6" ht="22.5" customHeight="1" x14ac:dyDescent="0.2">
      <c r="A43" s="105" t="s">
        <v>190</v>
      </c>
      <c r="B43" s="105" t="s">
        <v>331</v>
      </c>
      <c r="C43" s="106" t="s">
        <v>340</v>
      </c>
      <c r="D43" s="107" t="s">
        <v>288</v>
      </c>
      <c r="E43" s="108">
        <v>2212.5</v>
      </c>
      <c r="F43" s="109" t="s">
        <v>333</v>
      </c>
    </row>
    <row r="44" spans="1:6" ht="18.95" customHeight="1" x14ac:dyDescent="0.2">
      <c r="A44" s="110" t="s">
        <v>341</v>
      </c>
      <c r="B44" s="110" t="s">
        <v>342</v>
      </c>
      <c r="C44" s="111" t="s">
        <v>343</v>
      </c>
      <c r="D44" s="112" t="s">
        <v>288</v>
      </c>
      <c r="E44" s="113">
        <v>11210</v>
      </c>
      <c r="F44" s="114" t="s">
        <v>344</v>
      </c>
    </row>
    <row r="45" spans="1:6" ht="17.100000000000001" customHeight="1" x14ac:dyDescent="0.2">
      <c r="A45" s="110" t="s">
        <v>341</v>
      </c>
      <c r="B45" s="110" t="s">
        <v>342</v>
      </c>
      <c r="C45" s="111" t="s">
        <v>345</v>
      </c>
      <c r="D45" s="112" t="s">
        <v>288</v>
      </c>
      <c r="E45" s="113">
        <v>15692.82</v>
      </c>
      <c r="F45" s="114" t="s">
        <v>344</v>
      </c>
    </row>
    <row r="46" spans="1:6" x14ac:dyDescent="0.2">
      <c r="A46" s="110" t="s">
        <v>341</v>
      </c>
      <c r="B46" s="110" t="s">
        <v>342</v>
      </c>
      <c r="C46" s="111" t="s">
        <v>346</v>
      </c>
      <c r="D46" s="112" t="s">
        <v>288</v>
      </c>
      <c r="E46" s="113">
        <v>342200</v>
      </c>
      <c r="F46" s="114" t="s">
        <v>344</v>
      </c>
    </row>
    <row r="47" spans="1:6" ht="21" customHeight="1" x14ac:dyDescent="0.2">
      <c r="A47" s="110" t="s">
        <v>341</v>
      </c>
      <c r="B47" s="110" t="s">
        <v>342</v>
      </c>
      <c r="C47" s="111" t="s">
        <v>347</v>
      </c>
      <c r="D47" s="112" t="s">
        <v>288</v>
      </c>
      <c r="E47" s="113">
        <v>6254</v>
      </c>
      <c r="F47" s="114" t="s">
        <v>344</v>
      </c>
    </row>
    <row r="48" spans="1:6" ht="14.1" customHeight="1" x14ac:dyDescent="0.2">
      <c r="A48" s="110" t="s">
        <v>341</v>
      </c>
      <c r="B48" s="110" t="s">
        <v>342</v>
      </c>
      <c r="C48" s="111" t="s">
        <v>348</v>
      </c>
      <c r="D48" s="112" t="s">
        <v>288</v>
      </c>
      <c r="E48" s="113">
        <v>531000</v>
      </c>
      <c r="F48" s="114" t="s">
        <v>344</v>
      </c>
    </row>
    <row r="49" spans="1:6" ht="24" x14ac:dyDescent="0.2">
      <c r="A49" s="110" t="s">
        <v>341</v>
      </c>
      <c r="B49" s="110" t="s">
        <v>342</v>
      </c>
      <c r="C49" s="111" t="s">
        <v>349</v>
      </c>
      <c r="D49" s="112" t="s">
        <v>288</v>
      </c>
      <c r="E49" s="113">
        <v>49794.525000000001</v>
      </c>
      <c r="F49" s="114" t="s">
        <v>344</v>
      </c>
    </row>
    <row r="50" spans="1:6" x14ac:dyDescent="0.2">
      <c r="A50" s="110" t="s">
        <v>341</v>
      </c>
      <c r="B50" s="110" t="s">
        <v>342</v>
      </c>
      <c r="C50" s="111" t="s">
        <v>350</v>
      </c>
      <c r="D50" s="112" t="s">
        <v>288</v>
      </c>
      <c r="E50" s="113">
        <v>275000</v>
      </c>
      <c r="F50" s="114" t="s">
        <v>344</v>
      </c>
    </row>
    <row r="51" spans="1:6" ht="24" x14ac:dyDescent="0.2">
      <c r="A51" s="110" t="s">
        <v>341</v>
      </c>
      <c r="B51" s="110" t="s">
        <v>342</v>
      </c>
      <c r="C51" s="111" t="s">
        <v>351</v>
      </c>
      <c r="D51" s="112" t="s">
        <v>288</v>
      </c>
      <c r="E51" s="113">
        <v>8407.5</v>
      </c>
      <c r="F51" s="114" t="s">
        <v>344</v>
      </c>
    </row>
    <row r="52" spans="1:6" ht="15.95" customHeight="1" x14ac:dyDescent="0.2">
      <c r="A52" s="110" t="s">
        <v>341</v>
      </c>
      <c r="B52" s="110" t="s">
        <v>342</v>
      </c>
      <c r="C52" s="111" t="s">
        <v>352</v>
      </c>
      <c r="D52" s="112" t="s">
        <v>288</v>
      </c>
      <c r="E52" s="113">
        <v>96885.151100000003</v>
      </c>
      <c r="F52" s="114" t="s">
        <v>344</v>
      </c>
    </row>
    <row r="53" spans="1:6" ht="15" customHeight="1" x14ac:dyDescent="0.2">
      <c r="A53" s="110" t="s">
        <v>341</v>
      </c>
      <c r="B53" s="110" t="s">
        <v>342</v>
      </c>
      <c r="C53" s="111" t="s">
        <v>353</v>
      </c>
      <c r="D53" s="112" t="s">
        <v>288</v>
      </c>
      <c r="E53" s="113">
        <v>250160</v>
      </c>
      <c r="F53" s="114" t="s">
        <v>344</v>
      </c>
    </row>
    <row r="54" spans="1:6" ht="24" x14ac:dyDescent="0.2">
      <c r="A54" s="110" t="s">
        <v>341</v>
      </c>
      <c r="B54" s="110" t="s">
        <v>342</v>
      </c>
      <c r="C54" s="111" t="s">
        <v>354</v>
      </c>
      <c r="D54" s="112" t="s">
        <v>288</v>
      </c>
      <c r="E54" s="113">
        <v>2950</v>
      </c>
      <c r="F54" s="114" t="s">
        <v>344</v>
      </c>
    </row>
    <row r="55" spans="1:6" ht="14.1" customHeight="1" x14ac:dyDescent="0.2">
      <c r="A55" s="110" t="s">
        <v>341</v>
      </c>
      <c r="B55" s="110" t="s">
        <v>342</v>
      </c>
      <c r="C55" s="111" t="s">
        <v>355</v>
      </c>
      <c r="D55" s="112" t="s">
        <v>288</v>
      </c>
      <c r="E55" s="113">
        <v>226560</v>
      </c>
      <c r="F55" s="114" t="s">
        <v>344</v>
      </c>
    </row>
    <row r="56" spans="1:6" ht="30.75" customHeight="1" x14ac:dyDescent="0.2">
      <c r="A56" s="110" t="s">
        <v>341</v>
      </c>
      <c r="B56" s="110" t="s">
        <v>342</v>
      </c>
      <c r="C56" s="111" t="s">
        <v>356</v>
      </c>
      <c r="D56" s="112" t="s">
        <v>288</v>
      </c>
      <c r="E56" s="113">
        <v>501500</v>
      </c>
      <c r="F56" s="114" t="s">
        <v>344</v>
      </c>
    </row>
    <row r="57" spans="1:6" ht="15" customHeight="1" x14ac:dyDescent="0.2">
      <c r="A57" s="110" t="s">
        <v>341</v>
      </c>
      <c r="B57" s="110" t="s">
        <v>342</v>
      </c>
      <c r="C57" s="111" t="s">
        <v>357</v>
      </c>
      <c r="D57" s="112" t="s">
        <v>288</v>
      </c>
      <c r="E57" s="113">
        <v>41300</v>
      </c>
      <c r="F57" s="114" t="s">
        <v>344</v>
      </c>
    </row>
    <row r="58" spans="1:6" ht="24" customHeight="1" x14ac:dyDescent="0.2">
      <c r="A58" s="110" t="s">
        <v>341</v>
      </c>
      <c r="B58" s="110" t="s">
        <v>342</v>
      </c>
      <c r="C58" s="111" t="s">
        <v>358</v>
      </c>
      <c r="D58" s="112" t="s">
        <v>288</v>
      </c>
      <c r="E58" s="113">
        <v>49560</v>
      </c>
      <c r="F58" s="114" t="s">
        <v>344</v>
      </c>
    </row>
    <row r="59" spans="1:6" ht="14.1" customHeight="1" x14ac:dyDescent="0.2">
      <c r="A59" s="110" t="s">
        <v>341</v>
      </c>
      <c r="B59" s="110" t="s">
        <v>342</v>
      </c>
      <c r="C59" s="111" t="s">
        <v>359</v>
      </c>
      <c r="D59" s="112" t="s">
        <v>288</v>
      </c>
      <c r="E59" s="113">
        <v>188800</v>
      </c>
      <c r="F59" s="114" t="s">
        <v>344</v>
      </c>
    </row>
    <row r="60" spans="1:6" ht="15" customHeight="1" x14ac:dyDescent="0.2">
      <c r="A60" s="110" t="s">
        <v>341</v>
      </c>
      <c r="B60" s="110" t="s">
        <v>342</v>
      </c>
      <c r="C60" s="111" t="s">
        <v>360</v>
      </c>
      <c r="D60" s="112" t="s">
        <v>288</v>
      </c>
      <c r="E60" s="113">
        <v>27140</v>
      </c>
      <c r="F60" s="114" t="s">
        <v>344</v>
      </c>
    </row>
    <row r="61" spans="1:6" ht="15.95" customHeight="1" x14ac:dyDescent="0.2">
      <c r="A61" s="110" t="s">
        <v>341</v>
      </c>
      <c r="B61" s="110" t="s">
        <v>342</v>
      </c>
      <c r="C61" s="111" t="s">
        <v>361</v>
      </c>
      <c r="D61" s="112" t="s">
        <v>288</v>
      </c>
      <c r="E61" s="113">
        <v>49219.1806</v>
      </c>
      <c r="F61" s="114" t="s">
        <v>344</v>
      </c>
    </row>
    <row r="62" spans="1:6" ht="18.95" customHeight="1" x14ac:dyDescent="0.2">
      <c r="A62" s="110" t="s">
        <v>341</v>
      </c>
      <c r="B62" s="110" t="s">
        <v>342</v>
      </c>
      <c r="C62" s="111" t="s">
        <v>362</v>
      </c>
      <c r="D62" s="112" t="s">
        <v>288</v>
      </c>
      <c r="E62" s="113">
        <v>26137.0707</v>
      </c>
      <c r="F62" s="114" t="s">
        <v>344</v>
      </c>
    </row>
    <row r="63" spans="1:6" ht="20.100000000000001" customHeight="1" x14ac:dyDescent="0.2">
      <c r="A63" s="110" t="s">
        <v>341</v>
      </c>
      <c r="B63" s="110" t="s">
        <v>342</v>
      </c>
      <c r="C63" s="111" t="s">
        <v>363</v>
      </c>
      <c r="D63" s="112" t="s">
        <v>288</v>
      </c>
      <c r="E63" s="113">
        <v>105563.74400000001</v>
      </c>
      <c r="F63" s="114" t="s">
        <v>344</v>
      </c>
    </row>
    <row r="64" spans="1:6" ht="18.95" customHeight="1" x14ac:dyDescent="0.2">
      <c r="A64" s="110" t="s">
        <v>341</v>
      </c>
      <c r="B64" s="110" t="s">
        <v>342</v>
      </c>
      <c r="C64" s="111" t="s">
        <v>364</v>
      </c>
      <c r="D64" s="112" t="s">
        <v>288</v>
      </c>
      <c r="E64" s="113">
        <v>6490</v>
      </c>
      <c r="F64" s="114" t="s">
        <v>344</v>
      </c>
    </row>
    <row r="65" spans="1:6" ht="15" customHeight="1" x14ac:dyDescent="0.2">
      <c r="A65" s="110" t="s">
        <v>341</v>
      </c>
      <c r="B65" s="110" t="s">
        <v>342</v>
      </c>
      <c r="C65" s="111" t="s">
        <v>365</v>
      </c>
      <c r="D65" s="112" t="s">
        <v>288</v>
      </c>
      <c r="E65" s="113">
        <v>30335.3338</v>
      </c>
      <c r="F65" s="114" t="s">
        <v>344</v>
      </c>
    </row>
    <row r="66" spans="1:6" ht="24" x14ac:dyDescent="0.2">
      <c r="A66" s="110" t="s">
        <v>341</v>
      </c>
      <c r="B66" s="110" t="s">
        <v>342</v>
      </c>
      <c r="C66" s="111" t="s">
        <v>366</v>
      </c>
      <c r="D66" s="112" t="s">
        <v>288</v>
      </c>
      <c r="E66" s="113">
        <v>72981.654699999999</v>
      </c>
      <c r="F66" s="114" t="s">
        <v>344</v>
      </c>
    </row>
    <row r="67" spans="1:6" x14ac:dyDescent="0.2">
      <c r="A67" s="110" t="s">
        <v>341</v>
      </c>
      <c r="B67" s="110" t="s">
        <v>342</v>
      </c>
      <c r="C67" s="111" t="s">
        <v>367</v>
      </c>
      <c r="D67" s="112" t="s">
        <v>288</v>
      </c>
      <c r="E67" s="113">
        <v>172048.60250000001</v>
      </c>
      <c r="F67" s="114" t="s">
        <v>344</v>
      </c>
    </row>
    <row r="68" spans="1:6" x14ac:dyDescent="0.2">
      <c r="A68" s="110" t="s">
        <v>341</v>
      </c>
      <c r="B68" s="110" t="s">
        <v>342</v>
      </c>
      <c r="C68" s="111" t="s">
        <v>368</v>
      </c>
      <c r="D68" s="112" t="s">
        <v>288</v>
      </c>
      <c r="E68" s="113">
        <v>104465.4</v>
      </c>
      <c r="F68" s="114" t="s">
        <v>344</v>
      </c>
    </row>
    <row r="69" spans="1:6" x14ac:dyDescent="0.2">
      <c r="A69" s="110" t="s">
        <v>341</v>
      </c>
      <c r="B69" s="110" t="s">
        <v>342</v>
      </c>
      <c r="C69" s="111" t="s">
        <v>369</v>
      </c>
      <c r="D69" s="112" t="s">
        <v>288</v>
      </c>
      <c r="E69" s="113">
        <v>8314.2916999999998</v>
      </c>
      <c r="F69" s="114" t="s">
        <v>344</v>
      </c>
    </row>
    <row r="70" spans="1:6" x14ac:dyDescent="0.2">
      <c r="A70" s="110" t="s">
        <v>341</v>
      </c>
      <c r="B70" s="110" t="s">
        <v>342</v>
      </c>
      <c r="C70" s="111" t="s">
        <v>370</v>
      </c>
      <c r="D70" s="112" t="s">
        <v>288</v>
      </c>
      <c r="E70" s="113">
        <v>198806.39999999999</v>
      </c>
      <c r="F70" s="114" t="s">
        <v>344</v>
      </c>
    </row>
    <row r="71" spans="1:6" x14ac:dyDescent="0.2">
      <c r="A71" s="110" t="s">
        <v>341</v>
      </c>
      <c r="B71" s="110" t="s">
        <v>342</v>
      </c>
      <c r="C71" s="111" t="s">
        <v>371</v>
      </c>
      <c r="D71" s="112" t="s">
        <v>288</v>
      </c>
      <c r="E71" s="113">
        <v>11313.84</v>
      </c>
      <c r="F71" s="114" t="s">
        <v>344</v>
      </c>
    </row>
    <row r="72" spans="1:6" x14ac:dyDescent="0.2">
      <c r="A72" s="110" t="s">
        <v>341</v>
      </c>
      <c r="B72" s="110" t="s">
        <v>342</v>
      </c>
      <c r="C72" s="111" t="s">
        <v>372</v>
      </c>
      <c r="D72" s="112" t="s">
        <v>288</v>
      </c>
      <c r="E72" s="113">
        <v>469017.40850000002</v>
      </c>
      <c r="F72" s="114" t="s">
        <v>344</v>
      </c>
    </row>
    <row r="73" spans="1:6" ht="24" x14ac:dyDescent="0.2">
      <c r="A73" s="110" t="s">
        <v>341</v>
      </c>
      <c r="B73" s="110" t="s">
        <v>342</v>
      </c>
      <c r="C73" s="111" t="s">
        <v>373</v>
      </c>
      <c r="D73" s="112" t="s">
        <v>288</v>
      </c>
      <c r="E73" s="113">
        <v>4501.7</v>
      </c>
      <c r="F73" s="114" t="s">
        <v>344</v>
      </c>
    </row>
    <row r="74" spans="1:6" x14ac:dyDescent="0.2">
      <c r="A74" s="110" t="s">
        <v>341</v>
      </c>
      <c r="B74" s="110" t="s">
        <v>342</v>
      </c>
      <c r="C74" s="111" t="s">
        <v>374</v>
      </c>
      <c r="D74" s="112" t="s">
        <v>288</v>
      </c>
      <c r="E74" s="113">
        <v>161582.93400000001</v>
      </c>
      <c r="F74" s="114" t="s">
        <v>344</v>
      </c>
    </row>
    <row r="75" spans="1:6" ht="24" x14ac:dyDescent="0.2">
      <c r="A75" s="110" t="s">
        <v>341</v>
      </c>
      <c r="B75" s="110" t="s">
        <v>342</v>
      </c>
      <c r="C75" s="111" t="s">
        <v>375</v>
      </c>
      <c r="D75" s="112" t="s">
        <v>288</v>
      </c>
      <c r="E75" s="113">
        <v>344224.6911</v>
      </c>
      <c r="F75" s="114" t="s">
        <v>344</v>
      </c>
    </row>
    <row r="76" spans="1:6" x14ac:dyDescent="0.2">
      <c r="A76" s="110" t="s">
        <v>341</v>
      </c>
      <c r="B76" s="110" t="s">
        <v>342</v>
      </c>
      <c r="C76" s="111" t="s">
        <v>376</v>
      </c>
      <c r="D76" s="112" t="s">
        <v>288</v>
      </c>
      <c r="E76" s="113">
        <v>24151.661800000002</v>
      </c>
      <c r="F76" s="114" t="s">
        <v>344</v>
      </c>
    </row>
    <row r="77" spans="1:6" x14ac:dyDescent="0.2">
      <c r="A77" s="110" t="s">
        <v>341</v>
      </c>
      <c r="B77" s="110" t="s">
        <v>342</v>
      </c>
      <c r="C77" s="111" t="s">
        <v>377</v>
      </c>
      <c r="D77" s="112" t="s">
        <v>288</v>
      </c>
      <c r="E77" s="113">
        <v>12836.04</v>
      </c>
      <c r="F77" s="114" t="s">
        <v>344</v>
      </c>
    </row>
    <row r="78" spans="1:6" ht="24" x14ac:dyDescent="0.2">
      <c r="A78" s="110" t="s">
        <v>341</v>
      </c>
      <c r="B78" s="110" t="s">
        <v>342</v>
      </c>
      <c r="C78" s="111" t="s">
        <v>378</v>
      </c>
      <c r="D78" s="112" t="s">
        <v>288</v>
      </c>
      <c r="E78" s="113">
        <v>45994.842499999999</v>
      </c>
      <c r="F78" s="114" t="s">
        <v>344</v>
      </c>
    </row>
    <row r="79" spans="1:6" x14ac:dyDescent="0.2">
      <c r="A79" s="110" t="s">
        <v>341</v>
      </c>
      <c r="B79" s="110" t="s">
        <v>342</v>
      </c>
      <c r="C79" s="111" t="s">
        <v>379</v>
      </c>
      <c r="D79" s="112" t="s">
        <v>288</v>
      </c>
      <c r="E79" s="113">
        <v>111029.4216</v>
      </c>
      <c r="F79" s="114" t="s">
        <v>344</v>
      </c>
    </row>
    <row r="80" spans="1:6" x14ac:dyDescent="0.2">
      <c r="A80" s="110" t="s">
        <v>341</v>
      </c>
      <c r="B80" s="110" t="s">
        <v>342</v>
      </c>
      <c r="C80" s="111" t="s">
        <v>380</v>
      </c>
      <c r="D80" s="112" t="s">
        <v>288</v>
      </c>
      <c r="E80" s="113">
        <v>1770</v>
      </c>
      <c r="F80" s="114" t="s">
        <v>344</v>
      </c>
    </row>
    <row r="81" spans="1:6" ht="24" x14ac:dyDescent="0.2">
      <c r="A81" s="110" t="s">
        <v>341</v>
      </c>
      <c r="B81" s="110" t="s">
        <v>342</v>
      </c>
      <c r="C81" s="111" t="s">
        <v>381</v>
      </c>
      <c r="D81" s="112" t="s">
        <v>288</v>
      </c>
      <c r="E81" s="113">
        <v>4524.9931999999999</v>
      </c>
      <c r="F81" s="114" t="s">
        <v>344</v>
      </c>
    </row>
    <row r="82" spans="1:6" ht="18.75" customHeight="1" x14ac:dyDescent="0.2">
      <c r="A82" s="110" t="s">
        <v>341</v>
      </c>
      <c r="B82" s="110" t="s">
        <v>342</v>
      </c>
      <c r="C82" s="111" t="s">
        <v>382</v>
      </c>
      <c r="D82" s="112" t="s">
        <v>288</v>
      </c>
      <c r="E82" s="113">
        <v>3299.87</v>
      </c>
      <c r="F82" s="114" t="s">
        <v>344</v>
      </c>
    </row>
    <row r="83" spans="1:6" ht="20.25" customHeight="1" x14ac:dyDescent="0.2">
      <c r="A83" s="110" t="s">
        <v>341</v>
      </c>
      <c r="B83" s="110" t="s">
        <v>342</v>
      </c>
      <c r="C83" s="111" t="s">
        <v>383</v>
      </c>
      <c r="D83" s="112" t="s">
        <v>288</v>
      </c>
      <c r="E83" s="113">
        <v>4242.6899999999996</v>
      </c>
      <c r="F83" s="114" t="s">
        <v>344</v>
      </c>
    </row>
    <row r="84" spans="1:6" ht="21.95" customHeight="1" x14ac:dyDescent="0.2">
      <c r="A84" s="110" t="s">
        <v>341</v>
      </c>
      <c r="B84" s="110" t="s">
        <v>342</v>
      </c>
      <c r="C84" s="111" t="s">
        <v>384</v>
      </c>
      <c r="D84" s="112" t="s">
        <v>288</v>
      </c>
      <c r="E84" s="113">
        <v>11859.991</v>
      </c>
      <c r="F84" s="114" t="s">
        <v>344</v>
      </c>
    </row>
    <row r="85" spans="1:6" ht="18" customHeight="1" x14ac:dyDescent="0.2">
      <c r="A85" s="110" t="s">
        <v>341</v>
      </c>
      <c r="B85" s="110" t="s">
        <v>342</v>
      </c>
      <c r="C85" s="111" t="s">
        <v>385</v>
      </c>
      <c r="D85" s="112" t="s">
        <v>288</v>
      </c>
      <c r="E85" s="113">
        <v>1479.9914000000001</v>
      </c>
      <c r="F85" s="114" t="s">
        <v>344</v>
      </c>
    </row>
    <row r="86" spans="1:6" ht="24" x14ac:dyDescent="0.2">
      <c r="A86" s="110" t="s">
        <v>341</v>
      </c>
      <c r="B86" s="110" t="s">
        <v>342</v>
      </c>
      <c r="C86" s="111" t="s">
        <v>386</v>
      </c>
      <c r="D86" s="112" t="s">
        <v>288</v>
      </c>
      <c r="E86" s="113">
        <v>1999.9938</v>
      </c>
      <c r="F86" s="114" t="s">
        <v>344</v>
      </c>
    </row>
    <row r="87" spans="1:6" ht="24" x14ac:dyDescent="0.2">
      <c r="A87" s="110" t="s">
        <v>341</v>
      </c>
      <c r="B87" s="110" t="s">
        <v>342</v>
      </c>
      <c r="C87" s="111" t="s">
        <v>387</v>
      </c>
      <c r="D87" s="112" t="s">
        <v>288</v>
      </c>
      <c r="E87" s="113">
        <v>6938.4</v>
      </c>
      <c r="F87" s="114" t="s">
        <v>344</v>
      </c>
    </row>
    <row r="88" spans="1:6" x14ac:dyDescent="0.2">
      <c r="A88" s="110" t="s">
        <v>341</v>
      </c>
      <c r="B88" s="110" t="s">
        <v>342</v>
      </c>
      <c r="C88" s="111" t="s">
        <v>388</v>
      </c>
      <c r="D88" s="112" t="s">
        <v>288</v>
      </c>
      <c r="E88" s="113">
        <v>938.18259999999998</v>
      </c>
      <c r="F88" s="114" t="s">
        <v>344</v>
      </c>
    </row>
    <row r="89" spans="1:6" x14ac:dyDescent="0.2">
      <c r="A89" s="110" t="s">
        <v>341</v>
      </c>
      <c r="B89" s="110" t="s">
        <v>342</v>
      </c>
      <c r="C89" s="111" t="s">
        <v>389</v>
      </c>
      <c r="D89" s="112" t="s">
        <v>288</v>
      </c>
      <c r="E89" s="113">
        <v>3519.94</v>
      </c>
      <c r="F89" s="114" t="s">
        <v>344</v>
      </c>
    </row>
    <row r="90" spans="1:6" ht="20.100000000000001" customHeight="1" x14ac:dyDescent="0.2">
      <c r="A90" s="110" t="s">
        <v>341</v>
      </c>
      <c r="B90" s="110" t="s">
        <v>342</v>
      </c>
      <c r="C90" s="111" t="s">
        <v>390</v>
      </c>
      <c r="D90" s="112" t="s">
        <v>288</v>
      </c>
      <c r="E90" s="113">
        <v>9</v>
      </c>
      <c r="F90" s="114" t="s">
        <v>344</v>
      </c>
    </row>
    <row r="91" spans="1:6" ht="20.100000000000001" customHeight="1" x14ac:dyDescent="0.2">
      <c r="A91" s="110" t="s">
        <v>341</v>
      </c>
      <c r="B91" s="110" t="s">
        <v>342</v>
      </c>
      <c r="C91" s="111" t="s">
        <v>391</v>
      </c>
      <c r="D91" s="112" t="s">
        <v>288</v>
      </c>
      <c r="E91" s="113">
        <v>63229.120000000003</v>
      </c>
      <c r="F91" s="114" t="s">
        <v>344</v>
      </c>
    </row>
    <row r="92" spans="1:6" ht="24.75" customHeight="1" x14ac:dyDescent="0.2">
      <c r="A92" s="110" t="s">
        <v>341</v>
      </c>
      <c r="B92" s="110" t="s">
        <v>342</v>
      </c>
      <c r="C92" s="111" t="s">
        <v>392</v>
      </c>
      <c r="D92" s="112" t="s">
        <v>288</v>
      </c>
      <c r="E92" s="113">
        <v>475540</v>
      </c>
      <c r="F92" s="114" t="s">
        <v>344</v>
      </c>
    </row>
    <row r="93" spans="1:6" x14ac:dyDescent="0.2">
      <c r="A93" s="110" t="s">
        <v>341</v>
      </c>
      <c r="B93" s="110" t="s">
        <v>342</v>
      </c>
      <c r="C93" s="111" t="s">
        <v>393</v>
      </c>
      <c r="D93" s="112" t="s">
        <v>288</v>
      </c>
      <c r="E93" s="113">
        <v>490481.16</v>
      </c>
      <c r="F93" s="114" t="s">
        <v>344</v>
      </c>
    </row>
    <row r="94" spans="1:6" ht="24" x14ac:dyDescent="0.2">
      <c r="A94" s="110" t="s">
        <v>341</v>
      </c>
      <c r="B94" s="110" t="s">
        <v>342</v>
      </c>
      <c r="C94" s="111" t="s">
        <v>394</v>
      </c>
      <c r="D94" s="112" t="s">
        <v>288</v>
      </c>
      <c r="E94" s="113">
        <v>74340</v>
      </c>
      <c r="F94" s="114" t="s">
        <v>344</v>
      </c>
    </row>
    <row r="95" spans="1:6" ht="15" customHeight="1" x14ac:dyDescent="0.2">
      <c r="A95" s="110" t="s">
        <v>341</v>
      </c>
      <c r="B95" s="110" t="s">
        <v>342</v>
      </c>
      <c r="C95" s="111" t="s">
        <v>395</v>
      </c>
      <c r="D95" s="112" t="s">
        <v>288</v>
      </c>
      <c r="E95" s="113">
        <v>40101.792600000001</v>
      </c>
      <c r="F95" s="114" t="s">
        <v>344</v>
      </c>
    </row>
    <row r="96" spans="1:6" ht="14.1" customHeight="1" x14ac:dyDescent="0.2">
      <c r="A96" s="110" t="s">
        <v>341</v>
      </c>
      <c r="B96" s="110" t="s">
        <v>342</v>
      </c>
      <c r="C96" s="111" t="s">
        <v>396</v>
      </c>
      <c r="D96" s="112" t="s">
        <v>288</v>
      </c>
      <c r="E96" s="113">
        <v>386697.033</v>
      </c>
      <c r="F96" s="114" t="s">
        <v>344</v>
      </c>
    </row>
    <row r="97" spans="1:6" x14ac:dyDescent="0.2">
      <c r="A97" s="110" t="s">
        <v>341</v>
      </c>
      <c r="B97" s="110" t="s">
        <v>342</v>
      </c>
      <c r="C97" s="111" t="s">
        <v>397</v>
      </c>
      <c r="D97" s="112" t="s">
        <v>288</v>
      </c>
      <c r="E97" s="113">
        <v>142177.25599999999</v>
      </c>
      <c r="F97" s="114" t="s">
        <v>344</v>
      </c>
    </row>
    <row r="98" spans="1:6" x14ac:dyDescent="0.2">
      <c r="A98" s="110" t="s">
        <v>341</v>
      </c>
      <c r="B98" s="110" t="s">
        <v>342</v>
      </c>
      <c r="C98" s="111" t="s">
        <v>398</v>
      </c>
      <c r="D98" s="112" t="s">
        <v>288</v>
      </c>
      <c r="E98" s="113">
        <v>26868.6</v>
      </c>
      <c r="F98" s="114" t="s">
        <v>344</v>
      </c>
    </row>
    <row r="99" spans="1:6" ht="24" x14ac:dyDescent="0.2">
      <c r="A99" s="110" t="s">
        <v>341</v>
      </c>
      <c r="B99" s="110" t="s">
        <v>342</v>
      </c>
      <c r="C99" s="111" t="s">
        <v>399</v>
      </c>
      <c r="D99" s="112" t="s">
        <v>288</v>
      </c>
      <c r="E99" s="113">
        <v>1897493.1</v>
      </c>
      <c r="F99" s="114" t="s">
        <v>344</v>
      </c>
    </row>
    <row r="100" spans="1:6" x14ac:dyDescent="0.2">
      <c r="A100" s="110" t="s">
        <v>341</v>
      </c>
      <c r="B100" s="110" t="s">
        <v>342</v>
      </c>
      <c r="C100" s="111" t="s">
        <v>400</v>
      </c>
      <c r="D100" s="112" t="s">
        <v>288</v>
      </c>
      <c r="E100" s="113">
        <v>232041.1</v>
      </c>
      <c r="F100" s="114" t="s">
        <v>344</v>
      </c>
    </row>
    <row r="101" spans="1:6" ht="24" x14ac:dyDescent="0.2">
      <c r="A101" s="110" t="s">
        <v>341</v>
      </c>
      <c r="B101" s="110" t="s">
        <v>342</v>
      </c>
      <c r="C101" s="111" t="s">
        <v>401</v>
      </c>
      <c r="D101" s="112" t="s">
        <v>288</v>
      </c>
      <c r="E101" s="113">
        <v>34703.800000000003</v>
      </c>
      <c r="F101" s="114" t="s">
        <v>344</v>
      </c>
    </row>
    <row r="102" spans="1:6" ht="24" x14ac:dyDescent="0.2">
      <c r="A102" s="110" t="s">
        <v>341</v>
      </c>
      <c r="B102" s="110" t="s">
        <v>342</v>
      </c>
      <c r="C102" s="111" t="s">
        <v>402</v>
      </c>
      <c r="D102" s="112" t="s">
        <v>288</v>
      </c>
      <c r="E102" s="113">
        <v>8903.1</v>
      </c>
      <c r="F102" s="114" t="s">
        <v>344</v>
      </c>
    </row>
    <row r="103" spans="1:6" ht="15.95" customHeight="1" x14ac:dyDescent="0.2">
      <c r="A103" s="110" t="s">
        <v>341</v>
      </c>
      <c r="B103" s="110" t="s">
        <v>342</v>
      </c>
      <c r="C103" s="111" t="s">
        <v>403</v>
      </c>
      <c r="D103" s="112" t="s">
        <v>288</v>
      </c>
      <c r="E103" s="113">
        <v>130316.25</v>
      </c>
      <c r="F103" s="111" t="s">
        <v>344</v>
      </c>
    </row>
    <row r="104" spans="1:6" x14ac:dyDescent="0.2">
      <c r="A104" s="110" t="s">
        <v>341</v>
      </c>
      <c r="B104" s="110" t="s">
        <v>342</v>
      </c>
      <c r="C104" s="111" t="s">
        <v>404</v>
      </c>
      <c r="D104" s="112" t="s">
        <v>288</v>
      </c>
      <c r="E104" s="113">
        <v>22139.75</v>
      </c>
      <c r="F104" s="114" t="s">
        <v>344</v>
      </c>
    </row>
    <row r="105" spans="1:6" ht="24" x14ac:dyDescent="0.2">
      <c r="A105" s="110" t="s">
        <v>341</v>
      </c>
      <c r="B105" s="110" t="s">
        <v>342</v>
      </c>
      <c r="C105" s="111" t="s">
        <v>405</v>
      </c>
      <c r="D105" s="112" t="s">
        <v>288</v>
      </c>
      <c r="E105" s="113">
        <v>62932.232000000004</v>
      </c>
      <c r="F105" s="114" t="s">
        <v>344</v>
      </c>
    </row>
    <row r="106" spans="1:6" ht="24" x14ac:dyDescent="0.2">
      <c r="A106" s="110" t="s">
        <v>341</v>
      </c>
      <c r="B106" s="110" t="s">
        <v>342</v>
      </c>
      <c r="C106" s="111" t="s">
        <v>406</v>
      </c>
      <c r="D106" s="112" t="s">
        <v>288</v>
      </c>
      <c r="E106" s="113">
        <v>62932.232199999999</v>
      </c>
      <c r="F106" s="114" t="s">
        <v>344</v>
      </c>
    </row>
    <row r="107" spans="1:6" ht="24" x14ac:dyDescent="0.2">
      <c r="A107" s="110" t="s">
        <v>341</v>
      </c>
      <c r="B107" s="110" t="s">
        <v>342</v>
      </c>
      <c r="C107" s="111" t="s">
        <v>407</v>
      </c>
      <c r="D107" s="112" t="s">
        <v>288</v>
      </c>
      <c r="E107" s="113">
        <v>57230</v>
      </c>
      <c r="F107" s="114" t="s">
        <v>344</v>
      </c>
    </row>
    <row r="108" spans="1:6" x14ac:dyDescent="0.2">
      <c r="A108" s="110" t="s">
        <v>341</v>
      </c>
      <c r="B108" s="110" t="s">
        <v>342</v>
      </c>
      <c r="C108" s="111" t="s">
        <v>408</v>
      </c>
      <c r="D108" s="112" t="s">
        <v>288</v>
      </c>
      <c r="E108" s="113">
        <v>2549.9917</v>
      </c>
      <c r="F108" s="114" t="s">
        <v>344</v>
      </c>
    </row>
    <row r="109" spans="1:6" x14ac:dyDescent="0.2">
      <c r="A109" s="110" t="s">
        <v>341</v>
      </c>
      <c r="B109" s="110" t="s">
        <v>342</v>
      </c>
      <c r="C109" s="111" t="s">
        <v>409</v>
      </c>
      <c r="D109" s="112" t="s">
        <v>288</v>
      </c>
      <c r="E109" s="113">
        <v>13999.992</v>
      </c>
      <c r="F109" s="114" t="s">
        <v>344</v>
      </c>
    </row>
    <row r="110" spans="1:6" x14ac:dyDescent="0.2">
      <c r="A110" s="110" t="s">
        <v>341</v>
      </c>
      <c r="B110" s="110" t="s">
        <v>342</v>
      </c>
      <c r="C110" s="111" t="s">
        <v>410</v>
      </c>
      <c r="D110" s="112" t="s">
        <v>288</v>
      </c>
      <c r="E110" s="113">
        <v>19383.86</v>
      </c>
      <c r="F110" s="114" t="s">
        <v>344</v>
      </c>
    </row>
    <row r="111" spans="1:6" x14ac:dyDescent="0.2">
      <c r="A111" s="110" t="s">
        <v>341</v>
      </c>
      <c r="B111" s="110" t="s">
        <v>342</v>
      </c>
      <c r="C111" s="111" t="s">
        <v>411</v>
      </c>
      <c r="D111" s="112" t="s">
        <v>288</v>
      </c>
      <c r="E111" s="113">
        <v>250971.84</v>
      </c>
      <c r="F111" s="114" t="s">
        <v>344</v>
      </c>
    </row>
    <row r="112" spans="1:6" x14ac:dyDescent="0.2">
      <c r="A112" s="110" t="s">
        <v>341</v>
      </c>
      <c r="B112" s="110" t="s">
        <v>342</v>
      </c>
      <c r="C112" s="111" t="s">
        <v>412</v>
      </c>
      <c r="D112" s="112" t="s">
        <v>288</v>
      </c>
      <c r="E112" s="113">
        <v>257712</v>
      </c>
      <c r="F112" s="114" t="s">
        <v>344</v>
      </c>
    </row>
    <row r="113" spans="1:6" x14ac:dyDescent="0.2">
      <c r="A113" s="110" t="s">
        <v>341</v>
      </c>
      <c r="B113" s="110" t="s">
        <v>342</v>
      </c>
      <c r="C113" s="111" t="s">
        <v>413</v>
      </c>
      <c r="D113" s="112" t="s">
        <v>288</v>
      </c>
      <c r="E113" s="113">
        <v>3613.16</v>
      </c>
      <c r="F113" s="114" t="s">
        <v>344</v>
      </c>
    </row>
    <row r="114" spans="1:6" x14ac:dyDescent="0.2">
      <c r="A114" s="110" t="s">
        <v>341</v>
      </c>
      <c r="B114" s="110" t="s">
        <v>342</v>
      </c>
      <c r="C114" s="111" t="s">
        <v>414</v>
      </c>
      <c r="D114" s="112" t="s">
        <v>288</v>
      </c>
      <c r="E114" s="113">
        <v>34202.300000000003</v>
      </c>
      <c r="F114" s="114" t="s">
        <v>344</v>
      </c>
    </row>
    <row r="115" spans="1:6" x14ac:dyDescent="0.2">
      <c r="A115" s="110" t="s">
        <v>341</v>
      </c>
      <c r="B115" s="110" t="s">
        <v>342</v>
      </c>
      <c r="C115" s="111" t="s">
        <v>415</v>
      </c>
      <c r="D115" s="112" t="s">
        <v>288</v>
      </c>
      <c r="E115" s="113">
        <v>30336.03</v>
      </c>
      <c r="F115" s="114" t="s">
        <v>344</v>
      </c>
    </row>
    <row r="116" spans="1:6" x14ac:dyDescent="0.2">
      <c r="A116" s="110" t="s">
        <v>341</v>
      </c>
      <c r="B116" s="110" t="s">
        <v>342</v>
      </c>
      <c r="C116" s="111" t="s">
        <v>416</v>
      </c>
      <c r="D116" s="112" t="s">
        <v>288</v>
      </c>
      <c r="E116" s="113">
        <v>1250.8</v>
      </c>
      <c r="F116" s="114" t="s">
        <v>344</v>
      </c>
    </row>
    <row r="117" spans="1:6" x14ac:dyDescent="0.2">
      <c r="A117" s="110" t="s">
        <v>341</v>
      </c>
      <c r="B117" s="110" t="s">
        <v>342</v>
      </c>
      <c r="C117" s="111" t="s">
        <v>417</v>
      </c>
      <c r="D117" s="112" t="s">
        <v>288</v>
      </c>
      <c r="E117" s="113">
        <v>1250.8</v>
      </c>
      <c r="F117" s="114" t="s">
        <v>344</v>
      </c>
    </row>
    <row r="118" spans="1:6" x14ac:dyDescent="0.2">
      <c r="A118" s="110" t="s">
        <v>341</v>
      </c>
      <c r="B118" s="110" t="s">
        <v>342</v>
      </c>
      <c r="C118" s="111" t="s">
        <v>418</v>
      </c>
      <c r="D118" s="112" t="s">
        <v>288</v>
      </c>
      <c r="E118" s="113">
        <v>1250.8</v>
      </c>
      <c r="F118" s="114" t="s">
        <v>344</v>
      </c>
    </row>
    <row r="119" spans="1:6" x14ac:dyDescent="0.2">
      <c r="A119" s="110" t="s">
        <v>341</v>
      </c>
      <c r="B119" s="110" t="s">
        <v>342</v>
      </c>
      <c r="C119" s="111" t="s">
        <v>419</v>
      </c>
      <c r="D119" s="112" t="s">
        <v>288</v>
      </c>
      <c r="E119" s="113">
        <v>21240</v>
      </c>
      <c r="F119" s="114" t="s">
        <v>344</v>
      </c>
    </row>
    <row r="120" spans="1:6" x14ac:dyDescent="0.2">
      <c r="A120" s="110" t="s">
        <v>341</v>
      </c>
      <c r="B120" s="110" t="s">
        <v>342</v>
      </c>
      <c r="C120" s="111" t="s">
        <v>420</v>
      </c>
      <c r="D120" s="112" t="s">
        <v>288</v>
      </c>
      <c r="E120" s="113">
        <v>43960.9</v>
      </c>
      <c r="F120" s="114" t="s">
        <v>344</v>
      </c>
    </row>
    <row r="121" spans="1:6" x14ac:dyDescent="0.2">
      <c r="A121" s="110" t="s">
        <v>341</v>
      </c>
      <c r="B121" s="110" t="s">
        <v>342</v>
      </c>
      <c r="C121" s="111" t="s">
        <v>421</v>
      </c>
      <c r="D121" s="112" t="s">
        <v>288</v>
      </c>
      <c r="E121" s="113">
        <v>13749.996999999999</v>
      </c>
      <c r="F121" s="114" t="s">
        <v>344</v>
      </c>
    </row>
    <row r="122" spans="1:6" x14ac:dyDescent="0.2">
      <c r="A122" s="110" t="s">
        <v>341</v>
      </c>
      <c r="B122" s="110" t="s">
        <v>342</v>
      </c>
      <c r="C122" s="111" t="s">
        <v>422</v>
      </c>
      <c r="D122" s="112" t="s">
        <v>288</v>
      </c>
      <c r="E122" s="113">
        <v>13570</v>
      </c>
      <c r="F122" s="114" t="s">
        <v>344</v>
      </c>
    </row>
    <row r="123" spans="1:6" x14ac:dyDescent="0.2">
      <c r="A123" s="110" t="s">
        <v>341</v>
      </c>
      <c r="B123" s="110" t="s">
        <v>342</v>
      </c>
      <c r="C123" s="111" t="s">
        <v>423</v>
      </c>
      <c r="D123" s="112" t="s">
        <v>288</v>
      </c>
      <c r="E123" s="113">
        <v>4284.71</v>
      </c>
      <c r="F123" s="114" t="s">
        <v>344</v>
      </c>
    </row>
    <row r="124" spans="1:6" x14ac:dyDescent="0.2">
      <c r="A124" s="110" t="s">
        <v>341</v>
      </c>
      <c r="B124" s="110" t="s">
        <v>342</v>
      </c>
      <c r="C124" s="111" t="s">
        <v>424</v>
      </c>
      <c r="D124" s="112" t="s">
        <v>288</v>
      </c>
      <c r="E124" s="113">
        <v>5726.64</v>
      </c>
      <c r="F124" s="114" t="s">
        <v>344</v>
      </c>
    </row>
    <row r="125" spans="1:6" x14ac:dyDescent="0.2">
      <c r="A125" s="110" t="s">
        <v>341</v>
      </c>
      <c r="B125" s="110" t="s">
        <v>342</v>
      </c>
      <c r="C125" s="111" t="s">
        <v>425</v>
      </c>
      <c r="D125" s="112" t="s">
        <v>288</v>
      </c>
      <c r="E125" s="113">
        <v>20650</v>
      </c>
      <c r="F125" s="114" t="s">
        <v>344</v>
      </c>
    </row>
    <row r="126" spans="1:6" ht="12.95" customHeight="1" x14ac:dyDescent="0.2">
      <c r="A126" s="110" t="s">
        <v>341</v>
      </c>
      <c r="B126" s="110" t="s">
        <v>342</v>
      </c>
      <c r="C126" s="111" t="s">
        <v>426</v>
      </c>
      <c r="D126" s="112" t="s">
        <v>288</v>
      </c>
      <c r="E126" s="113">
        <v>575000.01</v>
      </c>
      <c r="F126" s="114" t="s">
        <v>344</v>
      </c>
    </row>
    <row r="127" spans="1:6" ht="24" x14ac:dyDescent="0.2">
      <c r="A127" s="110" t="s">
        <v>341</v>
      </c>
      <c r="B127" s="110" t="s">
        <v>342</v>
      </c>
      <c r="C127" s="111" t="s">
        <v>427</v>
      </c>
      <c r="D127" s="112" t="s">
        <v>288</v>
      </c>
      <c r="E127" s="113">
        <v>2542900</v>
      </c>
      <c r="F127" s="114" t="s">
        <v>344</v>
      </c>
    </row>
    <row r="128" spans="1:6" x14ac:dyDescent="0.2">
      <c r="A128" s="110" t="s">
        <v>341</v>
      </c>
      <c r="B128" s="110" t="s">
        <v>342</v>
      </c>
      <c r="C128" s="111" t="s">
        <v>428</v>
      </c>
      <c r="D128" s="112" t="s">
        <v>288</v>
      </c>
      <c r="E128" s="113">
        <v>172556.12</v>
      </c>
      <c r="F128" s="114" t="s">
        <v>344</v>
      </c>
    </row>
    <row r="129" spans="1:6" ht="24" x14ac:dyDescent="0.2">
      <c r="A129" s="110" t="s">
        <v>341</v>
      </c>
      <c r="B129" s="110" t="s">
        <v>342</v>
      </c>
      <c r="C129" s="111" t="s">
        <v>429</v>
      </c>
      <c r="D129" s="112" t="s">
        <v>288</v>
      </c>
      <c r="E129" s="113">
        <v>44250</v>
      </c>
      <c r="F129" s="114" t="s">
        <v>344</v>
      </c>
    </row>
    <row r="130" spans="1:6" x14ac:dyDescent="0.2">
      <c r="A130" s="110" t="s">
        <v>341</v>
      </c>
      <c r="B130" s="110" t="s">
        <v>342</v>
      </c>
      <c r="C130" s="111" t="s">
        <v>430</v>
      </c>
      <c r="D130" s="112" t="s">
        <v>288</v>
      </c>
      <c r="E130" s="113">
        <v>719492.56279999996</v>
      </c>
      <c r="F130" s="114" t="s">
        <v>344</v>
      </c>
    </row>
    <row r="131" spans="1:6" x14ac:dyDescent="0.2">
      <c r="A131" s="110" t="s">
        <v>341</v>
      </c>
      <c r="B131" s="110" t="s">
        <v>342</v>
      </c>
      <c r="C131" s="111" t="s">
        <v>431</v>
      </c>
      <c r="D131" s="112" t="s">
        <v>288</v>
      </c>
      <c r="E131" s="113">
        <v>816192.43</v>
      </c>
      <c r="F131" s="114" t="s">
        <v>344</v>
      </c>
    </row>
    <row r="132" spans="1:6" x14ac:dyDescent="0.2">
      <c r="A132" s="115" t="s">
        <v>432</v>
      </c>
      <c r="B132" s="115" t="s">
        <v>433</v>
      </c>
      <c r="C132" s="116" t="s">
        <v>434</v>
      </c>
      <c r="D132" s="117" t="s">
        <v>288</v>
      </c>
      <c r="E132" s="118">
        <v>36954.32</v>
      </c>
      <c r="F132" s="119" t="s">
        <v>435</v>
      </c>
    </row>
    <row r="133" spans="1:6" ht="14.1" customHeight="1" x14ac:dyDescent="0.2">
      <c r="A133" s="115" t="s">
        <v>432</v>
      </c>
      <c r="B133" s="115" t="s">
        <v>433</v>
      </c>
      <c r="C133" s="116" t="s">
        <v>436</v>
      </c>
      <c r="D133" s="117" t="s">
        <v>288</v>
      </c>
      <c r="E133" s="118">
        <v>3776</v>
      </c>
      <c r="F133" s="119" t="s">
        <v>435</v>
      </c>
    </row>
    <row r="134" spans="1:6" ht="15.95" customHeight="1" x14ac:dyDescent="0.2">
      <c r="A134" s="115" t="s">
        <v>432</v>
      </c>
      <c r="B134" s="115" t="s">
        <v>433</v>
      </c>
      <c r="C134" s="116" t="s">
        <v>437</v>
      </c>
      <c r="D134" s="117" t="s">
        <v>288</v>
      </c>
      <c r="E134" s="118">
        <v>12390</v>
      </c>
      <c r="F134" s="119" t="s">
        <v>435</v>
      </c>
    </row>
    <row r="135" spans="1:6" ht="15" customHeight="1" x14ac:dyDescent="0.2">
      <c r="A135" s="115" t="s">
        <v>432</v>
      </c>
      <c r="B135" s="115" t="s">
        <v>433</v>
      </c>
      <c r="C135" s="116" t="s">
        <v>438</v>
      </c>
      <c r="D135" s="117" t="s">
        <v>288</v>
      </c>
      <c r="E135" s="118">
        <v>6293.7049999999999</v>
      </c>
      <c r="F135" s="119" t="s">
        <v>435</v>
      </c>
    </row>
    <row r="136" spans="1:6" ht="14.1" customHeight="1" x14ac:dyDescent="0.2">
      <c r="A136" s="115" t="s">
        <v>432</v>
      </c>
      <c r="B136" s="115" t="s">
        <v>433</v>
      </c>
      <c r="C136" s="116" t="s">
        <v>439</v>
      </c>
      <c r="D136" s="117" t="s">
        <v>288</v>
      </c>
      <c r="E136" s="118">
        <v>27200</v>
      </c>
      <c r="F136" s="119" t="s">
        <v>435</v>
      </c>
    </row>
    <row r="137" spans="1:6" ht="24" x14ac:dyDescent="0.2">
      <c r="A137" s="120" t="s">
        <v>268</v>
      </c>
      <c r="B137" s="120" t="s">
        <v>440</v>
      </c>
      <c r="C137" s="121" t="s">
        <v>441</v>
      </c>
      <c r="D137" s="122" t="s">
        <v>288</v>
      </c>
      <c r="E137" s="123">
        <v>109504</v>
      </c>
      <c r="F137" s="124" t="s">
        <v>442</v>
      </c>
    </row>
    <row r="138" spans="1:6" ht="24" x14ac:dyDescent="0.2">
      <c r="A138" s="120" t="s">
        <v>268</v>
      </c>
      <c r="B138" s="120" t="s">
        <v>440</v>
      </c>
      <c r="C138" s="121" t="s">
        <v>443</v>
      </c>
      <c r="D138" s="122" t="s">
        <v>288</v>
      </c>
      <c r="E138" s="123">
        <v>5723</v>
      </c>
      <c r="F138" s="124" t="s">
        <v>442</v>
      </c>
    </row>
    <row r="139" spans="1:6" ht="24" x14ac:dyDescent="0.2">
      <c r="A139" s="85" t="s">
        <v>444</v>
      </c>
      <c r="B139" s="85" t="s">
        <v>445</v>
      </c>
      <c r="C139" s="86" t="s">
        <v>446</v>
      </c>
      <c r="D139" s="87" t="s">
        <v>288</v>
      </c>
      <c r="E139" s="88">
        <v>6200</v>
      </c>
      <c r="F139" s="125" t="s">
        <v>447</v>
      </c>
    </row>
    <row r="140" spans="1:6" ht="36" x14ac:dyDescent="0.2">
      <c r="A140" s="85" t="s">
        <v>444</v>
      </c>
      <c r="B140" s="85" t="s">
        <v>445</v>
      </c>
      <c r="C140" s="86" t="s">
        <v>448</v>
      </c>
      <c r="D140" s="87" t="s">
        <v>288</v>
      </c>
      <c r="E140" s="88">
        <v>86568.53</v>
      </c>
      <c r="F140" s="125" t="s">
        <v>447</v>
      </c>
    </row>
    <row r="141" spans="1:6" ht="36" x14ac:dyDescent="0.2">
      <c r="A141" s="85" t="s">
        <v>444</v>
      </c>
      <c r="B141" s="85" t="s">
        <v>445</v>
      </c>
      <c r="C141" s="86" t="s">
        <v>449</v>
      </c>
      <c r="D141" s="87" t="s">
        <v>288</v>
      </c>
      <c r="E141" s="88">
        <v>100917.38</v>
      </c>
      <c r="F141" s="125" t="s">
        <v>447</v>
      </c>
    </row>
    <row r="142" spans="1:6" ht="15.95" customHeight="1" x14ac:dyDescent="0.2">
      <c r="A142" s="126" t="s">
        <v>163</v>
      </c>
      <c r="B142" s="126" t="s">
        <v>450</v>
      </c>
      <c r="C142" s="127" t="s">
        <v>451</v>
      </c>
      <c r="D142" s="128" t="s">
        <v>288</v>
      </c>
      <c r="E142" s="129">
        <v>1000</v>
      </c>
      <c r="F142" s="130" t="s">
        <v>452</v>
      </c>
    </row>
    <row r="143" spans="1:6" x14ac:dyDescent="0.2">
      <c r="A143" s="126" t="s">
        <v>163</v>
      </c>
      <c r="B143" s="126" t="s">
        <v>450</v>
      </c>
      <c r="C143" s="127" t="s">
        <v>453</v>
      </c>
      <c r="D143" s="128" t="s">
        <v>288</v>
      </c>
      <c r="E143" s="129">
        <v>200</v>
      </c>
      <c r="F143" s="130" t="s">
        <v>452</v>
      </c>
    </row>
    <row r="144" spans="1:6" ht="18" customHeight="1" x14ac:dyDescent="0.2">
      <c r="A144" s="126" t="s">
        <v>163</v>
      </c>
      <c r="B144" s="126" t="s">
        <v>450</v>
      </c>
      <c r="C144" s="127" t="s">
        <v>454</v>
      </c>
      <c r="D144" s="128" t="s">
        <v>288</v>
      </c>
      <c r="E144" s="129">
        <v>500</v>
      </c>
      <c r="F144" s="130" t="s">
        <v>452</v>
      </c>
    </row>
    <row r="145" spans="1:6" ht="17.25" customHeight="1" x14ac:dyDescent="0.2">
      <c r="A145" s="126" t="s">
        <v>163</v>
      </c>
      <c r="B145" s="126" t="s">
        <v>450</v>
      </c>
      <c r="C145" s="127" t="s">
        <v>455</v>
      </c>
      <c r="D145" s="128" t="s">
        <v>456</v>
      </c>
      <c r="E145" s="129">
        <v>197</v>
      </c>
      <c r="F145" s="131" t="s">
        <v>457</v>
      </c>
    </row>
    <row r="146" spans="1:6" x14ac:dyDescent="0.2">
      <c r="A146" s="126" t="s">
        <v>163</v>
      </c>
      <c r="B146" s="126" t="s">
        <v>450</v>
      </c>
      <c r="C146" s="127" t="s">
        <v>458</v>
      </c>
      <c r="D146" s="128" t="s">
        <v>456</v>
      </c>
      <c r="E146" s="129">
        <v>181</v>
      </c>
      <c r="F146" s="131" t="s">
        <v>457</v>
      </c>
    </row>
    <row r="147" spans="1:6" x14ac:dyDescent="0.2">
      <c r="A147" s="126" t="s">
        <v>163</v>
      </c>
      <c r="B147" s="126" t="s">
        <v>450</v>
      </c>
      <c r="C147" s="127" t="s">
        <v>459</v>
      </c>
      <c r="D147" s="128" t="s">
        <v>456</v>
      </c>
      <c r="E147" s="129">
        <v>251</v>
      </c>
      <c r="F147" s="130" t="s">
        <v>457</v>
      </c>
    </row>
    <row r="148" spans="1:6" x14ac:dyDescent="0.2">
      <c r="A148" s="126" t="s">
        <v>163</v>
      </c>
      <c r="B148" s="126" t="s">
        <v>450</v>
      </c>
      <c r="C148" s="127" t="s">
        <v>460</v>
      </c>
      <c r="D148" s="128" t="s">
        <v>456</v>
      </c>
      <c r="E148" s="129">
        <v>230</v>
      </c>
      <c r="F148" s="131" t="s">
        <v>457</v>
      </c>
    </row>
    <row r="149" spans="1:6" x14ac:dyDescent="0.2">
      <c r="A149" s="126" t="s">
        <v>163</v>
      </c>
      <c r="B149" s="126" t="s">
        <v>450</v>
      </c>
      <c r="C149" s="127" t="s">
        <v>461</v>
      </c>
      <c r="D149" s="128" t="s">
        <v>456</v>
      </c>
      <c r="E149" s="129">
        <v>110</v>
      </c>
      <c r="F149" s="130" t="s">
        <v>457</v>
      </c>
    </row>
    <row r="150" spans="1:6" x14ac:dyDescent="0.2">
      <c r="A150" s="85" t="s">
        <v>158</v>
      </c>
      <c r="B150" s="85" t="s">
        <v>462</v>
      </c>
      <c r="C150" s="86" t="s">
        <v>463</v>
      </c>
      <c r="D150" s="87" t="s">
        <v>464</v>
      </c>
      <c r="E150" s="88">
        <v>28.32</v>
      </c>
      <c r="F150" s="125" t="s">
        <v>465</v>
      </c>
    </row>
    <row r="151" spans="1:6" ht="24" x14ac:dyDescent="0.2">
      <c r="A151" s="85" t="s">
        <v>158</v>
      </c>
      <c r="B151" s="85" t="s">
        <v>462</v>
      </c>
      <c r="C151" s="86" t="s">
        <v>466</v>
      </c>
      <c r="D151" s="87" t="s">
        <v>288</v>
      </c>
      <c r="E151" s="88">
        <v>8500</v>
      </c>
      <c r="F151" s="125" t="s">
        <v>465</v>
      </c>
    </row>
    <row r="152" spans="1:6" x14ac:dyDescent="0.2">
      <c r="A152" s="85" t="s">
        <v>158</v>
      </c>
      <c r="B152" s="85" t="s">
        <v>462</v>
      </c>
      <c r="C152" s="86" t="s">
        <v>467</v>
      </c>
      <c r="D152" s="87" t="s">
        <v>288</v>
      </c>
      <c r="E152" s="88">
        <v>81.171999999999997</v>
      </c>
      <c r="F152" s="125" t="s">
        <v>465</v>
      </c>
    </row>
    <row r="153" spans="1:6" x14ac:dyDescent="0.2">
      <c r="A153" s="85" t="s">
        <v>158</v>
      </c>
      <c r="B153" s="85" t="s">
        <v>462</v>
      </c>
      <c r="C153" s="86" t="s">
        <v>468</v>
      </c>
      <c r="D153" s="87" t="s">
        <v>288</v>
      </c>
      <c r="E153" s="88">
        <v>103.3567</v>
      </c>
      <c r="F153" s="125" t="s">
        <v>465</v>
      </c>
    </row>
    <row r="154" spans="1:6" x14ac:dyDescent="0.2">
      <c r="A154" s="85" t="s">
        <v>158</v>
      </c>
      <c r="B154" s="85" t="s">
        <v>462</v>
      </c>
      <c r="C154" s="86" t="s">
        <v>469</v>
      </c>
      <c r="D154" s="87" t="s">
        <v>288</v>
      </c>
      <c r="E154" s="88">
        <v>20.059999999999999</v>
      </c>
      <c r="F154" s="125" t="s">
        <v>465</v>
      </c>
    </row>
    <row r="155" spans="1:6" ht="12.95" customHeight="1" x14ac:dyDescent="0.2">
      <c r="A155" s="85" t="s">
        <v>158</v>
      </c>
      <c r="B155" s="85" t="s">
        <v>462</v>
      </c>
      <c r="C155" s="86" t="s">
        <v>470</v>
      </c>
      <c r="D155" s="87" t="s">
        <v>288</v>
      </c>
      <c r="E155" s="88">
        <v>208.86</v>
      </c>
      <c r="F155" s="125" t="s">
        <v>465</v>
      </c>
    </row>
    <row r="156" spans="1:6" ht="15" customHeight="1" x14ac:dyDescent="0.2">
      <c r="A156" s="85" t="s">
        <v>158</v>
      </c>
      <c r="B156" s="85" t="s">
        <v>462</v>
      </c>
      <c r="C156" s="86" t="s">
        <v>471</v>
      </c>
      <c r="D156" s="87" t="s">
        <v>288</v>
      </c>
      <c r="E156" s="88">
        <v>206.73500000000001</v>
      </c>
      <c r="F156" s="125" t="s">
        <v>465</v>
      </c>
    </row>
    <row r="157" spans="1:6" ht="15" customHeight="1" x14ac:dyDescent="0.2">
      <c r="A157" s="85" t="s">
        <v>158</v>
      </c>
      <c r="B157" s="85" t="s">
        <v>462</v>
      </c>
      <c r="C157" s="86" t="s">
        <v>472</v>
      </c>
      <c r="D157" s="87" t="s">
        <v>288</v>
      </c>
      <c r="E157" s="88">
        <v>43.293999999999997</v>
      </c>
      <c r="F157" s="125" t="s">
        <v>465</v>
      </c>
    </row>
    <row r="158" spans="1:6" ht="15" customHeight="1" x14ac:dyDescent="0.2">
      <c r="A158" s="85" t="s">
        <v>158</v>
      </c>
      <c r="B158" s="85" t="s">
        <v>462</v>
      </c>
      <c r="C158" s="86" t="s">
        <v>473</v>
      </c>
      <c r="D158" s="87" t="s">
        <v>288</v>
      </c>
      <c r="E158" s="88">
        <v>5.9</v>
      </c>
      <c r="F158" s="125" t="s">
        <v>465</v>
      </c>
    </row>
    <row r="159" spans="1:6" ht="15" customHeight="1" x14ac:dyDescent="0.2">
      <c r="A159" s="85" t="s">
        <v>158</v>
      </c>
      <c r="B159" s="85" t="s">
        <v>462</v>
      </c>
      <c r="C159" s="86" t="s">
        <v>474</v>
      </c>
      <c r="D159" s="87" t="s">
        <v>288</v>
      </c>
      <c r="E159" s="88">
        <v>944</v>
      </c>
      <c r="F159" s="125" t="s">
        <v>465</v>
      </c>
    </row>
    <row r="160" spans="1:6" ht="15" customHeight="1" x14ac:dyDescent="0.2">
      <c r="A160" s="85" t="s">
        <v>158</v>
      </c>
      <c r="B160" s="85" t="s">
        <v>462</v>
      </c>
      <c r="C160" s="86" t="s">
        <v>475</v>
      </c>
      <c r="D160" s="87" t="s">
        <v>288</v>
      </c>
      <c r="E160" s="88">
        <v>571.12</v>
      </c>
      <c r="F160" s="125" t="s">
        <v>465</v>
      </c>
    </row>
    <row r="161" spans="1:6" ht="15" customHeight="1" x14ac:dyDescent="0.2">
      <c r="A161" s="85" t="s">
        <v>158</v>
      </c>
      <c r="B161" s="85" t="s">
        <v>462</v>
      </c>
      <c r="C161" s="86" t="s">
        <v>476</v>
      </c>
      <c r="D161" s="87" t="s">
        <v>288</v>
      </c>
      <c r="E161" s="88">
        <v>619.5</v>
      </c>
      <c r="F161" s="125" t="s">
        <v>465</v>
      </c>
    </row>
    <row r="162" spans="1:6" ht="15" customHeight="1" x14ac:dyDescent="0.2">
      <c r="A162" s="85" t="s">
        <v>158</v>
      </c>
      <c r="B162" s="85" t="s">
        <v>462</v>
      </c>
      <c r="C162" s="86" t="s">
        <v>477</v>
      </c>
      <c r="D162" s="87" t="s">
        <v>288</v>
      </c>
      <c r="E162" s="88">
        <v>100.3</v>
      </c>
      <c r="F162" s="125" t="s">
        <v>465</v>
      </c>
    </row>
    <row r="163" spans="1:6" ht="14.1" customHeight="1" x14ac:dyDescent="0.2">
      <c r="A163" s="85" t="s">
        <v>158</v>
      </c>
      <c r="B163" s="85" t="s">
        <v>462</v>
      </c>
      <c r="C163" s="86" t="s">
        <v>478</v>
      </c>
      <c r="D163" s="87" t="s">
        <v>288</v>
      </c>
      <c r="E163" s="88">
        <v>33.630000000000003</v>
      </c>
      <c r="F163" s="125" t="s">
        <v>465</v>
      </c>
    </row>
    <row r="164" spans="1:6" x14ac:dyDescent="0.2">
      <c r="A164" s="85" t="s">
        <v>158</v>
      </c>
      <c r="B164" s="85" t="s">
        <v>462</v>
      </c>
      <c r="C164" s="86" t="s">
        <v>479</v>
      </c>
      <c r="D164" s="87" t="s">
        <v>288</v>
      </c>
      <c r="E164" s="88">
        <v>44.25</v>
      </c>
      <c r="F164" s="125" t="s">
        <v>465</v>
      </c>
    </row>
    <row r="165" spans="1:6" x14ac:dyDescent="0.2">
      <c r="A165" s="85" t="s">
        <v>158</v>
      </c>
      <c r="B165" s="85" t="s">
        <v>462</v>
      </c>
      <c r="C165" s="86" t="s">
        <v>480</v>
      </c>
      <c r="D165" s="87" t="s">
        <v>288</v>
      </c>
      <c r="E165" s="88">
        <v>855.5</v>
      </c>
      <c r="F165" s="125" t="s">
        <v>465</v>
      </c>
    </row>
    <row r="166" spans="1:6" x14ac:dyDescent="0.2">
      <c r="A166" s="85" t="s">
        <v>158</v>
      </c>
      <c r="B166" s="85" t="s">
        <v>462</v>
      </c>
      <c r="C166" s="86" t="s">
        <v>481</v>
      </c>
      <c r="D166" s="87" t="s">
        <v>288</v>
      </c>
      <c r="E166" s="88">
        <v>60.2273</v>
      </c>
      <c r="F166" s="125" t="s">
        <v>465</v>
      </c>
    </row>
    <row r="167" spans="1:6" x14ac:dyDescent="0.2">
      <c r="A167" s="85" t="s">
        <v>158</v>
      </c>
      <c r="B167" s="85" t="s">
        <v>462</v>
      </c>
      <c r="C167" s="86" t="s">
        <v>482</v>
      </c>
      <c r="D167" s="87" t="s">
        <v>288</v>
      </c>
      <c r="E167" s="88">
        <v>102.8133</v>
      </c>
      <c r="F167" s="125" t="s">
        <v>465</v>
      </c>
    </row>
    <row r="168" spans="1:6" x14ac:dyDescent="0.2">
      <c r="A168" s="85" t="s">
        <v>158</v>
      </c>
      <c r="B168" s="85" t="s">
        <v>462</v>
      </c>
      <c r="C168" s="86" t="s">
        <v>483</v>
      </c>
      <c r="D168" s="87" t="s">
        <v>288</v>
      </c>
      <c r="E168" s="88">
        <v>3030.43</v>
      </c>
      <c r="F168" s="125" t="s">
        <v>465</v>
      </c>
    </row>
    <row r="169" spans="1:6" x14ac:dyDescent="0.2">
      <c r="A169" s="85" t="s">
        <v>158</v>
      </c>
      <c r="B169" s="85" t="s">
        <v>462</v>
      </c>
      <c r="C169" s="86" t="s">
        <v>484</v>
      </c>
      <c r="D169" s="87" t="s">
        <v>288</v>
      </c>
      <c r="E169" s="88">
        <v>858.45</v>
      </c>
      <c r="F169" s="125" t="s">
        <v>465</v>
      </c>
    </row>
    <row r="170" spans="1:6" x14ac:dyDescent="0.2">
      <c r="A170" s="85" t="s">
        <v>158</v>
      </c>
      <c r="B170" s="85" t="s">
        <v>462</v>
      </c>
      <c r="C170" s="86" t="s">
        <v>485</v>
      </c>
      <c r="D170" s="87" t="s">
        <v>288</v>
      </c>
      <c r="E170" s="88">
        <v>206.72329999999999</v>
      </c>
      <c r="F170" s="125" t="s">
        <v>465</v>
      </c>
    </row>
    <row r="171" spans="1:6" ht="15.95" customHeight="1" x14ac:dyDescent="0.2">
      <c r="A171" s="85" t="s">
        <v>158</v>
      </c>
      <c r="B171" s="85" t="s">
        <v>462</v>
      </c>
      <c r="C171" s="86" t="s">
        <v>486</v>
      </c>
      <c r="D171" s="87" t="s">
        <v>288</v>
      </c>
      <c r="E171" s="88">
        <v>4425</v>
      </c>
      <c r="F171" s="125" t="s">
        <v>465</v>
      </c>
    </row>
    <row r="172" spans="1:6" ht="24" x14ac:dyDescent="0.2">
      <c r="A172" s="85" t="s">
        <v>158</v>
      </c>
      <c r="B172" s="85" t="s">
        <v>462</v>
      </c>
      <c r="C172" s="86" t="s">
        <v>487</v>
      </c>
      <c r="D172" s="87" t="s">
        <v>288</v>
      </c>
      <c r="E172" s="88">
        <v>13500.0026</v>
      </c>
      <c r="F172" s="125" t="s">
        <v>465</v>
      </c>
    </row>
    <row r="173" spans="1:6" ht="20.25" customHeight="1" x14ac:dyDescent="0.2">
      <c r="A173" s="85" t="s">
        <v>158</v>
      </c>
      <c r="B173" s="85" t="s">
        <v>462</v>
      </c>
      <c r="C173" s="86" t="s">
        <v>488</v>
      </c>
      <c r="D173" s="87" t="s">
        <v>288</v>
      </c>
      <c r="E173" s="88">
        <v>1416</v>
      </c>
      <c r="F173" s="125" t="s">
        <v>465</v>
      </c>
    </row>
    <row r="174" spans="1:6" ht="21" customHeight="1" x14ac:dyDescent="0.2">
      <c r="A174" s="85" t="s">
        <v>158</v>
      </c>
      <c r="B174" s="85" t="s">
        <v>462</v>
      </c>
      <c r="C174" s="86" t="s">
        <v>489</v>
      </c>
      <c r="D174" s="87" t="s">
        <v>288</v>
      </c>
      <c r="E174" s="88">
        <v>3.54</v>
      </c>
      <c r="F174" s="132" t="s">
        <v>465</v>
      </c>
    </row>
    <row r="175" spans="1:6" ht="18" customHeight="1" x14ac:dyDescent="0.2">
      <c r="A175" s="85" t="s">
        <v>158</v>
      </c>
      <c r="B175" s="85" t="s">
        <v>462</v>
      </c>
      <c r="C175" s="86" t="s">
        <v>490</v>
      </c>
      <c r="D175" s="87" t="s">
        <v>288</v>
      </c>
      <c r="E175" s="88">
        <v>73.16</v>
      </c>
      <c r="F175" s="125" t="s">
        <v>465</v>
      </c>
    </row>
    <row r="176" spans="1:6" ht="20.25" customHeight="1" x14ac:dyDescent="0.2">
      <c r="A176" s="85" t="s">
        <v>158</v>
      </c>
      <c r="B176" s="85" t="s">
        <v>462</v>
      </c>
      <c r="C176" s="86" t="s">
        <v>491</v>
      </c>
      <c r="D176" s="87" t="s">
        <v>288</v>
      </c>
      <c r="E176" s="88">
        <v>548.26499999999999</v>
      </c>
      <c r="F176" s="125" t="s">
        <v>465</v>
      </c>
    </row>
    <row r="177" spans="1:6" ht="25.5" customHeight="1" x14ac:dyDescent="0.2">
      <c r="A177" s="85" t="s">
        <v>158</v>
      </c>
      <c r="B177" s="85" t="s">
        <v>462</v>
      </c>
      <c r="C177" s="86" t="s">
        <v>492</v>
      </c>
      <c r="D177" s="87" t="s">
        <v>288</v>
      </c>
      <c r="E177" s="88">
        <v>526.32500000000005</v>
      </c>
      <c r="F177" s="125" t="s">
        <v>465</v>
      </c>
    </row>
    <row r="178" spans="1:6" ht="19.5" customHeight="1" x14ac:dyDescent="0.2">
      <c r="A178" s="85" t="s">
        <v>158</v>
      </c>
      <c r="B178" s="85" t="s">
        <v>462</v>
      </c>
      <c r="C178" s="86" t="s">
        <v>493</v>
      </c>
      <c r="D178" s="87" t="s">
        <v>288</v>
      </c>
      <c r="E178" s="88">
        <v>3.54</v>
      </c>
      <c r="F178" s="132" t="s">
        <v>465</v>
      </c>
    </row>
    <row r="179" spans="1:6" ht="27.75" customHeight="1" x14ac:dyDescent="0.2">
      <c r="A179" s="85" t="s">
        <v>158</v>
      </c>
      <c r="B179" s="85" t="s">
        <v>462</v>
      </c>
      <c r="C179" s="86" t="s">
        <v>494</v>
      </c>
      <c r="D179" s="87" t="s">
        <v>288</v>
      </c>
      <c r="E179" s="88">
        <v>265.5</v>
      </c>
      <c r="F179" s="125" t="s">
        <v>465</v>
      </c>
    </row>
    <row r="180" spans="1:6" ht="21.75" customHeight="1" x14ac:dyDescent="0.2">
      <c r="A180" s="133" t="s">
        <v>96</v>
      </c>
      <c r="B180" s="133" t="s">
        <v>495</v>
      </c>
      <c r="C180" s="134" t="s">
        <v>496</v>
      </c>
      <c r="D180" s="135" t="s">
        <v>288</v>
      </c>
      <c r="E180" s="136">
        <v>1.9823999999999999</v>
      </c>
      <c r="F180" s="137" t="s">
        <v>497</v>
      </c>
    </row>
    <row r="181" spans="1:6" ht="22.5" customHeight="1" x14ac:dyDescent="0.2">
      <c r="A181" s="85" t="s">
        <v>145</v>
      </c>
      <c r="B181" s="85" t="s">
        <v>498</v>
      </c>
      <c r="C181" s="86" t="s">
        <v>499</v>
      </c>
      <c r="D181" s="87" t="s">
        <v>288</v>
      </c>
      <c r="E181" s="88">
        <v>7773.84</v>
      </c>
      <c r="F181" s="125" t="s">
        <v>500</v>
      </c>
    </row>
    <row r="182" spans="1:6" ht="24" x14ac:dyDescent="0.2">
      <c r="A182" s="85" t="s">
        <v>145</v>
      </c>
      <c r="B182" s="85" t="s">
        <v>498</v>
      </c>
      <c r="C182" s="86" t="s">
        <v>501</v>
      </c>
      <c r="D182" s="87" t="s">
        <v>288</v>
      </c>
      <c r="E182" s="88">
        <v>9343.24</v>
      </c>
      <c r="F182" s="125" t="s">
        <v>500</v>
      </c>
    </row>
    <row r="183" spans="1:6" ht="23.25" customHeight="1" x14ac:dyDescent="0.2">
      <c r="A183" s="85" t="s">
        <v>145</v>
      </c>
      <c r="B183" s="85" t="s">
        <v>498</v>
      </c>
      <c r="C183" s="86" t="s">
        <v>502</v>
      </c>
      <c r="D183" s="87" t="s">
        <v>288</v>
      </c>
      <c r="E183" s="88">
        <v>10915</v>
      </c>
      <c r="F183" s="125" t="s">
        <v>500</v>
      </c>
    </row>
    <row r="184" spans="1:6" ht="20.25" customHeight="1" x14ac:dyDescent="0.2">
      <c r="A184" s="85" t="s">
        <v>145</v>
      </c>
      <c r="B184" s="85" t="s">
        <v>498</v>
      </c>
      <c r="C184" s="86" t="s">
        <v>503</v>
      </c>
      <c r="D184" s="87" t="s">
        <v>288</v>
      </c>
      <c r="E184" s="88">
        <v>3923.5</v>
      </c>
      <c r="F184" s="125" t="s">
        <v>500</v>
      </c>
    </row>
    <row r="185" spans="1:6" ht="14.1" customHeight="1" x14ac:dyDescent="0.2">
      <c r="A185" s="85" t="s">
        <v>145</v>
      </c>
      <c r="B185" s="85" t="s">
        <v>498</v>
      </c>
      <c r="C185" s="86" t="s">
        <v>504</v>
      </c>
      <c r="D185" s="87" t="s">
        <v>288</v>
      </c>
      <c r="E185" s="88">
        <v>4543</v>
      </c>
      <c r="F185" s="125" t="s">
        <v>500</v>
      </c>
    </row>
    <row r="186" spans="1:6" ht="17.100000000000001" customHeight="1" x14ac:dyDescent="0.2">
      <c r="A186" s="85" t="s">
        <v>145</v>
      </c>
      <c r="B186" s="85" t="s">
        <v>498</v>
      </c>
      <c r="C186" s="86" t="s">
        <v>505</v>
      </c>
      <c r="D186" s="87" t="s">
        <v>288</v>
      </c>
      <c r="E186" s="88">
        <v>9204</v>
      </c>
      <c r="F186" s="125" t="s">
        <v>500</v>
      </c>
    </row>
    <row r="187" spans="1:6" ht="15.95" customHeight="1" x14ac:dyDescent="0.2">
      <c r="A187" s="85" t="s">
        <v>145</v>
      </c>
      <c r="B187" s="85" t="s">
        <v>498</v>
      </c>
      <c r="C187" s="86" t="s">
        <v>506</v>
      </c>
      <c r="D187" s="87" t="s">
        <v>288</v>
      </c>
      <c r="E187" s="88">
        <v>1239</v>
      </c>
      <c r="F187" s="125" t="s">
        <v>500</v>
      </c>
    </row>
    <row r="188" spans="1:6" ht="15.95" customHeight="1" x14ac:dyDescent="0.2">
      <c r="A188" s="85" t="s">
        <v>145</v>
      </c>
      <c r="B188" s="85" t="s">
        <v>498</v>
      </c>
      <c r="C188" s="86" t="s">
        <v>507</v>
      </c>
      <c r="D188" s="87" t="s">
        <v>288</v>
      </c>
      <c r="E188" s="88">
        <v>1239</v>
      </c>
      <c r="F188" s="125" t="s">
        <v>500</v>
      </c>
    </row>
    <row r="189" spans="1:6" ht="32.25" customHeight="1" x14ac:dyDescent="0.2">
      <c r="A189" s="138" t="s">
        <v>116</v>
      </c>
      <c r="B189" s="138" t="s">
        <v>508</v>
      </c>
      <c r="C189" s="138" t="s">
        <v>509</v>
      </c>
      <c r="D189" s="139" t="s">
        <v>288</v>
      </c>
      <c r="E189" s="140">
        <v>54999.99</v>
      </c>
      <c r="F189" s="141" t="s">
        <v>510</v>
      </c>
    </row>
    <row r="190" spans="1:6" ht="30.75" customHeight="1" x14ac:dyDescent="0.2">
      <c r="A190" s="138" t="s">
        <v>116</v>
      </c>
      <c r="B190" s="138" t="s">
        <v>508</v>
      </c>
      <c r="C190" s="138" t="s">
        <v>511</v>
      </c>
      <c r="D190" s="139" t="s">
        <v>288</v>
      </c>
      <c r="E190" s="140">
        <v>17023.8</v>
      </c>
      <c r="F190" s="141" t="s">
        <v>510</v>
      </c>
    </row>
    <row r="191" spans="1:6" ht="25.5" customHeight="1" x14ac:dyDescent="0.2">
      <c r="A191" s="142" t="s">
        <v>512</v>
      </c>
      <c r="B191" s="138" t="s">
        <v>508</v>
      </c>
      <c r="C191" s="143" t="s">
        <v>513</v>
      </c>
      <c r="D191" s="144" t="s">
        <v>288</v>
      </c>
      <c r="E191" s="145">
        <v>4130</v>
      </c>
      <c r="F191" s="146" t="s">
        <v>514</v>
      </c>
    </row>
    <row r="192" spans="1:6" ht="15.95" customHeight="1" x14ac:dyDescent="0.2">
      <c r="A192" s="142" t="s">
        <v>512</v>
      </c>
      <c r="B192" s="138" t="s">
        <v>508</v>
      </c>
      <c r="C192" s="143" t="s">
        <v>515</v>
      </c>
      <c r="D192" s="144" t="s">
        <v>288</v>
      </c>
      <c r="E192" s="145">
        <v>16048</v>
      </c>
      <c r="F192" s="146" t="s">
        <v>514</v>
      </c>
    </row>
    <row r="193" spans="1:6" ht="27.75" customHeight="1" x14ac:dyDescent="0.2">
      <c r="A193" s="142" t="s">
        <v>512</v>
      </c>
      <c r="B193" s="138" t="s">
        <v>508</v>
      </c>
      <c r="C193" s="143" t="s">
        <v>516</v>
      </c>
      <c r="D193" s="147" t="s">
        <v>288</v>
      </c>
      <c r="E193" s="145">
        <v>24502.7</v>
      </c>
      <c r="F193" s="146" t="s">
        <v>514</v>
      </c>
    </row>
    <row r="194" spans="1:6" ht="34.5" customHeight="1" x14ac:dyDescent="0.2">
      <c r="A194" s="138" t="s">
        <v>115</v>
      </c>
      <c r="B194" s="138" t="s">
        <v>508</v>
      </c>
      <c r="C194" s="138" t="s">
        <v>517</v>
      </c>
      <c r="D194" s="139" t="s">
        <v>288</v>
      </c>
      <c r="E194" s="140">
        <v>715000</v>
      </c>
      <c r="F194" s="141" t="s">
        <v>518</v>
      </c>
    </row>
    <row r="195" spans="1:6" ht="23.25" customHeight="1" x14ac:dyDescent="0.2">
      <c r="A195" s="138" t="s">
        <v>519</v>
      </c>
      <c r="B195" s="138" t="s">
        <v>508</v>
      </c>
      <c r="C195" s="138" t="s">
        <v>520</v>
      </c>
      <c r="D195" s="139" t="s">
        <v>288</v>
      </c>
      <c r="E195" s="140">
        <v>60742.81</v>
      </c>
      <c r="F195" s="141" t="s">
        <v>510</v>
      </c>
    </row>
    <row r="196" spans="1:6" ht="25.5" customHeight="1" x14ac:dyDescent="0.2">
      <c r="A196" s="110" t="s">
        <v>519</v>
      </c>
      <c r="B196" s="138" t="s">
        <v>508</v>
      </c>
      <c r="C196" s="138" t="s">
        <v>521</v>
      </c>
      <c r="D196" s="139" t="s">
        <v>288</v>
      </c>
      <c r="E196" s="140">
        <v>30385</v>
      </c>
      <c r="F196" s="141" t="s">
        <v>510</v>
      </c>
    </row>
    <row r="197" spans="1:6" ht="24" x14ac:dyDescent="0.2">
      <c r="A197" s="138" t="s">
        <v>519</v>
      </c>
      <c r="B197" s="138" t="s">
        <v>508</v>
      </c>
      <c r="C197" s="138" t="s">
        <v>522</v>
      </c>
      <c r="D197" s="139" t="s">
        <v>288</v>
      </c>
      <c r="E197" s="140">
        <v>79818.740000000005</v>
      </c>
      <c r="F197" s="141" t="s">
        <v>510</v>
      </c>
    </row>
    <row r="198" spans="1:6" ht="24" x14ac:dyDescent="0.2">
      <c r="A198" s="110" t="s">
        <v>519</v>
      </c>
      <c r="B198" s="138" t="s">
        <v>508</v>
      </c>
      <c r="C198" s="138" t="s">
        <v>523</v>
      </c>
      <c r="D198" s="139" t="s">
        <v>288</v>
      </c>
      <c r="E198" s="140">
        <v>4500</v>
      </c>
      <c r="F198" s="141" t="s">
        <v>524</v>
      </c>
    </row>
    <row r="199" spans="1:6" ht="24" x14ac:dyDescent="0.2">
      <c r="A199" s="110" t="s">
        <v>519</v>
      </c>
      <c r="B199" s="138" t="s">
        <v>508</v>
      </c>
      <c r="C199" s="111" t="s">
        <v>525</v>
      </c>
      <c r="D199" s="112" t="s">
        <v>288</v>
      </c>
      <c r="E199" s="113">
        <v>44840</v>
      </c>
      <c r="F199" s="114" t="s">
        <v>526</v>
      </c>
    </row>
    <row r="200" spans="1:6" ht="14.1" customHeight="1" x14ac:dyDescent="0.2">
      <c r="A200" s="138" t="s">
        <v>519</v>
      </c>
      <c r="B200" s="138" t="s">
        <v>508</v>
      </c>
      <c r="C200" s="138" t="s">
        <v>527</v>
      </c>
      <c r="D200" s="139" t="s">
        <v>288</v>
      </c>
      <c r="E200" s="140">
        <v>8850</v>
      </c>
      <c r="F200" s="141" t="s">
        <v>510</v>
      </c>
    </row>
    <row r="201" spans="1:6" ht="14.1" customHeight="1" x14ac:dyDescent="0.2">
      <c r="A201" s="110" t="s">
        <v>528</v>
      </c>
      <c r="B201" s="138" t="s">
        <v>508</v>
      </c>
      <c r="C201" s="148" t="s">
        <v>529</v>
      </c>
      <c r="D201" s="149" t="s">
        <v>288</v>
      </c>
      <c r="E201" s="150">
        <v>45459.5</v>
      </c>
      <c r="F201" s="151" t="s">
        <v>530</v>
      </c>
    </row>
    <row r="202" spans="1:6" ht="15.95" customHeight="1" x14ac:dyDescent="0.2">
      <c r="A202" s="110" t="s">
        <v>528</v>
      </c>
      <c r="B202" s="138" t="s">
        <v>508</v>
      </c>
      <c r="C202" s="148" t="s">
        <v>531</v>
      </c>
      <c r="D202" s="149" t="s">
        <v>288</v>
      </c>
      <c r="E202" s="150">
        <v>7500</v>
      </c>
      <c r="F202" s="151" t="s">
        <v>532</v>
      </c>
    </row>
    <row r="203" spans="1:6" ht="15" customHeight="1" x14ac:dyDescent="0.2">
      <c r="A203" s="152" t="s">
        <v>172</v>
      </c>
      <c r="B203" s="152" t="s">
        <v>533</v>
      </c>
      <c r="C203" s="153" t="s">
        <v>534</v>
      </c>
      <c r="D203" s="154" t="s">
        <v>288</v>
      </c>
      <c r="E203" s="155">
        <v>68.44</v>
      </c>
      <c r="F203" s="156" t="s">
        <v>535</v>
      </c>
    </row>
    <row r="204" spans="1:6" ht="15" customHeight="1" x14ac:dyDescent="0.2">
      <c r="A204" s="152" t="s">
        <v>172</v>
      </c>
      <c r="B204" s="152" t="s">
        <v>533</v>
      </c>
      <c r="C204" s="153" t="s">
        <v>536</v>
      </c>
      <c r="D204" s="154" t="s">
        <v>288</v>
      </c>
      <c r="E204" s="155">
        <v>3935.3</v>
      </c>
      <c r="F204" s="156" t="s">
        <v>535</v>
      </c>
    </row>
    <row r="205" spans="1:6" ht="14.1" customHeight="1" x14ac:dyDescent="0.2">
      <c r="A205" s="152" t="s">
        <v>172</v>
      </c>
      <c r="B205" s="152" t="s">
        <v>533</v>
      </c>
      <c r="C205" s="153" t="s">
        <v>537</v>
      </c>
      <c r="D205" s="154" t="s">
        <v>288</v>
      </c>
      <c r="E205" s="155">
        <v>1548</v>
      </c>
      <c r="F205" s="156" t="s">
        <v>535</v>
      </c>
    </row>
    <row r="206" spans="1:6" ht="12.95" customHeight="1" x14ac:dyDescent="0.2">
      <c r="A206" s="152" t="s">
        <v>172</v>
      </c>
      <c r="B206" s="152" t="s">
        <v>533</v>
      </c>
      <c r="C206" s="153" t="s">
        <v>538</v>
      </c>
      <c r="D206" s="154" t="s">
        <v>288</v>
      </c>
      <c r="E206" s="155">
        <v>130</v>
      </c>
      <c r="F206" s="156" t="s">
        <v>535</v>
      </c>
    </row>
    <row r="207" spans="1:6" x14ac:dyDescent="0.2">
      <c r="A207" s="152" t="s">
        <v>172</v>
      </c>
      <c r="B207" s="152" t="s">
        <v>533</v>
      </c>
      <c r="C207" s="153" t="s">
        <v>539</v>
      </c>
      <c r="D207" s="154" t="s">
        <v>288</v>
      </c>
      <c r="E207" s="155">
        <v>341.02</v>
      </c>
      <c r="F207" s="156" t="s">
        <v>535</v>
      </c>
    </row>
    <row r="208" spans="1:6" x14ac:dyDescent="0.2">
      <c r="A208" s="152" t="s">
        <v>172</v>
      </c>
      <c r="B208" s="152" t="s">
        <v>533</v>
      </c>
      <c r="C208" s="153" t="s">
        <v>540</v>
      </c>
      <c r="D208" s="154" t="s">
        <v>288</v>
      </c>
      <c r="E208" s="155">
        <v>120</v>
      </c>
      <c r="F208" s="156" t="s">
        <v>535</v>
      </c>
    </row>
    <row r="209" spans="1:6" x14ac:dyDescent="0.2">
      <c r="A209" s="152" t="s">
        <v>172</v>
      </c>
      <c r="B209" s="152" t="s">
        <v>533</v>
      </c>
      <c r="C209" s="153" t="s">
        <v>541</v>
      </c>
      <c r="D209" s="154" t="s">
        <v>456</v>
      </c>
      <c r="E209" s="155">
        <v>57.784999999999997</v>
      </c>
      <c r="F209" s="156" t="s">
        <v>535</v>
      </c>
    </row>
    <row r="210" spans="1:6" x14ac:dyDescent="0.2">
      <c r="A210" s="152" t="s">
        <v>172</v>
      </c>
      <c r="B210" s="152" t="s">
        <v>533</v>
      </c>
      <c r="C210" s="153" t="s">
        <v>542</v>
      </c>
      <c r="D210" s="154" t="s">
        <v>456</v>
      </c>
      <c r="E210" s="155">
        <v>118</v>
      </c>
      <c r="F210" s="156" t="s">
        <v>535</v>
      </c>
    </row>
    <row r="211" spans="1:6" x14ac:dyDescent="0.2">
      <c r="A211" s="152" t="s">
        <v>172</v>
      </c>
      <c r="B211" s="152" t="s">
        <v>533</v>
      </c>
      <c r="C211" s="153" t="s">
        <v>543</v>
      </c>
      <c r="D211" s="154" t="s">
        <v>456</v>
      </c>
      <c r="E211" s="155">
        <v>138.06</v>
      </c>
      <c r="F211" s="156" t="s">
        <v>535</v>
      </c>
    </row>
    <row r="212" spans="1:6" x14ac:dyDescent="0.2">
      <c r="A212" s="152" t="s">
        <v>172</v>
      </c>
      <c r="B212" s="152" t="s">
        <v>533</v>
      </c>
      <c r="C212" s="153" t="s">
        <v>544</v>
      </c>
      <c r="D212" s="154" t="s">
        <v>456</v>
      </c>
      <c r="E212" s="155">
        <v>136.88</v>
      </c>
      <c r="F212" s="156" t="s">
        <v>535</v>
      </c>
    </row>
    <row r="213" spans="1:6" ht="14.1" customHeight="1" x14ac:dyDescent="0.2">
      <c r="A213" s="152" t="s">
        <v>172</v>
      </c>
      <c r="B213" s="152" t="s">
        <v>533</v>
      </c>
      <c r="C213" s="153" t="s">
        <v>545</v>
      </c>
      <c r="D213" s="154" t="s">
        <v>288</v>
      </c>
      <c r="E213" s="155">
        <v>270</v>
      </c>
      <c r="F213" s="156" t="s">
        <v>535</v>
      </c>
    </row>
    <row r="214" spans="1:6" ht="15" customHeight="1" x14ac:dyDescent="0.2">
      <c r="A214" s="152" t="s">
        <v>172</v>
      </c>
      <c r="B214" s="152" t="s">
        <v>533</v>
      </c>
      <c r="C214" s="153" t="s">
        <v>546</v>
      </c>
      <c r="D214" s="154" t="s">
        <v>288</v>
      </c>
      <c r="E214" s="155">
        <v>300</v>
      </c>
      <c r="F214" s="156" t="s">
        <v>535</v>
      </c>
    </row>
    <row r="215" spans="1:6" x14ac:dyDescent="0.2">
      <c r="A215" s="152" t="s">
        <v>172</v>
      </c>
      <c r="B215" s="152" t="s">
        <v>533</v>
      </c>
      <c r="C215" s="153" t="s">
        <v>547</v>
      </c>
      <c r="D215" s="154" t="s">
        <v>288</v>
      </c>
      <c r="E215" s="155">
        <v>160</v>
      </c>
      <c r="F215" s="156" t="s">
        <v>535</v>
      </c>
    </row>
    <row r="216" spans="1:6" x14ac:dyDescent="0.2">
      <c r="A216" s="152" t="s">
        <v>172</v>
      </c>
      <c r="B216" s="152" t="s">
        <v>533</v>
      </c>
      <c r="C216" s="153" t="s">
        <v>548</v>
      </c>
      <c r="D216" s="154" t="s">
        <v>288</v>
      </c>
      <c r="E216" s="155">
        <v>728.06</v>
      </c>
      <c r="F216" s="156" t="s">
        <v>535</v>
      </c>
    </row>
    <row r="217" spans="1:6" x14ac:dyDescent="0.2">
      <c r="A217" s="152" t="s">
        <v>172</v>
      </c>
      <c r="B217" s="152" t="s">
        <v>533</v>
      </c>
      <c r="C217" s="153" t="s">
        <v>549</v>
      </c>
      <c r="D217" s="154" t="s">
        <v>288</v>
      </c>
      <c r="E217" s="155">
        <v>125</v>
      </c>
      <c r="F217" s="156" t="s">
        <v>535</v>
      </c>
    </row>
    <row r="218" spans="1:6" x14ac:dyDescent="0.2">
      <c r="A218" s="157" t="s">
        <v>550</v>
      </c>
      <c r="B218" s="157" t="s">
        <v>551</v>
      </c>
      <c r="C218" s="158" t="s">
        <v>552</v>
      </c>
      <c r="D218" s="159" t="s">
        <v>288</v>
      </c>
      <c r="E218" s="160">
        <v>7123.8959999999997</v>
      </c>
      <c r="F218" s="161" t="s">
        <v>553</v>
      </c>
    </row>
    <row r="219" spans="1:6" x14ac:dyDescent="0.2">
      <c r="A219" s="157" t="s">
        <v>550</v>
      </c>
      <c r="B219" s="157" t="s">
        <v>551</v>
      </c>
      <c r="C219" s="158" t="s">
        <v>554</v>
      </c>
      <c r="D219" s="162" t="s">
        <v>288</v>
      </c>
      <c r="E219" s="163">
        <v>13570</v>
      </c>
      <c r="F219" s="164" t="s">
        <v>553</v>
      </c>
    </row>
    <row r="220" spans="1:6" ht="19.5" customHeight="1" x14ac:dyDescent="0.2">
      <c r="A220" s="165" t="s">
        <v>178</v>
      </c>
      <c r="B220" s="165" t="s">
        <v>555</v>
      </c>
      <c r="C220" s="166" t="s">
        <v>556</v>
      </c>
      <c r="D220" s="167" t="s">
        <v>288</v>
      </c>
      <c r="E220" s="168">
        <v>6938.4</v>
      </c>
      <c r="F220" s="169" t="s">
        <v>557</v>
      </c>
    </row>
    <row r="221" spans="1:6" ht="15.95" customHeight="1" x14ac:dyDescent="0.2">
      <c r="A221" s="170" t="s">
        <v>178</v>
      </c>
      <c r="B221" s="165" t="s">
        <v>555</v>
      </c>
      <c r="C221" s="171" t="s">
        <v>558</v>
      </c>
      <c r="D221" s="172" t="s">
        <v>288</v>
      </c>
      <c r="E221" s="173">
        <v>11800</v>
      </c>
      <c r="F221" s="174" t="s">
        <v>559</v>
      </c>
    </row>
    <row r="222" spans="1:6" ht="15.95" customHeight="1" x14ac:dyDescent="0.2">
      <c r="A222" s="170" t="s">
        <v>178</v>
      </c>
      <c r="B222" s="165" t="s">
        <v>555</v>
      </c>
      <c r="C222" s="171" t="s">
        <v>560</v>
      </c>
      <c r="D222" s="172" t="s">
        <v>288</v>
      </c>
      <c r="E222" s="173">
        <v>10620</v>
      </c>
      <c r="F222" s="174" t="s">
        <v>559</v>
      </c>
    </row>
    <row r="223" spans="1:6" x14ac:dyDescent="0.2">
      <c r="A223" s="165" t="s">
        <v>178</v>
      </c>
      <c r="B223" s="165" t="s">
        <v>555</v>
      </c>
      <c r="C223" s="166" t="s">
        <v>561</v>
      </c>
      <c r="D223" s="167" t="s">
        <v>288</v>
      </c>
      <c r="E223" s="168">
        <v>8142</v>
      </c>
      <c r="F223" s="169" t="s">
        <v>557</v>
      </c>
    </row>
    <row r="224" spans="1:6" x14ac:dyDescent="0.2">
      <c r="A224" s="170" t="s">
        <v>178</v>
      </c>
      <c r="B224" s="165" t="s">
        <v>555</v>
      </c>
      <c r="C224" s="171" t="s">
        <v>562</v>
      </c>
      <c r="D224" s="172" t="s">
        <v>288</v>
      </c>
      <c r="E224" s="173">
        <v>11227.8771</v>
      </c>
      <c r="F224" s="175" t="s">
        <v>559</v>
      </c>
    </row>
    <row r="225" spans="1:6" ht="21.75" customHeight="1" x14ac:dyDescent="0.2">
      <c r="A225" s="165" t="s">
        <v>178</v>
      </c>
      <c r="B225" s="165" t="s">
        <v>555</v>
      </c>
      <c r="C225" s="166" t="s">
        <v>563</v>
      </c>
      <c r="D225" s="167" t="s">
        <v>288</v>
      </c>
      <c r="E225" s="168">
        <v>8496</v>
      </c>
      <c r="F225" s="169" t="s">
        <v>557</v>
      </c>
    </row>
    <row r="226" spans="1:6" ht="23.25" customHeight="1" x14ac:dyDescent="0.2">
      <c r="A226" s="165" t="s">
        <v>178</v>
      </c>
      <c r="B226" s="165" t="s">
        <v>555</v>
      </c>
      <c r="C226" s="166" t="s">
        <v>564</v>
      </c>
      <c r="D226" s="176" t="s">
        <v>288</v>
      </c>
      <c r="E226" s="177">
        <v>5605</v>
      </c>
      <c r="F226" s="178" t="s">
        <v>557</v>
      </c>
    </row>
    <row r="227" spans="1:6" ht="23.25" customHeight="1" x14ac:dyDescent="0.2">
      <c r="A227" s="170" t="s">
        <v>178</v>
      </c>
      <c r="B227" s="165" t="s">
        <v>555</v>
      </c>
      <c r="C227" s="171" t="s">
        <v>565</v>
      </c>
      <c r="D227" s="172" t="s">
        <v>288</v>
      </c>
      <c r="E227" s="173">
        <v>14160</v>
      </c>
      <c r="F227" s="175" t="s">
        <v>559</v>
      </c>
    </row>
    <row r="228" spans="1:6" ht="24" x14ac:dyDescent="0.2">
      <c r="A228" s="165" t="s">
        <v>178</v>
      </c>
      <c r="B228" s="165" t="s">
        <v>555</v>
      </c>
      <c r="C228" s="166" t="s">
        <v>566</v>
      </c>
      <c r="D228" s="167" t="s">
        <v>288</v>
      </c>
      <c r="E228" s="168">
        <v>1121</v>
      </c>
      <c r="F228" s="169" t="s">
        <v>557</v>
      </c>
    </row>
    <row r="229" spans="1:6" ht="24" x14ac:dyDescent="0.2">
      <c r="A229" s="170" t="s">
        <v>178</v>
      </c>
      <c r="B229" s="165" t="s">
        <v>555</v>
      </c>
      <c r="C229" s="171" t="s">
        <v>567</v>
      </c>
      <c r="D229" s="172" t="s">
        <v>288</v>
      </c>
      <c r="E229" s="173">
        <v>450</v>
      </c>
      <c r="F229" s="175" t="s">
        <v>559</v>
      </c>
    </row>
    <row r="230" spans="1:6" ht="24" x14ac:dyDescent="0.2">
      <c r="A230" s="165" t="s">
        <v>178</v>
      </c>
      <c r="B230" s="165" t="s">
        <v>555</v>
      </c>
      <c r="C230" s="166" t="s">
        <v>568</v>
      </c>
      <c r="D230" s="167" t="s">
        <v>288</v>
      </c>
      <c r="E230" s="168">
        <v>5900</v>
      </c>
      <c r="F230" s="169" t="s">
        <v>557</v>
      </c>
    </row>
    <row r="231" spans="1:6" ht="24" x14ac:dyDescent="0.2">
      <c r="A231" s="170" t="s">
        <v>178</v>
      </c>
      <c r="B231" s="165" t="s">
        <v>555</v>
      </c>
      <c r="C231" s="171" t="s">
        <v>569</v>
      </c>
      <c r="D231" s="172" t="s">
        <v>288</v>
      </c>
      <c r="E231" s="173">
        <v>14160</v>
      </c>
      <c r="F231" s="175" t="s">
        <v>559</v>
      </c>
    </row>
    <row r="232" spans="1:6" x14ac:dyDescent="0.2">
      <c r="A232" s="165" t="s">
        <v>178</v>
      </c>
      <c r="B232" s="165" t="s">
        <v>555</v>
      </c>
      <c r="C232" s="166" t="s">
        <v>570</v>
      </c>
      <c r="D232" s="167" t="s">
        <v>288</v>
      </c>
      <c r="E232" s="168">
        <v>18880</v>
      </c>
      <c r="F232" s="178" t="s">
        <v>557</v>
      </c>
    </row>
    <row r="233" spans="1:6" ht="24" x14ac:dyDescent="0.2">
      <c r="A233" s="165" t="s">
        <v>178</v>
      </c>
      <c r="B233" s="165" t="s">
        <v>555</v>
      </c>
      <c r="C233" s="166" t="s">
        <v>571</v>
      </c>
      <c r="D233" s="167" t="s">
        <v>288</v>
      </c>
      <c r="E233" s="168">
        <v>4130</v>
      </c>
      <c r="F233" s="178" t="s">
        <v>557</v>
      </c>
    </row>
    <row r="234" spans="1:6" x14ac:dyDescent="0.2">
      <c r="A234" s="165" t="s">
        <v>178</v>
      </c>
      <c r="B234" s="165" t="s">
        <v>555</v>
      </c>
      <c r="C234" s="166" t="s">
        <v>572</v>
      </c>
      <c r="D234" s="167" t="s">
        <v>288</v>
      </c>
      <c r="E234" s="168">
        <v>2950</v>
      </c>
      <c r="F234" s="178" t="s">
        <v>557</v>
      </c>
    </row>
    <row r="235" spans="1:6" ht="24" x14ac:dyDescent="0.2">
      <c r="A235" s="170" t="s">
        <v>178</v>
      </c>
      <c r="B235" s="165" t="s">
        <v>555</v>
      </c>
      <c r="C235" s="171" t="s">
        <v>573</v>
      </c>
      <c r="D235" s="172" t="s">
        <v>288</v>
      </c>
      <c r="E235" s="173">
        <v>7949.66</v>
      </c>
      <c r="F235" s="175" t="s">
        <v>559</v>
      </c>
    </row>
    <row r="236" spans="1:6" x14ac:dyDescent="0.2">
      <c r="A236" s="170" t="s">
        <v>178</v>
      </c>
      <c r="B236" s="165" t="s">
        <v>555</v>
      </c>
      <c r="C236" s="171" t="s">
        <v>574</v>
      </c>
      <c r="D236" s="172" t="s">
        <v>288</v>
      </c>
      <c r="E236" s="173">
        <v>1303.9000000000001</v>
      </c>
      <c r="F236" s="175" t="s">
        <v>559</v>
      </c>
    </row>
    <row r="237" spans="1:6" ht="24" x14ac:dyDescent="0.2">
      <c r="A237" s="170" t="s">
        <v>178</v>
      </c>
      <c r="B237" s="165" t="s">
        <v>555</v>
      </c>
      <c r="C237" s="171" t="s">
        <v>575</v>
      </c>
      <c r="D237" s="172" t="s">
        <v>288</v>
      </c>
      <c r="E237" s="173">
        <v>7949.66</v>
      </c>
      <c r="F237" s="175" t="s">
        <v>559</v>
      </c>
    </row>
    <row r="238" spans="1:6" ht="24" x14ac:dyDescent="0.2">
      <c r="A238" s="170" t="s">
        <v>178</v>
      </c>
      <c r="B238" s="165" t="s">
        <v>555</v>
      </c>
      <c r="C238" s="171" t="s">
        <v>576</v>
      </c>
      <c r="D238" s="172" t="s">
        <v>288</v>
      </c>
      <c r="E238" s="173">
        <v>9912</v>
      </c>
      <c r="F238" s="175" t="s">
        <v>559</v>
      </c>
    </row>
    <row r="239" spans="1:6" ht="19.5" customHeight="1" x14ac:dyDescent="0.2">
      <c r="A239" s="165" t="s">
        <v>178</v>
      </c>
      <c r="B239" s="165" t="s">
        <v>555</v>
      </c>
      <c r="C239" s="179" t="s">
        <v>577</v>
      </c>
      <c r="D239" s="176" t="s">
        <v>288</v>
      </c>
      <c r="E239" s="177">
        <v>14004.83</v>
      </c>
      <c r="F239" s="178" t="s">
        <v>557</v>
      </c>
    </row>
    <row r="240" spans="1:6" ht="20.25" customHeight="1" x14ac:dyDescent="0.2">
      <c r="A240" s="165" t="s">
        <v>178</v>
      </c>
      <c r="B240" s="165" t="s">
        <v>555</v>
      </c>
      <c r="C240" s="166" t="s">
        <v>578</v>
      </c>
      <c r="D240" s="167" t="s">
        <v>288</v>
      </c>
      <c r="E240" s="168">
        <v>12019.008</v>
      </c>
      <c r="F240" s="178" t="s">
        <v>557</v>
      </c>
    </row>
    <row r="241" spans="1:6" ht="24" x14ac:dyDescent="0.2">
      <c r="A241" s="165" t="s">
        <v>178</v>
      </c>
      <c r="B241" s="165" t="s">
        <v>555</v>
      </c>
      <c r="C241" s="166" t="s">
        <v>579</v>
      </c>
      <c r="D241" s="176" t="s">
        <v>288</v>
      </c>
      <c r="E241" s="177">
        <v>4378.9799999999996</v>
      </c>
      <c r="F241" s="178" t="s">
        <v>559</v>
      </c>
    </row>
    <row r="242" spans="1:6" ht="24" x14ac:dyDescent="0.2">
      <c r="A242" s="165" t="s">
        <v>178</v>
      </c>
      <c r="B242" s="165" t="s">
        <v>555</v>
      </c>
      <c r="C242" s="166" t="s">
        <v>580</v>
      </c>
      <c r="D242" s="167" t="s">
        <v>288</v>
      </c>
      <c r="E242" s="168">
        <v>3482.18</v>
      </c>
      <c r="F242" s="169" t="s">
        <v>557</v>
      </c>
    </row>
    <row r="243" spans="1:6" ht="24" x14ac:dyDescent="0.2">
      <c r="A243" s="165" t="s">
        <v>178</v>
      </c>
      <c r="B243" s="165" t="s">
        <v>555</v>
      </c>
      <c r="C243" s="166" t="s">
        <v>581</v>
      </c>
      <c r="D243" s="167" t="s">
        <v>288</v>
      </c>
      <c r="E243" s="168">
        <v>6755.7359999999999</v>
      </c>
      <c r="F243" s="178" t="s">
        <v>557</v>
      </c>
    </row>
    <row r="244" spans="1:6" ht="12.95" customHeight="1" x14ac:dyDescent="0.2">
      <c r="A244" s="180" t="s">
        <v>114</v>
      </c>
      <c r="B244" s="180" t="s">
        <v>582</v>
      </c>
      <c r="C244" s="181" t="s">
        <v>583</v>
      </c>
      <c r="D244" s="182" t="s">
        <v>288</v>
      </c>
      <c r="E244" s="183"/>
      <c r="F244" s="184" t="s">
        <v>584</v>
      </c>
    </row>
    <row r="245" spans="1:6" ht="24" x14ac:dyDescent="0.2">
      <c r="A245" s="185" t="s">
        <v>192</v>
      </c>
      <c r="B245" s="185" t="s">
        <v>585</v>
      </c>
      <c r="C245" s="186" t="s">
        <v>586</v>
      </c>
      <c r="D245" s="187" t="s">
        <v>288</v>
      </c>
      <c r="E245" s="188">
        <v>36028.94</v>
      </c>
      <c r="F245" s="189" t="s">
        <v>587</v>
      </c>
    </row>
    <row r="246" spans="1:6" x14ac:dyDescent="0.2">
      <c r="A246" s="185" t="s">
        <v>192</v>
      </c>
      <c r="B246" s="185" t="s">
        <v>585</v>
      </c>
      <c r="C246" s="186" t="s">
        <v>588</v>
      </c>
      <c r="D246" s="187" t="s">
        <v>288</v>
      </c>
      <c r="E246" s="188">
        <v>30591.5</v>
      </c>
      <c r="F246" s="189" t="s">
        <v>587</v>
      </c>
    </row>
    <row r="247" spans="1:6" x14ac:dyDescent="0.2">
      <c r="A247" s="185" t="s">
        <v>192</v>
      </c>
      <c r="B247" s="185" t="s">
        <v>585</v>
      </c>
      <c r="C247" s="186" t="s">
        <v>589</v>
      </c>
      <c r="D247" s="187" t="s">
        <v>288</v>
      </c>
      <c r="E247" s="188">
        <v>626.58000000000004</v>
      </c>
      <c r="F247" s="189" t="s">
        <v>587</v>
      </c>
    </row>
    <row r="248" spans="1:6" ht="24" x14ac:dyDescent="0.2">
      <c r="A248" s="185" t="s">
        <v>192</v>
      </c>
      <c r="B248" s="185" t="s">
        <v>585</v>
      </c>
      <c r="C248" s="186" t="s">
        <v>590</v>
      </c>
      <c r="D248" s="187" t="s">
        <v>288</v>
      </c>
      <c r="E248" s="188">
        <v>62031.42</v>
      </c>
      <c r="F248" s="189" t="s">
        <v>587</v>
      </c>
    </row>
    <row r="249" spans="1:6" x14ac:dyDescent="0.2">
      <c r="A249" s="85" t="s">
        <v>100</v>
      </c>
      <c r="B249" s="85" t="s">
        <v>591</v>
      </c>
      <c r="C249" s="86" t="s">
        <v>592</v>
      </c>
      <c r="D249" s="87" t="s">
        <v>288</v>
      </c>
      <c r="E249" s="88">
        <v>60</v>
      </c>
      <c r="F249" s="125" t="s">
        <v>593</v>
      </c>
    </row>
    <row r="250" spans="1:6" x14ac:dyDescent="0.2">
      <c r="A250" s="190" t="s">
        <v>594</v>
      </c>
      <c r="B250" s="190" t="s">
        <v>595</v>
      </c>
      <c r="C250" s="191" t="s">
        <v>596</v>
      </c>
      <c r="D250" s="192" t="s">
        <v>288</v>
      </c>
      <c r="E250" s="193">
        <v>487.34</v>
      </c>
      <c r="F250" s="194" t="s">
        <v>597</v>
      </c>
    </row>
    <row r="251" spans="1:6" x14ac:dyDescent="0.2">
      <c r="A251" s="190" t="s">
        <v>594</v>
      </c>
      <c r="B251" s="190" t="s">
        <v>595</v>
      </c>
      <c r="C251" s="191" t="s">
        <v>598</v>
      </c>
      <c r="D251" s="192" t="s">
        <v>288</v>
      </c>
      <c r="E251" s="193">
        <v>88.5</v>
      </c>
      <c r="F251" s="194" t="s">
        <v>597</v>
      </c>
    </row>
    <row r="252" spans="1:6" x14ac:dyDescent="0.2">
      <c r="A252" s="195" t="s">
        <v>142</v>
      </c>
      <c r="B252" s="195" t="s">
        <v>599</v>
      </c>
      <c r="C252" s="196" t="s">
        <v>600</v>
      </c>
      <c r="D252" s="197" t="s">
        <v>288</v>
      </c>
      <c r="E252" s="198">
        <v>177</v>
      </c>
      <c r="F252" s="199" t="s">
        <v>601</v>
      </c>
    </row>
    <row r="253" spans="1:6" ht="36" x14ac:dyDescent="0.2">
      <c r="A253" s="195" t="s">
        <v>142</v>
      </c>
      <c r="B253" s="195" t="s">
        <v>599</v>
      </c>
      <c r="C253" s="196" t="s">
        <v>602</v>
      </c>
      <c r="D253" s="197" t="s">
        <v>288</v>
      </c>
      <c r="E253" s="198">
        <v>5959</v>
      </c>
      <c r="F253" s="199" t="s">
        <v>601</v>
      </c>
    </row>
    <row r="254" spans="1:6" x14ac:dyDescent="0.2">
      <c r="A254" s="85" t="s">
        <v>150</v>
      </c>
      <c r="B254" s="85" t="s">
        <v>603</v>
      </c>
      <c r="C254" s="86" t="s">
        <v>604</v>
      </c>
      <c r="D254" s="87" t="s">
        <v>605</v>
      </c>
      <c r="E254" s="88">
        <v>18.88</v>
      </c>
      <c r="F254" s="89" t="s">
        <v>606</v>
      </c>
    </row>
    <row r="255" spans="1:6" x14ac:dyDescent="0.2">
      <c r="A255" s="85" t="s">
        <v>155</v>
      </c>
      <c r="B255" s="85" t="s">
        <v>607</v>
      </c>
      <c r="C255" s="86" t="s">
        <v>608</v>
      </c>
      <c r="D255" s="87" t="s">
        <v>288</v>
      </c>
      <c r="E255" s="88">
        <v>4124.1000000000004</v>
      </c>
      <c r="F255" s="89" t="s">
        <v>609</v>
      </c>
    </row>
    <row r="256" spans="1:6" ht="19.5" customHeight="1" x14ac:dyDescent="0.2">
      <c r="A256" s="85" t="s">
        <v>155</v>
      </c>
      <c r="B256" s="85" t="s">
        <v>607</v>
      </c>
      <c r="C256" s="86" t="s">
        <v>610</v>
      </c>
      <c r="D256" s="87" t="s">
        <v>288</v>
      </c>
      <c r="E256" s="88">
        <v>4737.7</v>
      </c>
      <c r="F256" s="89" t="s">
        <v>609</v>
      </c>
    </row>
    <row r="257" spans="1:6" x14ac:dyDescent="0.2">
      <c r="A257" s="85" t="s">
        <v>155</v>
      </c>
      <c r="B257" s="85" t="s">
        <v>607</v>
      </c>
      <c r="C257" s="86" t="s">
        <v>611</v>
      </c>
      <c r="D257" s="87" t="s">
        <v>288</v>
      </c>
      <c r="E257" s="88">
        <v>1239</v>
      </c>
      <c r="F257" s="89" t="s">
        <v>609</v>
      </c>
    </row>
    <row r="258" spans="1:6" ht="24" x14ac:dyDescent="0.2">
      <c r="A258" s="195" t="s">
        <v>249</v>
      </c>
      <c r="B258" s="195" t="s">
        <v>612</v>
      </c>
      <c r="C258" s="196" t="s">
        <v>613</v>
      </c>
      <c r="D258" s="197" t="s">
        <v>288</v>
      </c>
      <c r="E258" s="198">
        <v>711.54</v>
      </c>
      <c r="F258" s="199" t="s">
        <v>601</v>
      </c>
    </row>
    <row r="259" spans="1:6" ht="23.25" customHeight="1" x14ac:dyDescent="0.2">
      <c r="A259" s="195" t="s">
        <v>249</v>
      </c>
      <c r="B259" s="195" t="s">
        <v>612</v>
      </c>
      <c r="C259" s="196" t="s">
        <v>614</v>
      </c>
      <c r="D259" s="197" t="s">
        <v>288</v>
      </c>
      <c r="E259" s="198">
        <v>30.68</v>
      </c>
      <c r="F259" s="199" t="s">
        <v>601</v>
      </c>
    </row>
    <row r="260" spans="1:6" ht="17.25" customHeight="1" x14ac:dyDescent="0.2">
      <c r="A260" s="195" t="s">
        <v>249</v>
      </c>
      <c r="B260" s="195" t="s">
        <v>612</v>
      </c>
      <c r="C260" s="196" t="s">
        <v>615</v>
      </c>
      <c r="D260" s="197" t="s">
        <v>288</v>
      </c>
      <c r="E260" s="198">
        <v>93.22</v>
      </c>
      <c r="F260" s="199" t="s">
        <v>616</v>
      </c>
    </row>
    <row r="261" spans="1:6" ht="15" customHeight="1" x14ac:dyDescent="0.2">
      <c r="A261" s="195" t="s">
        <v>249</v>
      </c>
      <c r="B261" s="195" t="s">
        <v>612</v>
      </c>
      <c r="C261" s="196" t="s">
        <v>617</v>
      </c>
      <c r="D261" s="197" t="s">
        <v>288</v>
      </c>
      <c r="E261" s="198">
        <v>140.125</v>
      </c>
      <c r="F261" s="199" t="s">
        <v>616</v>
      </c>
    </row>
    <row r="262" spans="1:6" x14ac:dyDescent="0.2">
      <c r="A262" s="195" t="s">
        <v>249</v>
      </c>
      <c r="B262" s="195" t="s">
        <v>612</v>
      </c>
      <c r="C262" s="196" t="s">
        <v>618</v>
      </c>
      <c r="D262" s="197" t="s">
        <v>288</v>
      </c>
      <c r="E262" s="198">
        <v>194.7</v>
      </c>
      <c r="F262" s="199" t="s">
        <v>616</v>
      </c>
    </row>
    <row r="263" spans="1:6" x14ac:dyDescent="0.2">
      <c r="A263" s="195" t="s">
        <v>249</v>
      </c>
      <c r="B263" s="195" t="s">
        <v>612</v>
      </c>
      <c r="C263" s="196" t="s">
        <v>619</v>
      </c>
      <c r="D263" s="197" t="s">
        <v>288</v>
      </c>
      <c r="E263" s="198">
        <v>334.82499999999999</v>
      </c>
      <c r="F263" s="199" t="s">
        <v>616</v>
      </c>
    </row>
    <row r="264" spans="1:6" x14ac:dyDescent="0.2">
      <c r="A264" s="195" t="s">
        <v>249</v>
      </c>
      <c r="B264" s="195" t="s">
        <v>612</v>
      </c>
      <c r="C264" s="196" t="s">
        <v>620</v>
      </c>
      <c r="D264" s="197" t="s">
        <v>288</v>
      </c>
      <c r="E264" s="198">
        <v>474.36</v>
      </c>
      <c r="F264" s="199" t="s">
        <v>616</v>
      </c>
    </row>
    <row r="265" spans="1:6" x14ac:dyDescent="0.2">
      <c r="A265" s="195" t="s">
        <v>249</v>
      </c>
      <c r="B265" s="195" t="s">
        <v>612</v>
      </c>
      <c r="C265" s="196" t="s">
        <v>621</v>
      </c>
      <c r="D265" s="197" t="s">
        <v>288</v>
      </c>
      <c r="E265" s="198">
        <v>548.70000000000005</v>
      </c>
      <c r="F265" s="199" t="s">
        <v>616</v>
      </c>
    </row>
    <row r="266" spans="1:6" x14ac:dyDescent="0.2">
      <c r="A266" s="195" t="s">
        <v>249</v>
      </c>
      <c r="B266" s="195" t="s">
        <v>612</v>
      </c>
      <c r="C266" s="196" t="s">
        <v>622</v>
      </c>
      <c r="D266" s="197" t="s">
        <v>288</v>
      </c>
      <c r="E266" s="198">
        <v>628.94000000000005</v>
      </c>
      <c r="F266" s="199" t="s">
        <v>616</v>
      </c>
    </row>
    <row r="267" spans="1:6" x14ac:dyDescent="0.2">
      <c r="A267" s="195" t="s">
        <v>249</v>
      </c>
      <c r="B267" s="195" t="s">
        <v>612</v>
      </c>
      <c r="C267" s="196" t="s">
        <v>623</v>
      </c>
      <c r="D267" s="197" t="s">
        <v>288</v>
      </c>
      <c r="E267" s="198">
        <v>401.2</v>
      </c>
      <c r="F267" s="199" t="s">
        <v>616</v>
      </c>
    </row>
    <row r="268" spans="1:6" x14ac:dyDescent="0.2">
      <c r="A268" s="195" t="s">
        <v>249</v>
      </c>
      <c r="B268" s="195" t="s">
        <v>612</v>
      </c>
      <c r="C268" s="196" t="s">
        <v>624</v>
      </c>
      <c r="D268" s="197" t="s">
        <v>288</v>
      </c>
      <c r="E268" s="198">
        <v>526.57500000000005</v>
      </c>
      <c r="F268" s="199" t="s">
        <v>616</v>
      </c>
    </row>
    <row r="269" spans="1:6" x14ac:dyDescent="0.2">
      <c r="A269" s="195" t="s">
        <v>249</v>
      </c>
      <c r="B269" s="195" t="s">
        <v>612</v>
      </c>
      <c r="C269" s="196" t="s">
        <v>625</v>
      </c>
      <c r="D269" s="197" t="s">
        <v>315</v>
      </c>
      <c r="E269" s="198">
        <v>175.82</v>
      </c>
      <c r="F269" s="199" t="s">
        <v>616</v>
      </c>
    </row>
    <row r="270" spans="1:6" x14ac:dyDescent="0.2">
      <c r="A270" s="195" t="s">
        <v>249</v>
      </c>
      <c r="B270" s="195" t="s">
        <v>612</v>
      </c>
      <c r="C270" s="196" t="s">
        <v>626</v>
      </c>
      <c r="D270" s="197" t="s">
        <v>315</v>
      </c>
      <c r="E270" s="198">
        <v>531</v>
      </c>
      <c r="F270" s="199" t="s">
        <v>616</v>
      </c>
    </row>
    <row r="271" spans="1:6" x14ac:dyDescent="0.2">
      <c r="A271" s="195" t="s">
        <v>249</v>
      </c>
      <c r="B271" s="195" t="s">
        <v>612</v>
      </c>
      <c r="C271" s="196" t="s">
        <v>627</v>
      </c>
      <c r="D271" s="197" t="s">
        <v>315</v>
      </c>
      <c r="E271" s="198">
        <v>233.64</v>
      </c>
      <c r="F271" s="199" t="s">
        <v>616</v>
      </c>
    </row>
    <row r="272" spans="1:6" x14ac:dyDescent="0.2">
      <c r="A272" s="195" t="s">
        <v>249</v>
      </c>
      <c r="B272" s="195" t="s">
        <v>612</v>
      </c>
      <c r="C272" s="196" t="s">
        <v>628</v>
      </c>
      <c r="D272" s="197" t="s">
        <v>315</v>
      </c>
      <c r="E272" s="198">
        <v>260.00110000000001</v>
      </c>
      <c r="F272" s="199" t="s">
        <v>616</v>
      </c>
    </row>
    <row r="273" spans="1:6" ht="36" x14ac:dyDescent="0.2">
      <c r="A273" s="195" t="s">
        <v>249</v>
      </c>
      <c r="B273" s="195" t="s">
        <v>612</v>
      </c>
      <c r="C273" s="196" t="s">
        <v>629</v>
      </c>
      <c r="D273" s="197" t="s">
        <v>288</v>
      </c>
      <c r="E273" s="198">
        <v>283.2</v>
      </c>
      <c r="F273" s="199" t="s">
        <v>601</v>
      </c>
    </row>
    <row r="274" spans="1:6" x14ac:dyDescent="0.2">
      <c r="A274" s="195" t="s">
        <v>249</v>
      </c>
      <c r="B274" s="195" t="s">
        <v>612</v>
      </c>
      <c r="C274" s="196" t="s">
        <v>630</v>
      </c>
      <c r="D274" s="197" t="s">
        <v>288</v>
      </c>
      <c r="E274" s="198">
        <v>132.75</v>
      </c>
      <c r="F274" s="199" t="s">
        <v>616</v>
      </c>
    </row>
    <row r="275" spans="1:6" x14ac:dyDescent="0.2">
      <c r="A275" s="195" t="s">
        <v>249</v>
      </c>
      <c r="B275" s="195" t="s">
        <v>612</v>
      </c>
      <c r="C275" s="196" t="s">
        <v>631</v>
      </c>
      <c r="D275" s="197" t="s">
        <v>288</v>
      </c>
      <c r="E275" s="198">
        <v>368.75</v>
      </c>
      <c r="F275" s="199" t="s">
        <v>616</v>
      </c>
    </row>
    <row r="276" spans="1:6" x14ac:dyDescent="0.2">
      <c r="A276" s="195" t="s">
        <v>249</v>
      </c>
      <c r="B276" s="195" t="s">
        <v>612</v>
      </c>
      <c r="C276" s="196" t="s">
        <v>632</v>
      </c>
      <c r="D276" s="197" t="s">
        <v>288</v>
      </c>
      <c r="E276" s="198">
        <v>5546</v>
      </c>
      <c r="F276" s="199" t="s">
        <v>601</v>
      </c>
    </row>
    <row r="277" spans="1:6" ht="24" x14ac:dyDescent="0.2">
      <c r="A277" s="195" t="s">
        <v>249</v>
      </c>
      <c r="B277" s="195" t="s">
        <v>612</v>
      </c>
      <c r="C277" s="196" t="s">
        <v>633</v>
      </c>
      <c r="D277" s="197" t="s">
        <v>288</v>
      </c>
      <c r="E277" s="198">
        <v>1215.4000000000001</v>
      </c>
      <c r="F277" s="199" t="s">
        <v>601</v>
      </c>
    </row>
    <row r="278" spans="1:6" x14ac:dyDescent="0.2">
      <c r="A278" s="195" t="s">
        <v>249</v>
      </c>
      <c r="B278" s="195" t="s">
        <v>612</v>
      </c>
      <c r="C278" s="196" t="s">
        <v>634</v>
      </c>
      <c r="D278" s="197" t="s">
        <v>635</v>
      </c>
      <c r="E278" s="198">
        <v>139.24</v>
      </c>
      <c r="F278" s="199" t="s">
        <v>636</v>
      </c>
    </row>
    <row r="279" spans="1:6" x14ac:dyDescent="0.2">
      <c r="A279" s="195" t="s">
        <v>249</v>
      </c>
      <c r="B279" s="195" t="s">
        <v>612</v>
      </c>
      <c r="C279" s="196" t="s">
        <v>637</v>
      </c>
      <c r="D279" s="197" t="s">
        <v>635</v>
      </c>
      <c r="E279" s="198">
        <v>194.7</v>
      </c>
      <c r="F279" s="199" t="s">
        <v>636</v>
      </c>
    </row>
    <row r="280" spans="1:6" ht="24" x14ac:dyDescent="0.2">
      <c r="A280" s="195" t="s">
        <v>249</v>
      </c>
      <c r="B280" s="195" t="s">
        <v>612</v>
      </c>
      <c r="C280" s="196" t="s">
        <v>638</v>
      </c>
      <c r="D280" s="197" t="s">
        <v>288</v>
      </c>
      <c r="E280" s="198">
        <v>12.803000000000001</v>
      </c>
      <c r="F280" s="199" t="s">
        <v>616</v>
      </c>
    </row>
    <row r="281" spans="1:6" x14ac:dyDescent="0.2">
      <c r="A281" s="195" t="s">
        <v>249</v>
      </c>
      <c r="B281" s="195" t="s">
        <v>612</v>
      </c>
      <c r="C281" s="196" t="s">
        <v>639</v>
      </c>
      <c r="D281" s="197" t="s">
        <v>288</v>
      </c>
      <c r="E281" s="198">
        <v>663.75</v>
      </c>
      <c r="F281" s="199" t="s">
        <v>616</v>
      </c>
    </row>
    <row r="282" spans="1:6" x14ac:dyDescent="0.2">
      <c r="A282" s="195" t="s">
        <v>249</v>
      </c>
      <c r="B282" s="195" t="s">
        <v>612</v>
      </c>
      <c r="C282" s="196" t="s">
        <v>640</v>
      </c>
      <c r="D282" s="197" t="s">
        <v>288</v>
      </c>
      <c r="E282" s="198">
        <v>6149.9943000000003</v>
      </c>
      <c r="F282" s="199" t="s">
        <v>601</v>
      </c>
    </row>
    <row r="283" spans="1:6" x14ac:dyDescent="0.2">
      <c r="A283" s="85" t="s">
        <v>154</v>
      </c>
      <c r="B283" s="85" t="s">
        <v>641</v>
      </c>
      <c r="C283" s="86" t="s">
        <v>642</v>
      </c>
      <c r="D283" s="87" t="s">
        <v>288</v>
      </c>
      <c r="E283" s="88">
        <v>6490</v>
      </c>
      <c r="F283" s="125" t="s">
        <v>643</v>
      </c>
    </row>
    <row r="284" spans="1:6" x14ac:dyDescent="0.2">
      <c r="A284" s="85" t="s">
        <v>154</v>
      </c>
      <c r="B284" s="85" t="s">
        <v>641</v>
      </c>
      <c r="C284" s="86" t="s">
        <v>644</v>
      </c>
      <c r="D284" s="87" t="s">
        <v>288</v>
      </c>
      <c r="E284" s="88">
        <v>6490</v>
      </c>
      <c r="F284" s="125" t="s">
        <v>643</v>
      </c>
    </row>
    <row r="285" spans="1:6" x14ac:dyDescent="0.2">
      <c r="A285" s="85" t="s">
        <v>154</v>
      </c>
      <c r="B285" s="85" t="s">
        <v>641</v>
      </c>
      <c r="C285" s="86" t="s">
        <v>645</v>
      </c>
      <c r="D285" s="87" t="s">
        <v>288</v>
      </c>
      <c r="E285" s="88">
        <v>6490</v>
      </c>
      <c r="F285" s="125" t="s">
        <v>643</v>
      </c>
    </row>
    <row r="286" spans="1:6" ht="14.1" customHeight="1" x14ac:dyDescent="0.2">
      <c r="A286" s="85" t="s">
        <v>154</v>
      </c>
      <c r="B286" s="85" t="s">
        <v>641</v>
      </c>
      <c r="C286" s="86" t="s">
        <v>646</v>
      </c>
      <c r="D286" s="87" t="s">
        <v>288</v>
      </c>
      <c r="E286" s="88">
        <v>6490</v>
      </c>
      <c r="F286" s="125" t="s">
        <v>643</v>
      </c>
    </row>
    <row r="287" spans="1:6" ht="15" customHeight="1" x14ac:dyDescent="0.2">
      <c r="A287" s="85" t="s">
        <v>154</v>
      </c>
      <c r="B287" s="85" t="s">
        <v>641</v>
      </c>
      <c r="C287" s="86" t="s">
        <v>647</v>
      </c>
      <c r="D287" s="87" t="s">
        <v>288</v>
      </c>
      <c r="E287" s="88">
        <v>6490</v>
      </c>
      <c r="F287" s="125" t="s">
        <v>643</v>
      </c>
    </row>
    <row r="288" spans="1:6" ht="21.75" customHeight="1" x14ac:dyDescent="0.2">
      <c r="A288" s="200" t="s">
        <v>174</v>
      </c>
      <c r="B288" s="200" t="s">
        <v>648</v>
      </c>
      <c r="C288" s="201" t="s">
        <v>649</v>
      </c>
      <c r="D288" s="202" t="s">
        <v>288</v>
      </c>
      <c r="E288" s="203">
        <v>2205.7732999999998</v>
      </c>
      <c r="F288" s="204" t="s">
        <v>650</v>
      </c>
    </row>
    <row r="289" spans="1:6" ht="15.95" customHeight="1" x14ac:dyDescent="0.2">
      <c r="A289" s="200" t="s">
        <v>174</v>
      </c>
      <c r="B289" s="200" t="s">
        <v>648</v>
      </c>
      <c r="C289" s="201" t="s">
        <v>651</v>
      </c>
      <c r="D289" s="202" t="s">
        <v>288</v>
      </c>
      <c r="E289" s="203">
        <v>501.5</v>
      </c>
      <c r="F289" s="204" t="s">
        <v>650</v>
      </c>
    </row>
    <row r="290" spans="1:6" x14ac:dyDescent="0.2">
      <c r="A290" s="200" t="s">
        <v>174</v>
      </c>
      <c r="B290" s="200" t="s">
        <v>648</v>
      </c>
      <c r="C290" s="201" t="s">
        <v>652</v>
      </c>
      <c r="D290" s="202" t="s">
        <v>288</v>
      </c>
      <c r="E290" s="203">
        <v>442.5</v>
      </c>
      <c r="F290" s="204" t="s">
        <v>650</v>
      </c>
    </row>
    <row r="291" spans="1:6" ht="14.1" customHeight="1" x14ac:dyDescent="0.2">
      <c r="A291" s="200" t="s">
        <v>174</v>
      </c>
      <c r="B291" s="200" t="s">
        <v>648</v>
      </c>
      <c r="C291" s="201" t="s">
        <v>653</v>
      </c>
      <c r="D291" s="202" t="s">
        <v>288</v>
      </c>
      <c r="E291" s="203">
        <v>531</v>
      </c>
      <c r="F291" s="204" t="s">
        <v>650</v>
      </c>
    </row>
    <row r="292" spans="1:6" x14ac:dyDescent="0.2">
      <c r="A292" s="200" t="s">
        <v>174</v>
      </c>
      <c r="B292" s="200" t="s">
        <v>648</v>
      </c>
      <c r="C292" s="201" t="s">
        <v>654</v>
      </c>
      <c r="D292" s="202" t="s">
        <v>288</v>
      </c>
      <c r="E292" s="203">
        <v>796.5</v>
      </c>
      <c r="F292" s="204" t="s">
        <v>650</v>
      </c>
    </row>
    <row r="293" spans="1:6" ht="17.25" customHeight="1" x14ac:dyDescent="0.2">
      <c r="A293" s="200" t="s">
        <v>174</v>
      </c>
      <c r="B293" s="200" t="s">
        <v>648</v>
      </c>
      <c r="C293" s="201" t="s">
        <v>655</v>
      </c>
      <c r="D293" s="202" t="s">
        <v>288</v>
      </c>
      <c r="E293" s="203">
        <v>5640.4</v>
      </c>
      <c r="F293" s="204" t="s">
        <v>650</v>
      </c>
    </row>
    <row r="294" spans="1:6" ht="30.75" customHeight="1" x14ac:dyDescent="0.2">
      <c r="A294" s="200" t="s">
        <v>174</v>
      </c>
      <c r="B294" s="200" t="s">
        <v>648</v>
      </c>
      <c r="C294" s="201" t="s">
        <v>656</v>
      </c>
      <c r="D294" s="202" t="s">
        <v>288</v>
      </c>
      <c r="E294" s="203">
        <v>5640.4</v>
      </c>
      <c r="F294" s="204" t="s">
        <v>650</v>
      </c>
    </row>
    <row r="295" spans="1:6" ht="24" x14ac:dyDescent="0.2">
      <c r="A295" s="200" t="s">
        <v>174</v>
      </c>
      <c r="B295" s="200" t="s">
        <v>648</v>
      </c>
      <c r="C295" s="201" t="s">
        <v>657</v>
      </c>
      <c r="D295" s="202" t="s">
        <v>288</v>
      </c>
      <c r="E295" s="203">
        <v>5640.4</v>
      </c>
      <c r="F295" s="204" t="s">
        <v>650</v>
      </c>
    </row>
    <row r="296" spans="1:6" ht="29.25" customHeight="1" x14ac:dyDescent="0.2">
      <c r="A296" s="200" t="s">
        <v>174</v>
      </c>
      <c r="B296" s="200" t="s">
        <v>648</v>
      </c>
      <c r="C296" s="201" t="s">
        <v>658</v>
      </c>
      <c r="D296" s="202" t="s">
        <v>288</v>
      </c>
      <c r="E296" s="203">
        <v>4366</v>
      </c>
      <c r="F296" s="204" t="s">
        <v>650</v>
      </c>
    </row>
    <row r="297" spans="1:6" ht="28.5" customHeight="1" x14ac:dyDescent="0.2">
      <c r="A297" s="200" t="s">
        <v>174</v>
      </c>
      <c r="B297" s="200" t="s">
        <v>648</v>
      </c>
      <c r="C297" s="201" t="s">
        <v>659</v>
      </c>
      <c r="D297" s="202" t="s">
        <v>288</v>
      </c>
      <c r="E297" s="203">
        <v>15611.4</v>
      </c>
      <c r="F297" s="204" t="s">
        <v>650</v>
      </c>
    </row>
    <row r="298" spans="1:6" ht="28.5" customHeight="1" x14ac:dyDescent="0.2">
      <c r="A298" s="200" t="s">
        <v>174</v>
      </c>
      <c r="B298" s="200" t="s">
        <v>648</v>
      </c>
      <c r="C298" s="201" t="s">
        <v>660</v>
      </c>
      <c r="D298" s="202" t="s">
        <v>288</v>
      </c>
      <c r="E298" s="203">
        <v>179.15</v>
      </c>
      <c r="F298" s="204" t="s">
        <v>650</v>
      </c>
    </row>
    <row r="299" spans="1:6" ht="22.5" customHeight="1" x14ac:dyDescent="0.2">
      <c r="A299" s="200" t="s">
        <v>174</v>
      </c>
      <c r="B299" s="200" t="s">
        <v>648</v>
      </c>
      <c r="C299" s="201" t="s">
        <v>661</v>
      </c>
      <c r="D299" s="202" t="s">
        <v>288</v>
      </c>
      <c r="E299" s="203">
        <v>194.7</v>
      </c>
      <c r="F299" s="204" t="s">
        <v>650</v>
      </c>
    </row>
    <row r="300" spans="1:6" x14ac:dyDescent="0.2">
      <c r="A300" s="200" t="s">
        <v>174</v>
      </c>
      <c r="B300" s="200" t="s">
        <v>648</v>
      </c>
      <c r="C300" s="201" t="s">
        <v>662</v>
      </c>
      <c r="D300" s="202" t="s">
        <v>288</v>
      </c>
      <c r="E300" s="203">
        <v>672.6</v>
      </c>
      <c r="F300" s="204" t="s">
        <v>650</v>
      </c>
    </row>
    <row r="301" spans="1:6" x14ac:dyDescent="0.2">
      <c r="A301" s="200" t="s">
        <v>174</v>
      </c>
      <c r="B301" s="200" t="s">
        <v>648</v>
      </c>
      <c r="C301" s="201" t="s">
        <v>663</v>
      </c>
      <c r="D301" s="202" t="s">
        <v>288</v>
      </c>
      <c r="E301" s="203">
        <v>20650</v>
      </c>
      <c r="F301" s="204" t="s">
        <v>650</v>
      </c>
    </row>
    <row r="302" spans="1:6" x14ac:dyDescent="0.2">
      <c r="A302" s="200" t="s">
        <v>174</v>
      </c>
      <c r="B302" s="200" t="s">
        <v>648</v>
      </c>
      <c r="C302" s="201" t="s">
        <v>664</v>
      </c>
      <c r="D302" s="202" t="s">
        <v>288</v>
      </c>
      <c r="E302" s="203">
        <v>4661</v>
      </c>
      <c r="F302" s="204" t="s">
        <v>650</v>
      </c>
    </row>
    <row r="303" spans="1:6" x14ac:dyDescent="0.2">
      <c r="A303" s="200" t="s">
        <v>174</v>
      </c>
      <c r="B303" s="200" t="s">
        <v>648</v>
      </c>
      <c r="C303" s="201" t="s">
        <v>665</v>
      </c>
      <c r="D303" s="202" t="s">
        <v>288</v>
      </c>
      <c r="E303" s="203">
        <v>525.1</v>
      </c>
      <c r="F303" s="204" t="s">
        <v>650</v>
      </c>
    </row>
    <row r="304" spans="1:6" x14ac:dyDescent="0.2">
      <c r="A304" s="200" t="s">
        <v>174</v>
      </c>
      <c r="B304" s="200" t="s">
        <v>648</v>
      </c>
      <c r="C304" s="201" t="s">
        <v>666</v>
      </c>
      <c r="D304" s="202" t="s">
        <v>288</v>
      </c>
      <c r="E304" s="203">
        <v>6384.19</v>
      </c>
      <c r="F304" s="204" t="s">
        <v>650</v>
      </c>
    </row>
    <row r="305" spans="1:6" ht="21" customHeight="1" x14ac:dyDescent="0.2">
      <c r="A305" s="200" t="s">
        <v>174</v>
      </c>
      <c r="B305" s="200" t="s">
        <v>648</v>
      </c>
      <c r="C305" s="201" t="s">
        <v>667</v>
      </c>
      <c r="D305" s="202" t="s">
        <v>288</v>
      </c>
      <c r="E305" s="203">
        <v>899.04330000000004</v>
      </c>
      <c r="F305" s="204" t="s">
        <v>650</v>
      </c>
    </row>
    <row r="306" spans="1:6" ht="29.25" customHeight="1" x14ac:dyDescent="0.2">
      <c r="A306" s="200" t="s">
        <v>174</v>
      </c>
      <c r="B306" s="200" t="s">
        <v>648</v>
      </c>
      <c r="C306" s="201" t="s">
        <v>668</v>
      </c>
      <c r="D306" s="202" t="s">
        <v>288</v>
      </c>
      <c r="E306" s="203">
        <v>348.1</v>
      </c>
      <c r="F306" s="204" t="s">
        <v>650</v>
      </c>
    </row>
    <row r="307" spans="1:6" ht="28.5" customHeight="1" x14ac:dyDescent="0.2">
      <c r="A307" s="200" t="s">
        <v>174</v>
      </c>
      <c r="B307" s="200" t="s">
        <v>648</v>
      </c>
      <c r="C307" s="201" t="s">
        <v>669</v>
      </c>
      <c r="D307" s="202" t="s">
        <v>288</v>
      </c>
      <c r="E307" s="203">
        <v>147.5</v>
      </c>
      <c r="F307" s="204" t="s">
        <v>650</v>
      </c>
    </row>
    <row r="308" spans="1:6" ht="32.25" customHeight="1" x14ac:dyDescent="0.2">
      <c r="A308" s="200" t="s">
        <v>174</v>
      </c>
      <c r="B308" s="200" t="s">
        <v>648</v>
      </c>
      <c r="C308" s="201" t="s">
        <v>670</v>
      </c>
      <c r="D308" s="202" t="s">
        <v>288</v>
      </c>
      <c r="E308" s="203">
        <v>11210</v>
      </c>
      <c r="F308" s="204" t="s">
        <v>650</v>
      </c>
    </row>
    <row r="309" spans="1:6" ht="24" x14ac:dyDescent="0.2">
      <c r="A309" s="200" t="s">
        <v>174</v>
      </c>
      <c r="B309" s="200" t="s">
        <v>648</v>
      </c>
      <c r="C309" s="201" t="s">
        <v>671</v>
      </c>
      <c r="D309" s="202" t="s">
        <v>288</v>
      </c>
      <c r="E309" s="203">
        <v>1333.4</v>
      </c>
      <c r="F309" s="204" t="s">
        <v>650</v>
      </c>
    </row>
    <row r="310" spans="1:6" x14ac:dyDescent="0.2">
      <c r="A310" s="205" t="s">
        <v>144</v>
      </c>
      <c r="B310" s="205" t="s">
        <v>672</v>
      </c>
      <c r="C310" s="206" t="s">
        <v>673</v>
      </c>
      <c r="D310" s="207" t="s">
        <v>288</v>
      </c>
      <c r="E310" s="208">
        <v>939.75</v>
      </c>
      <c r="F310" s="209" t="s">
        <v>674</v>
      </c>
    </row>
    <row r="311" spans="1:6" ht="22.5" customHeight="1" x14ac:dyDescent="0.2">
      <c r="A311" s="205" t="s">
        <v>144</v>
      </c>
      <c r="B311" s="205" t="s">
        <v>672</v>
      </c>
      <c r="C311" s="206" t="s">
        <v>675</v>
      </c>
      <c r="D311" s="207" t="s">
        <v>288</v>
      </c>
      <c r="E311" s="208">
        <v>590</v>
      </c>
      <c r="F311" s="209" t="s">
        <v>674</v>
      </c>
    </row>
    <row r="312" spans="1:6" x14ac:dyDescent="0.2">
      <c r="A312" s="205" t="s">
        <v>144</v>
      </c>
      <c r="B312" s="205" t="s">
        <v>672</v>
      </c>
      <c r="C312" s="206" t="s">
        <v>676</v>
      </c>
      <c r="D312" s="207" t="s">
        <v>288</v>
      </c>
      <c r="E312" s="208">
        <v>761.25</v>
      </c>
      <c r="F312" s="209" t="s">
        <v>674</v>
      </c>
    </row>
    <row r="313" spans="1:6" x14ac:dyDescent="0.2">
      <c r="A313" s="205" t="s">
        <v>144</v>
      </c>
      <c r="B313" s="205" t="s">
        <v>672</v>
      </c>
      <c r="C313" s="210" t="s">
        <v>676</v>
      </c>
      <c r="D313" s="211" t="s">
        <v>288</v>
      </c>
      <c r="E313" s="212">
        <v>761.25</v>
      </c>
      <c r="F313" s="213" t="s">
        <v>677</v>
      </c>
    </row>
    <row r="314" spans="1:6" ht="26.25" customHeight="1" x14ac:dyDescent="0.2">
      <c r="A314" s="205" t="s">
        <v>144</v>
      </c>
      <c r="B314" s="205" t="s">
        <v>672</v>
      </c>
      <c r="C314" s="210" t="s">
        <v>678</v>
      </c>
      <c r="D314" s="211" t="s">
        <v>288</v>
      </c>
      <c r="E314" s="212">
        <v>309.75</v>
      </c>
      <c r="F314" s="213" t="s">
        <v>677</v>
      </c>
    </row>
    <row r="315" spans="1:6" ht="18" customHeight="1" x14ac:dyDescent="0.2">
      <c r="A315" s="205" t="s">
        <v>144</v>
      </c>
      <c r="B315" s="205" t="s">
        <v>672</v>
      </c>
      <c r="C315" s="206" t="s">
        <v>679</v>
      </c>
      <c r="D315" s="207" t="s">
        <v>288</v>
      </c>
      <c r="E315" s="208">
        <v>270.48</v>
      </c>
      <c r="F315" s="213" t="s">
        <v>677</v>
      </c>
    </row>
    <row r="316" spans="1:6" x14ac:dyDescent="0.2">
      <c r="A316" s="205" t="s">
        <v>144</v>
      </c>
      <c r="B316" s="205" t="s">
        <v>672</v>
      </c>
      <c r="C316" s="206" t="s">
        <v>680</v>
      </c>
      <c r="D316" s="207" t="s">
        <v>288</v>
      </c>
      <c r="E316" s="208">
        <v>229.21530000000001</v>
      </c>
      <c r="F316" s="209" t="s">
        <v>674</v>
      </c>
    </row>
    <row r="317" spans="1:6" x14ac:dyDescent="0.2">
      <c r="A317" s="205" t="s">
        <v>144</v>
      </c>
      <c r="B317" s="205" t="s">
        <v>672</v>
      </c>
      <c r="C317" s="206" t="s">
        <v>681</v>
      </c>
      <c r="D317" s="207" t="s">
        <v>288</v>
      </c>
      <c r="E317" s="208">
        <v>194.25</v>
      </c>
      <c r="F317" s="213" t="s">
        <v>677</v>
      </c>
    </row>
    <row r="318" spans="1:6" x14ac:dyDescent="0.2">
      <c r="A318" s="205" t="s">
        <v>144</v>
      </c>
      <c r="B318" s="205" t="s">
        <v>672</v>
      </c>
      <c r="C318" s="206" t="s">
        <v>682</v>
      </c>
      <c r="D318" s="207" t="s">
        <v>288</v>
      </c>
      <c r="E318" s="208">
        <v>414.75</v>
      </c>
      <c r="F318" s="209" t="s">
        <v>674</v>
      </c>
    </row>
    <row r="319" spans="1:6" x14ac:dyDescent="0.2">
      <c r="A319" s="205" t="s">
        <v>144</v>
      </c>
      <c r="B319" s="205" t="s">
        <v>672</v>
      </c>
      <c r="C319" s="206" t="s">
        <v>683</v>
      </c>
      <c r="D319" s="207" t="s">
        <v>288</v>
      </c>
      <c r="E319" s="208">
        <v>414.75</v>
      </c>
      <c r="F319" s="213" t="s">
        <v>677</v>
      </c>
    </row>
    <row r="320" spans="1:6" x14ac:dyDescent="0.2">
      <c r="A320" s="205" t="s">
        <v>144</v>
      </c>
      <c r="B320" s="205" t="s">
        <v>672</v>
      </c>
      <c r="C320" s="210" t="s">
        <v>684</v>
      </c>
      <c r="D320" s="211" t="s">
        <v>288</v>
      </c>
      <c r="E320" s="212">
        <v>3669.75</v>
      </c>
      <c r="F320" s="213" t="s">
        <v>677</v>
      </c>
    </row>
    <row r="321" spans="1:6" x14ac:dyDescent="0.2">
      <c r="A321" s="205" t="s">
        <v>144</v>
      </c>
      <c r="B321" s="205" t="s">
        <v>672</v>
      </c>
      <c r="C321" s="206" t="s">
        <v>685</v>
      </c>
      <c r="D321" s="207" t="s">
        <v>686</v>
      </c>
      <c r="E321" s="208">
        <v>866.25</v>
      </c>
      <c r="F321" s="213" t="s">
        <v>677</v>
      </c>
    </row>
    <row r="322" spans="1:6" ht="24" x14ac:dyDescent="0.2">
      <c r="A322" s="205" t="s">
        <v>144</v>
      </c>
      <c r="B322" s="205" t="s">
        <v>672</v>
      </c>
      <c r="C322" s="206" t="s">
        <v>687</v>
      </c>
      <c r="D322" s="207" t="s">
        <v>288</v>
      </c>
      <c r="E322" s="208">
        <v>8096</v>
      </c>
      <c r="F322" s="213" t="s">
        <v>677</v>
      </c>
    </row>
    <row r="323" spans="1:6" ht="24" x14ac:dyDescent="0.2">
      <c r="A323" s="205" t="s">
        <v>144</v>
      </c>
      <c r="B323" s="205" t="s">
        <v>672</v>
      </c>
      <c r="C323" s="206" t="s">
        <v>688</v>
      </c>
      <c r="D323" s="207" t="s">
        <v>288</v>
      </c>
      <c r="E323" s="208">
        <v>8000</v>
      </c>
      <c r="F323" s="213" t="s">
        <v>677</v>
      </c>
    </row>
    <row r="324" spans="1:6" x14ac:dyDescent="0.2">
      <c r="A324" s="205" t="s">
        <v>144</v>
      </c>
      <c r="B324" s="205" t="s">
        <v>672</v>
      </c>
      <c r="C324" s="210" t="s">
        <v>689</v>
      </c>
      <c r="D324" s="211" t="s">
        <v>288</v>
      </c>
      <c r="E324" s="212">
        <v>167.27</v>
      </c>
      <c r="F324" s="213" t="s">
        <v>677</v>
      </c>
    </row>
    <row r="325" spans="1:6" ht="30.75" customHeight="1" x14ac:dyDescent="0.2">
      <c r="A325" s="205" t="s">
        <v>144</v>
      </c>
      <c r="B325" s="205" t="s">
        <v>672</v>
      </c>
      <c r="C325" s="206" t="s">
        <v>690</v>
      </c>
      <c r="D325" s="207" t="s">
        <v>288</v>
      </c>
      <c r="E325" s="208">
        <v>402.67669999999998</v>
      </c>
      <c r="F325" s="209" t="s">
        <v>674</v>
      </c>
    </row>
    <row r="326" spans="1:6" x14ac:dyDescent="0.2">
      <c r="A326" s="205" t="s">
        <v>144</v>
      </c>
      <c r="B326" s="205" t="s">
        <v>672</v>
      </c>
      <c r="C326" s="206" t="s">
        <v>691</v>
      </c>
      <c r="D326" s="207" t="s">
        <v>288</v>
      </c>
      <c r="E326" s="208">
        <v>600.9153</v>
      </c>
      <c r="F326" s="209" t="s">
        <v>674</v>
      </c>
    </row>
    <row r="327" spans="1:6" x14ac:dyDescent="0.2">
      <c r="A327" s="205" t="s">
        <v>144</v>
      </c>
      <c r="B327" s="205" t="s">
        <v>672</v>
      </c>
      <c r="C327" s="206" t="s">
        <v>692</v>
      </c>
      <c r="D327" s="207" t="s">
        <v>686</v>
      </c>
      <c r="E327" s="208">
        <v>489.40600000000001</v>
      </c>
      <c r="F327" s="213" t="s">
        <v>677</v>
      </c>
    </row>
    <row r="328" spans="1:6" ht="24.75" customHeight="1" x14ac:dyDescent="0.2">
      <c r="A328" s="205" t="s">
        <v>144</v>
      </c>
      <c r="B328" s="205" t="s">
        <v>672</v>
      </c>
      <c r="C328" s="206" t="s">
        <v>693</v>
      </c>
      <c r="D328" s="207" t="s">
        <v>288</v>
      </c>
      <c r="E328" s="208">
        <v>455.48</v>
      </c>
      <c r="F328" s="209" t="s">
        <v>674</v>
      </c>
    </row>
    <row r="329" spans="1:6" ht="24" x14ac:dyDescent="0.2">
      <c r="A329" s="85" t="s">
        <v>157</v>
      </c>
      <c r="B329" s="85" t="s">
        <v>694</v>
      </c>
      <c r="C329" s="86" t="s">
        <v>695</v>
      </c>
      <c r="D329" s="87" t="s">
        <v>288</v>
      </c>
      <c r="E329" s="88">
        <v>6490</v>
      </c>
      <c r="F329" s="125" t="s">
        <v>696</v>
      </c>
    </row>
    <row r="330" spans="1:6" ht="24" x14ac:dyDescent="0.2">
      <c r="A330" s="85" t="s">
        <v>697</v>
      </c>
      <c r="B330" s="85" t="s">
        <v>698</v>
      </c>
      <c r="C330" s="86" t="s">
        <v>699</v>
      </c>
      <c r="D330" s="87" t="s">
        <v>456</v>
      </c>
      <c r="E330" s="88">
        <v>460.2</v>
      </c>
      <c r="F330" s="125" t="s">
        <v>700</v>
      </c>
    </row>
    <row r="331" spans="1:6" ht="36" x14ac:dyDescent="0.2">
      <c r="A331" s="85" t="s">
        <v>95</v>
      </c>
      <c r="B331" s="85" t="s">
        <v>701</v>
      </c>
      <c r="C331" s="86" t="s">
        <v>702</v>
      </c>
      <c r="D331" s="87" t="s">
        <v>703</v>
      </c>
      <c r="E331" s="88">
        <v>44877.760000000002</v>
      </c>
      <c r="F331" s="125" t="s">
        <v>704</v>
      </c>
    </row>
    <row r="332" spans="1:6" x14ac:dyDescent="0.2">
      <c r="A332" s="89" t="s">
        <v>705</v>
      </c>
      <c r="B332" s="89" t="s">
        <v>706</v>
      </c>
      <c r="C332" s="86" t="s">
        <v>707</v>
      </c>
      <c r="D332" s="87" t="s">
        <v>708</v>
      </c>
      <c r="E332" s="88">
        <v>3000</v>
      </c>
      <c r="F332" s="125" t="s">
        <v>709</v>
      </c>
    </row>
    <row r="333" spans="1:6" ht="24" x14ac:dyDescent="0.2">
      <c r="A333" s="214" t="s">
        <v>710</v>
      </c>
      <c r="B333" s="214" t="s">
        <v>711</v>
      </c>
      <c r="C333" s="215" t="s">
        <v>712</v>
      </c>
      <c r="D333" s="216" t="s">
        <v>288</v>
      </c>
      <c r="E333" s="217">
        <v>23562.5</v>
      </c>
      <c r="F333" s="218" t="s">
        <v>713</v>
      </c>
    </row>
    <row r="334" spans="1:6" ht="24" x14ac:dyDescent="0.2">
      <c r="A334" s="214" t="s">
        <v>710</v>
      </c>
      <c r="B334" s="214" t="s">
        <v>711</v>
      </c>
      <c r="C334" s="215" t="s">
        <v>714</v>
      </c>
      <c r="D334" s="216" t="s">
        <v>288</v>
      </c>
      <c r="E334" s="217">
        <v>102660</v>
      </c>
      <c r="F334" s="218" t="s">
        <v>713</v>
      </c>
    </row>
    <row r="335" spans="1:6" ht="20.25" customHeight="1" x14ac:dyDescent="0.2">
      <c r="A335" s="219" t="s">
        <v>715</v>
      </c>
      <c r="B335" s="219" t="s">
        <v>716</v>
      </c>
      <c r="C335" s="220" t="s">
        <v>717</v>
      </c>
      <c r="D335" s="221" t="s">
        <v>288</v>
      </c>
      <c r="E335" s="222">
        <v>590</v>
      </c>
      <c r="F335" s="223" t="s">
        <v>718</v>
      </c>
    </row>
    <row r="336" spans="1:6" ht="15" customHeight="1" x14ac:dyDescent="0.2">
      <c r="A336" s="219" t="s">
        <v>715</v>
      </c>
      <c r="B336" s="219" t="s">
        <v>716</v>
      </c>
      <c r="C336" s="220" t="s">
        <v>719</v>
      </c>
      <c r="D336" s="221" t="s">
        <v>288</v>
      </c>
      <c r="E336" s="222">
        <v>2124</v>
      </c>
      <c r="F336" s="223" t="s">
        <v>718</v>
      </c>
    </row>
    <row r="337" spans="1:6" ht="14.1" customHeight="1" x14ac:dyDescent="0.2">
      <c r="A337" s="219" t="s">
        <v>715</v>
      </c>
      <c r="B337" s="219" t="s">
        <v>716</v>
      </c>
      <c r="C337" s="220" t="s">
        <v>720</v>
      </c>
      <c r="D337" s="221" t="s">
        <v>721</v>
      </c>
      <c r="E337" s="222">
        <v>2832</v>
      </c>
      <c r="F337" s="223" t="s">
        <v>718</v>
      </c>
    </row>
    <row r="338" spans="1:6" x14ac:dyDescent="0.2">
      <c r="A338" s="219" t="s">
        <v>715</v>
      </c>
      <c r="B338" s="219" t="s">
        <v>716</v>
      </c>
      <c r="C338" s="220" t="s">
        <v>722</v>
      </c>
      <c r="D338" s="221" t="s">
        <v>721</v>
      </c>
      <c r="E338" s="222">
        <v>2548.8000000000002</v>
      </c>
      <c r="F338" s="223" t="s">
        <v>718</v>
      </c>
    </row>
    <row r="339" spans="1:6" ht="15" customHeight="1" x14ac:dyDescent="0.2">
      <c r="A339" s="219" t="s">
        <v>715</v>
      </c>
      <c r="B339" s="219" t="s">
        <v>716</v>
      </c>
      <c r="C339" s="220" t="s">
        <v>723</v>
      </c>
      <c r="D339" s="221" t="s">
        <v>721</v>
      </c>
      <c r="E339" s="222">
        <v>2360</v>
      </c>
      <c r="F339" s="223" t="s">
        <v>718</v>
      </c>
    </row>
    <row r="340" spans="1:6" ht="24" x14ac:dyDescent="0.2">
      <c r="A340" s="219" t="s">
        <v>715</v>
      </c>
      <c r="B340" s="219" t="s">
        <v>716</v>
      </c>
      <c r="C340" s="220" t="s">
        <v>724</v>
      </c>
      <c r="D340" s="221" t="s">
        <v>721</v>
      </c>
      <c r="E340" s="222">
        <v>2360</v>
      </c>
      <c r="F340" s="223" t="s">
        <v>718</v>
      </c>
    </row>
    <row r="341" spans="1:6" x14ac:dyDescent="0.2">
      <c r="A341" s="219" t="s">
        <v>715</v>
      </c>
      <c r="B341" s="219" t="s">
        <v>716</v>
      </c>
      <c r="C341" s="220" t="s">
        <v>725</v>
      </c>
      <c r="D341" s="221" t="s">
        <v>721</v>
      </c>
      <c r="E341" s="222">
        <v>708</v>
      </c>
      <c r="F341" s="223" t="s">
        <v>718</v>
      </c>
    </row>
    <row r="342" spans="1:6" x14ac:dyDescent="0.2">
      <c r="A342" s="219" t="s">
        <v>715</v>
      </c>
      <c r="B342" s="219" t="s">
        <v>716</v>
      </c>
      <c r="C342" s="220" t="s">
        <v>726</v>
      </c>
      <c r="D342" s="221" t="s">
        <v>288</v>
      </c>
      <c r="E342" s="222">
        <v>7670</v>
      </c>
      <c r="F342" s="223" t="s">
        <v>718</v>
      </c>
    </row>
    <row r="343" spans="1:6" ht="24" x14ac:dyDescent="0.2">
      <c r="A343" s="219" t="s">
        <v>715</v>
      </c>
      <c r="B343" s="219" t="s">
        <v>716</v>
      </c>
      <c r="C343" s="220" t="s">
        <v>727</v>
      </c>
      <c r="D343" s="221" t="s">
        <v>721</v>
      </c>
      <c r="E343" s="222">
        <v>2548.8000000000002</v>
      </c>
      <c r="F343" s="223" t="s">
        <v>718</v>
      </c>
    </row>
    <row r="344" spans="1:6" ht="24" x14ac:dyDescent="0.2">
      <c r="A344" s="219" t="s">
        <v>715</v>
      </c>
      <c r="B344" s="219" t="s">
        <v>716</v>
      </c>
      <c r="C344" s="220" t="s">
        <v>728</v>
      </c>
      <c r="D344" s="221" t="s">
        <v>288</v>
      </c>
      <c r="E344" s="222">
        <v>2360</v>
      </c>
      <c r="F344" s="223" t="s">
        <v>718</v>
      </c>
    </row>
    <row r="345" spans="1:6" ht="24" x14ac:dyDescent="0.2">
      <c r="A345" s="219" t="s">
        <v>715</v>
      </c>
      <c r="B345" s="219" t="s">
        <v>716</v>
      </c>
      <c r="C345" s="220" t="s">
        <v>729</v>
      </c>
      <c r="D345" s="221" t="s">
        <v>288</v>
      </c>
      <c r="E345" s="222">
        <v>1770</v>
      </c>
      <c r="F345" s="223" t="s">
        <v>718</v>
      </c>
    </row>
    <row r="346" spans="1:6" x14ac:dyDescent="0.2">
      <c r="A346" s="219" t="s">
        <v>715</v>
      </c>
      <c r="B346" s="219" t="s">
        <v>716</v>
      </c>
      <c r="C346" s="220" t="s">
        <v>730</v>
      </c>
      <c r="D346" s="221" t="s">
        <v>288</v>
      </c>
      <c r="E346" s="222">
        <v>1121</v>
      </c>
      <c r="F346" s="223" t="s">
        <v>718</v>
      </c>
    </row>
    <row r="347" spans="1:6" x14ac:dyDescent="0.2">
      <c r="A347" s="224" t="s">
        <v>731</v>
      </c>
      <c r="B347" s="224" t="s">
        <v>732</v>
      </c>
      <c r="C347" s="225" t="s">
        <v>733</v>
      </c>
      <c r="D347" s="226" t="s">
        <v>288</v>
      </c>
      <c r="E347" s="227">
        <v>1770</v>
      </c>
      <c r="F347" s="228" t="s">
        <v>734</v>
      </c>
    </row>
    <row r="348" spans="1:6" ht="24" x14ac:dyDescent="0.2">
      <c r="A348" s="224" t="s">
        <v>731</v>
      </c>
      <c r="B348" s="224" t="s">
        <v>732</v>
      </c>
      <c r="C348" s="225" t="s">
        <v>735</v>
      </c>
      <c r="D348" s="226" t="s">
        <v>288</v>
      </c>
      <c r="E348" s="227">
        <v>1062</v>
      </c>
      <c r="F348" s="228" t="s">
        <v>734</v>
      </c>
    </row>
    <row r="349" spans="1:6" x14ac:dyDescent="0.2">
      <c r="A349" s="224" t="s">
        <v>731</v>
      </c>
      <c r="B349" s="224" t="s">
        <v>732</v>
      </c>
      <c r="C349" s="225" t="s">
        <v>736</v>
      </c>
      <c r="D349" s="226" t="s">
        <v>288</v>
      </c>
      <c r="E349" s="227">
        <v>420.55200000000002</v>
      </c>
      <c r="F349" s="228" t="s">
        <v>734</v>
      </c>
    </row>
    <row r="350" spans="1:6" ht="24" x14ac:dyDescent="0.2">
      <c r="A350" s="224" t="s">
        <v>731</v>
      </c>
      <c r="B350" s="224" t="s">
        <v>732</v>
      </c>
      <c r="C350" s="225" t="s">
        <v>737</v>
      </c>
      <c r="D350" s="226" t="s">
        <v>288</v>
      </c>
      <c r="E350" s="227">
        <v>420.73</v>
      </c>
      <c r="F350" s="228" t="s">
        <v>734</v>
      </c>
    </row>
    <row r="351" spans="1:6" ht="24" x14ac:dyDescent="0.2">
      <c r="A351" s="224" t="s">
        <v>731</v>
      </c>
      <c r="B351" s="224" t="s">
        <v>732</v>
      </c>
      <c r="C351" s="225" t="s">
        <v>738</v>
      </c>
      <c r="D351" s="226" t="s">
        <v>288</v>
      </c>
      <c r="E351" s="227">
        <v>1379.48</v>
      </c>
      <c r="F351" s="228" t="s">
        <v>734</v>
      </c>
    </row>
    <row r="352" spans="1:6" ht="24" x14ac:dyDescent="0.2">
      <c r="A352" s="224" t="s">
        <v>731</v>
      </c>
      <c r="B352" s="224" t="s">
        <v>732</v>
      </c>
      <c r="C352" s="225" t="s">
        <v>738</v>
      </c>
      <c r="D352" s="226" t="s">
        <v>288</v>
      </c>
      <c r="E352" s="227">
        <v>486.69200000000001</v>
      </c>
      <c r="F352" s="228" t="s">
        <v>734</v>
      </c>
    </row>
    <row r="353" spans="1:6" ht="24" x14ac:dyDescent="0.2">
      <c r="A353" s="224" t="s">
        <v>731</v>
      </c>
      <c r="B353" s="224" t="s">
        <v>732</v>
      </c>
      <c r="C353" s="225" t="s">
        <v>739</v>
      </c>
      <c r="D353" s="226" t="s">
        <v>288</v>
      </c>
      <c r="E353" s="227">
        <v>420.09199999999998</v>
      </c>
      <c r="F353" s="228" t="s">
        <v>734</v>
      </c>
    </row>
    <row r="354" spans="1:6" ht="24" x14ac:dyDescent="0.2">
      <c r="A354" s="224" t="s">
        <v>731</v>
      </c>
      <c r="B354" s="224" t="s">
        <v>732</v>
      </c>
      <c r="C354" s="225" t="s">
        <v>740</v>
      </c>
      <c r="D354" s="226" t="s">
        <v>288</v>
      </c>
      <c r="E354" s="227">
        <v>422.358</v>
      </c>
      <c r="F354" s="228" t="s">
        <v>734</v>
      </c>
    </row>
    <row r="355" spans="1:6" ht="15" customHeight="1" x14ac:dyDescent="0.2">
      <c r="A355" s="224" t="s">
        <v>731</v>
      </c>
      <c r="B355" s="224" t="s">
        <v>732</v>
      </c>
      <c r="C355" s="225" t="s">
        <v>741</v>
      </c>
      <c r="D355" s="226" t="s">
        <v>288</v>
      </c>
      <c r="E355" s="227">
        <v>422.44</v>
      </c>
      <c r="F355" s="228" t="s">
        <v>734</v>
      </c>
    </row>
    <row r="356" spans="1:6" ht="24" x14ac:dyDescent="0.2">
      <c r="A356" s="224" t="s">
        <v>731</v>
      </c>
      <c r="B356" s="224" t="s">
        <v>732</v>
      </c>
      <c r="C356" s="225" t="s">
        <v>742</v>
      </c>
      <c r="D356" s="226" t="s">
        <v>288</v>
      </c>
      <c r="E356" s="227">
        <v>422.62799999999999</v>
      </c>
      <c r="F356" s="228" t="s">
        <v>734</v>
      </c>
    </row>
    <row r="357" spans="1:6" ht="14.1" customHeight="1" x14ac:dyDescent="0.2">
      <c r="A357" s="224" t="s">
        <v>731</v>
      </c>
      <c r="B357" s="224" t="s">
        <v>732</v>
      </c>
      <c r="C357" s="225" t="s">
        <v>743</v>
      </c>
      <c r="D357" s="226" t="s">
        <v>288</v>
      </c>
      <c r="E357" s="227">
        <v>810.41200000000003</v>
      </c>
      <c r="F357" s="228" t="s">
        <v>734</v>
      </c>
    </row>
    <row r="358" spans="1:6" x14ac:dyDescent="0.2">
      <c r="A358" s="224" t="s">
        <v>731</v>
      </c>
      <c r="B358" s="224" t="s">
        <v>732</v>
      </c>
      <c r="C358" s="225" t="s">
        <v>744</v>
      </c>
      <c r="D358" s="226" t="s">
        <v>288</v>
      </c>
      <c r="E358" s="227">
        <v>1069.47</v>
      </c>
      <c r="F358" s="228" t="s">
        <v>734</v>
      </c>
    </row>
    <row r="359" spans="1:6" ht="18" customHeight="1" x14ac:dyDescent="0.2">
      <c r="A359" s="224" t="s">
        <v>731</v>
      </c>
      <c r="B359" s="224" t="s">
        <v>732</v>
      </c>
      <c r="C359" s="225" t="s">
        <v>745</v>
      </c>
      <c r="D359" s="226" t="s">
        <v>288</v>
      </c>
      <c r="E359" s="227">
        <v>3499.9967000000001</v>
      </c>
      <c r="F359" s="228" t="s">
        <v>734</v>
      </c>
    </row>
    <row r="360" spans="1:6" ht="18.95" customHeight="1" x14ac:dyDescent="0.2">
      <c r="A360" s="224" t="s">
        <v>731</v>
      </c>
      <c r="B360" s="224" t="s">
        <v>732</v>
      </c>
      <c r="C360" s="225" t="s">
        <v>746</v>
      </c>
      <c r="D360" s="226" t="s">
        <v>288</v>
      </c>
      <c r="E360" s="227">
        <v>200.6</v>
      </c>
      <c r="F360" s="228" t="s">
        <v>734</v>
      </c>
    </row>
    <row r="361" spans="1:6" ht="15.95" customHeight="1" x14ac:dyDescent="0.2">
      <c r="A361" s="224" t="s">
        <v>731</v>
      </c>
      <c r="B361" s="224" t="s">
        <v>732</v>
      </c>
      <c r="C361" s="225" t="s">
        <v>747</v>
      </c>
      <c r="D361" s="226" t="s">
        <v>288</v>
      </c>
      <c r="E361" s="227">
        <v>17.405000000000001</v>
      </c>
      <c r="F361" s="228" t="s">
        <v>734</v>
      </c>
    </row>
    <row r="362" spans="1:6" ht="21" customHeight="1" x14ac:dyDescent="0.2">
      <c r="A362" s="224" t="s">
        <v>731</v>
      </c>
      <c r="B362" s="224" t="s">
        <v>732</v>
      </c>
      <c r="C362" s="225" t="s">
        <v>748</v>
      </c>
      <c r="D362" s="226" t="s">
        <v>288</v>
      </c>
      <c r="E362" s="227">
        <v>101.48</v>
      </c>
      <c r="F362" s="228" t="s">
        <v>734</v>
      </c>
    </row>
    <row r="363" spans="1:6" x14ac:dyDescent="0.2">
      <c r="A363" s="224" t="s">
        <v>731</v>
      </c>
      <c r="B363" s="224" t="s">
        <v>732</v>
      </c>
      <c r="C363" s="225" t="s">
        <v>749</v>
      </c>
      <c r="D363" s="226" t="s">
        <v>288</v>
      </c>
      <c r="E363" s="227">
        <v>15.281000000000001</v>
      </c>
      <c r="F363" s="228" t="s">
        <v>734</v>
      </c>
    </row>
    <row r="364" spans="1:6" x14ac:dyDescent="0.2">
      <c r="A364" s="224" t="s">
        <v>731</v>
      </c>
      <c r="B364" s="224" t="s">
        <v>732</v>
      </c>
      <c r="C364" s="225" t="s">
        <v>750</v>
      </c>
      <c r="D364" s="226" t="s">
        <v>288</v>
      </c>
      <c r="E364" s="227">
        <v>34.81</v>
      </c>
      <c r="F364" s="228" t="s">
        <v>734</v>
      </c>
    </row>
    <row r="365" spans="1:6" x14ac:dyDescent="0.2">
      <c r="A365" s="224" t="s">
        <v>731</v>
      </c>
      <c r="B365" s="224" t="s">
        <v>732</v>
      </c>
      <c r="C365" s="225" t="s">
        <v>751</v>
      </c>
      <c r="D365" s="226" t="s">
        <v>288</v>
      </c>
      <c r="E365" s="227">
        <v>77.88</v>
      </c>
      <c r="F365" s="228" t="s">
        <v>734</v>
      </c>
    </row>
    <row r="366" spans="1:6" x14ac:dyDescent="0.2">
      <c r="A366" s="224" t="s">
        <v>731</v>
      </c>
      <c r="B366" s="224" t="s">
        <v>732</v>
      </c>
      <c r="C366" s="225" t="s">
        <v>752</v>
      </c>
      <c r="D366" s="226" t="s">
        <v>315</v>
      </c>
      <c r="E366" s="227">
        <v>403.79669999999999</v>
      </c>
      <c r="F366" s="228" t="s">
        <v>734</v>
      </c>
    </row>
    <row r="367" spans="1:6" x14ac:dyDescent="0.2">
      <c r="A367" s="224" t="s">
        <v>731</v>
      </c>
      <c r="B367" s="224" t="s">
        <v>732</v>
      </c>
      <c r="C367" s="225" t="s">
        <v>753</v>
      </c>
      <c r="D367" s="226" t="s">
        <v>315</v>
      </c>
      <c r="E367" s="227">
        <v>36</v>
      </c>
      <c r="F367" s="228" t="s">
        <v>734</v>
      </c>
    </row>
    <row r="368" spans="1:6" x14ac:dyDescent="0.2">
      <c r="A368" s="224" t="s">
        <v>731</v>
      </c>
      <c r="B368" s="224" t="s">
        <v>732</v>
      </c>
      <c r="C368" s="225" t="s">
        <v>754</v>
      </c>
      <c r="D368" s="226" t="s">
        <v>315</v>
      </c>
      <c r="E368" s="227">
        <v>154.875</v>
      </c>
      <c r="F368" s="228" t="s">
        <v>734</v>
      </c>
    </row>
    <row r="369" spans="1:6" x14ac:dyDescent="0.2">
      <c r="A369" s="224" t="s">
        <v>731</v>
      </c>
      <c r="B369" s="224" t="s">
        <v>732</v>
      </c>
      <c r="C369" s="224" t="s">
        <v>755</v>
      </c>
      <c r="D369" s="226" t="s">
        <v>288</v>
      </c>
      <c r="E369" s="229">
        <v>121.54</v>
      </c>
      <c r="F369" s="230" t="s">
        <v>734</v>
      </c>
    </row>
    <row r="370" spans="1:6" ht="18" customHeight="1" x14ac:dyDescent="0.2">
      <c r="A370" s="224" t="s">
        <v>731</v>
      </c>
      <c r="B370" s="224" t="s">
        <v>732</v>
      </c>
      <c r="C370" s="225" t="s">
        <v>756</v>
      </c>
      <c r="D370" s="226" t="s">
        <v>288</v>
      </c>
      <c r="E370" s="227">
        <v>510.04250000000002</v>
      </c>
      <c r="F370" s="228" t="s">
        <v>734</v>
      </c>
    </row>
    <row r="371" spans="1:6" ht="24" x14ac:dyDescent="0.2">
      <c r="A371" s="224" t="s">
        <v>731</v>
      </c>
      <c r="B371" s="224" t="s">
        <v>732</v>
      </c>
      <c r="C371" s="225" t="s">
        <v>757</v>
      </c>
      <c r="D371" s="226" t="s">
        <v>288</v>
      </c>
      <c r="E371" s="227">
        <v>510.04250000000002</v>
      </c>
      <c r="F371" s="228" t="s">
        <v>734</v>
      </c>
    </row>
    <row r="372" spans="1:6" ht="24" x14ac:dyDescent="0.2">
      <c r="A372" s="224" t="s">
        <v>731</v>
      </c>
      <c r="B372" s="224" t="s">
        <v>732</v>
      </c>
      <c r="C372" s="225" t="s">
        <v>758</v>
      </c>
      <c r="D372" s="226" t="s">
        <v>288</v>
      </c>
      <c r="E372" s="227">
        <v>445.214</v>
      </c>
      <c r="F372" s="228" t="s">
        <v>734</v>
      </c>
    </row>
    <row r="373" spans="1:6" ht="24" x14ac:dyDescent="0.2">
      <c r="A373" s="224" t="s">
        <v>731</v>
      </c>
      <c r="B373" s="224" t="s">
        <v>732</v>
      </c>
      <c r="C373" s="225" t="s">
        <v>759</v>
      </c>
      <c r="D373" s="226" t="s">
        <v>288</v>
      </c>
      <c r="E373" s="227">
        <v>445.21409999999997</v>
      </c>
      <c r="F373" s="228" t="s">
        <v>734</v>
      </c>
    </row>
    <row r="374" spans="1:6" ht="21.75" customHeight="1" x14ac:dyDescent="0.2">
      <c r="A374" s="224" t="s">
        <v>731</v>
      </c>
      <c r="B374" s="224" t="s">
        <v>732</v>
      </c>
      <c r="C374" s="225" t="s">
        <v>759</v>
      </c>
      <c r="D374" s="226" t="s">
        <v>288</v>
      </c>
      <c r="E374" s="227">
        <v>437.91</v>
      </c>
      <c r="F374" s="228" t="s">
        <v>734</v>
      </c>
    </row>
    <row r="375" spans="1:6" ht="24" x14ac:dyDescent="0.2">
      <c r="A375" s="224" t="s">
        <v>731</v>
      </c>
      <c r="B375" s="224" t="s">
        <v>732</v>
      </c>
      <c r="C375" s="225" t="s">
        <v>760</v>
      </c>
      <c r="D375" s="226" t="s">
        <v>288</v>
      </c>
      <c r="E375" s="227">
        <v>440.16329999999999</v>
      </c>
      <c r="F375" s="228" t="s">
        <v>734</v>
      </c>
    </row>
    <row r="376" spans="1:6" ht="24" x14ac:dyDescent="0.2">
      <c r="A376" s="224" t="s">
        <v>731</v>
      </c>
      <c r="B376" s="224" t="s">
        <v>732</v>
      </c>
      <c r="C376" s="225" t="s">
        <v>761</v>
      </c>
      <c r="D376" s="226" t="s">
        <v>288</v>
      </c>
      <c r="E376" s="227">
        <v>439.49</v>
      </c>
      <c r="F376" s="228" t="s">
        <v>734</v>
      </c>
    </row>
    <row r="377" spans="1:6" ht="24" x14ac:dyDescent="0.2">
      <c r="A377" s="224" t="s">
        <v>731</v>
      </c>
      <c r="B377" s="224" t="s">
        <v>732</v>
      </c>
      <c r="C377" s="225" t="s">
        <v>762</v>
      </c>
      <c r="D377" s="226" t="s">
        <v>288</v>
      </c>
      <c r="E377" s="227">
        <v>442.005</v>
      </c>
      <c r="F377" s="228" t="s">
        <v>734</v>
      </c>
    </row>
    <row r="378" spans="1:6" ht="24" x14ac:dyDescent="0.2">
      <c r="A378" s="224" t="s">
        <v>731</v>
      </c>
      <c r="B378" s="224" t="s">
        <v>732</v>
      </c>
      <c r="C378" s="225" t="s">
        <v>763</v>
      </c>
      <c r="D378" s="226" t="s">
        <v>288</v>
      </c>
      <c r="E378" s="227">
        <v>439.49</v>
      </c>
      <c r="F378" s="228" t="s">
        <v>734</v>
      </c>
    </row>
    <row r="379" spans="1:6" ht="24" x14ac:dyDescent="0.2">
      <c r="A379" s="224" t="s">
        <v>731</v>
      </c>
      <c r="B379" s="224" t="s">
        <v>732</v>
      </c>
      <c r="C379" s="225" t="s">
        <v>764</v>
      </c>
      <c r="D379" s="226" t="s">
        <v>288</v>
      </c>
      <c r="E379" s="227">
        <v>835.00300000000004</v>
      </c>
      <c r="F379" s="228" t="s">
        <v>734</v>
      </c>
    </row>
    <row r="380" spans="1:6" ht="24" x14ac:dyDescent="0.2">
      <c r="A380" s="224" t="s">
        <v>731</v>
      </c>
      <c r="B380" s="224" t="s">
        <v>732</v>
      </c>
      <c r="C380" s="225" t="s">
        <v>765</v>
      </c>
      <c r="D380" s="226" t="s">
        <v>288</v>
      </c>
      <c r="E380" s="227">
        <v>1110</v>
      </c>
      <c r="F380" s="228" t="s">
        <v>734</v>
      </c>
    </row>
    <row r="381" spans="1:6" ht="24" x14ac:dyDescent="0.2">
      <c r="A381" s="224" t="s">
        <v>731</v>
      </c>
      <c r="B381" s="224" t="s">
        <v>732</v>
      </c>
      <c r="C381" s="225" t="s">
        <v>766</v>
      </c>
      <c r="D381" s="226" t="s">
        <v>288</v>
      </c>
      <c r="E381" s="227">
        <v>932.61249999999995</v>
      </c>
      <c r="F381" s="228" t="s">
        <v>734</v>
      </c>
    </row>
    <row r="382" spans="1:6" ht="24" x14ac:dyDescent="0.2">
      <c r="A382" s="224" t="s">
        <v>731</v>
      </c>
      <c r="B382" s="224" t="s">
        <v>732</v>
      </c>
      <c r="C382" s="225" t="s">
        <v>767</v>
      </c>
      <c r="D382" s="226" t="s">
        <v>288</v>
      </c>
      <c r="E382" s="227">
        <v>932.39</v>
      </c>
      <c r="F382" s="228" t="s">
        <v>734</v>
      </c>
    </row>
    <row r="383" spans="1:6" ht="24" x14ac:dyDescent="0.2">
      <c r="A383" s="224" t="s">
        <v>731</v>
      </c>
      <c r="B383" s="224" t="s">
        <v>732</v>
      </c>
      <c r="C383" s="225" t="s">
        <v>768</v>
      </c>
      <c r="D383" s="226" t="s">
        <v>288</v>
      </c>
      <c r="E383" s="227">
        <v>932.39</v>
      </c>
      <c r="F383" s="228" t="s">
        <v>734</v>
      </c>
    </row>
    <row r="384" spans="1:6" ht="24" x14ac:dyDescent="0.2">
      <c r="A384" s="224" t="s">
        <v>731</v>
      </c>
      <c r="B384" s="224" t="s">
        <v>732</v>
      </c>
      <c r="C384" s="225" t="s">
        <v>769</v>
      </c>
      <c r="D384" s="226" t="s">
        <v>288</v>
      </c>
      <c r="E384" s="227">
        <v>1015</v>
      </c>
      <c r="F384" s="228" t="s">
        <v>734</v>
      </c>
    </row>
    <row r="385" spans="1:6" ht="24" x14ac:dyDescent="0.2">
      <c r="A385" s="224" t="s">
        <v>731</v>
      </c>
      <c r="B385" s="224" t="s">
        <v>732</v>
      </c>
      <c r="C385" s="225" t="s">
        <v>770</v>
      </c>
      <c r="D385" s="226" t="s">
        <v>288</v>
      </c>
      <c r="E385" s="227">
        <v>927.75</v>
      </c>
      <c r="F385" s="228" t="s">
        <v>734</v>
      </c>
    </row>
    <row r="386" spans="1:6" ht="24" x14ac:dyDescent="0.2">
      <c r="A386" s="224" t="s">
        <v>731</v>
      </c>
      <c r="B386" s="224" t="s">
        <v>732</v>
      </c>
      <c r="C386" s="225" t="s">
        <v>771</v>
      </c>
      <c r="D386" s="226" t="s">
        <v>288</v>
      </c>
      <c r="E386" s="227">
        <v>922.77329999999995</v>
      </c>
      <c r="F386" s="228" t="s">
        <v>734</v>
      </c>
    </row>
    <row r="387" spans="1:6" ht="24" x14ac:dyDescent="0.2">
      <c r="A387" s="224" t="s">
        <v>731</v>
      </c>
      <c r="B387" s="224" t="s">
        <v>732</v>
      </c>
      <c r="C387" s="225" t="s">
        <v>772</v>
      </c>
      <c r="D387" s="226" t="s">
        <v>288</v>
      </c>
      <c r="E387" s="227">
        <v>929.53330000000005</v>
      </c>
      <c r="F387" s="228" t="s">
        <v>734</v>
      </c>
    </row>
    <row r="388" spans="1:6" ht="24" x14ac:dyDescent="0.2">
      <c r="A388" s="224" t="s">
        <v>731</v>
      </c>
      <c r="B388" s="224" t="s">
        <v>732</v>
      </c>
      <c r="C388" s="225" t="s">
        <v>773</v>
      </c>
      <c r="D388" s="226" t="s">
        <v>288</v>
      </c>
      <c r="E388" s="227">
        <v>885</v>
      </c>
      <c r="F388" s="228" t="s">
        <v>734</v>
      </c>
    </row>
    <row r="389" spans="1:6" ht="24" x14ac:dyDescent="0.2">
      <c r="A389" s="224" t="s">
        <v>731</v>
      </c>
      <c r="B389" s="224" t="s">
        <v>732</v>
      </c>
      <c r="C389" s="225" t="s">
        <v>774</v>
      </c>
      <c r="D389" s="226" t="s">
        <v>288</v>
      </c>
      <c r="E389" s="227">
        <v>1017.5025000000001</v>
      </c>
      <c r="F389" s="228" t="s">
        <v>734</v>
      </c>
    </row>
    <row r="390" spans="1:6" ht="24" x14ac:dyDescent="0.2">
      <c r="A390" s="224" t="s">
        <v>731</v>
      </c>
      <c r="B390" s="224" t="s">
        <v>732</v>
      </c>
      <c r="C390" s="225" t="s">
        <v>775</v>
      </c>
      <c r="D390" s="226" t="s">
        <v>288</v>
      </c>
      <c r="E390" s="227">
        <v>2700.0052000000001</v>
      </c>
      <c r="F390" s="228" t="s">
        <v>734</v>
      </c>
    </row>
    <row r="391" spans="1:6" ht="24" x14ac:dyDescent="0.2">
      <c r="A391" s="224" t="s">
        <v>731</v>
      </c>
      <c r="B391" s="224" t="s">
        <v>732</v>
      </c>
      <c r="C391" s="225" t="s">
        <v>776</v>
      </c>
      <c r="D391" s="226" t="s">
        <v>288</v>
      </c>
      <c r="E391" s="227">
        <v>2799.9985000000001</v>
      </c>
      <c r="F391" s="228" t="s">
        <v>734</v>
      </c>
    </row>
    <row r="392" spans="1:6" ht="24" x14ac:dyDescent="0.2">
      <c r="A392" s="224" t="s">
        <v>731</v>
      </c>
      <c r="B392" s="224" t="s">
        <v>732</v>
      </c>
      <c r="C392" s="225" t="s">
        <v>777</v>
      </c>
      <c r="D392" s="226" t="s">
        <v>288</v>
      </c>
      <c r="E392" s="227">
        <v>2149.9960000000001</v>
      </c>
      <c r="F392" s="228" t="s">
        <v>734</v>
      </c>
    </row>
    <row r="393" spans="1:6" ht="24" x14ac:dyDescent="0.2">
      <c r="A393" s="224" t="s">
        <v>731</v>
      </c>
      <c r="B393" s="224" t="s">
        <v>732</v>
      </c>
      <c r="C393" s="225" t="s">
        <v>778</v>
      </c>
      <c r="D393" s="226" t="s">
        <v>288</v>
      </c>
      <c r="E393" s="227">
        <v>3650</v>
      </c>
      <c r="F393" s="228" t="s">
        <v>734</v>
      </c>
    </row>
    <row r="394" spans="1:6" ht="14.1" customHeight="1" x14ac:dyDescent="0.2">
      <c r="A394" s="224" t="s">
        <v>731</v>
      </c>
      <c r="B394" s="224" t="s">
        <v>732</v>
      </c>
      <c r="C394" s="225" t="s">
        <v>779</v>
      </c>
      <c r="D394" s="226" t="s">
        <v>288</v>
      </c>
      <c r="E394" s="227">
        <v>30.68</v>
      </c>
      <c r="F394" s="228" t="s">
        <v>734</v>
      </c>
    </row>
    <row r="395" spans="1:6" ht="24" x14ac:dyDescent="0.2">
      <c r="A395" s="224" t="s">
        <v>731</v>
      </c>
      <c r="B395" s="224" t="s">
        <v>732</v>
      </c>
      <c r="C395" s="225" t="s">
        <v>780</v>
      </c>
      <c r="D395" s="226" t="s">
        <v>288</v>
      </c>
      <c r="E395" s="227">
        <v>5039.8509999999997</v>
      </c>
      <c r="F395" s="228" t="s">
        <v>734</v>
      </c>
    </row>
    <row r="396" spans="1:6" ht="24" x14ac:dyDescent="0.2">
      <c r="A396" s="224" t="s">
        <v>731</v>
      </c>
      <c r="B396" s="224" t="s">
        <v>732</v>
      </c>
      <c r="C396" s="225" t="s">
        <v>781</v>
      </c>
      <c r="D396" s="226" t="s">
        <v>288</v>
      </c>
      <c r="E396" s="227">
        <v>2700.0050000000001</v>
      </c>
      <c r="F396" s="228" t="s">
        <v>734</v>
      </c>
    </row>
    <row r="397" spans="1:6" x14ac:dyDescent="0.2">
      <c r="A397" s="224" t="s">
        <v>731</v>
      </c>
      <c r="B397" s="224" t="s">
        <v>732</v>
      </c>
      <c r="C397" s="225" t="s">
        <v>782</v>
      </c>
      <c r="D397" s="226" t="s">
        <v>288</v>
      </c>
      <c r="E397" s="227">
        <v>9.9946000000000002</v>
      </c>
      <c r="F397" s="228" t="s">
        <v>734</v>
      </c>
    </row>
    <row r="398" spans="1:6" ht="24.75" customHeight="1" x14ac:dyDescent="0.2">
      <c r="A398" s="224" t="s">
        <v>731</v>
      </c>
      <c r="B398" s="224" t="s">
        <v>732</v>
      </c>
      <c r="C398" s="225" t="s">
        <v>783</v>
      </c>
      <c r="D398" s="226" t="s">
        <v>288</v>
      </c>
      <c r="E398" s="227">
        <v>35.4</v>
      </c>
      <c r="F398" s="228" t="s">
        <v>734</v>
      </c>
    </row>
    <row r="399" spans="1:6" ht="24" x14ac:dyDescent="0.2">
      <c r="A399" s="224" t="s">
        <v>731</v>
      </c>
      <c r="B399" s="224" t="s">
        <v>732</v>
      </c>
      <c r="C399" s="225" t="s">
        <v>784</v>
      </c>
      <c r="D399" s="226" t="s">
        <v>288</v>
      </c>
      <c r="E399" s="227">
        <v>1184.72</v>
      </c>
      <c r="F399" s="228" t="s">
        <v>734</v>
      </c>
    </row>
    <row r="400" spans="1:6" ht="24" x14ac:dyDescent="0.2">
      <c r="A400" s="224" t="s">
        <v>731</v>
      </c>
      <c r="B400" s="224" t="s">
        <v>732</v>
      </c>
      <c r="C400" s="225" t="s">
        <v>785</v>
      </c>
      <c r="D400" s="226" t="s">
        <v>288</v>
      </c>
      <c r="E400" s="227">
        <v>2265.6</v>
      </c>
      <c r="F400" s="228" t="s">
        <v>734</v>
      </c>
    </row>
    <row r="401" spans="1:6" x14ac:dyDescent="0.2">
      <c r="A401" s="224" t="s">
        <v>731</v>
      </c>
      <c r="B401" s="224" t="s">
        <v>732</v>
      </c>
      <c r="C401" s="225" t="s">
        <v>786</v>
      </c>
      <c r="D401" s="226" t="s">
        <v>288</v>
      </c>
      <c r="E401" s="227">
        <v>13.3222</v>
      </c>
      <c r="F401" s="228" t="s">
        <v>734</v>
      </c>
    </row>
    <row r="402" spans="1:6" x14ac:dyDescent="0.2">
      <c r="A402" s="224" t="s">
        <v>731</v>
      </c>
      <c r="B402" s="224" t="s">
        <v>732</v>
      </c>
      <c r="C402" s="225" t="s">
        <v>787</v>
      </c>
      <c r="D402" s="226" t="s">
        <v>288</v>
      </c>
      <c r="E402" s="227">
        <v>107.675</v>
      </c>
      <c r="F402" s="228" t="s">
        <v>734</v>
      </c>
    </row>
    <row r="403" spans="1:6" ht="21.75" customHeight="1" x14ac:dyDescent="0.2">
      <c r="A403" s="224" t="s">
        <v>731</v>
      </c>
      <c r="B403" s="224" t="s">
        <v>732</v>
      </c>
      <c r="C403" s="225" t="s">
        <v>788</v>
      </c>
      <c r="D403" s="226" t="s">
        <v>288</v>
      </c>
      <c r="E403" s="227">
        <v>21.771000000000001</v>
      </c>
      <c r="F403" s="228" t="s">
        <v>734</v>
      </c>
    </row>
    <row r="404" spans="1:6" x14ac:dyDescent="0.2">
      <c r="A404" s="224" t="s">
        <v>731</v>
      </c>
      <c r="B404" s="224" t="s">
        <v>732</v>
      </c>
      <c r="C404" s="225" t="s">
        <v>789</v>
      </c>
      <c r="D404" s="226" t="s">
        <v>288</v>
      </c>
      <c r="E404" s="227">
        <v>7.8470000000000004</v>
      </c>
      <c r="F404" s="228" t="s">
        <v>734</v>
      </c>
    </row>
    <row r="405" spans="1:6" ht="24" x14ac:dyDescent="0.2">
      <c r="A405" s="224" t="s">
        <v>731</v>
      </c>
      <c r="B405" s="224" t="s">
        <v>732</v>
      </c>
      <c r="C405" s="225" t="s">
        <v>790</v>
      </c>
      <c r="D405" s="226" t="s">
        <v>288</v>
      </c>
      <c r="E405" s="227">
        <v>885.4</v>
      </c>
      <c r="F405" s="228" t="s">
        <v>734</v>
      </c>
    </row>
    <row r="406" spans="1:6" ht="24" x14ac:dyDescent="0.2">
      <c r="A406" s="224" t="s">
        <v>731</v>
      </c>
      <c r="B406" s="224" t="s">
        <v>732</v>
      </c>
      <c r="C406" s="225" t="s">
        <v>791</v>
      </c>
      <c r="D406" s="226" t="s">
        <v>288</v>
      </c>
      <c r="E406" s="227">
        <v>880.95249999999999</v>
      </c>
      <c r="F406" s="228" t="s">
        <v>734</v>
      </c>
    </row>
    <row r="407" spans="1:6" ht="24" x14ac:dyDescent="0.2">
      <c r="A407" s="224" t="s">
        <v>731</v>
      </c>
      <c r="B407" s="224" t="s">
        <v>732</v>
      </c>
      <c r="C407" s="225" t="s">
        <v>792</v>
      </c>
      <c r="D407" s="226" t="s">
        <v>288</v>
      </c>
      <c r="E407" s="227">
        <v>889.42600000000004</v>
      </c>
      <c r="F407" s="228" t="s">
        <v>734</v>
      </c>
    </row>
    <row r="408" spans="1:6" x14ac:dyDescent="0.2">
      <c r="A408" s="224" t="s">
        <v>731</v>
      </c>
      <c r="B408" s="224" t="s">
        <v>732</v>
      </c>
      <c r="C408" s="225" t="s">
        <v>793</v>
      </c>
      <c r="D408" s="226" t="s">
        <v>288</v>
      </c>
      <c r="E408" s="227">
        <v>20.001000000000001</v>
      </c>
      <c r="F408" s="228" t="s">
        <v>734</v>
      </c>
    </row>
    <row r="409" spans="1:6" ht="15.95" customHeight="1" x14ac:dyDescent="0.2">
      <c r="A409" s="224" t="s">
        <v>731</v>
      </c>
      <c r="B409" s="224" t="s">
        <v>732</v>
      </c>
      <c r="C409" s="228" t="s">
        <v>794</v>
      </c>
      <c r="D409" s="226" t="s">
        <v>288</v>
      </c>
      <c r="E409" s="231">
        <v>5750.01</v>
      </c>
      <c r="F409" s="228" t="s">
        <v>734</v>
      </c>
    </row>
    <row r="410" spans="1:6" ht="24" x14ac:dyDescent="0.2">
      <c r="A410" s="224" t="s">
        <v>731</v>
      </c>
      <c r="B410" s="224" t="s">
        <v>732</v>
      </c>
      <c r="C410" s="225" t="s">
        <v>795</v>
      </c>
      <c r="D410" s="226" t="s">
        <v>288</v>
      </c>
      <c r="E410" s="227">
        <v>4500.0006000000003</v>
      </c>
      <c r="F410" s="228" t="s">
        <v>734</v>
      </c>
    </row>
    <row r="411" spans="1:6" x14ac:dyDescent="0.2">
      <c r="A411" s="224" t="s">
        <v>731</v>
      </c>
      <c r="B411" s="224" t="s">
        <v>732</v>
      </c>
      <c r="C411" s="225" t="s">
        <v>796</v>
      </c>
      <c r="D411" s="226" t="s">
        <v>686</v>
      </c>
      <c r="E411" s="227">
        <v>206.5</v>
      </c>
      <c r="F411" s="228" t="s">
        <v>734</v>
      </c>
    </row>
    <row r="412" spans="1:6" x14ac:dyDescent="0.2">
      <c r="A412" s="224" t="s">
        <v>731</v>
      </c>
      <c r="B412" s="224" t="s">
        <v>732</v>
      </c>
      <c r="C412" s="225" t="s">
        <v>797</v>
      </c>
      <c r="D412" s="226" t="s">
        <v>288</v>
      </c>
      <c r="E412" s="227">
        <v>144.9984</v>
      </c>
      <c r="F412" s="228" t="s">
        <v>734</v>
      </c>
    </row>
    <row r="413" spans="1:6" x14ac:dyDescent="0.2">
      <c r="A413" s="224" t="s">
        <v>731</v>
      </c>
      <c r="B413" s="224" t="s">
        <v>732</v>
      </c>
      <c r="C413" s="225" t="s">
        <v>798</v>
      </c>
      <c r="D413" s="226" t="s">
        <v>288</v>
      </c>
      <c r="E413" s="227">
        <v>1407.74</v>
      </c>
      <c r="F413" s="228" t="s">
        <v>734</v>
      </c>
    </row>
    <row r="414" spans="1:6" x14ac:dyDescent="0.2">
      <c r="A414" s="224" t="s">
        <v>731</v>
      </c>
      <c r="B414" s="224" t="s">
        <v>732</v>
      </c>
      <c r="C414" s="225" t="s">
        <v>799</v>
      </c>
      <c r="D414" s="226" t="s">
        <v>315</v>
      </c>
      <c r="E414" s="227">
        <v>71.98</v>
      </c>
      <c r="F414" s="228" t="s">
        <v>734</v>
      </c>
    </row>
    <row r="415" spans="1:6" x14ac:dyDescent="0.2">
      <c r="A415" s="224" t="s">
        <v>731</v>
      </c>
      <c r="B415" s="224" t="s">
        <v>732</v>
      </c>
      <c r="C415" s="225" t="s">
        <v>800</v>
      </c>
      <c r="D415" s="226" t="s">
        <v>288</v>
      </c>
      <c r="E415" s="227">
        <v>55</v>
      </c>
      <c r="F415" s="228" t="s">
        <v>734</v>
      </c>
    </row>
    <row r="416" spans="1:6" x14ac:dyDescent="0.2">
      <c r="A416" s="224" t="s">
        <v>731</v>
      </c>
      <c r="B416" s="224" t="s">
        <v>732</v>
      </c>
      <c r="C416" s="225" t="s">
        <v>801</v>
      </c>
      <c r="D416" s="226" t="s">
        <v>288</v>
      </c>
      <c r="E416" s="227">
        <v>55</v>
      </c>
      <c r="F416" s="228" t="s">
        <v>734</v>
      </c>
    </row>
    <row r="417" spans="1:6" x14ac:dyDescent="0.2">
      <c r="A417" s="224" t="s">
        <v>731</v>
      </c>
      <c r="B417" s="224" t="s">
        <v>732</v>
      </c>
      <c r="C417" s="225" t="s">
        <v>802</v>
      </c>
      <c r="D417" s="226" t="s">
        <v>686</v>
      </c>
      <c r="E417" s="227">
        <v>72.5</v>
      </c>
      <c r="F417" s="228" t="s">
        <v>734</v>
      </c>
    </row>
    <row r="418" spans="1:6" x14ac:dyDescent="0.2">
      <c r="A418" s="224" t="s">
        <v>731</v>
      </c>
      <c r="B418" s="224" t="s">
        <v>732</v>
      </c>
      <c r="C418" s="225" t="s">
        <v>803</v>
      </c>
      <c r="D418" s="226" t="s">
        <v>288</v>
      </c>
      <c r="E418" s="227">
        <v>50</v>
      </c>
      <c r="F418" s="228" t="s">
        <v>734</v>
      </c>
    </row>
    <row r="419" spans="1:6" x14ac:dyDescent="0.2">
      <c r="A419" s="224" t="s">
        <v>731</v>
      </c>
      <c r="B419" s="224" t="s">
        <v>732</v>
      </c>
      <c r="C419" s="225" t="s">
        <v>804</v>
      </c>
      <c r="D419" s="226" t="s">
        <v>288</v>
      </c>
      <c r="E419" s="227">
        <v>1121</v>
      </c>
      <c r="F419" s="228" t="s">
        <v>734</v>
      </c>
    </row>
    <row r="420" spans="1:6" x14ac:dyDescent="0.2">
      <c r="A420" s="224" t="s">
        <v>731</v>
      </c>
      <c r="B420" s="224" t="s">
        <v>732</v>
      </c>
      <c r="C420" s="225" t="s">
        <v>805</v>
      </c>
      <c r="D420" s="226" t="s">
        <v>288</v>
      </c>
      <c r="E420" s="227">
        <v>254.99799999999999</v>
      </c>
      <c r="F420" s="228" t="s">
        <v>734</v>
      </c>
    </row>
    <row r="421" spans="1:6" x14ac:dyDescent="0.2">
      <c r="A421" s="224" t="s">
        <v>731</v>
      </c>
      <c r="B421" s="224" t="s">
        <v>732</v>
      </c>
      <c r="C421" s="225" t="s">
        <v>805</v>
      </c>
      <c r="D421" s="226" t="s">
        <v>288</v>
      </c>
      <c r="E421" s="227">
        <v>365.8</v>
      </c>
      <c r="F421" s="228" t="s">
        <v>734</v>
      </c>
    </row>
    <row r="422" spans="1:6" x14ac:dyDescent="0.2">
      <c r="A422" s="224" t="s">
        <v>731</v>
      </c>
      <c r="B422" s="224" t="s">
        <v>732</v>
      </c>
      <c r="C422" s="228" t="s">
        <v>806</v>
      </c>
      <c r="D422" s="226" t="s">
        <v>288</v>
      </c>
      <c r="E422" s="231">
        <v>498.99799999999999</v>
      </c>
      <c r="F422" s="228" t="s">
        <v>734</v>
      </c>
    </row>
    <row r="423" spans="1:6" ht="24" x14ac:dyDescent="0.2">
      <c r="A423" s="224" t="s">
        <v>731</v>
      </c>
      <c r="B423" s="224" t="s">
        <v>732</v>
      </c>
      <c r="C423" s="225" t="s">
        <v>807</v>
      </c>
      <c r="D423" s="226" t="s">
        <v>288</v>
      </c>
      <c r="E423" s="227">
        <v>10.9976</v>
      </c>
      <c r="F423" s="228" t="s">
        <v>734</v>
      </c>
    </row>
    <row r="424" spans="1:6" ht="24" x14ac:dyDescent="0.2">
      <c r="A424" s="224" t="s">
        <v>731</v>
      </c>
      <c r="B424" s="224" t="s">
        <v>732</v>
      </c>
      <c r="C424" s="225" t="s">
        <v>808</v>
      </c>
      <c r="D424" s="226" t="s">
        <v>288</v>
      </c>
      <c r="E424" s="227">
        <v>53.1</v>
      </c>
      <c r="F424" s="228" t="s">
        <v>734</v>
      </c>
    </row>
    <row r="425" spans="1:6" ht="24" x14ac:dyDescent="0.2">
      <c r="A425" s="224" t="s">
        <v>731</v>
      </c>
      <c r="B425" s="224" t="s">
        <v>732</v>
      </c>
      <c r="C425" s="225" t="s">
        <v>809</v>
      </c>
      <c r="D425" s="226" t="s">
        <v>288</v>
      </c>
      <c r="E425" s="227">
        <v>916.505</v>
      </c>
      <c r="F425" s="228" t="s">
        <v>734</v>
      </c>
    </row>
    <row r="426" spans="1:6" ht="24" x14ac:dyDescent="0.2">
      <c r="A426" s="224" t="s">
        <v>731</v>
      </c>
      <c r="B426" s="224" t="s">
        <v>732</v>
      </c>
      <c r="C426" s="225" t="s">
        <v>810</v>
      </c>
      <c r="D426" s="226" t="s">
        <v>288</v>
      </c>
      <c r="E426" s="227">
        <v>5015</v>
      </c>
      <c r="F426" s="228" t="s">
        <v>734</v>
      </c>
    </row>
    <row r="427" spans="1:6" ht="24" x14ac:dyDescent="0.2">
      <c r="A427" s="224" t="s">
        <v>731</v>
      </c>
      <c r="B427" s="224" t="s">
        <v>732</v>
      </c>
      <c r="C427" s="225" t="s">
        <v>811</v>
      </c>
      <c r="D427" s="226" t="s">
        <v>288</v>
      </c>
      <c r="E427" s="227">
        <v>10584.6</v>
      </c>
      <c r="F427" s="228" t="s">
        <v>734</v>
      </c>
    </row>
    <row r="428" spans="1:6" x14ac:dyDescent="0.2">
      <c r="A428" s="224" t="s">
        <v>731</v>
      </c>
      <c r="B428" s="224" t="s">
        <v>732</v>
      </c>
      <c r="C428" s="225" t="s">
        <v>812</v>
      </c>
      <c r="D428" s="226" t="s">
        <v>288</v>
      </c>
      <c r="E428" s="227">
        <v>8.85</v>
      </c>
      <c r="F428" s="228" t="s">
        <v>734</v>
      </c>
    </row>
    <row r="429" spans="1:6" x14ac:dyDescent="0.2">
      <c r="A429" s="224" t="s">
        <v>731</v>
      </c>
      <c r="B429" s="224" t="s">
        <v>732</v>
      </c>
      <c r="C429" s="225" t="s">
        <v>813</v>
      </c>
      <c r="D429" s="226" t="s">
        <v>288</v>
      </c>
      <c r="E429" s="227">
        <v>26.55</v>
      </c>
      <c r="F429" s="228" t="s">
        <v>734</v>
      </c>
    </row>
    <row r="430" spans="1:6" x14ac:dyDescent="0.2">
      <c r="A430" s="224" t="s">
        <v>731</v>
      </c>
      <c r="B430" s="224" t="s">
        <v>732</v>
      </c>
      <c r="C430" s="225" t="s">
        <v>814</v>
      </c>
      <c r="D430" s="226" t="s">
        <v>288</v>
      </c>
      <c r="E430" s="227">
        <v>71.98</v>
      </c>
      <c r="F430" s="228" t="s">
        <v>734</v>
      </c>
    </row>
    <row r="431" spans="1:6" x14ac:dyDescent="0.2">
      <c r="A431" s="224" t="s">
        <v>731</v>
      </c>
      <c r="B431" s="224" t="s">
        <v>732</v>
      </c>
      <c r="C431" s="225" t="s">
        <v>815</v>
      </c>
      <c r="D431" s="226" t="s">
        <v>288</v>
      </c>
      <c r="E431" s="227">
        <v>278.77499999999998</v>
      </c>
      <c r="F431" s="228" t="s">
        <v>734</v>
      </c>
    </row>
    <row r="432" spans="1:6" x14ac:dyDescent="0.2">
      <c r="A432" s="224" t="s">
        <v>731</v>
      </c>
      <c r="B432" s="224" t="s">
        <v>732</v>
      </c>
      <c r="C432" s="225" t="s">
        <v>816</v>
      </c>
      <c r="D432" s="226" t="s">
        <v>288</v>
      </c>
      <c r="E432" s="227">
        <v>32.001600000000003</v>
      </c>
      <c r="F432" s="228" t="s">
        <v>734</v>
      </c>
    </row>
    <row r="433" spans="1:6" x14ac:dyDescent="0.2">
      <c r="A433" s="224" t="s">
        <v>731</v>
      </c>
      <c r="B433" s="224" t="s">
        <v>732</v>
      </c>
      <c r="C433" s="225" t="s">
        <v>817</v>
      </c>
      <c r="D433" s="226" t="s">
        <v>288</v>
      </c>
      <c r="E433" s="227">
        <v>33.04</v>
      </c>
      <c r="F433" s="228" t="s">
        <v>734</v>
      </c>
    </row>
    <row r="434" spans="1:6" x14ac:dyDescent="0.2">
      <c r="A434" s="224" t="s">
        <v>731</v>
      </c>
      <c r="B434" s="224" t="s">
        <v>732</v>
      </c>
      <c r="C434" s="225" t="s">
        <v>818</v>
      </c>
      <c r="D434" s="226" t="s">
        <v>288</v>
      </c>
      <c r="E434" s="227">
        <v>24.78</v>
      </c>
      <c r="F434" s="228" t="s">
        <v>734</v>
      </c>
    </row>
    <row r="435" spans="1:6" x14ac:dyDescent="0.2">
      <c r="A435" s="224" t="s">
        <v>731</v>
      </c>
      <c r="B435" s="224" t="s">
        <v>732</v>
      </c>
      <c r="C435" s="225" t="s">
        <v>819</v>
      </c>
      <c r="D435" s="226" t="s">
        <v>288</v>
      </c>
      <c r="E435" s="227">
        <v>21.24</v>
      </c>
      <c r="F435" s="228" t="s">
        <v>734</v>
      </c>
    </row>
    <row r="436" spans="1:6" ht="24" x14ac:dyDescent="0.2">
      <c r="A436" s="224" t="s">
        <v>731</v>
      </c>
      <c r="B436" s="224" t="s">
        <v>732</v>
      </c>
      <c r="C436" s="225" t="s">
        <v>820</v>
      </c>
      <c r="D436" s="226" t="s">
        <v>288</v>
      </c>
      <c r="E436" s="227">
        <v>8379.4282999999996</v>
      </c>
      <c r="F436" s="228" t="s">
        <v>734</v>
      </c>
    </row>
    <row r="437" spans="1:6" ht="24" x14ac:dyDescent="0.2">
      <c r="A437" s="224" t="s">
        <v>731</v>
      </c>
      <c r="B437" s="224" t="s">
        <v>732</v>
      </c>
      <c r="C437" s="225" t="s">
        <v>821</v>
      </c>
      <c r="D437" s="226" t="s">
        <v>288</v>
      </c>
      <c r="E437" s="227">
        <v>3100.0016999999998</v>
      </c>
      <c r="F437" s="228" t="s">
        <v>734</v>
      </c>
    </row>
    <row r="438" spans="1:6" ht="24" x14ac:dyDescent="0.2">
      <c r="A438" s="224" t="s">
        <v>731</v>
      </c>
      <c r="B438" s="224" t="s">
        <v>732</v>
      </c>
      <c r="C438" s="225" t="s">
        <v>822</v>
      </c>
      <c r="D438" s="226" t="s">
        <v>288</v>
      </c>
      <c r="E438" s="227">
        <v>7601.18</v>
      </c>
      <c r="F438" s="228" t="s">
        <v>734</v>
      </c>
    </row>
    <row r="439" spans="1:6" x14ac:dyDescent="0.2">
      <c r="A439" s="224" t="s">
        <v>731</v>
      </c>
      <c r="B439" s="224" t="s">
        <v>732</v>
      </c>
      <c r="C439" s="225" t="s">
        <v>823</v>
      </c>
      <c r="D439" s="226" t="s">
        <v>288</v>
      </c>
      <c r="E439" s="227">
        <v>5.31</v>
      </c>
      <c r="F439" s="228" t="s">
        <v>734</v>
      </c>
    </row>
    <row r="440" spans="1:6" x14ac:dyDescent="0.2">
      <c r="A440" s="224" t="s">
        <v>731</v>
      </c>
      <c r="B440" s="224" t="s">
        <v>732</v>
      </c>
      <c r="C440" s="225" t="s">
        <v>824</v>
      </c>
      <c r="D440" s="226" t="s">
        <v>288</v>
      </c>
      <c r="E440" s="227">
        <v>9.6760000000000002</v>
      </c>
      <c r="F440" s="228" t="s">
        <v>734</v>
      </c>
    </row>
    <row r="441" spans="1:6" x14ac:dyDescent="0.2">
      <c r="A441" s="224" t="s">
        <v>731</v>
      </c>
      <c r="B441" s="224" t="s">
        <v>732</v>
      </c>
      <c r="C441" s="225" t="s">
        <v>825</v>
      </c>
      <c r="D441" s="226" t="s">
        <v>288</v>
      </c>
      <c r="E441" s="227">
        <v>25.924600000000002</v>
      </c>
      <c r="F441" s="228" t="s">
        <v>734</v>
      </c>
    </row>
    <row r="442" spans="1:6" x14ac:dyDescent="0.2">
      <c r="A442" s="224" t="s">
        <v>731</v>
      </c>
      <c r="B442" s="224" t="s">
        <v>732</v>
      </c>
      <c r="C442" s="225" t="s">
        <v>826</v>
      </c>
      <c r="D442" s="226" t="s">
        <v>288</v>
      </c>
      <c r="E442" s="227">
        <v>4163.9250000000002</v>
      </c>
      <c r="F442" s="228" t="s">
        <v>734</v>
      </c>
    </row>
    <row r="443" spans="1:6" x14ac:dyDescent="0.2">
      <c r="A443" s="224" t="s">
        <v>731</v>
      </c>
      <c r="B443" s="224" t="s">
        <v>732</v>
      </c>
      <c r="C443" s="225" t="s">
        <v>827</v>
      </c>
      <c r="D443" s="226" t="s">
        <v>288</v>
      </c>
      <c r="E443" s="227">
        <v>15.34</v>
      </c>
      <c r="F443" s="228" t="s">
        <v>734</v>
      </c>
    </row>
    <row r="444" spans="1:6" x14ac:dyDescent="0.2">
      <c r="A444" s="224" t="s">
        <v>731</v>
      </c>
      <c r="B444" s="224" t="s">
        <v>732</v>
      </c>
      <c r="C444" s="225" t="s">
        <v>828</v>
      </c>
      <c r="D444" s="226" t="s">
        <v>288</v>
      </c>
      <c r="E444" s="227">
        <v>788.24</v>
      </c>
      <c r="F444" s="228" t="s">
        <v>734</v>
      </c>
    </row>
    <row r="445" spans="1:6" x14ac:dyDescent="0.2">
      <c r="A445" s="224" t="s">
        <v>731</v>
      </c>
      <c r="B445" s="224" t="s">
        <v>732</v>
      </c>
      <c r="C445" s="224" t="s">
        <v>829</v>
      </c>
      <c r="D445" s="226" t="s">
        <v>288</v>
      </c>
      <c r="E445" s="229">
        <v>1888</v>
      </c>
      <c r="F445" s="230" t="s">
        <v>734</v>
      </c>
    </row>
    <row r="446" spans="1:6" x14ac:dyDescent="0.2">
      <c r="A446" s="224" t="s">
        <v>731</v>
      </c>
      <c r="B446" s="224" t="s">
        <v>732</v>
      </c>
      <c r="C446" s="224" t="s">
        <v>830</v>
      </c>
      <c r="D446" s="226" t="s">
        <v>288</v>
      </c>
      <c r="E446" s="229">
        <v>1888</v>
      </c>
      <c r="F446" s="230" t="s">
        <v>734</v>
      </c>
    </row>
    <row r="447" spans="1:6" x14ac:dyDescent="0.2">
      <c r="A447" s="224" t="s">
        <v>731</v>
      </c>
      <c r="B447" s="224" t="s">
        <v>732</v>
      </c>
      <c r="C447" s="224" t="s">
        <v>831</v>
      </c>
      <c r="D447" s="226" t="s">
        <v>288</v>
      </c>
      <c r="E447" s="229">
        <v>1858.5</v>
      </c>
      <c r="F447" s="230" t="s">
        <v>734</v>
      </c>
    </row>
    <row r="448" spans="1:6" x14ac:dyDescent="0.2">
      <c r="A448" s="224" t="s">
        <v>731</v>
      </c>
      <c r="B448" s="224" t="s">
        <v>732</v>
      </c>
      <c r="C448" s="225" t="s">
        <v>832</v>
      </c>
      <c r="D448" s="226" t="s">
        <v>315</v>
      </c>
      <c r="E448" s="227">
        <v>27.14</v>
      </c>
      <c r="F448" s="228" t="s">
        <v>734</v>
      </c>
    </row>
    <row r="449" spans="1:6" x14ac:dyDescent="0.2">
      <c r="A449" s="224" t="s">
        <v>731</v>
      </c>
      <c r="B449" s="224" t="s">
        <v>732</v>
      </c>
      <c r="C449" s="225" t="s">
        <v>833</v>
      </c>
      <c r="D449" s="226" t="s">
        <v>288</v>
      </c>
      <c r="E449" s="227">
        <v>33.4176</v>
      </c>
      <c r="F449" s="228" t="s">
        <v>734</v>
      </c>
    </row>
    <row r="450" spans="1:6" x14ac:dyDescent="0.2">
      <c r="A450" s="224" t="s">
        <v>731</v>
      </c>
      <c r="B450" s="224" t="s">
        <v>732</v>
      </c>
      <c r="C450" s="225" t="s">
        <v>834</v>
      </c>
      <c r="D450" s="226" t="s">
        <v>288</v>
      </c>
      <c r="E450" s="227">
        <v>46.999499999999998</v>
      </c>
      <c r="F450" s="228" t="s">
        <v>734</v>
      </c>
    </row>
    <row r="451" spans="1:6" x14ac:dyDescent="0.2">
      <c r="A451" s="224" t="s">
        <v>731</v>
      </c>
      <c r="B451" s="224" t="s">
        <v>732</v>
      </c>
      <c r="C451" s="225" t="s">
        <v>835</v>
      </c>
      <c r="D451" s="226" t="s">
        <v>288</v>
      </c>
      <c r="E451" s="227">
        <v>49.206000000000003</v>
      </c>
      <c r="F451" s="228" t="s">
        <v>734</v>
      </c>
    </row>
    <row r="452" spans="1:6" x14ac:dyDescent="0.2">
      <c r="A452" s="224" t="s">
        <v>731</v>
      </c>
      <c r="B452" s="224" t="s">
        <v>732</v>
      </c>
      <c r="C452" s="225" t="s">
        <v>836</v>
      </c>
      <c r="D452" s="226" t="s">
        <v>288</v>
      </c>
      <c r="E452" s="227">
        <v>619.5</v>
      </c>
      <c r="F452" s="228" t="s">
        <v>734</v>
      </c>
    </row>
    <row r="453" spans="1:6" ht="18" customHeight="1" x14ac:dyDescent="0.2">
      <c r="A453" s="224" t="s">
        <v>731</v>
      </c>
      <c r="B453" s="224" t="s">
        <v>732</v>
      </c>
      <c r="C453" s="225" t="s">
        <v>837</v>
      </c>
      <c r="D453" s="226" t="s">
        <v>288</v>
      </c>
      <c r="E453" s="227">
        <v>49.607300000000002</v>
      </c>
      <c r="F453" s="228" t="s">
        <v>734</v>
      </c>
    </row>
    <row r="454" spans="1:6" x14ac:dyDescent="0.2">
      <c r="A454" s="224" t="s">
        <v>731</v>
      </c>
      <c r="B454" s="224" t="s">
        <v>732</v>
      </c>
      <c r="C454" s="225" t="s">
        <v>838</v>
      </c>
      <c r="D454" s="226" t="s">
        <v>288</v>
      </c>
      <c r="E454" s="227">
        <v>1362.9</v>
      </c>
      <c r="F454" s="228" t="s">
        <v>734</v>
      </c>
    </row>
    <row r="455" spans="1:6" x14ac:dyDescent="0.2">
      <c r="A455" s="224" t="s">
        <v>731</v>
      </c>
      <c r="B455" s="224" t="s">
        <v>732</v>
      </c>
      <c r="C455" s="225" t="s">
        <v>839</v>
      </c>
      <c r="D455" s="226" t="s">
        <v>288</v>
      </c>
      <c r="E455" s="227">
        <v>114.46</v>
      </c>
      <c r="F455" s="228" t="s">
        <v>734</v>
      </c>
    </row>
    <row r="456" spans="1:6" ht="18.95" customHeight="1" x14ac:dyDescent="0.2">
      <c r="A456" s="224" t="s">
        <v>731</v>
      </c>
      <c r="B456" s="224" t="s">
        <v>732</v>
      </c>
      <c r="C456" s="225" t="s">
        <v>840</v>
      </c>
      <c r="D456" s="226" t="s">
        <v>288</v>
      </c>
      <c r="E456" s="227">
        <v>4399.9949999999999</v>
      </c>
      <c r="F456" s="228" t="s">
        <v>734</v>
      </c>
    </row>
    <row r="457" spans="1:6" ht="18.95" customHeight="1" x14ac:dyDescent="0.2">
      <c r="A457" s="224" t="s">
        <v>731</v>
      </c>
      <c r="B457" s="224" t="s">
        <v>732</v>
      </c>
      <c r="C457" s="225" t="s">
        <v>841</v>
      </c>
      <c r="D457" s="226" t="s">
        <v>288</v>
      </c>
      <c r="E457" s="227">
        <v>2242</v>
      </c>
      <c r="F457" s="228" t="s">
        <v>734</v>
      </c>
    </row>
    <row r="458" spans="1:6" ht="18.95" customHeight="1" x14ac:dyDescent="0.2">
      <c r="A458" s="224" t="s">
        <v>731</v>
      </c>
      <c r="B458" s="224" t="s">
        <v>732</v>
      </c>
      <c r="C458" s="225" t="s">
        <v>842</v>
      </c>
      <c r="D458" s="226" t="s">
        <v>288</v>
      </c>
      <c r="E458" s="227">
        <v>1982.4</v>
      </c>
      <c r="F458" s="228" t="s">
        <v>734</v>
      </c>
    </row>
    <row r="459" spans="1:6" ht="24" x14ac:dyDescent="0.2">
      <c r="A459" s="224" t="s">
        <v>731</v>
      </c>
      <c r="B459" s="224" t="s">
        <v>732</v>
      </c>
      <c r="C459" s="225" t="s">
        <v>843</v>
      </c>
      <c r="D459" s="226" t="s">
        <v>288</v>
      </c>
      <c r="E459" s="227">
        <v>2006</v>
      </c>
      <c r="F459" s="228" t="s">
        <v>734</v>
      </c>
    </row>
    <row r="460" spans="1:6" ht="15" customHeight="1" x14ac:dyDescent="0.2">
      <c r="A460" s="224" t="s">
        <v>731</v>
      </c>
      <c r="B460" s="224" t="s">
        <v>732</v>
      </c>
      <c r="C460" s="225" t="s">
        <v>844</v>
      </c>
      <c r="D460" s="226" t="s">
        <v>288</v>
      </c>
      <c r="E460" s="227">
        <v>3186</v>
      </c>
      <c r="F460" s="228" t="s">
        <v>734</v>
      </c>
    </row>
    <row r="461" spans="1:6" ht="24" x14ac:dyDescent="0.2">
      <c r="A461" s="224" t="s">
        <v>731</v>
      </c>
      <c r="B461" s="224" t="s">
        <v>732</v>
      </c>
      <c r="C461" s="225" t="s">
        <v>845</v>
      </c>
      <c r="D461" s="226" t="s">
        <v>288</v>
      </c>
      <c r="E461" s="227">
        <v>2908.2525000000001</v>
      </c>
      <c r="F461" s="228" t="s">
        <v>734</v>
      </c>
    </row>
    <row r="462" spans="1:6" ht="20.25" customHeight="1" x14ac:dyDescent="0.2">
      <c r="A462" s="224" t="s">
        <v>731</v>
      </c>
      <c r="B462" s="224" t="s">
        <v>732</v>
      </c>
      <c r="C462" s="225" t="s">
        <v>846</v>
      </c>
      <c r="D462" s="226" t="s">
        <v>288</v>
      </c>
      <c r="E462" s="227">
        <v>4979.6000000000004</v>
      </c>
      <c r="F462" s="228" t="s">
        <v>734</v>
      </c>
    </row>
    <row r="463" spans="1:6" ht="21.75" customHeight="1" x14ac:dyDescent="0.2">
      <c r="A463" s="224" t="s">
        <v>731</v>
      </c>
      <c r="B463" s="224" t="s">
        <v>732</v>
      </c>
      <c r="C463" s="225" t="s">
        <v>847</v>
      </c>
      <c r="D463" s="226" t="s">
        <v>288</v>
      </c>
      <c r="E463" s="227">
        <v>4248</v>
      </c>
      <c r="F463" s="228" t="s">
        <v>734</v>
      </c>
    </row>
    <row r="464" spans="1:6" ht="21.75" customHeight="1" x14ac:dyDescent="0.2">
      <c r="A464" s="224" t="s">
        <v>731</v>
      </c>
      <c r="B464" s="224" t="s">
        <v>732</v>
      </c>
      <c r="C464" s="225" t="s">
        <v>848</v>
      </c>
      <c r="D464" s="226" t="s">
        <v>288</v>
      </c>
      <c r="E464" s="227">
        <v>2419</v>
      </c>
      <c r="F464" s="228" t="s">
        <v>734</v>
      </c>
    </row>
    <row r="465" spans="1:6" ht="15" customHeight="1" x14ac:dyDescent="0.2">
      <c r="A465" s="224" t="s">
        <v>731</v>
      </c>
      <c r="B465" s="224" t="s">
        <v>732</v>
      </c>
      <c r="C465" s="225" t="s">
        <v>849</v>
      </c>
      <c r="D465" s="226" t="s">
        <v>288</v>
      </c>
      <c r="E465" s="227">
        <v>5015</v>
      </c>
      <c r="F465" s="228" t="s">
        <v>734</v>
      </c>
    </row>
    <row r="466" spans="1:6" ht="17.100000000000001" customHeight="1" x14ac:dyDescent="0.2">
      <c r="A466" s="224" t="s">
        <v>731</v>
      </c>
      <c r="B466" s="224" t="s">
        <v>732</v>
      </c>
      <c r="C466" s="225" t="s">
        <v>850</v>
      </c>
      <c r="D466" s="226" t="s">
        <v>288</v>
      </c>
      <c r="E466" s="227">
        <v>4398.45</v>
      </c>
      <c r="F466" s="228" t="s">
        <v>734</v>
      </c>
    </row>
    <row r="467" spans="1:6" ht="14.1" customHeight="1" x14ac:dyDescent="0.2">
      <c r="A467" s="224" t="s">
        <v>731</v>
      </c>
      <c r="B467" s="224" t="s">
        <v>732</v>
      </c>
      <c r="C467" s="225" t="s">
        <v>851</v>
      </c>
      <c r="D467" s="226" t="s">
        <v>288</v>
      </c>
      <c r="E467" s="227">
        <v>8142</v>
      </c>
      <c r="F467" s="228" t="s">
        <v>734</v>
      </c>
    </row>
    <row r="468" spans="1:6" ht="14.1" customHeight="1" x14ac:dyDescent="0.2">
      <c r="A468" s="224" t="s">
        <v>731</v>
      </c>
      <c r="B468" s="224" t="s">
        <v>732</v>
      </c>
      <c r="C468" s="225" t="s">
        <v>852</v>
      </c>
      <c r="D468" s="226" t="s">
        <v>288</v>
      </c>
      <c r="E468" s="227">
        <v>6608</v>
      </c>
      <c r="F468" s="228" t="s">
        <v>734</v>
      </c>
    </row>
    <row r="469" spans="1:6" ht="15" customHeight="1" x14ac:dyDescent="0.2">
      <c r="A469" s="224" t="s">
        <v>731</v>
      </c>
      <c r="B469" s="224" t="s">
        <v>732</v>
      </c>
      <c r="C469" s="225" t="s">
        <v>853</v>
      </c>
      <c r="D469" s="226" t="s">
        <v>288</v>
      </c>
      <c r="E469" s="227">
        <v>1899.8</v>
      </c>
      <c r="F469" s="228" t="s">
        <v>734</v>
      </c>
    </row>
    <row r="470" spans="1:6" ht="24" x14ac:dyDescent="0.2">
      <c r="A470" s="224" t="s">
        <v>731</v>
      </c>
      <c r="B470" s="224" t="s">
        <v>732</v>
      </c>
      <c r="C470" s="225" t="s">
        <v>854</v>
      </c>
      <c r="D470" s="226" t="s">
        <v>288</v>
      </c>
      <c r="E470" s="227">
        <v>7788</v>
      </c>
      <c r="F470" s="228" t="s">
        <v>734</v>
      </c>
    </row>
    <row r="471" spans="1:6" ht="24" x14ac:dyDescent="0.2">
      <c r="A471" s="224" t="s">
        <v>731</v>
      </c>
      <c r="B471" s="224" t="s">
        <v>732</v>
      </c>
      <c r="C471" s="225" t="s">
        <v>855</v>
      </c>
      <c r="D471" s="226" t="s">
        <v>288</v>
      </c>
      <c r="E471" s="227">
        <v>8732</v>
      </c>
      <c r="F471" s="228" t="s">
        <v>734</v>
      </c>
    </row>
    <row r="472" spans="1:6" ht="14.1" customHeight="1" x14ac:dyDescent="0.2">
      <c r="A472" s="224" t="s">
        <v>731</v>
      </c>
      <c r="B472" s="224" t="s">
        <v>732</v>
      </c>
      <c r="C472" s="225" t="s">
        <v>856</v>
      </c>
      <c r="D472" s="226" t="s">
        <v>288</v>
      </c>
      <c r="E472" s="227">
        <v>1911.01</v>
      </c>
      <c r="F472" s="228" t="s">
        <v>734</v>
      </c>
    </row>
    <row r="473" spans="1:6" ht="14.1" customHeight="1" x14ac:dyDescent="0.2">
      <c r="A473" s="224" t="s">
        <v>731</v>
      </c>
      <c r="B473" s="224" t="s">
        <v>732</v>
      </c>
      <c r="C473" s="225" t="s">
        <v>857</v>
      </c>
      <c r="D473" s="226" t="s">
        <v>288</v>
      </c>
      <c r="E473" s="227">
        <v>7670</v>
      </c>
      <c r="F473" s="228" t="s">
        <v>734</v>
      </c>
    </row>
    <row r="474" spans="1:6" ht="15.95" customHeight="1" x14ac:dyDescent="0.2">
      <c r="A474" s="224" t="s">
        <v>731</v>
      </c>
      <c r="B474" s="224" t="s">
        <v>732</v>
      </c>
      <c r="C474" s="225" t="s">
        <v>858</v>
      </c>
      <c r="D474" s="226" t="s">
        <v>288</v>
      </c>
      <c r="E474" s="227">
        <v>14.75</v>
      </c>
      <c r="F474" s="228" t="s">
        <v>734</v>
      </c>
    </row>
    <row r="475" spans="1:6" ht="15.95" customHeight="1" x14ac:dyDescent="0.2">
      <c r="A475" s="224" t="s">
        <v>731</v>
      </c>
      <c r="B475" s="224" t="s">
        <v>732</v>
      </c>
      <c r="C475" s="225" t="s">
        <v>859</v>
      </c>
      <c r="D475" s="226" t="s">
        <v>288</v>
      </c>
      <c r="E475" s="227">
        <v>233.64</v>
      </c>
      <c r="F475" s="228" t="s">
        <v>734</v>
      </c>
    </row>
    <row r="476" spans="1:6" ht="15" customHeight="1" x14ac:dyDescent="0.2">
      <c r="A476" s="232" t="s">
        <v>860</v>
      </c>
      <c r="B476" s="232" t="s">
        <v>861</v>
      </c>
      <c r="C476" s="233" t="s">
        <v>862</v>
      </c>
      <c r="D476" s="234" t="s">
        <v>686</v>
      </c>
      <c r="E476" s="235">
        <v>250</v>
      </c>
      <c r="F476" s="236" t="s">
        <v>863</v>
      </c>
    </row>
    <row r="477" spans="1:6" x14ac:dyDescent="0.2">
      <c r="A477" s="232" t="s">
        <v>860</v>
      </c>
      <c r="B477" s="232" t="s">
        <v>861</v>
      </c>
      <c r="C477" s="233" t="s">
        <v>864</v>
      </c>
      <c r="D477" s="234" t="s">
        <v>288</v>
      </c>
      <c r="E477" s="235">
        <v>362.25</v>
      </c>
      <c r="F477" s="236" t="s">
        <v>865</v>
      </c>
    </row>
    <row r="478" spans="1:6" ht="15" customHeight="1" x14ac:dyDescent="0.2">
      <c r="A478" s="232" t="s">
        <v>860</v>
      </c>
      <c r="B478" s="232" t="s">
        <v>861</v>
      </c>
      <c r="C478" s="233" t="s">
        <v>866</v>
      </c>
      <c r="D478" s="234" t="s">
        <v>288</v>
      </c>
      <c r="E478" s="235">
        <v>402.67669999999998</v>
      </c>
      <c r="F478" s="236" t="s">
        <v>863</v>
      </c>
    </row>
    <row r="479" spans="1:6" x14ac:dyDescent="0.2">
      <c r="A479" s="232" t="s">
        <v>860</v>
      </c>
      <c r="B479" s="232" t="s">
        <v>861</v>
      </c>
      <c r="C479" s="237" t="s">
        <v>867</v>
      </c>
      <c r="D479" s="238" t="s">
        <v>288</v>
      </c>
      <c r="E479" s="239">
        <v>475.16</v>
      </c>
      <c r="F479" s="236" t="s">
        <v>865</v>
      </c>
    </row>
    <row r="480" spans="1:6" ht="15.95" customHeight="1" x14ac:dyDescent="0.2">
      <c r="A480" s="232" t="s">
        <v>860</v>
      </c>
      <c r="B480" s="232" t="s">
        <v>861</v>
      </c>
      <c r="C480" s="233" t="s">
        <v>868</v>
      </c>
      <c r="D480" s="234" t="s">
        <v>288</v>
      </c>
      <c r="E480" s="235">
        <v>466.1</v>
      </c>
      <c r="F480" s="236" t="s">
        <v>863</v>
      </c>
    </row>
    <row r="481" spans="1:6" x14ac:dyDescent="0.2">
      <c r="A481" s="232" t="s">
        <v>860</v>
      </c>
      <c r="B481" s="232" t="s">
        <v>861</v>
      </c>
      <c r="C481" s="233" t="s">
        <v>869</v>
      </c>
      <c r="D481" s="234" t="s">
        <v>288</v>
      </c>
      <c r="E481" s="235">
        <v>475.16</v>
      </c>
      <c r="F481" s="236" t="s">
        <v>865</v>
      </c>
    </row>
    <row r="482" spans="1:6" ht="17.100000000000001" customHeight="1" x14ac:dyDescent="0.2">
      <c r="A482" s="232" t="s">
        <v>860</v>
      </c>
      <c r="B482" s="232" t="s">
        <v>861</v>
      </c>
      <c r="C482" s="233" t="s">
        <v>870</v>
      </c>
      <c r="D482" s="234" t="s">
        <v>605</v>
      </c>
      <c r="E482" s="235">
        <v>148</v>
      </c>
      <c r="F482" s="236" t="s">
        <v>863</v>
      </c>
    </row>
    <row r="483" spans="1:6" x14ac:dyDescent="0.2">
      <c r="A483" s="232" t="s">
        <v>860</v>
      </c>
      <c r="B483" s="232" t="s">
        <v>861</v>
      </c>
      <c r="C483" s="233" t="s">
        <v>871</v>
      </c>
      <c r="D483" s="234" t="s">
        <v>605</v>
      </c>
      <c r="E483" s="235">
        <v>393.75</v>
      </c>
      <c r="F483" s="236" t="s">
        <v>865</v>
      </c>
    </row>
    <row r="484" spans="1:6" x14ac:dyDescent="0.2">
      <c r="A484" s="232" t="s">
        <v>860</v>
      </c>
      <c r="B484" s="232" t="s">
        <v>861</v>
      </c>
      <c r="C484" s="233" t="s">
        <v>872</v>
      </c>
      <c r="D484" s="234" t="s">
        <v>288</v>
      </c>
      <c r="E484" s="235">
        <v>1535.12</v>
      </c>
      <c r="F484" s="236" t="s">
        <v>865</v>
      </c>
    </row>
    <row r="485" spans="1:6" x14ac:dyDescent="0.2">
      <c r="A485" s="232" t="s">
        <v>860</v>
      </c>
      <c r="B485" s="232" t="s">
        <v>861</v>
      </c>
      <c r="C485" s="233" t="s">
        <v>873</v>
      </c>
      <c r="D485" s="234" t="s">
        <v>288</v>
      </c>
      <c r="E485" s="235">
        <v>1300.95</v>
      </c>
      <c r="F485" s="236" t="s">
        <v>863</v>
      </c>
    </row>
    <row r="486" spans="1:6" x14ac:dyDescent="0.2">
      <c r="A486" s="232" t="s">
        <v>860</v>
      </c>
      <c r="B486" s="232" t="s">
        <v>861</v>
      </c>
      <c r="C486" s="233" t="s">
        <v>874</v>
      </c>
      <c r="D486" s="234" t="s">
        <v>288</v>
      </c>
      <c r="E486" s="235">
        <v>299.72000000000003</v>
      </c>
      <c r="F486" s="236" t="s">
        <v>865</v>
      </c>
    </row>
    <row r="487" spans="1:6" x14ac:dyDescent="0.2">
      <c r="A487" s="232" t="s">
        <v>860</v>
      </c>
      <c r="B487" s="232" t="s">
        <v>861</v>
      </c>
      <c r="C487" s="233" t="s">
        <v>875</v>
      </c>
      <c r="D487" s="234" t="s">
        <v>288</v>
      </c>
      <c r="E487" s="235">
        <v>236</v>
      </c>
      <c r="F487" s="236" t="s">
        <v>863</v>
      </c>
    </row>
    <row r="488" spans="1:6" x14ac:dyDescent="0.2">
      <c r="A488" s="232" t="s">
        <v>860</v>
      </c>
      <c r="B488" s="232" t="s">
        <v>861</v>
      </c>
      <c r="C488" s="233" t="s">
        <v>876</v>
      </c>
      <c r="D488" s="234" t="s">
        <v>288</v>
      </c>
      <c r="E488" s="235">
        <v>131.58000000000001</v>
      </c>
      <c r="F488" s="236" t="s">
        <v>865</v>
      </c>
    </row>
    <row r="489" spans="1:6" ht="21.95" customHeight="1" x14ac:dyDescent="0.2">
      <c r="A489" s="232" t="s">
        <v>860</v>
      </c>
      <c r="B489" s="232" t="s">
        <v>861</v>
      </c>
      <c r="C489" s="233" t="s">
        <v>877</v>
      </c>
      <c r="D489" s="234" t="s">
        <v>288</v>
      </c>
      <c r="E489" s="235">
        <v>136.29</v>
      </c>
      <c r="F489" s="236" t="s">
        <v>863</v>
      </c>
    </row>
    <row r="490" spans="1:6" ht="24.75" customHeight="1" x14ac:dyDescent="0.2">
      <c r="A490" s="232" t="s">
        <v>860</v>
      </c>
      <c r="B490" s="232" t="s">
        <v>861</v>
      </c>
      <c r="C490" s="233" t="s">
        <v>878</v>
      </c>
      <c r="D490" s="234" t="s">
        <v>288</v>
      </c>
      <c r="E490" s="235">
        <v>74.34</v>
      </c>
      <c r="F490" s="236" t="s">
        <v>863</v>
      </c>
    </row>
    <row r="491" spans="1:6" ht="27.75" customHeight="1" x14ac:dyDescent="0.2">
      <c r="A491" s="232" t="s">
        <v>860</v>
      </c>
      <c r="B491" s="232" t="s">
        <v>861</v>
      </c>
      <c r="C491" s="233" t="s">
        <v>879</v>
      </c>
      <c r="D491" s="234" t="s">
        <v>288</v>
      </c>
      <c r="E491" s="235">
        <v>52.4983</v>
      </c>
      <c r="F491" s="236" t="s">
        <v>863</v>
      </c>
    </row>
    <row r="492" spans="1:6" ht="24.95" customHeight="1" x14ac:dyDescent="0.2">
      <c r="A492" s="232" t="s">
        <v>860</v>
      </c>
      <c r="B492" s="232" t="s">
        <v>861</v>
      </c>
      <c r="C492" s="233" t="s">
        <v>880</v>
      </c>
      <c r="D492" s="234" t="s">
        <v>288</v>
      </c>
      <c r="E492" s="235">
        <v>61.95</v>
      </c>
      <c r="F492" s="236" t="s">
        <v>865</v>
      </c>
    </row>
    <row r="493" spans="1:6" ht="20.100000000000001" customHeight="1" x14ac:dyDescent="0.2">
      <c r="A493" s="232" t="s">
        <v>860</v>
      </c>
      <c r="B493" s="232" t="s">
        <v>861</v>
      </c>
      <c r="C493" s="233" t="s">
        <v>881</v>
      </c>
      <c r="D493" s="234" t="s">
        <v>288</v>
      </c>
      <c r="E493" s="235">
        <v>94.352699999999999</v>
      </c>
      <c r="F493" s="236" t="s">
        <v>863</v>
      </c>
    </row>
    <row r="494" spans="1:6" ht="21" customHeight="1" x14ac:dyDescent="0.2">
      <c r="A494" s="232" t="s">
        <v>860</v>
      </c>
      <c r="B494" s="232" t="s">
        <v>861</v>
      </c>
      <c r="C494" s="233" t="s">
        <v>882</v>
      </c>
      <c r="D494" s="234" t="s">
        <v>288</v>
      </c>
      <c r="E494" s="235">
        <v>131.58199999999999</v>
      </c>
      <c r="F494" s="236" t="s">
        <v>865</v>
      </c>
    </row>
    <row r="495" spans="1:6" ht="22.5" customHeight="1" x14ac:dyDescent="0.2">
      <c r="A495" s="232" t="s">
        <v>860</v>
      </c>
      <c r="B495" s="232" t="s">
        <v>861</v>
      </c>
      <c r="C495" s="233" t="s">
        <v>883</v>
      </c>
      <c r="D495" s="234" t="s">
        <v>288</v>
      </c>
      <c r="E495" s="235">
        <v>94.352699999999999</v>
      </c>
      <c r="F495" s="236" t="s">
        <v>863</v>
      </c>
    </row>
    <row r="496" spans="1:6" ht="21" customHeight="1" x14ac:dyDescent="0.2">
      <c r="A496" s="232" t="s">
        <v>860</v>
      </c>
      <c r="B496" s="232" t="s">
        <v>861</v>
      </c>
      <c r="C496" s="233" t="s">
        <v>884</v>
      </c>
      <c r="D496" s="234" t="s">
        <v>288</v>
      </c>
      <c r="E496" s="235">
        <v>131.58199999999999</v>
      </c>
      <c r="F496" s="236" t="s">
        <v>865</v>
      </c>
    </row>
    <row r="497" spans="1:6" ht="21" customHeight="1" x14ac:dyDescent="0.2">
      <c r="A497" s="232" t="s">
        <v>860</v>
      </c>
      <c r="B497" s="232" t="s">
        <v>861</v>
      </c>
      <c r="C497" s="233" t="s">
        <v>885</v>
      </c>
      <c r="D497" s="234" t="s">
        <v>288</v>
      </c>
      <c r="E497" s="235">
        <v>43.365299999999998</v>
      </c>
      <c r="F497" s="236" t="s">
        <v>863</v>
      </c>
    </row>
    <row r="498" spans="1:6" ht="23.25" customHeight="1" x14ac:dyDescent="0.2">
      <c r="A498" s="232" t="s">
        <v>860</v>
      </c>
      <c r="B498" s="232" t="s">
        <v>861</v>
      </c>
      <c r="C498" s="233" t="s">
        <v>886</v>
      </c>
      <c r="D498" s="234" t="s">
        <v>288</v>
      </c>
      <c r="E498" s="235">
        <v>78.75</v>
      </c>
      <c r="F498" s="236" t="s">
        <v>865</v>
      </c>
    </row>
    <row r="499" spans="1:6" ht="23.25" customHeight="1" x14ac:dyDescent="0.2">
      <c r="A499" s="232" t="s">
        <v>860</v>
      </c>
      <c r="B499" s="232" t="s">
        <v>861</v>
      </c>
      <c r="C499" s="233" t="s">
        <v>887</v>
      </c>
      <c r="D499" s="234" t="s">
        <v>288</v>
      </c>
      <c r="E499" s="235">
        <v>73</v>
      </c>
      <c r="F499" s="236" t="s">
        <v>863</v>
      </c>
    </row>
    <row r="500" spans="1:6" ht="15" customHeight="1" x14ac:dyDescent="0.2">
      <c r="A500" s="232" t="s">
        <v>860</v>
      </c>
      <c r="B500" s="232" t="s">
        <v>861</v>
      </c>
      <c r="C500" s="233" t="s">
        <v>888</v>
      </c>
      <c r="D500" s="234" t="s">
        <v>288</v>
      </c>
      <c r="E500" s="235">
        <v>723.70500000000004</v>
      </c>
      <c r="F500" s="236" t="s">
        <v>865</v>
      </c>
    </row>
    <row r="501" spans="1:6" ht="22.5" customHeight="1" x14ac:dyDescent="0.2">
      <c r="A501" s="232" t="s">
        <v>860</v>
      </c>
      <c r="B501" s="232" t="s">
        <v>861</v>
      </c>
      <c r="C501" s="233" t="s">
        <v>889</v>
      </c>
      <c r="D501" s="234" t="s">
        <v>288</v>
      </c>
      <c r="E501" s="235">
        <v>224.2</v>
      </c>
      <c r="F501" s="236" t="s">
        <v>863</v>
      </c>
    </row>
    <row r="502" spans="1:6" ht="26.25" customHeight="1" x14ac:dyDescent="0.2">
      <c r="A502" s="232" t="s">
        <v>860</v>
      </c>
      <c r="B502" s="232" t="s">
        <v>861</v>
      </c>
      <c r="C502" s="233" t="s">
        <v>890</v>
      </c>
      <c r="D502" s="234" t="s">
        <v>288</v>
      </c>
      <c r="E502" s="235">
        <v>433.65</v>
      </c>
      <c r="F502" s="236" t="s">
        <v>865</v>
      </c>
    </row>
    <row r="503" spans="1:6" ht="18.95" customHeight="1" x14ac:dyDescent="0.2">
      <c r="A503" s="232" t="s">
        <v>860</v>
      </c>
      <c r="B503" s="232" t="s">
        <v>861</v>
      </c>
      <c r="C503" s="233" t="s">
        <v>891</v>
      </c>
      <c r="D503" s="234" t="s">
        <v>288</v>
      </c>
      <c r="E503" s="235">
        <v>224.2</v>
      </c>
      <c r="F503" s="236" t="s">
        <v>863</v>
      </c>
    </row>
    <row r="504" spans="1:6" ht="17.100000000000001" customHeight="1" x14ac:dyDescent="0.2">
      <c r="A504" s="232" t="s">
        <v>860</v>
      </c>
      <c r="B504" s="232" t="s">
        <v>861</v>
      </c>
      <c r="C504" s="233" t="s">
        <v>892</v>
      </c>
      <c r="D504" s="234" t="s">
        <v>288</v>
      </c>
      <c r="E504" s="235">
        <v>433.65</v>
      </c>
      <c r="F504" s="236" t="s">
        <v>865</v>
      </c>
    </row>
    <row r="505" spans="1:6" ht="29.25" customHeight="1" x14ac:dyDescent="0.2">
      <c r="A505" s="232" t="s">
        <v>860</v>
      </c>
      <c r="B505" s="232" t="s">
        <v>861</v>
      </c>
      <c r="C505" s="233" t="s">
        <v>893</v>
      </c>
      <c r="D505" s="234" t="s">
        <v>288</v>
      </c>
      <c r="E505" s="235">
        <v>224.2</v>
      </c>
      <c r="F505" s="236" t="s">
        <v>863</v>
      </c>
    </row>
    <row r="506" spans="1:6" ht="31.5" customHeight="1" x14ac:dyDescent="0.2">
      <c r="A506" s="232" t="s">
        <v>860</v>
      </c>
      <c r="B506" s="232" t="s">
        <v>861</v>
      </c>
      <c r="C506" s="233" t="s">
        <v>894</v>
      </c>
      <c r="D506" s="234" t="s">
        <v>288</v>
      </c>
      <c r="E506" s="235">
        <v>433.65</v>
      </c>
      <c r="F506" s="236" t="s">
        <v>865</v>
      </c>
    </row>
    <row r="507" spans="1:6" ht="24.75" customHeight="1" x14ac:dyDescent="0.2">
      <c r="A507" s="232" t="s">
        <v>860</v>
      </c>
      <c r="B507" s="232" t="s">
        <v>861</v>
      </c>
      <c r="C507" s="233" t="s">
        <v>895</v>
      </c>
      <c r="D507" s="234" t="s">
        <v>288</v>
      </c>
      <c r="E507" s="235">
        <v>99.12</v>
      </c>
      <c r="F507" s="236" t="s">
        <v>863</v>
      </c>
    </row>
    <row r="508" spans="1:6" x14ac:dyDescent="0.2">
      <c r="A508" s="232" t="s">
        <v>860</v>
      </c>
      <c r="B508" s="232" t="s">
        <v>861</v>
      </c>
      <c r="C508" s="233" t="s">
        <v>896</v>
      </c>
      <c r="D508" s="234" t="s">
        <v>288</v>
      </c>
      <c r="E508" s="235">
        <v>384.09</v>
      </c>
      <c r="F508" s="236" t="s">
        <v>863</v>
      </c>
    </row>
    <row r="509" spans="1:6" ht="36.75" customHeight="1" x14ac:dyDescent="0.2">
      <c r="A509" s="232" t="s">
        <v>860</v>
      </c>
      <c r="B509" s="232" t="s">
        <v>861</v>
      </c>
      <c r="C509" s="233" t="s">
        <v>897</v>
      </c>
      <c r="D509" s="234" t="s">
        <v>288</v>
      </c>
      <c r="E509" s="235">
        <v>3669.75</v>
      </c>
      <c r="F509" s="236" t="s">
        <v>863</v>
      </c>
    </row>
    <row r="510" spans="1:6" ht="37.5" customHeight="1" x14ac:dyDescent="0.2">
      <c r="A510" s="232" t="s">
        <v>860</v>
      </c>
      <c r="B510" s="232" t="s">
        <v>861</v>
      </c>
      <c r="C510" s="233" t="s">
        <v>898</v>
      </c>
      <c r="D510" s="234" t="s">
        <v>686</v>
      </c>
      <c r="E510" s="235">
        <v>183.75</v>
      </c>
      <c r="F510" s="236" t="s">
        <v>863</v>
      </c>
    </row>
    <row r="511" spans="1:6" ht="34.5" customHeight="1" x14ac:dyDescent="0.2">
      <c r="A511" s="232" t="s">
        <v>860</v>
      </c>
      <c r="B511" s="232" t="s">
        <v>861</v>
      </c>
      <c r="C511" s="233" t="s">
        <v>899</v>
      </c>
      <c r="D511" s="234" t="s">
        <v>288</v>
      </c>
      <c r="E511" s="235">
        <v>255.86</v>
      </c>
      <c r="F511" s="236" t="s">
        <v>865</v>
      </c>
    </row>
    <row r="512" spans="1:6" ht="30.75" customHeight="1" x14ac:dyDescent="0.2">
      <c r="A512" s="232" t="s">
        <v>860</v>
      </c>
      <c r="B512" s="232" t="s">
        <v>861</v>
      </c>
      <c r="C512" s="233" t="s">
        <v>900</v>
      </c>
      <c r="D512" s="234" t="s">
        <v>288</v>
      </c>
      <c r="E512" s="235">
        <v>548.26</v>
      </c>
      <c r="F512" s="236" t="s">
        <v>865</v>
      </c>
    </row>
    <row r="513" spans="1:6" ht="35.25" customHeight="1" x14ac:dyDescent="0.2">
      <c r="A513" s="232" t="s">
        <v>860</v>
      </c>
      <c r="B513" s="232" t="s">
        <v>861</v>
      </c>
      <c r="C513" s="233" t="s">
        <v>901</v>
      </c>
      <c r="D513" s="234" t="s">
        <v>288</v>
      </c>
      <c r="E513" s="235">
        <v>3422</v>
      </c>
      <c r="F513" s="236" t="s">
        <v>863</v>
      </c>
    </row>
    <row r="514" spans="1:6" ht="24.75" customHeight="1" x14ac:dyDescent="0.2">
      <c r="A514" s="85" t="s">
        <v>97</v>
      </c>
      <c r="B514" s="85" t="s">
        <v>902</v>
      </c>
      <c r="C514" s="86" t="s">
        <v>1045</v>
      </c>
      <c r="D514" s="87" t="s">
        <v>708</v>
      </c>
      <c r="E514" s="88">
        <v>1700</v>
      </c>
      <c r="F514" s="125" t="s">
        <v>903</v>
      </c>
    </row>
    <row r="515" spans="1:6" ht="27" customHeight="1" x14ac:dyDescent="0.2">
      <c r="A515" s="85" t="s">
        <v>97</v>
      </c>
      <c r="B515" s="85" t="s">
        <v>902</v>
      </c>
      <c r="C515" s="86" t="s">
        <v>1046</v>
      </c>
      <c r="D515" s="87" t="s">
        <v>708</v>
      </c>
      <c r="E515" s="88">
        <v>3050</v>
      </c>
      <c r="F515" s="125" t="s">
        <v>903</v>
      </c>
    </row>
    <row r="516" spans="1:6" ht="27.75" customHeight="1" x14ac:dyDescent="0.2">
      <c r="A516" s="85" t="s">
        <v>97</v>
      </c>
      <c r="B516" s="85" t="s">
        <v>902</v>
      </c>
      <c r="C516" s="86" t="s">
        <v>1047</v>
      </c>
      <c r="D516" s="87" t="s">
        <v>708</v>
      </c>
      <c r="E516" s="88">
        <v>2150</v>
      </c>
      <c r="F516" s="125" t="s">
        <v>903</v>
      </c>
    </row>
    <row r="517" spans="1:6" ht="32.25" customHeight="1" x14ac:dyDescent="0.2">
      <c r="A517" s="85" t="s">
        <v>97</v>
      </c>
      <c r="B517" s="85" t="s">
        <v>902</v>
      </c>
      <c r="C517" s="86" t="s">
        <v>1048</v>
      </c>
      <c r="D517" s="87" t="s">
        <v>708</v>
      </c>
      <c r="E517" s="88">
        <v>2750</v>
      </c>
      <c r="F517" s="125" t="s">
        <v>903</v>
      </c>
    </row>
    <row r="518" spans="1:6" x14ac:dyDescent="0.2">
      <c r="A518" s="85" t="s">
        <v>185</v>
      </c>
      <c r="B518" s="85" t="s">
        <v>904</v>
      </c>
      <c r="C518" s="86" t="s">
        <v>185</v>
      </c>
      <c r="D518" s="87" t="s">
        <v>905</v>
      </c>
      <c r="E518" s="88">
        <v>0</v>
      </c>
      <c r="F518" s="125" t="s">
        <v>906</v>
      </c>
    </row>
    <row r="519" spans="1:6" x14ac:dyDescent="0.2">
      <c r="A519" s="85" t="s">
        <v>186</v>
      </c>
      <c r="B519" s="85" t="s">
        <v>904</v>
      </c>
      <c r="C519" s="86" t="s">
        <v>186</v>
      </c>
      <c r="D519" s="87" t="s">
        <v>905</v>
      </c>
      <c r="E519" s="88">
        <v>0</v>
      </c>
      <c r="F519" s="125" t="s">
        <v>907</v>
      </c>
    </row>
    <row r="520" spans="1:6" x14ac:dyDescent="0.2">
      <c r="A520" s="85" t="s">
        <v>187</v>
      </c>
      <c r="B520" s="85" t="s">
        <v>904</v>
      </c>
      <c r="C520" s="86" t="s">
        <v>187</v>
      </c>
      <c r="D520" s="87" t="s">
        <v>905</v>
      </c>
      <c r="E520" s="88">
        <v>0</v>
      </c>
      <c r="F520" s="125" t="s">
        <v>908</v>
      </c>
    </row>
    <row r="539" spans="1:4" ht="15" x14ac:dyDescent="0.25">
      <c r="A539" s="240" t="s">
        <v>0</v>
      </c>
      <c r="B539" s="241"/>
      <c r="C539" s="241"/>
      <c r="D539" s="241"/>
    </row>
    <row r="540" spans="1:4" ht="15" x14ac:dyDescent="0.25">
      <c r="A540" s="243" t="s">
        <v>138</v>
      </c>
      <c r="B540" s="241" t="s">
        <v>286</v>
      </c>
      <c r="C540" s="241"/>
      <c r="D540" s="241"/>
    </row>
    <row r="541" spans="1:4" ht="15" x14ac:dyDescent="0.25">
      <c r="A541" s="243" t="s">
        <v>133</v>
      </c>
      <c r="B541" s="241" t="s">
        <v>291</v>
      </c>
      <c r="C541" s="241"/>
      <c r="D541" s="241"/>
    </row>
    <row r="542" spans="1:4" ht="15" x14ac:dyDescent="0.25">
      <c r="A542" s="243" t="s">
        <v>147</v>
      </c>
      <c r="B542" s="241" t="s">
        <v>313</v>
      </c>
      <c r="C542" s="241"/>
      <c r="D542" s="241"/>
    </row>
    <row r="543" spans="1:4" ht="15" x14ac:dyDescent="0.25">
      <c r="A543" s="243" t="s">
        <v>185</v>
      </c>
      <c r="B543" s="241" t="s">
        <v>904</v>
      </c>
      <c r="C543" s="241"/>
      <c r="D543" s="241"/>
    </row>
    <row r="544" spans="1:4" ht="15" x14ac:dyDescent="0.25">
      <c r="A544" s="243" t="s">
        <v>186</v>
      </c>
      <c r="B544" s="241" t="s">
        <v>904</v>
      </c>
      <c r="C544" s="241"/>
      <c r="D544" s="241"/>
    </row>
    <row r="545" spans="1:4" ht="15" x14ac:dyDescent="0.25">
      <c r="A545" s="243" t="s">
        <v>323</v>
      </c>
      <c r="B545" s="241" t="s">
        <v>324</v>
      </c>
      <c r="C545" s="241"/>
      <c r="D545" s="241"/>
    </row>
    <row r="546" spans="1:4" ht="15" x14ac:dyDescent="0.25">
      <c r="A546" s="243" t="s">
        <v>190</v>
      </c>
      <c r="B546" s="241" t="s">
        <v>331</v>
      </c>
      <c r="C546" s="241"/>
      <c r="D546" s="241"/>
    </row>
    <row r="547" spans="1:4" ht="15" x14ac:dyDescent="0.25">
      <c r="A547" s="243" t="s">
        <v>182</v>
      </c>
      <c r="B547" s="241" t="s">
        <v>342</v>
      </c>
      <c r="C547" s="241"/>
      <c r="D547" s="241"/>
    </row>
    <row r="548" spans="1:4" ht="15" x14ac:dyDescent="0.25">
      <c r="A548" s="243" t="s">
        <v>432</v>
      </c>
      <c r="B548" s="241" t="s">
        <v>433</v>
      </c>
      <c r="C548" s="241"/>
      <c r="D548" s="241"/>
    </row>
    <row r="549" spans="1:4" ht="15" x14ac:dyDescent="0.25">
      <c r="A549" s="243" t="s">
        <v>268</v>
      </c>
      <c r="B549" s="241" t="s">
        <v>440</v>
      </c>
      <c r="C549" s="241"/>
      <c r="D549" s="241"/>
    </row>
    <row r="550" spans="1:4" ht="15" x14ac:dyDescent="0.25">
      <c r="A550" s="243" t="s">
        <v>444</v>
      </c>
      <c r="B550" s="241" t="s">
        <v>445</v>
      </c>
      <c r="C550" s="241"/>
      <c r="D550" s="241"/>
    </row>
    <row r="551" spans="1:4" ht="15" x14ac:dyDescent="0.25">
      <c r="A551" s="243" t="s">
        <v>163</v>
      </c>
      <c r="B551" s="241" t="s">
        <v>450</v>
      </c>
      <c r="C551" s="241"/>
      <c r="D551" s="241"/>
    </row>
    <row r="552" spans="1:4" ht="15" x14ac:dyDescent="0.25">
      <c r="A552" s="243" t="s">
        <v>158</v>
      </c>
      <c r="B552" s="241" t="s">
        <v>462</v>
      </c>
      <c r="C552" s="241"/>
      <c r="D552" s="241"/>
    </row>
    <row r="553" spans="1:4" ht="15" x14ac:dyDescent="0.25">
      <c r="A553" s="243" t="s">
        <v>96</v>
      </c>
      <c r="B553" s="241" t="s">
        <v>495</v>
      </c>
      <c r="C553" s="241"/>
      <c r="D553" s="241"/>
    </row>
    <row r="554" spans="1:4" ht="15" x14ac:dyDescent="0.25">
      <c r="A554" s="243" t="s">
        <v>145</v>
      </c>
      <c r="B554" s="241" t="s">
        <v>498</v>
      </c>
      <c r="C554" s="241"/>
      <c r="D554" s="241"/>
    </row>
    <row r="555" spans="1:4" ht="15" x14ac:dyDescent="0.25">
      <c r="A555" s="243" t="s">
        <v>116</v>
      </c>
      <c r="B555" s="241" t="s">
        <v>508</v>
      </c>
      <c r="C555" s="241"/>
      <c r="D555" s="241"/>
    </row>
    <row r="556" spans="1:4" ht="15" x14ac:dyDescent="0.25">
      <c r="A556" s="243" t="s">
        <v>512</v>
      </c>
      <c r="B556" s="241" t="s">
        <v>508</v>
      </c>
      <c r="C556" s="241"/>
      <c r="D556" s="241"/>
    </row>
    <row r="557" spans="1:4" ht="15" x14ac:dyDescent="0.25">
      <c r="A557" s="243" t="s">
        <v>115</v>
      </c>
      <c r="B557" s="241" t="s">
        <v>508</v>
      </c>
      <c r="C557" s="241"/>
    </row>
    <row r="558" spans="1:4" ht="15" x14ac:dyDescent="0.25">
      <c r="A558" s="243" t="s">
        <v>519</v>
      </c>
      <c r="B558" s="241" t="s">
        <v>508</v>
      </c>
      <c r="C558" s="241"/>
    </row>
    <row r="559" spans="1:4" ht="15" x14ac:dyDescent="0.25">
      <c r="A559" s="243" t="s">
        <v>528</v>
      </c>
      <c r="B559" s="241" t="s">
        <v>508</v>
      </c>
      <c r="C559" s="241"/>
    </row>
    <row r="560" spans="1:4" ht="15" x14ac:dyDescent="0.25">
      <c r="A560" s="243" t="s">
        <v>172</v>
      </c>
      <c r="B560" s="241" t="s">
        <v>533</v>
      </c>
      <c r="C560" s="241"/>
    </row>
    <row r="561" spans="1:3" ht="15" x14ac:dyDescent="0.25">
      <c r="A561" s="243" t="s">
        <v>550</v>
      </c>
      <c r="B561" s="241" t="s">
        <v>551</v>
      </c>
      <c r="C561" s="241"/>
    </row>
    <row r="562" spans="1:3" ht="15" x14ac:dyDescent="0.25">
      <c r="A562" s="243" t="s">
        <v>178</v>
      </c>
      <c r="B562" s="241" t="s">
        <v>555</v>
      </c>
      <c r="C562" s="241"/>
    </row>
    <row r="563" spans="1:3" ht="15" x14ac:dyDescent="0.25">
      <c r="A563" s="243" t="s">
        <v>114</v>
      </c>
      <c r="B563" s="241" t="s">
        <v>582</v>
      </c>
      <c r="C563" s="241"/>
    </row>
    <row r="564" spans="1:3" ht="15" x14ac:dyDescent="0.25">
      <c r="A564" s="243" t="s">
        <v>192</v>
      </c>
      <c r="B564" s="241" t="s">
        <v>585</v>
      </c>
      <c r="C564" s="241"/>
    </row>
    <row r="565" spans="1:3" ht="15" x14ac:dyDescent="0.25">
      <c r="A565" s="243" t="s">
        <v>187</v>
      </c>
      <c r="B565" s="241" t="s">
        <v>904</v>
      </c>
      <c r="C565" s="241"/>
    </row>
    <row r="566" spans="1:3" ht="15" x14ac:dyDescent="0.25">
      <c r="A566" s="243" t="s">
        <v>100</v>
      </c>
      <c r="B566" s="241" t="s">
        <v>591</v>
      </c>
      <c r="C566" s="241"/>
    </row>
    <row r="567" spans="1:3" ht="15" x14ac:dyDescent="0.25">
      <c r="A567" s="243" t="s">
        <v>594</v>
      </c>
      <c r="B567" s="241" t="s">
        <v>595</v>
      </c>
      <c r="C567" s="241"/>
    </row>
    <row r="568" spans="1:3" ht="15" x14ac:dyDescent="0.25">
      <c r="A568" s="243" t="s">
        <v>142</v>
      </c>
      <c r="B568" s="241" t="s">
        <v>599</v>
      </c>
      <c r="C568" s="241"/>
    </row>
    <row r="569" spans="1:3" ht="15" x14ac:dyDescent="0.25">
      <c r="A569" s="243" t="s">
        <v>150</v>
      </c>
      <c r="B569" s="241" t="s">
        <v>603</v>
      </c>
      <c r="C569" s="241"/>
    </row>
    <row r="570" spans="1:3" ht="15" x14ac:dyDescent="0.25">
      <c r="A570" s="243" t="s">
        <v>155</v>
      </c>
      <c r="B570" s="241" t="s">
        <v>607</v>
      </c>
      <c r="C570" s="241"/>
    </row>
    <row r="571" spans="1:3" ht="15" x14ac:dyDescent="0.25">
      <c r="A571" s="243" t="s">
        <v>249</v>
      </c>
      <c r="B571" s="241" t="s">
        <v>612</v>
      </c>
      <c r="C571" s="241"/>
    </row>
    <row r="572" spans="1:3" ht="15" x14ac:dyDescent="0.25">
      <c r="A572" s="243" t="s">
        <v>154</v>
      </c>
      <c r="B572" s="241" t="s">
        <v>641</v>
      </c>
      <c r="C572" s="241"/>
    </row>
    <row r="573" spans="1:3" ht="15" x14ac:dyDescent="0.25">
      <c r="A573" s="243" t="s">
        <v>174</v>
      </c>
      <c r="B573" s="241" t="s">
        <v>648</v>
      </c>
      <c r="C573" s="241"/>
    </row>
    <row r="574" spans="1:3" ht="15" x14ac:dyDescent="0.25">
      <c r="A574" s="243" t="s">
        <v>144</v>
      </c>
      <c r="B574" s="241" t="s">
        <v>672</v>
      </c>
      <c r="C574" s="241"/>
    </row>
    <row r="575" spans="1:3" ht="15" x14ac:dyDescent="0.25">
      <c r="A575" s="243" t="s">
        <v>157</v>
      </c>
      <c r="B575" s="241" t="s">
        <v>694</v>
      </c>
      <c r="C575" s="241"/>
    </row>
    <row r="576" spans="1:3" ht="15" x14ac:dyDescent="0.25">
      <c r="A576" s="243" t="s">
        <v>697</v>
      </c>
      <c r="B576" s="241" t="s">
        <v>698</v>
      </c>
      <c r="C576" s="241"/>
    </row>
    <row r="577" spans="1:3" ht="15" x14ac:dyDescent="0.25">
      <c r="A577" s="243" t="s">
        <v>95</v>
      </c>
      <c r="B577" s="241" t="s">
        <v>701</v>
      </c>
      <c r="C577" s="241"/>
    </row>
    <row r="578" spans="1:3" ht="15" x14ac:dyDescent="0.25">
      <c r="A578" s="243" t="s">
        <v>705</v>
      </c>
      <c r="B578" s="241" t="s">
        <v>706</v>
      </c>
      <c r="C578" s="241"/>
    </row>
    <row r="579" spans="1:3" ht="15" x14ac:dyDescent="0.25">
      <c r="A579" s="243" t="s">
        <v>710</v>
      </c>
      <c r="B579" s="241" t="s">
        <v>711</v>
      </c>
      <c r="C579" s="241"/>
    </row>
    <row r="580" spans="1:3" ht="15" x14ac:dyDescent="0.25">
      <c r="A580" s="243" t="s">
        <v>715</v>
      </c>
      <c r="B580" s="241" t="s">
        <v>716</v>
      </c>
      <c r="C580" s="241"/>
    </row>
    <row r="581" spans="1:3" ht="15" x14ac:dyDescent="0.25">
      <c r="A581" s="243" t="s">
        <v>731</v>
      </c>
      <c r="B581" s="241" t="s">
        <v>732</v>
      </c>
      <c r="C581" s="241"/>
    </row>
    <row r="582" spans="1:3" ht="15" x14ac:dyDescent="0.25">
      <c r="A582" s="243" t="s">
        <v>860</v>
      </c>
      <c r="B582" s="241" t="s">
        <v>861</v>
      </c>
      <c r="C582" s="241"/>
    </row>
    <row r="583" spans="1:3" ht="15" x14ac:dyDescent="0.25">
      <c r="A583" s="243" t="s">
        <v>97</v>
      </c>
      <c r="B583" s="241" t="s">
        <v>902</v>
      </c>
      <c r="C583" s="241"/>
    </row>
    <row r="584" spans="1:3" ht="15" x14ac:dyDescent="0.25">
      <c r="A584" s="243"/>
      <c r="B584" s="241"/>
      <c r="C584" s="241"/>
    </row>
    <row r="585" spans="1:3" ht="15" x14ac:dyDescent="0.25">
      <c r="B585" s="241"/>
    </row>
    <row r="586" spans="1:3" ht="15" x14ac:dyDescent="0.25">
      <c r="B586" s="241"/>
    </row>
    <row r="587" spans="1:3" ht="15" x14ac:dyDescent="0.25">
      <c r="B587" s="241"/>
    </row>
    <row r="588" spans="1:3" ht="15" x14ac:dyDescent="0.25">
      <c r="B588" s="241"/>
    </row>
    <row r="589" spans="1:3" ht="15" x14ac:dyDescent="0.25">
      <c r="B589" s="241"/>
    </row>
    <row r="590" spans="1:3" ht="15" x14ac:dyDescent="0.25">
      <c r="B590" s="241"/>
    </row>
    <row r="591" spans="1:3" ht="15" x14ac:dyDescent="0.25">
      <c r="B591" s="241"/>
    </row>
    <row r="592" spans="1:3" ht="15" x14ac:dyDescent="0.25">
      <c r="B592" s="241"/>
    </row>
    <row r="593" spans="2:2" ht="15" x14ac:dyDescent="0.25">
      <c r="B593" s="241"/>
    </row>
    <row r="594" spans="2:2" ht="15" x14ac:dyDescent="0.25">
      <c r="B594" s="241"/>
    </row>
    <row r="595" spans="2:2" ht="15" x14ac:dyDescent="0.25">
      <c r="B595" s="241"/>
    </row>
    <row r="596" spans="2:2" ht="15" x14ac:dyDescent="0.25">
      <c r="B596" s="241"/>
    </row>
    <row r="597" spans="2:2" ht="15" x14ac:dyDescent="0.25">
      <c r="B597" s="241"/>
    </row>
    <row r="598" spans="2:2" ht="15" x14ac:dyDescent="0.25">
      <c r="B598" s="241"/>
    </row>
    <row r="599" spans="2:2" ht="15" x14ac:dyDescent="0.25">
      <c r="B599" s="241"/>
    </row>
    <row r="600" spans="2:2" ht="15" x14ac:dyDescent="0.25">
      <c r="B600" s="241"/>
    </row>
    <row r="601" spans="2:2" ht="15" x14ac:dyDescent="0.25">
      <c r="B601" s="241"/>
    </row>
    <row r="602" spans="2:2" ht="15" x14ac:dyDescent="0.25">
      <c r="B602" s="241"/>
    </row>
    <row r="603" spans="2:2" ht="15" x14ac:dyDescent="0.25">
      <c r="B603" s="241"/>
    </row>
    <row r="604" spans="2:2" ht="15" x14ac:dyDescent="0.25">
      <c r="B604" s="241"/>
    </row>
    <row r="605" spans="2:2" ht="15" x14ac:dyDescent="0.25">
      <c r="B605" s="241"/>
    </row>
    <row r="606" spans="2:2" ht="15" x14ac:dyDescent="0.25">
      <c r="B606" s="241"/>
    </row>
    <row r="607" spans="2:2" ht="15" x14ac:dyDescent="0.25">
      <c r="B607" s="241"/>
    </row>
    <row r="608" spans="2:2" ht="15" x14ac:dyDescent="0.25">
      <c r="B608" s="241"/>
    </row>
    <row r="609" spans="2:2" ht="15" x14ac:dyDescent="0.25">
      <c r="B609" s="241"/>
    </row>
    <row r="610" spans="2:2" ht="15" x14ac:dyDescent="0.25">
      <c r="B610" s="241"/>
    </row>
    <row r="611" spans="2:2" ht="15" x14ac:dyDescent="0.25">
      <c r="B611" s="241"/>
    </row>
    <row r="612" spans="2:2" ht="15" x14ac:dyDescent="0.25">
      <c r="B612" s="241"/>
    </row>
    <row r="613" spans="2:2" ht="15" x14ac:dyDescent="0.25">
      <c r="B613" s="241"/>
    </row>
    <row r="614" spans="2:2" ht="15" x14ac:dyDescent="0.25">
      <c r="B614" s="241"/>
    </row>
    <row r="615" spans="2:2" ht="15" x14ac:dyDescent="0.25">
      <c r="B615" s="241"/>
    </row>
    <row r="616" spans="2:2" ht="15" x14ac:dyDescent="0.25">
      <c r="B616" s="241"/>
    </row>
    <row r="617" spans="2:2" ht="15" x14ac:dyDescent="0.25">
      <c r="B617" s="241"/>
    </row>
    <row r="618" spans="2:2" ht="15" x14ac:dyDescent="0.25">
      <c r="B618" s="241"/>
    </row>
    <row r="619" spans="2:2" ht="15" x14ac:dyDescent="0.25">
      <c r="B619" s="241"/>
    </row>
    <row r="620" spans="2:2" ht="15" x14ac:dyDescent="0.25">
      <c r="B620" s="241"/>
    </row>
    <row r="621" spans="2:2" ht="15" x14ac:dyDescent="0.25">
      <c r="B621" s="241"/>
    </row>
    <row r="622" spans="2:2" ht="15" x14ac:dyDescent="0.25">
      <c r="B622" s="241"/>
    </row>
    <row r="623" spans="2:2" ht="15" x14ac:dyDescent="0.25">
      <c r="B623" s="241"/>
    </row>
    <row r="624" spans="2:2" ht="15" x14ac:dyDescent="0.25">
      <c r="B624" s="241"/>
    </row>
    <row r="625" spans="2:2" ht="15" x14ac:dyDescent="0.25">
      <c r="B625" s="241"/>
    </row>
    <row r="626" spans="2:2" ht="15" x14ac:dyDescent="0.25">
      <c r="B626" s="241"/>
    </row>
    <row r="627" spans="2:2" ht="15" x14ac:dyDescent="0.25">
      <c r="B627" s="241"/>
    </row>
    <row r="628" spans="2:2" ht="15" x14ac:dyDescent="0.25">
      <c r="B628" s="241"/>
    </row>
  </sheetData>
  <autoFilter ref="A1:E517">
    <sortState ref="A2:E623">
      <sortCondition ref="A1:A623"/>
    </sortState>
  </autoFilter>
  <conditionalFormatting sqref="A513">
    <cfRule type="colorScale" priority="1">
      <colorScale>
        <cfvo type="min"/>
        <cfvo type="percentile" val="50"/>
        <cfvo type="max"/>
        <color rgb="FFF8696B"/>
        <color rgb="FFFFEB84"/>
        <color rgb="FF63BE7B"/>
      </colorScale>
    </cfRule>
  </conditionalFormatting>
  <conditionalFormatting sqref="C135 C513 C449:C450">
    <cfRule type="colorScale" priority="2">
      <colorScale>
        <cfvo type="min"/>
        <cfvo type="percentile" val="50"/>
        <cfvo type="max"/>
        <color rgb="FFF8696B"/>
        <color rgb="FFFFEB84"/>
        <color rgb="FF63BE7B"/>
      </colorScale>
    </cfRule>
  </conditionalFormatting>
  <conditionalFormatting sqref="D135 D449">
    <cfRule type="colorScale" priority="3">
      <colorScale>
        <cfvo type="min"/>
        <cfvo type="percentile" val="50"/>
        <cfvo type="max"/>
        <color rgb="FFF8696B"/>
        <color rgb="FFFFEB84"/>
        <color rgb="FF63BE7B"/>
      </colorScale>
    </cfRule>
  </conditionalFormatting>
  <conditionalFormatting sqref="F513">
    <cfRule type="colorScale" priority="4">
      <colorScale>
        <cfvo type="min"/>
        <cfvo type="percentile" val="50"/>
        <cfvo type="max"/>
        <color rgb="FFF8696B"/>
        <color rgb="FFFFEB84"/>
        <color rgb="FF63BE7B"/>
      </colorScale>
    </cfRule>
  </conditionalFormatting>
  <pageMargins left="0.75" right="0.75" top="1" bottom="1" header="0.2" footer="0.2"/>
  <pageSetup fitToHeight="1000" orientation="landscape" horizontalDpi="300" verticalDpi="300" r:id="rId1"/>
  <headerFooter alignWithMargins="0">
    <oddHeader>&amp;C
Reporte&amp;LSistema de Información de la Gestión Financiera
Periodo:2017&amp;RCC-003
27/06/2017 08:23:24
Página &amp;P de &amp;N
40222915072-SIGEF</oddHeader>
    <oddFooter>&amp;C&amp;L&amp;R Página &amp;P de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CB4276A6F952F4B99C68881E2E6715E" ma:contentTypeVersion="20" ma:contentTypeDescription="Crear nuevo documento." ma:contentTypeScope="" ma:versionID="c354285e49a8c6f66e29b931efd56b1a">
  <xsd:schema xmlns:xsd="http://www.w3.org/2001/XMLSchema" xmlns:xs="http://www.w3.org/2001/XMLSchema" xmlns:p="http://schemas.microsoft.com/office/2006/metadata/properties" xmlns:ns1="http://schemas.microsoft.com/sharepoint/v3" xmlns:ns2="828201a5-4980-454b-b68f-b51c618fd3e5" xmlns:ns3="009d42a5-c66e-4786-b0bb-1ca405917402" targetNamespace="http://schemas.microsoft.com/office/2006/metadata/properties" ma:root="true" ma:fieldsID="3481cf42f78600827ffeb5bf22801045" ns1:_="" ns2:_="" ns3:_="">
    <xsd:import namespace="http://schemas.microsoft.com/sharepoint/v3"/>
    <xsd:import namespace="828201a5-4980-454b-b68f-b51c618fd3e5"/>
    <xsd:import namespace="009d42a5-c66e-4786-b0bb-1ca40591740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iedades de la Directiva de cumplimiento unificado" ma:hidden="true" ma:internalName="_ip_UnifiedCompliancePolicyProperties">
      <xsd:simpleType>
        <xsd:restriction base="dms:Note"/>
      </xsd:simpleType>
    </xsd:element>
    <xsd:element name="_ip_UnifiedCompliancePolicyUIAction" ma:index="2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8201a5-4980-454b-b68f-b51c618fd3e5"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51f42e7f-68fc-45d2-b86d-2f89a49f818f}" ma:internalName="TaxCatchAll" ma:showField="CatchAllData" ma:web="828201a5-4980-454b-b68f-b51c618fd3e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9d42a5-c66e-4786-b0bb-1ca40591740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6e699ab5-d0a1-46d4-b005-a58804273b2d" ma:termSetId="09814cd3-568e-fe90-9814-8d621ff8fb84" ma:anchorId="fba54fb3-c3e1-fe81-a776-ca4b69148c4d" ma:open="true" ma:isKeyword="false">
      <xsd:complexType>
        <xsd:sequence>
          <xsd:element ref="pc:Terms" minOccurs="0" maxOccurs="1"/>
        </xsd:sequence>
      </xsd:complexType>
    </xsd:element>
    <xsd:element name="MediaLengthInSeconds" ma:index="25"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828201a5-4980-454b-b68f-b51c618fd3e5" xsi:nil="true"/>
    <lcf76f155ced4ddcb4097134ff3c332f xmlns="009d42a5-c66e-4786-b0bb-1ca40591740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5C3EDD43-D332-434D-8C28-E3156BEDB9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8201a5-4980-454b-b68f-b51c618fd3e5"/>
    <ds:schemaRef ds:uri="009d42a5-c66e-4786-b0bb-1ca4059174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589A5A-2852-4DC7-A052-AC4520814797}">
  <ds:schemaRefs>
    <ds:schemaRef ds:uri="http://schemas.microsoft.com/sharepoint/v3/contenttype/forms"/>
  </ds:schemaRefs>
</ds:datastoreItem>
</file>

<file path=customXml/itemProps3.xml><?xml version="1.0" encoding="utf-8"?>
<ds:datastoreItem xmlns:ds="http://schemas.openxmlformats.org/officeDocument/2006/customXml" ds:itemID="{6261F7DD-EA97-4C2A-B965-BD29E6042E80}">
  <ds:schemaRefs>
    <ds:schemaRef ds:uri="http://schemas.microsoft.com/sharepoint/v3"/>
    <ds:schemaRef ds:uri="http://schemas.microsoft.com/office/2006/documentManagement/types"/>
    <ds:schemaRef ds:uri="828201a5-4980-454b-b68f-b51c618fd3e5"/>
    <ds:schemaRef ds:uri="http://purl.org/dc/terms/"/>
    <ds:schemaRef ds:uri="http://purl.org/dc/dcmitype/"/>
    <ds:schemaRef ds:uri="http://purl.org/dc/elements/1.1/"/>
    <ds:schemaRef ds:uri="http://www.w3.org/XML/1998/namespace"/>
    <ds:schemaRef ds:uri="http://schemas.microsoft.com/office/infopath/2007/PartnerControls"/>
    <ds:schemaRef ds:uri="http://schemas.openxmlformats.org/package/2006/metadata/core-properties"/>
    <ds:schemaRef ds:uri="009d42a5-c66e-4786-b0bb-1ca40591740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42</vt:i4>
      </vt:variant>
    </vt:vector>
  </HeadingPairs>
  <TitlesOfParts>
    <vt:vector size="50" baseType="lpstr">
      <vt:lpstr>PPNE1</vt:lpstr>
      <vt:lpstr>PPNE2</vt:lpstr>
      <vt:lpstr>Sheet1</vt:lpstr>
      <vt:lpstr>PPNE2.1</vt:lpstr>
      <vt:lpstr>PPNE3</vt:lpstr>
      <vt:lpstr>PPNE4</vt:lpstr>
      <vt:lpstr>PPNE5</vt:lpstr>
      <vt:lpstr>Insumos</vt:lpstr>
      <vt:lpstr>PPNE4!Área_de_impresión</vt:lpstr>
      <vt:lpstr>Insumos</vt:lpstr>
      <vt:lpstr>lsAcabadosTextiles</vt:lpstr>
      <vt:lpstr>lsAireAcondicionado</vt:lpstr>
      <vt:lpstr>lsAlimentosyBebidas</vt:lpstr>
      <vt:lpstr>lsArticulosdePlastico</vt:lpstr>
      <vt:lpstr>lsElectrodomesticos</vt:lpstr>
      <vt:lpstr>lsEquiposComputos</vt:lpstr>
      <vt:lpstr>lsEquiposMedicos</vt:lpstr>
      <vt:lpstr>lsEquiposSeguridad</vt:lpstr>
      <vt:lpstr>lsEquiposTransporte</vt:lpstr>
      <vt:lpstr>lsEventosGenerales</vt:lpstr>
      <vt:lpstr>lsGasoil</vt:lpstr>
      <vt:lpstr>lsHerramientasMenores</vt:lpstr>
      <vt:lpstr>lsImpresionyEncuadernacion</vt:lpstr>
      <vt:lpstr>lsLlantasyNeumaticos</vt:lpstr>
      <vt:lpstr>lsMantenimiento</vt:lpstr>
      <vt:lpstr>lsMaterialesdeLimpieza</vt:lpstr>
      <vt:lpstr>lsMueblesdeAlojamiento</vt:lpstr>
      <vt:lpstr>lsMueblesdeOficina</vt:lpstr>
      <vt:lpstr>lsObrasMenoresEdificaciones</vt:lpstr>
      <vt:lpstr>lsOtrosEquipos</vt:lpstr>
      <vt:lpstr>lsPeaje</vt:lpstr>
      <vt:lpstr>lsPinturas</vt:lpstr>
      <vt:lpstr>lsProductosArtesGraficas</vt:lpstr>
      <vt:lpstr>lsProductosdeCemento</vt:lpstr>
      <vt:lpstr>lsProductosdeLoza</vt:lpstr>
      <vt:lpstr>lsProductosdePapel</vt:lpstr>
      <vt:lpstr>lsProductosdeVidrio</vt:lpstr>
      <vt:lpstr>lsProductosElectricos</vt:lpstr>
      <vt:lpstr>lsProductosMedicinalesH</vt:lpstr>
      <vt:lpstr>lsProductosMetalicos</vt:lpstr>
      <vt:lpstr>lsProductosQuimicos</vt:lpstr>
      <vt:lpstr>lsPublicidadyPropaganda</vt:lpstr>
      <vt:lpstr>lsServiciosTecnicosProfesionales</vt:lpstr>
      <vt:lpstr>lsTelecomunicaciones</vt:lpstr>
      <vt:lpstr>lsUtilesdeCocina</vt:lpstr>
      <vt:lpstr>lsUtilesdeOficina</vt:lpstr>
      <vt:lpstr>lsUtilesMenoresMQ</vt:lpstr>
      <vt:lpstr>lsViaticosDP</vt:lpstr>
      <vt:lpstr>PPNE4!Títulos_a_imprimir</vt:lpstr>
      <vt:lpstr>PPNE5!Títulos_a_imprimir</vt:lpstr>
    </vt:vector>
  </TitlesOfParts>
  <Company>sespas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Ilka Gonzalez</dc:creator>
  <cp:lastModifiedBy>contabilidad</cp:lastModifiedBy>
  <cp:lastPrinted>2025-09-15T16:50:28Z</cp:lastPrinted>
  <dcterms:created xsi:type="dcterms:W3CDTF">2007-07-31T17:41:49Z</dcterms:created>
  <dcterms:modified xsi:type="dcterms:W3CDTF">2025-09-15T18:28:50Z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0x0101007CB4276A6F952F4B99C68881E2E6715E</vt:lpwstr>
  </property>
  <property fmtid="{D5CDD505-2E9C-101B-9397-08002B2CF9AE}" pid="3" name="MediaServiceImageTags">
    <vt:lpwstr/>
  </property>
</Properties>
</file>
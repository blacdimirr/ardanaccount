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JUNIO 2025\"/>
    </mc:Choice>
  </mc:AlternateContent>
  <xr:revisionPtr revIDLastSave="0" documentId="13_ncr:1_{E2FADD8D-09CB-4AA6-B778-5531EE70546A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ABRIL " sheetId="1" r:id="rId1"/>
    <sheet name="mayo 2025" sheetId="2" r:id="rId2"/>
    <sheet name="junioo " sheetId="3" r:id="rId3"/>
    <sheet name="abril-junio 2025" sheetId="4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1" i="3" l="1"/>
  <c r="H500" i="3" s="1"/>
  <c r="G501" i="3"/>
  <c r="H499" i="3"/>
  <c r="G499" i="3"/>
  <c r="G498" i="3" s="1"/>
  <c r="H496" i="3"/>
  <c r="G496" i="3"/>
  <c r="H494" i="3"/>
  <c r="H493" i="3" s="1"/>
  <c r="G494" i="3"/>
  <c r="H491" i="3"/>
  <c r="H490" i="3" s="1"/>
  <c r="G491" i="3"/>
  <c r="H489" i="3"/>
  <c r="G489" i="3"/>
  <c r="H487" i="3"/>
  <c r="G487" i="3"/>
  <c r="H486" i="3"/>
  <c r="H485" i="3"/>
  <c r="G485" i="3"/>
  <c r="H483" i="3"/>
  <c r="H482" i="3" s="1"/>
  <c r="G483" i="3"/>
  <c r="H481" i="3"/>
  <c r="G481" i="3"/>
  <c r="H479" i="3"/>
  <c r="H478" i="3" s="1"/>
  <c r="G479" i="3"/>
  <c r="H477" i="3"/>
  <c r="G477" i="3"/>
  <c r="H475" i="3"/>
  <c r="H474" i="3" s="1"/>
  <c r="G475" i="3"/>
  <c r="H472" i="3"/>
  <c r="H471" i="3" s="1"/>
  <c r="G472" i="3"/>
  <c r="H470" i="3"/>
  <c r="G470" i="3"/>
  <c r="H468" i="3"/>
  <c r="H467" i="3" s="1"/>
  <c r="G468" i="3"/>
  <c r="H466" i="3"/>
  <c r="G466" i="3"/>
  <c r="H462" i="3"/>
  <c r="G462" i="3"/>
  <c r="H460" i="3"/>
  <c r="G460" i="3"/>
  <c r="H459" i="3"/>
  <c r="G459" i="3"/>
  <c r="H458" i="3"/>
  <c r="G458" i="3"/>
  <c r="H456" i="3"/>
  <c r="G456" i="3"/>
  <c r="H454" i="3"/>
  <c r="H453" i="3" s="1"/>
  <c r="G454" i="3"/>
  <c r="H452" i="3"/>
  <c r="G452" i="3"/>
  <c r="H451" i="3"/>
  <c r="G451" i="3"/>
  <c r="H449" i="3"/>
  <c r="G449" i="3"/>
  <c r="H448" i="3"/>
  <c r="G448" i="3"/>
  <c r="H445" i="3"/>
  <c r="G445" i="3"/>
  <c r="H444" i="3"/>
  <c r="H443" i="3"/>
  <c r="G443" i="3"/>
  <c r="H442" i="3"/>
  <c r="G442" i="3"/>
  <c r="H441" i="3"/>
  <c r="G441" i="3"/>
  <c r="H439" i="3"/>
  <c r="H438" i="3" s="1"/>
  <c r="G439" i="3"/>
  <c r="H437" i="3"/>
  <c r="G437" i="3"/>
  <c r="G436" i="3" s="1"/>
  <c r="H435" i="3"/>
  <c r="H434" i="3" s="1"/>
  <c r="G435" i="3"/>
  <c r="G434" i="3" s="1"/>
  <c r="H433" i="3"/>
  <c r="H432" i="3" s="1"/>
  <c r="G433" i="3"/>
  <c r="H431" i="3"/>
  <c r="G431" i="3"/>
  <c r="H430" i="3"/>
  <c r="G430" i="3"/>
  <c r="H428" i="3"/>
  <c r="H427" i="3" s="1"/>
  <c r="G428" i="3"/>
  <c r="H426" i="3"/>
  <c r="G426" i="3"/>
  <c r="H423" i="3"/>
  <c r="G423" i="3"/>
  <c r="H421" i="3"/>
  <c r="H420" i="3" s="1"/>
  <c r="G421" i="3"/>
  <c r="H419" i="3"/>
  <c r="G419" i="3"/>
  <c r="H417" i="3"/>
  <c r="H416" i="3" s="1"/>
  <c r="G417" i="3"/>
  <c r="H415" i="3"/>
  <c r="G415" i="3"/>
  <c r="H413" i="3"/>
  <c r="G413" i="3"/>
  <c r="H412" i="3"/>
  <c r="H411" i="3"/>
  <c r="G411" i="3"/>
  <c r="G410" i="3" s="1"/>
  <c r="H409" i="3"/>
  <c r="H408" i="3" s="1"/>
  <c r="G409" i="3"/>
  <c r="H407" i="3"/>
  <c r="G407" i="3"/>
  <c r="H404" i="3"/>
  <c r="G404" i="3"/>
  <c r="G403" i="3" s="1"/>
  <c r="H402" i="3"/>
  <c r="H401" i="3" s="1"/>
  <c r="G402" i="3"/>
  <c r="H399" i="3"/>
  <c r="G399" i="3"/>
  <c r="H397" i="3"/>
  <c r="H396" i="3" s="1"/>
  <c r="G397" i="3"/>
  <c r="H395" i="3"/>
  <c r="G395" i="3"/>
  <c r="H393" i="3"/>
  <c r="H392" i="3" s="1"/>
  <c r="G393" i="3"/>
  <c r="H391" i="3"/>
  <c r="G391" i="3"/>
  <c r="G390" i="3"/>
  <c r="H389" i="3"/>
  <c r="G389" i="3"/>
  <c r="H388" i="3"/>
  <c r="H387" i="3"/>
  <c r="G387" i="3"/>
  <c r="H385" i="3"/>
  <c r="H384" i="3" s="1"/>
  <c r="G385" i="3"/>
  <c r="H382" i="3"/>
  <c r="H381" i="3" s="1"/>
  <c r="G382" i="3"/>
  <c r="H380" i="3"/>
  <c r="G380" i="3"/>
  <c r="G379" i="3" s="1"/>
  <c r="H378" i="3"/>
  <c r="H377" i="3" s="1"/>
  <c r="G378" i="3"/>
  <c r="H376" i="3"/>
  <c r="G376" i="3"/>
  <c r="H374" i="3"/>
  <c r="H373" i="3" s="1"/>
  <c r="G374" i="3"/>
  <c r="H372" i="3"/>
  <c r="G372" i="3"/>
  <c r="H370" i="3"/>
  <c r="H369" i="3" s="1"/>
  <c r="G370" i="3"/>
  <c r="H368" i="3"/>
  <c r="G368" i="3"/>
  <c r="H365" i="3"/>
  <c r="G365" i="3"/>
  <c r="H363" i="3"/>
  <c r="H362" i="3" s="1"/>
  <c r="G363" i="3"/>
  <c r="H361" i="3"/>
  <c r="G361" i="3"/>
  <c r="H359" i="3"/>
  <c r="H358" i="3" s="1"/>
  <c r="G359" i="3"/>
  <c r="H356" i="3"/>
  <c r="H355" i="3" s="1"/>
  <c r="G356" i="3"/>
  <c r="H354" i="3"/>
  <c r="G354" i="3"/>
  <c r="H352" i="3"/>
  <c r="G352" i="3"/>
  <c r="H351" i="3"/>
  <c r="H350" i="3"/>
  <c r="G350" i="3"/>
  <c r="H347" i="3"/>
  <c r="G347" i="3"/>
  <c r="H345" i="3"/>
  <c r="H344" i="3" s="1"/>
  <c r="G345" i="3"/>
  <c r="H343" i="3"/>
  <c r="G343" i="3"/>
  <c r="H341" i="3"/>
  <c r="G341" i="3"/>
  <c r="H340" i="3"/>
  <c r="H339" i="3"/>
  <c r="G339" i="3"/>
  <c r="H335" i="3"/>
  <c r="G335" i="3"/>
  <c r="H334" i="3"/>
  <c r="G334" i="3"/>
  <c r="H333" i="3"/>
  <c r="G333" i="3"/>
  <c r="H332" i="3"/>
  <c r="G332" i="3"/>
  <c r="H331" i="3"/>
  <c r="G331" i="3"/>
  <c r="H329" i="3"/>
  <c r="G329" i="3"/>
  <c r="H328" i="3"/>
  <c r="G328" i="3"/>
  <c r="H326" i="3"/>
  <c r="G326" i="3"/>
  <c r="H325" i="3"/>
  <c r="G325" i="3"/>
  <c r="H323" i="3"/>
  <c r="G323" i="3"/>
  <c r="G322" i="3"/>
  <c r="H321" i="3"/>
  <c r="H320" i="3" s="1"/>
  <c r="G321" i="3"/>
  <c r="H319" i="3"/>
  <c r="G319" i="3"/>
  <c r="H317" i="3"/>
  <c r="H316" i="3" s="1"/>
  <c r="G317" i="3"/>
  <c r="H315" i="3"/>
  <c r="G315" i="3"/>
  <c r="H313" i="3"/>
  <c r="G313" i="3"/>
  <c r="H312" i="3"/>
  <c r="H311" i="3"/>
  <c r="G311" i="3"/>
  <c r="H310" i="3"/>
  <c r="G310" i="3"/>
  <c r="H307" i="3"/>
  <c r="G307" i="3"/>
  <c r="H305" i="3"/>
  <c r="H304" i="3" s="1"/>
  <c r="G305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5" i="3"/>
  <c r="G285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5" i="3"/>
  <c r="G275" i="3"/>
  <c r="H274" i="3"/>
  <c r="G274" i="3"/>
  <c r="H273" i="3"/>
  <c r="G273" i="3"/>
  <c r="H271" i="3"/>
  <c r="G271" i="3"/>
  <c r="H270" i="3"/>
  <c r="G270" i="3"/>
  <c r="H269" i="3"/>
  <c r="H268" i="3" s="1"/>
  <c r="G269" i="3"/>
  <c r="H267" i="3"/>
  <c r="G267" i="3"/>
  <c r="H266" i="3"/>
  <c r="G266" i="3"/>
  <c r="H265" i="3"/>
  <c r="G265" i="3"/>
  <c r="H264" i="3"/>
  <c r="G264" i="3"/>
  <c r="H263" i="3"/>
  <c r="G263" i="3"/>
  <c r="H260" i="3"/>
  <c r="G260" i="3"/>
  <c r="H258" i="3"/>
  <c r="H257" i="3" s="1"/>
  <c r="G258" i="3"/>
  <c r="H256" i="3"/>
  <c r="G256" i="3"/>
  <c r="H254" i="3"/>
  <c r="G254" i="3"/>
  <c r="H253" i="3"/>
  <c r="H252" i="3"/>
  <c r="G252" i="3"/>
  <c r="H249" i="3"/>
  <c r="G249" i="3"/>
  <c r="H247" i="3"/>
  <c r="H246" i="3" s="1"/>
  <c r="G247" i="3"/>
  <c r="H244" i="3"/>
  <c r="H243" i="3" s="1"/>
  <c r="G244" i="3"/>
  <c r="H242" i="3"/>
  <c r="G242" i="3"/>
  <c r="G241" i="3"/>
  <c r="H240" i="3"/>
  <c r="G240" i="3"/>
  <c r="H239" i="3"/>
  <c r="H238" i="3"/>
  <c r="G238" i="3"/>
  <c r="H236" i="3"/>
  <c r="H235" i="3" s="1"/>
  <c r="G236" i="3"/>
  <c r="H234" i="3"/>
  <c r="G234" i="3"/>
  <c r="H231" i="3"/>
  <c r="G231" i="3"/>
  <c r="G230" i="3" s="1"/>
  <c r="H229" i="3"/>
  <c r="H228" i="3" s="1"/>
  <c r="G229" i="3"/>
  <c r="H227" i="3"/>
  <c r="G227" i="3"/>
  <c r="H224" i="3"/>
  <c r="G224" i="3"/>
  <c r="G223" i="3" s="1"/>
  <c r="H222" i="3"/>
  <c r="G222" i="3"/>
  <c r="H221" i="3"/>
  <c r="G221" i="3"/>
  <c r="H220" i="3"/>
  <c r="G220" i="3"/>
  <c r="H218" i="3"/>
  <c r="G218" i="3"/>
  <c r="G217" i="3" s="1"/>
  <c r="H216" i="3"/>
  <c r="H214" i="3" s="1"/>
  <c r="G216" i="3"/>
  <c r="H215" i="3"/>
  <c r="G215" i="3"/>
  <c r="H211" i="3"/>
  <c r="G211" i="3"/>
  <c r="H210" i="3"/>
  <c r="H209" i="3" s="1"/>
  <c r="G210" i="3"/>
  <c r="H207" i="3"/>
  <c r="G207" i="3"/>
  <c r="H206" i="3"/>
  <c r="G206" i="3"/>
  <c r="H205" i="3"/>
  <c r="G205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6" i="3"/>
  <c r="G196" i="3"/>
  <c r="H195" i="3"/>
  <c r="G195" i="3"/>
  <c r="H194" i="3"/>
  <c r="G194" i="3"/>
  <c r="H193" i="3"/>
  <c r="G193" i="3"/>
  <c r="H191" i="3"/>
  <c r="G191" i="3"/>
  <c r="H190" i="3"/>
  <c r="G190" i="3"/>
  <c r="H189" i="3"/>
  <c r="G189" i="3"/>
  <c r="H187" i="3"/>
  <c r="H186" i="3" s="1"/>
  <c r="G187" i="3"/>
  <c r="H185" i="3"/>
  <c r="G185" i="3"/>
  <c r="H183" i="3"/>
  <c r="H182" i="3" s="1"/>
  <c r="G183" i="3"/>
  <c r="H181" i="3"/>
  <c r="G181" i="3"/>
  <c r="H178" i="3"/>
  <c r="G178" i="3"/>
  <c r="G177" i="3" s="1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6" i="3"/>
  <c r="G156" i="3"/>
  <c r="G155" i="3" s="1"/>
  <c r="H154" i="3"/>
  <c r="H153" i="3" s="1"/>
  <c r="G154" i="3"/>
  <c r="H152" i="3"/>
  <c r="G152" i="3"/>
  <c r="H150" i="3"/>
  <c r="G150" i="3"/>
  <c r="H149" i="3"/>
  <c r="H147" i="3"/>
  <c r="H146" i="3" s="1"/>
  <c r="G147" i="3"/>
  <c r="H145" i="3"/>
  <c r="G145" i="3"/>
  <c r="H143" i="3"/>
  <c r="H142" i="3" s="1"/>
  <c r="G143" i="3"/>
  <c r="H141" i="3"/>
  <c r="G141" i="3"/>
  <c r="H139" i="3"/>
  <c r="G139" i="3"/>
  <c r="H138" i="3"/>
  <c r="H137" i="3"/>
  <c r="G137" i="3"/>
  <c r="G136" i="3" s="1"/>
  <c r="H135" i="3"/>
  <c r="G135" i="3"/>
  <c r="H134" i="3"/>
  <c r="G134" i="3"/>
  <c r="H133" i="3"/>
  <c r="G133" i="3"/>
  <c r="H132" i="3"/>
  <c r="G132" i="3"/>
  <c r="H131" i="3"/>
  <c r="G131" i="3"/>
  <c r="H129" i="3"/>
  <c r="G129" i="3"/>
  <c r="H127" i="3"/>
  <c r="H126" i="3" s="1"/>
  <c r="G127" i="3"/>
  <c r="H124" i="3"/>
  <c r="H123" i="3" s="1"/>
  <c r="G124" i="3"/>
  <c r="H122" i="3"/>
  <c r="G122" i="3"/>
  <c r="G121" i="3" s="1"/>
  <c r="H120" i="3"/>
  <c r="H119" i="3" s="1"/>
  <c r="G120" i="3"/>
  <c r="H118" i="3"/>
  <c r="G118" i="3"/>
  <c r="G117" i="3" s="1"/>
  <c r="H115" i="3"/>
  <c r="G115" i="3"/>
  <c r="H113" i="3"/>
  <c r="H112" i="3" s="1"/>
  <c r="G113" i="3"/>
  <c r="H110" i="3"/>
  <c r="G110" i="3"/>
  <c r="H108" i="3"/>
  <c r="G108" i="3"/>
  <c r="H105" i="3"/>
  <c r="G105" i="3"/>
  <c r="H103" i="3"/>
  <c r="H102" i="3" s="1"/>
  <c r="G103" i="3"/>
  <c r="H101" i="3"/>
  <c r="G101" i="3"/>
  <c r="H100" i="3"/>
  <c r="G100" i="3"/>
  <c r="H98" i="3"/>
  <c r="H97" i="3" s="1"/>
  <c r="G98" i="3"/>
  <c r="H96" i="3"/>
  <c r="G96" i="3"/>
  <c r="H94" i="3"/>
  <c r="G94" i="3"/>
  <c r="H93" i="3"/>
  <c r="H92" i="3"/>
  <c r="G92" i="3"/>
  <c r="H90" i="3"/>
  <c r="H89" i="3" s="1"/>
  <c r="G90" i="3"/>
  <c r="H86" i="3"/>
  <c r="H85" i="3" s="1"/>
  <c r="G86" i="3"/>
  <c r="H84" i="3"/>
  <c r="G84" i="3"/>
  <c r="H82" i="3"/>
  <c r="H81" i="3" s="1"/>
  <c r="G82" i="3"/>
  <c r="H80" i="3"/>
  <c r="G80" i="3"/>
  <c r="H77" i="3"/>
  <c r="G77" i="3"/>
  <c r="H76" i="3"/>
  <c r="G76" i="3"/>
  <c r="H75" i="3"/>
  <c r="G75" i="3"/>
  <c r="H73" i="3"/>
  <c r="G73" i="3"/>
  <c r="H72" i="3"/>
  <c r="H70" i="3"/>
  <c r="G70" i="3"/>
  <c r="H69" i="3"/>
  <c r="H68" i="3" s="1"/>
  <c r="G69" i="3"/>
  <c r="H67" i="3"/>
  <c r="G67" i="3"/>
  <c r="H66" i="3"/>
  <c r="G66" i="3"/>
  <c r="G65" i="3" s="1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3" i="3"/>
  <c r="H52" i="3" s="1"/>
  <c r="G53" i="3"/>
  <c r="H50" i="3"/>
  <c r="H46" i="3" s="1"/>
  <c r="G50" i="3"/>
  <c r="H49" i="3"/>
  <c r="G49" i="3"/>
  <c r="H48" i="3"/>
  <c r="G48" i="3"/>
  <c r="H47" i="3"/>
  <c r="G47" i="3"/>
  <c r="H45" i="3"/>
  <c r="G45" i="3"/>
  <c r="H43" i="3"/>
  <c r="H42" i="3" s="1"/>
  <c r="G43" i="3"/>
  <c r="H41" i="3"/>
  <c r="G41" i="3"/>
  <c r="H40" i="3"/>
  <c r="G40" i="3"/>
  <c r="H39" i="3"/>
  <c r="G39" i="3"/>
  <c r="H38" i="3"/>
  <c r="G38" i="3"/>
  <c r="H37" i="3"/>
  <c r="G37" i="3"/>
  <c r="H36" i="3"/>
  <c r="G36" i="3"/>
  <c r="H34" i="3"/>
  <c r="G34" i="3"/>
  <c r="H33" i="3"/>
  <c r="G33" i="3"/>
  <c r="H32" i="3"/>
  <c r="G32" i="3"/>
  <c r="H31" i="3"/>
  <c r="G31" i="3"/>
  <c r="H30" i="3"/>
  <c r="G30" i="3"/>
  <c r="H29" i="3"/>
  <c r="G29" i="3"/>
  <c r="G16" i="3"/>
  <c r="G15" i="3"/>
  <c r="I14" i="3"/>
  <c r="G327" i="3" l="1"/>
  <c r="H130" i="3"/>
  <c r="H28" i="3"/>
  <c r="H204" i="3"/>
  <c r="H219" i="3"/>
  <c r="H324" i="3"/>
  <c r="H447" i="3"/>
  <c r="H295" i="3"/>
  <c r="G330" i="3"/>
  <c r="H330" i="3"/>
  <c r="I330" i="3" s="1"/>
  <c r="H276" i="3"/>
  <c r="H457" i="3"/>
  <c r="G272" i="3"/>
  <c r="G440" i="3"/>
  <c r="H167" i="3"/>
  <c r="G28" i="3"/>
  <c r="I28" i="3" s="1"/>
  <c r="H192" i="3"/>
  <c r="G188" i="3"/>
  <c r="G233" i="3"/>
  <c r="G248" i="3"/>
  <c r="G255" i="3"/>
  <c r="G309" i="3"/>
  <c r="G314" i="3"/>
  <c r="G349" i="3"/>
  <c r="G360" i="3"/>
  <c r="G367" i="3"/>
  <c r="G371" i="3"/>
  <c r="G461" i="3"/>
  <c r="G484" i="3"/>
  <c r="G495" i="3"/>
  <c r="I55" i="3"/>
  <c r="I56" i="3"/>
  <c r="I58" i="3"/>
  <c r="I60" i="3"/>
  <c r="I62" i="3"/>
  <c r="G68" i="3"/>
  <c r="I70" i="3"/>
  <c r="H74" i="3"/>
  <c r="H71" i="3" s="1"/>
  <c r="I92" i="3"/>
  <c r="G97" i="3"/>
  <c r="G130" i="3"/>
  <c r="I130" i="3" s="1"/>
  <c r="I152" i="3"/>
  <c r="H155" i="3"/>
  <c r="I160" i="3"/>
  <c r="I164" i="3"/>
  <c r="I166" i="3"/>
  <c r="H177" i="3"/>
  <c r="H184" i="3"/>
  <c r="G186" i="3"/>
  <c r="I199" i="3"/>
  <c r="I201" i="3"/>
  <c r="I203" i="3"/>
  <c r="G209" i="3"/>
  <c r="G208" i="3" s="1"/>
  <c r="I211" i="3"/>
  <c r="H217" i="3"/>
  <c r="I221" i="3"/>
  <c r="I222" i="3"/>
  <c r="H223" i="3"/>
  <c r="H226" i="3"/>
  <c r="G228" i="3"/>
  <c r="I228" i="3" s="1"/>
  <c r="H233" i="3"/>
  <c r="G235" i="3"/>
  <c r="I238" i="3"/>
  <c r="H241" i="3"/>
  <c r="G243" i="3"/>
  <c r="G246" i="3"/>
  <c r="H248" i="3"/>
  <c r="H251" i="3"/>
  <c r="G253" i="3"/>
  <c r="I263" i="3"/>
  <c r="I265" i="3"/>
  <c r="I267" i="3"/>
  <c r="H272" i="3"/>
  <c r="I278" i="3"/>
  <c r="I279" i="3"/>
  <c r="I280" i="3"/>
  <c r="I281" i="3"/>
  <c r="I282" i="3"/>
  <c r="I283" i="3"/>
  <c r="H284" i="3"/>
  <c r="G295" i="3"/>
  <c r="H309" i="3"/>
  <c r="G312" i="3"/>
  <c r="H314" i="3"/>
  <c r="G316" i="3"/>
  <c r="I319" i="3"/>
  <c r="H322" i="3"/>
  <c r="I326" i="3"/>
  <c r="H327" i="3"/>
  <c r="H349" i="3"/>
  <c r="G351" i="3"/>
  <c r="I354" i="3"/>
  <c r="G358" i="3"/>
  <c r="H360" i="3"/>
  <c r="G362" i="3"/>
  <c r="I365" i="3"/>
  <c r="H367" i="3"/>
  <c r="G369" i="3"/>
  <c r="H371" i="3"/>
  <c r="G373" i="3"/>
  <c r="I376" i="3"/>
  <c r="H379" i="3"/>
  <c r="G381" i="3"/>
  <c r="H386" i="3"/>
  <c r="G388" i="3"/>
  <c r="G401" i="3"/>
  <c r="G400" i="3" s="1"/>
  <c r="H403" i="3"/>
  <c r="H406" i="3"/>
  <c r="G408" i="3"/>
  <c r="H422" i="3"/>
  <c r="I431" i="3"/>
  <c r="H436" i="3"/>
  <c r="G438" i="3"/>
  <c r="I438" i="3" s="1"/>
  <c r="G444" i="3"/>
  <c r="G453" i="3"/>
  <c r="I456" i="3"/>
  <c r="H461" i="3"/>
  <c r="H469" i="3"/>
  <c r="G471" i="3"/>
  <c r="H480" i="3"/>
  <c r="G482" i="3"/>
  <c r="I482" i="3" s="1"/>
  <c r="G493" i="3"/>
  <c r="I493" i="3" s="1"/>
  <c r="H498" i="3"/>
  <c r="I498" i="3" s="1"/>
  <c r="G500" i="3"/>
  <c r="G52" i="3"/>
  <c r="I52" i="3" s="1"/>
  <c r="I57" i="3"/>
  <c r="I59" i="3"/>
  <c r="I61" i="3"/>
  <c r="I63" i="3"/>
  <c r="H65" i="3"/>
  <c r="I65" i="3" s="1"/>
  <c r="G89" i="3"/>
  <c r="I89" i="3" s="1"/>
  <c r="H95" i="3"/>
  <c r="I100" i="3"/>
  <c r="I101" i="3"/>
  <c r="H104" i="3"/>
  <c r="H109" i="3"/>
  <c r="G112" i="3"/>
  <c r="I115" i="3"/>
  <c r="H117" i="3"/>
  <c r="G119" i="3"/>
  <c r="H121" i="3"/>
  <c r="G123" i="3"/>
  <c r="H128" i="3"/>
  <c r="G149" i="3"/>
  <c r="I162" i="3"/>
  <c r="I17" i="3"/>
  <c r="I29" i="3"/>
  <c r="I30" i="3"/>
  <c r="I31" i="3"/>
  <c r="I32" i="3"/>
  <c r="I33" i="3"/>
  <c r="I34" i="3"/>
  <c r="G35" i="3"/>
  <c r="H35" i="3"/>
  <c r="G42" i="3"/>
  <c r="I42" i="3" s="1"/>
  <c r="G44" i="3"/>
  <c r="H44" i="3"/>
  <c r="G46" i="3"/>
  <c r="I48" i="3"/>
  <c r="I49" i="3"/>
  <c r="I50" i="3"/>
  <c r="H54" i="3"/>
  <c r="G72" i="3"/>
  <c r="I75" i="3"/>
  <c r="I76" i="3"/>
  <c r="I77" i="3"/>
  <c r="G79" i="3"/>
  <c r="H79" i="3"/>
  <c r="G81" i="3"/>
  <c r="G83" i="3"/>
  <c r="H83" i="3"/>
  <c r="G85" i="3"/>
  <c r="H91" i="3"/>
  <c r="G93" i="3"/>
  <c r="I93" i="3" s="1"/>
  <c r="I96" i="3"/>
  <c r="H99" i="3"/>
  <c r="G102" i="3"/>
  <c r="I102" i="3" s="1"/>
  <c r="I105" i="3"/>
  <c r="G107" i="3"/>
  <c r="I107" i="3" s="1"/>
  <c r="H107" i="3"/>
  <c r="G109" i="3"/>
  <c r="H114" i="3"/>
  <c r="H111" i="3" s="1"/>
  <c r="G126" i="3"/>
  <c r="I129" i="3"/>
  <c r="H136" i="3"/>
  <c r="G138" i="3"/>
  <c r="I138" i="3" s="1"/>
  <c r="G140" i="3"/>
  <c r="H140" i="3"/>
  <c r="G142" i="3"/>
  <c r="G144" i="3"/>
  <c r="H144" i="3"/>
  <c r="G146" i="3"/>
  <c r="H151" i="3"/>
  <c r="G153" i="3"/>
  <c r="G158" i="3"/>
  <c r="H158" i="3"/>
  <c r="G167" i="3"/>
  <c r="G180" i="3"/>
  <c r="H180" i="3"/>
  <c r="G182" i="3"/>
  <c r="I185" i="3"/>
  <c r="H188" i="3"/>
  <c r="I194" i="3"/>
  <c r="I195" i="3"/>
  <c r="I196" i="3"/>
  <c r="G197" i="3"/>
  <c r="H197" i="3"/>
  <c r="G204" i="3"/>
  <c r="I204" i="3" s="1"/>
  <c r="H208" i="3"/>
  <c r="I227" i="3"/>
  <c r="H230" i="3"/>
  <c r="H237" i="3"/>
  <c r="G239" i="3"/>
  <c r="I252" i="3"/>
  <c r="H255" i="3"/>
  <c r="I255" i="3" s="1"/>
  <c r="G257" i="3"/>
  <c r="I257" i="3" s="1"/>
  <c r="G259" i="3"/>
  <c r="H259" i="3"/>
  <c r="G268" i="3"/>
  <c r="I288" i="3"/>
  <c r="I290" i="3"/>
  <c r="I292" i="3"/>
  <c r="I294" i="3"/>
  <c r="G304" i="3"/>
  <c r="G306" i="3"/>
  <c r="H306" i="3"/>
  <c r="H318" i="3"/>
  <c r="G320" i="3"/>
  <c r="I329" i="3"/>
  <c r="I331" i="3"/>
  <c r="I333" i="3"/>
  <c r="I335" i="3"/>
  <c r="G338" i="3"/>
  <c r="H338" i="3"/>
  <c r="G340" i="3"/>
  <c r="I340" i="3" s="1"/>
  <c r="G342" i="3"/>
  <c r="H342" i="3"/>
  <c r="G344" i="3"/>
  <c r="G346" i="3"/>
  <c r="H346" i="3"/>
  <c r="H353" i="3"/>
  <c r="G355" i="3"/>
  <c r="H364" i="3"/>
  <c r="H375" i="3"/>
  <c r="G377" i="3"/>
  <c r="I377" i="3" s="1"/>
  <c r="G384" i="3"/>
  <c r="I387" i="3"/>
  <c r="H390" i="3"/>
  <c r="G392" i="3"/>
  <c r="I392" i="3" s="1"/>
  <c r="G394" i="3"/>
  <c r="H394" i="3"/>
  <c r="G396" i="3"/>
  <c r="G398" i="3"/>
  <c r="H398" i="3"/>
  <c r="I407" i="3"/>
  <c r="H410" i="3"/>
  <c r="G412" i="3"/>
  <c r="G414" i="3"/>
  <c r="H414" i="3"/>
  <c r="G416" i="3"/>
  <c r="G418" i="3"/>
  <c r="H418" i="3"/>
  <c r="G420" i="3"/>
  <c r="I420" i="3" s="1"/>
  <c r="I423" i="3"/>
  <c r="G425" i="3"/>
  <c r="H425" i="3"/>
  <c r="G427" i="3"/>
  <c r="G429" i="3"/>
  <c r="H429" i="3"/>
  <c r="G432" i="3"/>
  <c r="G447" i="3"/>
  <c r="I451" i="3"/>
  <c r="H455" i="3"/>
  <c r="G465" i="3"/>
  <c r="H465" i="3"/>
  <c r="G467" i="3"/>
  <c r="I467" i="3" s="1"/>
  <c r="I470" i="3"/>
  <c r="G474" i="3"/>
  <c r="G476" i="3"/>
  <c r="H476" i="3"/>
  <c r="G478" i="3"/>
  <c r="I481" i="3"/>
  <c r="H484" i="3"/>
  <c r="G486" i="3"/>
  <c r="G488" i="3"/>
  <c r="H488" i="3"/>
  <c r="G490" i="3"/>
  <c r="H495" i="3"/>
  <c r="H492" i="3" s="1"/>
  <c r="I36" i="3"/>
  <c r="I37" i="3"/>
  <c r="I38" i="3"/>
  <c r="I39" i="3"/>
  <c r="I40" i="3"/>
  <c r="I41" i="3"/>
  <c r="I45" i="3"/>
  <c r="G54" i="3"/>
  <c r="I66" i="3"/>
  <c r="I67" i="3"/>
  <c r="G74" i="3"/>
  <c r="G71" i="3" s="1"/>
  <c r="I80" i="3"/>
  <c r="I84" i="3"/>
  <c r="G91" i="3"/>
  <c r="G95" i="3"/>
  <c r="I97" i="3"/>
  <c r="G99" i="3"/>
  <c r="G104" i="3"/>
  <c r="I108" i="3"/>
  <c r="G114" i="3"/>
  <c r="I118" i="3"/>
  <c r="G128" i="3"/>
  <c r="I132" i="3"/>
  <c r="I133" i="3"/>
  <c r="I134" i="3"/>
  <c r="I135" i="3"/>
  <c r="I141" i="3"/>
  <c r="G151" i="3"/>
  <c r="I167" i="3"/>
  <c r="I169" i="3"/>
  <c r="I170" i="3"/>
  <c r="I171" i="3"/>
  <c r="I172" i="3"/>
  <c r="I173" i="3"/>
  <c r="I174" i="3"/>
  <c r="I175" i="3"/>
  <c r="I176" i="3"/>
  <c r="G184" i="3"/>
  <c r="I186" i="3"/>
  <c r="I190" i="3"/>
  <c r="I206" i="3"/>
  <c r="I207" i="3"/>
  <c r="I216" i="3"/>
  <c r="I224" i="3"/>
  <c r="G226" i="3"/>
  <c r="G237" i="3"/>
  <c r="I239" i="3"/>
  <c r="I249" i="3"/>
  <c r="G251" i="3"/>
  <c r="I253" i="3"/>
  <c r="I260" i="3"/>
  <c r="G262" i="3"/>
  <c r="I270" i="3"/>
  <c r="I271" i="3"/>
  <c r="I274" i="3"/>
  <c r="I285" i="3"/>
  <c r="G287" i="3"/>
  <c r="I295" i="3"/>
  <c r="I297" i="3"/>
  <c r="I298" i="3"/>
  <c r="I299" i="3"/>
  <c r="I300" i="3"/>
  <c r="I301" i="3"/>
  <c r="I302" i="3"/>
  <c r="I311" i="3"/>
  <c r="G318" i="3"/>
  <c r="I320" i="3"/>
  <c r="I343" i="3"/>
  <c r="G353" i="3"/>
  <c r="G364" i="3"/>
  <c r="I368" i="3"/>
  <c r="G375" i="3"/>
  <c r="G386" i="3"/>
  <c r="I395" i="3"/>
  <c r="I404" i="3"/>
  <c r="G406" i="3"/>
  <c r="I415" i="3"/>
  <c r="G422" i="3"/>
  <c r="I426" i="3"/>
  <c r="I434" i="3"/>
  <c r="I435" i="3"/>
  <c r="I441" i="3"/>
  <c r="I443" i="3"/>
  <c r="I449" i="3"/>
  <c r="G450" i="3"/>
  <c r="G455" i="3"/>
  <c r="I459" i="3"/>
  <c r="I460" i="3"/>
  <c r="G469" i="3"/>
  <c r="I471" i="3"/>
  <c r="G480" i="3"/>
  <c r="I489" i="3"/>
  <c r="I43" i="3"/>
  <c r="I47" i="3"/>
  <c r="I53" i="3"/>
  <c r="I69" i="3"/>
  <c r="I73" i="3"/>
  <c r="I82" i="3"/>
  <c r="I86" i="3"/>
  <c r="I90" i="3"/>
  <c r="I94" i="3"/>
  <c r="I98" i="3"/>
  <c r="I103" i="3"/>
  <c r="I110" i="3"/>
  <c r="I113" i="3"/>
  <c r="I120" i="3"/>
  <c r="I131" i="3"/>
  <c r="I143" i="3"/>
  <c r="I154" i="3"/>
  <c r="I168" i="3"/>
  <c r="I187" i="3"/>
  <c r="I205" i="3"/>
  <c r="I210" i="3"/>
  <c r="I229" i="3"/>
  <c r="I240" i="3"/>
  <c r="I254" i="3"/>
  <c r="I269" i="3"/>
  <c r="I296" i="3"/>
  <c r="I305" i="3"/>
  <c r="I313" i="3"/>
  <c r="I321" i="3"/>
  <c r="I345" i="3"/>
  <c r="I356" i="3"/>
  <c r="I370" i="3"/>
  <c r="I389" i="3"/>
  <c r="I417" i="3"/>
  <c r="I433" i="3"/>
  <c r="I474" i="3"/>
  <c r="I475" i="3"/>
  <c r="I491" i="3"/>
  <c r="I122" i="3"/>
  <c r="I124" i="3"/>
  <c r="I126" i="3"/>
  <c r="I127" i="3"/>
  <c r="I137" i="3"/>
  <c r="I139" i="3"/>
  <c r="I145" i="3"/>
  <c r="I147" i="3"/>
  <c r="I150" i="3"/>
  <c r="I156" i="3"/>
  <c r="G157" i="3"/>
  <c r="I159" i="3"/>
  <c r="I161" i="3"/>
  <c r="I163" i="3"/>
  <c r="I165" i="3"/>
  <c r="I178" i="3"/>
  <c r="I181" i="3"/>
  <c r="I183" i="3"/>
  <c r="I189" i="3"/>
  <c r="I191" i="3"/>
  <c r="G192" i="3"/>
  <c r="I193" i="3"/>
  <c r="I198" i="3"/>
  <c r="I200" i="3"/>
  <c r="I202" i="3"/>
  <c r="G214" i="3"/>
  <c r="I215" i="3"/>
  <c r="I218" i="3"/>
  <c r="G219" i="3"/>
  <c r="I220" i="3"/>
  <c r="I231" i="3"/>
  <c r="I234" i="3"/>
  <c r="I235" i="3"/>
  <c r="I236" i="3"/>
  <c r="I242" i="3"/>
  <c r="I244" i="3"/>
  <c r="I247" i="3"/>
  <c r="I256" i="3"/>
  <c r="I258" i="3"/>
  <c r="H262" i="3"/>
  <c r="I264" i="3"/>
  <c r="I266" i="3"/>
  <c r="I273" i="3"/>
  <c r="I275" i="3"/>
  <c r="G276" i="3"/>
  <c r="I277" i="3"/>
  <c r="H287" i="3"/>
  <c r="I289" i="3"/>
  <c r="I291" i="3"/>
  <c r="I293" i="3"/>
  <c r="G303" i="3"/>
  <c r="I307" i="3"/>
  <c r="I310" i="3"/>
  <c r="I315" i="3"/>
  <c r="I317" i="3"/>
  <c r="I323" i="3"/>
  <c r="G324" i="3"/>
  <c r="I325" i="3"/>
  <c r="I328" i="3"/>
  <c r="I332" i="3"/>
  <c r="I334" i="3"/>
  <c r="I338" i="3"/>
  <c r="I359" i="3"/>
  <c r="I378" i="3"/>
  <c r="I397" i="3"/>
  <c r="I409" i="3"/>
  <c r="I428" i="3"/>
  <c r="I448" i="3"/>
  <c r="I339" i="3"/>
  <c r="I341" i="3"/>
  <c r="I347" i="3"/>
  <c r="I350" i="3"/>
  <c r="I352" i="3"/>
  <c r="I361" i="3"/>
  <c r="I363" i="3"/>
  <c r="I372" i="3"/>
  <c r="I373" i="3"/>
  <c r="I374" i="3"/>
  <c r="I380" i="3"/>
  <c r="I382" i="3"/>
  <c r="I385" i="3"/>
  <c r="I391" i="3"/>
  <c r="I393" i="3"/>
  <c r="I399" i="3"/>
  <c r="I402" i="3"/>
  <c r="I411" i="3"/>
  <c r="I413" i="3"/>
  <c r="I419" i="3"/>
  <c r="I421" i="3"/>
  <c r="I430" i="3"/>
  <c r="I445" i="3"/>
  <c r="G457" i="3"/>
  <c r="I458" i="3"/>
  <c r="I472" i="3"/>
  <c r="I483" i="3"/>
  <c r="I494" i="3"/>
  <c r="I437" i="3"/>
  <c r="I439" i="3"/>
  <c r="H440" i="3"/>
  <c r="I442" i="3"/>
  <c r="H450" i="3"/>
  <c r="I452" i="3"/>
  <c r="I453" i="3"/>
  <c r="I454" i="3"/>
  <c r="I462" i="3"/>
  <c r="I466" i="3"/>
  <c r="I468" i="3"/>
  <c r="I477" i="3"/>
  <c r="I479" i="3"/>
  <c r="I485" i="3"/>
  <c r="I486" i="3"/>
  <c r="I487" i="3"/>
  <c r="I496" i="3"/>
  <c r="I499" i="3"/>
  <c r="I500" i="3"/>
  <c r="I501" i="3"/>
  <c r="I425" i="3" l="1"/>
  <c r="I495" i="3"/>
  <c r="G88" i="3"/>
  <c r="I484" i="3"/>
  <c r="G357" i="3"/>
  <c r="G27" i="3"/>
  <c r="I226" i="3"/>
  <c r="G111" i="3"/>
  <c r="G51" i="3"/>
  <c r="G366" i="3"/>
  <c r="G232" i="3"/>
  <c r="I355" i="3"/>
  <c r="I390" i="3"/>
  <c r="I188" i="3"/>
  <c r="I342" i="3"/>
  <c r="I158" i="3"/>
  <c r="H148" i="3"/>
  <c r="I140" i="3"/>
  <c r="G106" i="3"/>
  <c r="I85" i="3"/>
  <c r="G78" i="3"/>
  <c r="I46" i="3"/>
  <c r="I35" i="3"/>
  <c r="H125" i="3"/>
  <c r="I121" i="3"/>
  <c r="I119" i="3"/>
  <c r="H116" i="3"/>
  <c r="G497" i="3"/>
  <c r="H464" i="3"/>
  <c r="I464" i="3" s="1"/>
  <c r="I461" i="3"/>
  <c r="I444" i="3"/>
  <c r="I436" i="3"/>
  <c r="H400" i="3"/>
  <c r="I400" i="3" s="1"/>
  <c r="I403" i="3"/>
  <c r="H383" i="3"/>
  <c r="I379" i="3"/>
  <c r="I371" i="3"/>
  <c r="I369" i="3"/>
  <c r="I360" i="3"/>
  <c r="I349" i="3"/>
  <c r="I327" i="3"/>
  <c r="I322" i="3"/>
  <c r="I314" i="3"/>
  <c r="I312" i="3"/>
  <c r="I309" i="3"/>
  <c r="H308" i="3"/>
  <c r="I248" i="3"/>
  <c r="G245" i="3"/>
  <c r="I241" i="3"/>
  <c r="I233" i="3"/>
  <c r="I450" i="3"/>
  <c r="H424" i="3"/>
  <c r="I457" i="3"/>
  <c r="I324" i="3"/>
  <c r="H286" i="3"/>
  <c r="I276" i="3"/>
  <c r="I219" i="3"/>
  <c r="I208" i="3"/>
  <c r="I455" i="3"/>
  <c r="I406" i="3"/>
  <c r="I386" i="3"/>
  <c r="I375" i="3"/>
  <c r="G286" i="3"/>
  <c r="I262" i="3"/>
  <c r="I74" i="3"/>
  <c r="I490" i="3"/>
  <c r="I465" i="3"/>
  <c r="I414" i="3"/>
  <c r="I398" i="3"/>
  <c r="I396" i="3"/>
  <c r="I478" i="3"/>
  <c r="H473" i="3"/>
  <c r="G464" i="3"/>
  <c r="G492" i="3"/>
  <c r="I492" i="3" s="1"/>
  <c r="I412" i="3"/>
  <c r="I401" i="3"/>
  <c r="I384" i="3"/>
  <c r="I381" i="3"/>
  <c r="I362" i="3"/>
  <c r="H357" i="3"/>
  <c r="I351" i="3"/>
  <c r="G348" i="3"/>
  <c r="I447" i="3"/>
  <c r="H405" i="3"/>
  <c r="I367" i="3"/>
  <c r="I358" i="3"/>
  <c r="I316" i="3"/>
  <c r="H303" i="3"/>
  <c r="I303" i="3" s="1"/>
  <c r="H261" i="3"/>
  <c r="I251" i="3"/>
  <c r="I246" i="3"/>
  <c r="I243" i="3"/>
  <c r="I192" i="3"/>
  <c r="I182" i="3"/>
  <c r="I149" i="3"/>
  <c r="I146" i="3"/>
  <c r="I123" i="3"/>
  <c r="G473" i="3"/>
  <c r="G424" i="3"/>
  <c r="I424" i="3" s="1"/>
  <c r="G405" i="3"/>
  <c r="I117" i="3"/>
  <c r="I79" i="3"/>
  <c r="H88" i="3"/>
  <c r="I88" i="3" s="1"/>
  <c r="H51" i="3"/>
  <c r="I112" i="3"/>
  <c r="I72" i="3"/>
  <c r="I480" i="3"/>
  <c r="I469" i="3"/>
  <c r="I432" i="3"/>
  <c r="I422" i="3"/>
  <c r="I408" i="3"/>
  <c r="I388" i="3"/>
  <c r="H366" i="3"/>
  <c r="I364" i="3"/>
  <c r="I353" i="3"/>
  <c r="H337" i="3"/>
  <c r="I318" i="3"/>
  <c r="I268" i="3"/>
  <c r="G250" i="3"/>
  <c r="H245" i="3"/>
  <c r="I237" i="3"/>
  <c r="G225" i="3"/>
  <c r="I184" i="3"/>
  <c r="I153" i="3"/>
  <c r="I114" i="3"/>
  <c r="I104" i="3"/>
  <c r="I99" i="3"/>
  <c r="I95" i="3"/>
  <c r="I91" i="3"/>
  <c r="I54" i="3"/>
  <c r="H250" i="3"/>
  <c r="H225" i="3"/>
  <c r="H497" i="3"/>
  <c r="I488" i="3"/>
  <c r="I476" i="3"/>
  <c r="I429" i="3"/>
  <c r="I427" i="3"/>
  <c r="I418" i="3"/>
  <c r="I416" i="3"/>
  <c r="I410" i="3"/>
  <c r="I394" i="3"/>
  <c r="H348" i="3"/>
  <c r="I346" i="3"/>
  <c r="I344" i="3"/>
  <c r="G337" i="3"/>
  <c r="I306" i="3"/>
  <c r="I304" i="3"/>
  <c r="I259" i="3"/>
  <c r="H232" i="3"/>
  <c r="I230" i="3"/>
  <c r="I197" i="3"/>
  <c r="I180" i="3"/>
  <c r="I144" i="3"/>
  <c r="I142" i="3"/>
  <c r="I136" i="3"/>
  <c r="I109" i="3"/>
  <c r="H106" i="3"/>
  <c r="I83" i="3"/>
  <c r="I81" i="3"/>
  <c r="H78" i="3"/>
  <c r="I44" i="3"/>
  <c r="H27" i="3"/>
  <c r="H64" i="3"/>
  <c r="I284" i="3"/>
  <c r="I272" i="3"/>
  <c r="I223" i="3"/>
  <c r="I217" i="3"/>
  <c r="H213" i="3"/>
  <c r="I209" i="3"/>
  <c r="H179" i="3"/>
  <c r="I177" i="3"/>
  <c r="H157" i="3"/>
  <c r="I155" i="3"/>
  <c r="G116" i="3"/>
  <c r="I68" i="3"/>
  <c r="G64" i="3"/>
  <c r="I111" i="3"/>
  <c r="I151" i="3"/>
  <c r="G148" i="3"/>
  <c r="H446" i="3"/>
  <c r="G383" i="3"/>
  <c r="I287" i="3"/>
  <c r="I128" i="3"/>
  <c r="G125" i="3"/>
  <c r="I440" i="3"/>
  <c r="G308" i="3"/>
  <c r="I214" i="3"/>
  <c r="G213" i="3"/>
  <c r="G179" i="3"/>
  <c r="G261" i="3"/>
  <c r="G446" i="3"/>
  <c r="I473" i="3"/>
  <c r="I71" i="3"/>
  <c r="I51" i="3" l="1"/>
  <c r="I405" i="3"/>
  <c r="I357" i="3"/>
  <c r="G463" i="3"/>
  <c r="I27" i="3"/>
  <c r="H212" i="3"/>
  <c r="H463" i="3"/>
  <c r="H26" i="3"/>
  <c r="I250" i="3"/>
  <c r="I497" i="3"/>
  <c r="I78" i="3"/>
  <c r="I106" i="3"/>
  <c r="I308" i="3"/>
  <c r="I383" i="3"/>
  <c r="I64" i="3"/>
  <c r="H87" i="3"/>
  <c r="G26" i="3"/>
  <c r="I261" i="3"/>
  <c r="I179" i="3"/>
  <c r="I125" i="3"/>
  <c r="H336" i="3"/>
  <c r="I148" i="3"/>
  <c r="I116" i="3"/>
  <c r="I337" i="3"/>
  <c r="I225" i="3"/>
  <c r="I348" i="3"/>
  <c r="I157" i="3"/>
  <c r="I232" i="3"/>
  <c r="I286" i="3"/>
  <c r="I366" i="3"/>
  <c r="I245" i="3"/>
  <c r="G87" i="3"/>
  <c r="I446" i="3"/>
  <c r="G336" i="3"/>
  <c r="I213" i="3"/>
  <c r="G212" i="3"/>
  <c r="I463" i="3" l="1"/>
  <c r="H25" i="3"/>
  <c r="I212" i="3"/>
  <c r="I336" i="3"/>
  <c r="I87" i="3"/>
  <c r="I26" i="3"/>
  <c r="G25" i="3"/>
  <c r="I25" i="3" l="1"/>
  <c r="J36" i="3" s="1"/>
  <c r="J330" i="3"/>
  <c r="J156" i="3"/>
  <c r="J496" i="3"/>
  <c r="J293" i="3"/>
  <c r="J305" i="3"/>
  <c r="J445" i="3"/>
  <c r="J266" i="3"/>
  <c r="J313" i="3"/>
  <c r="J26" i="3"/>
  <c r="J462" i="3" l="1"/>
  <c r="J448" i="3"/>
  <c r="J267" i="3"/>
  <c r="J105" i="3"/>
  <c r="J270" i="3"/>
  <c r="J61" i="3"/>
  <c r="J277" i="3"/>
  <c r="J163" i="3"/>
  <c r="J341" i="3"/>
  <c r="J29" i="3"/>
  <c r="J333" i="3"/>
  <c r="J368" i="3"/>
  <c r="J27" i="3"/>
  <c r="J417" i="3"/>
  <c r="J437" i="3"/>
  <c r="J328" i="3"/>
  <c r="J43" i="3"/>
  <c r="J428" i="3"/>
  <c r="J479" i="3"/>
  <c r="J374" i="3"/>
  <c r="J387" i="3"/>
  <c r="J238" i="3"/>
  <c r="J92" i="3"/>
  <c r="J489" i="3"/>
  <c r="J216" i="3"/>
  <c r="J329" i="3"/>
  <c r="J199" i="3"/>
  <c r="J57" i="3"/>
  <c r="J302" i="3"/>
  <c r="J169" i="3"/>
  <c r="J463" i="3"/>
  <c r="J491" i="3"/>
  <c r="J325" i="3"/>
  <c r="J442" i="3"/>
  <c r="J122" i="3"/>
  <c r="J397" i="3"/>
  <c r="J69" i="3"/>
  <c r="J191" i="3"/>
  <c r="J347" i="3"/>
  <c r="J73" i="3"/>
  <c r="J189" i="3"/>
  <c r="J393" i="3"/>
  <c r="J365" i="3"/>
  <c r="J222" i="3"/>
  <c r="J77" i="3"/>
  <c r="J441" i="3"/>
  <c r="J206" i="3"/>
  <c r="J39" i="3"/>
  <c r="J319" i="3"/>
  <c r="J195" i="3"/>
  <c r="J55" i="3"/>
  <c r="J300" i="3"/>
  <c r="J135" i="3"/>
  <c r="J145" i="3"/>
  <c r="J451" i="3"/>
  <c r="J31" i="3"/>
  <c r="J354" i="3"/>
  <c r="J370" i="3"/>
  <c r="J359" i="3"/>
  <c r="J100" i="3"/>
  <c r="J171" i="3"/>
  <c r="J310" i="3"/>
  <c r="J433" i="3"/>
  <c r="J181" i="3"/>
  <c r="J165" i="3"/>
  <c r="J41" i="3"/>
  <c r="J87" i="3"/>
  <c r="J139" i="3"/>
  <c r="J334" i="3"/>
  <c r="J466" i="3"/>
  <c r="J127" i="3"/>
  <c r="J339" i="3"/>
  <c r="J94" i="3"/>
  <c r="J200" i="3"/>
  <c r="J352" i="3"/>
  <c r="J90" i="3"/>
  <c r="J202" i="3"/>
  <c r="J419" i="3"/>
  <c r="J335" i="3"/>
  <c r="J211" i="3"/>
  <c r="J75" i="3"/>
  <c r="J415" i="3"/>
  <c r="J176" i="3"/>
  <c r="J37" i="3"/>
  <c r="J292" i="3"/>
  <c r="J185" i="3"/>
  <c r="J50" i="3"/>
  <c r="J298" i="3"/>
  <c r="J133" i="3"/>
  <c r="J404" i="3"/>
  <c r="J483" i="3"/>
  <c r="J468" i="3"/>
  <c r="J249" i="3"/>
  <c r="J53" i="3"/>
  <c r="J147" i="3"/>
  <c r="J363" i="3"/>
  <c r="J70" i="3"/>
  <c r="J164" i="3"/>
  <c r="J178" i="3"/>
  <c r="J391" i="3"/>
  <c r="J234" i="3"/>
  <c r="J271" i="3"/>
  <c r="J82" i="3"/>
  <c r="J258" i="3"/>
  <c r="J264" i="3"/>
  <c r="J294" i="3"/>
  <c r="J194" i="3"/>
  <c r="J60" i="3"/>
  <c r="J311" i="3"/>
  <c r="J170" i="3"/>
  <c r="J435" i="3"/>
  <c r="J280" i="3"/>
  <c r="J129" i="3"/>
  <c r="J32" i="3"/>
  <c r="J260" i="3"/>
  <c r="J67" i="3"/>
  <c r="J80" i="3"/>
  <c r="J221" i="3"/>
  <c r="J336" i="3"/>
  <c r="J501" i="3"/>
  <c r="J423" i="3"/>
  <c r="J59" i="3"/>
  <c r="J477" i="3"/>
  <c r="J242" i="3"/>
  <c r="J494" i="3"/>
  <c r="J395" i="3"/>
  <c r="J288" i="3"/>
  <c r="J285" i="3"/>
  <c r="J86" i="3"/>
  <c r="J350" i="3"/>
  <c r="J161" i="3"/>
  <c r="J154" i="3"/>
  <c r="J247" i="3"/>
  <c r="J143" i="3"/>
  <c r="J454" i="3"/>
  <c r="J196" i="3"/>
  <c r="J62" i="3"/>
  <c r="J343" i="3"/>
  <c r="J172" i="3"/>
  <c r="J459" i="3"/>
  <c r="J282" i="3"/>
  <c r="J34" i="3"/>
  <c r="J84" i="3"/>
  <c r="J103" i="3"/>
  <c r="J183" i="3"/>
  <c r="J361" i="3"/>
  <c r="J198" i="3"/>
  <c r="J402" i="3"/>
  <c r="J210" i="3"/>
  <c r="J399" i="3"/>
  <c r="J205" i="3"/>
  <c r="J487" i="3"/>
  <c r="J131" i="3"/>
  <c r="J193" i="3"/>
  <c r="J380" i="3"/>
  <c r="J98" i="3"/>
  <c r="J218" i="3"/>
  <c r="J421" i="3"/>
  <c r="J254" i="3"/>
  <c r="J275" i="3"/>
  <c r="J411" i="3"/>
  <c r="J321" i="3"/>
  <c r="J289" i="3"/>
  <c r="J499" i="3"/>
  <c r="J290" i="3"/>
  <c r="J166" i="3"/>
  <c r="J58" i="3"/>
  <c r="J301" i="3"/>
  <c r="J141" i="3"/>
  <c r="J443" i="3"/>
  <c r="J278" i="3"/>
  <c r="J101" i="3"/>
  <c r="J30" i="3"/>
  <c r="J224" i="3"/>
  <c r="J45" i="3"/>
  <c r="J389" i="3"/>
  <c r="J150" i="3"/>
  <c r="J66" i="3"/>
  <c r="J159" i="3"/>
  <c r="J372" i="3"/>
  <c r="J220" i="3"/>
  <c r="J201" i="3"/>
  <c r="J481" i="3"/>
  <c r="J48" i="3"/>
  <c r="J47" i="3"/>
  <c r="J382" i="3"/>
  <c r="J326" i="3"/>
  <c r="J160" i="3"/>
  <c r="J187" i="3"/>
  <c r="J215" i="3"/>
  <c r="J385" i="3"/>
  <c r="J120" i="3"/>
  <c r="J231" i="3"/>
  <c r="J472" i="3"/>
  <c r="J296" i="3"/>
  <c r="J291" i="3"/>
  <c r="J430" i="3"/>
  <c r="J356" i="3"/>
  <c r="J317" i="3"/>
  <c r="J449" i="3"/>
  <c r="J283" i="3"/>
  <c r="J162" i="3"/>
  <c r="J56" i="3"/>
  <c r="J299" i="3"/>
  <c r="J134" i="3"/>
  <c r="J431" i="3"/>
  <c r="J265" i="3"/>
  <c r="J96" i="3"/>
  <c r="J28" i="3"/>
  <c r="J207" i="3"/>
  <c r="J40" i="3"/>
  <c r="J173" i="3"/>
  <c r="J315" i="3"/>
  <c r="J263" i="3"/>
  <c r="J203" i="3"/>
  <c r="J409" i="3"/>
  <c r="J110" i="3"/>
  <c r="J113" i="3"/>
  <c r="J331" i="3"/>
  <c r="J174" i="3"/>
  <c r="J118" i="3"/>
  <c r="J240" i="3"/>
  <c r="J244" i="3"/>
  <c r="J400" i="3"/>
  <c r="J168" i="3"/>
  <c r="J236" i="3"/>
  <c r="J452" i="3"/>
  <c r="J345" i="3"/>
  <c r="J307" i="3"/>
  <c r="J458" i="3"/>
  <c r="J475" i="3"/>
  <c r="J332" i="3"/>
  <c r="J470" i="3"/>
  <c r="J281" i="3"/>
  <c r="J152" i="3"/>
  <c r="J49" i="3"/>
  <c r="J297" i="3"/>
  <c r="J132" i="3"/>
  <c r="J407" i="3"/>
  <c r="J252" i="3"/>
  <c r="J76" i="3"/>
  <c r="J460" i="3"/>
  <c r="J190" i="3"/>
  <c r="J38" i="3"/>
  <c r="J212" i="3"/>
  <c r="J269" i="3"/>
  <c r="J256" i="3"/>
  <c r="J413" i="3"/>
  <c r="J229" i="3"/>
  <c r="J273" i="3"/>
  <c r="J485" i="3"/>
  <c r="J137" i="3"/>
  <c r="J323" i="3"/>
  <c r="J439" i="3"/>
  <c r="J124" i="3"/>
  <c r="J378" i="3"/>
  <c r="J456" i="3"/>
  <c r="J279" i="3"/>
  <c r="J115" i="3"/>
  <c r="J33" i="3"/>
  <c r="J274" i="3"/>
  <c r="J108" i="3"/>
  <c r="J376" i="3"/>
  <c r="J227" i="3"/>
  <c r="J63" i="3"/>
  <c r="J426" i="3"/>
  <c r="J175" i="3"/>
  <c r="H501" i="2"/>
  <c r="H500" i="2" s="1"/>
  <c r="G501" i="2"/>
  <c r="G500" i="2" s="1"/>
  <c r="H499" i="2"/>
  <c r="H498" i="2" s="1"/>
  <c r="G499" i="2"/>
  <c r="G498" i="2" s="1"/>
  <c r="H496" i="2"/>
  <c r="H495" i="2" s="1"/>
  <c r="G496" i="2"/>
  <c r="G495" i="2" s="1"/>
  <c r="I495" i="2" s="1"/>
  <c r="H494" i="2"/>
  <c r="H493" i="2" s="1"/>
  <c r="G494" i="2"/>
  <c r="G493" i="2" s="1"/>
  <c r="H491" i="2"/>
  <c r="G491" i="2"/>
  <c r="G490" i="2" s="1"/>
  <c r="H490" i="2"/>
  <c r="H489" i="2"/>
  <c r="H488" i="2" s="1"/>
  <c r="G489" i="2"/>
  <c r="G488" i="2" s="1"/>
  <c r="I488" i="2" s="1"/>
  <c r="H487" i="2"/>
  <c r="H486" i="2" s="1"/>
  <c r="G487" i="2"/>
  <c r="G486" i="2" s="1"/>
  <c r="H485" i="2"/>
  <c r="H484" i="2" s="1"/>
  <c r="G485" i="2"/>
  <c r="G484" i="2" s="1"/>
  <c r="H483" i="2"/>
  <c r="H482" i="2" s="1"/>
  <c r="G483" i="2"/>
  <c r="G482" i="2" s="1"/>
  <c r="H481" i="2"/>
  <c r="H480" i="2" s="1"/>
  <c r="G481" i="2"/>
  <c r="H479" i="2"/>
  <c r="H478" i="2" s="1"/>
  <c r="G479" i="2"/>
  <c r="G478" i="2" s="1"/>
  <c r="H477" i="2"/>
  <c r="H476" i="2" s="1"/>
  <c r="G477" i="2"/>
  <c r="G476" i="2" s="1"/>
  <c r="H475" i="2"/>
  <c r="G475" i="2"/>
  <c r="G474" i="2" s="1"/>
  <c r="H474" i="2"/>
  <c r="H472" i="2"/>
  <c r="H471" i="2" s="1"/>
  <c r="G472" i="2"/>
  <c r="G471" i="2" s="1"/>
  <c r="H470" i="2"/>
  <c r="H469" i="2" s="1"/>
  <c r="G470" i="2"/>
  <c r="H468" i="2"/>
  <c r="G468" i="2"/>
  <c r="G467" i="2" s="1"/>
  <c r="H467" i="2"/>
  <c r="H466" i="2"/>
  <c r="H465" i="2" s="1"/>
  <c r="G466" i="2"/>
  <c r="G465" i="2" s="1"/>
  <c r="I465" i="2" s="1"/>
  <c r="H462" i="2"/>
  <c r="H461" i="2" s="1"/>
  <c r="G462" i="2"/>
  <c r="G461" i="2" s="1"/>
  <c r="I461" i="2" s="1"/>
  <c r="H460" i="2"/>
  <c r="G460" i="2"/>
  <c r="H459" i="2"/>
  <c r="G459" i="2"/>
  <c r="H458" i="2"/>
  <c r="G458" i="2"/>
  <c r="H456" i="2"/>
  <c r="H455" i="2" s="1"/>
  <c r="G456" i="2"/>
  <c r="H454" i="2"/>
  <c r="H453" i="2" s="1"/>
  <c r="G454" i="2"/>
  <c r="G453" i="2" s="1"/>
  <c r="H452" i="2"/>
  <c r="G452" i="2"/>
  <c r="H451" i="2"/>
  <c r="G451" i="2"/>
  <c r="H449" i="2"/>
  <c r="G449" i="2"/>
  <c r="H448" i="2"/>
  <c r="G448" i="2"/>
  <c r="G447" i="2" s="1"/>
  <c r="H445" i="2"/>
  <c r="H444" i="2" s="1"/>
  <c r="G445" i="2"/>
  <c r="G444" i="2" s="1"/>
  <c r="H443" i="2"/>
  <c r="G443" i="2"/>
  <c r="H442" i="2"/>
  <c r="G442" i="2"/>
  <c r="H441" i="2"/>
  <c r="G441" i="2"/>
  <c r="H439" i="2"/>
  <c r="H438" i="2" s="1"/>
  <c r="G439" i="2"/>
  <c r="G438" i="2" s="1"/>
  <c r="H437" i="2"/>
  <c r="H436" i="2" s="1"/>
  <c r="G437" i="2"/>
  <c r="G436" i="2" s="1"/>
  <c r="I436" i="2" s="1"/>
  <c r="H435" i="2"/>
  <c r="H434" i="2" s="1"/>
  <c r="G435" i="2"/>
  <c r="G434" i="2" s="1"/>
  <c r="H433" i="2"/>
  <c r="G433" i="2"/>
  <c r="G432" i="2" s="1"/>
  <c r="H432" i="2"/>
  <c r="H431" i="2"/>
  <c r="G431" i="2"/>
  <c r="H430" i="2"/>
  <c r="H429" i="2" s="1"/>
  <c r="G430" i="2"/>
  <c r="H428" i="2"/>
  <c r="H427" i="2" s="1"/>
  <c r="G428" i="2"/>
  <c r="G427" i="2" s="1"/>
  <c r="H426" i="2"/>
  <c r="H425" i="2" s="1"/>
  <c r="G426" i="2"/>
  <c r="G425" i="2" s="1"/>
  <c r="H423" i="2"/>
  <c r="H422" i="2" s="1"/>
  <c r="G423" i="2"/>
  <c r="H421" i="2"/>
  <c r="G421" i="2"/>
  <c r="G420" i="2" s="1"/>
  <c r="H420" i="2"/>
  <c r="H419" i="2"/>
  <c r="H418" i="2" s="1"/>
  <c r="G419" i="2"/>
  <c r="G418" i="2"/>
  <c r="H417" i="2"/>
  <c r="H416" i="2" s="1"/>
  <c r="G417" i="2"/>
  <c r="G416" i="2" s="1"/>
  <c r="H415" i="2"/>
  <c r="H414" i="2" s="1"/>
  <c r="G415" i="2"/>
  <c r="G414" i="2" s="1"/>
  <c r="I414" i="2" s="1"/>
  <c r="H413" i="2"/>
  <c r="H412" i="2" s="1"/>
  <c r="G413" i="2"/>
  <c r="G412" i="2" s="1"/>
  <c r="H411" i="2"/>
  <c r="H410" i="2" s="1"/>
  <c r="G411" i="2"/>
  <c r="G410" i="2"/>
  <c r="I410" i="2" s="1"/>
  <c r="H409" i="2"/>
  <c r="G409" i="2"/>
  <c r="G408" i="2" s="1"/>
  <c r="H408" i="2"/>
  <c r="H407" i="2"/>
  <c r="H406" i="2" s="1"/>
  <c r="G407" i="2"/>
  <c r="H404" i="2"/>
  <c r="H403" i="2" s="1"/>
  <c r="G404" i="2"/>
  <c r="G403" i="2"/>
  <c r="H402" i="2"/>
  <c r="H401" i="2" s="1"/>
  <c r="H400" i="2" s="1"/>
  <c r="G402" i="2"/>
  <c r="G401" i="2" s="1"/>
  <c r="H399" i="2"/>
  <c r="H398" i="2" s="1"/>
  <c r="G399" i="2"/>
  <c r="G398" i="2" s="1"/>
  <c r="I398" i="2" s="1"/>
  <c r="H397" i="2"/>
  <c r="H396" i="2" s="1"/>
  <c r="G397" i="2"/>
  <c r="G396" i="2" s="1"/>
  <c r="H395" i="2"/>
  <c r="H394" i="2" s="1"/>
  <c r="G395" i="2"/>
  <c r="G394" i="2" s="1"/>
  <c r="H393" i="2"/>
  <c r="H392" i="2" s="1"/>
  <c r="G393" i="2"/>
  <c r="G392" i="2" s="1"/>
  <c r="H391" i="2"/>
  <c r="H390" i="2" s="1"/>
  <c r="G391" i="2"/>
  <c r="G390" i="2"/>
  <c r="I390" i="2" s="1"/>
  <c r="H389" i="2"/>
  <c r="H388" i="2" s="1"/>
  <c r="G389" i="2"/>
  <c r="G388" i="2" s="1"/>
  <c r="H387" i="2"/>
  <c r="H386" i="2" s="1"/>
  <c r="G387" i="2"/>
  <c r="H385" i="2"/>
  <c r="H384" i="2" s="1"/>
  <c r="G385" i="2"/>
  <c r="G384" i="2" s="1"/>
  <c r="H382" i="2"/>
  <c r="G382" i="2"/>
  <c r="G381" i="2" s="1"/>
  <c r="H381" i="2"/>
  <c r="H380" i="2"/>
  <c r="H379" i="2" s="1"/>
  <c r="G380" i="2"/>
  <c r="G379" i="2" s="1"/>
  <c r="I379" i="2" s="1"/>
  <c r="H378" i="2"/>
  <c r="H377" i="2" s="1"/>
  <c r="G378" i="2"/>
  <c r="G377" i="2" s="1"/>
  <c r="H376" i="2"/>
  <c r="H375" i="2" s="1"/>
  <c r="G376" i="2"/>
  <c r="H374" i="2"/>
  <c r="H373" i="2" s="1"/>
  <c r="G374" i="2"/>
  <c r="G373" i="2" s="1"/>
  <c r="H372" i="2"/>
  <c r="H371" i="2" s="1"/>
  <c r="G372" i="2"/>
  <c r="G371" i="2" s="1"/>
  <c r="H370" i="2"/>
  <c r="H369" i="2" s="1"/>
  <c r="G370" i="2"/>
  <c r="G369" i="2" s="1"/>
  <c r="H368" i="2"/>
  <c r="H367" i="2" s="1"/>
  <c r="G368" i="2"/>
  <c r="G367" i="2" s="1"/>
  <c r="H365" i="2"/>
  <c r="H364" i="2" s="1"/>
  <c r="G365" i="2"/>
  <c r="H363" i="2"/>
  <c r="H362" i="2" s="1"/>
  <c r="G363" i="2"/>
  <c r="G362" i="2" s="1"/>
  <c r="H361" i="2"/>
  <c r="H360" i="2" s="1"/>
  <c r="G361" i="2"/>
  <c r="G360" i="2"/>
  <c r="H359" i="2"/>
  <c r="G359" i="2"/>
  <c r="G358" i="2" s="1"/>
  <c r="H358" i="2"/>
  <c r="H356" i="2"/>
  <c r="H355" i="2" s="1"/>
  <c r="G356" i="2"/>
  <c r="G355" i="2" s="1"/>
  <c r="H354" i="2"/>
  <c r="H353" i="2" s="1"/>
  <c r="G354" i="2"/>
  <c r="H352" i="2"/>
  <c r="H351" i="2" s="1"/>
  <c r="G352" i="2"/>
  <c r="G351" i="2" s="1"/>
  <c r="H350" i="2"/>
  <c r="H349" i="2" s="1"/>
  <c r="G350" i="2"/>
  <c r="G349" i="2" s="1"/>
  <c r="I349" i="2" s="1"/>
  <c r="H347" i="2"/>
  <c r="H346" i="2" s="1"/>
  <c r="G347" i="2"/>
  <c r="G346" i="2" s="1"/>
  <c r="I346" i="2" s="1"/>
  <c r="H345" i="2"/>
  <c r="G345" i="2"/>
  <c r="G344" i="2" s="1"/>
  <c r="H344" i="2"/>
  <c r="H343" i="2"/>
  <c r="H342" i="2" s="1"/>
  <c r="G343" i="2"/>
  <c r="G342" i="2" s="1"/>
  <c r="H341" i="2"/>
  <c r="H340" i="2" s="1"/>
  <c r="G341" i="2"/>
  <c r="G340" i="2" s="1"/>
  <c r="H339" i="2"/>
  <c r="H338" i="2" s="1"/>
  <c r="G339" i="2"/>
  <c r="G338" i="2" s="1"/>
  <c r="H335" i="2"/>
  <c r="G335" i="2"/>
  <c r="H334" i="2"/>
  <c r="G334" i="2"/>
  <c r="H333" i="2"/>
  <c r="G333" i="2"/>
  <c r="H332" i="2"/>
  <c r="H330" i="2" s="1"/>
  <c r="G332" i="2"/>
  <c r="H331" i="2"/>
  <c r="G331" i="2"/>
  <c r="I331" i="2" s="1"/>
  <c r="H329" i="2"/>
  <c r="G329" i="2"/>
  <c r="H328" i="2"/>
  <c r="H327" i="2" s="1"/>
  <c r="G328" i="2"/>
  <c r="H326" i="2"/>
  <c r="G326" i="2"/>
  <c r="H325" i="2"/>
  <c r="G325" i="2"/>
  <c r="H323" i="2"/>
  <c r="H322" i="2" s="1"/>
  <c r="G323" i="2"/>
  <c r="G322" i="2" s="1"/>
  <c r="H321" i="2"/>
  <c r="H320" i="2" s="1"/>
  <c r="G321" i="2"/>
  <c r="G320" i="2" s="1"/>
  <c r="H319" i="2"/>
  <c r="H318" i="2" s="1"/>
  <c r="G319" i="2"/>
  <c r="H317" i="2"/>
  <c r="G317" i="2"/>
  <c r="G316" i="2" s="1"/>
  <c r="H316" i="2"/>
  <c r="H315" i="2"/>
  <c r="H314" i="2" s="1"/>
  <c r="G315" i="2"/>
  <c r="G314" i="2" s="1"/>
  <c r="I314" i="2" s="1"/>
  <c r="H313" i="2"/>
  <c r="H312" i="2" s="1"/>
  <c r="G313" i="2"/>
  <c r="G312" i="2" s="1"/>
  <c r="H311" i="2"/>
  <c r="G311" i="2"/>
  <c r="H310" i="2"/>
  <c r="H309" i="2" s="1"/>
  <c r="G310" i="2"/>
  <c r="H307" i="2"/>
  <c r="H306" i="2" s="1"/>
  <c r="G307" i="2"/>
  <c r="G306" i="2"/>
  <c r="I306" i="2" s="1"/>
  <c r="H305" i="2"/>
  <c r="H304" i="2" s="1"/>
  <c r="G305" i="2"/>
  <c r="G304" i="2" s="1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4" i="2"/>
  <c r="G294" i="2"/>
  <c r="I294" i="2" s="1"/>
  <c r="H293" i="2"/>
  <c r="G293" i="2"/>
  <c r="H292" i="2"/>
  <c r="G292" i="2"/>
  <c r="I292" i="2" s="1"/>
  <c r="H291" i="2"/>
  <c r="G291" i="2"/>
  <c r="H290" i="2"/>
  <c r="G290" i="2"/>
  <c r="I290" i="2" s="1"/>
  <c r="H289" i="2"/>
  <c r="G289" i="2"/>
  <c r="H288" i="2"/>
  <c r="G288" i="2"/>
  <c r="I288" i="2" s="1"/>
  <c r="H285" i="2"/>
  <c r="H284" i="2" s="1"/>
  <c r="G285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I278" i="2" s="1"/>
  <c r="H277" i="2"/>
  <c r="G277" i="2"/>
  <c r="H275" i="2"/>
  <c r="G275" i="2"/>
  <c r="H274" i="2"/>
  <c r="G274" i="2"/>
  <c r="H273" i="2"/>
  <c r="G273" i="2"/>
  <c r="H271" i="2"/>
  <c r="H268" i="2" s="1"/>
  <c r="G271" i="2"/>
  <c r="H270" i="2"/>
  <c r="G270" i="2"/>
  <c r="H269" i="2"/>
  <c r="G269" i="2"/>
  <c r="H267" i="2"/>
  <c r="G267" i="2"/>
  <c r="H266" i="2"/>
  <c r="G266" i="2"/>
  <c r="H265" i="2"/>
  <c r="G265" i="2"/>
  <c r="I265" i="2" s="1"/>
  <c r="H264" i="2"/>
  <c r="G264" i="2"/>
  <c r="H263" i="2"/>
  <c r="G263" i="2"/>
  <c r="H260" i="2"/>
  <c r="H259" i="2" s="1"/>
  <c r="G260" i="2"/>
  <c r="G259" i="2" s="1"/>
  <c r="I259" i="2" s="1"/>
  <c r="H258" i="2"/>
  <c r="G258" i="2"/>
  <c r="G257" i="2" s="1"/>
  <c r="H257" i="2"/>
  <c r="H256" i="2"/>
  <c r="H255" i="2" s="1"/>
  <c r="G256" i="2"/>
  <c r="G255" i="2"/>
  <c r="H254" i="2"/>
  <c r="H253" i="2" s="1"/>
  <c r="G254" i="2"/>
  <c r="G253" i="2" s="1"/>
  <c r="H252" i="2"/>
  <c r="H251" i="2" s="1"/>
  <c r="G252" i="2"/>
  <c r="H249" i="2"/>
  <c r="H248" i="2" s="1"/>
  <c r="G249" i="2"/>
  <c r="G248" i="2" s="1"/>
  <c r="H247" i="2"/>
  <c r="H246" i="2" s="1"/>
  <c r="G247" i="2"/>
  <c r="G246" i="2" s="1"/>
  <c r="H244" i="2"/>
  <c r="H243" i="2" s="1"/>
  <c r="G244" i="2"/>
  <c r="G243" i="2" s="1"/>
  <c r="H242" i="2"/>
  <c r="H241" i="2" s="1"/>
  <c r="G242" i="2"/>
  <c r="G241" i="2"/>
  <c r="H240" i="2"/>
  <c r="G240" i="2"/>
  <c r="G239" i="2" s="1"/>
  <c r="H239" i="2"/>
  <c r="H238" i="2"/>
  <c r="H237" i="2" s="1"/>
  <c r="G238" i="2"/>
  <c r="I238" i="2" s="1"/>
  <c r="H236" i="2"/>
  <c r="H235" i="2" s="1"/>
  <c r="G236" i="2"/>
  <c r="G235" i="2" s="1"/>
  <c r="H234" i="2"/>
  <c r="H233" i="2" s="1"/>
  <c r="G234" i="2"/>
  <c r="G233" i="2" s="1"/>
  <c r="I233" i="2" s="1"/>
  <c r="H231" i="2"/>
  <c r="H230" i="2" s="1"/>
  <c r="G231" i="2"/>
  <c r="G230" i="2" s="1"/>
  <c r="I230" i="2" s="1"/>
  <c r="H229" i="2"/>
  <c r="H228" i="2" s="1"/>
  <c r="G229" i="2"/>
  <c r="G228" i="2" s="1"/>
  <c r="H227" i="2"/>
  <c r="H226" i="2" s="1"/>
  <c r="G227" i="2"/>
  <c r="I227" i="2" s="1"/>
  <c r="H224" i="2"/>
  <c r="H223" i="2" s="1"/>
  <c r="G224" i="2"/>
  <c r="G223" i="2" s="1"/>
  <c r="H222" i="2"/>
  <c r="G222" i="2"/>
  <c r="H221" i="2"/>
  <c r="G221" i="2"/>
  <c r="I221" i="2" s="1"/>
  <c r="H220" i="2"/>
  <c r="G220" i="2"/>
  <c r="H218" i="2"/>
  <c r="H217" i="2" s="1"/>
  <c r="G218" i="2"/>
  <c r="G217" i="2" s="1"/>
  <c r="H216" i="2"/>
  <c r="G216" i="2"/>
  <c r="H215" i="2"/>
  <c r="G215" i="2"/>
  <c r="H211" i="2"/>
  <c r="G211" i="2"/>
  <c r="H210" i="2"/>
  <c r="G210" i="2"/>
  <c r="H207" i="2"/>
  <c r="G207" i="2"/>
  <c r="H206" i="2"/>
  <c r="G206" i="2"/>
  <c r="H205" i="2"/>
  <c r="G205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6" i="2"/>
  <c r="G196" i="2"/>
  <c r="H195" i="2"/>
  <c r="G195" i="2"/>
  <c r="H194" i="2"/>
  <c r="G194" i="2"/>
  <c r="H193" i="2"/>
  <c r="G193" i="2"/>
  <c r="H191" i="2"/>
  <c r="G191" i="2"/>
  <c r="G188" i="2" s="1"/>
  <c r="H190" i="2"/>
  <c r="G190" i="2"/>
  <c r="H189" i="2"/>
  <c r="G189" i="2"/>
  <c r="H187" i="2"/>
  <c r="H186" i="2" s="1"/>
  <c r="G187" i="2"/>
  <c r="G186" i="2" s="1"/>
  <c r="H185" i="2"/>
  <c r="H184" i="2" s="1"/>
  <c r="G185" i="2"/>
  <c r="H183" i="2"/>
  <c r="H182" i="2" s="1"/>
  <c r="G183" i="2"/>
  <c r="G182" i="2" s="1"/>
  <c r="H181" i="2"/>
  <c r="H180" i="2" s="1"/>
  <c r="G181" i="2"/>
  <c r="G180" i="2" s="1"/>
  <c r="I180" i="2" s="1"/>
  <c r="H178" i="2"/>
  <c r="H177" i="2" s="1"/>
  <c r="G178" i="2"/>
  <c r="G177" i="2"/>
  <c r="I177" i="2" s="1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H167" i="2" s="1"/>
  <c r="G168" i="2"/>
  <c r="H166" i="2"/>
  <c r="G166" i="2"/>
  <c r="I166" i="2" s="1"/>
  <c r="H165" i="2"/>
  <c r="G165" i="2"/>
  <c r="H164" i="2"/>
  <c r="G164" i="2"/>
  <c r="H163" i="2"/>
  <c r="G163" i="2"/>
  <c r="H162" i="2"/>
  <c r="G162" i="2"/>
  <c r="I162" i="2" s="1"/>
  <c r="H161" i="2"/>
  <c r="G161" i="2"/>
  <c r="H160" i="2"/>
  <c r="G160" i="2"/>
  <c r="I160" i="2" s="1"/>
  <c r="H159" i="2"/>
  <c r="G159" i="2"/>
  <c r="H156" i="2"/>
  <c r="H155" i="2" s="1"/>
  <c r="G156" i="2"/>
  <c r="G155" i="2" s="1"/>
  <c r="I155" i="2" s="1"/>
  <c r="H154" i="2"/>
  <c r="H153" i="2" s="1"/>
  <c r="G154" i="2"/>
  <c r="G153" i="2" s="1"/>
  <c r="H152" i="2"/>
  <c r="H151" i="2" s="1"/>
  <c r="G152" i="2"/>
  <c r="I152" i="2" s="1"/>
  <c r="H150" i="2"/>
  <c r="H149" i="2" s="1"/>
  <c r="G150" i="2"/>
  <c r="G149" i="2" s="1"/>
  <c r="H147" i="2"/>
  <c r="H146" i="2" s="1"/>
  <c r="G147" i="2"/>
  <c r="G146" i="2" s="1"/>
  <c r="H145" i="2"/>
  <c r="H144" i="2" s="1"/>
  <c r="G145" i="2"/>
  <c r="G144" i="2" s="1"/>
  <c r="H143" i="2"/>
  <c r="H142" i="2" s="1"/>
  <c r="G143" i="2"/>
  <c r="G142" i="2" s="1"/>
  <c r="H141" i="2"/>
  <c r="H140" i="2" s="1"/>
  <c r="G141" i="2"/>
  <c r="G140" i="2"/>
  <c r="H139" i="2"/>
  <c r="H138" i="2" s="1"/>
  <c r="G139" i="2"/>
  <c r="G138" i="2" s="1"/>
  <c r="H137" i="2"/>
  <c r="H136" i="2" s="1"/>
  <c r="G137" i="2"/>
  <c r="G136" i="2" s="1"/>
  <c r="I136" i="2" s="1"/>
  <c r="H135" i="2"/>
  <c r="G135" i="2"/>
  <c r="H134" i="2"/>
  <c r="G134" i="2"/>
  <c r="H133" i="2"/>
  <c r="G133" i="2"/>
  <c r="H132" i="2"/>
  <c r="G132" i="2"/>
  <c r="H131" i="2"/>
  <c r="G131" i="2"/>
  <c r="H129" i="2"/>
  <c r="H128" i="2" s="1"/>
  <c r="G129" i="2"/>
  <c r="I129" i="2" s="1"/>
  <c r="H127" i="2"/>
  <c r="H126" i="2" s="1"/>
  <c r="G127" i="2"/>
  <c r="G126" i="2" s="1"/>
  <c r="H124" i="2"/>
  <c r="H123" i="2" s="1"/>
  <c r="G124" i="2"/>
  <c r="G123" i="2" s="1"/>
  <c r="H122" i="2"/>
  <c r="H121" i="2" s="1"/>
  <c r="G122" i="2"/>
  <c r="G121" i="2"/>
  <c r="H120" i="2"/>
  <c r="H119" i="2" s="1"/>
  <c r="G120" i="2"/>
  <c r="G119" i="2" s="1"/>
  <c r="H118" i="2"/>
  <c r="H117" i="2" s="1"/>
  <c r="G118" i="2"/>
  <c r="G117" i="2" s="1"/>
  <c r="G116" i="2" s="1"/>
  <c r="H115" i="2"/>
  <c r="H114" i="2" s="1"/>
  <c r="G115" i="2"/>
  <c r="H113" i="2"/>
  <c r="G113" i="2"/>
  <c r="G112" i="2" s="1"/>
  <c r="H112" i="2"/>
  <c r="H110" i="2"/>
  <c r="H109" i="2" s="1"/>
  <c r="G110" i="2"/>
  <c r="G109" i="2" s="1"/>
  <c r="H108" i="2"/>
  <c r="H107" i="2" s="1"/>
  <c r="G108" i="2"/>
  <c r="G107" i="2" s="1"/>
  <c r="G106" i="2" s="1"/>
  <c r="H105" i="2"/>
  <c r="H104" i="2" s="1"/>
  <c r="G105" i="2"/>
  <c r="I105" i="2" s="1"/>
  <c r="H103" i="2"/>
  <c r="H102" i="2" s="1"/>
  <c r="G103" i="2"/>
  <c r="G102" i="2" s="1"/>
  <c r="H101" i="2"/>
  <c r="G101" i="2"/>
  <c r="H100" i="2"/>
  <c r="G100" i="2"/>
  <c r="H98" i="2"/>
  <c r="H97" i="2" s="1"/>
  <c r="G98" i="2"/>
  <c r="G97" i="2" s="1"/>
  <c r="H96" i="2"/>
  <c r="H95" i="2" s="1"/>
  <c r="G96" i="2"/>
  <c r="H94" i="2"/>
  <c r="G94" i="2"/>
  <c r="G93" i="2" s="1"/>
  <c r="H93" i="2"/>
  <c r="H92" i="2"/>
  <c r="H91" i="2" s="1"/>
  <c r="G92" i="2"/>
  <c r="I92" i="2" s="1"/>
  <c r="H90" i="2"/>
  <c r="G90" i="2"/>
  <c r="G89" i="2" s="1"/>
  <c r="H89" i="2"/>
  <c r="H86" i="2"/>
  <c r="H85" i="2" s="1"/>
  <c r="G86" i="2"/>
  <c r="G85" i="2" s="1"/>
  <c r="H84" i="2"/>
  <c r="H83" i="2" s="1"/>
  <c r="G84" i="2"/>
  <c r="G83" i="2" s="1"/>
  <c r="H82" i="2"/>
  <c r="G82" i="2"/>
  <c r="G81" i="2" s="1"/>
  <c r="H81" i="2"/>
  <c r="H80" i="2"/>
  <c r="H79" i="2" s="1"/>
  <c r="G80" i="2"/>
  <c r="G79" i="2" s="1"/>
  <c r="H77" i="2"/>
  <c r="G77" i="2"/>
  <c r="H76" i="2"/>
  <c r="G76" i="2"/>
  <c r="H75" i="2"/>
  <c r="G75" i="2"/>
  <c r="I75" i="2" s="1"/>
  <c r="H73" i="2"/>
  <c r="H72" i="2" s="1"/>
  <c r="G73" i="2"/>
  <c r="G72" i="2" s="1"/>
  <c r="H70" i="2"/>
  <c r="G70" i="2"/>
  <c r="I70" i="2" s="1"/>
  <c r="H69" i="2"/>
  <c r="H68" i="2" s="1"/>
  <c r="G69" i="2"/>
  <c r="H67" i="2"/>
  <c r="G67" i="2"/>
  <c r="G65" i="2" s="1"/>
  <c r="H66" i="2"/>
  <c r="G66" i="2"/>
  <c r="H63" i="2"/>
  <c r="G63" i="2"/>
  <c r="H62" i="2"/>
  <c r="G62" i="2"/>
  <c r="I62" i="2" s="1"/>
  <c r="H61" i="2"/>
  <c r="G61" i="2"/>
  <c r="I61" i="2" s="1"/>
  <c r="H60" i="2"/>
  <c r="G60" i="2"/>
  <c r="H59" i="2"/>
  <c r="G59" i="2"/>
  <c r="H58" i="2"/>
  <c r="G58" i="2"/>
  <c r="I58" i="2" s="1"/>
  <c r="H57" i="2"/>
  <c r="G57" i="2"/>
  <c r="H56" i="2"/>
  <c r="G56" i="2"/>
  <c r="I56" i="2" s="1"/>
  <c r="H55" i="2"/>
  <c r="G55" i="2"/>
  <c r="I55" i="2" s="1"/>
  <c r="H53" i="2"/>
  <c r="H52" i="2" s="1"/>
  <c r="G53" i="2"/>
  <c r="G52" i="2" s="1"/>
  <c r="H50" i="2"/>
  <c r="H46" i="2" s="1"/>
  <c r="G50" i="2"/>
  <c r="H49" i="2"/>
  <c r="G49" i="2"/>
  <c r="H48" i="2"/>
  <c r="G48" i="2"/>
  <c r="H47" i="2"/>
  <c r="G47" i="2"/>
  <c r="H45" i="2"/>
  <c r="H44" i="2" s="1"/>
  <c r="G45" i="2"/>
  <c r="G44" i="2" s="1"/>
  <c r="I44" i="2" s="1"/>
  <c r="H43" i="2"/>
  <c r="H42" i="2" s="1"/>
  <c r="G43" i="2"/>
  <c r="G42" i="2" s="1"/>
  <c r="H41" i="2"/>
  <c r="G41" i="2"/>
  <c r="H40" i="2"/>
  <c r="G40" i="2"/>
  <c r="H39" i="2"/>
  <c r="G39" i="2"/>
  <c r="H38" i="2"/>
  <c r="G38" i="2"/>
  <c r="H37" i="2"/>
  <c r="G37" i="2"/>
  <c r="H36" i="2"/>
  <c r="G36" i="2"/>
  <c r="H34" i="2"/>
  <c r="G34" i="2"/>
  <c r="H33" i="2"/>
  <c r="G33" i="2"/>
  <c r="I33" i="2" s="1"/>
  <c r="H32" i="2"/>
  <c r="G32" i="2"/>
  <c r="H31" i="2"/>
  <c r="G31" i="2"/>
  <c r="I31" i="2" s="1"/>
  <c r="H30" i="2"/>
  <c r="G30" i="2"/>
  <c r="H29" i="2"/>
  <c r="G29" i="2"/>
  <c r="I29" i="2" s="1"/>
  <c r="G16" i="2"/>
  <c r="G15" i="2"/>
  <c r="I14" i="2"/>
  <c r="I223" i="2" l="1"/>
  <c r="I281" i="2"/>
  <c r="H295" i="2"/>
  <c r="I295" i="2" s="1"/>
  <c r="I333" i="2"/>
  <c r="I431" i="2"/>
  <c r="I451" i="2"/>
  <c r="I326" i="2"/>
  <c r="G440" i="2"/>
  <c r="I484" i="2"/>
  <c r="G35" i="2"/>
  <c r="I35" i="2" s="1"/>
  <c r="H214" i="2"/>
  <c r="H324" i="2"/>
  <c r="H308" i="2" s="1"/>
  <c r="I335" i="2"/>
  <c r="I263" i="2"/>
  <c r="I360" i="2"/>
  <c r="I241" i="2"/>
  <c r="I284" i="2"/>
  <c r="I319" i="2"/>
  <c r="I329" i="2"/>
  <c r="I57" i="2"/>
  <c r="I63" i="2"/>
  <c r="I83" i="2"/>
  <c r="I96" i="2"/>
  <c r="H204" i="2"/>
  <c r="H219" i="2"/>
  <c r="I394" i="2"/>
  <c r="H209" i="2"/>
  <c r="H208" i="2" s="1"/>
  <c r="I255" i="2"/>
  <c r="I418" i="2"/>
  <c r="H447" i="2"/>
  <c r="I76" i="2"/>
  <c r="I195" i="2"/>
  <c r="I211" i="2"/>
  <c r="I322" i="2"/>
  <c r="I342" i="2"/>
  <c r="I354" i="2"/>
  <c r="I365" i="2"/>
  <c r="G429" i="2"/>
  <c r="I429" i="2" s="1"/>
  <c r="I481" i="2"/>
  <c r="H28" i="2"/>
  <c r="G46" i="2"/>
  <c r="I46" i="2" s="1"/>
  <c r="I144" i="2"/>
  <c r="I201" i="2"/>
  <c r="G268" i="2"/>
  <c r="I268" i="2" s="1"/>
  <c r="I283" i="2"/>
  <c r="H192" i="2"/>
  <c r="H276" i="2"/>
  <c r="I427" i="2"/>
  <c r="G337" i="2"/>
  <c r="I371" i="2"/>
  <c r="I456" i="2"/>
  <c r="G497" i="2"/>
  <c r="I49" i="2"/>
  <c r="H130" i="2"/>
  <c r="H125" i="2" s="1"/>
  <c r="I203" i="2"/>
  <c r="G309" i="2"/>
  <c r="I309" i="2" s="1"/>
  <c r="I476" i="2"/>
  <c r="J25" i="3"/>
  <c r="H65" i="2"/>
  <c r="I65" i="2" s="1"/>
  <c r="I121" i="2"/>
  <c r="I140" i="2"/>
  <c r="G272" i="2"/>
  <c r="I272" i="2" s="1"/>
  <c r="I403" i="2"/>
  <c r="I30" i="2"/>
  <c r="G295" i="2"/>
  <c r="G68" i="2"/>
  <c r="G64" i="2" s="1"/>
  <c r="I101" i="2"/>
  <c r="I217" i="2"/>
  <c r="H457" i="2"/>
  <c r="I116" i="2"/>
  <c r="I248" i="2"/>
  <c r="G245" i="2"/>
  <c r="H54" i="2"/>
  <c r="I142" i="2"/>
  <c r="I100" i="2"/>
  <c r="I119" i="2"/>
  <c r="G209" i="2"/>
  <c r="I282" i="2"/>
  <c r="G327" i="2"/>
  <c r="I327" i="2" s="1"/>
  <c r="I444" i="2"/>
  <c r="G28" i="2"/>
  <c r="I34" i="2"/>
  <c r="I48" i="2"/>
  <c r="H78" i="2"/>
  <c r="H99" i="2"/>
  <c r="H88" i="2" s="1"/>
  <c r="I109" i="2"/>
  <c r="G167" i="2"/>
  <c r="I167" i="2" s="1"/>
  <c r="H188" i="2"/>
  <c r="I188" i="2" s="1"/>
  <c r="I196" i="2"/>
  <c r="I304" i="2"/>
  <c r="I396" i="2"/>
  <c r="I407" i="2"/>
  <c r="I423" i="2"/>
  <c r="H106" i="2"/>
  <c r="I106" i="2" s="1"/>
  <c r="I312" i="2"/>
  <c r="G130" i="2"/>
  <c r="G197" i="2"/>
  <c r="I344" i="2"/>
  <c r="I490" i="2"/>
  <c r="H497" i="2"/>
  <c r="H213" i="2"/>
  <c r="H232" i="2"/>
  <c r="H35" i="2"/>
  <c r="H27" i="2" s="1"/>
  <c r="I50" i="2"/>
  <c r="I185" i="2"/>
  <c r="H197" i="2"/>
  <c r="G204" i="2"/>
  <c r="I204" i="2" s="1"/>
  <c r="G330" i="2"/>
  <c r="I330" i="2" s="1"/>
  <c r="I416" i="2"/>
  <c r="H348" i="2"/>
  <c r="I81" i="2"/>
  <c r="I59" i="2"/>
  <c r="H74" i="2"/>
  <c r="H71" i="2" s="1"/>
  <c r="I115" i="2"/>
  <c r="I164" i="2"/>
  <c r="I199" i="2"/>
  <c r="I222" i="2"/>
  <c r="I279" i="2"/>
  <c r="I376" i="2"/>
  <c r="H383" i="2"/>
  <c r="H464" i="2"/>
  <c r="H116" i="2"/>
  <c r="I369" i="2"/>
  <c r="G78" i="2"/>
  <c r="H148" i="2"/>
  <c r="G158" i="2"/>
  <c r="I158" i="2" s="1"/>
  <c r="I60" i="2"/>
  <c r="I267" i="2"/>
  <c r="H272" i="2"/>
  <c r="I280" i="2"/>
  <c r="I68" i="2"/>
  <c r="I17" i="2"/>
  <c r="I32" i="2"/>
  <c r="I77" i="2"/>
  <c r="I85" i="2"/>
  <c r="H158" i="2"/>
  <c r="H157" i="2" s="1"/>
  <c r="I194" i="2"/>
  <c r="I252" i="2"/>
  <c r="I387" i="2"/>
  <c r="I470" i="2"/>
  <c r="H225" i="2"/>
  <c r="I245" i="2"/>
  <c r="H250" i="2"/>
  <c r="I36" i="2"/>
  <c r="I37" i="2"/>
  <c r="I38" i="2"/>
  <c r="I39" i="2"/>
  <c r="I40" i="2"/>
  <c r="I41" i="2"/>
  <c r="I45" i="2"/>
  <c r="G54" i="2"/>
  <c r="I66" i="2"/>
  <c r="I67" i="2"/>
  <c r="G74" i="2"/>
  <c r="G71" i="2" s="1"/>
  <c r="I80" i="2"/>
  <c r="I84" i="2"/>
  <c r="G91" i="2"/>
  <c r="I91" i="2" s="1"/>
  <c r="I93" i="2"/>
  <c r="G95" i="2"/>
  <c r="I95" i="2" s="1"/>
  <c r="I97" i="2"/>
  <c r="G99" i="2"/>
  <c r="I102" i="2"/>
  <c r="G104" i="2"/>
  <c r="I104" i="2" s="1"/>
  <c r="I108" i="2"/>
  <c r="G114" i="2"/>
  <c r="I114" i="2" s="1"/>
  <c r="I118" i="2"/>
  <c r="G128" i="2"/>
  <c r="I132" i="2"/>
  <c r="I133" i="2"/>
  <c r="I134" i="2"/>
  <c r="I135" i="2"/>
  <c r="I141" i="2"/>
  <c r="G151" i="2"/>
  <c r="I153" i="2"/>
  <c r="I169" i="2"/>
  <c r="I170" i="2"/>
  <c r="I171" i="2"/>
  <c r="I172" i="2"/>
  <c r="I173" i="2"/>
  <c r="I174" i="2"/>
  <c r="I175" i="2"/>
  <c r="I176" i="2"/>
  <c r="G184" i="2"/>
  <c r="I184" i="2" s="1"/>
  <c r="I186" i="2"/>
  <c r="I190" i="2"/>
  <c r="I206" i="2"/>
  <c r="I207" i="2"/>
  <c r="I216" i="2"/>
  <c r="I224" i="2"/>
  <c r="G226" i="2"/>
  <c r="G225" i="2" s="1"/>
  <c r="I225" i="2" s="1"/>
  <c r="I228" i="2"/>
  <c r="G237" i="2"/>
  <c r="I237" i="2" s="1"/>
  <c r="I239" i="2"/>
  <c r="H245" i="2"/>
  <c r="I249" i="2"/>
  <c r="G251" i="2"/>
  <c r="G250" i="2" s="1"/>
  <c r="I253" i="2"/>
  <c r="I260" i="2"/>
  <c r="G262" i="2"/>
  <c r="I270" i="2"/>
  <c r="I271" i="2"/>
  <c r="I274" i="2"/>
  <c r="I285" i="2"/>
  <c r="G287" i="2"/>
  <c r="G286" i="2" s="1"/>
  <c r="I297" i="2"/>
  <c r="I298" i="2"/>
  <c r="I299" i="2"/>
  <c r="I300" i="2"/>
  <c r="I301" i="2"/>
  <c r="I302" i="2"/>
  <c r="I311" i="2"/>
  <c r="G318" i="2"/>
  <c r="I318" i="2" s="1"/>
  <c r="I320" i="2"/>
  <c r="H337" i="2"/>
  <c r="I343" i="2"/>
  <c r="G353" i="2"/>
  <c r="I353" i="2" s="1"/>
  <c r="I355" i="2"/>
  <c r="G364" i="2"/>
  <c r="I364" i="2" s="1"/>
  <c r="I368" i="2"/>
  <c r="H366" i="2"/>
  <c r="G375" i="2"/>
  <c r="I375" i="2" s="1"/>
  <c r="I377" i="2"/>
  <c r="G386" i="2"/>
  <c r="I386" i="2" s="1"/>
  <c r="I388" i="2"/>
  <c r="I395" i="2"/>
  <c r="I404" i="2"/>
  <c r="G406" i="2"/>
  <c r="I406" i="2" s="1"/>
  <c r="I408" i="2"/>
  <c r="I415" i="2"/>
  <c r="G422" i="2"/>
  <c r="I422" i="2" s="1"/>
  <c r="I426" i="2"/>
  <c r="I432" i="2"/>
  <c r="I434" i="2"/>
  <c r="I435" i="2"/>
  <c r="I441" i="2"/>
  <c r="I443" i="2"/>
  <c r="I449" i="2"/>
  <c r="G450" i="2"/>
  <c r="G455" i="2"/>
  <c r="I455" i="2" s="1"/>
  <c r="I459" i="2"/>
  <c r="I460" i="2"/>
  <c r="G469" i="2"/>
  <c r="I469" i="2" s="1"/>
  <c r="I471" i="2"/>
  <c r="G480" i="2"/>
  <c r="I480" i="2" s="1"/>
  <c r="I482" i="2"/>
  <c r="I489" i="2"/>
  <c r="I498" i="2"/>
  <c r="I52" i="2"/>
  <c r="I72" i="2"/>
  <c r="I89" i="2"/>
  <c r="I112" i="2"/>
  <c r="G111" i="2"/>
  <c r="I42" i="2"/>
  <c r="H51" i="2"/>
  <c r="H111" i="2"/>
  <c r="I43" i="2"/>
  <c r="I47" i="2"/>
  <c r="I53" i="2"/>
  <c r="I69" i="2"/>
  <c r="I73" i="2"/>
  <c r="I79" i="2"/>
  <c r="I82" i="2"/>
  <c r="I86" i="2"/>
  <c r="I90" i="2"/>
  <c r="I94" i="2"/>
  <c r="I98" i="2"/>
  <c r="I103" i="2"/>
  <c r="I107" i="2"/>
  <c r="I110" i="2"/>
  <c r="I113" i="2"/>
  <c r="I117" i="2"/>
  <c r="I120" i="2"/>
  <c r="I131" i="2"/>
  <c r="I143" i="2"/>
  <c r="I154" i="2"/>
  <c r="I168" i="2"/>
  <c r="I187" i="2"/>
  <c r="I205" i="2"/>
  <c r="I210" i="2"/>
  <c r="I229" i="2"/>
  <c r="I240" i="2"/>
  <c r="I254" i="2"/>
  <c r="I269" i="2"/>
  <c r="I296" i="2"/>
  <c r="I305" i="2"/>
  <c r="I313" i="2"/>
  <c r="I321" i="2"/>
  <c r="I345" i="2"/>
  <c r="I356" i="2"/>
  <c r="I370" i="2"/>
  <c r="I389" i="2"/>
  <c r="I417" i="2"/>
  <c r="G424" i="2"/>
  <c r="I425" i="2"/>
  <c r="I433" i="2"/>
  <c r="I474" i="2"/>
  <c r="I475" i="2"/>
  <c r="I491" i="2"/>
  <c r="I122" i="2"/>
  <c r="I123" i="2"/>
  <c r="I124" i="2"/>
  <c r="I126" i="2"/>
  <c r="I127" i="2"/>
  <c r="I137" i="2"/>
  <c r="I138" i="2"/>
  <c r="I139" i="2"/>
  <c r="I145" i="2"/>
  <c r="I146" i="2"/>
  <c r="I147" i="2"/>
  <c r="I149" i="2"/>
  <c r="I150" i="2"/>
  <c r="I156" i="2"/>
  <c r="I159" i="2"/>
  <c r="I161" i="2"/>
  <c r="I163" i="2"/>
  <c r="I165" i="2"/>
  <c r="I178" i="2"/>
  <c r="I181" i="2"/>
  <c r="I182" i="2"/>
  <c r="I183" i="2"/>
  <c r="I189" i="2"/>
  <c r="I191" i="2"/>
  <c r="G192" i="2"/>
  <c r="I192" i="2" s="1"/>
  <c r="I193" i="2"/>
  <c r="I198" i="2"/>
  <c r="I200" i="2"/>
  <c r="I202" i="2"/>
  <c r="G208" i="2"/>
  <c r="I208" i="2" s="1"/>
  <c r="G214" i="2"/>
  <c r="I215" i="2"/>
  <c r="I218" i="2"/>
  <c r="G219" i="2"/>
  <c r="I219" i="2" s="1"/>
  <c r="I220" i="2"/>
  <c r="I231" i="2"/>
  <c r="I234" i="2"/>
  <c r="I235" i="2"/>
  <c r="I236" i="2"/>
  <c r="I242" i="2"/>
  <c r="I243" i="2"/>
  <c r="I244" i="2"/>
  <c r="I246" i="2"/>
  <c r="I247" i="2"/>
  <c r="I256" i="2"/>
  <c r="I257" i="2"/>
  <c r="I258" i="2"/>
  <c r="H262" i="2"/>
  <c r="I264" i="2"/>
  <c r="I266" i="2"/>
  <c r="I273" i="2"/>
  <c r="I275" i="2"/>
  <c r="G276" i="2"/>
  <c r="I277" i="2"/>
  <c r="H287" i="2"/>
  <c r="I289" i="2"/>
  <c r="I291" i="2"/>
  <c r="I293" i="2"/>
  <c r="G303" i="2"/>
  <c r="H303" i="2"/>
  <c r="I307" i="2"/>
  <c r="I310" i="2"/>
  <c r="I315" i="2"/>
  <c r="I316" i="2"/>
  <c r="I317" i="2"/>
  <c r="I323" i="2"/>
  <c r="G324" i="2"/>
  <c r="I325" i="2"/>
  <c r="I328" i="2"/>
  <c r="I332" i="2"/>
  <c r="I334" i="2"/>
  <c r="I338" i="2"/>
  <c r="I358" i="2"/>
  <c r="I359" i="2"/>
  <c r="I367" i="2"/>
  <c r="I378" i="2"/>
  <c r="I397" i="2"/>
  <c r="I409" i="2"/>
  <c r="H405" i="2"/>
  <c r="I428" i="2"/>
  <c r="I447" i="2"/>
  <c r="I448" i="2"/>
  <c r="I339" i="2"/>
  <c r="I340" i="2"/>
  <c r="I341" i="2"/>
  <c r="I347" i="2"/>
  <c r="G348" i="2"/>
  <c r="I348" i="2" s="1"/>
  <c r="I350" i="2"/>
  <c r="I351" i="2"/>
  <c r="I352" i="2"/>
  <c r="H357" i="2"/>
  <c r="I361" i="2"/>
  <c r="I362" i="2"/>
  <c r="I363" i="2"/>
  <c r="I372" i="2"/>
  <c r="I373" i="2"/>
  <c r="I374" i="2"/>
  <c r="I380" i="2"/>
  <c r="I381" i="2"/>
  <c r="I382" i="2"/>
  <c r="I384" i="2"/>
  <c r="I385" i="2"/>
  <c r="I391" i="2"/>
  <c r="I392" i="2"/>
  <c r="I393" i="2"/>
  <c r="I399" i="2"/>
  <c r="I401" i="2"/>
  <c r="G400" i="2"/>
  <c r="I400" i="2" s="1"/>
  <c r="I402" i="2"/>
  <c r="I411" i="2"/>
  <c r="I412" i="2"/>
  <c r="I413" i="2"/>
  <c r="I419" i="2"/>
  <c r="I420" i="2"/>
  <c r="I421" i="2"/>
  <c r="I430" i="2"/>
  <c r="I445" i="2"/>
  <c r="G457" i="2"/>
  <c r="I457" i="2" s="1"/>
  <c r="I458" i="2"/>
  <c r="I472" i="2"/>
  <c r="I483" i="2"/>
  <c r="I493" i="2"/>
  <c r="G492" i="2"/>
  <c r="I494" i="2"/>
  <c r="I437" i="2"/>
  <c r="I438" i="2"/>
  <c r="I439" i="2"/>
  <c r="H440" i="2"/>
  <c r="H424" i="2" s="1"/>
  <c r="I442" i="2"/>
  <c r="H450" i="2"/>
  <c r="I450" i="2" s="1"/>
  <c r="I452" i="2"/>
  <c r="I453" i="2"/>
  <c r="I454" i="2"/>
  <c r="I462" i="2"/>
  <c r="I466" i="2"/>
  <c r="I467" i="2"/>
  <c r="I468" i="2"/>
  <c r="H473" i="2"/>
  <c r="I477" i="2"/>
  <c r="I478" i="2"/>
  <c r="I479" i="2"/>
  <c r="I485" i="2"/>
  <c r="I486" i="2"/>
  <c r="I487" i="2"/>
  <c r="H492" i="2"/>
  <c r="I496" i="2"/>
  <c r="I499" i="2"/>
  <c r="I500" i="2"/>
  <c r="I501" i="2"/>
  <c r="G366" i="2" l="1"/>
  <c r="I209" i="2"/>
  <c r="I250" i="2"/>
  <c r="H261" i="2"/>
  <c r="I497" i="2"/>
  <c r="G473" i="2"/>
  <c r="I130" i="2"/>
  <c r="I324" i="2"/>
  <c r="H286" i="2"/>
  <c r="I286" i="2" s="1"/>
  <c r="I28" i="2"/>
  <c r="I251" i="2"/>
  <c r="G27" i="2"/>
  <c r="I27" i="2" s="1"/>
  <c r="I54" i="2"/>
  <c r="I276" i="2"/>
  <c r="H64" i="2"/>
  <c r="I64" i="2" s="1"/>
  <c r="G464" i="2"/>
  <c r="I366" i="2"/>
  <c r="G405" i="2"/>
  <c r="I337" i="2"/>
  <c r="I74" i="2"/>
  <c r="G357" i="2"/>
  <c r="I262" i="2"/>
  <c r="H179" i="2"/>
  <c r="H87" i="2" s="1"/>
  <c r="I197" i="2"/>
  <c r="G232" i="2"/>
  <c r="I232" i="2" s="1"/>
  <c r="G157" i="2"/>
  <c r="I157" i="2" s="1"/>
  <c r="G88" i="2"/>
  <c r="I88" i="2" s="1"/>
  <c r="I99" i="2"/>
  <c r="I226" i="2"/>
  <c r="I78" i="2"/>
  <c r="G51" i="2"/>
  <c r="I51" i="2" s="1"/>
  <c r="I111" i="2"/>
  <c r="I151" i="2"/>
  <c r="G148" i="2"/>
  <c r="I148" i="2" s="1"/>
  <c r="H463" i="2"/>
  <c r="H446" i="2"/>
  <c r="H336" i="2" s="1"/>
  <c r="G383" i="2"/>
  <c r="I383" i="2" s="1"/>
  <c r="I287" i="2"/>
  <c r="I128" i="2"/>
  <c r="G125" i="2"/>
  <c r="I125" i="2" s="1"/>
  <c r="I464" i="2"/>
  <c r="G463" i="2"/>
  <c r="I440" i="2"/>
  <c r="I357" i="2"/>
  <c r="G308" i="2"/>
  <c r="I308" i="2" s="1"/>
  <c r="I214" i="2"/>
  <c r="G213" i="2"/>
  <c r="G179" i="2"/>
  <c r="I424" i="2"/>
  <c r="G261" i="2"/>
  <c r="I261" i="2" s="1"/>
  <c r="I492" i="2"/>
  <c r="G446" i="2"/>
  <c r="I303" i="2"/>
  <c r="I473" i="2"/>
  <c r="I405" i="2"/>
  <c r="I71" i="2"/>
  <c r="I446" i="2" l="1"/>
  <c r="I463" i="2"/>
  <c r="H26" i="2"/>
  <c r="I179" i="2"/>
  <c r="H212" i="2"/>
  <c r="G26" i="2"/>
  <c r="G87" i="2"/>
  <c r="I87" i="2" s="1"/>
  <c r="H25" i="2"/>
  <c r="I26" i="2"/>
  <c r="G336" i="2"/>
  <c r="I336" i="2" s="1"/>
  <c r="I213" i="2"/>
  <c r="G212" i="2"/>
  <c r="I212" i="2" s="1"/>
  <c r="G25" i="2" l="1"/>
  <c r="I25" i="2" s="1"/>
  <c r="J36" i="2" l="1"/>
  <c r="J38" i="2"/>
  <c r="J40" i="2"/>
  <c r="J45" i="2"/>
  <c r="J67" i="2"/>
  <c r="J84" i="2"/>
  <c r="J118" i="2"/>
  <c r="J133" i="2"/>
  <c r="J135" i="2"/>
  <c r="J169" i="2"/>
  <c r="J171" i="2"/>
  <c r="J173" i="2"/>
  <c r="J175" i="2"/>
  <c r="J190" i="2"/>
  <c r="J207" i="2"/>
  <c r="J224" i="2"/>
  <c r="J260" i="2"/>
  <c r="J271" i="2"/>
  <c r="J285" i="2"/>
  <c r="J298" i="2"/>
  <c r="J300" i="2"/>
  <c r="J302" i="2"/>
  <c r="J368" i="2"/>
  <c r="J404" i="2"/>
  <c r="J426" i="2"/>
  <c r="J460" i="2"/>
  <c r="J28" i="2"/>
  <c r="J30" i="2"/>
  <c r="J32" i="2"/>
  <c r="J34" i="2"/>
  <c r="J48" i="2"/>
  <c r="J50" i="2"/>
  <c r="J55" i="2"/>
  <c r="J57" i="2"/>
  <c r="J59" i="2"/>
  <c r="J61" i="2"/>
  <c r="J63" i="2"/>
  <c r="J76" i="2"/>
  <c r="J96" i="2"/>
  <c r="J101" i="2"/>
  <c r="J129" i="2"/>
  <c r="J160" i="2"/>
  <c r="J164" i="2"/>
  <c r="J185" i="2"/>
  <c r="J195" i="2"/>
  <c r="J199" i="2"/>
  <c r="J203" i="2"/>
  <c r="J221" i="2"/>
  <c r="J227" i="2"/>
  <c r="J252" i="2"/>
  <c r="J265" i="2"/>
  <c r="J278" i="2"/>
  <c r="J280" i="2"/>
  <c r="J282" i="2"/>
  <c r="J288" i="2"/>
  <c r="J292" i="2"/>
  <c r="J319" i="2"/>
  <c r="J329" i="2"/>
  <c r="J333" i="2"/>
  <c r="J354" i="2"/>
  <c r="J376" i="2"/>
  <c r="J407" i="2"/>
  <c r="J431" i="2"/>
  <c r="J443" i="2"/>
  <c r="J435" i="2"/>
  <c r="J459" i="2"/>
  <c r="J481" i="2"/>
  <c r="J37" i="2"/>
  <c r="J39" i="2"/>
  <c r="J41" i="2"/>
  <c r="J66" i="2"/>
  <c r="J80" i="2"/>
  <c r="J108" i="2"/>
  <c r="J132" i="2"/>
  <c r="J134" i="2"/>
  <c r="J141" i="2"/>
  <c r="J170" i="2"/>
  <c r="J172" i="2"/>
  <c r="J174" i="2"/>
  <c r="J176" i="2"/>
  <c r="J206" i="2"/>
  <c r="J216" i="2"/>
  <c r="J249" i="2"/>
  <c r="J270" i="2"/>
  <c r="J274" i="2"/>
  <c r="J297" i="2"/>
  <c r="J299" i="2"/>
  <c r="J301" i="2"/>
  <c r="J311" i="2"/>
  <c r="J343" i="2"/>
  <c r="J395" i="2"/>
  <c r="J415" i="2"/>
  <c r="J441" i="2"/>
  <c r="J489" i="2"/>
  <c r="J29" i="2"/>
  <c r="J31" i="2"/>
  <c r="J33" i="2"/>
  <c r="J49" i="2"/>
  <c r="J56" i="2"/>
  <c r="J58" i="2"/>
  <c r="J60" i="2"/>
  <c r="J62" i="2"/>
  <c r="J70" i="2"/>
  <c r="J75" i="2"/>
  <c r="J77" i="2"/>
  <c r="J92" i="2"/>
  <c r="J100" i="2"/>
  <c r="J105" i="2"/>
  <c r="J115" i="2"/>
  <c r="J152" i="2"/>
  <c r="J162" i="2"/>
  <c r="J166" i="2"/>
  <c r="J194" i="2"/>
  <c r="J196" i="2"/>
  <c r="J201" i="2"/>
  <c r="J211" i="2"/>
  <c r="J222" i="2"/>
  <c r="J238" i="2"/>
  <c r="J263" i="2"/>
  <c r="J267" i="2"/>
  <c r="J279" i="2"/>
  <c r="J281" i="2"/>
  <c r="J283" i="2"/>
  <c r="J290" i="2"/>
  <c r="J294" i="2"/>
  <c r="J326" i="2"/>
  <c r="J331" i="2"/>
  <c r="J335" i="2"/>
  <c r="J365" i="2"/>
  <c r="J387" i="2"/>
  <c r="J423" i="2"/>
  <c r="J451" i="2"/>
  <c r="J456" i="2"/>
  <c r="J470" i="2"/>
  <c r="J449" i="2"/>
  <c r="J499" i="2"/>
  <c r="J487" i="2"/>
  <c r="J454" i="2"/>
  <c r="J494" i="2"/>
  <c r="J419" i="2"/>
  <c r="J393" i="2"/>
  <c r="J374" i="2"/>
  <c r="J341" i="2"/>
  <c r="J448" i="2"/>
  <c r="J378" i="2"/>
  <c r="J332" i="2"/>
  <c r="J317" i="2"/>
  <c r="J289" i="2"/>
  <c r="J264" i="2"/>
  <c r="J234" i="2"/>
  <c r="J220" i="2"/>
  <c r="J202" i="2"/>
  <c r="J189" i="2"/>
  <c r="J165" i="2"/>
  <c r="J150" i="2"/>
  <c r="J145" i="2"/>
  <c r="J124" i="2"/>
  <c r="J475" i="2"/>
  <c r="J356" i="2"/>
  <c r="J321" i="2"/>
  <c r="J205" i="2"/>
  <c r="J143" i="2"/>
  <c r="J113" i="2"/>
  <c r="J90" i="2"/>
  <c r="J73" i="2"/>
  <c r="J479" i="2"/>
  <c r="J468" i="2"/>
  <c r="J462" i="2"/>
  <c r="J439" i="2"/>
  <c r="J458" i="2"/>
  <c r="J430" i="2"/>
  <c r="J411" i="2"/>
  <c r="J399" i="2"/>
  <c r="J382" i="2"/>
  <c r="J363" i="2"/>
  <c r="J352" i="2"/>
  <c r="J347" i="2"/>
  <c r="J428" i="2"/>
  <c r="J359" i="2"/>
  <c r="J330" i="2"/>
  <c r="J323" i="2"/>
  <c r="J307" i="2"/>
  <c r="J291" i="2"/>
  <c r="J275" i="2"/>
  <c r="J258" i="2"/>
  <c r="J247" i="2"/>
  <c r="J242" i="2"/>
  <c r="J200" i="2"/>
  <c r="J191" i="2"/>
  <c r="J181" i="2"/>
  <c r="J163" i="2"/>
  <c r="J156" i="2"/>
  <c r="J137" i="2"/>
  <c r="J345" i="2"/>
  <c r="J296" i="2"/>
  <c r="J254" i="2"/>
  <c r="J210" i="2"/>
  <c r="J154" i="2"/>
  <c r="J110" i="2"/>
  <c r="J94" i="2"/>
  <c r="J69" i="2"/>
  <c r="J43" i="2"/>
  <c r="J501" i="2"/>
  <c r="J496" i="2"/>
  <c r="J485" i="2"/>
  <c r="J452" i="2"/>
  <c r="J472" i="2"/>
  <c r="J421" i="2"/>
  <c r="J402" i="2"/>
  <c r="J391" i="2"/>
  <c r="J372" i="2"/>
  <c r="J339" i="2"/>
  <c r="J397" i="2"/>
  <c r="J328" i="2"/>
  <c r="J315" i="2"/>
  <c r="J293" i="2"/>
  <c r="J273" i="2"/>
  <c r="J236" i="2"/>
  <c r="J231" i="2"/>
  <c r="J218" i="2"/>
  <c r="J198" i="2"/>
  <c r="J161" i="2"/>
  <c r="J147" i="2"/>
  <c r="J127" i="2"/>
  <c r="J122" i="2"/>
  <c r="J433" i="2"/>
  <c r="J389" i="2"/>
  <c r="J305" i="2"/>
  <c r="J229" i="2"/>
  <c r="J168" i="2"/>
  <c r="J120" i="2"/>
  <c r="J98" i="2"/>
  <c r="J82" i="2"/>
  <c r="J47" i="2"/>
  <c r="J477" i="2"/>
  <c r="J466" i="2"/>
  <c r="J442" i="2"/>
  <c r="J437" i="2"/>
  <c r="J483" i="2"/>
  <c r="J445" i="2"/>
  <c r="J413" i="2"/>
  <c r="J400" i="2"/>
  <c r="J385" i="2"/>
  <c r="J380" i="2"/>
  <c r="J361" i="2"/>
  <c r="J350" i="2"/>
  <c r="J409" i="2"/>
  <c r="J334" i="2"/>
  <c r="J325" i="2"/>
  <c r="J310" i="2"/>
  <c r="J277" i="2"/>
  <c r="J266" i="2"/>
  <c r="J256" i="2"/>
  <c r="J244" i="2"/>
  <c r="J215" i="2"/>
  <c r="J193" i="2"/>
  <c r="J183" i="2"/>
  <c r="J178" i="2"/>
  <c r="J159" i="2"/>
  <c r="J139" i="2"/>
  <c r="J491" i="2"/>
  <c r="J417" i="2"/>
  <c r="J370" i="2"/>
  <c r="J313" i="2"/>
  <c r="J269" i="2"/>
  <c r="J240" i="2"/>
  <c r="J187" i="2"/>
  <c r="J131" i="2"/>
  <c r="J103" i="2"/>
  <c r="J86" i="2"/>
  <c r="J53" i="2"/>
  <c r="J87" i="2"/>
  <c r="J463" i="2"/>
  <c r="J27" i="2"/>
  <c r="J336" i="2"/>
  <c r="J26" i="2"/>
  <c r="J25" i="2" s="1"/>
  <c r="J212" i="2"/>
  <c r="H501" i="1" l="1"/>
  <c r="H501" i="4" s="1"/>
  <c r="G501" i="1"/>
  <c r="H500" i="1"/>
  <c r="H500" i="4" s="1"/>
  <c r="H499" i="1"/>
  <c r="G499" i="1"/>
  <c r="G499" i="4" s="1"/>
  <c r="H496" i="1"/>
  <c r="G496" i="1"/>
  <c r="G496" i="4" s="1"/>
  <c r="H494" i="1"/>
  <c r="H494" i="4" s="1"/>
  <c r="G494" i="1"/>
  <c r="H491" i="1"/>
  <c r="H491" i="4" s="1"/>
  <c r="G491" i="1"/>
  <c r="H490" i="1"/>
  <c r="H490" i="4" s="1"/>
  <c r="H489" i="1"/>
  <c r="G489" i="1"/>
  <c r="H487" i="1"/>
  <c r="H487" i="4" s="1"/>
  <c r="G487" i="1"/>
  <c r="H486" i="1"/>
  <c r="H486" i="4" s="1"/>
  <c r="H485" i="1"/>
  <c r="G485" i="1"/>
  <c r="G485" i="4" s="1"/>
  <c r="H483" i="1"/>
  <c r="H483" i="4" s="1"/>
  <c r="G483" i="1"/>
  <c r="H481" i="1"/>
  <c r="G481" i="1"/>
  <c r="G480" i="1" s="1"/>
  <c r="H479" i="1"/>
  <c r="H479" i="4" s="1"/>
  <c r="G479" i="1"/>
  <c r="H477" i="1"/>
  <c r="G477" i="1"/>
  <c r="G477" i="4" s="1"/>
  <c r="H475" i="1"/>
  <c r="H475" i="4" s="1"/>
  <c r="G475" i="1"/>
  <c r="H472" i="1"/>
  <c r="H472" i="4" s="1"/>
  <c r="G472" i="1"/>
  <c r="H470" i="1"/>
  <c r="G470" i="1"/>
  <c r="G469" i="1"/>
  <c r="H468" i="1"/>
  <c r="H468" i="4" s="1"/>
  <c r="G468" i="1"/>
  <c r="H467" i="1"/>
  <c r="H467" i="4" s="1"/>
  <c r="H466" i="1"/>
  <c r="G466" i="1"/>
  <c r="G466" i="4" s="1"/>
  <c r="H462" i="1"/>
  <c r="G462" i="1"/>
  <c r="G462" i="4" s="1"/>
  <c r="H460" i="1"/>
  <c r="H460" i="4" s="1"/>
  <c r="G460" i="1"/>
  <c r="H459" i="1"/>
  <c r="H459" i="4" s="1"/>
  <c r="G459" i="1"/>
  <c r="H458" i="1"/>
  <c r="H458" i="4" s="1"/>
  <c r="G458" i="1"/>
  <c r="G458" i="4" s="1"/>
  <c r="H457" i="1"/>
  <c r="H457" i="4" s="1"/>
  <c r="H456" i="1"/>
  <c r="G456" i="1"/>
  <c r="G455" i="1" s="1"/>
  <c r="H454" i="1"/>
  <c r="H454" i="4" s="1"/>
  <c r="G454" i="1"/>
  <c r="H453" i="1"/>
  <c r="H453" i="4" s="1"/>
  <c r="H452" i="1"/>
  <c r="H452" i="4" s="1"/>
  <c r="G452" i="1"/>
  <c r="G452" i="4" s="1"/>
  <c r="H451" i="1"/>
  <c r="H451" i="4" s="1"/>
  <c r="G451" i="1"/>
  <c r="G450" i="1" s="1"/>
  <c r="G450" i="4" s="1"/>
  <c r="H449" i="1"/>
  <c r="H449" i="4" s="1"/>
  <c r="G449" i="1"/>
  <c r="H448" i="1"/>
  <c r="H448" i="4" s="1"/>
  <c r="G448" i="1"/>
  <c r="H445" i="1"/>
  <c r="H445" i="4" s="1"/>
  <c r="G445" i="1"/>
  <c r="H444" i="1"/>
  <c r="H444" i="4" s="1"/>
  <c r="H443" i="1"/>
  <c r="H443" i="4" s="1"/>
  <c r="G443" i="1"/>
  <c r="H442" i="1"/>
  <c r="H442" i="4" s="1"/>
  <c r="G442" i="1"/>
  <c r="G442" i="4" s="1"/>
  <c r="H441" i="1"/>
  <c r="H441" i="4" s="1"/>
  <c r="G441" i="1"/>
  <c r="H439" i="1"/>
  <c r="H439" i="4" s="1"/>
  <c r="G439" i="1"/>
  <c r="H437" i="1"/>
  <c r="G437" i="1"/>
  <c r="G437" i="4" s="1"/>
  <c r="H435" i="1"/>
  <c r="H435" i="4" s="1"/>
  <c r="G435" i="1"/>
  <c r="G434" i="1" s="1"/>
  <c r="H433" i="1"/>
  <c r="H433" i="4" s="1"/>
  <c r="G433" i="1"/>
  <c r="H431" i="1"/>
  <c r="H431" i="4" s="1"/>
  <c r="G431" i="1"/>
  <c r="H430" i="1"/>
  <c r="G430" i="1"/>
  <c r="G430" i="4" s="1"/>
  <c r="H428" i="1"/>
  <c r="H428" i="4" s="1"/>
  <c r="G428" i="1"/>
  <c r="H426" i="1"/>
  <c r="G426" i="1"/>
  <c r="H423" i="1"/>
  <c r="G423" i="1"/>
  <c r="G422" i="1" s="1"/>
  <c r="H421" i="1"/>
  <c r="H421" i="4" s="1"/>
  <c r="G421" i="1"/>
  <c r="H419" i="1"/>
  <c r="G419" i="1"/>
  <c r="G419" i="4" s="1"/>
  <c r="G418" i="1"/>
  <c r="G418" i="4" s="1"/>
  <c r="H417" i="1"/>
  <c r="H417" i="4" s="1"/>
  <c r="G417" i="1"/>
  <c r="H415" i="1"/>
  <c r="G415" i="1"/>
  <c r="H413" i="1"/>
  <c r="H413" i="4" s="1"/>
  <c r="G413" i="1"/>
  <c r="H411" i="1"/>
  <c r="G411" i="1"/>
  <c r="G411" i="4" s="1"/>
  <c r="H409" i="1"/>
  <c r="H409" i="4" s="1"/>
  <c r="G409" i="1"/>
  <c r="H407" i="1"/>
  <c r="G407" i="1"/>
  <c r="G406" i="1" s="1"/>
  <c r="G406" i="4" s="1"/>
  <c r="H404" i="1"/>
  <c r="G404" i="1"/>
  <c r="H402" i="1"/>
  <c r="H402" i="4" s="1"/>
  <c r="G402" i="1"/>
  <c r="H399" i="1"/>
  <c r="G399" i="1"/>
  <c r="G399" i="4" s="1"/>
  <c r="H397" i="1"/>
  <c r="H397" i="4" s="1"/>
  <c r="G397" i="1"/>
  <c r="H395" i="1"/>
  <c r="G395" i="1"/>
  <c r="H393" i="1"/>
  <c r="H393" i="4" s="1"/>
  <c r="G393" i="1"/>
  <c r="H391" i="1"/>
  <c r="G391" i="1"/>
  <c r="G391" i="4" s="1"/>
  <c r="H389" i="1"/>
  <c r="H389" i="4" s="1"/>
  <c r="G389" i="1"/>
  <c r="H387" i="1"/>
  <c r="G387" i="1"/>
  <c r="G386" i="1" s="1"/>
  <c r="H385" i="1"/>
  <c r="H385" i="4" s="1"/>
  <c r="G385" i="1"/>
  <c r="H384" i="1"/>
  <c r="H382" i="1"/>
  <c r="H382" i="4" s="1"/>
  <c r="G382" i="1"/>
  <c r="H380" i="1"/>
  <c r="G380" i="1"/>
  <c r="G380" i="4" s="1"/>
  <c r="H378" i="1"/>
  <c r="H378" i="4" s="1"/>
  <c r="G378" i="1"/>
  <c r="H376" i="1"/>
  <c r="G376" i="1"/>
  <c r="G375" i="1" s="1"/>
  <c r="H374" i="1"/>
  <c r="H374" i="4" s="1"/>
  <c r="G374" i="1"/>
  <c r="H372" i="1"/>
  <c r="G372" i="1"/>
  <c r="G372" i="4" s="1"/>
  <c r="G371" i="1"/>
  <c r="G371" i="4" s="1"/>
  <c r="H370" i="1"/>
  <c r="H370" i="4" s="1"/>
  <c r="G370" i="1"/>
  <c r="H368" i="1"/>
  <c r="G368" i="1"/>
  <c r="H365" i="1"/>
  <c r="G365" i="1"/>
  <c r="G364" i="1"/>
  <c r="H363" i="1"/>
  <c r="H363" i="4" s="1"/>
  <c r="G363" i="1"/>
  <c r="H361" i="1"/>
  <c r="G361" i="1"/>
  <c r="G361" i="4" s="1"/>
  <c r="H359" i="1"/>
  <c r="H359" i="4" s="1"/>
  <c r="G359" i="1"/>
  <c r="H356" i="1"/>
  <c r="H356" i="4" s="1"/>
  <c r="G356" i="1"/>
  <c r="H354" i="1"/>
  <c r="G354" i="1"/>
  <c r="G353" i="1" s="1"/>
  <c r="H352" i="1"/>
  <c r="H352" i="4" s="1"/>
  <c r="G352" i="1"/>
  <c r="H350" i="1"/>
  <c r="G350" i="1"/>
  <c r="G350" i="4" s="1"/>
  <c r="H347" i="1"/>
  <c r="G347" i="1"/>
  <c r="G347" i="4" s="1"/>
  <c r="H345" i="1"/>
  <c r="H345" i="4" s="1"/>
  <c r="G345" i="1"/>
  <c r="H343" i="1"/>
  <c r="G343" i="1"/>
  <c r="H341" i="1"/>
  <c r="H341" i="4" s="1"/>
  <c r="G341" i="1"/>
  <c r="H339" i="1"/>
  <c r="G339" i="1"/>
  <c r="G339" i="4" s="1"/>
  <c r="H335" i="1"/>
  <c r="H335" i="4" s="1"/>
  <c r="G335" i="1"/>
  <c r="H334" i="1"/>
  <c r="H334" i="4" s="1"/>
  <c r="G334" i="1"/>
  <c r="G334" i="4" s="1"/>
  <c r="H333" i="1"/>
  <c r="H333" i="4" s="1"/>
  <c r="G333" i="1"/>
  <c r="H332" i="1"/>
  <c r="H332" i="4" s="1"/>
  <c r="G332" i="1"/>
  <c r="G332" i="4" s="1"/>
  <c r="H331" i="1"/>
  <c r="H331" i="4" s="1"/>
  <c r="G331" i="1"/>
  <c r="H329" i="1"/>
  <c r="H329" i="4" s="1"/>
  <c r="G329" i="1"/>
  <c r="H328" i="1"/>
  <c r="G328" i="1"/>
  <c r="G328" i="4" s="1"/>
  <c r="H326" i="1"/>
  <c r="H326" i="4" s="1"/>
  <c r="G326" i="1"/>
  <c r="H325" i="1"/>
  <c r="H325" i="4" s="1"/>
  <c r="G325" i="1"/>
  <c r="G325" i="4" s="1"/>
  <c r="H323" i="1"/>
  <c r="G323" i="1"/>
  <c r="G323" i="4" s="1"/>
  <c r="H321" i="1"/>
  <c r="H321" i="4" s="1"/>
  <c r="G321" i="1"/>
  <c r="H319" i="1"/>
  <c r="G319" i="1"/>
  <c r="G318" i="1" s="1"/>
  <c r="H317" i="1"/>
  <c r="H317" i="4" s="1"/>
  <c r="G317" i="1"/>
  <c r="H315" i="1"/>
  <c r="G315" i="1"/>
  <c r="G315" i="4" s="1"/>
  <c r="H313" i="1"/>
  <c r="H313" i="4" s="1"/>
  <c r="G313" i="1"/>
  <c r="H311" i="1"/>
  <c r="H311" i="4" s="1"/>
  <c r="G311" i="1"/>
  <c r="H310" i="1"/>
  <c r="G310" i="1"/>
  <c r="G310" i="4" s="1"/>
  <c r="H307" i="1"/>
  <c r="G307" i="1"/>
  <c r="G307" i="4" s="1"/>
  <c r="H305" i="1"/>
  <c r="H305" i="4" s="1"/>
  <c r="G305" i="1"/>
  <c r="H302" i="1"/>
  <c r="H302" i="4" s="1"/>
  <c r="G302" i="1"/>
  <c r="H301" i="1"/>
  <c r="H301" i="4" s="1"/>
  <c r="G301" i="1"/>
  <c r="H300" i="1"/>
  <c r="H300" i="4" s="1"/>
  <c r="G300" i="1"/>
  <c r="H299" i="1"/>
  <c r="H299" i="4" s="1"/>
  <c r="G299" i="1"/>
  <c r="H298" i="1"/>
  <c r="H298" i="4" s="1"/>
  <c r="G298" i="1"/>
  <c r="H297" i="1"/>
  <c r="H297" i="4" s="1"/>
  <c r="G297" i="1"/>
  <c r="H296" i="1"/>
  <c r="H296" i="4" s="1"/>
  <c r="G296" i="1"/>
  <c r="H294" i="1"/>
  <c r="H294" i="4" s="1"/>
  <c r="G294" i="1"/>
  <c r="H293" i="1"/>
  <c r="H293" i="4" s="1"/>
  <c r="G293" i="1"/>
  <c r="G293" i="4" s="1"/>
  <c r="H292" i="1"/>
  <c r="H292" i="4" s="1"/>
  <c r="G292" i="1"/>
  <c r="H291" i="1"/>
  <c r="H291" i="4" s="1"/>
  <c r="G291" i="1"/>
  <c r="G291" i="4" s="1"/>
  <c r="H290" i="1"/>
  <c r="H290" i="4" s="1"/>
  <c r="G290" i="1"/>
  <c r="H289" i="1"/>
  <c r="H289" i="4" s="1"/>
  <c r="G289" i="1"/>
  <c r="G289" i="4" s="1"/>
  <c r="H288" i="1"/>
  <c r="H288" i="4" s="1"/>
  <c r="G288" i="1"/>
  <c r="H285" i="1"/>
  <c r="G285" i="1"/>
  <c r="H283" i="1"/>
  <c r="H283" i="4" s="1"/>
  <c r="G283" i="1"/>
  <c r="H282" i="1"/>
  <c r="H282" i="4" s="1"/>
  <c r="G282" i="1"/>
  <c r="H281" i="1"/>
  <c r="H281" i="4" s="1"/>
  <c r="G281" i="1"/>
  <c r="H280" i="1"/>
  <c r="H280" i="4" s="1"/>
  <c r="G280" i="1"/>
  <c r="H279" i="1"/>
  <c r="H279" i="4" s="1"/>
  <c r="G279" i="1"/>
  <c r="H278" i="1"/>
  <c r="H278" i="4" s="1"/>
  <c r="G278" i="1"/>
  <c r="H277" i="1"/>
  <c r="H277" i="4" s="1"/>
  <c r="G277" i="1"/>
  <c r="G277" i="4" s="1"/>
  <c r="H275" i="1"/>
  <c r="H275" i="4" s="1"/>
  <c r="G275" i="1"/>
  <c r="G275" i="4" s="1"/>
  <c r="H274" i="1"/>
  <c r="H274" i="4" s="1"/>
  <c r="G274" i="1"/>
  <c r="H273" i="1"/>
  <c r="G273" i="1"/>
  <c r="G273" i="4" s="1"/>
  <c r="H271" i="1"/>
  <c r="H271" i="4" s="1"/>
  <c r="G271" i="1"/>
  <c r="H270" i="1"/>
  <c r="H270" i="4" s="1"/>
  <c r="G270" i="1"/>
  <c r="H269" i="1"/>
  <c r="H269" i="4" s="1"/>
  <c r="G269" i="1"/>
  <c r="H267" i="1"/>
  <c r="H267" i="4" s="1"/>
  <c r="G267" i="1"/>
  <c r="H266" i="1"/>
  <c r="H266" i="4" s="1"/>
  <c r="G266" i="1"/>
  <c r="G266" i="4" s="1"/>
  <c r="H265" i="1"/>
  <c r="H265" i="4" s="1"/>
  <c r="G265" i="1"/>
  <c r="H264" i="1"/>
  <c r="H264" i="4" s="1"/>
  <c r="G264" i="1"/>
  <c r="G264" i="4" s="1"/>
  <c r="H263" i="1"/>
  <c r="H263" i="4" s="1"/>
  <c r="G263" i="1"/>
  <c r="H260" i="1"/>
  <c r="G260" i="1"/>
  <c r="H258" i="1"/>
  <c r="H258" i="4" s="1"/>
  <c r="G258" i="1"/>
  <c r="H256" i="1"/>
  <c r="G256" i="1"/>
  <c r="G256" i="4" s="1"/>
  <c r="H254" i="1"/>
  <c r="H254" i="4" s="1"/>
  <c r="G254" i="1"/>
  <c r="H252" i="1"/>
  <c r="G252" i="1"/>
  <c r="G251" i="1" s="1"/>
  <c r="H249" i="1"/>
  <c r="G249" i="1"/>
  <c r="H247" i="1"/>
  <c r="H247" i="4" s="1"/>
  <c r="G247" i="1"/>
  <c r="H244" i="1"/>
  <c r="H244" i="4" s="1"/>
  <c r="G244" i="1"/>
  <c r="H242" i="1"/>
  <c r="G242" i="1"/>
  <c r="G242" i="4" s="1"/>
  <c r="H240" i="1"/>
  <c r="H240" i="4" s="1"/>
  <c r="G240" i="1"/>
  <c r="H238" i="1"/>
  <c r="G238" i="1"/>
  <c r="G237" i="1" s="1"/>
  <c r="H236" i="1"/>
  <c r="H236" i="4" s="1"/>
  <c r="G236" i="1"/>
  <c r="H235" i="1"/>
  <c r="H235" i="4" s="1"/>
  <c r="H234" i="1"/>
  <c r="G234" i="1"/>
  <c r="G234" i="4" s="1"/>
  <c r="H231" i="1"/>
  <c r="G231" i="1"/>
  <c r="G231" i="4" s="1"/>
  <c r="H229" i="1"/>
  <c r="H229" i="4" s="1"/>
  <c r="G229" i="1"/>
  <c r="H227" i="1"/>
  <c r="G227" i="1"/>
  <c r="G226" i="1" s="1"/>
  <c r="H224" i="1"/>
  <c r="G224" i="1"/>
  <c r="H222" i="1"/>
  <c r="H222" i="4" s="1"/>
  <c r="G222" i="1"/>
  <c r="H221" i="1"/>
  <c r="H221" i="4" s="1"/>
  <c r="G221" i="1"/>
  <c r="H220" i="1"/>
  <c r="H220" i="4" s="1"/>
  <c r="G220" i="1"/>
  <c r="G220" i="4" s="1"/>
  <c r="H218" i="1"/>
  <c r="G218" i="1"/>
  <c r="G218" i="4" s="1"/>
  <c r="H216" i="1"/>
  <c r="H216" i="4" s="1"/>
  <c r="G216" i="1"/>
  <c r="H215" i="1"/>
  <c r="H215" i="4" s="1"/>
  <c r="G215" i="1"/>
  <c r="G215" i="4" s="1"/>
  <c r="H211" i="1"/>
  <c r="H211" i="4" s="1"/>
  <c r="G211" i="1"/>
  <c r="H210" i="1"/>
  <c r="H210" i="4" s="1"/>
  <c r="G210" i="1"/>
  <c r="H207" i="1"/>
  <c r="H207" i="4" s="1"/>
  <c r="G207" i="1"/>
  <c r="H206" i="1"/>
  <c r="H206" i="4" s="1"/>
  <c r="G206" i="1"/>
  <c r="H205" i="1"/>
  <c r="H205" i="4" s="1"/>
  <c r="G205" i="1"/>
  <c r="H203" i="1"/>
  <c r="H203" i="4" s="1"/>
  <c r="G203" i="1"/>
  <c r="H202" i="1"/>
  <c r="H202" i="4" s="1"/>
  <c r="G202" i="1"/>
  <c r="G202" i="4" s="1"/>
  <c r="H201" i="1"/>
  <c r="H201" i="4" s="1"/>
  <c r="G201" i="1"/>
  <c r="H200" i="1"/>
  <c r="H200" i="4" s="1"/>
  <c r="G200" i="1"/>
  <c r="G200" i="4" s="1"/>
  <c r="H199" i="1"/>
  <c r="H199" i="4" s="1"/>
  <c r="G199" i="1"/>
  <c r="H198" i="1"/>
  <c r="G198" i="1"/>
  <c r="G198" i="4" s="1"/>
  <c r="H196" i="1"/>
  <c r="H196" i="4" s="1"/>
  <c r="G196" i="1"/>
  <c r="H195" i="1"/>
  <c r="H195" i="4" s="1"/>
  <c r="G195" i="1"/>
  <c r="H194" i="1"/>
  <c r="H194" i="4" s="1"/>
  <c r="G194" i="1"/>
  <c r="H193" i="1"/>
  <c r="H193" i="4" s="1"/>
  <c r="G193" i="1"/>
  <c r="G193" i="4" s="1"/>
  <c r="H191" i="1"/>
  <c r="H191" i="4" s="1"/>
  <c r="G191" i="1"/>
  <c r="G191" i="4" s="1"/>
  <c r="H190" i="1"/>
  <c r="H190" i="4" s="1"/>
  <c r="G190" i="1"/>
  <c r="H189" i="1"/>
  <c r="G189" i="1"/>
  <c r="G189" i="4" s="1"/>
  <c r="H187" i="1"/>
  <c r="H187" i="4" s="1"/>
  <c r="G187" i="1"/>
  <c r="H185" i="1"/>
  <c r="G185" i="1"/>
  <c r="G184" i="1" s="1"/>
  <c r="H183" i="1"/>
  <c r="H183" i="4" s="1"/>
  <c r="G183" i="1"/>
  <c r="H181" i="1"/>
  <c r="G181" i="1"/>
  <c r="G181" i="4" s="1"/>
  <c r="H178" i="1"/>
  <c r="G178" i="1"/>
  <c r="G178" i="4" s="1"/>
  <c r="H176" i="1"/>
  <c r="H176" i="4" s="1"/>
  <c r="G176" i="1"/>
  <c r="H175" i="1"/>
  <c r="H175" i="4" s="1"/>
  <c r="G175" i="1"/>
  <c r="H174" i="1"/>
  <c r="H174" i="4" s="1"/>
  <c r="G174" i="1"/>
  <c r="H173" i="1"/>
  <c r="H173" i="4" s="1"/>
  <c r="G173" i="1"/>
  <c r="H172" i="1"/>
  <c r="H172" i="4" s="1"/>
  <c r="G172" i="1"/>
  <c r="H171" i="1"/>
  <c r="H171" i="4" s="1"/>
  <c r="G171" i="1"/>
  <c r="H170" i="1"/>
  <c r="H170" i="4" s="1"/>
  <c r="G170" i="1"/>
  <c r="H169" i="1"/>
  <c r="H169" i="4" s="1"/>
  <c r="G169" i="1"/>
  <c r="H168" i="1"/>
  <c r="H168" i="4" s="1"/>
  <c r="G168" i="1"/>
  <c r="H166" i="1"/>
  <c r="H166" i="4" s="1"/>
  <c r="G166" i="1"/>
  <c r="H165" i="1"/>
  <c r="H165" i="4" s="1"/>
  <c r="G165" i="1"/>
  <c r="G165" i="4" s="1"/>
  <c r="H164" i="1"/>
  <c r="H164" i="4" s="1"/>
  <c r="G164" i="1"/>
  <c r="H163" i="1"/>
  <c r="H163" i="4" s="1"/>
  <c r="G163" i="1"/>
  <c r="G163" i="4" s="1"/>
  <c r="H162" i="1"/>
  <c r="H162" i="4" s="1"/>
  <c r="G162" i="1"/>
  <c r="H161" i="1"/>
  <c r="H161" i="4" s="1"/>
  <c r="G161" i="1"/>
  <c r="G161" i="4" s="1"/>
  <c r="H160" i="1"/>
  <c r="H160" i="4" s="1"/>
  <c r="G160" i="1"/>
  <c r="H159" i="1"/>
  <c r="G159" i="1"/>
  <c r="G159" i="4" s="1"/>
  <c r="H156" i="1"/>
  <c r="G156" i="1"/>
  <c r="G156" i="4" s="1"/>
  <c r="G155" i="1"/>
  <c r="G155" i="4" s="1"/>
  <c r="H154" i="1"/>
  <c r="H154" i="4" s="1"/>
  <c r="G154" i="1"/>
  <c r="H152" i="1"/>
  <c r="G152" i="1"/>
  <c r="G151" i="1" s="1"/>
  <c r="H150" i="1"/>
  <c r="H150" i="4" s="1"/>
  <c r="G150" i="1"/>
  <c r="H147" i="1"/>
  <c r="H147" i="4" s="1"/>
  <c r="G147" i="1"/>
  <c r="H145" i="1"/>
  <c r="G145" i="1"/>
  <c r="G145" i="4" s="1"/>
  <c r="H143" i="1"/>
  <c r="H143" i="4" s="1"/>
  <c r="G143" i="1"/>
  <c r="H141" i="1"/>
  <c r="G141" i="1"/>
  <c r="H139" i="1"/>
  <c r="H139" i="4" s="1"/>
  <c r="G139" i="1"/>
  <c r="H137" i="1"/>
  <c r="G137" i="1"/>
  <c r="G137" i="4" s="1"/>
  <c r="H135" i="1"/>
  <c r="H135" i="4" s="1"/>
  <c r="G135" i="1"/>
  <c r="H134" i="1"/>
  <c r="H134" i="4" s="1"/>
  <c r="G134" i="1"/>
  <c r="H133" i="1"/>
  <c r="H133" i="4" s="1"/>
  <c r="G133" i="1"/>
  <c r="H132" i="1"/>
  <c r="H132" i="4" s="1"/>
  <c r="G132" i="1"/>
  <c r="H131" i="1"/>
  <c r="H131" i="4" s="1"/>
  <c r="G131" i="1"/>
  <c r="H129" i="1"/>
  <c r="G129" i="1"/>
  <c r="G128" i="1" s="1"/>
  <c r="H127" i="1"/>
  <c r="H127" i="4" s="1"/>
  <c r="G127" i="1"/>
  <c r="H124" i="1"/>
  <c r="H124" i="4" s="1"/>
  <c r="G124" i="1"/>
  <c r="H123" i="1"/>
  <c r="H123" i="4" s="1"/>
  <c r="H122" i="1"/>
  <c r="G122" i="1"/>
  <c r="G122" i="4" s="1"/>
  <c r="H120" i="1"/>
  <c r="H120" i="4" s="1"/>
  <c r="G120" i="1"/>
  <c r="H118" i="1"/>
  <c r="G118" i="1"/>
  <c r="H115" i="1"/>
  <c r="G115" i="1"/>
  <c r="G114" i="1" s="1"/>
  <c r="H113" i="1"/>
  <c r="H113" i="4" s="1"/>
  <c r="G113" i="1"/>
  <c r="H110" i="1"/>
  <c r="H110" i="4" s="1"/>
  <c r="G110" i="1"/>
  <c r="H108" i="1"/>
  <c r="G108" i="1"/>
  <c r="H105" i="1"/>
  <c r="G105" i="1"/>
  <c r="G104" i="1" s="1"/>
  <c r="H103" i="1"/>
  <c r="H103" i="4" s="1"/>
  <c r="G103" i="1"/>
  <c r="H101" i="1"/>
  <c r="H101" i="4" s="1"/>
  <c r="G101" i="1"/>
  <c r="H100" i="1"/>
  <c r="G100" i="1"/>
  <c r="H98" i="1"/>
  <c r="H98" i="4" s="1"/>
  <c r="G98" i="1"/>
  <c r="H96" i="1"/>
  <c r="G96" i="1"/>
  <c r="G95" i="1" s="1"/>
  <c r="H94" i="1"/>
  <c r="H94" i="4" s="1"/>
  <c r="G94" i="1"/>
  <c r="H92" i="1"/>
  <c r="G92" i="1"/>
  <c r="G91" i="1" s="1"/>
  <c r="H90" i="1"/>
  <c r="H90" i="4" s="1"/>
  <c r="G90" i="1"/>
  <c r="H86" i="1"/>
  <c r="H86" i="4" s="1"/>
  <c r="G86" i="1"/>
  <c r="H84" i="1"/>
  <c r="G84" i="1"/>
  <c r="H82" i="1"/>
  <c r="H82" i="4" s="1"/>
  <c r="G82" i="1"/>
  <c r="H80" i="1"/>
  <c r="G80" i="1"/>
  <c r="H77" i="1"/>
  <c r="H77" i="4" s="1"/>
  <c r="G77" i="1"/>
  <c r="H76" i="1"/>
  <c r="H76" i="4" s="1"/>
  <c r="G76" i="1"/>
  <c r="H75" i="1"/>
  <c r="G75" i="1"/>
  <c r="H73" i="1"/>
  <c r="H73" i="4" s="1"/>
  <c r="G73" i="1"/>
  <c r="H70" i="1"/>
  <c r="H70" i="4" s="1"/>
  <c r="G70" i="1"/>
  <c r="H69" i="1"/>
  <c r="H69" i="4" s="1"/>
  <c r="G69" i="1"/>
  <c r="H67" i="1"/>
  <c r="H67" i="4" s="1"/>
  <c r="G67" i="1"/>
  <c r="H66" i="1"/>
  <c r="G66" i="1"/>
  <c r="H63" i="1"/>
  <c r="H63" i="4" s="1"/>
  <c r="G63" i="1"/>
  <c r="H62" i="1"/>
  <c r="H62" i="4" s="1"/>
  <c r="G62" i="1"/>
  <c r="H61" i="1"/>
  <c r="H61" i="4" s="1"/>
  <c r="G61" i="1"/>
  <c r="H60" i="1"/>
  <c r="H60" i="4" s="1"/>
  <c r="G60" i="1"/>
  <c r="H59" i="1"/>
  <c r="H59" i="4" s="1"/>
  <c r="G59" i="1"/>
  <c r="H58" i="1"/>
  <c r="H58" i="4" s="1"/>
  <c r="G58" i="1"/>
  <c r="H57" i="1"/>
  <c r="H57" i="4" s="1"/>
  <c r="G57" i="1"/>
  <c r="H56" i="1"/>
  <c r="H56" i="4" s="1"/>
  <c r="G56" i="1"/>
  <c r="H55" i="1"/>
  <c r="G55" i="1"/>
  <c r="H53" i="1"/>
  <c r="H53" i="4" s="1"/>
  <c r="G53" i="1"/>
  <c r="H52" i="1"/>
  <c r="H52" i="4" s="1"/>
  <c r="H50" i="1"/>
  <c r="H50" i="4" s="1"/>
  <c r="G50" i="1"/>
  <c r="H49" i="1"/>
  <c r="H49" i="4" s="1"/>
  <c r="G49" i="1"/>
  <c r="H48" i="1"/>
  <c r="H48" i="4" s="1"/>
  <c r="G48" i="1"/>
  <c r="H47" i="1"/>
  <c r="H47" i="4" s="1"/>
  <c r="G47" i="1"/>
  <c r="H45" i="1"/>
  <c r="G45" i="1"/>
  <c r="H43" i="1"/>
  <c r="H43" i="4" s="1"/>
  <c r="G43" i="1"/>
  <c r="H41" i="1"/>
  <c r="H41" i="4" s="1"/>
  <c r="G41" i="1"/>
  <c r="H40" i="1"/>
  <c r="H40" i="4" s="1"/>
  <c r="G40" i="1"/>
  <c r="H39" i="1"/>
  <c r="H39" i="4" s="1"/>
  <c r="G39" i="1"/>
  <c r="H38" i="1"/>
  <c r="H38" i="4" s="1"/>
  <c r="G38" i="1"/>
  <c r="H37" i="1"/>
  <c r="H37" i="4" s="1"/>
  <c r="G37" i="1"/>
  <c r="H36" i="1"/>
  <c r="G36" i="1"/>
  <c r="H34" i="1"/>
  <c r="H34" i="4" s="1"/>
  <c r="G34" i="1"/>
  <c r="H33" i="1"/>
  <c r="H33" i="4" s="1"/>
  <c r="G33" i="1"/>
  <c r="H32" i="1"/>
  <c r="H32" i="4" s="1"/>
  <c r="G32" i="1"/>
  <c r="H31" i="1"/>
  <c r="H31" i="4" s="1"/>
  <c r="G31" i="1"/>
  <c r="H30" i="1"/>
  <c r="H30" i="4" s="1"/>
  <c r="G30" i="1"/>
  <c r="H29" i="1"/>
  <c r="H29" i="4" s="1"/>
  <c r="G29" i="1"/>
  <c r="G16" i="1"/>
  <c r="G16" i="4" s="1"/>
  <c r="G15" i="1"/>
  <c r="I14" i="1"/>
  <c r="I14" i="4" s="1"/>
  <c r="H401" i="1" l="1"/>
  <c r="H401" i="4" s="1"/>
  <c r="H471" i="1"/>
  <c r="H471" i="4" s="1"/>
  <c r="H493" i="1"/>
  <c r="H493" i="4" s="1"/>
  <c r="G461" i="1"/>
  <c r="G461" i="4" s="1"/>
  <c r="H68" i="1"/>
  <c r="H68" i="4" s="1"/>
  <c r="H126" i="1"/>
  <c r="H93" i="1"/>
  <c r="H93" i="4" s="1"/>
  <c r="I191" i="4"/>
  <c r="G495" i="1"/>
  <c r="G495" i="4" s="1"/>
  <c r="H119" i="1"/>
  <c r="H119" i="4" s="1"/>
  <c r="H304" i="1"/>
  <c r="H304" i="4" s="1"/>
  <c r="G476" i="1"/>
  <c r="G476" i="4" s="1"/>
  <c r="H243" i="1"/>
  <c r="H243" i="4" s="1"/>
  <c r="G498" i="1"/>
  <c r="H373" i="1"/>
  <c r="H373" i="4" s="1"/>
  <c r="G121" i="1"/>
  <c r="G121" i="4" s="1"/>
  <c r="G306" i="1"/>
  <c r="G306" i="4" s="1"/>
  <c r="H408" i="1"/>
  <c r="H408" i="4" s="1"/>
  <c r="H420" i="1"/>
  <c r="H420" i="4" s="1"/>
  <c r="H388" i="1"/>
  <c r="H388" i="4" s="1"/>
  <c r="G74" i="1"/>
  <c r="H85" i="1"/>
  <c r="H85" i="4" s="1"/>
  <c r="H344" i="1"/>
  <c r="H344" i="4" s="1"/>
  <c r="H355" i="1"/>
  <c r="H355" i="4" s="1"/>
  <c r="G465" i="1"/>
  <c r="G465" i="4" s="1"/>
  <c r="G99" i="1"/>
  <c r="H112" i="1"/>
  <c r="H112" i="4" s="1"/>
  <c r="G327" i="1"/>
  <c r="G327" i="4" s="1"/>
  <c r="G346" i="1"/>
  <c r="G346" i="4" s="1"/>
  <c r="G144" i="1"/>
  <c r="G144" i="4" s="1"/>
  <c r="G177" i="1"/>
  <c r="G177" i="4" s="1"/>
  <c r="H214" i="1"/>
  <c r="H214" i="4" s="1"/>
  <c r="G360" i="1"/>
  <c r="G360" i="4" s="1"/>
  <c r="G379" i="1"/>
  <c r="G379" i="4" s="1"/>
  <c r="G410" i="1"/>
  <c r="G410" i="4" s="1"/>
  <c r="G390" i="1"/>
  <c r="G390" i="4" s="1"/>
  <c r="H362" i="1"/>
  <c r="H362" i="4" s="1"/>
  <c r="H381" i="1"/>
  <c r="H381" i="4" s="1"/>
  <c r="H412" i="1"/>
  <c r="H412" i="4" s="1"/>
  <c r="G484" i="1"/>
  <c r="G484" i="4" s="1"/>
  <c r="G287" i="1"/>
  <c r="H142" i="1"/>
  <c r="H142" i="4" s="1"/>
  <c r="H478" i="1"/>
  <c r="H478" i="4" s="1"/>
  <c r="H392" i="1"/>
  <c r="H392" i="4" s="1"/>
  <c r="G54" i="1"/>
  <c r="G28" i="1"/>
  <c r="H42" i="1"/>
  <c r="H42" i="4" s="1"/>
  <c r="H97" i="1"/>
  <c r="H97" i="4" s="1"/>
  <c r="H146" i="1"/>
  <c r="H146" i="4" s="1"/>
  <c r="H204" i="1"/>
  <c r="H204" i="4" s="1"/>
  <c r="H89" i="1"/>
  <c r="H89" i="4" s="1"/>
  <c r="H130" i="1"/>
  <c r="H130" i="4" s="1"/>
  <c r="G349" i="1"/>
  <c r="G349" i="4" s="1"/>
  <c r="H369" i="1"/>
  <c r="H369" i="4" s="1"/>
  <c r="H377" i="1"/>
  <c r="H377" i="4" s="1"/>
  <c r="H416" i="1"/>
  <c r="H416" i="4" s="1"/>
  <c r="H102" i="1"/>
  <c r="H102" i="4" s="1"/>
  <c r="H138" i="1"/>
  <c r="H138" i="4" s="1"/>
  <c r="H192" i="1"/>
  <c r="H192" i="4" s="1"/>
  <c r="G233" i="1"/>
  <c r="G233" i="4" s="1"/>
  <c r="G241" i="1"/>
  <c r="G241" i="4" s="1"/>
  <c r="H268" i="1"/>
  <c r="H268" i="4" s="1"/>
  <c r="I275" i="4"/>
  <c r="H312" i="1"/>
  <c r="H312" i="4" s="1"/>
  <c r="H320" i="1"/>
  <c r="H320" i="4" s="1"/>
  <c r="G398" i="1"/>
  <c r="G398" i="4" s="1"/>
  <c r="H427" i="1"/>
  <c r="H427" i="4" s="1"/>
  <c r="H434" i="1"/>
  <c r="H434" i="4" s="1"/>
  <c r="G262" i="1"/>
  <c r="G262" i="4" s="1"/>
  <c r="H149" i="1"/>
  <c r="G158" i="1"/>
  <c r="G158" i="4" s="1"/>
  <c r="H186" i="1"/>
  <c r="H186" i="4" s="1"/>
  <c r="H253" i="1"/>
  <c r="H253" i="4" s="1"/>
  <c r="H276" i="1"/>
  <c r="H276" i="4" s="1"/>
  <c r="H28" i="1"/>
  <c r="H28" i="4" s="1"/>
  <c r="G217" i="1"/>
  <c r="G217" i="4" s="1"/>
  <c r="G314" i="1"/>
  <c r="G314" i="4" s="1"/>
  <c r="G322" i="1"/>
  <c r="G322" i="4" s="1"/>
  <c r="G429" i="1"/>
  <c r="G429" i="4" s="1"/>
  <c r="G436" i="1"/>
  <c r="G436" i="4" s="1"/>
  <c r="G330" i="1"/>
  <c r="G330" i="4" s="1"/>
  <c r="G180" i="1"/>
  <c r="G180" i="4" s="1"/>
  <c r="G188" i="1"/>
  <c r="G188" i="4" s="1"/>
  <c r="H209" i="1"/>
  <c r="G255" i="1"/>
  <c r="G255" i="4" s="1"/>
  <c r="H330" i="1"/>
  <c r="H330" i="4" s="1"/>
  <c r="H358" i="1"/>
  <c r="H358" i="4" s="1"/>
  <c r="H295" i="1"/>
  <c r="H295" i="4" s="1"/>
  <c r="H219" i="1"/>
  <c r="H219" i="4" s="1"/>
  <c r="H228" i="1"/>
  <c r="H228" i="4" s="1"/>
  <c r="H246" i="1"/>
  <c r="H316" i="1"/>
  <c r="H316" i="4" s="1"/>
  <c r="H324" i="1"/>
  <c r="H324" i="4" s="1"/>
  <c r="H340" i="1"/>
  <c r="H340" i="4" s="1"/>
  <c r="H438" i="1"/>
  <c r="H438" i="4" s="1"/>
  <c r="H447" i="1"/>
  <c r="H447" i="4" s="1"/>
  <c r="H46" i="1"/>
  <c r="H46" i="4" s="1"/>
  <c r="H167" i="1"/>
  <c r="H167" i="4" s="1"/>
  <c r="G272" i="1"/>
  <c r="G272" i="4" s="1"/>
  <c r="G309" i="1"/>
  <c r="G309" i="4" s="1"/>
  <c r="H72" i="1"/>
  <c r="H72" i="4" s="1"/>
  <c r="H81" i="1"/>
  <c r="H81" i="4" s="1"/>
  <c r="H109" i="1"/>
  <c r="H109" i="4" s="1"/>
  <c r="H153" i="1"/>
  <c r="H153" i="4" s="1"/>
  <c r="H182" i="1"/>
  <c r="H182" i="4" s="1"/>
  <c r="H257" i="1"/>
  <c r="H257" i="4" s="1"/>
  <c r="H351" i="1"/>
  <c r="H432" i="1"/>
  <c r="H432" i="4" s="1"/>
  <c r="H474" i="1"/>
  <c r="H474" i="4" s="1"/>
  <c r="H482" i="1"/>
  <c r="H482" i="4" s="1"/>
  <c r="G136" i="1"/>
  <c r="G136" i="4" s="1"/>
  <c r="G197" i="1"/>
  <c r="G197" i="4" s="1"/>
  <c r="G230" i="1"/>
  <c r="G230" i="4" s="1"/>
  <c r="H239" i="1"/>
  <c r="H239" i="4" s="1"/>
  <c r="H396" i="1"/>
  <c r="H396" i="4" s="1"/>
  <c r="I215" i="4"/>
  <c r="I442" i="4"/>
  <c r="I458" i="4"/>
  <c r="I36" i="1"/>
  <c r="G36" i="4"/>
  <c r="I37" i="1"/>
  <c r="G37" i="4"/>
  <c r="I37" i="4" s="1"/>
  <c r="I38" i="1"/>
  <c r="G38" i="4"/>
  <c r="I39" i="1"/>
  <c r="G39" i="4"/>
  <c r="I40" i="1"/>
  <c r="G40" i="4"/>
  <c r="I40" i="4" s="1"/>
  <c r="I41" i="1"/>
  <c r="G41" i="4"/>
  <c r="I41" i="4" s="1"/>
  <c r="I45" i="1"/>
  <c r="G45" i="4"/>
  <c r="G52" i="1"/>
  <c r="G52" i="4" s="1"/>
  <c r="I52" i="4" s="1"/>
  <c r="G53" i="4"/>
  <c r="I53" i="4" s="1"/>
  <c r="G54" i="4"/>
  <c r="H54" i="1"/>
  <c r="H54" i="4" s="1"/>
  <c r="H55" i="4"/>
  <c r="I66" i="1"/>
  <c r="G66" i="4"/>
  <c r="I67" i="1"/>
  <c r="G67" i="4"/>
  <c r="I67" i="4" s="1"/>
  <c r="G72" i="1"/>
  <c r="G72" i="4" s="1"/>
  <c r="G73" i="4"/>
  <c r="I73" i="4" s="1"/>
  <c r="G74" i="4"/>
  <c r="H74" i="1"/>
  <c r="H74" i="4" s="1"/>
  <c r="H75" i="4"/>
  <c r="I80" i="1"/>
  <c r="G80" i="4"/>
  <c r="I84" i="1"/>
  <c r="G84" i="4"/>
  <c r="G89" i="1"/>
  <c r="G89" i="4" s="1"/>
  <c r="G90" i="4"/>
  <c r="I90" i="4" s="1"/>
  <c r="G91" i="4"/>
  <c r="H91" i="1"/>
  <c r="H91" i="4" s="1"/>
  <c r="H92" i="4"/>
  <c r="G93" i="1"/>
  <c r="G94" i="4"/>
  <c r="I94" i="4" s="1"/>
  <c r="G95" i="4"/>
  <c r="H95" i="1"/>
  <c r="H95" i="4" s="1"/>
  <c r="H96" i="4"/>
  <c r="G97" i="1"/>
  <c r="G98" i="4"/>
  <c r="I98" i="4" s="1"/>
  <c r="G99" i="4"/>
  <c r="H99" i="1"/>
  <c r="H99" i="4" s="1"/>
  <c r="H100" i="4"/>
  <c r="G102" i="1"/>
  <c r="G103" i="4"/>
  <c r="I103" i="4" s="1"/>
  <c r="G104" i="4"/>
  <c r="H104" i="1"/>
  <c r="H104" i="4" s="1"/>
  <c r="H105" i="4"/>
  <c r="I108" i="1"/>
  <c r="G108" i="4"/>
  <c r="G112" i="1"/>
  <c r="G112" i="4" s="1"/>
  <c r="I112" i="4" s="1"/>
  <c r="G113" i="4"/>
  <c r="I113" i="4" s="1"/>
  <c r="G114" i="4"/>
  <c r="H114" i="1"/>
  <c r="H114" i="4" s="1"/>
  <c r="H115" i="4"/>
  <c r="I118" i="1"/>
  <c r="G118" i="4"/>
  <c r="H121" i="1"/>
  <c r="H122" i="4"/>
  <c r="G123" i="1"/>
  <c r="G123" i="4" s="1"/>
  <c r="I123" i="4" s="1"/>
  <c r="G124" i="4"/>
  <c r="I124" i="4" s="1"/>
  <c r="G126" i="1"/>
  <c r="G127" i="4"/>
  <c r="I127" i="4" s="1"/>
  <c r="G128" i="4"/>
  <c r="H128" i="1"/>
  <c r="H128" i="4" s="1"/>
  <c r="H129" i="4"/>
  <c r="G130" i="1"/>
  <c r="G131" i="4"/>
  <c r="I131" i="4" s="1"/>
  <c r="I132" i="1"/>
  <c r="G132" i="4"/>
  <c r="I132" i="4" s="1"/>
  <c r="I133" i="1"/>
  <c r="G133" i="4"/>
  <c r="I133" i="4" s="1"/>
  <c r="I134" i="1"/>
  <c r="G134" i="4"/>
  <c r="I134" i="4" s="1"/>
  <c r="I135" i="1"/>
  <c r="G135" i="4"/>
  <c r="I135" i="4" s="1"/>
  <c r="I141" i="1"/>
  <c r="G141" i="4"/>
  <c r="H144" i="1"/>
  <c r="H145" i="4"/>
  <c r="I145" i="4" s="1"/>
  <c r="G146" i="1"/>
  <c r="G146" i="4" s="1"/>
  <c r="I146" i="4" s="1"/>
  <c r="G147" i="4"/>
  <c r="I147" i="4" s="1"/>
  <c r="G149" i="1"/>
  <c r="G150" i="4"/>
  <c r="I150" i="4" s="1"/>
  <c r="G151" i="4"/>
  <c r="H151" i="1"/>
  <c r="H151" i="4" s="1"/>
  <c r="H152" i="4"/>
  <c r="G153" i="1"/>
  <c r="G154" i="4"/>
  <c r="I154" i="4" s="1"/>
  <c r="H158" i="1"/>
  <c r="H159" i="4"/>
  <c r="I159" i="4" s="1"/>
  <c r="G167" i="1"/>
  <c r="G168" i="4"/>
  <c r="I168" i="4" s="1"/>
  <c r="I169" i="1"/>
  <c r="G169" i="4"/>
  <c r="I169" i="4" s="1"/>
  <c r="I170" i="1"/>
  <c r="G170" i="4"/>
  <c r="I170" i="4" s="1"/>
  <c r="I171" i="1"/>
  <c r="G171" i="4"/>
  <c r="I171" i="4" s="1"/>
  <c r="I172" i="1"/>
  <c r="G172" i="4"/>
  <c r="I172" i="4" s="1"/>
  <c r="I173" i="1"/>
  <c r="G173" i="4"/>
  <c r="I173" i="4" s="1"/>
  <c r="I174" i="1"/>
  <c r="G174" i="4"/>
  <c r="I175" i="1"/>
  <c r="G175" i="4"/>
  <c r="I175" i="4" s="1"/>
  <c r="I176" i="1"/>
  <c r="G176" i="4"/>
  <c r="I176" i="4" s="1"/>
  <c r="H180" i="1"/>
  <c r="H181" i="4"/>
  <c r="I181" i="4" s="1"/>
  <c r="G182" i="1"/>
  <c r="G182" i="4" s="1"/>
  <c r="I182" i="4" s="1"/>
  <c r="G183" i="4"/>
  <c r="I183" i="4" s="1"/>
  <c r="G184" i="4"/>
  <c r="H184" i="1"/>
  <c r="H184" i="4" s="1"/>
  <c r="H185" i="4"/>
  <c r="G186" i="1"/>
  <c r="G187" i="4"/>
  <c r="I187" i="4" s="1"/>
  <c r="I190" i="1"/>
  <c r="G190" i="4"/>
  <c r="I190" i="4" s="1"/>
  <c r="H197" i="1"/>
  <c r="H198" i="4"/>
  <c r="G204" i="1"/>
  <c r="G205" i="4"/>
  <c r="I205" i="4" s="1"/>
  <c r="I206" i="1"/>
  <c r="G206" i="4"/>
  <c r="I206" i="4" s="1"/>
  <c r="I207" i="1"/>
  <c r="G207" i="4"/>
  <c r="I207" i="4" s="1"/>
  <c r="H208" i="1"/>
  <c r="H208" i="4" s="1"/>
  <c r="H209" i="4"/>
  <c r="I216" i="1"/>
  <c r="G216" i="4"/>
  <c r="I216" i="4" s="1"/>
  <c r="I224" i="1"/>
  <c r="G224" i="4"/>
  <c r="G226" i="4"/>
  <c r="H226" i="1"/>
  <c r="H226" i="4" s="1"/>
  <c r="H227" i="4"/>
  <c r="G228" i="1"/>
  <c r="G229" i="4"/>
  <c r="I229" i="4" s="1"/>
  <c r="H233" i="1"/>
  <c r="H234" i="4"/>
  <c r="G235" i="1"/>
  <c r="G235" i="4" s="1"/>
  <c r="I235" i="4" s="1"/>
  <c r="G236" i="4"/>
  <c r="I236" i="4" s="1"/>
  <c r="G237" i="4"/>
  <c r="H237" i="1"/>
  <c r="H237" i="4" s="1"/>
  <c r="H238" i="4"/>
  <c r="G239" i="1"/>
  <c r="G240" i="4"/>
  <c r="I240" i="4" s="1"/>
  <c r="H246" i="4"/>
  <c r="I249" i="1"/>
  <c r="G249" i="4"/>
  <c r="G251" i="4"/>
  <c r="H251" i="1"/>
  <c r="H251" i="4" s="1"/>
  <c r="H252" i="4"/>
  <c r="G253" i="1"/>
  <c r="G254" i="4"/>
  <c r="I254" i="4" s="1"/>
  <c r="I260" i="1"/>
  <c r="G260" i="4"/>
  <c r="G268" i="1"/>
  <c r="G269" i="4"/>
  <c r="I269" i="4" s="1"/>
  <c r="I270" i="1"/>
  <c r="G270" i="4"/>
  <c r="I270" i="4" s="1"/>
  <c r="I271" i="1"/>
  <c r="G271" i="4"/>
  <c r="I271" i="4" s="1"/>
  <c r="I274" i="1"/>
  <c r="G274" i="4"/>
  <c r="I274" i="4" s="1"/>
  <c r="I285" i="1"/>
  <c r="G285" i="4"/>
  <c r="G287" i="4"/>
  <c r="G295" i="1"/>
  <c r="G296" i="4"/>
  <c r="I296" i="4" s="1"/>
  <c r="I297" i="1"/>
  <c r="G297" i="4"/>
  <c r="I298" i="1"/>
  <c r="G298" i="4"/>
  <c r="I298" i="4" s="1"/>
  <c r="I299" i="1"/>
  <c r="G299" i="4"/>
  <c r="I300" i="1"/>
  <c r="G300" i="4"/>
  <c r="I301" i="1"/>
  <c r="G301" i="4"/>
  <c r="I301" i="4" s="1"/>
  <c r="I302" i="1"/>
  <c r="G302" i="4"/>
  <c r="I302" i="4" s="1"/>
  <c r="H306" i="1"/>
  <c r="H307" i="4"/>
  <c r="I307" i="4" s="1"/>
  <c r="I311" i="1"/>
  <c r="G311" i="4"/>
  <c r="I311" i="4" s="1"/>
  <c r="H314" i="1"/>
  <c r="H315" i="4"/>
  <c r="G316" i="1"/>
  <c r="G316" i="4" s="1"/>
  <c r="G317" i="4"/>
  <c r="I317" i="4" s="1"/>
  <c r="G318" i="4"/>
  <c r="H318" i="1"/>
  <c r="H318" i="4" s="1"/>
  <c r="H319" i="4"/>
  <c r="G320" i="1"/>
  <c r="G321" i="4"/>
  <c r="I321" i="4" s="1"/>
  <c r="H327" i="1"/>
  <c r="H328" i="4"/>
  <c r="I328" i="4" s="1"/>
  <c r="I343" i="1"/>
  <c r="G343" i="4"/>
  <c r="H346" i="1"/>
  <c r="H347" i="4"/>
  <c r="H349" i="1"/>
  <c r="H350" i="4"/>
  <c r="I350" i="4" s="1"/>
  <c r="G351" i="1"/>
  <c r="G351" i="4" s="1"/>
  <c r="G352" i="4"/>
  <c r="I352" i="4" s="1"/>
  <c r="G353" i="4"/>
  <c r="H353" i="1"/>
  <c r="H353" i="4" s="1"/>
  <c r="H354" i="4"/>
  <c r="G355" i="1"/>
  <c r="G348" i="1" s="1"/>
  <c r="G356" i="4"/>
  <c r="I356" i="4" s="1"/>
  <c r="H360" i="1"/>
  <c r="H361" i="4"/>
  <c r="I361" i="4" s="1"/>
  <c r="G362" i="1"/>
  <c r="G362" i="4" s="1"/>
  <c r="I362" i="4" s="1"/>
  <c r="G363" i="4"/>
  <c r="I363" i="4" s="1"/>
  <c r="G364" i="4"/>
  <c r="H364" i="1"/>
  <c r="H364" i="4" s="1"/>
  <c r="H365" i="4"/>
  <c r="I368" i="1"/>
  <c r="G368" i="4"/>
  <c r="H371" i="1"/>
  <c r="H372" i="4"/>
  <c r="I372" i="4" s="1"/>
  <c r="G373" i="1"/>
  <c r="G373" i="4" s="1"/>
  <c r="I373" i="4" s="1"/>
  <c r="G374" i="4"/>
  <c r="I374" i="4" s="1"/>
  <c r="G375" i="4"/>
  <c r="H375" i="1"/>
  <c r="H375" i="4" s="1"/>
  <c r="H376" i="4"/>
  <c r="G377" i="1"/>
  <c r="G378" i="4"/>
  <c r="I378" i="4" s="1"/>
  <c r="G384" i="1"/>
  <c r="G384" i="4" s="1"/>
  <c r="G385" i="4"/>
  <c r="I385" i="4" s="1"/>
  <c r="G386" i="4"/>
  <c r="H386" i="1"/>
  <c r="H386" i="4" s="1"/>
  <c r="H387" i="4"/>
  <c r="G388" i="1"/>
  <c r="G389" i="4"/>
  <c r="I389" i="4" s="1"/>
  <c r="I395" i="1"/>
  <c r="G395" i="4"/>
  <c r="H398" i="1"/>
  <c r="H399" i="4"/>
  <c r="I404" i="1"/>
  <c r="G404" i="4"/>
  <c r="H406" i="1"/>
  <c r="H406" i="4" s="1"/>
  <c r="I406" i="4" s="1"/>
  <c r="H407" i="4"/>
  <c r="G408" i="1"/>
  <c r="G409" i="4"/>
  <c r="I409" i="4" s="1"/>
  <c r="I415" i="1"/>
  <c r="G415" i="4"/>
  <c r="H418" i="1"/>
  <c r="H419" i="4"/>
  <c r="I419" i="4" s="1"/>
  <c r="G420" i="1"/>
  <c r="G420" i="4" s="1"/>
  <c r="I420" i="4" s="1"/>
  <c r="G421" i="4"/>
  <c r="I421" i="4" s="1"/>
  <c r="G422" i="4"/>
  <c r="H422" i="1"/>
  <c r="H422" i="4" s="1"/>
  <c r="H423" i="4"/>
  <c r="I426" i="1"/>
  <c r="G426" i="4"/>
  <c r="H429" i="1"/>
  <c r="H430" i="4"/>
  <c r="I430" i="4" s="1"/>
  <c r="G432" i="1"/>
  <c r="G433" i="4"/>
  <c r="I433" i="4" s="1"/>
  <c r="G434" i="4"/>
  <c r="I435" i="1"/>
  <c r="G435" i="4"/>
  <c r="I435" i="4" s="1"/>
  <c r="I441" i="1"/>
  <c r="G441" i="4"/>
  <c r="I443" i="1"/>
  <c r="G443" i="4"/>
  <c r="I443" i="4" s="1"/>
  <c r="G447" i="1"/>
  <c r="G447" i="4" s="1"/>
  <c r="I447" i="4" s="1"/>
  <c r="G448" i="4"/>
  <c r="I448" i="4" s="1"/>
  <c r="I449" i="1"/>
  <c r="G449" i="4"/>
  <c r="I449" i="4" s="1"/>
  <c r="G453" i="1"/>
  <c r="G453" i="4" s="1"/>
  <c r="I453" i="4" s="1"/>
  <c r="G454" i="4"/>
  <c r="I454" i="4" s="1"/>
  <c r="G455" i="4"/>
  <c r="H455" i="1"/>
  <c r="H455" i="4" s="1"/>
  <c r="H456" i="4"/>
  <c r="I459" i="1"/>
  <c r="G459" i="4"/>
  <c r="I459" i="4" s="1"/>
  <c r="I460" i="1"/>
  <c r="G460" i="4"/>
  <c r="H465" i="1"/>
  <c r="H466" i="4"/>
  <c r="G467" i="1"/>
  <c r="G467" i="4" s="1"/>
  <c r="I467" i="4" s="1"/>
  <c r="G468" i="4"/>
  <c r="I468" i="4" s="1"/>
  <c r="G469" i="4"/>
  <c r="H469" i="1"/>
  <c r="H469" i="4" s="1"/>
  <c r="H470" i="4"/>
  <c r="G471" i="1"/>
  <c r="G472" i="4"/>
  <c r="I472" i="4" s="1"/>
  <c r="H476" i="1"/>
  <c r="H477" i="4"/>
  <c r="I477" i="4" s="1"/>
  <c r="G478" i="1"/>
  <c r="G478" i="4" s="1"/>
  <c r="I478" i="4" s="1"/>
  <c r="G479" i="4"/>
  <c r="I479" i="4" s="1"/>
  <c r="G480" i="4"/>
  <c r="H480" i="1"/>
  <c r="H480" i="4" s="1"/>
  <c r="H481" i="4"/>
  <c r="G482" i="1"/>
  <c r="G483" i="4"/>
  <c r="I483" i="4" s="1"/>
  <c r="I489" i="1"/>
  <c r="G489" i="4"/>
  <c r="G493" i="1"/>
  <c r="G493" i="4" s="1"/>
  <c r="I493" i="4" s="1"/>
  <c r="G494" i="4"/>
  <c r="I494" i="4" s="1"/>
  <c r="H498" i="1"/>
  <c r="H499" i="4"/>
  <c r="G500" i="1"/>
  <c r="G500" i="4" s="1"/>
  <c r="I500" i="4" s="1"/>
  <c r="G501" i="4"/>
  <c r="I501" i="4" s="1"/>
  <c r="I17" i="1"/>
  <c r="G15" i="4"/>
  <c r="I17" i="4" s="1"/>
  <c r="G28" i="4"/>
  <c r="I29" i="1"/>
  <c r="G29" i="4"/>
  <c r="I29" i="4" s="1"/>
  <c r="I30" i="1"/>
  <c r="G30" i="4"/>
  <c r="I30" i="4" s="1"/>
  <c r="I31" i="1"/>
  <c r="G31" i="4"/>
  <c r="I31" i="4" s="1"/>
  <c r="I32" i="1"/>
  <c r="G32" i="4"/>
  <c r="I32" i="4" s="1"/>
  <c r="I33" i="1"/>
  <c r="G33" i="4"/>
  <c r="I33" i="4" s="1"/>
  <c r="I34" i="1"/>
  <c r="G34" i="4"/>
  <c r="I34" i="4" s="1"/>
  <c r="G35" i="1"/>
  <c r="H35" i="1"/>
  <c r="H36" i="4"/>
  <c r="I38" i="4"/>
  <c r="I39" i="4"/>
  <c r="G42" i="1"/>
  <c r="G42" i="4" s="1"/>
  <c r="I42" i="4" s="1"/>
  <c r="G43" i="4"/>
  <c r="I43" i="4" s="1"/>
  <c r="G44" i="1"/>
  <c r="H44" i="1"/>
  <c r="H44" i="4" s="1"/>
  <c r="H45" i="4"/>
  <c r="G46" i="1"/>
  <c r="G47" i="4"/>
  <c r="I47" i="4" s="1"/>
  <c r="I48" i="1"/>
  <c r="G48" i="4"/>
  <c r="I48" i="4" s="1"/>
  <c r="I49" i="1"/>
  <c r="G49" i="4"/>
  <c r="I49" i="4" s="1"/>
  <c r="I50" i="1"/>
  <c r="G50" i="4"/>
  <c r="I50" i="4" s="1"/>
  <c r="I55" i="1"/>
  <c r="G55" i="4"/>
  <c r="I56" i="1"/>
  <c r="G56" i="4"/>
  <c r="I56" i="4" s="1"/>
  <c r="I57" i="1"/>
  <c r="G57" i="4"/>
  <c r="I57" i="4" s="1"/>
  <c r="I58" i="1"/>
  <c r="G58" i="4"/>
  <c r="I58" i="4" s="1"/>
  <c r="I59" i="1"/>
  <c r="G59" i="4"/>
  <c r="I59" i="4" s="1"/>
  <c r="I60" i="1"/>
  <c r="G60" i="4"/>
  <c r="I60" i="4" s="1"/>
  <c r="I61" i="1"/>
  <c r="G61" i="4"/>
  <c r="I61" i="4" s="1"/>
  <c r="I62" i="1"/>
  <c r="G62" i="4"/>
  <c r="I62" i="4" s="1"/>
  <c r="I63" i="1"/>
  <c r="G63" i="4"/>
  <c r="I63" i="4" s="1"/>
  <c r="G65" i="1"/>
  <c r="H65" i="1"/>
  <c r="H66" i="4"/>
  <c r="G68" i="1"/>
  <c r="G69" i="4"/>
  <c r="I69" i="4" s="1"/>
  <c r="I70" i="1"/>
  <c r="G70" i="4"/>
  <c r="I70" i="4" s="1"/>
  <c r="I75" i="1"/>
  <c r="G75" i="4"/>
  <c r="I76" i="1"/>
  <c r="G76" i="4"/>
  <c r="I76" i="4" s="1"/>
  <c r="I77" i="1"/>
  <c r="G77" i="4"/>
  <c r="I77" i="4" s="1"/>
  <c r="G79" i="1"/>
  <c r="H79" i="1"/>
  <c r="H80" i="4"/>
  <c r="I80" i="4" s="1"/>
  <c r="G81" i="1"/>
  <c r="G82" i="4"/>
  <c r="I82" i="4" s="1"/>
  <c r="G83" i="1"/>
  <c r="H83" i="1"/>
  <c r="H83" i="4" s="1"/>
  <c r="H84" i="4"/>
  <c r="G85" i="1"/>
  <c r="G86" i="4"/>
  <c r="I86" i="4" s="1"/>
  <c r="I92" i="1"/>
  <c r="G92" i="4"/>
  <c r="I96" i="1"/>
  <c r="G96" i="4"/>
  <c r="I100" i="1"/>
  <c r="G100" i="4"/>
  <c r="I101" i="1"/>
  <c r="G101" i="4"/>
  <c r="I101" i="4" s="1"/>
  <c r="I105" i="1"/>
  <c r="G105" i="4"/>
  <c r="G107" i="1"/>
  <c r="H107" i="1"/>
  <c r="H108" i="4"/>
  <c r="I108" i="4" s="1"/>
  <c r="G109" i="1"/>
  <c r="G110" i="4"/>
  <c r="I110" i="4" s="1"/>
  <c r="I115" i="1"/>
  <c r="G115" i="4"/>
  <c r="G117" i="1"/>
  <c r="H117" i="1"/>
  <c r="H118" i="4"/>
  <c r="I118" i="4" s="1"/>
  <c r="G119" i="1"/>
  <c r="G120" i="4"/>
  <c r="I120" i="4" s="1"/>
  <c r="I122" i="4"/>
  <c r="H126" i="4"/>
  <c r="I129" i="1"/>
  <c r="G129" i="4"/>
  <c r="H136" i="1"/>
  <c r="H136" i="4" s="1"/>
  <c r="H137" i="4"/>
  <c r="I137" i="4" s="1"/>
  <c r="G138" i="1"/>
  <c r="G138" i="4" s="1"/>
  <c r="G139" i="4"/>
  <c r="I139" i="4" s="1"/>
  <c r="G140" i="1"/>
  <c r="H140" i="1"/>
  <c r="H140" i="4" s="1"/>
  <c r="H141" i="4"/>
  <c r="G142" i="1"/>
  <c r="G143" i="4"/>
  <c r="I143" i="4" s="1"/>
  <c r="H149" i="4"/>
  <c r="I152" i="1"/>
  <c r="G152" i="4"/>
  <c r="H155" i="1"/>
  <c r="H155" i="4" s="1"/>
  <c r="I155" i="4" s="1"/>
  <c r="H156" i="4"/>
  <c r="I156" i="4" s="1"/>
  <c r="I160" i="1"/>
  <c r="G160" i="4"/>
  <c r="I160" i="4" s="1"/>
  <c r="I161" i="4"/>
  <c r="I162" i="1"/>
  <c r="G162" i="4"/>
  <c r="I162" i="4" s="1"/>
  <c r="I163" i="4"/>
  <c r="I164" i="1"/>
  <c r="G164" i="4"/>
  <c r="I164" i="4" s="1"/>
  <c r="I165" i="4"/>
  <c r="I166" i="1"/>
  <c r="G166" i="4"/>
  <c r="I166" i="4" s="1"/>
  <c r="I174" i="4"/>
  <c r="H177" i="1"/>
  <c r="H177" i="4" s="1"/>
  <c r="I177" i="4" s="1"/>
  <c r="H178" i="4"/>
  <c r="I178" i="4" s="1"/>
  <c r="I185" i="1"/>
  <c r="G185" i="4"/>
  <c r="H188" i="1"/>
  <c r="H188" i="4" s="1"/>
  <c r="I188" i="4" s="1"/>
  <c r="H189" i="4"/>
  <c r="I189" i="4" s="1"/>
  <c r="I193" i="4"/>
  <c r="I194" i="1"/>
  <c r="G194" i="4"/>
  <c r="I194" i="4" s="1"/>
  <c r="I195" i="1"/>
  <c r="G195" i="4"/>
  <c r="I195" i="4" s="1"/>
  <c r="I196" i="1"/>
  <c r="G196" i="4"/>
  <c r="I196" i="4" s="1"/>
  <c r="I198" i="4"/>
  <c r="I199" i="1"/>
  <c r="G199" i="4"/>
  <c r="I199" i="4" s="1"/>
  <c r="I200" i="4"/>
  <c r="I201" i="1"/>
  <c r="G201" i="4"/>
  <c r="I201" i="4" s="1"/>
  <c r="I202" i="4"/>
  <c r="I203" i="1"/>
  <c r="G203" i="4"/>
  <c r="I203" i="4" s="1"/>
  <c r="G209" i="1"/>
  <c r="G210" i="4"/>
  <c r="I210" i="4" s="1"/>
  <c r="I211" i="1"/>
  <c r="G211" i="4"/>
  <c r="I211" i="4" s="1"/>
  <c r="H217" i="1"/>
  <c r="H217" i="4" s="1"/>
  <c r="I217" i="4" s="1"/>
  <c r="H218" i="4"/>
  <c r="I218" i="4" s="1"/>
  <c r="I220" i="4"/>
  <c r="I221" i="1"/>
  <c r="G221" i="4"/>
  <c r="I221" i="4" s="1"/>
  <c r="I222" i="1"/>
  <c r="G222" i="4"/>
  <c r="I222" i="4" s="1"/>
  <c r="G223" i="1"/>
  <c r="H223" i="1"/>
  <c r="H223" i="4" s="1"/>
  <c r="H224" i="4"/>
  <c r="I224" i="4" s="1"/>
  <c r="I227" i="1"/>
  <c r="G227" i="4"/>
  <c r="H230" i="1"/>
  <c r="H231" i="4"/>
  <c r="I231" i="4" s="1"/>
  <c r="I234" i="4"/>
  <c r="I238" i="1"/>
  <c r="G238" i="4"/>
  <c r="I238" i="4" s="1"/>
  <c r="H241" i="1"/>
  <c r="H241" i="4" s="1"/>
  <c r="I241" i="4" s="1"/>
  <c r="H242" i="4"/>
  <c r="I242" i="4" s="1"/>
  <c r="G243" i="1"/>
  <c r="G243" i="4" s="1"/>
  <c r="I243" i="4" s="1"/>
  <c r="G244" i="4"/>
  <c r="I244" i="4" s="1"/>
  <c r="G246" i="1"/>
  <c r="G247" i="4"/>
  <c r="I247" i="4" s="1"/>
  <c r="G248" i="1"/>
  <c r="H248" i="1"/>
  <c r="H248" i="4" s="1"/>
  <c r="H249" i="4"/>
  <c r="I252" i="1"/>
  <c r="G252" i="4"/>
  <c r="H255" i="1"/>
  <c r="H256" i="4"/>
  <c r="I256" i="4" s="1"/>
  <c r="G257" i="1"/>
  <c r="G257" i="4" s="1"/>
  <c r="G258" i="4"/>
  <c r="I258" i="4" s="1"/>
  <c r="G259" i="1"/>
  <c r="H259" i="1"/>
  <c r="H259" i="4" s="1"/>
  <c r="H260" i="4"/>
  <c r="I263" i="1"/>
  <c r="G263" i="4"/>
  <c r="I263" i="4" s="1"/>
  <c r="I264" i="4"/>
  <c r="I265" i="1"/>
  <c r="G265" i="4"/>
  <c r="I265" i="4" s="1"/>
  <c r="I266" i="4"/>
  <c r="I267" i="1"/>
  <c r="G267" i="4"/>
  <c r="I267" i="4" s="1"/>
  <c r="H272" i="1"/>
  <c r="H272" i="4" s="1"/>
  <c r="H273" i="4"/>
  <c r="I273" i="4" s="1"/>
  <c r="I277" i="4"/>
  <c r="I278" i="1"/>
  <c r="G278" i="4"/>
  <c r="I278" i="4" s="1"/>
  <c r="I279" i="1"/>
  <c r="G279" i="4"/>
  <c r="I279" i="4" s="1"/>
  <c r="I280" i="1"/>
  <c r="G280" i="4"/>
  <c r="I280" i="4" s="1"/>
  <c r="I281" i="1"/>
  <c r="G281" i="4"/>
  <c r="I281" i="4" s="1"/>
  <c r="I282" i="1"/>
  <c r="G282" i="4"/>
  <c r="I282" i="4" s="1"/>
  <c r="I283" i="1"/>
  <c r="G283" i="4"/>
  <c r="I283" i="4" s="1"/>
  <c r="G284" i="1"/>
  <c r="H284" i="1"/>
  <c r="H284" i="4" s="1"/>
  <c r="H285" i="4"/>
  <c r="I288" i="1"/>
  <c r="G288" i="4"/>
  <c r="I288" i="4" s="1"/>
  <c r="I289" i="4"/>
  <c r="I290" i="1"/>
  <c r="G290" i="4"/>
  <c r="I290" i="4" s="1"/>
  <c r="I291" i="4"/>
  <c r="I292" i="1"/>
  <c r="G292" i="4"/>
  <c r="I292" i="4" s="1"/>
  <c r="I293" i="4"/>
  <c r="I294" i="1"/>
  <c r="G294" i="4"/>
  <c r="I294" i="4" s="1"/>
  <c r="I297" i="4"/>
  <c r="I299" i="4"/>
  <c r="I300" i="4"/>
  <c r="G304" i="1"/>
  <c r="G305" i="4"/>
  <c r="I305" i="4" s="1"/>
  <c r="H309" i="1"/>
  <c r="H310" i="4"/>
  <c r="I310" i="4" s="1"/>
  <c r="G312" i="1"/>
  <c r="G313" i="4"/>
  <c r="I313" i="4" s="1"/>
  <c r="I315" i="4"/>
  <c r="I319" i="1"/>
  <c r="G319" i="4"/>
  <c r="I319" i="4" s="1"/>
  <c r="H322" i="1"/>
  <c r="H322" i="4" s="1"/>
  <c r="I322" i="4" s="1"/>
  <c r="H323" i="4"/>
  <c r="I323" i="4" s="1"/>
  <c r="I325" i="4"/>
  <c r="I326" i="1"/>
  <c r="G326" i="4"/>
  <c r="I326" i="4" s="1"/>
  <c r="I329" i="1"/>
  <c r="G329" i="4"/>
  <c r="I329" i="4" s="1"/>
  <c r="I331" i="1"/>
  <c r="G331" i="4"/>
  <c r="I331" i="4" s="1"/>
  <c r="I332" i="4"/>
  <c r="I333" i="1"/>
  <c r="G333" i="4"/>
  <c r="I333" i="4" s="1"/>
  <c r="I334" i="4"/>
  <c r="I335" i="1"/>
  <c r="G335" i="4"/>
  <c r="I335" i="4" s="1"/>
  <c r="G338" i="1"/>
  <c r="H338" i="1"/>
  <c r="H338" i="4" s="1"/>
  <c r="H339" i="4"/>
  <c r="I339" i="4" s="1"/>
  <c r="G340" i="1"/>
  <c r="G340" i="4" s="1"/>
  <c r="G341" i="4"/>
  <c r="I341" i="4" s="1"/>
  <c r="G342" i="1"/>
  <c r="H342" i="1"/>
  <c r="H342" i="4" s="1"/>
  <c r="H343" i="4"/>
  <c r="I343" i="4" s="1"/>
  <c r="G344" i="1"/>
  <c r="G345" i="4"/>
  <c r="I345" i="4" s="1"/>
  <c r="I347" i="4"/>
  <c r="H351" i="4"/>
  <c r="I354" i="1"/>
  <c r="G354" i="4"/>
  <c r="G358" i="1"/>
  <c r="G358" i="4" s="1"/>
  <c r="G359" i="4"/>
  <c r="I359" i="4" s="1"/>
  <c r="I365" i="1"/>
  <c r="G365" i="4"/>
  <c r="G367" i="1"/>
  <c r="G367" i="4" s="1"/>
  <c r="H367" i="1"/>
  <c r="H367" i="4" s="1"/>
  <c r="H368" i="4"/>
  <c r="G369" i="1"/>
  <c r="G370" i="4"/>
  <c r="I370" i="4" s="1"/>
  <c r="I376" i="1"/>
  <c r="G376" i="4"/>
  <c r="H379" i="1"/>
  <c r="H379" i="4" s="1"/>
  <c r="I379" i="4" s="1"/>
  <c r="H380" i="4"/>
  <c r="I380" i="4" s="1"/>
  <c r="G381" i="1"/>
  <c r="G381" i="4" s="1"/>
  <c r="I381" i="4" s="1"/>
  <c r="G382" i="4"/>
  <c r="I382" i="4" s="1"/>
  <c r="H384" i="4"/>
  <c r="I387" i="1"/>
  <c r="G387" i="4"/>
  <c r="H390" i="1"/>
  <c r="H390" i="4" s="1"/>
  <c r="I390" i="4" s="1"/>
  <c r="H391" i="4"/>
  <c r="I391" i="4" s="1"/>
  <c r="G392" i="1"/>
  <c r="G392" i="4" s="1"/>
  <c r="G393" i="4"/>
  <c r="I393" i="4" s="1"/>
  <c r="G394" i="1"/>
  <c r="H394" i="1"/>
  <c r="H394" i="4" s="1"/>
  <c r="H395" i="4"/>
  <c r="G396" i="1"/>
  <c r="G397" i="4"/>
  <c r="I397" i="4" s="1"/>
  <c r="I399" i="4"/>
  <c r="G401" i="1"/>
  <c r="G401" i="4" s="1"/>
  <c r="I401" i="4" s="1"/>
  <c r="G402" i="4"/>
  <c r="I402" i="4" s="1"/>
  <c r="G403" i="1"/>
  <c r="H403" i="1"/>
  <c r="H403" i="4" s="1"/>
  <c r="H404" i="4"/>
  <c r="I407" i="1"/>
  <c r="G407" i="4"/>
  <c r="H410" i="1"/>
  <c r="H410" i="4" s="1"/>
  <c r="I410" i="4" s="1"/>
  <c r="H411" i="4"/>
  <c r="I411" i="4" s="1"/>
  <c r="G412" i="1"/>
  <c r="G412" i="4" s="1"/>
  <c r="I412" i="4" s="1"/>
  <c r="G413" i="4"/>
  <c r="I413" i="4" s="1"/>
  <c r="G414" i="1"/>
  <c r="H414" i="1"/>
  <c r="H414" i="4" s="1"/>
  <c r="H415" i="4"/>
  <c r="I415" i="4" s="1"/>
  <c r="G416" i="1"/>
  <c r="G417" i="4"/>
  <c r="I417" i="4" s="1"/>
  <c r="I423" i="1"/>
  <c r="G423" i="4"/>
  <c r="G425" i="1"/>
  <c r="G425" i="4" s="1"/>
  <c r="H425" i="1"/>
  <c r="H425" i="4" s="1"/>
  <c r="H426" i="4"/>
  <c r="G427" i="1"/>
  <c r="G428" i="4"/>
  <c r="I428" i="4" s="1"/>
  <c r="I431" i="1"/>
  <c r="G431" i="4"/>
  <c r="I431" i="4" s="1"/>
  <c r="H436" i="1"/>
  <c r="H436" i="4" s="1"/>
  <c r="H437" i="4"/>
  <c r="I437" i="4" s="1"/>
  <c r="G438" i="1"/>
  <c r="G438" i="4" s="1"/>
  <c r="I438" i="4" s="1"/>
  <c r="G439" i="4"/>
  <c r="I439" i="4" s="1"/>
  <c r="G440" i="1"/>
  <c r="G440" i="4" s="1"/>
  <c r="I441" i="4"/>
  <c r="G444" i="1"/>
  <c r="G445" i="4"/>
  <c r="I445" i="4" s="1"/>
  <c r="I451" i="1"/>
  <c r="G451" i="4"/>
  <c r="I451" i="4" s="1"/>
  <c r="I452" i="4"/>
  <c r="I456" i="1"/>
  <c r="G456" i="4"/>
  <c r="I460" i="4"/>
  <c r="H461" i="1"/>
  <c r="H461" i="4" s="1"/>
  <c r="I461" i="4" s="1"/>
  <c r="H462" i="4"/>
  <c r="I462" i="4" s="1"/>
  <c r="I466" i="4"/>
  <c r="I470" i="1"/>
  <c r="G470" i="4"/>
  <c r="G474" i="1"/>
  <c r="G474" i="4" s="1"/>
  <c r="I474" i="4" s="1"/>
  <c r="G475" i="4"/>
  <c r="I475" i="4" s="1"/>
  <c r="I481" i="1"/>
  <c r="G481" i="4"/>
  <c r="H484" i="1"/>
  <c r="H484" i="4" s="1"/>
  <c r="I484" i="4" s="1"/>
  <c r="H485" i="4"/>
  <c r="I485" i="4" s="1"/>
  <c r="G486" i="1"/>
  <c r="G486" i="4" s="1"/>
  <c r="I486" i="4" s="1"/>
  <c r="G487" i="4"/>
  <c r="I487" i="4" s="1"/>
  <c r="G488" i="1"/>
  <c r="H488" i="1"/>
  <c r="H488" i="4" s="1"/>
  <c r="H489" i="4"/>
  <c r="I489" i="4" s="1"/>
  <c r="G490" i="1"/>
  <c r="G491" i="4"/>
  <c r="I491" i="4" s="1"/>
  <c r="H495" i="1"/>
  <c r="H495" i="4" s="1"/>
  <c r="I495" i="4" s="1"/>
  <c r="H496" i="4"/>
  <c r="I496" i="4" s="1"/>
  <c r="G498" i="4"/>
  <c r="I499" i="4"/>
  <c r="I52" i="1"/>
  <c r="G51" i="1"/>
  <c r="G51" i="4" s="1"/>
  <c r="G71" i="1"/>
  <c r="G71" i="4" s="1"/>
  <c r="G88" i="1"/>
  <c r="G88" i="4" s="1"/>
  <c r="G111" i="1"/>
  <c r="H51" i="1"/>
  <c r="H71" i="1"/>
  <c r="H71" i="4" s="1"/>
  <c r="I43" i="1"/>
  <c r="I47" i="1"/>
  <c r="I53" i="1"/>
  <c r="I69" i="1"/>
  <c r="I73" i="1"/>
  <c r="I82" i="1"/>
  <c r="I86" i="1"/>
  <c r="I90" i="1"/>
  <c r="I94" i="1"/>
  <c r="I98" i="1"/>
  <c r="I103" i="1"/>
  <c r="I107" i="1"/>
  <c r="I110" i="1"/>
  <c r="I113" i="1"/>
  <c r="I120" i="1"/>
  <c r="I131" i="1"/>
  <c r="I143" i="1"/>
  <c r="I154" i="1"/>
  <c r="I168" i="1"/>
  <c r="I187" i="1"/>
  <c r="I205" i="1"/>
  <c r="I210" i="1"/>
  <c r="I229" i="1"/>
  <c r="I240" i="1"/>
  <c r="I254" i="1"/>
  <c r="I269" i="1"/>
  <c r="I296" i="1"/>
  <c r="I305" i="1"/>
  <c r="I313" i="1"/>
  <c r="I321" i="1"/>
  <c r="I345" i="1"/>
  <c r="I356" i="1"/>
  <c r="I370" i="1"/>
  <c r="I389" i="1"/>
  <c r="I406" i="1"/>
  <c r="I417" i="1"/>
  <c r="I433" i="1"/>
  <c r="I474" i="1"/>
  <c r="I475" i="1"/>
  <c r="I491" i="1"/>
  <c r="I122" i="1"/>
  <c r="I124" i="1"/>
  <c r="I127" i="1"/>
  <c r="I137" i="1"/>
  <c r="I138" i="1"/>
  <c r="I139" i="1"/>
  <c r="I145" i="1"/>
  <c r="I147" i="1"/>
  <c r="I150" i="1"/>
  <c r="I156" i="1"/>
  <c r="G157" i="1"/>
  <c r="I159" i="1"/>
  <c r="I161" i="1"/>
  <c r="I163" i="1"/>
  <c r="I165" i="1"/>
  <c r="I178" i="1"/>
  <c r="I181" i="1"/>
  <c r="I182" i="1"/>
  <c r="I183" i="1"/>
  <c r="I189" i="1"/>
  <c r="I191" i="1"/>
  <c r="G192" i="1"/>
  <c r="I193" i="1"/>
  <c r="I198" i="1"/>
  <c r="I200" i="1"/>
  <c r="I202" i="1"/>
  <c r="G208" i="1"/>
  <c r="G214" i="1"/>
  <c r="G214" i="4" s="1"/>
  <c r="I215" i="1"/>
  <c r="I218" i="1"/>
  <c r="G219" i="1"/>
  <c r="I220" i="1"/>
  <c r="I226" i="1"/>
  <c r="I231" i="1"/>
  <c r="G232" i="1"/>
  <c r="I234" i="1"/>
  <c r="I235" i="1"/>
  <c r="I236" i="1"/>
  <c r="I242" i="1"/>
  <c r="I243" i="1"/>
  <c r="I244" i="1"/>
  <c r="I247" i="1"/>
  <c r="I256" i="1"/>
  <c r="I258" i="1"/>
  <c r="H262" i="1"/>
  <c r="I264" i="1"/>
  <c r="I266" i="1"/>
  <c r="I273" i="1"/>
  <c r="I275" i="1"/>
  <c r="G276" i="1"/>
  <c r="I277" i="1"/>
  <c r="H287" i="1"/>
  <c r="I289" i="1"/>
  <c r="I291" i="1"/>
  <c r="I293" i="1"/>
  <c r="G303" i="1"/>
  <c r="G303" i="4" s="1"/>
  <c r="H303" i="1"/>
  <c r="I307" i="1"/>
  <c r="I310" i="1"/>
  <c r="I315" i="1"/>
  <c r="I317" i="1"/>
  <c r="I323" i="1"/>
  <c r="G324" i="1"/>
  <c r="I325" i="1"/>
  <c r="I328" i="1"/>
  <c r="I332" i="1"/>
  <c r="I334" i="1"/>
  <c r="I338" i="1"/>
  <c r="G357" i="1"/>
  <c r="G357" i="4" s="1"/>
  <c r="I359" i="1"/>
  <c r="I378" i="1"/>
  <c r="I397" i="1"/>
  <c r="I409" i="1"/>
  <c r="I428" i="1"/>
  <c r="I447" i="1"/>
  <c r="I448" i="1"/>
  <c r="I339" i="1"/>
  <c r="I340" i="1"/>
  <c r="I341" i="1"/>
  <c r="I347" i="1"/>
  <c r="I350" i="1"/>
  <c r="I351" i="1"/>
  <c r="I352" i="1"/>
  <c r="I361" i="1"/>
  <c r="I362" i="1"/>
  <c r="I363" i="1"/>
  <c r="I372" i="1"/>
  <c r="I374" i="1"/>
  <c r="I380" i="1"/>
  <c r="I381" i="1"/>
  <c r="I382" i="1"/>
  <c r="I384" i="1"/>
  <c r="I385" i="1"/>
  <c r="I391" i="1"/>
  <c r="I393" i="1"/>
  <c r="I399" i="1"/>
  <c r="I401" i="1"/>
  <c r="G400" i="1"/>
  <c r="I402" i="1"/>
  <c r="I411" i="1"/>
  <c r="I412" i="1"/>
  <c r="I413" i="1"/>
  <c r="I419" i="1"/>
  <c r="I421" i="1"/>
  <c r="I430" i="1"/>
  <c r="I445" i="1"/>
  <c r="G457" i="1"/>
  <c r="I458" i="1"/>
  <c r="I472" i="1"/>
  <c r="I483" i="1"/>
  <c r="G492" i="1"/>
  <c r="G492" i="4" s="1"/>
  <c r="I494" i="1"/>
  <c r="I437" i="1"/>
  <c r="I439" i="1"/>
  <c r="H440" i="1"/>
  <c r="I442" i="1"/>
  <c r="H450" i="1"/>
  <c r="I452" i="1"/>
  <c r="I453" i="1"/>
  <c r="I454" i="1"/>
  <c r="I462" i="1"/>
  <c r="G464" i="1"/>
  <c r="G464" i="4" s="1"/>
  <c r="I466" i="1"/>
  <c r="I467" i="1"/>
  <c r="I468" i="1"/>
  <c r="I477" i="1"/>
  <c r="I478" i="1"/>
  <c r="I479" i="1"/>
  <c r="I485" i="1"/>
  <c r="I486" i="1"/>
  <c r="I487" i="1"/>
  <c r="H492" i="1"/>
  <c r="H492" i="4" s="1"/>
  <c r="I496" i="1"/>
  <c r="I499" i="1"/>
  <c r="I501" i="1"/>
  <c r="I330" i="4" l="1"/>
  <c r="G497" i="1"/>
  <c r="G497" i="4" s="1"/>
  <c r="I65" i="1"/>
  <c r="G27" i="1"/>
  <c r="G27" i="4" s="1"/>
  <c r="I28" i="1"/>
  <c r="I500" i="1"/>
  <c r="I392" i="4"/>
  <c r="I330" i="1"/>
  <c r="H357" i="1"/>
  <c r="H357" i="4" s="1"/>
  <c r="I357" i="4" s="1"/>
  <c r="I358" i="4"/>
  <c r="I340" i="4"/>
  <c r="I28" i="4"/>
  <c r="I272" i="4"/>
  <c r="I177" i="1"/>
  <c r="G366" i="1"/>
  <c r="G366" i="4" s="1"/>
  <c r="I257" i="4"/>
  <c r="I138" i="4"/>
  <c r="G405" i="1"/>
  <c r="G405" i="4" s="1"/>
  <c r="I434" i="4"/>
  <c r="I461" i="1"/>
  <c r="I89" i="4"/>
  <c r="I246" i="1"/>
  <c r="I420" i="1"/>
  <c r="I136" i="4"/>
  <c r="I358" i="1"/>
  <c r="I493" i="1"/>
  <c r="I425" i="1"/>
  <c r="H348" i="1"/>
  <c r="H348" i="4" s="1"/>
  <c r="I188" i="1"/>
  <c r="I436" i="4"/>
  <c r="H405" i="1"/>
  <c r="H405" i="4" s="1"/>
  <c r="I368" i="4"/>
  <c r="I434" i="1"/>
  <c r="H111" i="1"/>
  <c r="H111" i="4" s="1"/>
  <c r="I316" i="4"/>
  <c r="I72" i="4"/>
  <c r="I316" i="1"/>
  <c r="I322" i="1"/>
  <c r="I241" i="1"/>
  <c r="I367" i="4"/>
  <c r="I237" i="4"/>
  <c r="I184" i="4"/>
  <c r="I151" i="4"/>
  <c r="I114" i="4"/>
  <c r="I99" i="4"/>
  <c r="I91" i="4"/>
  <c r="I423" i="4"/>
  <c r="I351" i="4"/>
  <c r="I185" i="4"/>
  <c r="I425" i="4"/>
  <c r="I404" i="4"/>
  <c r="I395" i="4"/>
  <c r="I260" i="4"/>
  <c r="I96" i="4"/>
  <c r="I481" i="4"/>
  <c r="I407" i="4"/>
  <c r="I384" i="4"/>
  <c r="I375" i="4"/>
  <c r="I353" i="4"/>
  <c r="I84" i="4"/>
  <c r="I54" i="4"/>
  <c r="I450" i="1"/>
  <c r="H450" i="4"/>
  <c r="I450" i="4" s="1"/>
  <c r="I492" i="4"/>
  <c r="G348" i="4"/>
  <c r="I324" i="1"/>
  <c r="G324" i="4"/>
  <c r="I324" i="4" s="1"/>
  <c r="H286" i="1"/>
  <c r="H286" i="4" s="1"/>
  <c r="H287" i="4"/>
  <c r="I287" i="4" s="1"/>
  <c r="H261" i="1"/>
  <c r="H261" i="4" s="1"/>
  <c r="H262" i="4"/>
  <c r="I262" i="4" s="1"/>
  <c r="G232" i="4"/>
  <c r="I219" i="1"/>
  <c r="G219" i="4"/>
  <c r="I219" i="4" s="1"/>
  <c r="I208" i="1"/>
  <c r="G208" i="4"/>
  <c r="I208" i="4" s="1"/>
  <c r="G157" i="4"/>
  <c r="G111" i="4"/>
  <c r="I71" i="4"/>
  <c r="I488" i="1"/>
  <c r="G488" i="4"/>
  <c r="I488" i="4" s="1"/>
  <c r="I414" i="1"/>
  <c r="G414" i="4"/>
  <c r="I414" i="4" s="1"/>
  <c r="H400" i="1"/>
  <c r="H400" i="4" s="1"/>
  <c r="I394" i="1"/>
  <c r="G394" i="4"/>
  <c r="I394" i="4" s="1"/>
  <c r="H383" i="1"/>
  <c r="H383" i="4" s="1"/>
  <c r="I344" i="1"/>
  <c r="G344" i="4"/>
  <c r="I344" i="4" s="1"/>
  <c r="G337" i="1"/>
  <c r="G338" i="4"/>
  <c r="I338" i="4" s="1"/>
  <c r="I312" i="1"/>
  <c r="G312" i="4"/>
  <c r="I312" i="4" s="1"/>
  <c r="H309" i="4"/>
  <c r="I309" i="4" s="1"/>
  <c r="H308" i="1"/>
  <c r="H308" i="4" s="1"/>
  <c r="I304" i="1"/>
  <c r="G304" i="4"/>
  <c r="I304" i="4" s="1"/>
  <c r="I259" i="1"/>
  <c r="G259" i="4"/>
  <c r="I259" i="4" s="1"/>
  <c r="H250" i="1"/>
  <c r="H250" i="4" s="1"/>
  <c r="H255" i="4"/>
  <c r="I255" i="4" s="1"/>
  <c r="H225" i="1"/>
  <c r="H225" i="4" s="1"/>
  <c r="H230" i="4"/>
  <c r="I230" i="4" s="1"/>
  <c r="H148" i="1"/>
  <c r="H148" i="4" s="1"/>
  <c r="I140" i="1"/>
  <c r="G140" i="4"/>
  <c r="I140" i="4" s="1"/>
  <c r="H125" i="1"/>
  <c r="H125" i="4" s="1"/>
  <c r="G116" i="1"/>
  <c r="G117" i="4"/>
  <c r="I109" i="1"/>
  <c r="G109" i="4"/>
  <c r="I109" i="4" s="1"/>
  <c r="H106" i="1"/>
  <c r="H106" i="4" s="1"/>
  <c r="H107" i="4"/>
  <c r="I85" i="1"/>
  <c r="G85" i="4"/>
  <c r="I85" i="4" s="1"/>
  <c r="G78" i="1"/>
  <c r="G79" i="4"/>
  <c r="I68" i="1"/>
  <c r="G68" i="4"/>
  <c r="I68" i="4" s="1"/>
  <c r="H64" i="1"/>
  <c r="H64" i="4" s="1"/>
  <c r="H65" i="4"/>
  <c r="I44" i="1"/>
  <c r="G44" i="4"/>
  <c r="I44" i="4" s="1"/>
  <c r="I35" i="1"/>
  <c r="G35" i="4"/>
  <c r="H498" i="4"/>
  <c r="I498" i="4" s="1"/>
  <c r="I498" i="1"/>
  <c r="H497" i="1"/>
  <c r="I470" i="4"/>
  <c r="I456" i="4"/>
  <c r="H429" i="4"/>
  <c r="I429" i="4" s="1"/>
  <c r="I429" i="1"/>
  <c r="I426" i="4"/>
  <c r="H398" i="4"/>
  <c r="I398" i="4" s="1"/>
  <c r="I398" i="1"/>
  <c r="I388" i="1"/>
  <c r="G388" i="4"/>
  <c r="I388" i="4" s="1"/>
  <c r="I386" i="1"/>
  <c r="I377" i="1"/>
  <c r="G377" i="4"/>
  <c r="I377" i="4" s="1"/>
  <c r="I375" i="1"/>
  <c r="H366" i="1"/>
  <c r="H366" i="4" s="1"/>
  <c r="H371" i="4"/>
  <c r="I371" i="4" s="1"/>
  <c r="I371" i="1"/>
  <c r="I364" i="1"/>
  <c r="H360" i="4"/>
  <c r="I360" i="4" s="1"/>
  <c r="I360" i="1"/>
  <c r="I355" i="1"/>
  <c r="G355" i="4"/>
  <c r="I355" i="4" s="1"/>
  <c r="I353" i="1"/>
  <c r="H349" i="4"/>
  <c r="I349" i="4" s="1"/>
  <c r="I349" i="1"/>
  <c r="H346" i="4"/>
  <c r="I346" i="4" s="1"/>
  <c r="I346" i="1"/>
  <c r="H337" i="1"/>
  <c r="H337" i="4" s="1"/>
  <c r="I295" i="1"/>
  <c r="G295" i="4"/>
  <c r="I295" i="4" s="1"/>
  <c r="I268" i="1"/>
  <c r="G268" i="4"/>
  <c r="I268" i="4" s="1"/>
  <c r="I253" i="1"/>
  <c r="G253" i="4"/>
  <c r="I253" i="4" s="1"/>
  <c r="G250" i="1"/>
  <c r="H245" i="1"/>
  <c r="H245" i="4" s="1"/>
  <c r="I228" i="1"/>
  <c r="G228" i="4"/>
  <c r="I228" i="4" s="1"/>
  <c r="G225" i="1"/>
  <c r="I153" i="1"/>
  <c r="G153" i="4"/>
  <c r="I153" i="4" s="1"/>
  <c r="I151" i="1"/>
  <c r="G149" i="4"/>
  <c r="I149" i="4" s="1"/>
  <c r="G148" i="1"/>
  <c r="H144" i="4"/>
  <c r="I144" i="4" s="1"/>
  <c r="I144" i="1"/>
  <c r="I130" i="1"/>
  <c r="G130" i="4"/>
  <c r="I130" i="4" s="1"/>
  <c r="I128" i="1"/>
  <c r="G126" i="4"/>
  <c r="I126" i="4" s="1"/>
  <c r="G125" i="1"/>
  <c r="H121" i="4"/>
  <c r="I121" i="4" s="1"/>
  <c r="I121" i="1"/>
  <c r="I114" i="1"/>
  <c r="I104" i="1"/>
  <c r="I102" i="1"/>
  <c r="G102" i="4"/>
  <c r="I102" i="4" s="1"/>
  <c r="I99" i="1"/>
  <c r="I97" i="1"/>
  <c r="G97" i="4"/>
  <c r="I97" i="4" s="1"/>
  <c r="I95" i="1"/>
  <c r="I93" i="1"/>
  <c r="G93" i="4"/>
  <c r="I93" i="4" s="1"/>
  <c r="I91" i="1"/>
  <c r="I74" i="1"/>
  <c r="I55" i="4"/>
  <c r="H473" i="1"/>
  <c r="H446" i="1"/>
  <c r="H446" i="4" s="1"/>
  <c r="H424" i="1"/>
  <c r="H424" i="4" s="1"/>
  <c r="H440" i="4"/>
  <c r="I440" i="4" s="1"/>
  <c r="I438" i="1"/>
  <c r="I457" i="1"/>
  <c r="G457" i="4"/>
  <c r="I457" i="4" s="1"/>
  <c r="G400" i="4"/>
  <c r="I392" i="1"/>
  <c r="I373" i="1"/>
  <c r="G383" i="1"/>
  <c r="I367" i="1"/>
  <c r="H303" i="4"/>
  <c r="I303" i="4" s="1"/>
  <c r="I287" i="1"/>
  <c r="I276" i="1"/>
  <c r="G276" i="4"/>
  <c r="I276" i="4" s="1"/>
  <c r="I262" i="1"/>
  <c r="I257" i="1"/>
  <c r="I251" i="1"/>
  <c r="I214" i="4"/>
  <c r="I192" i="1"/>
  <c r="G192" i="4"/>
  <c r="I192" i="4" s="1"/>
  <c r="I149" i="1"/>
  <c r="I146" i="1"/>
  <c r="I126" i="1"/>
  <c r="I123" i="1"/>
  <c r="G473" i="1"/>
  <c r="G473" i="4" s="1"/>
  <c r="G424" i="1"/>
  <c r="G424" i="4" s="1"/>
  <c r="I117" i="1"/>
  <c r="I79" i="1"/>
  <c r="H88" i="1"/>
  <c r="H88" i="4" s="1"/>
  <c r="I88" i="4" s="1"/>
  <c r="H51" i="4"/>
  <c r="I51" i="4" s="1"/>
  <c r="I42" i="1"/>
  <c r="I112" i="1"/>
  <c r="I89" i="1"/>
  <c r="I72" i="1"/>
  <c r="I495" i="1"/>
  <c r="I490" i="1"/>
  <c r="G490" i="4"/>
  <c r="I490" i="4" s="1"/>
  <c r="I484" i="1"/>
  <c r="I444" i="1"/>
  <c r="G444" i="4"/>
  <c r="I444" i="4" s="1"/>
  <c r="I436" i="1"/>
  <c r="I427" i="1"/>
  <c r="G427" i="4"/>
  <c r="I427" i="4" s="1"/>
  <c r="I416" i="1"/>
  <c r="G416" i="4"/>
  <c r="I416" i="4" s="1"/>
  <c r="I410" i="1"/>
  <c r="I403" i="1"/>
  <c r="G403" i="4"/>
  <c r="I403" i="4" s="1"/>
  <c r="I396" i="1"/>
  <c r="G396" i="4"/>
  <c r="I396" i="4" s="1"/>
  <c r="I390" i="1"/>
  <c r="I379" i="1"/>
  <c r="I369" i="1"/>
  <c r="G369" i="4"/>
  <c r="I369" i="4" s="1"/>
  <c r="I342" i="1"/>
  <c r="G342" i="4"/>
  <c r="I342" i="4" s="1"/>
  <c r="I309" i="1"/>
  <c r="I285" i="4"/>
  <c r="I284" i="1"/>
  <c r="G284" i="4"/>
  <c r="I284" i="4" s="1"/>
  <c r="I272" i="1"/>
  <c r="I255" i="1"/>
  <c r="I248" i="1"/>
  <c r="G248" i="4"/>
  <c r="I248" i="4" s="1"/>
  <c r="G246" i="4"/>
  <c r="I246" i="4" s="1"/>
  <c r="G245" i="1"/>
  <c r="I230" i="1"/>
  <c r="I223" i="1"/>
  <c r="G223" i="4"/>
  <c r="I223" i="4" s="1"/>
  <c r="I217" i="1"/>
  <c r="H213" i="1"/>
  <c r="H213" i="4" s="1"/>
  <c r="I209" i="1"/>
  <c r="G209" i="4"/>
  <c r="I209" i="4" s="1"/>
  <c r="I155" i="1"/>
  <c r="I142" i="1"/>
  <c r="G142" i="4"/>
  <c r="I142" i="4" s="1"/>
  <c r="I136" i="1"/>
  <c r="I119" i="1"/>
  <c r="G119" i="4"/>
  <c r="I119" i="4" s="1"/>
  <c r="H116" i="1"/>
  <c r="H116" i="4" s="1"/>
  <c r="H117" i="4"/>
  <c r="G106" i="1"/>
  <c r="G107" i="4"/>
  <c r="I107" i="4" s="1"/>
  <c r="I83" i="1"/>
  <c r="G83" i="4"/>
  <c r="I83" i="4" s="1"/>
  <c r="I81" i="1"/>
  <c r="G81" i="4"/>
  <c r="I81" i="4" s="1"/>
  <c r="H78" i="1"/>
  <c r="H78" i="4" s="1"/>
  <c r="H79" i="4"/>
  <c r="I66" i="4"/>
  <c r="G64" i="1"/>
  <c r="G65" i="4"/>
  <c r="I46" i="1"/>
  <c r="G46" i="4"/>
  <c r="I46" i="4" s="1"/>
  <c r="H27" i="1"/>
  <c r="H27" i="4" s="1"/>
  <c r="I27" i="4" s="1"/>
  <c r="H35" i="4"/>
  <c r="I482" i="1"/>
  <c r="G482" i="4"/>
  <c r="I482" i="4" s="1"/>
  <c r="I480" i="4"/>
  <c r="I480" i="1"/>
  <c r="H476" i="4"/>
  <c r="I476" i="4" s="1"/>
  <c r="I476" i="1"/>
  <c r="I471" i="1"/>
  <c r="G471" i="4"/>
  <c r="I471" i="4" s="1"/>
  <c r="I469" i="4"/>
  <c r="I469" i="1"/>
  <c r="H465" i="4"/>
  <c r="I465" i="4" s="1"/>
  <c r="I465" i="1"/>
  <c r="H464" i="1"/>
  <c r="H464" i="4" s="1"/>
  <c r="I464" i="4" s="1"/>
  <c r="I455" i="4"/>
  <c r="I455" i="1"/>
  <c r="I432" i="1"/>
  <c r="G432" i="4"/>
  <c r="I432" i="4" s="1"/>
  <c r="I422" i="4"/>
  <c r="I422" i="1"/>
  <c r="H418" i="4"/>
  <c r="I418" i="4" s="1"/>
  <c r="I418" i="1"/>
  <c r="I408" i="1"/>
  <c r="G408" i="4"/>
  <c r="I408" i="4" s="1"/>
  <c r="I387" i="4"/>
  <c r="I386" i="4"/>
  <c r="I376" i="4"/>
  <c r="I365" i="4"/>
  <c r="I364" i="4"/>
  <c r="I354" i="4"/>
  <c r="H327" i="4"/>
  <c r="I327" i="4" s="1"/>
  <c r="I327" i="1"/>
  <c r="I320" i="1"/>
  <c r="G320" i="4"/>
  <c r="I320" i="4" s="1"/>
  <c r="I318" i="4"/>
  <c r="I318" i="1"/>
  <c r="H314" i="4"/>
  <c r="I314" i="4" s="1"/>
  <c r="I314" i="1"/>
  <c r="H306" i="4"/>
  <c r="I306" i="4" s="1"/>
  <c r="I306" i="1"/>
  <c r="G286" i="1"/>
  <c r="I252" i="4"/>
  <c r="I251" i="4"/>
  <c r="I249" i="4"/>
  <c r="I239" i="1"/>
  <c r="G239" i="4"/>
  <c r="I239" i="4" s="1"/>
  <c r="I237" i="1"/>
  <c r="H233" i="4"/>
  <c r="I233" i="4" s="1"/>
  <c r="I233" i="1"/>
  <c r="H232" i="1"/>
  <c r="H232" i="4" s="1"/>
  <c r="I227" i="4"/>
  <c r="I226" i="4"/>
  <c r="I204" i="1"/>
  <c r="G204" i="4"/>
  <c r="I204" i="4" s="1"/>
  <c r="H197" i="4"/>
  <c r="I197" i="4" s="1"/>
  <c r="I197" i="1"/>
  <c r="I186" i="1"/>
  <c r="G186" i="4"/>
  <c r="I186" i="4" s="1"/>
  <c r="I184" i="1"/>
  <c r="H180" i="4"/>
  <c r="I180" i="4" s="1"/>
  <c r="I180" i="1"/>
  <c r="H179" i="1"/>
  <c r="H179" i="4" s="1"/>
  <c r="I167" i="1"/>
  <c r="G167" i="4"/>
  <c r="I167" i="4" s="1"/>
  <c r="H158" i="4"/>
  <c r="I158" i="4" s="1"/>
  <c r="I158" i="1"/>
  <c r="H157" i="1"/>
  <c r="H157" i="4" s="1"/>
  <c r="I152" i="4"/>
  <c r="I141" i="4"/>
  <c r="I129" i="4"/>
  <c r="I128" i="4"/>
  <c r="I115" i="4"/>
  <c r="I105" i="4"/>
  <c r="I104" i="4"/>
  <c r="I100" i="4"/>
  <c r="I95" i="4"/>
  <c r="I92" i="4"/>
  <c r="I75" i="4"/>
  <c r="I74" i="4"/>
  <c r="I54" i="1"/>
  <c r="I45" i="4"/>
  <c r="I36" i="4"/>
  <c r="I440" i="1"/>
  <c r="I357" i="1"/>
  <c r="G308" i="1"/>
  <c r="I214" i="1"/>
  <c r="G213" i="1"/>
  <c r="G213" i="4" s="1"/>
  <c r="G179" i="1"/>
  <c r="G261" i="1"/>
  <c r="I492" i="1"/>
  <c r="G446" i="1"/>
  <c r="I303" i="1"/>
  <c r="I71" i="1"/>
  <c r="I51" i="1"/>
  <c r="I111" i="4" l="1"/>
  <c r="I111" i="1"/>
  <c r="I348" i="4"/>
  <c r="I348" i="1"/>
  <c r="I405" i="4"/>
  <c r="I473" i="1"/>
  <c r="I400" i="4"/>
  <c r="I400" i="1"/>
  <c r="G26" i="1"/>
  <c r="G26" i="4" s="1"/>
  <c r="G87" i="1"/>
  <c r="I405" i="1"/>
  <c r="G463" i="1"/>
  <c r="G463" i="4" s="1"/>
  <c r="H87" i="1"/>
  <c r="H87" i="4" s="1"/>
  <c r="I27" i="1"/>
  <c r="I157" i="4"/>
  <c r="I366" i="4"/>
  <c r="I35" i="4"/>
  <c r="I65" i="4"/>
  <c r="I446" i="1"/>
  <c r="G446" i="4"/>
  <c r="I446" i="4" s="1"/>
  <c r="I261" i="1"/>
  <c r="G261" i="4"/>
  <c r="I261" i="4" s="1"/>
  <c r="I179" i="1"/>
  <c r="G179" i="4"/>
  <c r="I179" i="4" s="1"/>
  <c r="I245" i="1"/>
  <c r="G245" i="4"/>
  <c r="I245" i="4" s="1"/>
  <c r="I125" i="1"/>
  <c r="G125" i="4"/>
  <c r="I125" i="4" s="1"/>
  <c r="G225" i="4"/>
  <c r="I225" i="4" s="1"/>
  <c r="I225" i="1"/>
  <c r="H497" i="4"/>
  <c r="I497" i="4" s="1"/>
  <c r="I497" i="1"/>
  <c r="I79" i="4"/>
  <c r="I116" i="1"/>
  <c r="G116" i="4"/>
  <c r="I116" i="4" s="1"/>
  <c r="I232" i="4"/>
  <c r="I88" i="1"/>
  <c r="I424" i="1"/>
  <c r="I213" i="4"/>
  <c r="I308" i="1"/>
  <c r="G308" i="4"/>
  <c r="I308" i="4" s="1"/>
  <c r="I464" i="1"/>
  <c r="G286" i="4"/>
  <c r="I286" i="4" s="1"/>
  <c r="I286" i="1"/>
  <c r="I64" i="1"/>
  <c r="G64" i="4"/>
  <c r="I64" i="4" s="1"/>
  <c r="I106" i="1"/>
  <c r="G106" i="4"/>
  <c r="I106" i="4" s="1"/>
  <c r="H26" i="1"/>
  <c r="H26" i="4" s="1"/>
  <c r="I424" i="4"/>
  <c r="H212" i="1"/>
  <c r="H212" i="4" s="1"/>
  <c r="I383" i="1"/>
  <c r="G383" i="4"/>
  <c r="I383" i="4" s="1"/>
  <c r="H463" i="1"/>
  <c r="H463" i="4" s="1"/>
  <c r="H473" i="4"/>
  <c r="I473" i="4" s="1"/>
  <c r="I148" i="1"/>
  <c r="G148" i="4"/>
  <c r="I148" i="4" s="1"/>
  <c r="G250" i="4"/>
  <c r="I250" i="4" s="1"/>
  <c r="I250" i="1"/>
  <c r="I78" i="1"/>
  <c r="G78" i="4"/>
  <c r="I78" i="4" s="1"/>
  <c r="I117" i="4"/>
  <c r="G337" i="4"/>
  <c r="I337" i="4" s="1"/>
  <c r="I337" i="1"/>
  <c r="I157" i="1"/>
  <c r="I232" i="1"/>
  <c r="I366" i="1"/>
  <c r="H336" i="1"/>
  <c r="H336" i="4" s="1"/>
  <c r="G336" i="1"/>
  <c r="I213" i="1"/>
  <c r="G212" i="1"/>
  <c r="I26" i="4" l="1"/>
  <c r="I87" i="1"/>
  <c r="G87" i="4"/>
  <c r="I87" i="4" s="1"/>
  <c r="I463" i="1"/>
  <c r="I26" i="1"/>
  <c r="I212" i="1"/>
  <c r="G212" i="4"/>
  <c r="I212" i="4" s="1"/>
  <c r="I336" i="1"/>
  <c r="G336" i="4"/>
  <c r="I336" i="4" s="1"/>
  <c r="I463" i="4"/>
  <c r="H25" i="1"/>
  <c r="H25" i="4" s="1"/>
  <c r="G25" i="1"/>
  <c r="I25" i="1" l="1"/>
  <c r="J36" i="1" s="1"/>
  <c r="G25" i="4"/>
  <c r="I25" i="4" s="1"/>
  <c r="J212" i="4" s="1"/>
  <c r="J38" i="1"/>
  <c r="J45" i="1"/>
  <c r="J84" i="1"/>
  <c r="J133" i="1"/>
  <c r="J169" i="1"/>
  <c r="J173" i="1"/>
  <c r="J190" i="1"/>
  <c r="J224" i="1"/>
  <c r="J271" i="1"/>
  <c r="J298" i="1"/>
  <c r="J302" i="1"/>
  <c r="J404" i="1"/>
  <c r="J460" i="1"/>
  <c r="J30" i="1"/>
  <c r="J34" i="1"/>
  <c r="J50" i="1"/>
  <c r="J57" i="1"/>
  <c r="J61" i="1"/>
  <c r="J76" i="1"/>
  <c r="J101" i="1"/>
  <c r="J160" i="1"/>
  <c r="J185" i="1"/>
  <c r="J199" i="1"/>
  <c r="J221" i="1"/>
  <c r="J252" i="1"/>
  <c r="J278" i="1"/>
  <c r="J282" i="1"/>
  <c r="J292" i="1"/>
  <c r="J329" i="1"/>
  <c r="J354" i="1"/>
  <c r="J407" i="1"/>
  <c r="J443" i="1"/>
  <c r="J459" i="1"/>
  <c r="J37" i="1"/>
  <c r="J41" i="1"/>
  <c r="J80" i="1"/>
  <c r="J132" i="1"/>
  <c r="J141" i="1"/>
  <c r="J172" i="1"/>
  <c r="J176" i="1"/>
  <c r="J216" i="1"/>
  <c r="J270" i="1"/>
  <c r="J297" i="1"/>
  <c r="J301" i="1"/>
  <c r="J343" i="1"/>
  <c r="J415" i="1"/>
  <c r="J489" i="1"/>
  <c r="J31" i="1"/>
  <c r="J49" i="1"/>
  <c r="J58" i="1"/>
  <c r="J62" i="1"/>
  <c r="J75" i="1"/>
  <c r="J92" i="1"/>
  <c r="J105" i="1"/>
  <c r="J152" i="1"/>
  <c r="J166" i="1"/>
  <c r="J196" i="1"/>
  <c r="J211" i="1"/>
  <c r="J238" i="1"/>
  <c r="J267" i="1"/>
  <c r="J281" i="1"/>
  <c r="J290" i="1"/>
  <c r="J326" i="1"/>
  <c r="J335" i="1"/>
  <c r="J387" i="1"/>
  <c r="J451" i="1"/>
  <c r="J470" i="1"/>
  <c r="J499" i="1"/>
  <c r="J454" i="1"/>
  <c r="J419" i="1"/>
  <c r="J374" i="1"/>
  <c r="J448" i="1"/>
  <c r="J332" i="1"/>
  <c r="J289" i="1"/>
  <c r="J234" i="1"/>
  <c r="J202" i="1"/>
  <c r="J165" i="1"/>
  <c r="J145" i="1"/>
  <c r="J475" i="1"/>
  <c r="J321" i="1"/>
  <c r="J143" i="1"/>
  <c r="J90" i="1"/>
  <c r="J479" i="1"/>
  <c r="J462" i="1"/>
  <c r="J458" i="1"/>
  <c r="J411" i="1"/>
  <c r="J382" i="1"/>
  <c r="J352" i="1"/>
  <c r="J428" i="1"/>
  <c r="J330" i="1"/>
  <c r="J307" i="1"/>
  <c r="J275" i="1"/>
  <c r="J247" i="1"/>
  <c r="J200" i="1"/>
  <c r="J181" i="1"/>
  <c r="J156" i="1"/>
  <c r="J345" i="1"/>
  <c r="J254" i="1"/>
  <c r="J154" i="1"/>
  <c r="J94" i="1"/>
  <c r="J43" i="1"/>
  <c r="J496" i="1"/>
  <c r="J452" i="1"/>
  <c r="J421" i="1"/>
  <c r="J391" i="1"/>
  <c r="J339" i="1"/>
  <c r="J328" i="1"/>
  <c r="J293" i="1"/>
  <c r="J236" i="1"/>
  <c r="J218" i="1"/>
  <c r="J161" i="1"/>
  <c r="J127" i="1"/>
  <c r="J433" i="1"/>
  <c r="J305" i="1"/>
  <c r="J168" i="1"/>
  <c r="J98" i="1"/>
  <c r="J47" i="1"/>
  <c r="J466" i="1"/>
  <c r="J437" i="1"/>
  <c r="J445" i="1"/>
  <c r="J400" i="1"/>
  <c r="J380" i="1"/>
  <c r="J350" i="1"/>
  <c r="J334" i="1"/>
  <c r="J310" i="1"/>
  <c r="J266" i="1"/>
  <c r="J244" i="1"/>
  <c r="J193" i="1"/>
  <c r="J178" i="1"/>
  <c r="J139" i="1"/>
  <c r="J417" i="1"/>
  <c r="J313" i="1"/>
  <c r="J240" i="1"/>
  <c r="J131" i="1"/>
  <c r="J86" i="1"/>
  <c r="J87" i="1"/>
  <c r="J27" i="1"/>
  <c r="J26" i="1"/>
  <c r="J463" i="4" l="1"/>
  <c r="J212" i="1"/>
  <c r="J336" i="1"/>
  <c r="J463" i="1"/>
  <c r="J53" i="1"/>
  <c r="J103" i="1"/>
  <c r="J187" i="1"/>
  <c r="J269" i="1"/>
  <c r="J370" i="1"/>
  <c r="J491" i="1"/>
  <c r="J159" i="1"/>
  <c r="J183" i="1"/>
  <c r="J215" i="1"/>
  <c r="J256" i="1"/>
  <c r="J277" i="1"/>
  <c r="J325" i="1"/>
  <c r="J409" i="1"/>
  <c r="J361" i="1"/>
  <c r="J385" i="1"/>
  <c r="J413" i="1"/>
  <c r="J483" i="1"/>
  <c r="J442" i="1"/>
  <c r="J477" i="1"/>
  <c r="J82" i="1"/>
  <c r="J120" i="1"/>
  <c r="J229" i="1"/>
  <c r="J389" i="1"/>
  <c r="J122" i="1"/>
  <c r="J147" i="1"/>
  <c r="J198" i="1"/>
  <c r="J231" i="1"/>
  <c r="J273" i="1"/>
  <c r="J315" i="1"/>
  <c r="J397" i="1"/>
  <c r="J372" i="1"/>
  <c r="J402" i="1"/>
  <c r="J472" i="1"/>
  <c r="J485" i="1"/>
  <c r="J501" i="1"/>
  <c r="J69" i="1"/>
  <c r="J110" i="1"/>
  <c r="J210" i="1"/>
  <c r="J296" i="1"/>
  <c r="J137" i="1"/>
  <c r="J163" i="1"/>
  <c r="J191" i="1"/>
  <c r="J242" i="1"/>
  <c r="J258" i="1"/>
  <c r="J291" i="1"/>
  <c r="J323" i="1"/>
  <c r="J359" i="1"/>
  <c r="J347" i="1"/>
  <c r="J363" i="1"/>
  <c r="J399" i="1"/>
  <c r="J430" i="1"/>
  <c r="J439" i="1"/>
  <c r="J468" i="1"/>
  <c r="J73" i="1"/>
  <c r="J113" i="1"/>
  <c r="J205" i="1"/>
  <c r="J356" i="1"/>
  <c r="J124" i="1"/>
  <c r="J150" i="1"/>
  <c r="J189" i="1"/>
  <c r="J220" i="1"/>
  <c r="J264" i="1"/>
  <c r="J317" i="1"/>
  <c r="J378" i="1"/>
  <c r="J341" i="1"/>
  <c r="J393" i="1"/>
  <c r="J494" i="1"/>
  <c r="J487" i="1"/>
  <c r="J449" i="1"/>
  <c r="J456" i="1"/>
  <c r="J423" i="1"/>
  <c r="J365" i="1"/>
  <c r="J331" i="1"/>
  <c r="J294" i="1"/>
  <c r="J283" i="1"/>
  <c r="J279" i="1"/>
  <c r="J263" i="1"/>
  <c r="J222" i="1"/>
  <c r="J201" i="1"/>
  <c r="J194" i="1"/>
  <c r="J162" i="1"/>
  <c r="J115" i="1"/>
  <c r="J100" i="1"/>
  <c r="J77" i="1"/>
  <c r="J70" i="1"/>
  <c r="J60" i="1"/>
  <c r="J56" i="1"/>
  <c r="J33" i="1"/>
  <c r="J29" i="1"/>
  <c r="J441" i="1"/>
  <c r="J395" i="1"/>
  <c r="J311" i="1"/>
  <c r="J299" i="1"/>
  <c r="J274" i="1"/>
  <c r="J249" i="1"/>
  <c r="J206" i="1"/>
  <c r="J174" i="1"/>
  <c r="J170" i="1"/>
  <c r="J134" i="1"/>
  <c r="J108" i="1"/>
  <c r="J66" i="1"/>
  <c r="J39" i="1"/>
  <c r="J481" i="1"/>
  <c r="J435" i="1"/>
  <c r="J431" i="1"/>
  <c r="J376" i="1"/>
  <c r="J333" i="1"/>
  <c r="J319" i="1"/>
  <c r="J288" i="1"/>
  <c r="J280" i="1"/>
  <c r="J265" i="1"/>
  <c r="J227" i="1"/>
  <c r="J203" i="1"/>
  <c r="J195" i="1"/>
  <c r="J164" i="1"/>
  <c r="J129" i="1"/>
  <c r="J96" i="1"/>
  <c r="J63" i="1"/>
  <c r="J59" i="1"/>
  <c r="J55" i="1"/>
  <c r="J48" i="1"/>
  <c r="J32" i="1"/>
  <c r="J28" i="1"/>
  <c r="J426" i="1"/>
  <c r="J368" i="1"/>
  <c r="J300" i="1"/>
  <c r="J285" i="1"/>
  <c r="J260" i="1"/>
  <c r="J207" i="1"/>
  <c r="J175" i="1"/>
  <c r="J171" i="1"/>
  <c r="J135" i="1"/>
  <c r="J118" i="1"/>
  <c r="J67" i="1"/>
  <c r="J40" i="1"/>
  <c r="J275" i="4"/>
  <c r="J458" i="4"/>
  <c r="J191" i="4"/>
  <c r="J215" i="4"/>
  <c r="J442" i="4"/>
  <c r="J485" i="4"/>
  <c r="J290" i="4"/>
  <c r="J282" i="4"/>
  <c r="J279" i="4"/>
  <c r="J256" i="4"/>
  <c r="J221" i="4"/>
  <c r="J194" i="4"/>
  <c r="J160" i="4"/>
  <c r="J61" i="4"/>
  <c r="J57" i="4"/>
  <c r="J49" i="4"/>
  <c r="J159" i="4"/>
  <c r="J462" i="4"/>
  <c r="J411" i="4"/>
  <c r="J339" i="4"/>
  <c r="J323" i="4"/>
  <c r="J288" i="4"/>
  <c r="J263" i="4"/>
  <c r="J218" i="4"/>
  <c r="J199" i="4"/>
  <c r="J137" i="4"/>
  <c r="J70" i="4"/>
  <c r="J29" i="4"/>
  <c r="J419" i="4"/>
  <c r="J181" i="4"/>
  <c r="J172" i="4"/>
  <c r="J489" i="4"/>
  <c r="J452" i="4"/>
  <c r="J443" i="4"/>
  <c r="J428" i="4"/>
  <c r="J415" i="4"/>
  <c r="J395" i="4"/>
  <c r="J370" i="4"/>
  <c r="J359" i="4"/>
  <c r="J333" i="4"/>
  <c r="J328" i="4"/>
  <c r="J315" i="4"/>
  <c r="J300" i="4"/>
  <c r="J293" i="4"/>
  <c r="J281" i="4"/>
  <c r="J271" i="4"/>
  <c r="J260" i="4"/>
  <c r="J247" i="4"/>
  <c r="J238" i="4"/>
  <c r="J220" i="4"/>
  <c r="J207" i="4"/>
  <c r="J198" i="4"/>
  <c r="J170" i="4"/>
  <c r="J165" i="4"/>
  <c r="J161" i="4"/>
  <c r="J143" i="4"/>
  <c r="J118" i="4"/>
  <c r="J82" i="4"/>
  <c r="J62" i="4"/>
  <c r="J58" i="4"/>
  <c r="J48" i="4"/>
  <c r="J39" i="4"/>
  <c r="J494" i="4"/>
  <c r="J481" i="4"/>
  <c r="J472" i="4"/>
  <c r="J468" i="4"/>
  <c r="J454" i="4"/>
  <c r="J448" i="4"/>
  <c r="J433" i="4"/>
  <c r="J421" i="4"/>
  <c r="J407" i="4"/>
  <c r="J335" i="4"/>
  <c r="J321" i="4"/>
  <c r="J273" i="4"/>
  <c r="J240" i="4"/>
  <c r="J231" i="4"/>
  <c r="J216" i="4"/>
  <c r="J205" i="4"/>
  <c r="J187" i="4"/>
  <c r="J183" i="4"/>
  <c r="J173" i="4"/>
  <c r="J169" i="4"/>
  <c r="J164" i="4"/>
  <c r="J76" i="4"/>
  <c r="J67" i="4"/>
  <c r="J53" i="4"/>
  <c r="J460" i="4"/>
  <c r="J439" i="4"/>
  <c r="J430" i="4"/>
  <c r="J399" i="4"/>
  <c r="J361" i="4"/>
  <c r="J345" i="4"/>
  <c r="J334" i="4"/>
  <c r="J330" i="4"/>
  <c r="J313" i="4"/>
  <c r="J305" i="4"/>
  <c r="J299" i="4"/>
  <c r="J291" i="4"/>
  <c r="J264" i="4"/>
  <c r="J258" i="4"/>
  <c r="J201" i="4"/>
  <c r="J196" i="4"/>
  <c r="J163" i="4"/>
  <c r="J145" i="4"/>
  <c r="J139" i="4"/>
  <c r="J133" i="4"/>
  <c r="J110" i="4"/>
  <c r="J101" i="4"/>
  <c r="J69" i="4"/>
  <c r="J41" i="4"/>
  <c r="J34" i="4"/>
  <c r="J30" i="4"/>
  <c r="J501" i="4"/>
  <c r="J459" i="4"/>
  <c r="J385" i="4"/>
  <c r="J363" i="4"/>
  <c r="J311" i="4"/>
  <c r="J298" i="4"/>
  <c r="J254" i="4"/>
  <c r="J229" i="4"/>
  <c r="J147" i="4"/>
  <c r="J134" i="4"/>
  <c r="J131" i="4"/>
  <c r="J124" i="4"/>
  <c r="J113" i="4"/>
  <c r="J73" i="4"/>
  <c r="J37" i="4"/>
  <c r="J294" i="4"/>
  <c r="J283" i="4"/>
  <c r="J280" i="4"/>
  <c r="J278" i="4"/>
  <c r="J222" i="4"/>
  <c r="J211" i="4"/>
  <c r="J178" i="4"/>
  <c r="J63" i="4"/>
  <c r="J59" i="4"/>
  <c r="J50" i="4"/>
  <c r="J477" i="4"/>
  <c r="J496" i="4"/>
  <c r="J437" i="4"/>
  <c r="J380" i="4"/>
  <c r="J329" i="4"/>
  <c r="J310" i="4"/>
  <c r="J267" i="4"/>
  <c r="J242" i="4"/>
  <c r="J203" i="4"/>
  <c r="J189" i="4"/>
  <c r="J77" i="4"/>
  <c r="J33" i="4"/>
  <c r="J449" i="4"/>
  <c r="J206" i="4"/>
  <c r="J176" i="4"/>
  <c r="J499" i="4"/>
  <c r="J491" i="4"/>
  <c r="J466" i="4"/>
  <c r="J445" i="4"/>
  <c r="J417" i="4"/>
  <c r="J402" i="4"/>
  <c r="J397" i="4"/>
  <c r="J368" i="4"/>
  <c r="J347" i="4"/>
  <c r="J341" i="4"/>
  <c r="J332" i="4"/>
  <c r="J319" i="4"/>
  <c r="J307" i="4"/>
  <c r="J297" i="4"/>
  <c r="J289" i="4"/>
  <c r="J277" i="4"/>
  <c r="J266" i="4"/>
  <c r="J244" i="4"/>
  <c r="J234" i="4"/>
  <c r="J210" i="4"/>
  <c r="J202" i="4"/>
  <c r="J174" i="4"/>
  <c r="J166" i="4"/>
  <c r="J162" i="4"/>
  <c r="J135" i="4"/>
  <c r="J120" i="4"/>
  <c r="J96" i="4"/>
  <c r="J80" i="4"/>
  <c r="J60" i="4"/>
  <c r="J56" i="4"/>
  <c r="J47" i="4"/>
  <c r="J483" i="4"/>
  <c r="J479" i="4"/>
  <c r="J451" i="4"/>
  <c r="J435" i="4"/>
  <c r="J431" i="4"/>
  <c r="J423" i="4"/>
  <c r="J409" i="4"/>
  <c r="J391" i="4"/>
  <c r="J326" i="4"/>
  <c r="J317" i="4"/>
  <c r="J274" i="4"/>
  <c r="J265" i="4"/>
  <c r="J236" i="4"/>
  <c r="J195" i="4"/>
  <c r="J185" i="4"/>
  <c r="J175" i="4"/>
  <c r="J171" i="4"/>
  <c r="J168" i="4"/>
  <c r="J156" i="4"/>
  <c r="J84" i="4"/>
  <c r="J31" i="4"/>
  <c r="J487" i="4"/>
  <c r="J475" i="4"/>
  <c r="J441" i="4"/>
  <c r="J413" i="4"/>
  <c r="J404" i="4"/>
  <c r="J393" i="4"/>
  <c r="J382" i="4"/>
  <c r="J372" i="4"/>
  <c r="J350" i="4"/>
  <c r="J343" i="4"/>
  <c r="J331" i="4"/>
  <c r="J325" i="4"/>
  <c r="J301" i="4"/>
  <c r="J292" i="4"/>
  <c r="J270" i="4"/>
  <c r="J224" i="4"/>
  <c r="J200" i="4"/>
  <c r="J193" i="4"/>
  <c r="J122" i="4"/>
  <c r="J108" i="4"/>
  <c r="J86" i="4"/>
  <c r="J43" i="4"/>
  <c r="J38" i="4"/>
  <c r="J32" i="4"/>
  <c r="J28" i="4"/>
  <c r="J389" i="4"/>
  <c r="J378" i="4"/>
  <c r="J374" i="4"/>
  <c r="J356" i="4"/>
  <c r="J352" i="4"/>
  <c r="J302" i="4"/>
  <c r="J296" i="4"/>
  <c r="J269" i="4"/>
  <c r="J190" i="4"/>
  <c r="J154" i="4"/>
  <c r="J150" i="4"/>
  <c r="J132" i="4"/>
  <c r="J127" i="4"/>
  <c r="J103" i="4"/>
  <c r="J98" i="4"/>
  <c r="J94" i="4"/>
  <c r="J90" i="4"/>
  <c r="J40" i="4"/>
  <c r="J105" i="4"/>
  <c r="J129" i="4"/>
  <c r="J227" i="4"/>
  <c r="J252" i="4"/>
  <c r="J285" i="4"/>
  <c r="J400" i="4"/>
  <c r="J470" i="4"/>
  <c r="J27" i="4"/>
  <c r="J45" i="4"/>
  <c r="J92" i="4"/>
  <c r="J152" i="4"/>
  <c r="J365" i="4"/>
  <c r="J387" i="4"/>
  <c r="J426" i="4"/>
  <c r="J36" i="4"/>
  <c r="J115" i="4"/>
  <c r="J141" i="4"/>
  <c r="J249" i="4"/>
  <c r="J66" i="4"/>
  <c r="J55" i="4"/>
  <c r="J456" i="4"/>
  <c r="J75" i="4"/>
  <c r="J100" i="4"/>
  <c r="J354" i="4"/>
  <c r="J376" i="4"/>
  <c r="J26" i="4"/>
  <c r="J87" i="4"/>
  <c r="J336" i="4"/>
  <c r="J25" i="1" l="1"/>
  <c r="J25" i="4"/>
</calcChain>
</file>

<file path=xl/sharedStrings.xml><?xml version="1.0" encoding="utf-8"?>
<sst xmlns="http://schemas.openxmlformats.org/spreadsheetml/2006/main" count="3096" uniqueCount="387">
  <si>
    <t>Form. No.6 SRS</t>
  </si>
  <si>
    <t>Servicio Nacional de Salud</t>
  </si>
  <si>
    <t>Dirección de Fizcalización</t>
  </si>
  <si>
    <t>Consolidado de Ingresos y Gastos por Fuente de Financiamiento</t>
  </si>
  <si>
    <t>HOSPITAL MATERNO INFANTIL SAN LORENZO DE LOS MINA</t>
  </si>
  <si>
    <t>ABRIL 2025</t>
  </si>
  <si>
    <t>Ingresos Generales:</t>
  </si>
  <si>
    <t>1.- Balance Inicial / Fuente:</t>
  </si>
  <si>
    <t>Anticipo Financiero</t>
  </si>
  <si>
    <t>Otros Aportes</t>
  </si>
  <si>
    <t>Transferencias Corrientes</t>
  </si>
  <si>
    <t>Venta de Servicios</t>
  </si>
  <si>
    <t>2.- Ingresos por Fuente / Cuenta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</si>
  <si>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</si>
  <si>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</si>
  <si>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</si>
  <si>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</si>
  <si>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</si>
  <si>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TOTAL</t>
  </si>
  <si>
    <t>%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</si>
  <si>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</si>
  <si>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</si>
  <si>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</si>
  <si>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</si>
  <si>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</si>
  <si>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</si>
  <si>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</si>
  <si>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</si>
  <si>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</si>
  <si>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</si>
  <si>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>Remuneraciones al personal fijo</t>
  </si>
  <si>
    <t>01</t>
  </si>
  <si>
    <t xml:space="preserve"> Sueldos a empleados fijos</t>
  </si>
  <si>
    <t>02</t>
  </si>
  <si>
    <t>Sueldos a médicos</t>
  </si>
  <si>
    <t>03</t>
  </si>
  <si>
    <t>Ascensos a militares</t>
  </si>
  <si>
    <t>04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</si>
  <si>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</si>
  <si>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</si>
  <si>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</si>
  <si>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</si>
  <si>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</si>
  <si>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</si>
  <si>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</si>
  <si>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</si>
  <si>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</si>
  <si>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</si>
  <si>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Empleados temporales</t>
  </si>
  <si>
    <t>09</t>
  </si>
  <si>
    <t>Personal de carácter eventual</t>
  </si>
  <si>
    <t>11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</si>
  <si>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</si>
  <si>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</si>
  <si>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</si>
  <si>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</si>
  <si>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</si>
  <si>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Prestación laboral por desvinculación</t>
  </si>
  <si>
    <t>Proporción de vacaciones no disfrutadas</t>
  </si>
  <si>
    <t>Sobresueldos</t>
  </si>
  <si>
    <t>Primas por antigüedad</t>
  </si>
  <si>
    <t>Compensación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</si>
  <si>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</si>
  <si>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</si>
  <si>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</si>
  <si>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</si>
  <si>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</si>
  <si>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</si>
  <si>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</si>
  <si>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Compensaciones especiales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</si>
  <si>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</si>
  <si>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</si>
  <si>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</si>
  <si>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</si>
  <si>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</si>
  <si>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</si>
  <si>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</si>
  <si>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</si>
  <si>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</si>
  <si>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</si>
  <si>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</si>
  <si>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</si>
  <si>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</si>
  <si>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</si>
  <si>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</si>
  <si>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</si>
  <si>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</si>
  <si>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</si>
  <si>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</si>
  <si>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</si>
  <si>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</si>
  <si>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</si>
  <si>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</si>
  <si>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</si>
  <si>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Teléfono local</t>
  </si>
  <si>
    <t>Telefax y correos</t>
  </si>
  <si>
    <t>Servicio de Internet y televisión por cable</t>
  </si>
  <si>
    <t>Electricidad</t>
  </si>
  <si>
    <t>Energía eléctrica</t>
  </si>
  <si>
    <t>Electricidad no cortable</t>
  </si>
  <si>
    <t>Agua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</si>
  <si>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</si>
  <si>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</si>
  <si>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</si>
  <si>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</si>
  <si>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</si>
  <si>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</si>
  <si>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</si>
  <si>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Transporte y Almacenaje</t>
  </si>
  <si>
    <t>Pasajes</t>
  </si>
  <si>
    <t>Fletes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</si>
  <si>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</si>
  <si>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</si>
  <si>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</si>
  <si>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</si>
  <si>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</si>
  <si>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</si>
  <si>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</si>
  <si>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educacional</t>
  </si>
  <si>
    <t>Alquiler de equipo de tecnologia y almacenamiento de datos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</si>
  <si>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</si>
  <si>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</si>
  <si>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</si>
  <si>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</si>
  <si>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</si>
  <si>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</si>
  <si>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</si>
  <si>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Otros alquileres</t>
  </si>
  <si>
    <t>Derechos de uso</t>
  </si>
  <si>
    <t>Licencias informaticas</t>
  </si>
  <si>
    <t>Seguros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</si>
  <si>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</si>
  <si>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</si>
  <si>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</si>
  <si>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</si>
  <si>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</si>
  <si>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</si>
  <si>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Obras menores en edificaciones</t>
  </si>
  <si>
    <t>Servicios especiales de mantenimiento y reparación</t>
  </si>
  <si>
    <t>Limpieza, desmalezamiento de tierras y terrenos</t>
  </si>
  <si>
    <t>Mantenimiento y reparación de obras civiles en instalaciones varias</t>
  </si>
  <si>
    <t>Obras en bienes de dominio público</t>
  </si>
  <si>
    <t>Instalaciones eléctricas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</si>
  <si>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</si>
  <si>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</si>
  <si>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</si>
  <si>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</si>
  <si>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</si>
  <si>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</si>
  <si>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</si>
  <si>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</si>
  <si>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</si>
  <si>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</si>
  <si>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</si>
  <si>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</si>
  <si>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</si>
  <si>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</si>
  <si>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Otros Servicios No Personales</t>
  </si>
  <si>
    <t>Gastos judiciales</t>
  </si>
  <si>
    <t>Comisiones y gastos bancarios</t>
  </si>
  <si>
    <t>Servicios sanitarios médicos y veterinarios</t>
  </si>
  <si>
    <t>Servicios funerarios y gastos conexos</t>
  </si>
  <si>
    <t>Fumigación, lavandería, limpieza e higiene</t>
  </si>
  <si>
    <t>Fumigación</t>
  </si>
  <si>
    <t>Lavandería</t>
  </si>
  <si>
    <t>Limpieza e higiene</t>
  </si>
  <si>
    <t>Organización de eventos y festividades</t>
  </si>
  <si>
    <t>Eventos generales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</si>
  <si>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</si>
  <si>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</si>
  <si>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</si>
  <si>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</si>
  <si>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</si>
  <si>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</si>
  <si>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</si>
  <si>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</si>
  <si>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</si>
  <si>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</si>
  <si>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</si>
  <si>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</si>
  <si>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</si>
  <si>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</si>
  <si>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Otras Contrataciones de Servicios</t>
  </si>
  <si>
    <t>Servicios de alimentación</t>
  </si>
  <si>
    <t xml:space="preserve">Servicios de alimentación </t>
  </si>
  <si>
    <t>Servicios de catering</t>
  </si>
  <si>
    <t>Materiales y Suministros</t>
  </si>
  <si>
    <t>Alimentos y Productos Agroforestales</t>
  </si>
  <si>
    <t>Alimentos y bebidas para personas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</si>
  <si>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</si>
  <si>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</si>
  <si>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</si>
  <si>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</si>
  <si>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</si>
  <si>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</si>
  <si>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</si>
  <si>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Textiles y Vestuarios</t>
  </si>
  <si>
    <t>Hilados y telas</t>
  </si>
  <si>
    <t>Acabados textiles</t>
  </si>
  <si>
    <t>Prendas de vestir</t>
  </si>
  <si>
    <t>Productos de Papel, Cartón e Impresos</t>
  </si>
  <si>
    <t>Papel de escritorio</t>
  </si>
  <si>
    <t>Papel y cartón</t>
  </si>
  <si>
    <t>Productos de artes gráficas</t>
  </si>
  <si>
    <t>Libros, revistas y periódicos</t>
  </si>
  <si>
    <t>Textos de enseñanza</t>
  </si>
  <si>
    <t>Especies timbrados y valoradas</t>
  </si>
  <si>
    <t>Productos Farmacéuticos</t>
  </si>
  <si>
    <t>Productos medicinales para uso humano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</si>
  <si>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</si>
  <si>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</si>
  <si>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</si>
  <si>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</si>
  <si>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</si>
  <si>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caucho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</si>
  <si>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</si>
  <si>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</si>
  <si>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</si>
  <si>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</si>
  <si>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cal</t>
  </si>
  <si>
    <t>Productos de asbestos</t>
  </si>
  <si>
    <t>Productos de yeso</t>
  </si>
  <si>
    <t>Productos de arcilla y derivados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</si>
  <si>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</si>
  <si>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</si>
  <si>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</si>
  <si>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</si>
  <si>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</si>
  <si>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</si>
  <si>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</si>
  <si>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</si>
  <si>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</si>
  <si>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</si>
  <si>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</si>
  <si>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</si>
  <si>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</si>
  <si>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</si>
  <si>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</si>
  <si>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</si>
  <si>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</si>
  <si>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</si>
  <si>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</si>
  <si>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</si>
  <si>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</si>
  <si>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</si>
  <si>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</si>
  <si>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</si>
  <si>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</si>
  <si>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</si>
  <si>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Gas Natural</t>
  </si>
  <si>
    <t>Productos químicos y conexos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</si>
  <si>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</si>
  <si>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</si>
  <si>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</si>
  <si>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</si>
  <si>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</si>
  <si>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</si>
  <si>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</si>
  <si>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</si>
  <si>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</si>
  <si>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</si>
  <si>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</si>
  <si>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Material para limpieza</t>
  </si>
  <si>
    <t>Útiles y materiales de limpieza e higiene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</si>
  <si>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</si>
  <si>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</si>
  <si>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</si>
  <si>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</si>
  <si>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</si>
  <si>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Útiles de cocina y comedor</t>
  </si>
  <si>
    <t>Productos eléctricos y afines</t>
  </si>
  <si>
    <t>Productos y útiles veterinarios</t>
  </si>
  <si>
    <t>Repuestos y accesorios menores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</si>
  <si>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</si>
  <si>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</si>
  <si>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</si>
  <si>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</si>
  <si>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</si>
  <si>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</si>
  <si>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Ayudas y donaciones ocasionales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</si>
  <si>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</si>
  <si>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</si>
  <si>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</si>
  <si>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</si>
  <si>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</si>
  <si>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Muebles, equipos de oficina y estantería</t>
  </si>
  <si>
    <t>Muebles de alojamiento, excepto de oficina y estantería</t>
  </si>
  <si>
    <t>Equipo de tecnologia de la informacion y comunicación</t>
  </si>
  <si>
    <t>Electrodomésticos</t>
  </si>
  <si>
    <t>Otros mobiliarios y equipos no identificados precedentemente</t>
  </si>
  <si>
    <t>Mobiliario y Eq. de Audio, Audiovisual, Recreativo y Educacional</t>
  </si>
  <si>
    <t>Equipos y aparatos audiovisuales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</si>
  <si>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</si>
  <si>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</si>
  <si>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</si>
  <si>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</si>
  <si>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médico y de laboratorio</t>
  </si>
  <si>
    <t>Instrumental médico y de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</si>
  <si>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</si>
  <si>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</si>
  <si>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</si>
  <si>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</si>
  <si>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</si>
  <si>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</si>
  <si>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</si>
  <si>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</si>
  <si>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</si>
  <si>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</si>
  <si>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</si>
  <si>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</si>
  <si>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</si>
  <si>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industrial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</si>
  <si>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</si>
  <si>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</si>
  <si>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</si>
  <si>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</si>
  <si>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Máquinas-herramientas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</si>
  <si>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</si>
  <si>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</si>
  <si>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</si>
  <si>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</si>
  <si>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</si>
  <si>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</si>
  <si>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</si>
  <si>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</si>
  <si>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</si>
  <si>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</si>
  <si>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</si>
  <si>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</si>
  <si>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</si>
  <si>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</si>
  <si>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</si>
  <si>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</si>
  <si>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</si>
  <si>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</si>
  <si>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</si>
  <si>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</si>
  <si>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</si>
  <si>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</si>
  <si>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</si>
  <si>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</si>
  <si>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</si>
  <si>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</si>
  <si>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</si>
  <si>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</si>
  <si>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</si>
  <si>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</si>
  <si>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</si>
  <si>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</si>
  <si>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</si>
  <si>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</si>
  <si>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</si>
  <si>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</si>
  <si>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</si>
  <si>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</si>
  <si>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</si>
  <si>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</si>
  <si>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</si>
  <si>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</si>
  <si>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</si>
  <si>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</si>
  <si>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</si>
  <si>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</si>
  <si>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</si>
  <si>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</si>
  <si>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</si>
  <si>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</si>
  <si>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</si>
  <si>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Infraestructura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</si>
  <si>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</si>
  <si>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</si>
  <si>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</si>
  <si>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</si>
  <si>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</si>
  <si>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</si>
  <si>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</si>
  <si>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</si>
  <si>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</si>
  <si>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</si>
  <si>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</si>
  <si>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</si>
  <si>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</si>
  <si>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</si>
  <si>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</si>
  <si>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t>MAYO 2025</t>
  </si>
  <si>
    <t>JUNIO 2025</t>
  </si>
  <si>
    <t>EJECUCION DE INGRESOS E INGRESOS ABRIL- JUNIO 2025   3.1.1.2.05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</si>
</sst>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26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4" fillId="2" borderId="0" xfId="2" applyFont="1" applyFill="1"/>
    <xf numFmtId="0" fontId="4" fillId="2" borderId="5" xfId="2" applyFont="1" applyFill="1" applyBorder="1"/>
    <xf numFmtId="0" fontId="9" fillId="4" borderId="4" xfId="2" applyFont="1" applyFill="1" applyBorder="1" applyAlignment="1">
      <alignment horizontal="left"/>
    </xf>
    <xf numFmtId="0" fontId="9" fillId="4" borderId="0" xfId="2" applyFont="1" applyFill="1" applyAlignment="1">
      <alignment horizontal="left"/>
    </xf>
    <xf numFmtId="0" fontId="9" fillId="4" borderId="5" xfId="2" applyFont="1" applyFill="1" applyBorder="1" applyAlignment="1">
      <alignment horizontal="left"/>
    </xf>
    <xf numFmtId="0" fontId="10" fillId="3" borderId="4" xfId="2" applyFont="1" applyFill="1" applyBorder="1"/>
    <xf numFmtId="0" fontId="10" fillId="3" borderId="0" xfId="2" applyFont="1" applyFill="1"/>
    <xf numFmtId="0" fontId="11" fillId="3" borderId="0" xfId="2" applyFont="1" applyFill="1" applyAlignment="1">
      <alignment horizontal="left" indent="3"/>
    </xf>
    <xf numFmtId="0" fontId="11" fillId="2" borderId="0" xfId="2" applyFont="1" applyFill="1" applyAlignment="1">
      <alignment horizontal="center"/>
    </xf>
    <xf numFmtId="0" fontId="12" fillId="3" borderId="0" xfId="2" applyFont="1" applyFill="1"/>
    <xf numFmtId="0" fontId="11" fillId="2" borderId="5" xfId="2" applyFont="1" applyFill="1" applyBorder="1" applyAlignment="1">
      <alignment horizontal="center"/>
    </xf>
    <xf numFmtId="4" fontId="11" fillId="3" borderId="0" xfId="2" applyNumberFormat="1" applyFont="1" applyFill="1" applyAlignment="1">
      <alignment horizontal="left" indent="11"/>
    </xf>
    <xf numFmtId="4" fontId="12" fillId="3" borderId="6" xfId="2" applyNumberFormat="1" applyFont="1" applyFill="1" applyBorder="1"/>
    <xf numFmtId="4" fontId="13" fillId="3" borderId="0" xfId="2" applyNumberFormat="1" applyFont="1" applyFill="1" applyAlignment="1">
      <alignment horizontal="left" indent="2"/>
    </xf>
    <xf numFmtId="4" fontId="14" fillId="3" borderId="0" xfId="2" applyNumberFormat="1" applyFont="1" applyFill="1" applyAlignment="1">
      <alignment horizontal="left" indent="2"/>
    </xf>
    <xf numFmtId="4" fontId="12" fillId="3" borderId="0" xfId="2" applyNumberFormat="1" applyFont="1" applyFill="1"/>
    <xf numFmtId="4" fontId="12" fillId="3" borderId="7" xfId="2" applyNumberFormat="1" applyFont="1" applyFill="1" applyBorder="1"/>
    <xf numFmtId="4" fontId="11" fillId="3" borderId="0" xfId="2" applyNumberFormat="1" applyFont="1" applyFill="1" applyAlignment="1">
      <alignment horizontal="left" indent="2"/>
    </xf>
    <xf numFmtId="4" fontId="11" fillId="3" borderId="0" xfId="2" applyNumberFormat="1" applyFont="1" applyFill="1" applyAlignment="1">
      <alignment horizontal="left" indent="3"/>
    </xf>
    <xf numFmtId="4" fontId="11" fillId="2" borderId="5" xfId="2" applyNumberFormat="1" applyFont="1" applyFill="1" applyBorder="1" applyAlignment="1">
      <alignment horizontal="center"/>
    </xf>
    <xf numFmtId="4" fontId="12" fillId="3" borderId="2" xfId="2" applyNumberFormat="1" applyFont="1" applyFill="1" applyBorder="1"/>
    <xf numFmtId="43" fontId="11" fillId="0" borderId="0" xfId="3" applyFont="1" applyBorder="1" applyAlignment="1">
      <alignment horizontal="left"/>
    </xf>
    <xf numFmtId="4" fontId="9" fillId="3" borderId="0" xfId="2" applyNumberFormat="1" applyFont="1" applyFill="1" applyAlignment="1">
      <alignment horizontal="left" indent="11"/>
    </xf>
    <xf numFmtId="4" fontId="12" fillId="3" borderId="0" xfId="2" applyNumberFormat="1" applyFont="1" applyFill="1" applyAlignment="1">
      <alignment horizontal="center"/>
    </xf>
    <xf numFmtId="0" fontId="10" fillId="4" borderId="4" xfId="2" applyFont="1" applyFill="1" applyBorder="1"/>
    <xf numFmtId="0" fontId="9" fillId="4" borderId="0" xfId="2" applyFont="1" applyFill="1"/>
    <xf numFmtId="4" fontId="9" fillId="4" borderId="0" xfId="2" applyNumberFormat="1" applyFont="1" applyFill="1" applyAlignment="1">
      <alignment horizontal="left"/>
    </xf>
    <xf numFmtId="0" fontId="10" fillId="4" borderId="0" xfId="2" applyFont="1" applyFill="1"/>
    <xf numFmtId="4" fontId="9" fillId="4" borderId="0" xfId="2" applyNumberFormat="1" applyFont="1" applyFill="1"/>
    <xf numFmtId="4" fontId="10" fillId="4" borderId="0" xfId="2" applyNumberFormat="1" applyFont="1" applyFill="1"/>
    <xf numFmtId="4" fontId="13" fillId="4" borderId="0" xfId="2" applyNumberFormat="1" applyFont="1" applyFill="1"/>
    <xf numFmtId="0" fontId="11" fillId="2" borderId="4" xfId="2" applyFont="1" applyFill="1" applyBorder="1" applyAlignment="1">
      <alignment horizontal="center"/>
    </xf>
    <xf numFmtId="0" fontId="17" fillId="5" borderId="8" xfId="4" applyFont="1" applyFill="1" applyBorder="1" applyAlignment="1">
      <alignment horizontal="center"/>
    </xf>
    <xf numFmtId="0" fontId="22" fillId="7" borderId="14" xfId="4" applyFont="1" applyFill="1" applyBorder="1" applyAlignment="1">
      <alignment vertical="top"/>
    </xf>
    <xf numFmtId="0" fontId="23" fillId="7" borderId="14" xfId="4" applyFont="1" applyFill="1" applyBorder="1" applyAlignment="1">
      <alignment horizontal="center" vertical="top"/>
    </xf>
    <xf numFmtId="164" fontId="23" fillId="7" borderId="14" xfId="3" applyNumberFormat="1" applyFont="1" applyFill="1" applyBorder="1" applyAlignment="1">
      <alignment vertical="top"/>
    </xf>
    <xf numFmtId="9" fontId="23" fillId="7" borderId="11" xfId="5" applyFont="1" applyFill="1" applyBorder="1" applyAlignment="1">
      <alignment vertical="top"/>
    </xf>
    <xf numFmtId="0" fontId="13" fillId="8" borderId="15" xfId="4" applyFont="1" applyFill="1" applyBorder="1" applyAlignment="1">
      <alignment vertical="top"/>
    </xf>
    <xf numFmtId="0" fontId="11" fillId="8" borderId="15" xfId="4" applyFont="1" applyFill="1" applyBorder="1" applyAlignment="1">
      <alignment horizontal="center" vertical="top"/>
    </xf>
    <xf numFmtId="164" fontId="11" fillId="8" borderId="15" xfId="3" applyNumberFormat="1" applyFont="1" applyFill="1" applyBorder="1" applyAlignment="1">
      <alignment vertical="top"/>
    </xf>
    <xf numFmtId="9" fontId="11" fillId="8" borderId="8" xfId="5" applyFont="1" applyFill="1" applyBorder="1" applyAlignment="1">
      <alignment vertical="top"/>
    </xf>
    <xf numFmtId="0" fontId="11" fillId="8" borderId="8" xfId="4" applyFont="1" applyFill="1" applyBorder="1" applyAlignment="1">
      <alignment vertical="top"/>
    </xf>
    <xf numFmtId="0" fontId="11" fillId="8" borderId="8" xfId="4" applyFont="1" applyFill="1" applyBorder="1" applyAlignment="1">
      <alignment horizontal="center" vertical="top"/>
    </xf>
    <xf numFmtId="164" fontId="11" fillId="8" borderId="8" xfId="3" applyNumberFormat="1" applyFont="1" applyFill="1" applyBorder="1" applyAlignment="1">
      <alignment vertical="top"/>
    </xf>
    <xf numFmtId="0" fontId="3" fillId="9" borderId="8" xfId="4" applyFont="1" applyFill="1" applyBorder="1" applyAlignment="1">
      <alignment vertical="top"/>
    </xf>
    <xf numFmtId="0" fontId="3" fillId="9" borderId="8" xfId="4" applyFont="1" applyFill="1" applyBorder="1" applyAlignment="1">
      <alignment horizontal="center" vertical="top"/>
    </xf>
    <xf numFmtId="164" fontId="3" fillId="9" borderId="8" xfId="3" applyNumberFormat="1" applyFont="1" applyFill="1" applyBorder="1" applyAlignment="1">
      <alignment vertical="top"/>
    </xf>
    <xf numFmtId="9" fontId="3" fillId="9" borderId="8" xfId="1" applyFont="1" applyFill="1" applyBorder="1" applyAlignment="1">
      <alignment vertical="top"/>
    </xf>
    <xf numFmtId="0" fontId="3" fillId="3" borderId="8" xfId="4" applyFont="1" applyFill="1" applyBorder="1" applyAlignment="1">
      <alignment vertical="top"/>
    </xf>
    <xf numFmtId="0" fontId="3" fillId="3" borderId="8" xfId="4" applyFont="1" applyFill="1" applyBorder="1" applyAlignment="1">
      <alignment horizontal="center" vertical="top"/>
    </xf>
    <xf numFmtId="0" fontId="3" fillId="3" borderId="8" xfId="4" quotePrefix="1" applyFont="1" applyFill="1" applyBorder="1" applyAlignment="1">
      <alignment horizontal="center" vertical="top"/>
    </xf>
    <xf numFmtId="164" fontId="3" fillId="3" borderId="8" xfId="3" applyNumberFormat="1" applyFont="1" applyFill="1" applyBorder="1" applyAlignment="1">
      <alignment vertical="top"/>
    </xf>
    <xf numFmtId="9" fontId="3" fillId="2" borderId="8" xfId="5" applyFont="1" applyFill="1" applyBorder="1" applyAlignment="1">
      <alignment vertical="top"/>
    </xf>
    <xf numFmtId="9" fontId="3" fillId="9" borderId="8" xfId="5" applyFont="1" applyFill="1" applyBorder="1" applyAlignment="1">
      <alignment vertical="top"/>
    </xf>
    <xf numFmtId="0" fontId="3" fillId="3" borderId="8" xfId="2" applyFont="1" applyFill="1" applyBorder="1" applyAlignment="1">
      <alignment vertical="top" wrapText="1"/>
    </xf>
    <xf numFmtId="0" fontId="11" fillId="8" borderId="8" xfId="4" applyFont="1" applyFill="1" applyBorder="1"/>
    <xf numFmtId="0" fontId="3" fillId="9" borderId="8" xfId="4" applyFont="1" applyFill="1" applyBorder="1"/>
    <xf numFmtId="0" fontId="3" fillId="3" borderId="8" xfId="4" applyFont="1" applyFill="1" applyBorder="1"/>
    <xf numFmtId="0" fontId="11" fillId="8" borderId="8" xfId="4" applyFont="1" applyFill="1" applyBorder="1" applyAlignment="1">
      <alignment horizontal="center"/>
    </xf>
    <xf numFmtId="0" fontId="11" fillId="9" borderId="8" xfId="4" applyFont="1" applyFill="1" applyBorder="1" applyAlignment="1">
      <alignment horizontal="center" vertical="top"/>
    </xf>
    <xf numFmtId="0" fontId="3" fillId="8" borderId="8" xfId="4" applyFont="1" applyFill="1" applyBorder="1" applyAlignment="1">
      <alignment horizontal="center" vertical="top"/>
    </xf>
    <xf numFmtId="0" fontId="11" fillId="8" borderId="8" xfId="2" applyFont="1" applyFill="1" applyBorder="1" applyAlignment="1">
      <alignment wrapText="1"/>
    </xf>
    <xf numFmtId="0" fontId="3" fillId="3" borderId="8" xfId="2" applyFont="1" applyFill="1" applyBorder="1" applyAlignment="1">
      <alignment wrapText="1"/>
    </xf>
    <xf numFmtId="0" fontId="3" fillId="3" borderId="8" xfId="4" applyFont="1" applyFill="1" applyBorder="1" applyAlignment="1">
      <alignment vertical="top" wrapText="1"/>
    </xf>
    <xf numFmtId="0" fontId="3" fillId="9" borderId="8" xfId="4" applyFont="1" applyFill="1" applyBorder="1" applyAlignment="1">
      <alignment vertical="top" wrapText="1"/>
    </xf>
    <xf numFmtId="0" fontId="11" fillId="8" borderId="8" xfId="4" applyFont="1" applyFill="1" applyBorder="1" applyAlignment="1">
      <alignment vertical="top" wrapText="1"/>
    </xf>
    <xf numFmtId="0" fontId="3" fillId="3" borderId="8" xfId="4" applyFont="1" applyFill="1" applyBorder="1" applyAlignment="1">
      <alignment horizontal="justify" vertical="top" wrapText="1"/>
    </xf>
    <xf numFmtId="0" fontId="11" fillId="8" borderId="8" xfId="2" applyFont="1" applyFill="1" applyBorder="1" applyAlignment="1">
      <alignment vertical="top" wrapText="1"/>
    </xf>
    <xf numFmtId="0" fontId="3" fillId="9" borderId="8" xfId="2" applyFont="1" applyFill="1" applyBorder="1" applyAlignment="1">
      <alignment vertical="top" wrapText="1"/>
    </xf>
    <xf numFmtId="0" fontId="11" fillId="8" borderId="8" xfId="4" applyFont="1" applyFill="1" applyBorder="1" applyAlignment="1">
      <alignment horizontal="right" vertical="top"/>
    </xf>
    <xf numFmtId="0" fontId="3" fillId="0" borderId="8" xfId="4" applyFont="1" applyBorder="1"/>
    <xf numFmtId="0" fontId="3" fillId="0" borderId="8" xfId="4" applyFont="1" applyBorder="1" applyAlignment="1">
      <alignment horizontal="center" vertical="top"/>
    </xf>
    <xf numFmtId="0" fontId="3" fillId="0" borderId="8" xfId="2" applyFont="1" applyBorder="1" applyAlignment="1">
      <alignment vertical="top" wrapText="1"/>
    </xf>
    <xf numFmtId="164" fontId="3" fillId="0" borderId="8" xfId="3" applyNumberFormat="1" applyFont="1" applyFill="1" applyBorder="1" applyAlignment="1">
      <alignment vertical="top"/>
    </xf>
    <xf numFmtId="0" fontId="3" fillId="2" borderId="2" xfId="2" applyFont="1" applyFill="1" applyBorder="1" applyAlignment="1">
      <alignment wrapText="1"/>
    </xf>
    <xf numFmtId="0" fontId="9" fillId="4" borderId="0" xfId="2" applyFont="1" applyFill="1" applyAlignment="1">
      <alignment horizontal="left" wrapText="1"/>
    </xf>
    <xf numFmtId="0" fontId="11" fillId="2" borderId="0" xfId="2" applyFont="1" applyFill="1" applyAlignment="1">
      <alignment horizontal="center" wrapText="1"/>
    </xf>
    <xf numFmtId="4" fontId="11" fillId="3" borderId="0" xfId="2" applyNumberFormat="1" applyFont="1" applyFill="1" applyAlignment="1">
      <alignment horizontal="center" wrapText="1"/>
    </xf>
    <xf numFmtId="4" fontId="9" fillId="4" borderId="0" xfId="2" applyNumberFormat="1" applyFont="1" applyFill="1" applyAlignment="1">
      <alignment wrapText="1"/>
    </xf>
    <xf numFmtId="0" fontId="16" fillId="5" borderId="8" xfId="4" applyFont="1" applyFill="1" applyBorder="1" applyAlignment="1">
      <alignment horizontal="center" wrapText="1"/>
    </xf>
    <xf numFmtId="0" fontId="23" fillId="7" borderId="14" xfId="4" applyFont="1" applyFill="1" applyBorder="1" applyAlignment="1">
      <alignment vertical="top" wrapText="1"/>
    </xf>
    <xf numFmtId="0" fontId="11" fillId="8" borderId="15" xfId="4" applyFont="1" applyFill="1" applyBorder="1" applyAlignment="1">
      <alignment vertical="top" wrapText="1"/>
    </xf>
    <xf numFmtId="0" fontId="3" fillId="9" borderId="8" xfId="2" applyFont="1" applyFill="1" applyBorder="1" applyAlignment="1">
      <alignment wrapText="1"/>
    </xf>
    <xf numFmtId="0" fontId="11" fillId="8" borderId="8" xfId="4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9" fontId="21" fillId="6" borderId="11" xfId="5" applyFont="1" applyFill="1" applyBorder="1" applyAlignment="1">
      <alignment horizontal="center" vertical="center"/>
    </xf>
    <xf numFmtId="9" fontId="21" fillId="6" borderId="12" xfId="5" applyFont="1" applyFill="1" applyBorder="1" applyAlignment="1">
      <alignment horizontal="center" vertical="center"/>
    </xf>
    <xf numFmtId="9" fontId="21" fillId="6" borderId="13" xfId="5" applyFont="1" applyFill="1" applyBorder="1" applyAlignment="1">
      <alignment horizontal="center" vertical="center"/>
    </xf>
    <xf numFmtId="0" fontId="16" fillId="6" borderId="11" xfId="4" applyFont="1" applyFill="1" applyBorder="1" applyAlignment="1">
      <alignment horizontal="center" vertical="center" textRotation="90"/>
    </xf>
    <xf numFmtId="0" fontId="16" fillId="6" borderId="13" xfId="4" applyFont="1" applyFill="1" applyBorder="1" applyAlignment="1">
      <alignment horizontal="center" vertical="center" textRotation="90"/>
    </xf>
    <xf numFmtId="0" fontId="9" fillId="6" borderId="11" xfId="2" applyFont="1" applyFill="1" applyBorder="1" applyAlignment="1">
      <alignment horizontal="center" vertical="center" wrapText="1"/>
    </xf>
    <xf numFmtId="0" fontId="9" fillId="6" borderId="13" xfId="2" applyFont="1" applyFill="1" applyBorder="1" applyAlignment="1">
      <alignment horizontal="center" vertical="center" wrapText="1"/>
    </xf>
    <xf numFmtId="0" fontId="16" fillId="6" borderId="11" xfId="4" applyFont="1" applyFill="1" applyBorder="1" applyAlignment="1">
      <alignment horizontal="center" vertical="center" wrapText="1"/>
    </xf>
    <xf numFmtId="0" fontId="16" fillId="6" borderId="12" xfId="4" applyFont="1" applyFill="1" applyBorder="1" applyAlignment="1">
      <alignment horizontal="center" vertical="center" wrapText="1"/>
    </xf>
    <xf numFmtId="0" fontId="16" fillId="6" borderId="13" xfId="4" applyFont="1" applyFill="1" applyBorder="1" applyAlignment="1">
      <alignment horizontal="center" vertical="center" wrapText="1"/>
    </xf>
    <xf numFmtId="0" fontId="16" fillId="5" borderId="8" xfId="4" applyFont="1" applyFill="1" applyBorder="1" applyAlignment="1">
      <alignment horizontal="center"/>
    </xf>
    <xf numFmtId="0" fontId="17" fillId="5" borderId="9" xfId="4" applyFont="1" applyFill="1" applyBorder="1" applyAlignment="1">
      <alignment horizontal="center"/>
    </xf>
    <xf numFmtId="0" fontId="17" fillId="5" borderId="10" xfId="4" applyFont="1" applyFill="1" applyBorder="1" applyAlignment="1">
      <alignment horizontal="center"/>
    </xf>
    <xf numFmtId="0" fontId="18" fillId="6" borderId="8" xfId="2" applyFont="1" applyFill="1" applyBorder="1" applyAlignment="1">
      <alignment horizontal="center" vertical="center"/>
    </xf>
    <xf numFmtId="0" fontId="19" fillId="6" borderId="11" xfId="2" applyFont="1" applyFill="1" applyBorder="1" applyAlignment="1">
      <alignment horizontal="center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19" fillId="6" borderId="13" xfId="2" applyFont="1" applyFill="1" applyBorder="1" applyAlignment="1">
      <alignment horizontal="center" vertical="center" wrapText="1"/>
    </xf>
    <xf numFmtId="0" fontId="20" fillId="6" borderId="9" xfId="2" applyFont="1" applyFill="1" applyBorder="1" applyAlignment="1">
      <alignment horizontal="center" vertical="center" wrapText="1"/>
    </xf>
    <xf numFmtId="0" fontId="20" fillId="6" borderId="10" xfId="2" applyFont="1" applyFill="1" applyBorder="1" applyAlignment="1">
      <alignment horizontal="center" vertical="center" wrapText="1"/>
    </xf>
    <xf numFmtId="49" fontId="9" fillId="3" borderId="4" xfId="2" applyNumberFormat="1" applyFont="1" applyFill="1" applyBorder="1" applyAlignment="1">
      <alignment horizontal="center"/>
    </xf>
    <xf numFmtId="49" fontId="9" fillId="3" borderId="0" xfId="2" applyNumberFormat="1" applyFont="1" applyFill="1" applyAlignment="1">
      <alignment horizontal="center"/>
    </xf>
    <xf numFmtId="49" fontId="9" fillId="3" borderId="5" xfId="2" applyNumberFormat="1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5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5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5" xfId="2" applyFont="1" applyFill="1" applyBorder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9" fillId="3" borderId="0" xfId="2" applyFont="1" applyFill="1" applyAlignment="1">
      <alignment horizontal="center"/>
    </xf>
    <xf numFmtId="0" fontId="9" fillId="3" borderId="5" xfId="2" applyFont="1" applyFill="1" applyBorder="1" applyAlignment="1">
      <alignment horizontal="center"/>
    </xf>
  </cellXfs>
  <cellStyles count="6">
    <cellStyle name="Millares 2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rcentaje" xfId="1" builtinId="5"/>
    <cellStyle name="Porcentaj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ABRIL%202025/MATRIZ%20ACTUALIZADA%2004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YO%202025/MATRIZ%20ACTUALIZADA%2005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/>
      <sheetData sheetId="3">
        <row r="127">
          <cell r="A127">
            <v>53482455.210000001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1107531.03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92400</v>
          </cell>
          <cell r="R127">
            <v>88711.08</v>
          </cell>
          <cell r="S127">
            <v>2739824.52</v>
          </cell>
          <cell r="T127">
            <v>0</v>
          </cell>
          <cell r="U127">
            <v>0</v>
          </cell>
          <cell r="V127">
            <v>0</v>
          </cell>
          <cell r="W127">
            <v>45000</v>
          </cell>
          <cell r="X127">
            <v>0</v>
          </cell>
          <cell r="Y127">
            <v>0</v>
          </cell>
          <cell r="Z127">
            <v>339600</v>
          </cell>
          <cell r="AA127">
            <v>0</v>
          </cell>
          <cell r="AB127">
            <v>260539.96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3870432.33</v>
          </cell>
          <cell r="AL127">
            <v>3875889.48</v>
          </cell>
          <cell r="AM127">
            <v>653772.07000000007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60535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150000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812515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1562980.47</v>
          </cell>
          <cell r="DT127">
            <v>0</v>
          </cell>
          <cell r="DU127">
            <v>0</v>
          </cell>
          <cell r="DV127">
            <v>708247.21</v>
          </cell>
          <cell r="DW127">
            <v>802695</v>
          </cell>
          <cell r="DX127">
            <v>0</v>
          </cell>
          <cell r="DY127">
            <v>0</v>
          </cell>
          <cell r="DZ127">
            <v>0</v>
          </cell>
          <cell r="EA127">
            <v>6349109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13349.69</v>
          </cell>
          <cell r="EG127">
            <v>493196.66000000003</v>
          </cell>
          <cell r="EH127">
            <v>0</v>
          </cell>
          <cell r="EI127">
            <v>0</v>
          </cell>
          <cell r="EJ127">
            <v>0</v>
          </cell>
          <cell r="EK127">
            <v>26668</v>
          </cell>
          <cell r="EL127">
            <v>0</v>
          </cell>
          <cell r="EM127">
            <v>40356</v>
          </cell>
          <cell r="EN127">
            <v>0</v>
          </cell>
          <cell r="EO127">
            <v>205350.09</v>
          </cell>
          <cell r="EP127">
            <v>12331</v>
          </cell>
          <cell r="EQ127">
            <v>0</v>
          </cell>
          <cell r="ER127">
            <v>66310.790000000008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2124</v>
          </cell>
          <cell r="FI127">
            <v>0</v>
          </cell>
          <cell r="FJ127">
            <v>2272106.29</v>
          </cell>
          <cell r="FK127">
            <v>0</v>
          </cell>
          <cell r="FL127">
            <v>0</v>
          </cell>
          <cell r="FM127">
            <v>0</v>
          </cell>
          <cell r="FN127">
            <v>484961.6</v>
          </cell>
          <cell r="FO127">
            <v>0</v>
          </cell>
          <cell r="FP127">
            <v>0</v>
          </cell>
          <cell r="FQ127">
            <v>358914.69999999995</v>
          </cell>
          <cell r="FR127">
            <v>0</v>
          </cell>
          <cell r="FS127">
            <v>0</v>
          </cell>
          <cell r="FT127">
            <v>6071252.1799999997</v>
          </cell>
          <cell r="FU127">
            <v>0</v>
          </cell>
          <cell r="FV127">
            <v>0</v>
          </cell>
          <cell r="FW127">
            <v>86139.75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1535274.4900000002</v>
          </cell>
          <cell r="GI127">
            <v>0</v>
          </cell>
          <cell r="GJ127">
            <v>244260</v>
          </cell>
          <cell r="GK127">
            <v>32899.99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1121858</v>
          </cell>
          <cell r="GR127">
            <v>1314567.9099999999</v>
          </cell>
          <cell r="GS127">
            <v>0</v>
          </cell>
          <cell r="GT127">
            <v>199361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58700</v>
          </cell>
          <cell r="HE127">
            <v>0</v>
          </cell>
          <cell r="HF127">
            <v>158120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  <cell r="IL127">
            <v>0</v>
          </cell>
          <cell r="IM127">
            <v>0</v>
          </cell>
          <cell r="IN127">
            <v>0</v>
          </cell>
          <cell r="IO127">
            <v>0</v>
          </cell>
          <cell r="IP127">
            <v>0</v>
          </cell>
          <cell r="IQ127">
            <v>0</v>
          </cell>
          <cell r="IR127">
            <v>0</v>
          </cell>
          <cell r="IS127">
            <v>0</v>
          </cell>
          <cell r="IT127">
            <v>0</v>
          </cell>
          <cell r="IU127">
            <v>0</v>
          </cell>
          <cell r="IV127">
            <v>0</v>
          </cell>
          <cell r="IW127">
            <v>0</v>
          </cell>
          <cell r="IX127">
            <v>0</v>
          </cell>
          <cell r="IY127">
            <v>0</v>
          </cell>
          <cell r="IZ127">
            <v>0</v>
          </cell>
          <cell r="JA127">
            <v>0</v>
          </cell>
          <cell r="JB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</row>
      </sheetData>
      <sheetData sheetId="4"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104569.42</v>
          </cell>
          <cell r="AR89">
            <v>0</v>
          </cell>
          <cell r="AS89">
            <v>106038.88</v>
          </cell>
          <cell r="AT89">
            <v>0</v>
          </cell>
          <cell r="AU89">
            <v>0</v>
          </cell>
          <cell r="AV89">
            <v>0</v>
          </cell>
          <cell r="AW89">
            <v>75000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229519.78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199877.53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17193.48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325326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199187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94850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196824</v>
          </cell>
          <cell r="DX89">
            <v>0</v>
          </cell>
          <cell r="DY89">
            <v>0</v>
          </cell>
          <cell r="DZ89">
            <v>0</v>
          </cell>
          <cell r="EA89">
            <v>92000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172000</v>
          </cell>
          <cell r="FB89">
            <v>0</v>
          </cell>
          <cell r="FC89">
            <v>0</v>
          </cell>
          <cell r="FD89">
            <v>21879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32658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1744571</v>
          </cell>
          <cell r="FR89">
            <v>0</v>
          </cell>
          <cell r="FS89">
            <v>0</v>
          </cell>
          <cell r="FT89">
            <v>527418.59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56114.61</v>
          </cell>
          <cell r="GB89">
            <v>61950</v>
          </cell>
          <cell r="GC89">
            <v>203615</v>
          </cell>
          <cell r="GD89">
            <v>420958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  <cell r="IL89">
            <v>0</v>
          </cell>
          <cell r="IM89">
            <v>0</v>
          </cell>
          <cell r="IN89">
            <v>0</v>
          </cell>
          <cell r="IO89">
            <v>0</v>
          </cell>
          <cell r="IP89">
            <v>0</v>
          </cell>
          <cell r="IQ89">
            <v>0</v>
          </cell>
          <cell r="IR89">
            <v>0</v>
          </cell>
          <cell r="IS89">
            <v>0</v>
          </cell>
          <cell r="IT89">
            <v>0</v>
          </cell>
          <cell r="IU89">
            <v>0</v>
          </cell>
          <cell r="IV89">
            <v>0</v>
          </cell>
          <cell r="IW89">
            <v>0</v>
          </cell>
          <cell r="IX89">
            <v>0</v>
          </cell>
          <cell r="IY89">
            <v>0</v>
          </cell>
          <cell r="IZ89">
            <v>0</v>
          </cell>
          <cell r="JA89">
            <v>0</v>
          </cell>
          <cell r="JB89">
            <v>0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100779301.08</v>
          </cell>
        </row>
        <row r="32">
          <cell r="E32">
            <v>6892064.790000001</v>
          </cell>
        </row>
        <row r="39">
          <cell r="E39">
            <v>214750</v>
          </cell>
        </row>
      </sheetData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/>
      <sheetData sheetId="1"/>
      <sheetData sheetId="2"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209036.41</v>
          </cell>
          <cell r="AR106">
            <v>0</v>
          </cell>
          <cell r="AS106">
            <v>104427.01</v>
          </cell>
          <cell r="AT106">
            <v>0</v>
          </cell>
          <cell r="AU106">
            <v>0</v>
          </cell>
          <cell r="AV106">
            <v>0</v>
          </cell>
          <cell r="AW106">
            <v>785000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20000</v>
          </cell>
          <cell r="BC106">
            <v>56000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476550.64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53100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205899.13999999998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92016.4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42033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355075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141128</v>
          </cell>
          <cell r="DS106">
            <v>0</v>
          </cell>
          <cell r="DT106">
            <v>0</v>
          </cell>
          <cell r="DU106">
            <v>0</v>
          </cell>
          <cell r="DV106">
            <v>498900</v>
          </cell>
          <cell r="DW106">
            <v>108265</v>
          </cell>
          <cell r="DX106">
            <v>0</v>
          </cell>
          <cell r="DY106">
            <v>0</v>
          </cell>
          <cell r="DZ106">
            <v>0</v>
          </cell>
          <cell r="EA106">
            <v>130100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172000</v>
          </cell>
          <cell r="FB106">
            <v>0</v>
          </cell>
          <cell r="FC106">
            <v>0</v>
          </cell>
          <cell r="FD106">
            <v>47073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846850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98506.4</v>
          </cell>
          <cell r="FR106">
            <v>0</v>
          </cell>
          <cell r="FS106">
            <v>0</v>
          </cell>
          <cell r="FT106">
            <v>108884.20000000001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50620</v>
          </cell>
          <cell r="GB106">
            <v>0</v>
          </cell>
          <cell r="GC106">
            <v>0</v>
          </cell>
          <cell r="GD106">
            <v>480808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2221942.19</v>
          </cell>
          <cell r="GS106">
            <v>0</v>
          </cell>
          <cell r="GT106">
            <v>1705100</v>
          </cell>
          <cell r="GU106">
            <v>0</v>
          </cell>
          <cell r="GV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  <cell r="IL106">
            <v>0</v>
          </cell>
          <cell r="IM106">
            <v>0</v>
          </cell>
          <cell r="IN106">
            <v>0</v>
          </cell>
          <cell r="IO106">
            <v>0</v>
          </cell>
          <cell r="IP106">
            <v>0</v>
          </cell>
          <cell r="IQ106">
            <v>0</v>
          </cell>
          <cell r="IR106">
            <v>0</v>
          </cell>
          <cell r="IS106">
            <v>0</v>
          </cell>
          <cell r="IT106">
            <v>0</v>
          </cell>
          <cell r="IU106">
            <v>0</v>
          </cell>
          <cell r="IV106">
            <v>0</v>
          </cell>
          <cell r="IW106">
            <v>0</v>
          </cell>
          <cell r="IX106">
            <v>0</v>
          </cell>
          <cell r="IY106">
            <v>0</v>
          </cell>
          <cell r="IZ106">
            <v>0</v>
          </cell>
          <cell r="JA106">
            <v>0</v>
          </cell>
          <cell r="JB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</row>
      </sheetData>
      <sheetData sheetId="3">
        <row r="126">
          <cell r="A126">
            <v>53314609.399999999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1130531.03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2723298.24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334800</v>
          </cell>
          <cell r="AA126">
            <v>443970.11</v>
          </cell>
          <cell r="AB126">
            <v>260539.96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3860162.77</v>
          </cell>
          <cell r="AL126">
            <v>3865605.4200000004</v>
          </cell>
          <cell r="AM126">
            <v>652033.92000000004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32889.839999999997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17999.98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1156400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413000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1657538.8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9487.2000000000007</v>
          </cell>
          <cell r="DV126">
            <v>217335.76</v>
          </cell>
          <cell r="DW126">
            <v>538316</v>
          </cell>
          <cell r="DX126">
            <v>0</v>
          </cell>
          <cell r="DY126">
            <v>0</v>
          </cell>
          <cell r="DZ126">
            <v>0</v>
          </cell>
          <cell r="EA126">
            <v>2637285.6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384413.08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202488</v>
          </cell>
          <cell r="EQ126">
            <v>0</v>
          </cell>
          <cell r="ER126">
            <v>12689.81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1649337.32</v>
          </cell>
          <cell r="FB126">
            <v>664800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1653884.2999999998</v>
          </cell>
          <cell r="FK126">
            <v>0</v>
          </cell>
          <cell r="FL126">
            <v>0</v>
          </cell>
          <cell r="FM126">
            <v>327699.16000000003</v>
          </cell>
          <cell r="FN126">
            <v>113956.7</v>
          </cell>
          <cell r="FO126">
            <v>0</v>
          </cell>
          <cell r="FP126">
            <v>0</v>
          </cell>
          <cell r="FQ126">
            <v>662238.28999999992</v>
          </cell>
          <cell r="FR126">
            <v>0</v>
          </cell>
          <cell r="FS126">
            <v>7363.2</v>
          </cell>
          <cell r="FT126">
            <v>5679913.2400000002</v>
          </cell>
          <cell r="FU126">
            <v>0</v>
          </cell>
          <cell r="FV126">
            <v>0</v>
          </cell>
          <cell r="FW126">
            <v>148801.03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40966.129999999997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40572.730000000003</v>
          </cell>
          <cell r="GK126">
            <v>118194.26</v>
          </cell>
          <cell r="GL126">
            <v>72717.259999999995</v>
          </cell>
          <cell r="GM126">
            <v>47202.36</v>
          </cell>
          <cell r="GN126">
            <v>0</v>
          </cell>
          <cell r="GO126">
            <v>0</v>
          </cell>
          <cell r="GP126">
            <v>135724.38</v>
          </cell>
          <cell r="GQ126">
            <v>679653.51</v>
          </cell>
          <cell r="GR126">
            <v>1605558.15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15963.52</v>
          </cell>
          <cell r="HE126">
            <v>0</v>
          </cell>
          <cell r="HF126">
            <v>3389717.04</v>
          </cell>
          <cell r="HG126">
            <v>0</v>
          </cell>
          <cell r="HH126">
            <v>0</v>
          </cell>
          <cell r="HI126">
            <v>32104.99</v>
          </cell>
          <cell r="HJ126">
            <v>97704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345560.94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9">
          <cell r="E29">
            <v>7518709.1100000003</v>
          </cell>
        </row>
        <row r="37">
          <cell r="E37">
            <v>574300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/>
      <sheetData sheetId="1"/>
      <sheetData sheetId="2"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204509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760000</v>
          </cell>
          <cell r="AX106">
            <v>0</v>
          </cell>
          <cell r="AY106">
            <v>310139.40000000002</v>
          </cell>
          <cell r="AZ106">
            <v>0</v>
          </cell>
          <cell r="BA106">
            <v>0</v>
          </cell>
          <cell r="BB106">
            <v>0</v>
          </cell>
          <cell r="BC106">
            <v>20000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91392.2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110320.01</v>
          </cell>
          <cell r="CK106">
            <v>0</v>
          </cell>
          <cell r="CL106">
            <v>433328.68999999989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197673.60000000001</v>
          </cell>
          <cell r="CV106">
            <v>240720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29305.8</v>
          </cell>
          <cell r="DD106">
            <v>0</v>
          </cell>
          <cell r="DE106">
            <v>630963</v>
          </cell>
          <cell r="DF106">
            <v>0</v>
          </cell>
          <cell r="DG106">
            <v>0</v>
          </cell>
          <cell r="DH106">
            <v>0</v>
          </cell>
          <cell r="DI106">
            <v>910287.4</v>
          </cell>
          <cell r="DJ106">
            <v>0</v>
          </cell>
          <cell r="DK106">
            <v>213305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205178.4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180120.76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172000</v>
          </cell>
          <cell r="FB106">
            <v>0</v>
          </cell>
          <cell r="FC106">
            <v>0</v>
          </cell>
          <cell r="FD106">
            <v>22542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13200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122720</v>
          </cell>
          <cell r="FR106">
            <v>0</v>
          </cell>
          <cell r="FS106">
            <v>0</v>
          </cell>
          <cell r="FT106">
            <v>14004.25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56443.4</v>
          </cell>
          <cell r="GB106">
            <v>0</v>
          </cell>
          <cell r="GC106">
            <v>58600</v>
          </cell>
          <cell r="GD106">
            <v>60000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7995.01</v>
          </cell>
          <cell r="GJ106">
            <v>0</v>
          </cell>
          <cell r="GK106">
            <v>0</v>
          </cell>
          <cell r="GL106">
            <v>0</v>
          </cell>
          <cell r="GM106">
            <v>1399834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48559.95</v>
          </cell>
          <cell r="GU106">
            <v>0</v>
          </cell>
          <cell r="GV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  <cell r="IL106">
            <v>0</v>
          </cell>
          <cell r="IM106">
            <v>0</v>
          </cell>
          <cell r="IN106">
            <v>0</v>
          </cell>
          <cell r="IO106">
            <v>0</v>
          </cell>
          <cell r="IP106">
            <v>0</v>
          </cell>
          <cell r="IQ106">
            <v>0</v>
          </cell>
          <cell r="IR106">
            <v>0</v>
          </cell>
          <cell r="IS106">
            <v>0</v>
          </cell>
          <cell r="IT106">
            <v>0</v>
          </cell>
          <cell r="IU106">
            <v>0</v>
          </cell>
          <cell r="IV106">
            <v>0</v>
          </cell>
          <cell r="IW106">
            <v>0</v>
          </cell>
          <cell r="IX106">
            <v>0</v>
          </cell>
          <cell r="IY106">
            <v>0</v>
          </cell>
          <cell r="IZ106">
            <v>0</v>
          </cell>
          <cell r="JA106">
            <v>0</v>
          </cell>
          <cell r="JB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</row>
      </sheetData>
      <sheetData sheetId="3">
        <row r="126">
          <cell r="A126">
            <v>53275909.399999999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1130531.03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211733.33</v>
          </cell>
          <cell r="R126">
            <v>250369.18</v>
          </cell>
          <cell r="S126">
            <v>2707086.2</v>
          </cell>
          <cell r="T126">
            <v>0</v>
          </cell>
          <cell r="U126">
            <v>0</v>
          </cell>
          <cell r="V126">
            <v>0</v>
          </cell>
          <cell r="W126">
            <v>45000</v>
          </cell>
          <cell r="X126">
            <v>0</v>
          </cell>
          <cell r="Y126">
            <v>0</v>
          </cell>
          <cell r="Z126">
            <v>330600</v>
          </cell>
          <cell r="AA126">
            <v>0</v>
          </cell>
          <cell r="AB126">
            <v>260539.96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3857418.94</v>
          </cell>
          <cell r="AL126">
            <v>3862857.72</v>
          </cell>
          <cell r="AM126">
            <v>651569.52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60535</v>
          </cell>
          <cell r="AW126">
            <v>0</v>
          </cell>
          <cell r="AX126">
            <v>0</v>
          </cell>
          <cell r="AY126">
            <v>319103.99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3505308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931766.35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1726315.04</v>
          </cell>
          <cell r="DJ126">
            <v>1697430</v>
          </cell>
          <cell r="DK126">
            <v>2396946.25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812418.96</v>
          </cell>
          <cell r="DT126">
            <v>0</v>
          </cell>
          <cell r="DU126">
            <v>1254.3399999999999</v>
          </cell>
          <cell r="DV126">
            <v>120950</v>
          </cell>
          <cell r="DW126">
            <v>593410.19999999995</v>
          </cell>
          <cell r="DX126">
            <v>0</v>
          </cell>
          <cell r="DY126">
            <v>0</v>
          </cell>
          <cell r="DZ126">
            <v>0</v>
          </cell>
          <cell r="EA126">
            <v>3022962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133281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101426.9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2221358.31</v>
          </cell>
          <cell r="FK126">
            <v>0</v>
          </cell>
          <cell r="FL126">
            <v>0</v>
          </cell>
          <cell r="FM126">
            <v>0</v>
          </cell>
          <cell r="FN126">
            <v>678751.5</v>
          </cell>
          <cell r="FO126">
            <v>0</v>
          </cell>
          <cell r="FP126">
            <v>0</v>
          </cell>
          <cell r="FQ126">
            <v>449004.45</v>
          </cell>
          <cell r="FR126">
            <v>0</v>
          </cell>
          <cell r="FS126">
            <v>338199.19</v>
          </cell>
          <cell r="FT126">
            <v>3980366.3299999996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553200.99</v>
          </cell>
          <cell r="FZ126">
            <v>0</v>
          </cell>
          <cell r="GA126">
            <v>0</v>
          </cell>
          <cell r="GB126">
            <v>4999.99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1257599.97</v>
          </cell>
          <cell r="GI126">
            <v>127620.76</v>
          </cell>
          <cell r="GJ126">
            <v>0</v>
          </cell>
          <cell r="GK126">
            <v>104312</v>
          </cell>
          <cell r="GL126">
            <v>52983.61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1561140</v>
          </cell>
          <cell r="GR126">
            <v>181484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413000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0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  <cell r="JE126">
            <v>0</v>
          </cell>
          <cell r="JF126">
            <v>0</v>
          </cell>
          <cell r="JG126">
            <v>0</v>
          </cell>
          <cell r="JH126">
            <v>0</v>
          </cell>
        </row>
      </sheetData>
      <sheetData sheetId="4">
        <row r="212">
          <cell r="G212">
            <v>15408530.41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3">
          <cell r="E23">
            <v>3631511.44</v>
          </cell>
        </row>
        <row r="31">
          <cell r="E31">
            <v>1026168.74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opLeftCell="A10" workbookViewId="0">
      <selection activeCell="G23" sqref="G23:G24"/>
    </sheetView>
  </sheetViews>
  <sheetFormatPr baseColWidth="10" defaultRowHeight="15" x14ac:dyDescent="0.25"/>
  <cols>
    <col min="1" max="5" width="4.140625" customWidth="1"/>
    <col min="6" max="6" width="34.28515625" style="89" customWidth="1"/>
    <col min="7" max="7" width="13.28515625" bestFit="1" customWidth="1"/>
    <col min="9" max="9" width="13.2851562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79"/>
      <c r="G1" s="2"/>
      <c r="H1" s="2"/>
      <c r="I1" s="3"/>
      <c r="J1" s="4"/>
    </row>
    <row r="2" spans="1:10" ht="23.25" x14ac:dyDescent="0.35">
      <c r="A2" s="112"/>
      <c r="B2" s="113"/>
      <c r="C2" s="113"/>
      <c r="D2" s="113"/>
      <c r="E2" s="113"/>
      <c r="F2" s="113"/>
      <c r="G2" s="113"/>
      <c r="H2" s="113"/>
      <c r="I2" s="5"/>
      <c r="J2" s="6"/>
    </row>
    <row r="3" spans="1:10" ht="26.25" x14ac:dyDescent="0.4">
      <c r="A3" s="114" t="s">
        <v>1</v>
      </c>
      <c r="B3" s="115"/>
      <c r="C3" s="115"/>
      <c r="D3" s="115"/>
      <c r="E3" s="115"/>
      <c r="F3" s="115"/>
      <c r="G3" s="115"/>
      <c r="H3" s="115"/>
      <c r="I3" s="115"/>
      <c r="J3" s="116"/>
    </row>
    <row r="4" spans="1:10" ht="18.75" x14ac:dyDescent="0.3">
      <c r="A4" s="117" t="s">
        <v>2</v>
      </c>
      <c r="B4" s="118"/>
      <c r="C4" s="118"/>
      <c r="D4" s="118"/>
      <c r="E4" s="118"/>
      <c r="F4" s="118"/>
      <c r="G4" s="118"/>
      <c r="H4" s="118"/>
      <c r="I4" s="118"/>
      <c r="J4" s="119"/>
    </row>
    <row r="5" spans="1:10" x14ac:dyDescent="0.25">
      <c r="A5" s="120" t="s">
        <v>3</v>
      </c>
      <c r="B5" s="121"/>
      <c r="C5" s="121"/>
      <c r="D5" s="121"/>
      <c r="E5" s="121"/>
      <c r="F5" s="121"/>
      <c r="G5" s="121"/>
      <c r="H5" s="121"/>
      <c r="I5" s="121"/>
      <c r="J5" s="122"/>
    </row>
    <row r="6" spans="1:10" ht="15.75" x14ac:dyDescent="0.25">
      <c r="A6" s="123" t="s">
        <v>4</v>
      </c>
      <c r="B6" s="124"/>
      <c r="C6" s="124"/>
      <c r="D6" s="124"/>
      <c r="E6" s="124"/>
      <c r="F6" s="124"/>
      <c r="G6" s="124"/>
      <c r="H6" s="124"/>
      <c r="I6" s="124"/>
      <c r="J6" s="125"/>
    </row>
    <row r="7" spans="1:10" ht="15.75" x14ac:dyDescent="0.25">
      <c r="A7" s="109" t="s">
        <v>5</v>
      </c>
      <c r="B7" s="110"/>
      <c r="C7" s="110"/>
      <c r="D7" s="110"/>
      <c r="E7" s="110"/>
      <c r="F7" s="110"/>
      <c r="G7" s="110"/>
      <c r="H7" s="110"/>
      <c r="I7" s="110"/>
      <c r="J7" s="111"/>
    </row>
    <row r="8" spans="1:10" ht="15.75" x14ac:dyDescent="0.25">
      <c r="A8" s="7"/>
      <c r="B8" s="8"/>
      <c r="C8" s="8" t="s">
        <v>6</v>
      </c>
      <c r="D8" s="8"/>
      <c r="E8" s="8"/>
      <c r="F8" s="80"/>
      <c r="G8" s="8"/>
      <c r="H8" s="8"/>
      <c r="I8" s="8"/>
      <c r="J8" s="9"/>
    </row>
    <row r="9" spans="1:10" ht="15.75" x14ac:dyDescent="0.25">
      <c r="A9" s="10"/>
      <c r="B9" s="11"/>
      <c r="C9" s="11"/>
      <c r="D9" s="11"/>
      <c r="E9" s="12" t="s">
        <v>7</v>
      </c>
      <c r="F9" s="81"/>
      <c r="G9" s="14"/>
      <c r="H9" s="14"/>
      <c r="I9" s="14"/>
      <c r="J9" s="15"/>
    </row>
    <row r="10" spans="1:10" ht="15.75" x14ac:dyDescent="0.25">
      <c r="A10" s="10"/>
      <c r="B10" s="11"/>
      <c r="C10" s="11"/>
      <c r="D10" s="11"/>
      <c r="E10" s="16" t="s">
        <v>8</v>
      </c>
      <c r="F10" s="81"/>
      <c r="G10" s="17"/>
      <c r="H10" s="18" t="s">
        <v>9</v>
      </c>
      <c r="I10" s="17"/>
      <c r="J10" s="15"/>
    </row>
    <row r="11" spans="1:10" ht="15.75" x14ac:dyDescent="0.25">
      <c r="A11" s="10"/>
      <c r="B11" s="11"/>
      <c r="C11" s="11"/>
      <c r="D11" s="11"/>
      <c r="E11" s="16" t="s">
        <v>10</v>
      </c>
      <c r="F11" s="81"/>
      <c r="G11" s="17"/>
      <c r="H11" s="19"/>
      <c r="I11" s="20"/>
      <c r="J11" s="15"/>
    </row>
    <row r="12" spans="1:10" ht="15.75" x14ac:dyDescent="0.25">
      <c r="A12" s="10"/>
      <c r="B12" s="11"/>
      <c r="C12" s="11"/>
      <c r="D12" s="11"/>
      <c r="E12" s="16" t="s">
        <v>11</v>
      </c>
      <c r="F12" s="81"/>
      <c r="G12" s="21">
        <v>4614.79</v>
      </c>
      <c r="H12" s="22"/>
      <c r="I12" s="20"/>
      <c r="J12" s="15"/>
    </row>
    <row r="13" spans="1:10" ht="15.75" x14ac:dyDescent="0.25">
      <c r="A13" s="10"/>
      <c r="B13" s="11"/>
      <c r="C13" s="11"/>
      <c r="D13" s="11"/>
      <c r="E13" s="23" t="s">
        <v>12</v>
      </c>
      <c r="F13" s="81"/>
      <c r="G13" s="20"/>
      <c r="H13" s="20"/>
      <c r="I13" s="20"/>
      <c r="J13" s="15"/>
    </row>
    <row r="14" spans="1:10" ht="15.75" x14ac:dyDescent="0.25">
      <c r="A14" s="10"/>
      <c r="B14" s="11"/>
      <c r="C14" s="11"/>
      <c r="D14" s="11"/>
      <c r="E14" s="16" t="s">
        <v>8</v>
      </c>
      <c r="F14" s="81"/>
      <c r="G14" s="17"/>
      <c r="H14" s="18" t="s">
        <v>9</v>
      </c>
      <c r="I14" s="17">
        <f>+'[1]INGR SEGUN ORIGEN'!E39</f>
        <v>214750</v>
      </c>
      <c r="J14" s="24"/>
    </row>
    <row r="15" spans="1:10" ht="15.75" x14ac:dyDescent="0.25">
      <c r="A15" s="10"/>
      <c r="B15" s="11"/>
      <c r="C15" s="11"/>
      <c r="D15" s="11"/>
      <c r="E15" s="16" t="s">
        <v>10</v>
      </c>
      <c r="F15" s="81"/>
      <c r="G15" s="21">
        <f>+'[1]INGR SEGUN ORIGEN'!E12</f>
        <v>100779301.08</v>
      </c>
      <c r="H15" s="22" t="s">
        <v>13</v>
      </c>
      <c r="I15" s="17">
        <v>0</v>
      </c>
      <c r="J15" s="24"/>
    </row>
    <row r="16" spans="1:10" ht="15.75" x14ac:dyDescent="0.25">
      <c r="A16" s="10"/>
      <c r="B16" s="11"/>
      <c r="C16" s="11"/>
      <c r="D16" s="11"/>
      <c r="E16" s="16" t="s">
        <v>11</v>
      </c>
      <c r="F16" s="81"/>
      <c r="G16" s="21">
        <f>+'[1]INGR SEGUN ORIGEN'!E32</f>
        <v>6892064.790000001</v>
      </c>
      <c r="H16" s="22"/>
      <c r="I16" s="20"/>
      <c r="J16" s="15"/>
    </row>
    <row r="17" spans="1:10" ht="15.75" x14ac:dyDescent="0.25">
      <c r="A17" s="10"/>
      <c r="B17" s="11"/>
      <c r="C17" s="11"/>
      <c r="D17" s="11"/>
      <c r="E17" s="16"/>
      <c r="F17" s="81"/>
      <c r="G17" s="25"/>
      <c r="H17" s="26" t="s">
        <v>14</v>
      </c>
      <c r="I17" s="17">
        <f>+G10+G11+G12+I10+G14+G15+G16+I14+I15</f>
        <v>107890730.66000001</v>
      </c>
      <c r="J17" s="15"/>
    </row>
    <row r="18" spans="1:10" ht="15.75" x14ac:dyDescent="0.25">
      <c r="A18" s="10"/>
      <c r="B18" s="11"/>
      <c r="C18" s="11"/>
      <c r="D18" s="11"/>
      <c r="E18" s="27"/>
      <c r="F18" s="82"/>
      <c r="G18" s="28"/>
      <c r="H18" s="28"/>
      <c r="I18" s="13"/>
      <c r="J18" s="15"/>
    </row>
    <row r="19" spans="1:10" ht="15.75" x14ac:dyDescent="0.25">
      <c r="A19" s="29"/>
      <c r="B19" s="30"/>
      <c r="C19" s="31"/>
      <c r="D19" s="30"/>
      <c r="E19" s="32"/>
      <c r="F19" s="83"/>
      <c r="G19" s="33"/>
      <c r="H19" s="33"/>
      <c r="I19" s="34"/>
      <c r="J19" s="35"/>
    </row>
    <row r="20" spans="1:10" x14ac:dyDescent="0.25">
      <c r="A20" s="36"/>
      <c r="B20" s="13"/>
      <c r="C20" s="13"/>
      <c r="D20" s="13"/>
      <c r="E20" s="13"/>
      <c r="F20" s="81"/>
      <c r="G20" s="13"/>
      <c r="H20" s="13"/>
      <c r="I20" s="13"/>
      <c r="J20" s="15"/>
    </row>
    <row r="21" spans="1:10" x14ac:dyDescent="0.25">
      <c r="A21" s="100">
        <v>1</v>
      </c>
      <c r="B21" s="100"/>
      <c r="C21" s="100"/>
      <c r="D21" s="100"/>
      <c r="E21" s="100"/>
      <c r="F21" s="84">
        <v>2</v>
      </c>
      <c r="G21" s="101">
        <v>3</v>
      </c>
      <c r="H21" s="102"/>
      <c r="I21" s="37">
        <v>4</v>
      </c>
      <c r="J21" s="37">
        <v>5</v>
      </c>
    </row>
    <row r="22" spans="1:10" x14ac:dyDescent="0.25">
      <c r="A22" s="103" t="s">
        <v>15</v>
      </c>
      <c r="B22" s="103"/>
      <c r="C22" s="103"/>
      <c r="D22" s="103"/>
      <c r="E22" s="103"/>
      <c r="F22" s="104" t="s">
        <v>16</v>
      </c>
      <c r="G22" s="107" t="s">
        <v>17</v>
      </c>
      <c r="H22" s="108"/>
      <c r="I22" s="97" t="s">
        <v>18</v>
      </c>
      <c r="J22" s="90" t="s">
        <v>19</v>
      </c>
    </row>
    <row r="23" spans="1:10" x14ac:dyDescent="0.25">
      <c r="A23" s="93" t="s">
        <v>20</v>
      </c>
      <c r="B23" s="93" t="s">
        <v>21</v>
      </c>
      <c r="C23" s="93" t="s">
        <v>22</v>
      </c>
      <c r="D23" s="93" t="s">
        <v>23</v>
      </c>
      <c r="E23" s="93" t="s">
        <v>24</v>
      </c>
      <c r="F23" s="105"/>
      <c r="G23" s="95" t="s">
        <v>25</v>
      </c>
      <c r="H23" s="95" t="s">
        <v>26</v>
      </c>
      <c r="I23" s="98"/>
      <c r="J23" s="91"/>
    </row>
    <row r="24" spans="1:10" x14ac:dyDescent="0.25">
      <c r="A24" s="94"/>
      <c r="B24" s="94"/>
      <c r="C24" s="94"/>
      <c r="D24" s="94"/>
      <c r="E24" s="94"/>
      <c r="F24" s="106"/>
      <c r="G24" s="96"/>
      <c r="H24" s="96"/>
      <c r="I24" s="99"/>
      <c r="J24" s="92"/>
    </row>
    <row r="25" spans="1:10" ht="15.75" thickBot="1" x14ac:dyDescent="0.3">
      <c r="A25" s="38">
        <v>2</v>
      </c>
      <c r="B25" s="39"/>
      <c r="C25" s="39"/>
      <c r="D25" s="39"/>
      <c r="E25" s="39"/>
      <c r="F25" s="85" t="s">
        <v>27</v>
      </c>
      <c r="G25" s="40">
        <f>+G26+G87+G212+G330+G336+G463</f>
        <v>91800339.5</v>
      </c>
      <c r="H25" s="40">
        <f>+H26+H87+H212+H330+H336+H463</f>
        <v>4881550.2899999991</v>
      </c>
      <c r="I25" s="40">
        <f>SUM(G25:H25)</f>
        <v>96681889.789999992</v>
      </c>
      <c r="J25" s="41">
        <f>+J26+J87+J212+J330+J336+J463</f>
        <v>1</v>
      </c>
    </row>
    <row r="26" spans="1:10" ht="15.75" thickTop="1" x14ac:dyDescent="0.25">
      <c r="A26" s="42">
        <v>2</v>
      </c>
      <c r="B26" s="43">
        <v>1</v>
      </c>
      <c r="C26" s="43"/>
      <c r="D26" s="43"/>
      <c r="E26" s="43"/>
      <c r="F26" s="86" t="s">
        <v>28</v>
      </c>
      <c r="G26" s="44">
        <f>+G27+G51+G64+G71+G78</f>
        <v>66556155.68</v>
      </c>
      <c r="H26" s="44">
        <f>+H27+H51+H64+H71+H78</f>
        <v>0</v>
      </c>
      <c r="I26" s="44">
        <f t="shared" ref="I26:I88" si="0">SUM(G26:H26)</f>
        <v>66556155.68</v>
      </c>
      <c r="J26" s="45">
        <f>I26/$I$25</f>
        <v>0.68840354511651303</v>
      </c>
    </row>
    <row r="27" spans="1:10" x14ac:dyDescent="0.25">
      <c r="A27" s="46">
        <v>2</v>
      </c>
      <c r="B27" s="47">
        <v>1</v>
      </c>
      <c r="C27" s="47">
        <v>1</v>
      </c>
      <c r="D27" s="47"/>
      <c r="E27" s="47"/>
      <c r="F27" s="70" t="s">
        <v>29</v>
      </c>
      <c r="G27" s="48">
        <f>+G28+G35+G42+G44+G46</f>
        <v>54771097.32</v>
      </c>
      <c r="H27" s="48">
        <f>+H28+H35+H42+H44+H46</f>
        <v>0</v>
      </c>
      <c r="I27" s="48">
        <f t="shared" si="0"/>
        <v>54771097.32</v>
      </c>
      <c r="J27" s="45">
        <f>I27/$I$25</f>
        <v>0.56650834441658882</v>
      </c>
    </row>
    <row r="28" spans="1:10" x14ac:dyDescent="0.25">
      <c r="A28" s="49">
        <v>2</v>
      </c>
      <c r="B28" s="50">
        <v>1</v>
      </c>
      <c r="C28" s="50">
        <v>1</v>
      </c>
      <c r="D28" s="50">
        <v>1</v>
      </c>
      <c r="E28" s="50"/>
      <c r="F28" s="69" t="s">
        <v>30</v>
      </c>
      <c r="G28" s="51">
        <f>SUM(G29:G34)</f>
        <v>53482455.210000001</v>
      </c>
      <c r="H28" s="51">
        <f>SUM(H29:H34)</f>
        <v>0</v>
      </c>
      <c r="I28" s="51">
        <f t="shared" si="0"/>
        <v>53482455.210000001</v>
      </c>
      <c r="J28" s="52">
        <f>I28/$I$25</f>
        <v>0.55317966297687948</v>
      </c>
    </row>
    <row r="29" spans="1:10" x14ac:dyDescent="0.25">
      <c r="A29" s="53">
        <v>2</v>
      </c>
      <c r="B29" s="54">
        <v>1</v>
      </c>
      <c r="C29" s="54">
        <v>1</v>
      </c>
      <c r="D29" s="54">
        <v>1</v>
      </c>
      <c r="E29" s="55" t="s">
        <v>31</v>
      </c>
      <c r="F29" s="68" t="s">
        <v>32</v>
      </c>
      <c r="G29" s="56">
        <f>'[1]CUENTA T FONDO 100'!A127</f>
        <v>53482455.210000001</v>
      </c>
      <c r="H29" s="56">
        <f>'[1]CUENTA T VS'!A89</f>
        <v>0</v>
      </c>
      <c r="I29" s="56">
        <f t="shared" si="0"/>
        <v>53482455.210000001</v>
      </c>
      <c r="J29" s="57">
        <f t="shared" ref="J29:J34" si="1">I29/$I$25</f>
        <v>0.55317966297687948</v>
      </c>
    </row>
    <row r="30" spans="1:10" x14ac:dyDescent="0.25">
      <c r="A30" s="53">
        <v>2</v>
      </c>
      <c r="B30" s="54">
        <v>1</v>
      </c>
      <c r="C30" s="54">
        <v>1</v>
      </c>
      <c r="D30" s="54">
        <v>1</v>
      </c>
      <c r="E30" s="55" t="s">
        <v>33</v>
      </c>
      <c r="F30" s="59" t="s">
        <v>34</v>
      </c>
      <c r="G30" s="56">
        <f>'[1]CUENTA T FONDO 100'!B127</f>
        <v>0</v>
      </c>
      <c r="H30" s="56">
        <f>'[1]CUENTA T VS'!B89</f>
        <v>0</v>
      </c>
      <c r="I30" s="56">
        <f t="shared" si="0"/>
        <v>0</v>
      </c>
      <c r="J30" s="57">
        <f>I30/$I$25</f>
        <v>0</v>
      </c>
    </row>
    <row r="31" spans="1:10" x14ac:dyDescent="0.25">
      <c r="A31" s="53">
        <v>2</v>
      </c>
      <c r="B31" s="54">
        <v>1</v>
      </c>
      <c r="C31" s="54">
        <v>1</v>
      </c>
      <c r="D31" s="54">
        <v>1</v>
      </c>
      <c r="E31" s="55" t="s">
        <v>35</v>
      </c>
      <c r="F31" s="59" t="s">
        <v>36</v>
      </c>
      <c r="G31" s="56">
        <f>'[1]CUENTA T FONDO 100'!C127</f>
        <v>0</v>
      </c>
      <c r="H31" s="56">
        <f>'[1]CUENTA T VS'!C89</f>
        <v>0</v>
      </c>
      <c r="I31" s="56">
        <f t="shared" si="0"/>
        <v>0</v>
      </c>
      <c r="J31" s="57">
        <f t="shared" si="1"/>
        <v>0</v>
      </c>
    </row>
    <row r="32" spans="1:10" x14ac:dyDescent="0.25">
      <c r="A32" s="53">
        <v>2</v>
      </c>
      <c r="B32" s="54">
        <v>1</v>
      </c>
      <c r="C32" s="54">
        <v>1</v>
      </c>
      <c r="D32" s="54">
        <v>1</v>
      </c>
      <c r="E32" s="55" t="s">
        <v>37</v>
      </c>
      <c r="F32" s="59" t="s">
        <v>38</v>
      </c>
      <c r="G32" s="56">
        <f>'[1]CUENTA T FONDO 100'!D127</f>
        <v>0</v>
      </c>
      <c r="H32" s="56">
        <f>'[1]CUENTA T VS'!D89</f>
        <v>0</v>
      </c>
      <c r="I32" s="56">
        <f t="shared" si="0"/>
        <v>0</v>
      </c>
      <c r="J32" s="57">
        <f t="shared" si="1"/>
        <v>0</v>
      </c>
    </row>
    <row r="33" spans="1:10" x14ac:dyDescent="0.25">
      <c r="A33" s="53">
        <v>2</v>
      </c>
      <c r="B33" s="54">
        <v>1</v>
      </c>
      <c r="C33" s="54">
        <v>1</v>
      </c>
      <c r="D33" s="54">
        <v>1</v>
      </c>
      <c r="E33" s="55" t="s">
        <v>39</v>
      </c>
      <c r="F33" s="59" t="s">
        <v>40</v>
      </c>
      <c r="G33" s="56">
        <f>'[1]CUENTA T FONDO 100'!E127</f>
        <v>0</v>
      </c>
      <c r="H33" s="56">
        <f>'[1]CUENTA T VS'!E89</f>
        <v>0</v>
      </c>
      <c r="I33" s="56">
        <f t="shared" si="0"/>
        <v>0</v>
      </c>
      <c r="J33" s="57">
        <f t="shared" si="1"/>
        <v>0</v>
      </c>
    </row>
    <row r="34" spans="1:10" x14ac:dyDescent="0.25">
      <c r="A34" s="53">
        <v>2</v>
      </c>
      <c r="B34" s="54">
        <v>1</v>
      </c>
      <c r="C34" s="54">
        <v>1</v>
      </c>
      <c r="D34" s="54">
        <v>1</v>
      </c>
      <c r="E34" s="55" t="s">
        <v>41</v>
      </c>
      <c r="F34" s="59" t="s">
        <v>42</v>
      </c>
      <c r="G34" s="56">
        <f>'[1]CUENTA T FONDO 100'!F127</f>
        <v>0</v>
      </c>
      <c r="H34" s="56">
        <f>'[1]CUENTA T VS'!F89</f>
        <v>0</v>
      </c>
      <c r="I34" s="56">
        <f t="shared" si="0"/>
        <v>0</v>
      </c>
      <c r="J34" s="57">
        <f t="shared" si="1"/>
        <v>0</v>
      </c>
    </row>
    <row r="35" spans="1:10" ht="25.5" x14ac:dyDescent="0.25">
      <c r="A35" s="49">
        <v>2</v>
      </c>
      <c r="B35" s="50">
        <v>1</v>
      </c>
      <c r="C35" s="50">
        <v>1</v>
      </c>
      <c r="D35" s="50">
        <v>2</v>
      </c>
      <c r="E35" s="50"/>
      <c r="F35" s="73" t="s">
        <v>43</v>
      </c>
      <c r="G35" s="51">
        <f>SUM(G36:G41)</f>
        <v>1107531.03</v>
      </c>
      <c r="H35" s="51">
        <f>SUM(H36:H41)</f>
        <v>0</v>
      </c>
      <c r="I35" s="51">
        <f t="shared" si="0"/>
        <v>1107531.03</v>
      </c>
      <c r="J35" s="58"/>
    </row>
    <row r="36" spans="1:10" x14ac:dyDescent="0.25">
      <c r="A36" s="53">
        <v>2</v>
      </c>
      <c r="B36" s="54">
        <v>1</v>
      </c>
      <c r="C36" s="54">
        <v>1</v>
      </c>
      <c r="D36" s="54">
        <v>2</v>
      </c>
      <c r="E36" s="55" t="s">
        <v>35</v>
      </c>
      <c r="F36" s="59" t="s">
        <v>44</v>
      </c>
      <c r="G36" s="56">
        <f>'[1]CUENTA T FONDO 100'!G127</f>
        <v>0</v>
      </c>
      <c r="H36" s="56">
        <f>'[1]CUENTA T VS'!G89</f>
        <v>0</v>
      </c>
      <c r="I36" s="56">
        <f t="shared" si="0"/>
        <v>0</v>
      </c>
      <c r="J36" s="57">
        <f t="shared" ref="J36:J41" si="2">I36/$I$25</f>
        <v>0</v>
      </c>
    </row>
    <row r="37" spans="1:10" ht="25.5" x14ac:dyDescent="0.25">
      <c r="A37" s="53">
        <v>2</v>
      </c>
      <c r="B37" s="54">
        <v>1</v>
      </c>
      <c r="C37" s="54">
        <v>1</v>
      </c>
      <c r="D37" s="54">
        <v>2</v>
      </c>
      <c r="E37" s="55" t="s">
        <v>39</v>
      </c>
      <c r="F37" s="59" t="s">
        <v>45</v>
      </c>
      <c r="G37" s="56">
        <f>'[1]CUENTA T FONDO 100'!H127</f>
        <v>0</v>
      </c>
      <c r="H37" s="56">
        <f>'[1]CUENTA T VS'!H89</f>
        <v>0</v>
      </c>
      <c r="I37" s="56">
        <f t="shared" si="0"/>
        <v>0</v>
      </c>
      <c r="J37" s="57">
        <f t="shared" si="2"/>
        <v>0</v>
      </c>
    </row>
    <row r="38" spans="1:10" x14ac:dyDescent="0.25">
      <c r="A38" s="53">
        <v>2</v>
      </c>
      <c r="B38" s="54">
        <v>1</v>
      </c>
      <c r="C38" s="54">
        <v>1</v>
      </c>
      <c r="D38" s="54">
        <v>2</v>
      </c>
      <c r="E38" s="55" t="s">
        <v>41</v>
      </c>
      <c r="F38" s="59" t="s">
        <v>46</v>
      </c>
      <c r="G38" s="56">
        <f>'[1]CUENTA T FONDO 100'!I127</f>
        <v>0</v>
      </c>
      <c r="H38" s="56">
        <f>'[1]CUENTA T VS'!I89</f>
        <v>0</v>
      </c>
      <c r="I38" s="56">
        <f t="shared" si="0"/>
        <v>0</v>
      </c>
      <c r="J38" s="57">
        <f t="shared" si="2"/>
        <v>0</v>
      </c>
    </row>
    <row r="39" spans="1:10" x14ac:dyDescent="0.25">
      <c r="A39" s="53">
        <v>2</v>
      </c>
      <c r="B39" s="54">
        <v>1</v>
      </c>
      <c r="C39" s="54">
        <v>1</v>
      </c>
      <c r="D39" s="54">
        <v>2</v>
      </c>
      <c r="E39" s="55" t="s">
        <v>47</v>
      </c>
      <c r="F39" s="59" t="s">
        <v>48</v>
      </c>
      <c r="G39" s="56">
        <f>'[1]CUENTA T FONDO 100'!J127</f>
        <v>1107531.03</v>
      </c>
      <c r="H39" s="56">
        <f>'[1]CUENTA T VS'!J89</f>
        <v>0</v>
      </c>
      <c r="I39" s="56">
        <f t="shared" si="0"/>
        <v>1107531.03</v>
      </c>
      <c r="J39" s="57">
        <f t="shared" si="2"/>
        <v>1.1455413546483597E-2</v>
      </c>
    </row>
    <row r="40" spans="1:10" x14ac:dyDescent="0.25">
      <c r="A40" s="53">
        <v>2</v>
      </c>
      <c r="B40" s="54">
        <v>1</v>
      </c>
      <c r="C40" s="54">
        <v>1</v>
      </c>
      <c r="D40" s="54">
        <v>2</v>
      </c>
      <c r="E40" s="55" t="s">
        <v>49</v>
      </c>
      <c r="F40" s="59" t="s">
        <v>50</v>
      </c>
      <c r="G40" s="56">
        <f>'[1]CUENTA T FONDO 100'!K127</f>
        <v>0</v>
      </c>
      <c r="H40" s="56">
        <f>'[1]CUENTA T VS'!K89</f>
        <v>0</v>
      </c>
      <c r="I40" s="56">
        <f t="shared" si="0"/>
        <v>0</v>
      </c>
      <c r="J40" s="57">
        <f t="shared" si="2"/>
        <v>0</v>
      </c>
    </row>
    <row r="41" spans="1:10" x14ac:dyDescent="0.25">
      <c r="A41" s="53">
        <v>2</v>
      </c>
      <c r="B41" s="54">
        <v>1</v>
      </c>
      <c r="C41" s="54">
        <v>1</v>
      </c>
      <c r="D41" s="54">
        <v>2</v>
      </c>
      <c r="E41" s="55" t="s">
        <v>51</v>
      </c>
      <c r="F41" s="59" t="s">
        <v>52</v>
      </c>
      <c r="G41" s="56">
        <f>'[1]CUENTA T FONDO 100'!L127</f>
        <v>0</v>
      </c>
      <c r="H41" s="56">
        <f>'[1]CUENTA T VS'!L89</f>
        <v>0</v>
      </c>
      <c r="I41" s="56">
        <f t="shared" si="0"/>
        <v>0</v>
      </c>
      <c r="J41" s="57">
        <f t="shared" si="2"/>
        <v>0</v>
      </c>
    </row>
    <row r="42" spans="1:10" ht="25.5" x14ac:dyDescent="0.25">
      <c r="A42" s="49">
        <v>2</v>
      </c>
      <c r="B42" s="50">
        <v>1</v>
      </c>
      <c r="C42" s="50">
        <v>1</v>
      </c>
      <c r="D42" s="50">
        <v>3</v>
      </c>
      <c r="E42" s="50"/>
      <c r="F42" s="73" t="s">
        <v>53</v>
      </c>
      <c r="G42" s="51">
        <f>SUM(G43)</f>
        <v>0</v>
      </c>
      <c r="H42" s="51">
        <f>SUM(H43)</f>
        <v>0</v>
      </c>
      <c r="I42" s="51">
        <f t="shared" si="0"/>
        <v>0</v>
      </c>
      <c r="J42" s="58"/>
    </row>
    <row r="43" spans="1:10" ht="25.5" x14ac:dyDescent="0.25">
      <c r="A43" s="53">
        <v>2</v>
      </c>
      <c r="B43" s="54">
        <v>1</v>
      </c>
      <c r="C43" s="54">
        <v>1</v>
      </c>
      <c r="D43" s="54">
        <v>3</v>
      </c>
      <c r="E43" s="55" t="s">
        <v>31</v>
      </c>
      <c r="F43" s="59" t="s">
        <v>53</v>
      </c>
      <c r="G43" s="56">
        <f>'[1]CUENTA T FONDO 100'!M127</f>
        <v>0</v>
      </c>
      <c r="H43" s="56">
        <f>'[1]CUENTA T VS'!M89</f>
        <v>0</v>
      </c>
      <c r="I43" s="56">
        <f t="shared" si="0"/>
        <v>0</v>
      </c>
      <c r="J43" s="57">
        <f>I43/$I$25</f>
        <v>0</v>
      </c>
    </row>
    <row r="44" spans="1:10" x14ac:dyDescent="0.25">
      <c r="A44" s="49">
        <v>2</v>
      </c>
      <c r="B44" s="50">
        <v>1</v>
      </c>
      <c r="C44" s="50">
        <v>1</v>
      </c>
      <c r="D44" s="50">
        <v>4</v>
      </c>
      <c r="E44" s="50"/>
      <c r="F44" s="73" t="s">
        <v>54</v>
      </c>
      <c r="G44" s="51">
        <f>SUM(G45)</f>
        <v>0</v>
      </c>
      <c r="H44" s="51">
        <f>SUM(H45)</f>
        <v>0</v>
      </c>
      <c r="I44" s="51">
        <f t="shared" si="0"/>
        <v>0</v>
      </c>
      <c r="J44" s="58"/>
    </row>
    <row r="45" spans="1:10" x14ac:dyDescent="0.25">
      <c r="A45" s="53">
        <v>2</v>
      </c>
      <c r="B45" s="54">
        <v>1</v>
      </c>
      <c r="C45" s="54">
        <v>1</v>
      </c>
      <c r="D45" s="54">
        <v>4</v>
      </c>
      <c r="E45" s="55" t="s">
        <v>31</v>
      </c>
      <c r="F45" s="59" t="s">
        <v>54</v>
      </c>
      <c r="G45" s="56">
        <f>'[1]CUENTA T FONDO 100'!N127</f>
        <v>0</v>
      </c>
      <c r="H45" s="56">
        <f>'[1]CUENTA T VS'!N89</f>
        <v>0</v>
      </c>
      <c r="I45" s="56">
        <f t="shared" si="0"/>
        <v>0</v>
      </c>
      <c r="J45" s="57">
        <f>I45/$I$25</f>
        <v>0</v>
      </c>
    </row>
    <row r="46" spans="1:10" x14ac:dyDescent="0.25">
      <c r="A46" s="49">
        <v>2</v>
      </c>
      <c r="B46" s="50">
        <v>1</v>
      </c>
      <c r="C46" s="50">
        <v>1</v>
      </c>
      <c r="D46" s="50">
        <v>5</v>
      </c>
      <c r="E46" s="50"/>
      <c r="F46" s="73" t="s">
        <v>55</v>
      </c>
      <c r="G46" s="51">
        <f>SUM(G47:G50)</f>
        <v>181111.08000000002</v>
      </c>
      <c r="H46" s="51">
        <f>SUM(H47:H50)</f>
        <v>0</v>
      </c>
      <c r="I46" s="51">
        <f t="shared" si="0"/>
        <v>181111.08000000002</v>
      </c>
      <c r="J46" s="58"/>
    </row>
    <row r="47" spans="1:10" x14ac:dyDescent="0.25">
      <c r="A47" s="53">
        <v>2</v>
      </c>
      <c r="B47" s="54">
        <v>1</v>
      </c>
      <c r="C47" s="54">
        <v>1</v>
      </c>
      <c r="D47" s="54">
        <v>5</v>
      </c>
      <c r="E47" s="55" t="s">
        <v>31</v>
      </c>
      <c r="F47" s="59" t="s">
        <v>55</v>
      </c>
      <c r="G47" s="56">
        <f>'[1]CUENTA T FONDO 100'!O127</f>
        <v>0</v>
      </c>
      <c r="H47" s="56">
        <f>'[1]CUENTA T VS'!O89</f>
        <v>0</v>
      </c>
      <c r="I47" s="56">
        <f t="shared" si="0"/>
        <v>0</v>
      </c>
      <c r="J47" s="57">
        <f>I47/$I$25</f>
        <v>0</v>
      </c>
    </row>
    <row r="48" spans="1:10" ht="25.5" x14ac:dyDescent="0.25">
      <c r="A48" s="53">
        <v>2</v>
      </c>
      <c r="B48" s="54">
        <v>1</v>
      </c>
      <c r="C48" s="54">
        <v>1</v>
      </c>
      <c r="D48" s="54">
        <v>5</v>
      </c>
      <c r="E48" s="55" t="s">
        <v>33</v>
      </c>
      <c r="F48" s="59" t="s">
        <v>56</v>
      </c>
      <c r="G48" s="56">
        <f>'[1]CUENTA T FONDO 100'!P127</f>
        <v>0</v>
      </c>
      <c r="H48" s="56">
        <f>'[1]CUENTA T VS'!P89</f>
        <v>0</v>
      </c>
      <c r="I48" s="56">
        <f t="shared" si="0"/>
        <v>0</v>
      </c>
      <c r="J48" s="57">
        <f>I48/$I$25</f>
        <v>0</v>
      </c>
    </row>
    <row r="49" spans="1:10" x14ac:dyDescent="0.25">
      <c r="A49" s="53">
        <v>2</v>
      </c>
      <c r="B49" s="54">
        <v>1</v>
      </c>
      <c r="C49" s="54">
        <v>1</v>
      </c>
      <c r="D49" s="54">
        <v>5</v>
      </c>
      <c r="E49" s="55" t="s">
        <v>35</v>
      </c>
      <c r="F49" s="59" t="s">
        <v>57</v>
      </c>
      <c r="G49" s="56">
        <f>'[1]CUENTA T FONDO 100'!Q127</f>
        <v>92400</v>
      </c>
      <c r="H49" s="56">
        <f>'[1]CUENTA T VS'!Q89</f>
        <v>0</v>
      </c>
      <c r="I49" s="56">
        <f t="shared" si="0"/>
        <v>92400</v>
      </c>
      <c r="J49" s="57">
        <f>I49/$I$25</f>
        <v>9.5571156294833946E-4</v>
      </c>
    </row>
    <row r="50" spans="1:10" x14ac:dyDescent="0.25">
      <c r="A50" s="53">
        <v>2</v>
      </c>
      <c r="B50" s="54">
        <v>1</v>
      </c>
      <c r="C50" s="54">
        <v>1</v>
      </c>
      <c r="D50" s="54">
        <v>5</v>
      </c>
      <c r="E50" s="55" t="s">
        <v>37</v>
      </c>
      <c r="F50" s="59" t="s">
        <v>58</v>
      </c>
      <c r="G50" s="56">
        <f>'[1]CUENTA T FONDO 100'!R127</f>
        <v>88711.08</v>
      </c>
      <c r="H50" s="56">
        <f>'[1]CUENTA T VS'!R89</f>
        <v>0</v>
      </c>
      <c r="I50" s="56">
        <f t="shared" si="0"/>
        <v>88711.08</v>
      </c>
      <c r="J50" s="57">
        <f>I50/$I$25</f>
        <v>9.1755633027743705E-4</v>
      </c>
    </row>
    <row r="51" spans="1:10" x14ac:dyDescent="0.25">
      <c r="A51" s="46">
        <v>2</v>
      </c>
      <c r="B51" s="47">
        <v>1</v>
      </c>
      <c r="C51" s="47">
        <v>2</v>
      </c>
      <c r="D51" s="47"/>
      <c r="E51" s="47"/>
      <c r="F51" s="72" t="s">
        <v>59</v>
      </c>
      <c r="G51" s="48">
        <f>+G52+G54</f>
        <v>3384964.48</v>
      </c>
      <c r="H51" s="48">
        <f>+H52+H54</f>
        <v>0</v>
      </c>
      <c r="I51" s="48">
        <f t="shared" si="0"/>
        <v>3384964.48</v>
      </c>
      <c r="J51" s="45"/>
    </row>
    <row r="52" spans="1:10" x14ac:dyDescent="0.25">
      <c r="A52" s="49">
        <v>2</v>
      </c>
      <c r="B52" s="50">
        <v>1</v>
      </c>
      <c r="C52" s="50">
        <v>2</v>
      </c>
      <c r="D52" s="50">
        <v>1</v>
      </c>
      <c r="E52" s="50"/>
      <c r="F52" s="73" t="s">
        <v>60</v>
      </c>
      <c r="G52" s="51">
        <f>SUM(G53)</f>
        <v>2739824.52</v>
      </c>
      <c r="H52" s="51">
        <f>SUM(H53)</f>
        <v>0</v>
      </c>
      <c r="I52" s="51">
        <f t="shared" si="0"/>
        <v>2739824.52</v>
      </c>
      <c r="J52" s="58"/>
    </row>
    <row r="53" spans="1:10" x14ac:dyDescent="0.25">
      <c r="A53" s="53">
        <v>2</v>
      </c>
      <c r="B53" s="54">
        <v>1</v>
      </c>
      <c r="C53" s="54">
        <v>2</v>
      </c>
      <c r="D53" s="54">
        <v>1</v>
      </c>
      <c r="E53" s="55" t="s">
        <v>31</v>
      </c>
      <c r="F53" s="59" t="s">
        <v>60</v>
      </c>
      <c r="G53" s="56">
        <f>'[1]CUENTA T FONDO 100'!S127</f>
        <v>2739824.52</v>
      </c>
      <c r="H53" s="56">
        <f>'[1]CUENTA T VS'!S89</f>
        <v>0</v>
      </c>
      <c r="I53" s="56">
        <f t="shared" si="0"/>
        <v>2739824.52</v>
      </c>
      <c r="J53" s="57">
        <f>I53/$I$25</f>
        <v>2.8338549504473853E-2</v>
      </c>
    </row>
    <row r="54" spans="1:10" x14ac:dyDescent="0.25">
      <c r="A54" s="49">
        <v>2</v>
      </c>
      <c r="B54" s="50">
        <v>1</v>
      </c>
      <c r="C54" s="50">
        <v>2</v>
      </c>
      <c r="D54" s="50">
        <v>2</v>
      </c>
      <c r="E54" s="50"/>
      <c r="F54" s="73" t="s">
        <v>61</v>
      </c>
      <c r="G54" s="51">
        <f>SUM(G55:G63)</f>
        <v>645139.96</v>
      </c>
      <c r="H54" s="51">
        <f>SUM(H55:H63)</f>
        <v>0</v>
      </c>
      <c r="I54" s="51">
        <f t="shared" si="0"/>
        <v>645139.96</v>
      </c>
      <c r="J54" s="58"/>
    </row>
    <row r="55" spans="1:10" ht="25.5" x14ac:dyDescent="0.25">
      <c r="A55" s="53">
        <v>2</v>
      </c>
      <c r="B55" s="54">
        <v>1</v>
      </c>
      <c r="C55" s="54">
        <v>2</v>
      </c>
      <c r="D55" s="54">
        <v>2</v>
      </c>
      <c r="E55" s="55" t="s">
        <v>31</v>
      </c>
      <c r="F55" s="59" t="s">
        <v>62</v>
      </c>
      <c r="G55" s="56">
        <f>'[1]CUENTA T FONDO 100'!T127</f>
        <v>0</v>
      </c>
      <c r="H55" s="56">
        <f>'[1]CUENTA T VS'!T89</f>
        <v>0</v>
      </c>
      <c r="I55" s="56">
        <f t="shared" si="0"/>
        <v>0</v>
      </c>
      <c r="J55" s="57">
        <f t="shared" ref="J55:J63" si="3">I55/$I$25</f>
        <v>0</v>
      </c>
    </row>
    <row r="56" spans="1:10" x14ac:dyDescent="0.25">
      <c r="A56" s="53">
        <v>2</v>
      </c>
      <c r="B56" s="54">
        <v>1</v>
      </c>
      <c r="C56" s="54">
        <v>2</v>
      </c>
      <c r="D56" s="54">
        <v>2</v>
      </c>
      <c r="E56" s="55" t="s">
        <v>35</v>
      </c>
      <c r="F56" s="59" t="s">
        <v>63</v>
      </c>
      <c r="G56" s="56">
        <f>'[1]CUENTA T FONDO 100'!U127</f>
        <v>0</v>
      </c>
      <c r="H56" s="56">
        <f>'[1]CUENTA T VS'!U89</f>
        <v>0</v>
      </c>
      <c r="I56" s="56">
        <f t="shared" si="0"/>
        <v>0</v>
      </c>
      <c r="J56" s="57">
        <f t="shared" si="3"/>
        <v>0</v>
      </c>
    </row>
    <row r="57" spans="1:10" x14ac:dyDescent="0.25">
      <c r="A57" s="53">
        <v>2</v>
      </c>
      <c r="B57" s="54">
        <v>1</v>
      </c>
      <c r="C57" s="54">
        <v>2</v>
      </c>
      <c r="D57" s="54">
        <v>2</v>
      </c>
      <c r="E57" s="55" t="s">
        <v>37</v>
      </c>
      <c r="F57" s="59" t="s">
        <v>64</v>
      </c>
      <c r="G57" s="56">
        <f>'[1]CUENTA T FONDO 100'!V127</f>
        <v>0</v>
      </c>
      <c r="H57" s="56">
        <f>'[1]CUENTA T VS'!V89</f>
        <v>0</v>
      </c>
      <c r="I57" s="56">
        <f t="shared" si="0"/>
        <v>0</v>
      </c>
      <c r="J57" s="57">
        <f t="shared" si="3"/>
        <v>0</v>
      </c>
    </row>
    <row r="58" spans="1:10" x14ac:dyDescent="0.25">
      <c r="A58" s="53">
        <v>2</v>
      </c>
      <c r="B58" s="54">
        <v>1</v>
      </c>
      <c r="C58" s="54">
        <v>2</v>
      </c>
      <c r="D58" s="54">
        <v>2</v>
      </c>
      <c r="E58" s="55" t="s">
        <v>39</v>
      </c>
      <c r="F58" s="59" t="s">
        <v>65</v>
      </c>
      <c r="G58" s="56">
        <f>'[1]CUENTA T FONDO 100'!W127</f>
        <v>45000</v>
      </c>
      <c r="H58" s="56">
        <f>'[1]CUENTA T VS'!W89</f>
        <v>0</v>
      </c>
      <c r="I58" s="56">
        <f t="shared" si="0"/>
        <v>45000</v>
      </c>
      <c r="J58" s="57">
        <f t="shared" si="3"/>
        <v>4.654439429943212E-4</v>
      </c>
    </row>
    <row r="59" spans="1:10" x14ac:dyDescent="0.25">
      <c r="A59" s="53">
        <v>2</v>
      </c>
      <c r="B59" s="54">
        <v>1</v>
      </c>
      <c r="C59" s="54">
        <v>2</v>
      </c>
      <c r="D59" s="54">
        <v>2</v>
      </c>
      <c r="E59" s="55" t="s">
        <v>41</v>
      </c>
      <c r="F59" s="59" t="s">
        <v>66</v>
      </c>
      <c r="G59" s="56">
        <f>'[1]CUENTA T FONDO 100'!X127</f>
        <v>0</v>
      </c>
      <c r="H59" s="56">
        <f>'[1]CUENTA T VS'!X89</f>
        <v>0</v>
      </c>
      <c r="I59" s="56">
        <f t="shared" si="0"/>
        <v>0</v>
      </c>
      <c r="J59" s="57">
        <f t="shared" si="3"/>
        <v>0</v>
      </c>
    </row>
    <row r="60" spans="1:10" x14ac:dyDescent="0.25">
      <c r="A60" s="53">
        <v>2</v>
      </c>
      <c r="B60" s="54">
        <v>1</v>
      </c>
      <c r="C60" s="54">
        <v>2</v>
      </c>
      <c r="D60" s="54">
        <v>2</v>
      </c>
      <c r="E60" s="55" t="s">
        <v>67</v>
      </c>
      <c r="F60" s="59" t="s">
        <v>68</v>
      </c>
      <c r="G60" s="56">
        <f>'[1]CUENTA T FONDO 100'!Y127</f>
        <v>0</v>
      </c>
      <c r="H60" s="56">
        <f>'[1]CUENTA T VS'!Y89</f>
        <v>0</v>
      </c>
      <c r="I60" s="56">
        <f t="shared" si="0"/>
        <v>0</v>
      </c>
      <c r="J60" s="57">
        <f t="shared" si="3"/>
        <v>0</v>
      </c>
    </row>
    <row r="61" spans="1:10" x14ac:dyDescent="0.25">
      <c r="A61" s="53">
        <v>2</v>
      </c>
      <c r="B61" s="54">
        <v>1</v>
      </c>
      <c r="C61" s="54">
        <v>2</v>
      </c>
      <c r="D61" s="54">
        <v>2</v>
      </c>
      <c r="E61" s="55" t="s">
        <v>47</v>
      </c>
      <c r="F61" s="59" t="s">
        <v>69</v>
      </c>
      <c r="G61" s="56">
        <f>'[1]CUENTA T FONDO 100'!Z127</f>
        <v>339600</v>
      </c>
      <c r="H61" s="56">
        <f>'[1]CUENTA T VS'!Z89</f>
        <v>0</v>
      </c>
      <c r="I61" s="56">
        <f t="shared" si="0"/>
        <v>339600</v>
      </c>
      <c r="J61" s="57">
        <f t="shared" si="3"/>
        <v>3.5125502897971439E-3</v>
      </c>
    </row>
    <row r="62" spans="1:10" ht="25.5" x14ac:dyDescent="0.25">
      <c r="A62" s="53">
        <v>2</v>
      </c>
      <c r="B62" s="54">
        <v>1</v>
      </c>
      <c r="C62" s="54">
        <v>2</v>
      </c>
      <c r="D62" s="54">
        <v>2</v>
      </c>
      <c r="E62" s="55" t="s">
        <v>49</v>
      </c>
      <c r="F62" s="59" t="s">
        <v>70</v>
      </c>
      <c r="G62" s="56">
        <f>'[1]CUENTA T FONDO 100'!AA127</f>
        <v>0</v>
      </c>
      <c r="H62" s="56">
        <f>'[1]CUENTA T VS'!AA89</f>
        <v>0</v>
      </c>
      <c r="I62" s="56">
        <f t="shared" si="0"/>
        <v>0</v>
      </c>
      <c r="J62" s="57">
        <f t="shared" si="3"/>
        <v>0</v>
      </c>
    </row>
    <row r="63" spans="1:10" ht="25.5" x14ac:dyDescent="0.25">
      <c r="A63" s="53">
        <v>2</v>
      </c>
      <c r="B63" s="54">
        <v>1</v>
      </c>
      <c r="C63" s="54">
        <v>2</v>
      </c>
      <c r="D63" s="54">
        <v>2</v>
      </c>
      <c r="E63" s="54">
        <v>10</v>
      </c>
      <c r="F63" s="59" t="s">
        <v>71</v>
      </c>
      <c r="G63" s="56">
        <f>'[1]CUENTA T FONDO 100'!AB127</f>
        <v>260539.96</v>
      </c>
      <c r="H63" s="56">
        <f>'[1]CUENTA T VS'!AB89</f>
        <v>0</v>
      </c>
      <c r="I63" s="56">
        <f t="shared" si="0"/>
        <v>260539.96</v>
      </c>
      <c r="J63" s="57">
        <f t="shared" si="3"/>
        <v>2.6948165842218381E-3</v>
      </c>
    </row>
    <row r="64" spans="1:10" x14ac:dyDescent="0.25">
      <c r="A64" s="60">
        <v>2</v>
      </c>
      <c r="B64" s="47">
        <v>1</v>
      </c>
      <c r="C64" s="47">
        <v>3</v>
      </c>
      <c r="D64" s="47"/>
      <c r="E64" s="47"/>
      <c r="F64" s="66" t="s">
        <v>72</v>
      </c>
      <c r="G64" s="48">
        <f>+G65+G68</f>
        <v>0</v>
      </c>
      <c r="H64" s="48">
        <f>+H65+H68</f>
        <v>0</v>
      </c>
      <c r="I64" s="48">
        <f t="shared" si="0"/>
        <v>0</v>
      </c>
      <c r="J64" s="45"/>
    </row>
    <row r="65" spans="1:10" x14ac:dyDescent="0.25">
      <c r="A65" s="61">
        <v>2</v>
      </c>
      <c r="B65" s="50">
        <v>1</v>
      </c>
      <c r="C65" s="50">
        <v>3</v>
      </c>
      <c r="D65" s="50">
        <v>1</v>
      </c>
      <c r="E65" s="50"/>
      <c r="F65" s="87" t="s">
        <v>73</v>
      </c>
      <c r="G65" s="51">
        <f>SUM(G66:G67)</f>
        <v>0</v>
      </c>
      <c r="H65" s="51">
        <f>SUM(H66:H67)</f>
        <v>0</v>
      </c>
      <c r="I65" s="51">
        <f t="shared" si="0"/>
        <v>0</v>
      </c>
      <c r="J65" s="58"/>
    </row>
    <row r="66" spans="1:10" x14ac:dyDescent="0.25">
      <c r="A66" s="62">
        <v>2</v>
      </c>
      <c r="B66" s="54">
        <v>1</v>
      </c>
      <c r="C66" s="54">
        <v>3</v>
      </c>
      <c r="D66" s="54">
        <v>1</v>
      </c>
      <c r="E66" s="55" t="s">
        <v>31</v>
      </c>
      <c r="F66" s="67" t="s">
        <v>74</v>
      </c>
      <c r="G66" s="56">
        <f>'[1]CUENTA T FONDO 100'!AC127</f>
        <v>0</v>
      </c>
      <c r="H66" s="56">
        <f>'[1]CUENTA T VS'!AC89</f>
        <v>0</v>
      </c>
      <c r="I66" s="56">
        <f t="shared" si="0"/>
        <v>0</v>
      </c>
      <c r="J66" s="57">
        <f>I66/$I$25</f>
        <v>0</v>
      </c>
    </row>
    <row r="67" spans="1:10" x14ac:dyDescent="0.25">
      <c r="A67" s="62">
        <v>2</v>
      </c>
      <c r="B67" s="54">
        <v>1</v>
      </c>
      <c r="C67" s="54">
        <v>3</v>
      </c>
      <c r="D67" s="54">
        <v>1</v>
      </c>
      <c r="E67" s="55" t="s">
        <v>33</v>
      </c>
      <c r="F67" s="67" t="s">
        <v>75</v>
      </c>
      <c r="G67" s="56">
        <f>'[1]CUENTA T FONDO 100'!AD127</f>
        <v>0</v>
      </c>
      <c r="H67" s="56">
        <f>'[1]CUENTA T VS'!AD89</f>
        <v>0</v>
      </c>
      <c r="I67" s="56">
        <f t="shared" si="0"/>
        <v>0</v>
      </c>
      <c r="J67" s="57">
        <f>I67/$I$25</f>
        <v>0</v>
      </c>
    </row>
    <row r="68" spans="1:10" x14ac:dyDescent="0.25">
      <c r="A68" s="61">
        <v>2</v>
      </c>
      <c r="B68" s="50">
        <v>1</v>
      </c>
      <c r="C68" s="50">
        <v>3</v>
      </c>
      <c r="D68" s="50">
        <v>2</v>
      </c>
      <c r="E68" s="50"/>
      <c r="F68" s="87" t="s">
        <v>76</v>
      </c>
      <c r="G68" s="51">
        <f>SUM(G69:G70)</f>
        <v>0</v>
      </c>
      <c r="H68" s="51">
        <f>SUM(H69:H70)</f>
        <v>0</v>
      </c>
      <c r="I68" s="51">
        <f t="shared" si="0"/>
        <v>0</v>
      </c>
      <c r="J68" s="58"/>
    </row>
    <row r="69" spans="1:10" x14ac:dyDescent="0.25">
      <c r="A69" s="62">
        <v>2</v>
      </c>
      <c r="B69" s="54">
        <v>1</v>
      </c>
      <c r="C69" s="54">
        <v>3</v>
      </c>
      <c r="D69" s="54">
        <v>2</v>
      </c>
      <c r="E69" s="55" t="s">
        <v>31</v>
      </c>
      <c r="F69" s="67" t="s">
        <v>77</v>
      </c>
      <c r="G69" s="56">
        <f>'[1]CUENTA T FONDO 100'!AE127</f>
        <v>0</v>
      </c>
      <c r="H69" s="56">
        <f>'[1]CUENTA T VS'!AE89</f>
        <v>0</v>
      </c>
      <c r="I69" s="56">
        <f t="shared" si="0"/>
        <v>0</v>
      </c>
      <c r="J69" s="57">
        <f>I69/$I$25</f>
        <v>0</v>
      </c>
    </row>
    <row r="70" spans="1:10" x14ac:dyDescent="0.25">
      <c r="A70" s="62">
        <v>2</v>
      </c>
      <c r="B70" s="54">
        <v>1</v>
      </c>
      <c r="C70" s="54">
        <v>3</v>
      </c>
      <c r="D70" s="54">
        <v>2</v>
      </c>
      <c r="E70" s="55" t="s">
        <v>33</v>
      </c>
      <c r="F70" s="67" t="s">
        <v>78</v>
      </c>
      <c r="G70" s="56">
        <f>'[1]CUENTA T FONDO 100'!AF127</f>
        <v>0</v>
      </c>
      <c r="H70" s="56">
        <f>'[1]CUENTA T VS'!AF89</f>
        <v>0</v>
      </c>
      <c r="I70" s="56">
        <f t="shared" si="0"/>
        <v>0</v>
      </c>
      <c r="J70" s="57">
        <f>I70/$I$25</f>
        <v>0</v>
      </c>
    </row>
    <row r="71" spans="1:10" x14ac:dyDescent="0.25">
      <c r="A71" s="60">
        <v>2</v>
      </c>
      <c r="B71" s="47">
        <v>1</v>
      </c>
      <c r="C71" s="47">
        <v>4</v>
      </c>
      <c r="D71" s="47"/>
      <c r="E71" s="47"/>
      <c r="F71" s="66" t="s">
        <v>79</v>
      </c>
      <c r="G71" s="48">
        <f>+G72+G74</f>
        <v>0</v>
      </c>
      <c r="H71" s="48">
        <f>+H72+H74</f>
        <v>0</v>
      </c>
      <c r="I71" s="48">
        <f t="shared" si="0"/>
        <v>0</v>
      </c>
      <c r="J71" s="45"/>
    </row>
    <row r="72" spans="1:10" x14ac:dyDescent="0.25">
      <c r="A72" s="49">
        <v>2</v>
      </c>
      <c r="B72" s="50">
        <v>1</v>
      </c>
      <c r="C72" s="50">
        <v>4</v>
      </c>
      <c r="D72" s="50">
        <v>1</v>
      </c>
      <c r="E72" s="50"/>
      <c r="F72" s="73" t="s">
        <v>80</v>
      </c>
      <c r="G72" s="51">
        <f>SUM(G73)</f>
        <v>0</v>
      </c>
      <c r="H72" s="51">
        <f>SUM(H73)</f>
        <v>0</v>
      </c>
      <c r="I72" s="51">
        <f t="shared" si="0"/>
        <v>0</v>
      </c>
      <c r="J72" s="58"/>
    </row>
    <row r="73" spans="1:10" x14ac:dyDescent="0.25">
      <c r="A73" s="53">
        <v>2</v>
      </c>
      <c r="B73" s="54">
        <v>1</v>
      </c>
      <c r="C73" s="54">
        <v>4</v>
      </c>
      <c r="D73" s="54">
        <v>1</v>
      </c>
      <c r="E73" s="55" t="s">
        <v>31</v>
      </c>
      <c r="F73" s="59" t="s">
        <v>80</v>
      </c>
      <c r="G73" s="56">
        <f>'[1]CUENTA T FONDO 100'!AG127</f>
        <v>0</v>
      </c>
      <c r="H73" s="56">
        <f>'[1]CUENTA T VS'!AG89</f>
        <v>0</v>
      </c>
      <c r="I73" s="56">
        <f t="shared" si="0"/>
        <v>0</v>
      </c>
      <c r="J73" s="57">
        <f>I73/$I$25</f>
        <v>0</v>
      </c>
    </row>
    <row r="74" spans="1:10" x14ac:dyDescent="0.25">
      <c r="A74" s="49">
        <v>2</v>
      </c>
      <c r="B74" s="50">
        <v>1</v>
      </c>
      <c r="C74" s="50">
        <v>4</v>
      </c>
      <c r="D74" s="50">
        <v>2</v>
      </c>
      <c r="E74" s="50"/>
      <c r="F74" s="73" t="s">
        <v>81</v>
      </c>
      <c r="G74" s="51">
        <f>SUM(G75:G77)</f>
        <v>0</v>
      </c>
      <c r="H74" s="51">
        <f>SUM(H75:H77)</f>
        <v>0</v>
      </c>
      <c r="I74" s="51">
        <f t="shared" si="0"/>
        <v>0</v>
      </c>
      <c r="J74" s="58"/>
    </row>
    <row r="75" spans="1:10" x14ac:dyDescent="0.25">
      <c r="A75" s="53">
        <v>2</v>
      </c>
      <c r="B75" s="54">
        <v>1</v>
      </c>
      <c r="C75" s="54">
        <v>4</v>
      </c>
      <c r="D75" s="54">
        <v>2</v>
      </c>
      <c r="E75" s="55" t="s">
        <v>31</v>
      </c>
      <c r="F75" s="59" t="s">
        <v>82</v>
      </c>
      <c r="G75" s="56">
        <f>'[1]CUENTA T FONDO 100'!AH127</f>
        <v>0</v>
      </c>
      <c r="H75" s="56">
        <f>'[1]CUENTA T VS'!AH89</f>
        <v>0</v>
      </c>
      <c r="I75" s="56">
        <f t="shared" si="0"/>
        <v>0</v>
      </c>
      <c r="J75" s="57">
        <f>I75/$I$25</f>
        <v>0</v>
      </c>
    </row>
    <row r="76" spans="1:10" x14ac:dyDescent="0.25">
      <c r="A76" s="53">
        <v>2</v>
      </c>
      <c r="B76" s="54">
        <v>1</v>
      </c>
      <c r="C76" s="54">
        <v>4</v>
      </c>
      <c r="D76" s="54">
        <v>2</v>
      </c>
      <c r="E76" s="55" t="s">
        <v>33</v>
      </c>
      <c r="F76" s="59" t="s">
        <v>83</v>
      </c>
      <c r="G76" s="56">
        <f>'[1]CUENTA T FONDO 100'!AI127</f>
        <v>0</v>
      </c>
      <c r="H76" s="56">
        <f>'[1]CUENTA T VS'!AI89</f>
        <v>0</v>
      </c>
      <c r="I76" s="56">
        <f t="shared" si="0"/>
        <v>0</v>
      </c>
      <c r="J76" s="57">
        <f>I76/$I$25</f>
        <v>0</v>
      </c>
    </row>
    <row r="77" spans="1:10" ht="25.5" x14ac:dyDescent="0.25">
      <c r="A77" s="53">
        <v>2</v>
      </c>
      <c r="B77" s="54">
        <v>1</v>
      </c>
      <c r="C77" s="54">
        <v>4</v>
      </c>
      <c r="D77" s="54">
        <v>2</v>
      </c>
      <c r="E77" s="55" t="s">
        <v>35</v>
      </c>
      <c r="F77" s="59" t="s">
        <v>84</v>
      </c>
      <c r="G77" s="56">
        <f>'[1]CUENTA T FONDO 100'!AJ127</f>
        <v>0</v>
      </c>
      <c r="H77" s="56">
        <f>'[1]CUENTA T VS'!AJ89</f>
        <v>0</v>
      </c>
      <c r="I77" s="56">
        <f t="shared" si="0"/>
        <v>0</v>
      </c>
      <c r="J77" s="57">
        <f>I77/$I$25</f>
        <v>0</v>
      </c>
    </row>
    <row r="78" spans="1:10" ht="26.25" x14ac:dyDescent="0.25">
      <c r="A78" s="60">
        <v>2</v>
      </c>
      <c r="B78" s="47">
        <v>1</v>
      </c>
      <c r="C78" s="47">
        <v>5</v>
      </c>
      <c r="D78" s="47"/>
      <c r="E78" s="47"/>
      <c r="F78" s="66" t="s">
        <v>85</v>
      </c>
      <c r="G78" s="48">
        <f>+G79+G81+G83+G85</f>
        <v>8400093.8800000008</v>
      </c>
      <c r="H78" s="48">
        <f>+H79+H81+H83+H85</f>
        <v>0</v>
      </c>
      <c r="I78" s="48">
        <f t="shared" si="0"/>
        <v>8400093.8800000008</v>
      </c>
      <c r="J78" s="45"/>
    </row>
    <row r="79" spans="1:10" x14ac:dyDescent="0.25">
      <c r="A79" s="49">
        <v>2</v>
      </c>
      <c r="B79" s="50">
        <v>1</v>
      </c>
      <c r="C79" s="50">
        <v>5</v>
      </c>
      <c r="D79" s="50">
        <v>1</v>
      </c>
      <c r="E79" s="50"/>
      <c r="F79" s="73" t="s">
        <v>86</v>
      </c>
      <c r="G79" s="51">
        <f>SUM(G80)</f>
        <v>3870432.33</v>
      </c>
      <c r="H79" s="51">
        <f>SUM(H80)</f>
        <v>0</v>
      </c>
      <c r="I79" s="51">
        <f t="shared" si="0"/>
        <v>3870432.33</v>
      </c>
      <c r="J79" s="58"/>
    </row>
    <row r="80" spans="1:10" x14ac:dyDescent="0.25">
      <c r="A80" s="53">
        <v>2</v>
      </c>
      <c r="B80" s="54">
        <v>1</v>
      </c>
      <c r="C80" s="54">
        <v>5</v>
      </c>
      <c r="D80" s="54">
        <v>1</v>
      </c>
      <c r="E80" s="55" t="s">
        <v>31</v>
      </c>
      <c r="F80" s="59" t="s">
        <v>86</v>
      </c>
      <c r="G80" s="56">
        <f>'[1]CUENTA T FONDO 100'!AK127</f>
        <v>3870432.33</v>
      </c>
      <c r="H80" s="56">
        <f>'[1]CUENTA T VS'!AK89</f>
        <v>0</v>
      </c>
      <c r="I80" s="56">
        <f t="shared" si="0"/>
        <v>3870432.33</v>
      </c>
      <c r="J80" s="57">
        <f>I80/$I$25</f>
        <v>4.003265077261995E-2</v>
      </c>
    </row>
    <row r="81" spans="1:10" x14ac:dyDescent="0.25">
      <c r="A81" s="49">
        <v>2</v>
      </c>
      <c r="B81" s="50">
        <v>1</v>
      </c>
      <c r="C81" s="50">
        <v>5</v>
      </c>
      <c r="D81" s="50">
        <v>2</v>
      </c>
      <c r="E81" s="50"/>
      <c r="F81" s="73" t="s">
        <v>87</v>
      </c>
      <c r="G81" s="51">
        <f>SUM(G82)</f>
        <v>3875889.48</v>
      </c>
      <c r="H81" s="51">
        <f>SUM(H82)</f>
        <v>0</v>
      </c>
      <c r="I81" s="51">
        <f t="shared" si="0"/>
        <v>3875889.48</v>
      </c>
      <c r="J81" s="58"/>
    </row>
    <row r="82" spans="1:10" x14ac:dyDescent="0.25">
      <c r="A82" s="53">
        <v>2</v>
      </c>
      <c r="B82" s="54">
        <v>1</v>
      </c>
      <c r="C82" s="54">
        <v>5</v>
      </c>
      <c r="D82" s="54">
        <v>2</v>
      </c>
      <c r="E82" s="55" t="s">
        <v>31</v>
      </c>
      <c r="F82" s="59" t="s">
        <v>87</v>
      </c>
      <c r="G82" s="56">
        <f>'[1]CUENTA T FONDO 100'!AL127</f>
        <v>3875889.48</v>
      </c>
      <c r="H82" s="56">
        <f>'[1]CUENTA T VS'!AL89</f>
        <v>0</v>
      </c>
      <c r="I82" s="56">
        <f t="shared" si="0"/>
        <v>3875889.48</v>
      </c>
      <c r="J82" s="57">
        <f>I82/$I$25</f>
        <v>4.008909515958687E-2</v>
      </c>
    </row>
    <row r="83" spans="1:10" ht="25.5" x14ac:dyDescent="0.25">
      <c r="A83" s="49">
        <v>2</v>
      </c>
      <c r="B83" s="50">
        <v>1</v>
      </c>
      <c r="C83" s="50">
        <v>5</v>
      </c>
      <c r="D83" s="50">
        <v>3</v>
      </c>
      <c r="E83" s="50"/>
      <c r="F83" s="73" t="s">
        <v>88</v>
      </c>
      <c r="G83" s="51">
        <f>SUM(G84)</f>
        <v>653772.07000000007</v>
      </c>
      <c r="H83" s="51">
        <f>SUM(H84)</f>
        <v>0</v>
      </c>
      <c r="I83" s="51">
        <f t="shared" si="0"/>
        <v>653772.07000000007</v>
      </c>
      <c r="J83" s="58"/>
    </row>
    <row r="84" spans="1:10" ht="25.5" x14ac:dyDescent="0.25">
      <c r="A84" s="53">
        <v>2</v>
      </c>
      <c r="B84" s="54">
        <v>1</v>
      </c>
      <c r="C84" s="54">
        <v>5</v>
      </c>
      <c r="D84" s="54">
        <v>3</v>
      </c>
      <c r="E84" s="55" t="s">
        <v>31</v>
      </c>
      <c r="F84" s="59" t="s">
        <v>88</v>
      </c>
      <c r="G84" s="56">
        <f>'[1]CUENTA T FONDO 100'!AM127</f>
        <v>653772.07000000007</v>
      </c>
      <c r="H84" s="56">
        <f>'[1]CUENTA T VS'!AM89</f>
        <v>0</v>
      </c>
      <c r="I84" s="56">
        <f t="shared" si="0"/>
        <v>653772.07000000007</v>
      </c>
      <c r="J84" s="57">
        <f>I84/$I$25</f>
        <v>6.7620944462302088E-3</v>
      </c>
    </row>
    <row r="85" spans="1:10" ht="25.5" x14ac:dyDescent="0.25">
      <c r="A85" s="49">
        <v>2</v>
      </c>
      <c r="B85" s="50">
        <v>1</v>
      </c>
      <c r="C85" s="50">
        <v>5</v>
      </c>
      <c r="D85" s="50">
        <v>4</v>
      </c>
      <c r="E85" s="50"/>
      <c r="F85" s="73" t="s">
        <v>89</v>
      </c>
      <c r="G85" s="51">
        <f>SUM(G86)</f>
        <v>0</v>
      </c>
      <c r="H85" s="51">
        <f>SUM(H86)</f>
        <v>0</v>
      </c>
      <c r="I85" s="51">
        <f t="shared" si="0"/>
        <v>0</v>
      </c>
      <c r="J85" s="58"/>
    </row>
    <row r="86" spans="1:10" ht="25.5" x14ac:dyDescent="0.25">
      <c r="A86" s="53">
        <v>2</v>
      </c>
      <c r="B86" s="54">
        <v>1</v>
      </c>
      <c r="C86" s="54">
        <v>5</v>
      </c>
      <c r="D86" s="54">
        <v>4</v>
      </c>
      <c r="E86" s="55" t="s">
        <v>31</v>
      </c>
      <c r="F86" s="59" t="s">
        <v>89</v>
      </c>
      <c r="G86" s="56">
        <f>'[1]CUENTA T FONDO 100'!AN127</f>
        <v>0</v>
      </c>
      <c r="H86" s="56">
        <f>'[1]CUENTA T VS'!AN89</f>
        <v>0</v>
      </c>
      <c r="I86" s="56">
        <f t="shared" si="0"/>
        <v>0</v>
      </c>
      <c r="J86" s="57">
        <f>I86/$I$25</f>
        <v>0</v>
      </c>
    </row>
    <row r="87" spans="1:10" x14ac:dyDescent="0.25">
      <c r="A87" s="60">
        <v>2</v>
      </c>
      <c r="B87" s="63">
        <v>2</v>
      </c>
      <c r="C87" s="47"/>
      <c r="D87" s="47"/>
      <c r="E87" s="47"/>
      <c r="F87" s="66" t="s">
        <v>90</v>
      </c>
      <c r="G87" s="48">
        <f>G88+G106+G111+G116+G125+G148+G157+G179+G208</f>
        <v>210535</v>
      </c>
      <c r="H87" s="48">
        <f>H88+H106+H111+H116+H125+H148+H157+H179+H208</f>
        <v>1256712.0899999999</v>
      </c>
      <c r="I87" s="48">
        <f t="shared" si="0"/>
        <v>1467247.0899999999</v>
      </c>
      <c r="J87" s="45">
        <f>I87/$I$25</f>
        <v>1.5176028242589857E-2</v>
      </c>
    </row>
    <row r="88" spans="1:10" x14ac:dyDescent="0.25">
      <c r="A88" s="60">
        <v>2</v>
      </c>
      <c r="B88" s="47">
        <v>2</v>
      </c>
      <c r="C88" s="47">
        <v>1</v>
      </c>
      <c r="D88" s="47"/>
      <c r="E88" s="47"/>
      <c r="F88" s="66" t="s">
        <v>91</v>
      </c>
      <c r="G88" s="48">
        <f>+G89+G91+G93+G95+G97+G99+G102+G104</f>
        <v>60535</v>
      </c>
      <c r="H88" s="48">
        <f>+H89+H91+H93+H95+H97+H99+H102+H104</f>
        <v>285608.3</v>
      </c>
      <c r="I88" s="48">
        <f t="shared" si="0"/>
        <v>346143.3</v>
      </c>
      <c r="J88" s="45"/>
    </row>
    <row r="89" spans="1:10" x14ac:dyDescent="0.25">
      <c r="A89" s="61">
        <v>2</v>
      </c>
      <c r="B89" s="50">
        <v>2</v>
      </c>
      <c r="C89" s="50">
        <v>1</v>
      </c>
      <c r="D89" s="50">
        <v>1</v>
      </c>
      <c r="E89" s="50"/>
      <c r="F89" s="87" t="s">
        <v>92</v>
      </c>
      <c r="G89" s="51">
        <f>SUM(G90)</f>
        <v>0</v>
      </c>
      <c r="H89" s="51">
        <f>SUM(H90)</f>
        <v>0</v>
      </c>
      <c r="I89" s="51">
        <f t="shared" ref="I89:I152" si="4">SUM(G89:H89)</f>
        <v>0</v>
      </c>
      <c r="J89" s="58"/>
    </row>
    <row r="90" spans="1:10" x14ac:dyDescent="0.25">
      <c r="A90" s="62">
        <v>2</v>
      </c>
      <c r="B90" s="54">
        <v>2</v>
      </c>
      <c r="C90" s="54">
        <v>1</v>
      </c>
      <c r="D90" s="54">
        <v>1</v>
      </c>
      <c r="E90" s="55" t="s">
        <v>31</v>
      </c>
      <c r="F90" s="67" t="s">
        <v>92</v>
      </c>
      <c r="G90" s="56">
        <f>'[1]CUENTA T FONDO 100'!AO127</f>
        <v>0</v>
      </c>
      <c r="H90" s="56">
        <f>'[1]CUENTA T VS'!AO89</f>
        <v>0</v>
      </c>
      <c r="I90" s="56">
        <f t="shared" si="4"/>
        <v>0</v>
      </c>
      <c r="J90" s="57">
        <f>I90/$I$25</f>
        <v>0</v>
      </c>
    </row>
    <row r="91" spans="1:10" x14ac:dyDescent="0.25">
      <c r="A91" s="61">
        <v>2</v>
      </c>
      <c r="B91" s="50">
        <v>2</v>
      </c>
      <c r="C91" s="50">
        <v>1</v>
      </c>
      <c r="D91" s="50">
        <v>2</v>
      </c>
      <c r="E91" s="50"/>
      <c r="F91" s="87" t="s">
        <v>93</v>
      </c>
      <c r="G91" s="51">
        <f>SUM(G92)</f>
        <v>0</v>
      </c>
      <c r="H91" s="51">
        <f>SUM(H92)</f>
        <v>0</v>
      </c>
      <c r="I91" s="51">
        <f t="shared" si="4"/>
        <v>0</v>
      </c>
      <c r="J91" s="58"/>
    </row>
    <row r="92" spans="1:10" x14ac:dyDescent="0.25">
      <c r="A92" s="62">
        <v>2</v>
      </c>
      <c r="B92" s="54">
        <v>2</v>
      </c>
      <c r="C92" s="54">
        <v>1</v>
      </c>
      <c r="D92" s="54">
        <v>2</v>
      </c>
      <c r="E92" s="55" t="s">
        <v>31</v>
      </c>
      <c r="F92" s="67" t="s">
        <v>93</v>
      </c>
      <c r="G92" s="56">
        <f>'[1]CUENTA T FONDO 100'!AP127</f>
        <v>0</v>
      </c>
      <c r="H92" s="56">
        <f>'[1]CUENTA T VS'!AP89</f>
        <v>0</v>
      </c>
      <c r="I92" s="56">
        <f t="shared" si="4"/>
        <v>0</v>
      </c>
      <c r="J92" s="57">
        <f>I92/$I$25</f>
        <v>0</v>
      </c>
    </row>
    <row r="93" spans="1:10" x14ac:dyDescent="0.25">
      <c r="A93" s="61">
        <v>2</v>
      </c>
      <c r="B93" s="50">
        <v>2</v>
      </c>
      <c r="C93" s="50">
        <v>1</v>
      </c>
      <c r="D93" s="50">
        <v>3</v>
      </c>
      <c r="E93" s="50"/>
      <c r="F93" s="87" t="s">
        <v>94</v>
      </c>
      <c r="G93" s="51">
        <f>SUM(G94)</f>
        <v>0</v>
      </c>
      <c r="H93" s="51">
        <f>SUM(H94)</f>
        <v>104569.42</v>
      </c>
      <c r="I93" s="51">
        <f t="shared" si="4"/>
        <v>104569.42</v>
      </c>
      <c r="J93" s="58"/>
    </row>
    <row r="94" spans="1:10" x14ac:dyDescent="0.25">
      <c r="A94" s="62">
        <v>2</v>
      </c>
      <c r="B94" s="54">
        <v>2</v>
      </c>
      <c r="C94" s="54">
        <v>1</v>
      </c>
      <c r="D94" s="54">
        <v>3</v>
      </c>
      <c r="E94" s="55" t="s">
        <v>31</v>
      </c>
      <c r="F94" s="67" t="s">
        <v>94</v>
      </c>
      <c r="G94" s="56">
        <f>'[1]CUENTA T FONDO 100'!AQ127</f>
        <v>0</v>
      </c>
      <c r="H94" s="56">
        <f>'[1]CUENTA T VS'!AQ89</f>
        <v>104569.42</v>
      </c>
      <c r="I94" s="56">
        <f t="shared" si="4"/>
        <v>104569.42</v>
      </c>
      <c r="J94" s="57">
        <f>I94/$I$25</f>
        <v>1.0815822924762051E-3</v>
      </c>
    </row>
    <row r="95" spans="1:10" x14ac:dyDescent="0.25">
      <c r="A95" s="61">
        <v>2</v>
      </c>
      <c r="B95" s="50">
        <v>2</v>
      </c>
      <c r="C95" s="50">
        <v>1</v>
      </c>
      <c r="D95" s="50">
        <v>4</v>
      </c>
      <c r="E95" s="50"/>
      <c r="F95" s="87" t="s">
        <v>95</v>
      </c>
      <c r="G95" s="51">
        <f>SUM(G96)</f>
        <v>0</v>
      </c>
      <c r="H95" s="51">
        <f>SUM(H96)</f>
        <v>0</v>
      </c>
      <c r="I95" s="51">
        <f t="shared" si="4"/>
        <v>0</v>
      </c>
      <c r="J95" s="58"/>
    </row>
    <row r="96" spans="1:10" x14ac:dyDescent="0.25">
      <c r="A96" s="62">
        <v>2</v>
      </c>
      <c r="B96" s="54">
        <v>2</v>
      </c>
      <c r="C96" s="54">
        <v>1</v>
      </c>
      <c r="D96" s="54">
        <v>4</v>
      </c>
      <c r="E96" s="55" t="s">
        <v>31</v>
      </c>
      <c r="F96" s="67" t="s">
        <v>95</v>
      </c>
      <c r="G96" s="56">
        <f>'[1]CUENTA T FONDO 100'!AR127</f>
        <v>0</v>
      </c>
      <c r="H96" s="56">
        <f>'[1]CUENTA T VS'!AR89</f>
        <v>0</v>
      </c>
      <c r="I96" s="56">
        <f t="shared" si="4"/>
        <v>0</v>
      </c>
      <c r="J96" s="57">
        <f>I96/$I$25</f>
        <v>0</v>
      </c>
    </row>
    <row r="97" spans="1:10" x14ac:dyDescent="0.25">
      <c r="A97" s="61">
        <v>2</v>
      </c>
      <c r="B97" s="50">
        <v>2</v>
      </c>
      <c r="C97" s="50">
        <v>1</v>
      </c>
      <c r="D97" s="50">
        <v>5</v>
      </c>
      <c r="E97" s="50"/>
      <c r="F97" s="87" t="s">
        <v>96</v>
      </c>
      <c r="G97" s="51">
        <f>SUM(G98)</f>
        <v>0</v>
      </c>
      <c r="H97" s="51">
        <f>SUM(H98)</f>
        <v>106038.88</v>
      </c>
      <c r="I97" s="51">
        <f t="shared" si="4"/>
        <v>106038.88</v>
      </c>
      <c r="J97" s="58"/>
    </row>
    <row r="98" spans="1:10" x14ac:dyDescent="0.25">
      <c r="A98" s="62">
        <v>2</v>
      </c>
      <c r="B98" s="54">
        <v>2</v>
      </c>
      <c r="C98" s="54">
        <v>1</v>
      </c>
      <c r="D98" s="54">
        <v>5</v>
      </c>
      <c r="E98" s="55" t="s">
        <v>31</v>
      </c>
      <c r="F98" s="67" t="s">
        <v>96</v>
      </c>
      <c r="G98" s="56">
        <f>'[1]CUENTA T FONDO 100'!AS127</f>
        <v>0</v>
      </c>
      <c r="H98" s="56">
        <f>'[1]CUENTA T VS'!AS89</f>
        <v>106038.88</v>
      </c>
      <c r="I98" s="56">
        <f t="shared" si="4"/>
        <v>106038.88</v>
      </c>
      <c r="J98" s="57">
        <f>I98/$I$25</f>
        <v>1.0967812092867037E-3</v>
      </c>
    </row>
    <row r="99" spans="1:10" x14ac:dyDescent="0.25">
      <c r="A99" s="61">
        <v>2</v>
      </c>
      <c r="B99" s="50">
        <v>2</v>
      </c>
      <c r="C99" s="50">
        <v>1</v>
      </c>
      <c r="D99" s="50">
        <v>6</v>
      </c>
      <c r="E99" s="50"/>
      <c r="F99" s="87" t="s">
        <v>97</v>
      </c>
      <c r="G99" s="51">
        <f>SUM(G100:G101)</f>
        <v>0</v>
      </c>
      <c r="H99" s="51">
        <f>SUM(H100:H101)</f>
        <v>0</v>
      </c>
      <c r="I99" s="51">
        <f t="shared" si="4"/>
        <v>0</v>
      </c>
      <c r="J99" s="58"/>
    </row>
    <row r="100" spans="1:10" x14ac:dyDescent="0.25">
      <c r="A100" s="62">
        <v>2</v>
      </c>
      <c r="B100" s="54">
        <v>2</v>
      </c>
      <c r="C100" s="54">
        <v>1</v>
      </c>
      <c r="D100" s="54">
        <v>6</v>
      </c>
      <c r="E100" s="55" t="s">
        <v>31</v>
      </c>
      <c r="F100" s="67" t="s">
        <v>98</v>
      </c>
      <c r="G100" s="56">
        <f>'[1]CUENTA T FONDO 100'!AT127</f>
        <v>0</v>
      </c>
      <c r="H100" s="56">
        <f>'[1]CUENTA T VS'!AT89</f>
        <v>0</v>
      </c>
      <c r="I100" s="56">
        <f t="shared" si="4"/>
        <v>0</v>
      </c>
      <c r="J100" s="57">
        <f>I100/$I$25</f>
        <v>0</v>
      </c>
    </row>
    <row r="101" spans="1:10" x14ac:dyDescent="0.25">
      <c r="A101" s="62">
        <v>2</v>
      </c>
      <c r="B101" s="54">
        <v>2</v>
      </c>
      <c r="C101" s="54">
        <v>1</v>
      </c>
      <c r="D101" s="54">
        <v>6</v>
      </c>
      <c r="E101" s="55" t="s">
        <v>33</v>
      </c>
      <c r="F101" s="67" t="s">
        <v>99</v>
      </c>
      <c r="G101" s="56">
        <f>'[1]CUENTA T FONDO 100'!AU127</f>
        <v>0</v>
      </c>
      <c r="H101" s="56">
        <f>'[1]CUENTA T VS'!AU89</f>
        <v>0</v>
      </c>
      <c r="I101" s="56">
        <f t="shared" si="4"/>
        <v>0</v>
      </c>
      <c r="J101" s="57">
        <f>I101/$I$25</f>
        <v>0</v>
      </c>
    </row>
    <row r="102" spans="1:10" x14ac:dyDescent="0.25">
      <c r="A102" s="61">
        <v>2</v>
      </c>
      <c r="B102" s="50">
        <v>2</v>
      </c>
      <c r="C102" s="50">
        <v>1</v>
      </c>
      <c r="D102" s="50">
        <v>7</v>
      </c>
      <c r="E102" s="50"/>
      <c r="F102" s="87" t="s">
        <v>100</v>
      </c>
      <c r="G102" s="51">
        <f>SUM(G103)</f>
        <v>60535</v>
      </c>
      <c r="H102" s="51">
        <f>SUM(H103)</f>
        <v>0</v>
      </c>
      <c r="I102" s="51">
        <f t="shared" si="4"/>
        <v>60535</v>
      </c>
      <c r="J102" s="58"/>
    </row>
    <row r="103" spans="1:10" x14ac:dyDescent="0.25">
      <c r="A103" s="62">
        <v>2</v>
      </c>
      <c r="B103" s="54">
        <v>2</v>
      </c>
      <c r="C103" s="54">
        <v>1</v>
      </c>
      <c r="D103" s="54">
        <v>7</v>
      </c>
      <c r="E103" s="55" t="s">
        <v>31</v>
      </c>
      <c r="F103" s="67" t="s">
        <v>100</v>
      </c>
      <c r="G103" s="56">
        <f>'[1]CUENTA T FONDO 100'!AV127</f>
        <v>60535</v>
      </c>
      <c r="H103" s="56">
        <f>'[1]CUENTA T VS'!AV89</f>
        <v>0</v>
      </c>
      <c r="I103" s="56">
        <f t="shared" si="4"/>
        <v>60535</v>
      </c>
      <c r="J103" s="57">
        <f>I103/$I$25</f>
        <v>6.261255353146941E-4</v>
      </c>
    </row>
    <row r="104" spans="1:10" x14ac:dyDescent="0.25">
      <c r="A104" s="61">
        <v>2</v>
      </c>
      <c r="B104" s="50">
        <v>2</v>
      </c>
      <c r="C104" s="50">
        <v>1</v>
      </c>
      <c r="D104" s="50">
        <v>8</v>
      </c>
      <c r="E104" s="50"/>
      <c r="F104" s="87" t="s">
        <v>101</v>
      </c>
      <c r="G104" s="51">
        <f>SUM(G105)</f>
        <v>0</v>
      </c>
      <c r="H104" s="51">
        <f>SUM(H105)</f>
        <v>75000</v>
      </c>
      <c r="I104" s="51">
        <f t="shared" si="4"/>
        <v>75000</v>
      </c>
      <c r="J104" s="58"/>
    </row>
    <row r="105" spans="1:10" x14ac:dyDescent="0.25">
      <c r="A105" s="62">
        <v>2</v>
      </c>
      <c r="B105" s="54">
        <v>2</v>
      </c>
      <c r="C105" s="54">
        <v>1</v>
      </c>
      <c r="D105" s="54">
        <v>8</v>
      </c>
      <c r="E105" s="55" t="s">
        <v>31</v>
      </c>
      <c r="F105" s="67" t="s">
        <v>101</v>
      </c>
      <c r="G105" s="56">
        <f>'[1]CUENTA T FONDO 100'!AW127</f>
        <v>0</v>
      </c>
      <c r="H105" s="56">
        <f>'[1]CUENTA T VS'!AW89</f>
        <v>75000</v>
      </c>
      <c r="I105" s="56">
        <f t="shared" si="4"/>
        <v>75000</v>
      </c>
      <c r="J105" s="57">
        <f>I105/$I$25</f>
        <v>7.7573990499053532E-4</v>
      </c>
    </row>
    <row r="106" spans="1:10" x14ac:dyDescent="0.25">
      <c r="A106" s="60">
        <v>2</v>
      </c>
      <c r="B106" s="47">
        <v>2</v>
      </c>
      <c r="C106" s="47">
        <v>2</v>
      </c>
      <c r="D106" s="47"/>
      <c r="E106" s="47"/>
      <c r="F106" s="66" t="s">
        <v>102</v>
      </c>
      <c r="G106" s="48">
        <f>+G107+G109</f>
        <v>0</v>
      </c>
      <c r="H106" s="48">
        <f>+H107+H109</f>
        <v>0</v>
      </c>
      <c r="I106" s="48">
        <f t="shared" si="4"/>
        <v>0</v>
      </c>
      <c r="J106" s="45"/>
    </row>
    <row r="107" spans="1:10" x14ac:dyDescent="0.25">
      <c r="A107" s="61">
        <v>2</v>
      </c>
      <c r="B107" s="50">
        <v>2</v>
      </c>
      <c r="C107" s="50">
        <v>2</v>
      </c>
      <c r="D107" s="50">
        <v>1</v>
      </c>
      <c r="E107" s="50"/>
      <c r="F107" s="87" t="s">
        <v>103</v>
      </c>
      <c r="G107" s="51">
        <f>SUM(G108)</f>
        <v>0</v>
      </c>
      <c r="H107" s="51">
        <f>SUM(H108)</f>
        <v>0</v>
      </c>
      <c r="I107" s="51">
        <f t="shared" si="4"/>
        <v>0</v>
      </c>
      <c r="J107" s="58"/>
    </row>
    <row r="108" spans="1:10" x14ac:dyDescent="0.25">
      <c r="A108" s="62">
        <v>2</v>
      </c>
      <c r="B108" s="54">
        <v>2</v>
      </c>
      <c r="C108" s="54">
        <v>2</v>
      </c>
      <c r="D108" s="54">
        <v>1</v>
      </c>
      <c r="E108" s="55" t="s">
        <v>31</v>
      </c>
      <c r="F108" s="67" t="s">
        <v>103</v>
      </c>
      <c r="G108" s="56">
        <f>'[1]CUENTA T FONDO 100'!AX127</f>
        <v>0</v>
      </c>
      <c r="H108" s="56">
        <f>'[1]CUENTA T VS'!AX89</f>
        <v>0</v>
      </c>
      <c r="I108" s="56">
        <f t="shared" si="4"/>
        <v>0</v>
      </c>
      <c r="J108" s="57">
        <f>I108/$I$25</f>
        <v>0</v>
      </c>
    </row>
    <row r="109" spans="1:10" x14ac:dyDescent="0.25">
      <c r="A109" s="61">
        <v>2</v>
      </c>
      <c r="B109" s="50">
        <v>2</v>
      </c>
      <c r="C109" s="50">
        <v>2</v>
      </c>
      <c r="D109" s="50">
        <v>2</v>
      </c>
      <c r="E109" s="50"/>
      <c r="F109" s="87" t="s">
        <v>104</v>
      </c>
      <c r="G109" s="51">
        <f>SUM(G110)</f>
        <v>0</v>
      </c>
      <c r="H109" s="51">
        <f>SUM(H110)</f>
        <v>0</v>
      </c>
      <c r="I109" s="51">
        <f t="shared" si="4"/>
        <v>0</v>
      </c>
      <c r="J109" s="58"/>
    </row>
    <row r="110" spans="1:10" x14ac:dyDescent="0.25">
      <c r="A110" s="62">
        <v>2</v>
      </c>
      <c r="B110" s="54">
        <v>2</v>
      </c>
      <c r="C110" s="54">
        <v>2</v>
      </c>
      <c r="D110" s="54">
        <v>2</v>
      </c>
      <c r="E110" s="55" t="s">
        <v>31</v>
      </c>
      <c r="F110" s="67" t="s">
        <v>104</v>
      </c>
      <c r="G110" s="56">
        <f>'[1]CUENTA T FONDO 100'!AY127</f>
        <v>0</v>
      </c>
      <c r="H110" s="56">
        <f>'[1]CUENTA T VS'!AY89</f>
        <v>0</v>
      </c>
      <c r="I110" s="56">
        <f t="shared" si="4"/>
        <v>0</v>
      </c>
      <c r="J110" s="57">
        <f>I110/$I$25</f>
        <v>0</v>
      </c>
    </row>
    <row r="111" spans="1:10" x14ac:dyDescent="0.25">
      <c r="A111" s="60">
        <v>2</v>
      </c>
      <c r="B111" s="47">
        <v>2</v>
      </c>
      <c r="C111" s="47">
        <v>3</v>
      </c>
      <c r="D111" s="47"/>
      <c r="E111" s="47"/>
      <c r="F111" s="66" t="s">
        <v>105</v>
      </c>
      <c r="G111" s="48">
        <f>+G112+G114</f>
        <v>0</v>
      </c>
      <c r="H111" s="48">
        <f>+H112+H114</f>
        <v>0</v>
      </c>
      <c r="I111" s="48">
        <f t="shared" si="4"/>
        <v>0</v>
      </c>
      <c r="J111" s="45"/>
    </row>
    <row r="112" spans="1:10" x14ac:dyDescent="0.25">
      <c r="A112" s="61">
        <v>2</v>
      </c>
      <c r="B112" s="50">
        <v>2</v>
      </c>
      <c r="C112" s="50">
        <v>3</v>
      </c>
      <c r="D112" s="50">
        <v>1</v>
      </c>
      <c r="E112" s="50"/>
      <c r="F112" s="87" t="s">
        <v>106</v>
      </c>
      <c r="G112" s="51">
        <f>SUM(G113)</f>
        <v>0</v>
      </c>
      <c r="H112" s="51">
        <f>SUM(H113)</f>
        <v>0</v>
      </c>
      <c r="I112" s="51">
        <f t="shared" si="4"/>
        <v>0</v>
      </c>
      <c r="J112" s="58"/>
    </row>
    <row r="113" spans="1:10" x14ac:dyDescent="0.25">
      <c r="A113" s="62">
        <v>2</v>
      </c>
      <c r="B113" s="54">
        <v>2</v>
      </c>
      <c r="C113" s="54">
        <v>3</v>
      </c>
      <c r="D113" s="54">
        <v>1</v>
      </c>
      <c r="E113" s="55" t="s">
        <v>31</v>
      </c>
      <c r="F113" s="67" t="s">
        <v>106</v>
      </c>
      <c r="G113" s="56">
        <f>'[1]CUENTA T FONDO 100'!AZ127</f>
        <v>0</v>
      </c>
      <c r="H113" s="56">
        <f>'[1]CUENTA T VS'!AZ89</f>
        <v>0</v>
      </c>
      <c r="I113" s="56">
        <f t="shared" si="4"/>
        <v>0</v>
      </c>
      <c r="J113" s="57">
        <f>I113/$I$25</f>
        <v>0</v>
      </c>
    </row>
    <row r="114" spans="1:10" x14ac:dyDescent="0.25">
      <c r="A114" s="61">
        <v>2</v>
      </c>
      <c r="B114" s="50">
        <v>2</v>
      </c>
      <c r="C114" s="50">
        <v>3</v>
      </c>
      <c r="D114" s="50">
        <v>2</v>
      </c>
      <c r="E114" s="50"/>
      <c r="F114" s="87" t="s">
        <v>107</v>
      </c>
      <c r="G114" s="51">
        <f>SUM(G115)</f>
        <v>0</v>
      </c>
      <c r="H114" s="51">
        <f>SUM(H115)</f>
        <v>0</v>
      </c>
      <c r="I114" s="51">
        <f t="shared" si="4"/>
        <v>0</v>
      </c>
      <c r="J114" s="58"/>
    </row>
    <row r="115" spans="1:10" x14ac:dyDescent="0.25">
      <c r="A115" s="62">
        <v>2</v>
      </c>
      <c r="B115" s="54">
        <v>2</v>
      </c>
      <c r="C115" s="54">
        <v>3</v>
      </c>
      <c r="D115" s="54">
        <v>2</v>
      </c>
      <c r="E115" s="55" t="s">
        <v>31</v>
      </c>
      <c r="F115" s="67" t="s">
        <v>107</v>
      </c>
      <c r="G115" s="56">
        <f>'[1]CUENTA T FONDO 100'!BA127</f>
        <v>0</v>
      </c>
      <c r="H115" s="56">
        <f>'[1]CUENTA T VS'!BA89</f>
        <v>0</v>
      </c>
      <c r="I115" s="56">
        <f t="shared" si="4"/>
        <v>0</v>
      </c>
      <c r="J115" s="57">
        <f>I115/$I$25</f>
        <v>0</v>
      </c>
    </row>
    <row r="116" spans="1:10" x14ac:dyDescent="0.25">
      <c r="A116" s="60">
        <v>2</v>
      </c>
      <c r="B116" s="47">
        <v>2</v>
      </c>
      <c r="C116" s="47">
        <v>4</v>
      </c>
      <c r="D116" s="47"/>
      <c r="E116" s="47"/>
      <c r="F116" s="66" t="s">
        <v>108</v>
      </c>
      <c r="G116" s="48">
        <f>+G117+G119+G121+G123</f>
        <v>0</v>
      </c>
      <c r="H116" s="48">
        <f>+H117+H119+H121+H123</f>
        <v>0</v>
      </c>
      <c r="I116" s="48">
        <f t="shared" si="4"/>
        <v>0</v>
      </c>
      <c r="J116" s="45"/>
    </row>
    <row r="117" spans="1:10" x14ac:dyDescent="0.25">
      <c r="A117" s="61">
        <v>2</v>
      </c>
      <c r="B117" s="50">
        <v>2</v>
      </c>
      <c r="C117" s="50">
        <v>4</v>
      </c>
      <c r="D117" s="50">
        <v>1</v>
      </c>
      <c r="E117" s="50"/>
      <c r="F117" s="87" t="s">
        <v>109</v>
      </c>
      <c r="G117" s="51">
        <f>SUM(G118)</f>
        <v>0</v>
      </c>
      <c r="H117" s="51">
        <f>SUM(H118)</f>
        <v>0</v>
      </c>
      <c r="I117" s="51">
        <f t="shared" si="4"/>
        <v>0</v>
      </c>
      <c r="J117" s="58"/>
    </row>
    <row r="118" spans="1:10" x14ac:dyDescent="0.25">
      <c r="A118" s="62">
        <v>2</v>
      </c>
      <c r="B118" s="54">
        <v>2</v>
      </c>
      <c r="C118" s="54">
        <v>4</v>
      </c>
      <c r="D118" s="54">
        <v>1</v>
      </c>
      <c r="E118" s="55" t="s">
        <v>31</v>
      </c>
      <c r="F118" s="67" t="s">
        <v>109</v>
      </c>
      <c r="G118" s="56">
        <f>'[1]CUENTA T FONDO 100'!BB127</f>
        <v>0</v>
      </c>
      <c r="H118" s="56">
        <f>'[1]CUENTA T VS'!BB89</f>
        <v>0</v>
      </c>
      <c r="I118" s="56">
        <f t="shared" si="4"/>
        <v>0</v>
      </c>
      <c r="J118" s="57">
        <f>I118/$I$25</f>
        <v>0</v>
      </c>
    </row>
    <row r="119" spans="1:10" x14ac:dyDescent="0.25">
      <c r="A119" s="61">
        <v>2</v>
      </c>
      <c r="B119" s="50">
        <v>2</v>
      </c>
      <c r="C119" s="50">
        <v>4</v>
      </c>
      <c r="D119" s="50">
        <v>2</v>
      </c>
      <c r="E119" s="50"/>
      <c r="F119" s="87" t="s">
        <v>110</v>
      </c>
      <c r="G119" s="51">
        <f>SUM(G120)</f>
        <v>0</v>
      </c>
      <c r="H119" s="51">
        <f>SUM(H120)</f>
        <v>0</v>
      </c>
      <c r="I119" s="51">
        <f t="shared" si="4"/>
        <v>0</v>
      </c>
      <c r="J119" s="58"/>
    </row>
    <row r="120" spans="1:10" x14ac:dyDescent="0.25">
      <c r="A120" s="62">
        <v>2</v>
      </c>
      <c r="B120" s="54">
        <v>2</v>
      </c>
      <c r="C120" s="54">
        <v>4</v>
      </c>
      <c r="D120" s="54">
        <v>2</v>
      </c>
      <c r="E120" s="55" t="s">
        <v>31</v>
      </c>
      <c r="F120" s="67" t="s">
        <v>110</v>
      </c>
      <c r="G120" s="56">
        <f>'[1]CUENTA T FONDO 100'!BC127</f>
        <v>0</v>
      </c>
      <c r="H120" s="56">
        <f>'[1]CUENTA T VS'!BC89</f>
        <v>0</v>
      </c>
      <c r="I120" s="56">
        <f t="shared" si="4"/>
        <v>0</v>
      </c>
      <c r="J120" s="57">
        <f>I120/$I$25</f>
        <v>0</v>
      </c>
    </row>
    <row r="121" spans="1:10" x14ac:dyDescent="0.25">
      <c r="A121" s="61">
        <v>2</v>
      </c>
      <c r="B121" s="50">
        <v>2</v>
      </c>
      <c r="C121" s="50">
        <v>4</v>
      </c>
      <c r="D121" s="50">
        <v>3</v>
      </c>
      <c r="E121" s="50"/>
      <c r="F121" s="87" t="s">
        <v>111</v>
      </c>
      <c r="G121" s="51">
        <f>SUM(G122)</f>
        <v>0</v>
      </c>
      <c r="H121" s="51">
        <f>SUM(H122)</f>
        <v>0</v>
      </c>
      <c r="I121" s="51">
        <f t="shared" si="4"/>
        <v>0</v>
      </c>
      <c r="J121" s="58"/>
    </row>
    <row r="122" spans="1:10" x14ac:dyDescent="0.25">
      <c r="A122" s="62">
        <v>2</v>
      </c>
      <c r="B122" s="54">
        <v>2</v>
      </c>
      <c r="C122" s="54">
        <v>4</v>
      </c>
      <c r="D122" s="54">
        <v>3</v>
      </c>
      <c r="E122" s="55" t="s">
        <v>31</v>
      </c>
      <c r="F122" s="67" t="s">
        <v>111</v>
      </c>
      <c r="G122" s="56">
        <f>'[1]CUENTA T FONDO 100'!BD127</f>
        <v>0</v>
      </c>
      <c r="H122" s="56">
        <f>'[1]CUENTA T VS'!BD89</f>
        <v>0</v>
      </c>
      <c r="I122" s="56">
        <f t="shared" si="4"/>
        <v>0</v>
      </c>
      <c r="J122" s="57">
        <f>I122/$I$25</f>
        <v>0</v>
      </c>
    </row>
    <row r="123" spans="1:10" x14ac:dyDescent="0.25">
      <c r="A123" s="61">
        <v>2</v>
      </c>
      <c r="B123" s="50">
        <v>2</v>
      </c>
      <c r="C123" s="50">
        <v>4</v>
      </c>
      <c r="D123" s="50">
        <v>4</v>
      </c>
      <c r="E123" s="50"/>
      <c r="F123" s="87" t="s">
        <v>112</v>
      </c>
      <c r="G123" s="51">
        <f>SUM(G124)</f>
        <v>0</v>
      </c>
      <c r="H123" s="51">
        <f>SUM(H124)</f>
        <v>0</v>
      </c>
      <c r="I123" s="51">
        <f t="shared" si="4"/>
        <v>0</v>
      </c>
      <c r="J123" s="58"/>
    </row>
    <row r="124" spans="1:10" x14ac:dyDescent="0.25">
      <c r="A124" s="62">
        <v>2</v>
      </c>
      <c r="B124" s="54">
        <v>2</v>
      </c>
      <c r="C124" s="54">
        <v>4</v>
      </c>
      <c r="D124" s="54">
        <v>4</v>
      </c>
      <c r="E124" s="55" t="s">
        <v>31</v>
      </c>
      <c r="F124" s="67" t="s">
        <v>112</v>
      </c>
      <c r="G124" s="56">
        <f>'[1]CUENTA T FONDO 100'!BE127</f>
        <v>0</v>
      </c>
      <c r="H124" s="56">
        <f>'[1]CUENTA T VS'!BE89</f>
        <v>0</v>
      </c>
      <c r="I124" s="56">
        <f t="shared" si="4"/>
        <v>0</v>
      </c>
      <c r="J124" s="57">
        <f>I124/$I$25</f>
        <v>0</v>
      </c>
    </row>
    <row r="125" spans="1:10" x14ac:dyDescent="0.25">
      <c r="A125" s="46">
        <v>2</v>
      </c>
      <c r="B125" s="47">
        <v>2</v>
      </c>
      <c r="C125" s="47">
        <v>5</v>
      </c>
      <c r="D125" s="47"/>
      <c r="E125" s="47"/>
      <c r="F125" s="66" t="s">
        <v>113</v>
      </c>
      <c r="G125" s="48">
        <f>+G126+G128+G130+G136+G138+G140+G142+G144+G146</f>
        <v>150000</v>
      </c>
      <c r="H125" s="48">
        <f t="shared" ref="H125" si="5">+H126+H128+H130+H136+H138+H140+H142+H144+H146</f>
        <v>229519.78</v>
      </c>
      <c r="I125" s="48">
        <f t="shared" si="4"/>
        <v>379519.78</v>
      </c>
      <c r="J125" s="45"/>
    </row>
    <row r="126" spans="1:10" x14ac:dyDescent="0.25">
      <c r="A126" s="61">
        <v>2</v>
      </c>
      <c r="B126" s="50">
        <v>2</v>
      </c>
      <c r="C126" s="50">
        <v>5</v>
      </c>
      <c r="D126" s="50">
        <v>1</v>
      </c>
      <c r="E126" s="64"/>
      <c r="F126" s="87" t="s">
        <v>114</v>
      </c>
      <c r="G126" s="51">
        <f>SUM(G127)</f>
        <v>0</v>
      </c>
      <c r="H126" s="51">
        <f>SUM(H127)</f>
        <v>0</v>
      </c>
      <c r="I126" s="51">
        <f t="shared" si="4"/>
        <v>0</v>
      </c>
      <c r="J126" s="58"/>
    </row>
    <row r="127" spans="1:10" x14ac:dyDescent="0.25">
      <c r="A127" s="62">
        <v>2</v>
      </c>
      <c r="B127" s="54">
        <v>2</v>
      </c>
      <c r="C127" s="54">
        <v>5</v>
      </c>
      <c r="D127" s="54">
        <v>1</v>
      </c>
      <c r="E127" s="55" t="s">
        <v>31</v>
      </c>
      <c r="F127" s="67" t="s">
        <v>114</v>
      </c>
      <c r="G127" s="56">
        <f>'[1]CUENTA T FONDO 100'!BF127</f>
        <v>0</v>
      </c>
      <c r="H127" s="56">
        <f>'[1]CUENTA T VS'!BF89</f>
        <v>0</v>
      </c>
      <c r="I127" s="56">
        <f t="shared" si="4"/>
        <v>0</v>
      </c>
      <c r="J127" s="57">
        <f>I127/$I$25</f>
        <v>0</v>
      </c>
    </row>
    <row r="128" spans="1:10" x14ac:dyDescent="0.25">
      <c r="A128" s="61">
        <v>2</v>
      </c>
      <c r="B128" s="50">
        <v>2</v>
      </c>
      <c r="C128" s="50">
        <v>5</v>
      </c>
      <c r="D128" s="50">
        <v>2</v>
      </c>
      <c r="E128" s="64"/>
      <c r="F128" s="87" t="s">
        <v>115</v>
      </c>
      <c r="G128" s="51">
        <f>SUM(G129)</f>
        <v>0</v>
      </c>
      <c r="H128" s="51">
        <f>SUM(H129)</f>
        <v>0</v>
      </c>
      <c r="I128" s="51">
        <f t="shared" si="4"/>
        <v>0</v>
      </c>
      <c r="J128" s="58"/>
    </row>
    <row r="129" spans="1:10" x14ac:dyDescent="0.25">
      <c r="A129" s="62">
        <v>2</v>
      </c>
      <c r="B129" s="54">
        <v>2</v>
      </c>
      <c r="C129" s="54">
        <v>5</v>
      </c>
      <c r="D129" s="54">
        <v>2</v>
      </c>
      <c r="E129" s="55" t="s">
        <v>31</v>
      </c>
      <c r="F129" s="67" t="s">
        <v>116</v>
      </c>
      <c r="G129" s="56">
        <f>'[1]CUENTA T FONDO 100'!BG127</f>
        <v>0</v>
      </c>
      <c r="H129" s="56">
        <f>'[1]CUENTA T VS'!BG89</f>
        <v>0</v>
      </c>
      <c r="I129" s="56">
        <f t="shared" si="4"/>
        <v>0</v>
      </c>
      <c r="J129" s="57">
        <f>I129/$I$25</f>
        <v>0</v>
      </c>
    </row>
    <row r="130" spans="1:10" x14ac:dyDescent="0.25">
      <c r="A130" s="61">
        <v>2</v>
      </c>
      <c r="B130" s="50">
        <v>2</v>
      </c>
      <c r="C130" s="50">
        <v>5</v>
      </c>
      <c r="D130" s="50">
        <v>3</v>
      </c>
      <c r="E130" s="64"/>
      <c r="F130" s="87" t="s">
        <v>117</v>
      </c>
      <c r="G130" s="51">
        <f>SUM(G131:G135)</f>
        <v>0</v>
      </c>
      <c r="H130" s="51">
        <f>SUM(H131:H135)</f>
        <v>229519.78</v>
      </c>
      <c r="I130" s="51">
        <f t="shared" si="4"/>
        <v>229519.78</v>
      </c>
      <c r="J130" s="58"/>
    </row>
    <row r="131" spans="1:10" x14ac:dyDescent="0.25">
      <c r="A131" s="62">
        <v>2</v>
      </c>
      <c r="B131" s="54">
        <v>2</v>
      </c>
      <c r="C131" s="54">
        <v>5</v>
      </c>
      <c r="D131" s="54">
        <v>3</v>
      </c>
      <c r="E131" s="55" t="s">
        <v>31</v>
      </c>
      <c r="F131" s="67" t="s">
        <v>118</v>
      </c>
      <c r="G131" s="56">
        <f>'[1]CUENTA T FONDO 100'!BH127</f>
        <v>0</v>
      </c>
      <c r="H131" s="56">
        <f>'[1]CUENTA T VS'!BH89</f>
        <v>0</v>
      </c>
      <c r="I131" s="56">
        <f t="shared" si="4"/>
        <v>0</v>
      </c>
      <c r="J131" s="57">
        <f>I131/$I$25</f>
        <v>0</v>
      </c>
    </row>
    <row r="132" spans="1:10" ht="26.25" x14ac:dyDescent="0.25">
      <c r="A132" s="62">
        <v>2</v>
      </c>
      <c r="B132" s="54">
        <v>2</v>
      </c>
      <c r="C132" s="54">
        <v>5</v>
      </c>
      <c r="D132" s="54">
        <v>3</v>
      </c>
      <c r="E132" s="55" t="s">
        <v>33</v>
      </c>
      <c r="F132" s="67" t="s">
        <v>119</v>
      </c>
      <c r="G132" s="56">
        <f>'[1]CUENTA T FONDO 100'!BI127</f>
        <v>0</v>
      </c>
      <c r="H132" s="56">
        <f>'[1]CUENTA T VS'!BI89</f>
        <v>229519.78</v>
      </c>
      <c r="I132" s="56">
        <f t="shared" si="4"/>
        <v>229519.78</v>
      </c>
      <c r="J132" s="57">
        <f>I132/$I$25</f>
        <v>2.3739686977419807E-3</v>
      </c>
    </row>
    <row r="133" spans="1:10" x14ac:dyDescent="0.25">
      <c r="A133" s="62">
        <v>2</v>
      </c>
      <c r="B133" s="54">
        <v>2</v>
      </c>
      <c r="C133" s="54">
        <v>5</v>
      </c>
      <c r="D133" s="54">
        <v>3</v>
      </c>
      <c r="E133" s="55" t="s">
        <v>35</v>
      </c>
      <c r="F133" s="67" t="s">
        <v>120</v>
      </c>
      <c r="G133" s="56">
        <f>'[1]CUENTA T FONDO 100'!BJ127</f>
        <v>0</v>
      </c>
      <c r="H133" s="56">
        <f>'[1]CUENTA T VS'!BJ89</f>
        <v>0</v>
      </c>
      <c r="I133" s="56">
        <f t="shared" si="4"/>
        <v>0</v>
      </c>
      <c r="J133" s="57">
        <f>I133/$I$25</f>
        <v>0</v>
      </c>
    </row>
    <row r="134" spans="1:10" x14ac:dyDescent="0.25">
      <c r="A134" s="62">
        <v>2</v>
      </c>
      <c r="B134" s="54">
        <v>2</v>
      </c>
      <c r="C134" s="54">
        <v>5</v>
      </c>
      <c r="D134" s="54">
        <v>3</v>
      </c>
      <c r="E134" s="55" t="s">
        <v>37</v>
      </c>
      <c r="F134" s="67" t="s">
        <v>121</v>
      </c>
      <c r="G134" s="56">
        <f>'[1]CUENTA T FONDO 100'!BK127</f>
        <v>0</v>
      </c>
      <c r="H134" s="56">
        <f>'[1]CUENTA T VS'!BK89</f>
        <v>0</v>
      </c>
      <c r="I134" s="56">
        <f t="shared" si="4"/>
        <v>0</v>
      </c>
      <c r="J134" s="57">
        <f>I134/$I$25</f>
        <v>0</v>
      </c>
    </row>
    <row r="135" spans="1:10" ht="26.25" x14ac:dyDescent="0.25">
      <c r="A135" s="62">
        <v>2</v>
      </c>
      <c r="B135" s="54">
        <v>2</v>
      </c>
      <c r="C135" s="54">
        <v>5</v>
      </c>
      <c r="D135" s="54">
        <v>3</v>
      </c>
      <c r="E135" s="55" t="s">
        <v>39</v>
      </c>
      <c r="F135" s="67" t="s">
        <v>122</v>
      </c>
      <c r="G135" s="56">
        <f>'[1]CUENTA T FONDO 100'!BL127</f>
        <v>0</v>
      </c>
      <c r="H135" s="56">
        <f>'[1]CUENTA T VS'!BL89</f>
        <v>0</v>
      </c>
      <c r="I135" s="56">
        <f t="shared" si="4"/>
        <v>0</v>
      </c>
      <c r="J135" s="57">
        <f>I135/$I$25</f>
        <v>0</v>
      </c>
    </row>
    <row r="136" spans="1:10" ht="26.25" x14ac:dyDescent="0.25">
      <c r="A136" s="61">
        <v>2</v>
      </c>
      <c r="B136" s="50">
        <v>2</v>
      </c>
      <c r="C136" s="50">
        <v>5</v>
      </c>
      <c r="D136" s="50">
        <v>4</v>
      </c>
      <c r="E136" s="64"/>
      <c r="F136" s="87" t="s">
        <v>123</v>
      </c>
      <c r="G136" s="51">
        <f>SUM(G137)</f>
        <v>0</v>
      </c>
      <c r="H136" s="51">
        <f>SUM(H137)</f>
        <v>0</v>
      </c>
      <c r="I136" s="51">
        <f t="shared" si="4"/>
        <v>0</v>
      </c>
      <c r="J136" s="58"/>
    </row>
    <row r="137" spans="1:10" ht="26.25" x14ac:dyDescent="0.25">
      <c r="A137" s="62">
        <v>2</v>
      </c>
      <c r="B137" s="54">
        <v>2</v>
      </c>
      <c r="C137" s="54">
        <v>5</v>
      </c>
      <c r="D137" s="54">
        <v>4</v>
      </c>
      <c r="E137" s="55" t="s">
        <v>31</v>
      </c>
      <c r="F137" s="67" t="s">
        <v>123</v>
      </c>
      <c r="G137" s="56">
        <f>'[1]CUENTA T FONDO 100'!BM127</f>
        <v>0</v>
      </c>
      <c r="H137" s="56">
        <f>'[1]CUENTA T VS'!BM89</f>
        <v>0</v>
      </c>
      <c r="I137" s="56">
        <f t="shared" si="4"/>
        <v>0</v>
      </c>
      <c r="J137" s="57">
        <f>I137/$I$25</f>
        <v>0</v>
      </c>
    </row>
    <row r="138" spans="1:10" x14ac:dyDescent="0.25">
      <c r="A138" s="61">
        <v>2</v>
      </c>
      <c r="B138" s="50">
        <v>2</v>
      </c>
      <c r="C138" s="50">
        <v>5</v>
      </c>
      <c r="D138" s="50">
        <v>5</v>
      </c>
      <c r="E138" s="64"/>
      <c r="F138" s="87" t="s">
        <v>124</v>
      </c>
      <c r="G138" s="51">
        <f>SUM(G139)</f>
        <v>0</v>
      </c>
      <c r="H138" s="51">
        <f>SUM(H139)</f>
        <v>0</v>
      </c>
      <c r="I138" s="51">
        <f t="shared" si="4"/>
        <v>0</v>
      </c>
      <c r="J138" s="58"/>
    </row>
    <row r="139" spans="1:10" x14ac:dyDescent="0.25">
      <c r="A139" s="62">
        <v>2</v>
      </c>
      <c r="B139" s="54">
        <v>2</v>
      </c>
      <c r="C139" s="54">
        <v>5</v>
      </c>
      <c r="D139" s="54">
        <v>5</v>
      </c>
      <c r="E139" s="55" t="s">
        <v>31</v>
      </c>
      <c r="F139" s="67" t="s">
        <v>124</v>
      </c>
      <c r="G139" s="56">
        <f>'[1]CUENTA T FONDO 100'!BN127</f>
        <v>0</v>
      </c>
      <c r="H139" s="56">
        <f>'[1]CUENTA T VS'!BN89</f>
        <v>0</v>
      </c>
      <c r="I139" s="56">
        <f t="shared" si="4"/>
        <v>0</v>
      </c>
      <c r="J139" s="57">
        <f>I139/$I$25</f>
        <v>0</v>
      </c>
    </row>
    <row r="140" spans="1:10" x14ac:dyDescent="0.25">
      <c r="A140" s="61">
        <v>2</v>
      </c>
      <c r="B140" s="50">
        <v>2</v>
      </c>
      <c r="C140" s="50">
        <v>5</v>
      </c>
      <c r="D140" s="50">
        <v>6</v>
      </c>
      <c r="E140" s="64"/>
      <c r="F140" s="87" t="s">
        <v>125</v>
      </c>
      <c r="G140" s="51">
        <f>SUM(G141)</f>
        <v>0</v>
      </c>
      <c r="H140" s="51">
        <f>SUM(H141)</f>
        <v>0</v>
      </c>
      <c r="I140" s="51">
        <f t="shared" si="4"/>
        <v>0</v>
      </c>
      <c r="J140" s="58"/>
    </row>
    <row r="141" spans="1:10" x14ac:dyDescent="0.25">
      <c r="A141" s="62">
        <v>2</v>
      </c>
      <c r="B141" s="54">
        <v>2</v>
      </c>
      <c r="C141" s="54">
        <v>5</v>
      </c>
      <c r="D141" s="54">
        <v>6</v>
      </c>
      <c r="E141" s="55" t="s">
        <v>31</v>
      </c>
      <c r="F141" s="67" t="s">
        <v>125</v>
      </c>
      <c r="G141" s="56">
        <f>'[1]CUENTA T FONDO 100'!BO127</f>
        <v>0</v>
      </c>
      <c r="H141" s="56">
        <f>'[1]CUENTA T VS'!BO89</f>
        <v>0</v>
      </c>
      <c r="I141" s="56">
        <f t="shared" si="4"/>
        <v>0</v>
      </c>
      <c r="J141" s="57">
        <f>I141/$I$25</f>
        <v>0</v>
      </c>
    </row>
    <row r="142" spans="1:10" ht="26.25" x14ac:dyDescent="0.25">
      <c r="A142" s="61">
        <v>2</v>
      </c>
      <c r="B142" s="50">
        <v>2</v>
      </c>
      <c r="C142" s="50">
        <v>5</v>
      </c>
      <c r="D142" s="50">
        <v>7</v>
      </c>
      <c r="E142" s="64"/>
      <c r="F142" s="87" t="s">
        <v>126</v>
      </c>
      <c r="G142" s="51">
        <f>SUM(G143)</f>
        <v>0</v>
      </c>
      <c r="H142" s="51">
        <f>SUM(H143)</f>
        <v>0</v>
      </c>
      <c r="I142" s="51">
        <f t="shared" si="4"/>
        <v>0</v>
      </c>
      <c r="J142" s="58"/>
    </row>
    <row r="143" spans="1:10" ht="26.25" x14ac:dyDescent="0.25">
      <c r="A143" s="62">
        <v>2</v>
      </c>
      <c r="B143" s="54">
        <v>2</v>
      </c>
      <c r="C143" s="54">
        <v>5</v>
      </c>
      <c r="D143" s="54">
        <v>7</v>
      </c>
      <c r="E143" s="55" t="s">
        <v>31</v>
      </c>
      <c r="F143" s="67" t="s">
        <v>126</v>
      </c>
      <c r="G143" s="56">
        <f>'[1]CUENTA T FONDO 100'!BP127</f>
        <v>0</v>
      </c>
      <c r="H143" s="56">
        <f>'[1]CUENTA T VS'!BP89</f>
        <v>0</v>
      </c>
      <c r="I143" s="56">
        <f t="shared" si="4"/>
        <v>0</v>
      </c>
      <c r="J143" s="57">
        <f>I143/$I$25</f>
        <v>0</v>
      </c>
    </row>
    <row r="144" spans="1:10" x14ac:dyDescent="0.25">
      <c r="A144" s="61">
        <v>2</v>
      </c>
      <c r="B144" s="50">
        <v>2</v>
      </c>
      <c r="C144" s="50">
        <v>5</v>
      </c>
      <c r="D144" s="50">
        <v>8</v>
      </c>
      <c r="E144" s="64"/>
      <c r="F144" s="87" t="s">
        <v>127</v>
      </c>
      <c r="G144" s="51">
        <f>SUM(G145)</f>
        <v>0</v>
      </c>
      <c r="H144" s="51">
        <f>SUM(H145)</f>
        <v>0</v>
      </c>
      <c r="I144" s="51">
        <f t="shared" si="4"/>
        <v>0</v>
      </c>
      <c r="J144" s="58"/>
    </row>
    <row r="145" spans="1:10" x14ac:dyDescent="0.25">
      <c r="A145" s="62">
        <v>2</v>
      </c>
      <c r="B145" s="54">
        <v>2</v>
      </c>
      <c r="C145" s="54">
        <v>5</v>
      </c>
      <c r="D145" s="54">
        <v>8</v>
      </c>
      <c r="E145" s="55" t="s">
        <v>31</v>
      </c>
      <c r="F145" s="67" t="s">
        <v>127</v>
      </c>
      <c r="G145" s="56">
        <f>'[1]CUENTA T FONDO 100'!BQ127</f>
        <v>0</v>
      </c>
      <c r="H145" s="56">
        <f>'[1]CUENTA T VS'!BQ89</f>
        <v>0</v>
      </c>
      <c r="I145" s="56">
        <f t="shared" si="4"/>
        <v>0</v>
      </c>
      <c r="J145" s="57">
        <f>I145/$I$25</f>
        <v>0</v>
      </c>
    </row>
    <row r="146" spans="1:10" x14ac:dyDescent="0.25">
      <c r="A146" s="61">
        <v>2</v>
      </c>
      <c r="B146" s="50">
        <v>2</v>
      </c>
      <c r="C146" s="50">
        <v>5</v>
      </c>
      <c r="D146" s="50">
        <v>9</v>
      </c>
      <c r="E146" s="64"/>
      <c r="F146" s="87" t="s">
        <v>128</v>
      </c>
      <c r="G146" s="51">
        <f>SUM(G147)</f>
        <v>150000</v>
      </c>
      <c r="H146" s="51">
        <f>SUM(H147)</f>
        <v>0</v>
      </c>
      <c r="I146" s="51">
        <f t="shared" si="4"/>
        <v>150000</v>
      </c>
      <c r="J146" s="58"/>
    </row>
    <row r="147" spans="1:10" x14ac:dyDescent="0.25">
      <c r="A147" s="62">
        <v>2</v>
      </c>
      <c r="B147" s="54">
        <v>2</v>
      </c>
      <c r="C147" s="54">
        <v>5</v>
      </c>
      <c r="D147" s="54">
        <v>9</v>
      </c>
      <c r="E147" s="55" t="s">
        <v>31</v>
      </c>
      <c r="F147" s="67" t="s">
        <v>129</v>
      </c>
      <c r="G147" s="56">
        <f>'[1]CUENTA T FONDO 100'!BR127</f>
        <v>150000</v>
      </c>
      <c r="H147" s="56">
        <f>'[1]CUENTA T VS'!BR89</f>
        <v>0</v>
      </c>
      <c r="I147" s="56">
        <f t="shared" si="4"/>
        <v>150000</v>
      </c>
      <c r="J147" s="57">
        <f>I147/$I$25</f>
        <v>1.5514798099810706E-3</v>
      </c>
    </row>
    <row r="148" spans="1:10" x14ac:dyDescent="0.25">
      <c r="A148" s="46">
        <v>2</v>
      </c>
      <c r="B148" s="47">
        <v>2</v>
      </c>
      <c r="C148" s="47">
        <v>6</v>
      </c>
      <c r="D148" s="47"/>
      <c r="E148" s="47"/>
      <c r="F148" s="66" t="s">
        <v>130</v>
      </c>
      <c r="G148" s="48">
        <f>+G149+G151+G153+G155</f>
        <v>0</v>
      </c>
      <c r="H148" s="48">
        <f>+H149+H151+H153+H155</f>
        <v>0</v>
      </c>
      <c r="I148" s="48">
        <f t="shared" si="4"/>
        <v>0</v>
      </c>
      <c r="J148" s="45"/>
    </row>
    <row r="149" spans="1:10" ht="26.25" x14ac:dyDescent="0.25">
      <c r="A149" s="61">
        <v>2</v>
      </c>
      <c r="B149" s="50">
        <v>2</v>
      </c>
      <c r="C149" s="50">
        <v>6</v>
      </c>
      <c r="D149" s="50">
        <v>1</v>
      </c>
      <c r="E149" s="64"/>
      <c r="F149" s="87" t="s">
        <v>131</v>
      </c>
      <c r="G149" s="51">
        <f>SUM(G150)</f>
        <v>0</v>
      </c>
      <c r="H149" s="51">
        <f>SUM(H150)</f>
        <v>0</v>
      </c>
      <c r="I149" s="51">
        <f t="shared" si="4"/>
        <v>0</v>
      </c>
      <c r="J149" s="58"/>
    </row>
    <row r="150" spans="1:10" ht="26.25" x14ac:dyDescent="0.25">
      <c r="A150" s="62">
        <v>2</v>
      </c>
      <c r="B150" s="54">
        <v>2</v>
      </c>
      <c r="C150" s="54">
        <v>6</v>
      </c>
      <c r="D150" s="54">
        <v>1</v>
      </c>
      <c r="E150" s="55" t="s">
        <v>31</v>
      </c>
      <c r="F150" s="67" t="s">
        <v>131</v>
      </c>
      <c r="G150" s="56">
        <f>'[1]CUENTA T FONDO 100'!BS127</f>
        <v>0</v>
      </c>
      <c r="H150" s="56">
        <f>'[1]CUENTA T VS'!BS89</f>
        <v>0</v>
      </c>
      <c r="I150" s="56">
        <f t="shared" si="4"/>
        <v>0</v>
      </c>
      <c r="J150" s="57">
        <f>I150/$I$25</f>
        <v>0</v>
      </c>
    </row>
    <row r="151" spans="1:10" x14ac:dyDescent="0.25">
      <c r="A151" s="61">
        <v>2</v>
      </c>
      <c r="B151" s="50">
        <v>2</v>
      </c>
      <c r="C151" s="50">
        <v>6</v>
      </c>
      <c r="D151" s="50">
        <v>2</v>
      </c>
      <c r="E151" s="50"/>
      <c r="F151" s="87" t="s">
        <v>132</v>
      </c>
      <c r="G151" s="51">
        <f>SUM(G152)</f>
        <v>0</v>
      </c>
      <c r="H151" s="51">
        <f>SUM(H152)</f>
        <v>0</v>
      </c>
      <c r="I151" s="51">
        <f t="shared" si="4"/>
        <v>0</v>
      </c>
      <c r="J151" s="58"/>
    </row>
    <row r="152" spans="1:10" x14ac:dyDescent="0.25">
      <c r="A152" s="62">
        <v>2</v>
      </c>
      <c r="B152" s="54">
        <v>2</v>
      </c>
      <c r="C152" s="54">
        <v>6</v>
      </c>
      <c r="D152" s="54">
        <v>2</v>
      </c>
      <c r="E152" s="55" t="s">
        <v>31</v>
      </c>
      <c r="F152" s="67" t="s">
        <v>132</v>
      </c>
      <c r="G152" s="56">
        <f>'[1]CUENTA T FONDO 100'!BT127</f>
        <v>0</v>
      </c>
      <c r="H152" s="56">
        <f>'[1]CUENTA T VS'!BT89</f>
        <v>0</v>
      </c>
      <c r="I152" s="56">
        <f t="shared" si="4"/>
        <v>0</v>
      </c>
      <c r="J152" s="57">
        <f>I152/$I$25</f>
        <v>0</v>
      </c>
    </row>
    <row r="153" spans="1:10" x14ac:dyDescent="0.25">
      <c r="A153" s="61">
        <v>2</v>
      </c>
      <c r="B153" s="50">
        <v>2</v>
      </c>
      <c r="C153" s="50">
        <v>6</v>
      </c>
      <c r="D153" s="50">
        <v>3</v>
      </c>
      <c r="E153" s="50"/>
      <c r="F153" s="87" t="s">
        <v>133</v>
      </c>
      <c r="G153" s="51">
        <f>SUM(G154)</f>
        <v>0</v>
      </c>
      <c r="H153" s="51">
        <f>SUM(H154)</f>
        <v>0</v>
      </c>
      <c r="I153" s="51">
        <f t="shared" ref="I153:I216" si="6">SUM(G153:H153)</f>
        <v>0</v>
      </c>
      <c r="J153" s="58"/>
    </row>
    <row r="154" spans="1:10" x14ac:dyDescent="0.25">
      <c r="A154" s="62">
        <v>2</v>
      </c>
      <c r="B154" s="54">
        <v>2</v>
      </c>
      <c r="C154" s="54">
        <v>6</v>
      </c>
      <c r="D154" s="54">
        <v>3</v>
      </c>
      <c r="E154" s="55" t="s">
        <v>31</v>
      </c>
      <c r="F154" s="67" t="s">
        <v>133</v>
      </c>
      <c r="G154" s="56">
        <f>'[1]CUENTA T FONDO 100'!BU127</f>
        <v>0</v>
      </c>
      <c r="H154" s="56">
        <f>'[1]CUENTA T VS'!BU89</f>
        <v>0</v>
      </c>
      <c r="I154" s="56">
        <f t="shared" si="6"/>
        <v>0</v>
      </c>
      <c r="J154" s="57">
        <f>I154/$I$25</f>
        <v>0</v>
      </c>
    </row>
    <row r="155" spans="1:10" x14ac:dyDescent="0.25">
      <c r="A155" s="61">
        <v>2</v>
      </c>
      <c r="B155" s="50">
        <v>2</v>
      </c>
      <c r="C155" s="50">
        <v>6</v>
      </c>
      <c r="D155" s="50">
        <v>4</v>
      </c>
      <c r="E155" s="50"/>
      <c r="F155" s="87" t="s">
        <v>134</v>
      </c>
      <c r="G155" s="51">
        <f>SUM(G156)</f>
        <v>0</v>
      </c>
      <c r="H155" s="51">
        <f>SUM(H156)</f>
        <v>0</v>
      </c>
      <c r="I155" s="51">
        <f t="shared" si="6"/>
        <v>0</v>
      </c>
      <c r="J155" s="58"/>
    </row>
    <row r="156" spans="1:10" x14ac:dyDescent="0.25">
      <c r="A156" s="62">
        <v>2</v>
      </c>
      <c r="B156" s="54">
        <v>2</v>
      </c>
      <c r="C156" s="54">
        <v>6</v>
      </c>
      <c r="D156" s="54">
        <v>4</v>
      </c>
      <c r="E156" s="55" t="s">
        <v>31</v>
      </c>
      <c r="F156" s="67" t="s">
        <v>134</v>
      </c>
      <c r="G156" s="56">
        <f>'[1]CUENTA T FONDO 100'!BV127</f>
        <v>0</v>
      </c>
      <c r="H156" s="56">
        <f>'[1]CUENTA T VS'!BV89</f>
        <v>0</v>
      </c>
      <c r="I156" s="56">
        <f t="shared" si="6"/>
        <v>0</v>
      </c>
      <c r="J156" s="57">
        <f>I156/$I$25</f>
        <v>0</v>
      </c>
    </row>
    <row r="157" spans="1:10" ht="26.25" x14ac:dyDescent="0.25">
      <c r="A157" s="46">
        <v>2</v>
      </c>
      <c r="B157" s="47">
        <v>2</v>
      </c>
      <c r="C157" s="47">
        <v>7</v>
      </c>
      <c r="D157" s="47"/>
      <c r="E157" s="65"/>
      <c r="F157" s="66" t="s">
        <v>135</v>
      </c>
      <c r="G157" s="48">
        <f>+G158+G167+G177</f>
        <v>0</v>
      </c>
      <c r="H157" s="48">
        <f>+H158+H167+H177</f>
        <v>199877.53</v>
      </c>
      <c r="I157" s="48">
        <f t="shared" si="6"/>
        <v>199877.53</v>
      </c>
      <c r="J157" s="45"/>
    </row>
    <row r="158" spans="1:10" x14ac:dyDescent="0.25">
      <c r="A158" s="61">
        <v>2</v>
      </c>
      <c r="B158" s="50">
        <v>2</v>
      </c>
      <c r="C158" s="50">
        <v>7</v>
      </c>
      <c r="D158" s="50">
        <v>1</v>
      </c>
      <c r="E158" s="50"/>
      <c r="F158" s="87" t="s">
        <v>136</v>
      </c>
      <c r="G158" s="51">
        <f>SUM(G159:G166)</f>
        <v>0</v>
      </c>
      <c r="H158" s="51">
        <f>SUM(H159:H166)</f>
        <v>199877.53</v>
      </c>
      <c r="I158" s="51">
        <f t="shared" si="6"/>
        <v>199877.53</v>
      </c>
      <c r="J158" s="58"/>
    </row>
    <row r="159" spans="1:10" x14ac:dyDescent="0.25">
      <c r="A159" s="53">
        <v>2</v>
      </c>
      <c r="B159" s="54">
        <v>2</v>
      </c>
      <c r="C159" s="54">
        <v>7</v>
      </c>
      <c r="D159" s="54">
        <v>1</v>
      </c>
      <c r="E159" s="55" t="s">
        <v>31</v>
      </c>
      <c r="F159" s="67" t="s">
        <v>137</v>
      </c>
      <c r="G159" s="56">
        <f>'[1]CUENTA T FONDO 100'!BW127</f>
        <v>0</v>
      </c>
      <c r="H159" s="56">
        <f>'[1]CUENTA T VS'!BW89</f>
        <v>199877.53</v>
      </c>
      <c r="I159" s="56">
        <f t="shared" si="6"/>
        <v>199877.53</v>
      </c>
      <c r="J159" s="57">
        <f t="shared" ref="J159:J166" si="7">I159/$I$25</f>
        <v>2.0673730150925717E-3</v>
      </c>
    </row>
    <row r="160" spans="1:10" ht="26.25" x14ac:dyDescent="0.25">
      <c r="A160" s="53">
        <v>2</v>
      </c>
      <c r="B160" s="54">
        <v>2</v>
      </c>
      <c r="C160" s="54">
        <v>7</v>
      </c>
      <c r="D160" s="54">
        <v>1</v>
      </c>
      <c r="E160" s="55" t="s">
        <v>33</v>
      </c>
      <c r="F160" s="67" t="s">
        <v>138</v>
      </c>
      <c r="G160" s="56">
        <f>'[1]CUENTA T FONDO 100'!BX127</f>
        <v>0</v>
      </c>
      <c r="H160" s="56">
        <f>'[1]CUENTA T VS'!BX89</f>
        <v>0</v>
      </c>
      <c r="I160" s="56">
        <f t="shared" si="6"/>
        <v>0</v>
      </c>
      <c r="J160" s="57">
        <f t="shared" si="7"/>
        <v>0</v>
      </c>
    </row>
    <row r="161" spans="1:10" ht="26.25" x14ac:dyDescent="0.25">
      <c r="A161" s="53">
        <v>2</v>
      </c>
      <c r="B161" s="54">
        <v>2</v>
      </c>
      <c r="C161" s="54">
        <v>7</v>
      </c>
      <c r="D161" s="54">
        <v>1</v>
      </c>
      <c r="E161" s="55" t="s">
        <v>35</v>
      </c>
      <c r="F161" s="67" t="s">
        <v>139</v>
      </c>
      <c r="G161" s="56">
        <f>'[1]CUENTA T FONDO 100'!BY127</f>
        <v>0</v>
      </c>
      <c r="H161" s="56">
        <f>'[1]CUENTA T VS'!BY89</f>
        <v>0</v>
      </c>
      <c r="I161" s="56">
        <f t="shared" si="6"/>
        <v>0</v>
      </c>
      <c r="J161" s="57">
        <f t="shared" si="7"/>
        <v>0</v>
      </c>
    </row>
    <row r="162" spans="1:10" ht="26.25" x14ac:dyDescent="0.25">
      <c r="A162" s="53">
        <v>2</v>
      </c>
      <c r="B162" s="54">
        <v>2</v>
      </c>
      <c r="C162" s="54">
        <v>7</v>
      </c>
      <c r="D162" s="54">
        <v>1</v>
      </c>
      <c r="E162" s="55" t="s">
        <v>37</v>
      </c>
      <c r="F162" s="67" t="s">
        <v>140</v>
      </c>
      <c r="G162" s="56">
        <f>'[1]CUENTA T FONDO 100'!BZ127</f>
        <v>0</v>
      </c>
      <c r="H162" s="56">
        <f>'[1]CUENTA T VS'!BZ89</f>
        <v>0</v>
      </c>
      <c r="I162" s="56">
        <f t="shared" si="6"/>
        <v>0</v>
      </c>
      <c r="J162" s="57">
        <f t="shared" si="7"/>
        <v>0</v>
      </c>
    </row>
    <row r="163" spans="1:10" x14ac:dyDescent="0.25">
      <c r="A163" s="53">
        <v>2</v>
      </c>
      <c r="B163" s="54">
        <v>2</v>
      </c>
      <c r="C163" s="54">
        <v>7</v>
      </c>
      <c r="D163" s="54">
        <v>1</v>
      </c>
      <c r="E163" s="55" t="s">
        <v>39</v>
      </c>
      <c r="F163" s="67" t="s">
        <v>141</v>
      </c>
      <c r="G163" s="56">
        <f>'[1]CUENTA T FONDO 100'!CA127</f>
        <v>0</v>
      </c>
      <c r="H163" s="56">
        <f>'[1]CUENTA T VS'!CA89</f>
        <v>0</v>
      </c>
      <c r="I163" s="56">
        <f t="shared" si="6"/>
        <v>0</v>
      </c>
      <c r="J163" s="57">
        <f t="shared" si="7"/>
        <v>0</v>
      </c>
    </row>
    <row r="164" spans="1:10" x14ac:dyDescent="0.25">
      <c r="A164" s="53">
        <v>2</v>
      </c>
      <c r="B164" s="54">
        <v>2</v>
      </c>
      <c r="C164" s="54">
        <v>7</v>
      </c>
      <c r="D164" s="54">
        <v>1</v>
      </c>
      <c r="E164" s="55" t="s">
        <v>41</v>
      </c>
      <c r="F164" s="67" t="s">
        <v>142</v>
      </c>
      <c r="G164" s="56">
        <f>'[1]CUENTA T FONDO 100'!CB127</f>
        <v>0</v>
      </c>
      <c r="H164" s="56">
        <f>'[1]CUENTA T VS'!CB89</f>
        <v>0</v>
      </c>
      <c r="I164" s="56">
        <f t="shared" si="6"/>
        <v>0</v>
      </c>
      <c r="J164" s="57">
        <f t="shared" si="7"/>
        <v>0</v>
      </c>
    </row>
    <row r="165" spans="1:10" ht="26.25" x14ac:dyDescent="0.25">
      <c r="A165" s="53">
        <v>2</v>
      </c>
      <c r="B165" s="54">
        <v>2</v>
      </c>
      <c r="C165" s="54">
        <v>7</v>
      </c>
      <c r="D165" s="54">
        <v>1</v>
      </c>
      <c r="E165" s="55" t="s">
        <v>67</v>
      </c>
      <c r="F165" s="67" t="s">
        <v>143</v>
      </c>
      <c r="G165" s="56">
        <f>'[1]CUENTA T FONDO 100'!CC127</f>
        <v>0</v>
      </c>
      <c r="H165" s="56">
        <f>'[1]CUENTA T VS'!CC89</f>
        <v>0</v>
      </c>
      <c r="I165" s="56">
        <f t="shared" si="6"/>
        <v>0</v>
      </c>
      <c r="J165" s="57">
        <f t="shared" si="7"/>
        <v>0</v>
      </c>
    </row>
    <row r="166" spans="1:10" ht="39" x14ac:dyDescent="0.25">
      <c r="A166" s="53">
        <v>2</v>
      </c>
      <c r="B166" s="54">
        <v>2</v>
      </c>
      <c r="C166" s="54">
        <v>7</v>
      </c>
      <c r="D166" s="54">
        <v>1</v>
      </c>
      <c r="E166" s="55" t="s">
        <v>144</v>
      </c>
      <c r="F166" s="67" t="s">
        <v>145</v>
      </c>
      <c r="G166" s="56">
        <f>'[1]CUENTA T FONDO 100'!CD127</f>
        <v>0</v>
      </c>
      <c r="H166" s="56">
        <f>'[1]CUENTA T VS'!CD89</f>
        <v>0</v>
      </c>
      <c r="I166" s="56">
        <f t="shared" si="6"/>
        <v>0</v>
      </c>
      <c r="J166" s="57">
        <f t="shared" si="7"/>
        <v>0</v>
      </c>
    </row>
    <row r="167" spans="1:10" x14ac:dyDescent="0.25">
      <c r="A167" s="61">
        <v>2</v>
      </c>
      <c r="B167" s="50">
        <v>2</v>
      </c>
      <c r="C167" s="50">
        <v>7</v>
      </c>
      <c r="D167" s="50">
        <v>2</v>
      </c>
      <c r="E167" s="50"/>
      <c r="F167" s="87" t="s">
        <v>146</v>
      </c>
      <c r="G167" s="51">
        <f>SUM(G168:G176)</f>
        <v>0</v>
      </c>
      <c r="H167" s="51">
        <f>SUM(H168:H176)</f>
        <v>0</v>
      </c>
      <c r="I167" s="51">
        <f t="shared" si="6"/>
        <v>0</v>
      </c>
      <c r="J167" s="58"/>
    </row>
    <row r="168" spans="1:10" ht="26.25" x14ac:dyDescent="0.25">
      <c r="A168" s="53">
        <v>2</v>
      </c>
      <c r="B168" s="54">
        <v>2</v>
      </c>
      <c r="C168" s="54">
        <v>7</v>
      </c>
      <c r="D168" s="54">
        <v>2</v>
      </c>
      <c r="E168" s="55" t="s">
        <v>31</v>
      </c>
      <c r="F168" s="67" t="s">
        <v>147</v>
      </c>
      <c r="G168" s="56">
        <f>'[1]CUENTA T FONDO 100'!CE127</f>
        <v>0</v>
      </c>
      <c r="H168" s="56">
        <f>'[1]CUENTA T VS'!CE89</f>
        <v>0</v>
      </c>
      <c r="I168" s="56">
        <f t="shared" si="6"/>
        <v>0</v>
      </c>
      <c r="J168" s="57">
        <f t="shared" ref="J168:J176" si="8">I168/$I$25</f>
        <v>0</v>
      </c>
    </row>
    <row r="169" spans="1:10" ht="26.25" x14ac:dyDescent="0.25">
      <c r="A169" s="53">
        <v>2</v>
      </c>
      <c r="B169" s="54">
        <v>2</v>
      </c>
      <c r="C169" s="54">
        <v>7</v>
      </c>
      <c r="D169" s="54">
        <v>2</v>
      </c>
      <c r="E169" s="55" t="s">
        <v>33</v>
      </c>
      <c r="F169" s="67" t="s">
        <v>148</v>
      </c>
      <c r="G169" s="56">
        <f>'[1]CUENTA T FONDO 100'!CF127</f>
        <v>0</v>
      </c>
      <c r="H169" s="56">
        <f>'[1]CUENTA T VS'!CF89</f>
        <v>0</v>
      </c>
      <c r="I169" s="56">
        <f t="shared" si="6"/>
        <v>0</v>
      </c>
      <c r="J169" s="57">
        <f t="shared" si="8"/>
        <v>0</v>
      </c>
    </row>
    <row r="170" spans="1:10" ht="26.25" x14ac:dyDescent="0.25">
      <c r="A170" s="53">
        <v>2</v>
      </c>
      <c r="B170" s="54">
        <v>2</v>
      </c>
      <c r="C170" s="54">
        <v>7</v>
      </c>
      <c r="D170" s="54">
        <v>2</v>
      </c>
      <c r="E170" s="55" t="s">
        <v>35</v>
      </c>
      <c r="F170" s="67" t="s">
        <v>149</v>
      </c>
      <c r="G170" s="56">
        <f>'[1]CUENTA T FONDO 100'!CG127</f>
        <v>0</v>
      </c>
      <c r="H170" s="56">
        <f>'[1]CUENTA T VS'!CG89</f>
        <v>0</v>
      </c>
      <c r="I170" s="56">
        <f t="shared" si="6"/>
        <v>0</v>
      </c>
      <c r="J170" s="57">
        <f t="shared" si="8"/>
        <v>0</v>
      </c>
    </row>
    <row r="171" spans="1:10" ht="26.25" x14ac:dyDescent="0.25">
      <c r="A171" s="53">
        <v>2</v>
      </c>
      <c r="B171" s="54">
        <v>2</v>
      </c>
      <c r="C171" s="54">
        <v>7</v>
      </c>
      <c r="D171" s="54">
        <v>2</v>
      </c>
      <c r="E171" s="55" t="s">
        <v>37</v>
      </c>
      <c r="F171" s="67" t="s">
        <v>150</v>
      </c>
      <c r="G171" s="56">
        <f>'[1]CUENTA T FONDO 100'!CH127</f>
        <v>0</v>
      </c>
      <c r="H171" s="56">
        <f>'[1]CUENTA T VS'!CH89</f>
        <v>0</v>
      </c>
      <c r="I171" s="56">
        <f t="shared" si="6"/>
        <v>0</v>
      </c>
      <c r="J171" s="57">
        <f t="shared" si="8"/>
        <v>0</v>
      </c>
    </row>
    <row r="172" spans="1:10" ht="26.25" x14ac:dyDescent="0.25">
      <c r="A172" s="53">
        <v>2</v>
      </c>
      <c r="B172" s="54">
        <v>2</v>
      </c>
      <c r="C172" s="54">
        <v>7</v>
      </c>
      <c r="D172" s="54">
        <v>2</v>
      </c>
      <c r="E172" s="55" t="s">
        <v>39</v>
      </c>
      <c r="F172" s="67" t="s">
        <v>151</v>
      </c>
      <c r="G172" s="56">
        <f>'[1]CUENTA T FONDO 100'!CI127</f>
        <v>0</v>
      </c>
      <c r="H172" s="56">
        <f>'[1]CUENTA T VS'!CI89</f>
        <v>0</v>
      </c>
      <c r="I172" s="56">
        <f t="shared" si="6"/>
        <v>0</v>
      </c>
      <c r="J172" s="57">
        <f t="shared" si="8"/>
        <v>0</v>
      </c>
    </row>
    <row r="173" spans="1:10" ht="25.5" x14ac:dyDescent="0.25">
      <c r="A173" s="53">
        <v>2</v>
      </c>
      <c r="B173" s="54">
        <v>2</v>
      </c>
      <c r="C173" s="54">
        <v>7</v>
      </c>
      <c r="D173" s="54">
        <v>2</v>
      </c>
      <c r="E173" s="55" t="s">
        <v>41</v>
      </c>
      <c r="F173" s="68" t="s">
        <v>152</v>
      </c>
      <c r="G173" s="56">
        <f>'[1]CUENTA T FONDO 100'!CJ127</f>
        <v>0</v>
      </c>
      <c r="H173" s="56">
        <f>'[1]CUENTA T VS'!CJ89</f>
        <v>0</v>
      </c>
      <c r="I173" s="56">
        <f t="shared" si="6"/>
        <v>0</v>
      </c>
      <c r="J173" s="57">
        <f t="shared" si="8"/>
        <v>0</v>
      </c>
    </row>
    <row r="174" spans="1:10" ht="25.5" x14ac:dyDescent="0.25">
      <c r="A174" s="53">
        <v>2</v>
      </c>
      <c r="B174" s="54">
        <v>2</v>
      </c>
      <c r="C174" s="54">
        <v>7</v>
      </c>
      <c r="D174" s="54">
        <v>2</v>
      </c>
      <c r="E174" s="55" t="s">
        <v>67</v>
      </c>
      <c r="F174" s="68" t="s">
        <v>153</v>
      </c>
      <c r="G174" s="56">
        <f>'[1]CUENTA T FONDO 100'!CK127</f>
        <v>0</v>
      </c>
      <c r="H174" s="56">
        <f>'[1]CUENTA T VS'!CK89</f>
        <v>0</v>
      </c>
      <c r="I174" s="56">
        <f t="shared" si="6"/>
        <v>0</v>
      </c>
      <c r="J174" s="57">
        <f t="shared" si="8"/>
        <v>0</v>
      </c>
    </row>
    <row r="175" spans="1:10" ht="25.5" x14ac:dyDescent="0.25">
      <c r="A175" s="53">
        <v>2</v>
      </c>
      <c r="B175" s="54">
        <v>2</v>
      </c>
      <c r="C175" s="54">
        <v>7</v>
      </c>
      <c r="D175" s="54">
        <v>2</v>
      </c>
      <c r="E175" s="55" t="s">
        <v>47</v>
      </c>
      <c r="F175" s="68" t="s">
        <v>154</v>
      </c>
      <c r="G175" s="56">
        <f>'[1]CUENTA T FONDO 100'!CL127</f>
        <v>0</v>
      </c>
      <c r="H175" s="56">
        <f>'[1]CUENTA T VS'!CL89</f>
        <v>0</v>
      </c>
      <c r="I175" s="56">
        <f t="shared" si="6"/>
        <v>0</v>
      </c>
      <c r="J175" s="57">
        <f t="shared" si="8"/>
        <v>0</v>
      </c>
    </row>
    <row r="176" spans="1:10" ht="38.25" x14ac:dyDescent="0.25">
      <c r="A176" s="53">
        <v>2</v>
      </c>
      <c r="B176" s="54">
        <v>2</v>
      </c>
      <c r="C176" s="54">
        <v>7</v>
      </c>
      <c r="D176" s="54">
        <v>2</v>
      </c>
      <c r="E176" s="55" t="s">
        <v>144</v>
      </c>
      <c r="F176" s="68" t="s">
        <v>155</v>
      </c>
      <c r="G176" s="56">
        <f>'[1]CUENTA T FONDO 100'!CM127</f>
        <v>0</v>
      </c>
      <c r="H176" s="56">
        <f>'[1]CUENTA T VS'!CM89</f>
        <v>0</v>
      </c>
      <c r="I176" s="56">
        <f t="shared" si="6"/>
        <v>0</v>
      </c>
      <c r="J176" s="57">
        <f t="shared" si="8"/>
        <v>0</v>
      </c>
    </row>
    <row r="177" spans="1:10" x14ac:dyDescent="0.25">
      <c r="A177" s="49">
        <v>2</v>
      </c>
      <c r="B177" s="50">
        <v>2</v>
      </c>
      <c r="C177" s="50">
        <v>7</v>
      </c>
      <c r="D177" s="50">
        <v>3</v>
      </c>
      <c r="E177" s="64"/>
      <c r="F177" s="69" t="s">
        <v>156</v>
      </c>
      <c r="G177" s="51">
        <f>SUM(G178)</f>
        <v>0</v>
      </c>
      <c r="H177" s="51">
        <f>SUM(H178)</f>
        <v>0</v>
      </c>
      <c r="I177" s="51">
        <f t="shared" si="6"/>
        <v>0</v>
      </c>
      <c r="J177" s="58"/>
    </row>
    <row r="178" spans="1:10" x14ac:dyDescent="0.25">
      <c r="A178" s="53">
        <v>2</v>
      </c>
      <c r="B178" s="54">
        <v>2</v>
      </c>
      <c r="C178" s="54">
        <v>7</v>
      </c>
      <c r="D178" s="54">
        <v>3</v>
      </c>
      <c r="E178" s="55" t="s">
        <v>31</v>
      </c>
      <c r="F178" s="68" t="s">
        <v>156</v>
      </c>
      <c r="G178" s="56">
        <f>'[1]CUENTA T FONDO 100'!CN127</f>
        <v>0</v>
      </c>
      <c r="H178" s="56">
        <f>'[1]CUENTA T VS'!CN89</f>
        <v>0</v>
      </c>
      <c r="I178" s="56">
        <f t="shared" si="6"/>
        <v>0</v>
      </c>
      <c r="J178" s="57">
        <f>I178/$I$25</f>
        <v>0</v>
      </c>
    </row>
    <row r="179" spans="1:10" x14ac:dyDescent="0.25">
      <c r="A179" s="46">
        <v>2</v>
      </c>
      <c r="B179" s="47">
        <v>2</v>
      </c>
      <c r="C179" s="47">
        <v>8</v>
      </c>
      <c r="D179" s="47"/>
      <c r="E179" s="47"/>
      <c r="F179" s="70" t="s">
        <v>157</v>
      </c>
      <c r="G179" s="48">
        <f>+G180+G182+G184+G186+G188+G192+G197+G204</f>
        <v>0</v>
      </c>
      <c r="H179" s="48">
        <f>+H180+H182+H184+H186+H188+H192+H197+H204</f>
        <v>541706.48</v>
      </c>
      <c r="I179" s="48">
        <f t="shared" si="6"/>
        <v>541706.48</v>
      </c>
      <c r="J179" s="45"/>
    </row>
    <row r="180" spans="1:10" x14ac:dyDescent="0.25">
      <c r="A180" s="49">
        <v>2</v>
      </c>
      <c r="B180" s="50">
        <v>2</v>
      </c>
      <c r="C180" s="50">
        <v>8</v>
      </c>
      <c r="D180" s="50">
        <v>1</v>
      </c>
      <c r="E180" s="50"/>
      <c r="F180" s="69" t="s">
        <v>158</v>
      </c>
      <c r="G180" s="51">
        <f>SUM(G181)</f>
        <v>0</v>
      </c>
      <c r="H180" s="51">
        <f>SUM(H181)</f>
        <v>0</v>
      </c>
      <c r="I180" s="51">
        <f t="shared" si="6"/>
        <v>0</v>
      </c>
      <c r="J180" s="58"/>
    </row>
    <row r="181" spans="1:10" x14ac:dyDescent="0.25">
      <c r="A181" s="53">
        <v>2</v>
      </c>
      <c r="B181" s="54">
        <v>2</v>
      </c>
      <c r="C181" s="54">
        <v>8</v>
      </c>
      <c r="D181" s="54">
        <v>1</v>
      </c>
      <c r="E181" s="55" t="s">
        <v>31</v>
      </c>
      <c r="F181" s="68" t="s">
        <v>158</v>
      </c>
      <c r="G181" s="56">
        <f>'[1]CUENTA T FONDO 100'!CO127</f>
        <v>0</v>
      </c>
      <c r="H181" s="56">
        <f>'[1]CUENTA T VS'!CO89</f>
        <v>0</v>
      </c>
      <c r="I181" s="56">
        <f t="shared" si="6"/>
        <v>0</v>
      </c>
      <c r="J181" s="57">
        <f>I181/$I$25</f>
        <v>0</v>
      </c>
    </row>
    <row r="182" spans="1:10" x14ac:dyDescent="0.25">
      <c r="A182" s="49">
        <v>2</v>
      </c>
      <c r="B182" s="50">
        <v>2</v>
      </c>
      <c r="C182" s="50">
        <v>8</v>
      </c>
      <c r="D182" s="50">
        <v>2</v>
      </c>
      <c r="E182" s="50"/>
      <c r="F182" s="69" t="s">
        <v>159</v>
      </c>
      <c r="G182" s="51">
        <f>SUM(G183)</f>
        <v>0</v>
      </c>
      <c r="H182" s="51">
        <f>SUM(H183)</f>
        <v>17193.48</v>
      </c>
      <c r="I182" s="51">
        <f t="shared" si="6"/>
        <v>17193.48</v>
      </c>
      <c r="J182" s="58"/>
    </row>
    <row r="183" spans="1:10" x14ac:dyDescent="0.25">
      <c r="A183" s="53">
        <v>2</v>
      </c>
      <c r="B183" s="54">
        <v>2</v>
      </c>
      <c r="C183" s="54">
        <v>8</v>
      </c>
      <c r="D183" s="54">
        <v>2</v>
      </c>
      <c r="E183" s="55" t="s">
        <v>31</v>
      </c>
      <c r="F183" s="68" t="s">
        <v>159</v>
      </c>
      <c r="G183" s="56">
        <f>'[1]CUENTA T FONDO 100'!CP127</f>
        <v>0</v>
      </c>
      <c r="H183" s="56">
        <f>'[1]CUENTA T VS'!CP89</f>
        <v>17193.48</v>
      </c>
      <c r="I183" s="56">
        <f t="shared" si="6"/>
        <v>17193.48</v>
      </c>
      <c r="J183" s="57">
        <f>I183/$I$25</f>
        <v>1.7783558055542225E-4</v>
      </c>
    </row>
    <row r="184" spans="1:10" ht="25.5" x14ac:dyDescent="0.25">
      <c r="A184" s="49">
        <v>2</v>
      </c>
      <c r="B184" s="50">
        <v>2</v>
      </c>
      <c r="C184" s="50">
        <v>8</v>
      </c>
      <c r="D184" s="50">
        <v>3</v>
      </c>
      <c r="E184" s="50"/>
      <c r="F184" s="69" t="s">
        <v>160</v>
      </c>
      <c r="G184" s="51">
        <f>SUM(G185)</f>
        <v>0</v>
      </c>
      <c r="H184" s="51">
        <f>SUM(H185)</f>
        <v>0</v>
      </c>
      <c r="I184" s="51">
        <f t="shared" si="6"/>
        <v>0</v>
      </c>
      <c r="J184" s="58"/>
    </row>
    <row r="185" spans="1:10" ht="25.5" x14ac:dyDescent="0.25">
      <c r="A185" s="53">
        <v>2</v>
      </c>
      <c r="B185" s="54">
        <v>2</v>
      </c>
      <c r="C185" s="54">
        <v>8</v>
      </c>
      <c r="D185" s="54">
        <v>3</v>
      </c>
      <c r="E185" s="55" t="s">
        <v>31</v>
      </c>
      <c r="F185" s="68" t="s">
        <v>160</v>
      </c>
      <c r="G185" s="56">
        <f>'[1]CUENTA T FONDO 100'!CQ127</f>
        <v>0</v>
      </c>
      <c r="H185" s="56">
        <f>'[1]CUENTA T VS'!CQ89</f>
        <v>0</v>
      </c>
      <c r="I185" s="56">
        <f t="shared" si="6"/>
        <v>0</v>
      </c>
      <c r="J185" s="57">
        <f>I185/$I$25</f>
        <v>0</v>
      </c>
    </row>
    <row r="186" spans="1:10" x14ac:dyDescent="0.25">
      <c r="A186" s="49">
        <v>2</v>
      </c>
      <c r="B186" s="50">
        <v>2</v>
      </c>
      <c r="C186" s="50">
        <v>8</v>
      </c>
      <c r="D186" s="50">
        <v>4</v>
      </c>
      <c r="E186" s="50"/>
      <c r="F186" s="69" t="s">
        <v>161</v>
      </c>
      <c r="G186" s="51">
        <f>SUM(G187)</f>
        <v>0</v>
      </c>
      <c r="H186" s="51">
        <f>SUM(H187)</f>
        <v>0</v>
      </c>
      <c r="I186" s="51">
        <f t="shared" si="6"/>
        <v>0</v>
      </c>
      <c r="J186" s="58"/>
    </row>
    <row r="187" spans="1:10" x14ac:dyDescent="0.25">
      <c r="A187" s="53">
        <v>2</v>
      </c>
      <c r="B187" s="54">
        <v>2</v>
      </c>
      <c r="C187" s="54">
        <v>8</v>
      </c>
      <c r="D187" s="54">
        <v>4</v>
      </c>
      <c r="E187" s="55" t="s">
        <v>31</v>
      </c>
      <c r="F187" s="68" t="s">
        <v>161</v>
      </c>
      <c r="G187" s="56">
        <f>'[1]CUENTA T FONDO 100'!CR127</f>
        <v>0</v>
      </c>
      <c r="H187" s="56">
        <f>'[1]CUENTA T VS'!CR89</f>
        <v>0</v>
      </c>
      <c r="I187" s="56">
        <f t="shared" si="6"/>
        <v>0</v>
      </c>
      <c r="J187" s="57">
        <f>I187/$I$25</f>
        <v>0</v>
      </c>
    </row>
    <row r="188" spans="1:10" ht="25.5" x14ac:dyDescent="0.25">
      <c r="A188" s="49">
        <v>2</v>
      </c>
      <c r="B188" s="50">
        <v>2</v>
      </c>
      <c r="C188" s="50">
        <v>8</v>
      </c>
      <c r="D188" s="50">
        <v>5</v>
      </c>
      <c r="E188" s="50"/>
      <c r="F188" s="69" t="s">
        <v>162</v>
      </c>
      <c r="G188" s="51">
        <f>SUM(G189:G191)</f>
        <v>0</v>
      </c>
      <c r="H188" s="51">
        <f>SUM(H189:H191)</f>
        <v>325326</v>
      </c>
      <c r="I188" s="51">
        <f t="shared" si="6"/>
        <v>325326</v>
      </c>
      <c r="J188" s="58"/>
    </row>
    <row r="189" spans="1:10" x14ac:dyDescent="0.25">
      <c r="A189" s="53">
        <v>2</v>
      </c>
      <c r="B189" s="54">
        <v>2</v>
      </c>
      <c r="C189" s="54">
        <v>8</v>
      </c>
      <c r="D189" s="54">
        <v>5</v>
      </c>
      <c r="E189" s="55" t="s">
        <v>31</v>
      </c>
      <c r="F189" s="68" t="s">
        <v>163</v>
      </c>
      <c r="G189" s="56">
        <f>'[1]CUENTA T FONDO 100'!CS127</f>
        <v>0</v>
      </c>
      <c r="H189" s="56">
        <f>'[1]CUENTA T VS'!CS89</f>
        <v>0</v>
      </c>
      <c r="I189" s="56">
        <f t="shared" si="6"/>
        <v>0</v>
      </c>
      <c r="J189" s="57">
        <f>I189/$I$25</f>
        <v>0</v>
      </c>
    </row>
    <row r="190" spans="1:10" x14ac:dyDescent="0.25">
      <c r="A190" s="53">
        <v>2</v>
      </c>
      <c r="B190" s="54">
        <v>2</v>
      </c>
      <c r="C190" s="54">
        <v>8</v>
      </c>
      <c r="D190" s="54">
        <v>5</v>
      </c>
      <c r="E190" s="55" t="s">
        <v>33</v>
      </c>
      <c r="F190" s="68" t="s">
        <v>164</v>
      </c>
      <c r="G190" s="56">
        <f>'[1]CUENTA T FONDO 100'!CT127</f>
        <v>0</v>
      </c>
      <c r="H190" s="56">
        <f>'[1]CUENTA T VS'!CT89</f>
        <v>0</v>
      </c>
      <c r="I190" s="56">
        <f t="shared" si="6"/>
        <v>0</v>
      </c>
      <c r="J190" s="57">
        <f>I190/$I$25</f>
        <v>0</v>
      </c>
    </row>
    <row r="191" spans="1:10" x14ac:dyDescent="0.25">
      <c r="A191" s="53">
        <v>2</v>
      </c>
      <c r="B191" s="54">
        <v>2</v>
      </c>
      <c r="C191" s="54">
        <v>8</v>
      </c>
      <c r="D191" s="54">
        <v>5</v>
      </c>
      <c r="E191" s="55" t="s">
        <v>35</v>
      </c>
      <c r="F191" s="68" t="s">
        <v>165</v>
      </c>
      <c r="G191" s="56">
        <f>'[1]CUENTA T FONDO 100'!CU127</f>
        <v>0</v>
      </c>
      <c r="H191" s="56">
        <f>'[1]CUENTA T VS'!CU89</f>
        <v>325326</v>
      </c>
      <c r="I191" s="56">
        <f t="shared" si="6"/>
        <v>325326</v>
      </c>
      <c r="J191" s="57">
        <f>I191/$I$25</f>
        <v>3.3649114710793452E-3</v>
      </c>
    </row>
    <row r="192" spans="1:10" x14ac:dyDescent="0.25">
      <c r="A192" s="49">
        <v>2</v>
      </c>
      <c r="B192" s="50">
        <v>2</v>
      </c>
      <c r="C192" s="50">
        <v>8</v>
      </c>
      <c r="D192" s="50">
        <v>6</v>
      </c>
      <c r="E192" s="50"/>
      <c r="F192" s="69" t="s">
        <v>166</v>
      </c>
      <c r="G192" s="51">
        <f>SUM(G193:G196)</f>
        <v>0</v>
      </c>
      <c r="H192" s="51">
        <f>SUM(H193:H196)</f>
        <v>0</v>
      </c>
      <c r="I192" s="51">
        <f t="shared" si="6"/>
        <v>0</v>
      </c>
      <c r="J192" s="58"/>
    </row>
    <row r="193" spans="1:10" x14ac:dyDescent="0.25">
      <c r="A193" s="53">
        <v>2</v>
      </c>
      <c r="B193" s="54">
        <v>2</v>
      </c>
      <c r="C193" s="54">
        <v>8</v>
      </c>
      <c r="D193" s="54">
        <v>6</v>
      </c>
      <c r="E193" s="55" t="s">
        <v>31</v>
      </c>
      <c r="F193" s="68" t="s">
        <v>167</v>
      </c>
      <c r="G193" s="56">
        <f>'[1]CUENTA T FONDO 100'!CV127</f>
        <v>0</v>
      </c>
      <c r="H193" s="56">
        <f>'[1]CUENTA T VS'!CV89</f>
        <v>0</v>
      </c>
      <c r="I193" s="56">
        <f t="shared" si="6"/>
        <v>0</v>
      </c>
      <c r="J193" s="57">
        <f>I193/$I$25</f>
        <v>0</v>
      </c>
    </row>
    <row r="194" spans="1:10" x14ac:dyDescent="0.25">
      <c r="A194" s="53">
        <v>2</v>
      </c>
      <c r="B194" s="54">
        <v>2</v>
      </c>
      <c r="C194" s="54">
        <v>8</v>
      </c>
      <c r="D194" s="54">
        <v>6</v>
      </c>
      <c r="E194" s="55" t="s">
        <v>33</v>
      </c>
      <c r="F194" s="68" t="s">
        <v>168</v>
      </c>
      <c r="G194" s="56">
        <f>'[1]CUENTA T FONDO 100'!CW127</f>
        <v>0</v>
      </c>
      <c r="H194" s="56">
        <f>'[1]CUENTA T VS'!CW89</f>
        <v>0</v>
      </c>
      <c r="I194" s="56">
        <f t="shared" si="6"/>
        <v>0</v>
      </c>
      <c r="J194" s="57">
        <f>I194/$I$25</f>
        <v>0</v>
      </c>
    </row>
    <row r="195" spans="1:10" x14ac:dyDescent="0.25">
      <c r="A195" s="53">
        <v>2</v>
      </c>
      <c r="B195" s="54">
        <v>2</v>
      </c>
      <c r="C195" s="54">
        <v>8</v>
      </c>
      <c r="D195" s="54">
        <v>6</v>
      </c>
      <c r="E195" s="55" t="s">
        <v>35</v>
      </c>
      <c r="F195" s="68" t="s">
        <v>169</v>
      </c>
      <c r="G195" s="56">
        <f>'[1]CUENTA T FONDO 100'!CX127</f>
        <v>0</v>
      </c>
      <c r="H195" s="56">
        <f>'[1]CUENTA T VS'!CX89</f>
        <v>0</v>
      </c>
      <c r="I195" s="56">
        <f t="shared" si="6"/>
        <v>0</v>
      </c>
      <c r="J195" s="57">
        <f>I195/$I$25</f>
        <v>0</v>
      </c>
    </row>
    <row r="196" spans="1:10" x14ac:dyDescent="0.25">
      <c r="A196" s="53">
        <v>2</v>
      </c>
      <c r="B196" s="54">
        <v>2</v>
      </c>
      <c r="C196" s="54">
        <v>8</v>
      </c>
      <c r="D196" s="54">
        <v>6</v>
      </c>
      <c r="E196" s="55" t="s">
        <v>37</v>
      </c>
      <c r="F196" s="68" t="s">
        <v>170</v>
      </c>
      <c r="G196" s="56">
        <f>'[1]CUENTA T FONDO 100'!CY127</f>
        <v>0</v>
      </c>
      <c r="H196" s="56">
        <f>'[1]CUENTA T VS'!CY89</f>
        <v>0</v>
      </c>
      <c r="I196" s="56">
        <f t="shared" si="6"/>
        <v>0</v>
      </c>
      <c r="J196" s="57">
        <f>I196/$I$25</f>
        <v>0</v>
      </c>
    </row>
    <row r="197" spans="1:10" x14ac:dyDescent="0.25">
      <c r="A197" s="49">
        <v>2</v>
      </c>
      <c r="B197" s="50">
        <v>2</v>
      </c>
      <c r="C197" s="50">
        <v>8</v>
      </c>
      <c r="D197" s="50">
        <v>7</v>
      </c>
      <c r="E197" s="50"/>
      <c r="F197" s="69" t="s">
        <v>171</v>
      </c>
      <c r="G197" s="51">
        <f>SUM(G198:G203)</f>
        <v>0</v>
      </c>
      <c r="H197" s="51">
        <f>SUM(H198:H203)</f>
        <v>199187</v>
      </c>
      <c r="I197" s="51">
        <f t="shared" si="6"/>
        <v>199187</v>
      </c>
      <c r="J197" s="58"/>
    </row>
    <row r="198" spans="1:10" ht="25.5" x14ac:dyDescent="0.25">
      <c r="A198" s="53">
        <v>2</v>
      </c>
      <c r="B198" s="54">
        <v>2</v>
      </c>
      <c r="C198" s="54">
        <v>8</v>
      </c>
      <c r="D198" s="54">
        <v>7</v>
      </c>
      <c r="E198" s="55" t="s">
        <v>31</v>
      </c>
      <c r="F198" s="68" t="s">
        <v>172</v>
      </c>
      <c r="G198" s="56">
        <f>'[1]CUENTA T FONDO 100'!CZ127</f>
        <v>0</v>
      </c>
      <c r="H198" s="56">
        <f>'[1]CUENTA T VS'!CZ89</f>
        <v>0</v>
      </c>
      <c r="I198" s="56">
        <f t="shared" si="6"/>
        <v>0</v>
      </c>
      <c r="J198" s="57">
        <f t="shared" ref="J198:J203" si="9">I198/$I$25</f>
        <v>0</v>
      </c>
    </row>
    <row r="199" spans="1:10" x14ac:dyDescent="0.25">
      <c r="A199" s="53">
        <v>2</v>
      </c>
      <c r="B199" s="54">
        <v>2</v>
      </c>
      <c r="C199" s="54">
        <v>8</v>
      </c>
      <c r="D199" s="54">
        <v>7</v>
      </c>
      <c r="E199" s="55" t="s">
        <v>33</v>
      </c>
      <c r="F199" s="68" t="s">
        <v>173</v>
      </c>
      <c r="G199" s="56">
        <f>'[1]CUENTA T FONDO 100'!DA127</f>
        <v>0</v>
      </c>
      <c r="H199" s="56">
        <f>'[1]CUENTA T VS'!DA89</f>
        <v>0</v>
      </c>
      <c r="I199" s="56">
        <f t="shared" si="6"/>
        <v>0</v>
      </c>
      <c r="J199" s="57">
        <f t="shared" si="9"/>
        <v>0</v>
      </c>
    </row>
    <row r="200" spans="1:10" x14ac:dyDescent="0.25">
      <c r="A200" s="53">
        <v>2</v>
      </c>
      <c r="B200" s="54">
        <v>2</v>
      </c>
      <c r="C200" s="54">
        <v>8</v>
      </c>
      <c r="D200" s="54">
        <v>7</v>
      </c>
      <c r="E200" s="55" t="s">
        <v>35</v>
      </c>
      <c r="F200" s="68" t="s">
        <v>174</v>
      </c>
      <c r="G200" s="56">
        <f>'[1]CUENTA T FONDO 100'!DB127</f>
        <v>0</v>
      </c>
      <c r="H200" s="56">
        <f>'[1]CUENTA T VS'!DB89</f>
        <v>0</v>
      </c>
      <c r="I200" s="56">
        <f t="shared" si="6"/>
        <v>0</v>
      </c>
      <c r="J200" s="57">
        <f t="shared" si="9"/>
        <v>0</v>
      </c>
    </row>
    <row r="201" spans="1:10" x14ac:dyDescent="0.25">
      <c r="A201" s="53">
        <v>2</v>
      </c>
      <c r="B201" s="54">
        <v>2</v>
      </c>
      <c r="C201" s="54">
        <v>8</v>
      </c>
      <c r="D201" s="54">
        <v>7</v>
      </c>
      <c r="E201" s="55" t="s">
        <v>37</v>
      </c>
      <c r="F201" s="68" t="s">
        <v>175</v>
      </c>
      <c r="G201" s="56">
        <f>'[1]CUENTA T FONDO 100'!DC127</f>
        <v>0</v>
      </c>
      <c r="H201" s="56">
        <f>'[1]CUENTA T VS'!DC89</f>
        <v>0</v>
      </c>
      <c r="I201" s="56">
        <f t="shared" si="6"/>
        <v>0</v>
      </c>
      <c r="J201" s="57">
        <f t="shared" si="9"/>
        <v>0</v>
      </c>
    </row>
    <row r="202" spans="1:10" ht="25.5" x14ac:dyDescent="0.25">
      <c r="A202" s="53">
        <v>2</v>
      </c>
      <c r="B202" s="54">
        <v>2</v>
      </c>
      <c r="C202" s="54">
        <v>8</v>
      </c>
      <c r="D202" s="54">
        <v>7</v>
      </c>
      <c r="E202" s="55" t="s">
        <v>39</v>
      </c>
      <c r="F202" s="68" t="s">
        <v>176</v>
      </c>
      <c r="G202" s="56">
        <f>'[1]CUENTA T FONDO 100'!DD127</f>
        <v>0</v>
      </c>
      <c r="H202" s="56">
        <f>'[1]CUENTA T VS'!DD89</f>
        <v>0</v>
      </c>
      <c r="I202" s="56">
        <f t="shared" si="6"/>
        <v>0</v>
      </c>
      <c r="J202" s="57">
        <f t="shared" si="9"/>
        <v>0</v>
      </c>
    </row>
    <row r="203" spans="1:10" x14ac:dyDescent="0.25">
      <c r="A203" s="53">
        <v>2</v>
      </c>
      <c r="B203" s="54">
        <v>2</v>
      </c>
      <c r="C203" s="54">
        <v>8</v>
      </c>
      <c r="D203" s="54">
        <v>7</v>
      </c>
      <c r="E203" s="55" t="s">
        <v>41</v>
      </c>
      <c r="F203" s="68" t="s">
        <v>177</v>
      </c>
      <c r="G203" s="56">
        <f>'[1]CUENTA T FONDO 100'!DE127</f>
        <v>0</v>
      </c>
      <c r="H203" s="56">
        <f>'[1]CUENTA T VS'!DE89</f>
        <v>199187</v>
      </c>
      <c r="I203" s="56">
        <f t="shared" si="6"/>
        <v>199187</v>
      </c>
      <c r="J203" s="57">
        <f t="shared" si="9"/>
        <v>2.0602307260713299E-3</v>
      </c>
    </row>
    <row r="204" spans="1:10" x14ac:dyDescent="0.25">
      <c r="A204" s="49">
        <v>2</v>
      </c>
      <c r="B204" s="50">
        <v>2</v>
      </c>
      <c r="C204" s="50">
        <v>8</v>
      </c>
      <c r="D204" s="50">
        <v>8</v>
      </c>
      <c r="E204" s="50"/>
      <c r="F204" s="69" t="s">
        <v>178</v>
      </c>
      <c r="G204" s="51">
        <f>SUM(G205:G207)</f>
        <v>0</v>
      </c>
      <c r="H204" s="51">
        <f>SUM(H205:H207)</f>
        <v>0</v>
      </c>
      <c r="I204" s="51">
        <f t="shared" si="6"/>
        <v>0</v>
      </c>
      <c r="J204" s="58"/>
    </row>
    <row r="205" spans="1:10" x14ac:dyDescent="0.25">
      <c r="A205" s="53">
        <v>2</v>
      </c>
      <c r="B205" s="54">
        <v>2</v>
      </c>
      <c r="C205" s="54">
        <v>8</v>
      </c>
      <c r="D205" s="54">
        <v>8</v>
      </c>
      <c r="E205" s="55" t="s">
        <v>31</v>
      </c>
      <c r="F205" s="68" t="s">
        <v>179</v>
      </c>
      <c r="G205" s="56">
        <f>'[1]CUENTA T FONDO 100'!DF127</f>
        <v>0</v>
      </c>
      <c r="H205" s="56">
        <f>'[1]CUENTA T VS'!DF89</f>
        <v>0</v>
      </c>
      <c r="I205" s="56">
        <f t="shared" si="6"/>
        <v>0</v>
      </c>
      <c r="J205" s="57">
        <f>I205/$I$25</f>
        <v>0</v>
      </c>
    </row>
    <row r="206" spans="1:10" x14ac:dyDescent="0.25">
      <c r="A206" s="53">
        <v>2</v>
      </c>
      <c r="B206" s="54">
        <v>2</v>
      </c>
      <c r="C206" s="54">
        <v>8</v>
      </c>
      <c r="D206" s="54">
        <v>8</v>
      </c>
      <c r="E206" s="55" t="s">
        <v>33</v>
      </c>
      <c r="F206" s="68" t="s">
        <v>180</v>
      </c>
      <c r="G206" s="56">
        <f>'[1]CUENTA T FONDO 100'!DG127</f>
        <v>0</v>
      </c>
      <c r="H206" s="56">
        <f>'[1]CUENTA T VS'!DG89</f>
        <v>0</v>
      </c>
      <c r="I206" s="56">
        <f t="shared" si="6"/>
        <v>0</v>
      </c>
      <c r="J206" s="57">
        <f>I206/$I$25</f>
        <v>0</v>
      </c>
    </row>
    <row r="207" spans="1:10" x14ac:dyDescent="0.25">
      <c r="A207" s="53">
        <v>2</v>
      </c>
      <c r="B207" s="54">
        <v>2</v>
      </c>
      <c r="C207" s="54">
        <v>8</v>
      </c>
      <c r="D207" s="54">
        <v>8</v>
      </c>
      <c r="E207" s="55" t="s">
        <v>35</v>
      </c>
      <c r="F207" s="68" t="s">
        <v>181</v>
      </c>
      <c r="G207" s="56">
        <f>'[1]CUENTA T FONDO 100'!DH127</f>
        <v>0</v>
      </c>
      <c r="H207" s="56">
        <f>'[1]CUENTA T VS'!DH89</f>
        <v>0</v>
      </c>
      <c r="I207" s="56">
        <f t="shared" si="6"/>
        <v>0</v>
      </c>
      <c r="J207" s="57">
        <f>I207/$I$25</f>
        <v>0</v>
      </c>
    </row>
    <row r="208" spans="1:10" x14ac:dyDescent="0.25">
      <c r="A208" s="46">
        <v>2</v>
      </c>
      <c r="B208" s="47">
        <v>2</v>
      </c>
      <c r="C208" s="47">
        <v>9</v>
      </c>
      <c r="D208" s="47"/>
      <c r="E208" s="47"/>
      <c r="F208" s="70" t="s">
        <v>182</v>
      </c>
      <c r="G208" s="48">
        <f t="shared" ref="G208:H208" si="10">+G209</f>
        <v>0</v>
      </c>
      <c r="H208" s="48">
        <f t="shared" si="10"/>
        <v>0</v>
      </c>
      <c r="I208" s="48">
        <f t="shared" si="6"/>
        <v>0</v>
      </c>
      <c r="J208" s="45"/>
    </row>
    <row r="209" spans="1:10" x14ac:dyDescent="0.25">
      <c r="A209" s="49">
        <v>2</v>
      </c>
      <c r="B209" s="50">
        <v>2</v>
      </c>
      <c r="C209" s="50">
        <v>9</v>
      </c>
      <c r="D209" s="50">
        <v>2</v>
      </c>
      <c r="E209" s="50"/>
      <c r="F209" s="69" t="s">
        <v>183</v>
      </c>
      <c r="G209" s="51">
        <f>G210+G211</f>
        <v>0</v>
      </c>
      <c r="H209" s="51">
        <f t="shared" ref="H209" si="11">H210+H211</f>
        <v>0</v>
      </c>
      <c r="I209" s="51">
        <f t="shared" si="6"/>
        <v>0</v>
      </c>
      <c r="J209" s="58"/>
    </row>
    <row r="210" spans="1:10" x14ac:dyDescent="0.25">
      <c r="A210" s="53">
        <v>2</v>
      </c>
      <c r="B210" s="54">
        <v>2</v>
      </c>
      <c r="C210" s="54">
        <v>9</v>
      </c>
      <c r="D210" s="54">
        <v>2</v>
      </c>
      <c r="E210" s="55" t="s">
        <v>31</v>
      </c>
      <c r="F210" s="68" t="s">
        <v>184</v>
      </c>
      <c r="G210" s="56">
        <f>'[1]CUENTA T FONDO 100'!DI127</f>
        <v>0</v>
      </c>
      <c r="H210" s="56">
        <f>'[1]CUENTA T VS'!DI89</f>
        <v>0</v>
      </c>
      <c r="I210" s="56">
        <f t="shared" si="6"/>
        <v>0</v>
      </c>
      <c r="J210" s="57">
        <f>I210/$I$25</f>
        <v>0</v>
      </c>
    </row>
    <row r="211" spans="1:10" x14ac:dyDescent="0.25">
      <c r="A211" s="53">
        <v>2</v>
      </c>
      <c r="B211" s="54">
        <v>2</v>
      </c>
      <c r="C211" s="54">
        <v>9</v>
      </c>
      <c r="D211" s="54">
        <v>2</v>
      </c>
      <c r="E211" s="55" t="s">
        <v>35</v>
      </c>
      <c r="F211" s="68" t="s">
        <v>185</v>
      </c>
      <c r="G211" s="56">
        <f>'[1]CUENTA T FONDO 100'!DJ127</f>
        <v>0</v>
      </c>
      <c r="H211" s="56">
        <f>'[1]CUENTA T VS'!DJ89</f>
        <v>0</v>
      </c>
      <c r="I211" s="56">
        <f t="shared" si="6"/>
        <v>0</v>
      </c>
      <c r="J211" s="57">
        <f>I211/$I$25</f>
        <v>0</v>
      </c>
    </row>
    <row r="212" spans="1:10" x14ac:dyDescent="0.25">
      <c r="A212" s="60">
        <v>2</v>
      </c>
      <c r="B212" s="47">
        <v>3</v>
      </c>
      <c r="C212" s="47"/>
      <c r="D212" s="47"/>
      <c r="E212" s="47"/>
      <c r="F212" s="70" t="s">
        <v>186</v>
      </c>
      <c r="G212" s="48">
        <f>G213+G225+G232+G245+G250+G261+G286+G303+G308</f>
        <v>20368607.43</v>
      </c>
      <c r="H212" s="48">
        <f>H213+H225+H232+H245+H250+H261+H286+H303+H308</f>
        <v>3000265.1999999997</v>
      </c>
      <c r="I212" s="48">
        <f t="shared" si="6"/>
        <v>23368872.629999999</v>
      </c>
      <c r="J212" s="45">
        <f>I212/$I$25</f>
        <v>0.24170889378309493</v>
      </c>
    </row>
    <row r="213" spans="1:10" x14ac:dyDescent="0.25">
      <c r="A213" s="60">
        <v>2</v>
      </c>
      <c r="B213" s="47">
        <v>3</v>
      </c>
      <c r="C213" s="47">
        <v>1</v>
      </c>
      <c r="D213" s="47"/>
      <c r="E213" s="47"/>
      <c r="F213" s="70" t="s">
        <v>187</v>
      </c>
      <c r="G213" s="48">
        <f>+G214+G217+G219+G223</f>
        <v>812515</v>
      </c>
      <c r="H213" s="48">
        <f>+H214+H217+H219+H223</f>
        <v>94850</v>
      </c>
      <c r="I213" s="48">
        <f t="shared" si="6"/>
        <v>907365</v>
      </c>
      <c r="J213" s="45"/>
    </row>
    <row r="214" spans="1:10" x14ac:dyDescent="0.25">
      <c r="A214" s="61">
        <v>2</v>
      </c>
      <c r="B214" s="50">
        <v>3</v>
      </c>
      <c r="C214" s="50">
        <v>1</v>
      </c>
      <c r="D214" s="50">
        <v>1</v>
      </c>
      <c r="E214" s="64"/>
      <c r="F214" s="69" t="s">
        <v>188</v>
      </c>
      <c r="G214" s="51">
        <f>SUM(G215:G216)</f>
        <v>812515</v>
      </c>
      <c r="H214" s="51">
        <f>SUM(H215:H216)</f>
        <v>94850</v>
      </c>
      <c r="I214" s="51">
        <f t="shared" si="6"/>
        <v>907365</v>
      </c>
      <c r="J214" s="58"/>
    </row>
    <row r="215" spans="1:10" x14ac:dyDescent="0.25">
      <c r="A215" s="62">
        <v>2</v>
      </c>
      <c r="B215" s="54">
        <v>3</v>
      </c>
      <c r="C215" s="54">
        <v>1</v>
      </c>
      <c r="D215" s="54">
        <v>1</v>
      </c>
      <c r="E215" s="55" t="s">
        <v>31</v>
      </c>
      <c r="F215" s="68" t="s">
        <v>188</v>
      </c>
      <c r="G215" s="56">
        <f>'[1]CUENTA T FONDO 100'!DK127</f>
        <v>812515</v>
      </c>
      <c r="H215" s="56">
        <f>'[1]CUENTA T VS'!DK89</f>
        <v>94850</v>
      </c>
      <c r="I215" s="56">
        <f t="shared" si="6"/>
        <v>907365</v>
      </c>
      <c r="J215" s="57">
        <f>I215/$I$25</f>
        <v>9.3850565185564939E-3</v>
      </c>
    </row>
    <row r="216" spans="1:10" x14ac:dyDescent="0.25">
      <c r="A216" s="62">
        <v>2</v>
      </c>
      <c r="B216" s="54">
        <v>3</v>
      </c>
      <c r="C216" s="54">
        <v>1</v>
      </c>
      <c r="D216" s="54">
        <v>1</v>
      </c>
      <c r="E216" s="55" t="s">
        <v>33</v>
      </c>
      <c r="F216" s="68" t="s">
        <v>189</v>
      </c>
      <c r="G216" s="56">
        <f>'[1]CUENTA T FONDO 100'!DL127</f>
        <v>0</v>
      </c>
      <c r="H216" s="56">
        <f>'[1]CUENTA T VS'!DL89</f>
        <v>0</v>
      </c>
      <c r="I216" s="56">
        <f t="shared" si="6"/>
        <v>0</v>
      </c>
      <c r="J216" s="57">
        <f>I216/$I$25</f>
        <v>0</v>
      </c>
    </row>
    <row r="217" spans="1:10" x14ac:dyDescent="0.25">
      <c r="A217" s="61">
        <v>2</v>
      </c>
      <c r="B217" s="50">
        <v>3</v>
      </c>
      <c r="C217" s="50">
        <v>1</v>
      </c>
      <c r="D217" s="50">
        <v>2</v>
      </c>
      <c r="E217" s="64"/>
      <c r="F217" s="69" t="s">
        <v>190</v>
      </c>
      <c r="G217" s="51">
        <f>SUM(G218)</f>
        <v>0</v>
      </c>
      <c r="H217" s="51">
        <f>SUM(H218)</f>
        <v>0</v>
      </c>
      <c r="I217" s="51">
        <f t="shared" ref="I217:I280" si="12">SUM(G217:H217)</f>
        <v>0</v>
      </c>
      <c r="J217" s="58"/>
    </row>
    <row r="218" spans="1:10" x14ac:dyDescent="0.25">
      <c r="A218" s="62">
        <v>2</v>
      </c>
      <c r="B218" s="54">
        <v>3</v>
      </c>
      <c r="C218" s="54">
        <v>1</v>
      </c>
      <c r="D218" s="54">
        <v>2</v>
      </c>
      <c r="E218" s="55" t="s">
        <v>31</v>
      </c>
      <c r="F218" s="68" t="s">
        <v>190</v>
      </c>
      <c r="G218" s="56">
        <f>'[1]CUENTA T FONDO 100'!DM127</f>
        <v>0</v>
      </c>
      <c r="H218" s="56">
        <f>'[1]CUENTA T VS'!DM89</f>
        <v>0</v>
      </c>
      <c r="I218" s="56">
        <f t="shared" si="12"/>
        <v>0</v>
      </c>
      <c r="J218" s="57">
        <f>I218/$I$25</f>
        <v>0</v>
      </c>
    </row>
    <row r="219" spans="1:10" x14ac:dyDescent="0.25">
      <c r="A219" s="61">
        <v>2</v>
      </c>
      <c r="B219" s="50">
        <v>3</v>
      </c>
      <c r="C219" s="50">
        <v>1</v>
      </c>
      <c r="D219" s="50">
        <v>3</v>
      </c>
      <c r="E219" s="50"/>
      <c r="F219" s="69" t="s">
        <v>191</v>
      </c>
      <c r="G219" s="51">
        <f>SUM(G220:G222)</f>
        <v>0</v>
      </c>
      <c r="H219" s="51">
        <f>SUM(H220:H222)</f>
        <v>0</v>
      </c>
      <c r="I219" s="51">
        <f t="shared" si="12"/>
        <v>0</v>
      </c>
      <c r="J219" s="58"/>
    </row>
    <row r="220" spans="1:10" x14ac:dyDescent="0.25">
      <c r="A220" s="62">
        <v>2</v>
      </c>
      <c r="B220" s="54">
        <v>3</v>
      </c>
      <c r="C220" s="54">
        <v>1</v>
      </c>
      <c r="D220" s="54">
        <v>3</v>
      </c>
      <c r="E220" s="55" t="s">
        <v>31</v>
      </c>
      <c r="F220" s="68" t="s">
        <v>192</v>
      </c>
      <c r="G220" s="56">
        <f>'[1]CUENTA T FONDO 100'!DN127</f>
        <v>0</v>
      </c>
      <c r="H220" s="56">
        <f>'[1]CUENTA T VS'!DN89</f>
        <v>0</v>
      </c>
      <c r="I220" s="56">
        <f t="shared" si="12"/>
        <v>0</v>
      </c>
      <c r="J220" s="57">
        <f>I220/$I$25</f>
        <v>0</v>
      </c>
    </row>
    <row r="221" spans="1:10" x14ac:dyDescent="0.25">
      <c r="A221" s="62">
        <v>2</v>
      </c>
      <c r="B221" s="54">
        <v>3</v>
      </c>
      <c r="C221" s="54">
        <v>1</v>
      </c>
      <c r="D221" s="54">
        <v>3</v>
      </c>
      <c r="E221" s="55" t="s">
        <v>33</v>
      </c>
      <c r="F221" s="68" t="s">
        <v>193</v>
      </c>
      <c r="G221" s="56">
        <f>'[1]CUENTA T FONDO 100'!DO127</f>
        <v>0</v>
      </c>
      <c r="H221" s="56">
        <f>'[1]CUENTA T VS'!DO89</f>
        <v>0</v>
      </c>
      <c r="I221" s="56">
        <f t="shared" si="12"/>
        <v>0</v>
      </c>
      <c r="J221" s="57">
        <f>I221/$I$25</f>
        <v>0</v>
      </c>
    </row>
    <row r="222" spans="1:10" x14ac:dyDescent="0.25">
      <c r="A222" s="62">
        <v>2</v>
      </c>
      <c r="B222" s="54">
        <v>3</v>
      </c>
      <c r="C222" s="54">
        <v>1</v>
      </c>
      <c r="D222" s="54">
        <v>3</v>
      </c>
      <c r="E222" s="55" t="s">
        <v>35</v>
      </c>
      <c r="F222" s="68" t="s">
        <v>194</v>
      </c>
      <c r="G222" s="56">
        <f>'[1]CUENTA T FONDO 100'!DP127</f>
        <v>0</v>
      </c>
      <c r="H222" s="56">
        <f>'[1]CUENTA T VS'!DP89</f>
        <v>0</v>
      </c>
      <c r="I222" s="56">
        <f t="shared" si="12"/>
        <v>0</v>
      </c>
      <c r="J222" s="57">
        <f>I222/$I$25</f>
        <v>0</v>
      </c>
    </row>
    <row r="223" spans="1:10" x14ac:dyDescent="0.25">
      <c r="A223" s="61">
        <v>2</v>
      </c>
      <c r="B223" s="50">
        <v>3</v>
      </c>
      <c r="C223" s="50">
        <v>1</v>
      </c>
      <c r="D223" s="50">
        <v>4</v>
      </c>
      <c r="E223" s="50"/>
      <c r="F223" s="69" t="s">
        <v>195</v>
      </c>
      <c r="G223" s="51">
        <f>SUM(G224)</f>
        <v>0</v>
      </c>
      <c r="H223" s="51">
        <f>SUM(H224)</f>
        <v>0</v>
      </c>
      <c r="I223" s="51">
        <f t="shared" si="12"/>
        <v>0</v>
      </c>
      <c r="J223" s="58"/>
    </row>
    <row r="224" spans="1:10" x14ac:dyDescent="0.25">
      <c r="A224" s="62">
        <v>2</v>
      </c>
      <c r="B224" s="54">
        <v>3</v>
      </c>
      <c r="C224" s="54">
        <v>1</v>
      </c>
      <c r="D224" s="54">
        <v>4</v>
      </c>
      <c r="E224" s="55" t="s">
        <v>31</v>
      </c>
      <c r="F224" s="68" t="s">
        <v>195</v>
      </c>
      <c r="G224" s="56">
        <f>'[1]CUENTA T FONDO 100'!DQ127</f>
        <v>0</v>
      </c>
      <c r="H224" s="56">
        <f>'[1]CUENTA T VS'!DQ89</f>
        <v>0</v>
      </c>
      <c r="I224" s="56">
        <f t="shared" si="12"/>
        <v>0</v>
      </c>
      <c r="J224" s="57">
        <f>I224/$I$25</f>
        <v>0</v>
      </c>
    </row>
    <row r="225" spans="1:10" x14ac:dyDescent="0.25">
      <c r="A225" s="60">
        <v>2</v>
      </c>
      <c r="B225" s="47">
        <v>3</v>
      </c>
      <c r="C225" s="47">
        <v>2</v>
      </c>
      <c r="D225" s="47"/>
      <c r="E225" s="65"/>
      <c r="F225" s="70" t="s">
        <v>196</v>
      </c>
      <c r="G225" s="48">
        <f>+G226+G228+G230</f>
        <v>1562980.47</v>
      </c>
      <c r="H225" s="48">
        <f>+H226+H228+H230</f>
        <v>0</v>
      </c>
      <c r="I225" s="48">
        <f t="shared" si="12"/>
        <v>1562980.47</v>
      </c>
      <c r="J225" s="45"/>
    </row>
    <row r="226" spans="1:10" x14ac:dyDescent="0.25">
      <c r="A226" s="61">
        <v>2</v>
      </c>
      <c r="B226" s="50">
        <v>3</v>
      </c>
      <c r="C226" s="50">
        <v>2</v>
      </c>
      <c r="D226" s="50">
        <v>1</v>
      </c>
      <c r="E226" s="50"/>
      <c r="F226" s="69" t="s">
        <v>197</v>
      </c>
      <c r="G226" s="51">
        <f>SUM(G227)</f>
        <v>0</v>
      </c>
      <c r="H226" s="51">
        <f>SUM(H227)</f>
        <v>0</v>
      </c>
      <c r="I226" s="51">
        <f t="shared" si="12"/>
        <v>0</v>
      </c>
      <c r="J226" s="58"/>
    </row>
    <row r="227" spans="1:10" x14ac:dyDescent="0.25">
      <c r="A227" s="62">
        <v>2</v>
      </c>
      <c r="B227" s="54">
        <v>3</v>
      </c>
      <c r="C227" s="54">
        <v>2</v>
      </c>
      <c r="D227" s="54">
        <v>1</v>
      </c>
      <c r="E227" s="55" t="s">
        <v>31</v>
      </c>
      <c r="F227" s="68" t="s">
        <v>197</v>
      </c>
      <c r="G227" s="56">
        <f>'[1]CUENTA T FONDO 100'!DR127</f>
        <v>0</v>
      </c>
      <c r="H227" s="56">
        <f>'[1]CUENTA T VS'!DR89</f>
        <v>0</v>
      </c>
      <c r="I227" s="56">
        <f t="shared" si="12"/>
        <v>0</v>
      </c>
      <c r="J227" s="57">
        <f>I227/$I$25</f>
        <v>0</v>
      </c>
    </row>
    <row r="228" spans="1:10" x14ac:dyDescent="0.25">
      <c r="A228" s="61">
        <v>2</v>
      </c>
      <c r="B228" s="50">
        <v>3</v>
      </c>
      <c r="C228" s="50">
        <v>2</v>
      </c>
      <c r="D228" s="50">
        <v>2</v>
      </c>
      <c r="E228" s="50"/>
      <c r="F228" s="69" t="s">
        <v>198</v>
      </c>
      <c r="G228" s="51">
        <f>SUM(G229)</f>
        <v>1562980.47</v>
      </c>
      <c r="H228" s="51">
        <f>SUM(H229)</f>
        <v>0</v>
      </c>
      <c r="I228" s="51">
        <f t="shared" si="12"/>
        <v>1562980.47</v>
      </c>
      <c r="J228" s="58"/>
    </row>
    <row r="229" spans="1:10" x14ac:dyDescent="0.25">
      <c r="A229" s="62">
        <v>2</v>
      </c>
      <c r="B229" s="54">
        <v>3</v>
      </c>
      <c r="C229" s="54">
        <v>2</v>
      </c>
      <c r="D229" s="54">
        <v>2</v>
      </c>
      <c r="E229" s="55" t="s">
        <v>31</v>
      </c>
      <c r="F229" s="68" t="s">
        <v>198</v>
      </c>
      <c r="G229" s="56">
        <f>'[1]CUENTA T FONDO 100'!DS127</f>
        <v>1562980.47</v>
      </c>
      <c r="H229" s="56">
        <f>'[1]CUENTA T VS'!DS89</f>
        <v>0</v>
      </c>
      <c r="I229" s="56">
        <f t="shared" si="12"/>
        <v>1562980.47</v>
      </c>
      <c r="J229" s="57">
        <f>I229/$I$25</f>
        <v>1.6166217617331495E-2</v>
      </c>
    </row>
    <row r="230" spans="1:10" x14ac:dyDescent="0.25">
      <c r="A230" s="61">
        <v>2</v>
      </c>
      <c r="B230" s="50">
        <v>3</v>
      </c>
      <c r="C230" s="50">
        <v>2</v>
      </c>
      <c r="D230" s="50">
        <v>3</v>
      </c>
      <c r="E230" s="50"/>
      <c r="F230" s="69" t="s">
        <v>199</v>
      </c>
      <c r="G230" s="51">
        <f>SUM(G231)</f>
        <v>0</v>
      </c>
      <c r="H230" s="51">
        <f>SUM(H231)</f>
        <v>0</v>
      </c>
      <c r="I230" s="51">
        <f t="shared" si="12"/>
        <v>0</v>
      </c>
      <c r="J230" s="58"/>
    </row>
    <row r="231" spans="1:10" x14ac:dyDescent="0.25">
      <c r="A231" s="62">
        <v>2</v>
      </c>
      <c r="B231" s="54">
        <v>3</v>
      </c>
      <c r="C231" s="54">
        <v>2</v>
      </c>
      <c r="D231" s="54">
        <v>3</v>
      </c>
      <c r="E231" s="55" t="s">
        <v>31</v>
      </c>
      <c r="F231" s="68" t="s">
        <v>199</v>
      </c>
      <c r="G231" s="56">
        <f>'[1]CUENTA T FONDO 100'!DT127</f>
        <v>0</v>
      </c>
      <c r="H231" s="56">
        <f>'[1]CUENTA T VS'!DT89</f>
        <v>0</v>
      </c>
      <c r="I231" s="56">
        <f t="shared" si="12"/>
        <v>0</v>
      </c>
      <c r="J231" s="57">
        <f>I231/$I$25</f>
        <v>0</v>
      </c>
    </row>
    <row r="232" spans="1:10" x14ac:dyDescent="0.25">
      <c r="A232" s="60">
        <v>2</v>
      </c>
      <c r="B232" s="47">
        <v>3</v>
      </c>
      <c r="C232" s="47">
        <v>3</v>
      </c>
      <c r="D232" s="47"/>
      <c r="E232" s="65"/>
      <c r="F232" s="70" t="s">
        <v>200</v>
      </c>
      <c r="G232" s="48">
        <f>+G233+G235+G237+G239+G241+G243</f>
        <v>1510942.21</v>
      </c>
      <c r="H232" s="48">
        <f>+H233+H235+H237+H239+H241+H243</f>
        <v>196824</v>
      </c>
      <c r="I232" s="48">
        <f t="shared" si="12"/>
        <v>1707766.21</v>
      </c>
      <c r="J232" s="45"/>
    </row>
    <row r="233" spans="1:10" x14ac:dyDescent="0.25">
      <c r="A233" s="61">
        <v>2</v>
      </c>
      <c r="B233" s="50">
        <v>3</v>
      </c>
      <c r="C233" s="50">
        <v>3</v>
      </c>
      <c r="D233" s="50">
        <v>1</v>
      </c>
      <c r="E233" s="50"/>
      <c r="F233" s="69" t="s">
        <v>201</v>
      </c>
      <c r="G233" s="51">
        <f>SUM(G234)</f>
        <v>0</v>
      </c>
      <c r="H233" s="51">
        <f>SUM(H234)</f>
        <v>0</v>
      </c>
      <c r="I233" s="51">
        <f t="shared" si="12"/>
        <v>0</v>
      </c>
      <c r="J233" s="58"/>
    </row>
    <row r="234" spans="1:10" x14ac:dyDescent="0.25">
      <c r="A234" s="62">
        <v>2</v>
      </c>
      <c r="B234" s="54">
        <v>3</v>
      </c>
      <c r="C234" s="54">
        <v>3</v>
      </c>
      <c r="D234" s="54">
        <v>1</v>
      </c>
      <c r="E234" s="55" t="s">
        <v>31</v>
      </c>
      <c r="F234" s="68" t="s">
        <v>201</v>
      </c>
      <c r="G234" s="56">
        <f>'[1]CUENTA T FONDO 100'!DU127</f>
        <v>0</v>
      </c>
      <c r="H234" s="56">
        <f>'[1]CUENTA T VS'!DU89</f>
        <v>0</v>
      </c>
      <c r="I234" s="56">
        <f t="shared" si="12"/>
        <v>0</v>
      </c>
      <c r="J234" s="57">
        <f>I234/$I$25</f>
        <v>0</v>
      </c>
    </row>
    <row r="235" spans="1:10" x14ac:dyDescent="0.25">
      <c r="A235" s="61">
        <v>2</v>
      </c>
      <c r="B235" s="50">
        <v>3</v>
      </c>
      <c r="C235" s="50">
        <v>3</v>
      </c>
      <c r="D235" s="50">
        <v>2</v>
      </c>
      <c r="E235" s="50"/>
      <c r="F235" s="69" t="s">
        <v>202</v>
      </c>
      <c r="G235" s="51">
        <f>SUM(G236)</f>
        <v>708247.21</v>
      </c>
      <c r="H235" s="51">
        <f>SUM(H236)</f>
        <v>0</v>
      </c>
      <c r="I235" s="51">
        <f t="shared" si="12"/>
        <v>708247.21</v>
      </c>
      <c r="J235" s="58"/>
    </row>
    <row r="236" spans="1:10" x14ac:dyDescent="0.25">
      <c r="A236" s="62">
        <v>2</v>
      </c>
      <c r="B236" s="54">
        <v>3</v>
      </c>
      <c r="C236" s="54">
        <v>3</v>
      </c>
      <c r="D236" s="54">
        <v>2</v>
      </c>
      <c r="E236" s="55" t="s">
        <v>31</v>
      </c>
      <c r="F236" s="68" t="s">
        <v>202</v>
      </c>
      <c r="G236" s="56">
        <f>'[1]CUENTA T FONDO 100'!DV127</f>
        <v>708247.21</v>
      </c>
      <c r="H236" s="56">
        <f>'[1]CUENTA T VS'!DV89</f>
        <v>0</v>
      </c>
      <c r="I236" s="56">
        <f t="shared" si="12"/>
        <v>708247.21</v>
      </c>
      <c r="J236" s="57">
        <f>I236/$I$25</f>
        <v>7.3255416452694894E-3</v>
      </c>
    </row>
    <row r="237" spans="1:10" x14ac:dyDescent="0.25">
      <c r="A237" s="61">
        <v>2</v>
      </c>
      <c r="B237" s="50">
        <v>3</v>
      </c>
      <c r="C237" s="50">
        <v>3</v>
      </c>
      <c r="D237" s="50">
        <v>3</v>
      </c>
      <c r="E237" s="50"/>
      <c r="F237" s="69" t="s">
        <v>203</v>
      </c>
      <c r="G237" s="51">
        <f>SUM(G238)</f>
        <v>802695</v>
      </c>
      <c r="H237" s="51">
        <f>SUM(H238)</f>
        <v>196824</v>
      </c>
      <c r="I237" s="51">
        <f t="shared" si="12"/>
        <v>999519</v>
      </c>
      <c r="J237" s="58"/>
    </row>
    <row r="238" spans="1:10" x14ac:dyDescent="0.25">
      <c r="A238" s="62">
        <v>2</v>
      </c>
      <c r="B238" s="54">
        <v>3</v>
      </c>
      <c r="C238" s="54">
        <v>3</v>
      </c>
      <c r="D238" s="54">
        <v>3</v>
      </c>
      <c r="E238" s="55" t="s">
        <v>31</v>
      </c>
      <c r="F238" s="68" t="s">
        <v>203</v>
      </c>
      <c r="G238" s="56">
        <f>'[1]CUENTA T FONDO 100'!DW127</f>
        <v>802695</v>
      </c>
      <c r="H238" s="56">
        <f>'[1]CUENTA T VS'!DW89</f>
        <v>196824</v>
      </c>
      <c r="I238" s="56">
        <f t="shared" si="12"/>
        <v>999519</v>
      </c>
      <c r="J238" s="57">
        <f>I238/$I$25</f>
        <v>1.0338223654616466E-2</v>
      </c>
    </row>
    <row r="239" spans="1:10" x14ac:dyDescent="0.25">
      <c r="A239" s="61">
        <v>2</v>
      </c>
      <c r="B239" s="50">
        <v>3</v>
      </c>
      <c r="C239" s="50">
        <v>3</v>
      </c>
      <c r="D239" s="50">
        <v>4</v>
      </c>
      <c r="E239" s="50"/>
      <c r="F239" s="69" t="s">
        <v>204</v>
      </c>
      <c r="G239" s="51">
        <f>SUM(G240)</f>
        <v>0</v>
      </c>
      <c r="H239" s="51">
        <f>SUM(H240)</f>
        <v>0</v>
      </c>
      <c r="I239" s="51">
        <f t="shared" si="12"/>
        <v>0</v>
      </c>
      <c r="J239" s="58"/>
    </row>
    <row r="240" spans="1:10" x14ac:dyDescent="0.25">
      <c r="A240" s="62">
        <v>2</v>
      </c>
      <c r="B240" s="54">
        <v>3</v>
      </c>
      <c r="C240" s="54">
        <v>3</v>
      </c>
      <c r="D240" s="54">
        <v>4</v>
      </c>
      <c r="E240" s="55" t="s">
        <v>31</v>
      </c>
      <c r="F240" s="68" t="s">
        <v>204</v>
      </c>
      <c r="G240" s="56">
        <f>'[1]CUENTA T FONDO 100'!DX127</f>
        <v>0</v>
      </c>
      <c r="H240" s="56">
        <f>'[1]CUENTA T VS'!DX89</f>
        <v>0</v>
      </c>
      <c r="I240" s="56">
        <f t="shared" si="12"/>
        <v>0</v>
      </c>
      <c r="J240" s="57">
        <f>I240/$I$25</f>
        <v>0</v>
      </c>
    </row>
    <row r="241" spans="1:10" x14ac:dyDescent="0.25">
      <c r="A241" s="61">
        <v>2</v>
      </c>
      <c r="B241" s="50">
        <v>3</v>
      </c>
      <c r="C241" s="50">
        <v>3</v>
      </c>
      <c r="D241" s="50">
        <v>5</v>
      </c>
      <c r="E241" s="50"/>
      <c r="F241" s="69" t="s">
        <v>205</v>
      </c>
      <c r="G241" s="51">
        <f>SUM(G242)</f>
        <v>0</v>
      </c>
      <c r="H241" s="51">
        <f>SUM(H242)</f>
        <v>0</v>
      </c>
      <c r="I241" s="51">
        <f t="shared" si="12"/>
        <v>0</v>
      </c>
      <c r="J241" s="58"/>
    </row>
    <row r="242" spans="1:10" x14ac:dyDescent="0.25">
      <c r="A242" s="62">
        <v>2</v>
      </c>
      <c r="B242" s="54">
        <v>3</v>
      </c>
      <c r="C242" s="54">
        <v>3</v>
      </c>
      <c r="D242" s="54">
        <v>5</v>
      </c>
      <c r="E242" s="55" t="s">
        <v>31</v>
      </c>
      <c r="F242" s="68" t="s">
        <v>205</v>
      </c>
      <c r="G242" s="56">
        <f>'[1]CUENTA T FONDO 100'!DY127</f>
        <v>0</v>
      </c>
      <c r="H242" s="56">
        <f>'[1]CUENTA T VS'!DY89</f>
        <v>0</v>
      </c>
      <c r="I242" s="56">
        <f t="shared" si="12"/>
        <v>0</v>
      </c>
      <c r="J242" s="57">
        <f>I242/$I$25</f>
        <v>0</v>
      </c>
    </row>
    <row r="243" spans="1:10" x14ac:dyDescent="0.25">
      <c r="A243" s="61">
        <v>2</v>
      </c>
      <c r="B243" s="50">
        <v>3</v>
      </c>
      <c r="C243" s="50">
        <v>3</v>
      </c>
      <c r="D243" s="50">
        <v>6</v>
      </c>
      <c r="E243" s="50"/>
      <c r="F243" s="69" t="s">
        <v>206</v>
      </c>
      <c r="G243" s="51">
        <f>SUM(G244)</f>
        <v>0</v>
      </c>
      <c r="H243" s="51">
        <f>SUM(H244)</f>
        <v>0</v>
      </c>
      <c r="I243" s="51">
        <f t="shared" si="12"/>
        <v>0</v>
      </c>
      <c r="J243" s="58"/>
    </row>
    <row r="244" spans="1:10" x14ac:dyDescent="0.25">
      <c r="A244" s="62">
        <v>2</v>
      </c>
      <c r="B244" s="54">
        <v>3</v>
      </c>
      <c r="C244" s="54">
        <v>3</v>
      </c>
      <c r="D244" s="54">
        <v>6</v>
      </c>
      <c r="E244" s="55" t="s">
        <v>31</v>
      </c>
      <c r="F244" s="68" t="s">
        <v>206</v>
      </c>
      <c r="G244" s="56">
        <f>'[1]CUENTA T FONDO 100'!DZ127</f>
        <v>0</v>
      </c>
      <c r="H244" s="56">
        <f>'[1]CUENTA T VS'!DZ89</f>
        <v>0</v>
      </c>
      <c r="I244" s="56">
        <f t="shared" si="12"/>
        <v>0</v>
      </c>
      <c r="J244" s="57">
        <f>I244/$I$25</f>
        <v>0</v>
      </c>
    </row>
    <row r="245" spans="1:10" x14ac:dyDescent="0.25">
      <c r="A245" s="60">
        <v>2</v>
      </c>
      <c r="B245" s="47">
        <v>3</v>
      </c>
      <c r="C245" s="47">
        <v>4</v>
      </c>
      <c r="D245" s="47"/>
      <c r="E245" s="65"/>
      <c r="F245" s="70" t="s">
        <v>207</v>
      </c>
      <c r="G245" s="48">
        <f>+G246+G248</f>
        <v>6349109</v>
      </c>
      <c r="H245" s="48">
        <f>+H246+H248</f>
        <v>92000</v>
      </c>
      <c r="I245" s="48">
        <f t="shared" si="12"/>
        <v>6441109</v>
      </c>
      <c r="J245" s="45"/>
    </row>
    <row r="246" spans="1:10" x14ac:dyDescent="0.25">
      <c r="A246" s="61">
        <v>2</v>
      </c>
      <c r="B246" s="50">
        <v>3</v>
      </c>
      <c r="C246" s="50">
        <v>4</v>
      </c>
      <c r="D246" s="50">
        <v>1</v>
      </c>
      <c r="E246" s="50"/>
      <c r="F246" s="69" t="s">
        <v>208</v>
      </c>
      <c r="G246" s="51">
        <f>SUM(G247)</f>
        <v>6349109</v>
      </c>
      <c r="H246" s="51">
        <f>SUM(H247)</f>
        <v>92000</v>
      </c>
      <c r="I246" s="51">
        <f t="shared" si="12"/>
        <v>6441109</v>
      </c>
      <c r="J246" s="58"/>
    </row>
    <row r="247" spans="1:10" x14ac:dyDescent="0.25">
      <c r="A247" s="62">
        <v>2</v>
      </c>
      <c r="B247" s="54">
        <v>3</v>
      </c>
      <c r="C247" s="54">
        <v>4</v>
      </c>
      <c r="D247" s="54">
        <v>1</v>
      </c>
      <c r="E247" s="55" t="s">
        <v>31</v>
      </c>
      <c r="F247" s="68" t="s">
        <v>208</v>
      </c>
      <c r="G247" s="56">
        <f>'[1]CUENTA T FONDO 100'!EA127</f>
        <v>6349109</v>
      </c>
      <c r="H247" s="56">
        <f>'[1]CUENTA T VS'!EA89</f>
        <v>92000</v>
      </c>
      <c r="I247" s="56">
        <f t="shared" si="12"/>
        <v>6441109</v>
      </c>
      <c r="J247" s="57">
        <f>I247/$I$25</f>
        <v>6.662167044924909E-2</v>
      </c>
    </row>
    <row r="248" spans="1:10" ht="25.5" x14ac:dyDescent="0.25">
      <c r="A248" s="61">
        <v>2</v>
      </c>
      <c r="B248" s="50">
        <v>3</v>
      </c>
      <c r="C248" s="50">
        <v>4</v>
      </c>
      <c r="D248" s="50">
        <v>2</v>
      </c>
      <c r="E248" s="50"/>
      <c r="F248" s="69" t="s">
        <v>209</v>
      </c>
      <c r="G248" s="51">
        <f>SUM(G249)</f>
        <v>0</v>
      </c>
      <c r="H248" s="51">
        <f>SUM(H249)</f>
        <v>0</v>
      </c>
      <c r="I248" s="51">
        <f t="shared" si="12"/>
        <v>0</v>
      </c>
      <c r="J248" s="58"/>
    </row>
    <row r="249" spans="1:10" ht="25.5" x14ac:dyDescent="0.25">
      <c r="A249" s="62">
        <v>2</v>
      </c>
      <c r="B249" s="54">
        <v>3</v>
      </c>
      <c r="C249" s="54">
        <v>4</v>
      </c>
      <c r="D249" s="54">
        <v>2</v>
      </c>
      <c r="E249" s="55" t="s">
        <v>31</v>
      </c>
      <c r="F249" s="68" t="s">
        <v>209</v>
      </c>
      <c r="G249" s="56">
        <f>'[1]CUENTA T FONDO 100'!EB127</f>
        <v>0</v>
      </c>
      <c r="H249" s="56">
        <f>'[1]CUENTA T VS'!EB89</f>
        <v>0</v>
      </c>
      <c r="I249" s="56">
        <f t="shared" si="12"/>
        <v>0</v>
      </c>
      <c r="J249" s="57">
        <f>I249/$I$25</f>
        <v>0</v>
      </c>
    </row>
    <row r="250" spans="1:10" x14ac:dyDescent="0.25">
      <c r="A250" s="60">
        <v>2</v>
      </c>
      <c r="B250" s="47">
        <v>3</v>
      </c>
      <c r="C250" s="47">
        <v>5</v>
      </c>
      <c r="D250" s="47"/>
      <c r="E250" s="65"/>
      <c r="F250" s="70" t="s">
        <v>210</v>
      </c>
      <c r="G250" s="48">
        <f>+G251+G253+G255+G257+G259</f>
        <v>506546.35000000003</v>
      </c>
      <c r="H250" s="48">
        <f>+H251+H253+H255+H257+H259</f>
        <v>0</v>
      </c>
      <c r="I250" s="48">
        <f t="shared" si="12"/>
        <v>506546.35000000003</v>
      </c>
      <c r="J250" s="45"/>
    </row>
    <row r="251" spans="1:10" x14ac:dyDescent="0.25">
      <c r="A251" s="61">
        <v>2</v>
      </c>
      <c r="B251" s="50">
        <v>3</v>
      </c>
      <c r="C251" s="50">
        <v>5</v>
      </c>
      <c r="D251" s="50">
        <v>1</v>
      </c>
      <c r="E251" s="50"/>
      <c r="F251" s="69" t="s">
        <v>211</v>
      </c>
      <c r="G251" s="51">
        <f>SUM(G252)</f>
        <v>0</v>
      </c>
      <c r="H251" s="51">
        <f>SUM(H252)</f>
        <v>0</v>
      </c>
      <c r="I251" s="51">
        <f t="shared" si="12"/>
        <v>0</v>
      </c>
      <c r="J251" s="58"/>
    </row>
    <row r="252" spans="1:10" x14ac:dyDescent="0.25">
      <c r="A252" s="62">
        <v>2</v>
      </c>
      <c r="B252" s="54">
        <v>3</v>
      </c>
      <c r="C252" s="54">
        <v>5</v>
      </c>
      <c r="D252" s="54">
        <v>1</v>
      </c>
      <c r="E252" s="55" t="s">
        <v>31</v>
      </c>
      <c r="F252" s="68" t="s">
        <v>211</v>
      </c>
      <c r="G252" s="56">
        <f>'[1]CUENTA T FONDO 100'!EC127</f>
        <v>0</v>
      </c>
      <c r="H252" s="56">
        <f>'[1]CUENTA T VS'!EC89</f>
        <v>0</v>
      </c>
      <c r="I252" s="56">
        <f t="shared" si="12"/>
        <v>0</v>
      </c>
      <c r="J252" s="57">
        <f>I252/$I$25</f>
        <v>0</v>
      </c>
    </row>
    <row r="253" spans="1:10" x14ac:dyDescent="0.25">
      <c r="A253" s="61">
        <v>2</v>
      </c>
      <c r="B253" s="50">
        <v>3</v>
      </c>
      <c r="C253" s="50">
        <v>5</v>
      </c>
      <c r="D253" s="50">
        <v>2</v>
      </c>
      <c r="E253" s="50"/>
      <c r="F253" s="69" t="s">
        <v>212</v>
      </c>
      <c r="G253" s="51">
        <f>SUM(G254)</f>
        <v>0</v>
      </c>
      <c r="H253" s="51">
        <f>SUM(H254)</f>
        <v>0</v>
      </c>
      <c r="I253" s="51">
        <f t="shared" si="12"/>
        <v>0</v>
      </c>
      <c r="J253" s="58"/>
    </row>
    <row r="254" spans="1:10" x14ac:dyDescent="0.25">
      <c r="A254" s="62">
        <v>2</v>
      </c>
      <c r="B254" s="54">
        <v>3</v>
      </c>
      <c r="C254" s="54">
        <v>5</v>
      </c>
      <c r="D254" s="54">
        <v>2</v>
      </c>
      <c r="E254" s="55" t="s">
        <v>31</v>
      </c>
      <c r="F254" s="68" t="s">
        <v>212</v>
      </c>
      <c r="G254" s="56">
        <f>'[1]CUENTA T FONDO 100'!ED127</f>
        <v>0</v>
      </c>
      <c r="H254" s="56">
        <f>'[1]CUENTA T VS'!ED89</f>
        <v>0</v>
      </c>
      <c r="I254" s="56">
        <f t="shared" si="12"/>
        <v>0</v>
      </c>
      <c r="J254" s="57">
        <f>I254/$I$25</f>
        <v>0</v>
      </c>
    </row>
    <row r="255" spans="1:10" x14ac:dyDescent="0.25">
      <c r="A255" s="61">
        <v>2</v>
      </c>
      <c r="B255" s="50">
        <v>3</v>
      </c>
      <c r="C255" s="50">
        <v>5</v>
      </c>
      <c r="D255" s="50">
        <v>3</v>
      </c>
      <c r="E255" s="50"/>
      <c r="F255" s="69" t="s">
        <v>213</v>
      </c>
      <c r="G255" s="51">
        <f>SUM(G256)</f>
        <v>0</v>
      </c>
      <c r="H255" s="51">
        <f>SUM(H256)</f>
        <v>0</v>
      </c>
      <c r="I255" s="51">
        <f t="shared" si="12"/>
        <v>0</v>
      </c>
      <c r="J255" s="58"/>
    </row>
    <row r="256" spans="1:10" x14ac:dyDescent="0.25">
      <c r="A256" s="62">
        <v>2</v>
      </c>
      <c r="B256" s="54">
        <v>3</v>
      </c>
      <c r="C256" s="54">
        <v>5</v>
      </c>
      <c r="D256" s="54">
        <v>3</v>
      </c>
      <c r="E256" s="55" t="s">
        <v>31</v>
      </c>
      <c r="F256" s="68" t="s">
        <v>213</v>
      </c>
      <c r="G256" s="56">
        <f>'[1]CUENTA T FONDO 100'!EE127</f>
        <v>0</v>
      </c>
      <c r="H256" s="56">
        <f>'[1]CUENTA T VS'!EE89</f>
        <v>0</v>
      </c>
      <c r="I256" s="56">
        <f t="shared" si="12"/>
        <v>0</v>
      </c>
      <c r="J256" s="57">
        <f>I256/$I$25</f>
        <v>0</v>
      </c>
    </row>
    <row r="257" spans="1:10" x14ac:dyDescent="0.25">
      <c r="A257" s="61">
        <v>2</v>
      </c>
      <c r="B257" s="50">
        <v>3</v>
      </c>
      <c r="C257" s="50">
        <v>5</v>
      </c>
      <c r="D257" s="50">
        <v>4</v>
      </c>
      <c r="E257" s="50"/>
      <c r="F257" s="69" t="s">
        <v>214</v>
      </c>
      <c r="G257" s="51">
        <f>SUM(G258)</f>
        <v>13349.69</v>
      </c>
      <c r="H257" s="51">
        <f>SUM(H258)</f>
        <v>0</v>
      </c>
      <c r="I257" s="51">
        <f t="shared" si="12"/>
        <v>13349.69</v>
      </c>
      <c r="J257" s="58"/>
    </row>
    <row r="258" spans="1:10" x14ac:dyDescent="0.25">
      <c r="A258" s="62">
        <v>2</v>
      </c>
      <c r="B258" s="54">
        <v>3</v>
      </c>
      <c r="C258" s="54">
        <v>5</v>
      </c>
      <c r="D258" s="54">
        <v>4</v>
      </c>
      <c r="E258" s="55" t="s">
        <v>31</v>
      </c>
      <c r="F258" s="68" t="s">
        <v>214</v>
      </c>
      <c r="G258" s="56">
        <f>'[1]CUENTA T FONDO 100'!EF127</f>
        <v>13349.69</v>
      </c>
      <c r="H258" s="56">
        <f>'[1]CUENTA T VS'!EF89</f>
        <v>0</v>
      </c>
      <c r="I258" s="56">
        <f t="shared" si="12"/>
        <v>13349.69</v>
      </c>
      <c r="J258" s="57">
        <f>I258/$I$25</f>
        <v>1.3807849669670799E-4</v>
      </c>
    </row>
    <row r="259" spans="1:10" x14ac:dyDescent="0.25">
      <c r="A259" s="61">
        <v>2</v>
      </c>
      <c r="B259" s="50">
        <v>3</v>
      </c>
      <c r="C259" s="50">
        <v>5</v>
      </c>
      <c r="D259" s="50">
        <v>5</v>
      </c>
      <c r="E259" s="50"/>
      <c r="F259" s="69" t="s">
        <v>215</v>
      </c>
      <c r="G259" s="51">
        <f>SUM(G260)</f>
        <v>493196.66000000003</v>
      </c>
      <c r="H259" s="51">
        <f>SUM(H260)</f>
        <v>0</v>
      </c>
      <c r="I259" s="51">
        <f t="shared" si="12"/>
        <v>493196.66000000003</v>
      </c>
      <c r="J259" s="58"/>
    </row>
    <row r="260" spans="1:10" x14ac:dyDescent="0.25">
      <c r="A260" s="62">
        <v>2</v>
      </c>
      <c r="B260" s="54">
        <v>3</v>
      </c>
      <c r="C260" s="54">
        <v>5</v>
      </c>
      <c r="D260" s="54">
        <v>5</v>
      </c>
      <c r="E260" s="55" t="s">
        <v>31</v>
      </c>
      <c r="F260" s="68" t="s">
        <v>215</v>
      </c>
      <c r="G260" s="56">
        <f>'[1]CUENTA T FONDO 100'!EG127</f>
        <v>493196.66000000003</v>
      </c>
      <c r="H260" s="56">
        <f>'[1]CUENTA T VS'!EG89</f>
        <v>0</v>
      </c>
      <c r="I260" s="56">
        <f t="shared" si="12"/>
        <v>493196.66000000003</v>
      </c>
      <c r="J260" s="57">
        <f>I260/$I$25</f>
        <v>5.1012310689339917E-3</v>
      </c>
    </row>
    <row r="261" spans="1:10" ht="25.5" x14ac:dyDescent="0.25">
      <c r="A261" s="60">
        <v>2</v>
      </c>
      <c r="B261" s="47">
        <v>3</v>
      </c>
      <c r="C261" s="47">
        <v>6</v>
      </c>
      <c r="D261" s="47"/>
      <c r="E261" s="47"/>
      <c r="F261" s="70" t="s">
        <v>216</v>
      </c>
      <c r="G261" s="48">
        <f>+G262+G268+G272+G276+G284</f>
        <v>351015.88</v>
      </c>
      <c r="H261" s="48">
        <f>+H262+H268+H272+H276+H284</f>
        <v>0</v>
      </c>
      <c r="I261" s="48">
        <f t="shared" si="12"/>
        <v>351015.88</v>
      </c>
      <c r="J261" s="45"/>
    </row>
    <row r="262" spans="1:10" ht="25.5" x14ac:dyDescent="0.25">
      <c r="A262" s="61">
        <v>2</v>
      </c>
      <c r="B262" s="50">
        <v>3</v>
      </c>
      <c r="C262" s="50">
        <v>6</v>
      </c>
      <c r="D262" s="50">
        <v>1</v>
      </c>
      <c r="E262" s="50"/>
      <c r="F262" s="69" t="s">
        <v>217</v>
      </c>
      <c r="G262" s="51">
        <f>SUM(G263:G267)</f>
        <v>26668</v>
      </c>
      <c r="H262" s="51">
        <f>SUM(H263:H267)</f>
        <v>0</v>
      </c>
      <c r="I262" s="51">
        <f t="shared" si="12"/>
        <v>26668</v>
      </c>
      <c r="J262" s="58"/>
    </row>
    <row r="263" spans="1:10" x14ac:dyDescent="0.25">
      <c r="A263" s="62">
        <v>2</v>
      </c>
      <c r="B263" s="54">
        <v>3</v>
      </c>
      <c r="C263" s="54">
        <v>6</v>
      </c>
      <c r="D263" s="54">
        <v>1</v>
      </c>
      <c r="E263" s="55" t="s">
        <v>31</v>
      </c>
      <c r="F263" s="68" t="s">
        <v>218</v>
      </c>
      <c r="G263" s="56">
        <f>'[1]CUENTA T FONDO 100'!EH127</f>
        <v>0</v>
      </c>
      <c r="H263" s="56">
        <f>'[1]CUENTA T VS'!EH89</f>
        <v>0</v>
      </c>
      <c r="I263" s="56">
        <f t="shared" si="12"/>
        <v>0</v>
      </c>
      <c r="J263" s="57">
        <f>I263/$I$25</f>
        <v>0</v>
      </c>
    </row>
    <row r="264" spans="1:10" x14ac:dyDescent="0.25">
      <c r="A264" s="62">
        <v>2</v>
      </c>
      <c r="B264" s="54">
        <v>3</v>
      </c>
      <c r="C264" s="54">
        <v>6</v>
      </c>
      <c r="D264" s="54">
        <v>1</v>
      </c>
      <c r="E264" s="55" t="s">
        <v>33</v>
      </c>
      <c r="F264" s="68" t="s">
        <v>219</v>
      </c>
      <c r="G264" s="56">
        <f>'[1]CUENTA T FONDO 100'!EI127</f>
        <v>0</v>
      </c>
      <c r="H264" s="56">
        <f>'[1]CUENTA T VS'!EI89</f>
        <v>0</v>
      </c>
      <c r="I264" s="56">
        <f t="shared" si="12"/>
        <v>0</v>
      </c>
      <c r="J264" s="57">
        <f>I264/$I$25</f>
        <v>0</v>
      </c>
    </row>
    <row r="265" spans="1:10" x14ac:dyDescent="0.25">
      <c r="A265" s="62">
        <v>2</v>
      </c>
      <c r="B265" s="54">
        <v>3</v>
      </c>
      <c r="C265" s="54">
        <v>6</v>
      </c>
      <c r="D265" s="54">
        <v>1</v>
      </c>
      <c r="E265" s="55" t="s">
        <v>35</v>
      </c>
      <c r="F265" s="68" t="s">
        <v>220</v>
      </c>
      <c r="G265" s="56">
        <f>'[1]CUENTA T FONDO 100'!EJ127</f>
        <v>0</v>
      </c>
      <c r="H265" s="56">
        <f>'[1]CUENTA T VS'!EJ89</f>
        <v>0</v>
      </c>
      <c r="I265" s="56">
        <f t="shared" si="12"/>
        <v>0</v>
      </c>
      <c r="J265" s="57">
        <f>I265/$I$25</f>
        <v>0</v>
      </c>
    </row>
    <row r="266" spans="1:10" x14ac:dyDescent="0.25">
      <c r="A266" s="62">
        <v>2</v>
      </c>
      <c r="B266" s="54">
        <v>3</v>
      </c>
      <c r="C266" s="54">
        <v>6</v>
      </c>
      <c r="D266" s="54">
        <v>1</v>
      </c>
      <c r="E266" s="55" t="s">
        <v>37</v>
      </c>
      <c r="F266" s="68" t="s">
        <v>221</v>
      </c>
      <c r="G266" s="56">
        <f>'[1]CUENTA T FONDO 100'!EK127</f>
        <v>26668</v>
      </c>
      <c r="H266" s="56">
        <f>'[1]CUENTA T VS'!EK89</f>
        <v>0</v>
      </c>
      <c r="I266" s="56">
        <f t="shared" si="12"/>
        <v>26668</v>
      </c>
      <c r="J266" s="57">
        <f>I266/$I$25</f>
        <v>2.7583242381716794E-4</v>
      </c>
    </row>
    <row r="267" spans="1:10" x14ac:dyDescent="0.25">
      <c r="A267" s="62">
        <v>2</v>
      </c>
      <c r="B267" s="54">
        <v>3</v>
      </c>
      <c r="C267" s="54">
        <v>6</v>
      </c>
      <c r="D267" s="54">
        <v>1</v>
      </c>
      <c r="E267" s="55" t="s">
        <v>39</v>
      </c>
      <c r="F267" s="68" t="s">
        <v>222</v>
      </c>
      <c r="G267" s="56">
        <f>'[1]CUENTA T FONDO 100'!EL127</f>
        <v>0</v>
      </c>
      <c r="H267" s="56">
        <f>'[1]CUENTA T VS'!EL89</f>
        <v>0</v>
      </c>
      <c r="I267" s="56">
        <f t="shared" si="12"/>
        <v>0</v>
      </c>
      <c r="J267" s="57">
        <f>I267/$I$25</f>
        <v>0</v>
      </c>
    </row>
    <row r="268" spans="1:10" x14ac:dyDescent="0.25">
      <c r="A268" s="61">
        <v>2</v>
      </c>
      <c r="B268" s="50">
        <v>3</v>
      </c>
      <c r="C268" s="50">
        <v>6</v>
      </c>
      <c r="D268" s="50">
        <v>2</v>
      </c>
      <c r="E268" s="50"/>
      <c r="F268" s="69" t="s">
        <v>223</v>
      </c>
      <c r="G268" s="51">
        <f>SUM(G269:G271)</f>
        <v>245706.09</v>
      </c>
      <c r="H268" s="51">
        <f>SUM(H269:H271)</f>
        <v>0</v>
      </c>
      <c r="I268" s="51">
        <f t="shared" si="12"/>
        <v>245706.09</v>
      </c>
      <c r="J268" s="58"/>
    </row>
    <row r="269" spans="1:10" x14ac:dyDescent="0.25">
      <c r="A269" s="62">
        <v>2</v>
      </c>
      <c r="B269" s="54">
        <v>3</v>
      </c>
      <c r="C269" s="54">
        <v>6</v>
      </c>
      <c r="D269" s="54">
        <v>2</v>
      </c>
      <c r="E269" s="55" t="s">
        <v>31</v>
      </c>
      <c r="F269" s="68" t="s">
        <v>224</v>
      </c>
      <c r="G269" s="56">
        <f>'[1]CUENTA T FONDO 100'!EM127</f>
        <v>40356</v>
      </c>
      <c r="H269" s="56">
        <f>'[1]CUENTA T VS'!EM89</f>
        <v>0</v>
      </c>
      <c r="I269" s="56">
        <f t="shared" si="12"/>
        <v>40356</v>
      </c>
      <c r="J269" s="57">
        <f>I269/$I$25</f>
        <v>4.1741012807730723E-4</v>
      </c>
    </row>
    <row r="270" spans="1:10" x14ac:dyDescent="0.25">
      <c r="A270" s="62">
        <v>2</v>
      </c>
      <c r="B270" s="54">
        <v>3</v>
      </c>
      <c r="C270" s="54">
        <v>6</v>
      </c>
      <c r="D270" s="54">
        <v>2</v>
      </c>
      <c r="E270" s="55" t="s">
        <v>33</v>
      </c>
      <c r="F270" s="68" t="s">
        <v>225</v>
      </c>
      <c r="G270" s="56">
        <f>'[1]CUENTA T FONDO 100'!EN127</f>
        <v>0</v>
      </c>
      <c r="H270" s="56">
        <f>'[1]CUENTA T VS'!EN89</f>
        <v>0</v>
      </c>
      <c r="I270" s="56">
        <f t="shared" si="12"/>
        <v>0</v>
      </c>
      <c r="J270" s="57">
        <f>I270/$I$25</f>
        <v>0</v>
      </c>
    </row>
    <row r="271" spans="1:10" x14ac:dyDescent="0.25">
      <c r="A271" s="62">
        <v>2</v>
      </c>
      <c r="B271" s="54">
        <v>3</v>
      </c>
      <c r="C271" s="54">
        <v>6</v>
      </c>
      <c r="D271" s="54">
        <v>2</v>
      </c>
      <c r="E271" s="55" t="s">
        <v>35</v>
      </c>
      <c r="F271" s="68" t="s">
        <v>226</v>
      </c>
      <c r="G271" s="56">
        <f>'[1]CUENTA T FONDO 100'!EO127</f>
        <v>205350.09</v>
      </c>
      <c r="H271" s="56">
        <f>'[1]CUENTA T VS'!EO89</f>
        <v>0</v>
      </c>
      <c r="I271" s="56">
        <f t="shared" si="12"/>
        <v>205350.09</v>
      </c>
      <c r="J271" s="57">
        <f>I271/$I$25</f>
        <v>2.1239767907519718E-3</v>
      </c>
    </row>
    <row r="272" spans="1:10" x14ac:dyDescent="0.25">
      <c r="A272" s="61">
        <v>2</v>
      </c>
      <c r="B272" s="50">
        <v>3</v>
      </c>
      <c r="C272" s="50">
        <v>6</v>
      </c>
      <c r="D272" s="50">
        <v>3</v>
      </c>
      <c r="E272" s="50"/>
      <c r="F272" s="69" t="s">
        <v>227</v>
      </c>
      <c r="G272" s="51">
        <f>SUM(G273:G275)</f>
        <v>78641.790000000008</v>
      </c>
      <c r="H272" s="51">
        <f>SUM(H273:H275)</f>
        <v>0</v>
      </c>
      <c r="I272" s="51">
        <f t="shared" si="12"/>
        <v>78641.790000000008</v>
      </c>
      <c r="J272" s="58"/>
    </row>
    <row r="273" spans="1:10" x14ac:dyDescent="0.25">
      <c r="A273" s="62">
        <v>2</v>
      </c>
      <c r="B273" s="54">
        <v>3</v>
      </c>
      <c r="C273" s="54">
        <v>6</v>
      </c>
      <c r="D273" s="54">
        <v>3</v>
      </c>
      <c r="E273" s="55" t="s">
        <v>37</v>
      </c>
      <c r="F273" s="68" t="s">
        <v>228</v>
      </c>
      <c r="G273" s="56">
        <f>'[1]CUENTA T FONDO 100'!EP127</f>
        <v>12331</v>
      </c>
      <c r="H273" s="56">
        <f>'[1]CUENTA T VS'!EP89</f>
        <v>0</v>
      </c>
      <c r="I273" s="56">
        <f t="shared" si="12"/>
        <v>12331</v>
      </c>
      <c r="J273" s="57">
        <f>I273/$I$25</f>
        <v>1.275419835791772E-4</v>
      </c>
    </row>
    <row r="274" spans="1:10" x14ac:dyDescent="0.25">
      <c r="A274" s="62">
        <v>2</v>
      </c>
      <c r="B274" s="54">
        <v>3</v>
      </c>
      <c r="C274" s="54">
        <v>6</v>
      </c>
      <c r="D274" s="54">
        <v>3</v>
      </c>
      <c r="E274" s="55" t="s">
        <v>39</v>
      </c>
      <c r="F274" s="68" t="s">
        <v>229</v>
      </c>
      <c r="G274" s="56">
        <f>'[1]CUENTA T FONDO 100'!EQ127</f>
        <v>0</v>
      </c>
      <c r="H274" s="56">
        <f>'[1]CUENTA T VS'!EQ89</f>
        <v>0</v>
      </c>
      <c r="I274" s="56">
        <f t="shared" si="12"/>
        <v>0</v>
      </c>
      <c r="J274" s="57">
        <f>I274/$I$25</f>
        <v>0</v>
      </c>
    </row>
    <row r="275" spans="1:10" x14ac:dyDescent="0.25">
      <c r="A275" s="62">
        <v>2</v>
      </c>
      <c r="B275" s="54">
        <v>3</v>
      </c>
      <c r="C275" s="54">
        <v>6</v>
      </c>
      <c r="D275" s="54">
        <v>3</v>
      </c>
      <c r="E275" s="55" t="s">
        <v>41</v>
      </c>
      <c r="F275" s="68" t="s">
        <v>230</v>
      </c>
      <c r="G275" s="56">
        <f>'[1]CUENTA T FONDO 100'!ER127</f>
        <v>66310.790000000008</v>
      </c>
      <c r="H275" s="56">
        <f>'[1]CUENTA T VS'!ER89</f>
        <v>0</v>
      </c>
      <c r="I275" s="56">
        <f t="shared" si="12"/>
        <v>66310.790000000008</v>
      </c>
      <c r="J275" s="57">
        <f>I275/$I$25</f>
        <v>6.8586567912596458E-4</v>
      </c>
    </row>
    <row r="276" spans="1:10" x14ac:dyDescent="0.25">
      <c r="A276" s="61">
        <v>2</v>
      </c>
      <c r="B276" s="50">
        <v>3</v>
      </c>
      <c r="C276" s="50">
        <v>6</v>
      </c>
      <c r="D276" s="50">
        <v>4</v>
      </c>
      <c r="E276" s="50"/>
      <c r="F276" s="69" t="s">
        <v>231</v>
      </c>
      <c r="G276" s="51">
        <f>SUM(G277:G283)</f>
        <v>0</v>
      </c>
      <c r="H276" s="51">
        <f>SUM(H277:H283)</f>
        <v>0</v>
      </c>
      <c r="I276" s="51">
        <f t="shared" si="12"/>
        <v>0</v>
      </c>
      <c r="J276" s="58"/>
    </row>
    <row r="277" spans="1:10" x14ac:dyDescent="0.25">
      <c r="A277" s="62">
        <v>2</v>
      </c>
      <c r="B277" s="54">
        <v>3</v>
      </c>
      <c r="C277" s="54">
        <v>6</v>
      </c>
      <c r="D277" s="54">
        <v>4</v>
      </c>
      <c r="E277" s="55" t="s">
        <v>31</v>
      </c>
      <c r="F277" s="68" t="s">
        <v>232</v>
      </c>
      <c r="G277" s="56">
        <f>'[1]CUENTA T FONDO 100'!ES127</f>
        <v>0</v>
      </c>
      <c r="H277" s="56">
        <f>'[1]CUENTA T VS'!ES89</f>
        <v>0</v>
      </c>
      <c r="I277" s="56">
        <f t="shared" si="12"/>
        <v>0</v>
      </c>
      <c r="J277" s="57">
        <f t="shared" ref="J277:J283" si="13">I277/$I$25</f>
        <v>0</v>
      </c>
    </row>
    <row r="278" spans="1:10" x14ac:dyDescent="0.25">
      <c r="A278" s="62">
        <v>2</v>
      </c>
      <c r="B278" s="54">
        <v>3</v>
      </c>
      <c r="C278" s="54">
        <v>6</v>
      </c>
      <c r="D278" s="54">
        <v>4</v>
      </c>
      <c r="E278" s="55" t="s">
        <v>33</v>
      </c>
      <c r="F278" s="68" t="s">
        <v>233</v>
      </c>
      <c r="G278" s="56">
        <f>'[1]CUENTA T FONDO 100'!ET127</f>
        <v>0</v>
      </c>
      <c r="H278" s="56">
        <f>'[1]CUENTA T VS'!ET89</f>
        <v>0</v>
      </c>
      <c r="I278" s="56">
        <f t="shared" si="12"/>
        <v>0</v>
      </c>
      <c r="J278" s="57">
        <f t="shared" si="13"/>
        <v>0</v>
      </c>
    </row>
    <row r="279" spans="1:10" x14ac:dyDescent="0.25">
      <c r="A279" s="62">
        <v>2</v>
      </c>
      <c r="B279" s="54">
        <v>3</v>
      </c>
      <c r="C279" s="54">
        <v>6</v>
      </c>
      <c r="D279" s="54">
        <v>4</v>
      </c>
      <c r="E279" s="55" t="s">
        <v>35</v>
      </c>
      <c r="F279" s="68" t="s">
        <v>234</v>
      </c>
      <c r="G279" s="56">
        <f>'[1]CUENTA T FONDO 100'!EU127</f>
        <v>0</v>
      </c>
      <c r="H279" s="56">
        <f>'[1]CUENTA T VS'!EU89</f>
        <v>0</v>
      </c>
      <c r="I279" s="56">
        <f t="shared" si="12"/>
        <v>0</v>
      </c>
      <c r="J279" s="57">
        <f t="shared" si="13"/>
        <v>0</v>
      </c>
    </row>
    <row r="280" spans="1:10" x14ac:dyDescent="0.25">
      <c r="A280" s="62">
        <v>2</v>
      </c>
      <c r="B280" s="54">
        <v>3</v>
      </c>
      <c r="C280" s="54">
        <v>6</v>
      </c>
      <c r="D280" s="54">
        <v>4</v>
      </c>
      <c r="E280" s="55" t="s">
        <v>37</v>
      </c>
      <c r="F280" s="68" t="s">
        <v>235</v>
      </c>
      <c r="G280" s="56">
        <f>'[1]CUENTA T FONDO 100'!EV127</f>
        <v>0</v>
      </c>
      <c r="H280" s="56">
        <f>'[1]CUENTA T VS'!EV89</f>
        <v>0</v>
      </c>
      <c r="I280" s="56">
        <f t="shared" si="12"/>
        <v>0</v>
      </c>
      <c r="J280" s="57">
        <f t="shared" si="13"/>
        <v>0</v>
      </c>
    </row>
    <row r="281" spans="1:10" x14ac:dyDescent="0.25">
      <c r="A281" s="62">
        <v>2</v>
      </c>
      <c r="B281" s="54">
        <v>3</v>
      </c>
      <c r="C281" s="54">
        <v>6</v>
      </c>
      <c r="D281" s="54">
        <v>4</v>
      </c>
      <c r="E281" s="55" t="s">
        <v>39</v>
      </c>
      <c r="F281" s="68" t="s">
        <v>236</v>
      </c>
      <c r="G281" s="56">
        <f>'[1]CUENTA T FONDO 100'!EW127</f>
        <v>0</v>
      </c>
      <c r="H281" s="56">
        <f>'[1]CUENTA T VS'!EW89</f>
        <v>0</v>
      </c>
      <c r="I281" s="56">
        <f t="shared" ref="I281:I344" si="14">SUM(G281:H281)</f>
        <v>0</v>
      </c>
      <c r="J281" s="57">
        <f t="shared" si="13"/>
        <v>0</v>
      </c>
    </row>
    <row r="282" spans="1:10" x14ac:dyDescent="0.25">
      <c r="A282" s="62">
        <v>2</v>
      </c>
      <c r="B282" s="54">
        <v>3</v>
      </c>
      <c r="C282" s="54">
        <v>6</v>
      </c>
      <c r="D282" s="54">
        <v>4</v>
      </c>
      <c r="E282" s="55" t="s">
        <v>41</v>
      </c>
      <c r="F282" s="68" t="s">
        <v>237</v>
      </c>
      <c r="G282" s="56">
        <f>'[1]CUENTA T FONDO 100'!EX127</f>
        <v>0</v>
      </c>
      <c r="H282" s="56">
        <f>'[1]CUENTA T VS'!EX89</f>
        <v>0</v>
      </c>
      <c r="I282" s="56">
        <f t="shared" si="14"/>
        <v>0</v>
      </c>
      <c r="J282" s="57">
        <f t="shared" si="13"/>
        <v>0</v>
      </c>
    </row>
    <row r="283" spans="1:10" x14ac:dyDescent="0.25">
      <c r="A283" s="62">
        <v>2</v>
      </c>
      <c r="B283" s="54">
        <v>3</v>
      </c>
      <c r="C283" s="54">
        <v>6</v>
      </c>
      <c r="D283" s="54">
        <v>4</v>
      </c>
      <c r="E283" s="55" t="s">
        <v>67</v>
      </c>
      <c r="F283" s="68" t="s">
        <v>238</v>
      </c>
      <c r="G283" s="56">
        <f>'[1]CUENTA T FONDO 100'!EY127</f>
        <v>0</v>
      </c>
      <c r="H283" s="56">
        <f>'[1]CUENTA T VS'!EY89</f>
        <v>0</v>
      </c>
      <c r="I283" s="56">
        <f t="shared" si="14"/>
        <v>0</v>
      </c>
      <c r="J283" s="57">
        <f t="shared" si="13"/>
        <v>0</v>
      </c>
    </row>
    <row r="284" spans="1:10" x14ac:dyDescent="0.25">
      <c r="A284" s="61">
        <v>2</v>
      </c>
      <c r="B284" s="50">
        <v>3</v>
      </c>
      <c r="C284" s="50">
        <v>6</v>
      </c>
      <c r="D284" s="50">
        <v>9</v>
      </c>
      <c r="E284" s="50"/>
      <c r="F284" s="69" t="s">
        <v>239</v>
      </c>
      <c r="G284" s="51">
        <f>SUM(G285)</f>
        <v>0</v>
      </c>
      <c r="H284" s="51">
        <f>SUM(H285)</f>
        <v>0</v>
      </c>
      <c r="I284" s="51">
        <f t="shared" si="14"/>
        <v>0</v>
      </c>
      <c r="J284" s="58"/>
    </row>
    <row r="285" spans="1:10" x14ac:dyDescent="0.25">
      <c r="A285" s="62">
        <v>2</v>
      </c>
      <c r="B285" s="54">
        <v>3</v>
      </c>
      <c r="C285" s="54">
        <v>6</v>
      </c>
      <c r="D285" s="54">
        <v>9</v>
      </c>
      <c r="E285" s="55" t="s">
        <v>31</v>
      </c>
      <c r="F285" s="68" t="s">
        <v>240</v>
      </c>
      <c r="G285" s="56">
        <f>'[1]CUENTA T FONDO 100'!EZ127</f>
        <v>0</v>
      </c>
      <c r="H285" s="56">
        <f>'[1]CUENTA T VS'!EZ89</f>
        <v>0</v>
      </c>
      <c r="I285" s="56">
        <f t="shared" si="14"/>
        <v>0</v>
      </c>
      <c r="J285" s="57">
        <f>I285/$I$25</f>
        <v>0</v>
      </c>
    </row>
    <row r="286" spans="1:10" ht="25.5" x14ac:dyDescent="0.25">
      <c r="A286" s="46">
        <v>2</v>
      </c>
      <c r="B286" s="47">
        <v>3</v>
      </c>
      <c r="C286" s="47">
        <v>7</v>
      </c>
      <c r="D286" s="47"/>
      <c r="E286" s="47"/>
      <c r="F286" s="70" t="s">
        <v>241</v>
      </c>
      <c r="G286" s="48">
        <f>G287+G295</f>
        <v>2759191.89</v>
      </c>
      <c r="H286" s="48">
        <f>H287+H295</f>
        <v>226537</v>
      </c>
      <c r="I286" s="48">
        <f t="shared" si="14"/>
        <v>2985728.89</v>
      </c>
      <c r="J286" s="45"/>
    </row>
    <row r="287" spans="1:10" x14ac:dyDescent="0.25">
      <c r="A287" s="61">
        <v>2</v>
      </c>
      <c r="B287" s="50">
        <v>3</v>
      </c>
      <c r="C287" s="50">
        <v>7</v>
      </c>
      <c r="D287" s="50">
        <v>1</v>
      </c>
      <c r="E287" s="50"/>
      <c r="F287" s="69" t="s">
        <v>242</v>
      </c>
      <c r="G287" s="51">
        <f>SUM(G288:G294)</f>
        <v>0</v>
      </c>
      <c r="H287" s="51">
        <f>SUM(H288:H294)</f>
        <v>193879</v>
      </c>
      <c r="I287" s="51">
        <f t="shared" si="14"/>
        <v>193879</v>
      </c>
      <c r="J287" s="58"/>
    </row>
    <row r="288" spans="1:10" x14ac:dyDescent="0.25">
      <c r="A288" s="62">
        <v>2</v>
      </c>
      <c r="B288" s="54">
        <v>3</v>
      </c>
      <c r="C288" s="54">
        <v>7</v>
      </c>
      <c r="D288" s="54">
        <v>1</v>
      </c>
      <c r="E288" s="55" t="s">
        <v>31</v>
      </c>
      <c r="F288" s="68" t="s">
        <v>243</v>
      </c>
      <c r="G288" s="56">
        <f>'[1]CUENTA T FONDO 100'!FA127</f>
        <v>0</v>
      </c>
      <c r="H288" s="56">
        <f>'[1]CUENTA T VS'!FA89</f>
        <v>172000</v>
      </c>
      <c r="I288" s="56">
        <f t="shared" si="14"/>
        <v>172000</v>
      </c>
      <c r="J288" s="57">
        <f t="shared" ref="J288:J294" si="15">I288/$I$25</f>
        <v>1.7790301821116277E-3</v>
      </c>
    </row>
    <row r="289" spans="1:10" x14ac:dyDescent="0.25">
      <c r="A289" s="62">
        <v>2</v>
      </c>
      <c r="B289" s="54">
        <v>3</v>
      </c>
      <c r="C289" s="54">
        <v>7</v>
      </c>
      <c r="D289" s="54">
        <v>1</v>
      </c>
      <c r="E289" s="55" t="s">
        <v>33</v>
      </c>
      <c r="F289" s="68" t="s">
        <v>244</v>
      </c>
      <c r="G289" s="56">
        <f>'[1]CUENTA T FONDO 100'!FB127</f>
        <v>0</v>
      </c>
      <c r="H289" s="56">
        <f>'[1]CUENTA T VS'!FB89</f>
        <v>0</v>
      </c>
      <c r="I289" s="56">
        <f t="shared" si="14"/>
        <v>0</v>
      </c>
      <c r="J289" s="57">
        <f t="shared" si="15"/>
        <v>0</v>
      </c>
    </row>
    <row r="290" spans="1:10" x14ac:dyDescent="0.25">
      <c r="A290" s="62">
        <v>2</v>
      </c>
      <c r="B290" s="54">
        <v>3</v>
      </c>
      <c r="C290" s="54">
        <v>7</v>
      </c>
      <c r="D290" s="54">
        <v>1</v>
      </c>
      <c r="E290" s="55" t="s">
        <v>35</v>
      </c>
      <c r="F290" s="68" t="s">
        <v>245</v>
      </c>
      <c r="G290" s="56">
        <f>'[1]CUENTA T FONDO 100'!FC127</f>
        <v>0</v>
      </c>
      <c r="H290" s="56">
        <f>'[1]CUENTA T VS'!FC89</f>
        <v>0</v>
      </c>
      <c r="I290" s="56">
        <f t="shared" si="14"/>
        <v>0</v>
      </c>
      <c r="J290" s="57">
        <f t="shared" si="15"/>
        <v>0</v>
      </c>
    </row>
    <row r="291" spans="1:10" x14ac:dyDescent="0.25">
      <c r="A291" s="62">
        <v>2</v>
      </c>
      <c r="B291" s="54">
        <v>3</v>
      </c>
      <c r="C291" s="54">
        <v>7</v>
      </c>
      <c r="D291" s="54">
        <v>1</v>
      </c>
      <c r="E291" s="55" t="s">
        <v>37</v>
      </c>
      <c r="F291" s="68" t="s">
        <v>246</v>
      </c>
      <c r="G291" s="56">
        <f>'[1]CUENTA T FONDO 100'!FD127</f>
        <v>0</v>
      </c>
      <c r="H291" s="56">
        <f>'[1]CUENTA T VS'!FD89</f>
        <v>21879</v>
      </c>
      <c r="I291" s="56">
        <f t="shared" si="14"/>
        <v>21879</v>
      </c>
      <c r="J291" s="57">
        <f t="shared" si="15"/>
        <v>2.2629884508383897E-4</v>
      </c>
    </row>
    <row r="292" spans="1:10" x14ac:dyDescent="0.25">
      <c r="A292" s="62">
        <v>2</v>
      </c>
      <c r="B292" s="54">
        <v>3</v>
      </c>
      <c r="C292" s="54">
        <v>7</v>
      </c>
      <c r="D292" s="54">
        <v>1</v>
      </c>
      <c r="E292" s="55" t="s">
        <v>39</v>
      </c>
      <c r="F292" s="68" t="s">
        <v>247</v>
      </c>
      <c r="G292" s="56">
        <f>'[1]CUENTA T FONDO 100'!FE127</f>
        <v>0</v>
      </c>
      <c r="H292" s="56">
        <f>'[1]CUENTA T VS'!FE89</f>
        <v>0</v>
      </c>
      <c r="I292" s="56">
        <f t="shared" si="14"/>
        <v>0</v>
      </c>
      <c r="J292" s="57">
        <f t="shared" si="15"/>
        <v>0</v>
      </c>
    </row>
    <row r="293" spans="1:10" x14ac:dyDescent="0.25">
      <c r="A293" s="62">
        <v>2</v>
      </c>
      <c r="B293" s="54">
        <v>3</v>
      </c>
      <c r="C293" s="54">
        <v>7</v>
      </c>
      <c r="D293" s="54">
        <v>1</v>
      </c>
      <c r="E293" s="55" t="s">
        <v>41</v>
      </c>
      <c r="F293" s="68" t="s">
        <v>248</v>
      </c>
      <c r="G293" s="56">
        <f>'[1]CUENTA T FONDO 100'!FF127</f>
        <v>0</v>
      </c>
      <c r="H293" s="56">
        <f>'[1]CUENTA T VS'!FF89</f>
        <v>0</v>
      </c>
      <c r="I293" s="56">
        <f t="shared" si="14"/>
        <v>0</v>
      </c>
      <c r="J293" s="57">
        <f t="shared" si="15"/>
        <v>0</v>
      </c>
    </row>
    <row r="294" spans="1:10" x14ac:dyDescent="0.25">
      <c r="A294" s="62">
        <v>2</v>
      </c>
      <c r="B294" s="54">
        <v>3</v>
      </c>
      <c r="C294" s="54">
        <v>7</v>
      </c>
      <c r="D294" s="54">
        <v>1</v>
      </c>
      <c r="E294" s="55" t="s">
        <v>67</v>
      </c>
      <c r="F294" s="68" t="s">
        <v>249</v>
      </c>
      <c r="G294" s="56">
        <f>'[1]CUENTA T FONDO 100'!FG127</f>
        <v>0</v>
      </c>
      <c r="H294" s="56">
        <f>'[1]CUENTA T VS'!FG89</f>
        <v>0</v>
      </c>
      <c r="I294" s="56">
        <f t="shared" si="14"/>
        <v>0</v>
      </c>
      <c r="J294" s="57">
        <f t="shared" si="15"/>
        <v>0</v>
      </c>
    </row>
    <row r="295" spans="1:10" x14ac:dyDescent="0.25">
      <c r="A295" s="61">
        <v>2</v>
      </c>
      <c r="B295" s="50">
        <v>3</v>
      </c>
      <c r="C295" s="50">
        <v>7</v>
      </c>
      <c r="D295" s="50">
        <v>2</v>
      </c>
      <c r="E295" s="50"/>
      <c r="F295" s="69" t="s">
        <v>250</v>
      </c>
      <c r="G295" s="51">
        <f>SUM(G296:G302)</f>
        <v>2759191.89</v>
      </c>
      <c r="H295" s="51">
        <f>SUM(H296:H302)</f>
        <v>32658</v>
      </c>
      <c r="I295" s="51">
        <f t="shared" si="14"/>
        <v>2791849.89</v>
      </c>
      <c r="J295" s="58"/>
    </row>
    <row r="296" spans="1:10" x14ac:dyDescent="0.25">
      <c r="A296" s="62">
        <v>2</v>
      </c>
      <c r="B296" s="54">
        <v>3</v>
      </c>
      <c r="C296" s="54">
        <v>7</v>
      </c>
      <c r="D296" s="54">
        <v>2</v>
      </c>
      <c r="E296" s="55" t="s">
        <v>31</v>
      </c>
      <c r="F296" s="68" t="s">
        <v>251</v>
      </c>
      <c r="G296" s="56">
        <f>'[1]CUENTA T FONDO 100'!FH127</f>
        <v>2124</v>
      </c>
      <c r="H296" s="56">
        <f>'[1]CUENTA T VS'!FH89</f>
        <v>0</v>
      </c>
      <c r="I296" s="56">
        <f t="shared" si="14"/>
        <v>2124</v>
      </c>
      <c r="J296" s="57">
        <f t="shared" ref="J296:J302" si="16">I296/$I$25</f>
        <v>2.196895410933196E-5</v>
      </c>
    </row>
    <row r="297" spans="1:10" x14ac:dyDescent="0.25">
      <c r="A297" s="62">
        <v>2</v>
      </c>
      <c r="B297" s="54">
        <v>3</v>
      </c>
      <c r="C297" s="54">
        <v>7</v>
      </c>
      <c r="D297" s="54">
        <v>2</v>
      </c>
      <c r="E297" s="55" t="s">
        <v>33</v>
      </c>
      <c r="F297" s="68" t="s">
        <v>252</v>
      </c>
      <c r="G297" s="56">
        <f>'[1]CUENTA T FONDO 100'!FI127</f>
        <v>0</v>
      </c>
      <c r="H297" s="56">
        <f>'[1]CUENTA T VS'!FI89</f>
        <v>0</v>
      </c>
      <c r="I297" s="56">
        <f t="shared" si="14"/>
        <v>0</v>
      </c>
      <c r="J297" s="57">
        <f t="shared" si="16"/>
        <v>0</v>
      </c>
    </row>
    <row r="298" spans="1:10" ht="25.5" x14ac:dyDescent="0.25">
      <c r="A298" s="62">
        <v>2</v>
      </c>
      <c r="B298" s="54">
        <v>3</v>
      </c>
      <c r="C298" s="54">
        <v>7</v>
      </c>
      <c r="D298" s="54">
        <v>2</v>
      </c>
      <c r="E298" s="55" t="s">
        <v>35</v>
      </c>
      <c r="F298" s="68" t="s">
        <v>253</v>
      </c>
      <c r="G298" s="56">
        <f>'[1]CUENTA T FONDO 100'!FJ127</f>
        <v>2272106.29</v>
      </c>
      <c r="H298" s="56">
        <f>'[1]CUENTA T VS'!FJ89</f>
        <v>32658</v>
      </c>
      <c r="I298" s="56">
        <f t="shared" si="14"/>
        <v>2304764.29</v>
      </c>
      <c r="J298" s="57">
        <f t="shared" si="16"/>
        <v>2.3838635084669046E-2</v>
      </c>
    </row>
    <row r="299" spans="1:10" x14ac:dyDescent="0.25">
      <c r="A299" s="62">
        <v>2</v>
      </c>
      <c r="B299" s="54">
        <v>3</v>
      </c>
      <c r="C299" s="54">
        <v>7</v>
      </c>
      <c r="D299" s="54">
        <v>2</v>
      </c>
      <c r="E299" s="55" t="s">
        <v>37</v>
      </c>
      <c r="F299" s="68" t="s">
        <v>254</v>
      </c>
      <c r="G299" s="56">
        <f>'[1]CUENTA T FONDO 100'!FK127</f>
        <v>0</v>
      </c>
      <c r="H299" s="56">
        <f>'[1]CUENTA T VS'!FK89</f>
        <v>0</v>
      </c>
      <c r="I299" s="56">
        <f t="shared" si="14"/>
        <v>0</v>
      </c>
      <c r="J299" s="57">
        <f t="shared" si="16"/>
        <v>0</v>
      </c>
    </row>
    <row r="300" spans="1:10" x14ac:dyDescent="0.25">
      <c r="A300" s="62">
        <v>2</v>
      </c>
      <c r="B300" s="54">
        <v>3</v>
      </c>
      <c r="C300" s="54">
        <v>7</v>
      </c>
      <c r="D300" s="54">
        <v>2</v>
      </c>
      <c r="E300" s="55" t="s">
        <v>39</v>
      </c>
      <c r="F300" s="68" t="s">
        <v>255</v>
      </c>
      <c r="G300" s="56">
        <f>'[1]CUENTA T FONDO 100'!FL127</f>
        <v>0</v>
      </c>
      <c r="H300" s="56">
        <f>'[1]CUENTA T VS'!FL89</f>
        <v>0</v>
      </c>
      <c r="I300" s="56">
        <f t="shared" si="14"/>
        <v>0</v>
      </c>
      <c r="J300" s="57">
        <f t="shared" si="16"/>
        <v>0</v>
      </c>
    </row>
    <row r="301" spans="1:10" ht="25.5" x14ac:dyDescent="0.25">
      <c r="A301" s="53">
        <v>2</v>
      </c>
      <c r="B301" s="54">
        <v>3</v>
      </c>
      <c r="C301" s="54">
        <v>7</v>
      </c>
      <c r="D301" s="54">
        <v>2</v>
      </c>
      <c r="E301" s="55" t="s">
        <v>41</v>
      </c>
      <c r="F301" s="71" t="s">
        <v>256</v>
      </c>
      <c r="G301" s="56">
        <f>'[1]CUENTA T FONDO 100'!FM127</f>
        <v>0</v>
      </c>
      <c r="H301" s="56">
        <f>'[1]CUENTA T VS'!FM89</f>
        <v>0</v>
      </c>
      <c r="I301" s="56">
        <f t="shared" si="14"/>
        <v>0</v>
      </c>
      <c r="J301" s="57">
        <f t="shared" si="16"/>
        <v>0</v>
      </c>
    </row>
    <row r="302" spans="1:10" x14ac:dyDescent="0.25">
      <c r="A302" s="53">
        <v>2</v>
      </c>
      <c r="B302" s="54">
        <v>3</v>
      </c>
      <c r="C302" s="54">
        <v>7</v>
      </c>
      <c r="D302" s="54">
        <v>2</v>
      </c>
      <c r="E302" s="55">
        <v>99</v>
      </c>
      <c r="F302" s="71" t="s">
        <v>257</v>
      </c>
      <c r="G302" s="56">
        <f>'[1]CUENTA T FONDO 100'!FN127</f>
        <v>484961.6</v>
      </c>
      <c r="H302" s="56">
        <f>'[1]CUENTA T VS'!FN89</f>
        <v>0</v>
      </c>
      <c r="I302" s="56">
        <f t="shared" si="14"/>
        <v>484961.6</v>
      </c>
      <c r="J302" s="57">
        <f t="shared" si="16"/>
        <v>5.0160542067741063E-3</v>
      </c>
    </row>
    <row r="303" spans="1:10" ht="25.5" x14ac:dyDescent="0.25">
      <c r="A303" s="46">
        <v>2</v>
      </c>
      <c r="B303" s="47">
        <v>3</v>
      </c>
      <c r="C303" s="47">
        <v>8</v>
      </c>
      <c r="D303" s="47"/>
      <c r="E303" s="47"/>
      <c r="F303" s="70" t="s">
        <v>258</v>
      </c>
      <c r="G303" s="48">
        <f>+G304+G306</f>
        <v>0</v>
      </c>
      <c r="H303" s="48">
        <f>+H304+H306</f>
        <v>0</v>
      </c>
      <c r="I303" s="48">
        <f t="shared" si="14"/>
        <v>0</v>
      </c>
      <c r="J303" s="45"/>
    </row>
    <row r="304" spans="1:10" ht="25.5" x14ac:dyDescent="0.25">
      <c r="A304" s="49">
        <v>2</v>
      </c>
      <c r="B304" s="50">
        <v>3</v>
      </c>
      <c r="C304" s="50">
        <v>8</v>
      </c>
      <c r="D304" s="50">
        <v>1</v>
      </c>
      <c r="E304" s="50"/>
      <c r="F304" s="69" t="s">
        <v>259</v>
      </c>
      <c r="G304" s="51">
        <f>SUM(G305)</f>
        <v>0</v>
      </c>
      <c r="H304" s="51">
        <f>SUM(H305)</f>
        <v>0</v>
      </c>
      <c r="I304" s="51">
        <f t="shared" si="14"/>
        <v>0</v>
      </c>
      <c r="J304" s="58"/>
    </row>
    <row r="305" spans="1:10" ht="25.5" x14ac:dyDescent="0.25">
      <c r="A305" s="53">
        <v>2</v>
      </c>
      <c r="B305" s="54">
        <v>3</v>
      </c>
      <c r="C305" s="54">
        <v>8</v>
      </c>
      <c r="D305" s="54">
        <v>1</v>
      </c>
      <c r="E305" s="55" t="s">
        <v>31</v>
      </c>
      <c r="F305" s="68" t="s">
        <v>259</v>
      </c>
      <c r="G305" s="56">
        <f>'[1]CUENTA T FONDO 100'!FO127</f>
        <v>0</v>
      </c>
      <c r="H305" s="56">
        <f>'[1]CUENTA T VS'!FO89</f>
        <v>0</v>
      </c>
      <c r="I305" s="56">
        <f t="shared" si="14"/>
        <v>0</v>
      </c>
      <c r="J305" s="57">
        <f>I305/$I$25</f>
        <v>0</v>
      </c>
    </row>
    <row r="306" spans="1:10" ht="25.5" x14ac:dyDescent="0.25">
      <c r="A306" s="49">
        <v>2</v>
      </c>
      <c r="B306" s="50">
        <v>3</v>
      </c>
      <c r="C306" s="50">
        <v>8</v>
      </c>
      <c r="D306" s="50">
        <v>2</v>
      </c>
      <c r="E306" s="50"/>
      <c r="F306" s="69" t="s">
        <v>260</v>
      </c>
      <c r="G306" s="51">
        <f>SUM(G307)</f>
        <v>0</v>
      </c>
      <c r="H306" s="51">
        <f>SUM(H307)</f>
        <v>0</v>
      </c>
      <c r="I306" s="51">
        <f t="shared" si="14"/>
        <v>0</v>
      </c>
      <c r="J306" s="58"/>
    </row>
    <row r="307" spans="1:10" ht="25.5" x14ac:dyDescent="0.25">
      <c r="A307" s="53">
        <v>2</v>
      </c>
      <c r="B307" s="54">
        <v>3</v>
      </c>
      <c r="C307" s="54">
        <v>8</v>
      </c>
      <c r="D307" s="54">
        <v>2</v>
      </c>
      <c r="E307" s="55" t="s">
        <v>31</v>
      </c>
      <c r="F307" s="68" t="s">
        <v>260</v>
      </c>
      <c r="G307" s="56">
        <f>'[1]CUENTA T FONDO 100'!FP127</f>
        <v>0</v>
      </c>
      <c r="H307" s="56">
        <f>'[1]CUENTA T VS'!FP89</f>
        <v>0</v>
      </c>
      <c r="I307" s="56">
        <f t="shared" si="14"/>
        <v>0</v>
      </c>
      <c r="J307" s="57">
        <f>I307/$I$25</f>
        <v>0</v>
      </c>
    </row>
    <row r="308" spans="1:10" x14ac:dyDescent="0.25">
      <c r="A308" s="46">
        <v>2</v>
      </c>
      <c r="B308" s="47">
        <v>3</v>
      </c>
      <c r="C308" s="47">
        <v>9</v>
      </c>
      <c r="D308" s="47"/>
      <c r="E308" s="47"/>
      <c r="F308" s="70" t="s">
        <v>261</v>
      </c>
      <c r="G308" s="48">
        <f>+G309+G312+G314+G316+G318+G320+G322+G324+G327</f>
        <v>6516306.6299999999</v>
      </c>
      <c r="H308" s="48">
        <f>+H309+H312+H314+H316+H318+H320+H322+H324+H327</f>
        <v>2390054.1999999997</v>
      </c>
      <c r="I308" s="48">
        <f t="shared" si="14"/>
        <v>8906360.8300000001</v>
      </c>
      <c r="J308" s="45"/>
    </row>
    <row r="309" spans="1:10" x14ac:dyDescent="0.25">
      <c r="A309" s="61">
        <v>2</v>
      </c>
      <c r="B309" s="50">
        <v>3</v>
      </c>
      <c r="C309" s="50">
        <v>9</v>
      </c>
      <c r="D309" s="50">
        <v>1</v>
      </c>
      <c r="E309" s="50"/>
      <c r="F309" s="69" t="s">
        <v>262</v>
      </c>
      <c r="G309" s="51">
        <f>SUM(G310:G311)</f>
        <v>358914.69999999995</v>
      </c>
      <c r="H309" s="51">
        <f>SUM(H310:H311)</f>
        <v>1744571</v>
      </c>
      <c r="I309" s="51">
        <f t="shared" si="14"/>
        <v>2103485.7000000002</v>
      </c>
      <c r="J309" s="58"/>
    </row>
    <row r="310" spans="1:10" x14ac:dyDescent="0.25">
      <c r="A310" s="62">
        <v>2</v>
      </c>
      <c r="B310" s="54">
        <v>3</v>
      </c>
      <c r="C310" s="54">
        <v>9</v>
      </c>
      <c r="D310" s="54">
        <v>1</v>
      </c>
      <c r="E310" s="55" t="s">
        <v>31</v>
      </c>
      <c r="F310" s="68" t="s">
        <v>263</v>
      </c>
      <c r="G310" s="56">
        <f>'[1]CUENTA T FONDO 100'!FQ127</f>
        <v>358914.69999999995</v>
      </c>
      <c r="H310" s="56">
        <f>'[1]CUENTA T VS'!FQ89</f>
        <v>1744571</v>
      </c>
      <c r="I310" s="56">
        <f t="shared" si="14"/>
        <v>2103485.7000000002</v>
      </c>
      <c r="J310" s="57">
        <f>I310/$I$25</f>
        <v>2.1756770627559333E-2</v>
      </c>
    </row>
    <row r="311" spans="1:10" ht="25.5" x14ac:dyDescent="0.25">
      <c r="A311" s="62">
        <v>2</v>
      </c>
      <c r="B311" s="54">
        <v>3</v>
      </c>
      <c r="C311" s="54">
        <v>9</v>
      </c>
      <c r="D311" s="54">
        <v>1</v>
      </c>
      <c r="E311" s="55" t="s">
        <v>33</v>
      </c>
      <c r="F311" s="68" t="s">
        <v>264</v>
      </c>
      <c r="G311" s="56">
        <f>'[1]CUENTA T FONDO 100'!FR127</f>
        <v>0</v>
      </c>
      <c r="H311" s="56">
        <f>'[1]CUENTA T VS'!FR89</f>
        <v>0</v>
      </c>
      <c r="I311" s="56">
        <f t="shared" si="14"/>
        <v>0</v>
      </c>
      <c r="J311" s="57">
        <f>I311/$I$25</f>
        <v>0</v>
      </c>
    </row>
    <row r="312" spans="1:10" ht="25.5" x14ac:dyDescent="0.25">
      <c r="A312" s="61">
        <v>2</v>
      </c>
      <c r="B312" s="50">
        <v>3</v>
      </c>
      <c r="C312" s="50">
        <v>9</v>
      </c>
      <c r="D312" s="50">
        <v>2</v>
      </c>
      <c r="E312" s="50"/>
      <c r="F312" s="69" t="s">
        <v>265</v>
      </c>
      <c r="G312" s="51">
        <f>SUM(G313)</f>
        <v>0</v>
      </c>
      <c r="H312" s="51">
        <f>SUM(H313)</f>
        <v>0</v>
      </c>
      <c r="I312" s="51">
        <f t="shared" si="14"/>
        <v>0</v>
      </c>
      <c r="J312" s="58"/>
    </row>
    <row r="313" spans="1:10" ht="25.5" x14ac:dyDescent="0.25">
      <c r="A313" s="62">
        <v>2</v>
      </c>
      <c r="B313" s="54">
        <v>3</v>
      </c>
      <c r="C313" s="54">
        <v>9</v>
      </c>
      <c r="D313" s="54">
        <v>2</v>
      </c>
      <c r="E313" s="55" t="s">
        <v>31</v>
      </c>
      <c r="F313" s="68" t="s">
        <v>266</v>
      </c>
      <c r="G313" s="56">
        <f>'[1]CUENTA T FONDO 100'!FS127</f>
        <v>0</v>
      </c>
      <c r="H313" s="56">
        <f>'[1]CUENTA T VS'!FS89</f>
        <v>0</v>
      </c>
      <c r="I313" s="56">
        <f t="shared" si="14"/>
        <v>0</v>
      </c>
      <c r="J313" s="57">
        <f>I313/$I$25</f>
        <v>0</v>
      </c>
    </row>
    <row r="314" spans="1:10" x14ac:dyDescent="0.25">
      <c r="A314" s="61">
        <v>2</v>
      </c>
      <c r="B314" s="50">
        <v>3</v>
      </c>
      <c r="C314" s="50">
        <v>9</v>
      </c>
      <c r="D314" s="50">
        <v>3</v>
      </c>
      <c r="E314" s="50"/>
      <c r="F314" s="69" t="s">
        <v>267</v>
      </c>
      <c r="G314" s="51">
        <f>SUM(G315)</f>
        <v>6071252.1799999997</v>
      </c>
      <c r="H314" s="51">
        <f>SUM(H315)</f>
        <v>527418.59</v>
      </c>
      <c r="I314" s="51">
        <f t="shared" si="14"/>
        <v>6598670.7699999996</v>
      </c>
      <c r="J314" s="58"/>
    </row>
    <row r="315" spans="1:10" x14ac:dyDescent="0.25">
      <c r="A315" s="62">
        <v>2</v>
      </c>
      <c r="B315" s="54">
        <v>3</v>
      </c>
      <c r="C315" s="54">
        <v>9</v>
      </c>
      <c r="D315" s="54">
        <v>3</v>
      </c>
      <c r="E315" s="55" t="s">
        <v>31</v>
      </c>
      <c r="F315" s="68" t="s">
        <v>267</v>
      </c>
      <c r="G315" s="56">
        <f>'[1]CUENTA T FONDO 100'!FT127</f>
        <v>6071252.1799999997</v>
      </c>
      <c r="H315" s="56">
        <f>'[1]CUENTA T VS'!FT89</f>
        <v>527418.59</v>
      </c>
      <c r="I315" s="56">
        <f t="shared" si="14"/>
        <v>6598670.7699999996</v>
      </c>
      <c r="J315" s="57">
        <f>I315/$I$25</f>
        <v>6.8251363149114966E-2</v>
      </c>
    </row>
    <row r="316" spans="1:10" ht="25.5" x14ac:dyDescent="0.25">
      <c r="A316" s="61">
        <v>2</v>
      </c>
      <c r="B316" s="50">
        <v>3</v>
      </c>
      <c r="C316" s="50">
        <v>9</v>
      </c>
      <c r="D316" s="50">
        <v>4</v>
      </c>
      <c r="E316" s="50"/>
      <c r="F316" s="69" t="s">
        <v>268</v>
      </c>
      <c r="G316" s="51">
        <f>SUM(G317)</f>
        <v>0</v>
      </c>
      <c r="H316" s="51">
        <f>SUM(H317)</f>
        <v>0</v>
      </c>
      <c r="I316" s="51">
        <f t="shared" si="14"/>
        <v>0</v>
      </c>
      <c r="J316" s="58"/>
    </row>
    <row r="317" spans="1:10" ht="25.5" x14ac:dyDescent="0.25">
      <c r="A317" s="62">
        <v>2</v>
      </c>
      <c r="B317" s="54">
        <v>3</v>
      </c>
      <c r="C317" s="54">
        <v>9</v>
      </c>
      <c r="D317" s="54">
        <v>4</v>
      </c>
      <c r="E317" s="55" t="s">
        <v>31</v>
      </c>
      <c r="F317" s="68" t="s">
        <v>268</v>
      </c>
      <c r="G317" s="56">
        <f>'[1]CUENTA T FONDO 100'!FU127</f>
        <v>0</v>
      </c>
      <c r="H317" s="56">
        <f>'[1]CUENTA T VS'!FU89</f>
        <v>0</v>
      </c>
      <c r="I317" s="56">
        <f t="shared" si="14"/>
        <v>0</v>
      </c>
      <c r="J317" s="57">
        <f>I317/$I$25</f>
        <v>0</v>
      </c>
    </row>
    <row r="318" spans="1:10" x14ac:dyDescent="0.25">
      <c r="A318" s="61">
        <v>2</v>
      </c>
      <c r="B318" s="50">
        <v>3</v>
      </c>
      <c r="C318" s="50">
        <v>9</v>
      </c>
      <c r="D318" s="50">
        <v>5</v>
      </c>
      <c r="E318" s="50"/>
      <c r="F318" s="69" t="s">
        <v>269</v>
      </c>
      <c r="G318" s="51">
        <f>SUM(G319)</f>
        <v>0</v>
      </c>
      <c r="H318" s="51">
        <f>SUM(H319)</f>
        <v>0</v>
      </c>
      <c r="I318" s="51">
        <f t="shared" si="14"/>
        <v>0</v>
      </c>
      <c r="J318" s="58"/>
    </row>
    <row r="319" spans="1:10" x14ac:dyDescent="0.25">
      <c r="A319" s="62">
        <v>2</v>
      </c>
      <c r="B319" s="54">
        <v>3</v>
      </c>
      <c r="C319" s="54">
        <v>9</v>
      </c>
      <c r="D319" s="54">
        <v>5</v>
      </c>
      <c r="E319" s="55" t="s">
        <v>31</v>
      </c>
      <c r="F319" s="68" t="s">
        <v>269</v>
      </c>
      <c r="G319" s="56">
        <f>'[1]CUENTA T FONDO 100'!FV127</f>
        <v>0</v>
      </c>
      <c r="H319" s="56">
        <f>'[1]CUENTA T VS'!FV89</f>
        <v>0</v>
      </c>
      <c r="I319" s="56">
        <f t="shared" si="14"/>
        <v>0</v>
      </c>
      <c r="J319" s="57">
        <f>I319/$I$25</f>
        <v>0</v>
      </c>
    </row>
    <row r="320" spans="1:10" x14ac:dyDescent="0.25">
      <c r="A320" s="61">
        <v>2</v>
      </c>
      <c r="B320" s="50">
        <v>3</v>
      </c>
      <c r="C320" s="50">
        <v>9</v>
      </c>
      <c r="D320" s="50">
        <v>6</v>
      </c>
      <c r="E320" s="50"/>
      <c r="F320" s="69" t="s">
        <v>270</v>
      </c>
      <c r="G320" s="51">
        <f>SUM(G321)</f>
        <v>86139.75</v>
      </c>
      <c r="H320" s="51">
        <f>SUM(H321)</f>
        <v>0</v>
      </c>
      <c r="I320" s="51">
        <f t="shared" si="14"/>
        <v>86139.75</v>
      </c>
      <c r="J320" s="58"/>
    </row>
    <row r="321" spans="1:10" x14ac:dyDescent="0.25">
      <c r="A321" s="62">
        <v>2</v>
      </c>
      <c r="B321" s="54">
        <v>3</v>
      </c>
      <c r="C321" s="54">
        <v>9</v>
      </c>
      <c r="D321" s="54">
        <v>6</v>
      </c>
      <c r="E321" s="55" t="s">
        <v>31</v>
      </c>
      <c r="F321" s="68" t="s">
        <v>270</v>
      </c>
      <c r="G321" s="56">
        <f>'[1]CUENTA T FONDO 100'!FW127</f>
        <v>86139.75</v>
      </c>
      <c r="H321" s="56">
        <f>'[1]CUENTA T VS'!FW89</f>
        <v>0</v>
      </c>
      <c r="I321" s="56">
        <f t="shared" si="14"/>
        <v>86139.75</v>
      </c>
      <c r="J321" s="57">
        <f>I321/$I$25</f>
        <v>8.9096055307877949E-4</v>
      </c>
    </row>
    <row r="322" spans="1:10" x14ac:dyDescent="0.25">
      <c r="A322" s="61">
        <v>2</v>
      </c>
      <c r="B322" s="50">
        <v>3</v>
      </c>
      <c r="C322" s="50">
        <v>9</v>
      </c>
      <c r="D322" s="50">
        <v>7</v>
      </c>
      <c r="E322" s="50"/>
      <c r="F322" s="69" t="s">
        <v>271</v>
      </c>
      <c r="G322" s="51">
        <f>SUM(G323)</f>
        <v>0</v>
      </c>
      <c r="H322" s="51">
        <f>SUM(H323)</f>
        <v>0</v>
      </c>
      <c r="I322" s="51">
        <f t="shared" si="14"/>
        <v>0</v>
      </c>
      <c r="J322" s="58"/>
    </row>
    <row r="323" spans="1:10" x14ac:dyDescent="0.25">
      <c r="A323" s="62">
        <v>2</v>
      </c>
      <c r="B323" s="54">
        <v>3</v>
      </c>
      <c r="C323" s="54">
        <v>9</v>
      </c>
      <c r="D323" s="54">
        <v>7</v>
      </c>
      <c r="E323" s="55" t="s">
        <v>31</v>
      </c>
      <c r="F323" s="68" t="s">
        <v>271</v>
      </c>
      <c r="G323" s="56">
        <f>'[1]CUENTA T FONDO 100'!FX127</f>
        <v>0</v>
      </c>
      <c r="H323" s="56">
        <f>'[1]CUENTA T VS'!FX89</f>
        <v>0</v>
      </c>
      <c r="I323" s="56">
        <f t="shared" si="14"/>
        <v>0</v>
      </c>
      <c r="J323" s="57">
        <f>I323/$I$25</f>
        <v>0</v>
      </c>
    </row>
    <row r="324" spans="1:10" x14ac:dyDescent="0.25">
      <c r="A324" s="61">
        <v>2</v>
      </c>
      <c r="B324" s="50">
        <v>3</v>
      </c>
      <c r="C324" s="50">
        <v>9</v>
      </c>
      <c r="D324" s="50">
        <v>8</v>
      </c>
      <c r="E324" s="50"/>
      <c r="F324" s="69" t="s">
        <v>272</v>
      </c>
      <c r="G324" s="51">
        <f>SUM(G325:G326)</f>
        <v>0</v>
      </c>
      <c r="H324" s="51">
        <f>SUM(H325:H326)</f>
        <v>0</v>
      </c>
      <c r="I324" s="51">
        <f t="shared" si="14"/>
        <v>0</v>
      </c>
      <c r="J324" s="58"/>
    </row>
    <row r="325" spans="1:10" x14ac:dyDescent="0.25">
      <c r="A325" s="62">
        <v>2</v>
      </c>
      <c r="B325" s="54">
        <v>3</v>
      </c>
      <c r="C325" s="54">
        <v>9</v>
      </c>
      <c r="D325" s="54">
        <v>8</v>
      </c>
      <c r="E325" s="55" t="s">
        <v>31</v>
      </c>
      <c r="F325" s="68" t="s">
        <v>273</v>
      </c>
      <c r="G325" s="56">
        <f>'[1]CUENTA T FONDO 100'!FY127</f>
        <v>0</v>
      </c>
      <c r="H325" s="56">
        <f>'[1]CUENTA T VS'!FY89</f>
        <v>0</v>
      </c>
      <c r="I325" s="56">
        <f t="shared" si="14"/>
        <v>0</v>
      </c>
      <c r="J325" s="57">
        <f>I325/$I$25</f>
        <v>0</v>
      </c>
    </row>
    <row r="326" spans="1:10" x14ac:dyDescent="0.25">
      <c r="A326" s="62">
        <v>2</v>
      </c>
      <c r="B326" s="54">
        <v>3</v>
      </c>
      <c r="C326" s="54">
        <v>9</v>
      </c>
      <c r="D326" s="54">
        <v>8</v>
      </c>
      <c r="E326" s="55" t="s">
        <v>33</v>
      </c>
      <c r="F326" s="68" t="s">
        <v>274</v>
      </c>
      <c r="G326" s="56">
        <f>'[1]CUENTA T FONDO 100'!FZ127</f>
        <v>0</v>
      </c>
      <c r="H326" s="56">
        <f>'[1]CUENTA T VS'!FZ89</f>
        <v>0</v>
      </c>
      <c r="I326" s="56">
        <f t="shared" si="14"/>
        <v>0</v>
      </c>
      <c r="J326" s="57">
        <f>I326/$I$25</f>
        <v>0</v>
      </c>
    </row>
    <row r="327" spans="1:10" x14ac:dyDescent="0.25">
      <c r="A327" s="61">
        <v>2</v>
      </c>
      <c r="B327" s="50">
        <v>3</v>
      </c>
      <c r="C327" s="50">
        <v>9</v>
      </c>
      <c r="D327" s="50">
        <v>9</v>
      </c>
      <c r="E327" s="50"/>
      <c r="F327" s="69" t="s">
        <v>275</v>
      </c>
      <c r="G327" s="51">
        <f>SUM(G328:G329)</f>
        <v>0</v>
      </c>
      <c r="H327" s="51">
        <f>SUM(H328:H329)</f>
        <v>118064.61</v>
      </c>
      <c r="I327" s="51">
        <f t="shared" si="14"/>
        <v>118064.61</v>
      </c>
      <c r="J327" s="58"/>
    </row>
    <row r="328" spans="1:10" x14ac:dyDescent="0.25">
      <c r="A328" s="62">
        <v>2</v>
      </c>
      <c r="B328" s="54">
        <v>3</v>
      </c>
      <c r="C328" s="54">
        <v>9</v>
      </c>
      <c r="D328" s="54">
        <v>9</v>
      </c>
      <c r="E328" s="55" t="s">
        <v>31</v>
      </c>
      <c r="F328" s="68" t="s">
        <v>275</v>
      </c>
      <c r="G328" s="56">
        <f>'[1]CUENTA T FONDO 100'!GA127</f>
        <v>0</v>
      </c>
      <c r="H328" s="56">
        <f>'[1]CUENTA T VS'!GA89</f>
        <v>56114.61</v>
      </c>
      <c r="I328" s="56">
        <f t="shared" si="14"/>
        <v>56114.61</v>
      </c>
      <c r="J328" s="57">
        <f>I328/$I$25</f>
        <v>5.8040456306641258E-4</v>
      </c>
    </row>
    <row r="329" spans="1:10" x14ac:dyDescent="0.25">
      <c r="A329" s="62">
        <v>2</v>
      </c>
      <c r="B329" s="54">
        <v>3</v>
      </c>
      <c r="C329" s="54">
        <v>9</v>
      </c>
      <c r="D329" s="54">
        <v>9</v>
      </c>
      <c r="E329" s="55" t="s">
        <v>37</v>
      </c>
      <c r="F329" s="68" t="s">
        <v>276</v>
      </c>
      <c r="G329" s="56">
        <f>'[1]CUENTA T FONDO 100'!GB127</f>
        <v>0</v>
      </c>
      <c r="H329" s="56">
        <f>'[1]CUENTA T VS'!GB89</f>
        <v>61950</v>
      </c>
      <c r="I329" s="56">
        <f t="shared" si="14"/>
        <v>61950</v>
      </c>
      <c r="J329" s="57">
        <f>I329/$I$25</f>
        <v>6.4076116152218213E-4</v>
      </c>
    </row>
    <row r="330" spans="1:10" x14ac:dyDescent="0.25">
      <c r="A330" s="60">
        <v>2</v>
      </c>
      <c r="B330" s="47">
        <v>4</v>
      </c>
      <c r="C330" s="47">
        <v>1</v>
      </c>
      <c r="D330" s="47">
        <v>2</v>
      </c>
      <c r="E330" s="47"/>
      <c r="F330" s="72" t="s">
        <v>277</v>
      </c>
      <c r="G330" s="48">
        <f>G331+G332+G333+G334+G335</f>
        <v>0</v>
      </c>
      <c r="H330" s="48">
        <f>H331+H332+H333+H334+H335</f>
        <v>624573</v>
      </c>
      <c r="I330" s="48">
        <f t="shared" si="14"/>
        <v>624573</v>
      </c>
      <c r="J330" s="45">
        <f>+I330/I25</f>
        <v>6.4600826623953814E-3</v>
      </c>
    </row>
    <row r="331" spans="1:10" ht="25.5" x14ac:dyDescent="0.25">
      <c r="A331" s="62">
        <v>2</v>
      </c>
      <c r="B331" s="54">
        <v>4</v>
      </c>
      <c r="C331" s="54">
        <v>1</v>
      </c>
      <c r="D331" s="54">
        <v>2</v>
      </c>
      <c r="E331" s="55" t="s">
        <v>31</v>
      </c>
      <c r="F331" s="68" t="s">
        <v>278</v>
      </c>
      <c r="G331" s="56">
        <f>'[1]CUENTA T FONDO 100'!GC127</f>
        <v>0</v>
      </c>
      <c r="H331" s="56">
        <f>'[1]CUENTA T VS'!GC89</f>
        <v>203615</v>
      </c>
      <c r="I331" s="56">
        <f t="shared" si="14"/>
        <v>203615</v>
      </c>
      <c r="J331" s="57">
        <f t="shared" ref="J331:J336" si="17">I331/$I$25</f>
        <v>2.1060304100619714E-3</v>
      </c>
    </row>
    <row r="332" spans="1:10" ht="25.5" x14ac:dyDescent="0.25">
      <c r="A332" s="62">
        <v>2</v>
      </c>
      <c r="B332" s="54">
        <v>4</v>
      </c>
      <c r="C332" s="54">
        <v>1</v>
      </c>
      <c r="D332" s="54">
        <v>2</v>
      </c>
      <c r="E332" s="55" t="s">
        <v>33</v>
      </c>
      <c r="F332" s="68" t="s">
        <v>279</v>
      </c>
      <c r="G332" s="56">
        <f>'[1]CUENTA T FONDO 100'!GD127</f>
        <v>0</v>
      </c>
      <c r="H332" s="56">
        <f>'[1]CUENTA T VS'!GD89</f>
        <v>420958</v>
      </c>
      <c r="I332" s="56">
        <f t="shared" si="14"/>
        <v>420958</v>
      </c>
      <c r="J332" s="57">
        <f t="shared" si="17"/>
        <v>4.35405225233341E-3</v>
      </c>
    </row>
    <row r="333" spans="1:10" x14ac:dyDescent="0.25">
      <c r="A333" s="62">
        <v>2</v>
      </c>
      <c r="B333" s="54">
        <v>4</v>
      </c>
      <c r="C333" s="54">
        <v>1</v>
      </c>
      <c r="D333" s="54">
        <v>2</v>
      </c>
      <c r="E333" s="55" t="s">
        <v>35</v>
      </c>
      <c r="F333" s="68" t="s">
        <v>280</v>
      </c>
      <c r="G333" s="56">
        <f>'[1]CUENTA T FONDO 100'!GE127</f>
        <v>0</v>
      </c>
      <c r="H333" s="56">
        <f>'[1]CUENTA T VS'!GE89</f>
        <v>0</v>
      </c>
      <c r="I333" s="56">
        <f t="shared" si="14"/>
        <v>0</v>
      </c>
      <c r="J333" s="57">
        <f t="shared" si="17"/>
        <v>0</v>
      </c>
    </row>
    <row r="334" spans="1:10" x14ac:dyDescent="0.25">
      <c r="A334" s="62">
        <v>2</v>
      </c>
      <c r="B334" s="54">
        <v>4</v>
      </c>
      <c r="C334" s="54">
        <v>1</v>
      </c>
      <c r="D334" s="54">
        <v>2</v>
      </c>
      <c r="E334" s="55" t="s">
        <v>37</v>
      </c>
      <c r="F334" s="68" t="s">
        <v>281</v>
      </c>
      <c r="G334" s="56">
        <f>'[1]CUENTA T FONDO 100'!GF127</f>
        <v>0</v>
      </c>
      <c r="H334" s="56">
        <f>'[1]CUENTA T VS'!GF89</f>
        <v>0</v>
      </c>
      <c r="I334" s="56">
        <f t="shared" si="14"/>
        <v>0</v>
      </c>
      <c r="J334" s="57">
        <f t="shared" si="17"/>
        <v>0</v>
      </c>
    </row>
    <row r="335" spans="1:10" x14ac:dyDescent="0.25">
      <c r="A335" s="62">
        <v>2</v>
      </c>
      <c r="B335" s="54">
        <v>4</v>
      </c>
      <c r="C335" s="54">
        <v>1</v>
      </c>
      <c r="D335" s="54">
        <v>2</v>
      </c>
      <c r="E335" s="55" t="s">
        <v>39</v>
      </c>
      <c r="F335" s="68" t="s">
        <v>282</v>
      </c>
      <c r="G335" s="56">
        <f>'[1]CUENTA T FONDO 100'!GG127</f>
        <v>0</v>
      </c>
      <c r="H335" s="56">
        <f>'[1]CUENTA T VS'!GG89</f>
        <v>0</v>
      </c>
      <c r="I335" s="56">
        <f t="shared" si="14"/>
        <v>0</v>
      </c>
      <c r="J335" s="57">
        <f t="shared" si="17"/>
        <v>0</v>
      </c>
    </row>
    <row r="336" spans="1:10" x14ac:dyDescent="0.25">
      <c r="A336" s="60">
        <v>2</v>
      </c>
      <c r="B336" s="47">
        <v>6</v>
      </c>
      <c r="C336" s="47"/>
      <c r="D336" s="47"/>
      <c r="E336" s="47"/>
      <c r="F336" s="72" t="s">
        <v>283</v>
      </c>
      <c r="G336" s="48">
        <f>G337+G348+G357+G366+G383+G400+G405+G424+G446</f>
        <v>4665041.3900000006</v>
      </c>
      <c r="H336" s="48">
        <f>H337+H348+H357+H366+H383+H400+H405+H424+H446</f>
        <v>0</v>
      </c>
      <c r="I336" s="48">
        <f t="shared" si="14"/>
        <v>4665041.3900000006</v>
      </c>
      <c r="J336" s="45">
        <f t="shared" si="17"/>
        <v>4.8251450195406873E-2</v>
      </c>
    </row>
    <row r="337" spans="1:10" x14ac:dyDescent="0.25">
      <c r="A337" s="46">
        <v>2</v>
      </c>
      <c r="B337" s="47">
        <v>6</v>
      </c>
      <c r="C337" s="47">
        <v>1</v>
      </c>
      <c r="D337" s="47"/>
      <c r="E337" s="47"/>
      <c r="F337" s="72" t="s">
        <v>284</v>
      </c>
      <c r="G337" s="48">
        <f>+G338+G340+G342+G344+G346</f>
        <v>1812434.4800000002</v>
      </c>
      <c r="H337" s="48">
        <f>+H338+H340+H342+H344+H346</f>
        <v>0</v>
      </c>
      <c r="I337" s="48">
        <f t="shared" si="14"/>
        <v>1812434.4800000002</v>
      </c>
      <c r="J337" s="45"/>
    </row>
    <row r="338" spans="1:10" x14ac:dyDescent="0.25">
      <c r="A338" s="49">
        <v>2</v>
      </c>
      <c r="B338" s="50">
        <v>6</v>
      </c>
      <c r="C338" s="50">
        <v>1</v>
      </c>
      <c r="D338" s="50">
        <v>1</v>
      </c>
      <c r="E338" s="50"/>
      <c r="F338" s="73" t="s">
        <v>285</v>
      </c>
      <c r="G338" s="51">
        <f>SUM(G339)</f>
        <v>1535274.4900000002</v>
      </c>
      <c r="H338" s="51">
        <f>SUM(H339)</f>
        <v>0</v>
      </c>
      <c r="I338" s="51">
        <f t="shared" si="14"/>
        <v>1535274.4900000002</v>
      </c>
      <c r="J338" s="58"/>
    </row>
    <row r="339" spans="1:10" x14ac:dyDescent="0.25">
      <c r="A339" s="53">
        <v>2</v>
      </c>
      <c r="B339" s="54">
        <v>6</v>
      </c>
      <c r="C339" s="54">
        <v>1</v>
      </c>
      <c r="D339" s="54">
        <v>1</v>
      </c>
      <c r="E339" s="55" t="s">
        <v>31</v>
      </c>
      <c r="F339" s="59" t="s">
        <v>285</v>
      </c>
      <c r="G339" s="56">
        <f>'[1]CUENTA T FONDO 100'!GH127</f>
        <v>1535274.4900000002</v>
      </c>
      <c r="H339" s="56">
        <f>'[1]CUENTA T VS'!GH89</f>
        <v>0</v>
      </c>
      <c r="I339" s="56">
        <f t="shared" si="14"/>
        <v>1535274.4900000002</v>
      </c>
      <c r="J339" s="57">
        <f>I339/$I$25</f>
        <v>1.5879649160093236E-2</v>
      </c>
    </row>
    <row r="340" spans="1:10" ht="25.5" x14ac:dyDescent="0.25">
      <c r="A340" s="49">
        <v>2</v>
      </c>
      <c r="B340" s="50">
        <v>6</v>
      </c>
      <c r="C340" s="50">
        <v>1</v>
      </c>
      <c r="D340" s="50">
        <v>2</v>
      </c>
      <c r="E340" s="50"/>
      <c r="F340" s="73" t="s">
        <v>286</v>
      </c>
      <c r="G340" s="51">
        <f>SUM(G341)</f>
        <v>0</v>
      </c>
      <c r="H340" s="51">
        <f>SUM(H341)</f>
        <v>0</v>
      </c>
      <c r="I340" s="51">
        <f t="shared" si="14"/>
        <v>0</v>
      </c>
      <c r="J340" s="58"/>
    </row>
    <row r="341" spans="1:10" ht="25.5" x14ac:dyDescent="0.25">
      <c r="A341" s="53">
        <v>2</v>
      </c>
      <c r="B341" s="54">
        <v>6</v>
      </c>
      <c r="C341" s="54">
        <v>1</v>
      </c>
      <c r="D341" s="54">
        <v>2</v>
      </c>
      <c r="E341" s="55" t="s">
        <v>31</v>
      </c>
      <c r="F341" s="59" t="s">
        <v>286</v>
      </c>
      <c r="G341" s="56">
        <f>'[1]CUENTA T FONDO 100'!GI127</f>
        <v>0</v>
      </c>
      <c r="H341" s="56">
        <f>'[1]CUENTA T VS'!GI89</f>
        <v>0</v>
      </c>
      <c r="I341" s="56">
        <f t="shared" si="14"/>
        <v>0</v>
      </c>
      <c r="J341" s="57">
        <f>I341/$I$25</f>
        <v>0</v>
      </c>
    </row>
    <row r="342" spans="1:10" ht="25.5" x14ac:dyDescent="0.25">
      <c r="A342" s="49">
        <v>2</v>
      </c>
      <c r="B342" s="50">
        <v>6</v>
      </c>
      <c r="C342" s="50">
        <v>1</v>
      </c>
      <c r="D342" s="50">
        <v>3</v>
      </c>
      <c r="E342" s="50"/>
      <c r="F342" s="73" t="s">
        <v>287</v>
      </c>
      <c r="G342" s="51">
        <f>SUM(G343)</f>
        <v>244260</v>
      </c>
      <c r="H342" s="51">
        <f>SUM(H343)</f>
        <v>0</v>
      </c>
      <c r="I342" s="51">
        <f t="shared" si="14"/>
        <v>244260</v>
      </c>
      <c r="J342" s="58"/>
    </row>
    <row r="343" spans="1:10" ht="25.5" x14ac:dyDescent="0.25">
      <c r="A343" s="53">
        <v>2</v>
      </c>
      <c r="B343" s="54">
        <v>6</v>
      </c>
      <c r="C343" s="54">
        <v>1</v>
      </c>
      <c r="D343" s="54">
        <v>3</v>
      </c>
      <c r="E343" s="55" t="s">
        <v>31</v>
      </c>
      <c r="F343" s="59" t="s">
        <v>287</v>
      </c>
      <c r="G343" s="56">
        <f>'[1]CUENTA T FONDO 100'!GJ127</f>
        <v>244260</v>
      </c>
      <c r="H343" s="56">
        <f>'[1]CUENTA T VS'!GJ89</f>
        <v>0</v>
      </c>
      <c r="I343" s="56">
        <f t="shared" si="14"/>
        <v>244260</v>
      </c>
      <c r="J343" s="57">
        <f>I343/$I$25</f>
        <v>2.5264297225731755E-3</v>
      </c>
    </row>
    <row r="344" spans="1:10" x14ac:dyDescent="0.25">
      <c r="A344" s="49">
        <v>2</v>
      </c>
      <c r="B344" s="50">
        <v>6</v>
      </c>
      <c r="C344" s="50">
        <v>1</v>
      </c>
      <c r="D344" s="50">
        <v>4</v>
      </c>
      <c r="E344" s="50"/>
      <c r="F344" s="73" t="s">
        <v>288</v>
      </c>
      <c r="G344" s="51">
        <f>SUM(G345)</f>
        <v>32899.99</v>
      </c>
      <c r="H344" s="51">
        <f>SUM(H345)</f>
        <v>0</v>
      </c>
      <c r="I344" s="51">
        <f t="shared" si="14"/>
        <v>32899.99</v>
      </c>
      <c r="J344" s="58"/>
    </row>
    <row r="345" spans="1:10" x14ac:dyDescent="0.25">
      <c r="A345" s="53">
        <v>2</v>
      </c>
      <c r="B345" s="54">
        <v>6</v>
      </c>
      <c r="C345" s="54">
        <v>1</v>
      </c>
      <c r="D345" s="54">
        <v>4</v>
      </c>
      <c r="E345" s="55" t="s">
        <v>31</v>
      </c>
      <c r="F345" s="59" t="s">
        <v>288</v>
      </c>
      <c r="G345" s="56">
        <f>'[1]CUENTA T FONDO 100'!GK127</f>
        <v>32899.99</v>
      </c>
      <c r="H345" s="56">
        <f>'[1]CUENTA T VS'!GK89</f>
        <v>0</v>
      </c>
      <c r="I345" s="56">
        <f t="shared" ref="I345:I408" si="18">SUM(G345:H345)</f>
        <v>32899.99</v>
      </c>
      <c r="J345" s="57">
        <f>I345/$I$25</f>
        <v>3.4029113489052746E-4</v>
      </c>
    </row>
    <row r="346" spans="1:10" ht="25.5" x14ac:dyDescent="0.25">
      <c r="A346" s="49">
        <v>2</v>
      </c>
      <c r="B346" s="50">
        <v>6</v>
      </c>
      <c r="C346" s="50">
        <v>1</v>
      </c>
      <c r="D346" s="50">
        <v>9</v>
      </c>
      <c r="E346" s="50"/>
      <c r="F346" s="73" t="s">
        <v>289</v>
      </c>
      <c r="G346" s="51">
        <f>SUM(G347)</f>
        <v>0</v>
      </c>
      <c r="H346" s="51">
        <f>SUM(H347)</f>
        <v>0</v>
      </c>
      <c r="I346" s="51">
        <f t="shared" si="18"/>
        <v>0</v>
      </c>
      <c r="J346" s="58"/>
    </row>
    <row r="347" spans="1:10" ht="25.5" x14ac:dyDescent="0.25">
      <c r="A347" s="53">
        <v>2</v>
      </c>
      <c r="B347" s="54">
        <v>6</v>
      </c>
      <c r="C347" s="54">
        <v>1</v>
      </c>
      <c r="D347" s="54">
        <v>9</v>
      </c>
      <c r="E347" s="55" t="s">
        <v>31</v>
      </c>
      <c r="F347" s="59" t="s">
        <v>289</v>
      </c>
      <c r="G347" s="56">
        <f>'[1]CUENTA T FONDO 100'!GL127</f>
        <v>0</v>
      </c>
      <c r="H347" s="56">
        <f>'[1]CUENTA T VS'!GL89</f>
        <v>0</v>
      </c>
      <c r="I347" s="56">
        <f t="shared" si="18"/>
        <v>0</v>
      </c>
      <c r="J347" s="57">
        <f>I347/$I$25</f>
        <v>0</v>
      </c>
    </row>
    <row r="348" spans="1:10" ht="25.5" x14ac:dyDescent="0.25">
      <c r="A348" s="74">
        <v>2</v>
      </c>
      <c r="B348" s="74">
        <v>6</v>
      </c>
      <c r="C348" s="74">
        <v>2</v>
      </c>
      <c r="D348" s="74"/>
      <c r="E348" s="74"/>
      <c r="F348" s="88" t="s">
        <v>290</v>
      </c>
      <c r="G348" s="48">
        <f>+G349+G351+G353+G355</f>
        <v>0</v>
      </c>
      <c r="H348" s="48">
        <f>+H349+H351+H353+H355</f>
        <v>0</v>
      </c>
      <c r="I348" s="48">
        <f t="shared" si="18"/>
        <v>0</v>
      </c>
      <c r="J348" s="45"/>
    </row>
    <row r="349" spans="1:10" x14ac:dyDescent="0.25">
      <c r="A349" s="61">
        <v>2</v>
      </c>
      <c r="B349" s="50">
        <v>6</v>
      </c>
      <c r="C349" s="50">
        <v>2</v>
      </c>
      <c r="D349" s="50">
        <v>1</v>
      </c>
      <c r="E349" s="64"/>
      <c r="F349" s="73" t="s">
        <v>291</v>
      </c>
      <c r="G349" s="51">
        <f>SUM(G350)</f>
        <v>0</v>
      </c>
      <c r="H349" s="51">
        <f>SUM(H350)</f>
        <v>0</v>
      </c>
      <c r="I349" s="51">
        <f t="shared" si="18"/>
        <v>0</v>
      </c>
      <c r="J349" s="58"/>
    </row>
    <row r="350" spans="1:10" x14ac:dyDescent="0.25">
      <c r="A350" s="62">
        <v>2</v>
      </c>
      <c r="B350" s="54">
        <v>6</v>
      </c>
      <c r="C350" s="54">
        <v>2</v>
      </c>
      <c r="D350" s="54">
        <v>1</v>
      </c>
      <c r="E350" s="55" t="s">
        <v>31</v>
      </c>
      <c r="F350" s="59" t="s">
        <v>291</v>
      </c>
      <c r="G350" s="56">
        <f>'[1]CUENTA T FONDO 100'!GM127</f>
        <v>0</v>
      </c>
      <c r="H350" s="56">
        <f>'[1]CUENTA T VS'!GM89</f>
        <v>0</v>
      </c>
      <c r="I350" s="56">
        <f t="shared" si="18"/>
        <v>0</v>
      </c>
      <c r="J350" s="57">
        <f>I350/$I$25</f>
        <v>0</v>
      </c>
    </row>
    <row r="351" spans="1:10" x14ac:dyDescent="0.25">
      <c r="A351" s="61">
        <v>2</v>
      </c>
      <c r="B351" s="50">
        <v>6</v>
      </c>
      <c r="C351" s="50">
        <v>2</v>
      </c>
      <c r="D351" s="50">
        <v>2</v>
      </c>
      <c r="E351" s="64"/>
      <c r="F351" s="73" t="s">
        <v>292</v>
      </c>
      <c r="G351" s="51">
        <f>SUM(G352)</f>
        <v>0</v>
      </c>
      <c r="H351" s="51">
        <f>SUM(H352)</f>
        <v>0</v>
      </c>
      <c r="I351" s="51">
        <f t="shared" si="18"/>
        <v>0</v>
      </c>
      <c r="J351" s="58"/>
    </row>
    <row r="352" spans="1:10" x14ac:dyDescent="0.25">
      <c r="A352" s="62">
        <v>2</v>
      </c>
      <c r="B352" s="54">
        <v>6</v>
      </c>
      <c r="C352" s="54">
        <v>2</v>
      </c>
      <c r="D352" s="54">
        <v>2</v>
      </c>
      <c r="E352" s="55" t="s">
        <v>31</v>
      </c>
      <c r="F352" s="59" t="s">
        <v>292</v>
      </c>
      <c r="G352" s="56">
        <f>'[1]CUENTA T FONDO 100'!GN127</f>
        <v>0</v>
      </c>
      <c r="H352" s="56">
        <f>'[1]CUENTA T VS'!GN89</f>
        <v>0</v>
      </c>
      <c r="I352" s="56">
        <f t="shared" si="18"/>
        <v>0</v>
      </c>
      <c r="J352" s="57">
        <f>I352/$I$25</f>
        <v>0</v>
      </c>
    </row>
    <row r="353" spans="1:10" x14ac:dyDescent="0.25">
      <c r="A353" s="61">
        <v>2</v>
      </c>
      <c r="B353" s="50">
        <v>6</v>
      </c>
      <c r="C353" s="50">
        <v>2</v>
      </c>
      <c r="D353" s="50">
        <v>3</v>
      </c>
      <c r="E353" s="64"/>
      <c r="F353" s="73" t="s">
        <v>293</v>
      </c>
      <c r="G353" s="51">
        <f>SUM(G354)</f>
        <v>0</v>
      </c>
      <c r="H353" s="51">
        <f>SUM(H354)</f>
        <v>0</v>
      </c>
      <c r="I353" s="51">
        <f t="shared" si="18"/>
        <v>0</v>
      </c>
      <c r="J353" s="58"/>
    </row>
    <row r="354" spans="1:10" x14ac:dyDescent="0.25">
      <c r="A354" s="62">
        <v>2</v>
      </c>
      <c r="B354" s="54">
        <v>6</v>
      </c>
      <c r="C354" s="54">
        <v>2</v>
      </c>
      <c r="D354" s="54">
        <v>3</v>
      </c>
      <c r="E354" s="55" t="s">
        <v>31</v>
      </c>
      <c r="F354" s="59" t="s">
        <v>293</v>
      </c>
      <c r="G354" s="56">
        <f>'[1]CUENTA T FONDO 100'!GO127</f>
        <v>0</v>
      </c>
      <c r="H354" s="56">
        <f>'[1]CUENTA T VS'!GO89</f>
        <v>0</v>
      </c>
      <c r="I354" s="56">
        <f t="shared" si="18"/>
        <v>0</v>
      </c>
      <c r="J354" s="57">
        <f>I354/$I$25</f>
        <v>0</v>
      </c>
    </row>
    <row r="355" spans="1:10" ht="25.5" x14ac:dyDescent="0.25">
      <c r="A355" s="61">
        <v>2</v>
      </c>
      <c r="B355" s="50">
        <v>6</v>
      </c>
      <c r="C355" s="50">
        <v>2</v>
      </c>
      <c r="D355" s="50">
        <v>4</v>
      </c>
      <c r="E355" s="64"/>
      <c r="F355" s="73" t="s">
        <v>294</v>
      </c>
      <c r="G355" s="51">
        <f>SUM(G356)</f>
        <v>0</v>
      </c>
      <c r="H355" s="51">
        <f>SUM(H356)</f>
        <v>0</v>
      </c>
      <c r="I355" s="51">
        <f t="shared" si="18"/>
        <v>0</v>
      </c>
      <c r="J355" s="58"/>
    </row>
    <row r="356" spans="1:10" ht="25.5" x14ac:dyDescent="0.25">
      <c r="A356" s="62">
        <v>2</v>
      </c>
      <c r="B356" s="54">
        <v>6</v>
      </c>
      <c r="C356" s="54">
        <v>2</v>
      </c>
      <c r="D356" s="54">
        <v>4</v>
      </c>
      <c r="E356" s="55" t="s">
        <v>31</v>
      </c>
      <c r="F356" s="59" t="s">
        <v>294</v>
      </c>
      <c r="G356" s="56">
        <f>'[1]CUENTA T FONDO 100'!GP127</f>
        <v>0</v>
      </c>
      <c r="H356" s="56">
        <f>'[1]CUENTA T VS'!GP89</f>
        <v>0</v>
      </c>
      <c r="I356" s="56">
        <f t="shared" si="18"/>
        <v>0</v>
      </c>
      <c r="J356" s="57">
        <f>I356/$I$25</f>
        <v>0</v>
      </c>
    </row>
    <row r="357" spans="1:10" ht="25.5" x14ac:dyDescent="0.25">
      <c r="A357" s="74">
        <v>2</v>
      </c>
      <c r="B357" s="74">
        <v>6</v>
      </c>
      <c r="C357" s="74">
        <v>3</v>
      </c>
      <c r="D357" s="74"/>
      <c r="E357" s="74"/>
      <c r="F357" s="88" t="s">
        <v>295</v>
      </c>
      <c r="G357" s="48">
        <f>+G358+G360+G362+G364</f>
        <v>2635786.91</v>
      </c>
      <c r="H357" s="48">
        <f>+H358+H360+H362+H364</f>
        <v>0</v>
      </c>
      <c r="I357" s="48">
        <f t="shared" si="18"/>
        <v>2635786.91</v>
      </c>
      <c r="J357" s="45"/>
    </row>
    <row r="358" spans="1:10" x14ac:dyDescent="0.25">
      <c r="A358" s="61">
        <v>2</v>
      </c>
      <c r="B358" s="50">
        <v>6</v>
      </c>
      <c r="C358" s="50">
        <v>3</v>
      </c>
      <c r="D358" s="50">
        <v>1</v>
      </c>
      <c r="E358" s="64"/>
      <c r="F358" s="73" t="s">
        <v>296</v>
      </c>
      <c r="G358" s="51">
        <f>SUM(G359)</f>
        <v>1121858</v>
      </c>
      <c r="H358" s="51">
        <f>SUM(H359)</f>
        <v>0</v>
      </c>
      <c r="I358" s="51">
        <f t="shared" si="18"/>
        <v>1121858</v>
      </c>
      <c r="J358" s="58"/>
    </row>
    <row r="359" spans="1:10" x14ac:dyDescent="0.25">
      <c r="A359" s="62">
        <v>2</v>
      </c>
      <c r="B359" s="54">
        <v>6</v>
      </c>
      <c r="C359" s="54">
        <v>3</v>
      </c>
      <c r="D359" s="54">
        <v>1</v>
      </c>
      <c r="E359" s="55" t="s">
        <v>31</v>
      </c>
      <c r="F359" s="59" t="s">
        <v>296</v>
      </c>
      <c r="G359" s="56">
        <f>'[1]CUENTA T FONDO 100'!GQ127</f>
        <v>1121858</v>
      </c>
      <c r="H359" s="56">
        <f>'[1]CUENTA T VS'!GQ89</f>
        <v>0</v>
      </c>
      <c r="I359" s="56">
        <f t="shared" si="18"/>
        <v>1121858</v>
      </c>
      <c r="J359" s="57">
        <f>I359/$I$25</f>
        <v>1.1603600244438293E-2</v>
      </c>
    </row>
    <row r="360" spans="1:10" x14ac:dyDescent="0.25">
      <c r="A360" s="61">
        <v>2</v>
      </c>
      <c r="B360" s="50">
        <v>6</v>
      </c>
      <c r="C360" s="50">
        <v>3</v>
      </c>
      <c r="D360" s="50">
        <v>2</v>
      </c>
      <c r="E360" s="64"/>
      <c r="F360" s="73" t="s">
        <v>297</v>
      </c>
      <c r="G360" s="51">
        <f>SUM(G361)</f>
        <v>1314567.9099999999</v>
      </c>
      <c r="H360" s="51">
        <f>SUM(H361)</f>
        <v>0</v>
      </c>
      <c r="I360" s="51">
        <f t="shared" si="18"/>
        <v>1314567.9099999999</v>
      </c>
      <c r="J360" s="58"/>
    </row>
    <row r="361" spans="1:10" x14ac:dyDescent="0.25">
      <c r="A361" s="62">
        <v>2</v>
      </c>
      <c r="B361" s="54">
        <v>6</v>
      </c>
      <c r="C361" s="54">
        <v>3</v>
      </c>
      <c r="D361" s="54">
        <v>2</v>
      </c>
      <c r="E361" s="55" t="s">
        <v>31</v>
      </c>
      <c r="F361" s="59" t="s">
        <v>297</v>
      </c>
      <c r="G361" s="56">
        <f>'[1]CUENTA T FONDO 100'!GR127</f>
        <v>1314567.9099999999</v>
      </c>
      <c r="H361" s="56">
        <f>'[1]CUENTA T VS'!GR89</f>
        <v>0</v>
      </c>
      <c r="I361" s="56">
        <f t="shared" si="18"/>
        <v>1314567.9099999999</v>
      </c>
      <c r="J361" s="57">
        <f>I361/$I$25</f>
        <v>1.3596837141426753E-2</v>
      </c>
    </row>
    <row r="362" spans="1:10" x14ac:dyDescent="0.25">
      <c r="A362" s="61">
        <v>2</v>
      </c>
      <c r="B362" s="50">
        <v>6</v>
      </c>
      <c r="C362" s="50">
        <v>3</v>
      </c>
      <c r="D362" s="50">
        <v>3</v>
      </c>
      <c r="E362" s="64"/>
      <c r="F362" s="73" t="s">
        <v>298</v>
      </c>
      <c r="G362" s="51">
        <f>SUM(G363)</f>
        <v>0</v>
      </c>
      <c r="H362" s="51">
        <f>SUM(H363)</f>
        <v>0</v>
      </c>
      <c r="I362" s="51">
        <f t="shared" si="18"/>
        <v>0</v>
      </c>
      <c r="J362" s="58"/>
    </row>
    <row r="363" spans="1:10" x14ac:dyDescent="0.25">
      <c r="A363" s="62">
        <v>2</v>
      </c>
      <c r="B363" s="54">
        <v>6</v>
      </c>
      <c r="C363" s="54">
        <v>3</v>
      </c>
      <c r="D363" s="54">
        <v>3</v>
      </c>
      <c r="E363" s="55" t="s">
        <v>31</v>
      </c>
      <c r="F363" s="59" t="s">
        <v>298</v>
      </c>
      <c r="G363" s="56">
        <f>'[1]CUENTA T FONDO 100'!GS127</f>
        <v>0</v>
      </c>
      <c r="H363" s="56">
        <f>'[1]CUENTA T VS'!GS89</f>
        <v>0</v>
      </c>
      <c r="I363" s="56">
        <f t="shared" si="18"/>
        <v>0</v>
      </c>
      <c r="J363" s="57">
        <f>I363/$I$25</f>
        <v>0</v>
      </c>
    </row>
    <row r="364" spans="1:10" ht="25.5" x14ac:dyDescent="0.25">
      <c r="A364" s="61">
        <v>2</v>
      </c>
      <c r="B364" s="50">
        <v>6</v>
      </c>
      <c r="C364" s="50">
        <v>3</v>
      </c>
      <c r="D364" s="50">
        <v>4</v>
      </c>
      <c r="E364" s="50"/>
      <c r="F364" s="73" t="s">
        <v>299</v>
      </c>
      <c r="G364" s="51">
        <f>+G365</f>
        <v>199361</v>
      </c>
      <c r="H364" s="51">
        <f>+H365</f>
        <v>0</v>
      </c>
      <c r="I364" s="51">
        <f t="shared" si="18"/>
        <v>199361</v>
      </c>
      <c r="J364" s="58"/>
    </row>
    <row r="365" spans="1:10" ht="25.5" x14ac:dyDescent="0.25">
      <c r="A365" s="62">
        <v>2</v>
      </c>
      <c r="B365" s="54">
        <v>6</v>
      </c>
      <c r="C365" s="54">
        <v>3</v>
      </c>
      <c r="D365" s="54">
        <v>4</v>
      </c>
      <c r="E365" s="55" t="s">
        <v>31</v>
      </c>
      <c r="F365" s="59" t="s">
        <v>299</v>
      </c>
      <c r="G365" s="56">
        <f>'[1]CUENTA T FONDO 100'!GT127</f>
        <v>199361</v>
      </c>
      <c r="H365" s="56">
        <f>'[1]CUENTA T VS'!GT89</f>
        <v>0</v>
      </c>
      <c r="I365" s="56">
        <f t="shared" si="18"/>
        <v>199361</v>
      </c>
      <c r="J365" s="57">
        <f>I365/$I$25</f>
        <v>2.062030442650908E-3</v>
      </c>
    </row>
    <row r="366" spans="1:10" ht="25.5" x14ac:dyDescent="0.25">
      <c r="A366" s="46">
        <v>2</v>
      </c>
      <c r="B366" s="47">
        <v>6</v>
      </c>
      <c r="C366" s="47">
        <v>4</v>
      </c>
      <c r="D366" s="47"/>
      <c r="E366" s="65"/>
      <c r="F366" s="72" t="s">
        <v>300</v>
      </c>
      <c r="G366" s="48">
        <f>+G367+G369+G371+G373+G375+G377+G379+G381</f>
        <v>0</v>
      </c>
      <c r="H366" s="48">
        <f>+H367+H369+H371+H373+H375+H377+H379+H381</f>
        <v>0</v>
      </c>
      <c r="I366" s="48">
        <f t="shared" si="18"/>
        <v>0</v>
      </c>
      <c r="J366" s="45"/>
    </row>
    <row r="367" spans="1:10" x14ac:dyDescent="0.25">
      <c r="A367" s="61">
        <v>2</v>
      </c>
      <c r="B367" s="50">
        <v>6</v>
      </c>
      <c r="C367" s="50">
        <v>4</v>
      </c>
      <c r="D367" s="50">
        <v>1</v>
      </c>
      <c r="E367" s="50"/>
      <c r="F367" s="73" t="s">
        <v>301</v>
      </c>
      <c r="G367" s="51">
        <f>SUM(G368)</f>
        <v>0</v>
      </c>
      <c r="H367" s="51">
        <f>SUM(H368)</f>
        <v>0</v>
      </c>
      <c r="I367" s="51">
        <f t="shared" si="18"/>
        <v>0</v>
      </c>
      <c r="J367" s="58"/>
    </row>
    <row r="368" spans="1:10" x14ac:dyDescent="0.25">
      <c r="A368" s="62">
        <v>2</v>
      </c>
      <c r="B368" s="54">
        <v>6</v>
      </c>
      <c r="C368" s="54">
        <v>4</v>
      </c>
      <c r="D368" s="54">
        <v>1</v>
      </c>
      <c r="E368" s="55" t="s">
        <v>31</v>
      </c>
      <c r="F368" s="59" t="s">
        <v>301</v>
      </c>
      <c r="G368" s="56">
        <f>'[1]CUENTA T FONDO 100'!GU127</f>
        <v>0</v>
      </c>
      <c r="H368" s="56">
        <f>'[1]CUENTA T VS'!GU89</f>
        <v>0</v>
      </c>
      <c r="I368" s="56">
        <f t="shared" si="18"/>
        <v>0</v>
      </c>
      <c r="J368" s="57">
        <f>I368/$I$25</f>
        <v>0</v>
      </c>
    </row>
    <row r="369" spans="1:10" x14ac:dyDescent="0.25">
      <c r="A369" s="61">
        <v>2</v>
      </c>
      <c r="B369" s="50">
        <v>6</v>
      </c>
      <c r="C369" s="50">
        <v>4</v>
      </c>
      <c r="D369" s="50">
        <v>2</v>
      </c>
      <c r="E369" s="50"/>
      <c r="F369" s="73" t="s">
        <v>302</v>
      </c>
      <c r="G369" s="51">
        <f>SUM(G370)</f>
        <v>0</v>
      </c>
      <c r="H369" s="51">
        <f>SUM(H370)</f>
        <v>0</v>
      </c>
      <c r="I369" s="51">
        <f t="shared" si="18"/>
        <v>0</v>
      </c>
      <c r="J369" s="58"/>
    </row>
    <row r="370" spans="1:10" x14ac:dyDescent="0.25">
      <c r="A370" s="62">
        <v>2</v>
      </c>
      <c r="B370" s="54">
        <v>6</v>
      </c>
      <c r="C370" s="54">
        <v>4</v>
      </c>
      <c r="D370" s="54">
        <v>2</v>
      </c>
      <c r="E370" s="55" t="s">
        <v>31</v>
      </c>
      <c r="F370" s="59" t="s">
        <v>302</v>
      </c>
      <c r="G370" s="56">
        <f>'[1]CUENTA T FONDO 100'!GV127</f>
        <v>0</v>
      </c>
      <c r="H370" s="56">
        <f>'[1]CUENTA T VS'!GV89</f>
        <v>0</v>
      </c>
      <c r="I370" s="56">
        <f t="shared" si="18"/>
        <v>0</v>
      </c>
      <c r="J370" s="57">
        <f>I370/$I$25</f>
        <v>0</v>
      </c>
    </row>
    <row r="371" spans="1:10" x14ac:dyDescent="0.25">
      <c r="A371" s="61">
        <v>2</v>
      </c>
      <c r="B371" s="50">
        <v>6</v>
      </c>
      <c r="C371" s="50">
        <v>4</v>
      </c>
      <c r="D371" s="50">
        <v>3</v>
      </c>
      <c r="E371" s="50"/>
      <c r="F371" s="73" t="s">
        <v>303</v>
      </c>
      <c r="G371" s="51">
        <f>SUM(G372)</f>
        <v>0</v>
      </c>
      <c r="H371" s="51">
        <f>SUM(H372)</f>
        <v>0</v>
      </c>
      <c r="I371" s="51">
        <f t="shared" si="18"/>
        <v>0</v>
      </c>
      <c r="J371" s="58"/>
    </row>
    <row r="372" spans="1:10" x14ac:dyDescent="0.25">
      <c r="A372" s="62">
        <v>2</v>
      </c>
      <c r="B372" s="54">
        <v>6</v>
      </c>
      <c r="C372" s="54">
        <v>4</v>
      </c>
      <c r="D372" s="54">
        <v>3</v>
      </c>
      <c r="E372" s="55" t="s">
        <v>31</v>
      </c>
      <c r="F372" s="59" t="s">
        <v>303</v>
      </c>
      <c r="G372" s="56">
        <f>'[1]CUENTA T FONDO 100'!GW127</f>
        <v>0</v>
      </c>
      <c r="H372" s="56">
        <f>'[1]CUENTA T VS'!GX89</f>
        <v>0</v>
      </c>
      <c r="I372" s="56">
        <f t="shared" si="18"/>
        <v>0</v>
      </c>
      <c r="J372" s="57">
        <f>I372/$I$25</f>
        <v>0</v>
      </c>
    </row>
    <row r="373" spans="1:10" x14ac:dyDescent="0.25">
      <c r="A373" s="61">
        <v>2</v>
      </c>
      <c r="B373" s="50">
        <v>6</v>
      </c>
      <c r="C373" s="50">
        <v>4</v>
      </c>
      <c r="D373" s="50">
        <v>4</v>
      </c>
      <c r="E373" s="50"/>
      <c r="F373" s="73" t="s">
        <v>304</v>
      </c>
      <c r="G373" s="51">
        <f>SUM(G374)</f>
        <v>0</v>
      </c>
      <c r="H373" s="51">
        <f>SUM(H374)</f>
        <v>0</v>
      </c>
      <c r="I373" s="51">
        <f t="shared" si="18"/>
        <v>0</v>
      </c>
      <c r="J373" s="58"/>
    </row>
    <row r="374" spans="1:10" x14ac:dyDescent="0.25">
      <c r="A374" s="62">
        <v>2</v>
      </c>
      <c r="B374" s="54">
        <v>6</v>
      </c>
      <c r="C374" s="54">
        <v>4</v>
      </c>
      <c r="D374" s="54">
        <v>4</v>
      </c>
      <c r="E374" s="55" t="s">
        <v>31</v>
      </c>
      <c r="F374" s="59" t="s">
        <v>304</v>
      </c>
      <c r="G374" s="56">
        <f>'[1]CUENTA T FONDO 100'!GX127</f>
        <v>0</v>
      </c>
      <c r="H374" s="56">
        <f>'[1]CUENTA T VS'!GX89</f>
        <v>0</v>
      </c>
      <c r="I374" s="56">
        <f t="shared" si="18"/>
        <v>0</v>
      </c>
      <c r="J374" s="57">
        <f>I374/$I$25</f>
        <v>0</v>
      </c>
    </row>
    <row r="375" spans="1:10" x14ac:dyDescent="0.25">
      <c r="A375" s="61">
        <v>2</v>
      </c>
      <c r="B375" s="50">
        <v>6</v>
      </c>
      <c r="C375" s="50">
        <v>4</v>
      </c>
      <c r="D375" s="50">
        <v>5</v>
      </c>
      <c r="E375" s="50"/>
      <c r="F375" s="73" t="s">
        <v>305</v>
      </c>
      <c r="G375" s="51">
        <f>SUM(G376)</f>
        <v>0</v>
      </c>
      <c r="H375" s="51">
        <f>SUM(H376)</f>
        <v>0</v>
      </c>
      <c r="I375" s="51">
        <f t="shared" si="18"/>
        <v>0</v>
      </c>
      <c r="J375" s="58"/>
    </row>
    <row r="376" spans="1:10" x14ac:dyDescent="0.25">
      <c r="A376" s="62">
        <v>2</v>
      </c>
      <c r="B376" s="54">
        <v>6</v>
      </c>
      <c r="C376" s="54">
        <v>4</v>
      </c>
      <c r="D376" s="54">
        <v>5</v>
      </c>
      <c r="E376" s="55" t="s">
        <v>31</v>
      </c>
      <c r="F376" s="59" t="s">
        <v>305</v>
      </c>
      <c r="G376" s="56">
        <f>'[1]CUENTA T FONDO 100'!GY127</f>
        <v>0</v>
      </c>
      <c r="H376" s="56">
        <f>'[1]CUENTA T VS'!GY89</f>
        <v>0</v>
      </c>
      <c r="I376" s="56">
        <f t="shared" si="18"/>
        <v>0</v>
      </c>
      <c r="J376" s="57">
        <f>I376/$I$25</f>
        <v>0</v>
      </c>
    </row>
    <row r="377" spans="1:10" x14ac:dyDescent="0.25">
      <c r="A377" s="61">
        <v>2</v>
      </c>
      <c r="B377" s="50">
        <v>6</v>
      </c>
      <c r="C377" s="50">
        <v>4</v>
      </c>
      <c r="D377" s="50">
        <v>6</v>
      </c>
      <c r="E377" s="50"/>
      <c r="F377" s="73" t="s">
        <v>306</v>
      </c>
      <c r="G377" s="51">
        <f>SUM(G378)</f>
        <v>0</v>
      </c>
      <c r="H377" s="51">
        <f>SUM(H378)</f>
        <v>0</v>
      </c>
      <c r="I377" s="51">
        <f t="shared" si="18"/>
        <v>0</v>
      </c>
      <c r="J377" s="58"/>
    </row>
    <row r="378" spans="1:10" x14ac:dyDescent="0.25">
      <c r="A378" s="62">
        <v>2</v>
      </c>
      <c r="B378" s="54">
        <v>6</v>
      </c>
      <c r="C378" s="54">
        <v>4</v>
      </c>
      <c r="D378" s="54">
        <v>6</v>
      </c>
      <c r="E378" s="55" t="s">
        <v>31</v>
      </c>
      <c r="F378" s="59" t="s">
        <v>306</v>
      </c>
      <c r="G378" s="56">
        <f>'[1]CUENTA T FONDO 100'!GZ127</f>
        <v>0</v>
      </c>
      <c r="H378" s="56">
        <f>'[1]CUENTA T VS'!GZ89</f>
        <v>0</v>
      </c>
      <c r="I378" s="56">
        <f t="shared" si="18"/>
        <v>0</v>
      </c>
      <c r="J378" s="57">
        <f>I378/$I$25</f>
        <v>0</v>
      </c>
    </row>
    <row r="379" spans="1:10" x14ac:dyDescent="0.25">
      <c r="A379" s="61">
        <v>2</v>
      </c>
      <c r="B379" s="50">
        <v>6</v>
      </c>
      <c r="C379" s="50">
        <v>4</v>
      </c>
      <c r="D379" s="50">
        <v>7</v>
      </c>
      <c r="E379" s="50"/>
      <c r="F379" s="73" t="s">
        <v>307</v>
      </c>
      <c r="G379" s="51">
        <f>SUM(G380)</f>
        <v>0</v>
      </c>
      <c r="H379" s="51">
        <f>SUM(H380)</f>
        <v>0</v>
      </c>
      <c r="I379" s="51">
        <f t="shared" si="18"/>
        <v>0</v>
      </c>
      <c r="J379" s="58"/>
    </row>
    <row r="380" spans="1:10" x14ac:dyDescent="0.25">
      <c r="A380" s="62">
        <v>2</v>
      </c>
      <c r="B380" s="54">
        <v>6</v>
      </c>
      <c r="C380" s="54">
        <v>4</v>
      </c>
      <c r="D380" s="54">
        <v>7</v>
      </c>
      <c r="E380" s="55" t="s">
        <v>31</v>
      </c>
      <c r="F380" s="59" t="s">
        <v>307</v>
      </c>
      <c r="G380" s="56">
        <f>'[1]CUENTA T FONDO 100'!HA127</f>
        <v>0</v>
      </c>
      <c r="H380" s="56">
        <f>'[1]CUENTA T VS'!HA89</f>
        <v>0</v>
      </c>
      <c r="I380" s="56">
        <f t="shared" si="18"/>
        <v>0</v>
      </c>
      <c r="J380" s="57">
        <f>I380/$I$25</f>
        <v>0</v>
      </c>
    </row>
    <row r="381" spans="1:10" x14ac:dyDescent="0.25">
      <c r="A381" s="61">
        <v>2</v>
      </c>
      <c r="B381" s="50">
        <v>6</v>
      </c>
      <c r="C381" s="50">
        <v>4</v>
      </c>
      <c r="D381" s="50">
        <v>8</v>
      </c>
      <c r="E381" s="50"/>
      <c r="F381" s="73" t="s">
        <v>308</v>
      </c>
      <c r="G381" s="51">
        <f>SUM(G382)</f>
        <v>0</v>
      </c>
      <c r="H381" s="51">
        <f>SUM(H382)</f>
        <v>0</v>
      </c>
      <c r="I381" s="51">
        <f t="shared" si="18"/>
        <v>0</v>
      </c>
      <c r="J381" s="58"/>
    </row>
    <row r="382" spans="1:10" x14ac:dyDescent="0.25">
      <c r="A382" s="62">
        <v>2</v>
      </c>
      <c r="B382" s="54">
        <v>6</v>
      </c>
      <c r="C382" s="54">
        <v>4</v>
      </c>
      <c r="D382" s="54">
        <v>8</v>
      </c>
      <c r="E382" s="55" t="s">
        <v>31</v>
      </c>
      <c r="F382" s="59" t="s">
        <v>308</v>
      </c>
      <c r="G382" s="56">
        <f>'[1]CUENTA T FONDO 100'!HB127</f>
        <v>0</v>
      </c>
      <c r="H382" s="56">
        <f>'[1]CUENTA T VS'!HB89</f>
        <v>0</v>
      </c>
      <c r="I382" s="56">
        <f t="shared" si="18"/>
        <v>0</v>
      </c>
      <c r="J382" s="57">
        <f>I382/$I$25</f>
        <v>0</v>
      </c>
    </row>
    <row r="383" spans="1:10" ht="25.5" x14ac:dyDescent="0.25">
      <c r="A383" s="46">
        <v>2</v>
      </c>
      <c r="B383" s="47">
        <v>6</v>
      </c>
      <c r="C383" s="47">
        <v>5</v>
      </c>
      <c r="D383" s="47"/>
      <c r="E383" s="65"/>
      <c r="F383" s="72" t="s">
        <v>309</v>
      </c>
      <c r="G383" s="48">
        <f>+G384+G386+G388+G390+G392+G394+G396+G398</f>
        <v>216820</v>
      </c>
      <c r="H383" s="48">
        <f>+H384+H386+H388+H390+H392+H394+H396+H398</f>
        <v>0</v>
      </c>
      <c r="I383" s="48">
        <f t="shared" si="18"/>
        <v>216820</v>
      </c>
      <c r="J383" s="45"/>
    </row>
    <row r="384" spans="1:10" x14ac:dyDescent="0.25">
      <c r="A384" s="49">
        <v>2</v>
      </c>
      <c r="B384" s="50">
        <v>6</v>
      </c>
      <c r="C384" s="50">
        <v>5</v>
      </c>
      <c r="D384" s="50">
        <v>1</v>
      </c>
      <c r="E384" s="50"/>
      <c r="F384" s="73" t="s">
        <v>310</v>
      </c>
      <c r="G384" s="51">
        <f>SUM(G385)</f>
        <v>0</v>
      </c>
      <c r="H384" s="51">
        <f>SUM(H385)</f>
        <v>0</v>
      </c>
      <c r="I384" s="51">
        <f t="shared" si="18"/>
        <v>0</v>
      </c>
      <c r="J384" s="58"/>
    </row>
    <row r="385" spans="1:10" x14ac:dyDescent="0.25">
      <c r="A385" s="53">
        <v>2</v>
      </c>
      <c r="B385" s="54">
        <v>6</v>
      </c>
      <c r="C385" s="54">
        <v>5</v>
      </c>
      <c r="D385" s="54">
        <v>1</v>
      </c>
      <c r="E385" s="55" t="s">
        <v>31</v>
      </c>
      <c r="F385" s="59" t="s">
        <v>310</v>
      </c>
      <c r="G385" s="56">
        <f>'[1]CUENTA T FONDO 100'!HC127</f>
        <v>0</v>
      </c>
      <c r="H385" s="56">
        <f>'[1]CUENTA T VS'!HC89</f>
        <v>0</v>
      </c>
      <c r="I385" s="56">
        <f t="shared" si="18"/>
        <v>0</v>
      </c>
      <c r="J385" s="57">
        <f>I385/$I$25</f>
        <v>0</v>
      </c>
    </row>
    <row r="386" spans="1:10" x14ac:dyDescent="0.25">
      <c r="A386" s="49">
        <v>2</v>
      </c>
      <c r="B386" s="50">
        <v>6</v>
      </c>
      <c r="C386" s="50">
        <v>5</v>
      </c>
      <c r="D386" s="50">
        <v>2</v>
      </c>
      <c r="E386" s="50"/>
      <c r="F386" s="73" t="s">
        <v>311</v>
      </c>
      <c r="G386" s="51">
        <f>SUM(G387)</f>
        <v>58700</v>
      </c>
      <c r="H386" s="51">
        <f>SUM(H387)</f>
        <v>0</v>
      </c>
      <c r="I386" s="51">
        <f t="shared" si="18"/>
        <v>58700</v>
      </c>
      <c r="J386" s="58"/>
    </row>
    <row r="387" spans="1:10" x14ac:dyDescent="0.25">
      <c r="A387" s="53">
        <v>2</v>
      </c>
      <c r="B387" s="54">
        <v>6</v>
      </c>
      <c r="C387" s="54">
        <v>5</v>
      </c>
      <c r="D387" s="54">
        <v>2</v>
      </c>
      <c r="E387" s="55" t="s">
        <v>31</v>
      </c>
      <c r="F387" s="59" t="s">
        <v>311</v>
      </c>
      <c r="G387" s="56">
        <f>'[1]CUENTA T FONDO 100'!HD127</f>
        <v>58700</v>
      </c>
      <c r="H387" s="56">
        <f>'[1]CUENTA T VS'!HD89</f>
        <v>0</v>
      </c>
      <c r="I387" s="56">
        <f t="shared" si="18"/>
        <v>58700</v>
      </c>
      <c r="J387" s="57">
        <f>I387/$I$25</f>
        <v>6.0714576563925893E-4</v>
      </c>
    </row>
    <row r="388" spans="1:10" x14ac:dyDescent="0.25">
      <c r="A388" s="49">
        <v>2</v>
      </c>
      <c r="B388" s="50">
        <v>6</v>
      </c>
      <c r="C388" s="50">
        <v>5</v>
      </c>
      <c r="D388" s="50">
        <v>3</v>
      </c>
      <c r="E388" s="50"/>
      <c r="F388" s="73" t="s">
        <v>312</v>
      </c>
      <c r="G388" s="51">
        <f>SUM(G389)</f>
        <v>0</v>
      </c>
      <c r="H388" s="51">
        <f>SUM(H389)</f>
        <v>0</v>
      </c>
      <c r="I388" s="51">
        <f t="shared" si="18"/>
        <v>0</v>
      </c>
      <c r="J388" s="58"/>
    </row>
    <row r="389" spans="1:10" x14ac:dyDescent="0.25">
      <c r="A389" s="53">
        <v>2</v>
      </c>
      <c r="B389" s="54">
        <v>6</v>
      </c>
      <c r="C389" s="54">
        <v>5</v>
      </c>
      <c r="D389" s="54">
        <v>3</v>
      </c>
      <c r="E389" s="55" t="s">
        <v>31</v>
      </c>
      <c r="F389" s="59" t="s">
        <v>312</v>
      </c>
      <c r="G389" s="56">
        <f>'[1]CUENTA T FONDO 100'!HE127</f>
        <v>0</v>
      </c>
      <c r="H389" s="56">
        <f>'[1]CUENTA T VS'!HE89</f>
        <v>0</v>
      </c>
      <c r="I389" s="56">
        <f t="shared" si="18"/>
        <v>0</v>
      </c>
      <c r="J389" s="57">
        <f>I389/$I$25</f>
        <v>0</v>
      </c>
    </row>
    <row r="390" spans="1:10" x14ac:dyDescent="0.25">
      <c r="A390" s="49">
        <v>2</v>
      </c>
      <c r="B390" s="50">
        <v>6</v>
      </c>
      <c r="C390" s="50">
        <v>5</v>
      </c>
      <c r="D390" s="50">
        <v>4</v>
      </c>
      <c r="E390" s="50"/>
      <c r="F390" s="73" t="s">
        <v>313</v>
      </c>
      <c r="G390" s="51">
        <f>SUM(G391)</f>
        <v>158120</v>
      </c>
      <c r="H390" s="51">
        <f>SUM(H391)</f>
        <v>0</v>
      </c>
      <c r="I390" s="51">
        <f t="shared" si="18"/>
        <v>158120</v>
      </c>
      <c r="J390" s="58"/>
    </row>
    <row r="391" spans="1:10" x14ac:dyDescent="0.25">
      <c r="A391" s="53">
        <v>2</v>
      </c>
      <c r="B391" s="54">
        <v>6</v>
      </c>
      <c r="C391" s="54">
        <v>5</v>
      </c>
      <c r="D391" s="54">
        <v>4</v>
      </c>
      <c r="E391" s="55" t="s">
        <v>31</v>
      </c>
      <c r="F391" s="59" t="s">
        <v>313</v>
      </c>
      <c r="G391" s="56">
        <f>'[1]CUENTA T FONDO 100'!HF127</f>
        <v>158120</v>
      </c>
      <c r="H391" s="56">
        <f>'[1]CUENTA T VS'!HF89</f>
        <v>0</v>
      </c>
      <c r="I391" s="56">
        <f t="shared" si="18"/>
        <v>158120</v>
      </c>
      <c r="J391" s="57">
        <f>I391/$I$25</f>
        <v>1.6354665836947125E-3</v>
      </c>
    </row>
    <row r="392" spans="1:10" ht="25.5" x14ac:dyDescent="0.25">
      <c r="A392" s="49">
        <v>2</v>
      </c>
      <c r="B392" s="50">
        <v>6</v>
      </c>
      <c r="C392" s="50">
        <v>5</v>
      </c>
      <c r="D392" s="50">
        <v>5</v>
      </c>
      <c r="E392" s="50"/>
      <c r="F392" s="73" t="s">
        <v>314</v>
      </c>
      <c r="G392" s="51">
        <f>SUM(G393)</f>
        <v>0</v>
      </c>
      <c r="H392" s="51">
        <f>SUM(H393)</f>
        <v>0</v>
      </c>
      <c r="I392" s="51">
        <f t="shared" si="18"/>
        <v>0</v>
      </c>
      <c r="J392" s="58"/>
    </row>
    <row r="393" spans="1:10" ht="25.5" x14ac:dyDescent="0.25">
      <c r="A393" s="53">
        <v>2</v>
      </c>
      <c r="B393" s="54">
        <v>6</v>
      </c>
      <c r="C393" s="54">
        <v>5</v>
      </c>
      <c r="D393" s="54">
        <v>5</v>
      </c>
      <c r="E393" s="55" t="s">
        <v>31</v>
      </c>
      <c r="F393" s="59" t="s">
        <v>314</v>
      </c>
      <c r="G393" s="56">
        <f>'[1]CUENTA T FONDO 100'!HG127</f>
        <v>0</v>
      </c>
      <c r="H393" s="56">
        <f>'[1]CUENTA T VS'!HG89</f>
        <v>0</v>
      </c>
      <c r="I393" s="56">
        <f t="shared" si="18"/>
        <v>0</v>
      </c>
      <c r="J393" s="57">
        <f>I393/$I$25</f>
        <v>0</v>
      </c>
    </row>
    <row r="394" spans="1:10" x14ac:dyDescent="0.25">
      <c r="A394" s="49">
        <v>2</v>
      </c>
      <c r="B394" s="50">
        <v>6</v>
      </c>
      <c r="C394" s="50">
        <v>5</v>
      </c>
      <c r="D394" s="50">
        <v>6</v>
      </c>
      <c r="E394" s="50"/>
      <c r="F394" s="73" t="s">
        <v>315</v>
      </c>
      <c r="G394" s="51">
        <f>SUM(G395)</f>
        <v>0</v>
      </c>
      <c r="H394" s="51">
        <f>SUM(H395)</f>
        <v>0</v>
      </c>
      <c r="I394" s="51">
        <f t="shared" si="18"/>
        <v>0</v>
      </c>
      <c r="J394" s="58"/>
    </row>
    <row r="395" spans="1:10" x14ac:dyDescent="0.25">
      <c r="A395" s="53">
        <v>2</v>
      </c>
      <c r="B395" s="54">
        <v>6</v>
      </c>
      <c r="C395" s="54">
        <v>5</v>
      </c>
      <c r="D395" s="54">
        <v>6</v>
      </c>
      <c r="E395" s="55" t="s">
        <v>31</v>
      </c>
      <c r="F395" s="59" t="s">
        <v>315</v>
      </c>
      <c r="G395" s="56">
        <f>'[1]CUENTA T FONDO 100'!HH127</f>
        <v>0</v>
      </c>
      <c r="H395" s="56">
        <f>'[1]CUENTA T VS'!HH89</f>
        <v>0</v>
      </c>
      <c r="I395" s="56">
        <f t="shared" si="18"/>
        <v>0</v>
      </c>
      <c r="J395" s="57">
        <f>I395/$I$25</f>
        <v>0</v>
      </c>
    </row>
    <row r="396" spans="1:10" x14ac:dyDescent="0.25">
      <c r="A396" s="49">
        <v>2</v>
      </c>
      <c r="B396" s="50">
        <v>6</v>
      </c>
      <c r="C396" s="50">
        <v>5</v>
      </c>
      <c r="D396" s="50">
        <v>7</v>
      </c>
      <c r="E396" s="50"/>
      <c r="F396" s="73" t="s">
        <v>316</v>
      </c>
      <c r="G396" s="51">
        <f>SUM(G397)</f>
        <v>0</v>
      </c>
      <c r="H396" s="51">
        <f>SUM(H397)</f>
        <v>0</v>
      </c>
      <c r="I396" s="51">
        <f t="shared" si="18"/>
        <v>0</v>
      </c>
      <c r="J396" s="58"/>
    </row>
    <row r="397" spans="1:10" x14ac:dyDescent="0.25">
      <c r="A397" s="53">
        <v>2</v>
      </c>
      <c r="B397" s="54">
        <v>6</v>
      </c>
      <c r="C397" s="54">
        <v>5</v>
      </c>
      <c r="D397" s="54">
        <v>7</v>
      </c>
      <c r="E397" s="55" t="s">
        <v>31</v>
      </c>
      <c r="F397" s="59" t="s">
        <v>316</v>
      </c>
      <c r="G397" s="56">
        <f>'[1]CUENTA T FONDO 100'!HI127</f>
        <v>0</v>
      </c>
      <c r="H397" s="56">
        <f>'[1]CUENTA T VS'!HI89</f>
        <v>0</v>
      </c>
      <c r="I397" s="56">
        <f t="shared" si="18"/>
        <v>0</v>
      </c>
      <c r="J397" s="57">
        <f>I397/$I$25</f>
        <v>0</v>
      </c>
    </row>
    <row r="398" spans="1:10" x14ac:dyDescent="0.25">
      <c r="A398" s="49">
        <v>2</v>
      </c>
      <c r="B398" s="50">
        <v>6</v>
      </c>
      <c r="C398" s="50">
        <v>5</v>
      </c>
      <c r="D398" s="50">
        <v>8</v>
      </c>
      <c r="E398" s="50"/>
      <c r="F398" s="73" t="s">
        <v>317</v>
      </c>
      <c r="G398" s="51">
        <f>SUM(G399)</f>
        <v>0</v>
      </c>
      <c r="H398" s="51">
        <f>SUM(H399)</f>
        <v>0</v>
      </c>
      <c r="I398" s="51">
        <f t="shared" si="18"/>
        <v>0</v>
      </c>
      <c r="J398" s="58"/>
    </row>
    <row r="399" spans="1:10" x14ac:dyDescent="0.25">
      <c r="A399" s="53">
        <v>2</v>
      </c>
      <c r="B399" s="54">
        <v>6</v>
      </c>
      <c r="C399" s="54">
        <v>5</v>
      </c>
      <c r="D399" s="54">
        <v>8</v>
      </c>
      <c r="E399" s="55" t="s">
        <v>31</v>
      </c>
      <c r="F399" s="59" t="s">
        <v>317</v>
      </c>
      <c r="G399" s="56">
        <f>'[1]CUENTA T FONDO 100'!HJ127</f>
        <v>0</v>
      </c>
      <c r="H399" s="56">
        <f>'[1]CUENTA T VS'!HJ89</f>
        <v>0</v>
      </c>
      <c r="I399" s="56">
        <f t="shared" si="18"/>
        <v>0</v>
      </c>
      <c r="J399" s="57">
        <f>I399/$I$25</f>
        <v>0</v>
      </c>
    </row>
    <row r="400" spans="1:10" x14ac:dyDescent="0.25">
      <c r="A400" s="60">
        <v>2</v>
      </c>
      <c r="B400" s="47">
        <v>6</v>
      </c>
      <c r="C400" s="47">
        <v>6</v>
      </c>
      <c r="D400" s="47"/>
      <c r="E400" s="47"/>
      <c r="F400" s="72" t="s">
        <v>318</v>
      </c>
      <c r="G400" s="48">
        <f>+G401+G403</f>
        <v>0</v>
      </c>
      <c r="H400" s="48">
        <f>+H401+H403</f>
        <v>0</v>
      </c>
      <c r="I400" s="48">
        <f t="shared" si="18"/>
        <v>0</v>
      </c>
      <c r="J400" s="45">
        <f>I400/$I$25</f>
        <v>0</v>
      </c>
    </row>
    <row r="401" spans="1:10" x14ac:dyDescent="0.25">
      <c r="A401" s="61">
        <v>2</v>
      </c>
      <c r="B401" s="50">
        <v>6</v>
      </c>
      <c r="C401" s="50">
        <v>6</v>
      </c>
      <c r="D401" s="50">
        <v>1</v>
      </c>
      <c r="E401" s="64"/>
      <c r="F401" s="73" t="s">
        <v>319</v>
      </c>
      <c r="G401" s="51">
        <f>+G402</f>
        <v>0</v>
      </c>
      <c r="H401" s="51">
        <f>+H402</f>
        <v>0</v>
      </c>
      <c r="I401" s="51">
        <f t="shared" si="18"/>
        <v>0</v>
      </c>
      <c r="J401" s="58"/>
    </row>
    <row r="402" spans="1:10" x14ac:dyDescent="0.25">
      <c r="A402" s="62">
        <v>2</v>
      </c>
      <c r="B402" s="54">
        <v>6</v>
      </c>
      <c r="C402" s="54">
        <v>6</v>
      </c>
      <c r="D402" s="54">
        <v>1</v>
      </c>
      <c r="E402" s="54" t="s">
        <v>320</v>
      </c>
      <c r="F402" s="59" t="s">
        <v>319</v>
      </c>
      <c r="G402" s="56">
        <f>'[1]CUENTA T FONDO 100'!HK127</f>
        <v>0</v>
      </c>
      <c r="H402" s="56">
        <f>'[1]CUENTA T VS'!HK89</f>
        <v>0</v>
      </c>
      <c r="I402" s="56">
        <f t="shared" si="18"/>
        <v>0</v>
      </c>
      <c r="J402" s="57">
        <f>I402/$I$25</f>
        <v>0</v>
      </c>
    </row>
    <row r="403" spans="1:10" x14ac:dyDescent="0.25">
      <c r="A403" s="61">
        <v>2</v>
      </c>
      <c r="B403" s="50">
        <v>6</v>
      </c>
      <c r="C403" s="50">
        <v>6</v>
      </c>
      <c r="D403" s="50">
        <v>2</v>
      </c>
      <c r="E403" s="64"/>
      <c r="F403" s="73" t="s">
        <v>321</v>
      </c>
      <c r="G403" s="51">
        <f>+G404</f>
        <v>0</v>
      </c>
      <c r="H403" s="51">
        <f>+H404</f>
        <v>0</v>
      </c>
      <c r="I403" s="51">
        <f t="shared" si="18"/>
        <v>0</v>
      </c>
      <c r="J403" s="58"/>
    </row>
    <row r="404" spans="1:10" x14ac:dyDescent="0.25">
      <c r="A404" s="62">
        <v>2</v>
      </c>
      <c r="B404" s="54">
        <v>6</v>
      </c>
      <c r="C404" s="54">
        <v>6</v>
      </c>
      <c r="D404" s="54">
        <v>2</v>
      </c>
      <c r="E404" s="54" t="s">
        <v>320</v>
      </c>
      <c r="F404" s="59" t="s">
        <v>321</v>
      </c>
      <c r="G404" s="56">
        <f>'[1]CUENTA T FONDO 100'!HL127</f>
        <v>0</v>
      </c>
      <c r="H404" s="56">
        <f>'[1]CUENTA T VS'!HL89</f>
        <v>0</v>
      </c>
      <c r="I404" s="56">
        <f t="shared" si="18"/>
        <v>0</v>
      </c>
      <c r="J404" s="57">
        <f>I404/$I$25</f>
        <v>0</v>
      </c>
    </row>
    <row r="405" spans="1:10" x14ac:dyDescent="0.25">
      <c r="A405" s="46">
        <v>2</v>
      </c>
      <c r="B405" s="47">
        <v>6</v>
      </c>
      <c r="C405" s="47">
        <v>7</v>
      </c>
      <c r="D405" s="47"/>
      <c r="E405" s="65"/>
      <c r="F405" s="72" t="s">
        <v>322</v>
      </c>
      <c r="G405" s="48">
        <f>+G406+G408+G410+G412+G414+G416+G418+G420+G422</f>
        <v>0</v>
      </c>
      <c r="H405" s="48">
        <f>+H406+H408+H410+H412+H414+H416+H418+H420+H422</f>
        <v>0</v>
      </c>
      <c r="I405" s="48">
        <f t="shared" si="18"/>
        <v>0</v>
      </c>
      <c r="J405" s="45"/>
    </row>
    <row r="406" spans="1:10" x14ac:dyDescent="0.25">
      <c r="A406" s="49">
        <v>2</v>
      </c>
      <c r="B406" s="50">
        <v>6</v>
      </c>
      <c r="C406" s="50">
        <v>7</v>
      </c>
      <c r="D406" s="50">
        <v>1</v>
      </c>
      <c r="E406" s="50"/>
      <c r="F406" s="73" t="s">
        <v>323</v>
      </c>
      <c r="G406" s="51">
        <f>SUM(G407)</f>
        <v>0</v>
      </c>
      <c r="H406" s="51">
        <f>SUM(H407)</f>
        <v>0</v>
      </c>
      <c r="I406" s="51">
        <f t="shared" si="18"/>
        <v>0</v>
      </c>
      <c r="J406" s="58"/>
    </row>
    <row r="407" spans="1:10" x14ac:dyDescent="0.25">
      <c r="A407" s="53">
        <v>2</v>
      </c>
      <c r="B407" s="54">
        <v>6</v>
      </c>
      <c r="C407" s="54">
        <v>7</v>
      </c>
      <c r="D407" s="54">
        <v>1</v>
      </c>
      <c r="E407" s="55" t="s">
        <v>31</v>
      </c>
      <c r="F407" s="59" t="s">
        <v>323</v>
      </c>
      <c r="G407" s="56">
        <f>'[1]CUENTA T FONDO 100'!HM127</f>
        <v>0</v>
      </c>
      <c r="H407" s="56">
        <f>'[1]CUENTA T VS'!HM89</f>
        <v>0</v>
      </c>
      <c r="I407" s="56">
        <f t="shared" si="18"/>
        <v>0</v>
      </c>
      <c r="J407" s="57">
        <f>I407/$I$25</f>
        <v>0</v>
      </c>
    </row>
    <row r="408" spans="1:10" x14ac:dyDescent="0.25">
      <c r="A408" s="61">
        <v>2</v>
      </c>
      <c r="B408" s="50">
        <v>6</v>
      </c>
      <c r="C408" s="50">
        <v>7</v>
      </c>
      <c r="D408" s="50">
        <v>2</v>
      </c>
      <c r="E408" s="50"/>
      <c r="F408" s="73" t="s">
        <v>324</v>
      </c>
      <c r="G408" s="51">
        <f>SUM(G409)</f>
        <v>0</v>
      </c>
      <c r="H408" s="51">
        <f>SUM(H409)</f>
        <v>0</v>
      </c>
      <c r="I408" s="51">
        <f t="shared" si="18"/>
        <v>0</v>
      </c>
      <c r="J408" s="58"/>
    </row>
    <row r="409" spans="1:10" x14ac:dyDescent="0.25">
      <c r="A409" s="62">
        <v>2</v>
      </c>
      <c r="B409" s="54">
        <v>6</v>
      </c>
      <c r="C409" s="54">
        <v>7</v>
      </c>
      <c r="D409" s="54">
        <v>2</v>
      </c>
      <c r="E409" s="55" t="s">
        <v>31</v>
      </c>
      <c r="F409" s="59" t="s">
        <v>324</v>
      </c>
      <c r="G409" s="56">
        <f>'[1]CUENTA T FONDO 100'!HN127</f>
        <v>0</v>
      </c>
      <c r="H409" s="56">
        <f>'[1]CUENTA T VS'!HN89</f>
        <v>0</v>
      </c>
      <c r="I409" s="56">
        <f t="shared" ref="I409:I472" si="19">SUM(G409:H409)</f>
        <v>0</v>
      </c>
      <c r="J409" s="57">
        <f>I409/$I$25</f>
        <v>0</v>
      </c>
    </row>
    <row r="410" spans="1:10" x14ac:dyDescent="0.25">
      <c r="A410" s="61">
        <v>2</v>
      </c>
      <c r="B410" s="50">
        <v>6</v>
      </c>
      <c r="C410" s="50">
        <v>7</v>
      </c>
      <c r="D410" s="50">
        <v>3</v>
      </c>
      <c r="E410" s="50"/>
      <c r="F410" s="73" t="s">
        <v>325</v>
      </c>
      <c r="G410" s="51">
        <f>SUM(G411)</f>
        <v>0</v>
      </c>
      <c r="H410" s="51">
        <f>SUM(H411)</f>
        <v>0</v>
      </c>
      <c r="I410" s="51">
        <f t="shared" si="19"/>
        <v>0</v>
      </c>
      <c r="J410" s="58"/>
    </row>
    <row r="411" spans="1:10" x14ac:dyDescent="0.25">
      <c r="A411" s="62">
        <v>2</v>
      </c>
      <c r="B411" s="54">
        <v>6</v>
      </c>
      <c r="C411" s="54">
        <v>7</v>
      </c>
      <c r="D411" s="54">
        <v>3</v>
      </c>
      <c r="E411" s="55" t="s">
        <v>31</v>
      </c>
      <c r="F411" s="59" t="s">
        <v>325</v>
      </c>
      <c r="G411" s="56">
        <f>'[1]CUENTA T FONDO 100'!HO127</f>
        <v>0</v>
      </c>
      <c r="H411" s="56">
        <f>'[1]CUENTA T VS'!HO89</f>
        <v>0</v>
      </c>
      <c r="I411" s="56">
        <f t="shared" si="19"/>
        <v>0</v>
      </c>
      <c r="J411" s="57">
        <f>I411/$I$25</f>
        <v>0</v>
      </c>
    </row>
    <row r="412" spans="1:10" x14ac:dyDescent="0.25">
      <c r="A412" s="61">
        <v>2</v>
      </c>
      <c r="B412" s="50">
        <v>6</v>
      </c>
      <c r="C412" s="50">
        <v>7</v>
      </c>
      <c r="D412" s="50">
        <v>4</v>
      </c>
      <c r="E412" s="50"/>
      <c r="F412" s="73" t="s">
        <v>326</v>
      </c>
      <c r="G412" s="51">
        <f>SUM(G413)</f>
        <v>0</v>
      </c>
      <c r="H412" s="51">
        <f>SUM(H413)</f>
        <v>0</v>
      </c>
      <c r="I412" s="51">
        <f t="shared" si="19"/>
        <v>0</v>
      </c>
      <c r="J412" s="58"/>
    </row>
    <row r="413" spans="1:10" x14ac:dyDescent="0.25">
      <c r="A413" s="62">
        <v>2</v>
      </c>
      <c r="B413" s="54">
        <v>6</v>
      </c>
      <c r="C413" s="54">
        <v>7</v>
      </c>
      <c r="D413" s="54">
        <v>4</v>
      </c>
      <c r="E413" s="55" t="s">
        <v>31</v>
      </c>
      <c r="F413" s="59" t="s">
        <v>326</v>
      </c>
      <c r="G413" s="56">
        <f>'[1]CUENTA T FONDO 100'!HP127</f>
        <v>0</v>
      </c>
      <c r="H413" s="56">
        <f>'[1]CUENTA T VS'!HP89</f>
        <v>0</v>
      </c>
      <c r="I413" s="56">
        <f t="shared" si="19"/>
        <v>0</v>
      </c>
      <c r="J413" s="57">
        <f>I413/$I$25</f>
        <v>0</v>
      </c>
    </row>
    <row r="414" spans="1:10" x14ac:dyDescent="0.25">
      <c r="A414" s="61">
        <v>2</v>
      </c>
      <c r="B414" s="50">
        <v>6</v>
      </c>
      <c r="C414" s="50">
        <v>7</v>
      </c>
      <c r="D414" s="50">
        <v>5</v>
      </c>
      <c r="E414" s="50"/>
      <c r="F414" s="73" t="s">
        <v>327</v>
      </c>
      <c r="G414" s="51">
        <f>SUM(G415)</f>
        <v>0</v>
      </c>
      <c r="H414" s="51">
        <f>SUM(H415)</f>
        <v>0</v>
      </c>
      <c r="I414" s="51">
        <f t="shared" si="19"/>
        <v>0</v>
      </c>
      <c r="J414" s="58"/>
    </row>
    <row r="415" spans="1:10" x14ac:dyDescent="0.25">
      <c r="A415" s="62">
        <v>2</v>
      </c>
      <c r="B415" s="54">
        <v>6</v>
      </c>
      <c r="C415" s="54">
        <v>7</v>
      </c>
      <c r="D415" s="54">
        <v>5</v>
      </c>
      <c r="E415" s="55" t="s">
        <v>31</v>
      </c>
      <c r="F415" s="59" t="s">
        <v>327</v>
      </c>
      <c r="G415" s="56">
        <f>'[1]CUENTA T FONDO 100'!HQ127</f>
        <v>0</v>
      </c>
      <c r="H415" s="56">
        <f>'[1]CUENTA T VS'!HQ89</f>
        <v>0</v>
      </c>
      <c r="I415" s="56">
        <f t="shared" si="19"/>
        <v>0</v>
      </c>
      <c r="J415" s="57">
        <f>I415/$I$25</f>
        <v>0</v>
      </c>
    </row>
    <row r="416" spans="1:10" x14ac:dyDescent="0.25">
      <c r="A416" s="61">
        <v>2</v>
      </c>
      <c r="B416" s="50">
        <v>6</v>
      </c>
      <c r="C416" s="50">
        <v>7</v>
      </c>
      <c r="D416" s="50">
        <v>6</v>
      </c>
      <c r="E416" s="50"/>
      <c r="F416" s="73" t="s">
        <v>328</v>
      </c>
      <c r="G416" s="51">
        <f>SUM(G417)</f>
        <v>0</v>
      </c>
      <c r="H416" s="51">
        <f>SUM(H417)</f>
        <v>0</v>
      </c>
      <c r="I416" s="51">
        <f t="shared" si="19"/>
        <v>0</v>
      </c>
      <c r="J416" s="58"/>
    </row>
    <row r="417" spans="1:10" x14ac:dyDescent="0.25">
      <c r="A417" s="62">
        <v>2</v>
      </c>
      <c r="B417" s="54">
        <v>6</v>
      </c>
      <c r="C417" s="54">
        <v>7</v>
      </c>
      <c r="D417" s="54">
        <v>6</v>
      </c>
      <c r="E417" s="55" t="s">
        <v>31</v>
      </c>
      <c r="F417" s="59" t="s">
        <v>328</v>
      </c>
      <c r="G417" s="56">
        <f>'[1]CUENTA T FONDO 100'!HR127</f>
        <v>0</v>
      </c>
      <c r="H417" s="56">
        <f>'[1]CUENTA T VS'!HR89</f>
        <v>0</v>
      </c>
      <c r="I417" s="56">
        <f t="shared" si="19"/>
        <v>0</v>
      </c>
      <c r="J417" s="57">
        <f>I417/$I$25</f>
        <v>0</v>
      </c>
    </row>
    <row r="418" spans="1:10" x14ac:dyDescent="0.25">
      <c r="A418" s="61">
        <v>2</v>
      </c>
      <c r="B418" s="50">
        <v>6</v>
      </c>
      <c r="C418" s="50">
        <v>7</v>
      </c>
      <c r="D418" s="50">
        <v>7</v>
      </c>
      <c r="E418" s="50"/>
      <c r="F418" s="73" t="s">
        <v>329</v>
      </c>
      <c r="G418" s="51">
        <f>SUM(G419)</f>
        <v>0</v>
      </c>
      <c r="H418" s="51">
        <f>SUM(H419)</f>
        <v>0</v>
      </c>
      <c r="I418" s="51">
        <f t="shared" si="19"/>
        <v>0</v>
      </c>
      <c r="J418" s="58"/>
    </row>
    <row r="419" spans="1:10" x14ac:dyDescent="0.25">
      <c r="A419" s="62">
        <v>2</v>
      </c>
      <c r="B419" s="54">
        <v>6</v>
      </c>
      <c r="C419" s="54">
        <v>7</v>
      </c>
      <c r="D419" s="54">
        <v>7</v>
      </c>
      <c r="E419" s="55" t="s">
        <v>31</v>
      </c>
      <c r="F419" s="59" t="s">
        <v>329</v>
      </c>
      <c r="G419" s="56">
        <f>'[1]CUENTA T FONDO 100'!HS127</f>
        <v>0</v>
      </c>
      <c r="H419" s="56">
        <f>'[1]CUENTA T VS'!HS89</f>
        <v>0</v>
      </c>
      <c r="I419" s="56">
        <f t="shared" si="19"/>
        <v>0</v>
      </c>
      <c r="J419" s="57">
        <f>I419/$I$25</f>
        <v>0</v>
      </c>
    </row>
    <row r="420" spans="1:10" ht="25.5" x14ac:dyDescent="0.25">
      <c r="A420" s="61">
        <v>2</v>
      </c>
      <c r="B420" s="50">
        <v>6</v>
      </c>
      <c r="C420" s="50">
        <v>7</v>
      </c>
      <c r="D420" s="50">
        <v>8</v>
      </c>
      <c r="E420" s="50"/>
      <c r="F420" s="73" t="s">
        <v>330</v>
      </c>
      <c r="G420" s="51">
        <f>SUM(G421)</f>
        <v>0</v>
      </c>
      <c r="H420" s="51">
        <f>SUM(H421)</f>
        <v>0</v>
      </c>
      <c r="I420" s="51">
        <f t="shared" si="19"/>
        <v>0</v>
      </c>
      <c r="J420" s="58"/>
    </row>
    <row r="421" spans="1:10" ht="25.5" x14ac:dyDescent="0.25">
      <c r="A421" s="62">
        <v>2</v>
      </c>
      <c r="B421" s="54">
        <v>6</v>
      </c>
      <c r="C421" s="54">
        <v>7</v>
      </c>
      <c r="D421" s="54">
        <v>8</v>
      </c>
      <c r="E421" s="55" t="s">
        <v>31</v>
      </c>
      <c r="F421" s="59" t="s">
        <v>330</v>
      </c>
      <c r="G421" s="56">
        <f>'[1]CUENTA T FONDO 100'!HT127</f>
        <v>0</v>
      </c>
      <c r="H421" s="56">
        <f>'[1]CUENTA T VS'!HT89</f>
        <v>0</v>
      </c>
      <c r="I421" s="56">
        <f t="shared" si="19"/>
        <v>0</v>
      </c>
      <c r="J421" s="57">
        <f>I421/$I$25</f>
        <v>0</v>
      </c>
    </row>
    <row r="422" spans="1:10" ht="25.5" x14ac:dyDescent="0.25">
      <c r="A422" s="61">
        <v>2</v>
      </c>
      <c r="B422" s="50">
        <v>6</v>
      </c>
      <c r="C422" s="50">
        <v>7</v>
      </c>
      <c r="D422" s="50">
        <v>9</v>
      </c>
      <c r="E422" s="50"/>
      <c r="F422" s="73" t="s">
        <v>331</v>
      </c>
      <c r="G422" s="51">
        <f>SUM(G423)</f>
        <v>0</v>
      </c>
      <c r="H422" s="51">
        <f>SUM(H423)</f>
        <v>0</v>
      </c>
      <c r="I422" s="51">
        <f t="shared" si="19"/>
        <v>0</v>
      </c>
      <c r="J422" s="58"/>
    </row>
    <row r="423" spans="1:10" ht="25.5" x14ac:dyDescent="0.25">
      <c r="A423" s="62">
        <v>2</v>
      </c>
      <c r="B423" s="54">
        <v>6</v>
      </c>
      <c r="C423" s="54">
        <v>7</v>
      </c>
      <c r="D423" s="54">
        <v>9</v>
      </c>
      <c r="E423" s="55" t="s">
        <v>31</v>
      </c>
      <c r="F423" s="59" t="s">
        <v>331</v>
      </c>
      <c r="G423" s="56">
        <f>'[1]CUENTA T FONDO 100'!HU127</f>
        <v>0</v>
      </c>
      <c r="H423" s="56">
        <f>'[1]CUENTA T VS'!HU89</f>
        <v>0</v>
      </c>
      <c r="I423" s="56">
        <f t="shared" si="19"/>
        <v>0</v>
      </c>
      <c r="J423" s="57">
        <f>I423/$I$25</f>
        <v>0</v>
      </c>
    </row>
    <row r="424" spans="1:10" x14ac:dyDescent="0.25">
      <c r="A424" s="60">
        <v>2</v>
      </c>
      <c r="B424" s="47">
        <v>6</v>
      </c>
      <c r="C424" s="47">
        <v>8</v>
      </c>
      <c r="D424" s="47"/>
      <c r="E424" s="47"/>
      <c r="F424" s="72" t="s">
        <v>332</v>
      </c>
      <c r="G424" s="48">
        <f>G425+G427+G429+G432+G434+G436+G438+G440+G444</f>
        <v>0</v>
      </c>
      <c r="H424" s="48">
        <f>H425+H427+H429+H432+H434+H436+H438+H440+H444</f>
        <v>0</v>
      </c>
      <c r="I424" s="48">
        <f t="shared" si="19"/>
        <v>0</v>
      </c>
      <c r="J424" s="45"/>
    </row>
    <row r="425" spans="1:10" x14ac:dyDescent="0.25">
      <c r="A425" s="61">
        <v>2</v>
      </c>
      <c r="B425" s="50">
        <v>6</v>
      </c>
      <c r="C425" s="50">
        <v>8</v>
      </c>
      <c r="D425" s="50">
        <v>1</v>
      </c>
      <c r="E425" s="50"/>
      <c r="F425" s="73" t="s">
        <v>333</v>
      </c>
      <c r="G425" s="51">
        <f>+G426</f>
        <v>0</v>
      </c>
      <c r="H425" s="51">
        <f>+H426</f>
        <v>0</v>
      </c>
      <c r="I425" s="51">
        <f t="shared" si="19"/>
        <v>0</v>
      </c>
      <c r="J425" s="58"/>
    </row>
    <row r="426" spans="1:10" x14ac:dyDescent="0.25">
      <c r="A426" s="62">
        <v>2</v>
      </c>
      <c r="B426" s="54">
        <v>6</v>
      </c>
      <c r="C426" s="54">
        <v>8</v>
      </c>
      <c r="D426" s="54">
        <v>1</v>
      </c>
      <c r="E426" s="55" t="s">
        <v>31</v>
      </c>
      <c r="F426" s="59" t="s">
        <v>333</v>
      </c>
      <c r="G426" s="56">
        <f>'[1]CUENTA T FONDO 100'!HV127</f>
        <v>0</v>
      </c>
      <c r="H426" s="56">
        <f>'[1]CUENTA T VS'!HV89</f>
        <v>0</v>
      </c>
      <c r="I426" s="56">
        <f t="shared" si="19"/>
        <v>0</v>
      </c>
      <c r="J426" s="57">
        <f>I426/$I$25</f>
        <v>0</v>
      </c>
    </row>
    <row r="427" spans="1:10" x14ac:dyDescent="0.25">
      <c r="A427" s="61">
        <v>2</v>
      </c>
      <c r="B427" s="50">
        <v>6</v>
      </c>
      <c r="C427" s="50">
        <v>8</v>
      </c>
      <c r="D427" s="50">
        <v>2</v>
      </c>
      <c r="E427" s="50"/>
      <c r="F427" s="73" t="s">
        <v>334</v>
      </c>
      <c r="G427" s="51">
        <f>+G428</f>
        <v>0</v>
      </c>
      <c r="H427" s="51">
        <f>+H428</f>
        <v>0</v>
      </c>
      <c r="I427" s="51">
        <f t="shared" si="19"/>
        <v>0</v>
      </c>
      <c r="J427" s="58"/>
    </row>
    <row r="428" spans="1:10" x14ac:dyDescent="0.25">
      <c r="A428" s="62">
        <v>2</v>
      </c>
      <c r="B428" s="54">
        <v>6</v>
      </c>
      <c r="C428" s="54">
        <v>8</v>
      </c>
      <c r="D428" s="54">
        <v>2</v>
      </c>
      <c r="E428" s="55" t="s">
        <v>31</v>
      </c>
      <c r="F428" s="59" t="s">
        <v>334</v>
      </c>
      <c r="G428" s="56">
        <f>'[1]CUENTA T FONDO 100'!HW127</f>
        <v>0</v>
      </c>
      <c r="H428" s="56">
        <f>'[1]CUENTA T VS'!HW89</f>
        <v>0</v>
      </c>
      <c r="I428" s="56">
        <f t="shared" si="19"/>
        <v>0</v>
      </c>
      <c r="J428" s="57">
        <f>I428/$I$25</f>
        <v>0</v>
      </c>
    </row>
    <row r="429" spans="1:10" ht="25.5" x14ac:dyDescent="0.25">
      <c r="A429" s="61">
        <v>2</v>
      </c>
      <c r="B429" s="50">
        <v>6</v>
      </c>
      <c r="C429" s="50">
        <v>8</v>
      </c>
      <c r="D429" s="50">
        <v>3</v>
      </c>
      <c r="E429" s="50"/>
      <c r="F429" s="73" t="s">
        <v>335</v>
      </c>
      <c r="G429" s="51">
        <f>SUM(G430:G431)</f>
        <v>0</v>
      </c>
      <c r="H429" s="51">
        <f>SUM(H430:H431)</f>
        <v>0</v>
      </c>
      <c r="I429" s="51">
        <f t="shared" si="19"/>
        <v>0</v>
      </c>
      <c r="J429" s="58"/>
    </row>
    <row r="430" spans="1:10" x14ac:dyDescent="0.25">
      <c r="A430" s="62">
        <v>2</v>
      </c>
      <c r="B430" s="54">
        <v>6</v>
      </c>
      <c r="C430" s="54">
        <v>8</v>
      </c>
      <c r="D430" s="54">
        <v>3</v>
      </c>
      <c r="E430" s="55" t="s">
        <v>31</v>
      </c>
      <c r="F430" s="59" t="s">
        <v>336</v>
      </c>
      <c r="G430" s="56">
        <f>'[1]CUENTA T FONDO 100'!HX127</f>
        <v>0</v>
      </c>
      <c r="H430" s="56">
        <f>'[1]CUENTA T VS'!HX89</f>
        <v>0</v>
      </c>
      <c r="I430" s="56">
        <f t="shared" si="19"/>
        <v>0</v>
      </c>
      <c r="J430" s="57">
        <f>I430/$I$25</f>
        <v>0</v>
      </c>
    </row>
    <row r="431" spans="1:10" x14ac:dyDescent="0.25">
      <c r="A431" s="62">
        <v>2</v>
      </c>
      <c r="B431" s="54">
        <v>6</v>
      </c>
      <c r="C431" s="54">
        <v>8</v>
      </c>
      <c r="D431" s="54">
        <v>3</v>
      </c>
      <c r="E431" s="55" t="s">
        <v>33</v>
      </c>
      <c r="F431" s="59" t="s">
        <v>337</v>
      </c>
      <c r="G431" s="56">
        <f>'[1]CUENTA T FONDO 100'!HY127</f>
        <v>0</v>
      </c>
      <c r="H431" s="56">
        <f>'[1]CUENTA T VS'!HY89</f>
        <v>0</v>
      </c>
      <c r="I431" s="56">
        <f t="shared" si="19"/>
        <v>0</v>
      </c>
      <c r="J431" s="57">
        <f>I431/$I$25</f>
        <v>0</v>
      </c>
    </row>
    <row r="432" spans="1:10" ht="25.5" x14ac:dyDescent="0.25">
      <c r="A432" s="61">
        <v>2</v>
      </c>
      <c r="B432" s="50">
        <v>6</v>
      </c>
      <c r="C432" s="50">
        <v>8</v>
      </c>
      <c r="D432" s="50">
        <v>4</v>
      </c>
      <c r="E432" s="50"/>
      <c r="F432" s="73" t="s">
        <v>338</v>
      </c>
      <c r="G432" s="51">
        <f>+G433</f>
        <v>0</v>
      </c>
      <c r="H432" s="51">
        <f>+H433</f>
        <v>0</v>
      </c>
      <c r="I432" s="51">
        <f t="shared" si="19"/>
        <v>0</v>
      </c>
      <c r="J432" s="58"/>
    </row>
    <row r="433" spans="1:10" ht="25.5" x14ac:dyDescent="0.25">
      <c r="A433" s="62">
        <v>2</v>
      </c>
      <c r="B433" s="54">
        <v>6</v>
      </c>
      <c r="C433" s="54">
        <v>8</v>
      </c>
      <c r="D433" s="54">
        <v>4</v>
      </c>
      <c r="E433" s="55" t="s">
        <v>31</v>
      </c>
      <c r="F433" s="59" t="s">
        <v>338</v>
      </c>
      <c r="G433" s="56">
        <f>'[1]CUENTA T FONDO 100'!HZ127</f>
        <v>0</v>
      </c>
      <c r="H433" s="56">
        <f>'[1]CUENTA T VS'!HZ89</f>
        <v>0</v>
      </c>
      <c r="I433" s="56">
        <f t="shared" si="19"/>
        <v>0</v>
      </c>
      <c r="J433" s="57">
        <f>I433/$I$25</f>
        <v>0</v>
      </c>
    </row>
    <row r="434" spans="1:10" x14ac:dyDescent="0.25">
      <c r="A434" s="61">
        <v>2</v>
      </c>
      <c r="B434" s="50">
        <v>6</v>
      </c>
      <c r="C434" s="50">
        <v>8</v>
      </c>
      <c r="D434" s="50">
        <v>5</v>
      </c>
      <c r="E434" s="50"/>
      <c r="F434" s="73" t="s">
        <v>339</v>
      </c>
      <c r="G434" s="51">
        <f>+G435</f>
        <v>0</v>
      </c>
      <c r="H434" s="51">
        <f>+H435</f>
        <v>0</v>
      </c>
      <c r="I434" s="51">
        <f t="shared" si="19"/>
        <v>0</v>
      </c>
      <c r="J434" s="58"/>
    </row>
    <row r="435" spans="1:10" x14ac:dyDescent="0.25">
      <c r="A435" s="62">
        <v>2</v>
      </c>
      <c r="B435" s="54">
        <v>6</v>
      </c>
      <c r="C435" s="54">
        <v>8</v>
      </c>
      <c r="D435" s="54">
        <v>5</v>
      </c>
      <c r="E435" s="55" t="s">
        <v>31</v>
      </c>
      <c r="F435" s="59" t="s">
        <v>339</v>
      </c>
      <c r="G435" s="56">
        <f>'[1]CUENTA T FONDO 100'!IA127</f>
        <v>0</v>
      </c>
      <c r="H435" s="56">
        <f>'[1]CUENTA T VS'!IA89</f>
        <v>0</v>
      </c>
      <c r="I435" s="56">
        <f t="shared" si="19"/>
        <v>0</v>
      </c>
      <c r="J435" s="57">
        <f>I435/$I$25</f>
        <v>0</v>
      </c>
    </row>
    <row r="436" spans="1:10" x14ac:dyDescent="0.25">
      <c r="A436" s="61">
        <v>2</v>
      </c>
      <c r="B436" s="50">
        <v>6</v>
      </c>
      <c r="C436" s="50">
        <v>8</v>
      </c>
      <c r="D436" s="50">
        <v>6</v>
      </c>
      <c r="E436" s="50"/>
      <c r="F436" s="73" t="s">
        <v>340</v>
      </c>
      <c r="G436" s="51">
        <f>+G437</f>
        <v>0</v>
      </c>
      <c r="H436" s="51">
        <f>+H437</f>
        <v>0</v>
      </c>
      <c r="I436" s="51">
        <f t="shared" si="19"/>
        <v>0</v>
      </c>
      <c r="J436" s="58"/>
    </row>
    <row r="437" spans="1:10" x14ac:dyDescent="0.25">
      <c r="A437" s="62">
        <v>2</v>
      </c>
      <c r="B437" s="54">
        <v>6</v>
      </c>
      <c r="C437" s="54">
        <v>8</v>
      </c>
      <c r="D437" s="54">
        <v>6</v>
      </c>
      <c r="E437" s="55" t="s">
        <v>31</v>
      </c>
      <c r="F437" s="59" t="s">
        <v>340</v>
      </c>
      <c r="G437" s="56">
        <f>'[1]CUENTA T FONDO 100'!IB127</f>
        <v>0</v>
      </c>
      <c r="H437" s="56">
        <f>'[1]CUENTA T VS'!IB89</f>
        <v>0</v>
      </c>
      <c r="I437" s="56">
        <f t="shared" si="19"/>
        <v>0</v>
      </c>
      <c r="J437" s="57">
        <f>I437/$I$25</f>
        <v>0</v>
      </c>
    </row>
    <row r="438" spans="1:10" x14ac:dyDescent="0.25">
      <c r="A438" s="61">
        <v>2</v>
      </c>
      <c r="B438" s="50">
        <v>6</v>
      </c>
      <c r="C438" s="50">
        <v>8</v>
      </c>
      <c r="D438" s="50">
        <v>7</v>
      </c>
      <c r="E438" s="50"/>
      <c r="F438" s="73" t="s">
        <v>341</v>
      </c>
      <c r="G438" s="51">
        <f>+G439</f>
        <v>0</v>
      </c>
      <c r="H438" s="51">
        <f>+H439</f>
        <v>0</v>
      </c>
      <c r="I438" s="51">
        <f t="shared" si="19"/>
        <v>0</v>
      </c>
      <c r="J438" s="58"/>
    </row>
    <row r="439" spans="1:10" x14ac:dyDescent="0.25">
      <c r="A439" s="62">
        <v>2</v>
      </c>
      <c r="B439" s="54">
        <v>6</v>
      </c>
      <c r="C439" s="54">
        <v>8</v>
      </c>
      <c r="D439" s="54">
        <v>7</v>
      </c>
      <c r="E439" s="55" t="s">
        <v>31</v>
      </c>
      <c r="F439" s="59" t="s">
        <v>341</v>
      </c>
      <c r="G439" s="56">
        <f>'[1]CUENTA T FONDO 100'!IC127</f>
        <v>0</v>
      </c>
      <c r="H439" s="56">
        <f>'[1]CUENTA T VS'!IC89</f>
        <v>0</v>
      </c>
      <c r="I439" s="56">
        <f t="shared" si="19"/>
        <v>0</v>
      </c>
      <c r="J439" s="57">
        <f>I439/$I$25</f>
        <v>0</v>
      </c>
    </row>
    <row r="440" spans="1:10" ht="25.5" x14ac:dyDescent="0.25">
      <c r="A440" s="49">
        <v>2</v>
      </c>
      <c r="B440" s="50">
        <v>6</v>
      </c>
      <c r="C440" s="50">
        <v>8</v>
      </c>
      <c r="D440" s="50">
        <v>8</v>
      </c>
      <c r="E440" s="50"/>
      <c r="F440" s="73" t="s">
        <v>342</v>
      </c>
      <c r="G440" s="51">
        <f>SUM(G441:G443)</f>
        <v>0</v>
      </c>
      <c r="H440" s="51">
        <f>SUM(H441:H443)</f>
        <v>0</v>
      </c>
      <c r="I440" s="51">
        <f t="shared" si="19"/>
        <v>0</v>
      </c>
      <c r="J440" s="58"/>
    </row>
    <row r="441" spans="1:10" x14ac:dyDescent="0.25">
      <c r="A441" s="62">
        <v>2</v>
      </c>
      <c r="B441" s="54">
        <v>6</v>
      </c>
      <c r="C441" s="54">
        <v>8</v>
      </c>
      <c r="D441" s="54">
        <v>8</v>
      </c>
      <c r="E441" s="54" t="s">
        <v>343</v>
      </c>
      <c r="F441" s="59" t="s">
        <v>344</v>
      </c>
      <c r="G441" s="56">
        <f>'[1]CUENTA T FONDO 100'!ID127</f>
        <v>0</v>
      </c>
      <c r="H441" s="56">
        <f>'[1]CUENTA T VS'!ID89</f>
        <v>0</v>
      </c>
      <c r="I441" s="56">
        <f t="shared" si="19"/>
        <v>0</v>
      </c>
      <c r="J441" s="57">
        <f>I441/$I$25</f>
        <v>0</v>
      </c>
    </row>
    <row r="442" spans="1:10" x14ac:dyDescent="0.25">
      <c r="A442" s="62">
        <v>2</v>
      </c>
      <c r="B442" s="54">
        <v>6</v>
      </c>
      <c r="C442" s="54">
        <v>8</v>
      </c>
      <c r="D442" s="54">
        <v>8</v>
      </c>
      <c r="E442" s="54" t="s">
        <v>345</v>
      </c>
      <c r="F442" s="59" t="s">
        <v>346</v>
      </c>
      <c r="G442" s="56">
        <f>'[1]CUENTA T FONDO 100'!IE127</f>
        <v>0</v>
      </c>
      <c r="H442" s="56">
        <f>'[1]CUENTA T VS'!IE89</f>
        <v>0</v>
      </c>
      <c r="I442" s="56">
        <f t="shared" si="19"/>
        <v>0</v>
      </c>
      <c r="J442" s="57">
        <f>I442/$I$25</f>
        <v>0</v>
      </c>
    </row>
    <row r="443" spans="1:10" x14ac:dyDescent="0.25">
      <c r="A443" s="62">
        <v>2</v>
      </c>
      <c r="B443" s="54">
        <v>6</v>
      </c>
      <c r="C443" s="54">
        <v>8</v>
      </c>
      <c r="D443" s="54">
        <v>8</v>
      </c>
      <c r="E443" s="54" t="s">
        <v>347</v>
      </c>
      <c r="F443" s="59" t="s">
        <v>348</v>
      </c>
      <c r="G443" s="56">
        <f>'[1]CUENTA T FONDO 100'!IF127</f>
        <v>0</v>
      </c>
      <c r="H443" s="56">
        <f>'[1]CUENTA T VS'!IF89</f>
        <v>0</v>
      </c>
      <c r="I443" s="56">
        <f t="shared" si="19"/>
        <v>0</v>
      </c>
      <c r="J443" s="57">
        <f>I443/$I$25</f>
        <v>0</v>
      </c>
    </row>
    <row r="444" spans="1:10" x14ac:dyDescent="0.25">
      <c r="A444" s="61">
        <v>2</v>
      </c>
      <c r="B444" s="50">
        <v>6</v>
      </c>
      <c r="C444" s="50">
        <v>8</v>
      </c>
      <c r="D444" s="50">
        <v>9</v>
      </c>
      <c r="E444" s="50"/>
      <c r="F444" s="73" t="s">
        <v>349</v>
      </c>
      <c r="G444" s="51">
        <f>+G445</f>
        <v>0</v>
      </c>
      <c r="H444" s="51">
        <f>+H445</f>
        <v>0</v>
      </c>
      <c r="I444" s="51">
        <f t="shared" si="19"/>
        <v>0</v>
      </c>
      <c r="J444" s="58"/>
    </row>
    <row r="445" spans="1:10" x14ac:dyDescent="0.25">
      <c r="A445" s="62">
        <v>2</v>
      </c>
      <c r="B445" s="54">
        <v>6</v>
      </c>
      <c r="C445" s="54">
        <v>8</v>
      </c>
      <c r="D445" s="54">
        <v>9</v>
      </c>
      <c r="E445" s="54" t="s">
        <v>320</v>
      </c>
      <c r="F445" s="59" t="s">
        <v>349</v>
      </c>
      <c r="G445" s="56">
        <f>'[1]CUENTA T FONDO 100'!IG127</f>
        <v>0</v>
      </c>
      <c r="H445" s="56">
        <f>'[1]CUENTA T VS'!IG89</f>
        <v>0</v>
      </c>
      <c r="I445" s="56">
        <f t="shared" si="19"/>
        <v>0</v>
      </c>
      <c r="J445" s="57">
        <f>I445/$I$25</f>
        <v>0</v>
      </c>
    </row>
    <row r="446" spans="1:10" x14ac:dyDescent="0.25">
      <c r="A446" s="46">
        <v>2</v>
      </c>
      <c r="B446" s="47">
        <v>6</v>
      </c>
      <c r="C446" s="47">
        <v>9</v>
      </c>
      <c r="D446" s="47"/>
      <c r="E446" s="65"/>
      <c r="F446" s="72" t="s">
        <v>350</v>
      </c>
      <c r="G446" s="48">
        <f>+G447+G450+G453+G455+G457+G461</f>
        <v>0</v>
      </c>
      <c r="H446" s="48">
        <f>+H447+H450+H453+H455+H457+H461</f>
        <v>0</v>
      </c>
      <c r="I446" s="48">
        <f t="shared" si="19"/>
        <v>0</v>
      </c>
      <c r="J446" s="45"/>
    </row>
    <row r="447" spans="1:10" x14ac:dyDescent="0.25">
      <c r="A447" s="61">
        <v>2</v>
      </c>
      <c r="B447" s="50">
        <v>6</v>
      </c>
      <c r="C447" s="50">
        <v>9</v>
      </c>
      <c r="D447" s="50">
        <v>1</v>
      </c>
      <c r="E447" s="50"/>
      <c r="F447" s="73" t="s">
        <v>351</v>
      </c>
      <c r="G447" s="51">
        <f>+G448+G449</f>
        <v>0</v>
      </c>
      <c r="H447" s="51">
        <f t="shared" ref="H447" si="20">+H448+H449</f>
        <v>0</v>
      </c>
      <c r="I447" s="51">
        <f t="shared" si="19"/>
        <v>0</v>
      </c>
      <c r="J447" s="51"/>
    </row>
    <row r="448" spans="1:10" x14ac:dyDescent="0.25">
      <c r="A448" s="75">
        <v>2</v>
      </c>
      <c r="B448" s="76">
        <v>6</v>
      </c>
      <c r="C448" s="76">
        <v>9</v>
      </c>
      <c r="D448" s="76">
        <v>1</v>
      </c>
      <c r="E448" s="76" t="s">
        <v>31</v>
      </c>
      <c r="F448" s="77" t="s">
        <v>351</v>
      </c>
      <c r="G448" s="56">
        <f>'[1]CUENTA T FONDO 100'!IH127</f>
        <v>0</v>
      </c>
      <c r="H448" s="78">
        <f>'[1]CUENTA T VS'!IH89</f>
        <v>0</v>
      </c>
      <c r="I448" s="78">
        <f t="shared" si="19"/>
        <v>0</v>
      </c>
      <c r="J448" s="57">
        <f>I448/$I$25</f>
        <v>0</v>
      </c>
    </row>
    <row r="449" spans="1:10" x14ac:dyDescent="0.25">
      <c r="A449" s="75">
        <v>2</v>
      </c>
      <c r="B449" s="76">
        <v>6</v>
      </c>
      <c r="C449" s="76">
        <v>9</v>
      </c>
      <c r="D449" s="76">
        <v>1</v>
      </c>
      <c r="E449" s="76" t="s">
        <v>33</v>
      </c>
      <c r="F449" s="77" t="s">
        <v>352</v>
      </c>
      <c r="G449" s="56">
        <f>'[1]CUENTA T FONDO 100'!II127</f>
        <v>0</v>
      </c>
      <c r="H449" s="78">
        <f>'[1]CUENTA T VS'!II89</f>
        <v>0</v>
      </c>
      <c r="I449" s="78">
        <f t="shared" si="19"/>
        <v>0</v>
      </c>
      <c r="J449" s="57">
        <f>I449/$I$25</f>
        <v>0</v>
      </c>
    </row>
    <row r="450" spans="1:10" x14ac:dyDescent="0.25">
      <c r="A450" s="61">
        <v>2</v>
      </c>
      <c r="B450" s="50">
        <v>6</v>
      </c>
      <c r="C450" s="50">
        <v>9</v>
      </c>
      <c r="D450" s="50">
        <v>2</v>
      </c>
      <c r="E450" s="50"/>
      <c r="F450" s="73" t="s">
        <v>353</v>
      </c>
      <c r="G450" s="51">
        <f>SUM(G451:G452)</f>
        <v>0</v>
      </c>
      <c r="H450" s="51">
        <f t="shared" ref="H450" si="21">SUM(H451:H452)</f>
        <v>0</v>
      </c>
      <c r="I450" s="51">
        <f t="shared" si="19"/>
        <v>0</v>
      </c>
      <c r="J450" s="58"/>
    </row>
    <row r="451" spans="1:10" x14ac:dyDescent="0.25">
      <c r="A451" s="62">
        <v>2</v>
      </c>
      <c r="B451" s="54">
        <v>6</v>
      </c>
      <c r="C451" s="54">
        <v>9</v>
      </c>
      <c r="D451" s="54">
        <v>2</v>
      </c>
      <c r="E451" s="55" t="s">
        <v>31</v>
      </c>
      <c r="F451" s="59" t="s">
        <v>353</v>
      </c>
      <c r="G451" s="56">
        <f>'[1]CUENTA T FONDO 100'!IJ127</f>
        <v>0</v>
      </c>
      <c r="H451" s="56">
        <f>'[1]CUENTA T VS'!IJ89</f>
        <v>0</v>
      </c>
      <c r="I451" s="56">
        <f t="shared" si="19"/>
        <v>0</v>
      </c>
      <c r="J451" s="57">
        <f>I451/$I$25</f>
        <v>0</v>
      </c>
    </row>
    <row r="452" spans="1:10" x14ac:dyDescent="0.25">
      <c r="A452" s="62">
        <v>2</v>
      </c>
      <c r="B452" s="54">
        <v>6</v>
      </c>
      <c r="C452" s="54">
        <v>9</v>
      </c>
      <c r="D452" s="54">
        <v>2</v>
      </c>
      <c r="E452" s="55" t="s">
        <v>33</v>
      </c>
      <c r="F452" s="59" t="s">
        <v>354</v>
      </c>
      <c r="G452" s="56">
        <f>'[1]CUENTA T FONDO 100'!IK127</f>
        <v>0</v>
      </c>
      <c r="H452" s="56">
        <f>'[1]CUENTA T VS'!IK89</f>
        <v>0</v>
      </c>
      <c r="I452" s="56">
        <f t="shared" si="19"/>
        <v>0</v>
      </c>
      <c r="J452" s="57">
        <f>I452/$I$25</f>
        <v>0</v>
      </c>
    </row>
    <row r="453" spans="1:10" x14ac:dyDescent="0.25">
      <c r="A453" s="61">
        <v>2</v>
      </c>
      <c r="B453" s="50">
        <v>6</v>
      </c>
      <c r="C453" s="50">
        <v>9</v>
      </c>
      <c r="D453" s="50">
        <v>3</v>
      </c>
      <c r="E453" s="50"/>
      <c r="F453" s="73" t="s">
        <v>355</v>
      </c>
      <c r="G453" s="51">
        <f>SUM(G454)</f>
        <v>0</v>
      </c>
      <c r="H453" s="51">
        <f>SUM(H454)</f>
        <v>0</v>
      </c>
      <c r="I453" s="51">
        <f t="shared" si="19"/>
        <v>0</v>
      </c>
      <c r="J453" s="51"/>
    </row>
    <row r="454" spans="1:10" x14ac:dyDescent="0.25">
      <c r="A454" s="62">
        <v>2</v>
      </c>
      <c r="B454" s="54">
        <v>6</v>
      </c>
      <c r="C454" s="54">
        <v>9</v>
      </c>
      <c r="D454" s="54">
        <v>3</v>
      </c>
      <c r="E454" s="55" t="s">
        <v>31</v>
      </c>
      <c r="F454" s="59" t="s">
        <v>355</v>
      </c>
      <c r="G454" s="56">
        <f>'[1]CUENTA T FONDO 100'!IL127</f>
        <v>0</v>
      </c>
      <c r="H454" s="56">
        <f>'[1]CUENTA T VS'!IL89</f>
        <v>0</v>
      </c>
      <c r="I454" s="56">
        <f t="shared" si="19"/>
        <v>0</v>
      </c>
      <c r="J454" s="57">
        <f>I454/$I$25</f>
        <v>0</v>
      </c>
    </row>
    <row r="455" spans="1:10" x14ac:dyDescent="0.25">
      <c r="A455" s="61">
        <v>2</v>
      </c>
      <c r="B455" s="50">
        <v>6</v>
      </c>
      <c r="C455" s="50">
        <v>9</v>
      </c>
      <c r="D455" s="50">
        <v>4</v>
      </c>
      <c r="E455" s="50"/>
      <c r="F455" s="73" t="s">
        <v>356</v>
      </c>
      <c r="G455" s="51">
        <f>SUM(G456)</f>
        <v>0</v>
      </c>
      <c r="H455" s="51">
        <f>SUM(H456)</f>
        <v>0</v>
      </c>
      <c r="I455" s="51">
        <f t="shared" si="19"/>
        <v>0</v>
      </c>
      <c r="J455" s="58"/>
    </row>
    <row r="456" spans="1:10" x14ac:dyDescent="0.25">
      <c r="A456" s="62">
        <v>2</v>
      </c>
      <c r="B456" s="54">
        <v>6</v>
      </c>
      <c r="C456" s="54">
        <v>9</v>
      </c>
      <c r="D456" s="54">
        <v>4</v>
      </c>
      <c r="E456" s="55" t="s">
        <v>31</v>
      </c>
      <c r="F456" s="59" t="s">
        <v>356</v>
      </c>
      <c r="G456" s="56">
        <f>'[1]CUENTA T FONDO 100'!IM127</f>
        <v>0</v>
      </c>
      <c r="H456" s="56">
        <f>'[1]CUENTA T VS'!IM89</f>
        <v>0</v>
      </c>
      <c r="I456" s="56">
        <f t="shared" si="19"/>
        <v>0</v>
      </c>
      <c r="J456" s="57">
        <f>I456/$I$25</f>
        <v>0</v>
      </c>
    </row>
    <row r="457" spans="1:10" x14ac:dyDescent="0.25">
      <c r="A457" s="61">
        <v>2</v>
      </c>
      <c r="B457" s="50">
        <v>6</v>
      </c>
      <c r="C457" s="50">
        <v>9</v>
      </c>
      <c r="D457" s="50">
        <v>5</v>
      </c>
      <c r="E457" s="50"/>
      <c r="F457" s="73" t="s">
        <v>357</v>
      </c>
      <c r="G457" s="51">
        <f>SUM(G458:G460)</f>
        <v>0</v>
      </c>
      <c r="H457" s="51">
        <f>SUM(H458:H460)</f>
        <v>0</v>
      </c>
      <c r="I457" s="51">
        <f t="shared" si="19"/>
        <v>0</v>
      </c>
      <c r="J457" s="58"/>
    </row>
    <row r="458" spans="1:10" x14ac:dyDescent="0.25">
      <c r="A458" s="62">
        <v>2</v>
      </c>
      <c r="B458" s="54">
        <v>6</v>
      </c>
      <c r="C458" s="54">
        <v>9</v>
      </c>
      <c r="D458" s="54">
        <v>5</v>
      </c>
      <c r="E458" s="55" t="s">
        <v>31</v>
      </c>
      <c r="F458" s="59" t="s">
        <v>358</v>
      </c>
      <c r="G458" s="56">
        <f>'[1]CUENTA T FONDO 100'!IN127</f>
        <v>0</v>
      </c>
      <c r="H458" s="56">
        <f>'[1]CUENTA T VS'!IN89</f>
        <v>0</v>
      </c>
      <c r="I458" s="56">
        <f t="shared" si="19"/>
        <v>0</v>
      </c>
      <c r="J458" s="57">
        <f>I458/$I$25</f>
        <v>0</v>
      </c>
    </row>
    <row r="459" spans="1:10" ht="25.5" x14ac:dyDescent="0.25">
      <c r="A459" s="62">
        <v>2</v>
      </c>
      <c r="B459" s="54">
        <v>6</v>
      </c>
      <c r="C459" s="54">
        <v>9</v>
      </c>
      <c r="D459" s="54">
        <v>5</v>
      </c>
      <c r="E459" s="55" t="s">
        <v>33</v>
      </c>
      <c r="F459" s="59" t="s">
        <v>359</v>
      </c>
      <c r="G459" s="56">
        <f>'[1]CUENTA T FONDO 100'!IO127</f>
        <v>0</v>
      </c>
      <c r="H459" s="56">
        <f>'[1]CUENTA T VS'!IO89</f>
        <v>0</v>
      </c>
      <c r="I459" s="56">
        <f t="shared" si="19"/>
        <v>0</v>
      </c>
      <c r="J459" s="57">
        <f>I459/$I$25</f>
        <v>0</v>
      </c>
    </row>
    <row r="460" spans="1:10" x14ac:dyDescent="0.25">
      <c r="A460" s="62">
        <v>2</v>
      </c>
      <c r="B460" s="54">
        <v>6</v>
      </c>
      <c r="C460" s="54">
        <v>9</v>
      </c>
      <c r="D460" s="54">
        <v>5</v>
      </c>
      <c r="E460" s="55" t="s">
        <v>35</v>
      </c>
      <c r="F460" s="59" t="s">
        <v>360</v>
      </c>
      <c r="G460" s="56">
        <f>'[1]CUENTA T FONDO 100'!IP127</f>
        <v>0</v>
      </c>
      <c r="H460" s="56">
        <f>'[1]CUENTA T VS'!IP89</f>
        <v>0</v>
      </c>
      <c r="I460" s="56">
        <f t="shared" si="19"/>
        <v>0</v>
      </c>
      <c r="J460" s="57">
        <f>I460/$I$25</f>
        <v>0</v>
      </c>
    </row>
    <row r="461" spans="1:10" x14ac:dyDescent="0.25">
      <c r="A461" s="61">
        <v>2</v>
      </c>
      <c r="B461" s="50">
        <v>6</v>
      </c>
      <c r="C461" s="50">
        <v>9</v>
      </c>
      <c r="D461" s="50">
        <v>9</v>
      </c>
      <c r="E461" s="50"/>
      <c r="F461" s="73" t="s">
        <v>361</v>
      </c>
      <c r="G461" s="51">
        <f>SUM(G462)</f>
        <v>0</v>
      </c>
      <c r="H461" s="51">
        <f>SUM(H462)</f>
        <v>0</v>
      </c>
      <c r="I461" s="51">
        <f t="shared" si="19"/>
        <v>0</v>
      </c>
      <c r="J461" s="58"/>
    </row>
    <row r="462" spans="1:10" x14ac:dyDescent="0.25">
      <c r="A462" s="62">
        <v>2</v>
      </c>
      <c r="B462" s="54">
        <v>6</v>
      </c>
      <c r="C462" s="54">
        <v>9</v>
      </c>
      <c r="D462" s="54">
        <v>9</v>
      </c>
      <c r="E462" s="55" t="s">
        <v>31</v>
      </c>
      <c r="F462" s="59" t="s">
        <v>361</v>
      </c>
      <c r="G462" s="56">
        <f>'[1]CUENTA T FONDO 100'!IQ127</f>
        <v>0</v>
      </c>
      <c r="H462" s="56">
        <f>'[1]CUENTA T VS'!IQ89</f>
        <v>0</v>
      </c>
      <c r="I462" s="56">
        <f t="shared" si="19"/>
        <v>0</v>
      </c>
      <c r="J462" s="57">
        <f>I462/$I$25</f>
        <v>0</v>
      </c>
    </row>
    <row r="463" spans="1:10" x14ac:dyDescent="0.25">
      <c r="A463" s="60">
        <v>2</v>
      </c>
      <c r="B463" s="47">
        <v>7</v>
      </c>
      <c r="C463" s="47"/>
      <c r="D463" s="47"/>
      <c r="E463" s="47"/>
      <c r="F463" s="72" t="s">
        <v>362</v>
      </c>
      <c r="G463" s="48">
        <f>G464+G473+G492+G497</f>
        <v>0</v>
      </c>
      <c r="H463" s="48">
        <f>H464+H473+H492+H497</f>
        <v>0</v>
      </c>
      <c r="I463" s="48">
        <f t="shared" si="19"/>
        <v>0</v>
      </c>
      <c r="J463" s="45">
        <f>I463/$I$25</f>
        <v>0</v>
      </c>
    </row>
    <row r="464" spans="1:10" x14ac:dyDescent="0.25">
      <c r="A464" s="60">
        <v>2</v>
      </c>
      <c r="B464" s="47">
        <v>7</v>
      </c>
      <c r="C464" s="47">
        <v>1</v>
      </c>
      <c r="D464" s="47"/>
      <c r="E464" s="47"/>
      <c r="F464" s="72" t="s">
        <v>363</v>
      </c>
      <c r="G464" s="48">
        <f>+G465+G467+G469+G471</f>
        <v>0</v>
      </c>
      <c r="H464" s="48">
        <f>+H465+H467+H469+H471</f>
        <v>0</v>
      </c>
      <c r="I464" s="48">
        <f t="shared" si="19"/>
        <v>0</v>
      </c>
      <c r="J464" s="45"/>
    </row>
    <row r="465" spans="1:10" ht="25.5" x14ac:dyDescent="0.25">
      <c r="A465" s="61">
        <v>2</v>
      </c>
      <c r="B465" s="50">
        <v>7</v>
      </c>
      <c r="C465" s="50">
        <v>1</v>
      </c>
      <c r="D465" s="50">
        <v>1</v>
      </c>
      <c r="E465" s="64"/>
      <c r="F465" s="73" t="s">
        <v>364</v>
      </c>
      <c r="G465" s="51">
        <f>+G466</f>
        <v>0</v>
      </c>
      <c r="H465" s="51">
        <f>+H466</f>
        <v>0</v>
      </c>
      <c r="I465" s="51">
        <f t="shared" si="19"/>
        <v>0</v>
      </c>
      <c r="J465" s="58"/>
    </row>
    <row r="466" spans="1:10" ht="25.5" x14ac:dyDescent="0.25">
      <c r="A466" s="62">
        <v>2</v>
      </c>
      <c r="B466" s="54">
        <v>7</v>
      </c>
      <c r="C466" s="54">
        <v>1</v>
      </c>
      <c r="D466" s="54">
        <v>1</v>
      </c>
      <c r="E466" s="54" t="s">
        <v>320</v>
      </c>
      <c r="F466" s="59" t="s">
        <v>364</v>
      </c>
      <c r="G466" s="56">
        <f>'[1]CUENTA T FONDO 100'!IR127</f>
        <v>0</v>
      </c>
      <c r="H466" s="56">
        <f>'[1]CUENTA T VS'!IR89</f>
        <v>0</v>
      </c>
      <c r="I466" s="56">
        <f t="shared" si="19"/>
        <v>0</v>
      </c>
      <c r="J466" s="57">
        <f>I466/$I$25</f>
        <v>0</v>
      </c>
    </row>
    <row r="467" spans="1:10" x14ac:dyDescent="0.25">
      <c r="A467" s="61">
        <v>2</v>
      </c>
      <c r="B467" s="50">
        <v>7</v>
      </c>
      <c r="C467" s="50">
        <v>1</v>
      </c>
      <c r="D467" s="50">
        <v>2</v>
      </c>
      <c r="E467" s="64"/>
      <c r="F467" s="73" t="s">
        <v>365</v>
      </c>
      <c r="G467" s="51">
        <f>+G468</f>
        <v>0</v>
      </c>
      <c r="H467" s="51">
        <f>+H468</f>
        <v>0</v>
      </c>
      <c r="I467" s="51">
        <f t="shared" si="19"/>
        <v>0</v>
      </c>
      <c r="J467" s="58"/>
    </row>
    <row r="468" spans="1:10" x14ac:dyDescent="0.25">
      <c r="A468" s="62">
        <v>2</v>
      </c>
      <c r="B468" s="54">
        <v>7</v>
      </c>
      <c r="C468" s="54">
        <v>1</v>
      </c>
      <c r="D468" s="54">
        <v>2</v>
      </c>
      <c r="E468" s="54" t="s">
        <v>320</v>
      </c>
      <c r="F468" s="59" t="s">
        <v>365</v>
      </c>
      <c r="G468" s="56">
        <f>'[1]CUENTA T FONDO 100'!IS127</f>
        <v>0</v>
      </c>
      <c r="H468" s="56">
        <f>'[1]CUENTA T VS'!IS89</f>
        <v>0</v>
      </c>
      <c r="I468" s="56">
        <f t="shared" si="19"/>
        <v>0</v>
      </c>
      <c r="J468" s="57">
        <f>I468/$I$25</f>
        <v>0</v>
      </c>
    </row>
    <row r="469" spans="1:10" ht="25.5" x14ac:dyDescent="0.25">
      <c r="A469" s="61">
        <v>2</v>
      </c>
      <c r="B469" s="50">
        <v>7</v>
      </c>
      <c r="C469" s="50">
        <v>1</v>
      </c>
      <c r="D469" s="50">
        <v>3</v>
      </c>
      <c r="E469" s="64"/>
      <c r="F469" s="73" t="s">
        <v>366</v>
      </c>
      <c r="G469" s="51">
        <f>+G470</f>
        <v>0</v>
      </c>
      <c r="H469" s="51">
        <f>+H470</f>
        <v>0</v>
      </c>
      <c r="I469" s="51">
        <f t="shared" si="19"/>
        <v>0</v>
      </c>
      <c r="J469" s="58"/>
    </row>
    <row r="470" spans="1:10" ht="25.5" x14ac:dyDescent="0.25">
      <c r="A470" s="62">
        <v>2</v>
      </c>
      <c r="B470" s="54">
        <v>7</v>
      </c>
      <c r="C470" s="54">
        <v>1</v>
      </c>
      <c r="D470" s="54">
        <v>3</v>
      </c>
      <c r="E470" s="54" t="s">
        <v>320</v>
      </c>
      <c r="F470" s="59" t="s">
        <v>366</v>
      </c>
      <c r="G470" s="56">
        <f>'[1]CUENTA T FONDO 100'!IT127</f>
        <v>0</v>
      </c>
      <c r="H470" s="56">
        <f>'[1]CUENTA T VS'!IT89</f>
        <v>0</v>
      </c>
      <c r="I470" s="56">
        <f t="shared" si="19"/>
        <v>0</v>
      </c>
      <c r="J470" s="57">
        <f>I470/$I$25</f>
        <v>0</v>
      </c>
    </row>
    <row r="471" spans="1:10" x14ac:dyDescent="0.25">
      <c r="A471" s="61">
        <v>2</v>
      </c>
      <c r="B471" s="50">
        <v>7</v>
      </c>
      <c r="C471" s="50">
        <v>1</v>
      </c>
      <c r="D471" s="50">
        <v>4</v>
      </c>
      <c r="E471" s="64"/>
      <c r="F471" s="73" t="s">
        <v>367</v>
      </c>
      <c r="G471" s="51">
        <f>+G472</f>
        <v>0</v>
      </c>
      <c r="H471" s="51">
        <f>+H472</f>
        <v>0</v>
      </c>
      <c r="I471" s="51">
        <f t="shared" si="19"/>
        <v>0</v>
      </c>
      <c r="J471" s="58"/>
    </row>
    <row r="472" spans="1:10" x14ac:dyDescent="0.25">
      <c r="A472" s="62">
        <v>2</v>
      </c>
      <c r="B472" s="54">
        <v>7</v>
      </c>
      <c r="C472" s="54">
        <v>1</v>
      </c>
      <c r="D472" s="54">
        <v>4</v>
      </c>
      <c r="E472" s="54" t="s">
        <v>320</v>
      </c>
      <c r="F472" s="59" t="s">
        <v>367</v>
      </c>
      <c r="G472" s="56">
        <f>'[1]CUENTA T FONDO 100'!IU127</f>
        <v>0</v>
      </c>
      <c r="H472" s="56">
        <f>'[1]CUENTA T VS'!IU89</f>
        <v>0</v>
      </c>
      <c r="I472" s="56">
        <f t="shared" si="19"/>
        <v>0</v>
      </c>
      <c r="J472" s="57">
        <f>I472/$I$25</f>
        <v>0</v>
      </c>
    </row>
    <row r="473" spans="1:10" x14ac:dyDescent="0.25">
      <c r="A473" s="60">
        <v>2</v>
      </c>
      <c r="B473" s="47">
        <v>7</v>
      </c>
      <c r="C473" s="47">
        <v>2</v>
      </c>
      <c r="D473" s="47"/>
      <c r="E473" s="47"/>
      <c r="F473" s="72" t="s">
        <v>368</v>
      </c>
      <c r="G473" s="48">
        <f>+G474+G476+G478+G480+G482+G484+G486+G488+G490</f>
        <v>0</v>
      </c>
      <c r="H473" s="48">
        <f>+H474+H476+H478+H480+H482+H484+H486+H488+H490</f>
        <v>0</v>
      </c>
      <c r="I473" s="48">
        <f t="shared" ref="I473:I501" si="22">SUM(G473:H473)</f>
        <v>0</v>
      </c>
      <c r="J473" s="45"/>
    </row>
    <row r="474" spans="1:10" x14ac:dyDescent="0.25">
      <c r="A474" s="61">
        <v>2</v>
      </c>
      <c r="B474" s="50">
        <v>7</v>
      </c>
      <c r="C474" s="50">
        <v>2</v>
      </c>
      <c r="D474" s="50">
        <v>1</v>
      </c>
      <c r="E474" s="64"/>
      <c r="F474" s="73" t="s">
        <v>369</v>
      </c>
      <c r="G474" s="51">
        <f>+G475</f>
        <v>0</v>
      </c>
      <c r="H474" s="51">
        <f>+H475</f>
        <v>0</v>
      </c>
      <c r="I474" s="51">
        <f t="shared" si="22"/>
        <v>0</v>
      </c>
      <c r="J474" s="58"/>
    </row>
    <row r="475" spans="1:10" x14ac:dyDescent="0.25">
      <c r="A475" s="62">
        <v>2</v>
      </c>
      <c r="B475" s="54">
        <v>7</v>
      </c>
      <c r="C475" s="54">
        <v>2</v>
      </c>
      <c r="D475" s="54">
        <v>1</v>
      </c>
      <c r="E475" s="54" t="s">
        <v>320</v>
      </c>
      <c r="F475" s="59" t="s">
        <v>369</v>
      </c>
      <c r="G475" s="56">
        <f>'[1]CUENTA T FONDO 100'!IV127</f>
        <v>0</v>
      </c>
      <c r="H475" s="56">
        <f>'[1]CUENTA T VS'!IV89</f>
        <v>0</v>
      </c>
      <c r="I475" s="56">
        <f t="shared" si="22"/>
        <v>0</v>
      </c>
      <c r="J475" s="57">
        <f>I475/$I$25</f>
        <v>0</v>
      </c>
    </row>
    <row r="476" spans="1:10" x14ac:dyDescent="0.25">
      <c r="A476" s="61">
        <v>2</v>
      </c>
      <c r="B476" s="50">
        <v>7</v>
      </c>
      <c r="C476" s="50">
        <v>2</v>
      </c>
      <c r="D476" s="50">
        <v>2</v>
      </c>
      <c r="E476" s="64"/>
      <c r="F476" s="73" t="s">
        <v>370</v>
      </c>
      <c r="G476" s="51">
        <f>+G477</f>
        <v>0</v>
      </c>
      <c r="H476" s="51">
        <f>+H477</f>
        <v>0</v>
      </c>
      <c r="I476" s="51">
        <f t="shared" si="22"/>
        <v>0</v>
      </c>
      <c r="J476" s="58"/>
    </row>
    <row r="477" spans="1:10" x14ac:dyDescent="0.25">
      <c r="A477" s="62">
        <v>2</v>
      </c>
      <c r="B477" s="54">
        <v>7</v>
      </c>
      <c r="C477" s="54">
        <v>2</v>
      </c>
      <c r="D477" s="54">
        <v>2</v>
      </c>
      <c r="E477" s="54" t="s">
        <v>320</v>
      </c>
      <c r="F477" s="59" t="s">
        <v>370</v>
      </c>
      <c r="G477" s="56">
        <f>'[1]CUENTA T FONDO 100'!IW127</f>
        <v>0</v>
      </c>
      <c r="H477" s="56">
        <f>'[1]CUENTA T VS'!IW89</f>
        <v>0</v>
      </c>
      <c r="I477" s="56">
        <f t="shared" si="22"/>
        <v>0</v>
      </c>
      <c r="J477" s="57">
        <f>I477/$I$25</f>
        <v>0</v>
      </c>
    </row>
    <row r="478" spans="1:10" x14ac:dyDescent="0.25">
      <c r="A478" s="61">
        <v>2</v>
      </c>
      <c r="B478" s="50">
        <v>7</v>
      </c>
      <c r="C478" s="50">
        <v>2</v>
      </c>
      <c r="D478" s="50">
        <v>3</v>
      </c>
      <c r="E478" s="64"/>
      <c r="F478" s="73" t="s">
        <v>371</v>
      </c>
      <c r="G478" s="51">
        <f>+G479</f>
        <v>0</v>
      </c>
      <c r="H478" s="51">
        <f>+H479</f>
        <v>0</v>
      </c>
      <c r="I478" s="51">
        <f t="shared" si="22"/>
        <v>0</v>
      </c>
      <c r="J478" s="58"/>
    </row>
    <row r="479" spans="1:10" x14ac:dyDescent="0.25">
      <c r="A479" s="62">
        <v>2</v>
      </c>
      <c r="B479" s="54">
        <v>7</v>
      </c>
      <c r="C479" s="54">
        <v>2</v>
      </c>
      <c r="D479" s="54">
        <v>3</v>
      </c>
      <c r="E479" s="54" t="s">
        <v>320</v>
      </c>
      <c r="F479" s="59" t="s">
        <v>371</v>
      </c>
      <c r="G479" s="56">
        <f>'[1]CUENTA T FONDO 100'!IX127</f>
        <v>0</v>
      </c>
      <c r="H479" s="56">
        <f>'[1]CUENTA T VS'!IX89</f>
        <v>0</v>
      </c>
      <c r="I479" s="56">
        <f t="shared" si="22"/>
        <v>0</v>
      </c>
      <c r="J479" s="57">
        <f>I479/$I$25</f>
        <v>0</v>
      </c>
    </row>
    <row r="480" spans="1:10" x14ac:dyDescent="0.25">
      <c r="A480" s="61">
        <v>2</v>
      </c>
      <c r="B480" s="50">
        <v>7</v>
      </c>
      <c r="C480" s="50">
        <v>2</v>
      </c>
      <c r="D480" s="50">
        <v>4</v>
      </c>
      <c r="E480" s="64"/>
      <c r="F480" s="73" t="s">
        <v>372</v>
      </c>
      <c r="G480" s="51">
        <f>+G481</f>
        <v>0</v>
      </c>
      <c r="H480" s="51">
        <f>+H481</f>
        <v>0</v>
      </c>
      <c r="I480" s="51">
        <f t="shared" si="22"/>
        <v>0</v>
      </c>
      <c r="J480" s="58"/>
    </row>
    <row r="481" spans="1:10" x14ac:dyDescent="0.25">
      <c r="A481" s="62">
        <v>2</v>
      </c>
      <c r="B481" s="54">
        <v>7</v>
      </c>
      <c r="C481" s="54">
        <v>2</v>
      </c>
      <c r="D481" s="54">
        <v>4</v>
      </c>
      <c r="E481" s="54" t="s">
        <v>320</v>
      </c>
      <c r="F481" s="59" t="s">
        <v>372</v>
      </c>
      <c r="G481" s="56">
        <f>'[1]CUENTA T FONDO 100'!IY127</f>
        <v>0</v>
      </c>
      <c r="H481" s="56">
        <f>'[1]CUENTA T VS'!IY89</f>
        <v>0</v>
      </c>
      <c r="I481" s="56">
        <f t="shared" si="22"/>
        <v>0</v>
      </c>
      <c r="J481" s="57">
        <f>I481/$I$25</f>
        <v>0</v>
      </c>
    </row>
    <row r="482" spans="1:10" x14ac:dyDescent="0.25">
      <c r="A482" s="61">
        <v>2</v>
      </c>
      <c r="B482" s="50">
        <v>7</v>
      </c>
      <c r="C482" s="50">
        <v>2</v>
      </c>
      <c r="D482" s="50">
        <v>5</v>
      </c>
      <c r="E482" s="64"/>
      <c r="F482" s="73" t="s">
        <v>373</v>
      </c>
      <c r="G482" s="51">
        <f>+G483</f>
        <v>0</v>
      </c>
      <c r="H482" s="51">
        <f>+H483</f>
        <v>0</v>
      </c>
      <c r="I482" s="51">
        <f t="shared" si="22"/>
        <v>0</v>
      </c>
      <c r="J482" s="58"/>
    </row>
    <row r="483" spans="1:10" x14ac:dyDescent="0.25">
      <c r="A483" s="62">
        <v>2</v>
      </c>
      <c r="B483" s="54">
        <v>7</v>
      </c>
      <c r="C483" s="54">
        <v>2</v>
      </c>
      <c r="D483" s="54">
        <v>5</v>
      </c>
      <c r="E483" s="54" t="s">
        <v>320</v>
      </c>
      <c r="F483" s="59" t="s">
        <v>373</v>
      </c>
      <c r="G483" s="56">
        <f>'[1]CUENTA T FONDO 100'!IZ127</f>
        <v>0</v>
      </c>
      <c r="H483" s="56">
        <f>'[1]CUENTA T VS'!IZ89</f>
        <v>0</v>
      </c>
      <c r="I483" s="56">
        <f t="shared" si="22"/>
        <v>0</v>
      </c>
      <c r="J483" s="57">
        <f>I483/$I$25</f>
        <v>0</v>
      </c>
    </row>
    <row r="484" spans="1:10" x14ac:dyDescent="0.25">
      <c r="A484" s="61">
        <v>2</v>
      </c>
      <c r="B484" s="50">
        <v>7</v>
      </c>
      <c r="C484" s="50">
        <v>2</v>
      </c>
      <c r="D484" s="50">
        <v>6</v>
      </c>
      <c r="E484" s="64"/>
      <c r="F484" s="73" t="s">
        <v>374</v>
      </c>
      <c r="G484" s="51">
        <f>+G485</f>
        <v>0</v>
      </c>
      <c r="H484" s="51">
        <f>+H485</f>
        <v>0</v>
      </c>
      <c r="I484" s="51">
        <f t="shared" si="22"/>
        <v>0</v>
      </c>
      <c r="J484" s="58"/>
    </row>
    <row r="485" spans="1:10" x14ac:dyDescent="0.25">
      <c r="A485" s="62">
        <v>2</v>
      </c>
      <c r="B485" s="54">
        <v>7</v>
      </c>
      <c r="C485" s="54">
        <v>2</v>
      </c>
      <c r="D485" s="54">
        <v>6</v>
      </c>
      <c r="E485" s="54" t="s">
        <v>320</v>
      </c>
      <c r="F485" s="59" t="s">
        <v>374</v>
      </c>
      <c r="G485" s="56">
        <f>'[1]CUENTA T FONDO 100'!JA127</f>
        <v>0</v>
      </c>
      <c r="H485" s="56">
        <f>'[1]CUENTA T VS'!JA89</f>
        <v>0</v>
      </c>
      <c r="I485" s="56">
        <f t="shared" si="22"/>
        <v>0</v>
      </c>
      <c r="J485" s="57">
        <f>I485/$I$25</f>
        <v>0</v>
      </c>
    </row>
    <row r="486" spans="1:10" x14ac:dyDescent="0.25">
      <c r="A486" s="61">
        <v>2</v>
      </c>
      <c r="B486" s="50">
        <v>7</v>
      </c>
      <c r="C486" s="50">
        <v>2</v>
      </c>
      <c r="D486" s="50">
        <v>7</v>
      </c>
      <c r="E486" s="64"/>
      <c r="F486" s="73" t="s">
        <v>375</v>
      </c>
      <c r="G486" s="51">
        <f>+G487</f>
        <v>0</v>
      </c>
      <c r="H486" s="51">
        <f>+H487</f>
        <v>0</v>
      </c>
      <c r="I486" s="51">
        <f t="shared" si="22"/>
        <v>0</v>
      </c>
      <c r="J486" s="58"/>
    </row>
    <row r="487" spans="1:10" x14ac:dyDescent="0.25">
      <c r="A487" s="62">
        <v>2</v>
      </c>
      <c r="B487" s="54">
        <v>7</v>
      </c>
      <c r="C487" s="54">
        <v>2</v>
      </c>
      <c r="D487" s="54">
        <v>7</v>
      </c>
      <c r="E487" s="54" t="s">
        <v>320</v>
      </c>
      <c r="F487" s="59" t="s">
        <v>375</v>
      </c>
      <c r="G487" s="56">
        <f>'[1]CUENTA T FONDO 100'!JB127</f>
        <v>0</v>
      </c>
      <c r="H487" s="56">
        <f>'[1]CUENTA T VS'!JB89</f>
        <v>0</v>
      </c>
      <c r="I487" s="56">
        <f t="shared" si="22"/>
        <v>0</v>
      </c>
      <c r="J487" s="57">
        <f>I487/$I$25</f>
        <v>0</v>
      </c>
    </row>
    <row r="488" spans="1:10" x14ac:dyDescent="0.25">
      <c r="A488" s="61">
        <v>2</v>
      </c>
      <c r="B488" s="50">
        <v>7</v>
      </c>
      <c r="C488" s="50">
        <v>2</v>
      </c>
      <c r="D488" s="50">
        <v>8</v>
      </c>
      <c r="E488" s="64"/>
      <c r="F488" s="73" t="s">
        <v>376</v>
      </c>
      <c r="G488" s="51">
        <f>+G489</f>
        <v>0</v>
      </c>
      <c r="H488" s="51">
        <f>+H489</f>
        <v>0</v>
      </c>
      <c r="I488" s="51">
        <f t="shared" si="22"/>
        <v>0</v>
      </c>
      <c r="J488" s="58"/>
    </row>
    <row r="489" spans="1:10" x14ac:dyDescent="0.25">
      <c r="A489" s="62">
        <v>2</v>
      </c>
      <c r="B489" s="54">
        <v>7</v>
      </c>
      <c r="C489" s="54">
        <v>2</v>
      </c>
      <c r="D489" s="54">
        <v>8</v>
      </c>
      <c r="E489" s="54" t="s">
        <v>320</v>
      </c>
      <c r="F489" s="59" t="s">
        <v>376</v>
      </c>
      <c r="G489" s="56">
        <f>'[1]CUENTA T FONDO 100'!JC127</f>
        <v>0</v>
      </c>
      <c r="H489" s="56">
        <f>'[1]CUENTA T VS'!JC89</f>
        <v>0</v>
      </c>
      <c r="I489" s="56">
        <f t="shared" si="22"/>
        <v>0</v>
      </c>
      <c r="J489" s="57">
        <f>I489/$I$25</f>
        <v>0</v>
      </c>
    </row>
    <row r="490" spans="1:10" ht="25.5" x14ac:dyDescent="0.25">
      <c r="A490" s="61">
        <v>2</v>
      </c>
      <c r="B490" s="50">
        <v>7</v>
      </c>
      <c r="C490" s="50">
        <v>2</v>
      </c>
      <c r="D490" s="50">
        <v>9</v>
      </c>
      <c r="E490" s="64"/>
      <c r="F490" s="73" t="s">
        <v>377</v>
      </c>
      <c r="G490" s="51">
        <f>+G491</f>
        <v>0</v>
      </c>
      <c r="H490" s="51">
        <f>+H491</f>
        <v>0</v>
      </c>
      <c r="I490" s="51">
        <f t="shared" si="22"/>
        <v>0</v>
      </c>
      <c r="J490" s="58"/>
    </row>
    <row r="491" spans="1:10" ht="25.5" x14ac:dyDescent="0.25">
      <c r="A491" s="62">
        <v>2</v>
      </c>
      <c r="B491" s="54">
        <v>7</v>
      </c>
      <c r="C491" s="54">
        <v>2</v>
      </c>
      <c r="D491" s="54">
        <v>9</v>
      </c>
      <c r="E491" s="54" t="s">
        <v>320</v>
      </c>
      <c r="F491" s="59" t="s">
        <v>377</v>
      </c>
      <c r="G491" s="56">
        <f>'[1]CUENTA T FONDO 100'!JD127</f>
        <v>0</v>
      </c>
      <c r="H491" s="56">
        <f>'[1]CUENTA T VS'!JD89</f>
        <v>0</v>
      </c>
      <c r="I491" s="56">
        <f t="shared" si="22"/>
        <v>0</v>
      </c>
      <c r="J491" s="57">
        <f>I491/$I$25</f>
        <v>0</v>
      </c>
    </row>
    <row r="492" spans="1:10" x14ac:dyDescent="0.25">
      <c r="A492" s="60">
        <v>2</v>
      </c>
      <c r="B492" s="47">
        <v>7</v>
      </c>
      <c r="C492" s="47">
        <v>3</v>
      </c>
      <c r="D492" s="47"/>
      <c r="E492" s="47"/>
      <c r="F492" s="72" t="s">
        <v>378</v>
      </c>
      <c r="G492" s="48">
        <f>+G493+G495</f>
        <v>0</v>
      </c>
      <c r="H492" s="48">
        <f>+H493+H495</f>
        <v>0</v>
      </c>
      <c r="I492" s="48">
        <f t="shared" si="22"/>
        <v>0</v>
      </c>
      <c r="J492" s="45"/>
    </row>
    <row r="493" spans="1:10" ht="25.5" x14ac:dyDescent="0.25">
      <c r="A493" s="61">
        <v>2</v>
      </c>
      <c r="B493" s="50">
        <v>7</v>
      </c>
      <c r="C493" s="50">
        <v>3</v>
      </c>
      <c r="D493" s="50">
        <v>1</v>
      </c>
      <c r="E493" s="64"/>
      <c r="F493" s="73" t="s">
        <v>379</v>
      </c>
      <c r="G493" s="51">
        <f>+G494</f>
        <v>0</v>
      </c>
      <c r="H493" s="51">
        <f>+H494</f>
        <v>0</v>
      </c>
      <c r="I493" s="51">
        <f t="shared" si="22"/>
        <v>0</v>
      </c>
      <c r="J493" s="58"/>
    </row>
    <row r="494" spans="1:10" ht="25.5" x14ac:dyDescent="0.25">
      <c r="A494" s="62">
        <v>2</v>
      </c>
      <c r="B494" s="54">
        <v>7</v>
      </c>
      <c r="C494" s="54">
        <v>3</v>
      </c>
      <c r="D494" s="54">
        <v>1</v>
      </c>
      <c r="E494" s="54" t="s">
        <v>320</v>
      </c>
      <c r="F494" s="59" t="s">
        <v>379</v>
      </c>
      <c r="G494" s="56">
        <f>'[1]CUENTA T FONDO 100'!JE127</f>
        <v>0</v>
      </c>
      <c r="H494" s="56">
        <f>'[1]CUENTA T VS'!JE89</f>
        <v>0</v>
      </c>
      <c r="I494" s="56">
        <f t="shared" si="22"/>
        <v>0</v>
      </c>
      <c r="J494" s="57">
        <f>I494/$I$25</f>
        <v>0</v>
      </c>
    </row>
    <row r="495" spans="1:10" ht="25.5" x14ac:dyDescent="0.25">
      <c r="A495" s="61">
        <v>2</v>
      </c>
      <c r="B495" s="50">
        <v>7</v>
      </c>
      <c r="C495" s="50">
        <v>3</v>
      </c>
      <c r="D495" s="50">
        <v>2</v>
      </c>
      <c r="E495" s="64"/>
      <c r="F495" s="73" t="s">
        <v>380</v>
      </c>
      <c r="G495" s="51">
        <f>+G496</f>
        <v>0</v>
      </c>
      <c r="H495" s="51">
        <f>+H496</f>
        <v>0</v>
      </c>
      <c r="I495" s="51">
        <f t="shared" si="22"/>
        <v>0</v>
      </c>
      <c r="J495" s="58"/>
    </row>
    <row r="496" spans="1:10" ht="25.5" x14ac:dyDescent="0.25">
      <c r="A496" s="62">
        <v>2</v>
      </c>
      <c r="B496" s="54">
        <v>7</v>
      </c>
      <c r="C496" s="54">
        <v>3</v>
      </c>
      <c r="D496" s="54">
        <v>2</v>
      </c>
      <c r="E496" s="54" t="s">
        <v>320</v>
      </c>
      <c r="F496" s="59" t="s">
        <v>380</v>
      </c>
      <c r="G496" s="56">
        <f>'[1]CUENTA T FONDO 100'!JF127</f>
        <v>0</v>
      </c>
      <c r="H496" s="56">
        <f>'[1]CUENTA T VS'!JF89</f>
        <v>0</v>
      </c>
      <c r="I496" s="56">
        <f t="shared" si="22"/>
        <v>0</v>
      </c>
      <c r="J496" s="57">
        <f>I496/$I$25</f>
        <v>0</v>
      </c>
    </row>
    <row r="497" spans="1:10" ht="38.25" x14ac:dyDescent="0.25">
      <c r="A497" s="60">
        <v>2</v>
      </c>
      <c r="B497" s="47">
        <v>7</v>
      </c>
      <c r="C497" s="47">
        <v>4</v>
      </c>
      <c r="D497" s="47"/>
      <c r="E497" s="47"/>
      <c r="F497" s="72" t="s">
        <v>381</v>
      </c>
      <c r="G497" s="48">
        <f>+G498+G500</f>
        <v>0</v>
      </c>
      <c r="H497" s="48">
        <f>+H498+H500</f>
        <v>0</v>
      </c>
      <c r="I497" s="48">
        <f t="shared" si="22"/>
        <v>0</v>
      </c>
      <c r="J497" s="45"/>
    </row>
    <row r="498" spans="1:10" ht="25.5" x14ac:dyDescent="0.25">
      <c r="A498" s="61">
        <v>2</v>
      </c>
      <c r="B498" s="50">
        <v>7</v>
      </c>
      <c r="C498" s="50">
        <v>4</v>
      </c>
      <c r="D498" s="50">
        <v>1</v>
      </c>
      <c r="E498" s="64"/>
      <c r="F498" s="73" t="s">
        <v>382</v>
      </c>
      <c r="G498" s="51">
        <f>+G499</f>
        <v>0</v>
      </c>
      <c r="H498" s="51">
        <f>+H499</f>
        <v>0</v>
      </c>
      <c r="I498" s="51">
        <f t="shared" si="22"/>
        <v>0</v>
      </c>
      <c r="J498" s="58"/>
    </row>
    <row r="499" spans="1:10" ht="25.5" x14ac:dyDescent="0.25">
      <c r="A499" s="62">
        <v>2</v>
      </c>
      <c r="B499" s="54">
        <v>7</v>
      </c>
      <c r="C499" s="54">
        <v>4</v>
      </c>
      <c r="D499" s="54">
        <v>1</v>
      </c>
      <c r="E499" s="54" t="s">
        <v>320</v>
      </c>
      <c r="F499" s="59" t="s">
        <v>382</v>
      </c>
      <c r="G499" s="56">
        <f>'[1]CUENTA T FONDO 100'!JG127</f>
        <v>0</v>
      </c>
      <c r="H499" s="56">
        <f>'[1]CUENTA T VS'!JG89</f>
        <v>0</v>
      </c>
      <c r="I499" s="56">
        <f t="shared" si="22"/>
        <v>0</v>
      </c>
      <c r="J499" s="57">
        <f>I499/$I$25</f>
        <v>0</v>
      </c>
    </row>
    <row r="500" spans="1:10" ht="25.5" x14ac:dyDescent="0.25">
      <c r="A500" s="49">
        <v>2</v>
      </c>
      <c r="B500" s="50">
        <v>7</v>
      </c>
      <c r="C500" s="50">
        <v>4</v>
      </c>
      <c r="D500" s="50">
        <v>2</v>
      </c>
      <c r="E500" s="64"/>
      <c r="F500" s="73" t="s">
        <v>383</v>
      </c>
      <c r="G500" s="51">
        <f>+G501</f>
        <v>0</v>
      </c>
      <c r="H500" s="51">
        <f>+H501</f>
        <v>0</v>
      </c>
      <c r="I500" s="51">
        <f t="shared" si="22"/>
        <v>0</v>
      </c>
      <c r="J500" s="58"/>
    </row>
    <row r="501" spans="1:10" ht="25.5" x14ac:dyDescent="0.25">
      <c r="A501" s="53">
        <v>2</v>
      </c>
      <c r="B501" s="54">
        <v>7</v>
      </c>
      <c r="C501" s="54">
        <v>4</v>
      </c>
      <c r="D501" s="54">
        <v>2</v>
      </c>
      <c r="E501" s="54" t="s">
        <v>320</v>
      </c>
      <c r="F501" s="59" t="s">
        <v>383</v>
      </c>
      <c r="G501" s="56">
        <f>'[1]CUENTA T FONDO 100'!JH127</f>
        <v>0</v>
      </c>
      <c r="H501" s="56">
        <f>'[1]CUENTA T VS'!JH89</f>
        <v>0</v>
      </c>
      <c r="I501" s="56">
        <f t="shared" si="22"/>
        <v>0</v>
      </c>
      <c r="J501" s="57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0">
    <mergeCell ref="A7:J7"/>
    <mergeCell ref="A2:H2"/>
    <mergeCell ref="A3:J3"/>
    <mergeCell ref="A4:J4"/>
    <mergeCell ref="A5:J5"/>
    <mergeCell ref="A6:J6"/>
    <mergeCell ref="A21:E21"/>
    <mergeCell ref="G21:H21"/>
    <mergeCell ref="A22:E22"/>
    <mergeCell ref="F22:F24"/>
    <mergeCell ref="G22:H22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topLeftCell="A13" workbookViewId="0">
      <selection activeCell="E19" sqref="A1:E1048576"/>
    </sheetView>
  </sheetViews>
  <sheetFormatPr baseColWidth="10" defaultRowHeight="15" x14ac:dyDescent="0.25"/>
  <cols>
    <col min="1" max="5" width="6.28515625" customWidth="1"/>
    <col min="6" max="6" width="54.42578125" style="89" bestFit="1" customWidth="1"/>
    <col min="7" max="7" width="13.28515625" bestFit="1" customWidth="1"/>
    <col min="9" max="9" width="13.71093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79"/>
      <c r="G1" s="2"/>
      <c r="H1" s="2"/>
      <c r="I1" s="3"/>
      <c r="J1" s="4"/>
    </row>
    <row r="2" spans="1:10" ht="23.25" x14ac:dyDescent="0.35">
      <c r="A2" s="112"/>
      <c r="B2" s="113"/>
      <c r="C2" s="113"/>
      <c r="D2" s="113"/>
      <c r="E2" s="113"/>
      <c r="F2" s="113"/>
      <c r="G2" s="113"/>
      <c r="H2" s="113"/>
      <c r="I2" s="5"/>
      <c r="J2" s="6"/>
    </row>
    <row r="3" spans="1:10" ht="26.25" x14ac:dyDescent="0.4">
      <c r="A3" s="114" t="s">
        <v>1</v>
      </c>
      <c r="B3" s="115"/>
      <c r="C3" s="115"/>
      <c r="D3" s="115"/>
      <c r="E3" s="115"/>
      <c r="F3" s="115"/>
      <c r="G3" s="115"/>
      <c r="H3" s="115"/>
      <c r="I3" s="115"/>
      <c r="J3" s="116"/>
    </row>
    <row r="4" spans="1:10" ht="18.75" x14ac:dyDescent="0.3">
      <c r="A4" s="117" t="s">
        <v>2</v>
      </c>
      <c r="B4" s="118"/>
      <c r="C4" s="118"/>
      <c r="D4" s="118"/>
      <c r="E4" s="118"/>
      <c r="F4" s="118"/>
      <c r="G4" s="118"/>
      <c r="H4" s="118"/>
      <c r="I4" s="118"/>
      <c r="J4" s="119"/>
    </row>
    <row r="5" spans="1:10" x14ac:dyDescent="0.25">
      <c r="A5" s="120" t="s">
        <v>3</v>
      </c>
      <c r="B5" s="121"/>
      <c r="C5" s="121"/>
      <c r="D5" s="121"/>
      <c r="E5" s="121"/>
      <c r="F5" s="121"/>
      <c r="G5" s="121"/>
      <c r="H5" s="121"/>
      <c r="I5" s="121"/>
      <c r="J5" s="122"/>
    </row>
    <row r="6" spans="1:10" ht="15.75" x14ac:dyDescent="0.25">
      <c r="A6" s="123" t="s">
        <v>4</v>
      </c>
      <c r="B6" s="124"/>
      <c r="C6" s="124"/>
      <c r="D6" s="124"/>
      <c r="E6" s="124"/>
      <c r="F6" s="124"/>
      <c r="G6" s="124"/>
      <c r="H6" s="124"/>
      <c r="I6" s="124"/>
      <c r="J6" s="125"/>
    </row>
    <row r="7" spans="1:10" ht="15.75" x14ac:dyDescent="0.25">
      <c r="A7" s="109" t="s">
        <v>384</v>
      </c>
      <c r="B7" s="110"/>
      <c r="C7" s="110"/>
      <c r="D7" s="110"/>
      <c r="E7" s="110"/>
      <c r="F7" s="110"/>
      <c r="G7" s="110"/>
      <c r="H7" s="110"/>
      <c r="I7" s="110"/>
      <c r="J7" s="111"/>
    </row>
    <row r="8" spans="1:10" ht="15.75" x14ac:dyDescent="0.25">
      <c r="A8" s="7"/>
      <c r="B8" s="8"/>
      <c r="C8" s="8" t="s">
        <v>6</v>
      </c>
      <c r="D8" s="8"/>
      <c r="E8" s="8"/>
      <c r="F8" s="80"/>
      <c r="G8" s="8"/>
      <c r="H8" s="8"/>
      <c r="I8" s="8"/>
      <c r="J8" s="9"/>
    </row>
    <row r="9" spans="1:10" ht="15.75" x14ac:dyDescent="0.25">
      <c r="A9" s="10"/>
      <c r="B9" s="11"/>
      <c r="C9" s="11"/>
      <c r="D9" s="11"/>
      <c r="E9" s="12" t="s">
        <v>7</v>
      </c>
      <c r="F9" s="81"/>
      <c r="G9" s="14"/>
      <c r="H9" s="14"/>
      <c r="I9" s="14"/>
      <c r="J9" s="15"/>
    </row>
    <row r="10" spans="1:10" ht="15.75" x14ac:dyDescent="0.25">
      <c r="A10" s="10"/>
      <c r="B10" s="11"/>
      <c r="C10" s="11"/>
      <c r="D10" s="11"/>
      <c r="E10" s="16" t="s">
        <v>8</v>
      </c>
      <c r="F10" s="81"/>
      <c r="G10" s="17"/>
      <c r="H10" s="18" t="s">
        <v>9</v>
      </c>
      <c r="I10" s="17"/>
      <c r="J10" s="15"/>
    </row>
    <row r="11" spans="1:10" ht="15.75" x14ac:dyDescent="0.25">
      <c r="A11" s="10"/>
      <c r="B11" s="11"/>
      <c r="C11" s="11"/>
      <c r="D11" s="11"/>
      <c r="E11" s="16" t="s">
        <v>10</v>
      </c>
      <c r="F11" s="81"/>
      <c r="G11" s="17"/>
      <c r="H11" s="19"/>
      <c r="I11" s="20"/>
      <c r="J11" s="15"/>
    </row>
    <row r="12" spans="1:10" ht="15.75" x14ac:dyDescent="0.25">
      <c r="A12" s="10"/>
      <c r="B12" s="11"/>
      <c r="C12" s="11"/>
      <c r="D12" s="11"/>
      <c r="E12" s="16" t="s">
        <v>11</v>
      </c>
      <c r="F12" s="81"/>
      <c r="G12" s="21">
        <v>1731116.63</v>
      </c>
      <c r="H12" s="22"/>
      <c r="I12" s="20"/>
      <c r="J12" s="15"/>
    </row>
    <row r="13" spans="1:10" ht="15.75" x14ac:dyDescent="0.25">
      <c r="A13" s="10"/>
      <c r="B13" s="11"/>
      <c r="C13" s="11"/>
      <c r="D13" s="11"/>
      <c r="E13" s="23" t="s">
        <v>12</v>
      </c>
      <c r="F13" s="81"/>
      <c r="G13" s="20"/>
      <c r="H13" s="20"/>
      <c r="I13" s="20"/>
      <c r="J13" s="15"/>
    </row>
    <row r="14" spans="1:10" ht="15.75" x14ac:dyDescent="0.25">
      <c r="A14" s="10"/>
      <c r="B14" s="11"/>
      <c r="C14" s="11"/>
      <c r="D14" s="11"/>
      <c r="E14" s="16" t="s">
        <v>8</v>
      </c>
      <c r="F14" s="81"/>
      <c r="G14" s="17">
        <v>0</v>
      </c>
      <c r="H14" s="18" t="s">
        <v>9</v>
      </c>
      <c r="I14" s="17">
        <f>+'[2]INGR SEGUN ORIGEN'!E37</f>
        <v>574300</v>
      </c>
      <c r="J14" s="24"/>
    </row>
    <row r="15" spans="1:10" ht="15.75" x14ac:dyDescent="0.25">
      <c r="A15" s="10"/>
      <c r="B15" s="11"/>
      <c r="C15" s="11"/>
      <c r="D15" s="11"/>
      <c r="E15" s="16" t="s">
        <v>10</v>
      </c>
      <c r="F15" s="81"/>
      <c r="G15" s="21">
        <f>+'[2]INGR SEGUN ORIGEN'!E12</f>
        <v>100316795.08</v>
      </c>
      <c r="H15" s="22" t="s">
        <v>13</v>
      </c>
      <c r="I15" s="17">
        <v>0</v>
      </c>
      <c r="J15" s="24"/>
    </row>
    <row r="16" spans="1:10" ht="15.75" x14ac:dyDescent="0.25">
      <c r="A16" s="10"/>
      <c r="B16" s="11"/>
      <c r="C16" s="11"/>
      <c r="D16" s="11"/>
      <c r="E16" s="16" t="s">
        <v>11</v>
      </c>
      <c r="F16" s="81"/>
      <c r="G16" s="21">
        <f>+'[2]INGR SEGUN ORIGEN'!E29</f>
        <v>7518709.1100000003</v>
      </c>
      <c r="H16" s="22"/>
      <c r="I16" s="20"/>
      <c r="J16" s="15"/>
    </row>
    <row r="17" spans="1:10" ht="15.75" x14ac:dyDescent="0.25">
      <c r="A17" s="10"/>
      <c r="B17" s="11"/>
      <c r="C17" s="11"/>
      <c r="D17" s="11"/>
      <c r="E17" s="16"/>
      <c r="F17" s="81"/>
      <c r="G17" s="25"/>
      <c r="H17" s="26" t="s">
        <v>14</v>
      </c>
      <c r="I17" s="17">
        <f>+G10+G11+G12+I10+G14+G15+G16+I14+I15</f>
        <v>110140920.81999999</v>
      </c>
      <c r="J17" s="15"/>
    </row>
    <row r="18" spans="1:10" ht="15.75" x14ac:dyDescent="0.25">
      <c r="A18" s="10"/>
      <c r="B18" s="11"/>
      <c r="C18" s="11"/>
      <c r="D18" s="11"/>
      <c r="E18" s="27"/>
      <c r="F18" s="82"/>
      <c r="G18" s="28"/>
      <c r="H18" s="28"/>
      <c r="I18" s="13"/>
      <c r="J18" s="15"/>
    </row>
    <row r="19" spans="1:10" ht="15.75" x14ac:dyDescent="0.25">
      <c r="A19" s="29"/>
      <c r="B19" s="30"/>
      <c r="C19" s="31"/>
      <c r="D19" s="30"/>
      <c r="E19" s="32"/>
      <c r="F19" s="83"/>
      <c r="G19" s="33"/>
      <c r="H19" s="33"/>
      <c r="I19" s="34"/>
      <c r="J19" s="35"/>
    </row>
    <row r="20" spans="1:10" x14ac:dyDescent="0.25">
      <c r="A20" s="36"/>
      <c r="B20" s="13"/>
      <c r="C20" s="13"/>
      <c r="D20" s="13"/>
      <c r="E20" s="13"/>
      <c r="F20" s="81"/>
      <c r="G20" s="13"/>
      <c r="H20" s="13"/>
      <c r="I20" s="13"/>
      <c r="J20" s="15"/>
    </row>
    <row r="21" spans="1:10" x14ac:dyDescent="0.25">
      <c r="A21" s="100">
        <v>1</v>
      </c>
      <c r="B21" s="100"/>
      <c r="C21" s="100"/>
      <c r="D21" s="100"/>
      <c r="E21" s="100"/>
      <c r="F21" s="84">
        <v>2</v>
      </c>
      <c r="G21" s="101">
        <v>3</v>
      </c>
      <c r="H21" s="102"/>
      <c r="I21" s="37">
        <v>4</v>
      </c>
      <c r="J21" s="37">
        <v>5</v>
      </c>
    </row>
    <row r="22" spans="1:10" x14ac:dyDescent="0.25">
      <c r="A22" s="103" t="s">
        <v>15</v>
      </c>
      <c r="B22" s="103"/>
      <c r="C22" s="103"/>
      <c r="D22" s="103"/>
      <c r="E22" s="103"/>
      <c r="F22" s="104" t="s">
        <v>16</v>
      </c>
      <c r="G22" s="107" t="s">
        <v>17</v>
      </c>
      <c r="H22" s="108"/>
      <c r="I22" s="97" t="s">
        <v>18</v>
      </c>
      <c r="J22" s="90" t="s">
        <v>19</v>
      </c>
    </row>
    <row r="23" spans="1:10" x14ac:dyDescent="0.25">
      <c r="A23" s="93" t="s">
        <v>20</v>
      </c>
      <c r="B23" s="93" t="s">
        <v>21</v>
      </c>
      <c r="C23" s="93" t="s">
        <v>22</v>
      </c>
      <c r="D23" s="93" t="s">
        <v>23</v>
      </c>
      <c r="E23" s="93" t="s">
        <v>24</v>
      </c>
      <c r="F23" s="105"/>
      <c r="G23" s="95" t="s">
        <v>25</v>
      </c>
      <c r="H23" s="95" t="s">
        <v>26</v>
      </c>
      <c r="I23" s="98"/>
      <c r="J23" s="91"/>
    </row>
    <row r="24" spans="1:10" x14ac:dyDescent="0.25">
      <c r="A24" s="94"/>
      <c r="B24" s="94"/>
      <c r="C24" s="94"/>
      <c r="D24" s="94"/>
      <c r="E24" s="94"/>
      <c r="F24" s="106"/>
      <c r="G24" s="96"/>
      <c r="H24" s="96"/>
      <c r="I24" s="99"/>
      <c r="J24" s="92"/>
    </row>
    <row r="25" spans="1:10" ht="15.75" thickBot="1" x14ac:dyDescent="0.3">
      <c r="A25" s="38">
        <v>2</v>
      </c>
      <c r="B25" s="39"/>
      <c r="C25" s="39"/>
      <c r="D25" s="39"/>
      <c r="E25" s="39"/>
      <c r="F25" s="85" t="s">
        <v>27</v>
      </c>
      <c r="G25" s="40">
        <f>+G26+G87+G212+G330+G336+G463</f>
        <v>91500562.430000007</v>
      </c>
      <c r="H25" s="40">
        <f>+H26+H87+H212+H330+H336+H463</f>
        <v>9009314.3900000006</v>
      </c>
      <c r="I25" s="40">
        <f>SUM(G25:H25)</f>
        <v>100509876.82000001</v>
      </c>
      <c r="J25" s="41">
        <f>+J26+J87+J212+J330+J336+J463</f>
        <v>1</v>
      </c>
    </row>
    <row r="26" spans="1:10" ht="15.75" thickTop="1" x14ac:dyDescent="0.25">
      <c r="A26" s="42">
        <v>2</v>
      </c>
      <c r="B26" s="43">
        <v>1</v>
      </c>
      <c r="C26" s="43"/>
      <c r="D26" s="43"/>
      <c r="E26" s="43"/>
      <c r="F26" s="86" t="s">
        <v>28</v>
      </c>
      <c r="G26" s="44">
        <f>+G27+G51+G64+G71+G78</f>
        <v>66630550.850000001</v>
      </c>
      <c r="H26" s="44">
        <f>+H27+H51+H64+H71+H78</f>
        <v>0</v>
      </c>
      <c r="I26" s="44">
        <f t="shared" ref="I26:I88" si="0">SUM(G26:H26)</f>
        <v>66630550.850000001</v>
      </c>
      <c r="J26" s="45">
        <f>I26/$I$25</f>
        <v>0.66292540552334545</v>
      </c>
    </row>
    <row r="27" spans="1:10" x14ac:dyDescent="0.25">
      <c r="A27" s="46">
        <v>2</v>
      </c>
      <c r="B27" s="47">
        <v>1</v>
      </c>
      <c r="C27" s="47">
        <v>1</v>
      </c>
      <c r="D27" s="47"/>
      <c r="E27" s="47"/>
      <c r="F27" s="70" t="s">
        <v>29</v>
      </c>
      <c r="G27" s="48">
        <f>+G28+G35+G42+G44+G46</f>
        <v>54445140.43</v>
      </c>
      <c r="H27" s="48">
        <f>+H28+H35+H42+H44+H46</f>
        <v>0</v>
      </c>
      <c r="I27" s="48">
        <f t="shared" si="0"/>
        <v>54445140.43</v>
      </c>
      <c r="J27" s="45">
        <f>I27/$I$25</f>
        <v>0.54168945533088353</v>
      </c>
    </row>
    <row r="28" spans="1:10" x14ac:dyDescent="0.25">
      <c r="A28" s="49">
        <v>2</v>
      </c>
      <c r="B28" s="50">
        <v>1</v>
      </c>
      <c r="C28" s="50">
        <v>1</v>
      </c>
      <c r="D28" s="50">
        <v>1</v>
      </c>
      <c r="E28" s="50"/>
      <c r="F28" s="69" t="s">
        <v>30</v>
      </c>
      <c r="G28" s="51">
        <f>SUM(G29:G34)</f>
        <v>53314609.399999999</v>
      </c>
      <c r="H28" s="51">
        <f>SUM(H29:H34)</f>
        <v>0</v>
      </c>
      <c r="I28" s="51">
        <f t="shared" si="0"/>
        <v>53314609.399999999</v>
      </c>
      <c r="J28" s="52">
        <f>I28/$I$25</f>
        <v>0.53044149576941046</v>
      </c>
    </row>
    <row r="29" spans="1:10" x14ac:dyDescent="0.25">
      <c r="A29" s="53">
        <v>2</v>
      </c>
      <c r="B29" s="54">
        <v>1</v>
      </c>
      <c r="C29" s="54">
        <v>1</v>
      </c>
      <c r="D29" s="54">
        <v>1</v>
      </c>
      <c r="E29" s="55" t="s">
        <v>31</v>
      </c>
      <c r="F29" s="68" t="s">
        <v>32</v>
      </c>
      <c r="G29" s="56">
        <f>'[2]CUENTA T FONDO 100'!A126</f>
        <v>53314609.399999999</v>
      </c>
      <c r="H29" s="56">
        <f>'[2]CUENTA T VS'!A106</f>
        <v>0</v>
      </c>
      <c r="I29" s="56">
        <f t="shared" si="0"/>
        <v>53314609.399999999</v>
      </c>
      <c r="J29" s="57">
        <f t="shared" ref="J29:J34" si="1">I29/$I$25</f>
        <v>0.53044149576941046</v>
      </c>
    </row>
    <row r="30" spans="1:10" x14ac:dyDescent="0.25">
      <c r="A30" s="53">
        <v>2</v>
      </c>
      <c r="B30" s="54">
        <v>1</v>
      </c>
      <c r="C30" s="54">
        <v>1</v>
      </c>
      <c r="D30" s="54">
        <v>1</v>
      </c>
      <c r="E30" s="55" t="s">
        <v>33</v>
      </c>
      <c r="F30" s="59" t="s">
        <v>34</v>
      </c>
      <c r="G30" s="56">
        <f>'[2]CUENTA T FONDO 100'!B126</f>
        <v>0</v>
      </c>
      <c r="H30" s="56">
        <f>'[2]CUENTA T VS'!B106</f>
        <v>0</v>
      </c>
      <c r="I30" s="56">
        <f t="shared" si="0"/>
        <v>0</v>
      </c>
      <c r="J30" s="57">
        <f>I30/$I$25</f>
        <v>0</v>
      </c>
    </row>
    <row r="31" spans="1:10" x14ac:dyDescent="0.25">
      <c r="A31" s="53">
        <v>2</v>
      </c>
      <c r="B31" s="54">
        <v>1</v>
      </c>
      <c r="C31" s="54">
        <v>1</v>
      </c>
      <c r="D31" s="54">
        <v>1</v>
      </c>
      <c r="E31" s="55" t="s">
        <v>35</v>
      </c>
      <c r="F31" s="59" t="s">
        <v>36</v>
      </c>
      <c r="G31" s="56">
        <f>'[2]CUENTA T FONDO 100'!C126</f>
        <v>0</v>
      </c>
      <c r="H31" s="56">
        <f>'[2]CUENTA T VS'!C106</f>
        <v>0</v>
      </c>
      <c r="I31" s="56">
        <f t="shared" si="0"/>
        <v>0</v>
      </c>
      <c r="J31" s="57">
        <f t="shared" si="1"/>
        <v>0</v>
      </c>
    </row>
    <row r="32" spans="1:10" x14ac:dyDescent="0.25">
      <c r="A32" s="53">
        <v>2</v>
      </c>
      <c r="B32" s="54">
        <v>1</v>
      </c>
      <c r="C32" s="54">
        <v>1</v>
      </c>
      <c r="D32" s="54">
        <v>1</v>
      </c>
      <c r="E32" s="55" t="s">
        <v>37</v>
      </c>
      <c r="F32" s="59" t="s">
        <v>38</v>
      </c>
      <c r="G32" s="56">
        <f>'[2]CUENTA T FONDO 100'!D126</f>
        <v>0</v>
      </c>
      <c r="H32" s="56">
        <f>'[2]CUENTA T VS'!D106</f>
        <v>0</v>
      </c>
      <c r="I32" s="56">
        <f t="shared" si="0"/>
        <v>0</v>
      </c>
      <c r="J32" s="57">
        <f t="shared" si="1"/>
        <v>0</v>
      </c>
    </row>
    <row r="33" spans="1:10" x14ac:dyDescent="0.25">
      <c r="A33" s="53">
        <v>2</v>
      </c>
      <c r="B33" s="54">
        <v>1</v>
      </c>
      <c r="C33" s="54">
        <v>1</v>
      </c>
      <c r="D33" s="54">
        <v>1</v>
      </c>
      <c r="E33" s="55" t="s">
        <v>39</v>
      </c>
      <c r="F33" s="59" t="s">
        <v>40</v>
      </c>
      <c r="G33" s="56">
        <f>'[2]CUENTA T FONDO 100'!E126</f>
        <v>0</v>
      </c>
      <c r="H33" s="56">
        <f>'[2]CUENTA T VS'!E106</f>
        <v>0</v>
      </c>
      <c r="I33" s="56">
        <f t="shared" si="0"/>
        <v>0</v>
      </c>
      <c r="J33" s="57">
        <f t="shared" si="1"/>
        <v>0</v>
      </c>
    </row>
    <row r="34" spans="1:10" x14ac:dyDescent="0.25">
      <c r="A34" s="53">
        <v>2</v>
      </c>
      <c r="B34" s="54">
        <v>1</v>
      </c>
      <c r="C34" s="54">
        <v>1</v>
      </c>
      <c r="D34" s="54">
        <v>1</v>
      </c>
      <c r="E34" s="55" t="s">
        <v>41</v>
      </c>
      <c r="F34" s="59" t="s">
        <v>42</v>
      </c>
      <c r="G34" s="56">
        <f>'[2]CUENTA T FONDO 100'!F126</f>
        <v>0</v>
      </c>
      <c r="H34" s="56">
        <f>'[2]CUENTA T VS'!F106</f>
        <v>0</v>
      </c>
      <c r="I34" s="56">
        <f t="shared" si="0"/>
        <v>0</v>
      </c>
      <c r="J34" s="57">
        <f t="shared" si="1"/>
        <v>0</v>
      </c>
    </row>
    <row r="35" spans="1:10" x14ac:dyDescent="0.25">
      <c r="A35" s="49">
        <v>2</v>
      </c>
      <c r="B35" s="50">
        <v>1</v>
      </c>
      <c r="C35" s="50">
        <v>1</v>
      </c>
      <c r="D35" s="50">
        <v>2</v>
      </c>
      <c r="E35" s="50"/>
      <c r="F35" s="73" t="s">
        <v>43</v>
      </c>
      <c r="G35" s="51">
        <f>SUM(G36:G41)</f>
        <v>1130531.03</v>
      </c>
      <c r="H35" s="51">
        <f>SUM(H36:H41)</f>
        <v>0</v>
      </c>
      <c r="I35" s="51">
        <f t="shared" si="0"/>
        <v>1130531.03</v>
      </c>
      <c r="J35" s="58"/>
    </row>
    <row r="36" spans="1:10" x14ac:dyDescent="0.25">
      <c r="A36" s="53">
        <v>2</v>
      </c>
      <c r="B36" s="54">
        <v>1</v>
      </c>
      <c r="C36" s="54">
        <v>1</v>
      </c>
      <c r="D36" s="54">
        <v>2</v>
      </c>
      <c r="E36" s="55" t="s">
        <v>35</v>
      </c>
      <c r="F36" s="59" t="s">
        <v>44</v>
      </c>
      <c r="G36" s="56">
        <f>'[2]CUENTA T FONDO 100'!G126</f>
        <v>0</v>
      </c>
      <c r="H36" s="56">
        <f>'[2]CUENTA T VS'!G106</f>
        <v>0</v>
      </c>
      <c r="I36" s="56">
        <f t="shared" si="0"/>
        <v>0</v>
      </c>
      <c r="J36" s="57">
        <f t="shared" ref="J36:J41" si="2">I36/$I$25</f>
        <v>0</v>
      </c>
    </row>
    <row r="37" spans="1:10" x14ac:dyDescent="0.25">
      <c r="A37" s="53">
        <v>2</v>
      </c>
      <c r="B37" s="54">
        <v>1</v>
      </c>
      <c r="C37" s="54">
        <v>1</v>
      </c>
      <c r="D37" s="54">
        <v>2</v>
      </c>
      <c r="E37" s="55" t="s">
        <v>39</v>
      </c>
      <c r="F37" s="59" t="s">
        <v>45</v>
      </c>
      <c r="G37" s="56">
        <f>'[2]CUENTA T FONDO 100'!H126</f>
        <v>0</v>
      </c>
      <c r="H37" s="56">
        <f>'[2]CUENTA T VS'!H106</f>
        <v>0</v>
      </c>
      <c r="I37" s="56">
        <f t="shared" si="0"/>
        <v>0</v>
      </c>
      <c r="J37" s="57">
        <f t="shared" si="2"/>
        <v>0</v>
      </c>
    </row>
    <row r="38" spans="1:10" x14ac:dyDescent="0.25">
      <c r="A38" s="53">
        <v>2</v>
      </c>
      <c r="B38" s="54">
        <v>1</v>
      </c>
      <c r="C38" s="54">
        <v>1</v>
      </c>
      <c r="D38" s="54">
        <v>2</v>
      </c>
      <c r="E38" s="55" t="s">
        <v>41</v>
      </c>
      <c r="F38" s="59" t="s">
        <v>46</v>
      </c>
      <c r="G38" s="56">
        <f>'[2]CUENTA T FONDO 100'!I126</f>
        <v>0</v>
      </c>
      <c r="H38" s="56">
        <f>'[2]CUENTA T VS'!I106</f>
        <v>0</v>
      </c>
      <c r="I38" s="56">
        <f t="shared" si="0"/>
        <v>0</v>
      </c>
      <c r="J38" s="57">
        <f t="shared" si="2"/>
        <v>0</v>
      </c>
    </row>
    <row r="39" spans="1:10" x14ac:dyDescent="0.25">
      <c r="A39" s="53">
        <v>2</v>
      </c>
      <c r="B39" s="54">
        <v>1</v>
      </c>
      <c r="C39" s="54">
        <v>1</v>
      </c>
      <c r="D39" s="54">
        <v>2</v>
      </c>
      <c r="E39" s="55" t="s">
        <v>47</v>
      </c>
      <c r="F39" s="59" t="s">
        <v>48</v>
      </c>
      <c r="G39" s="56">
        <f>'[2]CUENTA T FONDO 100'!J126</f>
        <v>1130531.03</v>
      </c>
      <c r="H39" s="56">
        <f>'[2]CUENTA T VS'!J106</f>
        <v>0</v>
      </c>
      <c r="I39" s="56">
        <f t="shared" si="0"/>
        <v>1130531.03</v>
      </c>
      <c r="J39" s="57">
        <f t="shared" si="2"/>
        <v>1.1247959561473075E-2</v>
      </c>
    </row>
    <row r="40" spans="1:10" x14ac:dyDescent="0.25">
      <c r="A40" s="53">
        <v>2</v>
      </c>
      <c r="B40" s="54">
        <v>1</v>
      </c>
      <c r="C40" s="54">
        <v>1</v>
      </c>
      <c r="D40" s="54">
        <v>2</v>
      </c>
      <c r="E40" s="55" t="s">
        <v>49</v>
      </c>
      <c r="F40" s="59" t="s">
        <v>50</v>
      </c>
      <c r="G40" s="56">
        <f>'[2]CUENTA T FONDO 100'!K126</f>
        <v>0</v>
      </c>
      <c r="H40" s="56">
        <f>'[2]CUENTA T VS'!K106</f>
        <v>0</v>
      </c>
      <c r="I40" s="56">
        <f t="shared" si="0"/>
        <v>0</v>
      </c>
      <c r="J40" s="57">
        <f t="shared" si="2"/>
        <v>0</v>
      </c>
    </row>
    <row r="41" spans="1:10" x14ac:dyDescent="0.25">
      <c r="A41" s="53">
        <v>2</v>
      </c>
      <c r="B41" s="54">
        <v>1</v>
      </c>
      <c r="C41" s="54">
        <v>1</v>
      </c>
      <c r="D41" s="54">
        <v>2</v>
      </c>
      <c r="E41" s="55" t="s">
        <v>51</v>
      </c>
      <c r="F41" s="59" t="s">
        <v>52</v>
      </c>
      <c r="G41" s="56">
        <f>'[2]CUENTA T FONDO 100'!L126</f>
        <v>0</v>
      </c>
      <c r="H41" s="56">
        <f>'[2]CUENTA T VS'!L106</f>
        <v>0</v>
      </c>
      <c r="I41" s="56">
        <f t="shared" si="0"/>
        <v>0</v>
      </c>
      <c r="J41" s="57">
        <f t="shared" si="2"/>
        <v>0</v>
      </c>
    </row>
    <row r="42" spans="1:10" x14ac:dyDescent="0.25">
      <c r="A42" s="49">
        <v>2</v>
      </c>
      <c r="B42" s="50">
        <v>1</v>
      </c>
      <c r="C42" s="50">
        <v>1</v>
      </c>
      <c r="D42" s="50">
        <v>3</v>
      </c>
      <c r="E42" s="50"/>
      <c r="F42" s="73" t="s">
        <v>53</v>
      </c>
      <c r="G42" s="51">
        <f>SUM(G43)</f>
        <v>0</v>
      </c>
      <c r="H42" s="51">
        <f>SUM(H43)</f>
        <v>0</v>
      </c>
      <c r="I42" s="51">
        <f t="shared" si="0"/>
        <v>0</v>
      </c>
      <c r="J42" s="58"/>
    </row>
    <row r="43" spans="1:10" x14ac:dyDescent="0.25">
      <c r="A43" s="53">
        <v>2</v>
      </c>
      <c r="B43" s="54">
        <v>1</v>
      </c>
      <c r="C43" s="54">
        <v>1</v>
      </c>
      <c r="D43" s="54">
        <v>3</v>
      </c>
      <c r="E43" s="55" t="s">
        <v>31</v>
      </c>
      <c r="F43" s="59" t="s">
        <v>53</v>
      </c>
      <c r="G43" s="56">
        <f>'[2]CUENTA T FONDO 100'!M126</f>
        <v>0</v>
      </c>
      <c r="H43" s="56">
        <f>'[2]CUENTA T VS'!M106</f>
        <v>0</v>
      </c>
      <c r="I43" s="56">
        <f t="shared" si="0"/>
        <v>0</v>
      </c>
      <c r="J43" s="57">
        <f>I43/$I$25</f>
        <v>0</v>
      </c>
    </row>
    <row r="44" spans="1:10" x14ac:dyDescent="0.25">
      <c r="A44" s="49">
        <v>2</v>
      </c>
      <c r="B44" s="50">
        <v>1</v>
      </c>
      <c r="C44" s="50">
        <v>1</v>
      </c>
      <c r="D44" s="50">
        <v>4</v>
      </c>
      <c r="E44" s="50"/>
      <c r="F44" s="73" t="s">
        <v>54</v>
      </c>
      <c r="G44" s="51">
        <f>SUM(G45)</f>
        <v>0</v>
      </c>
      <c r="H44" s="51">
        <f>SUM(H45)</f>
        <v>0</v>
      </c>
      <c r="I44" s="51">
        <f t="shared" si="0"/>
        <v>0</v>
      </c>
      <c r="J44" s="58"/>
    </row>
    <row r="45" spans="1:10" x14ac:dyDescent="0.25">
      <c r="A45" s="53">
        <v>2</v>
      </c>
      <c r="B45" s="54">
        <v>1</v>
      </c>
      <c r="C45" s="54">
        <v>1</v>
      </c>
      <c r="D45" s="54">
        <v>4</v>
      </c>
      <c r="E45" s="55" t="s">
        <v>31</v>
      </c>
      <c r="F45" s="59" t="s">
        <v>54</v>
      </c>
      <c r="G45" s="56">
        <f>'[2]CUENTA T FONDO 100'!N126</f>
        <v>0</v>
      </c>
      <c r="H45" s="56">
        <f>'[2]CUENTA T VS'!N106</f>
        <v>0</v>
      </c>
      <c r="I45" s="56">
        <f t="shared" si="0"/>
        <v>0</v>
      </c>
      <c r="J45" s="57">
        <f>I45/$I$25</f>
        <v>0</v>
      </c>
    </row>
    <row r="46" spans="1:10" x14ac:dyDescent="0.25">
      <c r="A46" s="49">
        <v>2</v>
      </c>
      <c r="B46" s="50">
        <v>1</v>
      </c>
      <c r="C46" s="50">
        <v>1</v>
      </c>
      <c r="D46" s="50">
        <v>5</v>
      </c>
      <c r="E46" s="50"/>
      <c r="F46" s="73" t="s">
        <v>55</v>
      </c>
      <c r="G46" s="51">
        <f>SUM(G47:G50)</f>
        <v>0</v>
      </c>
      <c r="H46" s="51">
        <f>SUM(H47:H50)</f>
        <v>0</v>
      </c>
      <c r="I46" s="51">
        <f t="shared" si="0"/>
        <v>0</v>
      </c>
      <c r="J46" s="58"/>
    </row>
    <row r="47" spans="1:10" x14ac:dyDescent="0.25">
      <c r="A47" s="53">
        <v>2</v>
      </c>
      <c r="B47" s="54">
        <v>1</v>
      </c>
      <c r="C47" s="54">
        <v>1</v>
      </c>
      <c r="D47" s="54">
        <v>5</v>
      </c>
      <c r="E47" s="55" t="s">
        <v>31</v>
      </c>
      <c r="F47" s="59" t="s">
        <v>55</v>
      </c>
      <c r="G47" s="56">
        <f>'[2]CUENTA T FONDO 100'!O126</f>
        <v>0</v>
      </c>
      <c r="H47" s="56">
        <f>'[2]CUENTA T VS'!O106</f>
        <v>0</v>
      </c>
      <c r="I47" s="56">
        <f t="shared" si="0"/>
        <v>0</v>
      </c>
      <c r="J47" s="57">
        <f>I47/$I$25</f>
        <v>0</v>
      </c>
    </row>
    <row r="48" spans="1:10" x14ac:dyDescent="0.25">
      <c r="A48" s="53">
        <v>2</v>
      </c>
      <c r="B48" s="54">
        <v>1</v>
      </c>
      <c r="C48" s="54">
        <v>1</v>
      </c>
      <c r="D48" s="54">
        <v>5</v>
      </c>
      <c r="E48" s="55" t="s">
        <v>33</v>
      </c>
      <c r="F48" s="59" t="s">
        <v>56</v>
      </c>
      <c r="G48" s="56">
        <f>'[2]CUENTA T FONDO 100'!P126</f>
        <v>0</v>
      </c>
      <c r="H48" s="56">
        <f>'[2]CUENTA T VS'!P106</f>
        <v>0</v>
      </c>
      <c r="I48" s="56">
        <f t="shared" si="0"/>
        <v>0</v>
      </c>
      <c r="J48" s="57">
        <f>I48/$I$25</f>
        <v>0</v>
      </c>
    </row>
    <row r="49" spans="1:10" x14ac:dyDescent="0.25">
      <c r="A49" s="53">
        <v>2</v>
      </c>
      <c r="B49" s="54">
        <v>1</v>
      </c>
      <c r="C49" s="54">
        <v>1</v>
      </c>
      <c r="D49" s="54">
        <v>5</v>
      </c>
      <c r="E49" s="55" t="s">
        <v>35</v>
      </c>
      <c r="F49" s="59" t="s">
        <v>57</v>
      </c>
      <c r="G49" s="56">
        <f>'[2]CUENTA T FONDO 100'!Q126</f>
        <v>0</v>
      </c>
      <c r="H49" s="56">
        <f>'[2]CUENTA T VS'!Q106</f>
        <v>0</v>
      </c>
      <c r="I49" s="56">
        <f t="shared" si="0"/>
        <v>0</v>
      </c>
      <c r="J49" s="57">
        <f>I49/$I$25</f>
        <v>0</v>
      </c>
    </row>
    <row r="50" spans="1:10" x14ac:dyDescent="0.25">
      <c r="A50" s="53">
        <v>2</v>
      </c>
      <c r="B50" s="54">
        <v>1</v>
      </c>
      <c r="C50" s="54">
        <v>1</v>
      </c>
      <c r="D50" s="54">
        <v>5</v>
      </c>
      <c r="E50" s="55" t="s">
        <v>37</v>
      </c>
      <c r="F50" s="59" t="s">
        <v>58</v>
      </c>
      <c r="G50" s="56">
        <f>'[2]CUENTA T FONDO 100'!R126</f>
        <v>0</v>
      </c>
      <c r="H50" s="56">
        <f>'[2]CUENTA T VS'!R106</f>
        <v>0</v>
      </c>
      <c r="I50" s="56">
        <f t="shared" si="0"/>
        <v>0</v>
      </c>
      <c r="J50" s="57">
        <f>I50/$I$25</f>
        <v>0</v>
      </c>
    </row>
    <row r="51" spans="1:10" x14ac:dyDescent="0.25">
      <c r="A51" s="46">
        <v>2</v>
      </c>
      <c r="B51" s="47">
        <v>1</v>
      </c>
      <c r="C51" s="47">
        <v>2</v>
      </c>
      <c r="D51" s="47"/>
      <c r="E51" s="47"/>
      <c r="F51" s="72" t="s">
        <v>59</v>
      </c>
      <c r="G51" s="48">
        <f>+G52+G54</f>
        <v>3807608.3100000005</v>
      </c>
      <c r="H51" s="48">
        <f>+H52+H54</f>
        <v>0</v>
      </c>
      <c r="I51" s="48">
        <f t="shared" si="0"/>
        <v>3807608.3100000005</v>
      </c>
      <c r="J51" s="45"/>
    </row>
    <row r="52" spans="1:10" x14ac:dyDescent="0.25">
      <c r="A52" s="49">
        <v>2</v>
      </c>
      <c r="B52" s="50">
        <v>1</v>
      </c>
      <c r="C52" s="50">
        <v>2</v>
      </c>
      <c r="D52" s="50">
        <v>1</v>
      </c>
      <c r="E52" s="50"/>
      <c r="F52" s="73" t="s">
        <v>60</v>
      </c>
      <c r="G52" s="51">
        <f>SUM(G53)</f>
        <v>2723298.24</v>
      </c>
      <c r="H52" s="51">
        <f>SUM(H53)</f>
        <v>0</v>
      </c>
      <c r="I52" s="51">
        <f t="shared" si="0"/>
        <v>2723298.24</v>
      </c>
      <c r="J52" s="58"/>
    </row>
    <row r="53" spans="1:10" x14ac:dyDescent="0.25">
      <c r="A53" s="53">
        <v>2</v>
      </c>
      <c r="B53" s="54">
        <v>1</v>
      </c>
      <c r="C53" s="54">
        <v>2</v>
      </c>
      <c r="D53" s="54">
        <v>1</v>
      </c>
      <c r="E53" s="55" t="s">
        <v>31</v>
      </c>
      <c r="F53" s="59" t="s">
        <v>60</v>
      </c>
      <c r="G53" s="56">
        <f>'[2]CUENTA T FONDO 100'!S126</f>
        <v>2723298.24</v>
      </c>
      <c r="H53" s="56">
        <f>'[2]CUENTA T VS'!S106</f>
        <v>0</v>
      </c>
      <c r="I53" s="56">
        <f t="shared" si="0"/>
        <v>2723298.24</v>
      </c>
      <c r="J53" s="57">
        <f>I53/$I$25</f>
        <v>2.7094832131543348E-2</v>
      </c>
    </row>
    <row r="54" spans="1:10" x14ac:dyDescent="0.25">
      <c r="A54" s="49">
        <v>2</v>
      </c>
      <c r="B54" s="50">
        <v>1</v>
      </c>
      <c r="C54" s="50">
        <v>2</v>
      </c>
      <c r="D54" s="50">
        <v>2</v>
      </c>
      <c r="E54" s="50"/>
      <c r="F54" s="73" t="s">
        <v>61</v>
      </c>
      <c r="G54" s="51">
        <f>SUM(G55:G63)</f>
        <v>1084310.07</v>
      </c>
      <c r="H54" s="51">
        <f>SUM(H55:H63)</f>
        <v>0</v>
      </c>
      <c r="I54" s="51">
        <f t="shared" si="0"/>
        <v>1084310.07</v>
      </c>
      <c r="J54" s="58"/>
    </row>
    <row r="55" spans="1:10" x14ac:dyDescent="0.25">
      <c r="A55" s="53">
        <v>2</v>
      </c>
      <c r="B55" s="54">
        <v>1</v>
      </c>
      <c r="C55" s="54">
        <v>2</v>
      </c>
      <c r="D55" s="54">
        <v>2</v>
      </c>
      <c r="E55" s="55" t="s">
        <v>31</v>
      </c>
      <c r="F55" s="59" t="s">
        <v>62</v>
      </c>
      <c r="G55" s="56">
        <f>'[2]CUENTA T FONDO 100'!T126</f>
        <v>0</v>
      </c>
      <c r="H55" s="56">
        <f>'[2]CUENTA T VS'!T106</f>
        <v>0</v>
      </c>
      <c r="I55" s="56">
        <f t="shared" si="0"/>
        <v>0</v>
      </c>
      <c r="J55" s="57">
        <f t="shared" ref="J55:J63" si="3">I55/$I$25</f>
        <v>0</v>
      </c>
    </row>
    <row r="56" spans="1:10" x14ac:dyDescent="0.25">
      <c r="A56" s="53">
        <v>2</v>
      </c>
      <c r="B56" s="54">
        <v>1</v>
      </c>
      <c r="C56" s="54">
        <v>2</v>
      </c>
      <c r="D56" s="54">
        <v>2</v>
      </c>
      <c r="E56" s="55" t="s">
        <v>35</v>
      </c>
      <c r="F56" s="59" t="s">
        <v>63</v>
      </c>
      <c r="G56" s="56">
        <f>'[2]CUENTA T FONDO 100'!U126</f>
        <v>0</v>
      </c>
      <c r="H56" s="56">
        <f>'[2]CUENTA T VS'!U106</f>
        <v>0</v>
      </c>
      <c r="I56" s="56">
        <f t="shared" si="0"/>
        <v>0</v>
      </c>
      <c r="J56" s="57">
        <f t="shared" si="3"/>
        <v>0</v>
      </c>
    </row>
    <row r="57" spans="1:10" x14ac:dyDescent="0.25">
      <c r="A57" s="53">
        <v>2</v>
      </c>
      <c r="B57" s="54">
        <v>1</v>
      </c>
      <c r="C57" s="54">
        <v>2</v>
      </c>
      <c r="D57" s="54">
        <v>2</v>
      </c>
      <c r="E57" s="55" t="s">
        <v>37</v>
      </c>
      <c r="F57" s="59" t="s">
        <v>64</v>
      </c>
      <c r="G57" s="56">
        <f>'[2]CUENTA T FONDO 100'!V126</f>
        <v>0</v>
      </c>
      <c r="H57" s="56">
        <f>'[2]CUENTA T VS'!V106</f>
        <v>0</v>
      </c>
      <c r="I57" s="56">
        <f t="shared" si="0"/>
        <v>0</v>
      </c>
      <c r="J57" s="57">
        <f t="shared" si="3"/>
        <v>0</v>
      </c>
    </row>
    <row r="58" spans="1:10" x14ac:dyDescent="0.25">
      <c r="A58" s="53">
        <v>2</v>
      </c>
      <c r="B58" s="54">
        <v>1</v>
      </c>
      <c r="C58" s="54">
        <v>2</v>
      </c>
      <c r="D58" s="54">
        <v>2</v>
      </c>
      <c r="E58" s="55" t="s">
        <v>39</v>
      </c>
      <c r="F58" s="59" t="s">
        <v>65</v>
      </c>
      <c r="G58" s="56">
        <f>'[2]CUENTA T FONDO 100'!W126</f>
        <v>45000</v>
      </c>
      <c r="H58" s="56">
        <f>'[2]CUENTA T VS'!W106</f>
        <v>0</v>
      </c>
      <c r="I58" s="56">
        <f t="shared" si="0"/>
        <v>45000</v>
      </c>
      <c r="J58" s="57">
        <f t="shared" si="3"/>
        <v>4.4771719380961027E-4</v>
      </c>
    </row>
    <row r="59" spans="1:10" x14ac:dyDescent="0.25">
      <c r="A59" s="53">
        <v>2</v>
      </c>
      <c r="B59" s="54">
        <v>1</v>
      </c>
      <c r="C59" s="54">
        <v>2</v>
      </c>
      <c r="D59" s="54">
        <v>2</v>
      </c>
      <c r="E59" s="55" t="s">
        <v>41</v>
      </c>
      <c r="F59" s="59" t="s">
        <v>66</v>
      </c>
      <c r="G59" s="56">
        <f>'[2]CUENTA T FONDO 100'!X126</f>
        <v>0</v>
      </c>
      <c r="H59" s="56">
        <f>'[2]CUENTA T VS'!X106</f>
        <v>0</v>
      </c>
      <c r="I59" s="56">
        <f t="shared" si="0"/>
        <v>0</v>
      </c>
      <c r="J59" s="57">
        <f t="shared" si="3"/>
        <v>0</v>
      </c>
    </row>
    <row r="60" spans="1:10" x14ac:dyDescent="0.25">
      <c r="A60" s="53">
        <v>2</v>
      </c>
      <c r="B60" s="54">
        <v>1</v>
      </c>
      <c r="C60" s="54">
        <v>2</v>
      </c>
      <c r="D60" s="54">
        <v>2</v>
      </c>
      <c r="E60" s="55" t="s">
        <v>67</v>
      </c>
      <c r="F60" s="59" t="s">
        <v>68</v>
      </c>
      <c r="G60" s="56">
        <f>'[2]CUENTA T FONDO 100'!Y126</f>
        <v>0</v>
      </c>
      <c r="H60" s="56">
        <f>'[2]CUENTA T VS'!Y106</f>
        <v>0</v>
      </c>
      <c r="I60" s="56">
        <f t="shared" si="0"/>
        <v>0</v>
      </c>
      <c r="J60" s="57">
        <f t="shared" si="3"/>
        <v>0</v>
      </c>
    </row>
    <row r="61" spans="1:10" x14ac:dyDescent="0.25">
      <c r="A61" s="53">
        <v>2</v>
      </c>
      <c r="B61" s="54">
        <v>1</v>
      </c>
      <c r="C61" s="54">
        <v>2</v>
      </c>
      <c r="D61" s="54">
        <v>2</v>
      </c>
      <c r="E61" s="55" t="s">
        <v>47</v>
      </c>
      <c r="F61" s="59" t="s">
        <v>69</v>
      </c>
      <c r="G61" s="56">
        <f>'[2]CUENTA T FONDO 100'!Z126</f>
        <v>334800</v>
      </c>
      <c r="H61" s="56">
        <f>'[2]CUENTA T VS'!Z106</f>
        <v>0</v>
      </c>
      <c r="I61" s="56">
        <f t="shared" si="0"/>
        <v>334800</v>
      </c>
      <c r="J61" s="57">
        <f t="shared" si="3"/>
        <v>3.3310159219435004E-3</v>
      </c>
    </row>
    <row r="62" spans="1:10" x14ac:dyDescent="0.25">
      <c r="A62" s="53">
        <v>2</v>
      </c>
      <c r="B62" s="54">
        <v>1</v>
      </c>
      <c r="C62" s="54">
        <v>2</v>
      </c>
      <c r="D62" s="54">
        <v>2</v>
      </c>
      <c r="E62" s="55" t="s">
        <v>49</v>
      </c>
      <c r="F62" s="59" t="s">
        <v>70</v>
      </c>
      <c r="G62" s="56">
        <f>'[2]CUENTA T FONDO 100'!AA126</f>
        <v>443970.11</v>
      </c>
      <c r="H62" s="56">
        <f>'[2]CUENTA T VS'!AA106</f>
        <v>0</v>
      </c>
      <c r="I62" s="56">
        <f t="shared" si="0"/>
        <v>443970.11</v>
      </c>
      <c r="J62" s="57">
        <f t="shared" si="3"/>
        <v>4.4171789285454219E-3</v>
      </c>
    </row>
    <row r="63" spans="1:10" x14ac:dyDescent="0.25">
      <c r="A63" s="53">
        <v>2</v>
      </c>
      <c r="B63" s="54">
        <v>1</v>
      </c>
      <c r="C63" s="54">
        <v>2</v>
      </c>
      <c r="D63" s="54">
        <v>2</v>
      </c>
      <c r="E63" s="54">
        <v>10</v>
      </c>
      <c r="F63" s="59" t="s">
        <v>71</v>
      </c>
      <c r="G63" s="56">
        <f>'[2]CUENTA T FONDO 100'!AB126</f>
        <v>260539.96</v>
      </c>
      <c r="H63" s="56">
        <f>'[2]CUENTA T VS'!AB106</f>
        <v>0</v>
      </c>
      <c r="I63" s="56">
        <f t="shared" si="0"/>
        <v>260539.96</v>
      </c>
      <c r="J63" s="57">
        <f t="shared" si="3"/>
        <v>2.592182661477069E-3</v>
      </c>
    </row>
    <row r="64" spans="1:10" x14ac:dyDescent="0.25">
      <c r="A64" s="60">
        <v>2</v>
      </c>
      <c r="B64" s="47">
        <v>1</v>
      </c>
      <c r="C64" s="47">
        <v>3</v>
      </c>
      <c r="D64" s="47"/>
      <c r="E64" s="47"/>
      <c r="F64" s="66" t="s">
        <v>72</v>
      </c>
      <c r="G64" s="48">
        <f>+G65+G68</f>
        <v>0</v>
      </c>
      <c r="H64" s="48">
        <f>+H65+H68</f>
        <v>0</v>
      </c>
      <c r="I64" s="48">
        <f t="shared" si="0"/>
        <v>0</v>
      </c>
      <c r="J64" s="45"/>
    </row>
    <row r="65" spans="1:10" x14ac:dyDescent="0.25">
      <c r="A65" s="61">
        <v>2</v>
      </c>
      <c r="B65" s="50">
        <v>1</v>
      </c>
      <c r="C65" s="50">
        <v>3</v>
      </c>
      <c r="D65" s="50">
        <v>1</v>
      </c>
      <c r="E65" s="50"/>
      <c r="F65" s="87" t="s">
        <v>73</v>
      </c>
      <c r="G65" s="51">
        <f>SUM(G66:G67)</f>
        <v>0</v>
      </c>
      <c r="H65" s="51">
        <f>SUM(H66:H67)</f>
        <v>0</v>
      </c>
      <c r="I65" s="51">
        <f t="shared" si="0"/>
        <v>0</v>
      </c>
      <c r="J65" s="58"/>
    </row>
    <row r="66" spans="1:10" x14ac:dyDescent="0.25">
      <c r="A66" s="62">
        <v>2</v>
      </c>
      <c r="B66" s="54">
        <v>1</v>
      </c>
      <c r="C66" s="54">
        <v>3</v>
      </c>
      <c r="D66" s="54">
        <v>1</v>
      </c>
      <c r="E66" s="55" t="s">
        <v>31</v>
      </c>
      <c r="F66" s="67" t="s">
        <v>74</v>
      </c>
      <c r="G66" s="56">
        <f>'[2]CUENTA T FONDO 100'!AC126</f>
        <v>0</v>
      </c>
      <c r="H66" s="56">
        <f>'[2]CUENTA T VS'!AC106</f>
        <v>0</v>
      </c>
      <c r="I66" s="56">
        <f t="shared" si="0"/>
        <v>0</v>
      </c>
      <c r="J66" s="57">
        <f>I66/$I$25</f>
        <v>0</v>
      </c>
    </row>
    <row r="67" spans="1:10" x14ac:dyDescent="0.25">
      <c r="A67" s="62">
        <v>2</v>
      </c>
      <c r="B67" s="54">
        <v>1</v>
      </c>
      <c r="C67" s="54">
        <v>3</v>
      </c>
      <c r="D67" s="54">
        <v>1</v>
      </c>
      <c r="E67" s="55" t="s">
        <v>33</v>
      </c>
      <c r="F67" s="67" t="s">
        <v>75</v>
      </c>
      <c r="G67" s="56">
        <f>'[2]CUENTA T FONDO 100'!AD126</f>
        <v>0</v>
      </c>
      <c r="H67" s="56">
        <f>'[2]CUENTA T VS'!AD106</f>
        <v>0</v>
      </c>
      <c r="I67" s="56">
        <f t="shared" si="0"/>
        <v>0</v>
      </c>
      <c r="J67" s="57">
        <f>I67/$I$25</f>
        <v>0</v>
      </c>
    </row>
    <row r="68" spans="1:10" x14ac:dyDescent="0.25">
      <c r="A68" s="61">
        <v>2</v>
      </c>
      <c r="B68" s="50">
        <v>1</v>
      </c>
      <c r="C68" s="50">
        <v>3</v>
      </c>
      <c r="D68" s="50">
        <v>2</v>
      </c>
      <c r="E68" s="50"/>
      <c r="F68" s="87" t="s">
        <v>76</v>
      </c>
      <c r="G68" s="51">
        <f>SUM(G69:G70)</f>
        <v>0</v>
      </c>
      <c r="H68" s="51">
        <f>SUM(H69:H70)</f>
        <v>0</v>
      </c>
      <c r="I68" s="51">
        <f t="shared" si="0"/>
        <v>0</v>
      </c>
      <c r="J68" s="58"/>
    </row>
    <row r="69" spans="1:10" x14ac:dyDescent="0.25">
      <c r="A69" s="62">
        <v>2</v>
      </c>
      <c r="B69" s="54">
        <v>1</v>
      </c>
      <c r="C69" s="54">
        <v>3</v>
      </c>
      <c r="D69" s="54">
        <v>2</v>
      </c>
      <c r="E69" s="55" t="s">
        <v>31</v>
      </c>
      <c r="F69" s="67" t="s">
        <v>77</v>
      </c>
      <c r="G69" s="56">
        <f>'[2]CUENTA T FONDO 100'!AE126</f>
        <v>0</v>
      </c>
      <c r="H69" s="56">
        <f>'[2]CUENTA T VS'!AE106</f>
        <v>0</v>
      </c>
      <c r="I69" s="56">
        <f t="shared" si="0"/>
        <v>0</v>
      </c>
      <c r="J69" s="57">
        <f>I69/$I$25</f>
        <v>0</v>
      </c>
    </row>
    <row r="70" spans="1:10" x14ac:dyDescent="0.25">
      <c r="A70" s="62">
        <v>2</v>
      </c>
      <c r="B70" s="54">
        <v>1</v>
      </c>
      <c r="C70" s="54">
        <v>3</v>
      </c>
      <c r="D70" s="54">
        <v>2</v>
      </c>
      <c r="E70" s="55" t="s">
        <v>33</v>
      </c>
      <c r="F70" s="67" t="s">
        <v>78</v>
      </c>
      <c r="G70" s="56">
        <f>'[2]CUENTA T FONDO 100'!AF126</f>
        <v>0</v>
      </c>
      <c r="H70" s="56">
        <f>'[2]CUENTA T VS'!AF106</f>
        <v>0</v>
      </c>
      <c r="I70" s="56">
        <f t="shared" si="0"/>
        <v>0</v>
      </c>
      <c r="J70" s="57">
        <f>I70/$I$25</f>
        <v>0</v>
      </c>
    </row>
    <row r="71" spans="1:10" x14ac:dyDescent="0.25">
      <c r="A71" s="60">
        <v>2</v>
      </c>
      <c r="B71" s="47">
        <v>1</v>
      </c>
      <c r="C71" s="47">
        <v>4</v>
      </c>
      <c r="D71" s="47"/>
      <c r="E71" s="47"/>
      <c r="F71" s="66" t="s">
        <v>79</v>
      </c>
      <c r="G71" s="48">
        <f>+G72+G74</f>
        <v>0</v>
      </c>
      <c r="H71" s="48">
        <f>+H72+H74</f>
        <v>0</v>
      </c>
      <c r="I71" s="48">
        <f t="shared" si="0"/>
        <v>0</v>
      </c>
      <c r="J71" s="45"/>
    </row>
    <row r="72" spans="1:10" x14ac:dyDescent="0.25">
      <c r="A72" s="49">
        <v>2</v>
      </c>
      <c r="B72" s="50">
        <v>1</v>
      </c>
      <c r="C72" s="50">
        <v>4</v>
      </c>
      <c r="D72" s="50">
        <v>1</v>
      </c>
      <c r="E72" s="50"/>
      <c r="F72" s="73" t="s">
        <v>80</v>
      </c>
      <c r="G72" s="51">
        <f>SUM(G73)</f>
        <v>0</v>
      </c>
      <c r="H72" s="51">
        <f>SUM(H73)</f>
        <v>0</v>
      </c>
      <c r="I72" s="51">
        <f t="shared" si="0"/>
        <v>0</v>
      </c>
      <c r="J72" s="58"/>
    </row>
    <row r="73" spans="1:10" x14ac:dyDescent="0.25">
      <c r="A73" s="53">
        <v>2</v>
      </c>
      <c r="B73" s="54">
        <v>1</v>
      </c>
      <c r="C73" s="54">
        <v>4</v>
      </c>
      <c r="D73" s="54">
        <v>1</v>
      </c>
      <c r="E73" s="55" t="s">
        <v>31</v>
      </c>
      <c r="F73" s="59" t="s">
        <v>80</v>
      </c>
      <c r="G73" s="56">
        <f>'[2]CUENTA T FONDO 100'!AG126</f>
        <v>0</v>
      </c>
      <c r="H73" s="56">
        <f>'[2]CUENTA T VS'!AG106</f>
        <v>0</v>
      </c>
      <c r="I73" s="56">
        <f t="shared" si="0"/>
        <v>0</v>
      </c>
      <c r="J73" s="57">
        <f>I73/$I$25</f>
        <v>0</v>
      </c>
    </row>
    <row r="74" spans="1:10" x14ac:dyDescent="0.25">
      <c r="A74" s="49">
        <v>2</v>
      </c>
      <c r="B74" s="50">
        <v>1</v>
      </c>
      <c r="C74" s="50">
        <v>4</v>
      </c>
      <c r="D74" s="50">
        <v>2</v>
      </c>
      <c r="E74" s="50"/>
      <c r="F74" s="73" t="s">
        <v>81</v>
      </c>
      <c r="G74" s="51">
        <f>SUM(G75:G77)</f>
        <v>0</v>
      </c>
      <c r="H74" s="51">
        <f>SUM(H75:H77)</f>
        <v>0</v>
      </c>
      <c r="I74" s="51">
        <f t="shared" si="0"/>
        <v>0</v>
      </c>
      <c r="J74" s="58"/>
    </row>
    <row r="75" spans="1:10" x14ac:dyDescent="0.25">
      <c r="A75" s="53">
        <v>2</v>
      </c>
      <c r="B75" s="54">
        <v>1</v>
      </c>
      <c r="C75" s="54">
        <v>4</v>
      </c>
      <c r="D75" s="54">
        <v>2</v>
      </c>
      <c r="E75" s="55" t="s">
        <v>31</v>
      </c>
      <c r="F75" s="59" t="s">
        <v>82</v>
      </c>
      <c r="G75" s="56">
        <f>'[2]CUENTA T FONDO 100'!AH126</f>
        <v>0</v>
      </c>
      <c r="H75" s="56">
        <f>'[2]CUENTA T VS'!AH106</f>
        <v>0</v>
      </c>
      <c r="I75" s="56">
        <f t="shared" si="0"/>
        <v>0</v>
      </c>
      <c r="J75" s="57">
        <f>I75/$I$25</f>
        <v>0</v>
      </c>
    </row>
    <row r="76" spans="1:10" x14ac:dyDescent="0.25">
      <c r="A76" s="53">
        <v>2</v>
      </c>
      <c r="B76" s="54">
        <v>1</v>
      </c>
      <c r="C76" s="54">
        <v>4</v>
      </c>
      <c r="D76" s="54">
        <v>2</v>
      </c>
      <c r="E76" s="55" t="s">
        <v>33</v>
      </c>
      <c r="F76" s="59" t="s">
        <v>83</v>
      </c>
      <c r="G76" s="56">
        <f>'[2]CUENTA T FONDO 100'!AI126</f>
        <v>0</v>
      </c>
      <c r="H76" s="56">
        <f>'[2]CUENTA T VS'!AI106</f>
        <v>0</v>
      </c>
      <c r="I76" s="56">
        <f t="shared" si="0"/>
        <v>0</v>
      </c>
      <c r="J76" s="57">
        <f>I76/$I$25</f>
        <v>0</v>
      </c>
    </row>
    <row r="77" spans="1:10" x14ac:dyDescent="0.25">
      <c r="A77" s="53">
        <v>2</v>
      </c>
      <c r="B77" s="54">
        <v>1</v>
      </c>
      <c r="C77" s="54">
        <v>4</v>
      </c>
      <c r="D77" s="54">
        <v>2</v>
      </c>
      <c r="E77" s="55" t="s">
        <v>35</v>
      </c>
      <c r="F77" s="59" t="s">
        <v>84</v>
      </c>
      <c r="G77" s="56">
        <f>'[2]CUENTA T FONDO 100'!AJ126</f>
        <v>0</v>
      </c>
      <c r="H77" s="56">
        <f>'[2]CUENTA T VS'!AJ106</f>
        <v>0</v>
      </c>
      <c r="I77" s="56">
        <f t="shared" si="0"/>
        <v>0</v>
      </c>
      <c r="J77" s="57">
        <f>I77/$I$25</f>
        <v>0</v>
      </c>
    </row>
    <row r="78" spans="1:10" x14ac:dyDescent="0.25">
      <c r="A78" s="60">
        <v>2</v>
      </c>
      <c r="B78" s="47">
        <v>1</v>
      </c>
      <c r="C78" s="47">
        <v>5</v>
      </c>
      <c r="D78" s="47"/>
      <c r="E78" s="47"/>
      <c r="F78" s="66" t="s">
        <v>85</v>
      </c>
      <c r="G78" s="48">
        <f>+G79+G81+G83+G85</f>
        <v>8377802.1100000003</v>
      </c>
      <c r="H78" s="48">
        <f>+H79+H81+H83+H85</f>
        <v>0</v>
      </c>
      <c r="I78" s="48">
        <f t="shared" si="0"/>
        <v>8377802.1100000003</v>
      </c>
      <c r="J78" s="45"/>
    </row>
    <row r="79" spans="1:10" x14ac:dyDescent="0.25">
      <c r="A79" s="49">
        <v>2</v>
      </c>
      <c r="B79" s="50">
        <v>1</v>
      </c>
      <c r="C79" s="50">
        <v>5</v>
      </c>
      <c r="D79" s="50">
        <v>1</v>
      </c>
      <c r="E79" s="50"/>
      <c r="F79" s="73" t="s">
        <v>86</v>
      </c>
      <c r="G79" s="51">
        <f>SUM(G80)</f>
        <v>3860162.77</v>
      </c>
      <c r="H79" s="51">
        <f>SUM(H80)</f>
        <v>0</v>
      </c>
      <c r="I79" s="51">
        <f t="shared" si="0"/>
        <v>3860162.77</v>
      </c>
      <c r="J79" s="58"/>
    </row>
    <row r="80" spans="1:10" x14ac:dyDescent="0.25">
      <c r="A80" s="53">
        <v>2</v>
      </c>
      <c r="B80" s="54">
        <v>1</v>
      </c>
      <c r="C80" s="54">
        <v>5</v>
      </c>
      <c r="D80" s="54">
        <v>1</v>
      </c>
      <c r="E80" s="55" t="s">
        <v>31</v>
      </c>
      <c r="F80" s="59" t="s">
        <v>86</v>
      </c>
      <c r="G80" s="56">
        <f>'[2]CUENTA T FONDO 100'!AK126</f>
        <v>3860162.77</v>
      </c>
      <c r="H80" s="56">
        <f>'[2]CUENTA T VS'!AK106</f>
        <v>0</v>
      </c>
      <c r="I80" s="56">
        <f t="shared" si="0"/>
        <v>3860162.77</v>
      </c>
      <c r="J80" s="57">
        <f>I80/$I$25</f>
        <v>3.8405805400727383E-2</v>
      </c>
    </row>
    <row r="81" spans="1:10" x14ac:dyDescent="0.25">
      <c r="A81" s="49">
        <v>2</v>
      </c>
      <c r="B81" s="50">
        <v>1</v>
      </c>
      <c r="C81" s="50">
        <v>5</v>
      </c>
      <c r="D81" s="50">
        <v>2</v>
      </c>
      <c r="E81" s="50"/>
      <c r="F81" s="73" t="s">
        <v>87</v>
      </c>
      <c r="G81" s="51">
        <f>SUM(G82)</f>
        <v>3865605.4200000004</v>
      </c>
      <c r="H81" s="51">
        <f>SUM(H82)</f>
        <v>0</v>
      </c>
      <c r="I81" s="51">
        <f t="shared" si="0"/>
        <v>3865605.4200000004</v>
      </c>
      <c r="J81" s="58"/>
    </row>
    <row r="82" spans="1:10" x14ac:dyDescent="0.25">
      <c r="A82" s="53">
        <v>2</v>
      </c>
      <c r="B82" s="54">
        <v>1</v>
      </c>
      <c r="C82" s="54">
        <v>5</v>
      </c>
      <c r="D82" s="54">
        <v>2</v>
      </c>
      <c r="E82" s="55" t="s">
        <v>31</v>
      </c>
      <c r="F82" s="59" t="s">
        <v>87</v>
      </c>
      <c r="G82" s="56">
        <f>'[2]CUENTA T FONDO 100'!AL126</f>
        <v>3865605.4200000004</v>
      </c>
      <c r="H82" s="56">
        <f>'[2]CUENTA T VS'!AL106</f>
        <v>0</v>
      </c>
      <c r="I82" s="56">
        <f t="shared" si="0"/>
        <v>3865605.4200000004</v>
      </c>
      <c r="J82" s="57">
        <f>I82/$I$25</f>
        <v>3.8459955800391556E-2</v>
      </c>
    </row>
    <row r="83" spans="1:10" x14ac:dyDescent="0.25">
      <c r="A83" s="49">
        <v>2</v>
      </c>
      <c r="B83" s="50">
        <v>1</v>
      </c>
      <c r="C83" s="50">
        <v>5</v>
      </c>
      <c r="D83" s="50">
        <v>3</v>
      </c>
      <c r="E83" s="50"/>
      <c r="F83" s="73" t="s">
        <v>88</v>
      </c>
      <c r="G83" s="51">
        <f>SUM(G84)</f>
        <v>652033.92000000004</v>
      </c>
      <c r="H83" s="51">
        <f>SUM(H84)</f>
        <v>0</v>
      </c>
      <c r="I83" s="51">
        <f t="shared" si="0"/>
        <v>652033.92000000004</v>
      </c>
      <c r="J83" s="58"/>
    </row>
    <row r="84" spans="1:10" x14ac:dyDescent="0.25">
      <c r="A84" s="53">
        <v>2</v>
      </c>
      <c r="B84" s="54">
        <v>1</v>
      </c>
      <c r="C84" s="54">
        <v>5</v>
      </c>
      <c r="D84" s="54">
        <v>3</v>
      </c>
      <c r="E84" s="55" t="s">
        <v>31</v>
      </c>
      <c r="F84" s="59" t="s">
        <v>88</v>
      </c>
      <c r="G84" s="56">
        <f>'[2]CUENTA T FONDO 100'!AM126</f>
        <v>652033.92000000004</v>
      </c>
      <c r="H84" s="56">
        <f>'[2]CUENTA T VS'!AM106</f>
        <v>0</v>
      </c>
      <c r="I84" s="56">
        <f t="shared" si="0"/>
        <v>652033.92000000004</v>
      </c>
      <c r="J84" s="57">
        <f>I84/$I$25</f>
        <v>6.487262154023999E-3</v>
      </c>
    </row>
    <row r="85" spans="1:10" x14ac:dyDescent="0.25">
      <c r="A85" s="49">
        <v>2</v>
      </c>
      <c r="B85" s="50">
        <v>1</v>
      </c>
      <c r="C85" s="50">
        <v>5</v>
      </c>
      <c r="D85" s="50">
        <v>4</v>
      </c>
      <c r="E85" s="50"/>
      <c r="F85" s="73" t="s">
        <v>89</v>
      </c>
      <c r="G85" s="51">
        <f>SUM(G86)</f>
        <v>0</v>
      </c>
      <c r="H85" s="51">
        <f>SUM(H86)</f>
        <v>0</v>
      </c>
      <c r="I85" s="51">
        <f t="shared" si="0"/>
        <v>0</v>
      </c>
      <c r="J85" s="58"/>
    </row>
    <row r="86" spans="1:10" x14ac:dyDescent="0.25">
      <c r="A86" s="53">
        <v>2</v>
      </c>
      <c r="B86" s="54">
        <v>1</v>
      </c>
      <c r="C86" s="54">
        <v>5</v>
      </c>
      <c r="D86" s="54">
        <v>4</v>
      </c>
      <c r="E86" s="55" t="s">
        <v>31</v>
      </c>
      <c r="F86" s="59" t="s">
        <v>89</v>
      </c>
      <c r="G86" s="56">
        <f>'[2]CUENTA T FONDO 100'!AN126</f>
        <v>0</v>
      </c>
      <c r="H86" s="56">
        <f>'[2]CUENTA T VS'!AN106</f>
        <v>0</v>
      </c>
      <c r="I86" s="56">
        <f t="shared" si="0"/>
        <v>0</v>
      </c>
      <c r="J86" s="57">
        <f>I86/$I$25</f>
        <v>0</v>
      </c>
    </row>
    <row r="87" spans="1:10" x14ac:dyDescent="0.25">
      <c r="A87" s="60">
        <v>2</v>
      </c>
      <c r="B87" s="63">
        <v>2</v>
      </c>
      <c r="C87" s="47"/>
      <c r="D87" s="47"/>
      <c r="E87" s="47"/>
      <c r="F87" s="66" t="s">
        <v>90</v>
      </c>
      <c r="G87" s="48">
        <f>G88+G106+G111+G116+G125+G148+G157+G179+G208</f>
        <v>1680824.82</v>
      </c>
      <c r="H87" s="48">
        <f>H88+H106+H111+H116+H125+H148+H157+H179+H208</f>
        <v>2044062.5999999999</v>
      </c>
      <c r="I87" s="48">
        <f t="shared" si="0"/>
        <v>3724887.42</v>
      </c>
      <c r="J87" s="45">
        <f>I87/$I$25</f>
        <v>3.705991428753598E-2</v>
      </c>
    </row>
    <row r="88" spans="1:10" x14ac:dyDescent="0.25">
      <c r="A88" s="60">
        <v>2</v>
      </c>
      <c r="B88" s="47">
        <v>2</v>
      </c>
      <c r="C88" s="47">
        <v>1</v>
      </c>
      <c r="D88" s="47"/>
      <c r="E88" s="47"/>
      <c r="F88" s="66" t="s">
        <v>91</v>
      </c>
      <c r="G88" s="48">
        <f>+G89+G91+G93+G95+G97+G99+G102+G104</f>
        <v>60535</v>
      </c>
      <c r="H88" s="48">
        <f>+H89+H91+H93+H95+H97+H99+H102+H104</f>
        <v>1098463.42</v>
      </c>
      <c r="I88" s="48">
        <f t="shared" si="0"/>
        <v>1158998.42</v>
      </c>
      <c r="J88" s="45"/>
    </row>
    <row r="89" spans="1:10" x14ac:dyDescent="0.25">
      <c r="A89" s="61">
        <v>2</v>
      </c>
      <c r="B89" s="50">
        <v>2</v>
      </c>
      <c r="C89" s="50">
        <v>1</v>
      </c>
      <c r="D89" s="50">
        <v>1</v>
      </c>
      <c r="E89" s="50"/>
      <c r="F89" s="87" t="s">
        <v>92</v>
      </c>
      <c r="G89" s="51">
        <f>SUM(G90)</f>
        <v>0</v>
      </c>
      <c r="H89" s="51">
        <f>SUM(H90)</f>
        <v>0</v>
      </c>
      <c r="I89" s="51">
        <f t="shared" ref="I89:I152" si="4">SUM(G89:H89)</f>
        <v>0</v>
      </c>
      <c r="J89" s="58"/>
    </row>
    <row r="90" spans="1:10" x14ac:dyDescent="0.25">
      <c r="A90" s="62">
        <v>2</v>
      </c>
      <c r="B90" s="54">
        <v>2</v>
      </c>
      <c r="C90" s="54">
        <v>1</v>
      </c>
      <c r="D90" s="54">
        <v>1</v>
      </c>
      <c r="E90" s="55" t="s">
        <v>31</v>
      </c>
      <c r="F90" s="67" t="s">
        <v>92</v>
      </c>
      <c r="G90" s="56">
        <f>'[2]CUENTA T FONDO 100'!AO126</f>
        <v>0</v>
      </c>
      <c r="H90" s="56">
        <f>'[2]CUENTA T VS'!AO106</f>
        <v>0</v>
      </c>
      <c r="I90" s="56">
        <f t="shared" si="4"/>
        <v>0</v>
      </c>
      <c r="J90" s="57">
        <f>I90/$I$25</f>
        <v>0</v>
      </c>
    </row>
    <row r="91" spans="1:10" x14ac:dyDescent="0.25">
      <c r="A91" s="61">
        <v>2</v>
      </c>
      <c r="B91" s="50">
        <v>2</v>
      </c>
      <c r="C91" s="50">
        <v>1</v>
      </c>
      <c r="D91" s="50">
        <v>2</v>
      </c>
      <c r="E91" s="50"/>
      <c r="F91" s="87" t="s">
        <v>93</v>
      </c>
      <c r="G91" s="51">
        <f>SUM(G92)</f>
        <v>0</v>
      </c>
      <c r="H91" s="51">
        <f>SUM(H92)</f>
        <v>0</v>
      </c>
      <c r="I91" s="51">
        <f t="shared" si="4"/>
        <v>0</v>
      </c>
      <c r="J91" s="58"/>
    </row>
    <row r="92" spans="1:10" x14ac:dyDescent="0.25">
      <c r="A92" s="62">
        <v>2</v>
      </c>
      <c r="B92" s="54">
        <v>2</v>
      </c>
      <c r="C92" s="54">
        <v>1</v>
      </c>
      <c r="D92" s="54">
        <v>2</v>
      </c>
      <c r="E92" s="55" t="s">
        <v>31</v>
      </c>
      <c r="F92" s="67" t="s">
        <v>93</v>
      </c>
      <c r="G92" s="56">
        <f>'[2]CUENTA T FONDO 100'!AP126</f>
        <v>0</v>
      </c>
      <c r="H92" s="56">
        <f>'[2]CUENTA T VS'!AP106</f>
        <v>0</v>
      </c>
      <c r="I92" s="56">
        <f t="shared" si="4"/>
        <v>0</v>
      </c>
      <c r="J92" s="57">
        <f>I92/$I$25</f>
        <v>0</v>
      </c>
    </row>
    <row r="93" spans="1:10" x14ac:dyDescent="0.25">
      <c r="A93" s="61">
        <v>2</v>
      </c>
      <c r="B93" s="50">
        <v>2</v>
      </c>
      <c r="C93" s="50">
        <v>1</v>
      </c>
      <c r="D93" s="50">
        <v>3</v>
      </c>
      <c r="E93" s="50"/>
      <c r="F93" s="87" t="s">
        <v>94</v>
      </c>
      <c r="G93" s="51">
        <f>SUM(G94)</f>
        <v>0</v>
      </c>
      <c r="H93" s="51">
        <f>SUM(H94)</f>
        <v>209036.41</v>
      </c>
      <c r="I93" s="51">
        <f t="shared" si="4"/>
        <v>209036.41</v>
      </c>
      <c r="J93" s="58"/>
    </row>
    <row r="94" spans="1:10" x14ac:dyDescent="0.25">
      <c r="A94" s="62">
        <v>2</v>
      </c>
      <c r="B94" s="54">
        <v>2</v>
      </c>
      <c r="C94" s="54">
        <v>1</v>
      </c>
      <c r="D94" s="54">
        <v>3</v>
      </c>
      <c r="E94" s="55" t="s">
        <v>31</v>
      </c>
      <c r="F94" s="67" t="s">
        <v>94</v>
      </c>
      <c r="G94" s="56">
        <f>'[2]CUENTA T FONDO 100'!AQ126</f>
        <v>0</v>
      </c>
      <c r="H94" s="56">
        <f>'[2]CUENTA T VS'!AQ106</f>
        <v>209036.41</v>
      </c>
      <c r="I94" s="56">
        <f t="shared" si="4"/>
        <v>209036.41</v>
      </c>
      <c r="J94" s="57">
        <f>I94/$I$25</f>
        <v>2.079759886427448E-3</v>
      </c>
    </row>
    <row r="95" spans="1:10" x14ac:dyDescent="0.25">
      <c r="A95" s="61">
        <v>2</v>
      </c>
      <c r="B95" s="50">
        <v>2</v>
      </c>
      <c r="C95" s="50">
        <v>1</v>
      </c>
      <c r="D95" s="50">
        <v>4</v>
      </c>
      <c r="E95" s="50"/>
      <c r="F95" s="87" t="s">
        <v>95</v>
      </c>
      <c r="G95" s="51">
        <f>SUM(G96)</f>
        <v>0</v>
      </c>
      <c r="H95" s="51">
        <f>SUM(H96)</f>
        <v>0</v>
      </c>
      <c r="I95" s="51">
        <f t="shared" si="4"/>
        <v>0</v>
      </c>
      <c r="J95" s="58"/>
    </row>
    <row r="96" spans="1:10" x14ac:dyDescent="0.25">
      <c r="A96" s="62">
        <v>2</v>
      </c>
      <c r="B96" s="54">
        <v>2</v>
      </c>
      <c r="C96" s="54">
        <v>1</v>
      </c>
      <c r="D96" s="54">
        <v>4</v>
      </c>
      <c r="E96" s="55" t="s">
        <v>31</v>
      </c>
      <c r="F96" s="67" t="s">
        <v>95</v>
      </c>
      <c r="G96" s="56">
        <f>'[2]CUENTA T FONDO 100'!AR126</f>
        <v>0</v>
      </c>
      <c r="H96" s="56">
        <f>'[2]CUENTA T VS'!AR106</f>
        <v>0</v>
      </c>
      <c r="I96" s="56">
        <f t="shared" si="4"/>
        <v>0</v>
      </c>
      <c r="J96" s="57">
        <f>I96/$I$25</f>
        <v>0</v>
      </c>
    </row>
    <row r="97" spans="1:10" x14ac:dyDescent="0.25">
      <c r="A97" s="61">
        <v>2</v>
      </c>
      <c r="B97" s="50">
        <v>2</v>
      </c>
      <c r="C97" s="50">
        <v>1</v>
      </c>
      <c r="D97" s="50">
        <v>5</v>
      </c>
      <c r="E97" s="50"/>
      <c r="F97" s="87" t="s">
        <v>96</v>
      </c>
      <c r="G97" s="51">
        <f>SUM(G98)</f>
        <v>0</v>
      </c>
      <c r="H97" s="51">
        <f>SUM(H98)</f>
        <v>104427.01</v>
      </c>
      <c r="I97" s="51">
        <f t="shared" si="4"/>
        <v>104427.01</v>
      </c>
      <c r="J97" s="58"/>
    </row>
    <row r="98" spans="1:10" x14ac:dyDescent="0.25">
      <c r="A98" s="62">
        <v>2</v>
      </c>
      <c r="B98" s="54">
        <v>2</v>
      </c>
      <c r="C98" s="54">
        <v>1</v>
      </c>
      <c r="D98" s="54">
        <v>5</v>
      </c>
      <c r="E98" s="55" t="s">
        <v>31</v>
      </c>
      <c r="F98" s="67" t="s">
        <v>96</v>
      </c>
      <c r="G98" s="56">
        <f>'[2]CUENTA T FONDO 100'!AS126</f>
        <v>0</v>
      </c>
      <c r="H98" s="56">
        <f>'[2]CUENTA T VS'!AS106</f>
        <v>104427.01</v>
      </c>
      <c r="I98" s="56">
        <f t="shared" si="4"/>
        <v>104427.01</v>
      </c>
      <c r="J98" s="57">
        <f>I98/$I$25</f>
        <v>1.0389726194472914E-3</v>
      </c>
    </row>
    <row r="99" spans="1:10" x14ac:dyDescent="0.25">
      <c r="A99" s="61">
        <v>2</v>
      </c>
      <c r="B99" s="50">
        <v>2</v>
      </c>
      <c r="C99" s="50">
        <v>1</v>
      </c>
      <c r="D99" s="50">
        <v>6</v>
      </c>
      <c r="E99" s="50"/>
      <c r="F99" s="87" t="s">
        <v>97</v>
      </c>
      <c r="G99" s="51">
        <f>SUM(G100:G101)</f>
        <v>0</v>
      </c>
      <c r="H99" s="51">
        <f>SUM(H100:H101)</f>
        <v>0</v>
      </c>
      <c r="I99" s="51">
        <f t="shared" si="4"/>
        <v>0</v>
      </c>
      <c r="J99" s="58"/>
    </row>
    <row r="100" spans="1:10" x14ac:dyDescent="0.25">
      <c r="A100" s="62">
        <v>2</v>
      </c>
      <c r="B100" s="54">
        <v>2</v>
      </c>
      <c r="C100" s="54">
        <v>1</v>
      </c>
      <c r="D100" s="54">
        <v>6</v>
      </c>
      <c r="E100" s="55" t="s">
        <v>31</v>
      </c>
      <c r="F100" s="67" t="s">
        <v>98</v>
      </c>
      <c r="G100" s="56">
        <f>'[2]CUENTA T FONDO 100'!AT126</f>
        <v>0</v>
      </c>
      <c r="H100" s="56">
        <f>'[2]CUENTA T VS'!AT106</f>
        <v>0</v>
      </c>
      <c r="I100" s="56">
        <f t="shared" si="4"/>
        <v>0</v>
      </c>
      <c r="J100" s="57">
        <f>I100/$I$25</f>
        <v>0</v>
      </c>
    </row>
    <row r="101" spans="1:10" x14ac:dyDescent="0.25">
      <c r="A101" s="62">
        <v>2</v>
      </c>
      <c r="B101" s="54">
        <v>2</v>
      </c>
      <c r="C101" s="54">
        <v>1</v>
      </c>
      <c r="D101" s="54">
        <v>6</v>
      </c>
      <c r="E101" s="55" t="s">
        <v>33</v>
      </c>
      <c r="F101" s="67" t="s">
        <v>99</v>
      </c>
      <c r="G101" s="56">
        <f>'[2]CUENTA T FONDO 100'!AU126</f>
        <v>0</v>
      </c>
      <c r="H101" s="56">
        <f>'[2]CUENTA T VS'!AU106</f>
        <v>0</v>
      </c>
      <c r="I101" s="56">
        <f t="shared" si="4"/>
        <v>0</v>
      </c>
      <c r="J101" s="57">
        <f>I101/$I$25</f>
        <v>0</v>
      </c>
    </row>
    <row r="102" spans="1:10" x14ac:dyDescent="0.25">
      <c r="A102" s="61">
        <v>2</v>
      </c>
      <c r="B102" s="50">
        <v>2</v>
      </c>
      <c r="C102" s="50">
        <v>1</v>
      </c>
      <c r="D102" s="50">
        <v>7</v>
      </c>
      <c r="E102" s="50"/>
      <c r="F102" s="87" t="s">
        <v>100</v>
      </c>
      <c r="G102" s="51">
        <f>SUM(G103)</f>
        <v>60535</v>
      </c>
      <c r="H102" s="51">
        <f>SUM(H103)</f>
        <v>0</v>
      </c>
      <c r="I102" s="51">
        <f t="shared" si="4"/>
        <v>60535</v>
      </c>
      <c r="J102" s="58"/>
    </row>
    <row r="103" spans="1:10" x14ac:dyDescent="0.25">
      <c r="A103" s="62">
        <v>2</v>
      </c>
      <c r="B103" s="54">
        <v>2</v>
      </c>
      <c r="C103" s="54">
        <v>1</v>
      </c>
      <c r="D103" s="54">
        <v>7</v>
      </c>
      <c r="E103" s="55" t="s">
        <v>31</v>
      </c>
      <c r="F103" s="67" t="s">
        <v>100</v>
      </c>
      <c r="G103" s="56">
        <f>'[2]CUENTA T FONDO 100'!AV126</f>
        <v>60535</v>
      </c>
      <c r="H103" s="56">
        <f>'[2]CUENTA T VS'!AV106</f>
        <v>0</v>
      </c>
      <c r="I103" s="56">
        <f t="shared" si="4"/>
        <v>60535</v>
      </c>
      <c r="J103" s="57">
        <f>I103/$I$25</f>
        <v>6.0227911838366132E-4</v>
      </c>
    </row>
    <row r="104" spans="1:10" x14ac:dyDescent="0.25">
      <c r="A104" s="61">
        <v>2</v>
      </c>
      <c r="B104" s="50">
        <v>2</v>
      </c>
      <c r="C104" s="50">
        <v>1</v>
      </c>
      <c r="D104" s="50">
        <v>8</v>
      </c>
      <c r="E104" s="50"/>
      <c r="F104" s="87" t="s">
        <v>101</v>
      </c>
      <c r="G104" s="51">
        <f>SUM(G105)</f>
        <v>0</v>
      </c>
      <c r="H104" s="51">
        <f>SUM(H105)</f>
        <v>785000</v>
      </c>
      <c r="I104" s="51">
        <f t="shared" si="4"/>
        <v>785000</v>
      </c>
      <c r="J104" s="58"/>
    </row>
    <row r="105" spans="1:10" x14ac:dyDescent="0.25">
      <c r="A105" s="62">
        <v>2</v>
      </c>
      <c r="B105" s="54">
        <v>2</v>
      </c>
      <c r="C105" s="54">
        <v>1</v>
      </c>
      <c r="D105" s="54">
        <v>8</v>
      </c>
      <c r="E105" s="55" t="s">
        <v>31</v>
      </c>
      <c r="F105" s="67" t="s">
        <v>101</v>
      </c>
      <c r="G105" s="56">
        <f>'[2]CUENTA T FONDO 100'!AW126</f>
        <v>0</v>
      </c>
      <c r="H105" s="56">
        <f>'[2]CUENTA T VS'!AW106</f>
        <v>785000</v>
      </c>
      <c r="I105" s="56">
        <f t="shared" si="4"/>
        <v>785000</v>
      </c>
      <c r="J105" s="57">
        <f>I105/$I$25</f>
        <v>7.8101777142343129E-3</v>
      </c>
    </row>
    <row r="106" spans="1:10" x14ac:dyDescent="0.25">
      <c r="A106" s="60">
        <v>2</v>
      </c>
      <c r="B106" s="47">
        <v>2</v>
      </c>
      <c r="C106" s="47">
        <v>2</v>
      </c>
      <c r="D106" s="47"/>
      <c r="E106" s="47"/>
      <c r="F106" s="66" t="s">
        <v>102</v>
      </c>
      <c r="G106" s="48">
        <f>+G107+G109</f>
        <v>32889.839999999997</v>
      </c>
      <c r="H106" s="48">
        <f>+H107+H109</f>
        <v>0</v>
      </c>
      <c r="I106" s="48">
        <f t="shared" si="4"/>
        <v>32889.839999999997</v>
      </c>
      <c r="J106" s="45"/>
    </row>
    <row r="107" spans="1:10" x14ac:dyDescent="0.25">
      <c r="A107" s="61">
        <v>2</v>
      </c>
      <c r="B107" s="50">
        <v>2</v>
      </c>
      <c r="C107" s="50">
        <v>2</v>
      </c>
      <c r="D107" s="50">
        <v>1</v>
      </c>
      <c r="E107" s="50"/>
      <c r="F107" s="87" t="s">
        <v>103</v>
      </c>
      <c r="G107" s="51">
        <f>SUM(G108)</f>
        <v>0</v>
      </c>
      <c r="H107" s="51">
        <f>SUM(H108)</f>
        <v>0</v>
      </c>
      <c r="I107" s="51">
        <f t="shared" si="4"/>
        <v>0</v>
      </c>
      <c r="J107" s="58"/>
    </row>
    <row r="108" spans="1:10" x14ac:dyDescent="0.25">
      <c r="A108" s="62">
        <v>2</v>
      </c>
      <c r="B108" s="54">
        <v>2</v>
      </c>
      <c r="C108" s="54">
        <v>2</v>
      </c>
      <c r="D108" s="54">
        <v>1</v>
      </c>
      <c r="E108" s="55" t="s">
        <v>31</v>
      </c>
      <c r="F108" s="67" t="s">
        <v>103</v>
      </c>
      <c r="G108" s="56">
        <f>'[2]CUENTA T FONDO 100'!AX126</f>
        <v>0</v>
      </c>
      <c r="H108" s="56">
        <f>'[2]CUENTA T VS'!AX106</f>
        <v>0</v>
      </c>
      <c r="I108" s="56">
        <f t="shared" si="4"/>
        <v>0</v>
      </c>
      <c r="J108" s="57">
        <f>I108/$I$25</f>
        <v>0</v>
      </c>
    </row>
    <row r="109" spans="1:10" x14ac:dyDescent="0.25">
      <c r="A109" s="61">
        <v>2</v>
      </c>
      <c r="B109" s="50">
        <v>2</v>
      </c>
      <c r="C109" s="50">
        <v>2</v>
      </c>
      <c r="D109" s="50">
        <v>2</v>
      </c>
      <c r="E109" s="50"/>
      <c r="F109" s="87" t="s">
        <v>104</v>
      </c>
      <c r="G109" s="51">
        <f>SUM(G110)</f>
        <v>32889.839999999997</v>
      </c>
      <c r="H109" s="51">
        <f>SUM(H110)</f>
        <v>0</v>
      </c>
      <c r="I109" s="51">
        <f t="shared" si="4"/>
        <v>32889.839999999997</v>
      </c>
      <c r="J109" s="58"/>
    </row>
    <row r="110" spans="1:10" x14ac:dyDescent="0.25">
      <c r="A110" s="62">
        <v>2</v>
      </c>
      <c r="B110" s="54">
        <v>2</v>
      </c>
      <c r="C110" s="54">
        <v>2</v>
      </c>
      <c r="D110" s="54">
        <v>2</v>
      </c>
      <c r="E110" s="55" t="s">
        <v>31</v>
      </c>
      <c r="F110" s="67" t="s">
        <v>104</v>
      </c>
      <c r="G110" s="56">
        <f>'[2]CUENTA T FONDO 100'!AY126</f>
        <v>32889.839999999997</v>
      </c>
      <c r="H110" s="56">
        <f>'[2]CUENTA T VS'!AY106</f>
        <v>0</v>
      </c>
      <c r="I110" s="56">
        <f t="shared" si="4"/>
        <v>32889.839999999997</v>
      </c>
      <c r="J110" s="57">
        <f>I110/$I$25</f>
        <v>3.2722993043660158E-4</v>
      </c>
    </row>
    <row r="111" spans="1:10" x14ac:dyDescent="0.25">
      <c r="A111" s="60">
        <v>2</v>
      </c>
      <c r="B111" s="47">
        <v>2</v>
      </c>
      <c r="C111" s="47">
        <v>3</v>
      </c>
      <c r="D111" s="47"/>
      <c r="E111" s="47"/>
      <c r="F111" s="66" t="s">
        <v>105</v>
      </c>
      <c r="G111" s="48">
        <f>+G112+G114</f>
        <v>0</v>
      </c>
      <c r="H111" s="48">
        <f>+H112+H114</f>
        <v>0</v>
      </c>
      <c r="I111" s="48">
        <f t="shared" si="4"/>
        <v>0</v>
      </c>
      <c r="J111" s="45"/>
    </row>
    <row r="112" spans="1:10" x14ac:dyDescent="0.25">
      <c r="A112" s="61">
        <v>2</v>
      </c>
      <c r="B112" s="50">
        <v>2</v>
      </c>
      <c r="C112" s="50">
        <v>3</v>
      </c>
      <c r="D112" s="50">
        <v>1</v>
      </c>
      <c r="E112" s="50"/>
      <c r="F112" s="87" t="s">
        <v>106</v>
      </c>
      <c r="G112" s="51">
        <f>SUM(G113)</f>
        <v>0</v>
      </c>
      <c r="H112" s="51">
        <f>SUM(H113)</f>
        <v>0</v>
      </c>
      <c r="I112" s="51">
        <f t="shared" si="4"/>
        <v>0</v>
      </c>
      <c r="J112" s="58"/>
    </row>
    <row r="113" spans="1:10" x14ac:dyDescent="0.25">
      <c r="A113" s="62">
        <v>2</v>
      </c>
      <c r="B113" s="54">
        <v>2</v>
      </c>
      <c r="C113" s="54">
        <v>3</v>
      </c>
      <c r="D113" s="54">
        <v>1</v>
      </c>
      <c r="E113" s="55" t="s">
        <v>31</v>
      </c>
      <c r="F113" s="67" t="s">
        <v>106</v>
      </c>
      <c r="G113" s="56">
        <f>'[2]CUENTA T FONDO 100'!AZ126</f>
        <v>0</v>
      </c>
      <c r="H113" s="56">
        <f>'[2]CUENTA T VS'!AZ106</f>
        <v>0</v>
      </c>
      <c r="I113" s="56">
        <f t="shared" si="4"/>
        <v>0</v>
      </c>
      <c r="J113" s="57">
        <f>I113/$I$25</f>
        <v>0</v>
      </c>
    </row>
    <row r="114" spans="1:10" x14ac:dyDescent="0.25">
      <c r="A114" s="61">
        <v>2</v>
      </c>
      <c r="B114" s="50">
        <v>2</v>
      </c>
      <c r="C114" s="50">
        <v>3</v>
      </c>
      <c r="D114" s="50">
        <v>2</v>
      </c>
      <c r="E114" s="50"/>
      <c r="F114" s="87" t="s">
        <v>107</v>
      </c>
      <c r="G114" s="51">
        <f>SUM(G115)</f>
        <v>0</v>
      </c>
      <c r="H114" s="51">
        <f>SUM(H115)</f>
        <v>0</v>
      </c>
      <c r="I114" s="51">
        <f t="shared" si="4"/>
        <v>0</v>
      </c>
      <c r="J114" s="58"/>
    </row>
    <row r="115" spans="1:10" x14ac:dyDescent="0.25">
      <c r="A115" s="62">
        <v>2</v>
      </c>
      <c r="B115" s="54">
        <v>2</v>
      </c>
      <c r="C115" s="54">
        <v>3</v>
      </c>
      <c r="D115" s="54">
        <v>2</v>
      </c>
      <c r="E115" s="55" t="s">
        <v>31</v>
      </c>
      <c r="F115" s="67" t="s">
        <v>107</v>
      </c>
      <c r="G115" s="56">
        <f>'[2]CUENTA T FONDO 100'!BA126</f>
        <v>0</v>
      </c>
      <c r="H115" s="56">
        <f>'[2]CUENTA T VS'!BA106</f>
        <v>0</v>
      </c>
      <c r="I115" s="56">
        <f t="shared" si="4"/>
        <v>0</v>
      </c>
      <c r="J115" s="57">
        <f>I115/$I$25</f>
        <v>0</v>
      </c>
    </row>
    <row r="116" spans="1:10" x14ac:dyDescent="0.25">
      <c r="A116" s="60">
        <v>2</v>
      </c>
      <c r="B116" s="47">
        <v>2</v>
      </c>
      <c r="C116" s="47">
        <v>4</v>
      </c>
      <c r="D116" s="47"/>
      <c r="E116" s="47"/>
      <c r="F116" s="66" t="s">
        <v>108</v>
      </c>
      <c r="G116" s="48">
        <f>+G117+G119+G121+G123</f>
        <v>0</v>
      </c>
      <c r="H116" s="48">
        <f>+H117+H119+H121+H123</f>
        <v>76000</v>
      </c>
      <c r="I116" s="48">
        <f t="shared" si="4"/>
        <v>76000</v>
      </c>
      <c r="J116" s="45"/>
    </row>
    <row r="117" spans="1:10" x14ac:dyDescent="0.25">
      <c r="A117" s="61">
        <v>2</v>
      </c>
      <c r="B117" s="50">
        <v>2</v>
      </c>
      <c r="C117" s="50">
        <v>4</v>
      </c>
      <c r="D117" s="50">
        <v>1</v>
      </c>
      <c r="E117" s="50"/>
      <c r="F117" s="87" t="s">
        <v>109</v>
      </c>
      <c r="G117" s="51">
        <f>SUM(G118)</f>
        <v>0</v>
      </c>
      <c r="H117" s="51">
        <f>SUM(H118)</f>
        <v>20000</v>
      </c>
      <c r="I117" s="51">
        <f t="shared" si="4"/>
        <v>20000</v>
      </c>
      <c r="J117" s="58"/>
    </row>
    <row r="118" spans="1:10" x14ac:dyDescent="0.25">
      <c r="A118" s="62">
        <v>2</v>
      </c>
      <c r="B118" s="54">
        <v>2</v>
      </c>
      <c r="C118" s="54">
        <v>4</v>
      </c>
      <c r="D118" s="54">
        <v>1</v>
      </c>
      <c r="E118" s="55" t="s">
        <v>31</v>
      </c>
      <c r="F118" s="67" t="s">
        <v>109</v>
      </c>
      <c r="G118" s="56">
        <f>'[2]CUENTA T FONDO 100'!BB126</f>
        <v>0</v>
      </c>
      <c r="H118" s="56">
        <f>'[2]CUENTA T VS'!BB106</f>
        <v>20000</v>
      </c>
      <c r="I118" s="56">
        <f t="shared" si="4"/>
        <v>20000</v>
      </c>
      <c r="J118" s="57">
        <f>I118/$I$25</f>
        <v>1.989854194709379E-4</v>
      </c>
    </row>
    <row r="119" spans="1:10" x14ac:dyDescent="0.25">
      <c r="A119" s="61">
        <v>2</v>
      </c>
      <c r="B119" s="50">
        <v>2</v>
      </c>
      <c r="C119" s="50">
        <v>4</v>
      </c>
      <c r="D119" s="50">
        <v>2</v>
      </c>
      <c r="E119" s="50"/>
      <c r="F119" s="87" t="s">
        <v>110</v>
      </c>
      <c r="G119" s="51">
        <f>SUM(G120)</f>
        <v>0</v>
      </c>
      <c r="H119" s="51">
        <f>SUM(H120)</f>
        <v>56000</v>
      </c>
      <c r="I119" s="51">
        <f t="shared" si="4"/>
        <v>56000</v>
      </c>
      <c r="J119" s="58"/>
    </row>
    <row r="120" spans="1:10" x14ac:dyDescent="0.25">
      <c r="A120" s="62">
        <v>2</v>
      </c>
      <c r="B120" s="54">
        <v>2</v>
      </c>
      <c r="C120" s="54">
        <v>4</v>
      </c>
      <c r="D120" s="54">
        <v>2</v>
      </c>
      <c r="E120" s="55" t="s">
        <v>31</v>
      </c>
      <c r="F120" s="67" t="s">
        <v>110</v>
      </c>
      <c r="G120" s="56">
        <f>'[2]CUENTA T FONDO 100'!BC126</f>
        <v>0</v>
      </c>
      <c r="H120" s="56">
        <f>'[2]CUENTA T VS'!BC106</f>
        <v>56000</v>
      </c>
      <c r="I120" s="56">
        <f t="shared" si="4"/>
        <v>56000</v>
      </c>
      <c r="J120" s="57">
        <f>I120/$I$25</f>
        <v>5.5715917451862611E-4</v>
      </c>
    </row>
    <row r="121" spans="1:10" x14ac:dyDescent="0.25">
      <c r="A121" s="61">
        <v>2</v>
      </c>
      <c r="B121" s="50">
        <v>2</v>
      </c>
      <c r="C121" s="50">
        <v>4</v>
      </c>
      <c r="D121" s="50">
        <v>3</v>
      </c>
      <c r="E121" s="50"/>
      <c r="F121" s="87" t="s">
        <v>111</v>
      </c>
      <c r="G121" s="51">
        <f>SUM(G122)</f>
        <v>0</v>
      </c>
      <c r="H121" s="51">
        <f>SUM(H122)</f>
        <v>0</v>
      </c>
      <c r="I121" s="51">
        <f t="shared" si="4"/>
        <v>0</v>
      </c>
      <c r="J121" s="58"/>
    </row>
    <row r="122" spans="1:10" x14ac:dyDescent="0.25">
      <c r="A122" s="62">
        <v>2</v>
      </c>
      <c r="B122" s="54">
        <v>2</v>
      </c>
      <c r="C122" s="54">
        <v>4</v>
      </c>
      <c r="D122" s="54">
        <v>3</v>
      </c>
      <c r="E122" s="55" t="s">
        <v>31</v>
      </c>
      <c r="F122" s="67" t="s">
        <v>111</v>
      </c>
      <c r="G122" s="56">
        <f>'[2]CUENTA T FONDO 100'!BD126</f>
        <v>0</v>
      </c>
      <c r="H122" s="56">
        <f>'[2]CUENTA T VS'!BD106</f>
        <v>0</v>
      </c>
      <c r="I122" s="56">
        <f t="shared" si="4"/>
        <v>0</v>
      </c>
      <c r="J122" s="57">
        <f>I122/$I$25</f>
        <v>0</v>
      </c>
    </row>
    <row r="123" spans="1:10" x14ac:dyDescent="0.25">
      <c r="A123" s="61">
        <v>2</v>
      </c>
      <c r="B123" s="50">
        <v>2</v>
      </c>
      <c r="C123" s="50">
        <v>4</v>
      </c>
      <c r="D123" s="50">
        <v>4</v>
      </c>
      <c r="E123" s="50"/>
      <c r="F123" s="87" t="s">
        <v>112</v>
      </c>
      <c r="G123" s="51">
        <f>SUM(G124)</f>
        <v>0</v>
      </c>
      <c r="H123" s="51">
        <f>SUM(H124)</f>
        <v>0</v>
      </c>
      <c r="I123" s="51">
        <f t="shared" si="4"/>
        <v>0</v>
      </c>
      <c r="J123" s="58"/>
    </row>
    <row r="124" spans="1:10" x14ac:dyDescent="0.25">
      <c r="A124" s="62">
        <v>2</v>
      </c>
      <c r="B124" s="54">
        <v>2</v>
      </c>
      <c r="C124" s="54">
        <v>4</v>
      </c>
      <c r="D124" s="54">
        <v>4</v>
      </c>
      <c r="E124" s="55" t="s">
        <v>31</v>
      </c>
      <c r="F124" s="67" t="s">
        <v>112</v>
      </c>
      <c r="G124" s="56">
        <f>'[2]CUENTA T FONDO 100'!BE126</f>
        <v>0</v>
      </c>
      <c r="H124" s="56">
        <f>'[2]CUENTA T VS'!BE106</f>
        <v>0</v>
      </c>
      <c r="I124" s="56">
        <f t="shared" si="4"/>
        <v>0</v>
      </c>
      <c r="J124" s="57">
        <f>I124/$I$25</f>
        <v>0</v>
      </c>
    </row>
    <row r="125" spans="1:10" x14ac:dyDescent="0.25">
      <c r="A125" s="46">
        <v>2</v>
      </c>
      <c r="B125" s="47">
        <v>2</v>
      </c>
      <c r="C125" s="47">
        <v>5</v>
      </c>
      <c r="D125" s="47"/>
      <c r="E125" s="47"/>
      <c r="F125" s="66" t="s">
        <v>113</v>
      </c>
      <c r="G125" s="48">
        <f>+G126+G128+G130+G136+G138+G140+G142+G144+G146</f>
        <v>0</v>
      </c>
      <c r="H125" s="48">
        <f t="shared" ref="H125" si="5">+H126+H128+H130+H136+H138+H140+H142+H144+H146</f>
        <v>529650.64</v>
      </c>
      <c r="I125" s="48">
        <f t="shared" si="4"/>
        <v>529650.64</v>
      </c>
      <c r="J125" s="45"/>
    </row>
    <row r="126" spans="1:10" x14ac:dyDescent="0.25">
      <c r="A126" s="61">
        <v>2</v>
      </c>
      <c r="B126" s="50">
        <v>2</v>
      </c>
      <c r="C126" s="50">
        <v>5</v>
      </c>
      <c r="D126" s="50">
        <v>1</v>
      </c>
      <c r="E126" s="64"/>
      <c r="F126" s="87" t="s">
        <v>114</v>
      </c>
      <c r="G126" s="51">
        <f>SUM(G127)</f>
        <v>0</v>
      </c>
      <c r="H126" s="51">
        <f>SUM(H127)</f>
        <v>0</v>
      </c>
      <c r="I126" s="51">
        <f t="shared" si="4"/>
        <v>0</v>
      </c>
      <c r="J126" s="58"/>
    </row>
    <row r="127" spans="1:10" x14ac:dyDescent="0.25">
      <c r="A127" s="62">
        <v>2</v>
      </c>
      <c r="B127" s="54">
        <v>2</v>
      </c>
      <c r="C127" s="54">
        <v>5</v>
      </c>
      <c r="D127" s="54">
        <v>1</v>
      </c>
      <c r="E127" s="55" t="s">
        <v>31</v>
      </c>
      <c r="F127" s="67" t="s">
        <v>114</v>
      </c>
      <c r="G127" s="56">
        <f>'[2]CUENTA T FONDO 100'!BF126</f>
        <v>0</v>
      </c>
      <c r="H127" s="56">
        <f>'[2]CUENTA T VS'!BF106</f>
        <v>0</v>
      </c>
      <c r="I127" s="56">
        <f t="shared" si="4"/>
        <v>0</v>
      </c>
      <c r="J127" s="57">
        <f>I127/$I$25</f>
        <v>0</v>
      </c>
    </row>
    <row r="128" spans="1:10" x14ac:dyDescent="0.25">
      <c r="A128" s="61">
        <v>2</v>
      </c>
      <c r="B128" s="50">
        <v>2</v>
      </c>
      <c r="C128" s="50">
        <v>5</v>
      </c>
      <c r="D128" s="50">
        <v>2</v>
      </c>
      <c r="E128" s="64"/>
      <c r="F128" s="87" t="s">
        <v>115</v>
      </c>
      <c r="G128" s="51">
        <f>SUM(G129)</f>
        <v>0</v>
      </c>
      <c r="H128" s="51">
        <f>SUM(H129)</f>
        <v>0</v>
      </c>
      <c r="I128" s="51">
        <f t="shared" si="4"/>
        <v>0</v>
      </c>
      <c r="J128" s="58"/>
    </row>
    <row r="129" spans="1:10" x14ac:dyDescent="0.25">
      <c r="A129" s="62">
        <v>2</v>
      </c>
      <c r="B129" s="54">
        <v>2</v>
      </c>
      <c r="C129" s="54">
        <v>5</v>
      </c>
      <c r="D129" s="54">
        <v>2</v>
      </c>
      <c r="E129" s="55" t="s">
        <v>31</v>
      </c>
      <c r="F129" s="67" t="s">
        <v>116</v>
      </c>
      <c r="G129" s="56">
        <f>'[2]CUENTA T FONDO 100'!BG126</f>
        <v>0</v>
      </c>
      <c r="H129" s="56">
        <f>'[2]CUENTA T VS'!BG106</f>
        <v>0</v>
      </c>
      <c r="I129" s="56">
        <f t="shared" si="4"/>
        <v>0</v>
      </c>
      <c r="J129" s="57">
        <f>I129/$I$25</f>
        <v>0</v>
      </c>
    </row>
    <row r="130" spans="1:10" x14ac:dyDescent="0.25">
      <c r="A130" s="61">
        <v>2</v>
      </c>
      <c r="B130" s="50">
        <v>2</v>
      </c>
      <c r="C130" s="50">
        <v>5</v>
      </c>
      <c r="D130" s="50">
        <v>3</v>
      </c>
      <c r="E130" s="64"/>
      <c r="F130" s="87" t="s">
        <v>117</v>
      </c>
      <c r="G130" s="51">
        <f>SUM(G131:G135)</f>
        <v>0</v>
      </c>
      <c r="H130" s="51">
        <f>SUM(H131:H135)</f>
        <v>476550.64</v>
      </c>
      <c r="I130" s="51">
        <f t="shared" si="4"/>
        <v>476550.64</v>
      </c>
      <c r="J130" s="58"/>
    </row>
    <row r="131" spans="1:10" x14ac:dyDescent="0.25">
      <c r="A131" s="62">
        <v>2</v>
      </c>
      <c r="B131" s="54">
        <v>2</v>
      </c>
      <c r="C131" s="54">
        <v>5</v>
      </c>
      <c r="D131" s="54">
        <v>3</v>
      </c>
      <c r="E131" s="55" t="s">
        <v>31</v>
      </c>
      <c r="F131" s="67" t="s">
        <v>118</v>
      </c>
      <c r="G131" s="56">
        <f>'[2]CUENTA T FONDO 100'!BH126</f>
        <v>0</v>
      </c>
      <c r="H131" s="56">
        <f>'[2]CUENTA T VS'!BH106</f>
        <v>0</v>
      </c>
      <c r="I131" s="56">
        <f t="shared" si="4"/>
        <v>0</v>
      </c>
      <c r="J131" s="57">
        <f>I131/$I$25</f>
        <v>0</v>
      </c>
    </row>
    <row r="132" spans="1:10" x14ac:dyDescent="0.25">
      <c r="A132" s="62">
        <v>2</v>
      </c>
      <c r="B132" s="54">
        <v>2</v>
      </c>
      <c r="C132" s="54">
        <v>5</v>
      </c>
      <c r="D132" s="54">
        <v>3</v>
      </c>
      <c r="E132" s="55" t="s">
        <v>33</v>
      </c>
      <c r="F132" s="67" t="s">
        <v>119</v>
      </c>
      <c r="G132" s="56">
        <f>'[2]CUENTA T FONDO 100'!BI126</f>
        <v>0</v>
      </c>
      <c r="H132" s="56">
        <f>'[2]CUENTA T VS'!BI106</f>
        <v>476550.64</v>
      </c>
      <c r="I132" s="56">
        <f t="shared" si="4"/>
        <v>476550.64</v>
      </c>
      <c r="J132" s="57">
        <f>I132/$I$25</f>
        <v>4.7413314499771958E-3</v>
      </c>
    </row>
    <row r="133" spans="1:10" x14ac:dyDescent="0.25">
      <c r="A133" s="62">
        <v>2</v>
      </c>
      <c r="B133" s="54">
        <v>2</v>
      </c>
      <c r="C133" s="54">
        <v>5</v>
      </c>
      <c r="D133" s="54">
        <v>3</v>
      </c>
      <c r="E133" s="55" t="s">
        <v>35</v>
      </c>
      <c r="F133" s="67" t="s">
        <v>120</v>
      </c>
      <c r="G133" s="56">
        <f>'[2]CUENTA T FONDO 100'!BJ126</f>
        <v>0</v>
      </c>
      <c r="H133" s="56">
        <f>'[2]CUENTA T VS'!BJ106</f>
        <v>0</v>
      </c>
      <c r="I133" s="56">
        <f t="shared" si="4"/>
        <v>0</v>
      </c>
      <c r="J133" s="57">
        <f>I133/$I$25</f>
        <v>0</v>
      </c>
    </row>
    <row r="134" spans="1:10" x14ac:dyDescent="0.25">
      <c r="A134" s="62">
        <v>2</v>
      </c>
      <c r="B134" s="54">
        <v>2</v>
      </c>
      <c r="C134" s="54">
        <v>5</v>
      </c>
      <c r="D134" s="54">
        <v>3</v>
      </c>
      <c r="E134" s="55" t="s">
        <v>37</v>
      </c>
      <c r="F134" s="67" t="s">
        <v>121</v>
      </c>
      <c r="G134" s="56">
        <f>'[2]CUENTA T FONDO 100'!BK126</f>
        <v>0</v>
      </c>
      <c r="H134" s="56">
        <f>'[2]CUENTA T VS'!BK106</f>
        <v>0</v>
      </c>
      <c r="I134" s="56">
        <f t="shared" si="4"/>
        <v>0</v>
      </c>
      <c r="J134" s="57">
        <f>I134/$I$25</f>
        <v>0</v>
      </c>
    </row>
    <row r="135" spans="1:10" x14ac:dyDescent="0.25">
      <c r="A135" s="62">
        <v>2</v>
      </c>
      <c r="B135" s="54">
        <v>2</v>
      </c>
      <c r="C135" s="54">
        <v>5</v>
      </c>
      <c r="D135" s="54">
        <v>3</v>
      </c>
      <c r="E135" s="55" t="s">
        <v>39</v>
      </c>
      <c r="F135" s="67" t="s">
        <v>122</v>
      </c>
      <c r="G135" s="56">
        <f>'[2]CUENTA T FONDO 100'!BL126</f>
        <v>0</v>
      </c>
      <c r="H135" s="56">
        <f>'[2]CUENTA T VS'!BL106</f>
        <v>0</v>
      </c>
      <c r="I135" s="56">
        <f t="shared" si="4"/>
        <v>0</v>
      </c>
      <c r="J135" s="57">
        <f>I135/$I$25</f>
        <v>0</v>
      </c>
    </row>
    <row r="136" spans="1:10" x14ac:dyDescent="0.25">
      <c r="A136" s="61">
        <v>2</v>
      </c>
      <c r="B136" s="50">
        <v>2</v>
      </c>
      <c r="C136" s="50">
        <v>5</v>
      </c>
      <c r="D136" s="50">
        <v>4</v>
      </c>
      <c r="E136" s="64"/>
      <c r="F136" s="87" t="s">
        <v>123</v>
      </c>
      <c r="G136" s="51">
        <f>SUM(G137)</f>
        <v>0</v>
      </c>
      <c r="H136" s="51">
        <f>SUM(H137)</f>
        <v>0</v>
      </c>
      <c r="I136" s="51">
        <f t="shared" si="4"/>
        <v>0</v>
      </c>
      <c r="J136" s="58"/>
    </row>
    <row r="137" spans="1:10" x14ac:dyDescent="0.25">
      <c r="A137" s="62">
        <v>2</v>
      </c>
      <c r="B137" s="54">
        <v>2</v>
      </c>
      <c r="C137" s="54">
        <v>5</v>
      </c>
      <c r="D137" s="54">
        <v>4</v>
      </c>
      <c r="E137" s="55" t="s">
        <v>31</v>
      </c>
      <c r="F137" s="67" t="s">
        <v>123</v>
      </c>
      <c r="G137" s="56">
        <f>'[2]CUENTA T FONDO 100'!BM126</f>
        <v>0</v>
      </c>
      <c r="H137" s="56">
        <f>'[2]CUENTA T VS'!BM106</f>
        <v>0</v>
      </c>
      <c r="I137" s="56">
        <f t="shared" si="4"/>
        <v>0</v>
      </c>
      <c r="J137" s="57">
        <f>I137/$I$25</f>
        <v>0</v>
      </c>
    </row>
    <row r="138" spans="1:10" x14ac:dyDescent="0.25">
      <c r="A138" s="61">
        <v>2</v>
      </c>
      <c r="B138" s="50">
        <v>2</v>
      </c>
      <c r="C138" s="50">
        <v>5</v>
      </c>
      <c r="D138" s="50">
        <v>5</v>
      </c>
      <c r="E138" s="64"/>
      <c r="F138" s="87" t="s">
        <v>124</v>
      </c>
      <c r="G138" s="51">
        <f>SUM(G139)</f>
        <v>0</v>
      </c>
      <c r="H138" s="51">
        <f>SUM(H139)</f>
        <v>0</v>
      </c>
      <c r="I138" s="51">
        <f t="shared" si="4"/>
        <v>0</v>
      </c>
      <c r="J138" s="58"/>
    </row>
    <row r="139" spans="1:10" x14ac:dyDescent="0.25">
      <c r="A139" s="62">
        <v>2</v>
      </c>
      <c r="B139" s="54">
        <v>2</v>
      </c>
      <c r="C139" s="54">
        <v>5</v>
      </c>
      <c r="D139" s="54">
        <v>5</v>
      </c>
      <c r="E139" s="55" t="s">
        <v>31</v>
      </c>
      <c r="F139" s="67" t="s">
        <v>124</v>
      </c>
      <c r="G139" s="56">
        <f>'[2]CUENTA T FONDO 100'!BN126</f>
        <v>0</v>
      </c>
      <c r="H139" s="56">
        <f>'[2]CUENTA T VS'!BN106</f>
        <v>0</v>
      </c>
      <c r="I139" s="56">
        <f t="shared" si="4"/>
        <v>0</v>
      </c>
      <c r="J139" s="57">
        <f>I139/$I$25</f>
        <v>0</v>
      </c>
    </row>
    <row r="140" spans="1:10" x14ac:dyDescent="0.25">
      <c r="A140" s="61">
        <v>2</v>
      </c>
      <c r="B140" s="50">
        <v>2</v>
      </c>
      <c r="C140" s="50">
        <v>5</v>
      </c>
      <c r="D140" s="50">
        <v>6</v>
      </c>
      <c r="E140" s="64"/>
      <c r="F140" s="87" t="s">
        <v>125</v>
      </c>
      <c r="G140" s="51">
        <f>SUM(G141)</f>
        <v>0</v>
      </c>
      <c r="H140" s="51">
        <f>SUM(H141)</f>
        <v>0</v>
      </c>
      <c r="I140" s="51">
        <f t="shared" si="4"/>
        <v>0</v>
      </c>
      <c r="J140" s="58"/>
    </row>
    <row r="141" spans="1:10" x14ac:dyDescent="0.25">
      <c r="A141" s="62">
        <v>2</v>
      </c>
      <c r="B141" s="54">
        <v>2</v>
      </c>
      <c r="C141" s="54">
        <v>5</v>
      </c>
      <c r="D141" s="54">
        <v>6</v>
      </c>
      <c r="E141" s="55" t="s">
        <v>31</v>
      </c>
      <c r="F141" s="67" t="s">
        <v>125</v>
      </c>
      <c r="G141" s="56">
        <f>'[2]CUENTA T FONDO 100'!BO126</f>
        <v>0</v>
      </c>
      <c r="H141" s="56">
        <f>'[2]CUENTA T VS'!BO106</f>
        <v>0</v>
      </c>
      <c r="I141" s="56">
        <f t="shared" si="4"/>
        <v>0</v>
      </c>
      <c r="J141" s="57">
        <f>I141/$I$25</f>
        <v>0</v>
      </c>
    </row>
    <row r="142" spans="1:10" x14ac:dyDescent="0.25">
      <c r="A142" s="61">
        <v>2</v>
      </c>
      <c r="B142" s="50">
        <v>2</v>
      </c>
      <c r="C142" s="50">
        <v>5</v>
      </c>
      <c r="D142" s="50">
        <v>7</v>
      </c>
      <c r="E142" s="64"/>
      <c r="F142" s="87" t="s">
        <v>126</v>
      </c>
      <c r="G142" s="51">
        <f>SUM(G143)</f>
        <v>0</v>
      </c>
      <c r="H142" s="51">
        <f>SUM(H143)</f>
        <v>0</v>
      </c>
      <c r="I142" s="51">
        <f t="shared" si="4"/>
        <v>0</v>
      </c>
      <c r="J142" s="58"/>
    </row>
    <row r="143" spans="1:10" x14ac:dyDescent="0.25">
      <c r="A143" s="62">
        <v>2</v>
      </c>
      <c r="B143" s="54">
        <v>2</v>
      </c>
      <c r="C143" s="54">
        <v>5</v>
      </c>
      <c r="D143" s="54">
        <v>7</v>
      </c>
      <c r="E143" s="55" t="s">
        <v>31</v>
      </c>
      <c r="F143" s="67" t="s">
        <v>126</v>
      </c>
      <c r="G143" s="56">
        <f>'[2]CUENTA T FONDO 100'!BP126</f>
        <v>0</v>
      </c>
      <c r="H143" s="56">
        <f>'[2]CUENTA T VS'!BP106</f>
        <v>0</v>
      </c>
      <c r="I143" s="56">
        <f t="shared" si="4"/>
        <v>0</v>
      </c>
      <c r="J143" s="57">
        <f>I143/$I$25</f>
        <v>0</v>
      </c>
    </row>
    <row r="144" spans="1:10" x14ac:dyDescent="0.25">
      <c r="A144" s="61">
        <v>2</v>
      </c>
      <c r="B144" s="50">
        <v>2</v>
      </c>
      <c r="C144" s="50">
        <v>5</v>
      </c>
      <c r="D144" s="50">
        <v>8</v>
      </c>
      <c r="E144" s="64"/>
      <c r="F144" s="87" t="s">
        <v>127</v>
      </c>
      <c r="G144" s="51">
        <f>SUM(G145)</f>
        <v>0</v>
      </c>
      <c r="H144" s="51">
        <f>SUM(H145)</f>
        <v>53100</v>
      </c>
      <c r="I144" s="51">
        <f t="shared" si="4"/>
        <v>53100</v>
      </c>
      <c r="J144" s="58"/>
    </row>
    <row r="145" spans="1:10" x14ac:dyDescent="0.25">
      <c r="A145" s="62">
        <v>2</v>
      </c>
      <c r="B145" s="54">
        <v>2</v>
      </c>
      <c r="C145" s="54">
        <v>5</v>
      </c>
      <c r="D145" s="54">
        <v>8</v>
      </c>
      <c r="E145" s="55" t="s">
        <v>31</v>
      </c>
      <c r="F145" s="67" t="s">
        <v>127</v>
      </c>
      <c r="G145" s="56">
        <f>'[2]CUENTA T FONDO 100'!BQ126</f>
        <v>0</v>
      </c>
      <c r="H145" s="56">
        <f>'[2]CUENTA T VS'!BQ106</f>
        <v>53100</v>
      </c>
      <c r="I145" s="56">
        <f t="shared" si="4"/>
        <v>53100</v>
      </c>
      <c r="J145" s="57">
        <f>I145/$I$25</f>
        <v>5.2830628869534018E-4</v>
      </c>
    </row>
    <row r="146" spans="1:10" x14ac:dyDescent="0.25">
      <c r="A146" s="61">
        <v>2</v>
      </c>
      <c r="B146" s="50">
        <v>2</v>
      </c>
      <c r="C146" s="50">
        <v>5</v>
      </c>
      <c r="D146" s="50">
        <v>9</v>
      </c>
      <c r="E146" s="64"/>
      <c r="F146" s="87" t="s">
        <v>128</v>
      </c>
      <c r="G146" s="51">
        <f>SUM(G147)</f>
        <v>0</v>
      </c>
      <c r="H146" s="51">
        <f>SUM(H147)</f>
        <v>0</v>
      </c>
      <c r="I146" s="51">
        <f t="shared" si="4"/>
        <v>0</v>
      </c>
      <c r="J146" s="58"/>
    </row>
    <row r="147" spans="1:10" x14ac:dyDescent="0.25">
      <c r="A147" s="62">
        <v>2</v>
      </c>
      <c r="B147" s="54">
        <v>2</v>
      </c>
      <c r="C147" s="54">
        <v>5</v>
      </c>
      <c r="D147" s="54">
        <v>9</v>
      </c>
      <c r="E147" s="55" t="s">
        <v>31</v>
      </c>
      <c r="F147" s="67" t="s">
        <v>129</v>
      </c>
      <c r="G147" s="56">
        <f>'[2]CUENTA T FONDO 100'!BR126</f>
        <v>0</v>
      </c>
      <c r="H147" s="56">
        <f>'[2]CUENTA T VS'!BR106</f>
        <v>0</v>
      </c>
      <c r="I147" s="56">
        <f t="shared" si="4"/>
        <v>0</v>
      </c>
      <c r="J147" s="57">
        <f>I147/$I$25</f>
        <v>0</v>
      </c>
    </row>
    <row r="148" spans="1:10" x14ac:dyDescent="0.25">
      <c r="A148" s="46">
        <v>2</v>
      </c>
      <c r="B148" s="47">
        <v>2</v>
      </c>
      <c r="C148" s="47">
        <v>6</v>
      </c>
      <c r="D148" s="47"/>
      <c r="E148" s="47"/>
      <c r="F148" s="66" t="s">
        <v>130</v>
      </c>
      <c r="G148" s="48">
        <f>+G149+G151+G153+G155</f>
        <v>0</v>
      </c>
      <c r="H148" s="48">
        <f>+H149+H151+H153+H155</f>
        <v>0</v>
      </c>
      <c r="I148" s="48">
        <f t="shared" si="4"/>
        <v>0</v>
      </c>
      <c r="J148" s="45"/>
    </row>
    <row r="149" spans="1:10" x14ac:dyDescent="0.25">
      <c r="A149" s="61">
        <v>2</v>
      </c>
      <c r="B149" s="50">
        <v>2</v>
      </c>
      <c r="C149" s="50">
        <v>6</v>
      </c>
      <c r="D149" s="50">
        <v>1</v>
      </c>
      <c r="E149" s="64"/>
      <c r="F149" s="87" t="s">
        <v>131</v>
      </c>
      <c r="G149" s="51">
        <f>SUM(G150)</f>
        <v>0</v>
      </c>
      <c r="H149" s="51">
        <f>SUM(H150)</f>
        <v>0</v>
      </c>
      <c r="I149" s="51">
        <f t="shared" si="4"/>
        <v>0</v>
      </c>
      <c r="J149" s="58"/>
    </row>
    <row r="150" spans="1:10" x14ac:dyDescent="0.25">
      <c r="A150" s="62">
        <v>2</v>
      </c>
      <c r="B150" s="54">
        <v>2</v>
      </c>
      <c r="C150" s="54">
        <v>6</v>
      </c>
      <c r="D150" s="54">
        <v>1</v>
      </c>
      <c r="E150" s="55" t="s">
        <v>31</v>
      </c>
      <c r="F150" s="67" t="s">
        <v>131</v>
      </c>
      <c r="G150" s="56">
        <f>'[2]CUENTA T FONDO 100'!BS126</f>
        <v>0</v>
      </c>
      <c r="H150" s="56">
        <f>'[2]CUENTA T VS'!BS106</f>
        <v>0</v>
      </c>
      <c r="I150" s="56">
        <f t="shared" si="4"/>
        <v>0</v>
      </c>
      <c r="J150" s="57">
        <f>I150/$I$25</f>
        <v>0</v>
      </c>
    </row>
    <row r="151" spans="1:10" x14ac:dyDescent="0.25">
      <c r="A151" s="61">
        <v>2</v>
      </c>
      <c r="B151" s="50">
        <v>2</v>
      </c>
      <c r="C151" s="50">
        <v>6</v>
      </c>
      <c r="D151" s="50">
        <v>2</v>
      </c>
      <c r="E151" s="50"/>
      <c r="F151" s="87" t="s">
        <v>132</v>
      </c>
      <c r="G151" s="51">
        <f>SUM(G152)</f>
        <v>0</v>
      </c>
      <c r="H151" s="51">
        <f>SUM(H152)</f>
        <v>0</v>
      </c>
      <c r="I151" s="51">
        <f t="shared" si="4"/>
        <v>0</v>
      </c>
      <c r="J151" s="58"/>
    </row>
    <row r="152" spans="1:10" x14ac:dyDescent="0.25">
      <c r="A152" s="62">
        <v>2</v>
      </c>
      <c r="B152" s="54">
        <v>2</v>
      </c>
      <c r="C152" s="54">
        <v>6</v>
      </c>
      <c r="D152" s="54">
        <v>2</v>
      </c>
      <c r="E152" s="55" t="s">
        <v>31</v>
      </c>
      <c r="F152" s="67" t="s">
        <v>132</v>
      </c>
      <c r="G152" s="56">
        <f>'[2]CUENTA T FONDO 100'!BT126</f>
        <v>0</v>
      </c>
      <c r="H152" s="56">
        <f>'[2]CUENTA T VS'!BT106</f>
        <v>0</v>
      </c>
      <c r="I152" s="56">
        <f t="shared" si="4"/>
        <v>0</v>
      </c>
      <c r="J152" s="57">
        <f>I152/$I$25</f>
        <v>0</v>
      </c>
    </row>
    <row r="153" spans="1:10" x14ac:dyDescent="0.25">
      <c r="A153" s="61">
        <v>2</v>
      </c>
      <c r="B153" s="50">
        <v>2</v>
      </c>
      <c r="C153" s="50">
        <v>6</v>
      </c>
      <c r="D153" s="50">
        <v>3</v>
      </c>
      <c r="E153" s="50"/>
      <c r="F153" s="87" t="s">
        <v>133</v>
      </c>
      <c r="G153" s="51">
        <f>SUM(G154)</f>
        <v>0</v>
      </c>
      <c r="H153" s="51">
        <f>SUM(H154)</f>
        <v>0</v>
      </c>
      <c r="I153" s="51">
        <f t="shared" ref="I153:I216" si="6">SUM(G153:H153)</f>
        <v>0</v>
      </c>
      <c r="J153" s="58"/>
    </row>
    <row r="154" spans="1:10" x14ac:dyDescent="0.25">
      <c r="A154" s="62">
        <v>2</v>
      </c>
      <c r="B154" s="54">
        <v>2</v>
      </c>
      <c r="C154" s="54">
        <v>6</v>
      </c>
      <c r="D154" s="54">
        <v>3</v>
      </c>
      <c r="E154" s="55" t="s">
        <v>31</v>
      </c>
      <c r="F154" s="67" t="s">
        <v>133</v>
      </c>
      <c r="G154" s="56">
        <f>'[2]CUENTA T FONDO 100'!BU126</f>
        <v>0</v>
      </c>
      <c r="H154" s="56">
        <f>'[2]CUENTA T VS'!BU106</f>
        <v>0</v>
      </c>
      <c r="I154" s="56">
        <f t="shared" si="6"/>
        <v>0</v>
      </c>
      <c r="J154" s="57">
        <f>I154/$I$25</f>
        <v>0</v>
      </c>
    </row>
    <row r="155" spans="1:10" x14ac:dyDescent="0.25">
      <c r="A155" s="61">
        <v>2</v>
      </c>
      <c r="B155" s="50">
        <v>2</v>
      </c>
      <c r="C155" s="50">
        <v>6</v>
      </c>
      <c r="D155" s="50">
        <v>4</v>
      </c>
      <c r="E155" s="50"/>
      <c r="F155" s="87" t="s">
        <v>134</v>
      </c>
      <c r="G155" s="51">
        <f>SUM(G156)</f>
        <v>0</v>
      </c>
      <c r="H155" s="51">
        <f>SUM(H156)</f>
        <v>0</v>
      </c>
      <c r="I155" s="51">
        <f t="shared" si="6"/>
        <v>0</v>
      </c>
      <c r="J155" s="58"/>
    </row>
    <row r="156" spans="1:10" x14ac:dyDescent="0.25">
      <c r="A156" s="62">
        <v>2</v>
      </c>
      <c r="B156" s="54">
        <v>2</v>
      </c>
      <c r="C156" s="54">
        <v>6</v>
      </c>
      <c r="D156" s="54">
        <v>4</v>
      </c>
      <c r="E156" s="55" t="s">
        <v>31</v>
      </c>
      <c r="F156" s="67" t="s">
        <v>134</v>
      </c>
      <c r="G156" s="56">
        <f>'[2]CUENTA T FONDO 100'!BV126</f>
        <v>0</v>
      </c>
      <c r="H156" s="56">
        <f>'[2]CUENTA T VS'!BV106</f>
        <v>0</v>
      </c>
      <c r="I156" s="56">
        <f t="shared" si="6"/>
        <v>0</v>
      </c>
      <c r="J156" s="57">
        <f>I156/$I$25</f>
        <v>0</v>
      </c>
    </row>
    <row r="157" spans="1:10" ht="26.25" x14ac:dyDescent="0.25">
      <c r="A157" s="46">
        <v>2</v>
      </c>
      <c r="B157" s="47">
        <v>2</v>
      </c>
      <c r="C157" s="47">
        <v>7</v>
      </c>
      <c r="D157" s="47"/>
      <c r="E157" s="65"/>
      <c r="F157" s="66" t="s">
        <v>135</v>
      </c>
      <c r="G157" s="48">
        <f>+G158+G167+G177</f>
        <v>1174399.98</v>
      </c>
      <c r="H157" s="48">
        <f>+H158+H167+H177</f>
        <v>205899.13999999998</v>
      </c>
      <c r="I157" s="48">
        <f t="shared" si="6"/>
        <v>1380299.1199999999</v>
      </c>
      <c r="J157" s="45"/>
    </row>
    <row r="158" spans="1:10" x14ac:dyDescent="0.25">
      <c r="A158" s="61">
        <v>2</v>
      </c>
      <c r="B158" s="50">
        <v>2</v>
      </c>
      <c r="C158" s="50">
        <v>7</v>
      </c>
      <c r="D158" s="50">
        <v>1</v>
      </c>
      <c r="E158" s="50"/>
      <c r="F158" s="87" t="s">
        <v>136</v>
      </c>
      <c r="G158" s="51">
        <f>SUM(G159:G166)</f>
        <v>17999.98</v>
      </c>
      <c r="H158" s="51">
        <f>SUM(H159:H166)</f>
        <v>0</v>
      </c>
      <c r="I158" s="51">
        <f t="shared" si="6"/>
        <v>17999.98</v>
      </c>
      <c r="J158" s="58"/>
    </row>
    <row r="159" spans="1:10" x14ac:dyDescent="0.25">
      <c r="A159" s="53">
        <v>2</v>
      </c>
      <c r="B159" s="54">
        <v>2</v>
      </c>
      <c r="C159" s="54">
        <v>7</v>
      </c>
      <c r="D159" s="54">
        <v>1</v>
      </c>
      <c r="E159" s="55" t="s">
        <v>31</v>
      </c>
      <c r="F159" s="67" t="s">
        <v>137</v>
      </c>
      <c r="G159" s="56">
        <f>'[2]CUENTA T FONDO 100'!BW126</f>
        <v>17999.98</v>
      </c>
      <c r="H159" s="56">
        <f>'[2]CUENTA T VS'!BW106</f>
        <v>0</v>
      </c>
      <c r="I159" s="56">
        <f t="shared" si="6"/>
        <v>17999.98</v>
      </c>
      <c r="J159" s="57">
        <f t="shared" ref="J159:J166" si="7">I159/$I$25</f>
        <v>1.7908667853842465E-4</v>
      </c>
    </row>
    <row r="160" spans="1:10" x14ac:dyDescent="0.25">
      <c r="A160" s="53">
        <v>2</v>
      </c>
      <c r="B160" s="54">
        <v>2</v>
      </c>
      <c r="C160" s="54">
        <v>7</v>
      </c>
      <c r="D160" s="54">
        <v>1</v>
      </c>
      <c r="E160" s="55" t="s">
        <v>33</v>
      </c>
      <c r="F160" s="67" t="s">
        <v>138</v>
      </c>
      <c r="G160" s="56">
        <f>'[2]CUENTA T FONDO 100'!BX126</f>
        <v>0</v>
      </c>
      <c r="H160" s="56">
        <f>'[2]CUENTA T VS'!BX106</f>
        <v>0</v>
      </c>
      <c r="I160" s="56">
        <f t="shared" si="6"/>
        <v>0</v>
      </c>
      <c r="J160" s="57">
        <f t="shared" si="7"/>
        <v>0</v>
      </c>
    </row>
    <row r="161" spans="1:10" x14ac:dyDescent="0.25">
      <c r="A161" s="53">
        <v>2</v>
      </c>
      <c r="B161" s="54">
        <v>2</v>
      </c>
      <c r="C161" s="54">
        <v>7</v>
      </c>
      <c r="D161" s="54">
        <v>1</v>
      </c>
      <c r="E161" s="55" t="s">
        <v>35</v>
      </c>
      <c r="F161" s="67" t="s">
        <v>139</v>
      </c>
      <c r="G161" s="56">
        <f>'[2]CUENTA T FONDO 100'!BY126</f>
        <v>0</v>
      </c>
      <c r="H161" s="56">
        <f>'[2]CUENTA T VS'!BY106</f>
        <v>0</v>
      </c>
      <c r="I161" s="56">
        <f t="shared" si="6"/>
        <v>0</v>
      </c>
      <c r="J161" s="57">
        <f t="shared" si="7"/>
        <v>0</v>
      </c>
    </row>
    <row r="162" spans="1:10" ht="26.25" x14ac:dyDescent="0.25">
      <c r="A162" s="53">
        <v>2</v>
      </c>
      <c r="B162" s="54">
        <v>2</v>
      </c>
      <c r="C162" s="54">
        <v>7</v>
      </c>
      <c r="D162" s="54">
        <v>1</v>
      </c>
      <c r="E162" s="55" t="s">
        <v>37</v>
      </c>
      <c r="F162" s="67" t="s">
        <v>140</v>
      </c>
      <c r="G162" s="56">
        <f>'[2]CUENTA T FONDO 100'!BZ126</f>
        <v>0</v>
      </c>
      <c r="H162" s="56">
        <f>'[2]CUENTA T VS'!BZ106</f>
        <v>0</v>
      </c>
      <c r="I162" s="56">
        <f t="shared" si="6"/>
        <v>0</v>
      </c>
      <c r="J162" s="57">
        <f t="shared" si="7"/>
        <v>0</v>
      </c>
    </row>
    <row r="163" spans="1:10" x14ac:dyDescent="0.25">
      <c r="A163" s="53">
        <v>2</v>
      </c>
      <c r="B163" s="54">
        <v>2</v>
      </c>
      <c r="C163" s="54">
        <v>7</v>
      </c>
      <c r="D163" s="54">
        <v>1</v>
      </c>
      <c r="E163" s="55" t="s">
        <v>39</v>
      </c>
      <c r="F163" s="67" t="s">
        <v>141</v>
      </c>
      <c r="G163" s="56">
        <f>'[2]CUENTA T FONDO 100'!CA126</f>
        <v>0</v>
      </c>
      <c r="H163" s="56">
        <f>'[2]CUENTA T VS'!CA106</f>
        <v>0</v>
      </c>
      <c r="I163" s="56">
        <f t="shared" si="6"/>
        <v>0</v>
      </c>
      <c r="J163" s="57">
        <f t="shared" si="7"/>
        <v>0</v>
      </c>
    </row>
    <row r="164" spans="1:10" x14ac:dyDescent="0.25">
      <c r="A164" s="53">
        <v>2</v>
      </c>
      <c r="B164" s="54">
        <v>2</v>
      </c>
      <c r="C164" s="54">
        <v>7</v>
      </c>
      <c r="D164" s="54">
        <v>1</v>
      </c>
      <c r="E164" s="55" t="s">
        <v>41</v>
      </c>
      <c r="F164" s="67" t="s">
        <v>142</v>
      </c>
      <c r="G164" s="56">
        <f>'[2]CUENTA T FONDO 100'!CB126</f>
        <v>0</v>
      </c>
      <c r="H164" s="56">
        <f>'[2]CUENTA T VS'!CB106</f>
        <v>0</v>
      </c>
      <c r="I164" s="56">
        <f t="shared" si="6"/>
        <v>0</v>
      </c>
      <c r="J164" s="57">
        <f t="shared" si="7"/>
        <v>0</v>
      </c>
    </row>
    <row r="165" spans="1:10" x14ac:dyDescent="0.25">
      <c r="A165" s="53">
        <v>2</v>
      </c>
      <c r="B165" s="54">
        <v>2</v>
      </c>
      <c r="C165" s="54">
        <v>7</v>
      </c>
      <c r="D165" s="54">
        <v>1</v>
      </c>
      <c r="E165" s="55" t="s">
        <v>67</v>
      </c>
      <c r="F165" s="67" t="s">
        <v>143</v>
      </c>
      <c r="G165" s="56">
        <f>'[2]CUENTA T FONDO 100'!CC126</f>
        <v>0</v>
      </c>
      <c r="H165" s="56">
        <f>'[2]CUENTA T VS'!CC106</f>
        <v>0</v>
      </c>
      <c r="I165" s="56">
        <f t="shared" si="6"/>
        <v>0</v>
      </c>
      <c r="J165" s="57">
        <f t="shared" si="7"/>
        <v>0</v>
      </c>
    </row>
    <row r="166" spans="1:10" ht="26.25" x14ac:dyDescent="0.25">
      <c r="A166" s="53">
        <v>2</v>
      </c>
      <c r="B166" s="54">
        <v>2</v>
      </c>
      <c r="C166" s="54">
        <v>7</v>
      </c>
      <c r="D166" s="54">
        <v>1</v>
      </c>
      <c r="E166" s="55" t="s">
        <v>144</v>
      </c>
      <c r="F166" s="67" t="s">
        <v>145</v>
      </c>
      <c r="G166" s="56">
        <f>'[2]CUENTA T FONDO 100'!CD126</f>
        <v>0</v>
      </c>
      <c r="H166" s="56">
        <f>'[2]CUENTA T VS'!CD106</f>
        <v>0</v>
      </c>
      <c r="I166" s="56">
        <f t="shared" si="6"/>
        <v>0</v>
      </c>
      <c r="J166" s="57">
        <f t="shared" si="7"/>
        <v>0</v>
      </c>
    </row>
    <row r="167" spans="1:10" x14ac:dyDescent="0.25">
      <c r="A167" s="61">
        <v>2</v>
      </c>
      <c r="B167" s="50">
        <v>2</v>
      </c>
      <c r="C167" s="50">
        <v>7</v>
      </c>
      <c r="D167" s="50">
        <v>2</v>
      </c>
      <c r="E167" s="50"/>
      <c r="F167" s="87" t="s">
        <v>146</v>
      </c>
      <c r="G167" s="51">
        <f>SUM(G168:G176)</f>
        <v>1156400</v>
      </c>
      <c r="H167" s="51">
        <f>SUM(H168:H176)</f>
        <v>205899.13999999998</v>
      </c>
      <c r="I167" s="51">
        <f t="shared" si="6"/>
        <v>1362299.14</v>
      </c>
      <c r="J167" s="58"/>
    </row>
    <row r="168" spans="1:10" x14ac:dyDescent="0.25">
      <c r="A168" s="53">
        <v>2</v>
      </c>
      <c r="B168" s="54">
        <v>2</v>
      </c>
      <c r="C168" s="54">
        <v>7</v>
      </c>
      <c r="D168" s="54">
        <v>2</v>
      </c>
      <c r="E168" s="55" t="s">
        <v>31</v>
      </c>
      <c r="F168" s="67" t="s">
        <v>147</v>
      </c>
      <c r="G168" s="56">
        <f>'[2]CUENTA T FONDO 100'!CE126</f>
        <v>0</v>
      </c>
      <c r="H168" s="56">
        <f>'[2]CUENTA T VS'!CE106</f>
        <v>0</v>
      </c>
      <c r="I168" s="56">
        <f t="shared" si="6"/>
        <v>0</v>
      </c>
      <c r="J168" s="57">
        <f t="shared" ref="J168:J176" si="8">I168/$I$25</f>
        <v>0</v>
      </c>
    </row>
    <row r="169" spans="1:10" x14ac:dyDescent="0.25">
      <c r="A169" s="53">
        <v>2</v>
      </c>
      <c r="B169" s="54">
        <v>2</v>
      </c>
      <c r="C169" s="54">
        <v>7</v>
      </c>
      <c r="D169" s="54">
        <v>2</v>
      </c>
      <c r="E169" s="55" t="s">
        <v>33</v>
      </c>
      <c r="F169" s="67" t="s">
        <v>148</v>
      </c>
      <c r="G169" s="56">
        <f>'[2]CUENTA T FONDO 100'!CF126</f>
        <v>0</v>
      </c>
      <c r="H169" s="56">
        <f>'[2]CUENTA T VS'!CF106</f>
        <v>0</v>
      </c>
      <c r="I169" s="56">
        <f t="shared" si="6"/>
        <v>0</v>
      </c>
      <c r="J169" s="57">
        <f t="shared" si="8"/>
        <v>0</v>
      </c>
    </row>
    <row r="170" spans="1:10" x14ac:dyDescent="0.25">
      <c r="A170" s="53">
        <v>2</v>
      </c>
      <c r="B170" s="54">
        <v>2</v>
      </c>
      <c r="C170" s="54">
        <v>7</v>
      </c>
      <c r="D170" s="54">
        <v>2</v>
      </c>
      <c r="E170" s="55" t="s">
        <v>35</v>
      </c>
      <c r="F170" s="67" t="s">
        <v>149</v>
      </c>
      <c r="G170" s="56">
        <f>'[2]CUENTA T FONDO 100'!CG126</f>
        <v>0</v>
      </c>
      <c r="H170" s="56">
        <f>'[2]CUENTA T VS'!CG106</f>
        <v>0</v>
      </c>
      <c r="I170" s="56">
        <f t="shared" si="6"/>
        <v>0</v>
      </c>
      <c r="J170" s="57">
        <f t="shared" si="8"/>
        <v>0</v>
      </c>
    </row>
    <row r="171" spans="1:10" ht="26.25" x14ac:dyDescent="0.25">
      <c r="A171" s="53">
        <v>2</v>
      </c>
      <c r="B171" s="54">
        <v>2</v>
      </c>
      <c r="C171" s="54">
        <v>7</v>
      </c>
      <c r="D171" s="54">
        <v>2</v>
      </c>
      <c r="E171" s="55" t="s">
        <v>37</v>
      </c>
      <c r="F171" s="67" t="s">
        <v>150</v>
      </c>
      <c r="G171" s="56">
        <f>'[2]CUENTA T FONDO 100'!CH126</f>
        <v>0</v>
      </c>
      <c r="H171" s="56">
        <f>'[2]CUENTA T VS'!CH106</f>
        <v>0</v>
      </c>
      <c r="I171" s="56">
        <f t="shared" si="6"/>
        <v>0</v>
      </c>
      <c r="J171" s="57">
        <f t="shared" si="8"/>
        <v>0</v>
      </c>
    </row>
    <row r="172" spans="1:10" x14ac:dyDescent="0.25">
      <c r="A172" s="53">
        <v>2</v>
      </c>
      <c r="B172" s="54">
        <v>2</v>
      </c>
      <c r="C172" s="54">
        <v>7</v>
      </c>
      <c r="D172" s="54">
        <v>2</v>
      </c>
      <c r="E172" s="55" t="s">
        <v>39</v>
      </c>
      <c r="F172" s="67" t="s">
        <v>151</v>
      </c>
      <c r="G172" s="56">
        <f>'[2]CUENTA T FONDO 100'!CI126</f>
        <v>0</v>
      </c>
      <c r="H172" s="56">
        <f>'[2]CUENTA T VS'!CI106</f>
        <v>0</v>
      </c>
      <c r="I172" s="56">
        <f t="shared" si="6"/>
        <v>0</v>
      </c>
      <c r="J172" s="57">
        <f t="shared" si="8"/>
        <v>0</v>
      </c>
    </row>
    <row r="173" spans="1:10" ht="25.5" x14ac:dyDescent="0.25">
      <c r="A173" s="53">
        <v>2</v>
      </c>
      <c r="B173" s="54">
        <v>2</v>
      </c>
      <c r="C173" s="54">
        <v>7</v>
      </c>
      <c r="D173" s="54">
        <v>2</v>
      </c>
      <c r="E173" s="55" t="s">
        <v>41</v>
      </c>
      <c r="F173" s="68" t="s">
        <v>152</v>
      </c>
      <c r="G173" s="56">
        <f>'[2]CUENTA T FONDO 100'!CJ126</f>
        <v>0</v>
      </c>
      <c r="H173" s="56">
        <f>'[2]CUENTA T VS'!CJ106</f>
        <v>0</v>
      </c>
      <c r="I173" s="56">
        <f t="shared" si="6"/>
        <v>0</v>
      </c>
      <c r="J173" s="57">
        <f t="shared" si="8"/>
        <v>0</v>
      </c>
    </row>
    <row r="174" spans="1:10" x14ac:dyDescent="0.25">
      <c r="A174" s="53">
        <v>2</v>
      </c>
      <c r="B174" s="54">
        <v>2</v>
      </c>
      <c r="C174" s="54">
        <v>7</v>
      </c>
      <c r="D174" s="54">
        <v>2</v>
      </c>
      <c r="E174" s="55" t="s">
        <v>67</v>
      </c>
      <c r="F174" s="68" t="s">
        <v>153</v>
      </c>
      <c r="G174" s="56">
        <f>'[2]CUENTA T FONDO 100'!CK126</f>
        <v>0</v>
      </c>
      <c r="H174" s="56">
        <f>'[2]CUENTA T VS'!CK106</f>
        <v>0</v>
      </c>
      <c r="I174" s="56">
        <f t="shared" si="6"/>
        <v>0</v>
      </c>
      <c r="J174" s="57">
        <f t="shared" si="8"/>
        <v>0</v>
      </c>
    </row>
    <row r="175" spans="1:10" x14ac:dyDescent="0.25">
      <c r="A175" s="53">
        <v>2</v>
      </c>
      <c r="B175" s="54">
        <v>2</v>
      </c>
      <c r="C175" s="54">
        <v>7</v>
      </c>
      <c r="D175" s="54">
        <v>2</v>
      </c>
      <c r="E175" s="55" t="s">
        <v>47</v>
      </c>
      <c r="F175" s="68" t="s">
        <v>154</v>
      </c>
      <c r="G175" s="56">
        <f>'[2]CUENTA T FONDO 100'!CL126</f>
        <v>1156400</v>
      </c>
      <c r="H175" s="56">
        <f>'[2]CUENTA T VS'!CL106</f>
        <v>205899.13999999998</v>
      </c>
      <c r="I175" s="56">
        <f t="shared" si="6"/>
        <v>1362299.14</v>
      </c>
      <c r="J175" s="57">
        <f t="shared" si="8"/>
        <v>1.3553883290889896E-2</v>
      </c>
    </row>
    <row r="176" spans="1:10" ht="25.5" x14ac:dyDescent="0.25">
      <c r="A176" s="53">
        <v>2</v>
      </c>
      <c r="B176" s="54">
        <v>2</v>
      </c>
      <c r="C176" s="54">
        <v>7</v>
      </c>
      <c r="D176" s="54">
        <v>2</v>
      </c>
      <c r="E176" s="55" t="s">
        <v>144</v>
      </c>
      <c r="F176" s="68" t="s">
        <v>155</v>
      </c>
      <c r="G176" s="56">
        <f>'[2]CUENTA T FONDO 100'!CM126</f>
        <v>0</v>
      </c>
      <c r="H176" s="56">
        <f>'[2]CUENTA T VS'!CM106</f>
        <v>0</v>
      </c>
      <c r="I176" s="56">
        <f t="shared" si="6"/>
        <v>0</v>
      </c>
      <c r="J176" s="57">
        <f t="shared" si="8"/>
        <v>0</v>
      </c>
    </row>
    <row r="177" spans="1:10" x14ac:dyDescent="0.25">
      <c r="A177" s="49">
        <v>2</v>
      </c>
      <c r="B177" s="50">
        <v>2</v>
      </c>
      <c r="C177" s="50">
        <v>7</v>
      </c>
      <c r="D177" s="50">
        <v>3</v>
      </c>
      <c r="E177" s="64"/>
      <c r="F177" s="69" t="s">
        <v>156</v>
      </c>
      <c r="G177" s="51">
        <f>SUM(G178)</f>
        <v>0</v>
      </c>
      <c r="H177" s="51">
        <f>SUM(H178)</f>
        <v>0</v>
      </c>
      <c r="I177" s="51">
        <f t="shared" si="6"/>
        <v>0</v>
      </c>
      <c r="J177" s="58"/>
    </row>
    <row r="178" spans="1:10" x14ac:dyDescent="0.25">
      <c r="A178" s="53">
        <v>2</v>
      </c>
      <c r="B178" s="54">
        <v>2</v>
      </c>
      <c r="C178" s="54">
        <v>7</v>
      </c>
      <c r="D178" s="54">
        <v>3</v>
      </c>
      <c r="E178" s="55" t="s">
        <v>31</v>
      </c>
      <c r="F178" s="68" t="s">
        <v>156</v>
      </c>
      <c r="G178" s="56">
        <f>'[2]CUENTA T FONDO 100'!CN126</f>
        <v>0</v>
      </c>
      <c r="H178" s="56">
        <f>'[2]CUENTA T VS'!CN106</f>
        <v>0</v>
      </c>
      <c r="I178" s="56">
        <f t="shared" si="6"/>
        <v>0</v>
      </c>
      <c r="J178" s="57">
        <f>I178/$I$25</f>
        <v>0</v>
      </c>
    </row>
    <row r="179" spans="1:10" x14ac:dyDescent="0.25">
      <c r="A179" s="46">
        <v>2</v>
      </c>
      <c r="B179" s="47">
        <v>2</v>
      </c>
      <c r="C179" s="47">
        <v>8</v>
      </c>
      <c r="D179" s="47"/>
      <c r="E179" s="47"/>
      <c r="F179" s="70" t="s">
        <v>157</v>
      </c>
      <c r="G179" s="48">
        <f>+G180+G182+G184+G186+G188+G192+G197+G204</f>
        <v>413000</v>
      </c>
      <c r="H179" s="48">
        <f>+H180+H182+H184+H186+H188+H192+H197+H204</f>
        <v>134049.4</v>
      </c>
      <c r="I179" s="48">
        <f t="shared" si="6"/>
        <v>547049.4</v>
      </c>
      <c r="J179" s="45"/>
    </row>
    <row r="180" spans="1:10" x14ac:dyDescent="0.25">
      <c r="A180" s="49">
        <v>2</v>
      </c>
      <c r="B180" s="50">
        <v>2</v>
      </c>
      <c r="C180" s="50">
        <v>8</v>
      </c>
      <c r="D180" s="50">
        <v>1</v>
      </c>
      <c r="E180" s="50"/>
      <c r="F180" s="69" t="s">
        <v>158</v>
      </c>
      <c r="G180" s="51">
        <f>SUM(G181)</f>
        <v>0</v>
      </c>
      <c r="H180" s="51">
        <f>SUM(H181)</f>
        <v>0</v>
      </c>
      <c r="I180" s="51">
        <f t="shared" si="6"/>
        <v>0</v>
      </c>
      <c r="J180" s="58"/>
    </row>
    <row r="181" spans="1:10" x14ac:dyDescent="0.25">
      <c r="A181" s="53">
        <v>2</v>
      </c>
      <c r="B181" s="54">
        <v>2</v>
      </c>
      <c r="C181" s="54">
        <v>8</v>
      </c>
      <c r="D181" s="54">
        <v>1</v>
      </c>
      <c r="E181" s="55" t="s">
        <v>31</v>
      </c>
      <c r="F181" s="68" t="s">
        <v>158</v>
      </c>
      <c r="G181" s="56">
        <f>'[2]CUENTA T FONDO 100'!CO126</f>
        <v>0</v>
      </c>
      <c r="H181" s="56">
        <f>'[2]CUENTA T VS'!CO106</f>
        <v>0</v>
      </c>
      <c r="I181" s="56">
        <f t="shared" si="6"/>
        <v>0</v>
      </c>
      <c r="J181" s="57">
        <f>I181/$I$25</f>
        <v>0</v>
      </c>
    </row>
    <row r="182" spans="1:10" x14ac:dyDescent="0.25">
      <c r="A182" s="49">
        <v>2</v>
      </c>
      <c r="B182" s="50">
        <v>2</v>
      </c>
      <c r="C182" s="50">
        <v>8</v>
      </c>
      <c r="D182" s="50">
        <v>2</v>
      </c>
      <c r="E182" s="50"/>
      <c r="F182" s="69" t="s">
        <v>159</v>
      </c>
      <c r="G182" s="51">
        <f>SUM(G183)</f>
        <v>0</v>
      </c>
      <c r="H182" s="51">
        <f>SUM(H183)</f>
        <v>0</v>
      </c>
      <c r="I182" s="51">
        <f t="shared" si="6"/>
        <v>0</v>
      </c>
      <c r="J182" s="58"/>
    </row>
    <row r="183" spans="1:10" x14ac:dyDescent="0.25">
      <c r="A183" s="53">
        <v>2</v>
      </c>
      <c r="B183" s="54">
        <v>2</v>
      </c>
      <c r="C183" s="54">
        <v>8</v>
      </c>
      <c r="D183" s="54">
        <v>2</v>
      </c>
      <c r="E183" s="55" t="s">
        <v>31</v>
      </c>
      <c r="F183" s="68" t="s">
        <v>159</v>
      </c>
      <c r="G183" s="56">
        <f>'[2]CUENTA T FONDO 100'!CP126</f>
        <v>0</v>
      </c>
      <c r="H183" s="56">
        <f>'[2]CUENTA T VS'!CP106</f>
        <v>0</v>
      </c>
      <c r="I183" s="56">
        <f t="shared" si="6"/>
        <v>0</v>
      </c>
      <c r="J183" s="57">
        <f>I183/$I$25</f>
        <v>0</v>
      </c>
    </row>
    <row r="184" spans="1:10" x14ac:dyDescent="0.25">
      <c r="A184" s="49">
        <v>2</v>
      </c>
      <c r="B184" s="50">
        <v>2</v>
      </c>
      <c r="C184" s="50">
        <v>8</v>
      </c>
      <c r="D184" s="50">
        <v>3</v>
      </c>
      <c r="E184" s="50"/>
      <c r="F184" s="69" t="s">
        <v>160</v>
      </c>
      <c r="G184" s="51">
        <f>SUM(G185)</f>
        <v>0</v>
      </c>
      <c r="H184" s="51">
        <f>SUM(H185)</f>
        <v>0</v>
      </c>
      <c r="I184" s="51">
        <f t="shared" si="6"/>
        <v>0</v>
      </c>
      <c r="J184" s="58"/>
    </row>
    <row r="185" spans="1:10" x14ac:dyDescent="0.25">
      <c r="A185" s="53">
        <v>2</v>
      </c>
      <c r="B185" s="54">
        <v>2</v>
      </c>
      <c r="C185" s="54">
        <v>8</v>
      </c>
      <c r="D185" s="54">
        <v>3</v>
      </c>
      <c r="E185" s="55" t="s">
        <v>31</v>
      </c>
      <c r="F185" s="68" t="s">
        <v>160</v>
      </c>
      <c r="G185" s="56">
        <f>'[2]CUENTA T FONDO 100'!CQ126</f>
        <v>0</v>
      </c>
      <c r="H185" s="56">
        <f>'[2]CUENTA T VS'!CQ106</f>
        <v>0</v>
      </c>
      <c r="I185" s="56">
        <f t="shared" si="6"/>
        <v>0</v>
      </c>
      <c r="J185" s="57">
        <f>I185/$I$25</f>
        <v>0</v>
      </c>
    </row>
    <row r="186" spans="1:10" x14ac:dyDescent="0.25">
      <c r="A186" s="49">
        <v>2</v>
      </c>
      <c r="B186" s="50">
        <v>2</v>
      </c>
      <c r="C186" s="50">
        <v>8</v>
      </c>
      <c r="D186" s="50">
        <v>4</v>
      </c>
      <c r="E186" s="50"/>
      <c r="F186" s="69" t="s">
        <v>161</v>
      </c>
      <c r="G186" s="51">
        <f>SUM(G187)</f>
        <v>0</v>
      </c>
      <c r="H186" s="51">
        <f>SUM(H187)</f>
        <v>0</v>
      </c>
      <c r="I186" s="51">
        <f t="shared" si="6"/>
        <v>0</v>
      </c>
      <c r="J186" s="58"/>
    </row>
    <row r="187" spans="1:10" x14ac:dyDescent="0.25">
      <c r="A187" s="53">
        <v>2</v>
      </c>
      <c r="B187" s="54">
        <v>2</v>
      </c>
      <c r="C187" s="54">
        <v>8</v>
      </c>
      <c r="D187" s="54">
        <v>4</v>
      </c>
      <c r="E187" s="55" t="s">
        <v>31</v>
      </c>
      <c r="F187" s="68" t="s">
        <v>161</v>
      </c>
      <c r="G187" s="56">
        <f>'[2]CUENTA T FONDO 100'!CR126</f>
        <v>0</v>
      </c>
      <c r="H187" s="56">
        <f>'[2]CUENTA T VS'!CR106</f>
        <v>0</v>
      </c>
      <c r="I187" s="56">
        <f t="shared" si="6"/>
        <v>0</v>
      </c>
      <c r="J187" s="57">
        <f>I187/$I$25</f>
        <v>0</v>
      </c>
    </row>
    <row r="188" spans="1:10" x14ac:dyDescent="0.25">
      <c r="A188" s="49">
        <v>2</v>
      </c>
      <c r="B188" s="50">
        <v>2</v>
      </c>
      <c r="C188" s="50">
        <v>8</v>
      </c>
      <c r="D188" s="50">
        <v>5</v>
      </c>
      <c r="E188" s="50"/>
      <c r="F188" s="69" t="s">
        <v>162</v>
      </c>
      <c r="G188" s="51">
        <f>SUM(G189:G191)</f>
        <v>0</v>
      </c>
      <c r="H188" s="51">
        <f>SUM(H189:H191)</f>
        <v>92016.4</v>
      </c>
      <c r="I188" s="51">
        <f t="shared" si="6"/>
        <v>92016.4</v>
      </c>
      <c r="J188" s="58"/>
    </row>
    <row r="189" spans="1:10" x14ac:dyDescent="0.25">
      <c r="A189" s="53">
        <v>2</v>
      </c>
      <c r="B189" s="54">
        <v>2</v>
      </c>
      <c r="C189" s="54">
        <v>8</v>
      </c>
      <c r="D189" s="54">
        <v>5</v>
      </c>
      <c r="E189" s="55" t="s">
        <v>31</v>
      </c>
      <c r="F189" s="68" t="s">
        <v>163</v>
      </c>
      <c r="G189" s="56">
        <f>'[2]CUENTA T FONDO 100'!CS126</f>
        <v>0</v>
      </c>
      <c r="H189" s="56">
        <f>'[2]CUENTA T VS'!CS106</f>
        <v>0</v>
      </c>
      <c r="I189" s="56">
        <f t="shared" si="6"/>
        <v>0</v>
      </c>
      <c r="J189" s="57">
        <f>I189/$I$25</f>
        <v>0</v>
      </c>
    </row>
    <row r="190" spans="1:10" x14ac:dyDescent="0.25">
      <c r="A190" s="53">
        <v>2</v>
      </c>
      <c r="B190" s="54">
        <v>2</v>
      </c>
      <c r="C190" s="54">
        <v>8</v>
      </c>
      <c r="D190" s="54">
        <v>5</v>
      </c>
      <c r="E190" s="55" t="s">
        <v>33</v>
      </c>
      <c r="F190" s="68" t="s">
        <v>164</v>
      </c>
      <c r="G190" s="56">
        <f>'[2]CUENTA T FONDO 100'!CT126</f>
        <v>0</v>
      </c>
      <c r="H190" s="56">
        <f>'[2]CUENTA T VS'!CT106</f>
        <v>0</v>
      </c>
      <c r="I190" s="56">
        <f t="shared" si="6"/>
        <v>0</v>
      </c>
      <c r="J190" s="57">
        <f>I190/$I$25</f>
        <v>0</v>
      </c>
    </row>
    <row r="191" spans="1:10" x14ac:dyDescent="0.25">
      <c r="A191" s="53">
        <v>2</v>
      </c>
      <c r="B191" s="54">
        <v>2</v>
      </c>
      <c r="C191" s="54">
        <v>8</v>
      </c>
      <c r="D191" s="54">
        <v>5</v>
      </c>
      <c r="E191" s="55" t="s">
        <v>35</v>
      </c>
      <c r="F191" s="68" t="s">
        <v>165</v>
      </c>
      <c r="G191" s="56">
        <f>'[2]CUENTA T FONDO 100'!CU126</f>
        <v>0</v>
      </c>
      <c r="H191" s="56">
        <f>'[2]CUENTA T VS'!CU106</f>
        <v>92016.4</v>
      </c>
      <c r="I191" s="56">
        <f t="shared" si="6"/>
        <v>92016.4</v>
      </c>
      <c r="J191" s="57">
        <f>I191/$I$25</f>
        <v>9.1549609761028045E-4</v>
      </c>
    </row>
    <row r="192" spans="1:10" x14ac:dyDescent="0.25">
      <c r="A192" s="49">
        <v>2</v>
      </c>
      <c r="B192" s="50">
        <v>2</v>
      </c>
      <c r="C192" s="50">
        <v>8</v>
      </c>
      <c r="D192" s="50">
        <v>6</v>
      </c>
      <c r="E192" s="50"/>
      <c r="F192" s="69" t="s">
        <v>166</v>
      </c>
      <c r="G192" s="51">
        <f>SUM(G193:G196)</f>
        <v>0</v>
      </c>
      <c r="H192" s="51">
        <f>SUM(H193:H196)</f>
        <v>0</v>
      </c>
      <c r="I192" s="51">
        <f t="shared" si="6"/>
        <v>0</v>
      </c>
      <c r="J192" s="58"/>
    </row>
    <row r="193" spans="1:10" x14ac:dyDescent="0.25">
      <c r="A193" s="53">
        <v>2</v>
      </c>
      <c r="B193" s="54">
        <v>2</v>
      </c>
      <c r="C193" s="54">
        <v>8</v>
      </c>
      <c r="D193" s="54">
        <v>6</v>
      </c>
      <c r="E193" s="55" t="s">
        <v>31</v>
      </c>
      <c r="F193" s="68" t="s">
        <v>167</v>
      </c>
      <c r="G193" s="56">
        <f>'[2]CUENTA T FONDO 100'!CV126</f>
        <v>0</v>
      </c>
      <c r="H193" s="56">
        <f>'[2]CUENTA T VS'!CV106</f>
        <v>0</v>
      </c>
      <c r="I193" s="56">
        <f t="shared" si="6"/>
        <v>0</v>
      </c>
      <c r="J193" s="57">
        <f>I193/$I$25</f>
        <v>0</v>
      </c>
    </row>
    <row r="194" spans="1:10" x14ac:dyDescent="0.25">
      <c r="A194" s="53">
        <v>2</v>
      </c>
      <c r="B194" s="54">
        <v>2</v>
      </c>
      <c r="C194" s="54">
        <v>8</v>
      </c>
      <c r="D194" s="54">
        <v>6</v>
      </c>
      <c r="E194" s="55" t="s">
        <v>33</v>
      </c>
      <c r="F194" s="68" t="s">
        <v>168</v>
      </c>
      <c r="G194" s="56">
        <f>'[2]CUENTA T FONDO 100'!CW126</f>
        <v>0</v>
      </c>
      <c r="H194" s="56">
        <f>'[2]CUENTA T VS'!CW106</f>
        <v>0</v>
      </c>
      <c r="I194" s="56">
        <f t="shared" si="6"/>
        <v>0</v>
      </c>
      <c r="J194" s="57">
        <f>I194/$I$25</f>
        <v>0</v>
      </c>
    </row>
    <row r="195" spans="1:10" x14ac:dyDescent="0.25">
      <c r="A195" s="53">
        <v>2</v>
      </c>
      <c r="B195" s="54">
        <v>2</v>
      </c>
      <c r="C195" s="54">
        <v>8</v>
      </c>
      <c r="D195" s="54">
        <v>6</v>
      </c>
      <c r="E195" s="55" t="s">
        <v>35</v>
      </c>
      <c r="F195" s="68" t="s">
        <v>169</v>
      </c>
      <c r="G195" s="56">
        <f>'[2]CUENTA T FONDO 100'!CX126</f>
        <v>0</v>
      </c>
      <c r="H195" s="56">
        <f>'[2]CUENTA T VS'!CX106</f>
        <v>0</v>
      </c>
      <c r="I195" s="56">
        <f t="shared" si="6"/>
        <v>0</v>
      </c>
      <c r="J195" s="57">
        <f>I195/$I$25</f>
        <v>0</v>
      </c>
    </row>
    <row r="196" spans="1:10" x14ac:dyDescent="0.25">
      <c r="A196" s="53">
        <v>2</v>
      </c>
      <c r="B196" s="54">
        <v>2</v>
      </c>
      <c r="C196" s="54">
        <v>8</v>
      </c>
      <c r="D196" s="54">
        <v>6</v>
      </c>
      <c r="E196" s="55" t="s">
        <v>37</v>
      </c>
      <c r="F196" s="68" t="s">
        <v>170</v>
      </c>
      <c r="G196" s="56">
        <f>'[2]CUENTA T FONDO 100'!CY126</f>
        <v>0</v>
      </c>
      <c r="H196" s="56">
        <f>'[2]CUENTA T VS'!CY106</f>
        <v>0</v>
      </c>
      <c r="I196" s="56">
        <f t="shared" si="6"/>
        <v>0</v>
      </c>
      <c r="J196" s="57">
        <f>I196/$I$25</f>
        <v>0</v>
      </c>
    </row>
    <row r="197" spans="1:10" x14ac:dyDescent="0.25">
      <c r="A197" s="49">
        <v>2</v>
      </c>
      <c r="B197" s="50">
        <v>2</v>
      </c>
      <c r="C197" s="50">
        <v>8</v>
      </c>
      <c r="D197" s="50">
        <v>7</v>
      </c>
      <c r="E197" s="50"/>
      <c r="F197" s="69" t="s">
        <v>171</v>
      </c>
      <c r="G197" s="51">
        <f>SUM(G198:G203)</f>
        <v>413000</v>
      </c>
      <c r="H197" s="51">
        <f>SUM(H198:H203)</f>
        <v>42033</v>
      </c>
      <c r="I197" s="51">
        <f t="shared" si="6"/>
        <v>455033</v>
      </c>
      <c r="J197" s="58"/>
    </row>
    <row r="198" spans="1:10" x14ac:dyDescent="0.25">
      <c r="A198" s="53">
        <v>2</v>
      </c>
      <c r="B198" s="54">
        <v>2</v>
      </c>
      <c r="C198" s="54">
        <v>8</v>
      </c>
      <c r="D198" s="54">
        <v>7</v>
      </c>
      <c r="E198" s="55" t="s">
        <v>31</v>
      </c>
      <c r="F198" s="68" t="s">
        <v>172</v>
      </c>
      <c r="G198" s="56">
        <f>'[2]CUENTA T FONDO 100'!CZ126</f>
        <v>413000</v>
      </c>
      <c r="H198" s="56">
        <f>'[2]CUENTA T VS'!CZ106</f>
        <v>0</v>
      </c>
      <c r="I198" s="56">
        <f t="shared" si="6"/>
        <v>413000</v>
      </c>
      <c r="J198" s="57">
        <f t="shared" ref="J198:J203" si="9">I198/$I$25</f>
        <v>4.1090489120748676E-3</v>
      </c>
    </row>
    <row r="199" spans="1:10" x14ac:dyDescent="0.25">
      <c r="A199" s="53">
        <v>2</v>
      </c>
      <c r="B199" s="54">
        <v>2</v>
      </c>
      <c r="C199" s="54">
        <v>8</v>
      </c>
      <c r="D199" s="54">
        <v>7</v>
      </c>
      <c r="E199" s="55" t="s">
        <v>33</v>
      </c>
      <c r="F199" s="68" t="s">
        <v>173</v>
      </c>
      <c r="G199" s="56">
        <f>'[2]CUENTA T FONDO 100'!DA126</f>
        <v>0</v>
      </c>
      <c r="H199" s="56">
        <f>'[2]CUENTA T VS'!DA106</f>
        <v>0</v>
      </c>
      <c r="I199" s="56">
        <f t="shared" si="6"/>
        <v>0</v>
      </c>
      <c r="J199" s="57">
        <f t="shared" si="9"/>
        <v>0</v>
      </c>
    </row>
    <row r="200" spans="1:10" x14ac:dyDescent="0.25">
      <c r="A200" s="53">
        <v>2</v>
      </c>
      <c r="B200" s="54">
        <v>2</v>
      </c>
      <c r="C200" s="54">
        <v>8</v>
      </c>
      <c r="D200" s="54">
        <v>7</v>
      </c>
      <c r="E200" s="55" t="s">
        <v>35</v>
      </c>
      <c r="F200" s="68" t="s">
        <v>174</v>
      </c>
      <c r="G200" s="56">
        <f>'[2]CUENTA T FONDO 100'!DB126</f>
        <v>0</v>
      </c>
      <c r="H200" s="56">
        <f>'[2]CUENTA T VS'!DB106</f>
        <v>0</v>
      </c>
      <c r="I200" s="56">
        <f t="shared" si="6"/>
        <v>0</v>
      </c>
      <c r="J200" s="57">
        <f t="shared" si="9"/>
        <v>0</v>
      </c>
    </row>
    <row r="201" spans="1:10" x14ac:dyDescent="0.25">
      <c r="A201" s="53">
        <v>2</v>
      </c>
      <c r="B201" s="54">
        <v>2</v>
      </c>
      <c r="C201" s="54">
        <v>8</v>
      </c>
      <c r="D201" s="54">
        <v>7</v>
      </c>
      <c r="E201" s="55" t="s">
        <v>37</v>
      </c>
      <c r="F201" s="68" t="s">
        <v>175</v>
      </c>
      <c r="G201" s="56">
        <f>'[2]CUENTA T FONDO 100'!DC126</f>
        <v>0</v>
      </c>
      <c r="H201" s="56">
        <f>'[2]CUENTA T VS'!DC106</f>
        <v>0</v>
      </c>
      <c r="I201" s="56">
        <f t="shared" si="6"/>
        <v>0</v>
      </c>
      <c r="J201" s="57">
        <f t="shared" si="9"/>
        <v>0</v>
      </c>
    </row>
    <row r="202" spans="1:10" x14ac:dyDescent="0.25">
      <c r="A202" s="53">
        <v>2</v>
      </c>
      <c r="B202" s="54">
        <v>2</v>
      </c>
      <c r="C202" s="54">
        <v>8</v>
      </c>
      <c r="D202" s="54">
        <v>7</v>
      </c>
      <c r="E202" s="55" t="s">
        <v>39</v>
      </c>
      <c r="F202" s="68" t="s">
        <v>176</v>
      </c>
      <c r="G202" s="56">
        <f>'[2]CUENTA T FONDO 100'!DD126</f>
        <v>0</v>
      </c>
      <c r="H202" s="56">
        <f>'[2]CUENTA T VS'!DD106</f>
        <v>0</v>
      </c>
      <c r="I202" s="56">
        <f t="shared" si="6"/>
        <v>0</v>
      </c>
      <c r="J202" s="57">
        <f t="shared" si="9"/>
        <v>0</v>
      </c>
    </row>
    <row r="203" spans="1:10" x14ac:dyDescent="0.25">
      <c r="A203" s="53">
        <v>2</v>
      </c>
      <c r="B203" s="54">
        <v>2</v>
      </c>
      <c r="C203" s="54">
        <v>8</v>
      </c>
      <c r="D203" s="54">
        <v>7</v>
      </c>
      <c r="E203" s="55" t="s">
        <v>41</v>
      </c>
      <c r="F203" s="68" t="s">
        <v>177</v>
      </c>
      <c r="G203" s="56">
        <f>'[2]CUENTA T FONDO 100'!DE126</f>
        <v>0</v>
      </c>
      <c r="H203" s="56">
        <f>'[2]CUENTA T VS'!DE106</f>
        <v>42033</v>
      </c>
      <c r="I203" s="56">
        <f t="shared" si="6"/>
        <v>42033</v>
      </c>
      <c r="J203" s="57">
        <f t="shared" si="9"/>
        <v>4.1819770683109667E-4</v>
      </c>
    </row>
    <row r="204" spans="1:10" x14ac:dyDescent="0.25">
      <c r="A204" s="49">
        <v>2</v>
      </c>
      <c r="B204" s="50">
        <v>2</v>
      </c>
      <c r="C204" s="50">
        <v>8</v>
      </c>
      <c r="D204" s="50">
        <v>8</v>
      </c>
      <c r="E204" s="50"/>
      <c r="F204" s="69" t="s">
        <v>178</v>
      </c>
      <c r="G204" s="51">
        <f>SUM(G205:G207)</f>
        <v>0</v>
      </c>
      <c r="H204" s="51">
        <f>SUM(H205:H207)</f>
        <v>0</v>
      </c>
      <c r="I204" s="51">
        <f t="shared" si="6"/>
        <v>0</v>
      </c>
      <c r="J204" s="58"/>
    </row>
    <row r="205" spans="1:10" x14ac:dyDescent="0.25">
      <c r="A205" s="53">
        <v>2</v>
      </c>
      <c r="B205" s="54">
        <v>2</v>
      </c>
      <c r="C205" s="54">
        <v>8</v>
      </c>
      <c r="D205" s="54">
        <v>8</v>
      </c>
      <c r="E205" s="55" t="s">
        <v>31</v>
      </c>
      <c r="F205" s="68" t="s">
        <v>179</v>
      </c>
      <c r="G205" s="56">
        <f>'[2]CUENTA T FONDO 100'!DF126</f>
        <v>0</v>
      </c>
      <c r="H205" s="56">
        <f>'[2]CUENTA T VS'!DF106</f>
        <v>0</v>
      </c>
      <c r="I205" s="56">
        <f t="shared" si="6"/>
        <v>0</v>
      </c>
      <c r="J205" s="57">
        <f>I205/$I$25</f>
        <v>0</v>
      </c>
    </row>
    <row r="206" spans="1:10" x14ac:dyDescent="0.25">
      <c r="A206" s="53">
        <v>2</v>
      </c>
      <c r="B206" s="54">
        <v>2</v>
      </c>
      <c r="C206" s="54">
        <v>8</v>
      </c>
      <c r="D206" s="54">
        <v>8</v>
      </c>
      <c r="E206" s="55" t="s">
        <v>33</v>
      </c>
      <c r="F206" s="68" t="s">
        <v>180</v>
      </c>
      <c r="G206" s="56">
        <f>'[2]CUENTA T FONDO 100'!DG126</f>
        <v>0</v>
      </c>
      <c r="H206" s="56">
        <f>'[2]CUENTA T VS'!DG106</f>
        <v>0</v>
      </c>
      <c r="I206" s="56">
        <f t="shared" si="6"/>
        <v>0</v>
      </c>
      <c r="J206" s="57">
        <f>I206/$I$25</f>
        <v>0</v>
      </c>
    </row>
    <row r="207" spans="1:10" x14ac:dyDescent="0.25">
      <c r="A207" s="53">
        <v>2</v>
      </c>
      <c r="B207" s="54">
        <v>2</v>
      </c>
      <c r="C207" s="54">
        <v>8</v>
      </c>
      <c r="D207" s="54">
        <v>8</v>
      </c>
      <c r="E207" s="55" t="s">
        <v>35</v>
      </c>
      <c r="F207" s="68" t="s">
        <v>181</v>
      </c>
      <c r="G207" s="56">
        <f>'[2]CUENTA T FONDO 100'!DH126</f>
        <v>0</v>
      </c>
      <c r="H207" s="56">
        <f>'[2]CUENTA T VS'!DH106</f>
        <v>0</v>
      </c>
      <c r="I207" s="56">
        <f t="shared" si="6"/>
        <v>0</v>
      </c>
      <c r="J207" s="57">
        <f>I207/$I$25</f>
        <v>0</v>
      </c>
    </row>
    <row r="208" spans="1:10" x14ac:dyDescent="0.25">
      <c r="A208" s="46">
        <v>2</v>
      </c>
      <c r="B208" s="47">
        <v>2</v>
      </c>
      <c r="C208" s="47">
        <v>9</v>
      </c>
      <c r="D208" s="47"/>
      <c r="E208" s="47"/>
      <c r="F208" s="70" t="s">
        <v>182</v>
      </c>
      <c r="G208" s="48">
        <f t="shared" ref="G208:H208" si="10">+G209</f>
        <v>0</v>
      </c>
      <c r="H208" s="48">
        <f t="shared" si="10"/>
        <v>0</v>
      </c>
      <c r="I208" s="48">
        <f t="shared" si="6"/>
        <v>0</v>
      </c>
      <c r="J208" s="45"/>
    </row>
    <row r="209" spans="1:10" x14ac:dyDescent="0.25">
      <c r="A209" s="49">
        <v>2</v>
      </c>
      <c r="B209" s="50">
        <v>2</v>
      </c>
      <c r="C209" s="50">
        <v>9</v>
      </c>
      <c r="D209" s="50">
        <v>2</v>
      </c>
      <c r="E209" s="50"/>
      <c r="F209" s="69" t="s">
        <v>183</v>
      </c>
      <c r="G209" s="51">
        <f>G210+G211</f>
        <v>0</v>
      </c>
      <c r="H209" s="51">
        <f t="shared" ref="H209" si="11">H210+H211</f>
        <v>0</v>
      </c>
      <c r="I209" s="51">
        <f t="shared" si="6"/>
        <v>0</v>
      </c>
      <c r="J209" s="58"/>
    </row>
    <row r="210" spans="1:10" x14ac:dyDescent="0.25">
      <c r="A210" s="53">
        <v>2</v>
      </c>
      <c r="B210" s="54">
        <v>2</v>
      </c>
      <c r="C210" s="54">
        <v>9</v>
      </c>
      <c r="D210" s="54">
        <v>2</v>
      </c>
      <c r="E210" s="55" t="s">
        <v>31</v>
      </c>
      <c r="F210" s="68" t="s">
        <v>184</v>
      </c>
      <c r="G210" s="56">
        <f>'[2]CUENTA T FONDO 100'!DI126</f>
        <v>0</v>
      </c>
      <c r="H210" s="56">
        <f>'[2]CUENTA T VS'!DI106</f>
        <v>0</v>
      </c>
      <c r="I210" s="56">
        <f t="shared" si="6"/>
        <v>0</v>
      </c>
      <c r="J210" s="57">
        <f>I210/$I$25</f>
        <v>0</v>
      </c>
    </row>
    <row r="211" spans="1:10" x14ac:dyDescent="0.25">
      <c r="A211" s="53">
        <v>2</v>
      </c>
      <c r="B211" s="54">
        <v>2</v>
      </c>
      <c r="C211" s="54">
        <v>9</v>
      </c>
      <c r="D211" s="54">
        <v>2</v>
      </c>
      <c r="E211" s="55" t="s">
        <v>35</v>
      </c>
      <c r="F211" s="68" t="s">
        <v>185</v>
      </c>
      <c r="G211" s="56">
        <f>'[2]CUENTA T FONDO 100'!DJ126</f>
        <v>0</v>
      </c>
      <c r="H211" s="56">
        <f>'[2]CUENTA T VS'!DJ106</f>
        <v>0</v>
      </c>
      <c r="I211" s="56">
        <f t="shared" si="6"/>
        <v>0</v>
      </c>
      <c r="J211" s="57">
        <f>I211/$I$25</f>
        <v>0</v>
      </c>
    </row>
    <row r="212" spans="1:10" x14ac:dyDescent="0.25">
      <c r="A212" s="60">
        <v>2</v>
      </c>
      <c r="B212" s="47">
        <v>3</v>
      </c>
      <c r="C212" s="47"/>
      <c r="D212" s="47"/>
      <c r="E212" s="47"/>
      <c r="F212" s="70" t="s">
        <v>186</v>
      </c>
      <c r="G212" s="48">
        <f>G213+G225+G232+G245+G250+G261+G286+G303+G308</f>
        <v>16608513.620000001</v>
      </c>
      <c r="H212" s="48">
        <f>H213+H225+H232+H245+H250+H261+H286+H303+H308</f>
        <v>2557401.6</v>
      </c>
      <c r="I212" s="48">
        <f t="shared" si="6"/>
        <v>19165915.220000003</v>
      </c>
      <c r="J212" s="45">
        <f>I212/$I$25</f>
        <v>0.19068688397980668</v>
      </c>
    </row>
    <row r="213" spans="1:10" x14ac:dyDescent="0.25">
      <c r="A213" s="60">
        <v>2</v>
      </c>
      <c r="B213" s="47">
        <v>3</v>
      </c>
      <c r="C213" s="47">
        <v>1</v>
      </c>
      <c r="D213" s="47"/>
      <c r="E213" s="47"/>
      <c r="F213" s="70" t="s">
        <v>187</v>
      </c>
      <c r="G213" s="48">
        <f>+G214+G217+G219+G223</f>
        <v>1657538.8</v>
      </c>
      <c r="H213" s="48">
        <f>+H214+H217+H219+H223</f>
        <v>355075</v>
      </c>
      <c r="I213" s="48">
        <f t="shared" si="6"/>
        <v>2012613.8</v>
      </c>
      <c r="J213" s="45"/>
    </row>
    <row r="214" spans="1:10" x14ac:dyDescent="0.25">
      <c r="A214" s="61">
        <v>2</v>
      </c>
      <c r="B214" s="50">
        <v>3</v>
      </c>
      <c r="C214" s="50">
        <v>1</v>
      </c>
      <c r="D214" s="50">
        <v>1</v>
      </c>
      <c r="E214" s="64"/>
      <c r="F214" s="69" t="s">
        <v>188</v>
      </c>
      <c r="G214" s="51">
        <f>SUM(G215:G216)</f>
        <v>1657538.8</v>
      </c>
      <c r="H214" s="51">
        <f>SUM(H215:H216)</f>
        <v>355075</v>
      </c>
      <c r="I214" s="51">
        <f t="shared" si="6"/>
        <v>2012613.8</v>
      </c>
      <c r="J214" s="58"/>
    </row>
    <row r="215" spans="1:10" x14ac:dyDescent="0.25">
      <c r="A215" s="62">
        <v>2</v>
      </c>
      <c r="B215" s="54">
        <v>3</v>
      </c>
      <c r="C215" s="54">
        <v>1</v>
      </c>
      <c r="D215" s="54">
        <v>1</v>
      </c>
      <c r="E215" s="55" t="s">
        <v>31</v>
      </c>
      <c r="F215" s="68" t="s">
        <v>188</v>
      </c>
      <c r="G215" s="56">
        <f>'[2]CUENTA T FONDO 100'!DK126</f>
        <v>1657538.8</v>
      </c>
      <c r="H215" s="56">
        <f>'[2]CUENTA T VS'!DK106</f>
        <v>355075</v>
      </c>
      <c r="I215" s="56">
        <f t="shared" si="6"/>
        <v>2012613.8</v>
      </c>
      <c r="J215" s="57">
        <f>I215/$I$25</f>
        <v>2.0024040061299916E-2</v>
      </c>
    </row>
    <row r="216" spans="1:10" x14ac:dyDescent="0.25">
      <c r="A216" s="62">
        <v>2</v>
      </c>
      <c r="B216" s="54">
        <v>3</v>
      </c>
      <c r="C216" s="54">
        <v>1</v>
      </c>
      <c r="D216" s="54">
        <v>1</v>
      </c>
      <c r="E216" s="55" t="s">
        <v>33</v>
      </c>
      <c r="F216" s="68" t="s">
        <v>189</v>
      </c>
      <c r="G216" s="56">
        <f>'[2]CUENTA T FONDO 100'!DL126</f>
        <v>0</v>
      </c>
      <c r="H216" s="56">
        <f>'[2]CUENTA T VS'!DL106</f>
        <v>0</v>
      </c>
      <c r="I216" s="56">
        <f t="shared" si="6"/>
        <v>0</v>
      </c>
      <c r="J216" s="57">
        <f>I216/$I$25</f>
        <v>0</v>
      </c>
    </row>
    <row r="217" spans="1:10" x14ac:dyDescent="0.25">
      <c r="A217" s="61">
        <v>2</v>
      </c>
      <c r="B217" s="50">
        <v>3</v>
      </c>
      <c r="C217" s="50">
        <v>1</v>
      </c>
      <c r="D217" s="50">
        <v>2</v>
      </c>
      <c r="E217" s="64"/>
      <c r="F217" s="69" t="s">
        <v>190</v>
      </c>
      <c r="G217" s="51">
        <f>SUM(G218)</f>
        <v>0</v>
      </c>
      <c r="H217" s="51">
        <f>SUM(H218)</f>
        <v>0</v>
      </c>
      <c r="I217" s="51">
        <f t="shared" ref="I217:I280" si="12">SUM(G217:H217)</f>
        <v>0</v>
      </c>
      <c r="J217" s="58"/>
    </row>
    <row r="218" spans="1:10" x14ac:dyDescent="0.25">
      <c r="A218" s="62">
        <v>2</v>
      </c>
      <c r="B218" s="54">
        <v>3</v>
      </c>
      <c r="C218" s="54">
        <v>1</v>
      </c>
      <c r="D218" s="54">
        <v>2</v>
      </c>
      <c r="E218" s="55" t="s">
        <v>31</v>
      </c>
      <c r="F218" s="68" t="s">
        <v>190</v>
      </c>
      <c r="G218" s="56">
        <f>'[2]CUENTA T FONDO 100'!DM126</f>
        <v>0</v>
      </c>
      <c r="H218" s="56">
        <f>'[2]CUENTA T VS'!DM106</f>
        <v>0</v>
      </c>
      <c r="I218" s="56">
        <f t="shared" si="12"/>
        <v>0</v>
      </c>
      <c r="J218" s="57">
        <f>I218/$I$25</f>
        <v>0</v>
      </c>
    </row>
    <row r="219" spans="1:10" x14ac:dyDescent="0.25">
      <c r="A219" s="61">
        <v>2</v>
      </c>
      <c r="B219" s="50">
        <v>3</v>
      </c>
      <c r="C219" s="50">
        <v>1</v>
      </c>
      <c r="D219" s="50">
        <v>3</v>
      </c>
      <c r="E219" s="50"/>
      <c r="F219" s="69" t="s">
        <v>191</v>
      </c>
      <c r="G219" s="51">
        <f>SUM(G220:G222)</f>
        <v>0</v>
      </c>
      <c r="H219" s="51">
        <f>SUM(H220:H222)</f>
        <v>0</v>
      </c>
      <c r="I219" s="51">
        <f t="shared" si="12"/>
        <v>0</v>
      </c>
      <c r="J219" s="58"/>
    </row>
    <row r="220" spans="1:10" x14ac:dyDescent="0.25">
      <c r="A220" s="62">
        <v>2</v>
      </c>
      <c r="B220" s="54">
        <v>3</v>
      </c>
      <c r="C220" s="54">
        <v>1</v>
      </c>
      <c r="D220" s="54">
        <v>3</v>
      </c>
      <c r="E220" s="55" t="s">
        <v>31</v>
      </c>
      <c r="F220" s="68" t="s">
        <v>192</v>
      </c>
      <c r="G220" s="56">
        <f>'[2]CUENTA T FONDO 100'!DN126</f>
        <v>0</v>
      </c>
      <c r="H220" s="56">
        <f>'[2]CUENTA T VS'!DN106</f>
        <v>0</v>
      </c>
      <c r="I220" s="56">
        <f t="shared" si="12"/>
        <v>0</v>
      </c>
      <c r="J220" s="57">
        <f>I220/$I$25</f>
        <v>0</v>
      </c>
    </row>
    <row r="221" spans="1:10" x14ac:dyDescent="0.25">
      <c r="A221" s="62">
        <v>2</v>
      </c>
      <c r="B221" s="54">
        <v>3</v>
      </c>
      <c r="C221" s="54">
        <v>1</v>
      </c>
      <c r="D221" s="54">
        <v>3</v>
      </c>
      <c r="E221" s="55" t="s">
        <v>33</v>
      </c>
      <c r="F221" s="68" t="s">
        <v>193</v>
      </c>
      <c r="G221" s="56">
        <f>'[2]CUENTA T FONDO 100'!DO126</f>
        <v>0</v>
      </c>
      <c r="H221" s="56">
        <f>'[2]CUENTA T VS'!DO106</f>
        <v>0</v>
      </c>
      <c r="I221" s="56">
        <f t="shared" si="12"/>
        <v>0</v>
      </c>
      <c r="J221" s="57">
        <f>I221/$I$25</f>
        <v>0</v>
      </c>
    </row>
    <row r="222" spans="1:10" x14ac:dyDescent="0.25">
      <c r="A222" s="62">
        <v>2</v>
      </c>
      <c r="B222" s="54">
        <v>3</v>
      </c>
      <c r="C222" s="54">
        <v>1</v>
      </c>
      <c r="D222" s="54">
        <v>3</v>
      </c>
      <c r="E222" s="55" t="s">
        <v>35</v>
      </c>
      <c r="F222" s="68" t="s">
        <v>194</v>
      </c>
      <c r="G222" s="56">
        <f>'[2]CUENTA T FONDO 100'!DP126</f>
        <v>0</v>
      </c>
      <c r="H222" s="56">
        <f>'[2]CUENTA T VS'!DP106</f>
        <v>0</v>
      </c>
      <c r="I222" s="56">
        <f t="shared" si="12"/>
        <v>0</v>
      </c>
      <c r="J222" s="57">
        <f>I222/$I$25</f>
        <v>0</v>
      </c>
    </row>
    <row r="223" spans="1:10" x14ac:dyDescent="0.25">
      <c r="A223" s="61">
        <v>2</v>
      </c>
      <c r="B223" s="50">
        <v>3</v>
      </c>
      <c r="C223" s="50">
        <v>1</v>
      </c>
      <c r="D223" s="50">
        <v>4</v>
      </c>
      <c r="E223" s="50"/>
      <c r="F223" s="69" t="s">
        <v>195</v>
      </c>
      <c r="G223" s="51">
        <f>SUM(G224)</f>
        <v>0</v>
      </c>
      <c r="H223" s="51">
        <f>SUM(H224)</f>
        <v>0</v>
      </c>
      <c r="I223" s="51">
        <f t="shared" si="12"/>
        <v>0</v>
      </c>
      <c r="J223" s="58"/>
    </row>
    <row r="224" spans="1:10" x14ac:dyDescent="0.25">
      <c r="A224" s="62">
        <v>2</v>
      </c>
      <c r="B224" s="54">
        <v>3</v>
      </c>
      <c r="C224" s="54">
        <v>1</v>
      </c>
      <c r="D224" s="54">
        <v>4</v>
      </c>
      <c r="E224" s="55" t="s">
        <v>31</v>
      </c>
      <c r="F224" s="68" t="s">
        <v>195</v>
      </c>
      <c r="G224" s="56">
        <f>'[2]CUENTA T FONDO 100'!DQ126</f>
        <v>0</v>
      </c>
      <c r="H224" s="56">
        <f>'[2]CUENTA T VS'!DQ106</f>
        <v>0</v>
      </c>
      <c r="I224" s="56">
        <f t="shared" si="12"/>
        <v>0</v>
      </c>
      <c r="J224" s="57">
        <f>I224/$I$25</f>
        <v>0</v>
      </c>
    </row>
    <row r="225" spans="1:10" x14ac:dyDescent="0.25">
      <c r="A225" s="60">
        <v>2</v>
      </c>
      <c r="B225" s="47">
        <v>3</v>
      </c>
      <c r="C225" s="47">
        <v>2</v>
      </c>
      <c r="D225" s="47"/>
      <c r="E225" s="65"/>
      <c r="F225" s="70" t="s">
        <v>196</v>
      </c>
      <c r="G225" s="48">
        <f>+G226+G228+G230</f>
        <v>0</v>
      </c>
      <c r="H225" s="48">
        <f>+H226+H228+H230</f>
        <v>141128</v>
      </c>
      <c r="I225" s="48">
        <f t="shared" si="12"/>
        <v>141128</v>
      </c>
      <c r="J225" s="45"/>
    </row>
    <row r="226" spans="1:10" x14ac:dyDescent="0.25">
      <c r="A226" s="61">
        <v>2</v>
      </c>
      <c r="B226" s="50">
        <v>3</v>
      </c>
      <c r="C226" s="50">
        <v>2</v>
      </c>
      <c r="D226" s="50">
        <v>1</v>
      </c>
      <c r="E226" s="50"/>
      <c r="F226" s="69" t="s">
        <v>197</v>
      </c>
      <c r="G226" s="51">
        <f>SUM(G227)</f>
        <v>0</v>
      </c>
      <c r="H226" s="51">
        <f>SUM(H227)</f>
        <v>141128</v>
      </c>
      <c r="I226" s="51">
        <f t="shared" si="12"/>
        <v>141128</v>
      </c>
      <c r="J226" s="58"/>
    </row>
    <row r="227" spans="1:10" x14ac:dyDescent="0.25">
      <c r="A227" s="62">
        <v>2</v>
      </c>
      <c r="B227" s="54">
        <v>3</v>
      </c>
      <c r="C227" s="54">
        <v>2</v>
      </c>
      <c r="D227" s="54">
        <v>1</v>
      </c>
      <c r="E227" s="55" t="s">
        <v>31</v>
      </c>
      <c r="F227" s="68" t="s">
        <v>197</v>
      </c>
      <c r="G227" s="56">
        <f>'[2]CUENTA T FONDO 100'!DR126</f>
        <v>0</v>
      </c>
      <c r="H227" s="56">
        <f>'[2]CUENTA T VS'!DR106</f>
        <v>141128</v>
      </c>
      <c r="I227" s="56">
        <f t="shared" si="12"/>
        <v>141128</v>
      </c>
      <c r="J227" s="57">
        <f>I227/$I$25</f>
        <v>1.4041207139547263E-3</v>
      </c>
    </row>
    <row r="228" spans="1:10" x14ac:dyDescent="0.25">
      <c r="A228" s="61">
        <v>2</v>
      </c>
      <c r="B228" s="50">
        <v>3</v>
      </c>
      <c r="C228" s="50">
        <v>2</v>
      </c>
      <c r="D228" s="50">
        <v>2</v>
      </c>
      <c r="E228" s="50"/>
      <c r="F228" s="69" t="s">
        <v>198</v>
      </c>
      <c r="G228" s="51">
        <f>SUM(G229)</f>
        <v>0</v>
      </c>
      <c r="H228" s="51">
        <f>SUM(H229)</f>
        <v>0</v>
      </c>
      <c r="I228" s="51">
        <f t="shared" si="12"/>
        <v>0</v>
      </c>
      <c r="J228" s="58"/>
    </row>
    <row r="229" spans="1:10" x14ac:dyDescent="0.25">
      <c r="A229" s="62">
        <v>2</v>
      </c>
      <c r="B229" s="54">
        <v>3</v>
      </c>
      <c r="C229" s="54">
        <v>2</v>
      </c>
      <c r="D229" s="54">
        <v>2</v>
      </c>
      <c r="E229" s="55" t="s">
        <v>31</v>
      </c>
      <c r="F229" s="68" t="s">
        <v>198</v>
      </c>
      <c r="G229" s="56">
        <f>'[2]CUENTA T FONDO 100'!DS126</f>
        <v>0</v>
      </c>
      <c r="H229" s="56">
        <f>'[2]CUENTA T VS'!DS106</f>
        <v>0</v>
      </c>
      <c r="I229" s="56">
        <f t="shared" si="12"/>
        <v>0</v>
      </c>
      <c r="J229" s="57">
        <f>I229/$I$25</f>
        <v>0</v>
      </c>
    </row>
    <row r="230" spans="1:10" x14ac:dyDescent="0.25">
      <c r="A230" s="61">
        <v>2</v>
      </c>
      <c r="B230" s="50">
        <v>3</v>
      </c>
      <c r="C230" s="50">
        <v>2</v>
      </c>
      <c r="D230" s="50">
        <v>3</v>
      </c>
      <c r="E230" s="50"/>
      <c r="F230" s="69" t="s">
        <v>199</v>
      </c>
      <c r="G230" s="51">
        <f>SUM(G231)</f>
        <v>0</v>
      </c>
      <c r="H230" s="51">
        <f>SUM(H231)</f>
        <v>0</v>
      </c>
      <c r="I230" s="51">
        <f t="shared" si="12"/>
        <v>0</v>
      </c>
      <c r="J230" s="58"/>
    </row>
    <row r="231" spans="1:10" x14ac:dyDescent="0.25">
      <c r="A231" s="62">
        <v>2</v>
      </c>
      <c r="B231" s="54">
        <v>3</v>
      </c>
      <c r="C231" s="54">
        <v>2</v>
      </c>
      <c r="D231" s="54">
        <v>3</v>
      </c>
      <c r="E231" s="55" t="s">
        <v>31</v>
      </c>
      <c r="F231" s="68" t="s">
        <v>199</v>
      </c>
      <c r="G231" s="56">
        <f>'[2]CUENTA T FONDO 100'!DT126</f>
        <v>0</v>
      </c>
      <c r="H231" s="56">
        <f>'[2]CUENTA T VS'!DT106</f>
        <v>0</v>
      </c>
      <c r="I231" s="56">
        <f t="shared" si="12"/>
        <v>0</v>
      </c>
      <c r="J231" s="57">
        <f>I231/$I$25</f>
        <v>0</v>
      </c>
    </row>
    <row r="232" spans="1:10" x14ac:dyDescent="0.25">
      <c r="A232" s="60">
        <v>2</v>
      </c>
      <c r="B232" s="47">
        <v>3</v>
      </c>
      <c r="C232" s="47">
        <v>3</v>
      </c>
      <c r="D232" s="47"/>
      <c r="E232" s="65"/>
      <c r="F232" s="70" t="s">
        <v>200</v>
      </c>
      <c r="G232" s="48">
        <f>+G233+G235+G237+G239+G241+G243</f>
        <v>765138.96</v>
      </c>
      <c r="H232" s="48">
        <f>+H233+H235+H237+H239+H241+H243</f>
        <v>607165</v>
      </c>
      <c r="I232" s="48">
        <f t="shared" si="12"/>
        <v>1372303.96</v>
      </c>
      <c r="J232" s="45"/>
    </row>
    <row r="233" spans="1:10" x14ac:dyDescent="0.25">
      <c r="A233" s="61">
        <v>2</v>
      </c>
      <c r="B233" s="50">
        <v>3</v>
      </c>
      <c r="C233" s="50">
        <v>3</v>
      </c>
      <c r="D233" s="50">
        <v>1</v>
      </c>
      <c r="E233" s="50"/>
      <c r="F233" s="69" t="s">
        <v>201</v>
      </c>
      <c r="G233" s="51">
        <f>SUM(G234)</f>
        <v>9487.2000000000007</v>
      </c>
      <c r="H233" s="51">
        <f>SUM(H234)</f>
        <v>0</v>
      </c>
      <c r="I233" s="51">
        <f t="shared" si="12"/>
        <v>9487.2000000000007</v>
      </c>
      <c r="J233" s="58"/>
    </row>
    <row r="234" spans="1:10" x14ac:dyDescent="0.25">
      <c r="A234" s="62">
        <v>2</v>
      </c>
      <c r="B234" s="54">
        <v>3</v>
      </c>
      <c r="C234" s="54">
        <v>3</v>
      </c>
      <c r="D234" s="54">
        <v>1</v>
      </c>
      <c r="E234" s="55" t="s">
        <v>31</v>
      </c>
      <c r="F234" s="68" t="s">
        <v>201</v>
      </c>
      <c r="G234" s="56">
        <f>'[2]CUENTA T FONDO 100'!DU126</f>
        <v>9487.2000000000007</v>
      </c>
      <c r="H234" s="56">
        <f>'[2]CUENTA T VS'!DU106</f>
        <v>0</v>
      </c>
      <c r="I234" s="56">
        <f t="shared" si="12"/>
        <v>9487.2000000000007</v>
      </c>
      <c r="J234" s="57">
        <f>I234/$I$25</f>
        <v>9.439072358023411E-5</v>
      </c>
    </row>
    <row r="235" spans="1:10" x14ac:dyDescent="0.25">
      <c r="A235" s="61">
        <v>2</v>
      </c>
      <c r="B235" s="50">
        <v>3</v>
      </c>
      <c r="C235" s="50">
        <v>3</v>
      </c>
      <c r="D235" s="50">
        <v>2</v>
      </c>
      <c r="E235" s="50"/>
      <c r="F235" s="69" t="s">
        <v>202</v>
      </c>
      <c r="G235" s="51">
        <f>SUM(G236)</f>
        <v>217335.76</v>
      </c>
      <c r="H235" s="51">
        <f>SUM(H236)</f>
        <v>498900</v>
      </c>
      <c r="I235" s="51">
        <f t="shared" si="12"/>
        <v>716235.76</v>
      </c>
      <c r="J235" s="58"/>
    </row>
    <row r="236" spans="1:10" x14ac:dyDescent="0.25">
      <c r="A236" s="62">
        <v>2</v>
      </c>
      <c r="B236" s="54">
        <v>3</v>
      </c>
      <c r="C236" s="54">
        <v>3</v>
      </c>
      <c r="D236" s="54">
        <v>2</v>
      </c>
      <c r="E236" s="55" t="s">
        <v>31</v>
      </c>
      <c r="F236" s="68" t="s">
        <v>202</v>
      </c>
      <c r="G236" s="56">
        <f>'[2]CUENTA T FONDO 100'!DV126</f>
        <v>217335.76</v>
      </c>
      <c r="H236" s="56">
        <f>'[2]CUENTA T VS'!DV106</f>
        <v>498900</v>
      </c>
      <c r="I236" s="56">
        <f t="shared" si="12"/>
        <v>716235.76</v>
      </c>
      <c r="J236" s="57">
        <f>I236/$I$25</f>
        <v>7.1260236571843005E-3</v>
      </c>
    </row>
    <row r="237" spans="1:10" x14ac:dyDescent="0.25">
      <c r="A237" s="61">
        <v>2</v>
      </c>
      <c r="B237" s="50">
        <v>3</v>
      </c>
      <c r="C237" s="50">
        <v>3</v>
      </c>
      <c r="D237" s="50">
        <v>3</v>
      </c>
      <c r="E237" s="50"/>
      <c r="F237" s="69" t="s">
        <v>203</v>
      </c>
      <c r="G237" s="51">
        <f>SUM(G238)</f>
        <v>538316</v>
      </c>
      <c r="H237" s="51">
        <f>SUM(H238)</f>
        <v>108265</v>
      </c>
      <c r="I237" s="51">
        <f t="shared" si="12"/>
        <v>646581</v>
      </c>
      <c r="J237" s="58"/>
    </row>
    <row r="238" spans="1:10" x14ac:dyDescent="0.25">
      <c r="A238" s="62">
        <v>2</v>
      </c>
      <c r="B238" s="54">
        <v>3</v>
      </c>
      <c r="C238" s="54">
        <v>3</v>
      </c>
      <c r="D238" s="54">
        <v>3</v>
      </c>
      <c r="E238" s="55" t="s">
        <v>31</v>
      </c>
      <c r="F238" s="68" t="s">
        <v>203</v>
      </c>
      <c r="G238" s="56">
        <f>'[2]CUENTA T FONDO 100'!DW126</f>
        <v>538316</v>
      </c>
      <c r="H238" s="56">
        <f>'[2]CUENTA T VS'!DW106</f>
        <v>108265</v>
      </c>
      <c r="I238" s="56">
        <f t="shared" si="12"/>
        <v>646581</v>
      </c>
      <c r="J238" s="57">
        <f>I238/$I$25</f>
        <v>6.4330095753469254E-3</v>
      </c>
    </row>
    <row r="239" spans="1:10" x14ac:dyDescent="0.25">
      <c r="A239" s="61">
        <v>2</v>
      </c>
      <c r="B239" s="50">
        <v>3</v>
      </c>
      <c r="C239" s="50">
        <v>3</v>
      </c>
      <c r="D239" s="50">
        <v>4</v>
      </c>
      <c r="E239" s="50"/>
      <c r="F239" s="69" t="s">
        <v>204</v>
      </c>
      <c r="G239" s="51">
        <f>SUM(G240)</f>
        <v>0</v>
      </c>
      <c r="H239" s="51">
        <f>SUM(H240)</f>
        <v>0</v>
      </c>
      <c r="I239" s="51">
        <f t="shared" si="12"/>
        <v>0</v>
      </c>
      <c r="J239" s="58"/>
    </row>
    <row r="240" spans="1:10" x14ac:dyDescent="0.25">
      <c r="A240" s="62">
        <v>2</v>
      </c>
      <c r="B240" s="54">
        <v>3</v>
      </c>
      <c r="C240" s="54">
        <v>3</v>
      </c>
      <c r="D240" s="54">
        <v>4</v>
      </c>
      <c r="E240" s="55" t="s">
        <v>31</v>
      </c>
      <c r="F240" s="68" t="s">
        <v>204</v>
      </c>
      <c r="G240" s="56">
        <f>'[2]CUENTA T FONDO 100'!DX126</f>
        <v>0</v>
      </c>
      <c r="H240" s="56">
        <f>'[2]CUENTA T VS'!DX106</f>
        <v>0</v>
      </c>
      <c r="I240" s="56">
        <f t="shared" si="12"/>
        <v>0</v>
      </c>
      <c r="J240" s="57">
        <f>I240/$I$25</f>
        <v>0</v>
      </c>
    </row>
    <row r="241" spans="1:10" x14ac:dyDescent="0.25">
      <c r="A241" s="61">
        <v>2</v>
      </c>
      <c r="B241" s="50">
        <v>3</v>
      </c>
      <c r="C241" s="50">
        <v>3</v>
      </c>
      <c r="D241" s="50">
        <v>5</v>
      </c>
      <c r="E241" s="50"/>
      <c r="F241" s="69" t="s">
        <v>205</v>
      </c>
      <c r="G241" s="51">
        <f>SUM(G242)</f>
        <v>0</v>
      </c>
      <c r="H241" s="51">
        <f>SUM(H242)</f>
        <v>0</v>
      </c>
      <c r="I241" s="51">
        <f t="shared" si="12"/>
        <v>0</v>
      </c>
      <c r="J241" s="58"/>
    </row>
    <row r="242" spans="1:10" x14ac:dyDescent="0.25">
      <c r="A242" s="62">
        <v>2</v>
      </c>
      <c r="B242" s="54">
        <v>3</v>
      </c>
      <c r="C242" s="54">
        <v>3</v>
      </c>
      <c r="D242" s="54">
        <v>5</v>
      </c>
      <c r="E242" s="55" t="s">
        <v>31</v>
      </c>
      <c r="F242" s="68" t="s">
        <v>205</v>
      </c>
      <c r="G242" s="56">
        <f>'[2]CUENTA T FONDO 100'!DY126</f>
        <v>0</v>
      </c>
      <c r="H242" s="56">
        <f>'[2]CUENTA T VS'!DY106</f>
        <v>0</v>
      </c>
      <c r="I242" s="56">
        <f t="shared" si="12"/>
        <v>0</v>
      </c>
      <c r="J242" s="57">
        <f>I242/$I$25</f>
        <v>0</v>
      </c>
    </row>
    <row r="243" spans="1:10" x14ac:dyDescent="0.25">
      <c r="A243" s="61">
        <v>2</v>
      </c>
      <c r="B243" s="50">
        <v>3</v>
      </c>
      <c r="C243" s="50">
        <v>3</v>
      </c>
      <c r="D243" s="50">
        <v>6</v>
      </c>
      <c r="E243" s="50"/>
      <c r="F243" s="69" t="s">
        <v>206</v>
      </c>
      <c r="G243" s="51">
        <f>SUM(G244)</f>
        <v>0</v>
      </c>
      <c r="H243" s="51">
        <f>SUM(H244)</f>
        <v>0</v>
      </c>
      <c r="I243" s="51">
        <f t="shared" si="12"/>
        <v>0</v>
      </c>
      <c r="J243" s="58"/>
    </row>
    <row r="244" spans="1:10" x14ac:dyDescent="0.25">
      <c r="A244" s="62">
        <v>2</v>
      </c>
      <c r="B244" s="54">
        <v>3</v>
      </c>
      <c r="C244" s="54">
        <v>3</v>
      </c>
      <c r="D244" s="54">
        <v>6</v>
      </c>
      <c r="E244" s="55" t="s">
        <v>31</v>
      </c>
      <c r="F244" s="68" t="s">
        <v>206</v>
      </c>
      <c r="G244" s="56">
        <f>'[2]CUENTA T FONDO 100'!DZ126</f>
        <v>0</v>
      </c>
      <c r="H244" s="56">
        <f>'[2]CUENTA T VS'!DZ106</f>
        <v>0</v>
      </c>
      <c r="I244" s="56">
        <f t="shared" si="12"/>
        <v>0</v>
      </c>
      <c r="J244" s="57">
        <f>I244/$I$25</f>
        <v>0</v>
      </c>
    </row>
    <row r="245" spans="1:10" x14ac:dyDescent="0.25">
      <c r="A245" s="60">
        <v>2</v>
      </c>
      <c r="B245" s="47">
        <v>3</v>
      </c>
      <c r="C245" s="47">
        <v>4</v>
      </c>
      <c r="D245" s="47"/>
      <c r="E245" s="65"/>
      <c r="F245" s="70" t="s">
        <v>207</v>
      </c>
      <c r="G245" s="48">
        <f>+G246+G248</f>
        <v>2637285.6</v>
      </c>
      <c r="H245" s="48">
        <f>+H246+H248</f>
        <v>130100</v>
      </c>
      <c r="I245" s="48">
        <f t="shared" si="12"/>
        <v>2767385.6</v>
      </c>
      <c r="J245" s="45"/>
    </row>
    <row r="246" spans="1:10" x14ac:dyDescent="0.25">
      <c r="A246" s="61">
        <v>2</v>
      </c>
      <c r="B246" s="50">
        <v>3</v>
      </c>
      <c r="C246" s="50">
        <v>4</v>
      </c>
      <c r="D246" s="50">
        <v>1</v>
      </c>
      <c r="E246" s="50"/>
      <c r="F246" s="69" t="s">
        <v>208</v>
      </c>
      <c r="G246" s="51">
        <f>SUM(G247)</f>
        <v>2637285.6</v>
      </c>
      <c r="H246" s="51">
        <f>SUM(H247)</f>
        <v>130100</v>
      </c>
      <c r="I246" s="51">
        <f t="shared" si="12"/>
        <v>2767385.6</v>
      </c>
      <c r="J246" s="58"/>
    </row>
    <row r="247" spans="1:10" x14ac:dyDescent="0.25">
      <c r="A247" s="62">
        <v>2</v>
      </c>
      <c r="B247" s="54">
        <v>3</v>
      </c>
      <c r="C247" s="54">
        <v>4</v>
      </c>
      <c r="D247" s="54">
        <v>1</v>
      </c>
      <c r="E247" s="55" t="s">
        <v>31</v>
      </c>
      <c r="F247" s="68" t="s">
        <v>208</v>
      </c>
      <c r="G247" s="56">
        <f>'[2]CUENTA T FONDO 100'!EA126</f>
        <v>2637285.6</v>
      </c>
      <c r="H247" s="56">
        <f>'[2]CUENTA T VS'!EA106</f>
        <v>130100</v>
      </c>
      <c r="I247" s="56">
        <f t="shared" si="12"/>
        <v>2767385.6</v>
      </c>
      <c r="J247" s="57">
        <f>I247/$I$25</f>
        <v>2.7533469222691658E-2</v>
      </c>
    </row>
    <row r="248" spans="1:10" x14ac:dyDescent="0.25">
      <c r="A248" s="61">
        <v>2</v>
      </c>
      <c r="B248" s="50">
        <v>3</v>
      </c>
      <c r="C248" s="50">
        <v>4</v>
      </c>
      <c r="D248" s="50">
        <v>2</v>
      </c>
      <c r="E248" s="50"/>
      <c r="F248" s="69" t="s">
        <v>209</v>
      </c>
      <c r="G248" s="51">
        <f>SUM(G249)</f>
        <v>0</v>
      </c>
      <c r="H248" s="51">
        <f>SUM(H249)</f>
        <v>0</v>
      </c>
      <c r="I248" s="51">
        <f t="shared" si="12"/>
        <v>0</v>
      </c>
      <c r="J248" s="58"/>
    </row>
    <row r="249" spans="1:10" x14ac:dyDescent="0.25">
      <c r="A249" s="62">
        <v>2</v>
      </c>
      <c r="B249" s="54">
        <v>3</v>
      </c>
      <c r="C249" s="54">
        <v>4</v>
      </c>
      <c r="D249" s="54">
        <v>2</v>
      </c>
      <c r="E249" s="55" t="s">
        <v>31</v>
      </c>
      <c r="F249" s="68" t="s">
        <v>209</v>
      </c>
      <c r="G249" s="56">
        <f>'[2]CUENTA T FONDO 100'!EB126</f>
        <v>0</v>
      </c>
      <c r="H249" s="56">
        <f>'[2]CUENTA T VS'!EB106</f>
        <v>0</v>
      </c>
      <c r="I249" s="56">
        <f t="shared" si="12"/>
        <v>0</v>
      </c>
      <c r="J249" s="57">
        <f>I249/$I$25</f>
        <v>0</v>
      </c>
    </row>
    <row r="250" spans="1:10" x14ac:dyDescent="0.25">
      <c r="A250" s="60">
        <v>2</v>
      </c>
      <c r="B250" s="47">
        <v>3</v>
      </c>
      <c r="C250" s="47">
        <v>5</v>
      </c>
      <c r="D250" s="47"/>
      <c r="E250" s="65"/>
      <c r="F250" s="70" t="s">
        <v>210</v>
      </c>
      <c r="G250" s="48">
        <f>+G251+G253+G255+G257+G259</f>
        <v>384413.08</v>
      </c>
      <c r="H250" s="48">
        <f>+H251+H253+H255+H257+H259</f>
        <v>0</v>
      </c>
      <c r="I250" s="48">
        <f t="shared" si="12"/>
        <v>384413.08</v>
      </c>
      <c r="J250" s="45"/>
    </row>
    <row r="251" spans="1:10" x14ac:dyDescent="0.25">
      <c r="A251" s="61">
        <v>2</v>
      </c>
      <c r="B251" s="50">
        <v>3</v>
      </c>
      <c r="C251" s="50">
        <v>5</v>
      </c>
      <c r="D251" s="50">
        <v>1</v>
      </c>
      <c r="E251" s="50"/>
      <c r="F251" s="69" t="s">
        <v>211</v>
      </c>
      <c r="G251" s="51">
        <f>SUM(G252)</f>
        <v>0</v>
      </c>
      <c r="H251" s="51">
        <f>SUM(H252)</f>
        <v>0</v>
      </c>
      <c r="I251" s="51">
        <f t="shared" si="12"/>
        <v>0</v>
      </c>
      <c r="J251" s="58"/>
    </row>
    <row r="252" spans="1:10" x14ac:dyDescent="0.25">
      <c r="A252" s="62">
        <v>2</v>
      </c>
      <c r="B252" s="54">
        <v>3</v>
      </c>
      <c r="C252" s="54">
        <v>5</v>
      </c>
      <c r="D252" s="54">
        <v>1</v>
      </c>
      <c r="E252" s="55" t="s">
        <v>31</v>
      </c>
      <c r="F252" s="68" t="s">
        <v>211</v>
      </c>
      <c r="G252" s="56">
        <f>'[2]CUENTA T FONDO 100'!EC126</f>
        <v>0</v>
      </c>
      <c r="H252" s="56">
        <f>'[2]CUENTA T VS'!EC106</f>
        <v>0</v>
      </c>
      <c r="I252" s="56">
        <f t="shared" si="12"/>
        <v>0</v>
      </c>
      <c r="J252" s="57">
        <f>I252/$I$25</f>
        <v>0</v>
      </c>
    </row>
    <row r="253" spans="1:10" x14ac:dyDescent="0.25">
      <c r="A253" s="61">
        <v>2</v>
      </c>
      <c r="B253" s="50">
        <v>3</v>
      </c>
      <c r="C253" s="50">
        <v>5</v>
      </c>
      <c r="D253" s="50">
        <v>2</v>
      </c>
      <c r="E253" s="50"/>
      <c r="F253" s="69" t="s">
        <v>212</v>
      </c>
      <c r="G253" s="51">
        <f>SUM(G254)</f>
        <v>0</v>
      </c>
      <c r="H253" s="51">
        <f>SUM(H254)</f>
        <v>0</v>
      </c>
      <c r="I253" s="51">
        <f t="shared" si="12"/>
        <v>0</v>
      </c>
      <c r="J253" s="58"/>
    </row>
    <row r="254" spans="1:10" x14ac:dyDescent="0.25">
      <c r="A254" s="62">
        <v>2</v>
      </c>
      <c r="B254" s="54">
        <v>3</v>
      </c>
      <c r="C254" s="54">
        <v>5</v>
      </c>
      <c r="D254" s="54">
        <v>2</v>
      </c>
      <c r="E254" s="55" t="s">
        <v>31</v>
      </c>
      <c r="F254" s="68" t="s">
        <v>212</v>
      </c>
      <c r="G254" s="56">
        <f>'[2]CUENTA T FONDO 100'!ED126</f>
        <v>0</v>
      </c>
      <c r="H254" s="56">
        <f>'[2]CUENTA T VS'!ED106</f>
        <v>0</v>
      </c>
      <c r="I254" s="56">
        <f t="shared" si="12"/>
        <v>0</v>
      </c>
      <c r="J254" s="57">
        <f>I254/$I$25</f>
        <v>0</v>
      </c>
    </row>
    <row r="255" spans="1:10" x14ac:dyDescent="0.25">
      <c r="A255" s="61">
        <v>2</v>
      </c>
      <c r="B255" s="50">
        <v>3</v>
      </c>
      <c r="C255" s="50">
        <v>5</v>
      </c>
      <c r="D255" s="50">
        <v>3</v>
      </c>
      <c r="E255" s="50"/>
      <c r="F255" s="69" t="s">
        <v>213</v>
      </c>
      <c r="G255" s="51">
        <f>SUM(G256)</f>
        <v>0</v>
      </c>
      <c r="H255" s="51">
        <f>SUM(H256)</f>
        <v>0</v>
      </c>
      <c r="I255" s="51">
        <f t="shared" si="12"/>
        <v>0</v>
      </c>
      <c r="J255" s="58"/>
    </row>
    <row r="256" spans="1:10" x14ac:dyDescent="0.25">
      <c r="A256" s="62">
        <v>2</v>
      </c>
      <c r="B256" s="54">
        <v>3</v>
      </c>
      <c r="C256" s="54">
        <v>5</v>
      </c>
      <c r="D256" s="54">
        <v>3</v>
      </c>
      <c r="E256" s="55" t="s">
        <v>31</v>
      </c>
      <c r="F256" s="68" t="s">
        <v>213</v>
      </c>
      <c r="G256" s="56">
        <f>'[2]CUENTA T FONDO 100'!EE126</f>
        <v>0</v>
      </c>
      <c r="H256" s="56">
        <f>'[2]CUENTA T VS'!EE106</f>
        <v>0</v>
      </c>
      <c r="I256" s="56">
        <f t="shared" si="12"/>
        <v>0</v>
      </c>
      <c r="J256" s="57">
        <f>I256/$I$25</f>
        <v>0</v>
      </c>
    </row>
    <row r="257" spans="1:10" x14ac:dyDescent="0.25">
      <c r="A257" s="61">
        <v>2</v>
      </c>
      <c r="B257" s="50">
        <v>3</v>
      </c>
      <c r="C257" s="50">
        <v>5</v>
      </c>
      <c r="D257" s="50">
        <v>4</v>
      </c>
      <c r="E257" s="50"/>
      <c r="F257" s="69" t="s">
        <v>214</v>
      </c>
      <c r="G257" s="51">
        <f>SUM(G258)</f>
        <v>0</v>
      </c>
      <c r="H257" s="51">
        <f>SUM(H258)</f>
        <v>0</v>
      </c>
      <c r="I257" s="51">
        <f t="shared" si="12"/>
        <v>0</v>
      </c>
      <c r="J257" s="58"/>
    </row>
    <row r="258" spans="1:10" x14ac:dyDescent="0.25">
      <c r="A258" s="62">
        <v>2</v>
      </c>
      <c r="B258" s="54">
        <v>3</v>
      </c>
      <c r="C258" s="54">
        <v>5</v>
      </c>
      <c r="D258" s="54">
        <v>4</v>
      </c>
      <c r="E258" s="55" t="s">
        <v>31</v>
      </c>
      <c r="F258" s="68" t="s">
        <v>214</v>
      </c>
      <c r="G258" s="56">
        <f>'[2]CUENTA T FONDO 100'!EF126</f>
        <v>0</v>
      </c>
      <c r="H258" s="56">
        <f>'[2]CUENTA T VS'!EF106</f>
        <v>0</v>
      </c>
      <c r="I258" s="56">
        <f t="shared" si="12"/>
        <v>0</v>
      </c>
      <c r="J258" s="57">
        <f>I258/$I$25</f>
        <v>0</v>
      </c>
    </row>
    <row r="259" spans="1:10" x14ac:dyDescent="0.25">
      <c r="A259" s="61">
        <v>2</v>
      </c>
      <c r="B259" s="50">
        <v>3</v>
      </c>
      <c r="C259" s="50">
        <v>5</v>
      </c>
      <c r="D259" s="50">
        <v>5</v>
      </c>
      <c r="E259" s="50"/>
      <c r="F259" s="69" t="s">
        <v>215</v>
      </c>
      <c r="G259" s="51">
        <f>SUM(G260)</f>
        <v>384413.08</v>
      </c>
      <c r="H259" s="51">
        <f>SUM(H260)</f>
        <v>0</v>
      </c>
      <c r="I259" s="51">
        <f t="shared" si="12"/>
        <v>384413.08</v>
      </c>
      <c r="J259" s="58"/>
    </row>
    <row r="260" spans="1:10" x14ac:dyDescent="0.25">
      <c r="A260" s="62">
        <v>2</v>
      </c>
      <c r="B260" s="54">
        <v>3</v>
      </c>
      <c r="C260" s="54">
        <v>5</v>
      </c>
      <c r="D260" s="54">
        <v>5</v>
      </c>
      <c r="E260" s="55" t="s">
        <v>31</v>
      </c>
      <c r="F260" s="68" t="s">
        <v>215</v>
      </c>
      <c r="G260" s="56">
        <f>'[2]CUENTA T FONDO 100'!EG126</f>
        <v>384413.08</v>
      </c>
      <c r="H260" s="56">
        <f>'[2]CUENTA T VS'!EG106</f>
        <v>0</v>
      </c>
      <c r="I260" s="56">
        <f t="shared" si="12"/>
        <v>384413.08</v>
      </c>
      <c r="J260" s="57">
        <f>I260/$I$25</f>
        <v>3.8246298986957606E-3</v>
      </c>
    </row>
    <row r="261" spans="1:10" x14ac:dyDescent="0.25">
      <c r="A261" s="60">
        <v>2</v>
      </c>
      <c r="B261" s="47">
        <v>3</v>
      </c>
      <c r="C261" s="47">
        <v>6</v>
      </c>
      <c r="D261" s="47"/>
      <c r="E261" s="47"/>
      <c r="F261" s="70" t="s">
        <v>216</v>
      </c>
      <c r="G261" s="48">
        <f>+G262+G268+G272+G276+G284</f>
        <v>215177.81</v>
      </c>
      <c r="H261" s="48">
        <f>+H262+H268+H272+H276+H284</f>
        <v>0</v>
      </c>
      <c r="I261" s="48">
        <f t="shared" si="12"/>
        <v>215177.81</v>
      </c>
      <c r="J261" s="45"/>
    </row>
    <row r="262" spans="1:10" x14ac:dyDescent="0.25">
      <c r="A262" s="61">
        <v>2</v>
      </c>
      <c r="B262" s="50">
        <v>3</v>
      </c>
      <c r="C262" s="50">
        <v>6</v>
      </c>
      <c r="D262" s="50">
        <v>1</v>
      </c>
      <c r="E262" s="50"/>
      <c r="F262" s="69" t="s">
        <v>217</v>
      </c>
      <c r="G262" s="51">
        <f>SUM(G263:G267)</f>
        <v>0</v>
      </c>
      <c r="H262" s="51">
        <f>SUM(H263:H267)</f>
        <v>0</v>
      </c>
      <c r="I262" s="51">
        <f t="shared" si="12"/>
        <v>0</v>
      </c>
      <c r="J262" s="58"/>
    </row>
    <row r="263" spans="1:10" x14ac:dyDescent="0.25">
      <c r="A263" s="62">
        <v>2</v>
      </c>
      <c r="B263" s="54">
        <v>3</v>
      </c>
      <c r="C263" s="54">
        <v>6</v>
      </c>
      <c r="D263" s="54">
        <v>1</v>
      </c>
      <c r="E263" s="55" t="s">
        <v>31</v>
      </c>
      <c r="F263" s="68" t="s">
        <v>218</v>
      </c>
      <c r="G263" s="56">
        <f>'[2]CUENTA T FONDO 100'!EH126</f>
        <v>0</v>
      </c>
      <c r="H263" s="56">
        <f>'[2]CUENTA T VS'!EH106</f>
        <v>0</v>
      </c>
      <c r="I263" s="56">
        <f t="shared" si="12"/>
        <v>0</v>
      </c>
      <c r="J263" s="57">
        <f>I263/$I$25</f>
        <v>0</v>
      </c>
    </row>
    <row r="264" spans="1:10" x14ac:dyDescent="0.25">
      <c r="A264" s="62">
        <v>2</v>
      </c>
      <c r="B264" s="54">
        <v>3</v>
      </c>
      <c r="C264" s="54">
        <v>6</v>
      </c>
      <c r="D264" s="54">
        <v>1</v>
      </c>
      <c r="E264" s="55" t="s">
        <v>33</v>
      </c>
      <c r="F264" s="68" t="s">
        <v>219</v>
      </c>
      <c r="G264" s="56">
        <f>'[2]CUENTA T FONDO 100'!EI126</f>
        <v>0</v>
      </c>
      <c r="H264" s="56">
        <f>'[2]CUENTA T VS'!EI106</f>
        <v>0</v>
      </c>
      <c r="I264" s="56">
        <f t="shared" si="12"/>
        <v>0</v>
      </c>
      <c r="J264" s="57">
        <f>I264/$I$25</f>
        <v>0</v>
      </c>
    </row>
    <row r="265" spans="1:10" x14ac:dyDescent="0.25">
      <c r="A265" s="62">
        <v>2</v>
      </c>
      <c r="B265" s="54">
        <v>3</v>
      </c>
      <c r="C265" s="54">
        <v>6</v>
      </c>
      <c r="D265" s="54">
        <v>1</v>
      </c>
      <c r="E265" s="55" t="s">
        <v>35</v>
      </c>
      <c r="F265" s="68" t="s">
        <v>220</v>
      </c>
      <c r="G265" s="56">
        <f>'[2]CUENTA T FONDO 100'!EJ126</f>
        <v>0</v>
      </c>
      <c r="H265" s="56">
        <f>'[2]CUENTA T VS'!EJ106</f>
        <v>0</v>
      </c>
      <c r="I265" s="56">
        <f t="shared" si="12"/>
        <v>0</v>
      </c>
      <c r="J265" s="57">
        <f>I265/$I$25</f>
        <v>0</v>
      </c>
    </row>
    <row r="266" spans="1:10" x14ac:dyDescent="0.25">
      <c r="A266" s="62">
        <v>2</v>
      </c>
      <c r="B266" s="54">
        <v>3</v>
      </c>
      <c r="C266" s="54">
        <v>6</v>
      </c>
      <c r="D266" s="54">
        <v>1</v>
      </c>
      <c r="E266" s="55" t="s">
        <v>37</v>
      </c>
      <c r="F266" s="68" t="s">
        <v>221</v>
      </c>
      <c r="G266" s="56">
        <f>'[2]CUENTA T FONDO 100'!EK126</f>
        <v>0</v>
      </c>
      <c r="H266" s="56">
        <f>'[2]CUENTA T VS'!EK106</f>
        <v>0</v>
      </c>
      <c r="I266" s="56">
        <f t="shared" si="12"/>
        <v>0</v>
      </c>
      <c r="J266" s="57">
        <f>I266/$I$25</f>
        <v>0</v>
      </c>
    </row>
    <row r="267" spans="1:10" x14ac:dyDescent="0.25">
      <c r="A267" s="62">
        <v>2</v>
      </c>
      <c r="B267" s="54">
        <v>3</v>
      </c>
      <c r="C267" s="54">
        <v>6</v>
      </c>
      <c r="D267" s="54">
        <v>1</v>
      </c>
      <c r="E267" s="55" t="s">
        <v>39</v>
      </c>
      <c r="F267" s="68" t="s">
        <v>222</v>
      </c>
      <c r="G267" s="56">
        <f>'[2]CUENTA T FONDO 100'!EL126</f>
        <v>0</v>
      </c>
      <c r="H267" s="56">
        <f>'[2]CUENTA T VS'!EL106</f>
        <v>0</v>
      </c>
      <c r="I267" s="56">
        <f t="shared" si="12"/>
        <v>0</v>
      </c>
      <c r="J267" s="57">
        <f>I267/$I$25</f>
        <v>0</v>
      </c>
    </row>
    <row r="268" spans="1:10" x14ac:dyDescent="0.25">
      <c r="A268" s="61">
        <v>2</v>
      </c>
      <c r="B268" s="50">
        <v>3</v>
      </c>
      <c r="C268" s="50">
        <v>6</v>
      </c>
      <c r="D268" s="50">
        <v>2</v>
      </c>
      <c r="E268" s="50"/>
      <c r="F268" s="69" t="s">
        <v>223</v>
      </c>
      <c r="G268" s="51">
        <f>SUM(G269:G271)</f>
        <v>0</v>
      </c>
      <c r="H268" s="51">
        <f>SUM(H269:H271)</f>
        <v>0</v>
      </c>
      <c r="I268" s="51">
        <f t="shared" si="12"/>
        <v>0</v>
      </c>
      <c r="J268" s="58"/>
    </row>
    <row r="269" spans="1:10" x14ac:dyDescent="0.25">
      <c r="A269" s="62">
        <v>2</v>
      </c>
      <c r="B269" s="54">
        <v>3</v>
      </c>
      <c r="C269" s="54">
        <v>6</v>
      </c>
      <c r="D269" s="54">
        <v>2</v>
      </c>
      <c r="E269" s="55" t="s">
        <v>31</v>
      </c>
      <c r="F269" s="68" t="s">
        <v>224</v>
      </c>
      <c r="G269" s="56">
        <f>'[2]CUENTA T FONDO 100'!EM126</f>
        <v>0</v>
      </c>
      <c r="H269" s="56">
        <f>'[2]CUENTA T VS'!EM106</f>
        <v>0</v>
      </c>
      <c r="I269" s="56">
        <f t="shared" si="12"/>
        <v>0</v>
      </c>
      <c r="J269" s="57">
        <f>I269/$I$25</f>
        <v>0</v>
      </c>
    </row>
    <row r="270" spans="1:10" x14ac:dyDescent="0.25">
      <c r="A270" s="62">
        <v>2</v>
      </c>
      <c r="B270" s="54">
        <v>3</v>
      </c>
      <c r="C270" s="54">
        <v>6</v>
      </c>
      <c r="D270" s="54">
        <v>2</v>
      </c>
      <c r="E270" s="55" t="s">
        <v>33</v>
      </c>
      <c r="F270" s="68" t="s">
        <v>225</v>
      </c>
      <c r="G270" s="56">
        <f>'[2]CUENTA T FONDO 100'!EN126</f>
        <v>0</v>
      </c>
      <c r="H270" s="56">
        <f>'[2]CUENTA T VS'!EN106</f>
        <v>0</v>
      </c>
      <c r="I270" s="56">
        <f t="shared" si="12"/>
        <v>0</v>
      </c>
      <c r="J270" s="57">
        <f>I270/$I$25</f>
        <v>0</v>
      </c>
    </row>
    <row r="271" spans="1:10" x14ac:dyDescent="0.25">
      <c r="A271" s="62">
        <v>2</v>
      </c>
      <c r="B271" s="54">
        <v>3</v>
      </c>
      <c r="C271" s="54">
        <v>6</v>
      </c>
      <c r="D271" s="54">
        <v>2</v>
      </c>
      <c r="E271" s="55" t="s">
        <v>35</v>
      </c>
      <c r="F271" s="68" t="s">
        <v>226</v>
      </c>
      <c r="G271" s="56">
        <f>'[2]CUENTA T FONDO 100'!EO126</f>
        <v>0</v>
      </c>
      <c r="H271" s="56">
        <f>'[2]CUENTA T VS'!EO106</f>
        <v>0</v>
      </c>
      <c r="I271" s="56">
        <f t="shared" si="12"/>
        <v>0</v>
      </c>
      <c r="J271" s="57">
        <f>I271/$I$25</f>
        <v>0</v>
      </c>
    </row>
    <row r="272" spans="1:10" x14ac:dyDescent="0.25">
      <c r="A272" s="61">
        <v>2</v>
      </c>
      <c r="B272" s="50">
        <v>3</v>
      </c>
      <c r="C272" s="50">
        <v>6</v>
      </c>
      <c r="D272" s="50">
        <v>3</v>
      </c>
      <c r="E272" s="50"/>
      <c r="F272" s="69" t="s">
        <v>227</v>
      </c>
      <c r="G272" s="51">
        <f>SUM(G273:G275)</f>
        <v>215177.81</v>
      </c>
      <c r="H272" s="51">
        <f>SUM(H273:H275)</f>
        <v>0</v>
      </c>
      <c r="I272" s="51">
        <f t="shared" si="12"/>
        <v>215177.81</v>
      </c>
      <c r="J272" s="58"/>
    </row>
    <row r="273" spans="1:10" x14ac:dyDescent="0.25">
      <c r="A273" s="62">
        <v>2</v>
      </c>
      <c r="B273" s="54">
        <v>3</v>
      </c>
      <c r="C273" s="54">
        <v>6</v>
      </c>
      <c r="D273" s="54">
        <v>3</v>
      </c>
      <c r="E273" s="55" t="s">
        <v>37</v>
      </c>
      <c r="F273" s="68" t="s">
        <v>228</v>
      </c>
      <c r="G273" s="56">
        <f>'[2]CUENTA T FONDO 100'!EP126</f>
        <v>202488</v>
      </c>
      <c r="H273" s="56">
        <f>'[2]CUENTA T VS'!EP106</f>
        <v>0</v>
      </c>
      <c r="I273" s="56">
        <f t="shared" si="12"/>
        <v>202488</v>
      </c>
      <c r="J273" s="57">
        <f>I273/$I$25</f>
        <v>2.0146079808915636E-3</v>
      </c>
    </row>
    <row r="274" spans="1:10" x14ac:dyDescent="0.25">
      <c r="A274" s="62">
        <v>2</v>
      </c>
      <c r="B274" s="54">
        <v>3</v>
      </c>
      <c r="C274" s="54">
        <v>6</v>
      </c>
      <c r="D274" s="54">
        <v>3</v>
      </c>
      <c r="E274" s="55" t="s">
        <v>39</v>
      </c>
      <c r="F274" s="68" t="s">
        <v>229</v>
      </c>
      <c r="G274" s="56">
        <f>'[2]CUENTA T FONDO 100'!EQ126</f>
        <v>0</v>
      </c>
      <c r="H274" s="56">
        <f>'[2]CUENTA T VS'!EQ106</f>
        <v>0</v>
      </c>
      <c r="I274" s="56">
        <f t="shared" si="12"/>
        <v>0</v>
      </c>
      <c r="J274" s="57">
        <f>I274/$I$25</f>
        <v>0</v>
      </c>
    </row>
    <row r="275" spans="1:10" x14ac:dyDescent="0.25">
      <c r="A275" s="62">
        <v>2</v>
      </c>
      <c r="B275" s="54">
        <v>3</v>
      </c>
      <c r="C275" s="54">
        <v>6</v>
      </c>
      <c r="D275" s="54">
        <v>3</v>
      </c>
      <c r="E275" s="55" t="s">
        <v>41</v>
      </c>
      <c r="F275" s="68" t="s">
        <v>230</v>
      </c>
      <c r="G275" s="56">
        <f>'[2]CUENTA T FONDO 100'!ER126</f>
        <v>12689.81</v>
      </c>
      <c r="H275" s="56">
        <f>'[2]CUENTA T VS'!ER106</f>
        <v>0</v>
      </c>
      <c r="I275" s="56">
        <f t="shared" si="12"/>
        <v>12689.81</v>
      </c>
      <c r="J275" s="57">
        <f>I275/$I$25</f>
        <v>1.2625435829282511E-4</v>
      </c>
    </row>
    <row r="276" spans="1:10" x14ac:dyDescent="0.25">
      <c r="A276" s="61">
        <v>2</v>
      </c>
      <c r="B276" s="50">
        <v>3</v>
      </c>
      <c r="C276" s="50">
        <v>6</v>
      </c>
      <c r="D276" s="50">
        <v>4</v>
      </c>
      <c r="E276" s="50"/>
      <c r="F276" s="69" t="s">
        <v>231</v>
      </c>
      <c r="G276" s="51">
        <f>SUM(G277:G283)</f>
        <v>0</v>
      </c>
      <c r="H276" s="51">
        <f>SUM(H277:H283)</f>
        <v>0</v>
      </c>
      <c r="I276" s="51">
        <f t="shared" si="12"/>
        <v>0</v>
      </c>
      <c r="J276" s="58"/>
    </row>
    <row r="277" spans="1:10" x14ac:dyDescent="0.25">
      <c r="A277" s="62">
        <v>2</v>
      </c>
      <c r="B277" s="54">
        <v>3</v>
      </c>
      <c r="C277" s="54">
        <v>6</v>
      </c>
      <c r="D277" s="54">
        <v>4</v>
      </c>
      <c r="E277" s="55" t="s">
        <v>31</v>
      </c>
      <c r="F277" s="68" t="s">
        <v>232</v>
      </c>
      <c r="G277" s="56">
        <f>'[2]CUENTA T FONDO 100'!ES126</f>
        <v>0</v>
      </c>
      <c r="H277" s="56">
        <f>'[2]CUENTA T VS'!ES106</f>
        <v>0</v>
      </c>
      <c r="I277" s="56">
        <f t="shared" si="12"/>
        <v>0</v>
      </c>
      <c r="J277" s="57">
        <f t="shared" ref="J277:J283" si="13">I277/$I$25</f>
        <v>0</v>
      </c>
    </row>
    <row r="278" spans="1:10" x14ac:dyDescent="0.25">
      <c r="A278" s="62">
        <v>2</v>
      </c>
      <c r="B278" s="54">
        <v>3</v>
      </c>
      <c r="C278" s="54">
        <v>6</v>
      </c>
      <c r="D278" s="54">
        <v>4</v>
      </c>
      <c r="E278" s="55" t="s">
        <v>33</v>
      </c>
      <c r="F278" s="68" t="s">
        <v>233</v>
      </c>
      <c r="G278" s="56">
        <f>'[2]CUENTA T FONDO 100'!ET126</f>
        <v>0</v>
      </c>
      <c r="H278" s="56">
        <f>'[2]CUENTA T VS'!ET106</f>
        <v>0</v>
      </c>
      <c r="I278" s="56">
        <f t="shared" si="12"/>
        <v>0</v>
      </c>
      <c r="J278" s="57">
        <f t="shared" si="13"/>
        <v>0</v>
      </c>
    </row>
    <row r="279" spans="1:10" x14ac:dyDescent="0.25">
      <c r="A279" s="62">
        <v>2</v>
      </c>
      <c r="B279" s="54">
        <v>3</v>
      </c>
      <c r="C279" s="54">
        <v>6</v>
      </c>
      <c r="D279" s="54">
        <v>4</v>
      </c>
      <c r="E279" s="55" t="s">
        <v>35</v>
      </c>
      <c r="F279" s="68" t="s">
        <v>234</v>
      </c>
      <c r="G279" s="56">
        <f>'[2]CUENTA T FONDO 100'!EU126</f>
        <v>0</v>
      </c>
      <c r="H279" s="56">
        <f>'[2]CUENTA T VS'!EU106</f>
        <v>0</v>
      </c>
      <c r="I279" s="56">
        <f t="shared" si="12"/>
        <v>0</v>
      </c>
      <c r="J279" s="57">
        <f t="shared" si="13"/>
        <v>0</v>
      </c>
    </row>
    <row r="280" spans="1:10" x14ac:dyDescent="0.25">
      <c r="A280" s="62">
        <v>2</v>
      </c>
      <c r="B280" s="54">
        <v>3</v>
      </c>
      <c r="C280" s="54">
        <v>6</v>
      </c>
      <c r="D280" s="54">
        <v>4</v>
      </c>
      <c r="E280" s="55" t="s">
        <v>37</v>
      </c>
      <c r="F280" s="68" t="s">
        <v>235</v>
      </c>
      <c r="G280" s="56">
        <f>'[2]CUENTA T FONDO 100'!EV126</f>
        <v>0</v>
      </c>
      <c r="H280" s="56">
        <f>'[2]CUENTA T VS'!EV106</f>
        <v>0</v>
      </c>
      <c r="I280" s="56">
        <f t="shared" si="12"/>
        <v>0</v>
      </c>
      <c r="J280" s="57">
        <f t="shared" si="13"/>
        <v>0</v>
      </c>
    </row>
    <row r="281" spans="1:10" x14ac:dyDescent="0.25">
      <c r="A281" s="62">
        <v>2</v>
      </c>
      <c r="B281" s="54">
        <v>3</v>
      </c>
      <c r="C281" s="54">
        <v>6</v>
      </c>
      <c r="D281" s="54">
        <v>4</v>
      </c>
      <c r="E281" s="55" t="s">
        <v>39</v>
      </c>
      <c r="F281" s="68" t="s">
        <v>236</v>
      </c>
      <c r="G281" s="56">
        <f>'[2]CUENTA T FONDO 100'!EW126</f>
        <v>0</v>
      </c>
      <c r="H281" s="56">
        <f>'[2]CUENTA T VS'!EW106</f>
        <v>0</v>
      </c>
      <c r="I281" s="56">
        <f t="shared" ref="I281:I344" si="14">SUM(G281:H281)</f>
        <v>0</v>
      </c>
      <c r="J281" s="57">
        <f t="shared" si="13"/>
        <v>0</v>
      </c>
    </row>
    <row r="282" spans="1:10" x14ac:dyDescent="0.25">
      <c r="A282" s="62">
        <v>2</v>
      </c>
      <c r="B282" s="54">
        <v>3</v>
      </c>
      <c r="C282" s="54">
        <v>6</v>
      </c>
      <c r="D282" s="54">
        <v>4</v>
      </c>
      <c r="E282" s="55" t="s">
        <v>41</v>
      </c>
      <c r="F282" s="68" t="s">
        <v>237</v>
      </c>
      <c r="G282" s="56">
        <f>'[2]CUENTA T FONDO 100'!EX126</f>
        <v>0</v>
      </c>
      <c r="H282" s="56">
        <f>'[2]CUENTA T VS'!EX106</f>
        <v>0</v>
      </c>
      <c r="I282" s="56">
        <f t="shared" si="14"/>
        <v>0</v>
      </c>
      <c r="J282" s="57">
        <f t="shared" si="13"/>
        <v>0</v>
      </c>
    </row>
    <row r="283" spans="1:10" x14ac:dyDescent="0.25">
      <c r="A283" s="62">
        <v>2</v>
      </c>
      <c r="B283" s="54">
        <v>3</v>
      </c>
      <c r="C283" s="54">
        <v>6</v>
      </c>
      <c r="D283" s="54">
        <v>4</v>
      </c>
      <c r="E283" s="55" t="s">
        <v>67</v>
      </c>
      <c r="F283" s="68" t="s">
        <v>238</v>
      </c>
      <c r="G283" s="56">
        <f>'[2]CUENTA T FONDO 100'!EY126</f>
        <v>0</v>
      </c>
      <c r="H283" s="56">
        <f>'[2]CUENTA T VS'!EY106</f>
        <v>0</v>
      </c>
      <c r="I283" s="56">
        <f t="shared" si="14"/>
        <v>0</v>
      </c>
      <c r="J283" s="57">
        <f t="shared" si="13"/>
        <v>0</v>
      </c>
    </row>
    <row r="284" spans="1:10" x14ac:dyDescent="0.25">
      <c r="A284" s="61">
        <v>2</v>
      </c>
      <c r="B284" s="50">
        <v>3</v>
      </c>
      <c r="C284" s="50">
        <v>6</v>
      </c>
      <c r="D284" s="50">
        <v>9</v>
      </c>
      <c r="E284" s="50"/>
      <c r="F284" s="69" t="s">
        <v>239</v>
      </c>
      <c r="G284" s="51">
        <f>SUM(G285)</f>
        <v>0</v>
      </c>
      <c r="H284" s="51">
        <f>SUM(H285)</f>
        <v>0</v>
      </c>
      <c r="I284" s="51">
        <f t="shared" si="14"/>
        <v>0</v>
      </c>
      <c r="J284" s="58"/>
    </row>
    <row r="285" spans="1:10" x14ac:dyDescent="0.25">
      <c r="A285" s="62">
        <v>2</v>
      </c>
      <c r="B285" s="54">
        <v>3</v>
      </c>
      <c r="C285" s="54">
        <v>6</v>
      </c>
      <c r="D285" s="54">
        <v>9</v>
      </c>
      <c r="E285" s="55" t="s">
        <v>31</v>
      </c>
      <c r="F285" s="68" t="s">
        <v>240</v>
      </c>
      <c r="G285" s="56">
        <f>'[2]CUENTA T FONDO 100'!EZ126</f>
        <v>0</v>
      </c>
      <c r="H285" s="56">
        <f>'[2]CUENTA T VS'!EZ106</f>
        <v>0</v>
      </c>
      <c r="I285" s="56">
        <f t="shared" si="14"/>
        <v>0</v>
      </c>
      <c r="J285" s="57">
        <f>I285/$I$25</f>
        <v>0</v>
      </c>
    </row>
    <row r="286" spans="1:10" x14ac:dyDescent="0.25">
      <c r="A286" s="46">
        <v>2</v>
      </c>
      <c r="B286" s="47">
        <v>3</v>
      </c>
      <c r="C286" s="47">
        <v>7</v>
      </c>
      <c r="D286" s="47"/>
      <c r="E286" s="47"/>
      <c r="F286" s="70" t="s">
        <v>241</v>
      </c>
      <c r="G286" s="48">
        <f>G287+G295</f>
        <v>4409677.4800000004</v>
      </c>
      <c r="H286" s="48">
        <f>H287+H295</f>
        <v>1065923</v>
      </c>
      <c r="I286" s="48">
        <f t="shared" si="14"/>
        <v>5475600.4800000004</v>
      </c>
      <c r="J286" s="45"/>
    </row>
    <row r="287" spans="1:10" x14ac:dyDescent="0.25">
      <c r="A287" s="61">
        <v>2</v>
      </c>
      <c r="B287" s="50">
        <v>3</v>
      </c>
      <c r="C287" s="50">
        <v>7</v>
      </c>
      <c r="D287" s="50">
        <v>1</v>
      </c>
      <c r="E287" s="50"/>
      <c r="F287" s="69" t="s">
        <v>242</v>
      </c>
      <c r="G287" s="51">
        <f>SUM(G288:G294)</f>
        <v>2314137.3200000003</v>
      </c>
      <c r="H287" s="51">
        <f>SUM(H288:H294)</f>
        <v>219073</v>
      </c>
      <c r="I287" s="51">
        <f t="shared" si="14"/>
        <v>2533210.3200000003</v>
      </c>
      <c r="J287" s="58"/>
    </row>
    <row r="288" spans="1:10" x14ac:dyDescent="0.25">
      <c r="A288" s="62">
        <v>2</v>
      </c>
      <c r="B288" s="54">
        <v>3</v>
      </c>
      <c r="C288" s="54">
        <v>7</v>
      </c>
      <c r="D288" s="54">
        <v>1</v>
      </c>
      <c r="E288" s="55" t="s">
        <v>31</v>
      </c>
      <c r="F288" s="68" t="s">
        <v>243</v>
      </c>
      <c r="G288" s="56">
        <f>'[2]CUENTA T FONDO 100'!FA126</f>
        <v>1649337.32</v>
      </c>
      <c r="H288" s="56">
        <f>'[2]CUENTA T VS'!FA106</f>
        <v>172000</v>
      </c>
      <c r="I288" s="56">
        <f t="shared" si="14"/>
        <v>1821337.32</v>
      </c>
      <c r="J288" s="57">
        <f t="shared" ref="J288:J294" si="15">I288/$I$25</f>
        <v>1.8120978530913694E-2</v>
      </c>
    </row>
    <row r="289" spans="1:10" x14ac:dyDescent="0.25">
      <c r="A289" s="62">
        <v>2</v>
      </c>
      <c r="B289" s="54">
        <v>3</v>
      </c>
      <c r="C289" s="54">
        <v>7</v>
      </c>
      <c r="D289" s="54">
        <v>1</v>
      </c>
      <c r="E289" s="55" t="s">
        <v>33</v>
      </c>
      <c r="F289" s="68" t="s">
        <v>244</v>
      </c>
      <c r="G289" s="56">
        <f>'[2]CUENTA T FONDO 100'!FB126</f>
        <v>664800</v>
      </c>
      <c r="H289" s="56">
        <f>'[2]CUENTA T VS'!FB106</f>
        <v>0</v>
      </c>
      <c r="I289" s="56">
        <f t="shared" si="14"/>
        <v>664800</v>
      </c>
      <c r="J289" s="57">
        <f t="shared" si="15"/>
        <v>6.6142753432139757E-3</v>
      </c>
    </row>
    <row r="290" spans="1:10" x14ac:dyDescent="0.25">
      <c r="A290" s="62">
        <v>2</v>
      </c>
      <c r="B290" s="54">
        <v>3</v>
      </c>
      <c r="C290" s="54">
        <v>7</v>
      </c>
      <c r="D290" s="54">
        <v>1</v>
      </c>
      <c r="E290" s="55" t="s">
        <v>35</v>
      </c>
      <c r="F290" s="68" t="s">
        <v>245</v>
      </c>
      <c r="G290" s="56">
        <f>'[2]CUENTA T FONDO 100'!FC126</f>
        <v>0</v>
      </c>
      <c r="H290" s="56">
        <f>'[2]CUENTA T VS'!FC106</f>
        <v>0</v>
      </c>
      <c r="I290" s="56">
        <f t="shared" si="14"/>
        <v>0</v>
      </c>
      <c r="J290" s="57">
        <f t="shared" si="15"/>
        <v>0</v>
      </c>
    </row>
    <row r="291" spans="1:10" x14ac:dyDescent="0.25">
      <c r="A291" s="62">
        <v>2</v>
      </c>
      <c r="B291" s="54">
        <v>3</v>
      </c>
      <c r="C291" s="54">
        <v>7</v>
      </c>
      <c r="D291" s="54">
        <v>1</v>
      </c>
      <c r="E291" s="55" t="s">
        <v>37</v>
      </c>
      <c r="F291" s="68" t="s">
        <v>246</v>
      </c>
      <c r="G291" s="56">
        <f>'[2]CUENTA T FONDO 100'!FD126</f>
        <v>0</v>
      </c>
      <c r="H291" s="56">
        <f>'[2]CUENTA T VS'!FD106</f>
        <v>47073</v>
      </c>
      <c r="I291" s="56">
        <f t="shared" si="14"/>
        <v>47073</v>
      </c>
      <c r="J291" s="57">
        <f t="shared" si="15"/>
        <v>4.68342032537773E-4</v>
      </c>
    </row>
    <row r="292" spans="1:10" x14ac:dyDescent="0.25">
      <c r="A292" s="62">
        <v>2</v>
      </c>
      <c r="B292" s="54">
        <v>3</v>
      </c>
      <c r="C292" s="54">
        <v>7</v>
      </c>
      <c r="D292" s="54">
        <v>1</v>
      </c>
      <c r="E292" s="55" t="s">
        <v>39</v>
      </c>
      <c r="F292" s="68" t="s">
        <v>247</v>
      </c>
      <c r="G292" s="56">
        <f>'[2]CUENTA T FONDO 100'!FE126</f>
        <v>0</v>
      </c>
      <c r="H292" s="56">
        <f>'[2]CUENTA T VS'!FE106</f>
        <v>0</v>
      </c>
      <c r="I292" s="56">
        <f t="shared" si="14"/>
        <v>0</v>
      </c>
      <c r="J292" s="57">
        <f t="shared" si="15"/>
        <v>0</v>
      </c>
    </row>
    <row r="293" spans="1:10" x14ac:dyDescent="0.25">
      <c r="A293" s="62">
        <v>2</v>
      </c>
      <c r="B293" s="54">
        <v>3</v>
      </c>
      <c r="C293" s="54">
        <v>7</v>
      </c>
      <c r="D293" s="54">
        <v>1</v>
      </c>
      <c r="E293" s="55" t="s">
        <v>41</v>
      </c>
      <c r="F293" s="68" t="s">
        <v>248</v>
      </c>
      <c r="G293" s="56">
        <f>'[2]CUENTA T FONDO 100'!FF126</f>
        <v>0</v>
      </c>
      <c r="H293" s="56">
        <f>'[2]CUENTA T VS'!FF106</f>
        <v>0</v>
      </c>
      <c r="I293" s="56">
        <f t="shared" si="14"/>
        <v>0</v>
      </c>
      <c r="J293" s="57">
        <f t="shared" si="15"/>
        <v>0</v>
      </c>
    </row>
    <row r="294" spans="1:10" x14ac:dyDescent="0.25">
      <c r="A294" s="62">
        <v>2</v>
      </c>
      <c r="B294" s="54">
        <v>3</v>
      </c>
      <c r="C294" s="54">
        <v>7</v>
      </c>
      <c r="D294" s="54">
        <v>1</v>
      </c>
      <c r="E294" s="55" t="s">
        <v>67</v>
      </c>
      <c r="F294" s="68" t="s">
        <v>249</v>
      </c>
      <c r="G294" s="56">
        <f>'[2]CUENTA T FONDO 100'!FG126</f>
        <v>0</v>
      </c>
      <c r="H294" s="56">
        <f>'[2]CUENTA T VS'!FG106</f>
        <v>0</v>
      </c>
      <c r="I294" s="56">
        <f t="shared" si="14"/>
        <v>0</v>
      </c>
      <c r="J294" s="57">
        <f t="shared" si="15"/>
        <v>0</v>
      </c>
    </row>
    <row r="295" spans="1:10" x14ac:dyDescent="0.25">
      <c r="A295" s="61">
        <v>2</v>
      </c>
      <c r="B295" s="50">
        <v>3</v>
      </c>
      <c r="C295" s="50">
        <v>7</v>
      </c>
      <c r="D295" s="50">
        <v>2</v>
      </c>
      <c r="E295" s="50"/>
      <c r="F295" s="69" t="s">
        <v>250</v>
      </c>
      <c r="G295" s="51">
        <f>SUM(G296:G302)</f>
        <v>2095540.16</v>
      </c>
      <c r="H295" s="51">
        <f>SUM(H296:H302)</f>
        <v>846850</v>
      </c>
      <c r="I295" s="51">
        <f t="shared" si="14"/>
        <v>2942390.16</v>
      </c>
      <c r="J295" s="58"/>
    </row>
    <row r="296" spans="1:10" x14ac:dyDescent="0.25">
      <c r="A296" s="62">
        <v>2</v>
      </c>
      <c r="B296" s="54">
        <v>3</v>
      </c>
      <c r="C296" s="54">
        <v>7</v>
      </c>
      <c r="D296" s="54">
        <v>2</v>
      </c>
      <c r="E296" s="55" t="s">
        <v>31</v>
      </c>
      <c r="F296" s="68" t="s">
        <v>251</v>
      </c>
      <c r="G296" s="56">
        <f>'[2]CUENTA T FONDO 100'!FH126</f>
        <v>0</v>
      </c>
      <c r="H296" s="56">
        <f>'[2]CUENTA T VS'!FH106</f>
        <v>0</v>
      </c>
      <c r="I296" s="56">
        <f t="shared" si="14"/>
        <v>0</v>
      </c>
      <c r="J296" s="57">
        <f t="shared" ref="J296:J302" si="16">I296/$I$25</f>
        <v>0</v>
      </c>
    </row>
    <row r="297" spans="1:10" x14ac:dyDescent="0.25">
      <c r="A297" s="62">
        <v>2</v>
      </c>
      <c r="B297" s="54">
        <v>3</v>
      </c>
      <c r="C297" s="54">
        <v>7</v>
      </c>
      <c r="D297" s="54">
        <v>2</v>
      </c>
      <c r="E297" s="55" t="s">
        <v>33</v>
      </c>
      <c r="F297" s="68" t="s">
        <v>252</v>
      </c>
      <c r="G297" s="56">
        <f>'[2]CUENTA T FONDO 100'!FI126</f>
        <v>0</v>
      </c>
      <c r="H297" s="56">
        <f>'[2]CUENTA T VS'!FI106</f>
        <v>0</v>
      </c>
      <c r="I297" s="56">
        <f t="shared" si="14"/>
        <v>0</v>
      </c>
      <c r="J297" s="57">
        <f t="shared" si="16"/>
        <v>0</v>
      </c>
    </row>
    <row r="298" spans="1:10" x14ac:dyDescent="0.25">
      <c r="A298" s="62">
        <v>2</v>
      </c>
      <c r="B298" s="54">
        <v>3</v>
      </c>
      <c r="C298" s="54">
        <v>7</v>
      </c>
      <c r="D298" s="54">
        <v>2</v>
      </c>
      <c r="E298" s="55" t="s">
        <v>35</v>
      </c>
      <c r="F298" s="68" t="s">
        <v>253</v>
      </c>
      <c r="G298" s="56">
        <f>'[2]CUENTA T FONDO 100'!FJ126</f>
        <v>1653884.2999999998</v>
      </c>
      <c r="H298" s="56">
        <f>'[2]CUENTA T VS'!FJ106</f>
        <v>846850</v>
      </c>
      <c r="I298" s="56">
        <f t="shared" si="14"/>
        <v>2500734.2999999998</v>
      </c>
      <c r="J298" s="57">
        <f t="shared" si="16"/>
        <v>2.4880483183543113E-2</v>
      </c>
    </row>
    <row r="299" spans="1:10" x14ac:dyDescent="0.25">
      <c r="A299" s="62">
        <v>2</v>
      </c>
      <c r="B299" s="54">
        <v>3</v>
      </c>
      <c r="C299" s="54">
        <v>7</v>
      </c>
      <c r="D299" s="54">
        <v>2</v>
      </c>
      <c r="E299" s="55" t="s">
        <v>37</v>
      </c>
      <c r="F299" s="68" t="s">
        <v>254</v>
      </c>
      <c r="G299" s="56">
        <f>'[2]CUENTA T FONDO 100'!FK126</f>
        <v>0</v>
      </c>
      <c r="H299" s="56">
        <f>'[2]CUENTA T VS'!FK106</f>
        <v>0</v>
      </c>
      <c r="I299" s="56">
        <f t="shared" si="14"/>
        <v>0</v>
      </c>
      <c r="J299" s="57">
        <f t="shared" si="16"/>
        <v>0</v>
      </c>
    </row>
    <row r="300" spans="1:10" x14ac:dyDescent="0.25">
      <c r="A300" s="62">
        <v>2</v>
      </c>
      <c r="B300" s="54">
        <v>3</v>
      </c>
      <c r="C300" s="54">
        <v>7</v>
      </c>
      <c r="D300" s="54">
        <v>2</v>
      </c>
      <c r="E300" s="55" t="s">
        <v>39</v>
      </c>
      <c r="F300" s="68" t="s">
        <v>255</v>
      </c>
      <c r="G300" s="56">
        <f>'[2]CUENTA T FONDO 100'!FL126</f>
        <v>0</v>
      </c>
      <c r="H300" s="56">
        <f>'[2]CUENTA T VS'!FL106</f>
        <v>0</v>
      </c>
      <c r="I300" s="56">
        <f t="shared" si="14"/>
        <v>0</v>
      </c>
      <c r="J300" s="57">
        <f t="shared" si="16"/>
        <v>0</v>
      </c>
    </row>
    <row r="301" spans="1:10" x14ac:dyDescent="0.25">
      <c r="A301" s="53">
        <v>2</v>
      </c>
      <c r="B301" s="54">
        <v>3</v>
      </c>
      <c r="C301" s="54">
        <v>7</v>
      </c>
      <c r="D301" s="54">
        <v>2</v>
      </c>
      <c r="E301" s="55" t="s">
        <v>41</v>
      </c>
      <c r="F301" s="71" t="s">
        <v>256</v>
      </c>
      <c r="G301" s="56">
        <f>'[2]CUENTA T FONDO 100'!FM126</f>
        <v>327699.16000000003</v>
      </c>
      <c r="H301" s="56">
        <f>'[2]CUENTA T VS'!FM106</f>
        <v>0</v>
      </c>
      <c r="I301" s="56">
        <f t="shared" si="14"/>
        <v>327699.16000000003</v>
      </c>
      <c r="J301" s="57">
        <f t="shared" si="16"/>
        <v>3.2603677406437001E-3</v>
      </c>
    </row>
    <row r="302" spans="1:10" x14ac:dyDescent="0.25">
      <c r="A302" s="53">
        <v>2</v>
      </c>
      <c r="B302" s="54">
        <v>3</v>
      </c>
      <c r="C302" s="54">
        <v>7</v>
      </c>
      <c r="D302" s="54">
        <v>2</v>
      </c>
      <c r="E302" s="55">
        <v>99</v>
      </c>
      <c r="F302" s="71" t="s">
        <v>257</v>
      </c>
      <c r="G302" s="56">
        <f>'[2]CUENTA T FONDO 100'!FN126</f>
        <v>113956.7</v>
      </c>
      <c r="H302" s="56">
        <f>'[2]CUENTA T VS'!FN106</f>
        <v>0</v>
      </c>
      <c r="I302" s="56">
        <f t="shared" si="14"/>
        <v>113956.7</v>
      </c>
      <c r="J302" s="57">
        <f t="shared" si="16"/>
        <v>1.1337860875511915E-3</v>
      </c>
    </row>
    <row r="303" spans="1:10" ht="25.5" x14ac:dyDescent="0.25">
      <c r="A303" s="46">
        <v>2</v>
      </c>
      <c r="B303" s="47">
        <v>3</v>
      </c>
      <c r="C303" s="47">
        <v>8</v>
      </c>
      <c r="D303" s="47"/>
      <c r="E303" s="47"/>
      <c r="F303" s="70" t="s">
        <v>258</v>
      </c>
      <c r="G303" s="48">
        <f>+G304+G306</f>
        <v>0</v>
      </c>
      <c r="H303" s="48">
        <f>+H304+H306</f>
        <v>0</v>
      </c>
      <c r="I303" s="48">
        <f t="shared" si="14"/>
        <v>0</v>
      </c>
      <c r="J303" s="45"/>
    </row>
    <row r="304" spans="1:10" x14ac:dyDescent="0.25">
      <c r="A304" s="49">
        <v>2</v>
      </c>
      <c r="B304" s="50">
        <v>3</v>
      </c>
      <c r="C304" s="50">
        <v>8</v>
      </c>
      <c r="D304" s="50">
        <v>1</v>
      </c>
      <c r="E304" s="50"/>
      <c r="F304" s="69" t="s">
        <v>259</v>
      </c>
      <c r="G304" s="51">
        <f>SUM(G305)</f>
        <v>0</v>
      </c>
      <c r="H304" s="51">
        <f>SUM(H305)</f>
        <v>0</v>
      </c>
      <c r="I304" s="51">
        <f t="shared" si="14"/>
        <v>0</v>
      </c>
      <c r="J304" s="58"/>
    </row>
    <row r="305" spans="1:10" x14ac:dyDescent="0.25">
      <c r="A305" s="53">
        <v>2</v>
      </c>
      <c r="B305" s="54">
        <v>3</v>
      </c>
      <c r="C305" s="54">
        <v>8</v>
      </c>
      <c r="D305" s="54">
        <v>1</v>
      </c>
      <c r="E305" s="55" t="s">
        <v>31</v>
      </c>
      <c r="F305" s="68" t="s">
        <v>259</v>
      </c>
      <c r="G305" s="56">
        <f>'[2]CUENTA T FONDO 100'!FO126</f>
        <v>0</v>
      </c>
      <c r="H305" s="56">
        <f>'[2]CUENTA T VS'!FO106</f>
        <v>0</v>
      </c>
      <c r="I305" s="56">
        <f t="shared" si="14"/>
        <v>0</v>
      </c>
      <c r="J305" s="57">
        <f>I305/$I$25</f>
        <v>0</v>
      </c>
    </row>
    <row r="306" spans="1:10" ht="25.5" x14ac:dyDescent="0.25">
      <c r="A306" s="49">
        <v>2</v>
      </c>
      <c r="B306" s="50">
        <v>3</v>
      </c>
      <c r="C306" s="50">
        <v>8</v>
      </c>
      <c r="D306" s="50">
        <v>2</v>
      </c>
      <c r="E306" s="50"/>
      <c r="F306" s="69" t="s">
        <v>260</v>
      </c>
      <c r="G306" s="51">
        <f>SUM(G307)</f>
        <v>0</v>
      </c>
      <c r="H306" s="51">
        <f>SUM(H307)</f>
        <v>0</v>
      </c>
      <c r="I306" s="51">
        <f t="shared" si="14"/>
        <v>0</v>
      </c>
      <c r="J306" s="58"/>
    </row>
    <row r="307" spans="1:10" ht="25.5" x14ac:dyDescent="0.25">
      <c r="A307" s="53">
        <v>2</v>
      </c>
      <c r="B307" s="54">
        <v>3</v>
      </c>
      <c r="C307" s="54">
        <v>8</v>
      </c>
      <c r="D307" s="54">
        <v>2</v>
      </c>
      <c r="E307" s="55" t="s">
        <v>31</v>
      </c>
      <c r="F307" s="68" t="s">
        <v>260</v>
      </c>
      <c r="G307" s="56">
        <f>'[2]CUENTA T FONDO 100'!FP126</f>
        <v>0</v>
      </c>
      <c r="H307" s="56">
        <f>'[2]CUENTA T VS'!FP106</f>
        <v>0</v>
      </c>
      <c r="I307" s="56">
        <f t="shared" si="14"/>
        <v>0</v>
      </c>
      <c r="J307" s="57">
        <f>I307/$I$25</f>
        <v>0</v>
      </c>
    </row>
    <row r="308" spans="1:10" x14ac:dyDescent="0.25">
      <c r="A308" s="46">
        <v>2</v>
      </c>
      <c r="B308" s="47">
        <v>3</v>
      </c>
      <c r="C308" s="47">
        <v>9</v>
      </c>
      <c r="D308" s="47"/>
      <c r="E308" s="47"/>
      <c r="F308" s="70" t="s">
        <v>261</v>
      </c>
      <c r="G308" s="48">
        <f>+G309+G312+G314+G316+G318+G320+G322+G324+G327</f>
        <v>6539281.8900000006</v>
      </c>
      <c r="H308" s="48">
        <f>+H309+H312+H314+H316+H318+H320+H322+H324+H327</f>
        <v>258010.6</v>
      </c>
      <c r="I308" s="48">
        <f t="shared" si="14"/>
        <v>6797292.4900000002</v>
      </c>
      <c r="J308" s="45"/>
    </row>
    <row r="309" spans="1:10" x14ac:dyDescent="0.25">
      <c r="A309" s="61">
        <v>2</v>
      </c>
      <c r="B309" s="50">
        <v>3</v>
      </c>
      <c r="C309" s="50">
        <v>9</v>
      </c>
      <c r="D309" s="50">
        <v>1</v>
      </c>
      <c r="E309" s="50"/>
      <c r="F309" s="69" t="s">
        <v>262</v>
      </c>
      <c r="G309" s="51">
        <f>SUM(G310:G311)</f>
        <v>662238.28999999992</v>
      </c>
      <c r="H309" s="51">
        <f>SUM(H310:H311)</f>
        <v>98506.4</v>
      </c>
      <c r="I309" s="51">
        <f t="shared" si="14"/>
        <v>760744.69</v>
      </c>
      <c r="J309" s="58"/>
    </row>
    <row r="310" spans="1:10" x14ac:dyDescent="0.25">
      <c r="A310" s="62">
        <v>2</v>
      </c>
      <c r="B310" s="54">
        <v>3</v>
      </c>
      <c r="C310" s="54">
        <v>9</v>
      </c>
      <c r="D310" s="54">
        <v>1</v>
      </c>
      <c r="E310" s="55" t="s">
        <v>31</v>
      </c>
      <c r="F310" s="68" t="s">
        <v>263</v>
      </c>
      <c r="G310" s="56">
        <f>'[2]CUENTA T FONDO 100'!FQ126</f>
        <v>662238.28999999992</v>
      </c>
      <c r="H310" s="56">
        <f>'[2]CUENTA T VS'!FQ106</f>
        <v>98506.4</v>
      </c>
      <c r="I310" s="56">
        <f t="shared" si="14"/>
        <v>760744.69</v>
      </c>
      <c r="J310" s="57">
        <f>I310/$I$25</f>
        <v>7.5688550624969306E-3</v>
      </c>
    </row>
    <row r="311" spans="1:10" x14ac:dyDescent="0.25">
      <c r="A311" s="62">
        <v>2</v>
      </c>
      <c r="B311" s="54">
        <v>3</v>
      </c>
      <c r="C311" s="54">
        <v>9</v>
      </c>
      <c r="D311" s="54">
        <v>1</v>
      </c>
      <c r="E311" s="55" t="s">
        <v>33</v>
      </c>
      <c r="F311" s="68" t="s">
        <v>264</v>
      </c>
      <c r="G311" s="56">
        <f>'[2]CUENTA T FONDO 100'!FR126</f>
        <v>0</v>
      </c>
      <c r="H311" s="56">
        <f>'[2]CUENTA T VS'!FR106</f>
        <v>0</v>
      </c>
      <c r="I311" s="56">
        <f t="shared" si="14"/>
        <v>0</v>
      </c>
      <c r="J311" s="57">
        <f>I311/$I$25</f>
        <v>0</v>
      </c>
    </row>
    <row r="312" spans="1:10" x14ac:dyDescent="0.25">
      <c r="A312" s="61">
        <v>2</v>
      </c>
      <c r="B312" s="50">
        <v>3</v>
      </c>
      <c r="C312" s="50">
        <v>9</v>
      </c>
      <c r="D312" s="50">
        <v>2</v>
      </c>
      <c r="E312" s="50"/>
      <c r="F312" s="69" t="s">
        <v>265</v>
      </c>
      <c r="G312" s="51">
        <f>SUM(G313)</f>
        <v>7363.2</v>
      </c>
      <c r="H312" s="51">
        <f>SUM(H313)</f>
        <v>0</v>
      </c>
      <c r="I312" s="51">
        <f t="shared" si="14"/>
        <v>7363.2</v>
      </c>
      <c r="J312" s="58"/>
    </row>
    <row r="313" spans="1:10" x14ac:dyDescent="0.25">
      <c r="A313" s="62">
        <v>2</v>
      </c>
      <c r="B313" s="54">
        <v>3</v>
      </c>
      <c r="C313" s="54">
        <v>9</v>
      </c>
      <c r="D313" s="54">
        <v>2</v>
      </c>
      <c r="E313" s="55" t="s">
        <v>31</v>
      </c>
      <c r="F313" s="68" t="s">
        <v>266</v>
      </c>
      <c r="G313" s="56">
        <f>'[2]CUENTA T FONDO 100'!FS126</f>
        <v>7363.2</v>
      </c>
      <c r="H313" s="56">
        <f>'[2]CUENTA T VS'!FS106</f>
        <v>0</v>
      </c>
      <c r="I313" s="56">
        <f t="shared" si="14"/>
        <v>7363.2</v>
      </c>
      <c r="J313" s="57">
        <f>I313/$I$25</f>
        <v>7.3258472032420498E-5</v>
      </c>
    </row>
    <row r="314" spans="1:10" x14ac:dyDescent="0.25">
      <c r="A314" s="61">
        <v>2</v>
      </c>
      <c r="B314" s="50">
        <v>3</v>
      </c>
      <c r="C314" s="50">
        <v>9</v>
      </c>
      <c r="D314" s="50">
        <v>3</v>
      </c>
      <c r="E314" s="50"/>
      <c r="F314" s="69" t="s">
        <v>267</v>
      </c>
      <c r="G314" s="51">
        <f>SUM(G315)</f>
        <v>5679913.2400000002</v>
      </c>
      <c r="H314" s="51">
        <f>SUM(H315)</f>
        <v>108884.20000000001</v>
      </c>
      <c r="I314" s="51">
        <f t="shared" si="14"/>
        <v>5788797.4400000004</v>
      </c>
      <c r="J314" s="58"/>
    </row>
    <row r="315" spans="1:10" x14ac:dyDescent="0.25">
      <c r="A315" s="62">
        <v>2</v>
      </c>
      <c r="B315" s="54">
        <v>3</v>
      </c>
      <c r="C315" s="54">
        <v>9</v>
      </c>
      <c r="D315" s="54">
        <v>3</v>
      </c>
      <c r="E315" s="55" t="s">
        <v>31</v>
      </c>
      <c r="F315" s="68" t="s">
        <v>267</v>
      </c>
      <c r="G315" s="56">
        <f>'[2]CUENTA T FONDO 100'!FT126</f>
        <v>5679913.2400000002</v>
      </c>
      <c r="H315" s="56">
        <f>'[2]CUENTA T VS'!FT106</f>
        <v>108884.20000000001</v>
      </c>
      <c r="I315" s="56">
        <f t="shared" si="14"/>
        <v>5788797.4400000004</v>
      </c>
      <c r="J315" s="57">
        <f>I315/$I$25</f>
        <v>5.7594314341534579E-2</v>
      </c>
    </row>
    <row r="316" spans="1:10" x14ac:dyDescent="0.25">
      <c r="A316" s="61">
        <v>2</v>
      </c>
      <c r="B316" s="50">
        <v>3</v>
      </c>
      <c r="C316" s="50">
        <v>9</v>
      </c>
      <c r="D316" s="50">
        <v>4</v>
      </c>
      <c r="E316" s="50"/>
      <c r="F316" s="69" t="s">
        <v>268</v>
      </c>
      <c r="G316" s="51">
        <f>SUM(G317)</f>
        <v>0</v>
      </c>
      <c r="H316" s="51">
        <f>SUM(H317)</f>
        <v>0</v>
      </c>
      <c r="I316" s="51">
        <f t="shared" si="14"/>
        <v>0</v>
      </c>
      <c r="J316" s="58"/>
    </row>
    <row r="317" spans="1:10" x14ac:dyDescent="0.25">
      <c r="A317" s="62">
        <v>2</v>
      </c>
      <c r="B317" s="54">
        <v>3</v>
      </c>
      <c r="C317" s="54">
        <v>9</v>
      </c>
      <c r="D317" s="54">
        <v>4</v>
      </c>
      <c r="E317" s="55" t="s">
        <v>31</v>
      </c>
      <c r="F317" s="68" t="s">
        <v>268</v>
      </c>
      <c r="G317" s="56">
        <f>'[2]CUENTA T FONDO 100'!FU126</f>
        <v>0</v>
      </c>
      <c r="H317" s="56">
        <f>'[2]CUENTA T VS'!FU106</f>
        <v>0</v>
      </c>
      <c r="I317" s="56">
        <f t="shared" si="14"/>
        <v>0</v>
      </c>
      <c r="J317" s="57">
        <f>I317/$I$25</f>
        <v>0</v>
      </c>
    </row>
    <row r="318" spans="1:10" x14ac:dyDescent="0.25">
      <c r="A318" s="61">
        <v>2</v>
      </c>
      <c r="B318" s="50">
        <v>3</v>
      </c>
      <c r="C318" s="50">
        <v>9</v>
      </c>
      <c r="D318" s="50">
        <v>5</v>
      </c>
      <c r="E318" s="50"/>
      <c r="F318" s="69" t="s">
        <v>269</v>
      </c>
      <c r="G318" s="51">
        <f>SUM(G319)</f>
        <v>0</v>
      </c>
      <c r="H318" s="51">
        <f>SUM(H319)</f>
        <v>0</v>
      </c>
      <c r="I318" s="51">
        <f t="shared" si="14"/>
        <v>0</v>
      </c>
      <c r="J318" s="58"/>
    </row>
    <row r="319" spans="1:10" x14ac:dyDescent="0.25">
      <c r="A319" s="62">
        <v>2</v>
      </c>
      <c r="B319" s="54">
        <v>3</v>
      </c>
      <c r="C319" s="54">
        <v>9</v>
      </c>
      <c r="D319" s="54">
        <v>5</v>
      </c>
      <c r="E319" s="55" t="s">
        <v>31</v>
      </c>
      <c r="F319" s="68" t="s">
        <v>269</v>
      </c>
      <c r="G319" s="56">
        <f>'[2]CUENTA T FONDO 100'!FV126</f>
        <v>0</v>
      </c>
      <c r="H319" s="56">
        <f>'[2]CUENTA T VS'!FV106</f>
        <v>0</v>
      </c>
      <c r="I319" s="56">
        <f t="shared" si="14"/>
        <v>0</v>
      </c>
      <c r="J319" s="57">
        <f>I319/$I$25</f>
        <v>0</v>
      </c>
    </row>
    <row r="320" spans="1:10" x14ac:dyDescent="0.25">
      <c r="A320" s="61">
        <v>2</v>
      </c>
      <c r="B320" s="50">
        <v>3</v>
      </c>
      <c r="C320" s="50">
        <v>9</v>
      </c>
      <c r="D320" s="50">
        <v>6</v>
      </c>
      <c r="E320" s="50"/>
      <c r="F320" s="69" t="s">
        <v>270</v>
      </c>
      <c r="G320" s="51">
        <f>SUM(G321)</f>
        <v>148801.03</v>
      </c>
      <c r="H320" s="51">
        <f>SUM(H321)</f>
        <v>0</v>
      </c>
      <c r="I320" s="51">
        <f t="shared" si="14"/>
        <v>148801.03</v>
      </c>
      <c r="J320" s="58"/>
    </row>
    <row r="321" spans="1:10" x14ac:dyDescent="0.25">
      <c r="A321" s="62">
        <v>2</v>
      </c>
      <c r="B321" s="54">
        <v>3</v>
      </c>
      <c r="C321" s="54">
        <v>9</v>
      </c>
      <c r="D321" s="54">
        <v>6</v>
      </c>
      <c r="E321" s="55" t="s">
        <v>31</v>
      </c>
      <c r="F321" s="68" t="s">
        <v>270</v>
      </c>
      <c r="G321" s="56">
        <f>'[2]CUENTA T FONDO 100'!FW126</f>
        <v>148801.03</v>
      </c>
      <c r="H321" s="56">
        <f>'[2]CUENTA T VS'!FW106</f>
        <v>0</v>
      </c>
      <c r="I321" s="56">
        <f t="shared" si="14"/>
        <v>148801.03</v>
      </c>
      <c r="J321" s="57">
        <f>I321/$I$25</f>
        <v>1.4804617686128808E-3</v>
      </c>
    </row>
    <row r="322" spans="1:10" x14ac:dyDescent="0.25">
      <c r="A322" s="61">
        <v>2</v>
      </c>
      <c r="B322" s="50">
        <v>3</v>
      </c>
      <c r="C322" s="50">
        <v>9</v>
      </c>
      <c r="D322" s="50">
        <v>7</v>
      </c>
      <c r="E322" s="50"/>
      <c r="F322" s="69" t="s">
        <v>271</v>
      </c>
      <c r="G322" s="51">
        <f>SUM(G323)</f>
        <v>0</v>
      </c>
      <c r="H322" s="51">
        <f>SUM(H323)</f>
        <v>0</v>
      </c>
      <c r="I322" s="51">
        <f t="shared" si="14"/>
        <v>0</v>
      </c>
      <c r="J322" s="58"/>
    </row>
    <row r="323" spans="1:10" x14ac:dyDescent="0.25">
      <c r="A323" s="62">
        <v>2</v>
      </c>
      <c r="B323" s="54">
        <v>3</v>
      </c>
      <c r="C323" s="54">
        <v>9</v>
      </c>
      <c r="D323" s="54">
        <v>7</v>
      </c>
      <c r="E323" s="55" t="s">
        <v>31</v>
      </c>
      <c r="F323" s="68" t="s">
        <v>271</v>
      </c>
      <c r="G323" s="56">
        <f>'[2]CUENTA T FONDO 100'!FX126</f>
        <v>0</v>
      </c>
      <c r="H323" s="56">
        <f>'[2]CUENTA T VS'!FX106</f>
        <v>0</v>
      </c>
      <c r="I323" s="56">
        <f t="shared" si="14"/>
        <v>0</v>
      </c>
      <c r="J323" s="57">
        <f>I323/$I$25</f>
        <v>0</v>
      </c>
    </row>
    <row r="324" spans="1:10" x14ac:dyDescent="0.25">
      <c r="A324" s="61">
        <v>2</v>
      </c>
      <c r="B324" s="50">
        <v>3</v>
      </c>
      <c r="C324" s="50">
        <v>9</v>
      </c>
      <c r="D324" s="50">
        <v>8</v>
      </c>
      <c r="E324" s="50"/>
      <c r="F324" s="69" t="s">
        <v>272</v>
      </c>
      <c r="G324" s="51">
        <f>SUM(G325:G326)</f>
        <v>0</v>
      </c>
      <c r="H324" s="51">
        <f>SUM(H325:H326)</f>
        <v>0</v>
      </c>
      <c r="I324" s="51">
        <f t="shared" si="14"/>
        <v>0</v>
      </c>
      <c r="J324" s="58"/>
    </row>
    <row r="325" spans="1:10" x14ac:dyDescent="0.25">
      <c r="A325" s="62">
        <v>2</v>
      </c>
      <c r="B325" s="54">
        <v>3</v>
      </c>
      <c r="C325" s="54">
        <v>9</v>
      </c>
      <c r="D325" s="54">
        <v>8</v>
      </c>
      <c r="E325" s="55" t="s">
        <v>31</v>
      </c>
      <c r="F325" s="68" t="s">
        <v>273</v>
      </c>
      <c r="G325" s="56">
        <f>'[2]CUENTA T FONDO 100'!FY126</f>
        <v>0</v>
      </c>
      <c r="H325" s="56">
        <f>'[2]CUENTA T VS'!FY106</f>
        <v>0</v>
      </c>
      <c r="I325" s="56">
        <f t="shared" si="14"/>
        <v>0</v>
      </c>
      <c r="J325" s="57">
        <f>I325/$I$25</f>
        <v>0</v>
      </c>
    </row>
    <row r="326" spans="1:10" x14ac:dyDescent="0.25">
      <c r="A326" s="62">
        <v>2</v>
      </c>
      <c r="B326" s="54">
        <v>3</v>
      </c>
      <c r="C326" s="54">
        <v>9</v>
      </c>
      <c r="D326" s="54">
        <v>8</v>
      </c>
      <c r="E326" s="55" t="s">
        <v>33</v>
      </c>
      <c r="F326" s="68" t="s">
        <v>274</v>
      </c>
      <c r="G326" s="56">
        <f>'[2]CUENTA T FONDO 100'!FZ126</f>
        <v>0</v>
      </c>
      <c r="H326" s="56">
        <f>'[2]CUENTA T VS'!FZ106</f>
        <v>0</v>
      </c>
      <c r="I326" s="56">
        <f t="shared" si="14"/>
        <v>0</v>
      </c>
      <c r="J326" s="57">
        <f>I326/$I$25</f>
        <v>0</v>
      </c>
    </row>
    <row r="327" spans="1:10" x14ac:dyDescent="0.25">
      <c r="A327" s="61">
        <v>2</v>
      </c>
      <c r="B327" s="50">
        <v>3</v>
      </c>
      <c r="C327" s="50">
        <v>9</v>
      </c>
      <c r="D327" s="50">
        <v>9</v>
      </c>
      <c r="E327" s="50"/>
      <c r="F327" s="69" t="s">
        <v>275</v>
      </c>
      <c r="G327" s="51">
        <f>SUM(G328:G329)</f>
        <v>40966.129999999997</v>
      </c>
      <c r="H327" s="51">
        <f>SUM(H328:H329)</f>
        <v>50620</v>
      </c>
      <c r="I327" s="51">
        <f t="shared" si="14"/>
        <v>91586.13</v>
      </c>
      <c r="J327" s="58"/>
    </row>
    <row r="328" spans="1:10" x14ac:dyDescent="0.25">
      <c r="A328" s="62">
        <v>2</v>
      </c>
      <c r="B328" s="54">
        <v>3</v>
      </c>
      <c r="C328" s="54">
        <v>9</v>
      </c>
      <c r="D328" s="54">
        <v>9</v>
      </c>
      <c r="E328" s="55" t="s">
        <v>31</v>
      </c>
      <c r="F328" s="68" t="s">
        <v>275</v>
      </c>
      <c r="G328" s="56">
        <f>'[2]CUENTA T FONDO 100'!GA126</f>
        <v>0</v>
      </c>
      <c r="H328" s="56">
        <f>'[2]CUENTA T VS'!GA106</f>
        <v>50620</v>
      </c>
      <c r="I328" s="56">
        <f t="shared" si="14"/>
        <v>50620</v>
      </c>
      <c r="J328" s="57">
        <f>I328/$I$25</f>
        <v>5.036320966809438E-4</v>
      </c>
    </row>
    <row r="329" spans="1:10" x14ac:dyDescent="0.25">
      <c r="A329" s="62">
        <v>2</v>
      </c>
      <c r="B329" s="54">
        <v>3</v>
      </c>
      <c r="C329" s="54">
        <v>9</v>
      </c>
      <c r="D329" s="54">
        <v>9</v>
      </c>
      <c r="E329" s="55" t="s">
        <v>37</v>
      </c>
      <c r="F329" s="68" t="s">
        <v>276</v>
      </c>
      <c r="G329" s="56">
        <f>'[2]CUENTA T FONDO 100'!GB126</f>
        <v>40966.129999999997</v>
      </c>
      <c r="H329" s="56">
        <f>'[2]CUENTA T VS'!GB106</f>
        <v>0</v>
      </c>
      <c r="I329" s="56">
        <f t="shared" si="14"/>
        <v>40966.129999999997</v>
      </c>
      <c r="J329" s="57">
        <f>I329/$I$25</f>
        <v>4.0758312810754865E-4</v>
      </c>
    </row>
    <row r="330" spans="1:10" x14ac:dyDescent="0.25">
      <c r="A330" s="60">
        <v>2</v>
      </c>
      <c r="B330" s="47">
        <v>4</v>
      </c>
      <c r="C330" s="47">
        <v>1</v>
      </c>
      <c r="D330" s="47">
        <v>2</v>
      </c>
      <c r="E330" s="47"/>
      <c r="F330" s="72" t="s">
        <v>277</v>
      </c>
      <c r="G330" s="48">
        <f>G331+G332+G333+G334+G335</f>
        <v>0</v>
      </c>
      <c r="H330" s="48">
        <f>H331+H332+H333+H334+H335</f>
        <v>480808</v>
      </c>
      <c r="I330" s="48">
        <f t="shared" si="14"/>
        <v>480808</v>
      </c>
      <c r="J330" s="45">
        <f>+I330/I25</f>
        <v>4.7836890782491353E-3</v>
      </c>
    </row>
    <row r="331" spans="1:10" x14ac:dyDescent="0.25">
      <c r="A331" s="62">
        <v>2</v>
      </c>
      <c r="B331" s="54">
        <v>4</v>
      </c>
      <c r="C331" s="54">
        <v>1</v>
      </c>
      <c r="D331" s="54">
        <v>2</v>
      </c>
      <c r="E331" s="55" t="s">
        <v>31</v>
      </c>
      <c r="F331" s="68" t="s">
        <v>278</v>
      </c>
      <c r="G331" s="56">
        <f>'[2]CUENTA T FONDO 100'!GC126</f>
        <v>0</v>
      </c>
      <c r="H331" s="56">
        <f>'[2]CUENTA T VS'!GC106</f>
        <v>0</v>
      </c>
      <c r="I331" s="56">
        <f t="shared" si="14"/>
        <v>0</v>
      </c>
      <c r="J331" s="57">
        <f t="shared" ref="J331:J336" si="17">I331/$I$25</f>
        <v>0</v>
      </c>
    </row>
    <row r="332" spans="1:10" x14ac:dyDescent="0.25">
      <c r="A332" s="62">
        <v>2</v>
      </c>
      <c r="B332" s="54">
        <v>4</v>
      </c>
      <c r="C332" s="54">
        <v>1</v>
      </c>
      <c r="D332" s="54">
        <v>2</v>
      </c>
      <c r="E332" s="55" t="s">
        <v>33</v>
      </c>
      <c r="F332" s="68" t="s">
        <v>279</v>
      </c>
      <c r="G332" s="56">
        <f>'[2]CUENTA T FONDO 100'!GD126</f>
        <v>0</v>
      </c>
      <c r="H332" s="56">
        <f>'[2]CUENTA T VS'!GD106</f>
        <v>480808</v>
      </c>
      <c r="I332" s="56">
        <f t="shared" si="14"/>
        <v>480808</v>
      </c>
      <c r="J332" s="57">
        <f t="shared" si="17"/>
        <v>4.7836890782491353E-3</v>
      </c>
    </row>
    <row r="333" spans="1:10" x14ac:dyDescent="0.25">
      <c r="A333" s="62">
        <v>2</v>
      </c>
      <c r="B333" s="54">
        <v>4</v>
      </c>
      <c r="C333" s="54">
        <v>1</v>
      </c>
      <c r="D333" s="54">
        <v>2</v>
      </c>
      <c r="E333" s="55" t="s">
        <v>35</v>
      </c>
      <c r="F333" s="68" t="s">
        <v>280</v>
      </c>
      <c r="G333" s="56">
        <f>'[2]CUENTA T FONDO 100'!GE126</f>
        <v>0</v>
      </c>
      <c r="H333" s="56">
        <f>'[2]CUENTA T VS'!GE106</f>
        <v>0</v>
      </c>
      <c r="I333" s="56">
        <f t="shared" si="14"/>
        <v>0</v>
      </c>
      <c r="J333" s="57">
        <f t="shared" si="17"/>
        <v>0</v>
      </c>
    </row>
    <row r="334" spans="1:10" x14ac:dyDescent="0.25">
      <c r="A334" s="62">
        <v>2</v>
      </c>
      <c r="B334" s="54">
        <v>4</v>
      </c>
      <c r="C334" s="54">
        <v>1</v>
      </c>
      <c r="D334" s="54">
        <v>2</v>
      </c>
      <c r="E334" s="55" t="s">
        <v>37</v>
      </c>
      <c r="F334" s="68" t="s">
        <v>281</v>
      </c>
      <c r="G334" s="56">
        <f>'[2]CUENTA T FONDO 100'!GF126</f>
        <v>0</v>
      </c>
      <c r="H334" s="56">
        <f>'[2]CUENTA T VS'!GF106</f>
        <v>0</v>
      </c>
      <c r="I334" s="56">
        <f t="shared" si="14"/>
        <v>0</v>
      </c>
      <c r="J334" s="57">
        <f t="shared" si="17"/>
        <v>0</v>
      </c>
    </row>
    <row r="335" spans="1:10" x14ac:dyDescent="0.25">
      <c r="A335" s="62">
        <v>2</v>
      </c>
      <c r="B335" s="54">
        <v>4</v>
      </c>
      <c r="C335" s="54">
        <v>1</v>
      </c>
      <c r="D335" s="54">
        <v>2</v>
      </c>
      <c r="E335" s="55" t="s">
        <v>39</v>
      </c>
      <c r="F335" s="68" t="s">
        <v>282</v>
      </c>
      <c r="G335" s="56">
        <f>'[2]CUENTA T FONDO 100'!GG126</f>
        <v>0</v>
      </c>
      <c r="H335" s="56">
        <f>'[2]CUENTA T VS'!GG106</f>
        <v>0</v>
      </c>
      <c r="I335" s="56">
        <f t="shared" si="14"/>
        <v>0</v>
      </c>
      <c r="J335" s="57">
        <f t="shared" si="17"/>
        <v>0</v>
      </c>
    </row>
    <row r="336" spans="1:10" x14ac:dyDescent="0.25">
      <c r="A336" s="60">
        <v>2</v>
      </c>
      <c r="B336" s="47">
        <v>6</v>
      </c>
      <c r="C336" s="47"/>
      <c r="D336" s="47"/>
      <c r="E336" s="47"/>
      <c r="F336" s="72" t="s">
        <v>283</v>
      </c>
      <c r="G336" s="48">
        <f>G337+G348+G357+G366+G383+G400+G405+G424+G446</f>
        <v>6580673.1400000015</v>
      </c>
      <c r="H336" s="48">
        <f>H337+H348+H357+H366+H383+H400+H405+H424+H446</f>
        <v>3927042.19</v>
      </c>
      <c r="I336" s="48">
        <f t="shared" si="14"/>
        <v>10507715.330000002</v>
      </c>
      <c r="J336" s="45">
        <f t="shared" si="17"/>
        <v>0.10454410713106276</v>
      </c>
    </row>
    <row r="337" spans="1:10" x14ac:dyDescent="0.25">
      <c r="A337" s="46">
        <v>2</v>
      </c>
      <c r="B337" s="47">
        <v>6</v>
      </c>
      <c r="C337" s="47">
        <v>1</v>
      </c>
      <c r="D337" s="47"/>
      <c r="E337" s="47"/>
      <c r="F337" s="72" t="s">
        <v>284</v>
      </c>
      <c r="G337" s="48">
        <f>+G338+G340+G342+G344+G346</f>
        <v>231484.25</v>
      </c>
      <c r="H337" s="48">
        <f>+H338+H340+H342+H344+H346</f>
        <v>0</v>
      </c>
      <c r="I337" s="48">
        <f t="shared" si="14"/>
        <v>231484.25</v>
      </c>
      <c r="J337" s="45"/>
    </row>
    <row r="338" spans="1:10" x14ac:dyDescent="0.25">
      <c r="A338" s="49">
        <v>2</v>
      </c>
      <c r="B338" s="50">
        <v>6</v>
      </c>
      <c r="C338" s="50">
        <v>1</v>
      </c>
      <c r="D338" s="50">
        <v>1</v>
      </c>
      <c r="E338" s="50"/>
      <c r="F338" s="73" t="s">
        <v>285</v>
      </c>
      <c r="G338" s="51">
        <f>SUM(G339)</f>
        <v>0</v>
      </c>
      <c r="H338" s="51">
        <f>SUM(H339)</f>
        <v>0</v>
      </c>
      <c r="I338" s="51">
        <f t="shared" si="14"/>
        <v>0</v>
      </c>
      <c r="J338" s="58"/>
    </row>
    <row r="339" spans="1:10" x14ac:dyDescent="0.25">
      <c r="A339" s="53">
        <v>2</v>
      </c>
      <c r="B339" s="54">
        <v>6</v>
      </c>
      <c r="C339" s="54">
        <v>1</v>
      </c>
      <c r="D339" s="54">
        <v>1</v>
      </c>
      <c r="E339" s="55" t="s">
        <v>31</v>
      </c>
      <c r="F339" s="59" t="s">
        <v>285</v>
      </c>
      <c r="G339" s="56">
        <f>'[2]CUENTA T FONDO 100'!GH126</f>
        <v>0</v>
      </c>
      <c r="H339" s="56">
        <f>'[2]CUENTA T VS'!GH106</f>
        <v>0</v>
      </c>
      <c r="I339" s="56">
        <f t="shared" si="14"/>
        <v>0</v>
      </c>
      <c r="J339" s="57">
        <f>I339/$I$25</f>
        <v>0</v>
      </c>
    </row>
    <row r="340" spans="1:10" x14ac:dyDescent="0.25">
      <c r="A340" s="49">
        <v>2</v>
      </c>
      <c r="B340" s="50">
        <v>6</v>
      </c>
      <c r="C340" s="50">
        <v>1</v>
      </c>
      <c r="D340" s="50">
        <v>2</v>
      </c>
      <c r="E340" s="50"/>
      <c r="F340" s="73" t="s">
        <v>286</v>
      </c>
      <c r="G340" s="51">
        <f>SUM(G341)</f>
        <v>0</v>
      </c>
      <c r="H340" s="51">
        <f>SUM(H341)</f>
        <v>0</v>
      </c>
      <c r="I340" s="51">
        <f t="shared" si="14"/>
        <v>0</v>
      </c>
      <c r="J340" s="58"/>
    </row>
    <row r="341" spans="1:10" x14ac:dyDescent="0.25">
      <c r="A341" s="53">
        <v>2</v>
      </c>
      <c r="B341" s="54">
        <v>6</v>
      </c>
      <c r="C341" s="54">
        <v>1</v>
      </c>
      <c r="D341" s="54">
        <v>2</v>
      </c>
      <c r="E341" s="55" t="s">
        <v>31</v>
      </c>
      <c r="F341" s="59" t="s">
        <v>286</v>
      </c>
      <c r="G341" s="56">
        <f>'[2]CUENTA T FONDO 100'!GI126</f>
        <v>0</v>
      </c>
      <c r="H341" s="56">
        <f>'[2]CUENTA T VS'!GI106</f>
        <v>0</v>
      </c>
      <c r="I341" s="56">
        <f t="shared" si="14"/>
        <v>0</v>
      </c>
      <c r="J341" s="57">
        <f>I341/$I$25</f>
        <v>0</v>
      </c>
    </row>
    <row r="342" spans="1:10" x14ac:dyDescent="0.25">
      <c r="A342" s="49">
        <v>2</v>
      </c>
      <c r="B342" s="50">
        <v>6</v>
      </c>
      <c r="C342" s="50">
        <v>1</v>
      </c>
      <c r="D342" s="50">
        <v>3</v>
      </c>
      <c r="E342" s="50"/>
      <c r="F342" s="73" t="s">
        <v>287</v>
      </c>
      <c r="G342" s="51">
        <f>SUM(G343)</f>
        <v>40572.730000000003</v>
      </c>
      <c r="H342" s="51">
        <f>SUM(H343)</f>
        <v>0</v>
      </c>
      <c r="I342" s="51">
        <f t="shared" si="14"/>
        <v>40572.730000000003</v>
      </c>
      <c r="J342" s="58"/>
    </row>
    <row r="343" spans="1:10" x14ac:dyDescent="0.25">
      <c r="A343" s="53">
        <v>2</v>
      </c>
      <c r="B343" s="54">
        <v>6</v>
      </c>
      <c r="C343" s="54">
        <v>1</v>
      </c>
      <c r="D343" s="54">
        <v>3</v>
      </c>
      <c r="E343" s="55" t="s">
        <v>31</v>
      </c>
      <c r="F343" s="59" t="s">
        <v>287</v>
      </c>
      <c r="G343" s="56">
        <f>'[2]CUENTA T FONDO 100'!GJ126</f>
        <v>40572.730000000003</v>
      </c>
      <c r="H343" s="56">
        <f>'[2]CUENTA T VS'!GJ106</f>
        <v>0</v>
      </c>
      <c r="I343" s="56">
        <f t="shared" si="14"/>
        <v>40572.730000000003</v>
      </c>
      <c r="J343" s="57">
        <f>I343/$I$25</f>
        <v>4.0366908490655537E-4</v>
      </c>
    </row>
    <row r="344" spans="1:10" x14ac:dyDescent="0.25">
      <c r="A344" s="49">
        <v>2</v>
      </c>
      <c r="B344" s="50">
        <v>6</v>
      </c>
      <c r="C344" s="50">
        <v>1</v>
      </c>
      <c r="D344" s="50">
        <v>4</v>
      </c>
      <c r="E344" s="50"/>
      <c r="F344" s="73" t="s">
        <v>288</v>
      </c>
      <c r="G344" s="51">
        <f>SUM(G345)</f>
        <v>118194.26</v>
      </c>
      <c r="H344" s="51">
        <f>SUM(H345)</f>
        <v>0</v>
      </c>
      <c r="I344" s="51">
        <f t="shared" si="14"/>
        <v>118194.26</v>
      </c>
      <c r="J344" s="58"/>
    </row>
    <row r="345" spans="1:10" x14ac:dyDescent="0.25">
      <c r="A345" s="53">
        <v>2</v>
      </c>
      <c r="B345" s="54">
        <v>6</v>
      </c>
      <c r="C345" s="54">
        <v>1</v>
      </c>
      <c r="D345" s="54">
        <v>4</v>
      </c>
      <c r="E345" s="55" t="s">
        <v>31</v>
      </c>
      <c r="F345" s="59" t="s">
        <v>288</v>
      </c>
      <c r="G345" s="56">
        <f>'[2]CUENTA T FONDO 100'!GK126</f>
        <v>118194.26</v>
      </c>
      <c r="H345" s="56">
        <f>'[2]CUENTA T VS'!GK106</f>
        <v>0</v>
      </c>
      <c r="I345" s="56">
        <f t="shared" ref="I345:I408" si="18">SUM(G345:H345)</f>
        <v>118194.26</v>
      </c>
      <c r="J345" s="57">
        <f>I345/$I$25</f>
        <v>1.1759467202578549E-3</v>
      </c>
    </row>
    <row r="346" spans="1:10" x14ac:dyDescent="0.25">
      <c r="A346" s="49">
        <v>2</v>
      </c>
      <c r="B346" s="50">
        <v>6</v>
      </c>
      <c r="C346" s="50">
        <v>1</v>
      </c>
      <c r="D346" s="50">
        <v>9</v>
      </c>
      <c r="E346" s="50"/>
      <c r="F346" s="73" t="s">
        <v>289</v>
      </c>
      <c r="G346" s="51">
        <f>SUM(G347)</f>
        <v>72717.259999999995</v>
      </c>
      <c r="H346" s="51">
        <f>SUM(H347)</f>
        <v>0</v>
      </c>
      <c r="I346" s="51">
        <f t="shared" si="18"/>
        <v>72717.259999999995</v>
      </c>
      <c r="J346" s="58"/>
    </row>
    <row r="347" spans="1:10" x14ac:dyDescent="0.25">
      <c r="A347" s="53">
        <v>2</v>
      </c>
      <c r="B347" s="54">
        <v>6</v>
      </c>
      <c r="C347" s="54">
        <v>1</v>
      </c>
      <c r="D347" s="54">
        <v>9</v>
      </c>
      <c r="E347" s="55" t="s">
        <v>31</v>
      </c>
      <c r="F347" s="59" t="s">
        <v>289</v>
      </c>
      <c r="G347" s="56">
        <f>'[2]CUENTA T FONDO 100'!GL126</f>
        <v>72717.259999999995</v>
      </c>
      <c r="H347" s="56">
        <f>'[2]CUENTA T VS'!GL106</f>
        <v>0</v>
      </c>
      <c r="I347" s="56">
        <f t="shared" si="18"/>
        <v>72717.259999999995</v>
      </c>
      <c r="J347" s="57">
        <f>I347/$I$25</f>
        <v>7.2348372419386267E-4</v>
      </c>
    </row>
    <row r="348" spans="1:10" x14ac:dyDescent="0.25">
      <c r="A348" s="74">
        <v>2</v>
      </c>
      <c r="B348" s="74">
        <v>6</v>
      </c>
      <c r="C348" s="74">
        <v>2</v>
      </c>
      <c r="D348" s="74"/>
      <c r="E348" s="74"/>
      <c r="F348" s="88" t="s">
        <v>290</v>
      </c>
      <c r="G348" s="48">
        <f>+G349+G351+G353+G355</f>
        <v>182926.74</v>
      </c>
      <c r="H348" s="48">
        <f>+H349+H351+H353+H355</f>
        <v>0</v>
      </c>
      <c r="I348" s="48">
        <f t="shared" si="18"/>
        <v>182926.74</v>
      </c>
      <c r="J348" s="45"/>
    </row>
    <row r="349" spans="1:10" x14ac:dyDescent="0.25">
      <c r="A349" s="61">
        <v>2</v>
      </c>
      <c r="B349" s="50">
        <v>6</v>
      </c>
      <c r="C349" s="50">
        <v>2</v>
      </c>
      <c r="D349" s="50">
        <v>1</v>
      </c>
      <c r="E349" s="64"/>
      <c r="F349" s="73" t="s">
        <v>291</v>
      </c>
      <c r="G349" s="51">
        <f>SUM(G350)</f>
        <v>47202.36</v>
      </c>
      <c r="H349" s="51">
        <f>SUM(H350)</f>
        <v>0</v>
      </c>
      <c r="I349" s="51">
        <f t="shared" si="18"/>
        <v>47202.36</v>
      </c>
      <c r="J349" s="58"/>
    </row>
    <row r="350" spans="1:10" x14ac:dyDescent="0.25">
      <c r="A350" s="62">
        <v>2</v>
      </c>
      <c r="B350" s="54">
        <v>6</v>
      </c>
      <c r="C350" s="54">
        <v>2</v>
      </c>
      <c r="D350" s="54">
        <v>1</v>
      </c>
      <c r="E350" s="55" t="s">
        <v>31</v>
      </c>
      <c r="F350" s="59" t="s">
        <v>291</v>
      </c>
      <c r="G350" s="56">
        <f>'[2]CUENTA T FONDO 100'!GM126</f>
        <v>47202.36</v>
      </c>
      <c r="H350" s="56">
        <f>'[2]CUENTA T VS'!GM106</f>
        <v>0</v>
      </c>
      <c r="I350" s="56">
        <f t="shared" si="18"/>
        <v>47202.36</v>
      </c>
      <c r="J350" s="57">
        <f>I350/$I$25</f>
        <v>4.6962907023091104E-4</v>
      </c>
    </row>
    <row r="351" spans="1:10" x14ac:dyDescent="0.25">
      <c r="A351" s="61">
        <v>2</v>
      </c>
      <c r="B351" s="50">
        <v>6</v>
      </c>
      <c r="C351" s="50">
        <v>2</v>
      </c>
      <c r="D351" s="50">
        <v>2</v>
      </c>
      <c r="E351" s="64"/>
      <c r="F351" s="73" t="s">
        <v>292</v>
      </c>
      <c r="G351" s="51">
        <f>SUM(G352)</f>
        <v>0</v>
      </c>
      <c r="H351" s="51">
        <f>SUM(H352)</f>
        <v>0</v>
      </c>
      <c r="I351" s="51">
        <f t="shared" si="18"/>
        <v>0</v>
      </c>
      <c r="J351" s="58"/>
    </row>
    <row r="352" spans="1:10" x14ac:dyDescent="0.25">
      <c r="A352" s="62">
        <v>2</v>
      </c>
      <c r="B352" s="54">
        <v>6</v>
      </c>
      <c r="C352" s="54">
        <v>2</v>
      </c>
      <c r="D352" s="54">
        <v>2</v>
      </c>
      <c r="E352" s="55" t="s">
        <v>31</v>
      </c>
      <c r="F352" s="59" t="s">
        <v>292</v>
      </c>
      <c r="G352" s="56">
        <f>'[2]CUENTA T FONDO 100'!GN126</f>
        <v>0</v>
      </c>
      <c r="H352" s="56">
        <f>'[2]CUENTA T VS'!GN106</f>
        <v>0</v>
      </c>
      <c r="I352" s="56">
        <f t="shared" si="18"/>
        <v>0</v>
      </c>
      <c r="J352" s="57">
        <f>I352/$I$25</f>
        <v>0</v>
      </c>
    </row>
    <row r="353" spans="1:10" x14ac:dyDescent="0.25">
      <c r="A353" s="61">
        <v>2</v>
      </c>
      <c r="B353" s="50">
        <v>6</v>
      </c>
      <c r="C353" s="50">
        <v>2</v>
      </c>
      <c r="D353" s="50">
        <v>3</v>
      </c>
      <c r="E353" s="64"/>
      <c r="F353" s="73" t="s">
        <v>293</v>
      </c>
      <c r="G353" s="51">
        <f>SUM(G354)</f>
        <v>0</v>
      </c>
      <c r="H353" s="51">
        <f>SUM(H354)</f>
        <v>0</v>
      </c>
      <c r="I353" s="51">
        <f t="shared" si="18"/>
        <v>0</v>
      </c>
      <c r="J353" s="58"/>
    </row>
    <row r="354" spans="1:10" x14ac:dyDescent="0.25">
      <c r="A354" s="62">
        <v>2</v>
      </c>
      <c r="B354" s="54">
        <v>6</v>
      </c>
      <c r="C354" s="54">
        <v>2</v>
      </c>
      <c r="D354" s="54">
        <v>3</v>
      </c>
      <c r="E354" s="55" t="s">
        <v>31</v>
      </c>
      <c r="F354" s="59" t="s">
        <v>293</v>
      </c>
      <c r="G354" s="56">
        <f>'[2]CUENTA T FONDO 100'!GO126</f>
        <v>0</v>
      </c>
      <c r="H354" s="56">
        <f>'[2]CUENTA T VS'!GO106</f>
        <v>0</v>
      </c>
      <c r="I354" s="56">
        <f t="shared" si="18"/>
        <v>0</v>
      </c>
      <c r="J354" s="57">
        <f>I354/$I$25</f>
        <v>0</v>
      </c>
    </row>
    <row r="355" spans="1:10" x14ac:dyDescent="0.25">
      <c r="A355" s="61">
        <v>2</v>
      </c>
      <c r="B355" s="50">
        <v>6</v>
      </c>
      <c r="C355" s="50">
        <v>2</v>
      </c>
      <c r="D355" s="50">
        <v>4</v>
      </c>
      <c r="E355" s="64"/>
      <c r="F355" s="73" t="s">
        <v>294</v>
      </c>
      <c r="G355" s="51">
        <f>SUM(G356)</f>
        <v>135724.38</v>
      </c>
      <c r="H355" s="51">
        <f>SUM(H356)</f>
        <v>0</v>
      </c>
      <c r="I355" s="51">
        <f t="shared" si="18"/>
        <v>135724.38</v>
      </c>
      <c r="J355" s="58"/>
    </row>
    <row r="356" spans="1:10" x14ac:dyDescent="0.25">
      <c r="A356" s="62">
        <v>2</v>
      </c>
      <c r="B356" s="54">
        <v>6</v>
      </c>
      <c r="C356" s="54">
        <v>2</v>
      </c>
      <c r="D356" s="54">
        <v>4</v>
      </c>
      <c r="E356" s="55" t="s">
        <v>31</v>
      </c>
      <c r="F356" s="59" t="s">
        <v>294</v>
      </c>
      <c r="G356" s="56">
        <f>'[2]CUENTA T FONDO 100'!GP126</f>
        <v>135724.38</v>
      </c>
      <c r="H356" s="56">
        <f>'[2]CUENTA T VS'!GP106</f>
        <v>0</v>
      </c>
      <c r="I356" s="56">
        <f t="shared" si="18"/>
        <v>135724.38</v>
      </c>
      <c r="J356" s="57">
        <f>I356/$I$25</f>
        <v>1.3503586343366488E-3</v>
      </c>
    </row>
    <row r="357" spans="1:10" x14ac:dyDescent="0.25">
      <c r="A357" s="74">
        <v>2</v>
      </c>
      <c r="B357" s="74">
        <v>6</v>
      </c>
      <c r="C357" s="74">
        <v>3</v>
      </c>
      <c r="D357" s="74"/>
      <c r="E357" s="74"/>
      <c r="F357" s="88" t="s">
        <v>295</v>
      </c>
      <c r="G357" s="48">
        <f>+G358+G360+G362+G364</f>
        <v>2285211.66</v>
      </c>
      <c r="H357" s="48">
        <f>+H358+H360+H362+H364</f>
        <v>3927042.19</v>
      </c>
      <c r="I357" s="48">
        <f t="shared" si="18"/>
        <v>6212253.8499999996</v>
      </c>
      <c r="J357" s="45"/>
    </row>
    <row r="358" spans="1:10" x14ac:dyDescent="0.25">
      <c r="A358" s="61">
        <v>2</v>
      </c>
      <c r="B358" s="50">
        <v>6</v>
      </c>
      <c r="C358" s="50">
        <v>3</v>
      </c>
      <c r="D358" s="50">
        <v>1</v>
      </c>
      <c r="E358" s="64"/>
      <c r="F358" s="73" t="s">
        <v>296</v>
      </c>
      <c r="G358" s="51">
        <f>SUM(G359)</f>
        <v>679653.51</v>
      </c>
      <c r="H358" s="51">
        <f>SUM(H359)</f>
        <v>0</v>
      </c>
      <c r="I358" s="51">
        <f t="shared" si="18"/>
        <v>679653.51</v>
      </c>
      <c r="J358" s="58"/>
    </row>
    <row r="359" spans="1:10" x14ac:dyDescent="0.25">
      <c r="A359" s="62">
        <v>2</v>
      </c>
      <c r="B359" s="54">
        <v>6</v>
      </c>
      <c r="C359" s="54">
        <v>3</v>
      </c>
      <c r="D359" s="54">
        <v>1</v>
      </c>
      <c r="E359" s="55" t="s">
        <v>31</v>
      </c>
      <c r="F359" s="59" t="s">
        <v>296</v>
      </c>
      <c r="G359" s="56">
        <f>'[2]CUENTA T FONDO 100'!GQ126</f>
        <v>679653.51</v>
      </c>
      <c r="H359" s="56">
        <f>'[2]CUENTA T VS'!GQ106</f>
        <v>0</v>
      </c>
      <c r="I359" s="56">
        <f t="shared" si="18"/>
        <v>679653.51</v>
      </c>
      <c r="J359" s="57">
        <f>I359/$I$25</f>
        <v>6.7620569391122643E-3</v>
      </c>
    </row>
    <row r="360" spans="1:10" x14ac:dyDescent="0.25">
      <c r="A360" s="61">
        <v>2</v>
      </c>
      <c r="B360" s="50">
        <v>6</v>
      </c>
      <c r="C360" s="50">
        <v>3</v>
      </c>
      <c r="D360" s="50">
        <v>2</v>
      </c>
      <c r="E360" s="64"/>
      <c r="F360" s="73" t="s">
        <v>297</v>
      </c>
      <c r="G360" s="51">
        <f>SUM(G361)</f>
        <v>1605558.15</v>
      </c>
      <c r="H360" s="51">
        <f>SUM(H361)</f>
        <v>2221942.19</v>
      </c>
      <c r="I360" s="51">
        <f t="shared" si="18"/>
        <v>3827500.34</v>
      </c>
      <c r="J360" s="58"/>
    </row>
    <row r="361" spans="1:10" x14ac:dyDescent="0.25">
      <c r="A361" s="62">
        <v>2</v>
      </c>
      <c r="B361" s="54">
        <v>6</v>
      </c>
      <c r="C361" s="54">
        <v>3</v>
      </c>
      <c r="D361" s="54">
        <v>2</v>
      </c>
      <c r="E361" s="55" t="s">
        <v>31</v>
      </c>
      <c r="F361" s="59" t="s">
        <v>297</v>
      </c>
      <c r="G361" s="56">
        <f>'[2]CUENTA T FONDO 100'!GR126</f>
        <v>1605558.15</v>
      </c>
      <c r="H361" s="56">
        <f>'[2]CUENTA T VS'!GR106</f>
        <v>2221942.19</v>
      </c>
      <c r="I361" s="56">
        <f t="shared" si="18"/>
        <v>3827500.34</v>
      </c>
      <c r="J361" s="57">
        <f>I361/$I$25</f>
        <v>3.8080838034002869E-2</v>
      </c>
    </row>
    <row r="362" spans="1:10" x14ac:dyDescent="0.25">
      <c r="A362" s="61">
        <v>2</v>
      </c>
      <c r="B362" s="50">
        <v>6</v>
      </c>
      <c r="C362" s="50">
        <v>3</v>
      </c>
      <c r="D362" s="50">
        <v>3</v>
      </c>
      <c r="E362" s="64"/>
      <c r="F362" s="73" t="s">
        <v>298</v>
      </c>
      <c r="G362" s="51">
        <f>SUM(G363)</f>
        <v>0</v>
      </c>
      <c r="H362" s="51">
        <f>SUM(H363)</f>
        <v>0</v>
      </c>
      <c r="I362" s="51">
        <f t="shared" si="18"/>
        <v>0</v>
      </c>
      <c r="J362" s="58"/>
    </row>
    <row r="363" spans="1:10" x14ac:dyDescent="0.25">
      <c r="A363" s="62">
        <v>2</v>
      </c>
      <c r="B363" s="54">
        <v>6</v>
      </c>
      <c r="C363" s="54">
        <v>3</v>
      </c>
      <c r="D363" s="54">
        <v>3</v>
      </c>
      <c r="E363" s="55" t="s">
        <v>31</v>
      </c>
      <c r="F363" s="59" t="s">
        <v>298</v>
      </c>
      <c r="G363" s="56">
        <f>'[2]CUENTA T FONDO 100'!GS126</f>
        <v>0</v>
      </c>
      <c r="H363" s="56">
        <f>'[2]CUENTA T VS'!GS106</f>
        <v>0</v>
      </c>
      <c r="I363" s="56">
        <f t="shared" si="18"/>
        <v>0</v>
      </c>
      <c r="J363" s="57">
        <f>I363/$I$25</f>
        <v>0</v>
      </c>
    </row>
    <row r="364" spans="1:10" x14ac:dyDescent="0.25">
      <c r="A364" s="61">
        <v>2</v>
      </c>
      <c r="B364" s="50">
        <v>6</v>
      </c>
      <c r="C364" s="50">
        <v>3</v>
      </c>
      <c r="D364" s="50">
        <v>4</v>
      </c>
      <c r="E364" s="50"/>
      <c r="F364" s="73" t="s">
        <v>299</v>
      </c>
      <c r="G364" s="51">
        <f>+G365</f>
        <v>0</v>
      </c>
      <c r="H364" s="51">
        <f>+H365</f>
        <v>1705100</v>
      </c>
      <c r="I364" s="51">
        <f t="shared" si="18"/>
        <v>1705100</v>
      </c>
      <c r="J364" s="58"/>
    </row>
    <row r="365" spans="1:10" x14ac:dyDescent="0.25">
      <c r="A365" s="62">
        <v>2</v>
      </c>
      <c r="B365" s="54">
        <v>6</v>
      </c>
      <c r="C365" s="54">
        <v>3</v>
      </c>
      <c r="D365" s="54">
        <v>4</v>
      </c>
      <c r="E365" s="55" t="s">
        <v>31</v>
      </c>
      <c r="F365" s="59" t="s">
        <v>299</v>
      </c>
      <c r="G365" s="56">
        <f>'[2]CUENTA T FONDO 100'!GT126</f>
        <v>0</v>
      </c>
      <c r="H365" s="56">
        <f>'[2]CUENTA T VS'!GT106</f>
        <v>1705100</v>
      </c>
      <c r="I365" s="56">
        <f t="shared" si="18"/>
        <v>1705100</v>
      </c>
      <c r="J365" s="57">
        <f>I365/$I$25</f>
        <v>1.6964501936994811E-2</v>
      </c>
    </row>
    <row r="366" spans="1:10" x14ac:dyDescent="0.25">
      <c r="A366" s="46">
        <v>2</v>
      </c>
      <c r="B366" s="47">
        <v>6</v>
      </c>
      <c r="C366" s="47">
        <v>4</v>
      </c>
      <c r="D366" s="47"/>
      <c r="E366" s="65"/>
      <c r="F366" s="72" t="s">
        <v>300</v>
      </c>
      <c r="G366" s="48">
        <f>+G367+G369+G371+G373+G375+G377+G379+G381</f>
        <v>0</v>
      </c>
      <c r="H366" s="48">
        <f>+H367+H369+H371+H373+H375+H377+H379+H381</f>
        <v>0</v>
      </c>
      <c r="I366" s="48">
        <f t="shared" si="18"/>
        <v>0</v>
      </c>
      <c r="J366" s="45"/>
    </row>
    <row r="367" spans="1:10" x14ac:dyDescent="0.25">
      <c r="A367" s="61">
        <v>2</v>
      </c>
      <c r="B367" s="50">
        <v>6</v>
      </c>
      <c r="C367" s="50">
        <v>4</v>
      </c>
      <c r="D367" s="50">
        <v>1</v>
      </c>
      <c r="E367" s="50"/>
      <c r="F367" s="73" t="s">
        <v>301</v>
      </c>
      <c r="G367" s="51">
        <f>SUM(G368)</f>
        <v>0</v>
      </c>
      <c r="H367" s="51">
        <f>SUM(H368)</f>
        <v>0</v>
      </c>
      <c r="I367" s="51">
        <f t="shared" si="18"/>
        <v>0</v>
      </c>
      <c r="J367" s="58"/>
    </row>
    <row r="368" spans="1:10" x14ac:dyDescent="0.25">
      <c r="A368" s="62">
        <v>2</v>
      </c>
      <c r="B368" s="54">
        <v>6</v>
      </c>
      <c r="C368" s="54">
        <v>4</v>
      </c>
      <c r="D368" s="54">
        <v>1</v>
      </c>
      <c r="E368" s="55" t="s">
        <v>31</v>
      </c>
      <c r="F368" s="59" t="s">
        <v>301</v>
      </c>
      <c r="G368" s="56">
        <f>'[2]CUENTA T FONDO 100'!GU126</f>
        <v>0</v>
      </c>
      <c r="H368" s="56">
        <f>'[2]CUENTA T VS'!GU106</f>
        <v>0</v>
      </c>
      <c r="I368" s="56">
        <f t="shared" si="18"/>
        <v>0</v>
      </c>
      <c r="J368" s="57">
        <f>I368/$I$25</f>
        <v>0</v>
      </c>
    </row>
    <row r="369" spans="1:10" x14ac:dyDescent="0.25">
      <c r="A369" s="61">
        <v>2</v>
      </c>
      <c r="B369" s="50">
        <v>6</v>
      </c>
      <c r="C369" s="50">
        <v>4</v>
      </c>
      <c r="D369" s="50">
        <v>2</v>
      </c>
      <c r="E369" s="50"/>
      <c r="F369" s="73" t="s">
        <v>302</v>
      </c>
      <c r="G369" s="51">
        <f>SUM(G370)</f>
        <v>0</v>
      </c>
      <c r="H369" s="51">
        <f>SUM(H370)</f>
        <v>0</v>
      </c>
      <c r="I369" s="51">
        <f t="shared" si="18"/>
        <v>0</v>
      </c>
      <c r="J369" s="58"/>
    </row>
    <row r="370" spans="1:10" x14ac:dyDescent="0.25">
      <c r="A370" s="62">
        <v>2</v>
      </c>
      <c r="B370" s="54">
        <v>6</v>
      </c>
      <c r="C370" s="54">
        <v>4</v>
      </c>
      <c r="D370" s="54">
        <v>2</v>
      </c>
      <c r="E370" s="55" t="s">
        <v>31</v>
      </c>
      <c r="F370" s="59" t="s">
        <v>302</v>
      </c>
      <c r="G370" s="56">
        <f>'[2]CUENTA T FONDO 100'!GV126</f>
        <v>0</v>
      </c>
      <c r="H370" s="56">
        <f>'[2]CUENTA T VS'!GV106</f>
        <v>0</v>
      </c>
      <c r="I370" s="56">
        <f t="shared" si="18"/>
        <v>0</v>
      </c>
      <c r="J370" s="57">
        <f>I370/$I$25</f>
        <v>0</v>
      </c>
    </row>
    <row r="371" spans="1:10" x14ac:dyDescent="0.25">
      <c r="A371" s="61">
        <v>2</v>
      </c>
      <c r="B371" s="50">
        <v>6</v>
      </c>
      <c r="C371" s="50">
        <v>4</v>
      </c>
      <c r="D371" s="50">
        <v>3</v>
      </c>
      <c r="E371" s="50"/>
      <c r="F371" s="73" t="s">
        <v>303</v>
      </c>
      <c r="G371" s="51">
        <f>SUM(G372)</f>
        <v>0</v>
      </c>
      <c r="H371" s="51">
        <f>SUM(H372)</f>
        <v>0</v>
      </c>
      <c r="I371" s="51">
        <f t="shared" si="18"/>
        <v>0</v>
      </c>
      <c r="J371" s="58"/>
    </row>
    <row r="372" spans="1:10" x14ac:dyDescent="0.25">
      <c r="A372" s="62">
        <v>2</v>
      </c>
      <c r="B372" s="54">
        <v>6</v>
      </c>
      <c r="C372" s="54">
        <v>4</v>
      </c>
      <c r="D372" s="54">
        <v>3</v>
      </c>
      <c r="E372" s="55" t="s">
        <v>31</v>
      </c>
      <c r="F372" s="59" t="s">
        <v>303</v>
      </c>
      <c r="G372" s="56">
        <f>'[2]CUENTA T FONDO 100'!GW126</f>
        <v>0</v>
      </c>
      <c r="H372" s="56">
        <f>'[2]CUENTA T VS'!GX106</f>
        <v>0</v>
      </c>
      <c r="I372" s="56">
        <f t="shared" si="18"/>
        <v>0</v>
      </c>
      <c r="J372" s="57">
        <f>I372/$I$25</f>
        <v>0</v>
      </c>
    </row>
    <row r="373" spans="1:10" x14ac:dyDescent="0.25">
      <c r="A373" s="61">
        <v>2</v>
      </c>
      <c r="B373" s="50">
        <v>6</v>
      </c>
      <c r="C373" s="50">
        <v>4</v>
      </c>
      <c r="D373" s="50">
        <v>4</v>
      </c>
      <c r="E373" s="50"/>
      <c r="F373" s="73" t="s">
        <v>304</v>
      </c>
      <c r="G373" s="51">
        <f>SUM(G374)</f>
        <v>0</v>
      </c>
      <c r="H373" s="51">
        <f>SUM(H374)</f>
        <v>0</v>
      </c>
      <c r="I373" s="51">
        <f t="shared" si="18"/>
        <v>0</v>
      </c>
      <c r="J373" s="58"/>
    </row>
    <row r="374" spans="1:10" x14ac:dyDescent="0.25">
      <c r="A374" s="62">
        <v>2</v>
      </c>
      <c r="B374" s="54">
        <v>6</v>
      </c>
      <c r="C374" s="54">
        <v>4</v>
      </c>
      <c r="D374" s="54">
        <v>4</v>
      </c>
      <c r="E374" s="55" t="s">
        <v>31</v>
      </c>
      <c r="F374" s="59" t="s">
        <v>304</v>
      </c>
      <c r="G374" s="56">
        <f>'[2]CUENTA T FONDO 100'!GX126</f>
        <v>0</v>
      </c>
      <c r="H374" s="56">
        <f>'[2]CUENTA T VS'!GX106</f>
        <v>0</v>
      </c>
      <c r="I374" s="56">
        <f t="shared" si="18"/>
        <v>0</v>
      </c>
      <c r="J374" s="57">
        <f>I374/$I$25</f>
        <v>0</v>
      </c>
    </row>
    <row r="375" spans="1:10" x14ac:dyDescent="0.25">
      <c r="A375" s="61">
        <v>2</v>
      </c>
      <c r="B375" s="50">
        <v>6</v>
      </c>
      <c r="C375" s="50">
        <v>4</v>
      </c>
      <c r="D375" s="50">
        <v>5</v>
      </c>
      <c r="E375" s="50"/>
      <c r="F375" s="73" t="s">
        <v>305</v>
      </c>
      <c r="G375" s="51">
        <f>SUM(G376)</f>
        <v>0</v>
      </c>
      <c r="H375" s="51">
        <f>SUM(H376)</f>
        <v>0</v>
      </c>
      <c r="I375" s="51">
        <f t="shared" si="18"/>
        <v>0</v>
      </c>
      <c r="J375" s="58"/>
    </row>
    <row r="376" spans="1:10" x14ac:dyDescent="0.25">
      <c r="A376" s="62">
        <v>2</v>
      </c>
      <c r="B376" s="54">
        <v>6</v>
      </c>
      <c r="C376" s="54">
        <v>4</v>
      </c>
      <c r="D376" s="54">
        <v>5</v>
      </c>
      <c r="E376" s="55" t="s">
        <v>31</v>
      </c>
      <c r="F376" s="59" t="s">
        <v>305</v>
      </c>
      <c r="G376" s="56">
        <f>'[2]CUENTA T FONDO 100'!GY126</f>
        <v>0</v>
      </c>
      <c r="H376" s="56">
        <f>'[2]CUENTA T VS'!GY106</f>
        <v>0</v>
      </c>
      <c r="I376" s="56">
        <f t="shared" si="18"/>
        <v>0</v>
      </c>
      <c r="J376" s="57">
        <f>I376/$I$25</f>
        <v>0</v>
      </c>
    </row>
    <row r="377" spans="1:10" x14ac:dyDescent="0.25">
      <c r="A377" s="61">
        <v>2</v>
      </c>
      <c r="B377" s="50">
        <v>6</v>
      </c>
      <c r="C377" s="50">
        <v>4</v>
      </c>
      <c r="D377" s="50">
        <v>6</v>
      </c>
      <c r="E377" s="50"/>
      <c r="F377" s="73" t="s">
        <v>306</v>
      </c>
      <c r="G377" s="51">
        <f>SUM(G378)</f>
        <v>0</v>
      </c>
      <c r="H377" s="51">
        <f>SUM(H378)</f>
        <v>0</v>
      </c>
      <c r="I377" s="51">
        <f t="shared" si="18"/>
        <v>0</v>
      </c>
      <c r="J377" s="58"/>
    </row>
    <row r="378" spans="1:10" x14ac:dyDescent="0.25">
      <c r="A378" s="62">
        <v>2</v>
      </c>
      <c r="B378" s="54">
        <v>6</v>
      </c>
      <c r="C378" s="54">
        <v>4</v>
      </c>
      <c r="D378" s="54">
        <v>6</v>
      </c>
      <c r="E378" s="55" t="s">
        <v>31</v>
      </c>
      <c r="F378" s="59" t="s">
        <v>306</v>
      </c>
      <c r="G378" s="56">
        <f>'[2]CUENTA T FONDO 100'!GZ126</f>
        <v>0</v>
      </c>
      <c r="H378" s="56">
        <f>'[2]CUENTA T VS'!GZ106</f>
        <v>0</v>
      </c>
      <c r="I378" s="56">
        <f t="shared" si="18"/>
        <v>0</v>
      </c>
      <c r="J378" s="57">
        <f>I378/$I$25</f>
        <v>0</v>
      </c>
    </row>
    <row r="379" spans="1:10" x14ac:dyDescent="0.25">
      <c r="A379" s="61">
        <v>2</v>
      </c>
      <c r="B379" s="50">
        <v>6</v>
      </c>
      <c r="C379" s="50">
        <v>4</v>
      </c>
      <c r="D379" s="50">
        <v>7</v>
      </c>
      <c r="E379" s="50"/>
      <c r="F379" s="73" t="s">
        <v>307</v>
      </c>
      <c r="G379" s="51">
        <f>SUM(G380)</f>
        <v>0</v>
      </c>
      <c r="H379" s="51">
        <f>SUM(H380)</f>
        <v>0</v>
      </c>
      <c r="I379" s="51">
        <f t="shared" si="18"/>
        <v>0</v>
      </c>
      <c r="J379" s="58"/>
    </row>
    <row r="380" spans="1:10" x14ac:dyDescent="0.25">
      <c r="A380" s="62">
        <v>2</v>
      </c>
      <c r="B380" s="54">
        <v>6</v>
      </c>
      <c r="C380" s="54">
        <v>4</v>
      </c>
      <c r="D380" s="54">
        <v>7</v>
      </c>
      <c r="E380" s="55" t="s">
        <v>31</v>
      </c>
      <c r="F380" s="59" t="s">
        <v>307</v>
      </c>
      <c r="G380" s="56">
        <f>'[2]CUENTA T FONDO 100'!HA126</f>
        <v>0</v>
      </c>
      <c r="H380" s="56">
        <f>'[2]CUENTA T VS'!HA106</f>
        <v>0</v>
      </c>
      <c r="I380" s="56">
        <f t="shared" si="18"/>
        <v>0</v>
      </c>
      <c r="J380" s="57">
        <f>I380/$I$25</f>
        <v>0</v>
      </c>
    </row>
    <row r="381" spans="1:10" x14ac:dyDescent="0.25">
      <c r="A381" s="61">
        <v>2</v>
      </c>
      <c r="B381" s="50">
        <v>6</v>
      </c>
      <c r="C381" s="50">
        <v>4</v>
      </c>
      <c r="D381" s="50">
        <v>8</v>
      </c>
      <c r="E381" s="50"/>
      <c r="F381" s="73" t="s">
        <v>308</v>
      </c>
      <c r="G381" s="51">
        <f>SUM(G382)</f>
        <v>0</v>
      </c>
      <c r="H381" s="51">
        <f>SUM(H382)</f>
        <v>0</v>
      </c>
      <c r="I381" s="51">
        <f t="shared" si="18"/>
        <v>0</v>
      </c>
      <c r="J381" s="58"/>
    </row>
    <row r="382" spans="1:10" x14ac:dyDescent="0.25">
      <c r="A382" s="62">
        <v>2</v>
      </c>
      <c r="B382" s="54">
        <v>6</v>
      </c>
      <c r="C382" s="54">
        <v>4</v>
      </c>
      <c r="D382" s="54">
        <v>8</v>
      </c>
      <c r="E382" s="55" t="s">
        <v>31</v>
      </c>
      <c r="F382" s="59" t="s">
        <v>308</v>
      </c>
      <c r="G382" s="56">
        <f>'[2]CUENTA T FONDO 100'!HB126</f>
        <v>0</v>
      </c>
      <c r="H382" s="56">
        <f>'[2]CUENTA T VS'!HB106</f>
        <v>0</v>
      </c>
      <c r="I382" s="56">
        <f t="shared" si="18"/>
        <v>0</v>
      </c>
      <c r="J382" s="57">
        <f>I382/$I$25</f>
        <v>0</v>
      </c>
    </row>
    <row r="383" spans="1:10" x14ac:dyDescent="0.25">
      <c r="A383" s="46">
        <v>2</v>
      </c>
      <c r="B383" s="47">
        <v>6</v>
      </c>
      <c r="C383" s="47">
        <v>5</v>
      </c>
      <c r="D383" s="47"/>
      <c r="E383" s="65"/>
      <c r="F383" s="72" t="s">
        <v>309</v>
      </c>
      <c r="G383" s="48">
        <f>+G384+G386+G388+G390+G392+G394+G396+G398</f>
        <v>3535489.5500000003</v>
      </c>
      <c r="H383" s="48">
        <f>+H384+H386+H388+H390+H392+H394+H396+H398</f>
        <v>0</v>
      </c>
      <c r="I383" s="48">
        <f t="shared" si="18"/>
        <v>3535489.5500000003</v>
      </c>
      <c r="J383" s="45"/>
    </row>
    <row r="384" spans="1:10" x14ac:dyDescent="0.25">
      <c r="A384" s="49">
        <v>2</v>
      </c>
      <c r="B384" s="50">
        <v>6</v>
      </c>
      <c r="C384" s="50">
        <v>5</v>
      </c>
      <c r="D384" s="50">
        <v>1</v>
      </c>
      <c r="E384" s="50"/>
      <c r="F384" s="73" t="s">
        <v>310</v>
      </c>
      <c r="G384" s="51">
        <f>SUM(G385)</f>
        <v>0</v>
      </c>
      <c r="H384" s="51">
        <f>SUM(H385)</f>
        <v>0</v>
      </c>
      <c r="I384" s="51">
        <f t="shared" si="18"/>
        <v>0</v>
      </c>
      <c r="J384" s="58"/>
    </row>
    <row r="385" spans="1:10" x14ac:dyDescent="0.25">
      <c r="A385" s="53">
        <v>2</v>
      </c>
      <c r="B385" s="54">
        <v>6</v>
      </c>
      <c r="C385" s="54">
        <v>5</v>
      </c>
      <c r="D385" s="54">
        <v>1</v>
      </c>
      <c r="E385" s="55" t="s">
        <v>31</v>
      </c>
      <c r="F385" s="59" t="s">
        <v>310</v>
      </c>
      <c r="G385" s="56">
        <f>'[2]CUENTA T FONDO 100'!HC126</f>
        <v>0</v>
      </c>
      <c r="H385" s="56">
        <f>'[2]CUENTA T VS'!HC106</f>
        <v>0</v>
      </c>
      <c r="I385" s="56">
        <f t="shared" si="18"/>
        <v>0</v>
      </c>
      <c r="J385" s="57">
        <f>I385/$I$25</f>
        <v>0</v>
      </c>
    </row>
    <row r="386" spans="1:10" x14ac:dyDescent="0.25">
      <c r="A386" s="49">
        <v>2</v>
      </c>
      <c r="B386" s="50">
        <v>6</v>
      </c>
      <c r="C386" s="50">
        <v>5</v>
      </c>
      <c r="D386" s="50">
        <v>2</v>
      </c>
      <c r="E386" s="50"/>
      <c r="F386" s="73" t="s">
        <v>311</v>
      </c>
      <c r="G386" s="51">
        <f>SUM(G387)</f>
        <v>15963.52</v>
      </c>
      <c r="H386" s="51">
        <f>SUM(H387)</f>
        <v>0</v>
      </c>
      <c r="I386" s="51">
        <f t="shared" si="18"/>
        <v>15963.52</v>
      </c>
      <c r="J386" s="58"/>
    </row>
    <row r="387" spans="1:10" x14ac:dyDescent="0.25">
      <c r="A387" s="53">
        <v>2</v>
      </c>
      <c r="B387" s="54">
        <v>6</v>
      </c>
      <c r="C387" s="54">
        <v>5</v>
      </c>
      <c r="D387" s="54">
        <v>2</v>
      </c>
      <c r="E387" s="55" t="s">
        <v>31</v>
      </c>
      <c r="F387" s="59" t="s">
        <v>311</v>
      </c>
      <c r="G387" s="56">
        <f>'[2]CUENTA T FONDO 100'!HD126</f>
        <v>15963.52</v>
      </c>
      <c r="H387" s="56">
        <f>'[2]CUENTA T VS'!HD106</f>
        <v>0</v>
      </c>
      <c r="I387" s="56">
        <f t="shared" si="18"/>
        <v>15963.52</v>
      </c>
      <c r="J387" s="57">
        <f>I387/$I$25</f>
        <v>1.5882538617163533E-4</v>
      </c>
    </row>
    <row r="388" spans="1:10" x14ac:dyDescent="0.25">
      <c r="A388" s="49">
        <v>2</v>
      </c>
      <c r="B388" s="50">
        <v>6</v>
      </c>
      <c r="C388" s="50">
        <v>5</v>
      </c>
      <c r="D388" s="50">
        <v>3</v>
      </c>
      <c r="E388" s="50"/>
      <c r="F388" s="73" t="s">
        <v>312</v>
      </c>
      <c r="G388" s="51">
        <f>SUM(G389)</f>
        <v>0</v>
      </c>
      <c r="H388" s="51">
        <f>SUM(H389)</f>
        <v>0</v>
      </c>
      <c r="I388" s="51">
        <f t="shared" si="18"/>
        <v>0</v>
      </c>
      <c r="J388" s="58"/>
    </row>
    <row r="389" spans="1:10" x14ac:dyDescent="0.25">
      <c r="A389" s="53">
        <v>2</v>
      </c>
      <c r="B389" s="54">
        <v>6</v>
      </c>
      <c r="C389" s="54">
        <v>5</v>
      </c>
      <c r="D389" s="54">
        <v>3</v>
      </c>
      <c r="E389" s="55" t="s">
        <v>31</v>
      </c>
      <c r="F389" s="59" t="s">
        <v>312</v>
      </c>
      <c r="G389" s="56">
        <f>'[2]CUENTA T FONDO 100'!HE126</f>
        <v>0</v>
      </c>
      <c r="H389" s="56">
        <f>'[2]CUENTA T VS'!HE106</f>
        <v>0</v>
      </c>
      <c r="I389" s="56">
        <f t="shared" si="18"/>
        <v>0</v>
      </c>
      <c r="J389" s="57">
        <f>I389/$I$25</f>
        <v>0</v>
      </c>
    </row>
    <row r="390" spans="1:10" x14ac:dyDescent="0.25">
      <c r="A390" s="49">
        <v>2</v>
      </c>
      <c r="B390" s="50">
        <v>6</v>
      </c>
      <c r="C390" s="50">
        <v>5</v>
      </c>
      <c r="D390" s="50">
        <v>4</v>
      </c>
      <c r="E390" s="50"/>
      <c r="F390" s="73" t="s">
        <v>313</v>
      </c>
      <c r="G390" s="51">
        <f>SUM(G391)</f>
        <v>3389717.04</v>
      </c>
      <c r="H390" s="51">
        <f>SUM(H391)</f>
        <v>0</v>
      </c>
      <c r="I390" s="51">
        <f t="shared" si="18"/>
        <v>3389717.04</v>
      </c>
      <c r="J390" s="58"/>
    </row>
    <row r="391" spans="1:10" x14ac:dyDescent="0.25">
      <c r="A391" s="53">
        <v>2</v>
      </c>
      <c r="B391" s="54">
        <v>6</v>
      </c>
      <c r="C391" s="54">
        <v>5</v>
      </c>
      <c r="D391" s="54">
        <v>4</v>
      </c>
      <c r="E391" s="55" t="s">
        <v>31</v>
      </c>
      <c r="F391" s="59" t="s">
        <v>313</v>
      </c>
      <c r="G391" s="56">
        <f>'[2]CUENTA T FONDO 100'!HF126</f>
        <v>3389717.04</v>
      </c>
      <c r="H391" s="56">
        <f>'[2]CUENTA T VS'!HF106</f>
        <v>0</v>
      </c>
      <c r="I391" s="56">
        <f t="shared" si="18"/>
        <v>3389717.04</v>
      </c>
      <c r="J391" s="57">
        <f>I391/$I$25</f>
        <v>3.3725213354609297E-2</v>
      </c>
    </row>
    <row r="392" spans="1:10" x14ac:dyDescent="0.25">
      <c r="A392" s="49">
        <v>2</v>
      </c>
      <c r="B392" s="50">
        <v>6</v>
      </c>
      <c r="C392" s="50">
        <v>5</v>
      </c>
      <c r="D392" s="50">
        <v>5</v>
      </c>
      <c r="E392" s="50"/>
      <c r="F392" s="73" t="s">
        <v>314</v>
      </c>
      <c r="G392" s="51">
        <f>SUM(G393)</f>
        <v>0</v>
      </c>
      <c r="H392" s="51">
        <f>SUM(H393)</f>
        <v>0</v>
      </c>
      <c r="I392" s="51">
        <f t="shared" si="18"/>
        <v>0</v>
      </c>
      <c r="J392" s="58"/>
    </row>
    <row r="393" spans="1:10" x14ac:dyDescent="0.25">
      <c r="A393" s="53">
        <v>2</v>
      </c>
      <c r="B393" s="54">
        <v>6</v>
      </c>
      <c r="C393" s="54">
        <v>5</v>
      </c>
      <c r="D393" s="54">
        <v>5</v>
      </c>
      <c r="E393" s="55" t="s">
        <v>31</v>
      </c>
      <c r="F393" s="59" t="s">
        <v>314</v>
      </c>
      <c r="G393" s="56">
        <f>'[2]CUENTA T FONDO 100'!HG126</f>
        <v>0</v>
      </c>
      <c r="H393" s="56">
        <f>'[2]CUENTA T VS'!HG106</f>
        <v>0</v>
      </c>
      <c r="I393" s="56">
        <f t="shared" si="18"/>
        <v>0</v>
      </c>
      <c r="J393" s="57">
        <f>I393/$I$25</f>
        <v>0</v>
      </c>
    </row>
    <row r="394" spans="1:10" x14ac:dyDescent="0.25">
      <c r="A394" s="49">
        <v>2</v>
      </c>
      <c r="B394" s="50">
        <v>6</v>
      </c>
      <c r="C394" s="50">
        <v>5</v>
      </c>
      <c r="D394" s="50">
        <v>6</v>
      </c>
      <c r="E394" s="50"/>
      <c r="F394" s="73" t="s">
        <v>315</v>
      </c>
      <c r="G394" s="51">
        <f>SUM(G395)</f>
        <v>0</v>
      </c>
      <c r="H394" s="51">
        <f>SUM(H395)</f>
        <v>0</v>
      </c>
      <c r="I394" s="51">
        <f t="shared" si="18"/>
        <v>0</v>
      </c>
      <c r="J394" s="58"/>
    </row>
    <row r="395" spans="1:10" x14ac:dyDescent="0.25">
      <c r="A395" s="53">
        <v>2</v>
      </c>
      <c r="B395" s="54">
        <v>6</v>
      </c>
      <c r="C395" s="54">
        <v>5</v>
      </c>
      <c r="D395" s="54">
        <v>6</v>
      </c>
      <c r="E395" s="55" t="s">
        <v>31</v>
      </c>
      <c r="F395" s="59" t="s">
        <v>315</v>
      </c>
      <c r="G395" s="56">
        <f>'[2]CUENTA T FONDO 100'!HH126</f>
        <v>0</v>
      </c>
      <c r="H395" s="56">
        <f>'[2]CUENTA T VS'!HH106</f>
        <v>0</v>
      </c>
      <c r="I395" s="56">
        <f t="shared" si="18"/>
        <v>0</v>
      </c>
      <c r="J395" s="57">
        <f>I395/$I$25</f>
        <v>0</v>
      </c>
    </row>
    <row r="396" spans="1:10" x14ac:dyDescent="0.25">
      <c r="A396" s="49">
        <v>2</v>
      </c>
      <c r="B396" s="50">
        <v>6</v>
      </c>
      <c r="C396" s="50">
        <v>5</v>
      </c>
      <c r="D396" s="50">
        <v>7</v>
      </c>
      <c r="E396" s="50"/>
      <c r="F396" s="73" t="s">
        <v>316</v>
      </c>
      <c r="G396" s="51">
        <f>SUM(G397)</f>
        <v>32104.99</v>
      </c>
      <c r="H396" s="51">
        <f>SUM(H397)</f>
        <v>0</v>
      </c>
      <c r="I396" s="51">
        <f t="shared" si="18"/>
        <v>32104.99</v>
      </c>
      <c r="J396" s="58"/>
    </row>
    <row r="397" spans="1:10" x14ac:dyDescent="0.25">
      <c r="A397" s="53">
        <v>2</v>
      </c>
      <c r="B397" s="54">
        <v>6</v>
      </c>
      <c r="C397" s="54">
        <v>5</v>
      </c>
      <c r="D397" s="54">
        <v>7</v>
      </c>
      <c r="E397" s="55" t="s">
        <v>31</v>
      </c>
      <c r="F397" s="59" t="s">
        <v>316</v>
      </c>
      <c r="G397" s="56">
        <f>'[2]CUENTA T FONDO 100'!HI126</f>
        <v>32104.99</v>
      </c>
      <c r="H397" s="56">
        <f>'[2]CUENTA T VS'!HI106</f>
        <v>0</v>
      </c>
      <c r="I397" s="56">
        <f t="shared" si="18"/>
        <v>32104.99</v>
      </c>
      <c r="J397" s="57">
        <f>I397/$I$25</f>
        <v>3.1942124511301335E-4</v>
      </c>
    </row>
    <row r="398" spans="1:10" x14ac:dyDescent="0.25">
      <c r="A398" s="49">
        <v>2</v>
      </c>
      <c r="B398" s="50">
        <v>6</v>
      </c>
      <c r="C398" s="50">
        <v>5</v>
      </c>
      <c r="D398" s="50">
        <v>8</v>
      </c>
      <c r="E398" s="50"/>
      <c r="F398" s="73" t="s">
        <v>317</v>
      </c>
      <c r="G398" s="51">
        <f>SUM(G399)</f>
        <v>97704</v>
      </c>
      <c r="H398" s="51">
        <f>SUM(H399)</f>
        <v>0</v>
      </c>
      <c r="I398" s="51">
        <f t="shared" si="18"/>
        <v>97704</v>
      </c>
      <c r="J398" s="58"/>
    </row>
    <row r="399" spans="1:10" x14ac:dyDescent="0.25">
      <c r="A399" s="53">
        <v>2</v>
      </c>
      <c r="B399" s="54">
        <v>6</v>
      </c>
      <c r="C399" s="54">
        <v>5</v>
      </c>
      <c r="D399" s="54">
        <v>8</v>
      </c>
      <c r="E399" s="55" t="s">
        <v>31</v>
      </c>
      <c r="F399" s="59" t="s">
        <v>317</v>
      </c>
      <c r="G399" s="56">
        <f>'[2]CUENTA T FONDO 100'!HJ126</f>
        <v>97704</v>
      </c>
      <c r="H399" s="56">
        <f>'[2]CUENTA T VS'!HJ106</f>
        <v>0</v>
      </c>
      <c r="I399" s="56">
        <f t="shared" si="18"/>
        <v>97704</v>
      </c>
      <c r="J399" s="57">
        <f>I399/$I$25</f>
        <v>9.7208357119942586E-4</v>
      </c>
    </row>
    <row r="400" spans="1:10" x14ac:dyDescent="0.25">
      <c r="A400" s="60">
        <v>2</v>
      </c>
      <c r="B400" s="47">
        <v>6</v>
      </c>
      <c r="C400" s="47">
        <v>6</v>
      </c>
      <c r="D400" s="47"/>
      <c r="E400" s="47"/>
      <c r="F400" s="72" t="s">
        <v>318</v>
      </c>
      <c r="G400" s="48">
        <f>+G401+G403</f>
        <v>0</v>
      </c>
      <c r="H400" s="48">
        <f>+H401+H403</f>
        <v>0</v>
      </c>
      <c r="I400" s="48">
        <f t="shared" si="18"/>
        <v>0</v>
      </c>
      <c r="J400" s="45">
        <f>I400/$I$25</f>
        <v>0</v>
      </c>
    </row>
    <row r="401" spans="1:10" x14ac:dyDescent="0.25">
      <c r="A401" s="61">
        <v>2</v>
      </c>
      <c r="B401" s="50">
        <v>6</v>
      </c>
      <c r="C401" s="50">
        <v>6</v>
      </c>
      <c r="D401" s="50">
        <v>1</v>
      </c>
      <c r="E401" s="64"/>
      <c r="F401" s="73" t="s">
        <v>319</v>
      </c>
      <c r="G401" s="51">
        <f>+G402</f>
        <v>0</v>
      </c>
      <c r="H401" s="51">
        <f>+H402</f>
        <v>0</v>
      </c>
      <c r="I401" s="51">
        <f t="shared" si="18"/>
        <v>0</v>
      </c>
      <c r="J401" s="58"/>
    </row>
    <row r="402" spans="1:10" x14ac:dyDescent="0.25">
      <c r="A402" s="62">
        <v>2</v>
      </c>
      <c r="B402" s="54">
        <v>6</v>
      </c>
      <c r="C402" s="54">
        <v>6</v>
      </c>
      <c r="D402" s="54">
        <v>1</v>
      </c>
      <c r="E402" s="54" t="s">
        <v>320</v>
      </c>
      <c r="F402" s="59" t="s">
        <v>319</v>
      </c>
      <c r="G402" s="56">
        <f>'[2]CUENTA T FONDO 100'!HK126</f>
        <v>0</v>
      </c>
      <c r="H402" s="56">
        <f>'[2]CUENTA T VS'!HK106</f>
        <v>0</v>
      </c>
      <c r="I402" s="56">
        <f t="shared" si="18"/>
        <v>0</v>
      </c>
      <c r="J402" s="57">
        <f>I402/$I$25</f>
        <v>0</v>
      </c>
    </row>
    <row r="403" spans="1:10" x14ac:dyDescent="0.25">
      <c r="A403" s="61">
        <v>2</v>
      </c>
      <c r="B403" s="50">
        <v>6</v>
      </c>
      <c r="C403" s="50">
        <v>6</v>
      </c>
      <c r="D403" s="50">
        <v>2</v>
      </c>
      <c r="E403" s="64"/>
      <c r="F403" s="73" t="s">
        <v>321</v>
      </c>
      <c r="G403" s="51">
        <f>+G404</f>
        <v>0</v>
      </c>
      <c r="H403" s="51">
        <f>+H404</f>
        <v>0</v>
      </c>
      <c r="I403" s="51">
        <f t="shared" si="18"/>
        <v>0</v>
      </c>
      <c r="J403" s="58"/>
    </row>
    <row r="404" spans="1:10" x14ac:dyDescent="0.25">
      <c r="A404" s="62">
        <v>2</v>
      </c>
      <c r="B404" s="54">
        <v>6</v>
      </c>
      <c r="C404" s="54">
        <v>6</v>
      </c>
      <c r="D404" s="54">
        <v>2</v>
      </c>
      <c r="E404" s="54" t="s">
        <v>320</v>
      </c>
      <c r="F404" s="59" t="s">
        <v>321</v>
      </c>
      <c r="G404" s="56">
        <f>'[2]CUENTA T FONDO 100'!HL126</f>
        <v>0</v>
      </c>
      <c r="H404" s="56">
        <f>'[2]CUENTA T VS'!HL106</f>
        <v>0</v>
      </c>
      <c r="I404" s="56">
        <f t="shared" si="18"/>
        <v>0</v>
      </c>
      <c r="J404" s="57">
        <f>I404/$I$25</f>
        <v>0</v>
      </c>
    </row>
    <row r="405" spans="1:10" x14ac:dyDescent="0.25">
      <c r="A405" s="46">
        <v>2</v>
      </c>
      <c r="B405" s="47">
        <v>6</v>
      </c>
      <c r="C405" s="47">
        <v>7</v>
      </c>
      <c r="D405" s="47"/>
      <c r="E405" s="65"/>
      <c r="F405" s="72" t="s">
        <v>322</v>
      </c>
      <c r="G405" s="48">
        <f>+G406+G408+G410+G412+G414+G416+G418+G420+G422</f>
        <v>0</v>
      </c>
      <c r="H405" s="48">
        <f>+H406+H408+H410+H412+H414+H416+H418+H420+H422</f>
        <v>0</v>
      </c>
      <c r="I405" s="48">
        <f t="shared" si="18"/>
        <v>0</v>
      </c>
      <c r="J405" s="45"/>
    </row>
    <row r="406" spans="1:10" x14ac:dyDescent="0.25">
      <c r="A406" s="49">
        <v>2</v>
      </c>
      <c r="B406" s="50">
        <v>6</v>
      </c>
      <c r="C406" s="50">
        <v>7</v>
      </c>
      <c r="D406" s="50">
        <v>1</v>
      </c>
      <c r="E406" s="50"/>
      <c r="F406" s="73" t="s">
        <v>323</v>
      </c>
      <c r="G406" s="51">
        <f>SUM(G407)</f>
        <v>0</v>
      </c>
      <c r="H406" s="51">
        <f>SUM(H407)</f>
        <v>0</v>
      </c>
      <c r="I406" s="51">
        <f t="shared" si="18"/>
        <v>0</v>
      </c>
      <c r="J406" s="58"/>
    </row>
    <row r="407" spans="1:10" x14ac:dyDescent="0.25">
      <c r="A407" s="53">
        <v>2</v>
      </c>
      <c r="B407" s="54">
        <v>6</v>
      </c>
      <c r="C407" s="54">
        <v>7</v>
      </c>
      <c r="D407" s="54">
        <v>1</v>
      </c>
      <c r="E407" s="55" t="s">
        <v>31</v>
      </c>
      <c r="F407" s="59" t="s">
        <v>323</v>
      </c>
      <c r="G407" s="56">
        <f>'[2]CUENTA T FONDO 100'!HM126</f>
        <v>0</v>
      </c>
      <c r="H407" s="56">
        <f>'[2]CUENTA T VS'!HM106</f>
        <v>0</v>
      </c>
      <c r="I407" s="56">
        <f t="shared" si="18"/>
        <v>0</v>
      </c>
      <c r="J407" s="57">
        <f>I407/$I$25</f>
        <v>0</v>
      </c>
    </row>
    <row r="408" spans="1:10" x14ac:dyDescent="0.25">
      <c r="A408" s="61">
        <v>2</v>
      </c>
      <c r="B408" s="50">
        <v>6</v>
      </c>
      <c r="C408" s="50">
        <v>7</v>
      </c>
      <c r="D408" s="50">
        <v>2</v>
      </c>
      <c r="E408" s="50"/>
      <c r="F408" s="73" t="s">
        <v>324</v>
      </c>
      <c r="G408" s="51">
        <f>SUM(G409)</f>
        <v>0</v>
      </c>
      <c r="H408" s="51">
        <f>SUM(H409)</f>
        <v>0</v>
      </c>
      <c r="I408" s="51">
        <f t="shared" si="18"/>
        <v>0</v>
      </c>
      <c r="J408" s="58"/>
    </row>
    <row r="409" spans="1:10" x14ac:dyDescent="0.25">
      <c r="A409" s="62">
        <v>2</v>
      </c>
      <c r="B409" s="54">
        <v>6</v>
      </c>
      <c r="C409" s="54">
        <v>7</v>
      </c>
      <c r="D409" s="54">
        <v>2</v>
      </c>
      <c r="E409" s="55" t="s">
        <v>31</v>
      </c>
      <c r="F409" s="59" t="s">
        <v>324</v>
      </c>
      <c r="G409" s="56">
        <f>'[2]CUENTA T FONDO 100'!HN126</f>
        <v>0</v>
      </c>
      <c r="H409" s="56">
        <f>'[2]CUENTA T VS'!HN106</f>
        <v>0</v>
      </c>
      <c r="I409" s="56">
        <f t="shared" ref="I409:I472" si="19">SUM(G409:H409)</f>
        <v>0</v>
      </c>
      <c r="J409" s="57">
        <f>I409/$I$25</f>
        <v>0</v>
      </c>
    </row>
    <row r="410" spans="1:10" x14ac:dyDescent="0.25">
      <c r="A410" s="61">
        <v>2</v>
      </c>
      <c r="B410" s="50">
        <v>6</v>
      </c>
      <c r="C410" s="50">
        <v>7</v>
      </c>
      <c r="D410" s="50">
        <v>3</v>
      </c>
      <c r="E410" s="50"/>
      <c r="F410" s="73" t="s">
        <v>325</v>
      </c>
      <c r="G410" s="51">
        <f>SUM(G411)</f>
        <v>0</v>
      </c>
      <c r="H410" s="51">
        <f>SUM(H411)</f>
        <v>0</v>
      </c>
      <c r="I410" s="51">
        <f t="shared" si="19"/>
        <v>0</v>
      </c>
      <c r="J410" s="58"/>
    </row>
    <row r="411" spans="1:10" x14ac:dyDescent="0.25">
      <c r="A411" s="62">
        <v>2</v>
      </c>
      <c r="B411" s="54">
        <v>6</v>
      </c>
      <c r="C411" s="54">
        <v>7</v>
      </c>
      <c r="D411" s="54">
        <v>3</v>
      </c>
      <c r="E411" s="55" t="s">
        <v>31</v>
      </c>
      <c r="F411" s="59" t="s">
        <v>325</v>
      </c>
      <c r="G411" s="56">
        <f>'[2]CUENTA T FONDO 100'!HO126</f>
        <v>0</v>
      </c>
      <c r="H411" s="56">
        <f>'[2]CUENTA T VS'!HO106</f>
        <v>0</v>
      </c>
      <c r="I411" s="56">
        <f t="shared" si="19"/>
        <v>0</v>
      </c>
      <c r="J411" s="57">
        <f>I411/$I$25</f>
        <v>0</v>
      </c>
    </row>
    <row r="412" spans="1:10" x14ac:dyDescent="0.25">
      <c r="A412" s="61">
        <v>2</v>
      </c>
      <c r="B412" s="50">
        <v>6</v>
      </c>
      <c r="C412" s="50">
        <v>7</v>
      </c>
      <c r="D412" s="50">
        <v>4</v>
      </c>
      <c r="E412" s="50"/>
      <c r="F412" s="73" t="s">
        <v>326</v>
      </c>
      <c r="G412" s="51">
        <f>SUM(G413)</f>
        <v>0</v>
      </c>
      <c r="H412" s="51">
        <f>SUM(H413)</f>
        <v>0</v>
      </c>
      <c r="I412" s="51">
        <f t="shared" si="19"/>
        <v>0</v>
      </c>
      <c r="J412" s="58"/>
    </row>
    <row r="413" spans="1:10" x14ac:dyDescent="0.25">
      <c r="A413" s="62">
        <v>2</v>
      </c>
      <c r="B413" s="54">
        <v>6</v>
      </c>
      <c r="C413" s="54">
        <v>7</v>
      </c>
      <c r="D413" s="54">
        <v>4</v>
      </c>
      <c r="E413" s="55" t="s">
        <v>31</v>
      </c>
      <c r="F413" s="59" t="s">
        <v>326</v>
      </c>
      <c r="G413" s="56">
        <f>'[2]CUENTA T FONDO 100'!HP126</f>
        <v>0</v>
      </c>
      <c r="H413" s="56">
        <f>'[2]CUENTA T VS'!HP106</f>
        <v>0</v>
      </c>
      <c r="I413" s="56">
        <f t="shared" si="19"/>
        <v>0</v>
      </c>
      <c r="J413" s="57">
        <f>I413/$I$25</f>
        <v>0</v>
      </c>
    </row>
    <row r="414" spans="1:10" x14ac:dyDescent="0.25">
      <c r="A414" s="61">
        <v>2</v>
      </c>
      <c r="B414" s="50">
        <v>6</v>
      </c>
      <c r="C414" s="50">
        <v>7</v>
      </c>
      <c r="D414" s="50">
        <v>5</v>
      </c>
      <c r="E414" s="50"/>
      <c r="F414" s="73" t="s">
        <v>327</v>
      </c>
      <c r="G414" s="51">
        <f>SUM(G415)</f>
        <v>0</v>
      </c>
      <c r="H414" s="51">
        <f>SUM(H415)</f>
        <v>0</v>
      </c>
      <c r="I414" s="51">
        <f t="shared" si="19"/>
        <v>0</v>
      </c>
      <c r="J414" s="58"/>
    </row>
    <row r="415" spans="1:10" x14ac:dyDescent="0.25">
      <c r="A415" s="62">
        <v>2</v>
      </c>
      <c r="B415" s="54">
        <v>6</v>
      </c>
      <c r="C415" s="54">
        <v>7</v>
      </c>
      <c r="D415" s="54">
        <v>5</v>
      </c>
      <c r="E415" s="55" t="s">
        <v>31</v>
      </c>
      <c r="F415" s="59" t="s">
        <v>327</v>
      </c>
      <c r="G415" s="56">
        <f>'[2]CUENTA T FONDO 100'!HQ126</f>
        <v>0</v>
      </c>
      <c r="H415" s="56">
        <f>'[2]CUENTA T VS'!HQ106</f>
        <v>0</v>
      </c>
      <c r="I415" s="56">
        <f t="shared" si="19"/>
        <v>0</v>
      </c>
      <c r="J415" s="57">
        <f>I415/$I$25</f>
        <v>0</v>
      </c>
    </row>
    <row r="416" spans="1:10" x14ac:dyDescent="0.25">
      <c r="A416" s="61">
        <v>2</v>
      </c>
      <c r="B416" s="50">
        <v>6</v>
      </c>
      <c r="C416" s="50">
        <v>7</v>
      </c>
      <c r="D416" s="50">
        <v>6</v>
      </c>
      <c r="E416" s="50"/>
      <c r="F416" s="73" t="s">
        <v>328</v>
      </c>
      <c r="G416" s="51">
        <f>SUM(G417)</f>
        <v>0</v>
      </c>
      <c r="H416" s="51">
        <f>SUM(H417)</f>
        <v>0</v>
      </c>
      <c r="I416" s="51">
        <f t="shared" si="19"/>
        <v>0</v>
      </c>
      <c r="J416" s="58"/>
    </row>
    <row r="417" spans="1:10" x14ac:dyDescent="0.25">
      <c r="A417" s="62">
        <v>2</v>
      </c>
      <c r="B417" s="54">
        <v>6</v>
      </c>
      <c r="C417" s="54">
        <v>7</v>
      </c>
      <c r="D417" s="54">
        <v>6</v>
      </c>
      <c r="E417" s="55" t="s">
        <v>31</v>
      </c>
      <c r="F417" s="59" t="s">
        <v>328</v>
      </c>
      <c r="G417" s="56">
        <f>'[2]CUENTA T FONDO 100'!HR126</f>
        <v>0</v>
      </c>
      <c r="H417" s="56">
        <f>'[2]CUENTA T VS'!HR106</f>
        <v>0</v>
      </c>
      <c r="I417" s="56">
        <f t="shared" si="19"/>
        <v>0</v>
      </c>
      <c r="J417" s="57">
        <f>I417/$I$25</f>
        <v>0</v>
      </c>
    </row>
    <row r="418" spans="1:10" x14ac:dyDescent="0.25">
      <c r="A418" s="61">
        <v>2</v>
      </c>
      <c r="B418" s="50">
        <v>6</v>
      </c>
      <c r="C418" s="50">
        <v>7</v>
      </c>
      <c r="D418" s="50">
        <v>7</v>
      </c>
      <c r="E418" s="50"/>
      <c r="F418" s="73" t="s">
        <v>329</v>
      </c>
      <c r="G418" s="51">
        <f>SUM(G419)</f>
        <v>0</v>
      </c>
      <c r="H418" s="51">
        <f>SUM(H419)</f>
        <v>0</v>
      </c>
      <c r="I418" s="51">
        <f t="shared" si="19"/>
        <v>0</v>
      </c>
      <c r="J418" s="58"/>
    </row>
    <row r="419" spans="1:10" x14ac:dyDescent="0.25">
      <c r="A419" s="62">
        <v>2</v>
      </c>
      <c r="B419" s="54">
        <v>6</v>
      </c>
      <c r="C419" s="54">
        <v>7</v>
      </c>
      <c r="D419" s="54">
        <v>7</v>
      </c>
      <c r="E419" s="55" t="s">
        <v>31</v>
      </c>
      <c r="F419" s="59" t="s">
        <v>329</v>
      </c>
      <c r="G419" s="56">
        <f>'[2]CUENTA T FONDO 100'!HS126</f>
        <v>0</v>
      </c>
      <c r="H419" s="56">
        <f>'[2]CUENTA T VS'!HS106</f>
        <v>0</v>
      </c>
      <c r="I419" s="56">
        <f t="shared" si="19"/>
        <v>0</v>
      </c>
      <c r="J419" s="57">
        <f>I419/$I$25</f>
        <v>0</v>
      </c>
    </row>
    <row r="420" spans="1:10" x14ac:dyDescent="0.25">
      <c r="A420" s="61">
        <v>2</v>
      </c>
      <c r="B420" s="50">
        <v>6</v>
      </c>
      <c r="C420" s="50">
        <v>7</v>
      </c>
      <c r="D420" s="50">
        <v>8</v>
      </c>
      <c r="E420" s="50"/>
      <c r="F420" s="73" t="s">
        <v>330</v>
      </c>
      <c r="G420" s="51">
        <f>SUM(G421)</f>
        <v>0</v>
      </c>
      <c r="H420" s="51">
        <f>SUM(H421)</f>
        <v>0</v>
      </c>
      <c r="I420" s="51">
        <f t="shared" si="19"/>
        <v>0</v>
      </c>
      <c r="J420" s="58"/>
    </row>
    <row r="421" spans="1:10" x14ac:dyDescent="0.25">
      <c r="A421" s="62">
        <v>2</v>
      </c>
      <c r="B421" s="54">
        <v>6</v>
      </c>
      <c r="C421" s="54">
        <v>7</v>
      </c>
      <c r="D421" s="54">
        <v>8</v>
      </c>
      <c r="E421" s="55" t="s">
        <v>31</v>
      </c>
      <c r="F421" s="59" t="s">
        <v>330</v>
      </c>
      <c r="G421" s="56">
        <f>'[2]CUENTA T FONDO 100'!HT126</f>
        <v>0</v>
      </c>
      <c r="H421" s="56">
        <f>'[2]CUENTA T VS'!HT106</f>
        <v>0</v>
      </c>
      <c r="I421" s="56">
        <f t="shared" si="19"/>
        <v>0</v>
      </c>
      <c r="J421" s="57">
        <f>I421/$I$25</f>
        <v>0</v>
      </c>
    </row>
    <row r="422" spans="1:10" x14ac:dyDescent="0.25">
      <c r="A422" s="61">
        <v>2</v>
      </c>
      <c r="B422" s="50">
        <v>6</v>
      </c>
      <c r="C422" s="50">
        <v>7</v>
      </c>
      <c r="D422" s="50">
        <v>9</v>
      </c>
      <c r="E422" s="50"/>
      <c r="F422" s="73" t="s">
        <v>331</v>
      </c>
      <c r="G422" s="51">
        <f>SUM(G423)</f>
        <v>0</v>
      </c>
      <c r="H422" s="51">
        <f>SUM(H423)</f>
        <v>0</v>
      </c>
      <c r="I422" s="51">
        <f t="shared" si="19"/>
        <v>0</v>
      </c>
      <c r="J422" s="58"/>
    </row>
    <row r="423" spans="1:10" x14ac:dyDescent="0.25">
      <c r="A423" s="62">
        <v>2</v>
      </c>
      <c r="B423" s="54">
        <v>6</v>
      </c>
      <c r="C423" s="54">
        <v>7</v>
      </c>
      <c r="D423" s="54">
        <v>9</v>
      </c>
      <c r="E423" s="55" t="s">
        <v>31</v>
      </c>
      <c r="F423" s="59" t="s">
        <v>331</v>
      </c>
      <c r="G423" s="56">
        <f>'[2]CUENTA T FONDO 100'!HU126</f>
        <v>0</v>
      </c>
      <c r="H423" s="56">
        <f>'[2]CUENTA T VS'!HU106</f>
        <v>0</v>
      </c>
      <c r="I423" s="56">
        <f t="shared" si="19"/>
        <v>0</v>
      </c>
      <c r="J423" s="57">
        <f>I423/$I$25</f>
        <v>0</v>
      </c>
    </row>
    <row r="424" spans="1:10" x14ac:dyDescent="0.25">
      <c r="A424" s="60">
        <v>2</v>
      </c>
      <c r="B424" s="47">
        <v>6</v>
      </c>
      <c r="C424" s="47">
        <v>8</v>
      </c>
      <c r="D424" s="47"/>
      <c r="E424" s="47"/>
      <c r="F424" s="72" t="s">
        <v>332</v>
      </c>
      <c r="G424" s="48">
        <f>G425+G427+G429+G432+G434+G436+G438+G440+G444</f>
        <v>0</v>
      </c>
      <c r="H424" s="48">
        <f>H425+H427+H429+H432+H434+H436+H438+H440+H444</f>
        <v>0</v>
      </c>
      <c r="I424" s="48">
        <f t="shared" si="19"/>
        <v>0</v>
      </c>
      <c r="J424" s="45"/>
    </row>
    <row r="425" spans="1:10" x14ac:dyDescent="0.25">
      <c r="A425" s="61">
        <v>2</v>
      </c>
      <c r="B425" s="50">
        <v>6</v>
      </c>
      <c r="C425" s="50">
        <v>8</v>
      </c>
      <c r="D425" s="50">
        <v>1</v>
      </c>
      <c r="E425" s="50"/>
      <c r="F425" s="73" t="s">
        <v>333</v>
      </c>
      <c r="G425" s="51">
        <f>+G426</f>
        <v>0</v>
      </c>
      <c r="H425" s="51">
        <f>+H426</f>
        <v>0</v>
      </c>
      <c r="I425" s="51">
        <f t="shared" si="19"/>
        <v>0</v>
      </c>
      <c r="J425" s="58"/>
    </row>
    <row r="426" spans="1:10" x14ac:dyDescent="0.25">
      <c r="A426" s="62">
        <v>2</v>
      </c>
      <c r="B426" s="54">
        <v>6</v>
      </c>
      <c r="C426" s="54">
        <v>8</v>
      </c>
      <c r="D426" s="54">
        <v>1</v>
      </c>
      <c r="E426" s="55" t="s">
        <v>31</v>
      </c>
      <c r="F426" s="59" t="s">
        <v>333</v>
      </c>
      <c r="G426" s="56">
        <f>'[2]CUENTA T FONDO 100'!HV126</f>
        <v>0</v>
      </c>
      <c r="H426" s="56">
        <f>'[2]CUENTA T VS'!HV106</f>
        <v>0</v>
      </c>
      <c r="I426" s="56">
        <f t="shared" si="19"/>
        <v>0</v>
      </c>
      <c r="J426" s="57">
        <f>I426/$I$25</f>
        <v>0</v>
      </c>
    </row>
    <row r="427" spans="1:10" x14ac:dyDescent="0.25">
      <c r="A427" s="61">
        <v>2</v>
      </c>
      <c r="B427" s="50">
        <v>6</v>
      </c>
      <c r="C427" s="50">
        <v>8</v>
      </c>
      <c r="D427" s="50">
        <v>2</v>
      </c>
      <c r="E427" s="50"/>
      <c r="F427" s="73" t="s">
        <v>334</v>
      </c>
      <c r="G427" s="51">
        <f>+G428</f>
        <v>0</v>
      </c>
      <c r="H427" s="51">
        <f>+H428</f>
        <v>0</v>
      </c>
      <c r="I427" s="51">
        <f t="shared" si="19"/>
        <v>0</v>
      </c>
      <c r="J427" s="58"/>
    </row>
    <row r="428" spans="1:10" x14ac:dyDescent="0.25">
      <c r="A428" s="62">
        <v>2</v>
      </c>
      <c r="B428" s="54">
        <v>6</v>
      </c>
      <c r="C428" s="54">
        <v>8</v>
      </c>
      <c r="D428" s="54">
        <v>2</v>
      </c>
      <c r="E428" s="55" t="s">
        <v>31</v>
      </c>
      <c r="F428" s="59" t="s">
        <v>334</v>
      </c>
      <c r="G428" s="56">
        <f>'[2]CUENTA T FONDO 100'!HW126</f>
        <v>0</v>
      </c>
      <c r="H428" s="56">
        <f>'[2]CUENTA T VS'!HW106</f>
        <v>0</v>
      </c>
      <c r="I428" s="56">
        <f t="shared" si="19"/>
        <v>0</v>
      </c>
      <c r="J428" s="57">
        <f>I428/$I$25</f>
        <v>0</v>
      </c>
    </row>
    <row r="429" spans="1:10" x14ac:dyDescent="0.25">
      <c r="A429" s="61">
        <v>2</v>
      </c>
      <c r="B429" s="50">
        <v>6</v>
      </c>
      <c r="C429" s="50">
        <v>8</v>
      </c>
      <c r="D429" s="50">
        <v>3</v>
      </c>
      <c r="E429" s="50"/>
      <c r="F429" s="73" t="s">
        <v>335</v>
      </c>
      <c r="G429" s="51">
        <f>SUM(G430:G431)</f>
        <v>0</v>
      </c>
      <c r="H429" s="51">
        <f>SUM(H430:H431)</f>
        <v>0</v>
      </c>
      <c r="I429" s="51">
        <f t="shared" si="19"/>
        <v>0</v>
      </c>
      <c r="J429" s="58"/>
    </row>
    <row r="430" spans="1:10" x14ac:dyDescent="0.25">
      <c r="A430" s="62">
        <v>2</v>
      </c>
      <c r="B430" s="54">
        <v>6</v>
      </c>
      <c r="C430" s="54">
        <v>8</v>
      </c>
      <c r="D430" s="54">
        <v>3</v>
      </c>
      <c r="E430" s="55" t="s">
        <v>31</v>
      </c>
      <c r="F430" s="59" t="s">
        <v>336</v>
      </c>
      <c r="G430" s="56">
        <f>'[2]CUENTA T FONDO 100'!HX126</f>
        <v>0</v>
      </c>
      <c r="H430" s="56">
        <f>'[2]CUENTA T VS'!HX106</f>
        <v>0</v>
      </c>
      <c r="I430" s="56">
        <f t="shared" si="19"/>
        <v>0</v>
      </c>
      <c r="J430" s="57">
        <f>I430/$I$25</f>
        <v>0</v>
      </c>
    </row>
    <row r="431" spans="1:10" x14ac:dyDescent="0.25">
      <c r="A431" s="62">
        <v>2</v>
      </c>
      <c r="B431" s="54">
        <v>6</v>
      </c>
      <c r="C431" s="54">
        <v>8</v>
      </c>
      <c r="D431" s="54">
        <v>3</v>
      </c>
      <c r="E431" s="55" t="s">
        <v>33</v>
      </c>
      <c r="F431" s="59" t="s">
        <v>337</v>
      </c>
      <c r="G431" s="56">
        <f>'[2]CUENTA T FONDO 100'!HY126</f>
        <v>0</v>
      </c>
      <c r="H431" s="56">
        <f>'[2]CUENTA T VS'!HY106</f>
        <v>0</v>
      </c>
      <c r="I431" s="56">
        <f t="shared" si="19"/>
        <v>0</v>
      </c>
      <c r="J431" s="57">
        <f>I431/$I$25</f>
        <v>0</v>
      </c>
    </row>
    <row r="432" spans="1:10" x14ac:dyDescent="0.25">
      <c r="A432" s="61">
        <v>2</v>
      </c>
      <c r="B432" s="50">
        <v>6</v>
      </c>
      <c r="C432" s="50">
        <v>8</v>
      </c>
      <c r="D432" s="50">
        <v>4</v>
      </c>
      <c r="E432" s="50"/>
      <c r="F432" s="73" t="s">
        <v>338</v>
      </c>
      <c r="G432" s="51">
        <f>+G433</f>
        <v>0</v>
      </c>
      <c r="H432" s="51">
        <f>+H433</f>
        <v>0</v>
      </c>
      <c r="I432" s="51">
        <f t="shared" si="19"/>
        <v>0</v>
      </c>
      <c r="J432" s="58"/>
    </row>
    <row r="433" spans="1:10" x14ac:dyDescent="0.25">
      <c r="A433" s="62">
        <v>2</v>
      </c>
      <c r="B433" s="54">
        <v>6</v>
      </c>
      <c r="C433" s="54">
        <v>8</v>
      </c>
      <c r="D433" s="54">
        <v>4</v>
      </c>
      <c r="E433" s="55" t="s">
        <v>31</v>
      </c>
      <c r="F433" s="59" t="s">
        <v>338</v>
      </c>
      <c r="G433" s="56">
        <f>'[2]CUENTA T FONDO 100'!HZ126</f>
        <v>0</v>
      </c>
      <c r="H433" s="56">
        <f>'[2]CUENTA T VS'!HZ106</f>
        <v>0</v>
      </c>
      <c r="I433" s="56">
        <f t="shared" si="19"/>
        <v>0</v>
      </c>
      <c r="J433" s="57">
        <f>I433/$I$25</f>
        <v>0</v>
      </c>
    </row>
    <row r="434" spans="1:10" x14ac:dyDescent="0.25">
      <c r="A434" s="61">
        <v>2</v>
      </c>
      <c r="B434" s="50">
        <v>6</v>
      </c>
      <c r="C434" s="50">
        <v>8</v>
      </c>
      <c r="D434" s="50">
        <v>5</v>
      </c>
      <c r="E434" s="50"/>
      <c r="F434" s="73" t="s">
        <v>339</v>
      </c>
      <c r="G434" s="51">
        <f>+G435</f>
        <v>0</v>
      </c>
      <c r="H434" s="51">
        <f>+H435</f>
        <v>0</v>
      </c>
      <c r="I434" s="51">
        <f t="shared" si="19"/>
        <v>0</v>
      </c>
      <c r="J434" s="58"/>
    </row>
    <row r="435" spans="1:10" x14ac:dyDescent="0.25">
      <c r="A435" s="62">
        <v>2</v>
      </c>
      <c r="B435" s="54">
        <v>6</v>
      </c>
      <c r="C435" s="54">
        <v>8</v>
      </c>
      <c r="D435" s="54">
        <v>5</v>
      </c>
      <c r="E435" s="55" t="s">
        <v>31</v>
      </c>
      <c r="F435" s="59" t="s">
        <v>339</v>
      </c>
      <c r="G435" s="56">
        <f>'[2]CUENTA T FONDO 100'!IA126</f>
        <v>0</v>
      </c>
      <c r="H435" s="56">
        <f>'[2]CUENTA T VS'!IA106</f>
        <v>0</v>
      </c>
      <c r="I435" s="56">
        <f t="shared" si="19"/>
        <v>0</v>
      </c>
      <c r="J435" s="57">
        <f>I435/$I$25</f>
        <v>0</v>
      </c>
    </row>
    <row r="436" spans="1:10" x14ac:dyDescent="0.25">
      <c r="A436" s="61">
        <v>2</v>
      </c>
      <c r="B436" s="50">
        <v>6</v>
      </c>
      <c r="C436" s="50">
        <v>8</v>
      </c>
      <c r="D436" s="50">
        <v>6</v>
      </c>
      <c r="E436" s="50"/>
      <c r="F436" s="73" t="s">
        <v>340</v>
      </c>
      <c r="G436" s="51">
        <f>+G437</f>
        <v>0</v>
      </c>
      <c r="H436" s="51">
        <f>+H437</f>
        <v>0</v>
      </c>
      <c r="I436" s="51">
        <f t="shared" si="19"/>
        <v>0</v>
      </c>
      <c r="J436" s="58"/>
    </row>
    <row r="437" spans="1:10" x14ac:dyDescent="0.25">
      <c r="A437" s="62">
        <v>2</v>
      </c>
      <c r="B437" s="54">
        <v>6</v>
      </c>
      <c r="C437" s="54">
        <v>8</v>
      </c>
      <c r="D437" s="54">
        <v>6</v>
      </c>
      <c r="E437" s="55" t="s">
        <v>31</v>
      </c>
      <c r="F437" s="59" t="s">
        <v>340</v>
      </c>
      <c r="G437" s="56">
        <f>'[2]CUENTA T FONDO 100'!IB126</f>
        <v>0</v>
      </c>
      <c r="H437" s="56">
        <f>'[2]CUENTA T VS'!IB106</f>
        <v>0</v>
      </c>
      <c r="I437" s="56">
        <f t="shared" si="19"/>
        <v>0</v>
      </c>
      <c r="J437" s="57">
        <f>I437/$I$25</f>
        <v>0</v>
      </c>
    </row>
    <row r="438" spans="1:10" x14ac:dyDescent="0.25">
      <c r="A438" s="61">
        <v>2</v>
      </c>
      <c r="B438" s="50">
        <v>6</v>
      </c>
      <c r="C438" s="50">
        <v>8</v>
      </c>
      <c r="D438" s="50">
        <v>7</v>
      </c>
      <c r="E438" s="50"/>
      <c r="F438" s="73" t="s">
        <v>341</v>
      </c>
      <c r="G438" s="51">
        <f>+G439</f>
        <v>0</v>
      </c>
      <c r="H438" s="51">
        <f>+H439</f>
        <v>0</v>
      </c>
      <c r="I438" s="51">
        <f t="shared" si="19"/>
        <v>0</v>
      </c>
      <c r="J438" s="58"/>
    </row>
    <row r="439" spans="1:10" x14ac:dyDescent="0.25">
      <c r="A439" s="62">
        <v>2</v>
      </c>
      <c r="B439" s="54">
        <v>6</v>
      </c>
      <c r="C439" s="54">
        <v>8</v>
      </c>
      <c r="D439" s="54">
        <v>7</v>
      </c>
      <c r="E439" s="55" t="s">
        <v>31</v>
      </c>
      <c r="F439" s="59" t="s">
        <v>341</v>
      </c>
      <c r="G439" s="56">
        <f>'[2]CUENTA T FONDO 100'!IC126</f>
        <v>0</v>
      </c>
      <c r="H439" s="56">
        <f>'[2]CUENTA T VS'!IC106</f>
        <v>0</v>
      </c>
      <c r="I439" s="56">
        <f t="shared" si="19"/>
        <v>0</v>
      </c>
      <c r="J439" s="57">
        <f>I439/$I$25</f>
        <v>0</v>
      </c>
    </row>
    <row r="440" spans="1:10" x14ac:dyDescent="0.25">
      <c r="A440" s="49">
        <v>2</v>
      </c>
      <c r="B440" s="50">
        <v>6</v>
      </c>
      <c r="C440" s="50">
        <v>8</v>
      </c>
      <c r="D440" s="50">
        <v>8</v>
      </c>
      <c r="E440" s="50"/>
      <c r="F440" s="73" t="s">
        <v>342</v>
      </c>
      <c r="G440" s="51">
        <f>SUM(G441:G443)</f>
        <v>0</v>
      </c>
      <c r="H440" s="51">
        <f>SUM(H441:H443)</f>
        <v>0</v>
      </c>
      <c r="I440" s="51">
        <f t="shared" si="19"/>
        <v>0</v>
      </c>
      <c r="J440" s="58"/>
    </row>
    <row r="441" spans="1:10" x14ac:dyDescent="0.25">
      <c r="A441" s="62">
        <v>2</v>
      </c>
      <c r="B441" s="54">
        <v>6</v>
      </c>
      <c r="C441" s="54">
        <v>8</v>
      </c>
      <c r="D441" s="54">
        <v>8</v>
      </c>
      <c r="E441" s="54" t="s">
        <v>343</v>
      </c>
      <c r="F441" s="59" t="s">
        <v>344</v>
      </c>
      <c r="G441" s="56">
        <f>'[2]CUENTA T FONDO 100'!ID126</f>
        <v>0</v>
      </c>
      <c r="H441" s="56">
        <f>'[2]CUENTA T VS'!ID106</f>
        <v>0</v>
      </c>
      <c r="I441" s="56">
        <f t="shared" si="19"/>
        <v>0</v>
      </c>
      <c r="J441" s="57">
        <f>I441/$I$25</f>
        <v>0</v>
      </c>
    </row>
    <row r="442" spans="1:10" x14ac:dyDescent="0.25">
      <c r="A442" s="62">
        <v>2</v>
      </c>
      <c r="B442" s="54">
        <v>6</v>
      </c>
      <c r="C442" s="54">
        <v>8</v>
      </c>
      <c r="D442" s="54">
        <v>8</v>
      </c>
      <c r="E442" s="54" t="s">
        <v>345</v>
      </c>
      <c r="F442" s="59" t="s">
        <v>346</v>
      </c>
      <c r="G442" s="56">
        <f>'[2]CUENTA T FONDO 100'!IE126</f>
        <v>0</v>
      </c>
      <c r="H442" s="56">
        <f>'[2]CUENTA T VS'!IE106</f>
        <v>0</v>
      </c>
      <c r="I442" s="56">
        <f t="shared" si="19"/>
        <v>0</v>
      </c>
      <c r="J442" s="57">
        <f>I442/$I$25</f>
        <v>0</v>
      </c>
    </row>
    <row r="443" spans="1:10" x14ac:dyDescent="0.25">
      <c r="A443" s="62">
        <v>2</v>
      </c>
      <c r="B443" s="54">
        <v>6</v>
      </c>
      <c r="C443" s="54">
        <v>8</v>
      </c>
      <c r="D443" s="54">
        <v>8</v>
      </c>
      <c r="E443" s="54" t="s">
        <v>347</v>
      </c>
      <c r="F443" s="59" t="s">
        <v>348</v>
      </c>
      <c r="G443" s="56">
        <f>'[2]CUENTA T FONDO 100'!IF126</f>
        <v>0</v>
      </c>
      <c r="H443" s="56">
        <f>'[2]CUENTA T VS'!IF106</f>
        <v>0</v>
      </c>
      <c r="I443" s="56">
        <f t="shared" si="19"/>
        <v>0</v>
      </c>
      <c r="J443" s="57">
        <f>I443/$I$25</f>
        <v>0</v>
      </c>
    </row>
    <row r="444" spans="1:10" x14ac:dyDescent="0.25">
      <c r="A444" s="61">
        <v>2</v>
      </c>
      <c r="B444" s="50">
        <v>6</v>
      </c>
      <c r="C444" s="50">
        <v>8</v>
      </c>
      <c r="D444" s="50">
        <v>9</v>
      </c>
      <c r="E444" s="50"/>
      <c r="F444" s="73" t="s">
        <v>349</v>
      </c>
      <c r="G444" s="51">
        <f>+G445</f>
        <v>0</v>
      </c>
      <c r="H444" s="51">
        <f>+H445</f>
        <v>0</v>
      </c>
      <c r="I444" s="51">
        <f t="shared" si="19"/>
        <v>0</v>
      </c>
      <c r="J444" s="58"/>
    </row>
    <row r="445" spans="1:10" x14ac:dyDescent="0.25">
      <c r="A445" s="62">
        <v>2</v>
      </c>
      <c r="B445" s="54">
        <v>6</v>
      </c>
      <c r="C445" s="54">
        <v>8</v>
      </c>
      <c r="D445" s="54">
        <v>9</v>
      </c>
      <c r="E445" s="54" t="s">
        <v>320</v>
      </c>
      <c r="F445" s="59" t="s">
        <v>349</v>
      </c>
      <c r="G445" s="56">
        <f>'[2]CUENTA T FONDO 100'!IG126</f>
        <v>0</v>
      </c>
      <c r="H445" s="56">
        <f>'[2]CUENTA T VS'!IG106</f>
        <v>0</v>
      </c>
      <c r="I445" s="56">
        <f t="shared" si="19"/>
        <v>0</v>
      </c>
      <c r="J445" s="57">
        <f>I445/$I$25</f>
        <v>0</v>
      </c>
    </row>
    <row r="446" spans="1:10" x14ac:dyDescent="0.25">
      <c r="A446" s="46">
        <v>2</v>
      </c>
      <c r="B446" s="47">
        <v>6</v>
      </c>
      <c r="C446" s="47">
        <v>9</v>
      </c>
      <c r="D446" s="47"/>
      <c r="E446" s="65"/>
      <c r="F446" s="72" t="s">
        <v>350</v>
      </c>
      <c r="G446" s="48">
        <f>+G447+G450+G453+G455+G457+G461</f>
        <v>345560.94</v>
      </c>
      <c r="H446" s="48">
        <f>+H447+H450+H453+H455+H457+H461</f>
        <v>0</v>
      </c>
      <c r="I446" s="48">
        <f t="shared" si="19"/>
        <v>345560.94</v>
      </c>
      <c r="J446" s="45"/>
    </row>
    <row r="447" spans="1:10" x14ac:dyDescent="0.25">
      <c r="A447" s="61">
        <v>2</v>
      </c>
      <c r="B447" s="50">
        <v>6</v>
      </c>
      <c r="C447" s="50">
        <v>9</v>
      </c>
      <c r="D447" s="50">
        <v>1</v>
      </c>
      <c r="E447" s="50"/>
      <c r="F447" s="73" t="s">
        <v>351</v>
      </c>
      <c r="G447" s="51">
        <f>+G448+G449</f>
        <v>0</v>
      </c>
      <c r="H447" s="51">
        <f t="shared" ref="H447" si="20">+H448+H449</f>
        <v>0</v>
      </c>
      <c r="I447" s="51">
        <f t="shared" si="19"/>
        <v>0</v>
      </c>
      <c r="J447" s="51"/>
    </row>
    <row r="448" spans="1:10" x14ac:dyDescent="0.25">
      <c r="A448" s="75">
        <v>2</v>
      </c>
      <c r="B448" s="76">
        <v>6</v>
      </c>
      <c r="C448" s="76">
        <v>9</v>
      </c>
      <c r="D448" s="76">
        <v>1</v>
      </c>
      <c r="E448" s="76" t="s">
        <v>31</v>
      </c>
      <c r="F448" s="77" t="s">
        <v>351</v>
      </c>
      <c r="G448" s="56">
        <f>'[2]CUENTA T FONDO 100'!IH126</f>
        <v>0</v>
      </c>
      <c r="H448" s="78">
        <f>'[2]CUENTA T VS'!IH106</f>
        <v>0</v>
      </c>
      <c r="I448" s="78">
        <f t="shared" si="19"/>
        <v>0</v>
      </c>
      <c r="J448" s="57">
        <f>I448/$I$25</f>
        <v>0</v>
      </c>
    </row>
    <row r="449" spans="1:10" x14ac:dyDescent="0.25">
      <c r="A449" s="75">
        <v>2</v>
      </c>
      <c r="B449" s="76">
        <v>6</v>
      </c>
      <c r="C449" s="76">
        <v>9</v>
      </c>
      <c r="D449" s="76">
        <v>1</v>
      </c>
      <c r="E449" s="76" t="s">
        <v>33</v>
      </c>
      <c r="F449" s="77" t="s">
        <v>352</v>
      </c>
      <c r="G449" s="56">
        <f>'[2]CUENTA T FONDO 100'!II126</f>
        <v>0</v>
      </c>
      <c r="H449" s="78">
        <f>'[2]CUENTA T VS'!II106</f>
        <v>0</v>
      </c>
      <c r="I449" s="78">
        <f t="shared" si="19"/>
        <v>0</v>
      </c>
      <c r="J449" s="57">
        <f>I449/$I$25</f>
        <v>0</v>
      </c>
    </row>
    <row r="450" spans="1:10" x14ac:dyDescent="0.25">
      <c r="A450" s="61">
        <v>2</v>
      </c>
      <c r="B450" s="50">
        <v>6</v>
      </c>
      <c r="C450" s="50">
        <v>9</v>
      </c>
      <c r="D450" s="50">
        <v>2</v>
      </c>
      <c r="E450" s="50"/>
      <c r="F450" s="73" t="s">
        <v>353</v>
      </c>
      <c r="G450" s="51">
        <f>SUM(G451:G452)</f>
        <v>0</v>
      </c>
      <c r="H450" s="51">
        <f t="shared" ref="H450" si="21">SUM(H451:H452)</f>
        <v>0</v>
      </c>
      <c r="I450" s="51">
        <f t="shared" si="19"/>
        <v>0</v>
      </c>
      <c r="J450" s="58"/>
    </row>
    <row r="451" spans="1:10" x14ac:dyDescent="0.25">
      <c r="A451" s="62">
        <v>2</v>
      </c>
      <c r="B451" s="54">
        <v>6</v>
      </c>
      <c r="C451" s="54">
        <v>9</v>
      </c>
      <c r="D451" s="54">
        <v>2</v>
      </c>
      <c r="E451" s="55" t="s">
        <v>31</v>
      </c>
      <c r="F451" s="59" t="s">
        <v>353</v>
      </c>
      <c r="G451" s="56">
        <f>'[2]CUENTA T FONDO 100'!IJ126</f>
        <v>0</v>
      </c>
      <c r="H451" s="56">
        <f>'[2]CUENTA T VS'!IJ106</f>
        <v>0</v>
      </c>
      <c r="I451" s="56">
        <f t="shared" si="19"/>
        <v>0</v>
      </c>
      <c r="J451" s="57">
        <f>I451/$I$25</f>
        <v>0</v>
      </c>
    </row>
    <row r="452" spans="1:10" x14ac:dyDescent="0.25">
      <c r="A452" s="62">
        <v>2</v>
      </c>
      <c r="B452" s="54">
        <v>6</v>
      </c>
      <c r="C452" s="54">
        <v>9</v>
      </c>
      <c r="D452" s="54">
        <v>2</v>
      </c>
      <c r="E452" s="55" t="s">
        <v>33</v>
      </c>
      <c r="F452" s="59" t="s">
        <v>354</v>
      </c>
      <c r="G452" s="56">
        <f>'[2]CUENTA T FONDO 100'!IK126</f>
        <v>0</v>
      </c>
      <c r="H452" s="56">
        <f>'[2]CUENTA T VS'!IK106</f>
        <v>0</v>
      </c>
      <c r="I452" s="56">
        <f t="shared" si="19"/>
        <v>0</v>
      </c>
      <c r="J452" s="57">
        <f>I452/$I$25</f>
        <v>0</v>
      </c>
    </row>
    <row r="453" spans="1:10" x14ac:dyDescent="0.25">
      <c r="A453" s="61">
        <v>2</v>
      </c>
      <c r="B453" s="50">
        <v>6</v>
      </c>
      <c r="C453" s="50">
        <v>9</v>
      </c>
      <c r="D453" s="50">
        <v>3</v>
      </c>
      <c r="E453" s="50"/>
      <c r="F453" s="73" t="s">
        <v>355</v>
      </c>
      <c r="G453" s="51">
        <f>SUM(G454)</f>
        <v>0</v>
      </c>
      <c r="H453" s="51">
        <f>SUM(H454)</f>
        <v>0</v>
      </c>
      <c r="I453" s="51">
        <f t="shared" si="19"/>
        <v>0</v>
      </c>
      <c r="J453" s="51"/>
    </row>
    <row r="454" spans="1:10" x14ac:dyDescent="0.25">
      <c r="A454" s="62">
        <v>2</v>
      </c>
      <c r="B454" s="54">
        <v>6</v>
      </c>
      <c r="C454" s="54">
        <v>9</v>
      </c>
      <c r="D454" s="54">
        <v>3</v>
      </c>
      <c r="E454" s="55" t="s">
        <v>31</v>
      </c>
      <c r="F454" s="59" t="s">
        <v>355</v>
      </c>
      <c r="G454" s="56">
        <f>'[2]CUENTA T FONDO 100'!IL126</f>
        <v>0</v>
      </c>
      <c r="H454" s="56">
        <f>'[2]CUENTA T VS'!IL106</f>
        <v>0</v>
      </c>
      <c r="I454" s="56">
        <f t="shared" si="19"/>
        <v>0</v>
      </c>
      <c r="J454" s="57">
        <f>I454/$I$25</f>
        <v>0</v>
      </c>
    </row>
    <row r="455" spans="1:10" x14ac:dyDescent="0.25">
      <c r="A455" s="61">
        <v>2</v>
      </c>
      <c r="B455" s="50">
        <v>6</v>
      </c>
      <c r="C455" s="50">
        <v>9</v>
      </c>
      <c r="D455" s="50">
        <v>4</v>
      </c>
      <c r="E455" s="50"/>
      <c r="F455" s="73" t="s">
        <v>356</v>
      </c>
      <c r="G455" s="51">
        <f>SUM(G456)</f>
        <v>0</v>
      </c>
      <c r="H455" s="51">
        <f>SUM(H456)</f>
        <v>0</v>
      </c>
      <c r="I455" s="51">
        <f t="shared" si="19"/>
        <v>0</v>
      </c>
      <c r="J455" s="58"/>
    </row>
    <row r="456" spans="1:10" x14ac:dyDescent="0.25">
      <c r="A456" s="62">
        <v>2</v>
      </c>
      <c r="B456" s="54">
        <v>6</v>
      </c>
      <c r="C456" s="54">
        <v>9</v>
      </c>
      <c r="D456" s="54">
        <v>4</v>
      </c>
      <c r="E456" s="55" t="s">
        <v>31</v>
      </c>
      <c r="F456" s="59" t="s">
        <v>356</v>
      </c>
      <c r="G456" s="56">
        <f>'[2]CUENTA T FONDO 100'!IM126</f>
        <v>0</v>
      </c>
      <c r="H456" s="56">
        <f>'[2]CUENTA T VS'!IM106</f>
        <v>0</v>
      </c>
      <c r="I456" s="56">
        <f t="shared" si="19"/>
        <v>0</v>
      </c>
      <c r="J456" s="57">
        <f>I456/$I$25</f>
        <v>0</v>
      </c>
    </row>
    <row r="457" spans="1:10" x14ac:dyDescent="0.25">
      <c r="A457" s="61">
        <v>2</v>
      </c>
      <c r="B457" s="50">
        <v>6</v>
      </c>
      <c r="C457" s="50">
        <v>9</v>
      </c>
      <c r="D457" s="50">
        <v>5</v>
      </c>
      <c r="E457" s="50"/>
      <c r="F457" s="73" t="s">
        <v>357</v>
      </c>
      <c r="G457" s="51">
        <f>SUM(G458:G460)</f>
        <v>345560.94</v>
      </c>
      <c r="H457" s="51">
        <f>SUM(H458:H460)</f>
        <v>0</v>
      </c>
      <c r="I457" s="51">
        <f t="shared" si="19"/>
        <v>345560.94</v>
      </c>
      <c r="J457" s="58"/>
    </row>
    <row r="458" spans="1:10" x14ac:dyDescent="0.25">
      <c r="A458" s="62">
        <v>2</v>
      </c>
      <c r="B458" s="54">
        <v>6</v>
      </c>
      <c r="C458" s="54">
        <v>9</v>
      </c>
      <c r="D458" s="54">
        <v>5</v>
      </c>
      <c r="E458" s="55" t="s">
        <v>31</v>
      </c>
      <c r="F458" s="59" t="s">
        <v>358</v>
      </c>
      <c r="G458" s="56">
        <f>'[2]CUENTA T FONDO 100'!IN126</f>
        <v>0</v>
      </c>
      <c r="H458" s="56">
        <f>'[2]CUENTA T VS'!IN106</f>
        <v>0</v>
      </c>
      <c r="I458" s="56">
        <f t="shared" si="19"/>
        <v>0</v>
      </c>
      <c r="J458" s="57">
        <f>I458/$I$25</f>
        <v>0</v>
      </c>
    </row>
    <row r="459" spans="1:10" x14ac:dyDescent="0.25">
      <c r="A459" s="62">
        <v>2</v>
      </c>
      <c r="B459" s="54">
        <v>6</v>
      </c>
      <c r="C459" s="54">
        <v>9</v>
      </c>
      <c r="D459" s="54">
        <v>5</v>
      </c>
      <c r="E459" s="55" t="s">
        <v>33</v>
      </c>
      <c r="F459" s="59" t="s">
        <v>359</v>
      </c>
      <c r="G459" s="56">
        <f>'[2]CUENTA T FONDO 100'!IO126</f>
        <v>0</v>
      </c>
      <c r="H459" s="56">
        <f>'[2]CUENTA T VS'!IO106</f>
        <v>0</v>
      </c>
      <c r="I459" s="56">
        <f t="shared" si="19"/>
        <v>0</v>
      </c>
      <c r="J459" s="57">
        <f>I459/$I$25</f>
        <v>0</v>
      </c>
    </row>
    <row r="460" spans="1:10" x14ac:dyDescent="0.25">
      <c r="A460" s="62">
        <v>2</v>
      </c>
      <c r="B460" s="54">
        <v>6</v>
      </c>
      <c r="C460" s="54">
        <v>9</v>
      </c>
      <c r="D460" s="54">
        <v>5</v>
      </c>
      <c r="E460" s="55" t="s">
        <v>35</v>
      </c>
      <c r="F460" s="59" t="s">
        <v>360</v>
      </c>
      <c r="G460" s="56">
        <f>'[2]CUENTA T FONDO 100'!IP126</f>
        <v>345560.94</v>
      </c>
      <c r="H460" s="56">
        <f>'[2]CUENTA T VS'!IP106</f>
        <v>0</v>
      </c>
      <c r="I460" s="56">
        <f t="shared" si="19"/>
        <v>345560.94</v>
      </c>
      <c r="J460" s="57">
        <f>I460/$I$25</f>
        <v>3.4380794299335802E-3</v>
      </c>
    </row>
    <row r="461" spans="1:10" x14ac:dyDescent="0.25">
      <c r="A461" s="61">
        <v>2</v>
      </c>
      <c r="B461" s="50">
        <v>6</v>
      </c>
      <c r="C461" s="50">
        <v>9</v>
      </c>
      <c r="D461" s="50">
        <v>9</v>
      </c>
      <c r="E461" s="50"/>
      <c r="F461" s="73" t="s">
        <v>361</v>
      </c>
      <c r="G461" s="51">
        <f>SUM(G462)</f>
        <v>0</v>
      </c>
      <c r="H461" s="51">
        <f>SUM(H462)</f>
        <v>0</v>
      </c>
      <c r="I461" s="51">
        <f t="shared" si="19"/>
        <v>0</v>
      </c>
      <c r="J461" s="58"/>
    </row>
    <row r="462" spans="1:10" x14ac:dyDescent="0.25">
      <c r="A462" s="62">
        <v>2</v>
      </c>
      <c r="B462" s="54">
        <v>6</v>
      </c>
      <c r="C462" s="54">
        <v>9</v>
      </c>
      <c r="D462" s="54">
        <v>9</v>
      </c>
      <c r="E462" s="55" t="s">
        <v>31</v>
      </c>
      <c r="F462" s="59" t="s">
        <v>361</v>
      </c>
      <c r="G462" s="56">
        <f>'[2]CUENTA T FONDO 100'!IQ126</f>
        <v>0</v>
      </c>
      <c r="H462" s="56">
        <f>'[2]CUENTA T VS'!IQ106</f>
        <v>0</v>
      </c>
      <c r="I462" s="56">
        <f t="shared" si="19"/>
        <v>0</v>
      </c>
      <c r="J462" s="57">
        <f>I462/$I$25</f>
        <v>0</v>
      </c>
    </row>
    <row r="463" spans="1:10" x14ac:dyDescent="0.25">
      <c r="A463" s="60">
        <v>2</v>
      </c>
      <c r="B463" s="47">
        <v>7</v>
      </c>
      <c r="C463" s="47"/>
      <c r="D463" s="47"/>
      <c r="E463" s="47"/>
      <c r="F463" s="72" t="s">
        <v>362</v>
      </c>
      <c r="G463" s="48">
        <f>G464+G473+G492+G497</f>
        <v>0</v>
      </c>
      <c r="H463" s="48">
        <f>H464+H473+H492+H497</f>
        <v>0</v>
      </c>
      <c r="I463" s="48">
        <f t="shared" si="19"/>
        <v>0</v>
      </c>
      <c r="J463" s="45">
        <f>I463/$I$25</f>
        <v>0</v>
      </c>
    </row>
    <row r="464" spans="1:10" x14ac:dyDescent="0.25">
      <c r="A464" s="60">
        <v>2</v>
      </c>
      <c r="B464" s="47">
        <v>7</v>
      </c>
      <c r="C464" s="47">
        <v>1</v>
      </c>
      <c r="D464" s="47"/>
      <c r="E464" s="47"/>
      <c r="F464" s="72" t="s">
        <v>363</v>
      </c>
      <c r="G464" s="48">
        <f>+G465+G467+G469+G471</f>
        <v>0</v>
      </c>
      <c r="H464" s="48">
        <f>+H465+H467+H469+H471</f>
        <v>0</v>
      </c>
      <c r="I464" s="48">
        <f t="shared" si="19"/>
        <v>0</v>
      </c>
      <c r="J464" s="45"/>
    </row>
    <row r="465" spans="1:10" x14ac:dyDescent="0.25">
      <c r="A465" s="61">
        <v>2</v>
      </c>
      <c r="B465" s="50">
        <v>7</v>
      </c>
      <c r="C465" s="50">
        <v>1</v>
      </c>
      <c r="D465" s="50">
        <v>1</v>
      </c>
      <c r="E465" s="64"/>
      <c r="F465" s="73" t="s">
        <v>364</v>
      </c>
      <c r="G465" s="51">
        <f>+G466</f>
        <v>0</v>
      </c>
      <c r="H465" s="51">
        <f>+H466</f>
        <v>0</v>
      </c>
      <c r="I465" s="51">
        <f t="shared" si="19"/>
        <v>0</v>
      </c>
      <c r="J465" s="58"/>
    </row>
    <row r="466" spans="1:10" x14ac:dyDescent="0.25">
      <c r="A466" s="62">
        <v>2</v>
      </c>
      <c r="B466" s="54">
        <v>7</v>
      </c>
      <c r="C466" s="54">
        <v>1</v>
      </c>
      <c r="D466" s="54">
        <v>1</v>
      </c>
      <c r="E466" s="54" t="s">
        <v>320</v>
      </c>
      <c r="F466" s="59" t="s">
        <v>364</v>
      </c>
      <c r="G466" s="56">
        <f>'[2]CUENTA T FONDO 100'!IR126</f>
        <v>0</v>
      </c>
      <c r="H466" s="56">
        <f>'[2]CUENTA T VS'!IR106</f>
        <v>0</v>
      </c>
      <c r="I466" s="56">
        <f t="shared" si="19"/>
        <v>0</v>
      </c>
      <c r="J466" s="57">
        <f>I466/$I$25</f>
        <v>0</v>
      </c>
    </row>
    <row r="467" spans="1:10" x14ac:dyDescent="0.25">
      <c r="A467" s="61">
        <v>2</v>
      </c>
      <c r="B467" s="50">
        <v>7</v>
      </c>
      <c r="C467" s="50">
        <v>1</v>
      </c>
      <c r="D467" s="50">
        <v>2</v>
      </c>
      <c r="E467" s="64"/>
      <c r="F467" s="73" t="s">
        <v>365</v>
      </c>
      <c r="G467" s="51">
        <f>+G468</f>
        <v>0</v>
      </c>
      <c r="H467" s="51">
        <f>+H468</f>
        <v>0</v>
      </c>
      <c r="I467" s="51">
        <f t="shared" si="19"/>
        <v>0</v>
      </c>
      <c r="J467" s="58"/>
    </row>
    <row r="468" spans="1:10" x14ac:dyDescent="0.25">
      <c r="A468" s="62">
        <v>2</v>
      </c>
      <c r="B468" s="54">
        <v>7</v>
      </c>
      <c r="C468" s="54">
        <v>1</v>
      </c>
      <c r="D468" s="54">
        <v>2</v>
      </c>
      <c r="E468" s="54" t="s">
        <v>320</v>
      </c>
      <c r="F468" s="59" t="s">
        <v>365</v>
      </c>
      <c r="G468" s="56">
        <f>'[2]CUENTA T FONDO 100'!IS126</f>
        <v>0</v>
      </c>
      <c r="H468" s="56">
        <f>'[2]CUENTA T VS'!IS106</f>
        <v>0</v>
      </c>
      <c r="I468" s="56">
        <f t="shared" si="19"/>
        <v>0</v>
      </c>
      <c r="J468" s="57">
        <f>I468/$I$25</f>
        <v>0</v>
      </c>
    </row>
    <row r="469" spans="1:10" x14ac:dyDescent="0.25">
      <c r="A469" s="61">
        <v>2</v>
      </c>
      <c r="B469" s="50">
        <v>7</v>
      </c>
      <c r="C469" s="50">
        <v>1</v>
      </c>
      <c r="D469" s="50">
        <v>3</v>
      </c>
      <c r="E469" s="64"/>
      <c r="F469" s="73" t="s">
        <v>366</v>
      </c>
      <c r="G469" s="51">
        <f>+G470</f>
        <v>0</v>
      </c>
      <c r="H469" s="51">
        <f>+H470</f>
        <v>0</v>
      </c>
      <c r="I469" s="51">
        <f t="shared" si="19"/>
        <v>0</v>
      </c>
      <c r="J469" s="58"/>
    </row>
    <row r="470" spans="1:10" x14ac:dyDescent="0.25">
      <c r="A470" s="62">
        <v>2</v>
      </c>
      <c r="B470" s="54">
        <v>7</v>
      </c>
      <c r="C470" s="54">
        <v>1</v>
      </c>
      <c r="D470" s="54">
        <v>3</v>
      </c>
      <c r="E470" s="54" t="s">
        <v>320</v>
      </c>
      <c r="F470" s="59" t="s">
        <v>366</v>
      </c>
      <c r="G470" s="56">
        <f>'[2]CUENTA T FONDO 100'!IT126</f>
        <v>0</v>
      </c>
      <c r="H470" s="56">
        <f>'[2]CUENTA T VS'!IT106</f>
        <v>0</v>
      </c>
      <c r="I470" s="56">
        <f t="shared" si="19"/>
        <v>0</v>
      </c>
      <c r="J470" s="57">
        <f>I470/$I$25</f>
        <v>0</v>
      </c>
    </row>
    <row r="471" spans="1:10" x14ac:dyDescent="0.25">
      <c r="A471" s="61">
        <v>2</v>
      </c>
      <c r="B471" s="50">
        <v>7</v>
      </c>
      <c r="C471" s="50">
        <v>1</v>
      </c>
      <c r="D471" s="50">
        <v>4</v>
      </c>
      <c r="E471" s="64"/>
      <c r="F471" s="73" t="s">
        <v>367</v>
      </c>
      <c r="G471" s="51">
        <f>+G472</f>
        <v>0</v>
      </c>
      <c r="H471" s="51">
        <f>+H472</f>
        <v>0</v>
      </c>
      <c r="I471" s="51">
        <f t="shared" si="19"/>
        <v>0</v>
      </c>
      <c r="J471" s="58"/>
    </row>
    <row r="472" spans="1:10" x14ac:dyDescent="0.25">
      <c r="A472" s="62">
        <v>2</v>
      </c>
      <c r="B472" s="54">
        <v>7</v>
      </c>
      <c r="C472" s="54">
        <v>1</v>
      </c>
      <c r="D472" s="54">
        <v>4</v>
      </c>
      <c r="E472" s="54" t="s">
        <v>320</v>
      </c>
      <c r="F472" s="59" t="s">
        <v>367</v>
      </c>
      <c r="G472" s="56">
        <f>'[2]CUENTA T FONDO 100'!IU126</f>
        <v>0</v>
      </c>
      <c r="H472" s="56">
        <f>'[2]CUENTA T VS'!IU106</f>
        <v>0</v>
      </c>
      <c r="I472" s="56">
        <f t="shared" si="19"/>
        <v>0</v>
      </c>
      <c r="J472" s="57">
        <f>I472/$I$25</f>
        <v>0</v>
      </c>
    </row>
    <row r="473" spans="1:10" x14ac:dyDescent="0.25">
      <c r="A473" s="60">
        <v>2</v>
      </c>
      <c r="B473" s="47">
        <v>7</v>
      </c>
      <c r="C473" s="47">
        <v>2</v>
      </c>
      <c r="D473" s="47"/>
      <c r="E473" s="47"/>
      <c r="F473" s="72" t="s">
        <v>368</v>
      </c>
      <c r="G473" s="48">
        <f>+G474+G476+G478+G480+G482+G484+G486+G488+G490</f>
        <v>0</v>
      </c>
      <c r="H473" s="48">
        <f>+H474+H476+H478+H480+H482+H484+H486+H488+H490</f>
        <v>0</v>
      </c>
      <c r="I473" s="48">
        <f t="shared" ref="I473:I501" si="22">SUM(G473:H473)</f>
        <v>0</v>
      </c>
      <c r="J473" s="45"/>
    </row>
    <row r="474" spans="1:10" x14ac:dyDescent="0.25">
      <c r="A474" s="61">
        <v>2</v>
      </c>
      <c r="B474" s="50">
        <v>7</v>
      </c>
      <c r="C474" s="50">
        <v>2</v>
      </c>
      <c r="D474" s="50">
        <v>1</v>
      </c>
      <c r="E474" s="64"/>
      <c r="F474" s="73" t="s">
        <v>369</v>
      </c>
      <c r="G474" s="51">
        <f>+G475</f>
        <v>0</v>
      </c>
      <c r="H474" s="51">
        <f>+H475</f>
        <v>0</v>
      </c>
      <c r="I474" s="51">
        <f t="shared" si="22"/>
        <v>0</v>
      </c>
      <c r="J474" s="58"/>
    </row>
    <row r="475" spans="1:10" x14ac:dyDescent="0.25">
      <c r="A475" s="62">
        <v>2</v>
      </c>
      <c r="B475" s="54">
        <v>7</v>
      </c>
      <c r="C475" s="54">
        <v>2</v>
      </c>
      <c r="D475" s="54">
        <v>1</v>
      </c>
      <c r="E475" s="54" t="s">
        <v>320</v>
      </c>
      <c r="F475" s="59" t="s">
        <v>369</v>
      </c>
      <c r="G475" s="56">
        <f>'[2]CUENTA T FONDO 100'!IV126</f>
        <v>0</v>
      </c>
      <c r="H475" s="56">
        <f>'[2]CUENTA T VS'!IV106</f>
        <v>0</v>
      </c>
      <c r="I475" s="56">
        <f t="shared" si="22"/>
        <v>0</v>
      </c>
      <c r="J475" s="57">
        <f>I475/$I$25</f>
        <v>0</v>
      </c>
    </row>
    <row r="476" spans="1:10" x14ac:dyDescent="0.25">
      <c r="A476" s="61">
        <v>2</v>
      </c>
      <c r="B476" s="50">
        <v>7</v>
      </c>
      <c r="C476" s="50">
        <v>2</v>
      </c>
      <c r="D476" s="50">
        <v>2</v>
      </c>
      <c r="E476" s="64"/>
      <c r="F476" s="73" t="s">
        <v>370</v>
      </c>
      <c r="G476" s="51">
        <f>+G477</f>
        <v>0</v>
      </c>
      <c r="H476" s="51">
        <f>+H477</f>
        <v>0</v>
      </c>
      <c r="I476" s="51">
        <f t="shared" si="22"/>
        <v>0</v>
      </c>
      <c r="J476" s="58"/>
    </row>
    <row r="477" spans="1:10" x14ac:dyDescent="0.25">
      <c r="A477" s="62">
        <v>2</v>
      </c>
      <c r="B477" s="54">
        <v>7</v>
      </c>
      <c r="C477" s="54">
        <v>2</v>
      </c>
      <c r="D477" s="54">
        <v>2</v>
      </c>
      <c r="E477" s="54" t="s">
        <v>320</v>
      </c>
      <c r="F477" s="59" t="s">
        <v>370</v>
      </c>
      <c r="G477" s="56">
        <f>'[2]CUENTA T FONDO 100'!IW126</f>
        <v>0</v>
      </c>
      <c r="H477" s="56">
        <f>'[2]CUENTA T VS'!IW106</f>
        <v>0</v>
      </c>
      <c r="I477" s="56">
        <f t="shared" si="22"/>
        <v>0</v>
      </c>
      <c r="J477" s="57">
        <f>I477/$I$25</f>
        <v>0</v>
      </c>
    </row>
    <row r="478" spans="1:10" x14ac:dyDescent="0.25">
      <c r="A478" s="61">
        <v>2</v>
      </c>
      <c r="B478" s="50">
        <v>7</v>
      </c>
      <c r="C478" s="50">
        <v>2</v>
      </c>
      <c r="D478" s="50">
        <v>3</v>
      </c>
      <c r="E478" s="64"/>
      <c r="F478" s="73" t="s">
        <v>371</v>
      </c>
      <c r="G478" s="51">
        <f>+G479</f>
        <v>0</v>
      </c>
      <c r="H478" s="51">
        <f>+H479</f>
        <v>0</v>
      </c>
      <c r="I478" s="51">
        <f t="shared" si="22"/>
        <v>0</v>
      </c>
      <c r="J478" s="58"/>
    </row>
    <row r="479" spans="1:10" x14ac:dyDescent="0.25">
      <c r="A479" s="62">
        <v>2</v>
      </c>
      <c r="B479" s="54">
        <v>7</v>
      </c>
      <c r="C479" s="54">
        <v>2</v>
      </c>
      <c r="D479" s="54">
        <v>3</v>
      </c>
      <c r="E479" s="54" t="s">
        <v>320</v>
      </c>
      <c r="F479" s="59" t="s">
        <v>371</v>
      </c>
      <c r="G479" s="56">
        <f>'[2]CUENTA T FONDO 100'!IX126</f>
        <v>0</v>
      </c>
      <c r="H479" s="56">
        <f>'[2]CUENTA T VS'!IX106</f>
        <v>0</v>
      </c>
      <c r="I479" s="56">
        <f t="shared" si="22"/>
        <v>0</v>
      </c>
      <c r="J479" s="57">
        <f>I479/$I$25</f>
        <v>0</v>
      </c>
    </row>
    <row r="480" spans="1:10" x14ac:dyDescent="0.25">
      <c r="A480" s="61">
        <v>2</v>
      </c>
      <c r="B480" s="50">
        <v>7</v>
      </c>
      <c r="C480" s="50">
        <v>2</v>
      </c>
      <c r="D480" s="50">
        <v>4</v>
      </c>
      <c r="E480" s="64"/>
      <c r="F480" s="73" t="s">
        <v>372</v>
      </c>
      <c r="G480" s="51">
        <f>+G481</f>
        <v>0</v>
      </c>
      <c r="H480" s="51">
        <f>+H481</f>
        <v>0</v>
      </c>
      <c r="I480" s="51">
        <f t="shared" si="22"/>
        <v>0</v>
      </c>
      <c r="J480" s="58"/>
    </row>
    <row r="481" spans="1:10" x14ac:dyDescent="0.25">
      <c r="A481" s="62">
        <v>2</v>
      </c>
      <c r="B481" s="54">
        <v>7</v>
      </c>
      <c r="C481" s="54">
        <v>2</v>
      </c>
      <c r="D481" s="54">
        <v>4</v>
      </c>
      <c r="E481" s="54" t="s">
        <v>320</v>
      </c>
      <c r="F481" s="59" t="s">
        <v>372</v>
      </c>
      <c r="G481" s="56">
        <f>'[2]CUENTA T FONDO 100'!IY126</f>
        <v>0</v>
      </c>
      <c r="H481" s="56">
        <f>'[2]CUENTA T VS'!IY106</f>
        <v>0</v>
      </c>
      <c r="I481" s="56">
        <f t="shared" si="22"/>
        <v>0</v>
      </c>
      <c r="J481" s="57">
        <f>I481/$I$25</f>
        <v>0</v>
      </c>
    </row>
    <row r="482" spans="1:10" x14ac:dyDescent="0.25">
      <c r="A482" s="61">
        <v>2</v>
      </c>
      <c r="B482" s="50">
        <v>7</v>
      </c>
      <c r="C482" s="50">
        <v>2</v>
      </c>
      <c r="D482" s="50">
        <v>5</v>
      </c>
      <c r="E482" s="64"/>
      <c r="F482" s="73" t="s">
        <v>373</v>
      </c>
      <c r="G482" s="51">
        <f>+G483</f>
        <v>0</v>
      </c>
      <c r="H482" s="51">
        <f>+H483</f>
        <v>0</v>
      </c>
      <c r="I482" s="51">
        <f t="shared" si="22"/>
        <v>0</v>
      </c>
      <c r="J482" s="58"/>
    </row>
    <row r="483" spans="1:10" x14ac:dyDescent="0.25">
      <c r="A483" s="62">
        <v>2</v>
      </c>
      <c r="B483" s="54">
        <v>7</v>
      </c>
      <c r="C483" s="54">
        <v>2</v>
      </c>
      <c r="D483" s="54">
        <v>5</v>
      </c>
      <c r="E483" s="54" t="s">
        <v>320</v>
      </c>
      <c r="F483" s="59" t="s">
        <v>373</v>
      </c>
      <c r="G483" s="56">
        <f>'[2]CUENTA T FONDO 100'!IZ126</f>
        <v>0</v>
      </c>
      <c r="H483" s="56">
        <f>'[2]CUENTA T VS'!IZ106</f>
        <v>0</v>
      </c>
      <c r="I483" s="56">
        <f t="shared" si="22"/>
        <v>0</v>
      </c>
      <c r="J483" s="57">
        <f>I483/$I$25</f>
        <v>0</v>
      </c>
    </row>
    <row r="484" spans="1:10" x14ac:dyDescent="0.25">
      <c r="A484" s="61">
        <v>2</v>
      </c>
      <c r="B484" s="50">
        <v>7</v>
      </c>
      <c r="C484" s="50">
        <v>2</v>
      </c>
      <c r="D484" s="50">
        <v>6</v>
      </c>
      <c r="E484" s="64"/>
      <c r="F484" s="73" t="s">
        <v>374</v>
      </c>
      <c r="G484" s="51">
        <f>+G485</f>
        <v>0</v>
      </c>
      <c r="H484" s="51">
        <f>+H485</f>
        <v>0</v>
      </c>
      <c r="I484" s="51">
        <f t="shared" si="22"/>
        <v>0</v>
      </c>
      <c r="J484" s="58"/>
    </row>
    <row r="485" spans="1:10" x14ac:dyDescent="0.25">
      <c r="A485" s="62">
        <v>2</v>
      </c>
      <c r="B485" s="54">
        <v>7</v>
      </c>
      <c r="C485" s="54">
        <v>2</v>
      </c>
      <c r="D485" s="54">
        <v>6</v>
      </c>
      <c r="E485" s="54" t="s">
        <v>320</v>
      </c>
      <c r="F485" s="59" t="s">
        <v>374</v>
      </c>
      <c r="G485" s="56">
        <f>'[2]CUENTA T FONDO 100'!JA126</f>
        <v>0</v>
      </c>
      <c r="H485" s="56">
        <f>'[2]CUENTA T VS'!JA106</f>
        <v>0</v>
      </c>
      <c r="I485" s="56">
        <f t="shared" si="22"/>
        <v>0</v>
      </c>
      <c r="J485" s="57">
        <f>I485/$I$25</f>
        <v>0</v>
      </c>
    </row>
    <row r="486" spans="1:10" x14ac:dyDescent="0.25">
      <c r="A486" s="61">
        <v>2</v>
      </c>
      <c r="B486" s="50">
        <v>7</v>
      </c>
      <c r="C486" s="50">
        <v>2</v>
      </c>
      <c r="D486" s="50">
        <v>7</v>
      </c>
      <c r="E486" s="64"/>
      <c r="F486" s="73" t="s">
        <v>375</v>
      </c>
      <c r="G486" s="51">
        <f>+G487</f>
        <v>0</v>
      </c>
      <c r="H486" s="51">
        <f>+H487</f>
        <v>0</v>
      </c>
      <c r="I486" s="51">
        <f t="shared" si="22"/>
        <v>0</v>
      </c>
      <c r="J486" s="58"/>
    </row>
    <row r="487" spans="1:10" x14ac:dyDescent="0.25">
      <c r="A487" s="62">
        <v>2</v>
      </c>
      <c r="B487" s="54">
        <v>7</v>
      </c>
      <c r="C487" s="54">
        <v>2</v>
      </c>
      <c r="D487" s="54">
        <v>7</v>
      </c>
      <c r="E487" s="54" t="s">
        <v>320</v>
      </c>
      <c r="F487" s="59" t="s">
        <v>375</v>
      </c>
      <c r="G487" s="56">
        <f>'[2]CUENTA T FONDO 100'!JB126</f>
        <v>0</v>
      </c>
      <c r="H487" s="56">
        <f>'[2]CUENTA T VS'!JB106</f>
        <v>0</v>
      </c>
      <c r="I487" s="56">
        <f t="shared" si="22"/>
        <v>0</v>
      </c>
      <c r="J487" s="57">
        <f>I487/$I$25</f>
        <v>0</v>
      </c>
    </row>
    <row r="488" spans="1:10" x14ac:dyDescent="0.25">
      <c r="A488" s="61">
        <v>2</v>
      </c>
      <c r="B488" s="50">
        <v>7</v>
      </c>
      <c r="C488" s="50">
        <v>2</v>
      </c>
      <c r="D488" s="50">
        <v>8</v>
      </c>
      <c r="E488" s="64"/>
      <c r="F488" s="73" t="s">
        <v>376</v>
      </c>
      <c r="G488" s="51">
        <f>+G489</f>
        <v>0</v>
      </c>
      <c r="H488" s="51">
        <f>+H489</f>
        <v>0</v>
      </c>
      <c r="I488" s="51">
        <f t="shared" si="22"/>
        <v>0</v>
      </c>
      <c r="J488" s="58"/>
    </row>
    <row r="489" spans="1:10" x14ac:dyDescent="0.25">
      <c r="A489" s="62">
        <v>2</v>
      </c>
      <c r="B489" s="54">
        <v>7</v>
      </c>
      <c r="C489" s="54">
        <v>2</v>
      </c>
      <c r="D489" s="54">
        <v>8</v>
      </c>
      <c r="E489" s="54" t="s">
        <v>320</v>
      </c>
      <c r="F489" s="59" t="s">
        <v>376</v>
      </c>
      <c r="G489" s="56">
        <f>'[2]CUENTA T FONDO 100'!JC126</f>
        <v>0</v>
      </c>
      <c r="H489" s="56">
        <f>'[2]CUENTA T VS'!JC106</f>
        <v>0</v>
      </c>
      <c r="I489" s="56">
        <f t="shared" si="22"/>
        <v>0</v>
      </c>
      <c r="J489" s="57">
        <f>I489/$I$25</f>
        <v>0</v>
      </c>
    </row>
    <row r="490" spans="1:10" x14ac:dyDescent="0.25">
      <c r="A490" s="61">
        <v>2</v>
      </c>
      <c r="B490" s="50">
        <v>7</v>
      </c>
      <c r="C490" s="50">
        <v>2</v>
      </c>
      <c r="D490" s="50">
        <v>9</v>
      </c>
      <c r="E490" s="64"/>
      <c r="F490" s="73" t="s">
        <v>377</v>
      </c>
      <c r="G490" s="51">
        <f>+G491</f>
        <v>0</v>
      </c>
      <c r="H490" s="51">
        <f>+H491</f>
        <v>0</v>
      </c>
      <c r="I490" s="51">
        <f t="shared" si="22"/>
        <v>0</v>
      </c>
      <c r="J490" s="58"/>
    </row>
    <row r="491" spans="1:10" x14ac:dyDescent="0.25">
      <c r="A491" s="62">
        <v>2</v>
      </c>
      <c r="B491" s="54">
        <v>7</v>
      </c>
      <c r="C491" s="54">
        <v>2</v>
      </c>
      <c r="D491" s="54">
        <v>9</v>
      </c>
      <c r="E491" s="54" t="s">
        <v>320</v>
      </c>
      <c r="F491" s="59" t="s">
        <v>377</v>
      </c>
      <c r="G491" s="56">
        <f>'[2]CUENTA T FONDO 100'!JD126</f>
        <v>0</v>
      </c>
      <c r="H491" s="56">
        <f>'[2]CUENTA T VS'!JD106</f>
        <v>0</v>
      </c>
      <c r="I491" s="56">
        <f t="shared" si="22"/>
        <v>0</v>
      </c>
      <c r="J491" s="57">
        <f>I491/$I$25</f>
        <v>0</v>
      </c>
    </row>
    <row r="492" spans="1:10" x14ac:dyDescent="0.25">
      <c r="A492" s="60">
        <v>2</v>
      </c>
      <c r="B492" s="47">
        <v>7</v>
      </c>
      <c r="C492" s="47">
        <v>3</v>
      </c>
      <c r="D492" s="47"/>
      <c r="E492" s="47"/>
      <c r="F492" s="72" t="s">
        <v>378</v>
      </c>
      <c r="G492" s="48">
        <f>+G493+G495</f>
        <v>0</v>
      </c>
      <c r="H492" s="48">
        <f>+H493+H495</f>
        <v>0</v>
      </c>
      <c r="I492" s="48">
        <f t="shared" si="22"/>
        <v>0</v>
      </c>
      <c r="J492" s="45"/>
    </row>
    <row r="493" spans="1:10" x14ac:dyDescent="0.25">
      <c r="A493" s="61">
        <v>2</v>
      </c>
      <c r="B493" s="50">
        <v>7</v>
      </c>
      <c r="C493" s="50">
        <v>3</v>
      </c>
      <c r="D493" s="50">
        <v>1</v>
      </c>
      <c r="E493" s="64"/>
      <c r="F493" s="73" t="s">
        <v>379</v>
      </c>
      <c r="G493" s="51">
        <f>+G494</f>
        <v>0</v>
      </c>
      <c r="H493" s="51">
        <f>+H494</f>
        <v>0</v>
      </c>
      <c r="I493" s="51">
        <f t="shared" si="22"/>
        <v>0</v>
      </c>
      <c r="J493" s="58"/>
    </row>
    <row r="494" spans="1:10" x14ac:dyDescent="0.25">
      <c r="A494" s="62">
        <v>2</v>
      </c>
      <c r="B494" s="54">
        <v>7</v>
      </c>
      <c r="C494" s="54">
        <v>3</v>
      </c>
      <c r="D494" s="54">
        <v>1</v>
      </c>
      <c r="E494" s="54" t="s">
        <v>320</v>
      </c>
      <c r="F494" s="59" t="s">
        <v>379</v>
      </c>
      <c r="G494" s="56">
        <f>'[2]CUENTA T FONDO 100'!JE126</f>
        <v>0</v>
      </c>
      <c r="H494" s="56">
        <f>'[2]CUENTA T VS'!JE106</f>
        <v>0</v>
      </c>
      <c r="I494" s="56">
        <f t="shared" si="22"/>
        <v>0</v>
      </c>
      <c r="J494" s="57">
        <f>I494/$I$25</f>
        <v>0</v>
      </c>
    </row>
    <row r="495" spans="1:10" x14ac:dyDescent="0.25">
      <c r="A495" s="61">
        <v>2</v>
      </c>
      <c r="B495" s="50">
        <v>7</v>
      </c>
      <c r="C495" s="50">
        <v>3</v>
      </c>
      <c r="D495" s="50">
        <v>2</v>
      </c>
      <c r="E495" s="64"/>
      <c r="F495" s="73" t="s">
        <v>380</v>
      </c>
      <c r="G495" s="51">
        <f>+G496</f>
        <v>0</v>
      </c>
      <c r="H495" s="51">
        <f>+H496</f>
        <v>0</v>
      </c>
      <c r="I495" s="51">
        <f t="shared" si="22"/>
        <v>0</v>
      </c>
      <c r="J495" s="58"/>
    </row>
    <row r="496" spans="1:10" x14ac:dyDescent="0.25">
      <c r="A496" s="62">
        <v>2</v>
      </c>
      <c r="B496" s="54">
        <v>7</v>
      </c>
      <c r="C496" s="54">
        <v>3</v>
      </c>
      <c r="D496" s="54">
        <v>2</v>
      </c>
      <c r="E496" s="54" t="s">
        <v>320</v>
      </c>
      <c r="F496" s="59" t="s">
        <v>380</v>
      </c>
      <c r="G496" s="56">
        <f>'[2]CUENTA T FONDO 100'!JF126</f>
        <v>0</v>
      </c>
      <c r="H496" s="56">
        <f>'[2]CUENTA T VS'!JF106</f>
        <v>0</v>
      </c>
      <c r="I496" s="56">
        <f t="shared" si="22"/>
        <v>0</v>
      </c>
      <c r="J496" s="57">
        <f>I496/$I$25</f>
        <v>0</v>
      </c>
    </row>
    <row r="497" spans="1:10" ht="25.5" x14ac:dyDescent="0.25">
      <c r="A497" s="60">
        <v>2</v>
      </c>
      <c r="B497" s="47">
        <v>7</v>
      </c>
      <c r="C497" s="47">
        <v>4</v>
      </c>
      <c r="D497" s="47"/>
      <c r="E497" s="47"/>
      <c r="F497" s="72" t="s">
        <v>381</v>
      </c>
      <c r="G497" s="48">
        <f>+G498+G500</f>
        <v>0</v>
      </c>
      <c r="H497" s="48">
        <f>+H498+H500</f>
        <v>0</v>
      </c>
      <c r="I497" s="48">
        <f t="shared" si="22"/>
        <v>0</v>
      </c>
      <c r="J497" s="45"/>
    </row>
    <row r="498" spans="1:10" x14ac:dyDescent="0.25">
      <c r="A498" s="61">
        <v>2</v>
      </c>
      <c r="B498" s="50">
        <v>7</v>
      </c>
      <c r="C498" s="50">
        <v>4</v>
      </c>
      <c r="D498" s="50">
        <v>1</v>
      </c>
      <c r="E498" s="64"/>
      <c r="F498" s="73" t="s">
        <v>382</v>
      </c>
      <c r="G498" s="51">
        <f>+G499</f>
        <v>0</v>
      </c>
      <c r="H498" s="51">
        <f>+H499</f>
        <v>0</v>
      </c>
      <c r="I498" s="51">
        <f t="shared" si="22"/>
        <v>0</v>
      </c>
      <c r="J498" s="58"/>
    </row>
    <row r="499" spans="1:10" x14ac:dyDescent="0.25">
      <c r="A499" s="62">
        <v>2</v>
      </c>
      <c r="B499" s="54">
        <v>7</v>
      </c>
      <c r="C499" s="54">
        <v>4</v>
      </c>
      <c r="D499" s="54">
        <v>1</v>
      </c>
      <c r="E499" s="54" t="s">
        <v>320</v>
      </c>
      <c r="F499" s="59" t="s">
        <v>382</v>
      </c>
      <c r="G499" s="56">
        <f>'[2]CUENTA T FONDO 100'!JG126</f>
        <v>0</v>
      </c>
      <c r="H499" s="56">
        <f>'[2]CUENTA T VS'!JG106</f>
        <v>0</v>
      </c>
      <c r="I499" s="56">
        <f t="shared" si="22"/>
        <v>0</v>
      </c>
      <c r="J499" s="57">
        <f>I499/$I$25</f>
        <v>0</v>
      </c>
    </row>
    <row r="500" spans="1:10" ht="25.5" x14ac:dyDescent="0.25">
      <c r="A500" s="49">
        <v>2</v>
      </c>
      <c r="B500" s="50">
        <v>7</v>
      </c>
      <c r="C500" s="50">
        <v>4</v>
      </c>
      <c r="D500" s="50">
        <v>2</v>
      </c>
      <c r="E500" s="64"/>
      <c r="F500" s="73" t="s">
        <v>383</v>
      </c>
      <c r="G500" s="51">
        <f>+G501</f>
        <v>0</v>
      </c>
      <c r="H500" s="51">
        <f>+H501</f>
        <v>0</v>
      </c>
      <c r="I500" s="51">
        <f t="shared" si="22"/>
        <v>0</v>
      </c>
      <c r="J500" s="58"/>
    </row>
    <row r="501" spans="1:10" ht="25.5" x14ac:dyDescent="0.25">
      <c r="A501" s="53">
        <v>2</v>
      </c>
      <c r="B501" s="54">
        <v>7</v>
      </c>
      <c r="C501" s="54">
        <v>4</v>
      </c>
      <c r="D501" s="54">
        <v>2</v>
      </c>
      <c r="E501" s="54" t="s">
        <v>320</v>
      </c>
      <c r="F501" s="59" t="s">
        <v>383</v>
      </c>
      <c r="G501" s="56">
        <f>'[2]CUENTA T FONDO 100'!JH126</f>
        <v>0</v>
      </c>
      <c r="H501" s="56">
        <f>'[2]CUENTA T VS'!JH106</f>
        <v>0</v>
      </c>
      <c r="I501" s="56">
        <f t="shared" si="22"/>
        <v>0</v>
      </c>
      <c r="J501" s="57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0">
    <mergeCell ref="A7:J7"/>
    <mergeCell ref="A2:H2"/>
    <mergeCell ref="A3:J3"/>
    <mergeCell ref="A4:J4"/>
    <mergeCell ref="A5:J5"/>
    <mergeCell ref="A6:J6"/>
    <mergeCell ref="A21:E21"/>
    <mergeCell ref="G21:H21"/>
    <mergeCell ref="A22:E22"/>
    <mergeCell ref="F22:F24"/>
    <mergeCell ref="G22:H22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topLeftCell="A13" workbookViewId="0">
      <selection sqref="A1:J501"/>
    </sheetView>
  </sheetViews>
  <sheetFormatPr baseColWidth="10" defaultRowHeight="15" x14ac:dyDescent="0.25"/>
  <cols>
    <col min="1" max="5" width="6.42578125" customWidth="1"/>
    <col min="6" max="6" width="28.140625" style="89" customWidth="1"/>
    <col min="7" max="7" width="13.28515625" bestFit="1" customWidth="1"/>
    <col min="9" max="9" width="13.710937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79"/>
      <c r="G1" s="2"/>
      <c r="H1" s="2"/>
      <c r="I1" s="3"/>
      <c r="J1" s="4"/>
    </row>
    <row r="2" spans="1:10" ht="23.25" x14ac:dyDescent="0.35">
      <c r="A2" s="112"/>
      <c r="B2" s="113"/>
      <c r="C2" s="113"/>
      <c r="D2" s="113"/>
      <c r="E2" s="113"/>
      <c r="F2" s="113"/>
      <c r="G2" s="113"/>
      <c r="H2" s="113"/>
      <c r="I2" s="5"/>
      <c r="J2" s="6"/>
    </row>
    <row r="3" spans="1:10" ht="26.25" x14ac:dyDescent="0.4">
      <c r="A3" s="114" t="s">
        <v>1</v>
      </c>
      <c r="B3" s="115"/>
      <c r="C3" s="115"/>
      <c r="D3" s="115"/>
      <c r="E3" s="115"/>
      <c r="F3" s="115"/>
      <c r="G3" s="115"/>
      <c r="H3" s="115"/>
      <c r="I3" s="115"/>
      <c r="J3" s="116"/>
    </row>
    <row r="4" spans="1:10" ht="18.75" x14ac:dyDescent="0.3">
      <c r="A4" s="117" t="s">
        <v>2</v>
      </c>
      <c r="B4" s="118"/>
      <c r="C4" s="118"/>
      <c r="D4" s="118"/>
      <c r="E4" s="118"/>
      <c r="F4" s="118"/>
      <c r="G4" s="118"/>
      <c r="H4" s="118"/>
      <c r="I4" s="118"/>
      <c r="J4" s="119"/>
    </row>
    <row r="5" spans="1:10" x14ac:dyDescent="0.25">
      <c r="A5" s="120" t="s">
        <v>3</v>
      </c>
      <c r="B5" s="121"/>
      <c r="C5" s="121"/>
      <c r="D5" s="121"/>
      <c r="E5" s="121"/>
      <c r="F5" s="121"/>
      <c r="G5" s="121"/>
      <c r="H5" s="121"/>
      <c r="I5" s="121"/>
      <c r="J5" s="122"/>
    </row>
    <row r="6" spans="1:10" ht="15.75" x14ac:dyDescent="0.25">
      <c r="A6" s="123" t="s">
        <v>4</v>
      </c>
      <c r="B6" s="124"/>
      <c r="C6" s="124"/>
      <c r="D6" s="124"/>
      <c r="E6" s="124"/>
      <c r="F6" s="124"/>
      <c r="G6" s="124"/>
      <c r="H6" s="124"/>
      <c r="I6" s="124"/>
      <c r="J6" s="125"/>
    </row>
    <row r="7" spans="1:10" ht="15.75" x14ac:dyDescent="0.25">
      <c r="A7" s="109" t="s">
        <v>385</v>
      </c>
      <c r="B7" s="110"/>
      <c r="C7" s="110"/>
      <c r="D7" s="110"/>
      <c r="E7" s="110"/>
      <c r="F7" s="110"/>
      <c r="G7" s="110"/>
      <c r="H7" s="110"/>
      <c r="I7" s="110"/>
      <c r="J7" s="111"/>
    </row>
    <row r="8" spans="1:10" ht="15.75" x14ac:dyDescent="0.25">
      <c r="A8" s="7"/>
      <c r="B8" s="8"/>
      <c r="C8" s="8" t="s">
        <v>6</v>
      </c>
      <c r="D8" s="8"/>
      <c r="E8" s="8"/>
      <c r="F8" s="80"/>
      <c r="G8" s="8"/>
      <c r="H8" s="8"/>
      <c r="I8" s="8"/>
      <c r="J8" s="9"/>
    </row>
    <row r="9" spans="1:10" ht="15.75" x14ac:dyDescent="0.25">
      <c r="A9" s="10"/>
      <c r="B9" s="11"/>
      <c r="C9" s="11"/>
      <c r="D9" s="11"/>
      <c r="E9" s="12" t="s">
        <v>7</v>
      </c>
      <c r="F9" s="81"/>
      <c r="G9" s="14"/>
      <c r="H9" s="14"/>
      <c r="I9" s="14"/>
      <c r="J9" s="15"/>
    </row>
    <row r="10" spans="1:10" ht="15.75" x14ac:dyDescent="0.25">
      <c r="A10" s="10"/>
      <c r="B10" s="11"/>
      <c r="C10" s="11"/>
      <c r="D10" s="11"/>
      <c r="E10" s="16" t="s">
        <v>8</v>
      </c>
      <c r="F10" s="81"/>
      <c r="G10" s="17"/>
      <c r="H10" s="18" t="s">
        <v>9</v>
      </c>
      <c r="I10" s="17"/>
      <c r="J10" s="15"/>
    </row>
    <row r="11" spans="1:10" ht="15.75" x14ac:dyDescent="0.25">
      <c r="A11" s="10"/>
      <c r="B11" s="11"/>
      <c r="C11" s="11"/>
      <c r="D11" s="11"/>
      <c r="E11" s="16" t="s">
        <v>10</v>
      </c>
      <c r="F11" s="81"/>
      <c r="G11" s="17"/>
      <c r="H11" s="19"/>
      <c r="I11" s="20"/>
      <c r="J11" s="15"/>
    </row>
    <row r="12" spans="1:10" ht="15.75" x14ac:dyDescent="0.25">
      <c r="A12" s="10"/>
      <c r="B12" s="11"/>
      <c r="C12" s="11"/>
      <c r="D12" s="11"/>
      <c r="E12" s="16" t="s">
        <v>11</v>
      </c>
      <c r="F12" s="81"/>
      <c r="G12" s="21">
        <v>1377881.16</v>
      </c>
      <c r="H12" s="22"/>
      <c r="I12" s="20"/>
      <c r="J12" s="15"/>
    </row>
    <row r="13" spans="1:10" ht="15.75" x14ac:dyDescent="0.25">
      <c r="A13" s="10"/>
      <c r="B13" s="11"/>
      <c r="C13" s="11"/>
      <c r="D13" s="11"/>
      <c r="E13" s="23" t="s">
        <v>12</v>
      </c>
      <c r="F13" s="81"/>
      <c r="G13" s="20"/>
      <c r="H13" s="20"/>
      <c r="I13" s="20"/>
      <c r="J13" s="15"/>
    </row>
    <row r="14" spans="1:10" ht="15.75" x14ac:dyDescent="0.25">
      <c r="A14" s="10"/>
      <c r="B14" s="11"/>
      <c r="C14" s="11"/>
      <c r="D14" s="11"/>
      <c r="E14" s="16" t="s">
        <v>8</v>
      </c>
      <c r="F14" s="81"/>
      <c r="G14" s="17">
        <v>0</v>
      </c>
      <c r="H14" s="18" t="s">
        <v>9</v>
      </c>
      <c r="I14" s="17">
        <f>+'[3]INGR SEGUN ORIGEN'!E31</f>
        <v>1026168.74</v>
      </c>
      <c r="J14" s="24"/>
    </row>
    <row r="15" spans="1:10" ht="15.75" x14ac:dyDescent="0.25">
      <c r="A15" s="10"/>
      <c r="B15" s="11"/>
      <c r="C15" s="11"/>
      <c r="D15" s="11"/>
      <c r="E15" s="16" t="s">
        <v>10</v>
      </c>
      <c r="F15" s="81"/>
      <c r="G15" s="21">
        <f>+'[3]INGR SEGUN ORIGEN'!E12</f>
        <v>100316795.08</v>
      </c>
      <c r="H15" s="22" t="s">
        <v>13</v>
      </c>
      <c r="I15" s="17">
        <v>0</v>
      </c>
      <c r="J15" s="24"/>
    </row>
    <row r="16" spans="1:10" ht="15.75" x14ac:dyDescent="0.25">
      <c r="A16" s="10"/>
      <c r="B16" s="11"/>
      <c r="C16" s="11"/>
      <c r="D16" s="11"/>
      <c r="E16" s="16" t="s">
        <v>11</v>
      </c>
      <c r="F16" s="81"/>
      <c r="G16" s="21">
        <f>+'[3]INGR SEGUN ORIGEN'!E23</f>
        <v>3631511.44</v>
      </c>
      <c r="H16" s="22"/>
      <c r="I16" s="20"/>
      <c r="J16" s="15"/>
    </row>
    <row r="17" spans="1:10" ht="15.75" x14ac:dyDescent="0.25">
      <c r="A17" s="10"/>
      <c r="B17" s="11"/>
      <c r="C17" s="11"/>
      <c r="D17" s="11"/>
      <c r="E17" s="16"/>
      <c r="F17" s="81"/>
      <c r="G17" s="25"/>
      <c r="H17" s="26" t="s">
        <v>14</v>
      </c>
      <c r="I17" s="17">
        <f>+G10+G11+G12+I10+G14+G15+G16+I14+I15</f>
        <v>106352356.41999999</v>
      </c>
      <c r="J17" s="15"/>
    </row>
    <row r="18" spans="1:10" ht="15.75" x14ac:dyDescent="0.25">
      <c r="A18" s="10"/>
      <c r="B18" s="11"/>
      <c r="C18" s="11"/>
      <c r="D18" s="11"/>
      <c r="E18" s="27"/>
      <c r="F18" s="82"/>
      <c r="G18" s="28"/>
      <c r="H18" s="28"/>
      <c r="I18" s="13"/>
      <c r="J18" s="15"/>
    </row>
    <row r="19" spans="1:10" ht="15.75" x14ac:dyDescent="0.25">
      <c r="A19" s="29"/>
      <c r="B19" s="30"/>
      <c r="C19" s="31"/>
      <c r="D19" s="30"/>
      <c r="E19" s="32"/>
      <c r="F19" s="83"/>
      <c r="G19" s="33"/>
      <c r="H19" s="33"/>
      <c r="I19" s="34"/>
      <c r="J19" s="35"/>
    </row>
    <row r="20" spans="1:10" x14ac:dyDescent="0.25">
      <c r="A20" s="36"/>
      <c r="B20" s="13"/>
      <c r="C20" s="13"/>
      <c r="D20" s="13"/>
      <c r="E20" s="13"/>
      <c r="F20" s="81"/>
      <c r="G20" s="13"/>
      <c r="H20" s="13"/>
      <c r="I20" s="13"/>
      <c r="J20" s="15"/>
    </row>
    <row r="21" spans="1:10" x14ac:dyDescent="0.25">
      <c r="A21" s="100">
        <v>1</v>
      </c>
      <c r="B21" s="100"/>
      <c r="C21" s="100"/>
      <c r="D21" s="100"/>
      <c r="E21" s="100"/>
      <c r="F21" s="84">
        <v>2</v>
      </c>
      <c r="G21" s="101">
        <v>3</v>
      </c>
      <c r="H21" s="102"/>
      <c r="I21" s="37">
        <v>4</v>
      </c>
      <c r="J21" s="37">
        <v>5</v>
      </c>
    </row>
    <row r="22" spans="1:10" x14ac:dyDescent="0.25">
      <c r="A22" s="103" t="s">
        <v>15</v>
      </c>
      <c r="B22" s="103"/>
      <c r="C22" s="103"/>
      <c r="D22" s="103"/>
      <c r="E22" s="103"/>
      <c r="F22" s="104" t="s">
        <v>16</v>
      </c>
      <c r="G22" s="107" t="s">
        <v>17</v>
      </c>
      <c r="H22" s="108"/>
      <c r="I22" s="97" t="s">
        <v>18</v>
      </c>
      <c r="J22" s="90" t="s">
        <v>19</v>
      </c>
    </row>
    <row r="23" spans="1:10" x14ac:dyDescent="0.25">
      <c r="A23" s="93" t="s">
        <v>20</v>
      </c>
      <c r="B23" s="93" t="s">
        <v>21</v>
      </c>
      <c r="C23" s="93" t="s">
        <v>22</v>
      </c>
      <c r="D23" s="93" t="s">
        <v>23</v>
      </c>
      <c r="E23" s="93" t="s">
        <v>24</v>
      </c>
      <c r="F23" s="105"/>
      <c r="G23" s="95" t="s">
        <v>25</v>
      </c>
      <c r="H23" s="95" t="s">
        <v>26</v>
      </c>
      <c r="I23" s="98"/>
      <c r="J23" s="91"/>
    </row>
    <row r="24" spans="1:10" x14ac:dyDescent="0.25">
      <c r="A24" s="94"/>
      <c r="B24" s="94"/>
      <c r="C24" s="94"/>
      <c r="D24" s="94"/>
      <c r="E24" s="94"/>
      <c r="F24" s="106"/>
      <c r="G24" s="96"/>
      <c r="H24" s="96"/>
      <c r="I24" s="99"/>
      <c r="J24" s="92"/>
    </row>
    <row r="25" spans="1:10" ht="15.75" thickBot="1" x14ac:dyDescent="0.3">
      <c r="A25" s="38">
        <v>2</v>
      </c>
      <c r="B25" s="39"/>
      <c r="C25" s="39"/>
      <c r="D25" s="39"/>
      <c r="E25" s="39"/>
      <c r="F25" s="85" t="s">
        <v>27</v>
      </c>
      <c r="G25" s="40">
        <f>+G26+G87+G212+G330+G336+G463</f>
        <v>93930744.409999996</v>
      </c>
      <c r="H25" s="40">
        <f>+H26+H87+H212+H330+H336+H463</f>
        <v>6513141.8700000001</v>
      </c>
      <c r="I25" s="40">
        <f>SUM(G25:H25)</f>
        <v>100443886.28</v>
      </c>
      <c r="J25" s="41">
        <f>+J26+J87+J212+J330+J336+J463</f>
        <v>1</v>
      </c>
    </row>
    <row r="26" spans="1:10" ht="15.75" thickTop="1" x14ac:dyDescent="0.25">
      <c r="A26" s="42">
        <v>2</v>
      </c>
      <c r="B26" s="43">
        <v>1</v>
      </c>
      <c r="C26" s="43"/>
      <c r="D26" s="43"/>
      <c r="E26" s="43"/>
      <c r="F26" s="86" t="s">
        <v>28</v>
      </c>
      <c r="G26" s="44">
        <f>+G27+G51+G64+G71+G78</f>
        <v>66583615.279999994</v>
      </c>
      <c r="H26" s="44">
        <f>+H27+H51+H64+H71+H78</f>
        <v>0</v>
      </c>
      <c r="I26" s="44">
        <f t="shared" ref="I26:I88" si="0">SUM(G26:H26)</f>
        <v>66583615.279999994</v>
      </c>
      <c r="J26" s="45">
        <f>I26/$I$25</f>
        <v>0.66289365879760731</v>
      </c>
    </row>
    <row r="27" spans="1:10" x14ac:dyDescent="0.25">
      <c r="A27" s="46">
        <v>2</v>
      </c>
      <c r="B27" s="47">
        <v>1</v>
      </c>
      <c r="C27" s="47">
        <v>1</v>
      </c>
      <c r="D27" s="47"/>
      <c r="E27" s="47"/>
      <c r="F27" s="70" t="s">
        <v>29</v>
      </c>
      <c r="G27" s="48">
        <f>+G28+G35+G42+G44+G46</f>
        <v>54868542.939999998</v>
      </c>
      <c r="H27" s="48">
        <f>+H28+H35+H42+H44+H46</f>
        <v>0</v>
      </c>
      <c r="I27" s="48">
        <f t="shared" si="0"/>
        <v>54868542.939999998</v>
      </c>
      <c r="J27" s="45">
        <f>I27/$I$25</f>
        <v>0.54626065330693219</v>
      </c>
    </row>
    <row r="28" spans="1:10" x14ac:dyDescent="0.25">
      <c r="A28" s="49">
        <v>2</v>
      </c>
      <c r="B28" s="50">
        <v>1</v>
      </c>
      <c r="C28" s="50">
        <v>1</v>
      </c>
      <c r="D28" s="50">
        <v>1</v>
      </c>
      <c r="E28" s="50"/>
      <c r="F28" s="69" t="s">
        <v>30</v>
      </c>
      <c r="G28" s="51">
        <f>SUM(G29:G34)</f>
        <v>53275909.399999999</v>
      </c>
      <c r="H28" s="51">
        <f>SUM(H29:H34)</f>
        <v>0</v>
      </c>
      <c r="I28" s="51">
        <f t="shared" si="0"/>
        <v>53275909.399999999</v>
      </c>
      <c r="J28" s="52">
        <f>I28/$I$25</f>
        <v>0.53040470030686271</v>
      </c>
    </row>
    <row r="29" spans="1:10" x14ac:dyDescent="0.25">
      <c r="A29" s="53">
        <v>2</v>
      </c>
      <c r="B29" s="54">
        <v>1</v>
      </c>
      <c r="C29" s="54">
        <v>1</v>
      </c>
      <c r="D29" s="54">
        <v>1</v>
      </c>
      <c r="E29" s="55" t="s">
        <v>31</v>
      </c>
      <c r="F29" s="68" t="s">
        <v>32</v>
      </c>
      <c r="G29" s="56">
        <f>'[3]CUENTA T FONDO 100'!A126</f>
        <v>53275909.399999999</v>
      </c>
      <c r="H29" s="56">
        <f>'[3]CUENTA T VS'!A106</f>
        <v>0</v>
      </c>
      <c r="I29" s="56">
        <f t="shared" si="0"/>
        <v>53275909.399999999</v>
      </c>
      <c r="J29" s="57">
        <f t="shared" ref="J29:J34" si="1">I29/$I$25</f>
        <v>0.53040470030686271</v>
      </c>
    </row>
    <row r="30" spans="1:10" x14ac:dyDescent="0.25">
      <c r="A30" s="53">
        <v>2</v>
      </c>
      <c r="B30" s="54">
        <v>1</v>
      </c>
      <c r="C30" s="54">
        <v>1</v>
      </c>
      <c r="D30" s="54">
        <v>1</v>
      </c>
      <c r="E30" s="55" t="s">
        <v>33</v>
      </c>
      <c r="F30" s="59" t="s">
        <v>34</v>
      </c>
      <c r="G30" s="56">
        <f>'[3]CUENTA T FONDO 100'!B126</f>
        <v>0</v>
      </c>
      <c r="H30" s="56">
        <f>'[3]CUENTA T VS'!B106</f>
        <v>0</v>
      </c>
      <c r="I30" s="56">
        <f t="shared" si="0"/>
        <v>0</v>
      </c>
      <c r="J30" s="57">
        <f>I30/$I$25</f>
        <v>0</v>
      </c>
    </row>
    <row r="31" spans="1:10" x14ac:dyDescent="0.25">
      <c r="A31" s="53">
        <v>2</v>
      </c>
      <c r="B31" s="54">
        <v>1</v>
      </c>
      <c r="C31" s="54">
        <v>1</v>
      </c>
      <c r="D31" s="54">
        <v>1</v>
      </c>
      <c r="E31" s="55" t="s">
        <v>35</v>
      </c>
      <c r="F31" s="59" t="s">
        <v>36</v>
      </c>
      <c r="G31" s="56">
        <f>'[3]CUENTA T FONDO 100'!C126</f>
        <v>0</v>
      </c>
      <c r="H31" s="56">
        <f>'[3]CUENTA T VS'!C106</f>
        <v>0</v>
      </c>
      <c r="I31" s="56">
        <f t="shared" si="0"/>
        <v>0</v>
      </c>
      <c r="J31" s="57">
        <f t="shared" si="1"/>
        <v>0</v>
      </c>
    </row>
    <row r="32" spans="1:10" x14ac:dyDescent="0.25">
      <c r="A32" s="53">
        <v>2</v>
      </c>
      <c r="B32" s="54">
        <v>1</v>
      </c>
      <c r="C32" s="54">
        <v>1</v>
      </c>
      <c r="D32" s="54">
        <v>1</v>
      </c>
      <c r="E32" s="55" t="s">
        <v>37</v>
      </c>
      <c r="F32" s="59" t="s">
        <v>38</v>
      </c>
      <c r="G32" s="56">
        <f>'[3]CUENTA T FONDO 100'!D126</f>
        <v>0</v>
      </c>
      <c r="H32" s="56">
        <f>'[3]CUENTA T VS'!D106</f>
        <v>0</v>
      </c>
      <c r="I32" s="56">
        <f t="shared" si="0"/>
        <v>0</v>
      </c>
      <c r="J32" s="57">
        <f t="shared" si="1"/>
        <v>0</v>
      </c>
    </row>
    <row r="33" spans="1:10" x14ac:dyDescent="0.25">
      <c r="A33" s="53">
        <v>2</v>
      </c>
      <c r="B33" s="54">
        <v>1</v>
      </c>
      <c r="C33" s="54">
        <v>1</v>
      </c>
      <c r="D33" s="54">
        <v>1</v>
      </c>
      <c r="E33" s="55" t="s">
        <v>39</v>
      </c>
      <c r="F33" s="59" t="s">
        <v>40</v>
      </c>
      <c r="G33" s="56">
        <f>'[3]CUENTA T FONDO 100'!E126</f>
        <v>0</v>
      </c>
      <c r="H33" s="56">
        <f>'[3]CUENTA T VS'!E106</f>
        <v>0</v>
      </c>
      <c r="I33" s="56">
        <f t="shared" si="0"/>
        <v>0</v>
      </c>
      <c r="J33" s="57">
        <f t="shared" si="1"/>
        <v>0</v>
      </c>
    </row>
    <row r="34" spans="1:10" x14ac:dyDescent="0.25">
      <c r="A34" s="53">
        <v>2</v>
      </c>
      <c r="B34" s="54">
        <v>1</v>
      </c>
      <c r="C34" s="54">
        <v>1</v>
      </c>
      <c r="D34" s="54">
        <v>1</v>
      </c>
      <c r="E34" s="55" t="s">
        <v>41</v>
      </c>
      <c r="F34" s="59" t="s">
        <v>42</v>
      </c>
      <c r="G34" s="56">
        <f>'[3]CUENTA T FONDO 100'!F126</f>
        <v>0</v>
      </c>
      <c r="H34" s="56">
        <f>'[3]CUENTA T VS'!F106</f>
        <v>0</v>
      </c>
      <c r="I34" s="56">
        <f t="shared" si="0"/>
        <v>0</v>
      </c>
      <c r="J34" s="57">
        <f t="shared" si="1"/>
        <v>0</v>
      </c>
    </row>
    <row r="35" spans="1:10" ht="25.5" x14ac:dyDescent="0.25">
      <c r="A35" s="49">
        <v>2</v>
      </c>
      <c r="B35" s="50">
        <v>1</v>
      </c>
      <c r="C35" s="50">
        <v>1</v>
      </c>
      <c r="D35" s="50">
        <v>2</v>
      </c>
      <c r="E35" s="50"/>
      <c r="F35" s="73" t="s">
        <v>43</v>
      </c>
      <c r="G35" s="51">
        <f>SUM(G36:G41)</f>
        <v>1130531.03</v>
      </c>
      <c r="H35" s="51">
        <f>SUM(H36:H41)</f>
        <v>0</v>
      </c>
      <c r="I35" s="51">
        <f t="shared" si="0"/>
        <v>1130531.03</v>
      </c>
      <c r="J35" s="58"/>
    </row>
    <row r="36" spans="1:10" x14ac:dyDescent="0.25">
      <c r="A36" s="53">
        <v>2</v>
      </c>
      <c r="B36" s="54">
        <v>1</v>
      </c>
      <c r="C36" s="54">
        <v>1</v>
      </c>
      <c r="D36" s="54">
        <v>2</v>
      </c>
      <c r="E36" s="55" t="s">
        <v>35</v>
      </c>
      <c r="F36" s="59" t="s">
        <v>44</v>
      </c>
      <c r="G36" s="56">
        <f>'[3]CUENTA T FONDO 100'!G126</f>
        <v>0</v>
      </c>
      <c r="H36" s="56">
        <f>'[3]CUENTA T VS'!G106</f>
        <v>0</v>
      </c>
      <c r="I36" s="56">
        <f t="shared" si="0"/>
        <v>0</v>
      </c>
      <c r="J36" s="57">
        <f t="shared" ref="J36:J41" si="2">I36/$I$25</f>
        <v>0</v>
      </c>
    </row>
    <row r="37" spans="1:10" ht="25.5" x14ac:dyDescent="0.25">
      <c r="A37" s="53">
        <v>2</v>
      </c>
      <c r="B37" s="54">
        <v>1</v>
      </c>
      <c r="C37" s="54">
        <v>1</v>
      </c>
      <c r="D37" s="54">
        <v>2</v>
      </c>
      <c r="E37" s="55" t="s">
        <v>39</v>
      </c>
      <c r="F37" s="59" t="s">
        <v>45</v>
      </c>
      <c r="G37" s="56">
        <f>'[3]CUENTA T FONDO 100'!H126</f>
        <v>0</v>
      </c>
      <c r="H37" s="56">
        <f>'[3]CUENTA T VS'!H106</f>
        <v>0</v>
      </c>
      <c r="I37" s="56">
        <f t="shared" si="0"/>
        <v>0</v>
      </c>
      <c r="J37" s="57">
        <f t="shared" si="2"/>
        <v>0</v>
      </c>
    </row>
    <row r="38" spans="1:10" x14ac:dyDescent="0.25">
      <c r="A38" s="53">
        <v>2</v>
      </c>
      <c r="B38" s="54">
        <v>1</v>
      </c>
      <c r="C38" s="54">
        <v>1</v>
      </c>
      <c r="D38" s="54">
        <v>2</v>
      </c>
      <c r="E38" s="55" t="s">
        <v>41</v>
      </c>
      <c r="F38" s="59" t="s">
        <v>46</v>
      </c>
      <c r="G38" s="56">
        <f>'[3]CUENTA T FONDO 100'!I126</f>
        <v>0</v>
      </c>
      <c r="H38" s="56">
        <f>'[3]CUENTA T VS'!I106</f>
        <v>0</v>
      </c>
      <c r="I38" s="56">
        <f t="shared" si="0"/>
        <v>0</v>
      </c>
      <c r="J38" s="57">
        <f t="shared" si="2"/>
        <v>0</v>
      </c>
    </row>
    <row r="39" spans="1:10" x14ac:dyDescent="0.25">
      <c r="A39" s="53">
        <v>2</v>
      </c>
      <c r="B39" s="54">
        <v>1</v>
      </c>
      <c r="C39" s="54">
        <v>1</v>
      </c>
      <c r="D39" s="54">
        <v>2</v>
      </c>
      <c r="E39" s="55" t="s">
        <v>47</v>
      </c>
      <c r="F39" s="59" t="s">
        <v>48</v>
      </c>
      <c r="G39" s="56">
        <f>'[3]CUENTA T FONDO 100'!J126</f>
        <v>1130531.03</v>
      </c>
      <c r="H39" s="56">
        <f>'[3]CUENTA T VS'!J106</f>
        <v>0</v>
      </c>
      <c r="I39" s="56">
        <f t="shared" si="0"/>
        <v>1130531.03</v>
      </c>
      <c r="J39" s="57">
        <f t="shared" si="2"/>
        <v>1.1255349348476046E-2</v>
      </c>
    </row>
    <row r="40" spans="1:10" x14ac:dyDescent="0.25">
      <c r="A40" s="53">
        <v>2</v>
      </c>
      <c r="B40" s="54">
        <v>1</v>
      </c>
      <c r="C40" s="54">
        <v>1</v>
      </c>
      <c r="D40" s="54">
        <v>2</v>
      </c>
      <c r="E40" s="55" t="s">
        <v>49</v>
      </c>
      <c r="F40" s="59" t="s">
        <v>50</v>
      </c>
      <c r="G40" s="56">
        <f>'[3]CUENTA T FONDO 100'!K126</f>
        <v>0</v>
      </c>
      <c r="H40" s="56">
        <f>'[3]CUENTA T VS'!K106</f>
        <v>0</v>
      </c>
      <c r="I40" s="56">
        <f t="shared" si="0"/>
        <v>0</v>
      </c>
      <c r="J40" s="57">
        <f t="shared" si="2"/>
        <v>0</v>
      </c>
    </row>
    <row r="41" spans="1:10" x14ac:dyDescent="0.25">
      <c r="A41" s="53">
        <v>2</v>
      </c>
      <c r="B41" s="54">
        <v>1</v>
      </c>
      <c r="C41" s="54">
        <v>1</v>
      </c>
      <c r="D41" s="54">
        <v>2</v>
      </c>
      <c r="E41" s="55" t="s">
        <v>51</v>
      </c>
      <c r="F41" s="59" t="s">
        <v>52</v>
      </c>
      <c r="G41" s="56">
        <f>'[3]CUENTA T FONDO 100'!L126</f>
        <v>0</v>
      </c>
      <c r="H41" s="56">
        <f>'[3]CUENTA T VS'!L106</f>
        <v>0</v>
      </c>
      <c r="I41" s="56">
        <f t="shared" si="0"/>
        <v>0</v>
      </c>
      <c r="J41" s="57">
        <f t="shared" si="2"/>
        <v>0</v>
      </c>
    </row>
    <row r="42" spans="1:10" ht="25.5" x14ac:dyDescent="0.25">
      <c r="A42" s="49">
        <v>2</v>
      </c>
      <c r="B42" s="50">
        <v>1</v>
      </c>
      <c r="C42" s="50">
        <v>1</v>
      </c>
      <c r="D42" s="50">
        <v>3</v>
      </c>
      <c r="E42" s="50"/>
      <c r="F42" s="73" t="s">
        <v>53</v>
      </c>
      <c r="G42" s="51">
        <f>SUM(G43)</f>
        <v>0</v>
      </c>
      <c r="H42" s="51">
        <f>SUM(H43)</f>
        <v>0</v>
      </c>
      <c r="I42" s="51">
        <f t="shared" si="0"/>
        <v>0</v>
      </c>
      <c r="J42" s="58"/>
    </row>
    <row r="43" spans="1:10" ht="25.5" x14ac:dyDescent="0.25">
      <c r="A43" s="53">
        <v>2</v>
      </c>
      <c r="B43" s="54">
        <v>1</v>
      </c>
      <c r="C43" s="54">
        <v>1</v>
      </c>
      <c r="D43" s="54">
        <v>3</v>
      </c>
      <c r="E43" s="55" t="s">
        <v>31</v>
      </c>
      <c r="F43" s="59" t="s">
        <v>53</v>
      </c>
      <c r="G43" s="56">
        <f>'[3]CUENTA T FONDO 100'!M126</f>
        <v>0</v>
      </c>
      <c r="H43" s="56">
        <f>'[3]CUENTA T VS'!M106</f>
        <v>0</v>
      </c>
      <c r="I43" s="56">
        <f t="shared" si="0"/>
        <v>0</v>
      </c>
      <c r="J43" s="57">
        <f>I43/$I$25</f>
        <v>0</v>
      </c>
    </row>
    <row r="44" spans="1:10" x14ac:dyDescent="0.25">
      <c r="A44" s="49">
        <v>2</v>
      </c>
      <c r="B44" s="50">
        <v>1</v>
      </c>
      <c r="C44" s="50">
        <v>1</v>
      </c>
      <c r="D44" s="50">
        <v>4</v>
      </c>
      <c r="E44" s="50"/>
      <c r="F44" s="73" t="s">
        <v>54</v>
      </c>
      <c r="G44" s="51">
        <f>SUM(G45)</f>
        <v>0</v>
      </c>
      <c r="H44" s="51">
        <f>SUM(H45)</f>
        <v>0</v>
      </c>
      <c r="I44" s="51">
        <f t="shared" si="0"/>
        <v>0</v>
      </c>
      <c r="J44" s="58"/>
    </row>
    <row r="45" spans="1:10" x14ac:dyDescent="0.25">
      <c r="A45" s="53">
        <v>2</v>
      </c>
      <c r="B45" s="54">
        <v>1</v>
      </c>
      <c r="C45" s="54">
        <v>1</v>
      </c>
      <c r="D45" s="54">
        <v>4</v>
      </c>
      <c r="E45" s="55" t="s">
        <v>31</v>
      </c>
      <c r="F45" s="59" t="s">
        <v>54</v>
      </c>
      <c r="G45" s="56">
        <f>'[3]CUENTA T FONDO 100'!N126</f>
        <v>0</v>
      </c>
      <c r="H45" s="56">
        <f>'[3]CUENTA T VS'!N106</f>
        <v>0</v>
      </c>
      <c r="I45" s="56">
        <f t="shared" si="0"/>
        <v>0</v>
      </c>
      <c r="J45" s="57">
        <f>I45/$I$25</f>
        <v>0</v>
      </c>
    </row>
    <row r="46" spans="1:10" x14ac:dyDescent="0.25">
      <c r="A46" s="49">
        <v>2</v>
      </c>
      <c r="B46" s="50">
        <v>1</v>
      </c>
      <c r="C46" s="50">
        <v>1</v>
      </c>
      <c r="D46" s="50">
        <v>5</v>
      </c>
      <c r="E46" s="50"/>
      <c r="F46" s="73" t="s">
        <v>55</v>
      </c>
      <c r="G46" s="51">
        <f>SUM(G47:G50)</f>
        <v>462102.51</v>
      </c>
      <c r="H46" s="51">
        <f>SUM(H47:H50)</f>
        <v>0</v>
      </c>
      <c r="I46" s="51">
        <f t="shared" si="0"/>
        <v>462102.51</v>
      </c>
      <c r="J46" s="58"/>
    </row>
    <row r="47" spans="1:10" x14ac:dyDescent="0.25">
      <c r="A47" s="53">
        <v>2</v>
      </c>
      <c r="B47" s="54">
        <v>1</v>
      </c>
      <c r="C47" s="54">
        <v>1</v>
      </c>
      <c r="D47" s="54">
        <v>5</v>
      </c>
      <c r="E47" s="55" t="s">
        <v>31</v>
      </c>
      <c r="F47" s="59" t="s">
        <v>55</v>
      </c>
      <c r="G47" s="56">
        <f>'[3]CUENTA T FONDO 100'!O126</f>
        <v>0</v>
      </c>
      <c r="H47" s="56">
        <f>'[3]CUENTA T VS'!O106</f>
        <v>0</v>
      </c>
      <c r="I47" s="56">
        <f t="shared" si="0"/>
        <v>0</v>
      </c>
      <c r="J47" s="57">
        <f>I47/$I$25</f>
        <v>0</v>
      </c>
    </row>
    <row r="48" spans="1:10" ht="25.5" x14ac:dyDescent="0.25">
      <c r="A48" s="53">
        <v>2</v>
      </c>
      <c r="B48" s="54">
        <v>1</v>
      </c>
      <c r="C48" s="54">
        <v>1</v>
      </c>
      <c r="D48" s="54">
        <v>5</v>
      </c>
      <c r="E48" s="55" t="s">
        <v>33</v>
      </c>
      <c r="F48" s="59" t="s">
        <v>56</v>
      </c>
      <c r="G48" s="56">
        <f>'[3]CUENTA T FONDO 100'!P126</f>
        <v>0</v>
      </c>
      <c r="H48" s="56">
        <f>'[3]CUENTA T VS'!P106</f>
        <v>0</v>
      </c>
      <c r="I48" s="56">
        <f t="shared" si="0"/>
        <v>0</v>
      </c>
      <c r="J48" s="57">
        <f>I48/$I$25</f>
        <v>0</v>
      </c>
    </row>
    <row r="49" spans="1:10" ht="25.5" x14ac:dyDescent="0.25">
      <c r="A49" s="53">
        <v>2</v>
      </c>
      <c r="B49" s="54">
        <v>1</v>
      </c>
      <c r="C49" s="54">
        <v>1</v>
      </c>
      <c r="D49" s="54">
        <v>5</v>
      </c>
      <c r="E49" s="55" t="s">
        <v>35</v>
      </c>
      <c r="F49" s="59" t="s">
        <v>57</v>
      </c>
      <c r="G49" s="56">
        <f>'[3]CUENTA T FONDO 100'!Q126</f>
        <v>211733.33</v>
      </c>
      <c r="H49" s="56">
        <f>'[3]CUENTA T VS'!Q106</f>
        <v>0</v>
      </c>
      <c r="I49" s="56">
        <f t="shared" si="0"/>
        <v>211733.33</v>
      </c>
      <c r="J49" s="57">
        <f>I49/$I$25</f>
        <v>2.1079762824963446E-3</v>
      </c>
    </row>
    <row r="50" spans="1:10" ht="25.5" x14ac:dyDescent="0.25">
      <c r="A50" s="53">
        <v>2</v>
      </c>
      <c r="B50" s="54">
        <v>1</v>
      </c>
      <c r="C50" s="54">
        <v>1</v>
      </c>
      <c r="D50" s="54">
        <v>5</v>
      </c>
      <c r="E50" s="55" t="s">
        <v>37</v>
      </c>
      <c r="F50" s="59" t="s">
        <v>58</v>
      </c>
      <c r="G50" s="56">
        <f>'[3]CUENTA T FONDO 100'!R126</f>
        <v>250369.18</v>
      </c>
      <c r="H50" s="56">
        <f>'[3]CUENTA T VS'!R106</f>
        <v>0</v>
      </c>
      <c r="I50" s="56">
        <f t="shared" si="0"/>
        <v>250369.18</v>
      </c>
      <c r="J50" s="57">
        <f>I50/$I$25</f>
        <v>2.4926273690970531E-3</v>
      </c>
    </row>
    <row r="51" spans="1:10" x14ac:dyDescent="0.25">
      <c r="A51" s="46">
        <v>2</v>
      </c>
      <c r="B51" s="47">
        <v>1</v>
      </c>
      <c r="C51" s="47">
        <v>2</v>
      </c>
      <c r="D51" s="47"/>
      <c r="E51" s="47"/>
      <c r="F51" s="72" t="s">
        <v>59</v>
      </c>
      <c r="G51" s="48">
        <f>+G52+G54</f>
        <v>3343226.16</v>
      </c>
      <c r="H51" s="48">
        <f>+H52+H54</f>
        <v>0</v>
      </c>
      <c r="I51" s="48">
        <f t="shared" si="0"/>
        <v>3343226.16</v>
      </c>
      <c r="J51" s="45"/>
    </row>
    <row r="52" spans="1:10" x14ac:dyDescent="0.25">
      <c r="A52" s="49">
        <v>2</v>
      </c>
      <c r="B52" s="50">
        <v>1</v>
      </c>
      <c r="C52" s="50">
        <v>2</v>
      </c>
      <c r="D52" s="50">
        <v>1</v>
      </c>
      <c r="E52" s="50"/>
      <c r="F52" s="73" t="s">
        <v>60</v>
      </c>
      <c r="G52" s="51">
        <f>SUM(G53)</f>
        <v>2707086.2</v>
      </c>
      <c r="H52" s="51">
        <f>SUM(H53)</f>
        <v>0</v>
      </c>
      <c r="I52" s="51">
        <f t="shared" si="0"/>
        <v>2707086.2</v>
      </c>
      <c r="J52" s="58"/>
    </row>
    <row r="53" spans="1:10" x14ac:dyDescent="0.25">
      <c r="A53" s="53">
        <v>2</v>
      </c>
      <c r="B53" s="54">
        <v>1</v>
      </c>
      <c r="C53" s="54">
        <v>2</v>
      </c>
      <c r="D53" s="54">
        <v>1</v>
      </c>
      <c r="E53" s="55" t="s">
        <v>31</v>
      </c>
      <c r="F53" s="59" t="s">
        <v>60</v>
      </c>
      <c r="G53" s="56">
        <f>'[3]CUENTA T FONDO 100'!S126</f>
        <v>2707086.2</v>
      </c>
      <c r="H53" s="56">
        <f>'[3]CUENTA T VS'!S106</f>
        <v>0</v>
      </c>
      <c r="I53" s="56">
        <f t="shared" si="0"/>
        <v>2707086.2</v>
      </c>
      <c r="J53" s="57">
        <f>I53/$I$25</f>
        <v>2.6951229191328339E-2</v>
      </c>
    </row>
    <row r="54" spans="1:10" x14ac:dyDescent="0.25">
      <c r="A54" s="49">
        <v>2</v>
      </c>
      <c r="B54" s="50">
        <v>1</v>
      </c>
      <c r="C54" s="50">
        <v>2</v>
      </c>
      <c r="D54" s="50">
        <v>2</v>
      </c>
      <c r="E54" s="50"/>
      <c r="F54" s="73" t="s">
        <v>61</v>
      </c>
      <c r="G54" s="51">
        <f>SUM(G55:G63)</f>
        <v>636139.96</v>
      </c>
      <c r="H54" s="51">
        <f>SUM(H55:H63)</f>
        <v>0</v>
      </c>
      <c r="I54" s="51">
        <f t="shared" si="0"/>
        <v>636139.96</v>
      </c>
      <c r="J54" s="58"/>
    </row>
    <row r="55" spans="1:10" ht="25.5" x14ac:dyDescent="0.25">
      <c r="A55" s="53">
        <v>2</v>
      </c>
      <c r="B55" s="54">
        <v>1</v>
      </c>
      <c r="C55" s="54">
        <v>2</v>
      </c>
      <c r="D55" s="54">
        <v>2</v>
      </c>
      <c r="E55" s="55" t="s">
        <v>31</v>
      </c>
      <c r="F55" s="59" t="s">
        <v>62</v>
      </c>
      <c r="G55" s="56">
        <f>'[3]CUENTA T FONDO 100'!T126</f>
        <v>0</v>
      </c>
      <c r="H55" s="56">
        <f>'[3]CUENTA T VS'!T106</f>
        <v>0</v>
      </c>
      <c r="I55" s="56">
        <f t="shared" si="0"/>
        <v>0</v>
      </c>
      <c r="J55" s="57">
        <f t="shared" ref="J55:J63" si="3">I55/$I$25</f>
        <v>0</v>
      </c>
    </row>
    <row r="56" spans="1:10" x14ac:dyDescent="0.25">
      <c r="A56" s="53">
        <v>2</v>
      </c>
      <c r="B56" s="54">
        <v>1</v>
      </c>
      <c r="C56" s="54">
        <v>2</v>
      </c>
      <c r="D56" s="54">
        <v>2</v>
      </c>
      <c r="E56" s="55" t="s">
        <v>35</v>
      </c>
      <c r="F56" s="59" t="s">
        <v>63</v>
      </c>
      <c r="G56" s="56">
        <f>'[3]CUENTA T FONDO 100'!U126</f>
        <v>0</v>
      </c>
      <c r="H56" s="56">
        <f>'[3]CUENTA T VS'!U106</f>
        <v>0</v>
      </c>
      <c r="I56" s="56">
        <f t="shared" si="0"/>
        <v>0</v>
      </c>
      <c r="J56" s="57">
        <f t="shared" si="3"/>
        <v>0</v>
      </c>
    </row>
    <row r="57" spans="1:10" x14ac:dyDescent="0.25">
      <c r="A57" s="53">
        <v>2</v>
      </c>
      <c r="B57" s="54">
        <v>1</v>
      </c>
      <c r="C57" s="54">
        <v>2</v>
      </c>
      <c r="D57" s="54">
        <v>2</v>
      </c>
      <c r="E57" s="55" t="s">
        <v>37</v>
      </c>
      <c r="F57" s="59" t="s">
        <v>64</v>
      </c>
      <c r="G57" s="56">
        <f>'[3]CUENTA T FONDO 100'!V126</f>
        <v>0</v>
      </c>
      <c r="H57" s="56">
        <f>'[3]CUENTA T VS'!V106</f>
        <v>0</v>
      </c>
      <c r="I57" s="56">
        <f t="shared" si="0"/>
        <v>0</v>
      </c>
      <c r="J57" s="57">
        <f t="shared" si="3"/>
        <v>0</v>
      </c>
    </row>
    <row r="58" spans="1:10" ht="25.5" x14ac:dyDescent="0.25">
      <c r="A58" s="53">
        <v>2</v>
      </c>
      <c r="B58" s="54">
        <v>1</v>
      </c>
      <c r="C58" s="54">
        <v>2</v>
      </c>
      <c r="D58" s="54">
        <v>2</v>
      </c>
      <c r="E58" s="55" t="s">
        <v>39</v>
      </c>
      <c r="F58" s="59" t="s">
        <v>65</v>
      </c>
      <c r="G58" s="56">
        <f>'[3]CUENTA T FONDO 100'!W126</f>
        <v>45000</v>
      </c>
      <c r="H58" s="56">
        <f>'[3]CUENTA T VS'!W106</f>
        <v>0</v>
      </c>
      <c r="I58" s="56">
        <f t="shared" si="0"/>
        <v>45000</v>
      </c>
      <c r="J58" s="57">
        <f t="shared" si="3"/>
        <v>4.4801133913274549E-4</v>
      </c>
    </row>
    <row r="59" spans="1:10" ht="25.5" x14ac:dyDescent="0.25">
      <c r="A59" s="53">
        <v>2</v>
      </c>
      <c r="B59" s="54">
        <v>1</v>
      </c>
      <c r="C59" s="54">
        <v>2</v>
      </c>
      <c r="D59" s="54">
        <v>2</v>
      </c>
      <c r="E59" s="55" t="s">
        <v>41</v>
      </c>
      <c r="F59" s="59" t="s">
        <v>66</v>
      </c>
      <c r="G59" s="56">
        <f>'[3]CUENTA T FONDO 100'!X126</f>
        <v>0</v>
      </c>
      <c r="H59" s="56">
        <f>'[3]CUENTA T VS'!X106</f>
        <v>0</v>
      </c>
      <c r="I59" s="56">
        <f t="shared" si="0"/>
        <v>0</v>
      </c>
      <c r="J59" s="57">
        <f t="shared" si="3"/>
        <v>0</v>
      </c>
    </row>
    <row r="60" spans="1:10" x14ac:dyDescent="0.25">
      <c r="A60" s="53">
        <v>2</v>
      </c>
      <c r="B60" s="54">
        <v>1</v>
      </c>
      <c r="C60" s="54">
        <v>2</v>
      </c>
      <c r="D60" s="54">
        <v>2</v>
      </c>
      <c r="E60" s="55" t="s">
        <v>67</v>
      </c>
      <c r="F60" s="59" t="s">
        <v>68</v>
      </c>
      <c r="G60" s="56">
        <f>'[3]CUENTA T FONDO 100'!Y126</f>
        <v>0</v>
      </c>
      <c r="H60" s="56">
        <f>'[3]CUENTA T VS'!Y106</f>
        <v>0</v>
      </c>
      <c r="I60" s="56">
        <f t="shared" si="0"/>
        <v>0</v>
      </c>
      <c r="J60" s="57">
        <f t="shared" si="3"/>
        <v>0</v>
      </c>
    </row>
    <row r="61" spans="1:10" x14ac:dyDescent="0.25">
      <c r="A61" s="53">
        <v>2</v>
      </c>
      <c r="B61" s="54">
        <v>1</v>
      </c>
      <c r="C61" s="54">
        <v>2</v>
      </c>
      <c r="D61" s="54">
        <v>2</v>
      </c>
      <c r="E61" s="55" t="s">
        <v>47</v>
      </c>
      <c r="F61" s="59" t="s">
        <v>69</v>
      </c>
      <c r="G61" s="56">
        <f>'[3]CUENTA T FONDO 100'!Z126</f>
        <v>330600</v>
      </c>
      <c r="H61" s="56">
        <f>'[3]CUENTA T VS'!Z106</f>
        <v>0</v>
      </c>
      <c r="I61" s="56">
        <f t="shared" si="0"/>
        <v>330600</v>
      </c>
      <c r="J61" s="57">
        <f t="shared" si="3"/>
        <v>3.2913899714952367E-3</v>
      </c>
    </row>
    <row r="62" spans="1:10" ht="25.5" x14ac:dyDescent="0.25">
      <c r="A62" s="53">
        <v>2</v>
      </c>
      <c r="B62" s="54">
        <v>1</v>
      </c>
      <c r="C62" s="54">
        <v>2</v>
      </c>
      <c r="D62" s="54">
        <v>2</v>
      </c>
      <c r="E62" s="55" t="s">
        <v>49</v>
      </c>
      <c r="F62" s="59" t="s">
        <v>70</v>
      </c>
      <c r="G62" s="56">
        <f>'[3]CUENTA T FONDO 100'!AA126</f>
        <v>0</v>
      </c>
      <c r="H62" s="56">
        <f>'[3]CUENTA T VS'!AA106</f>
        <v>0</v>
      </c>
      <c r="I62" s="56">
        <f t="shared" si="0"/>
        <v>0</v>
      </c>
      <c r="J62" s="57">
        <f t="shared" si="3"/>
        <v>0</v>
      </c>
    </row>
    <row r="63" spans="1:10" ht="25.5" x14ac:dyDescent="0.25">
      <c r="A63" s="53">
        <v>2</v>
      </c>
      <c r="B63" s="54">
        <v>1</v>
      </c>
      <c r="C63" s="54">
        <v>2</v>
      </c>
      <c r="D63" s="54">
        <v>2</v>
      </c>
      <c r="E63" s="54">
        <v>10</v>
      </c>
      <c r="F63" s="59" t="s">
        <v>71</v>
      </c>
      <c r="G63" s="56">
        <f>'[3]CUENTA T FONDO 100'!AB126</f>
        <v>260539.96</v>
      </c>
      <c r="H63" s="56">
        <f>'[3]CUENTA T VS'!AB106</f>
        <v>0</v>
      </c>
      <c r="I63" s="56">
        <f t="shared" si="0"/>
        <v>260539.96</v>
      </c>
      <c r="J63" s="57">
        <f t="shared" si="3"/>
        <v>2.5938856972709317E-3</v>
      </c>
    </row>
    <row r="64" spans="1:10" x14ac:dyDescent="0.25">
      <c r="A64" s="60">
        <v>2</v>
      </c>
      <c r="B64" s="47">
        <v>1</v>
      </c>
      <c r="C64" s="47">
        <v>3</v>
      </c>
      <c r="D64" s="47"/>
      <c r="E64" s="47"/>
      <c r="F64" s="66" t="s">
        <v>72</v>
      </c>
      <c r="G64" s="48">
        <f>+G65+G68</f>
        <v>0</v>
      </c>
      <c r="H64" s="48">
        <f>+H65+H68</f>
        <v>0</v>
      </c>
      <c r="I64" s="48">
        <f t="shared" si="0"/>
        <v>0</v>
      </c>
      <c r="J64" s="45"/>
    </row>
    <row r="65" spans="1:10" x14ac:dyDescent="0.25">
      <c r="A65" s="61">
        <v>2</v>
      </c>
      <c r="B65" s="50">
        <v>1</v>
      </c>
      <c r="C65" s="50">
        <v>3</v>
      </c>
      <c r="D65" s="50">
        <v>1</v>
      </c>
      <c r="E65" s="50"/>
      <c r="F65" s="87" t="s">
        <v>73</v>
      </c>
      <c r="G65" s="51">
        <f>SUM(G66:G67)</f>
        <v>0</v>
      </c>
      <c r="H65" s="51">
        <f>SUM(H66:H67)</f>
        <v>0</v>
      </c>
      <c r="I65" s="51">
        <f t="shared" si="0"/>
        <v>0</v>
      </c>
      <c r="J65" s="58"/>
    </row>
    <row r="66" spans="1:10" x14ac:dyDescent="0.25">
      <c r="A66" s="62">
        <v>2</v>
      </c>
      <c r="B66" s="54">
        <v>1</v>
      </c>
      <c r="C66" s="54">
        <v>3</v>
      </c>
      <c r="D66" s="54">
        <v>1</v>
      </c>
      <c r="E66" s="55" t="s">
        <v>31</v>
      </c>
      <c r="F66" s="67" t="s">
        <v>74</v>
      </c>
      <c r="G66" s="56">
        <f>'[3]CUENTA T FONDO 100'!AC126</f>
        <v>0</v>
      </c>
      <c r="H66" s="56">
        <f>'[3]CUENTA T VS'!AC106</f>
        <v>0</v>
      </c>
      <c r="I66" s="56">
        <f t="shared" si="0"/>
        <v>0</v>
      </c>
      <c r="J66" s="57">
        <f>I66/$I$25</f>
        <v>0</v>
      </c>
    </row>
    <row r="67" spans="1:10" x14ac:dyDescent="0.25">
      <c r="A67" s="62">
        <v>2</v>
      </c>
      <c r="B67" s="54">
        <v>1</v>
      </c>
      <c r="C67" s="54">
        <v>3</v>
      </c>
      <c r="D67" s="54">
        <v>1</v>
      </c>
      <c r="E67" s="55" t="s">
        <v>33</v>
      </c>
      <c r="F67" s="67" t="s">
        <v>75</v>
      </c>
      <c r="G67" s="56">
        <f>'[3]CUENTA T FONDO 100'!AD126</f>
        <v>0</v>
      </c>
      <c r="H67" s="56">
        <f>'[3]CUENTA T VS'!AD106</f>
        <v>0</v>
      </c>
      <c r="I67" s="56">
        <f t="shared" si="0"/>
        <v>0</v>
      </c>
      <c r="J67" s="57">
        <f>I67/$I$25</f>
        <v>0</v>
      </c>
    </row>
    <row r="68" spans="1:10" x14ac:dyDescent="0.25">
      <c r="A68" s="61">
        <v>2</v>
      </c>
      <c r="B68" s="50">
        <v>1</v>
      </c>
      <c r="C68" s="50">
        <v>3</v>
      </c>
      <c r="D68" s="50">
        <v>2</v>
      </c>
      <c r="E68" s="50"/>
      <c r="F68" s="87" t="s">
        <v>76</v>
      </c>
      <c r="G68" s="51">
        <f>SUM(G69:G70)</f>
        <v>0</v>
      </c>
      <c r="H68" s="51">
        <f>SUM(H69:H70)</f>
        <v>0</v>
      </c>
      <c r="I68" s="51">
        <f t="shared" si="0"/>
        <v>0</v>
      </c>
      <c r="J68" s="58"/>
    </row>
    <row r="69" spans="1:10" ht="26.25" x14ac:dyDescent="0.25">
      <c r="A69" s="62">
        <v>2</v>
      </c>
      <c r="B69" s="54">
        <v>1</v>
      </c>
      <c r="C69" s="54">
        <v>3</v>
      </c>
      <c r="D69" s="54">
        <v>2</v>
      </c>
      <c r="E69" s="55" t="s">
        <v>31</v>
      </c>
      <c r="F69" s="67" t="s">
        <v>77</v>
      </c>
      <c r="G69" s="56">
        <f>'[3]CUENTA T FONDO 100'!AE126</f>
        <v>0</v>
      </c>
      <c r="H69" s="56">
        <f>'[3]CUENTA T VS'!AE106</f>
        <v>0</v>
      </c>
      <c r="I69" s="56">
        <f t="shared" si="0"/>
        <v>0</v>
      </c>
      <c r="J69" s="57">
        <f>I69/$I$25</f>
        <v>0</v>
      </c>
    </row>
    <row r="70" spans="1:10" ht="26.25" x14ac:dyDescent="0.25">
      <c r="A70" s="62">
        <v>2</v>
      </c>
      <c r="B70" s="54">
        <v>1</v>
      </c>
      <c r="C70" s="54">
        <v>3</v>
      </c>
      <c r="D70" s="54">
        <v>2</v>
      </c>
      <c r="E70" s="55" t="s">
        <v>33</v>
      </c>
      <c r="F70" s="67" t="s">
        <v>78</v>
      </c>
      <c r="G70" s="56">
        <f>'[3]CUENTA T FONDO 100'!AF126</f>
        <v>0</v>
      </c>
      <c r="H70" s="56">
        <f>'[3]CUENTA T VS'!AF106</f>
        <v>0</v>
      </c>
      <c r="I70" s="56">
        <f t="shared" si="0"/>
        <v>0</v>
      </c>
      <c r="J70" s="57">
        <f>I70/$I$25</f>
        <v>0</v>
      </c>
    </row>
    <row r="71" spans="1:10" x14ac:dyDescent="0.25">
      <c r="A71" s="60">
        <v>2</v>
      </c>
      <c r="B71" s="47">
        <v>1</v>
      </c>
      <c r="C71" s="47">
        <v>4</v>
      </c>
      <c r="D71" s="47"/>
      <c r="E71" s="47"/>
      <c r="F71" s="66" t="s">
        <v>79</v>
      </c>
      <c r="G71" s="48">
        <f>+G72+G74</f>
        <v>0</v>
      </c>
      <c r="H71" s="48">
        <f>+H72+H74</f>
        <v>0</v>
      </c>
      <c r="I71" s="48">
        <f t="shared" si="0"/>
        <v>0</v>
      </c>
      <c r="J71" s="45"/>
    </row>
    <row r="72" spans="1:10" x14ac:dyDescent="0.25">
      <c r="A72" s="49">
        <v>2</v>
      </c>
      <c r="B72" s="50">
        <v>1</v>
      </c>
      <c r="C72" s="50">
        <v>4</v>
      </c>
      <c r="D72" s="50">
        <v>1</v>
      </c>
      <c r="E72" s="50"/>
      <c r="F72" s="73" t="s">
        <v>80</v>
      </c>
      <c r="G72" s="51">
        <f>SUM(G73)</f>
        <v>0</v>
      </c>
      <c r="H72" s="51">
        <f>SUM(H73)</f>
        <v>0</v>
      </c>
      <c r="I72" s="51">
        <f t="shared" si="0"/>
        <v>0</v>
      </c>
      <c r="J72" s="58"/>
    </row>
    <row r="73" spans="1:10" x14ac:dyDescent="0.25">
      <c r="A73" s="53">
        <v>2</v>
      </c>
      <c r="B73" s="54">
        <v>1</v>
      </c>
      <c r="C73" s="54">
        <v>4</v>
      </c>
      <c r="D73" s="54">
        <v>1</v>
      </c>
      <c r="E73" s="55" t="s">
        <v>31</v>
      </c>
      <c r="F73" s="59" t="s">
        <v>80</v>
      </c>
      <c r="G73" s="56">
        <f>'[3]CUENTA T FONDO 100'!AG126</f>
        <v>0</v>
      </c>
      <c r="H73" s="56">
        <f>'[3]CUENTA T VS'!AG106</f>
        <v>0</v>
      </c>
      <c r="I73" s="56">
        <f t="shared" si="0"/>
        <v>0</v>
      </c>
      <c r="J73" s="57">
        <f>I73/$I$25</f>
        <v>0</v>
      </c>
    </row>
    <row r="74" spans="1:10" ht="25.5" x14ac:dyDescent="0.25">
      <c r="A74" s="49">
        <v>2</v>
      </c>
      <c r="B74" s="50">
        <v>1</v>
      </c>
      <c r="C74" s="50">
        <v>4</v>
      </c>
      <c r="D74" s="50">
        <v>2</v>
      </c>
      <c r="E74" s="50"/>
      <c r="F74" s="73" t="s">
        <v>81</v>
      </c>
      <c r="G74" s="51">
        <f>SUM(G75:G77)</f>
        <v>0</v>
      </c>
      <c r="H74" s="51">
        <f>SUM(H75:H77)</f>
        <v>0</v>
      </c>
      <c r="I74" s="51">
        <f t="shared" si="0"/>
        <v>0</v>
      </c>
      <c r="J74" s="58"/>
    </row>
    <row r="75" spans="1:10" x14ac:dyDescent="0.25">
      <c r="A75" s="53">
        <v>2</v>
      </c>
      <c r="B75" s="54">
        <v>1</v>
      </c>
      <c r="C75" s="54">
        <v>4</v>
      </c>
      <c r="D75" s="54">
        <v>2</v>
      </c>
      <c r="E75" s="55" t="s">
        <v>31</v>
      </c>
      <c r="F75" s="59" t="s">
        <v>82</v>
      </c>
      <c r="G75" s="56">
        <f>'[3]CUENTA T FONDO 100'!AH126</f>
        <v>0</v>
      </c>
      <c r="H75" s="56">
        <f>'[3]CUENTA T VS'!AH106</f>
        <v>0</v>
      </c>
      <c r="I75" s="56">
        <f t="shared" si="0"/>
        <v>0</v>
      </c>
      <c r="J75" s="57">
        <f>I75/$I$25</f>
        <v>0</v>
      </c>
    </row>
    <row r="76" spans="1:10" x14ac:dyDescent="0.25">
      <c r="A76" s="53">
        <v>2</v>
      </c>
      <c r="B76" s="54">
        <v>1</v>
      </c>
      <c r="C76" s="54">
        <v>4</v>
      </c>
      <c r="D76" s="54">
        <v>2</v>
      </c>
      <c r="E76" s="55" t="s">
        <v>33</v>
      </c>
      <c r="F76" s="59" t="s">
        <v>83</v>
      </c>
      <c r="G76" s="56">
        <f>'[3]CUENTA T FONDO 100'!AI126</f>
        <v>0</v>
      </c>
      <c r="H76" s="56">
        <f>'[3]CUENTA T VS'!AI106</f>
        <v>0</v>
      </c>
      <c r="I76" s="56">
        <f t="shared" si="0"/>
        <v>0</v>
      </c>
      <c r="J76" s="57">
        <f>I76/$I$25</f>
        <v>0</v>
      </c>
    </row>
    <row r="77" spans="1:10" ht="25.5" x14ac:dyDescent="0.25">
      <c r="A77" s="53">
        <v>2</v>
      </c>
      <c r="B77" s="54">
        <v>1</v>
      </c>
      <c r="C77" s="54">
        <v>4</v>
      </c>
      <c r="D77" s="54">
        <v>2</v>
      </c>
      <c r="E77" s="55" t="s">
        <v>35</v>
      </c>
      <c r="F77" s="59" t="s">
        <v>84</v>
      </c>
      <c r="G77" s="56">
        <f>'[3]CUENTA T FONDO 100'!AJ126</f>
        <v>0</v>
      </c>
      <c r="H77" s="56">
        <f>'[3]CUENTA T VS'!AJ106</f>
        <v>0</v>
      </c>
      <c r="I77" s="56">
        <f t="shared" si="0"/>
        <v>0</v>
      </c>
      <c r="J77" s="57">
        <f>I77/$I$25</f>
        <v>0</v>
      </c>
    </row>
    <row r="78" spans="1:10" ht="26.25" x14ac:dyDescent="0.25">
      <c r="A78" s="60">
        <v>2</v>
      </c>
      <c r="B78" s="47">
        <v>1</v>
      </c>
      <c r="C78" s="47">
        <v>5</v>
      </c>
      <c r="D78" s="47"/>
      <c r="E78" s="47"/>
      <c r="F78" s="66" t="s">
        <v>85</v>
      </c>
      <c r="G78" s="48">
        <f>+G79+G81+G83+G85</f>
        <v>8371846.1799999997</v>
      </c>
      <c r="H78" s="48">
        <f>+H79+H81+H83+H85</f>
        <v>0</v>
      </c>
      <c r="I78" s="48">
        <f t="shared" si="0"/>
        <v>8371846.1799999997</v>
      </c>
      <c r="J78" s="45"/>
    </row>
    <row r="79" spans="1:10" ht="25.5" x14ac:dyDescent="0.25">
      <c r="A79" s="49">
        <v>2</v>
      </c>
      <c r="B79" s="50">
        <v>1</v>
      </c>
      <c r="C79" s="50">
        <v>5</v>
      </c>
      <c r="D79" s="50">
        <v>1</v>
      </c>
      <c r="E79" s="50"/>
      <c r="F79" s="73" t="s">
        <v>86</v>
      </c>
      <c r="G79" s="51">
        <f>SUM(G80)</f>
        <v>3857418.94</v>
      </c>
      <c r="H79" s="51">
        <f>SUM(H80)</f>
        <v>0</v>
      </c>
      <c r="I79" s="51">
        <f t="shared" si="0"/>
        <v>3857418.94</v>
      </c>
      <c r="J79" s="58"/>
    </row>
    <row r="80" spans="1:10" ht="25.5" x14ac:dyDescent="0.25">
      <c r="A80" s="53">
        <v>2</v>
      </c>
      <c r="B80" s="54">
        <v>1</v>
      </c>
      <c r="C80" s="54">
        <v>5</v>
      </c>
      <c r="D80" s="54">
        <v>1</v>
      </c>
      <c r="E80" s="55" t="s">
        <v>31</v>
      </c>
      <c r="F80" s="59" t="s">
        <v>86</v>
      </c>
      <c r="G80" s="56">
        <f>'[3]CUENTA T FONDO 100'!AK126</f>
        <v>3857418.94</v>
      </c>
      <c r="H80" s="56">
        <f>'[3]CUENTA T VS'!AK106</f>
        <v>0</v>
      </c>
      <c r="I80" s="56">
        <f t="shared" si="0"/>
        <v>3857418.94</v>
      </c>
      <c r="J80" s="57">
        <f>I80/$I$25</f>
        <v>3.8403720553453681E-2</v>
      </c>
    </row>
    <row r="81" spans="1:10" ht="25.5" x14ac:dyDescent="0.25">
      <c r="A81" s="49">
        <v>2</v>
      </c>
      <c r="B81" s="50">
        <v>1</v>
      </c>
      <c r="C81" s="50">
        <v>5</v>
      </c>
      <c r="D81" s="50">
        <v>2</v>
      </c>
      <c r="E81" s="50"/>
      <c r="F81" s="73" t="s">
        <v>87</v>
      </c>
      <c r="G81" s="51">
        <f>SUM(G82)</f>
        <v>3862857.72</v>
      </c>
      <c r="H81" s="51">
        <f>SUM(H82)</f>
        <v>0</v>
      </c>
      <c r="I81" s="51">
        <f t="shared" si="0"/>
        <v>3862857.72</v>
      </c>
      <c r="J81" s="58"/>
    </row>
    <row r="82" spans="1:10" ht="25.5" x14ac:dyDescent="0.25">
      <c r="A82" s="53">
        <v>2</v>
      </c>
      <c r="B82" s="54">
        <v>1</v>
      </c>
      <c r="C82" s="54">
        <v>5</v>
      </c>
      <c r="D82" s="54">
        <v>2</v>
      </c>
      <c r="E82" s="55" t="s">
        <v>31</v>
      </c>
      <c r="F82" s="59" t="s">
        <v>87</v>
      </c>
      <c r="G82" s="56">
        <f>'[3]CUENTA T FONDO 100'!AL126</f>
        <v>3862857.72</v>
      </c>
      <c r="H82" s="56">
        <f>'[3]CUENTA T VS'!AL106</f>
        <v>0</v>
      </c>
      <c r="I82" s="56">
        <f t="shared" si="0"/>
        <v>3862857.72</v>
      </c>
      <c r="J82" s="57">
        <f>I82/$I$25</f>
        <v>3.8457868000365866E-2</v>
      </c>
    </row>
    <row r="83" spans="1:10" ht="25.5" x14ac:dyDescent="0.25">
      <c r="A83" s="49">
        <v>2</v>
      </c>
      <c r="B83" s="50">
        <v>1</v>
      </c>
      <c r="C83" s="50">
        <v>5</v>
      </c>
      <c r="D83" s="50">
        <v>3</v>
      </c>
      <c r="E83" s="50"/>
      <c r="F83" s="73" t="s">
        <v>88</v>
      </c>
      <c r="G83" s="51">
        <f>SUM(G84)</f>
        <v>651569.52</v>
      </c>
      <c r="H83" s="51">
        <f>SUM(H84)</f>
        <v>0</v>
      </c>
      <c r="I83" s="51">
        <f t="shared" si="0"/>
        <v>651569.52</v>
      </c>
      <c r="J83" s="58"/>
    </row>
    <row r="84" spans="1:10" ht="25.5" x14ac:dyDescent="0.25">
      <c r="A84" s="53">
        <v>2</v>
      </c>
      <c r="B84" s="54">
        <v>1</v>
      </c>
      <c r="C84" s="54">
        <v>5</v>
      </c>
      <c r="D84" s="54">
        <v>3</v>
      </c>
      <c r="E84" s="55" t="s">
        <v>31</v>
      </c>
      <c r="F84" s="59" t="s">
        <v>88</v>
      </c>
      <c r="G84" s="56">
        <f>'[3]CUENTA T FONDO 100'!AM126</f>
        <v>651569.52</v>
      </c>
      <c r="H84" s="56">
        <f>'[3]CUENTA T VS'!AM106</f>
        <v>0</v>
      </c>
      <c r="I84" s="56">
        <f t="shared" si="0"/>
        <v>651569.52</v>
      </c>
      <c r="J84" s="57">
        <f>I84/$I$25</f>
        <v>6.4869007376284482E-3</v>
      </c>
    </row>
    <row r="85" spans="1:10" ht="25.5" x14ac:dyDescent="0.25">
      <c r="A85" s="49">
        <v>2</v>
      </c>
      <c r="B85" s="50">
        <v>1</v>
      </c>
      <c r="C85" s="50">
        <v>5</v>
      </c>
      <c r="D85" s="50">
        <v>4</v>
      </c>
      <c r="E85" s="50"/>
      <c r="F85" s="73" t="s">
        <v>89</v>
      </c>
      <c r="G85" s="51">
        <f>SUM(G86)</f>
        <v>0</v>
      </c>
      <c r="H85" s="51">
        <f>SUM(H86)</f>
        <v>0</v>
      </c>
      <c r="I85" s="51">
        <f t="shared" si="0"/>
        <v>0</v>
      </c>
      <c r="J85" s="58"/>
    </row>
    <row r="86" spans="1:10" ht="25.5" x14ac:dyDescent="0.25">
      <c r="A86" s="53">
        <v>2</v>
      </c>
      <c r="B86" s="54">
        <v>1</v>
      </c>
      <c r="C86" s="54">
        <v>5</v>
      </c>
      <c r="D86" s="54">
        <v>4</v>
      </c>
      <c r="E86" s="55" t="s">
        <v>31</v>
      </c>
      <c r="F86" s="59" t="s">
        <v>89</v>
      </c>
      <c r="G86" s="56">
        <f>'[3]CUENTA T FONDO 100'!AN126</f>
        <v>0</v>
      </c>
      <c r="H86" s="56">
        <f>'[3]CUENTA T VS'!AN106</f>
        <v>0</v>
      </c>
      <c r="I86" s="56">
        <f t="shared" si="0"/>
        <v>0</v>
      </c>
      <c r="J86" s="57">
        <f>I86/$I$25</f>
        <v>0</v>
      </c>
    </row>
    <row r="87" spans="1:10" x14ac:dyDescent="0.25">
      <c r="A87" s="60">
        <v>2</v>
      </c>
      <c r="B87" s="63">
        <v>2</v>
      </c>
      <c r="C87" s="47"/>
      <c r="D87" s="47"/>
      <c r="E87" s="47"/>
      <c r="F87" s="66" t="s">
        <v>90</v>
      </c>
      <c r="G87" s="48">
        <f>G88+G106+G111+G116+G125+G148+G157+G179+G208</f>
        <v>8240458.3799999999</v>
      </c>
      <c r="H87" s="48">
        <f>H88+H106+H111+H116+H125+H148+H157+H179+H208</f>
        <v>3938639.0999999996</v>
      </c>
      <c r="I87" s="48">
        <f t="shared" si="0"/>
        <v>12179097.48</v>
      </c>
      <c r="J87" s="45">
        <f>I87/$I$25</f>
        <v>0.12125275047651213</v>
      </c>
    </row>
    <row r="88" spans="1:10" x14ac:dyDescent="0.25">
      <c r="A88" s="60">
        <v>2</v>
      </c>
      <c r="B88" s="47">
        <v>2</v>
      </c>
      <c r="C88" s="47">
        <v>1</v>
      </c>
      <c r="D88" s="47"/>
      <c r="E88" s="47"/>
      <c r="F88" s="66" t="s">
        <v>91</v>
      </c>
      <c r="G88" s="48">
        <f>+G89+G91+G93+G95+G97+G99+G102+G104</f>
        <v>60535</v>
      </c>
      <c r="H88" s="48">
        <f>+H89+H91+H93+H95+H97+H99+H102+H104</f>
        <v>964509</v>
      </c>
      <c r="I88" s="48">
        <f t="shared" si="0"/>
        <v>1025044</v>
      </c>
      <c r="J88" s="45"/>
    </row>
    <row r="89" spans="1:10" x14ac:dyDescent="0.25">
      <c r="A89" s="61">
        <v>2</v>
      </c>
      <c r="B89" s="50">
        <v>2</v>
      </c>
      <c r="C89" s="50">
        <v>1</v>
      </c>
      <c r="D89" s="50">
        <v>1</v>
      </c>
      <c r="E89" s="50"/>
      <c r="F89" s="87" t="s">
        <v>92</v>
      </c>
      <c r="G89" s="51">
        <f>SUM(G90)</f>
        <v>0</v>
      </c>
      <c r="H89" s="51">
        <f>SUM(H90)</f>
        <v>0</v>
      </c>
      <c r="I89" s="51">
        <f t="shared" ref="I89:I152" si="4">SUM(G89:H89)</f>
        <v>0</v>
      </c>
      <c r="J89" s="58"/>
    </row>
    <row r="90" spans="1:10" x14ac:dyDescent="0.25">
      <c r="A90" s="62">
        <v>2</v>
      </c>
      <c r="B90" s="54">
        <v>2</v>
      </c>
      <c r="C90" s="54">
        <v>1</v>
      </c>
      <c r="D90" s="54">
        <v>1</v>
      </c>
      <c r="E90" s="55" t="s">
        <v>31</v>
      </c>
      <c r="F90" s="67" t="s">
        <v>92</v>
      </c>
      <c r="G90" s="56">
        <f>'[3]CUENTA T FONDO 100'!AO126</f>
        <v>0</v>
      </c>
      <c r="H90" s="56">
        <f>'[3]CUENTA T VS'!AO106</f>
        <v>0</v>
      </c>
      <c r="I90" s="56">
        <f t="shared" si="4"/>
        <v>0</v>
      </c>
      <c r="J90" s="57">
        <f>I90/$I$25</f>
        <v>0</v>
      </c>
    </row>
    <row r="91" spans="1:10" ht="26.25" x14ac:dyDescent="0.25">
      <c r="A91" s="61">
        <v>2</v>
      </c>
      <c r="B91" s="50">
        <v>2</v>
      </c>
      <c r="C91" s="50">
        <v>1</v>
      </c>
      <c r="D91" s="50">
        <v>2</v>
      </c>
      <c r="E91" s="50"/>
      <c r="F91" s="87" t="s">
        <v>93</v>
      </c>
      <c r="G91" s="51">
        <f>SUM(G92)</f>
        <v>0</v>
      </c>
      <c r="H91" s="51">
        <f>SUM(H92)</f>
        <v>0</v>
      </c>
      <c r="I91" s="51">
        <f t="shared" si="4"/>
        <v>0</v>
      </c>
      <c r="J91" s="58"/>
    </row>
    <row r="92" spans="1:10" ht="26.25" x14ac:dyDescent="0.25">
      <c r="A92" s="62">
        <v>2</v>
      </c>
      <c r="B92" s="54">
        <v>2</v>
      </c>
      <c r="C92" s="54">
        <v>1</v>
      </c>
      <c r="D92" s="54">
        <v>2</v>
      </c>
      <c r="E92" s="55" t="s">
        <v>31</v>
      </c>
      <c r="F92" s="67" t="s">
        <v>93</v>
      </c>
      <c r="G92" s="56">
        <f>'[3]CUENTA T FONDO 100'!AP126</f>
        <v>0</v>
      </c>
      <c r="H92" s="56">
        <f>'[3]CUENTA T VS'!AP106</f>
        <v>0</v>
      </c>
      <c r="I92" s="56">
        <f t="shared" si="4"/>
        <v>0</v>
      </c>
      <c r="J92" s="57">
        <f>I92/$I$25</f>
        <v>0</v>
      </c>
    </row>
    <row r="93" spans="1:10" x14ac:dyDescent="0.25">
      <c r="A93" s="61">
        <v>2</v>
      </c>
      <c r="B93" s="50">
        <v>2</v>
      </c>
      <c r="C93" s="50">
        <v>1</v>
      </c>
      <c r="D93" s="50">
        <v>3</v>
      </c>
      <c r="E93" s="50"/>
      <c r="F93" s="87" t="s">
        <v>94</v>
      </c>
      <c r="G93" s="51">
        <f>SUM(G94)</f>
        <v>0</v>
      </c>
      <c r="H93" s="51">
        <f>SUM(H94)</f>
        <v>204509</v>
      </c>
      <c r="I93" s="51">
        <f t="shared" si="4"/>
        <v>204509</v>
      </c>
      <c r="J93" s="58"/>
    </row>
    <row r="94" spans="1:10" x14ac:dyDescent="0.25">
      <c r="A94" s="62">
        <v>2</v>
      </c>
      <c r="B94" s="54">
        <v>2</v>
      </c>
      <c r="C94" s="54">
        <v>1</v>
      </c>
      <c r="D94" s="54">
        <v>3</v>
      </c>
      <c r="E94" s="55" t="s">
        <v>31</v>
      </c>
      <c r="F94" s="67" t="s">
        <v>94</v>
      </c>
      <c r="G94" s="56">
        <f>'[3]CUENTA T FONDO 100'!AQ126</f>
        <v>0</v>
      </c>
      <c r="H94" s="56">
        <f>'[3]CUENTA T VS'!AQ106</f>
        <v>204509</v>
      </c>
      <c r="I94" s="56">
        <f t="shared" si="4"/>
        <v>204509</v>
      </c>
      <c r="J94" s="57">
        <f>I94/$I$25</f>
        <v>2.0360522434377478E-3</v>
      </c>
    </row>
    <row r="95" spans="1:10" x14ac:dyDescent="0.25">
      <c r="A95" s="61">
        <v>2</v>
      </c>
      <c r="B95" s="50">
        <v>2</v>
      </c>
      <c r="C95" s="50">
        <v>1</v>
      </c>
      <c r="D95" s="50">
        <v>4</v>
      </c>
      <c r="E95" s="50"/>
      <c r="F95" s="87" t="s">
        <v>95</v>
      </c>
      <c r="G95" s="51">
        <f>SUM(G96)</f>
        <v>0</v>
      </c>
      <c r="H95" s="51">
        <f>SUM(H96)</f>
        <v>0</v>
      </c>
      <c r="I95" s="51">
        <f t="shared" si="4"/>
        <v>0</v>
      </c>
      <c r="J95" s="58"/>
    </row>
    <row r="96" spans="1:10" x14ac:dyDescent="0.25">
      <c r="A96" s="62">
        <v>2</v>
      </c>
      <c r="B96" s="54">
        <v>2</v>
      </c>
      <c r="C96" s="54">
        <v>1</v>
      </c>
      <c r="D96" s="54">
        <v>4</v>
      </c>
      <c r="E96" s="55" t="s">
        <v>31</v>
      </c>
      <c r="F96" s="67" t="s">
        <v>95</v>
      </c>
      <c r="G96" s="56">
        <f>'[3]CUENTA T FONDO 100'!AR126</f>
        <v>0</v>
      </c>
      <c r="H96" s="56">
        <f>'[3]CUENTA T VS'!AR106</f>
        <v>0</v>
      </c>
      <c r="I96" s="56">
        <f t="shared" si="4"/>
        <v>0</v>
      </c>
      <c r="J96" s="57">
        <f>I96/$I$25</f>
        <v>0</v>
      </c>
    </row>
    <row r="97" spans="1:10" ht="26.25" x14ac:dyDescent="0.25">
      <c r="A97" s="61">
        <v>2</v>
      </c>
      <c r="B97" s="50">
        <v>2</v>
      </c>
      <c r="C97" s="50">
        <v>1</v>
      </c>
      <c r="D97" s="50">
        <v>5</v>
      </c>
      <c r="E97" s="50"/>
      <c r="F97" s="87" t="s">
        <v>96</v>
      </c>
      <c r="G97" s="51">
        <f>SUM(G98)</f>
        <v>0</v>
      </c>
      <c r="H97" s="51">
        <f>SUM(H98)</f>
        <v>0</v>
      </c>
      <c r="I97" s="51">
        <f t="shared" si="4"/>
        <v>0</v>
      </c>
      <c r="J97" s="58"/>
    </row>
    <row r="98" spans="1:10" ht="26.25" x14ac:dyDescent="0.25">
      <c r="A98" s="62">
        <v>2</v>
      </c>
      <c r="B98" s="54">
        <v>2</v>
      </c>
      <c r="C98" s="54">
        <v>1</v>
      </c>
      <c r="D98" s="54">
        <v>5</v>
      </c>
      <c r="E98" s="55" t="s">
        <v>31</v>
      </c>
      <c r="F98" s="67" t="s">
        <v>96</v>
      </c>
      <c r="G98" s="56">
        <f>'[3]CUENTA T FONDO 100'!AS126</f>
        <v>0</v>
      </c>
      <c r="H98" s="56">
        <f>'[3]CUENTA T VS'!AS106</f>
        <v>0</v>
      </c>
      <c r="I98" s="56">
        <f t="shared" si="4"/>
        <v>0</v>
      </c>
      <c r="J98" s="57">
        <f>I98/$I$25</f>
        <v>0</v>
      </c>
    </row>
    <row r="99" spans="1:10" x14ac:dyDescent="0.25">
      <c r="A99" s="61">
        <v>2</v>
      </c>
      <c r="B99" s="50">
        <v>2</v>
      </c>
      <c r="C99" s="50">
        <v>1</v>
      </c>
      <c r="D99" s="50">
        <v>6</v>
      </c>
      <c r="E99" s="50"/>
      <c r="F99" s="87" t="s">
        <v>97</v>
      </c>
      <c r="G99" s="51">
        <f>SUM(G100:G101)</f>
        <v>0</v>
      </c>
      <c r="H99" s="51">
        <f>SUM(H100:H101)</f>
        <v>0</v>
      </c>
      <c r="I99" s="51">
        <f t="shared" si="4"/>
        <v>0</v>
      </c>
      <c r="J99" s="58"/>
    </row>
    <row r="100" spans="1:10" x14ac:dyDescent="0.25">
      <c r="A100" s="62">
        <v>2</v>
      </c>
      <c r="B100" s="54">
        <v>2</v>
      </c>
      <c r="C100" s="54">
        <v>1</v>
      </c>
      <c r="D100" s="54">
        <v>6</v>
      </c>
      <c r="E100" s="55" t="s">
        <v>31</v>
      </c>
      <c r="F100" s="67" t="s">
        <v>98</v>
      </c>
      <c r="G100" s="56">
        <f>'[3]CUENTA T FONDO 100'!AT126</f>
        <v>0</v>
      </c>
      <c r="H100" s="56">
        <f>'[3]CUENTA T VS'!AT106</f>
        <v>0</v>
      </c>
      <c r="I100" s="56">
        <f t="shared" si="4"/>
        <v>0</v>
      </c>
      <c r="J100" s="57">
        <f>I100/$I$25</f>
        <v>0</v>
      </c>
    </row>
    <row r="101" spans="1:10" x14ac:dyDescent="0.25">
      <c r="A101" s="62">
        <v>2</v>
      </c>
      <c r="B101" s="54">
        <v>2</v>
      </c>
      <c r="C101" s="54">
        <v>1</v>
      </c>
      <c r="D101" s="54">
        <v>6</v>
      </c>
      <c r="E101" s="55" t="s">
        <v>33</v>
      </c>
      <c r="F101" s="67" t="s">
        <v>99</v>
      </c>
      <c r="G101" s="56">
        <f>'[3]CUENTA T FONDO 100'!AU126</f>
        <v>0</v>
      </c>
      <c r="H101" s="56">
        <f>'[3]CUENTA T VS'!AU106</f>
        <v>0</v>
      </c>
      <c r="I101" s="56">
        <f t="shared" si="4"/>
        <v>0</v>
      </c>
      <c r="J101" s="57">
        <f>I101/$I$25</f>
        <v>0</v>
      </c>
    </row>
    <row r="102" spans="1:10" x14ac:dyDescent="0.25">
      <c r="A102" s="61">
        <v>2</v>
      </c>
      <c r="B102" s="50">
        <v>2</v>
      </c>
      <c r="C102" s="50">
        <v>1</v>
      </c>
      <c r="D102" s="50">
        <v>7</v>
      </c>
      <c r="E102" s="50"/>
      <c r="F102" s="87" t="s">
        <v>100</v>
      </c>
      <c r="G102" s="51">
        <f>SUM(G103)</f>
        <v>60535</v>
      </c>
      <c r="H102" s="51">
        <f>SUM(H103)</f>
        <v>0</v>
      </c>
      <c r="I102" s="51">
        <f t="shared" si="4"/>
        <v>60535</v>
      </c>
      <c r="J102" s="58"/>
    </row>
    <row r="103" spans="1:10" x14ac:dyDescent="0.25">
      <c r="A103" s="62">
        <v>2</v>
      </c>
      <c r="B103" s="54">
        <v>2</v>
      </c>
      <c r="C103" s="54">
        <v>1</v>
      </c>
      <c r="D103" s="54">
        <v>7</v>
      </c>
      <c r="E103" s="55" t="s">
        <v>31</v>
      </c>
      <c r="F103" s="67" t="s">
        <v>100</v>
      </c>
      <c r="G103" s="56">
        <f>'[3]CUENTA T FONDO 100'!AV126</f>
        <v>60535</v>
      </c>
      <c r="H103" s="56">
        <f>'[3]CUENTA T VS'!AV106</f>
        <v>0</v>
      </c>
      <c r="I103" s="56">
        <f t="shared" si="4"/>
        <v>60535</v>
      </c>
      <c r="J103" s="57">
        <f>I103/$I$25</f>
        <v>6.0267480920890549E-4</v>
      </c>
    </row>
    <row r="104" spans="1:10" x14ac:dyDescent="0.25">
      <c r="A104" s="61">
        <v>2</v>
      </c>
      <c r="B104" s="50">
        <v>2</v>
      </c>
      <c r="C104" s="50">
        <v>1</v>
      </c>
      <c r="D104" s="50">
        <v>8</v>
      </c>
      <c r="E104" s="50"/>
      <c r="F104" s="87" t="s">
        <v>101</v>
      </c>
      <c r="G104" s="51">
        <f>SUM(G105)</f>
        <v>0</v>
      </c>
      <c r="H104" s="51">
        <f>SUM(H105)</f>
        <v>760000</v>
      </c>
      <c r="I104" s="51">
        <f t="shared" si="4"/>
        <v>760000</v>
      </c>
      <c r="J104" s="58"/>
    </row>
    <row r="105" spans="1:10" x14ac:dyDescent="0.25">
      <c r="A105" s="62">
        <v>2</v>
      </c>
      <c r="B105" s="54">
        <v>2</v>
      </c>
      <c r="C105" s="54">
        <v>1</v>
      </c>
      <c r="D105" s="54">
        <v>8</v>
      </c>
      <c r="E105" s="55" t="s">
        <v>31</v>
      </c>
      <c r="F105" s="67" t="s">
        <v>101</v>
      </c>
      <c r="G105" s="56">
        <f>'[3]CUENTA T FONDO 100'!AW126</f>
        <v>0</v>
      </c>
      <c r="H105" s="56">
        <f>'[3]CUENTA T VS'!AW106</f>
        <v>760000</v>
      </c>
      <c r="I105" s="56">
        <f t="shared" si="4"/>
        <v>760000</v>
      </c>
      <c r="J105" s="57">
        <f>I105/$I$25</f>
        <v>7.5664137275752571E-3</v>
      </c>
    </row>
    <row r="106" spans="1:10" ht="26.25" x14ac:dyDescent="0.25">
      <c r="A106" s="60">
        <v>2</v>
      </c>
      <c r="B106" s="47">
        <v>2</v>
      </c>
      <c r="C106" s="47">
        <v>2</v>
      </c>
      <c r="D106" s="47"/>
      <c r="E106" s="47"/>
      <c r="F106" s="66" t="s">
        <v>102</v>
      </c>
      <c r="G106" s="48">
        <f>+G107+G109</f>
        <v>319103.99</v>
      </c>
      <c r="H106" s="48">
        <f>+H107+H109</f>
        <v>310139.40000000002</v>
      </c>
      <c r="I106" s="48">
        <f t="shared" si="4"/>
        <v>629243.39</v>
      </c>
      <c r="J106" s="45"/>
    </row>
    <row r="107" spans="1:10" x14ac:dyDescent="0.25">
      <c r="A107" s="61">
        <v>2</v>
      </c>
      <c r="B107" s="50">
        <v>2</v>
      </c>
      <c r="C107" s="50">
        <v>2</v>
      </c>
      <c r="D107" s="50">
        <v>1</v>
      </c>
      <c r="E107" s="50"/>
      <c r="F107" s="87" t="s">
        <v>103</v>
      </c>
      <c r="G107" s="51">
        <f>SUM(G108)</f>
        <v>0</v>
      </c>
      <c r="H107" s="51">
        <f>SUM(H108)</f>
        <v>0</v>
      </c>
      <c r="I107" s="51">
        <f t="shared" si="4"/>
        <v>0</v>
      </c>
      <c r="J107" s="58"/>
    </row>
    <row r="108" spans="1:10" x14ac:dyDescent="0.25">
      <c r="A108" s="62">
        <v>2</v>
      </c>
      <c r="B108" s="54">
        <v>2</v>
      </c>
      <c r="C108" s="54">
        <v>2</v>
      </c>
      <c r="D108" s="54">
        <v>1</v>
      </c>
      <c r="E108" s="55" t="s">
        <v>31</v>
      </c>
      <c r="F108" s="67" t="s">
        <v>103</v>
      </c>
      <c r="G108" s="56">
        <f>'[3]CUENTA T FONDO 100'!AX126</f>
        <v>0</v>
      </c>
      <c r="H108" s="56">
        <f>'[3]CUENTA T VS'!AX106</f>
        <v>0</v>
      </c>
      <c r="I108" s="56">
        <f t="shared" si="4"/>
        <v>0</v>
      </c>
      <c r="J108" s="57">
        <f>I108/$I$25</f>
        <v>0</v>
      </c>
    </row>
    <row r="109" spans="1:10" x14ac:dyDescent="0.25">
      <c r="A109" s="61">
        <v>2</v>
      </c>
      <c r="B109" s="50">
        <v>2</v>
      </c>
      <c r="C109" s="50">
        <v>2</v>
      </c>
      <c r="D109" s="50">
        <v>2</v>
      </c>
      <c r="E109" s="50"/>
      <c r="F109" s="87" t="s">
        <v>104</v>
      </c>
      <c r="G109" s="51">
        <f>SUM(G110)</f>
        <v>319103.99</v>
      </c>
      <c r="H109" s="51">
        <f>SUM(H110)</f>
        <v>310139.40000000002</v>
      </c>
      <c r="I109" s="51">
        <f t="shared" si="4"/>
        <v>629243.39</v>
      </c>
      <c r="J109" s="58"/>
    </row>
    <row r="110" spans="1:10" x14ac:dyDescent="0.25">
      <c r="A110" s="62">
        <v>2</v>
      </c>
      <c r="B110" s="54">
        <v>2</v>
      </c>
      <c r="C110" s="54">
        <v>2</v>
      </c>
      <c r="D110" s="54">
        <v>2</v>
      </c>
      <c r="E110" s="55" t="s">
        <v>31</v>
      </c>
      <c r="F110" s="67" t="s">
        <v>104</v>
      </c>
      <c r="G110" s="56">
        <f>'[3]CUENTA T FONDO 100'!AY126</f>
        <v>319103.99</v>
      </c>
      <c r="H110" s="56">
        <f>'[3]CUENTA T VS'!AY106</f>
        <v>310139.40000000002</v>
      </c>
      <c r="I110" s="56">
        <f t="shared" si="4"/>
        <v>629243.39</v>
      </c>
      <c r="J110" s="57">
        <f>I110/$I$25</f>
        <v>6.2646260843184096E-3</v>
      </c>
    </row>
    <row r="111" spans="1:10" x14ac:dyDescent="0.25">
      <c r="A111" s="60">
        <v>2</v>
      </c>
      <c r="B111" s="47">
        <v>2</v>
      </c>
      <c r="C111" s="47">
        <v>3</v>
      </c>
      <c r="D111" s="47"/>
      <c r="E111" s="47"/>
      <c r="F111" s="66" t="s">
        <v>105</v>
      </c>
      <c r="G111" s="48">
        <f>+G112+G114</f>
        <v>0</v>
      </c>
      <c r="H111" s="48">
        <f>+H112+H114</f>
        <v>0</v>
      </c>
      <c r="I111" s="48">
        <f t="shared" si="4"/>
        <v>0</v>
      </c>
      <c r="J111" s="45"/>
    </row>
    <row r="112" spans="1:10" x14ac:dyDescent="0.25">
      <c r="A112" s="61">
        <v>2</v>
      </c>
      <c r="B112" s="50">
        <v>2</v>
      </c>
      <c r="C112" s="50">
        <v>3</v>
      </c>
      <c r="D112" s="50">
        <v>1</v>
      </c>
      <c r="E112" s="50"/>
      <c r="F112" s="87" t="s">
        <v>106</v>
      </c>
      <c r="G112" s="51">
        <f>SUM(G113)</f>
        <v>0</v>
      </c>
      <c r="H112" s="51">
        <f>SUM(H113)</f>
        <v>0</v>
      </c>
      <c r="I112" s="51">
        <f t="shared" si="4"/>
        <v>0</v>
      </c>
      <c r="J112" s="58"/>
    </row>
    <row r="113" spans="1:10" x14ac:dyDescent="0.25">
      <c r="A113" s="62">
        <v>2</v>
      </c>
      <c r="B113" s="54">
        <v>2</v>
      </c>
      <c r="C113" s="54">
        <v>3</v>
      </c>
      <c r="D113" s="54">
        <v>1</v>
      </c>
      <c r="E113" s="55" t="s">
        <v>31</v>
      </c>
      <c r="F113" s="67" t="s">
        <v>106</v>
      </c>
      <c r="G113" s="56">
        <f>'[3]CUENTA T FONDO 100'!AZ126</f>
        <v>0</v>
      </c>
      <c r="H113" s="56">
        <f>'[3]CUENTA T VS'!AZ106</f>
        <v>0</v>
      </c>
      <c r="I113" s="56">
        <f t="shared" si="4"/>
        <v>0</v>
      </c>
      <c r="J113" s="57">
        <f>I113/$I$25</f>
        <v>0</v>
      </c>
    </row>
    <row r="114" spans="1:10" x14ac:dyDescent="0.25">
      <c r="A114" s="61">
        <v>2</v>
      </c>
      <c r="B114" s="50">
        <v>2</v>
      </c>
      <c r="C114" s="50">
        <v>3</v>
      </c>
      <c r="D114" s="50">
        <v>2</v>
      </c>
      <c r="E114" s="50"/>
      <c r="F114" s="87" t="s">
        <v>107</v>
      </c>
      <c r="G114" s="51">
        <f>SUM(G115)</f>
        <v>0</v>
      </c>
      <c r="H114" s="51">
        <f>SUM(H115)</f>
        <v>0</v>
      </c>
      <c r="I114" s="51">
        <f t="shared" si="4"/>
        <v>0</v>
      </c>
      <c r="J114" s="58"/>
    </row>
    <row r="115" spans="1:10" x14ac:dyDescent="0.25">
      <c r="A115" s="62">
        <v>2</v>
      </c>
      <c r="B115" s="54">
        <v>2</v>
      </c>
      <c r="C115" s="54">
        <v>3</v>
      </c>
      <c r="D115" s="54">
        <v>2</v>
      </c>
      <c r="E115" s="55" t="s">
        <v>31</v>
      </c>
      <c r="F115" s="67" t="s">
        <v>107</v>
      </c>
      <c r="G115" s="56">
        <f>'[3]CUENTA T FONDO 100'!BA126</f>
        <v>0</v>
      </c>
      <c r="H115" s="56">
        <f>'[3]CUENTA T VS'!BA106</f>
        <v>0</v>
      </c>
      <c r="I115" s="56">
        <f t="shared" si="4"/>
        <v>0</v>
      </c>
      <c r="J115" s="57">
        <f>I115/$I$25</f>
        <v>0</v>
      </c>
    </row>
    <row r="116" spans="1:10" x14ac:dyDescent="0.25">
      <c r="A116" s="60">
        <v>2</v>
      </c>
      <c r="B116" s="47">
        <v>2</v>
      </c>
      <c r="C116" s="47">
        <v>4</v>
      </c>
      <c r="D116" s="47"/>
      <c r="E116" s="47"/>
      <c r="F116" s="66" t="s">
        <v>108</v>
      </c>
      <c r="G116" s="48">
        <f>+G117+G119+G121+G123</f>
        <v>0</v>
      </c>
      <c r="H116" s="48">
        <f>+H117+H119+H121+H123</f>
        <v>20000</v>
      </c>
      <c r="I116" s="48">
        <f t="shared" si="4"/>
        <v>20000</v>
      </c>
      <c r="J116" s="45"/>
    </row>
    <row r="117" spans="1:10" x14ac:dyDescent="0.25">
      <c r="A117" s="61">
        <v>2</v>
      </c>
      <c r="B117" s="50">
        <v>2</v>
      </c>
      <c r="C117" s="50">
        <v>4</v>
      </c>
      <c r="D117" s="50">
        <v>1</v>
      </c>
      <c r="E117" s="50"/>
      <c r="F117" s="87" t="s">
        <v>109</v>
      </c>
      <c r="G117" s="51">
        <f>SUM(G118)</f>
        <v>0</v>
      </c>
      <c r="H117" s="51">
        <f>SUM(H118)</f>
        <v>0</v>
      </c>
      <c r="I117" s="51">
        <f t="shared" si="4"/>
        <v>0</v>
      </c>
      <c r="J117" s="58"/>
    </row>
    <row r="118" spans="1:10" x14ac:dyDescent="0.25">
      <c r="A118" s="62">
        <v>2</v>
      </c>
      <c r="B118" s="54">
        <v>2</v>
      </c>
      <c r="C118" s="54">
        <v>4</v>
      </c>
      <c r="D118" s="54">
        <v>1</v>
      </c>
      <c r="E118" s="55" t="s">
        <v>31</v>
      </c>
      <c r="F118" s="67" t="s">
        <v>109</v>
      </c>
      <c r="G118" s="56">
        <f>'[3]CUENTA T FONDO 100'!BB126</f>
        <v>0</v>
      </c>
      <c r="H118" s="56">
        <f>'[3]CUENTA T VS'!BB106</f>
        <v>0</v>
      </c>
      <c r="I118" s="56">
        <f t="shared" si="4"/>
        <v>0</v>
      </c>
      <c r="J118" s="57">
        <f>I118/$I$25</f>
        <v>0</v>
      </c>
    </row>
    <row r="119" spans="1:10" x14ac:dyDescent="0.25">
      <c r="A119" s="61">
        <v>2</v>
      </c>
      <c r="B119" s="50">
        <v>2</v>
      </c>
      <c r="C119" s="50">
        <v>4</v>
      </c>
      <c r="D119" s="50">
        <v>2</v>
      </c>
      <c r="E119" s="50"/>
      <c r="F119" s="87" t="s">
        <v>110</v>
      </c>
      <c r="G119" s="51">
        <f>SUM(G120)</f>
        <v>0</v>
      </c>
      <c r="H119" s="51">
        <f>SUM(H120)</f>
        <v>20000</v>
      </c>
      <c r="I119" s="51">
        <f t="shared" si="4"/>
        <v>20000</v>
      </c>
      <c r="J119" s="58"/>
    </row>
    <row r="120" spans="1:10" x14ac:dyDescent="0.25">
      <c r="A120" s="62">
        <v>2</v>
      </c>
      <c r="B120" s="54">
        <v>2</v>
      </c>
      <c r="C120" s="54">
        <v>4</v>
      </c>
      <c r="D120" s="54">
        <v>2</v>
      </c>
      <c r="E120" s="55" t="s">
        <v>31</v>
      </c>
      <c r="F120" s="67" t="s">
        <v>110</v>
      </c>
      <c r="G120" s="56">
        <f>'[3]CUENTA T FONDO 100'!BC126</f>
        <v>0</v>
      </c>
      <c r="H120" s="56">
        <f>'[3]CUENTA T VS'!BC106</f>
        <v>20000</v>
      </c>
      <c r="I120" s="56">
        <f t="shared" si="4"/>
        <v>20000</v>
      </c>
      <c r="J120" s="57">
        <f>I120/$I$25</f>
        <v>1.9911615072566467E-4</v>
      </c>
    </row>
    <row r="121" spans="1:10" x14ac:dyDescent="0.25">
      <c r="A121" s="61">
        <v>2</v>
      </c>
      <c r="B121" s="50">
        <v>2</v>
      </c>
      <c r="C121" s="50">
        <v>4</v>
      </c>
      <c r="D121" s="50">
        <v>3</v>
      </c>
      <c r="E121" s="50"/>
      <c r="F121" s="87" t="s">
        <v>111</v>
      </c>
      <c r="G121" s="51">
        <f>SUM(G122)</f>
        <v>0</v>
      </c>
      <c r="H121" s="51">
        <f>SUM(H122)</f>
        <v>0</v>
      </c>
      <c r="I121" s="51">
        <f t="shared" si="4"/>
        <v>0</v>
      </c>
      <c r="J121" s="58"/>
    </row>
    <row r="122" spans="1:10" x14ac:dyDescent="0.25">
      <c r="A122" s="62">
        <v>2</v>
      </c>
      <c r="B122" s="54">
        <v>2</v>
      </c>
      <c r="C122" s="54">
        <v>4</v>
      </c>
      <c r="D122" s="54">
        <v>3</v>
      </c>
      <c r="E122" s="55" t="s">
        <v>31</v>
      </c>
      <c r="F122" s="67" t="s">
        <v>111</v>
      </c>
      <c r="G122" s="56">
        <f>'[3]CUENTA T FONDO 100'!BD126</f>
        <v>0</v>
      </c>
      <c r="H122" s="56">
        <f>'[3]CUENTA T VS'!BD106</f>
        <v>0</v>
      </c>
      <c r="I122" s="56">
        <f t="shared" si="4"/>
        <v>0</v>
      </c>
      <c r="J122" s="57">
        <f>I122/$I$25</f>
        <v>0</v>
      </c>
    </row>
    <row r="123" spans="1:10" x14ac:dyDescent="0.25">
      <c r="A123" s="61">
        <v>2</v>
      </c>
      <c r="B123" s="50">
        <v>2</v>
      </c>
      <c r="C123" s="50">
        <v>4</v>
      </c>
      <c r="D123" s="50">
        <v>4</v>
      </c>
      <c r="E123" s="50"/>
      <c r="F123" s="87" t="s">
        <v>112</v>
      </c>
      <c r="G123" s="51">
        <f>SUM(G124)</f>
        <v>0</v>
      </c>
      <c r="H123" s="51">
        <f>SUM(H124)</f>
        <v>0</v>
      </c>
      <c r="I123" s="51">
        <f t="shared" si="4"/>
        <v>0</v>
      </c>
      <c r="J123" s="58"/>
    </row>
    <row r="124" spans="1:10" x14ac:dyDescent="0.25">
      <c r="A124" s="62">
        <v>2</v>
      </c>
      <c r="B124" s="54">
        <v>2</v>
      </c>
      <c r="C124" s="54">
        <v>4</v>
      </c>
      <c r="D124" s="54">
        <v>4</v>
      </c>
      <c r="E124" s="55" t="s">
        <v>31</v>
      </c>
      <c r="F124" s="67" t="s">
        <v>112</v>
      </c>
      <c r="G124" s="56">
        <f>'[3]CUENTA T FONDO 100'!BE126</f>
        <v>0</v>
      </c>
      <c r="H124" s="56">
        <f>'[3]CUENTA T VS'!BE106</f>
        <v>0</v>
      </c>
      <c r="I124" s="56">
        <f t="shared" si="4"/>
        <v>0</v>
      </c>
      <c r="J124" s="57">
        <f>I124/$I$25</f>
        <v>0</v>
      </c>
    </row>
    <row r="125" spans="1:10" x14ac:dyDescent="0.25">
      <c r="A125" s="46">
        <v>2</v>
      </c>
      <c r="B125" s="47">
        <v>2</v>
      </c>
      <c r="C125" s="47">
        <v>5</v>
      </c>
      <c r="D125" s="47"/>
      <c r="E125" s="47"/>
      <c r="F125" s="66" t="s">
        <v>113</v>
      </c>
      <c r="G125" s="48">
        <f>+G126+G128+G130+G136+G138+G140+G142+G144+G146</f>
        <v>0</v>
      </c>
      <c r="H125" s="48">
        <f t="shared" ref="H125" si="5">+H126+H128+H130+H136+H138+H140+H142+H144+H146</f>
        <v>0</v>
      </c>
      <c r="I125" s="48">
        <f t="shared" si="4"/>
        <v>0</v>
      </c>
      <c r="J125" s="45"/>
    </row>
    <row r="126" spans="1:10" ht="26.25" x14ac:dyDescent="0.25">
      <c r="A126" s="61">
        <v>2</v>
      </c>
      <c r="B126" s="50">
        <v>2</v>
      </c>
      <c r="C126" s="50">
        <v>5</v>
      </c>
      <c r="D126" s="50">
        <v>1</v>
      </c>
      <c r="E126" s="64"/>
      <c r="F126" s="87" t="s">
        <v>114</v>
      </c>
      <c r="G126" s="51">
        <f>SUM(G127)</f>
        <v>0</v>
      </c>
      <c r="H126" s="51">
        <f>SUM(H127)</f>
        <v>0</v>
      </c>
      <c r="I126" s="51">
        <f t="shared" si="4"/>
        <v>0</v>
      </c>
      <c r="J126" s="58"/>
    </row>
    <row r="127" spans="1:10" ht="26.25" x14ac:dyDescent="0.25">
      <c r="A127" s="62">
        <v>2</v>
      </c>
      <c r="B127" s="54">
        <v>2</v>
      </c>
      <c r="C127" s="54">
        <v>5</v>
      </c>
      <c r="D127" s="54">
        <v>1</v>
      </c>
      <c r="E127" s="55" t="s">
        <v>31</v>
      </c>
      <c r="F127" s="67" t="s">
        <v>114</v>
      </c>
      <c r="G127" s="56">
        <f>'[3]CUENTA T FONDO 100'!BF126</f>
        <v>0</v>
      </c>
      <c r="H127" s="56">
        <f>'[3]CUENTA T VS'!BF106</f>
        <v>0</v>
      </c>
      <c r="I127" s="56">
        <f t="shared" si="4"/>
        <v>0</v>
      </c>
      <c r="J127" s="57">
        <f>I127/$I$25</f>
        <v>0</v>
      </c>
    </row>
    <row r="128" spans="1:10" ht="26.25" x14ac:dyDescent="0.25">
      <c r="A128" s="61">
        <v>2</v>
      </c>
      <c r="B128" s="50">
        <v>2</v>
      </c>
      <c r="C128" s="50">
        <v>5</v>
      </c>
      <c r="D128" s="50">
        <v>2</v>
      </c>
      <c r="E128" s="64"/>
      <c r="F128" s="87" t="s">
        <v>115</v>
      </c>
      <c r="G128" s="51">
        <f>SUM(G129)</f>
        <v>0</v>
      </c>
      <c r="H128" s="51">
        <f>SUM(H129)</f>
        <v>0</v>
      </c>
      <c r="I128" s="51">
        <f t="shared" si="4"/>
        <v>0</v>
      </c>
      <c r="J128" s="58"/>
    </row>
    <row r="129" spans="1:10" ht="26.25" x14ac:dyDescent="0.25">
      <c r="A129" s="62">
        <v>2</v>
      </c>
      <c r="B129" s="54">
        <v>2</v>
      </c>
      <c r="C129" s="54">
        <v>5</v>
      </c>
      <c r="D129" s="54">
        <v>2</v>
      </c>
      <c r="E129" s="55" t="s">
        <v>31</v>
      </c>
      <c r="F129" s="67" t="s">
        <v>116</v>
      </c>
      <c r="G129" s="56">
        <f>'[3]CUENTA T FONDO 100'!BG126</f>
        <v>0</v>
      </c>
      <c r="H129" s="56">
        <f>'[3]CUENTA T VS'!BG106</f>
        <v>0</v>
      </c>
      <c r="I129" s="56">
        <f t="shared" si="4"/>
        <v>0</v>
      </c>
      <c r="J129" s="57">
        <f>I129/$I$25</f>
        <v>0</v>
      </c>
    </row>
    <row r="130" spans="1:10" ht="26.25" x14ac:dyDescent="0.25">
      <c r="A130" s="61">
        <v>2</v>
      </c>
      <c r="B130" s="50">
        <v>2</v>
      </c>
      <c r="C130" s="50">
        <v>5</v>
      </c>
      <c r="D130" s="50">
        <v>3</v>
      </c>
      <c r="E130" s="64"/>
      <c r="F130" s="87" t="s">
        <v>117</v>
      </c>
      <c r="G130" s="51">
        <f>SUM(G131:G135)</f>
        <v>0</v>
      </c>
      <c r="H130" s="51">
        <f>SUM(H131:H135)</f>
        <v>0</v>
      </c>
      <c r="I130" s="51">
        <f t="shared" si="4"/>
        <v>0</v>
      </c>
      <c r="J130" s="58"/>
    </row>
    <row r="131" spans="1:10" x14ac:dyDescent="0.25">
      <c r="A131" s="62">
        <v>2</v>
      </c>
      <c r="B131" s="54">
        <v>2</v>
      </c>
      <c r="C131" s="54">
        <v>5</v>
      </c>
      <c r="D131" s="54">
        <v>3</v>
      </c>
      <c r="E131" s="55" t="s">
        <v>31</v>
      </c>
      <c r="F131" s="67" t="s">
        <v>118</v>
      </c>
      <c r="G131" s="56">
        <f>'[3]CUENTA T FONDO 100'!BH126</f>
        <v>0</v>
      </c>
      <c r="H131" s="56">
        <f>'[3]CUENTA T VS'!BH106</f>
        <v>0</v>
      </c>
      <c r="I131" s="56">
        <f t="shared" si="4"/>
        <v>0</v>
      </c>
      <c r="J131" s="57">
        <f>I131/$I$25</f>
        <v>0</v>
      </c>
    </row>
    <row r="132" spans="1:10" ht="26.25" x14ac:dyDescent="0.25">
      <c r="A132" s="62">
        <v>2</v>
      </c>
      <c r="B132" s="54">
        <v>2</v>
      </c>
      <c r="C132" s="54">
        <v>5</v>
      </c>
      <c r="D132" s="54">
        <v>3</v>
      </c>
      <c r="E132" s="55" t="s">
        <v>33</v>
      </c>
      <c r="F132" s="67" t="s">
        <v>119</v>
      </c>
      <c r="G132" s="56">
        <f>'[3]CUENTA T FONDO 100'!BI126</f>
        <v>0</v>
      </c>
      <c r="H132" s="56">
        <f>'[3]CUENTA T VS'!BI106</f>
        <v>0</v>
      </c>
      <c r="I132" s="56">
        <f t="shared" si="4"/>
        <v>0</v>
      </c>
      <c r="J132" s="57">
        <f>I132/$I$25</f>
        <v>0</v>
      </c>
    </row>
    <row r="133" spans="1:10" ht="26.25" x14ac:dyDescent="0.25">
      <c r="A133" s="62">
        <v>2</v>
      </c>
      <c r="B133" s="54">
        <v>2</v>
      </c>
      <c r="C133" s="54">
        <v>5</v>
      </c>
      <c r="D133" s="54">
        <v>3</v>
      </c>
      <c r="E133" s="55" t="s">
        <v>35</v>
      </c>
      <c r="F133" s="67" t="s">
        <v>120</v>
      </c>
      <c r="G133" s="56">
        <f>'[3]CUENTA T FONDO 100'!BJ126</f>
        <v>0</v>
      </c>
      <c r="H133" s="56">
        <f>'[3]CUENTA T VS'!BJ106</f>
        <v>0</v>
      </c>
      <c r="I133" s="56">
        <f t="shared" si="4"/>
        <v>0</v>
      </c>
      <c r="J133" s="57">
        <f>I133/$I$25</f>
        <v>0</v>
      </c>
    </row>
    <row r="134" spans="1:10" ht="26.25" x14ac:dyDescent="0.25">
      <c r="A134" s="62">
        <v>2</v>
      </c>
      <c r="B134" s="54">
        <v>2</v>
      </c>
      <c r="C134" s="54">
        <v>5</v>
      </c>
      <c r="D134" s="54">
        <v>3</v>
      </c>
      <c r="E134" s="55" t="s">
        <v>37</v>
      </c>
      <c r="F134" s="67" t="s">
        <v>121</v>
      </c>
      <c r="G134" s="56">
        <f>'[3]CUENTA T FONDO 100'!BK126</f>
        <v>0</v>
      </c>
      <c r="H134" s="56">
        <f>'[3]CUENTA T VS'!BK106</f>
        <v>0</v>
      </c>
      <c r="I134" s="56">
        <f t="shared" si="4"/>
        <v>0</v>
      </c>
      <c r="J134" s="57">
        <f>I134/$I$25</f>
        <v>0</v>
      </c>
    </row>
    <row r="135" spans="1:10" ht="26.25" x14ac:dyDescent="0.25">
      <c r="A135" s="62">
        <v>2</v>
      </c>
      <c r="B135" s="54">
        <v>2</v>
      </c>
      <c r="C135" s="54">
        <v>5</v>
      </c>
      <c r="D135" s="54">
        <v>3</v>
      </c>
      <c r="E135" s="55" t="s">
        <v>39</v>
      </c>
      <c r="F135" s="67" t="s">
        <v>122</v>
      </c>
      <c r="G135" s="56">
        <f>'[3]CUENTA T FONDO 100'!BL126</f>
        <v>0</v>
      </c>
      <c r="H135" s="56">
        <f>'[3]CUENTA T VS'!BL106</f>
        <v>0</v>
      </c>
      <c r="I135" s="56">
        <f t="shared" si="4"/>
        <v>0</v>
      </c>
      <c r="J135" s="57">
        <f>I135/$I$25</f>
        <v>0</v>
      </c>
    </row>
    <row r="136" spans="1:10" ht="26.25" x14ac:dyDescent="0.25">
      <c r="A136" s="61">
        <v>2</v>
      </c>
      <c r="B136" s="50">
        <v>2</v>
      </c>
      <c r="C136" s="50">
        <v>5</v>
      </c>
      <c r="D136" s="50">
        <v>4</v>
      </c>
      <c r="E136" s="64"/>
      <c r="F136" s="87" t="s">
        <v>123</v>
      </c>
      <c r="G136" s="51">
        <f>SUM(G137)</f>
        <v>0</v>
      </c>
      <c r="H136" s="51">
        <f>SUM(H137)</f>
        <v>0</v>
      </c>
      <c r="I136" s="51">
        <f t="shared" si="4"/>
        <v>0</v>
      </c>
      <c r="J136" s="58"/>
    </row>
    <row r="137" spans="1:10" ht="26.25" x14ac:dyDescent="0.25">
      <c r="A137" s="62">
        <v>2</v>
      </c>
      <c r="B137" s="54">
        <v>2</v>
      </c>
      <c r="C137" s="54">
        <v>5</v>
      </c>
      <c r="D137" s="54">
        <v>4</v>
      </c>
      <c r="E137" s="55" t="s">
        <v>31</v>
      </c>
      <c r="F137" s="67" t="s">
        <v>123</v>
      </c>
      <c r="G137" s="56">
        <f>'[3]CUENTA T FONDO 100'!BM126</f>
        <v>0</v>
      </c>
      <c r="H137" s="56">
        <f>'[3]CUENTA T VS'!BM106</f>
        <v>0</v>
      </c>
      <c r="I137" s="56">
        <f t="shared" si="4"/>
        <v>0</v>
      </c>
      <c r="J137" s="57">
        <f>I137/$I$25</f>
        <v>0</v>
      </c>
    </row>
    <row r="138" spans="1:10" x14ac:dyDescent="0.25">
      <c r="A138" s="61">
        <v>2</v>
      </c>
      <c r="B138" s="50">
        <v>2</v>
      </c>
      <c r="C138" s="50">
        <v>5</v>
      </c>
      <c r="D138" s="50">
        <v>5</v>
      </c>
      <c r="E138" s="64"/>
      <c r="F138" s="87" t="s">
        <v>124</v>
      </c>
      <c r="G138" s="51">
        <f>SUM(G139)</f>
        <v>0</v>
      </c>
      <c r="H138" s="51">
        <f>SUM(H139)</f>
        <v>0</v>
      </c>
      <c r="I138" s="51">
        <f t="shared" si="4"/>
        <v>0</v>
      </c>
      <c r="J138" s="58"/>
    </row>
    <row r="139" spans="1:10" x14ac:dyDescent="0.25">
      <c r="A139" s="62">
        <v>2</v>
      </c>
      <c r="B139" s="54">
        <v>2</v>
      </c>
      <c r="C139" s="54">
        <v>5</v>
      </c>
      <c r="D139" s="54">
        <v>5</v>
      </c>
      <c r="E139" s="55" t="s">
        <v>31</v>
      </c>
      <c r="F139" s="67" t="s">
        <v>124</v>
      </c>
      <c r="G139" s="56">
        <f>'[3]CUENTA T FONDO 100'!BN126</f>
        <v>0</v>
      </c>
      <c r="H139" s="56">
        <f>'[3]CUENTA T VS'!BN106</f>
        <v>0</v>
      </c>
      <c r="I139" s="56">
        <f t="shared" si="4"/>
        <v>0</v>
      </c>
      <c r="J139" s="57">
        <f>I139/$I$25</f>
        <v>0</v>
      </c>
    </row>
    <row r="140" spans="1:10" x14ac:dyDescent="0.25">
      <c r="A140" s="61">
        <v>2</v>
      </c>
      <c r="B140" s="50">
        <v>2</v>
      </c>
      <c r="C140" s="50">
        <v>5</v>
      </c>
      <c r="D140" s="50">
        <v>6</v>
      </c>
      <c r="E140" s="64"/>
      <c r="F140" s="87" t="s">
        <v>125</v>
      </c>
      <c r="G140" s="51">
        <f>SUM(G141)</f>
        <v>0</v>
      </c>
      <c r="H140" s="51">
        <f>SUM(H141)</f>
        <v>0</v>
      </c>
      <c r="I140" s="51">
        <f t="shared" si="4"/>
        <v>0</v>
      </c>
      <c r="J140" s="58"/>
    </row>
    <row r="141" spans="1:10" x14ac:dyDescent="0.25">
      <c r="A141" s="62">
        <v>2</v>
      </c>
      <c r="B141" s="54">
        <v>2</v>
      </c>
      <c r="C141" s="54">
        <v>5</v>
      </c>
      <c r="D141" s="54">
        <v>6</v>
      </c>
      <c r="E141" s="55" t="s">
        <v>31</v>
      </c>
      <c r="F141" s="67" t="s">
        <v>125</v>
      </c>
      <c r="G141" s="56">
        <f>'[3]CUENTA T FONDO 100'!BO126</f>
        <v>0</v>
      </c>
      <c r="H141" s="56">
        <f>'[3]CUENTA T VS'!BO106</f>
        <v>0</v>
      </c>
      <c r="I141" s="56">
        <f t="shared" si="4"/>
        <v>0</v>
      </c>
      <c r="J141" s="57">
        <f>I141/$I$25</f>
        <v>0</v>
      </c>
    </row>
    <row r="142" spans="1:10" ht="39" x14ac:dyDescent="0.25">
      <c r="A142" s="61">
        <v>2</v>
      </c>
      <c r="B142" s="50">
        <v>2</v>
      </c>
      <c r="C142" s="50">
        <v>5</v>
      </c>
      <c r="D142" s="50">
        <v>7</v>
      </c>
      <c r="E142" s="64"/>
      <c r="F142" s="87" t="s">
        <v>126</v>
      </c>
      <c r="G142" s="51">
        <f>SUM(G143)</f>
        <v>0</v>
      </c>
      <c r="H142" s="51">
        <f>SUM(H143)</f>
        <v>0</v>
      </c>
      <c r="I142" s="51">
        <f t="shared" si="4"/>
        <v>0</v>
      </c>
      <c r="J142" s="58"/>
    </row>
    <row r="143" spans="1:10" ht="39" x14ac:dyDescent="0.25">
      <c r="A143" s="62">
        <v>2</v>
      </c>
      <c r="B143" s="54">
        <v>2</v>
      </c>
      <c r="C143" s="54">
        <v>5</v>
      </c>
      <c r="D143" s="54">
        <v>7</v>
      </c>
      <c r="E143" s="55" t="s">
        <v>31</v>
      </c>
      <c r="F143" s="67" t="s">
        <v>126</v>
      </c>
      <c r="G143" s="56">
        <f>'[3]CUENTA T FONDO 100'!BP126</f>
        <v>0</v>
      </c>
      <c r="H143" s="56">
        <f>'[3]CUENTA T VS'!BP106</f>
        <v>0</v>
      </c>
      <c r="I143" s="56">
        <f t="shared" si="4"/>
        <v>0</v>
      </c>
      <c r="J143" s="57">
        <f>I143/$I$25</f>
        <v>0</v>
      </c>
    </row>
    <row r="144" spans="1:10" x14ac:dyDescent="0.25">
      <c r="A144" s="61">
        <v>2</v>
      </c>
      <c r="B144" s="50">
        <v>2</v>
      </c>
      <c r="C144" s="50">
        <v>5</v>
      </c>
      <c r="D144" s="50">
        <v>8</v>
      </c>
      <c r="E144" s="64"/>
      <c r="F144" s="87" t="s">
        <v>127</v>
      </c>
      <c r="G144" s="51">
        <f>SUM(G145)</f>
        <v>0</v>
      </c>
      <c r="H144" s="51">
        <f>SUM(H145)</f>
        <v>0</v>
      </c>
      <c r="I144" s="51">
        <f t="shared" si="4"/>
        <v>0</v>
      </c>
      <c r="J144" s="58"/>
    </row>
    <row r="145" spans="1:10" x14ac:dyDescent="0.25">
      <c r="A145" s="62">
        <v>2</v>
      </c>
      <c r="B145" s="54">
        <v>2</v>
      </c>
      <c r="C145" s="54">
        <v>5</v>
      </c>
      <c r="D145" s="54">
        <v>8</v>
      </c>
      <c r="E145" s="55" t="s">
        <v>31</v>
      </c>
      <c r="F145" s="67" t="s">
        <v>127</v>
      </c>
      <c r="G145" s="56">
        <f>'[3]CUENTA T FONDO 100'!BQ126</f>
        <v>0</v>
      </c>
      <c r="H145" s="56">
        <f>'[3]CUENTA T VS'!BQ106</f>
        <v>0</v>
      </c>
      <c r="I145" s="56">
        <f t="shared" si="4"/>
        <v>0</v>
      </c>
      <c r="J145" s="57">
        <f>I145/$I$25</f>
        <v>0</v>
      </c>
    </row>
    <row r="146" spans="1:10" x14ac:dyDescent="0.25">
      <c r="A146" s="61">
        <v>2</v>
      </c>
      <c r="B146" s="50">
        <v>2</v>
      </c>
      <c r="C146" s="50">
        <v>5</v>
      </c>
      <c r="D146" s="50">
        <v>9</v>
      </c>
      <c r="E146" s="64"/>
      <c r="F146" s="87" t="s">
        <v>128</v>
      </c>
      <c r="G146" s="51">
        <f>SUM(G147)</f>
        <v>0</v>
      </c>
      <c r="H146" s="51">
        <f>SUM(H147)</f>
        <v>0</v>
      </c>
      <c r="I146" s="51">
        <f t="shared" si="4"/>
        <v>0</v>
      </c>
      <c r="J146" s="58"/>
    </row>
    <row r="147" spans="1:10" x14ac:dyDescent="0.25">
      <c r="A147" s="62">
        <v>2</v>
      </c>
      <c r="B147" s="54">
        <v>2</v>
      </c>
      <c r="C147" s="54">
        <v>5</v>
      </c>
      <c r="D147" s="54">
        <v>9</v>
      </c>
      <c r="E147" s="55" t="s">
        <v>31</v>
      </c>
      <c r="F147" s="67" t="s">
        <v>129</v>
      </c>
      <c r="G147" s="56">
        <f>'[3]CUENTA T FONDO 100'!BR126</f>
        <v>0</v>
      </c>
      <c r="H147" s="56">
        <f>'[3]CUENTA T VS'!BR106</f>
        <v>0</v>
      </c>
      <c r="I147" s="56">
        <f t="shared" si="4"/>
        <v>0</v>
      </c>
      <c r="J147" s="57">
        <f>I147/$I$25</f>
        <v>0</v>
      </c>
    </row>
    <row r="148" spans="1:10" x14ac:dyDescent="0.25">
      <c r="A148" s="46">
        <v>2</v>
      </c>
      <c r="B148" s="47">
        <v>2</v>
      </c>
      <c r="C148" s="47">
        <v>6</v>
      </c>
      <c r="D148" s="47"/>
      <c r="E148" s="47"/>
      <c r="F148" s="66" t="s">
        <v>130</v>
      </c>
      <c r="G148" s="48">
        <f>+G149+G151+G153+G155</f>
        <v>0</v>
      </c>
      <c r="H148" s="48">
        <f>+H149+H151+H153+H155</f>
        <v>0</v>
      </c>
      <c r="I148" s="48">
        <f t="shared" si="4"/>
        <v>0</v>
      </c>
      <c r="J148" s="45"/>
    </row>
    <row r="149" spans="1:10" ht="26.25" x14ac:dyDescent="0.25">
      <c r="A149" s="61">
        <v>2</v>
      </c>
      <c r="B149" s="50">
        <v>2</v>
      </c>
      <c r="C149" s="50">
        <v>6</v>
      </c>
      <c r="D149" s="50">
        <v>1</v>
      </c>
      <c r="E149" s="64"/>
      <c r="F149" s="87" t="s">
        <v>131</v>
      </c>
      <c r="G149" s="51">
        <f>SUM(G150)</f>
        <v>0</v>
      </c>
      <c r="H149" s="51">
        <f>SUM(H150)</f>
        <v>0</v>
      </c>
      <c r="I149" s="51">
        <f t="shared" si="4"/>
        <v>0</v>
      </c>
      <c r="J149" s="58"/>
    </row>
    <row r="150" spans="1:10" ht="26.25" x14ac:dyDescent="0.25">
      <c r="A150" s="62">
        <v>2</v>
      </c>
      <c r="B150" s="54">
        <v>2</v>
      </c>
      <c r="C150" s="54">
        <v>6</v>
      </c>
      <c r="D150" s="54">
        <v>1</v>
      </c>
      <c r="E150" s="55" t="s">
        <v>31</v>
      </c>
      <c r="F150" s="67" t="s">
        <v>131</v>
      </c>
      <c r="G150" s="56">
        <f>'[3]CUENTA T FONDO 100'!BS126</f>
        <v>0</v>
      </c>
      <c r="H150" s="56">
        <f>'[3]CUENTA T VS'!BS106</f>
        <v>0</v>
      </c>
      <c r="I150" s="56">
        <f t="shared" si="4"/>
        <v>0</v>
      </c>
      <c r="J150" s="57">
        <f>I150/$I$25</f>
        <v>0</v>
      </c>
    </row>
    <row r="151" spans="1:10" x14ac:dyDescent="0.25">
      <c r="A151" s="61">
        <v>2</v>
      </c>
      <c r="B151" s="50">
        <v>2</v>
      </c>
      <c r="C151" s="50">
        <v>6</v>
      </c>
      <c r="D151" s="50">
        <v>2</v>
      </c>
      <c r="E151" s="50"/>
      <c r="F151" s="87" t="s">
        <v>132</v>
      </c>
      <c r="G151" s="51">
        <f>SUM(G152)</f>
        <v>0</v>
      </c>
      <c r="H151" s="51">
        <f>SUM(H152)</f>
        <v>0</v>
      </c>
      <c r="I151" s="51">
        <f t="shared" si="4"/>
        <v>0</v>
      </c>
      <c r="J151" s="58"/>
    </row>
    <row r="152" spans="1:10" x14ac:dyDescent="0.25">
      <c r="A152" s="62">
        <v>2</v>
      </c>
      <c r="B152" s="54">
        <v>2</v>
      </c>
      <c r="C152" s="54">
        <v>6</v>
      </c>
      <c r="D152" s="54">
        <v>2</v>
      </c>
      <c r="E152" s="55" t="s">
        <v>31</v>
      </c>
      <c r="F152" s="67" t="s">
        <v>132</v>
      </c>
      <c r="G152" s="56">
        <f>'[3]CUENTA T FONDO 100'!BT126</f>
        <v>0</v>
      </c>
      <c r="H152" s="56">
        <f>'[3]CUENTA T VS'!BT106</f>
        <v>0</v>
      </c>
      <c r="I152" s="56">
        <f t="shared" si="4"/>
        <v>0</v>
      </c>
      <c r="J152" s="57">
        <f>I152/$I$25</f>
        <v>0</v>
      </c>
    </row>
    <row r="153" spans="1:10" x14ac:dyDescent="0.25">
      <c r="A153" s="61">
        <v>2</v>
      </c>
      <c r="B153" s="50">
        <v>2</v>
      </c>
      <c r="C153" s="50">
        <v>6</v>
      </c>
      <c r="D153" s="50">
        <v>3</v>
      </c>
      <c r="E153" s="50"/>
      <c r="F153" s="87" t="s">
        <v>133</v>
      </c>
      <c r="G153" s="51">
        <f>SUM(G154)</f>
        <v>0</v>
      </c>
      <c r="H153" s="51">
        <f>SUM(H154)</f>
        <v>0</v>
      </c>
      <c r="I153" s="51">
        <f t="shared" ref="I153:I216" si="6">SUM(G153:H153)</f>
        <v>0</v>
      </c>
      <c r="J153" s="58"/>
    </row>
    <row r="154" spans="1:10" x14ac:dyDescent="0.25">
      <c r="A154" s="62">
        <v>2</v>
      </c>
      <c r="B154" s="54">
        <v>2</v>
      </c>
      <c r="C154" s="54">
        <v>6</v>
      </c>
      <c r="D154" s="54">
        <v>3</v>
      </c>
      <c r="E154" s="55" t="s">
        <v>31</v>
      </c>
      <c r="F154" s="67" t="s">
        <v>133</v>
      </c>
      <c r="G154" s="56">
        <f>'[3]CUENTA T FONDO 100'!BU126</f>
        <v>0</v>
      </c>
      <c r="H154" s="56">
        <f>'[3]CUENTA T VS'!BU106</f>
        <v>0</v>
      </c>
      <c r="I154" s="56">
        <f t="shared" si="6"/>
        <v>0</v>
      </c>
      <c r="J154" s="57">
        <f>I154/$I$25</f>
        <v>0</v>
      </c>
    </row>
    <row r="155" spans="1:10" x14ac:dyDescent="0.25">
      <c r="A155" s="61">
        <v>2</v>
      </c>
      <c r="B155" s="50">
        <v>2</v>
      </c>
      <c r="C155" s="50">
        <v>6</v>
      </c>
      <c r="D155" s="50">
        <v>4</v>
      </c>
      <c r="E155" s="50"/>
      <c r="F155" s="87" t="s">
        <v>134</v>
      </c>
      <c r="G155" s="51">
        <f>SUM(G156)</f>
        <v>0</v>
      </c>
      <c r="H155" s="51">
        <f>SUM(H156)</f>
        <v>0</v>
      </c>
      <c r="I155" s="51">
        <f t="shared" si="6"/>
        <v>0</v>
      </c>
      <c r="J155" s="58"/>
    </row>
    <row r="156" spans="1:10" x14ac:dyDescent="0.25">
      <c r="A156" s="62">
        <v>2</v>
      </c>
      <c r="B156" s="54">
        <v>2</v>
      </c>
      <c r="C156" s="54">
        <v>6</v>
      </c>
      <c r="D156" s="54">
        <v>4</v>
      </c>
      <c r="E156" s="55" t="s">
        <v>31</v>
      </c>
      <c r="F156" s="67" t="s">
        <v>134</v>
      </c>
      <c r="G156" s="56">
        <f>'[3]CUENTA T FONDO 100'!BV126</f>
        <v>0</v>
      </c>
      <c r="H156" s="56">
        <f>'[3]CUENTA T VS'!BV106</f>
        <v>0</v>
      </c>
      <c r="I156" s="56">
        <f t="shared" si="6"/>
        <v>0</v>
      </c>
      <c r="J156" s="57">
        <f>I156/$I$25</f>
        <v>0</v>
      </c>
    </row>
    <row r="157" spans="1:10" ht="39" x14ac:dyDescent="0.25">
      <c r="A157" s="46">
        <v>2</v>
      </c>
      <c r="B157" s="47">
        <v>2</v>
      </c>
      <c r="C157" s="47">
        <v>7</v>
      </c>
      <c r="D157" s="47"/>
      <c r="E157" s="65"/>
      <c r="F157" s="66" t="s">
        <v>135</v>
      </c>
      <c r="G157" s="48">
        <f>+G158+G167+G177</f>
        <v>4437074.3499999996</v>
      </c>
      <c r="H157" s="48">
        <f>+H158+H167+H177</f>
        <v>635040.89999999979</v>
      </c>
      <c r="I157" s="48">
        <f t="shared" si="6"/>
        <v>5072115.2499999991</v>
      </c>
      <c r="J157" s="45"/>
    </row>
    <row r="158" spans="1:10" x14ac:dyDescent="0.25">
      <c r="A158" s="61">
        <v>2</v>
      </c>
      <c r="B158" s="50">
        <v>2</v>
      </c>
      <c r="C158" s="50">
        <v>7</v>
      </c>
      <c r="D158" s="50">
        <v>1</v>
      </c>
      <c r="E158" s="50"/>
      <c r="F158" s="87" t="s">
        <v>136</v>
      </c>
      <c r="G158" s="51">
        <f>SUM(G159:G166)</f>
        <v>3505308</v>
      </c>
      <c r="H158" s="51">
        <f>SUM(H159:H166)</f>
        <v>91392.2</v>
      </c>
      <c r="I158" s="51">
        <f t="shared" si="6"/>
        <v>3596700.2</v>
      </c>
      <c r="J158" s="58"/>
    </row>
    <row r="159" spans="1:10" x14ac:dyDescent="0.25">
      <c r="A159" s="53">
        <v>2</v>
      </c>
      <c r="B159" s="54">
        <v>2</v>
      </c>
      <c r="C159" s="54">
        <v>7</v>
      </c>
      <c r="D159" s="54">
        <v>1</v>
      </c>
      <c r="E159" s="55" t="s">
        <v>31</v>
      </c>
      <c r="F159" s="67" t="s">
        <v>137</v>
      </c>
      <c r="G159" s="56">
        <f>'[3]CUENTA T FONDO 100'!BW126</f>
        <v>3505308</v>
      </c>
      <c r="H159" s="56">
        <f>'[3]CUENTA T VS'!BW106</f>
        <v>0</v>
      </c>
      <c r="I159" s="56">
        <f t="shared" si="6"/>
        <v>3505308</v>
      </c>
      <c r="J159" s="57">
        <f t="shared" ref="J159:J166" si="7">I159/$I$25</f>
        <v>3.4898171803393906E-2</v>
      </c>
    </row>
    <row r="160" spans="1:10" ht="26.25" x14ac:dyDescent="0.25">
      <c r="A160" s="53">
        <v>2</v>
      </c>
      <c r="B160" s="54">
        <v>2</v>
      </c>
      <c r="C160" s="54">
        <v>7</v>
      </c>
      <c r="D160" s="54">
        <v>1</v>
      </c>
      <c r="E160" s="55" t="s">
        <v>33</v>
      </c>
      <c r="F160" s="67" t="s">
        <v>138</v>
      </c>
      <c r="G160" s="56">
        <f>'[3]CUENTA T FONDO 100'!BX126</f>
        <v>0</v>
      </c>
      <c r="H160" s="56">
        <f>'[3]CUENTA T VS'!BX106</f>
        <v>0</v>
      </c>
      <c r="I160" s="56">
        <f t="shared" si="6"/>
        <v>0</v>
      </c>
      <c r="J160" s="57">
        <f t="shared" si="7"/>
        <v>0</v>
      </c>
    </row>
    <row r="161" spans="1:10" ht="26.25" x14ac:dyDescent="0.25">
      <c r="A161" s="53">
        <v>2</v>
      </c>
      <c r="B161" s="54">
        <v>2</v>
      </c>
      <c r="C161" s="54">
        <v>7</v>
      </c>
      <c r="D161" s="54">
        <v>1</v>
      </c>
      <c r="E161" s="55" t="s">
        <v>35</v>
      </c>
      <c r="F161" s="67" t="s">
        <v>139</v>
      </c>
      <c r="G161" s="56">
        <f>'[3]CUENTA T FONDO 100'!BY126</f>
        <v>0</v>
      </c>
      <c r="H161" s="56">
        <f>'[3]CUENTA T VS'!BY106</f>
        <v>0</v>
      </c>
      <c r="I161" s="56">
        <f t="shared" si="6"/>
        <v>0</v>
      </c>
      <c r="J161" s="57">
        <f t="shared" si="7"/>
        <v>0</v>
      </c>
    </row>
    <row r="162" spans="1:10" ht="39" x14ac:dyDescent="0.25">
      <c r="A162" s="53">
        <v>2</v>
      </c>
      <c r="B162" s="54">
        <v>2</v>
      </c>
      <c r="C162" s="54">
        <v>7</v>
      </c>
      <c r="D162" s="54">
        <v>1</v>
      </c>
      <c r="E162" s="55" t="s">
        <v>37</v>
      </c>
      <c r="F162" s="67" t="s">
        <v>140</v>
      </c>
      <c r="G162" s="56">
        <f>'[3]CUENTA T FONDO 100'!BZ126</f>
        <v>0</v>
      </c>
      <c r="H162" s="56">
        <f>'[3]CUENTA T VS'!BZ106</f>
        <v>0</v>
      </c>
      <c r="I162" s="56">
        <f t="shared" si="6"/>
        <v>0</v>
      </c>
      <c r="J162" s="57">
        <f t="shared" si="7"/>
        <v>0</v>
      </c>
    </row>
    <row r="163" spans="1:10" ht="26.25" x14ac:dyDescent="0.25">
      <c r="A163" s="53">
        <v>2</v>
      </c>
      <c r="B163" s="54">
        <v>2</v>
      </c>
      <c r="C163" s="54">
        <v>7</v>
      </c>
      <c r="D163" s="54">
        <v>1</v>
      </c>
      <c r="E163" s="55" t="s">
        <v>39</v>
      </c>
      <c r="F163" s="67" t="s">
        <v>141</v>
      </c>
      <c r="G163" s="56">
        <f>'[3]CUENTA T FONDO 100'!CA126</f>
        <v>0</v>
      </c>
      <c r="H163" s="56">
        <f>'[3]CUENTA T VS'!CA106</f>
        <v>0</v>
      </c>
      <c r="I163" s="56">
        <f t="shared" si="6"/>
        <v>0</v>
      </c>
      <c r="J163" s="57">
        <f t="shared" si="7"/>
        <v>0</v>
      </c>
    </row>
    <row r="164" spans="1:10" x14ac:dyDescent="0.25">
      <c r="A164" s="53">
        <v>2</v>
      </c>
      <c r="B164" s="54">
        <v>2</v>
      </c>
      <c r="C164" s="54">
        <v>7</v>
      </c>
      <c r="D164" s="54">
        <v>1</v>
      </c>
      <c r="E164" s="55" t="s">
        <v>41</v>
      </c>
      <c r="F164" s="67" t="s">
        <v>142</v>
      </c>
      <c r="G164" s="56">
        <f>'[3]CUENTA T FONDO 100'!CB126</f>
        <v>0</v>
      </c>
      <c r="H164" s="56">
        <f>'[3]CUENTA T VS'!CB106</f>
        <v>0</v>
      </c>
      <c r="I164" s="56">
        <f t="shared" si="6"/>
        <v>0</v>
      </c>
      <c r="J164" s="57">
        <f t="shared" si="7"/>
        <v>0</v>
      </c>
    </row>
    <row r="165" spans="1:10" ht="39" x14ac:dyDescent="0.25">
      <c r="A165" s="53">
        <v>2</v>
      </c>
      <c r="B165" s="54">
        <v>2</v>
      </c>
      <c r="C165" s="54">
        <v>7</v>
      </c>
      <c r="D165" s="54">
        <v>1</v>
      </c>
      <c r="E165" s="55" t="s">
        <v>67</v>
      </c>
      <c r="F165" s="67" t="s">
        <v>143</v>
      </c>
      <c r="G165" s="56">
        <f>'[3]CUENTA T FONDO 100'!CC126</f>
        <v>0</v>
      </c>
      <c r="H165" s="56">
        <f>'[3]CUENTA T VS'!CC106</f>
        <v>0</v>
      </c>
      <c r="I165" s="56">
        <f t="shared" si="6"/>
        <v>0</v>
      </c>
      <c r="J165" s="57">
        <f t="shared" si="7"/>
        <v>0</v>
      </c>
    </row>
    <row r="166" spans="1:10" ht="39" x14ac:dyDescent="0.25">
      <c r="A166" s="53">
        <v>2</v>
      </c>
      <c r="B166" s="54">
        <v>2</v>
      </c>
      <c r="C166" s="54">
        <v>7</v>
      </c>
      <c r="D166" s="54">
        <v>1</v>
      </c>
      <c r="E166" s="55" t="s">
        <v>144</v>
      </c>
      <c r="F166" s="67" t="s">
        <v>145</v>
      </c>
      <c r="G166" s="56">
        <f>'[3]CUENTA T FONDO 100'!CD126</f>
        <v>0</v>
      </c>
      <c r="H166" s="56">
        <f>'[3]CUENTA T VS'!CD106</f>
        <v>91392.2</v>
      </c>
      <c r="I166" s="56">
        <f t="shared" si="6"/>
        <v>91392.2</v>
      </c>
      <c r="J166" s="57">
        <f t="shared" si="7"/>
        <v>9.0988315351750438E-4</v>
      </c>
    </row>
    <row r="167" spans="1:10" ht="26.25" x14ac:dyDescent="0.25">
      <c r="A167" s="61">
        <v>2</v>
      </c>
      <c r="B167" s="50">
        <v>2</v>
      </c>
      <c r="C167" s="50">
        <v>7</v>
      </c>
      <c r="D167" s="50">
        <v>2</v>
      </c>
      <c r="E167" s="50"/>
      <c r="F167" s="87" t="s">
        <v>146</v>
      </c>
      <c r="G167" s="51">
        <f>SUM(G168:G176)</f>
        <v>931766.35</v>
      </c>
      <c r="H167" s="51">
        <f>SUM(H168:H176)</f>
        <v>543648.69999999984</v>
      </c>
      <c r="I167" s="51">
        <f t="shared" si="6"/>
        <v>1475415.0499999998</v>
      </c>
      <c r="J167" s="58"/>
    </row>
    <row r="168" spans="1:10" ht="26.25" x14ac:dyDescent="0.25">
      <c r="A168" s="53">
        <v>2</v>
      </c>
      <c r="B168" s="54">
        <v>2</v>
      </c>
      <c r="C168" s="54">
        <v>7</v>
      </c>
      <c r="D168" s="54">
        <v>2</v>
      </c>
      <c r="E168" s="55" t="s">
        <v>31</v>
      </c>
      <c r="F168" s="67" t="s">
        <v>147</v>
      </c>
      <c r="G168" s="56">
        <f>'[3]CUENTA T FONDO 100'!CE126</f>
        <v>0</v>
      </c>
      <c r="H168" s="56">
        <f>'[3]CUENTA T VS'!CE106</f>
        <v>0</v>
      </c>
      <c r="I168" s="56">
        <f t="shared" si="6"/>
        <v>0</v>
      </c>
      <c r="J168" s="57">
        <f t="shared" ref="J168:J176" si="8">I168/$I$25</f>
        <v>0</v>
      </c>
    </row>
    <row r="169" spans="1:10" ht="26.25" x14ac:dyDescent="0.25">
      <c r="A169" s="53">
        <v>2</v>
      </c>
      <c r="B169" s="54">
        <v>2</v>
      </c>
      <c r="C169" s="54">
        <v>7</v>
      </c>
      <c r="D169" s="54">
        <v>2</v>
      </c>
      <c r="E169" s="55" t="s">
        <v>33</v>
      </c>
      <c r="F169" s="67" t="s">
        <v>148</v>
      </c>
      <c r="G169" s="56">
        <f>'[3]CUENTA T FONDO 100'!CF126</f>
        <v>0</v>
      </c>
      <c r="H169" s="56">
        <f>'[3]CUENTA T VS'!CF106</f>
        <v>0</v>
      </c>
      <c r="I169" s="56">
        <f t="shared" si="6"/>
        <v>0</v>
      </c>
      <c r="J169" s="57">
        <f t="shared" si="8"/>
        <v>0</v>
      </c>
    </row>
    <row r="170" spans="1:10" ht="26.25" x14ac:dyDescent="0.25">
      <c r="A170" s="53">
        <v>2</v>
      </c>
      <c r="B170" s="54">
        <v>2</v>
      </c>
      <c r="C170" s="54">
        <v>7</v>
      </c>
      <c r="D170" s="54">
        <v>2</v>
      </c>
      <c r="E170" s="55" t="s">
        <v>35</v>
      </c>
      <c r="F170" s="67" t="s">
        <v>149</v>
      </c>
      <c r="G170" s="56">
        <f>'[3]CUENTA T FONDO 100'!CG126</f>
        <v>0</v>
      </c>
      <c r="H170" s="56">
        <f>'[3]CUENTA T VS'!CG106</f>
        <v>0</v>
      </c>
      <c r="I170" s="56">
        <f t="shared" si="6"/>
        <v>0</v>
      </c>
      <c r="J170" s="57">
        <f t="shared" si="8"/>
        <v>0</v>
      </c>
    </row>
    <row r="171" spans="1:10" ht="39" x14ac:dyDescent="0.25">
      <c r="A171" s="53">
        <v>2</v>
      </c>
      <c r="B171" s="54">
        <v>2</v>
      </c>
      <c r="C171" s="54">
        <v>7</v>
      </c>
      <c r="D171" s="54">
        <v>2</v>
      </c>
      <c r="E171" s="55" t="s">
        <v>37</v>
      </c>
      <c r="F171" s="67" t="s">
        <v>150</v>
      </c>
      <c r="G171" s="56">
        <f>'[3]CUENTA T FONDO 100'!CH126</f>
        <v>0</v>
      </c>
      <c r="H171" s="56">
        <f>'[3]CUENTA T VS'!CH106</f>
        <v>0</v>
      </c>
      <c r="I171" s="56">
        <f t="shared" si="6"/>
        <v>0</v>
      </c>
      <c r="J171" s="57">
        <f t="shared" si="8"/>
        <v>0</v>
      </c>
    </row>
    <row r="172" spans="1:10" ht="26.25" x14ac:dyDescent="0.25">
      <c r="A172" s="53">
        <v>2</v>
      </c>
      <c r="B172" s="54">
        <v>2</v>
      </c>
      <c r="C172" s="54">
        <v>7</v>
      </c>
      <c r="D172" s="54">
        <v>2</v>
      </c>
      <c r="E172" s="55" t="s">
        <v>39</v>
      </c>
      <c r="F172" s="67" t="s">
        <v>151</v>
      </c>
      <c r="G172" s="56">
        <f>'[3]CUENTA T FONDO 100'!CI126</f>
        <v>0</v>
      </c>
      <c r="H172" s="56">
        <f>'[3]CUENTA T VS'!CI106</f>
        <v>0</v>
      </c>
      <c r="I172" s="56">
        <f t="shared" si="6"/>
        <v>0</v>
      </c>
      <c r="J172" s="57">
        <f t="shared" si="8"/>
        <v>0</v>
      </c>
    </row>
    <row r="173" spans="1:10" ht="38.25" x14ac:dyDescent="0.25">
      <c r="A173" s="53">
        <v>2</v>
      </c>
      <c r="B173" s="54">
        <v>2</v>
      </c>
      <c r="C173" s="54">
        <v>7</v>
      </c>
      <c r="D173" s="54">
        <v>2</v>
      </c>
      <c r="E173" s="55" t="s">
        <v>41</v>
      </c>
      <c r="F173" s="68" t="s">
        <v>152</v>
      </c>
      <c r="G173" s="56">
        <f>'[3]CUENTA T FONDO 100'!CJ126</f>
        <v>931766.35</v>
      </c>
      <c r="H173" s="56">
        <f>'[3]CUENTA T VS'!CJ106</f>
        <v>110320.01</v>
      </c>
      <c r="I173" s="56">
        <f t="shared" si="6"/>
        <v>1042086.36</v>
      </c>
      <c r="J173" s="57">
        <f t="shared" si="8"/>
        <v>1.0374811236345961E-2</v>
      </c>
    </row>
    <row r="174" spans="1:10" ht="25.5" x14ac:dyDescent="0.25">
      <c r="A174" s="53">
        <v>2</v>
      </c>
      <c r="B174" s="54">
        <v>2</v>
      </c>
      <c r="C174" s="54">
        <v>7</v>
      </c>
      <c r="D174" s="54">
        <v>2</v>
      </c>
      <c r="E174" s="55" t="s">
        <v>67</v>
      </c>
      <c r="F174" s="68" t="s">
        <v>153</v>
      </c>
      <c r="G174" s="56">
        <f>'[3]CUENTA T FONDO 100'!CK126</f>
        <v>0</v>
      </c>
      <c r="H174" s="56">
        <f>'[3]CUENTA T VS'!CK106</f>
        <v>0</v>
      </c>
      <c r="I174" s="56">
        <f t="shared" si="6"/>
        <v>0</v>
      </c>
      <c r="J174" s="57">
        <f t="shared" si="8"/>
        <v>0</v>
      </c>
    </row>
    <row r="175" spans="1:10" ht="25.5" x14ac:dyDescent="0.25">
      <c r="A175" s="53">
        <v>2</v>
      </c>
      <c r="B175" s="54">
        <v>2</v>
      </c>
      <c r="C175" s="54">
        <v>7</v>
      </c>
      <c r="D175" s="54">
        <v>2</v>
      </c>
      <c r="E175" s="55" t="s">
        <v>47</v>
      </c>
      <c r="F175" s="68" t="s">
        <v>154</v>
      </c>
      <c r="G175" s="56">
        <f>'[3]CUENTA T FONDO 100'!CL126</f>
        <v>0</v>
      </c>
      <c r="H175" s="56">
        <f>'[3]CUENTA T VS'!CL106</f>
        <v>433328.68999999989</v>
      </c>
      <c r="I175" s="56">
        <f t="shared" si="6"/>
        <v>433328.68999999989</v>
      </c>
      <c r="J175" s="57">
        <f t="shared" si="8"/>
        <v>4.3141370375897395E-3</v>
      </c>
    </row>
    <row r="176" spans="1:10" ht="51" x14ac:dyDescent="0.25">
      <c r="A176" s="53">
        <v>2</v>
      </c>
      <c r="B176" s="54">
        <v>2</v>
      </c>
      <c r="C176" s="54">
        <v>7</v>
      </c>
      <c r="D176" s="54">
        <v>2</v>
      </c>
      <c r="E176" s="55" t="s">
        <v>144</v>
      </c>
      <c r="F176" s="68" t="s">
        <v>155</v>
      </c>
      <c r="G176" s="56">
        <f>'[3]CUENTA T FONDO 100'!CM126</f>
        <v>0</v>
      </c>
      <c r="H176" s="56">
        <f>'[3]CUENTA T VS'!CM106</f>
        <v>0</v>
      </c>
      <c r="I176" s="56">
        <f t="shared" si="6"/>
        <v>0</v>
      </c>
      <c r="J176" s="57">
        <f t="shared" si="8"/>
        <v>0</v>
      </c>
    </row>
    <row r="177" spans="1:10" x14ac:dyDescent="0.25">
      <c r="A177" s="49">
        <v>2</v>
      </c>
      <c r="B177" s="50">
        <v>2</v>
      </c>
      <c r="C177" s="50">
        <v>7</v>
      </c>
      <c r="D177" s="50">
        <v>3</v>
      </c>
      <c r="E177" s="64"/>
      <c r="F177" s="69" t="s">
        <v>156</v>
      </c>
      <c r="G177" s="51">
        <f>SUM(G178)</f>
        <v>0</v>
      </c>
      <c r="H177" s="51">
        <f>SUM(H178)</f>
        <v>0</v>
      </c>
      <c r="I177" s="51">
        <f t="shared" si="6"/>
        <v>0</v>
      </c>
      <c r="J177" s="58"/>
    </row>
    <row r="178" spans="1:10" x14ac:dyDescent="0.25">
      <c r="A178" s="53">
        <v>2</v>
      </c>
      <c r="B178" s="54">
        <v>2</v>
      </c>
      <c r="C178" s="54">
        <v>7</v>
      </c>
      <c r="D178" s="54">
        <v>3</v>
      </c>
      <c r="E178" s="55" t="s">
        <v>31</v>
      </c>
      <c r="F178" s="68" t="s">
        <v>156</v>
      </c>
      <c r="G178" s="56">
        <f>'[3]CUENTA T FONDO 100'!CN126</f>
        <v>0</v>
      </c>
      <c r="H178" s="56">
        <f>'[3]CUENTA T VS'!CN106</f>
        <v>0</v>
      </c>
      <c r="I178" s="56">
        <f t="shared" si="6"/>
        <v>0</v>
      </c>
      <c r="J178" s="57">
        <f>I178/$I$25</f>
        <v>0</v>
      </c>
    </row>
    <row r="179" spans="1:10" x14ac:dyDescent="0.25">
      <c r="A179" s="46">
        <v>2</v>
      </c>
      <c r="B179" s="47">
        <v>2</v>
      </c>
      <c r="C179" s="47">
        <v>8</v>
      </c>
      <c r="D179" s="47"/>
      <c r="E179" s="47"/>
      <c r="F179" s="70" t="s">
        <v>157</v>
      </c>
      <c r="G179" s="48">
        <f>+G180+G182+G184+G186+G188+G192+G197+G204</f>
        <v>0</v>
      </c>
      <c r="H179" s="48">
        <f>+H180+H182+H184+H186+H188+H192+H197+H204</f>
        <v>1098662.3999999999</v>
      </c>
      <c r="I179" s="48">
        <f t="shared" si="6"/>
        <v>1098662.3999999999</v>
      </c>
      <c r="J179" s="45"/>
    </row>
    <row r="180" spans="1:10" x14ac:dyDescent="0.25">
      <c r="A180" s="49">
        <v>2</v>
      </c>
      <c r="B180" s="50">
        <v>2</v>
      </c>
      <c r="C180" s="50">
        <v>8</v>
      </c>
      <c r="D180" s="50">
        <v>1</v>
      </c>
      <c r="E180" s="50"/>
      <c r="F180" s="69" t="s">
        <v>158</v>
      </c>
      <c r="G180" s="51">
        <f>SUM(G181)</f>
        <v>0</v>
      </c>
      <c r="H180" s="51">
        <f>SUM(H181)</f>
        <v>0</v>
      </c>
      <c r="I180" s="51">
        <f t="shared" si="6"/>
        <v>0</v>
      </c>
      <c r="J180" s="58"/>
    </row>
    <row r="181" spans="1:10" x14ac:dyDescent="0.25">
      <c r="A181" s="53">
        <v>2</v>
      </c>
      <c r="B181" s="54">
        <v>2</v>
      </c>
      <c r="C181" s="54">
        <v>8</v>
      </c>
      <c r="D181" s="54">
        <v>1</v>
      </c>
      <c r="E181" s="55" t="s">
        <v>31</v>
      </c>
      <c r="F181" s="68" t="s">
        <v>158</v>
      </c>
      <c r="G181" s="56">
        <f>'[3]CUENTA T FONDO 100'!CO126</f>
        <v>0</v>
      </c>
      <c r="H181" s="56">
        <f>'[3]CUENTA T VS'!CO106</f>
        <v>0</v>
      </c>
      <c r="I181" s="56">
        <f t="shared" si="6"/>
        <v>0</v>
      </c>
      <c r="J181" s="57">
        <f>I181/$I$25</f>
        <v>0</v>
      </c>
    </row>
    <row r="182" spans="1:10" x14ac:dyDescent="0.25">
      <c r="A182" s="49">
        <v>2</v>
      </c>
      <c r="B182" s="50">
        <v>2</v>
      </c>
      <c r="C182" s="50">
        <v>8</v>
      </c>
      <c r="D182" s="50">
        <v>2</v>
      </c>
      <c r="E182" s="50"/>
      <c r="F182" s="69" t="s">
        <v>159</v>
      </c>
      <c r="G182" s="51">
        <f>SUM(G183)</f>
        <v>0</v>
      </c>
      <c r="H182" s="51">
        <f>SUM(H183)</f>
        <v>0</v>
      </c>
      <c r="I182" s="51">
        <f t="shared" si="6"/>
        <v>0</v>
      </c>
      <c r="J182" s="58"/>
    </row>
    <row r="183" spans="1:10" x14ac:dyDescent="0.25">
      <c r="A183" s="53">
        <v>2</v>
      </c>
      <c r="B183" s="54">
        <v>2</v>
      </c>
      <c r="C183" s="54">
        <v>8</v>
      </c>
      <c r="D183" s="54">
        <v>2</v>
      </c>
      <c r="E183" s="55" t="s">
        <v>31</v>
      </c>
      <c r="F183" s="68" t="s">
        <v>159</v>
      </c>
      <c r="G183" s="56">
        <f>'[3]CUENTA T FONDO 100'!CP126</f>
        <v>0</v>
      </c>
      <c r="H183" s="56">
        <f>'[3]CUENTA T VS'!CP106</f>
        <v>0</v>
      </c>
      <c r="I183" s="56">
        <f t="shared" si="6"/>
        <v>0</v>
      </c>
      <c r="J183" s="57">
        <f>I183/$I$25</f>
        <v>0</v>
      </c>
    </row>
    <row r="184" spans="1:10" ht="25.5" x14ac:dyDescent="0.25">
      <c r="A184" s="49">
        <v>2</v>
      </c>
      <c r="B184" s="50">
        <v>2</v>
      </c>
      <c r="C184" s="50">
        <v>8</v>
      </c>
      <c r="D184" s="50">
        <v>3</v>
      </c>
      <c r="E184" s="50"/>
      <c r="F184" s="69" t="s">
        <v>160</v>
      </c>
      <c r="G184" s="51">
        <f>SUM(G185)</f>
        <v>0</v>
      </c>
      <c r="H184" s="51">
        <f>SUM(H185)</f>
        <v>0</v>
      </c>
      <c r="I184" s="51">
        <f t="shared" si="6"/>
        <v>0</v>
      </c>
      <c r="J184" s="58"/>
    </row>
    <row r="185" spans="1:10" ht="25.5" x14ac:dyDescent="0.25">
      <c r="A185" s="53">
        <v>2</v>
      </c>
      <c r="B185" s="54">
        <v>2</v>
      </c>
      <c r="C185" s="54">
        <v>8</v>
      </c>
      <c r="D185" s="54">
        <v>3</v>
      </c>
      <c r="E185" s="55" t="s">
        <v>31</v>
      </c>
      <c r="F185" s="68" t="s">
        <v>160</v>
      </c>
      <c r="G185" s="56">
        <f>'[3]CUENTA T FONDO 100'!CQ126</f>
        <v>0</v>
      </c>
      <c r="H185" s="56">
        <f>'[3]CUENTA T VS'!CQ106</f>
        <v>0</v>
      </c>
      <c r="I185" s="56">
        <f t="shared" si="6"/>
        <v>0</v>
      </c>
      <c r="J185" s="57">
        <f>I185/$I$25</f>
        <v>0</v>
      </c>
    </row>
    <row r="186" spans="1:10" ht="25.5" x14ac:dyDescent="0.25">
      <c r="A186" s="49">
        <v>2</v>
      </c>
      <c r="B186" s="50">
        <v>2</v>
      </c>
      <c r="C186" s="50">
        <v>8</v>
      </c>
      <c r="D186" s="50">
        <v>4</v>
      </c>
      <c r="E186" s="50"/>
      <c r="F186" s="69" t="s">
        <v>161</v>
      </c>
      <c r="G186" s="51">
        <f>SUM(G187)</f>
        <v>0</v>
      </c>
      <c r="H186" s="51">
        <f>SUM(H187)</f>
        <v>0</v>
      </c>
      <c r="I186" s="51">
        <f t="shared" si="6"/>
        <v>0</v>
      </c>
      <c r="J186" s="58"/>
    </row>
    <row r="187" spans="1:10" ht="25.5" x14ac:dyDescent="0.25">
      <c r="A187" s="53">
        <v>2</v>
      </c>
      <c r="B187" s="54">
        <v>2</v>
      </c>
      <c r="C187" s="54">
        <v>8</v>
      </c>
      <c r="D187" s="54">
        <v>4</v>
      </c>
      <c r="E187" s="55" t="s">
        <v>31</v>
      </c>
      <c r="F187" s="68" t="s">
        <v>161</v>
      </c>
      <c r="G187" s="56">
        <f>'[3]CUENTA T FONDO 100'!CR126</f>
        <v>0</v>
      </c>
      <c r="H187" s="56">
        <f>'[3]CUENTA T VS'!CR106</f>
        <v>0</v>
      </c>
      <c r="I187" s="56">
        <f t="shared" si="6"/>
        <v>0</v>
      </c>
      <c r="J187" s="57">
        <f>I187/$I$25</f>
        <v>0</v>
      </c>
    </row>
    <row r="188" spans="1:10" ht="25.5" x14ac:dyDescent="0.25">
      <c r="A188" s="49">
        <v>2</v>
      </c>
      <c r="B188" s="50">
        <v>2</v>
      </c>
      <c r="C188" s="50">
        <v>8</v>
      </c>
      <c r="D188" s="50">
        <v>5</v>
      </c>
      <c r="E188" s="50"/>
      <c r="F188" s="69" t="s">
        <v>162</v>
      </c>
      <c r="G188" s="51">
        <f>SUM(G189:G191)</f>
        <v>0</v>
      </c>
      <c r="H188" s="51">
        <f>SUM(H189:H191)</f>
        <v>197673.60000000001</v>
      </c>
      <c r="I188" s="51">
        <f t="shared" si="6"/>
        <v>197673.60000000001</v>
      </c>
      <c r="J188" s="58"/>
    </row>
    <row r="189" spans="1:10" x14ac:dyDescent="0.25">
      <c r="A189" s="53">
        <v>2</v>
      </c>
      <c r="B189" s="54">
        <v>2</v>
      </c>
      <c r="C189" s="54">
        <v>8</v>
      </c>
      <c r="D189" s="54">
        <v>5</v>
      </c>
      <c r="E189" s="55" t="s">
        <v>31</v>
      </c>
      <c r="F189" s="68" t="s">
        <v>163</v>
      </c>
      <c r="G189" s="56">
        <f>'[3]CUENTA T FONDO 100'!CS126</f>
        <v>0</v>
      </c>
      <c r="H189" s="56">
        <f>'[3]CUENTA T VS'!CS106</f>
        <v>0</v>
      </c>
      <c r="I189" s="56">
        <f t="shared" si="6"/>
        <v>0</v>
      </c>
      <c r="J189" s="57">
        <f>I189/$I$25</f>
        <v>0</v>
      </c>
    </row>
    <row r="190" spans="1:10" x14ac:dyDescent="0.25">
      <c r="A190" s="53">
        <v>2</v>
      </c>
      <c r="B190" s="54">
        <v>2</v>
      </c>
      <c r="C190" s="54">
        <v>8</v>
      </c>
      <c r="D190" s="54">
        <v>5</v>
      </c>
      <c r="E190" s="55" t="s">
        <v>33</v>
      </c>
      <c r="F190" s="68" t="s">
        <v>164</v>
      </c>
      <c r="G190" s="56">
        <f>'[3]CUENTA T FONDO 100'!CT126</f>
        <v>0</v>
      </c>
      <c r="H190" s="56">
        <f>'[3]CUENTA T VS'!CT106</f>
        <v>0</v>
      </c>
      <c r="I190" s="56">
        <f t="shared" si="6"/>
        <v>0</v>
      </c>
      <c r="J190" s="57">
        <f>I190/$I$25</f>
        <v>0</v>
      </c>
    </row>
    <row r="191" spans="1:10" x14ac:dyDescent="0.25">
      <c r="A191" s="53">
        <v>2</v>
      </c>
      <c r="B191" s="54">
        <v>2</v>
      </c>
      <c r="C191" s="54">
        <v>8</v>
      </c>
      <c r="D191" s="54">
        <v>5</v>
      </c>
      <c r="E191" s="55" t="s">
        <v>35</v>
      </c>
      <c r="F191" s="68" t="s">
        <v>165</v>
      </c>
      <c r="G191" s="56">
        <f>'[3]CUENTA T FONDO 100'!CU126</f>
        <v>0</v>
      </c>
      <c r="H191" s="56">
        <f>'[3]CUENTA T VS'!CU106</f>
        <v>197673.60000000001</v>
      </c>
      <c r="I191" s="56">
        <f t="shared" si="6"/>
        <v>197673.60000000001</v>
      </c>
      <c r="J191" s="57">
        <f>I191/$I$25</f>
        <v>1.9680003166042373E-3</v>
      </c>
    </row>
    <row r="192" spans="1:10" ht="25.5" x14ac:dyDescent="0.25">
      <c r="A192" s="49">
        <v>2</v>
      </c>
      <c r="B192" s="50">
        <v>2</v>
      </c>
      <c r="C192" s="50">
        <v>8</v>
      </c>
      <c r="D192" s="50">
        <v>6</v>
      </c>
      <c r="E192" s="50"/>
      <c r="F192" s="69" t="s">
        <v>166</v>
      </c>
      <c r="G192" s="51">
        <f>SUM(G193:G196)</f>
        <v>0</v>
      </c>
      <c r="H192" s="51">
        <f>SUM(H193:H196)</f>
        <v>240720</v>
      </c>
      <c r="I192" s="51">
        <f t="shared" si="6"/>
        <v>240720</v>
      </c>
      <c r="J192" s="58"/>
    </row>
    <row r="193" spans="1:10" x14ac:dyDescent="0.25">
      <c r="A193" s="53">
        <v>2</v>
      </c>
      <c r="B193" s="54">
        <v>2</v>
      </c>
      <c r="C193" s="54">
        <v>8</v>
      </c>
      <c r="D193" s="54">
        <v>6</v>
      </c>
      <c r="E193" s="55" t="s">
        <v>31</v>
      </c>
      <c r="F193" s="68" t="s">
        <v>167</v>
      </c>
      <c r="G193" s="56">
        <f>'[3]CUENTA T FONDO 100'!CV126</f>
        <v>0</v>
      </c>
      <c r="H193" s="56">
        <f>'[3]CUENTA T VS'!CV106</f>
        <v>240720</v>
      </c>
      <c r="I193" s="56">
        <f t="shared" si="6"/>
        <v>240720</v>
      </c>
      <c r="J193" s="57">
        <f>I193/$I$25</f>
        <v>2.3965619901340999E-3</v>
      </c>
    </row>
    <row r="194" spans="1:10" x14ac:dyDescent="0.25">
      <c r="A194" s="53">
        <v>2</v>
      </c>
      <c r="B194" s="54">
        <v>2</v>
      </c>
      <c r="C194" s="54">
        <v>8</v>
      </c>
      <c r="D194" s="54">
        <v>6</v>
      </c>
      <c r="E194" s="55" t="s">
        <v>33</v>
      </c>
      <c r="F194" s="68" t="s">
        <v>168</v>
      </c>
      <c r="G194" s="56">
        <f>'[3]CUENTA T FONDO 100'!CW126</f>
        <v>0</v>
      </c>
      <c r="H194" s="56">
        <f>'[3]CUENTA T VS'!CW106</f>
        <v>0</v>
      </c>
      <c r="I194" s="56">
        <f t="shared" si="6"/>
        <v>0</v>
      </c>
      <c r="J194" s="57">
        <f>I194/$I$25</f>
        <v>0</v>
      </c>
    </row>
    <row r="195" spans="1:10" x14ac:dyDescent="0.25">
      <c r="A195" s="53">
        <v>2</v>
      </c>
      <c r="B195" s="54">
        <v>2</v>
      </c>
      <c r="C195" s="54">
        <v>8</v>
      </c>
      <c r="D195" s="54">
        <v>6</v>
      </c>
      <c r="E195" s="55" t="s">
        <v>35</v>
      </c>
      <c r="F195" s="68" t="s">
        <v>169</v>
      </c>
      <c r="G195" s="56">
        <f>'[3]CUENTA T FONDO 100'!CX126</f>
        <v>0</v>
      </c>
      <c r="H195" s="56">
        <f>'[3]CUENTA T VS'!CX106</f>
        <v>0</v>
      </c>
      <c r="I195" s="56">
        <f t="shared" si="6"/>
        <v>0</v>
      </c>
      <c r="J195" s="57">
        <f>I195/$I$25</f>
        <v>0</v>
      </c>
    </row>
    <row r="196" spans="1:10" x14ac:dyDescent="0.25">
      <c r="A196" s="53">
        <v>2</v>
      </c>
      <c r="B196" s="54">
        <v>2</v>
      </c>
      <c r="C196" s="54">
        <v>8</v>
      </c>
      <c r="D196" s="54">
        <v>6</v>
      </c>
      <c r="E196" s="55" t="s">
        <v>37</v>
      </c>
      <c r="F196" s="68" t="s">
        <v>170</v>
      </c>
      <c r="G196" s="56">
        <f>'[3]CUENTA T FONDO 100'!CY126</f>
        <v>0</v>
      </c>
      <c r="H196" s="56">
        <f>'[3]CUENTA T VS'!CY106</f>
        <v>0</v>
      </c>
      <c r="I196" s="56">
        <f t="shared" si="6"/>
        <v>0</v>
      </c>
      <c r="J196" s="57">
        <f>I196/$I$25</f>
        <v>0</v>
      </c>
    </row>
    <row r="197" spans="1:10" ht="25.5" x14ac:dyDescent="0.25">
      <c r="A197" s="49">
        <v>2</v>
      </c>
      <c r="B197" s="50">
        <v>2</v>
      </c>
      <c r="C197" s="50">
        <v>8</v>
      </c>
      <c r="D197" s="50">
        <v>7</v>
      </c>
      <c r="E197" s="50"/>
      <c r="F197" s="69" t="s">
        <v>171</v>
      </c>
      <c r="G197" s="51">
        <f>SUM(G198:G203)</f>
        <v>0</v>
      </c>
      <c r="H197" s="51">
        <f>SUM(H198:H203)</f>
        <v>660268.80000000005</v>
      </c>
      <c r="I197" s="51">
        <f t="shared" si="6"/>
        <v>660268.80000000005</v>
      </c>
      <c r="J197" s="58"/>
    </row>
    <row r="198" spans="1:10" ht="25.5" x14ac:dyDescent="0.25">
      <c r="A198" s="53">
        <v>2</v>
      </c>
      <c r="B198" s="54">
        <v>2</v>
      </c>
      <c r="C198" s="54">
        <v>8</v>
      </c>
      <c r="D198" s="54">
        <v>7</v>
      </c>
      <c r="E198" s="55" t="s">
        <v>31</v>
      </c>
      <c r="F198" s="68" t="s">
        <v>172</v>
      </c>
      <c r="G198" s="56">
        <f>'[3]CUENTA T FONDO 100'!CZ126</f>
        <v>0</v>
      </c>
      <c r="H198" s="56">
        <f>'[3]CUENTA T VS'!CZ106</f>
        <v>0</v>
      </c>
      <c r="I198" s="56">
        <f t="shared" si="6"/>
        <v>0</v>
      </c>
      <c r="J198" s="57">
        <f t="shared" ref="J198:J203" si="9">I198/$I$25</f>
        <v>0</v>
      </c>
    </row>
    <row r="199" spans="1:10" x14ac:dyDescent="0.25">
      <c r="A199" s="53">
        <v>2</v>
      </c>
      <c r="B199" s="54">
        <v>2</v>
      </c>
      <c r="C199" s="54">
        <v>8</v>
      </c>
      <c r="D199" s="54">
        <v>7</v>
      </c>
      <c r="E199" s="55" t="s">
        <v>33</v>
      </c>
      <c r="F199" s="68" t="s">
        <v>173</v>
      </c>
      <c r="G199" s="56">
        <f>'[3]CUENTA T FONDO 100'!DA126</f>
        <v>0</v>
      </c>
      <c r="H199" s="56">
        <f>'[3]CUENTA T VS'!DA106</f>
        <v>0</v>
      </c>
      <c r="I199" s="56">
        <f t="shared" si="6"/>
        <v>0</v>
      </c>
      <c r="J199" s="57">
        <f t="shared" si="9"/>
        <v>0</v>
      </c>
    </row>
    <row r="200" spans="1:10" ht="25.5" x14ac:dyDescent="0.25">
      <c r="A200" s="53">
        <v>2</v>
      </c>
      <c r="B200" s="54">
        <v>2</v>
      </c>
      <c r="C200" s="54">
        <v>8</v>
      </c>
      <c r="D200" s="54">
        <v>7</v>
      </c>
      <c r="E200" s="55" t="s">
        <v>35</v>
      </c>
      <c r="F200" s="68" t="s">
        <v>174</v>
      </c>
      <c r="G200" s="56">
        <f>'[3]CUENTA T FONDO 100'!DB126</f>
        <v>0</v>
      </c>
      <c r="H200" s="56">
        <f>'[3]CUENTA T VS'!DB106</f>
        <v>0</v>
      </c>
      <c r="I200" s="56">
        <f t="shared" si="6"/>
        <v>0</v>
      </c>
      <c r="J200" s="57">
        <f t="shared" si="9"/>
        <v>0</v>
      </c>
    </row>
    <row r="201" spans="1:10" x14ac:dyDescent="0.25">
      <c r="A201" s="53">
        <v>2</v>
      </c>
      <c r="B201" s="54">
        <v>2</v>
      </c>
      <c r="C201" s="54">
        <v>8</v>
      </c>
      <c r="D201" s="54">
        <v>7</v>
      </c>
      <c r="E201" s="55" t="s">
        <v>37</v>
      </c>
      <c r="F201" s="68" t="s">
        <v>175</v>
      </c>
      <c r="G201" s="56">
        <f>'[3]CUENTA T FONDO 100'!DC126</f>
        <v>0</v>
      </c>
      <c r="H201" s="56">
        <f>'[3]CUENTA T VS'!DC106</f>
        <v>29305.8</v>
      </c>
      <c r="I201" s="56">
        <f t="shared" si="6"/>
        <v>29305.8</v>
      </c>
      <c r="J201" s="57">
        <f t="shared" si="9"/>
        <v>2.9176290449680915E-4</v>
      </c>
    </row>
    <row r="202" spans="1:10" ht="25.5" x14ac:dyDescent="0.25">
      <c r="A202" s="53">
        <v>2</v>
      </c>
      <c r="B202" s="54">
        <v>2</v>
      </c>
      <c r="C202" s="54">
        <v>8</v>
      </c>
      <c r="D202" s="54">
        <v>7</v>
      </c>
      <c r="E202" s="55" t="s">
        <v>39</v>
      </c>
      <c r="F202" s="68" t="s">
        <v>176</v>
      </c>
      <c r="G202" s="56">
        <f>'[3]CUENTA T FONDO 100'!DD126</f>
        <v>0</v>
      </c>
      <c r="H202" s="56">
        <f>'[3]CUENTA T VS'!DD106</f>
        <v>0</v>
      </c>
      <c r="I202" s="56">
        <f t="shared" si="6"/>
        <v>0</v>
      </c>
      <c r="J202" s="57">
        <f t="shared" si="9"/>
        <v>0</v>
      </c>
    </row>
    <row r="203" spans="1:10" ht="25.5" x14ac:dyDescent="0.25">
      <c r="A203" s="53">
        <v>2</v>
      </c>
      <c r="B203" s="54">
        <v>2</v>
      </c>
      <c r="C203" s="54">
        <v>8</v>
      </c>
      <c r="D203" s="54">
        <v>7</v>
      </c>
      <c r="E203" s="55" t="s">
        <v>41</v>
      </c>
      <c r="F203" s="68" t="s">
        <v>177</v>
      </c>
      <c r="G203" s="56">
        <f>'[3]CUENTA T FONDO 100'!DE126</f>
        <v>0</v>
      </c>
      <c r="H203" s="56">
        <f>'[3]CUENTA T VS'!DE106</f>
        <v>630963</v>
      </c>
      <c r="I203" s="56">
        <f t="shared" si="6"/>
        <v>630963</v>
      </c>
      <c r="J203" s="57">
        <f t="shared" si="9"/>
        <v>6.2817461905158769E-3</v>
      </c>
    </row>
    <row r="204" spans="1:10" x14ac:dyDescent="0.25">
      <c r="A204" s="49">
        <v>2</v>
      </c>
      <c r="B204" s="50">
        <v>2</v>
      </c>
      <c r="C204" s="50">
        <v>8</v>
      </c>
      <c r="D204" s="50">
        <v>8</v>
      </c>
      <c r="E204" s="50"/>
      <c r="F204" s="69" t="s">
        <v>178</v>
      </c>
      <c r="G204" s="51">
        <f>SUM(G205:G207)</f>
        <v>0</v>
      </c>
      <c r="H204" s="51">
        <f>SUM(H205:H207)</f>
        <v>0</v>
      </c>
      <c r="I204" s="51">
        <f t="shared" si="6"/>
        <v>0</v>
      </c>
      <c r="J204" s="58"/>
    </row>
    <row r="205" spans="1:10" x14ac:dyDescent="0.25">
      <c r="A205" s="53">
        <v>2</v>
      </c>
      <c r="B205" s="54">
        <v>2</v>
      </c>
      <c r="C205" s="54">
        <v>8</v>
      </c>
      <c r="D205" s="54">
        <v>8</v>
      </c>
      <c r="E205" s="55" t="s">
        <v>31</v>
      </c>
      <c r="F205" s="68" t="s">
        <v>179</v>
      </c>
      <c r="G205" s="56">
        <f>'[3]CUENTA T FONDO 100'!DF126</f>
        <v>0</v>
      </c>
      <c r="H205" s="56">
        <f>'[3]CUENTA T VS'!DF106</f>
        <v>0</v>
      </c>
      <c r="I205" s="56">
        <f t="shared" si="6"/>
        <v>0</v>
      </c>
      <c r="J205" s="57">
        <f>I205/$I$25</f>
        <v>0</v>
      </c>
    </row>
    <row r="206" spans="1:10" x14ac:dyDescent="0.25">
      <c r="A206" s="53">
        <v>2</v>
      </c>
      <c r="B206" s="54">
        <v>2</v>
      </c>
      <c r="C206" s="54">
        <v>8</v>
      </c>
      <c r="D206" s="54">
        <v>8</v>
      </c>
      <c r="E206" s="55" t="s">
        <v>33</v>
      </c>
      <c r="F206" s="68" t="s">
        <v>180</v>
      </c>
      <c r="G206" s="56">
        <f>'[3]CUENTA T FONDO 100'!DG126</f>
        <v>0</v>
      </c>
      <c r="H206" s="56">
        <f>'[3]CUENTA T VS'!DG106</f>
        <v>0</v>
      </c>
      <c r="I206" s="56">
        <f t="shared" si="6"/>
        <v>0</v>
      </c>
      <c r="J206" s="57">
        <f>I206/$I$25</f>
        <v>0</v>
      </c>
    </row>
    <row r="207" spans="1:10" x14ac:dyDescent="0.25">
      <c r="A207" s="53">
        <v>2</v>
      </c>
      <c r="B207" s="54">
        <v>2</v>
      </c>
      <c r="C207" s="54">
        <v>8</v>
      </c>
      <c r="D207" s="54">
        <v>8</v>
      </c>
      <c r="E207" s="55" t="s">
        <v>35</v>
      </c>
      <c r="F207" s="68" t="s">
        <v>181</v>
      </c>
      <c r="G207" s="56">
        <f>'[3]CUENTA T FONDO 100'!DH126</f>
        <v>0</v>
      </c>
      <c r="H207" s="56">
        <f>'[3]CUENTA T VS'!DH106</f>
        <v>0</v>
      </c>
      <c r="I207" s="56">
        <f t="shared" si="6"/>
        <v>0</v>
      </c>
      <c r="J207" s="57">
        <f>I207/$I$25</f>
        <v>0</v>
      </c>
    </row>
    <row r="208" spans="1:10" x14ac:dyDescent="0.25">
      <c r="A208" s="46">
        <v>2</v>
      </c>
      <c r="B208" s="47">
        <v>2</v>
      </c>
      <c r="C208" s="47">
        <v>9</v>
      </c>
      <c r="D208" s="47"/>
      <c r="E208" s="47"/>
      <c r="F208" s="70" t="s">
        <v>182</v>
      </c>
      <c r="G208" s="48">
        <f t="shared" ref="G208:H208" si="10">+G209</f>
        <v>3423745.04</v>
      </c>
      <c r="H208" s="48">
        <f t="shared" si="10"/>
        <v>910287.4</v>
      </c>
      <c r="I208" s="48">
        <f t="shared" si="6"/>
        <v>4334032.4400000004</v>
      </c>
      <c r="J208" s="45"/>
    </row>
    <row r="209" spans="1:10" x14ac:dyDescent="0.25">
      <c r="A209" s="49">
        <v>2</v>
      </c>
      <c r="B209" s="50">
        <v>2</v>
      </c>
      <c r="C209" s="50">
        <v>9</v>
      </c>
      <c r="D209" s="50">
        <v>2</v>
      </c>
      <c r="E209" s="50"/>
      <c r="F209" s="69" t="s">
        <v>183</v>
      </c>
      <c r="G209" s="51">
        <f>G210+G211</f>
        <v>3423745.04</v>
      </c>
      <c r="H209" s="51">
        <f t="shared" ref="H209" si="11">H210+H211</f>
        <v>910287.4</v>
      </c>
      <c r="I209" s="51">
        <f t="shared" si="6"/>
        <v>4334032.4400000004</v>
      </c>
      <c r="J209" s="58"/>
    </row>
    <row r="210" spans="1:10" x14ac:dyDescent="0.25">
      <c r="A210" s="53">
        <v>2</v>
      </c>
      <c r="B210" s="54">
        <v>2</v>
      </c>
      <c r="C210" s="54">
        <v>9</v>
      </c>
      <c r="D210" s="54">
        <v>2</v>
      </c>
      <c r="E210" s="55" t="s">
        <v>31</v>
      </c>
      <c r="F210" s="68" t="s">
        <v>184</v>
      </c>
      <c r="G210" s="56">
        <f>'[3]CUENTA T FONDO 100'!DI126</f>
        <v>1726315.04</v>
      </c>
      <c r="H210" s="56">
        <f>'[3]CUENTA T VS'!DI106</f>
        <v>910287.4</v>
      </c>
      <c r="I210" s="56">
        <f t="shared" si="6"/>
        <v>2636602.44</v>
      </c>
      <c r="J210" s="57">
        <f>I210/$I$25</f>
        <v>2.6249506442334758E-2</v>
      </c>
    </row>
    <row r="211" spans="1:10" x14ac:dyDescent="0.25">
      <c r="A211" s="53">
        <v>2</v>
      </c>
      <c r="B211" s="54">
        <v>2</v>
      </c>
      <c r="C211" s="54">
        <v>9</v>
      </c>
      <c r="D211" s="54">
        <v>2</v>
      </c>
      <c r="E211" s="55" t="s">
        <v>35</v>
      </c>
      <c r="F211" s="68" t="s">
        <v>185</v>
      </c>
      <c r="G211" s="56">
        <f>'[3]CUENTA T FONDO 100'!DJ126</f>
        <v>1697430</v>
      </c>
      <c r="H211" s="56">
        <f>'[3]CUENTA T VS'!DJ106</f>
        <v>0</v>
      </c>
      <c r="I211" s="56">
        <f t="shared" si="6"/>
        <v>1697430</v>
      </c>
      <c r="J211" s="57">
        <f>I211/$I$25</f>
        <v>1.6899286386313248E-2</v>
      </c>
    </row>
    <row r="212" spans="1:10" x14ac:dyDescent="0.25">
      <c r="A212" s="60">
        <v>2</v>
      </c>
      <c r="B212" s="47">
        <v>3</v>
      </c>
      <c r="C212" s="47"/>
      <c r="D212" s="47"/>
      <c r="E212" s="47"/>
      <c r="F212" s="70" t="s">
        <v>186</v>
      </c>
      <c r="G212" s="48">
        <f>G213+G225+G232+G245+G250+G261+G286+G303+G308</f>
        <v>15408530.41</v>
      </c>
      <c r="H212" s="48">
        <f>H213+H225+H232+H245+H250+H261+H286+H303+H308</f>
        <v>999513.81</v>
      </c>
      <c r="I212" s="48">
        <f t="shared" si="6"/>
        <v>16408044.220000001</v>
      </c>
      <c r="J212" s="45">
        <f>I212/$I$25</f>
        <v>0.16335533030114455</v>
      </c>
    </row>
    <row r="213" spans="1:10" ht="25.5" x14ac:dyDescent="0.25">
      <c r="A213" s="60">
        <v>2</v>
      </c>
      <c r="B213" s="47">
        <v>3</v>
      </c>
      <c r="C213" s="47">
        <v>1</v>
      </c>
      <c r="D213" s="47"/>
      <c r="E213" s="47"/>
      <c r="F213" s="70" t="s">
        <v>187</v>
      </c>
      <c r="G213" s="48">
        <f>+G214+G217+G219+G223</f>
        <v>2396946.25</v>
      </c>
      <c r="H213" s="48">
        <f>+H214+H217+H219+H223</f>
        <v>213305</v>
      </c>
      <c r="I213" s="48">
        <f t="shared" si="6"/>
        <v>2610251.25</v>
      </c>
      <c r="J213" s="45"/>
    </row>
    <row r="214" spans="1:10" ht="25.5" x14ac:dyDescent="0.25">
      <c r="A214" s="61">
        <v>2</v>
      </c>
      <c r="B214" s="50">
        <v>3</v>
      </c>
      <c r="C214" s="50">
        <v>1</v>
      </c>
      <c r="D214" s="50">
        <v>1</v>
      </c>
      <c r="E214" s="64"/>
      <c r="F214" s="69" t="s">
        <v>188</v>
      </c>
      <c r="G214" s="51">
        <f>SUM(G215:G216)</f>
        <v>2396946.25</v>
      </c>
      <c r="H214" s="51">
        <f>SUM(H215:H216)</f>
        <v>213305</v>
      </c>
      <c r="I214" s="51">
        <f t="shared" si="6"/>
        <v>2610251.25</v>
      </c>
      <c r="J214" s="58"/>
    </row>
    <row r="215" spans="1:10" ht="25.5" x14ac:dyDescent="0.25">
      <c r="A215" s="62">
        <v>2</v>
      </c>
      <c r="B215" s="54">
        <v>3</v>
      </c>
      <c r="C215" s="54">
        <v>1</v>
      </c>
      <c r="D215" s="54">
        <v>1</v>
      </c>
      <c r="E215" s="55" t="s">
        <v>31</v>
      </c>
      <c r="F215" s="68" t="s">
        <v>188</v>
      </c>
      <c r="G215" s="56">
        <f>'[3]CUENTA T FONDO 100'!DK126</f>
        <v>2396946.25</v>
      </c>
      <c r="H215" s="56">
        <f>'[3]CUENTA T VS'!DK106</f>
        <v>213305</v>
      </c>
      <c r="I215" s="56">
        <f t="shared" si="6"/>
        <v>2610251.25</v>
      </c>
      <c r="J215" s="57">
        <f>I215/$I$25</f>
        <v>2.5987159066342729E-2</v>
      </c>
    </row>
    <row r="216" spans="1:10" x14ac:dyDescent="0.25">
      <c r="A216" s="62">
        <v>2</v>
      </c>
      <c r="B216" s="54">
        <v>3</v>
      </c>
      <c r="C216" s="54">
        <v>1</v>
      </c>
      <c r="D216" s="54">
        <v>1</v>
      </c>
      <c r="E216" s="55" t="s">
        <v>33</v>
      </c>
      <c r="F216" s="68" t="s">
        <v>189</v>
      </c>
      <c r="G216" s="56">
        <f>'[3]CUENTA T FONDO 100'!DL126</f>
        <v>0</v>
      </c>
      <c r="H216" s="56">
        <f>'[3]CUENTA T VS'!DL106</f>
        <v>0</v>
      </c>
      <c r="I216" s="56">
        <f t="shared" si="6"/>
        <v>0</v>
      </c>
      <c r="J216" s="57">
        <f>I216/$I$25</f>
        <v>0</v>
      </c>
    </row>
    <row r="217" spans="1:10" x14ac:dyDescent="0.25">
      <c r="A217" s="61">
        <v>2</v>
      </c>
      <c r="B217" s="50">
        <v>3</v>
      </c>
      <c r="C217" s="50">
        <v>1</v>
      </c>
      <c r="D217" s="50">
        <v>2</v>
      </c>
      <c r="E217" s="64"/>
      <c r="F217" s="69" t="s">
        <v>190</v>
      </c>
      <c r="G217" s="51">
        <f>SUM(G218)</f>
        <v>0</v>
      </c>
      <c r="H217" s="51">
        <f>SUM(H218)</f>
        <v>0</v>
      </c>
      <c r="I217" s="51">
        <f t="shared" ref="I217:I280" si="12">SUM(G217:H217)</f>
        <v>0</v>
      </c>
      <c r="J217" s="58"/>
    </row>
    <row r="218" spans="1:10" x14ac:dyDescent="0.25">
      <c r="A218" s="62">
        <v>2</v>
      </c>
      <c r="B218" s="54">
        <v>3</v>
      </c>
      <c r="C218" s="54">
        <v>1</v>
      </c>
      <c r="D218" s="54">
        <v>2</v>
      </c>
      <c r="E218" s="55" t="s">
        <v>31</v>
      </c>
      <c r="F218" s="68" t="s">
        <v>190</v>
      </c>
      <c r="G218" s="56">
        <f>'[3]CUENTA T FONDO 100'!DM126</f>
        <v>0</v>
      </c>
      <c r="H218" s="56">
        <f>'[3]CUENTA T VS'!DM106</f>
        <v>0</v>
      </c>
      <c r="I218" s="56">
        <f t="shared" si="12"/>
        <v>0</v>
      </c>
      <c r="J218" s="57">
        <f>I218/$I$25</f>
        <v>0</v>
      </c>
    </row>
    <row r="219" spans="1:10" ht="25.5" x14ac:dyDescent="0.25">
      <c r="A219" s="61">
        <v>2</v>
      </c>
      <c r="B219" s="50">
        <v>3</v>
      </c>
      <c r="C219" s="50">
        <v>1</v>
      </c>
      <c r="D219" s="50">
        <v>3</v>
      </c>
      <c r="E219" s="50"/>
      <c r="F219" s="69" t="s">
        <v>191</v>
      </c>
      <c r="G219" s="51">
        <f>SUM(G220:G222)</f>
        <v>0</v>
      </c>
      <c r="H219" s="51">
        <f>SUM(H220:H222)</f>
        <v>0</v>
      </c>
      <c r="I219" s="51">
        <f t="shared" si="12"/>
        <v>0</v>
      </c>
      <c r="J219" s="58"/>
    </row>
    <row r="220" spans="1:10" x14ac:dyDescent="0.25">
      <c r="A220" s="62">
        <v>2</v>
      </c>
      <c r="B220" s="54">
        <v>3</v>
      </c>
      <c r="C220" s="54">
        <v>1</v>
      </c>
      <c r="D220" s="54">
        <v>3</v>
      </c>
      <c r="E220" s="55" t="s">
        <v>31</v>
      </c>
      <c r="F220" s="68" t="s">
        <v>192</v>
      </c>
      <c r="G220" s="56">
        <f>'[3]CUENTA T FONDO 100'!DN126</f>
        <v>0</v>
      </c>
      <c r="H220" s="56">
        <f>'[3]CUENTA T VS'!DN106</f>
        <v>0</v>
      </c>
      <c r="I220" s="56">
        <f t="shared" si="12"/>
        <v>0</v>
      </c>
      <c r="J220" s="57">
        <f>I220/$I$25</f>
        <v>0</v>
      </c>
    </row>
    <row r="221" spans="1:10" x14ac:dyDescent="0.25">
      <c r="A221" s="62">
        <v>2</v>
      </c>
      <c r="B221" s="54">
        <v>3</v>
      </c>
      <c r="C221" s="54">
        <v>1</v>
      </c>
      <c r="D221" s="54">
        <v>3</v>
      </c>
      <c r="E221" s="55" t="s">
        <v>33</v>
      </c>
      <c r="F221" s="68" t="s">
        <v>193</v>
      </c>
      <c r="G221" s="56">
        <f>'[3]CUENTA T FONDO 100'!DO126</f>
        <v>0</v>
      </c>
      <c r="H221" s="56">
        <f>'[3]CUENTA T VS'!DO106</f>
        <v>0</v>
      </c>
      <c r="I221" s="56">
        <f t="shared" si="12"/>
        <v>0</v>
      </c>
      <c r="J221" s="57">
        <f>I221/$I$25</f>
        <v>0</v>
      </c>
    </row>
    <row r="222" spans="1:10" x14ac:dyDescent="0.25">
      <c r="A222" s="62">
        <v>2</v>
      </c>
      <c r="B222" s="54">
        <v>3</v>
      </c>
      <c r="C222" s="54">
        <v>1</v>
      </c>
      <c r="D222" s="54">
        <v>3</v>
      </c>
      <c r="E222" s="55" t="s">
        <v>35</v>
      </c>
      <c r="F222" s="68" t="s">
        <v>194</v>
      </c>
      <c r="G222" s="56">
        <f>'[3]CUENTA T FONDO 100'!DP126</f>
        <v>0</v>
      </c>
      <c r="H222" s="56">
        <f>'[3]CUENTA T VS'!DP106</f>
        <v>0</v>
      </c>
      <c r="I222" s="56">
        <f t="shared" si="12"/>
        <v>0</v>
      </c>
      <c r="J222" s="57">
        <f>I222/$I$25</f>
        <v>0</v>
      </c>
    </row>
    <row r="223" spans="1:10" ht="25.5" x14ac:dyDescent="0.25">
      <c r="A223" s="61">
        <v>2</v>
      </c>
      <c r="B223" s="50">
        <v>3</v>
      </c>
      <c r="C223" s="50">
        <v>1</v>
      </c>
      <c r="D223" s="50">
        <v>4</v>
      </c>
      <c r="E223" s="50"/>
      <c r="F223" s="69" t="s">
        <v>195</v>
      </c>
      <c r="G223" s="51">
        <f>SUM(G224)</f>
        <v>0</v>
      </c>
      <c r="H223" s="51">
        <f>SUM(H224)</f>
        <v>0</v>
      </c>
      <c r="I223" s="51">
        <f t="shared" si="12"/>
        <v>0</v>
      </c>
      <c r="J223" s="58"/>
    </row>
    <row r="224" spans="1:10" ht="25.5" x14ac:dyDescent="0.25">
      <c r="A224" s="62">
        <v>2</v>
      </c>
      <c r="B224" s="54">
        <v>3</v>
      </c>
      <c r="C224" s="54">
        <v>1</v>
      </c>
      <c r="D224" s="54">
        <v>4</v>
      </c>
      <c r="E224" s="55" t="s">
        <v>31</v>
      </c>
      <c r="F224" s="68" t="s">
        <v>195</v>
      </c>
      <c r="G224" s="56">
        <f>'[3]CUENTA T FONDO 100'!DQ126</f>
        <v>0</v>
      </c>
      <c r="H224" s="56">
        <f>'[3]CUENTA T VS'!DQ106</f>
        <v>0</v>
      </c>
      <c r="I224" s="56">
        <f t="shared" si="12"/>
        <v>0</v>
      </c>
      <c r="J224" s="57">
        <f>I224/$I$25</f>
        <v>0</v>
      </c>
    </row>
    <row r="225" spans="1:10" x14ac:dyDescent="0.25">
      <c r="A225" s="60">
        <v>2</v>
      </c>
      <c r="B225" s="47">
        <v>3</v>
      </c>
      <c r="C225" s="47">
        <v>2</v>
      </c>
      <c r="D225" s="47"/>
      <c r="E225" s="65"/>
      <c r="F225" s="70" t="s">
        <v>196</v>
      </c>
      <c r="G225" s="48">
        <f>+G226+G228+G230</f>
        <v>812418.96</v>
      </c>
      <c r="H225" s="48">
        <f>+H226+H228+H230</f>
        <v>205178.4</v>
      </c>
      <c r="I225" s="48">
        <f t="shared" si="12"/>
        <v>1017597.36</v>
      </c>
      <c r="J225" s="45"/>
    </row>
    <row r="226" spans="1:10" x14ac:dyDescent="0.25">
      <c r="A226" s="61">
        <v>2</v>
      </c>
      <c r="B226" s="50">
        <v>3</v>
      </c>
      <c r="C226" s="50">
        <v>2</v>
      </c>
      <c r="D226" s="50">
        <v>1</v>
      </c>
      <c r="E226" s="50"/>
      <c r="F226" s="69" t="s">
        <v>197</v>
      </c>
      <c r="G226" s="51">
        <f>SUM(G227)</f>
        <v>0</v>
      </c>
      <c r="H226" s="51">
        <f>SUM(H227)</f>
        <v>0</v>
      </c>
      <c r="I226" s="51">
        <f t="shared" si="12"/>
        <v>0</v>
      </c>
      <c r="J226" s="58"/>
    </row>
    <row r="227" spans="1:10" x14ac:dyDescent="0.25">
      <c r="A227" s="62">
        <v>2</v>
      </c>
      <c r="B227" s="54">
        <v>3</v>
      </c>
      <c r="C227" s="54">
        <v>2</v>
      </c>
      <c r="D227" s="54">
        <v>1</v>
      </c>
      <c r="E227" s="55" t="s">
        <v>31</v>
      </c>
      <c r="F227" s="68" t="s">
        <v>197</v>
      </c>
      <c r="G227" s="56">
        <f>'[3]CUENTA T FONDO 100'!DR126</f>
        <v>0</v>
      </c>
      <c r="H227" s="56">
        <f>'[3]CUENTA T VS'!DR106</f>
        <v>0</v>
      </c>
      <c r="I227" s="56">
        <f t="shared" si="12"/>
        <v>0</v>
      </c>
      <c r="J227" s="57">
        <f>I227/$I$25</f>
        <v>0</v>
      </c>
    </row>
    <row r="228" spans="1:10" x14ac:dyDescent="0.25">
      <c r="A228" s="61">
        <v>2</v>
      </c>
      <c r="B228" s="50">
        <v>3</v>
      </c>
      <c r="C228" s="50">
        <v>2</v>
      </c>
      <c r="D228" s="50">
        <v>2</v>
      </c>
      <c r="E228" s="50"/>
      <c r="F228" s="69" t="s">
        <v>198</v>
      </c>
      <c r="G228" s="51">
        <f>SUM(G229)</f>
        <v>812418.96</v>
      </c>
      <c r="H228" s="51">
        <f>SUM(H229)</f>
        <v>0</v>
      </c>
      <c r="I228" s="51">
        <f t="shared" si="12"/>
        <v>812418.96</v>
      </c>
      <c r="J228" s="58"/>
    </row>
    <row r="229" spans="1:10" x14ac:dyDescent="0.25">
      <c r="A229" s="62">
        <v>2</v>
      </c>
      <c r="B229" s="54">
        <v>3</v>
      </c>
      <c r="C229" s="54">
        <v>2</v>
      </c>
      <c r="D229" s="54">
        <v>2</v>
      </c>
      <c r="E229" s="55" t="s">
        <v>31</v>
      </c>
      <c r="F229" s="68" t="s">
        <v>198</v>
      </c>
      <c r="G229" s="56">
        <f>'[3]CUENTA T FONDO 100'!DS126</f>
        <v>812418.96</v>
      </c>
      <c r="H229" s="56">
        <f>'[3]CUENTA T VS'!DS106</f>
        <v>0</v>
      </c>
      <c r="I229" s="56">
        <f t="shared" si="12"/>
        <v>812418.96</v>
      </c>
      <c r="J229" s="57">
        <f>I229/$I$25</f>
        <v>8.0882868045873864E-3</v>
      </c>
    </row>
    <row r="230" spans="1:10" x14ac:dyDescent="0.25">
      <c r="A230" s="61">
        <v>2</v>
      </c>
      <c r="B230" s="50">
        <v>3</v>
      </c>
      <c r="C230" s="50">
        <v>2</v>
      </c>
      <c r="D230" s="50">
        <v>3</v>
      </c>
      <c r="E230" s="50"/>
      <c r="F230" s="69" t="s">
        <v>199</v>
      </c>
      <c r="G230" s="51">
        <f>SUM(G231)</f>
        <v>0</v>
      </c>
      <c r="H230" s="51">
        <f>SUM(H231)</f>
        <v>205178.4</v>
      </c>
      <c r="I230" s="51">
        <f t="shared" si="12"/>
        <v>205178.4</v>
      </c>
      <c r="J230" s="58"/>
    </row>
    <row r="231" spans="1:10" x14ac:dyDescent="0.25">
      <c r="A231" s="62">
        <v>2</v>
      </c>
      <c r="B231" s="54">
        <v>3</v>
      </c>
      <c r="C231" s="54">
        <v>2</v>
      </c>
      <c r="D231" s="54">
        <v>3</v>
      </c>
      <c r="E231" s="55" t="s">
        <v>31</v>
      </c>
      <c r="F231" s="68" t="s">
        <v>199</v>
      </c>
      <c r="G231" s="56">
        <f>'[3]CUENTA T FONDO 100'!DT126</f>
        <v>0</v>
      </c>
      <c r="H231" s="56">
        <f>'[3]CUENTA T VS'!DT106</f>
        <v>205178.4</v>
      </c>
      <c r="I231" s="56">
        <f t="shared" si="12"/>
        <v>205178.4</v>
      </c>
      <c r="J231" s="57">
        <f>I231/$I$25</f>
        <v>2.0427166610025357E-3</v>
      </c>
    </row>
    <row r="232" spans="1:10" ht="25.5" x14ac:dyDescent="0.25">
      <c r="A232" s="60">
        <v>2</v>
      </c>
      <c r="B232" s="47">
        <v>3</v>
      </c>
      <c r="C232" s="47">
        <v>3</v>
      </c>
      <c r="D232" s="47"/>
      <c r="E232" s="65"/>
      <c r="F232" s="70" t="s">
        <v>200</v>
      </c>
      <c r="G232" s="48">
        <f>+G233+G235+G237+G239+G241+G243</f>
        <v>715614.53999999992</v>
      </c>
      <c r="H232" s="48">
        <f>+H233+H235+H237+H239+H241+H243</f>
        <v>0</v>
      </c>
      <c r="I232" s="48">
        <f t="shared" si="12"/>
        <v>715614.53999999992</v>
      </c>
      <c r="J232" s="45"/>
    </row>
    <row r="233" spans="1:10" x14ac:dyDescent="0.25">
      <c r="A233" s="61">
        <v>2</v>
      </c>
      <c r="B233" s="50">
        <v>3</v>
      </c>
      <c r="C233" s="50">
        <v>3</v>
      </c>
      <c r="D233" s="50">
        <v>1</v>
      </c>
      <c r="E233" s="50"/>
      <c r="F233" s="69" t="s">
        <v>201</v>
      </c>
      <c r="G233" s="51">
        <f>SUM(G234)</f>
        <v>1254.3399999999999</v>
      </c>
      <c r="H233" s="51">
        <f>SUM(H234)</f>
        <v>0</v>
      </c>
      <c r="I233" s="51">
        <f t="shared" si="12"/>
        <v>1254.3399999999999</v>
      </c>
      <c r="J233" s="58"/>
    </row>
    <row r="234" spans="1:10" x14ac:dyDescent="0.25">
      <c r="A234" s="62">
        <v>2</v>
      </c>
      <c r="B234" s="54">
        <v>3</v>
      </c>
      <c r="C234" s="54">
        <v>3</v>
      </c>
      <c r="D234" s="54">
        <v>1</v>
      </c>
      <c r="E234" s="55" t="s">
        <v>31</v>
      </c>
      <c r="F234" s="68" t="s">
        <v>201</v>
      </c>
      <c r="G234" s="56">
        <f>'[3]CUENTA T FONDO 100'!DU126</f>
        <v>1254.3399999999999</v>
      </c>
      <c r="H234" s="56">
        <f>'[3]CUENTA T VS'!DU106</f>
        <v>0</v>
      </c>
      <c r="I234" s="56">
        <f t="shared" si="12"/>
        <v>1254.3399999999999</v>
      </c>
      <c r="J234" s="57">
        <f>I234/$I$25</f>
        <v>1.2487967625061508E-5</v>
      </c>
    </row>
    <row r="235" spans="1:10" x14ac:dyDescent="0.25">
      <c r="A235" s="61">
        <v>2</v>
      </c>
      <c r="B235" s="50">
        <v>3</v>
      </c>
      <c r="C235" s="50">
        <v>3</v>
      </c>
      <c r="D235" s="50">
        <v>2</v>
      </c>
      <c r="E235" s="50"/>
      <c r="F235" s="69" t="s">
        <v>202</v>
      </c>
      <c r="G235" s="51">
        <f>SUM(G236)</f>
        <v>120950</v>
      </c>
      <c r="H235" s="51">
        <f>SUM(H236)</f>
        <v>0</v>
      </c>
      <c r="I235" s="51">
        <f t="shared" si="12"/>
        <v>120950</v>
      </c>
      <c r="J235" s="58"/>
    </row>
    <row r="236" spans="1:10" x14ac:dyDescent="0.25">
      <c r="A236" s="62">
        <v>2</v>
      </c>
      <c r="B236" s="54">
        <v>3</v>
      </c>
      <c r="C236" s="54">
        <v>3</v>
      </c>
      <c r="D236" s="54">
        <v>2</v>
      </c>
      <c r="E236" s="55" t="s">
        <v>31</v>
      </c>
      <c r="F236" s="68" t="s">
        <v>202</v>
      </c>
      <c r="G236" s="56">
        <f>'[3]CUENTA T FONDO 100'!DV126</f>
        <v>120950</v>
      </c>
      <c r="H236" s="56">
        <f>'[3]CUENTA T VS'!DV106</f>
        <v>0</v>
      </c>
      <c r="I236" s="56">
        <f t="shared" si="12"/>
        <v>120950</v>
      </c>
      <c r="J236" s="57">
        <f>I236/$I$25</f>
        <v>1.2041549215134569E-3</v>
      </c>
    </row>
    <row r="237" spans="1:10" x14ac:dyDescent="0.25">
      <c r="A237" s="61">
        <v>2</v>
      </c>
      <c r="B237" s="50">
        <v>3</v>
      </c>
      <c r="C237" s="50">
        <v>3</v>
      </c>
      <c r="D237" s="50">
        <v>3</v>
      </c>
      <c r="E237" s="50"/>
      <c r="F237" s="69" t="s">
        <v>203</v>
      </c>
      <c r="G237" s="51">
        <f>SUM(G238)</f>
        <v>593410.19999999995</v>
      </c>
      <c r="H237" s="51">
        <f>SUM(H238)</f>
        <v>0</v>
      </c>
      <c r="I237" s="51">
        <f t="shared" si="12"/>
        <v>593410.19999999995</v>
      </c>
      <c r="J237" s="58"/>
    </row>
    <row r="238" spans="1:10" x14ac:dyDescent="0.25">
      <c r="A238" s="62">
        <v>2</v>
      </c>
      <c r="B238" s="54">
        <v>3</v>
      </c>
      <c r="C238" s="54">
        <v>3</v>
      </c>
      <c r="D238" s="54">
        <v>3</v>
      </c>
      <c r="E238" s="55" t="s">
        <v>31</v>
      </c>
      <c r="F238" s="68" t="s">
        <v>203</v>
      </c>
      <c r="G238" s="56">
        <f>'[3]CUENTA T FONDO 100'!DW126</f>
        <v>593410.19999999995</v>
      </c>
      <c r="H238" s="56">
        <f>'[3]CUENTA T VS'!DW106</f>
        <v>0</v>
      </c>
      <c r="I238" s="56">
        <f t="shared" si="12"/>
        <v>593410.19999999995</v>
      </c>
      <c r="J238" s="57">
        <f>I238/$I$25</f>
        <v>5.9078777412673398E-3</v>
      </c>
    </row>
    <row r="239" spans="1:10" x14ac:dyDescent="0.25">
      <c r="A239" s="61">
        <v>2</v>
      </c>
      <c r="B239" s="50">
        <v>3</v>
      </c>
      <c r="C239" s="50">
        <v>3</v>
      </c>
      <c r="D239" s="50">
        <v>4</v>
      </c>
      <c r="E239" s="50"/>
      <c r="F239" s="69" t="s">
        <v>204</v>
      </c>
      <c r="G239" s="51">
        <f>SUM(G240)</f>
        <v>0</v>
      </c>
      <c r="H239" s="51">
        <f>SUM(H240)</f>
        <v>0</v>
      </c>
      <c r="I239" s="51">
        <f t="shared" si="12"/>
        <v>0</v>
      </c>
      <c r="J239" s="58"/>
    </row>
    <row r="240" spans="1:10" x14ac:dyDescent="0.25">
      <c r="A240" s="62">
        <v>2</v>
      </c>
      <c r="B240" s="54">
        <v>3</v>
      </c>
      <c r="C240" s="54">
        <v>3</v>
      </c>
      <c r="D240" s="54">
        <v>4</v>
      </c>
      <c r="E240" s="55" t="s">
        <v>31</v>
      </c>
      <c r="F240" s="68" t="s">
        <v>204</v>
      </c>
      <c r="G240" s="56">
        <f>'[3]CUENTA T FONDO 100'!DX126</f>
        <v>0</v>
      </c>
      <c r="H240" s="56">
        <f>'[3]CUENTA T VS'!DX106</f>
        <v>0</v>
      </c>
      <c r="I240" s="56">
        <f t="shared" si="12"/>
        <v>0</v>
      </c>
      <c r="J240" s="57">
        <f>I240/$I$25</f>
        <v>0</v>
      </c>
    </row>
    <row r="241" spans="1:10" x14ac:dyDescent="0.25">
      <c r="A241" s="61">
        <v>2</v>
      </c>
      <c r="B241" s="50">
        <v>3</v>
      </c>
      <c r="C241" s="50">
        <v>3</v>
      </c>
      <c r="D241" s="50">
        <v>5</v>
      </c>
      <c r="E241" s="50"/>
      <c r="F241" s="69" t="s">
        <v>205</v>
      </c>
      <c r="G241" s="51">
        <f>SUM(G242)</f>
        <v>0</v>
      </c>
      <c r="H241" s="51">
        <f>SUM(H242)</f>
        <v>0</v>
      </c>
      <c r="I241" s="51">
        <f t="shared" si="12"/>
        <v>0</v>
      </c>
      <c r="J241" s="58"/>
    </row>
    <row r="242" spans="1:10" x14ac:dyDescent="0.25">
      <c r="A242" s="62">
        <v>2</v>
      </c>
      <c r="B242" s="54">
        <v>3</v>
      </c>
      <c r="C242" s="54">
        <v>3</v>
      </c>
      <c r="D242" s="54">
        <v>5</v>
      </c>
      <c r="E242" s="55" t="s">
        <v>31</v>
      </c>
      <c r="F242" s="68" t="s">
        <v>205</v>
      </c>
      <c r="G242" s="56">
        <f>'[3]CUENTA T FONDO 100'!DY126</f>
        <v>0</v>
      </c>
      <c r="H242" s="56">
        <f>'[3]CUENTA T VS'!DY106</f>
        <v>0</v>
      </c>
      <c r="I242" s="56">
        <f t="shared" si="12"/>
        <v>0</v>
      </c>
      <c r="J242" s="57">
        <f>I242/$I$25</f>
        <v>0</v>
      </c>
    </row>
    <row r="243" spans="1:10" x14ac:dyDescent="0.25">
      <c r="A243" s="61">
        <v>2</v>
      </c>
      <c r="B243" s="50">
        <v>3</v>
      </c>
      <c r="C243" s="50">
        <v>3</v>
      </c>
      <c r="D243" s="50">
        <v>6</v>
      </c>
      <c r="E243" s="50"/>
      <c r="F243" s="69" t="s">
        <v>206</v>
      </c>
      <c r="G243" s="51">
        <f>SUM(G244)</f>
        <v>0</v>
      </c>
      <c r="H243" s="51">
        <f>SUM(H244)</f>
        <v>0</v>
      </c>
      <c r="I243" s="51">
        <f t="shared" si="12"/>
        <v>0</v>
      </c>
      <c r="J243" s="58"/>
    </row>
    <row r="244" spans="1:10" x14ac:dyDescent="0.25">
      <c r="A244" s="62">
        <v>2</v>
      </c>
      <c r="B244" s="54">
        <v>3</v>
      </c>
      <c r="C244" s="54">
        <v>3</v>
      </c>
      <c r="D244" s="54">
        <v>6</v>
      </c>
      <c r="E244" s="55" t="s">
        <v>31</v>
      </c>
      <c r="F244" s="68" t="s">
        <v>206</v>
      </c>
      <c r="G244" s="56">
        <f>'[3]CUENTA T FONDO 100'!DZ126</f>
        <v>0</v>
      </c>
      <c r="H244" s="56">
        <f>'[3]CUENTA T VS'!DZ106</f>
        <v>0</v>
      </c>
      <c r="I244" s="56">
        <f t="shared" si="12"/>
        <v>0</v>
      </c>
      <c r="J244" s="57">
        <f>I244/$I$25</f>
        <v>0</v>
      </c>
    </row>
    <row r="245" spans="1:10" x14ac:dyDescent="0.25">
      <c r="A245" s="60">
        <v>2</v>
      </c>
      <c r="B245" s="47">
        <v>3</v>
      </c>
      <c r="C245" s="47">
        <v>4</v>
      </c>
      <c r="D245" s="47"/>
      <c r="E245" s="65"/>
      <c r="F245" s="70" t="s">
        <v>207</v>
      </c>
      <c r="G245" s="48">
        <f>+G246+G248</f>
        <v>3022962</v>
      </c>
      <c r="H245" s="48">
        <f>+H246+H248</f>
        <v>180120.76</v>
      </c>
      <c r="I245" s="48">
        <f t="shared" si="12"/>
        <v>3203082.76</v>
      </c>
      <c r="J245" s="45"/>
    </row>
    <row r="246" spans="1:10" ht="25.5" x14ac:dyDescent="0.25">
      <c r="A246" s="61">
        <v>2</v>
      </c>
      <c r="B246" s="50">
        <v>3</v>
      </c>
      <c r="C246" s="50">
        <v>4</v>
      </c>
      <c r="D246" s="50">
        <v>1</v>
      </c>
      <c r="E246" s="50"/>
      <c r="F246" s="69" t="s">
        <v>208</v>
      </c>
      <c r="G246" s="51">
        <f>SUM(G247)</f>
        <v>3022962</v>
      </c>
      <c r="H246" s="51">
        <f>SUM(H247)</f>
        <v>180120.76</v>
      </c>
      <c r="I246" s="51">
        <f t="shared" si="12"/>
        <v>3203082.76</v>
      </c>
      <c r="J246" s="58"/>
    </row>
    <row r="247" spans="1:10" ht="25.5" x14ac:dyDescent="0.25">
      <c r="A247" s="62">
        <v>2</v>
      </c>
      <c r="B247" s="54">
        <v>3</v>
      </c>
      <c r="C247" s="54">
        <v>4</v>
      </c>
      <c r="D247" s="54">
        <v>1</v>
      </c>
      <c r="E247" s="55" t="s">
        <v>31</v>
      </c>
      <c r="F247" s="68" t="s">
        <v>208</v>
      </c>
      <c r="G247" s="56">
        <f>'[3]CUENTA T FONDO 100'!EA126</f>
        <v>3022962</v>
      </c>
      <c r="H247" s="56">
        <f>'[3]CUENTA T VS'!EA106</f>
        <v>180120.76</v>
      </c>
      <c r="I247" s="56">
        <f t="shared" si="12"/>
        <v>3203082.76</v>
      </c>
      <c r="J247" s="57">
        <f>I247/$I$25</f>
        <v>3.1889275481346895E-2</v>
      </c>
    </row>
    <row r="248" spans="1:10" ht="25.5" x14ac:dyDescent="0.25">
      <c r="A248" s="61">
        <v>2</v>
      </c>
      <c r="B248" s="50">
        <v>3</v>
      </c>
      <c r="C248" s="50">
        <v>4</v>
      </c>
      <c r="D248" s="50">
        <v>2</v>
      </c>
      <c r="E248" s="50"/>
      <c r="F248" s="69" t="s">
        <v>209</v>
      </c>
      <c r="G248" s="51">
        <f>SUM(G249)</f>
        <v>0</v>
      </c>
      <c r="H248" s="51">
        <f>SUM(H249)</f>
        <v>0</v>
      </c>
      <c r="I248" s="51">
        <f t="shared" si="12"/>
        <v>0</v>
      </c>
      <c r="J248" s="58"/>
    </row>
    <row r="249" spans="1:10" ht="25.5" x14ac:dyDescent="0.25">
      <c r="A249" s="62">
        <v>2</v>
      </c>
      <c r="B249" s="54">
        <v>3</v>
      </c>
      <c r="C249" s="54">
        <v>4</v>
      </c>
      <c r="D249" s="54">
        <v>2</v>
      </c>
      <c r="E249" s="55" t="s">
        <v>31</v>
      </c>
      <c r="F249" s="68" t="s">
        <v>209</v>
      </c>
      <c r="G249" s="56">
        <f>'[3]CUENTA T FONDO 100'!EB126</f>
        <v>0</v>
      </c>
      <c r="H249" s="56">
        <f>'[3]CUENTA T VS'!EB106</f>
        <v>0</v>
      </c>
      <c r="I249" s="56">
        <f t="shared" si="12"/>
        <v>0</v>
      </c>
      <c r="J249" s="57">
        <f>I249/$I$25</f>
        <v>0</v>
      </c>
    </row>
    <row r="250" spans="1:10" ht="25.5" x14ac:dyDescent="0.25">
      <c r="A250" s="60">
        <v>2</v>
      </c>
      <c r="B250" s="47">
        <v>3</v>
      </c>
      <c r="C250" s="47">
        <v>5</v>
      </c>
      <c r="D250" s="47"/>
      <c r="E250" s="65"/>
      <c r="F250" s="70" t="s">
        <v>210</v>
      </c>
      <c r="G250" s="48">
        <f>+G251+G253+G255+G257+G259</f>
        <v>133281</v>
      </c>
      <c r="H250" s="48">
        <f>+H251+H253+H255+H257+H259</f>
        <v>0</v>
      </c>
      <c r="I250" s="48">
        <f t="shared" si="12"/>
        <v>133281</v>
      </c>
      <c r="J250" s="45"/>
    </row>
    <row r="251" spans="1:10" x14ac:dyDescent="0.25">
      <c r="A251" s="61">
        <v>2</v>
      </c>
      <c r="B251" s="50">
        <v>3</v>
      </c>
      <c r="C251" s="50">
        <v>5</v>
      </c>
      <c r="D251" s="50">
        <v>1</v>
      </c>
      <c r="E251" s="50"/>
      <c r="F251" s="69" t="s">
        <v>211</v>
      </c>
      <c r="G251" s="51">
        <f>SUM(G252)</f>
        <v>0</v>
      </c>
      <c r="H251" s="51">
        <f>SUM(H252)</f>
        <v>0</v>
      </c>
      <c r="I251" s="51">
        <f t="shared" si="12"/>
        <v>0</v>
      </c>
      <c r="J251" s="58"/>
    </row>
    <row r="252" spans="1:10" x14ac:dyDescent="0.25">
      <c r="A252" s="62">
        <v>2</v>
      </c>
      <c r="B252" s="54">
        <v>3</v>
      </c>
      <c r="C252" s="54">
        <v>5</v>
      </c>
      <c r="D252" s="54">
        <v>1</v>
      </c>
      <c r="E252" s="55" t="s">
        <v>31</v>
      </c>
      <c r="F252" s="68" t="s">
        <v>211</v>
      </c>
      <c r="G252" s="56">
        <f>'[3]CUENTA T FONDO 100'!EC126</f>
        <v>0</v>
      </c>
      <c r="H252" s="56">
        <f>'[3]CUENTA T VS'!EC106</f>
        <v>0</v>
      </c>
      <c r="I252" s="56">
        <f t="shared" si="12"/>
        <v>0</v>
      </c>
      <c r="J252" s="57">
        <f>I252/$I$25</f>
        <v>0</v>
      </c>
    </row>
    <row r="253" spans="1:10" x14ac:dyDescent="0.25">
      <c r="A253" s="61">
        <v>2</v>
      </c>
      <c r="B253" s="50">
        <v>3</v>
      </c>
      <c r="C253" s="50">
        <v>5</v>
      </c>
      <c r="D253" s="50">
        <v>2</v>
      </c>
      <c r="E253" s="50"/>
      <c r="F253" s="69" t="s">
        <v>212</v>
      </c>
      <c r="G253" s="51">
        <f>SUM(G254)</f>
        <v>0</v>
      </c>
      <c r="H253" s="51">
        <f>SUM(H254)</f>
        <v>0</v>
      </c>
      <c r="I253" s="51">
        <f t="shared" si="12"/>
        <v>0</v>
      </c>
      <c r="J253" s="58"/>
    </row>
    <row r="254" spans="1:10" x14ac:dyDescent="0.25">
      <c r="A254" s="62">
        <v>2</v>
      </c>
      <c r="B254" s="54">
        <v>3</v>
      </c>
      <c r="C254" s="54">
        <v>5</v>
      </c>
      <c r="D254" s="54">
        <v>2</v>
      </c>
      <c r="E254" s="55" t="s">
        <v>31</v>
      </c>
      <c r="F254" s="68" t="s">
        <v>212</v>
      </c>
      <c r="G254" s="56">
        <f>'[3]CUENTA T FONDO 100'!ED126</f>
        <v>0</v>
      </c>
      <c r="H254" s="56">
        <f>'[3]CUENTA T VS'!ED106</f>
        <v>0</v>
      </c>
      <c r="I254" s="56">
        <f t="shared" si="12"/>
        <v>0</v>
      </c>
      <c r="J254" s="57">
        <f>I254/$I$25</f>
        <v>0</v>
      </c>
    </row>
    <row r="255" spans="1:10" x14ac:dyDescent="0.25">
      <c r="A255" s="61">
        <v>2</v>
      </c>
      <c r="B255" s="50">
        <v>3</v>
      </c>
      <c r="C255" s="50">
        <v>5</v>
      </c>
      <c r="D255" s="50">
        <v>3</v>
      </c>
      <c r="E255" s="50"/>
      <c r="F255" s="69" t="s">
        <v>213</v>
      </c>
      <c r="G255" s="51">
        <f>SUM(G256)</f>
        <v>0</v>
      </c>
      <c r="H255" s="51">
        <f>SUM(H256)</f>
        <v>0</v>
      </c>
      <c r="I255" s="51">
        <f t="shared" si="12"/>
        <v>0</v>
      </c>
      <c r="J255" s="58"/>
    </row>
    <row r="256" spans="1:10" x14ac:dyDescent="0.25">
      <c r="A256" s="62">
        <v>2</v>
      </c>
      <c r="B256" s="54">
        <v>3</v>
      </c>
      <c r="C256" s="54">
        <v>5</v>
      </c>
      <c r="D256" s="54">
        <v>3</v>
      </c>
      <c r="E256" s="55" t="s">
        <v>31</v>
      </c>
      <c r="F256" s="68" t="s">
        <v>213</v>
      </c>
      <c r="G256" s="56">
        <f>'[3]CUENTA T FONDO 100'!EE126</f>
        <v>0</v>
      </c>
      <c r="H256" s="56">
        <f>'[3]CUENTA T VS'!EE106</f>
        <v>0</v>
      </c>
      <c r="I256" s="56">
        <f t="shared" si="12"/>
        <v>0</v>
      </c>
      <c r="J256" s="57">
        <f>I256/$I$25</f>
        <v>0</v>
      </c>
    </row>
    <row r="257" spans="1:10" x14ac:dyDescent="0.25">
      <c r="A257" s="61">
        <v>2</v>
      </c>
      <c r="B257" s="50">
        <v>3</v>
      </c>
      <c r="C257" s="50">
        <v>5</v>
      </c>
      <c r="D257" s="50">
        <v>4</v>
      </c>
      <c r="E257" s="50"/>
      <c r="F257" s="69" t="s">
        <v>214</v>
      </c>
      <c r="G257" s="51">
        <f>SUM(G258)</f>
        <v>0</v>
      </c>
      <c r="H257" s="51">
        <f>SUM(H258)</f>
        <v>0</v>
      </c>
      <c r="I257" s="51">
        <f t="shared" si="12"/>
        <v>0</v>
      </c>
      <c r="J257" s="58"/>
    </row>
    <row r="258" spans="1:10" x14ac:dyDescent="0.25">
      <c r="A258" s="62">
        <v>2</v>
      </c>
      <c r="B258" s="54">
        <v>3</v>
      </c>
      <c r="C258" s="54">
        <v>5</v>
      </c>
      <c r="D258" s="54">
        <v>4</v>
      </c>
      <c r="E258" s="55" t="s">
        <v>31</v>
      </c>
      <c r="F258" s="68" t="s">
        <v>214</v>
      </c>
      <c r="G258" s="56">
        <f>'[3]CUENTA T FONDO 100'!EF126</f>
        <v>0</v>
      </c>
      <c r="H258" s="56">
        <f>'[3]CUENTA T VS'!EF106</f>
        <v>0</v>
      </c>
      <c r="I258" s="56">
        <f t="shared" si="12"/>
        <v>0</v>
      </c>
      <c r="J258" s="57">
        <f>I258/$I$25</f>
        <v>0</v>
      </c>
    </row>
    <row r="259" spans="1:10" x14ac:dyDescent="0.25">
      <c r="A259" s="61">
        <v>2</v>
      </c>
      <c r="B259" s="50">
        <v>3</v>
      </c>
      <c r="C259" s="50">
        <v>5</v>
      </c>
      <c r="D259" s="50">
        <v>5</v>
      </c>
      <c r="E259" s="50"/>
      <c r="F259" s="69" t="s">
        <v>215</v>
      </c>
      <c r="G259" s="51">
        <f>SUM(G260)</f>
        <v>133281</v>
      </c>
      <c r="H259" s="51">
        <f>SUM(H260)</f>
        <v>0</v>
      </c>
      <c r="I259" s="51">
        <f t="shared" si="12"/>
        <v>133281</v>
      </c>
      <c r="J259" s="58"/>
    </row>
    <row r="260" spans="1:10" x14ac:dyDescent="0.25">
      <c r="A260" s="62">
        <v>2</v>
      </c>
      <c r="B260" s="54">
        <v>3</v>
      </c>
      <c r="C260" s="54">
        <v>5</v>
      </c>
      <c r="D260" s="54">
        <v>5</v>
      </c>
      <c r="E260" s="55" t="s">
        <v>31</v>
      </c>
      <c r="F260" s="68" t="s">
        <v>215</v>
      </c>
      <c r="G260" s="56">
        <f>'[3]CUENTA T FONDO 100'!EG126</f>
        <v>133281</v>
      </c>
      <c r="H260" s="56">
        <f>'[3]CUENTA T VS'!EG106</f>
        <v>0</v>
      </c>
      <c r="I260" s="56">
        <f t="shared" si="12"/>
        <v>133281</v>
      </c>
      <c r="J260" s="57">
        <f>I260/$I$25</f>
        <v>1.3269199842433656E-3</v>
      </c>
    </row>
    <row r="261" spans="1:10" ht="25.5" x14ac:dyDescent="0.25">
      <c r="A261" s="60">
        <v>2</v>
      </c>
      <c r="B261" s="47">
        <v>3</v>
      </c>
      <c r="C261" s="47">
        <v>6</v>
      </c>
      <c r="D261" s="47"/>
      <c r="E261" s="47"/>
      <c r="F261" s="70" t="s">
        <v>216</v>
      </c>
      <c r="G261" s="48">
        <f>+G262+G268+G272+G276+G284</f>
        <v>101426.9</v>
      </c>
      <c r="H261" s="48">
        <f>+H262+H268+H272+H276+H284</f>
        <v>0</v>
      </c>
      <c r="I261" s="48">
        <f t="shared" si="12"/>
        <v>101426.9</v>
      </c>
      <c r="J261" s="45"/>
    </row>
    <row r="262" spans="1:10" ht="25.5" x14ac:dyDescent="0.25">
      <c r="A262" s="61">
        <v>2</v>
      </c>
      <c r="B262" s="50">
        <v>3</v>
      </c>
      <c r="C262" s="50">
        <v>6</v>
      </c>
      <c r="D262" s="50">
        <v>1</v>
      </c>
      <c r="E262" s="50"/>
      <c r="F262" s="69" t="s">
        <v>217</v>
      </c>
      <c r="G262" s="51">
        <f>SUM(G263:G267)</f>
        <v>0</v>
      </c>
      <c r="H262" s="51">
        <f>SUM(H263:H267)</f>
        <v>0</v>
      </c>
      <c r="I262" s="51">
        <f t="shared" si="12"/>
        <v>0</v>
      </c>
      <c r="J262" s="58"/>
    </row>
    <row r="263" spans="1:10" x14ac:dyDescent="0.25">
      <c r="A263" s="62">
        <v>2</v>
      </c>
      <c r="B263" s="54">
        <v>3</v>
      </c>
      <c r="C263" s="54">
        <v>6</v>
      </c>
      <c r="D263" s="54">
        <v>1</v>
      </c>
      <c r="E263" s="55" t="s">
        <v>31</v>
      </c>
      <c r="F263" s="68" t="s">
        <v>218</v>
      </c>
      <c r="G263" s="56">
        <f>'[3]CUENTA T FONDO 100'!EH126</f>
        <v>0</v>
      </c>
      <c r="H263" s="56">
        <f>'[3]CUENTA T VS'!EH106</f>
        <v>0</v>
      </c>
      <c r="I263" s="56">
        <f t="shared" si="12"/>
        <v>0</v>
      </c>
      <c r="J263" s="57">
        <f>I263/$I$25</f>
        <v>0</v>
      </c>
    </row>
    <row r="264" spans="1:10" x14ac:dyDescent="0.25">
      <c r="A264" s="62">
        <v>2</v>
      </c>
      <c r="B264" s="54">
        <v>3</v>
      </c>
      <c r="C264" s="54">
        <v>6</v>
      </c>
      <c r="D264" s="54">
        <v>1</v>
      </c>
      <c r="E264" s="55" t="s">
        <v>33</v>
      </c>
      <c r="F264" s="68" t="s">
        <v>219</v>
      </c>
      <c r="G264" s="56">
        <f>'[3]CUENTA T FONDO 100'!EI126</f>
        <v>0</v>
      </c>
      <c r="H264" s="56">
        <f>'[3]CUENTA T VS'!EI106</f>
        <v>0</v>
      </c>
      <c r="I264" s="56">
        <f t="shared" si="12"/>
        <v>0</v>
      </c>
      <c r="J264" s="57">
        <f>I264/$I$25</f>
        <v>0</v>
      </c>
    </row>
    <row r="265" spans="1:10" x14ac:dyDescent="0.25">
      <c r="A265" s="62">
        <v>2</v>
      </c>
      <c r="B265" s="54">
        <v>3</v>
      </c>
      <c r="C265" s="54">
        <v>6</v>
      </c>
      <c r="D265" s="54">
        <v>1</v>
      </c>
      <c r="E265" s="55" t="s">
        <v>35</v>
      </c>
      <c r="F265" s="68" t="s">
        <v>220</v>
      </c>
      <c r="G265" s="56">
        <f>'[3]CUENTA T FONDO 100'!EJ126</f>
        <v>0</v>
      </c>
      <c r="H265" s="56">
        <f>'[3]CUENTA T VS'!EJ106</f>
        <v>0</v>
      </c>
      <c r="I265" s="56">
        <f t="shared" si="12"/>
        <v>0</v>
      </c>
      <c r="J265" s="57">
        <f>I265/$I$25</f>
        <v>0</v>
      </c>
    </row>
    <row r="266" spans="1:10" x14ac:dyDescent="0.25">
      <c r="A266" s="62">
        <v>2</v>
      </c>
      <c r="B266" s="54">
        <v>3</v>
      </c>
      <c r="C266" s="54">
        <v>6</v>
      </c>
      <c r="D266" s="54">
        <v>1</v>
      </c>
      <c r="E266" s="55" t="s">
        <v>37</v>
      </c>
      <c r="F266" s="68" t="s">
        <v>221</v>
      </c>
      <c r="G266" s="56">
        <f>'[3]CUENTA T FONDO 100'!EK126</f>
        <v>0</v>
      </c>
      <c r="H266" s="56">
        <f>'[3]CUENTA T VS'!EK106</f>
        <v>0</v>
      </c>
      <c r="I266" s="56">
        <f t="shared" si="12"/>
        <v>0</v>
      </c>
      <c r="J266" s="57">
        <f>I266/$I$25</f>
        <v>0</v>
      </c>
    </row>
    <row r="267" spans="1:10" x14ac:dyDescent="0.25">
      <c r="A267" s="62">
        <v>2</v>
      </c>
      <c r="B267" s="54">
        <v>3</v>
      </c>
      <c r="C267" s="54">
        <v>6</v>
      </c>
      <c r="D267" s="54">
        <v>1</v>
      </c>
      <c r="E267" s="55" t="s">
        <v>39</v>
      </c>
      <c r="F267" s="68" t="s">
        <v>222</v>
      </c>
      <c r="G267" s="56">
        <f>'[3]CUENTA T FONDO 100'!EL126</f>
        <v>0</v>
      </c>
      <c r="H267" s="56">
        <f>'[3]CUENTA T VS'!EL106</f>
        <v>0</v>
      </c>
      <c r="I267" s="56">
        <f t="shared" si="12"/>
        <v>0</v>
      </c>
      <c r="J267" s="57">
        <f>I267/$I$25</f>
        <v>0</v>
      </c>
    </row>
    <row r="268" spans="1:10" ht="25.5" x14ac:dyDescent="0.25">
      <c r="A268" s="61">
        <v>2</v>
      </c>
      <c r="B268" s="50">
        <v>3</v>
      </c>
      <c r="C268" s="50">
        <v>6</v>
      </c>
      <c r="D268" s="50">
        <v>2</v>
      </c>
      <c r="E268" s="50"/>
      <c r="F268" s="69" t="s">
        <v>223</v>
      </c>
      <c r="G268" s="51">
        <f>SUM(G269:G271)</f>
        <v>0</v>
      </c>
      <c r="H268" s="51">
        <f>SUM(H269:H271)</f>
        <v>0</v>
      </c>
      <c r="I268" s="51">
        <f t="shared" si="12"/>
        <v>0</v>
      </c>
      <c r="J268" s="58"/>
    </row>
    <row r="269" spans="1:10" x14ac:dyDescent="0.25">
      <c r="A269" s="62">
        <v>2</v>
      </c>
      <c r="B269" s="54">
        <v>3</v>
      </c>
      <c r="C269" s="54">
        <v>6</v>
      </c>
      <c r="D269" s="54">
        <v>2</v>
      </c>
      <c r="E269" s="55" t="s">
        <v>31</v>
      </c>
      <c r="F269" s="68" t="s">
        <v>224</v>
      </c>
      <c r="G269" s="56">
        <f>'[3]CUENTA T FONDO 100'!EM126</f>
        <v>0</v>
      </c>
      <c r="H269" s="56">
        <f>'[3]CUENTA T VS'!EM106</f>
        <v>0</v>
      </c>
      <c r="I269" s="56">
        <f t="shared" si="12"/>
        <v>0</v>
      </c>
      <c r="J269" s="57">
        <f>I269/$I$25</f>
        <v>0</v>
      </c>
    </row>
    <row r="270" spans="1:10" x14ac:dyDescent="0.25">
      <c r="A270" s="62">
        <v>2</v>
      </c>
      <c r="B270" s="54">
        <v>3</v>
      </c>
      <c r="C270" s="54">
        <v>6</v>
      </c>
      <c r="D270" s="54">
        <v>2</v>
      </c>
      <c r="E270" s="55" t="s">
        <v>33</v>
      </c>
      <c r="F270" s="68" t="s">
        <v>225</v>
      </c>
      <c r="G270" s="56">
        <f>'[3]CUENTA T FONDO 100'!EN126</f>
        <v>0</v>
      </c>
      <c r="H270" s="56">
        <f>'[3]CUENTA T VS'!EN106</f>
        <v>0</v>
      </c>
      <c r="I270" s="56">
        <f t="shared" si="12"/>
        <v>0</v>
      </c>
      <c r="J270" s="57">
        <f>I270/$I$25</f>
        <v>0</v>
      </c>
    </row>
    <row r="271" spans="1:10" x14ac:dyDescent="0.25">
      <c r="A271" s="62">
        <v>2</v>
      </c>
      <c r="B271" s="54">
        <v>3</v>
      </c>
      <c r="C271" s="54">
        <v>6</v>
      </c>
      <c r="D271" s="54">
        <v>2</v>
      </c>
      <c r="E271" s="55" t="s">
        <v>35</v>
      </c>
      <c r="F271" s="68" t="s">
        <v>226</v>
      </c>
      <c r="G271" s="56">
        <f>'[3]CUENTA T FONDO 100'!EO126</f>
        <v>0</v>
      </c>
      <c r="H271" s="56">
        <f>'[3]CUENTA T VS'!EO106</f>
        <v>0</v>
      </c>
      <c r="I271" s="56">
        <f t="shared" si="12"/>
        <v>0</v>
      </c>
      <c r="J271" s="57">
        <f>I271/$I$25</f>
        <v>0</v>
      </c>
    </row>
    <row r="272" spans="1:10" ht="25.5" x14ac:dyDescent="0.25">
      <c r="A272" s="61">
        <v>2</v>
      </c>
      <c r="B272" s="50">
        <v>3</v>
      </c>
      <c r="C272" s="50">
        <v>6</v>
      </c>
      <c r="D272" s="50">
        <v>3</v>
      </c>
      <c r="E272" s="50"/>
      <c r="F272" s="69" t="s">
        <v>227</v>
      </c>
      <c r="G272" s="51">
        <f>SUM(G273:G275)</f>
        <v>101426.9</v>
      </c>
      <c r="H272" s="51">
        <f>SUM(H273:H275)</f>
        <v>0</v>
      </c>
      <c r="I272" s="51">
        <f t="shared" si="12"/>
        <v>101426.9</v>
      </c>
      <c r="J272" s="58"/>
    </row>
    <row r="273" spans="1:10" x14ac:dyDescent="0.25">
      <c r="A273" s="62">
        <v>2</v>
      </c>
      <c r="B273" s="54">
        <v>3</v>
      </c>
      <c r="C273" s="54">
        <v>6</v>
      </c>
      <c r="D273" s="54">
        <v>3</v>
      </c>
      <c r="E273" s="55" t="s">
        <v>37</v>
      </c>
      <c r="F273" s="68" t="s">
        <v>228</v>
      </c>
      <c r="G273" s="56">
        <f>'[3]CUENTA T FONDO 100'!EP126</f>
        <v>0</v>
      </c>
      <c r="H273" s="56">
        <f>'[3]CUENTA T VS'!EP106</f>
        <v>0</v>
      </c>
      <c r="I273" s="56">
        <f t="shared" si="12"/>
        <v>0</v>
      </c>
      <c r="J273" s="57">
        <f>I273/$I$25</f>
        <v>0</v>
      </c>
    </row>
    <row r="274" spans="1:10" x14ac:dyDescent="0.25">
      <c r="A274" s="62">
        <v>2</v>
      </c>
      <c r="B274" s="54">
        <v>3</v>
      </c>
      <c r="C274" s="54">
        <v>6</v>
      </c>
      <c r="D274" s="54">
        <v>3</v>
      </c>
      <c r="E274" s="55" t="s">
        <v>39</v>
      </c>
      <c r="F274" s="68" t="s">
        <v>229</v>
      </c>
      <c r="G274" s="56">
        <f>'[3]CUENTA T FONDO 100'!EQ126</f>
        <v>0</v>
      </c>
      <c r="H274" s="56">
        <f>'[3]CUENTA T VS'!EQ106</f>
        <v>0</v>
      </c>
      <c r="I274" s="56">
        <f t="shared" si="12"/>
        <v>0</v>
      </c>
      <c r="J274" s="57">
        <f>I274/$I$25</f>
        <v>0</v>
      </c>
    </row>
    <row r="275" spans="1:10" x14ac:dyDescent="0.25">
      <c r="A275" s="62">
        <v>2</v>
      </c>
      <c r="B275" s="54">
        <v>3</v>
      </c>
      <c r="C275" s="54">
        <v>6</v>
      </c>
      <c r="D275" s="54">
        <v>3</v>
      </c>
      <c r="E275" s="55" t="s">
        <v>41</v>
      </c>
      <c r="F275" s="68" t="s">
        <v>230</v>
      </c>
      <c r="G275" s="56">
        <f>'[3]CUENTA T FONDO 100'!ER126</f>
        <v>101426.9</v>
      </c>
      <c r="H275" s="56">
        <f>'[3]CUENTA T VS'!ER106</f>
        <v>0</v>
      </c>
      <c r="I275" s="56">
        <f t="shared" si="12"/>
        <v>101426.9</v>
      </c>
      <c r="J275" s="57">
        <f>I275/$I$25</f>
        <v>1.0097866954018458E-3</v>
      </c>
    </row>
    <row r="276" spans="1:10" x14ac:dyDescent="0.25">
      <c r="A276" s="61">
        <v>2</v>
      </c>
      <c r="B276" s="50">
        <v>3</v>
      </c>
      <c r="C276" s="50">
        <v>6</v>
      </c>
      <c r="D276" s="50">
        <v>4</v>
      </c>
      <c r="E276" s="50"/>
      <c r="F276" s="69" t="s">
        <v>231</v>
      </c>
      <c r="G276" s="51">
        <f>SUM(G277:G283)</f>
        <v>0</v>
      </c>
      <c r="H276" s="51">
        <f>SUM(H277:H283)</f>
        <v>0</v>
      </c>
      <c r="I276" s="51">
        <f t="shared" si="12"/>
        <v>0</v>
      </c>
      <c r="J276" s="58"/>
    </row>
    <row r="277" spans="1:10" x14ac:dyDescent="0.25">
      <c r="A277" s="62">
        <v>2</v>
      </c>
      <c r="B277" s="54">
        <v>3</v>
      </c>
      <c r="C277" s="54">
        <v>6</v>
      </c>
      <c r="D277" s="54">
        <v>4</v>
      </c>
      <c r="E277" s="55" t="s">
        <v>31</v>
      </c>
      <c r="F277" s="68" t="s">
        <v>232</v>
      </c>
      <c r="G277" s="56">
        <f>'[3]CUENTA T FONDO 100'!ES126</f>
        <v>0</v>
      </c>
      <c r="H277" s="56">
        <f>'[3]CUENTA T VS'!ES106</f>
        <v>0</v>
      </c>
      <c r="I277" s="56">
        <f t="shared" si="12"/>
        <v>0</v>
      </c>
      <c r="J277" s="57">
        <f t="shared" ref="J277:J283" si="13">I277/$I$25</f>
        <v>0</v>
      </c>
    </row>
    <row r="278" spans="1:10" x14ac:dyDescent="0.25">
      <c r="A278" s="62">
        <v>2</v>
      </c>
      <c r="B278" s="54">
        <v>3</v>
      </c>
      <c r="C278" s="54">
        <v>6</v>
      </c>
      <c r="D278" s="54">
        <v>4</v>
      </c>
      <c r="E278" s="55" t="s">
        <v>33</v>
      </c>
      <c r="F278" s="68" t="s">
        <v>233</v>
      </c>
      <c r="G278" s="56">
        <f>'[3]CUENTA T FONDO 100'!ET126</f>
        <v>0</v>
      </c>
      <c r="H278" s="56">
        <f>'[3]CUENTA T VS'!ET106</f>
        <v>0</v>
      </c>
      <c r="I278" s="56">
        <f t="shared" si="12"/>
        <v>0</v>
      </c>
      <c r="J278" s="57">
        <f t="shared" si="13"/>
        <v>0</v>
      </c>
    </row>
    <row r="279" spans="1:10" x14ac:dyDescent="0.25">
      <c r="A279" s="62">
        <v>2</v>
      </c>
      <c r="B279" s="54">
        <v>3</v>
      </c>
      <c r="C279" s="54">
        <v>6</v>
      </c>
      <c r="D279" s="54">
        <v>4</v>
      </c>
      <c r="E279" s="55" t="s">
        <v>35</v>
      </c>
      <c r="F279" s="68" t="s">
        <v>234</v>
      </c>
      <c r="G279" s="56">
        <f>'[3]CUENTA T FONDO 100'!EU126</f>
        <v>0</v>
      </c>
      <c r="H279" s="56">
        <f>'[3]CUENTA T VS'!EU106</f>
        <v>0</v>
      </c>
      <c r="I279" s="56">
        <f t="shared" si="12"/>
        <v>0</v>
      </c>
      <c r="J279" s="57">
        <f t="shared" si="13"/>
        <v>0</v>
      </c>
    </row>
    <row r="280" spans="1:10" x14ac:dyDescent="0.25">
      <c r="A280" s="62">
        <v>2</v>
      </c>
      <c r="B280" s="54">
        <v>3</v>
      </c>
      <c r="C280" s="54">
        <v>6</v>
      </c>
      <c r="D280" s="54">
        <v>4</v>
      </c>
      <c r="E280" s="55" t="s">
        <v>37</v>
      </c>
      <c r="F280" s="68" t="s">
        <v>235</v>
      </c>
      <c r="G280" s="56">
        <f>'[3]CUENTA T FONDO 100'!EV126</f>
        <v>0</v>
      </c>
      <c r="H280" s="56">
        <f>'[3]CUENTA T VS'!EV106</f>
        <v>0</v>
      </c>
      <c r="I280" s="56">
        <f t="shared" si="12"/>
        <v>0</v>
      </c>
      <c r="J280" s="57">
        <f t="shared" si="13"/>
        <v>0</v>
      </c>
    </row>
    <row r="281" spans="1:10" x14ac:dyDescent="0.25">
      <c r="A281" s="62">
        <v>2</v>
      </c>
      <c r="B281" s="54">
        <v>3</v>
      </c>
      <c r="C281" s="54">
        <v>6</v>
      </c>
      <c r="D281" s="54">
        <v>4</v>
      </c>
      <c r="E281" s="55" t="s">
        <v>39</v>
      </c>
      <c r="F281" s="68" t="s">
        <v>236</v>
      </c>
      <c r="G281" s="56">
        <f>'[3]CUENTA T FONDO 100'!EW126</f>
        <v>0</v>
      </c>
      <c r="H281" s="56">
        <f>'[3]CUENTA T VS'!EW106</f>
        <v>0</v>
      </c>
      <c r="I281" s="56">
        <f t="shared" ref="I281:I344" si="14">SUM(G281:H281)</f>
        <v>0</v>
      </c>
      <c r="J281" s="57">
        <f t="shared" si="13"/>
        <v>0</v>
      </c>
    </row>
    <row r="282" spans="1:10" x14ac:dyDescent="0.25">
      <c r="A282" s="62">
        <v>2</v>
      </c>
      <c r="B282" s="54">
        <v>3</v>
      </c>
      <c r="C282" s="54">
        <v>6</v>
      </c>
      <c r="D282" s="54">
        <v>4</v>
      </c>
      <c r="E282" s="55" t="s">
        <v>41</v>
      </c>
      <c r="F282" s="68" t="s">
        <v>237</v>
      </c>
      <c r="G282" s="56">
        <f>'[3]CUENTA T FONDO 100'!EX126</f>
        <v>0</v>
      </c>
      <c r="H282" s="56">
        <f>'[3]CUENTA T VS'!EX106</f>
        <v>0</v>
      </c>
      <c r="I282" s="56">
        <f t="shared" si="14"/>
        <v>0</v>
      </c>
      <c r="J282" s="57">
        <f t="shared" si="13"/>
        <v>0</v>
      </c>
    </row>
    <row r="283" spans="1:10" x14ac:dyDescent="0.25">
      <c r="A283" s="62">
        <v>2</v>
      </c>
      <c r="B283" s="54">
        <v>3</v>
      </c>
      <c r="C283" s="54">
        <v>6</v>
      </c>
      <c r="D283" s="54">
        <v>4</v>
      </c>
      <c r="E283" s="55" t="s">
        <v>67</v>
      </c>
      <c r="F283" s="68" t="s">
        <v>238</v>
      </c>
      <c r="G283" s="56">
        <f>'[3]CUENTA T FONDO 100'!EY126</f>
        <v>0</v>
      </c>
      <c r="H283" s="56">
        <f>'[3]CUENTA T VS'!EY106</f>
        <v>0</v>
      </c>
      <c r="I283" s="56">
        <f t="shared" si="14"/>
        <v>0</v>
      </c>
      <c r="J283" s="57">
        <f t="shared" si="13"/>
        <v>0</v>
      </c>
    </row>
    <row r="284" spans="1:10" ht="25.5" x14ac:dyDescent="0.25">
      <c r="A284" s="61">
        <v>2</v>
      </c>
      <c r="B284" s="50">
        <v>3</v>
      </c>
      <c r="C284" s="50">
        <v>6</v>
      </c>
      <c r="D284" s="50">
        <v>9</v>
      </c>
      <c r="E284" s="50"/>
      <c r="F284" s="69" t="s">
        <v>239</v>
      </c>
      <c r="G284" s="51">
        <f>SUM(G285)</f>
        <v>0</v>
      </c>
      <c r="H284" s="51">
        <f>SUM(H285)</f>
        <v>0</v>
      </c>
      <c r="I284" s="51">
        <f t="shared" si="14"/>
        <v>0</v>
      </c>
      <c r="J284" s="58"/>
    </row>
    <row r="285" spans="1:10" x14ac:dyDescent="0.25">
      <c r="A285" s="62">
        <v>2</v>
      </c>
      <c r="B285" s="54">
        <v>3</v>
      </c>
      <c r="C285" s="54">
        <v>6</v>
      </c>
      <c r="D285" s="54">
        <v>9</v>
      </c>
      <c r="E285" s="55" t="s">
        <v>31</v>
      </c>
      <c r="F285" s="68" t="s">
        <v>240</v>
      </c>
      <c r="G285" s="56">
        <f>'[3]CUENTA T FONDO 100'!EZ126</f>
        <v>0</v>
      </c>
      <c r="H285" s="56">
        <f>'[3]CUENTA T VS'!EZ106</f>
        <v>0</v>
      </c>
      <c r="I285" s="56">
        <f t="shared" si="14"/>
        <v>0</v>
      </c>
      <c r="J285" s="57">
        <f>I285/$I$25</f>
        <v>0</v>
      </c>
    </row>
    <row r="286" spans="1:10" ht="25.5" x14ac:dyDescent="0.25">
      <c r="A286" s="46">
        <v>2</v>
      </c>
      <c r="B286" s="47">
        <v>3</v>
      </c>
      <c r="C286" s="47">
        <v>7</v>
      </c>
      <c r="D286" s="47"/>
      <c r="E286" s="47"/>
      <c r="F286" s="70" t="s">
        <v>241</v>
      </c>
      <c r="G286" s="48">
        <f>G287+G295</f>
        <v>2900109.81</v>
      </c>
      <c r="H286" s="48">
        <f>H287+H295</f>
        <v>207742</v>
      </c>
      <c r="I286" s="48">
        <f t="shared" si="14"/>
        <v>3107851.81</v>
      </c>
      <c r="J286" s="45"/>
    </row>
    <row r="287" spans="1:10" x14ac:dyDescent="0.25">
      <c r="A287" s="61">
        <v>2</v>
      </c>
      <c r="B287" s="50">
        <v>3</v>
      </c>
      <c r="C287" s="50">
        <v>7</v>
      </c>
      <c r="D287" s="50">
        <v>1</v>
      </c>
      <c r="E287" s="50"/>
      <c r="F287" s="69" t="s">
        <v>242</v>
      </c>
      <c r="G287" s="51">
        <f>SUM(G288:G294)</f>
        <v>0</v>
      </c>
      <c r="H287" s="51">
        <f>SUM(H288:H294)</f>
        <v>194542</v>
      </c>
      <c r="I287" s="51">
        <f t="shared" si="14"/>
        <v>194542</v>
      </c>
      <c r="J287" s="58"/>
    </row>
    <row r="288" spans="1:10" x14ac:dyDescent="0.25">
      <c r="A288" s="62">
        <v>2</v>
      </c>
      <c r="B288" s="54">
        <v>3</v>
      </c>
      <c r="C288" s="54">
        <v>7</v>
      </c>
      <c r="D288" s="54">
        <v>1</v>
      </c>
      <c r="E288" s="55" t="s">
        <v>31</v>
      </c>
      <c r="F288" s="68" t="s">
        <v>243</v>
      </c>
      <c r="G288" s="56">
        <f>'[3]CUENTA T FONDO 100'!FA126</f>
        <v>0</v>
      </c>
      <c r="H288" s="56">
        <f>'[3]CUENTA T VS'!FA106</f>
        <v>172000</v>
      </c>
      <c r="I288" s="56">
        <f t="shared" si="14"/>
        <v>172000</v>
      </c>
      <c r="J288" s="57">
        <f t="shared" ref="J288:J294" si="15">I288/$I$25</f>
        <v>1.7123988962407159E-3</v>
      </c>
    </row>
    <row r="289" spans="1:10" x14ac:dyDescent="0.25">
      <c r="A289" s="62">
        <v>2</v>
      </c>
      <c r="B289" s="54">
        <v>3</v>
      </c>
      <c r="C289" s="54">
        <v>7</v>
      </c>
      <c r="D289" s="54">
        <v>1</v>
      </c>
      <c r="E289" s="55" t="s">
        <v>33</v>
      </c>
      <c r="F289" s="68" t="s">
        <v>244</v>
      </c>
      <c r="G289" s="56">
        <f>'[3]CUENTA T FONDO 100'!FB126</f>
        <v>0</v>
      </c>
      <c r="H289" s="56">
        <f>'[3]CUENTA T VS'!FB106</f>
        <v>0</v>
      </c>
      <c r="I289" s="56">
        <f t="shared" si="14"/>
        <v>0</v>
      </c>
      <c r="J289" s="57">
        <f t="shared" si="15"/>
        <v>0</v>
      </c>
    </row>
    <row r="290" spans="1:10" x14ac:dyDescent="0.25">
      <c r="A290" s="62">
        <v>2</v>
      </c>
      <c r="B290" s="54">
        <v>3</v>
      </c>
      <c r="C290" s="54">
        <v>7</v>
      </c>
      <c r="D290" s="54">
        <v>1</v>
      </c>
      <c r="E290" s="55" t="s">
        <v>35</v>
      </c>
      <c r="F290" s="68" t="s">
        <v>245</v>
      </c>
      <c r="G290" s="56">
        <f>'[3]CUENTA T FONDO 100'!FC126</f>
        <v>0</v>
      </c>
      <c r="H290" s="56">
        <f>'[3]CUENTA T VS'!FC106</f>
        <v>0</v>
      </c>
      <c r="I290" s="56">
        <f t="shared" si="14"/>
        <v>0</v>
      </c>
      <c r="J290" s="57">
        <f t="shared" si="15"/>
        <v>0</v>
      </c>
    </row>
    <row r="291" spans="1:10" x14ac:dyDescent="0.25">
      <c r="A291" s="62">
        <v>2</v>
      </c>
      <c r="B291" s="54">
        <v>3</v>
      </c>
      <c r="C291" s="54">
        <v>7</v>
      </c>
      <c r="D291" s="54">
        <v>1</v>
      </c>
      <c r="E291" s="55" t="s">
        <v>37</v>
      </c>
      <c r="F291" s="68" t="s">
        <v>246</v>
      </c>
      <c r="G291" s="56">
        <f>'[3]CUENTA T FONDO 100'!FD126</f>
        <v>0</v>
      </c>
      <c r="H291" s="56">
        <f>'[3]CUENTA T VS'!FD106</f>
        <v>22542</v>
      </c>
      <c r="I291" s="56">
        <f t="shared" si="14"/>
        <v>22542</v>
      </c>
      <c r="J291" s="57">
        <f t="shared" si="15"/>
        <v>2.2442381348289662E-4</v>
      </c>
    </row>
    <row r="292" spans="1:10" x14ac:dyDescent="0.25">
      <c r="A292" s="62">
        <v>2</v>
      </c>
      <c r="B292" s="54">
        <v>3</v>
      </c>
      <c r="C292" s="54">
        <v>7</v>
      </c>
      <c r="D292" s="54">
        <v>1</v>
      </c>
      <c r="E292" s="55" t="s">
        <v>39</v>
      </c>
      <c r="F292" s="68" t="s">
        <v>247</v>
      </c>
      <c r="G292" s="56">
        <f>'[3]CUENTA T FONDO 100'!FE126</f>
        <v>0</v>
      </c>
      <c r="H292" s="56">
        <f>'[3]CUENTA T VS'!FE106</f>
        <v>0</v>
      </c>
      <c r="I292" s="56">
        <f t="shared" si="14"/>
        <v>0</v>
      </c>
      <c r="J292" s="57">
        <f t="shared" si="15"/>
        <v>0</v>
      </c>
    </row>
    <row r="293" spans="1:10" x14ac:dyDescent="0.25">
      <c r="A293" s="62">
        <v>2</v>
      </c>
      <c r="B293" s="54">
        <v>3</v>
      </c>
      <c r="C293" s="54">
        <v>7</v>
      </c>
      <c r="D293" s="54">
        <v>1</v>
      </c>
      <c r="E293" s="55" t="s">
        <v>41</v>
      </c>
      <c r="F293" s="68" t="s">
        <v>248</v>
      </c>
      <c r="G293" s="56">
        <f>'[3]CUENTA T FONDO 100'!FF126</f>
        <v>0</v>
      </c>
      <c r="H293" s="56">
        <f>'[3]CUENTA T VS'!FF106</f>
        <v>0</v>
      </c>
      <c r="I293" s="56">
        <f t="shared" si="14"/>
        <v>0</v>
      </c>
      <c r="J293" s="57">
        <f t="shared" si="15"/>
        <v>0</v>
      </c>
    </row>
    <row r="294" spans="1:10" x14ac:dyDescent="0.25">
      <c r="A294" s="62">
        <v>2</v>
      </c>
      <c r="B294" s="54">
        <v>3</v>
      </c>
      <c r="C294" s="54">
        <v>7</v>
      </c>
      <c r="D294" s="54">
        <v>1</v>
      </c>
      <c r="E294" s="55" t="s">
        <v>67</v>
      </c>
      <c r="F294" s="68" t="s">
        <v>249</v>
      </c>
      <c r="G294" s="56">
        <f>'[3]CUENTA T FONDO 100'!FG126</f>
        <v>0</v>
      </c>
      <c r="H294" s="56">
        <f>'[3]CUENTA T VS'!FG106</f>
        <v>0</v>
      </c>
      <c r="I294" s="56">
        <f t="shared" si="14"/>
        <v>0</v>
      </c>
      <c r="J294" s="57">
        <f t="shared" si="15"/>
        <v>0</v>
      </c>
    </row>
    <row r="295" spans="1:10" x14ac:dyDescent="0.25">
      <c r="A295" s="61">
        <v>2</v>
      </c>
      <c r="B295" s="50">
        <v>3</v>
      </c>
      <c r="C295" s="50">
        <v>7</v>
      </c>
      <c r="D295" s="50">
        <v>2</v>
      </c>
      <c r="E295" s="50"/>
      <c r="F295" s="69" t="s">
        <v>250</v>
      </c>
      <c r="G295" s="51">
        <f>SUM(G296:G302)</f>
        <v>2900109.81</v>
      </c>
      <c r="H295" s="51">
        <f>SUM(H296:H302)</f>
        <v>13200</v>
      </c>
      <c r="I295" s="51">
        <f t="shared" si="14"/>
        <v>2913309.81</v>
      </c>
      <c r="J295" s="58"/>
    </row>
    <row r="296" spans="1:10" x14ac:dyDescent="0.25">
      <c r="A296" s="62">
        <v>2</v>
      </c>
      <c r="B296" s="54">
        <v>3</v>
      </c>
      <c r="C296" s="54">
        <v>7</v>
      </c>
      <c r="D296" s="54">
        <v>2</v>
      </c>
      <c r="E296" s="55" t="s">
        <v>31</v>
      </c>
      <c r="F296" s="68" t="s">
        <v>251</v>
      </c>
      <c r="G296" s="56">
        <f>'[3]CUENTA T FONDO 100'!FH126</f>
        <v>0</v>
      </c>
      <c r="H296" s="56">
        <f>'[3]CUENTA T VS'!FH106</f>
        <v>0</v>
      </c>
      <c r="I296" s="56">
        <f t="shared" si="14"/>
        <v>0</v>
      </c>
      <c r="J296" s="57">
        <f t="shared" ref="J296:J302" si="16">I296/$I$25</f>
        <v>0</v>
      </c>
    </row>
    <row r="297" spans="1:10" x14ac:dyDescent="0.25">
      <c r="A297" s="62">
        <v>2</v>
      </c>
      <c r="B297" s="54">
        <v>3</v>
      </c>
      <c r="C297" s="54">
        <v>7</v>
      </c>
      <c r="D297" s="54">
        <v>2</v>
      </c>
      <c r="E297" s="55" t="s">
        <v>33</v>
      </c>
      <c r="F297" s="68" t="s">
        <v>252</v>
      </c>
      <c r="G297" s="56">
        <f>'[3]CUENTA T FONDO 100'!FI126</f>
        <v>0</v>
      </c>
      <c r="H297" s="56">
        <f>'[3]CUENTA T VS'!FI106</f>
        <v>0</v>
      </c>
      <c r="I297" s="56">
        <f t="shared" si="14"/>
        <v>0</v>
      </c>
      <c r="J297" s="57">
        <f t="shared" si="16"/>
        <v>0</v>
      </c>
    </row>
    <row r="298" spans="1:10" ht="25.5" x14ac:dyDescent="0.25">
      <c r="A298" s="62">
        <v>2</v>
      </c>
      <c r="B298" s="54">
        <v>3</v>
      </c>
      <c r="C298" s="54">
        <v>7</v>
      </c>
      <c r="D298" s="54">
        <v>2</v>
      </c>
      <c r="E298" s="55" t="s">
        <v>35</v>
      </c>
      <c r="F298" s="68" t="s">
        <v>253</v>
      </c>
      <c r="G298" s="56">
        <f>'[3]CUENTA T FONDO 100'!FJ126</f>
        <v>2221358.31</v>
      </c>
      <c r="H298" s="56">
        <f>'[3]CUENTA T VS'!FJ106</f>
        <v>13200</v>
      </c>
      <c r="I298" s="56">
        <f t="shared" si="14"/>
        <v>2234558.31</v>
      </c>
      <c r="J298" s="57">
        <f t="shared" si="16"/>
        <v>2.2246832462962326E-2</v>
      </c>
    </row>
    <row r="299" spans="1:10" x14ac:dyDescent="0.25">
      <c r="A299" s="62">
        <v>2</v>
      </c>
      <c r="B299" s="54">
        <v>3</v>
      </c>
      <c r="C299" s="54">
        <v>7</v>
      </c>
      <c r="D299" s="54">
        <v>2</v>
      </c>
      <c r="E299" s="55" t="s">
        <v>37</v>
      </c>
      <c r="F299" s="68" t="s">
        <v>254</v>
      </c>
      <c r="G299" s="56">
        <f>'[3]CUENTA T FONDO 100'!FK126</f>
        <v>0</v>
      </c>
      <c r="H299" s="56">
        <f>'[3]CUENTA T VS'!FK106</f>
        <v>0</v>
      </c>
      <c r="I299" s="56">
        <f t="shared" si="14"/>
        <v>0</v>
      </c>
      <c r="J299" s="57">
        <f t="shared" si="16"/>
        <v>0</v>
      </c>
    </row>
    <row r="300" spans="1:10" x14ac:dyDescent="0.25">
      <c r="A300" s="62">
        <v>2</v>
      </c>
      <c r="B300" s="54">
        <v>3</v>
      </c>
      <c r="C300" s="54">
        <v>7</v>
      </c>
      <c r="D300" s="54">
        <v>2</v>
      </c>
      <c r="E300" s="55" t="s">
        <v>39</v>
      </c>
      <c r="F300" s="68" t="s">
        <v>255</v>
      </c>
      <c r="G300" s="56">
        <f>'[3]CUENTA T FONDO 100'!FL126</f>
        <v>0</v>
      </c>
      <c r="H300" s="56">
        <f>'[3]CUENTA T VS'!FL106</f>
        <v>0</v>
      </c>
      <c r="I300" s="56">
        <f t="shared" si="14"/>
        <v>0</v>
      </c>
      <c r="J300" s="57">
        <f t="shared" si="16"/>
        <v>0</v>
      </c>
    </row>
    <row r="301" spans="1:10" ht="38.25" x14ac:dyDescent="0.25">
      <c r="A301" s="53">
        <v>2</v>
      </c>
      <c r="B301" s="54">
        <v>3</v>
      </c>
      <c r="C301" s="54">
        <v>7</v>
      </c>
      <c r="D301" s="54">
        <v>2</v>
      </c>
      <c r="E301" s="55" t="s">
        <v>41</v>
      </c>
      <c r="F301" s="71" t="s">
        <v>256</v>
      </c>
      <c r="G301" s="56">
        <f>'[3]CUENTA T FONDO 100'!FM126</f>
        <v>0</v>
      </c>
      <c r="H301" s="56">
        <f>'[3]CUENTA T VS'!FM106</f>
        <v>0</v>
      </c>
      <c r="I301" s="56">
        <f t="shared" si="14"/>
        <v>0</v>
      </c>
      <c r="J301" s="57">
        <f t="shared" si="16"/>
        <v>0</v>
      </c>
    </row>
    <row r="302" spans="1:10" ht="25.5" x14ac:dyDescent="0.25">
      <c r="A302" s="53">
        <v>2</v>
      </c>
      <c r="B302" s="54">
        <v>3</v>
      </c>
      <c r="C302" s="54">
        <v>7</v>
      </c>
      <c r="D302" s="54">
        <v>2</v>
      </c>
      <c r="E302" s="55">
        <v>99</v>
      </c>
      <c r="F302" s="71" t="s">
        <v>257</v>
      </c>
      <c r="G302" s="56">
        <f>'[3]CUENTA T FONDO 100'!FN126</f>
        <v>678751.5</v>
      </c>
      <c r="H302" s="56">
        <f>'[3]CUENTA T VS'!FN106</f>
        <v>0</v>
      </c>
      <c r="I302" s="56">
        <f t="shared" si="14"/>
        <v>678751.5</v>
      </c>
      <c r="J302" s="57">
        <f t="shared" si="16"/>
        <v>6.7575192989635484E-3</v>
      </c>
    </row>
    <row r="303" spans="1:10" ht="25.5" x14ac:dyDescent="0.25">
      <c r="A303" s="46">
        <v>2</v>
      </c>
      <c r="B303" s="47">
        <v>3</v>
      </c>
      <c r="C303" s="47">
        <v>8</v>
      </c>
      <c r="D303" s="47"/>
      <c r="E303" s="47"/>
      <c r="F303" s="70" t="s">
        <v>258</v>
      </c>
      <c r="G303" s="48">
        <f>+G304+G306</f>
        <v>0</v>
      </c>
      <c r="H303" s="48">
        <f>+H304+H306</f>
        <v>0</v>
      </c>
      <c r="I303" s="48">
        <f t="shared" si="14"/>
        <v>0</v>
      </c>
      <c r="J303" s="45"/>
    </row>
    <row r="304" spans="1:10" ht="25.5" x14ac:dyDescent="0.25">
      <c r="A304" s="49">
        <v>2</v>
      </c>
      <c r="B304" s="50">
        <v>3</v>
      </c>
      <c r="C304" s="50">
        <v>8</v>
      </c>
      <c r="D304" s="50">
        <v>1</v>
      </c>
      <c r="E304" s="50"/>
      <c r="F304" s="69" t="s">
        <v>259</v>
      </c>
      <c r="G304" s="51">
        <f>SUM(G305)</f>
        <v>0</v>
      </c>
      <c r="H304" s="51">
        <f>SUM(H305)</f>
        <v>0</v>
      </c>
      <c r="I304" s="51">
        <f t="shared" si="14"/>
        <v>0</v>
      </c>
      <c r="J304" s="58"/>
    </row>
    <row r="305" spans="1:10" ht="25.5" x14ac:dyDescent="0.25">
      <c r="A305" s="53">
        <v>2</v>
      </c>
      <c r="B305" s="54">
        <v>3</v>
      </c>
      <c r="C305" s="54">
        <v>8</v>
      </c>
      <c r="D305" s="54">
        <v>1</v>
      </c>
      <c r="E305" s="55" t="s">
        <v>31</v>
      </c>
      <c r="F305" s="68" t="s">
        <v>259</v>
      </c>
      <c r="G305" s="56">
        <f>'[3]CUENTA T FONDO 100'!FO126</f>
        <v>0</v>
      </c>
      <c r="H305" s="56">
        <f>'[3]CUENTA T VS'!FO106</f>
        <v>0</v>
      </c>
      <c r="I305" s="56">
        <f t="shared" si="14"/>
        <v>0</v>
      </c>
      <c r="J305" s="57">
        <f>I305/$I$25</f>
        <v>0</v>
      </c>
    </row>
    <row r="306" spans="1:10" ht="38.25" x14ac:dyDescent="0.25">
      <c r="A306" s="49">
        <v>2</v>
      </c>
      <c r="B306" s="50">
        <v>3</v>
      </c>
      <c r="C306" s="50">
        <v>8</v>
      </c>
      <c r="D306" s="50">
        <v>2</v>
      </c>
      <c r="E306" s="50"/>
      <c r="F306" s="69" t="s">
        <v>260</v>
      </c>
      <c r="G306" s="51">
        <f>SUM(G307)</f>
        <v>0</v>
      </c>
      <c r="H306" s="51">
        <f>SUM(H307)</f>
        <v>0</v>
      </c>
      <c r="I306" s="51">
        <f t="shared" si="14"/>
        <v>0</v>
      </c>
      <c r="J306" s="58"/>
    </row>
    <row r="307" spans="1:10" ht="38.25" x14ac:dyDescent="0.25">
      <c r="A307" s="53">
        <v>2</v>
      </c>
      <c r="B307" s="54">
        <v>3</v>
      </c>
      <c r="C307" s="54">
        <v>8</v>
      </c>
      <c r="D307" s="54">
        <v>2</v>
      </c>
      <c r="E307" s="55" t="s">
        <v>31</v>
      </c>
      <c r="F307" s="68" t="s">
        <v>260</v>
      </c>
      <c r="G307" s="56">
        <f>'[3]CUENTA T FONDO 100'!FP126</f>
        <v>0</v>
      </c>
      <c r="H307" s="56">
        <f>'[3]CUENTA T VS'!FP106</f>
        <v>0</v>
      </c>
      <c r="I307" s="56">
        <f t="shared" si="14"/>
        <v>0</v>
      </c>
      <c r="J307" s="57">
        <f>I307/$I$25</f>
        <v>0</v>
      </c>
    </row>
    <row r="308" spans="1:10" x14ac:dyDescent="0.25">
      <c r="A308" s="46">
        <v>2</v>
      </c>
      <c r="B308" s="47">
        <v>3</v>
      </c>
      <c r="C308" s="47">
        <v>9</v>
      </c>
      <c r="D308" s="47"/>
      <c r="E308" s="47"/>
      <c r="F308" s="70" t="s">
        <v>261</v>
      </c>
      <c r="G308" s="48">
        <f>+G309+G312+G314+G316+G318+G320+G322+G324+G327</f>
        <v>5325770.95</v>
      </c>
      <c r="H308" s="48">
        <f>+H309+H312+H314+H316+H318+H320+H322+H324+H327</f>
        <v>193167.65</v>
      </c>
      <c r="I308" s="48">
        <f t="shared" si="14"/>
        <v>5518938.6000000006</v>
      </c>
      <c r="J308" s="45"/>
    </row>
    <row r="309" spans="1:10" x14ac:dyDescent="0.25">
      <c r="A309" s="61">
        <v>2</v>
      </c>
      <c r="B309" s="50">
        <v>3</v>
      </c>
      <c r="C309" s="50">
        <v>9</v>
      </c>
      <c r="D309" s="50">
        <v>1</v>
      </c>
      <c r="E309" s="50"/>
      <c r="F309" s="69" t="s">
        <v>262</v>
      </c>
      <c r="G309" s="51">
        <f>SUM(G310:G311)</f>
        <v>449004.45</v>
      </c>
      <c r="H309" s="51">
        <f>SUM(H310:H311)</f>
        <v>122720</v>
      </c>
      <c r="I309" s="51">
        <f t="shared" si="14"/>
        <v>571724.44999999995</v>
      </c>
      <c r="J309" s="58"/>
    </row>
    <row r="310" spans="1:10" ht="25.5" x14ac:dyDescent="0.25">
      <c r="A310" s="62">
        <v>2</v>
      </c>
      <c r="B310" s="54">
        <v>3</v>
      </c>
      <c r="C310" s="54">
        <v>9</v>
      </c>
      <c r="D310" s="54">
        <v>1</v>
      </c>
      <c r="E310" s="55" t="s">
        <v>31</v>
      </c>
      <c r="F310" s="68" t="s">
        <v>263</v>
      </c>
      <c r="G310" s="56">
        <f>'[3]CUENTA T FONDO 100'!FQ126</f>
        <v>449004.45</v>
      </c>
      <c r="H310" s="56">
        <f>'[3]CUENTA T VS'!FQ106</f>
        <v>122720</v>
      </c>
      <c r="I310" s="56">
        <f t="shared" si="14"/>
        <v>571724.44999999995</v>
      </c>
      <c r="J310" s="57">
        <f>I310/$I$25</f>
        <v>5.6919785879873857E-3</v>
      </c>
    </row>
    <row r="311" spans="1:10" ht="25.5" x14ac:dyDescent="0.25">
      <c r="A311" s="62">
        <v>2</v>
      </c>
      <c r="B311" s="54">
        <v>3</v>
      </c>
      <c r="C311" s="54">
        <v>9</v>
      </c>
      <c r="D311" s="54">
        <v>1</v>
      </c>
      <c r="E311" s="55" t="s">
        <v>33</v>
      </c>
      <c r="F311" s="68" t="s">
        <v>264</v>
      </c>
      <c r="G311" s="56">
        <f>'[3]CUENTA T FONDO 100'!FR126</f>
        <v>0</v>
      </c>
      <c r="H311" s="56">
        <f>'[3]CUENTA T VS'!FR106</f>
        <v>0</v>
      </c>
      <c r="I311" s="56">
        <f t="shared" si="14"/>
        <v>0</v>
      </c>
      <c r="J311" s="57">
        <f>I311/$I$25</f>
        <v>0</v>
      </c>
    </row>
    <row r="312" spans="1:10" ht="38.25" x14ac:dyDescent="0.25">
      <c r="A312" s="61">
        <v>2</v>
      </c>
      <c r="B312" s="50">
        <v>3</v>
      </c>
      <c r="C312" s="50">
        <v>9</v>
      </c>
      <c r="D312" s="50">
        <v>2</v>
      </c>
      <c r="E312" s="50"/>
      <c r="F312" s="69" t="s">
        <v>265</v>
      </c>
      <c r="G312" s="51">
        <f>SUM(G313)</f>
        <v>338199.19</v>
      </c>
      <c r="H312" s="51">
        <f>SUM(H313)</f>
        <v>0</v>
      </c>
      <c r="I312" s="51">
        <f t="shared" si="14"/>
        <v>338199.19</v>
      </c>
      <c r="J312" s="58"/>
    </row>
    <row r="313" spans="1:10" ht="25.5" x14ac:dyDescent="0.25">
      <c r="A313" s="62">
        <v>2</v>
      </c>
      <c r="B313" s="54">
        <v>3</v>
      </c>
      <c r="C313" s="54">
        <v>9</v>
      </c>
      <c r="D313" s="54">
        <v>2</v>
      </c>
      <c r="E313" s="55" t="s">
        <v>31</v>
      </c>
      <c r="F313" s="68" t="s">
        <v>266</v>
      </c>
      <c r="G313" s="56">
        <f>'[3]CUENTA T FONDO 100'!FS126</f>
        <v>338199.19</v>
      </c>
      <c r="H313" s="56">
        <f>'[3]CUENTA T VS'!FS106</f>
        <v>0</v>
      </c>
      <c r="I313" s="56">
        <f t="shared" si="14"/>
        <v>338199.19</v>
      </c>
      <c r="J313" s="57">
        <f>I313/$I$25</f>
        <v>3.3670460445668847E-3</v>
      </c>
    </row>
    <row r="314" spans="1:10" ht="25.5" x14ac:dyDescent="0.25">
      <c r="A314" s="61">
        <v>2</v>
      </c>
      <c r="B314" s="50">
        <v>3</v>
      </c>
      <c r="C314" s="50">
        <v>9</v>
      </c>
      <c r="D314" s="50">
        <v>3</v>
      </c>
      <c r="E314" s="50"/>
      <c r="F314" s="69" t="s">
        <v>267</v>
      </c>
      <c r="G314" s="51">
        <f>SUM(G315)</f>
        <v>3980366.3299999996</v>
      </c>
      <c r="H314" s="51">
        <f>SUM(H315)</f>
        <v>14004.25</v>
      </c>
      <c r="I314" s="51">
        <f t="shared" si="14"/>
        <v>3994370.5799999996</v>
      </c>
      <c r="J314" s="58"/>
    </row>
    <row r="315" spans="1:10" ht="25.5" x14ac:dyDescent="0.25">
      <c r="A315" s="62">
        <v>2</v>
      </c>
      <c r="B315" s="54">
        <v>3</v>
      </c>
      <c r="C315" s="54">
        <v>9</v>
      </c>
      <c r="D315" s="54">
        <v>3</v>
      </c>
      <c r="E315" s="55" t="s">
        <v>31</v>
      </c>
      <c r="F315" s="68" t="s">
        <v>267</v>
      </c>
      <c r="G315" s="56">
        <f>'[3]CUENTA T FONDO 100'!FT126</f>
        <v>3980366.3299999996</v>
      </c>
      <c r="H315" s="56">
        <f>'[3]CUENTA T VS'!FT106</f>
        <v>14004.25</v>
      </c>
      <c r="I315" s="56">
        <f t="shared" si="14"/>
        <v>3994370.5799999996</v>
      </c>
      <c r="J315" s="57">
        <f>I315/$I$25</f>
        <v>3.9767184723072023E-2</v>
      </c>
    </row>
    <row r="316" spans="1:10" ht="25.5" x14ac:dyDescent="0.25">
      <c r="A316" s="61">
        <v>2</v>
      </c>
      <c r="B316" s="50">
        <v>3</v>
      </c>
      <c r="C316" s="50">
        <v>9</v>
      </c>
      <c r="D316" s="50">
        <v>4</v>
      </c>
      <c r="E316" s="50"/>
      <c r="F316" s="69" t="s">
        <v>268</v>
      </c>
      <c r="G316" s="51">
        <f>SUM(G317)</f>
        <v>0</v>
      </c>
      <c r="H316" s="51">
        <f>SUM(H317)</f>
        <v>0</v>
      </c>
      <c r="I316" s="51">
        <f t="shared" si="14"/>
        <v>0</v>
      </c>
      <c r="J316" s="58"/>
    </row>
    <row r="317" spans="1:10" ht="25.5" x14ac:dyDescent="0.25">
      <c r="A317" s="62">
        <v>2</v>
      </c>
      <c r="B317" s="54">
        <v>3</v>
      </c>
      <c r="C317" s="54">
        <v>9</v>
      </c>
      <c r="D317" s="54">
        <v>4</v>
      </c>
      <c r="E317" s="55" t="s">
        <v>31</v>
      </c>
      <c r="F317" s="68" t="s">
        <v>268</v>
      </c>
      <c r="G317" s="56">
        <f>'[3]CUENTA T FONDO 100'!FU126</f>
        <v>0</v>
      </c>
      <c r="H317" s="56">
        <f>'[3]CUENTA T VS'!FU106</f>
        <v>0</v>
      </c>
      <c r="I317" s="56">
        <f t="shared" si="14"/>
        <v>0</v>
      </c>
      <c r="J317" s="57">
        <f>I317/$I$25</f>
        <v>0</v>
      </c>
    </row>
    <row r="318" spans="1:10" x14ac:dyDescent="0.25">
      <c r="A318" s="61">
        <v>2</v>
      </c>
      <c r="B318" s="50">
        <v>3</v>
      </c>
      <c r="C318" s="50">
        <v>9</v>
      </c>
      <c r="D318" s="50">
        <v>5</v>
      </c>
      <c r="E318" s="50"/>
      <c r="F318" s="69" t="s">
        <v>269</v>
      </c>
      <c r="G318" s="51">
        <f>SUM(G319)</f>
        <v>0</v>
      </c>
      <c r="H318" s="51">
        <f>SUM(H319)</f>
        <v>0</v>
      </c>
      <c r="I318" s="51">
        <f t="shared" si="14"/>
        <v>0</v>
      </c>
      <c r="J318" s="58"/>
    </row>
    <row r="319" spans="1:10" x14ac:dyDescent="0.25">
      <c r="A319" s="62">
        <v>2</v>
      </c>
      <c r="B319" s="54">
        <v>3</v>
      </c>
      <c r="C319" s="54">
        <v>9</v>
      </c>
      <c r="D319" s="54">
        <v>5</v>
      </c>
      <c r="E319" s="55" t="s">
        <v>31</v>
      </c>
      <c r="F319" s="68" t="s">
        <v>269</v>
      </c>
      <c r="G319" s="56">
        <f>'[3]CUENTA T FONDO 100'!FV126</f>
        <v>0</v>
      </c>
      <c r="H319" s="56">
        <f>'[3]CUENTA T VS'!FV106</f>
        <v>0</v>
      </c>
      <c r="I319" s="56">
        <f t="shared" si="14"/>
        <v>0</v>
      </c>
      <c r="J319" s="57">
        <f>I319/$I$25</f>
        <v>0</v>
      </c>
    </row>
    <row r="320" spans="1:10" x14ac:dyDescent="0.25">
      <c r="A320" s="61">
        <v>2</v>
      </c>
      <c r="B320" s="50">
        <v>3</v>
      </c>
      <c r="C320" s="50">
        <v>9</v>
      </c>
      <c r="D320" s="50">
        <v>6</v>
      </c>
      <c r="E320" s="50"/>
      <c r="F320" s="69" t="s">
        <v>270</v>
      </c>
      <c r="G320" s="51">
        <f>SUM(G321)</f>
        <v>0</v>
      </c>
      <c r="H320" s="51">
        <f>SUM(H321)</f>
        <v>0</v>
      </c>
      <c r="I320" s="51">
        <f t="shared" si="14"/>
        <v>0</v>
      </c>
      <c r="J320" s="58"/>
    </row>
    <row r="321" spans="1:10" x14ac:dyDescent="0.25">
      <c r="A321" s="62">
        <v>2</v>
      </c>
      <c r="B321" s="54">
        <v>3</v>
      </c>
      <c r="C321" s="54">
        <v>9</v>
      </c>
      <c r="D321" s="54">
        <v>6</v>
      </c>
      <c r="E321" s="55" t="s">
        <v>31</v>
      </c>
      <c r="F321" s="68" t="s">
        <v>270</v>
      </c>
      <c r="G321" s="56">
        <f>'[3]CUENTA T FONDO 100'!FW126</f>
        <v>0</v>
      </c>
      <c r="H321" s="56">
        <f>'[3]CUENTA T VS'!FW106</f>
        <v>0</v>
      </c>
      <c r="I321" s="56">
        <f t="shared" si="14"/>
        <v>0</v>
      </c>
      <c r="J321" s="57">
        <f>I321/$I$25</f>
        <v>0</v>
      </c>
    </row>
    <row r="322" spans="1:10" x14ac:dyDescent="0.25">
      <c r="A322" s="61">
        <v>2</v>
      </c>
      <c r="B322" s="50">
        <v>3</v>
      </c>
      <c r="C322" s="50">
        <v>9</v>
      </c>
      <c r="D322" s="50">
        <v>7</v>
      </c>
      <c r="E322" s="50"/>
      <c r="F322" s="69" t="s">
        <v>271</v>
      </c>
      <c r="G322" s="51">
        <f>SUM(G323)</f>
        <v>0</v>
      </c>
      <c r="H322" s="51">
        <f>SUM(H323)</f>
        <v>0</v>
      </c>
      <c r="I322" s="51">
        <f t="shared" si="14"/>
        <v>0</v>
      </c>
      <c r="J322" s="58"/>
    </row>
    <row r="323" spans="1:10" x14ac:dyDescent="0.25">
      <c r="A323" s="62">
        <v>2</v>
      </c>
      <c r="B323" s="54">
        <v>3</v>
      </c>
      <c r="C323" s="54">
        <v>9</v>
      </c>
      <c r="D323" s="54">
        <v>7</v>
      </c>
      <c r="E323" s="55" t="s">
        <v>31</v>
      </c>
      <c r="F323" s="68" t="s">
        <v>271</v>
      </c>
      <c r="G323" s="56">
        <f>'[3]CUENTA T FONDO 100'!FX126</f>
        <v>0</v>
      </c>
      <c r="H323" s="56">
        <f>'[3]CUENTA T VS'!FX106</f>
        <v>0</v>
      </c>
      <c r="I323" s="56">
        <f t="shared" si="14"/>
        <v>0</v>
      </c>
      <c r="J323" s="57">
        <f>I323/$I$25</f>
        <v>0</v>
      </c>
    </row>
    <row r="324" spans="1:10" x14ac:dyDescent="0.25">
      <c r="A324" s="61">
        <v>2</v>
      </c>
      <c r="B324" s="50">
        <v>3</v>
      </c>
      <c r="C324" s="50">
        <v>9</v>
      </c>
      <c r="D324" s="50">
        <v>8</v>
      </c>
      <c r="E324" s="50"/>
      <c r="F324" s="69" t="s">
        <v>272</v>
      </c>
      <c r="G324" s="51">
        <f>SUM(G325:G326)</f>
        <v>553200.99</v>
      </c>
      <c r="H324" s="51">
        <f>SUM(H325:H326)</f>
        <v>0</v>
      </c>
      <c r="I324" s="51">
        <f t="shared" si="14"/>
        <v>553200.99</v>
      </c>
      <c r="J324" s="58"/>
    </row>
    <row r="325" spans="1:10" x14ac:dyDescent="0.25">
      <c r="A325" s="62">
        <v>2</v>
      </c>
      <c r="B325" s="54">
        <v>3</v>
      </c>
      <c r="C325" s="54">
        <v>9</v>
      </c>
      <c r="D325" s="54">
        <v>8</v>
      </c>
      <c r="E325" s="55" t="s">
        <v>31</v>
      </c>
      <c r="F325" s="68" t="s">
        <v>273</v>
      </c>
      <c r="G325" s="56">
        <f>'[3]CUENTA T FONDO 100'!FY126</f>
        <v>553200.99</v>
      </c>
      <c r="H325" s="56">
        <f>'[3]CUENTA T VS'!FY106</f>
        <v>0</v>
      </c>
      <c r="I325" s="56">
        <f t="shared" si="14"/>
        <v>553200.99</v>
      </c>
      <c r="J325" s="57">
        <f>I325/$I$25</f>
        <v>5.5075625853213449E-3</v>
      </c>
    </row>
    <row r="326" spans="1:10" x14ac:dyDescent="0.25">
      <c r="A326" s="62">
        <v>2</v>
      </c>
      <c r="B326" s="54">
        <v>3</v>
      </c>
      <c r="C326" s="54">
        <v>9</v>
      </c>
      <c r="D326" s="54">
        <v>8</v>
      </c>
      <c r="E326" s="55" t="s">
        <v>33</v>
      </c>
      <c r="F326" s="68" t="s">
        <v>274</v>
      </c>
      <c r="G326" s="56">
        <f>'[3]CUENTA T FONDO 100'!FZ126</f>
        <v>0</v>
      </c>
      <c r="H326" s="56">
        <f>'[3]CUENTA T VS'!FZ106</f>
        <v>0</v>
      </c>
      <c r="I326" s="56">
        <f t="shared" si="14"/>
        <v>0</v>
      </c>
      <c r="J326" s="57">
        <f>I326/$I$25</f>
        <v>0</v>
      </c>
    </row>
    <row r="327" spans="1:10" x14ac:dyDescent="0.25">
      <c r="A327" s="61">
        <v>2</v>
      </c>
      <c r="B327" s="50">
        <v>3</v>
      </c>
      <c r="C327" s="50">
        <v>9</v>
      </c>
      <c r="D327" s="50">
        <v>9</v>
      </c>
      <c r="E327" s="50"/>
      <c r="F327" s="69" t="s">
        <v>275</v>
      </c>
      <c r="G327" s="51">
        <f>SUM(G328:G329)</f>
        <v>4999.99</v>
      </c>
      <c r="H327" s="51">
        <f>SUM(H328:H329)</f>
        <v>56443.4</v>
      </c>
      <c r="I327" s="51">
        <f t="shared" si="14"/>
        <v>61443.39</v>
      </c>
      <c r="J327" s="58"/>
    </row>
    <row r="328" spans="1:10" x14ac:dyDescent="0.25">
      <c r="A328" s="62">
        <v>2</v>
      </c>
      <c r="B328" s="54">
        <v>3</v>
      </c>
      <c r="C328" s="54">
        <v>9</v>
      </c>
      <c r="D328" s="54">
        <v>9</v>
      </c>
      <c r="E328" s="55" t="s">
        <v>31</v>
      </c>
      <c r="F328" s="68" t="s">
        <v>275</v>
      </c>
      <c r="G328" s="56">
        <f>'[3]CUENTA T FONDO 100'!GA126</f>
        <v>0</v>
      </c>
      <c r="H328" s="56">
        <f>'[3]CUENTA T VS'!GA106</f>
        <v>56443.4</v>
      </c>
      <c r="I328" s="56">
        <f t="shared" si="14"/>
        <v>56443.4</v>
      </c>
      <c r="J328" s="57">
        <f>I328/$I$25</f>
        <v>5.6193962709344901E-4</v>
      </c>
    </row>
    <row r="329" spans="1:10" ht="25.5" x14ac:dyDescent="0.25">
      <c r="A329" s="62">
        <v>2</v>
      </c>
      <c r="B329" s="54">
        <v>3</v>
      </c>
      <c r="C329" s="54">
        <v>9</v>
      </c>
      <c r="D329" s="54">
        <v>9</v>
      </c>
      <c r="E329" s="55" t="s">
        <v>37</v>
      </c>
      <c r="F329" s="68" t="s">
        <v>276</v>
      </c>
      <c r="G329" s="56">
        <f>'[3]CUENTA T FONDO 100'!GB126</f>
        <v>4999.99</v>
      </c>
      <c r="H329" s="56">
        <f>'[3]CUENTA T VS'!GB106</f>
        <v>0</v>
      </c>
      <c r="I329" s="56">
        <f t="shared" si="14"/>
        <v>4999.99</v>
      </c>
      <c r="J329" s="57">
        <f>I329/$I$25</f>
        <v>4.97789381233408E-5</v>
      </c>
    </row>
    <row r="330" spans="1:10" x14ac:dyDescent="0.25">
      <c r="A330" s="60">
        <v>2</v>
      </c>
      <c r="B330" s="47">
        <v>4</v>
      </c>
      <c r="C330" s="47">
        <v>1</v>
      </c>
      <c r="D330" s="47">
        <v>2</v>
      </c>
      <c r="E330" s="47"/>
      <c r="F330" s="72" t="s">
        <v>277</v>
      </c>
      <c r="G330" s="48">
        <f>G331+G332+G333+G334+G335</f>
        <v>0</v>
      </c>
      <c r="H330" s="48">
        <f>H331+H332+H333+H334+H335</f>
        <v>118600</v>
      </c>
      <c r="I330" s="48">
        <f t="shared" si="14"/>
        <v>118600</v>
      </c>
      <c r="J330" s="45">
        <f>+I330/I25</f>
        <v>1.1807587738031913E-3</v>
      </c>
    </row>
    <row r="331" spans="1:10" ht="38.25" x14ac:dyDescent="0.25">
      <c r="A331" s="62">
        <v>2</v>
      </c>
      <c r="B331" s="54">
        <v>4</v>
      </c>
      <c r="C331" s="54">
        <v>1</v>
      </c>
      <c r="D331" s="54">
        <v>2</v>
      </c>
      <c r="E331" s="55" t="s">
        <v>31</v>
      </c>
      <c r="F331" s="68" t="s">
        <v>278</v>
      </c>
      <c r="G331" s="56">
        <f>'[3]CUENTA T FONDO 100'!GC126</f>
        <v>0</v>
      </c>
      <c r="H331" s="56">
        <f>'[3]CUENTA T VS'!GC106</f>
        <v>58600</v>
      </c>
      <c r="I331" s="56">
        <f t="shared" si="14"/>
        <v>58600</v>
      </c>
      <c r="J331" s="57">
        <f t="shared" ref="J331:J336" si="17">I331/$I$25</f>
        <v>5.8341032162619738E-4</v>
      </c>
    </row>
    <row r="332" spans="1:10" ht="25.5" x14ac:dyDescent="0.25">
      <c r="A332" s="62">
        <v>2</v>
      </c>
      <c r="B332" s="54">
        <v>4</v>
      </c>
      <c r="C332" s="54">
        <v>1</v>
      </c>
      <c r="D332" s="54">
        <v>2</v>
      </c>
      <c r="E332" s="55" t="s">
        <v>33</v>
      </c>
      <c r="F332" s="68" t="s">
        <v>279</v>
      </c>
      <c r="G332" s="56">
        <f>'[3]CUENTA T FONDO 100'!GD126</f>
        <v>0</v>
      </c>
      <c r="H332" s="56">
        <f>'[3]CUENTA T VS'!GD106</f>
        <v>60000</v>
      </c>
      <c r="I332" s="56">
        <f t="shared" si="14"/>
        <v>60000</v>
      </c>
      <c r="J332" s="57">
        <f t="shared" si="17"/>
        <v>5.9734845217699391E-4</v>
      </c>
    </row>
    <row r="333" spans="1:10" x14ac:dyDescent="0.25">
      <c r="A333" s="62">
        <v>2</v>
      </c>
      <c r="B333" s="54">
        <v>4</v>
      </c>
      <c r="C333" s="54">
        <v>1</v>
      </c>
      <c r="D333" s="54">
        <v>2</v>
      </c>
      <c r="E333" s="55" t="s">
        <v>35</v>
      </c>
      <c r="F333" s="68" t="s">
        <v>280</v>
      </c>
      <c r="G333" s="56">
        <f>'[3]CUENTA T FONDO 100'!GE126</f>
        <v>0</v>
      </c>
      <c r="H333" s="56">
        <f>'[3]CUENTA T VS'!GE106</f>
        <v>0</v>
      </c>
      <c r="I333" s="56">
        <f t="shared" si="14"/>
        <v>0</v>
      </c>
      <c r="J333" s="57">
        <f t="shared" si="17"/>
        <v>0</v>
      </c>
    </row>
    <row r="334" spans="1:10" ht="25.5" x14ac:dyDescent="0.25">
      <c r="A334" s="62">
        <v>2</v>
      </c>
      <c r="B334" s="54">
        <v>4</v>
      </c>
      <c r="C334" s="54">
        <v>1</v>
      </c>
      <c r="D334" s="54">
        <v>2</v>
      </c>
      <c r="E334" s="55" t="s">
        <v>37</v>
      </c>
      <c r="F334" s="68" t="s">
        <v>281</v>
      </c>
      <c r="G334" s="56">
        <f>'[3]CUENTA T FONDO 100'!GF126</f>
        <v>0</v>
      </c>
      <c r="H334" s="56">
        <f>'[3]CUENTA T VS'!GF106</f>
        <v>0</v>
      </c>
      <c r="I334" s="56">
        <f t="shared" si="14"/>
        <v>0</v>
      </c>
      <c r="J334" s="57">
        <f t="shared" si="17"/>
        <v>0</v>
      </c>
    </row>
    <row r="335" spans="1:10" ht="25.5" x14ac:dyDescent="0.25">
      <c r="A335" s="62">
        <v>2</v>
      </c>
      <c r="B335" s="54">
        <v>4</v>
      </c>
      <c r="C335" s="54">
        <v>1</v>
      </c>
      <c r="D335" s="54">
        <v>2</v>
      </c>
      <c r="E335" s="55" t="s">
        <v>39</v>
      </c>
      <c r="F335" s="68" t="s">
        <v>282</v>
      </c>
      <c r="G335" s="56">
        <f>'[3]CUENTA T FONDO 100'!GG126</f>
        <v>0</v>
      </c>
      <c r="H335" s="56">
        <f>'[3]CUENTA T VS'!GG106</f>
        <v>0</v>
      </c>
      <c r="I335" s="56">
        <f t="shared" si="14"/>
        <v>0</v>
      </c>
      <c r="J335" s="57">
        <f t="shared" si="17"/>
        <v>0</v>
      </c>
    </row>
    <row r="336" spans="1:10" ht="25.5" x14ac:dyDescent="0.25">
      <c r="A336" s="60">
        <v>2</v>
      </c>
      <c r="B336" s="47">
        <v>6</v>
      </c>
      <c r="C336" s="47"/>
      <c r="D336" s="47"/>
      <c r="E336" s="47"/>
      <c r="F336" s="72" t="s">
        <v>283</v>
      </c>
      <c r="G336" s="48">
        <f>G337+G348+G357+G366+G383+G400+G405+G424+G446</f>
        <v>3698140.34</v>
      </c>
      <c r="H336" s="48">
        <f>H337+H348+H357+H366+H383+H400+H405+H424+H446</f>
        <v>1456388.96</v>
      </c>
      <c r="I336" s="48">
        <f t="shared" si="14"/>
        <v>5154529.3</v>
      </c>
      <c r="J336" s="45">
        <f t="shared" si="17"/>
        <v>5.1317501650932733E-2</v>
      </c>
    </row>
    <row r="337" spans="1:10" x14ac:dyDescent="0.25">
      <c r="A337" s="46">
        <v>2</v>
      </c>
      <c r="B337" s="47">
        <v>6</v>
      </c>
      <c r="C337" s="47">
        <v>1</v>
      </c>
      <c r="D337" s="47"/>
      <c r="E337" s="47"/>
      <c r="F337" s="72" t="s">
        <v>284</v>
      </c>
      <c r="G337" s="48">
        <f>+G338+G340+G342+G344+G346</f>
        <v>1542516.34</v>
      </c>
      <c r="H337" s="48">
        <f>+H338+H340+H342+H344+H346</f>
        <v>7995.01</v>
      </c>
      <c r="I337" s="48">
        <f t="shared" si="14"/>
        <v>1550511.35</v>
      </c>
      <c r="J337" s="45"/>
    </row>
    <row r="338" spans="1:10" ht="25.5" x14ac:dyDescent="0.25">
      <c r="A338" s="49">
        <v>2</v>
      </c>
      <c r="B338" s="50">
        <v>6</v>
      </c>
      <c r="C338" s="50">
        <v>1</v>
      </c>
      <c r="D338" s="50">
        <v>1</v>
      </c>
      <c r="E338" s="50"/>
      <c r="F338" s="73" t="s">
        <v>285</v>
      </c>
      <c r="G338" s="51">
        <f>SUM(G339)</f>
        <v>1257599.97</v>
      </c>
      <c r="H338" s="51">
        <f>SUM(H339)</f>
        <v>0</v>
      </c>
      <c r="I338" s="51">
        <f t="shared" si="14"/>
        <v>1257599.97</v>
      </c>
      <c r="J338" s="58"/>
    </row>
    <row r="339" spans="1:10" ht="25.5" x14ac:dyDescent="0.25">
      <c r="A339" s="53">
        <v>2</v>
      </c>
      <c r="B339" s="54">
        <v>6</v>
      </c>
      <c r="C339" s="54">
        <v>1</v>
      </c>
      <c r="D339" s="54">
        <v>1</v>
      </c>
      <c r="E339" s="55" t="s">
        <v>31</v>
      </c>
      <c r="F339" s="59" t="s">
        <v>285</v>
      </c>
      <c r="G339" s="56">
        <f>'[3]CUENTA T FONDO 100'!GH126</f>
        <v>1257599.97</v>
      </c>
      <c r="H339" s="56">
        <f>'[3]CUENTA T VS'!GH106</f>
        <v>0</v>
      </c>
      <c r="I339" s="56">
        <f t="shared" si="14"/>
        <v>1257599.97</v>
      </c>
      <c r="J339" s="57">
        <f>I339/$I$25</f>
        <v>1.2520423258955566E-2</v>
      </c>
    </row>
    <row r="340" spans="1:10" ht="25.5" x14ac:dyDescent="0.25">
      <c r="A340" s="49">
        <v>2</v>
      </c>
      <c r="B340" s="50">
        <v>6</v>
      </c>
      <c r="C340" s="50">
        <v>1</v>
      </c>
      <c r="D340" s="50">
        <v>2</v>
      </c>
      <c r="E340" s="50"/>
      <c r="F340" s="73" t="s">
        <v>286</v>
      </c>
      <c r="G340" s="51">
        <f>SUM(G341)</f>
        <v>127620.76</v>
      </c>
      <c r="H340" s="51">
        <f>SUM(H341)</f>
        <v>7995.01</v>
      </c>
      <c r="I340" s="51">
        <f t="shared" si="14"/>
        <v>135615.76999999999</v>
      </c>
      <c r="J340" s="58"/>
    </row>
    <row r="341" spans="1:10" ht="25.5" x14ac:dyDescent="0.25">
      <c r="A341" s="53">
        <v>2</v>
      </c>
      <c r="B341" s="54">
        <v>6</v>
      </c>
      <c r="C341" s="54">
        <v>1</v>
      </c>
      <c r="D341" s="54">
        <v>2</v>
      </c>
      <c r="E341" s="55" t="s">
        <v>31</v>
      </c>
      <c r="F341" s="59" t="s">
        <v>286</v>
      </c>
      <c r="G341" s="56">
        <f>'[3]CUENTA T FONDO 100'!GI126</f>
        <v>127620.76</v>
      </c>
      <c r="H341" s="56">
        <f>'[3]CUENTA T VS'!GI106</f>
        <v>7995.01</v>
      </c>
      <c r="I341" s="56">
        <f t="shared" si="14"/>
        <v>135615.76999999999</v>
      </c>
      <c r="J341" s="57">
        <f>I341/$I$25</f>
        <v>1.3501645050048535E-3</v>
      </c>
    </row>
    <row r="342" spans="1:10" ht="25.5" x14ac:dyDescent="0.25">
      <c r="A342" s="49">
        <v>2</v>
      </c>
      <c r="B342" s="50">
        <v>6</v>
      </c>
      <c r="C342" s="50">
        <v>1</v>
      </c>
      <c r="D342" s="50">
        <v>3</v>
      </c>
      <c r="E342" s="50"/>
      <c r="F342" s="73" t="s">
        <v>287</v>
      </c>
      <c r="G342" s="51">
        <f>SUM(G343)</f>
        <v>0</v>
      </c>
      <c r="H342" s="51">
        <f>SUM(H343)</f>
        <v>0</v>
      </c>
      <c r="I342" s="51">
        <f t="shared" si="14"/>
        <v>0</v>
      </c>
      <c r="J342" s="58"/>
    </row>
    <row r="343" spans="1:10" ht="25.5" x14ac:dyDescent="0.25">
      <c r="A343" s="53">
        <v>2</v>
      </c>
      <c r="B343" s="54">
        <v>6</v>
      </c>
      <c r="C343" s="54">
        <v>1</v>
      </c>
      <c r="D343" s="54">
        <v>3</v>
      </c>
      <c r="E343" s="55" t="s">
        <v>31</v>
      </c>
      <c r="F343" s="59" t="s">
        <v>287</v>
      </c>
      <c r="G343" s="56">
        <f>'[3]CUENTA T FONDO 100'!GJ126</f>
        <v>0</v>
      </c>
      <c r="H343" s="56">
        <f>'[3]CUENTA T VS'!GJ106</f>
        <v>0</v>
      </c>
      <c r="I343" s="56">
        <f t="shared" si="14"/>
        <v>0</v>
      </c>
      <c r="J343" s="57">
        <f>I343/$I$25</f>
        <v>0</v>
      </c>
    </row>
    <row r="344" spans="1:10" x14ac:dyDescent="0.25">
      <c r="A344" s="49">
        <v>2</v>
      </c>
      <c r="B344" s="50">
        <v>6</v>
      </c>
      <c r="C344" s="50">
        <v>1</v>
      </c>
      <c r="D344" s="50">
        <v>4</v>
      </c>
      <c r="E344" s="50"/>
      <c r="F344" s="73" t="s">
        <v>288</v>
      </c>
      <c r="G344" s="51">
        <f>SUM(G345)</f>
        <v>104312</v>
      </c>
      <c r="H344" s="51">
        <f>SUM(H345)</f>
        <v>0</v>
      </c>
      <c r="I344" s="51">
        <f t="shared" si="14"/>
        <v>104312</v>
      </c>
      <c r="J344" s="58"/>
    </row>
    <row r="345" spans="1:10" x14ac:dyDescent="0.25">
      <c r="A345" s="53">
        <v>2</v>
      </c>
      <c r="B345" s="54">
        <v>6</v>
      </c>
      <c r="C345" s="54">
        <v>1</v>
      </c>
      <c r="D345" s="54">
        <v>4</v>
      </c>
      <c r="E345" s="55" t="s">
        <v>31</v>
      </c>
      <c r="F345" s="59" t="s">
        <v>288</v>
      </c>
      <c r="G345" s="56">
        <f>'[3]CUENTA T FONDO 100'!GK126</f>
        <v>104312</v>
      </c>
      <c r="H345" s="56">
        <f>'[3]CUENTA T VS'!GK106</f>
        <v>0</v>
      </c>
      <c r="I345" s="56">
        <f t="shared" ref="I345:I408" si="18">SUM(G345:H345)</f>
        <v>104312</v>
      </c>
      <c r="J345" s="57">
        <f>I345/$I$25</f>
        <v>1.0385101957247765E-3</v>
      </c>
    </row>
    <row r="346" spans="1:10" ht="25.5" x14ac:dyDescent="0.25">
      <c r="A346" s="49">
        <v>2</v>
      </c>
      <c r="B346" s="50">
        <v>6</v>
      </c>
      <c r="C346" s="50">
        <v>1</v>
      </c>
      <c r="D346" s="50">
        <v>9</v>
      </c>
      <c r="E346" s="50"/>
      <c r="F346" s="73" t="s">
        <v>289</v>
      </c>
      <c r="G346" s="51">
        <f>SUM(G347)</f>
        <v>52983.61</v>
      </c>
      <c r="H346" s="51">
        <f>SUM(H347)</f>
        <v>0</v>
      </c>
      <c r="I346" s="51">
        <f t="shared" si="18"/>
        <v>52983.61</v>
      </c>
      <c r="J346" s="58"/>
    </row>
    <row r="347" spans="1:10" ht="25.5" x14ac:dyDescent="0.25">
      <c r="A347" s="53">
        <v>2</v>
      </c>
      <c r="B347" s="54">
        <v>6</v>
      </c>
      <c r="C347" s="54">
        <v>1</v>
      </c>
      <c r="D347" s="54">
        <v>9</v>
      </c>
      <c r="E347" s="55" t="s">
        <v>31</v>
      </c>
      <c r="F347" s="59" t="s">
        <v>289</v>
      </c>
      <c r="G347" s="56">
        <f>'[3]CUENTA T FONDO 100'!GL126</f>
        <v>52983.61</v>
      </c>
      <c r="H347" s="56">
        <f>'[3]CUENTA T VS'!GL106</f>
        <v>0</v>
      </c>
      <c r="I347" s="56">
        <f t="shared" si="18"/>
        <v>52983.61</v>
      </c>
      <c r="J347" s="57">
        <f>I347/$I$25</f>
        <v>5.2749462373749166E-4</v>
      </c>
    </row>
    <row r="348" spans="1:10" ht="38.25" x14ac:dyDescent="0.25">
      <c r="A348" s="74">
        <v>2</v>
      </c>
      <c r="B348" s="74">
        <v>6</v>
      </c>
      <c r="C348" s="74">
        <v>2</v>
      </c>
      <c r="D348" s="74"/>
      <c r="E348" s="74"/>
      <c r="F348" s="88" t="s">
        <v>290</v>
      </c>
      <c r="G348" s="48">
        <f>+G349+G351+G353+G355</f>
        <v>0</v>
      </c>
      <c r="H348" s="48">
        <f>+H349+H351+H353+H355</f>
        <v>1399834</v>
      </c>
      <c r="I348" s="48">
        <f t="shared" si="18"/>
        <v>1399834</v>
      </c>
      <c r="J348" s="45"/>
    </row>
    <row r="349" spans="1:10" x14ac:dyDescent="0.25">
      <c r="A349" s="61">
        <v>2</v>
      </c>
      <c r="B349" s="50">
        <v>6</v>
      </c>
      <c r="C349" s="50">
        <v>2</v>
      </c>
      <c r="D349" s="50">
        <v>1</v>
      </c>
      <c r="E349" s="64"/>
      <c r="F349" s="73" t="s">
        <v>291</v>
      </c>
      <c r="G349" s="51">
        <f>SUM(G350)</f>
        <v>0</v>
      </c>
      <c r="H349" s="51">
        <f>SUM(H350)</f>
        <v>1399834</v>
      </c>
      <c r="I349" s="51">
        <f t="shared" si="18"/>
        <v>1399834</v>
      </c>
      <c r="J349" s="58"/>
    </row>
    <row r="350" spans="1:10" x14ac:dyDescent="0.25">
      <c r="A350" s="62">
        <v>2</v>
      </c>
      <c r="B350" s="54">
        <v>6</v>
      </c>
      <c r="C350" s="54">
        <v>2</v>
      </c>
      <c r="D350" s="54">
        <v>1</v>
      </c>
      <c r="E350" s="55" t="s">
        <v>31</v>
      </c>
      <c r="F350" s="59" t="s">
        <v>291</v>
      </c>
      <c r="G350" s="56">
        <f>'[3]CUENTA T FONDO 100'!GM126</f>
        <v>0</v>
      </c>
      <c r="H350" s="56">
        <f>'[3]CUENTA T VS'!GM106</f>
        <v>1399834</v>
      </c>
      <c r="I350" s="56">
        <f t="shared" si="18"/>
        <v>1399834</v>
      </c>
      <c r="J350" s="57">
        <f>I350/$I$25</f>
        <v>1.3936477886745503E-2</v>
      </c>
    </row>
    <row r="351" spans="1:10" x14ac:dyDescent="0.25">
      <c r="A351" s="61">
        <v>2</v>
      </c>
      <c r="B351" s="50">
        <v>6</v>
      </c>
      <c r="C351" s="50">
        <v>2</v>
      </c>
      <c r="D351" s="50">
        <v>2</v>
      </c>
      <c r="E351" s="64"/>
      <c r="F351" s="73" t="s">
        <v>292</v>
      </c>
      <c r="G351" s="51">
        <f>SUM(G352)</f>
        <v>0</v>
      </c>
      <c r="H351" s="51">
        <f>SUM(H352)</f>
        <v>0</v>
      </c>
      <c r="I351" s="51">
        <f t="shared" si="18"/>
        <v>0</v>
      </c>
      <c r="J351" s="58"/>
    </row>
    <row r="352" spans="1:10" x14ac:dyDescent="0.25">
      <c r="A352" s="62">
        <v>2</v>
      </c>
      <c r="B352" s="54">
        <v>6</v>
      </c>
      <c r="C352" s="54">
        <v>2</v>
      </c>
      <c r="D352" s="54">
        <v>2</v>
      </c>
      <c r="E352" s="55" t="s">
        <v>31</v>
      </c>
      <c r="F352" s="59" t="s">
        <v>292</v>
      </c>
      <c r="G352" s="56">
        <f>'[3]CUENTA T FONDO 100'!GN126</f>
        <v>0</v>
      </c>
      <c r="H352" s="56">
        <f>'[3]CUENTA T VS'!GN106</f>
        <v>0</v>
      </c>
      <c r="I352" s="56">
        <f t="shared" si="18"/>
        <v>0</v>
      </c>
      <c r="J352" s="57">
        <f>I352/$I$25</f>
        <v>0</v>
      </c>
    </row>
    <row r="353" spans="1:10" x14ac:dyDescent="0.25">
      <c r="A353" s="61">
        <v>2</v>
      </c>
      <c r="B353" s="50">
        <v>6</v>
      </c>
      <c r="C353" s="50">
        <v>2</v>
      </c>
      <c r="D353" s="50">
        <v>3</v>
      </c>
      <c r="E353" s="64"/>
      <c r="F353" s="73" t="s">
        <v>293</v>
      </c>
      <c r="G353" s="51">
        <f>SUM(G354)</f>
        <v>0</v>
      </c>
      <c r="H353" s="51">
        <f>SUM(H354)</f>
        <v>0</v>
      </c>
      <c r="I353" s="51">
        <f t="shared" si="18"/>
        <v>0</v>
      </c>
      <c r="J353" s="58"/>
    </row>
    <row r="354" spans="1:10" x14ac:dyDescent="0.25">
      <c r="A354" s="62">
        <v>2</v>
      </c>
      <c r="B354" s="54">
        <v>6</v>
      </c>
      <c r="C354" s="54">
        <v>2</v>
      </c>
      <c r="D354" s="54">
        <v>3</v>
      </c>
      <c r="E354" s="55" t="s">
        <v>31</v>
      </c>
      <c r="F354" s="59" t="s">
        <v>293</v>
      </c>
      <c r="G354" s="56">
        <f>'[3]CUENTA T FONDO 100'!GO126</f>
        <v>0</v>
      </c>
      <c r="H354" s="56">
        <f>'[3]CUENTA T VS'!GO106</f>
        <v>0</v>
      </c>
      <c r="I354" s="56">
        <f t="shared" si="18"/>
        <v>0</v>
      </c>
      <c r="J354" s="57">
        <f>I354/$I$25</f>
        <v>0</v>
      </c>
    </row>
    <row r="355" spans="1:10" ht="25.5" x14ac:dyDescent="0.25">
      <c r="A355" s="61">
        <v>2</v>
      </c>
      <c r="B355" s="50">
        <v>6</v>
      </c>
      <c r="C355" s="50">
        <v>2</v>
      </c>
      <c r="D355" s="50">
        <v>4</v>
      </c>
      <c r="E355" s="64"/>
      <c r="F355" s="73" t="s">
        <v>294</v>
      </c>
      <c r="G355" s="51">
        <f>SUM(G356)</f>
        <v>0</v>
      </c>
      <c r="H355" s="51">
        <f>SUM(H356)</f>
        <v>0</v>
      </c>
      <c r="I355" s="51">
        <f t="shared" si="18"/>
        <v>0</v>
      </c>
      <c r="J355" s="58"/>
    </row>
    <row r="356" spans="1:10" ht="25.5" x14ac:dyDescent="0.25">
      <c r="A356" s="62">
        <v>2</v>
      </c>
      <c r="B356" s="54">
        <v>6</v>
      </c>
      <c r="C356" s="54">
        <v>2</v>
      </c>
      <c r="D356" s="54">
        <v>4</v>
      </c>
      <c r="E356" s="55" t="s">
        <v>31</v>
      </c>
      <c r="F356" s="59" t="s">
        <v>294</v>
      </c>
      <c r="G356" s="56">
        <f>'[3]CUENTA T FONDO 100'!GP126</f>
        <v>0</v>
      </c>
      <c r="H356" s="56">
        <f>'[3]CUENTA T VS'!GP106</f>
        <v>0</v>
      </c>
      <c r="I356" s="56">
        <f t="shared" si="18"/>
        <v>0</v>
      </c>
      <c r="J356" s="57">
        <f>I356/$I$25</f>
        <v>0</v>
      </c>
    </row>
    <row r="357" spans="1:10" ht="25.5" x14ac:dyDescent="0.25">
      <c r="A357" s="74">
        <v>2</v>
      </c>
      <c r="B357" s="74">
        <v>6</v>
      </c>
      <c r="C357" s="74">
        <v>3</v>
      </c>
      <c r="D357" s="74"/>
      <c r="E357" s="74"/>
      <c r="F357" s="88" t="s">
        <v>295</v>
      </c>
      <c r="G357" s="48">
        <f>+G358+G360+G362+G364</f>
        <v>1742624</v>
      </c>
      <c r="H357" s="48">
        <f>+H358+H360+H362+H364</f>
        <v>48559.95</v>
      </c>
      <c r="I357" s="48">
        <f t="shared" si="18"/>
        <v>1791183.95</v>
      </c>
      <c r="J357" s="45"/>
    </row>
    <row r="358" spans="1:10" x14ac:dyDescent="0.25">
      <c r="A358" s="61">
        <v>2</v>
      </c>
      <c r="B358" s="50">
        <v>6</v>
      </c>
      <c r="C358" s="50">
        <v>3</v>
      </c>
      <c r="D358" s="50">
        <v>1</v>
      </c>
      <c r="E358" s="64"/>
      <c r="F358" s="73" t="s">
        <v>296</v>
      </c>
      <c r="G358" s="51">
        <f>SUM(G359)</f>
        <v>1561140</v>
      </c>
      <c r="H358" s="51">
        <f>SUM(H359)</f>
        <v>0</v>
      </c>
      <c r="I358" s="51">
        <f t="shared" si="18"/>
        <v>1561140</v>
      </c>
      <c r="J358" s="58"/>
    </row>
    <row r="359" spans="1:10" x14ac:dyDescent="0.25">
      <c r="A359" s="62">
        <v>2</v>
      </c>
      <c r="B359" s="54">
        <v>6</v>
      </c>
      <c r="C359" s="54">
        <v>3</v>
      </c>
      <c r="D359" s="54">
        <v>1</v>
      </c>
      <c r="E359" s="55" t="s">
        <v>31</v>
      </c>
      <c r="F359" s="59" t="s">
        <v>296</v>
      </c>
      <c r="G359" s="56">
        <f>'[3]CUENTA T FONDO 100'!GQ126</f>
        <v>1561140</v>
      </c>
      <c r="H359" s="56">
        <f>'[3]CUENTA T VS'!GQ106</f>
        <v>0</v>
      </c>
      <c r="I359" s="56">
        <f t="shared" si="18"/>
        <v>1561140</v>
      </c>
      <c r="J359" s="57">
        <f>I359/$I$25</f>
        <v>1.5542409377193206E-2</v>
      </c>
    </row>
    <row r="360" spans="1:10" ht="25.5" x14ac:dyDescent="0.25">
      <c r="A360" s="61">
        <v>2</v>
      </c>
      <c r="B360" s="50">
        <v>6</v>
      </c>
      <c r="C360" s="50">
        <v>3</v>
      </c>
      <c r="D360" s="50">
        <v>2</v>
      </c>
      <c r="E360" s="64"/>
      <c r="F360" s="73" t="s">
        <v>297</v>
      </c>
      <c r="G360" s="51">
        <f>SUM(G361)</f>
        <v>181484</v>
      </c>
      <c r="H360" s="51">
        <f>SUM(H361)</f>
        <v>0</v>
      </c>
      <c r="I360" s="51">
        <f t="shared" si="18"/>
        <v>181484</v>
      </c>
      <c r="J360" s="58"/>
    </row>
    <row r="361" spans="1:10" ht="25.5" x14ac:dyDescent="0.25">
      <c r="A361" s="62">
        <v>2</v>
      </c>
      <c r="B361" s="54">
        <v>6</v>
      </c>
      <c r="C361" s="54">
        <v>3</v>
      </c>
      <c r="D361" s="54">
        <v>2</v>
      </c>
      <c r="E361" s="55" t="s">
        <v>31</v>
      </c>
      <c r="F361" s="59" t="s">
        <v>297</v>
      </c>
      <c r="G361" s="56">
        <f>'[3]CUENTA T FONDO 100'!GR126</f>
        <v>181484</v>
      </c>
      <c r="H361" s="56">
        <f>'[3]CUENTA T VS'!GR106</f>
        <v>0</v>
      </c>
      <c r="I361" s="56">
        <f t="shared" si="18"/>
        <v>181484</v>
      </c>
      <c r="J361" s="57">
        <f>I361/$I$25</f>
        <v>1.8068197749148262E-3</v>
      </c>
    </row>
    <row r="362" spans="1:10" x14ac:dyDescent="0.25">
      <c r="A362" s="61">
        <v>2</v>
      </c>
      <c r="B362" s="50">
        <v>6</v>
      </c>
      <c r="C362" s="50">
        <v>3</v>
      </c>
      <c r="D362" s="50">
        <v>3</v>
      </c>
      <c r="E362" s="64"/>
      <c r="F362" s="73" t="s">
        <v>298</v>
      </c>
      <c r="G362" s="51">
        <f>SUM(G363)</f>
        <v>0</v>
      </c>
      <c r="H362" s="51">
        <f>SUM(H363)</f>
        <v>0</v>
      </c>
      <c r="I362" s="51">
        <f t="shared" si="18"/>
        <v>0</v>
      </c>
      <c r="J362" s="58"/>
    </row>
    <row r="363" spans="1:10" x14ac:dyDescent="0.25">
      <c r="A363" s="62">
        <v>2</v>
      </c>
      <c r="B363" s="54">
        <v>6</v>
      </c>
      <c r="C363" s="54">
        <v>3</v>
      </c>
      <c r="D363" s="54">
        <v>3</v>
      </c>
      <c r="E363" s="55" t="s">
        <v>31</v>
      </c>
      <c r="F363" s="59" t="s">
        <v>298</v>
      </c>
      <c r="G363" s="56">
        <f>'[3]CUENTA T FONDO 100'!GS126</f>
        <v>0</v>
      </c>
      <c r="H363" s="56">
        <f>'[3]CUENTA T VS'!GS106</f>
        <v>0</v>
      </c>
      <c r="I363" s="56">
        <f t="shared" si="18"/>
        <v>0</v>
      </c>
      <c r="J363" s="57">
        <f>I363/$I$25</f>
        <v>0</v>
      </c>
    </row>
    <row r="364" spans="1:10" ht="25.5" x14ac:dyDescent="0.25">
      <c r="A364" s="61">
        <v>2</v>
      </c>
      <c r="B364" s="50">
        <v>6</v>
      </c>
      <c r="C364" s="50">
        <v>3</v>
      </c>
      <c r="D364" s="50">
        <v>4</v>
      </c>
      <c r="E364" s="50"/>
      <c r="F364" s="73" t="s">
        <v>299</v>
      </c>
      <c r="G364" s="51">
        <f>+G365</f>
        <v>0</v>
      </c>
      <c r="H364" s="51">
        <f>+H365</f>
        <v>48559.95</v>
      </c>
      <c r="I364" s="51">
        <f t="shared" si="18"/>
        <v>48559.95</v>
      </c>
      <c r="J364" s="58"/>
    </row>
    <row r="365" spans="1:10" ht="25.5" x14ac:dyDescent="0.25">
      <c r="A365" s="62">
        <v>2</v>
      </c>
      <c r="B365" s="54">
        <v>6</v>
      </c>
      <c r="C365" s="54">
        <v>3</v>
      </c>
      <c r="D365" s="54">
        <v>4</v>
      </c>
      <c r="E365" s="55" t="s">
        <v>31</v>
      </c>
      <c r="F365" s="59" t="s">
        <v>299</v>
      </c>
      <c r="G365" s="56">
        <f>'[3]CUENTA T FONDO 100'!GT126</f>
        <v>0</v>
      </c>
      <c r="H365" s="56">
        <f>'[3]CUENTA T VS'!GT106</f>
        <v>48559.95</v>
      </c>
      <c r="I365" s="56">
        <f t="shared" si="18"/>
        <v>48559.95</v>
      </c>
      <c r="J365" s="57">
        <f>I365/$I$25</f>
        <v>4.8345351617153694E-4</v>
      </c>
    </row>
    <row r="366" spans="1:10" ht="25.5" x14ac:dyDescent="0.25">
      <c r="A366" s="46">
        <v>2</v>
      </c>
      <c r="B366" s="47">
        <v>6</v>
      </c>
      <c r="C366" s="47">
        <v>4</v>
      </c>
      <c r="D366" s="47"/>
      <c r="E366" s="65"/>
      <c r="F366" s="72" t="s">
        <v>300</v>
      </c>
      <c r="G366" s="48">
        <f>+G367+G369+G371+G373+G375+G377+G379+G381</f>
        <v>0</v>
      </c>
      <c r="H366" s="48">
        <f>+H367+H369+H371+H373+H375+H377+H379+H381</f>
        <v>0</v>
      </c>
      <c r="I366" s="48">
        <f t="shared" si="18"/>
        <v>0</v>
      </c>
      <c r="J366" s="45"/>
    </row>
    <row r="367" spans="1:10" x14ac:dyDescent="0.25">
      <c r="A367" s="61">
        <v>2</v>
      </c>
      <c r="B367" s="50">
        <v>6</v>
      </c>
      <c r="C367" s="50">
        <v>4</v>
      </c>
      <c r="D367" s="50">
        <v>1</v>
      </c>
      <c r="E367" s="50"/>
      <c r="F367" s="73" t="s">
        <v>301</v>
      </c>
      <c r="G367" s="51">
        <f>SUM(G368)</f>
        <v>0</v>
      </c>
      <c r="H367" s="51">
        <f>SUM(H368)</f>
        <v>0</v>
      </c>
      <c r="I367" s="51">
        <f t="shared" si="18"/>
        <v>0</v>
      </c>
      <c r="J367" s="58"/>
    </row>
    <row r="368" spans="1:10" x14ac:dyDescent="0.25">
      <c r="A368" s="62">
        <v>2</v>
      </c>
      <c r="B368" s="54">
        <v>6</v>
      </c>
      <c r="C368" s="54">
        <v>4</v>
      </c>
      <c r="D368" s="54">
        <v>1</v>
      </c>
      <c r="E368" s="55" t="s">
        <v>31</v>
      </c>
      <c r="F368" s="59" t="s">
        <v>301</v>
      </c>
      <c r="G368" s="56">
        <f>'[3]CUENTA T FONDO 100'!GU126</f>
        <v>0</v>
      </c>
      <c r="H368" s="56">
        <f>'[3]CUENTA T VS'!GU106</f>
        <v>0</v>
      </c>
      <c r="I368" s="56">
        <f t="shared" si="18"/>
        <v>0</v>
      </c>
      <c r="J368" s="57">
        <f>I368/$I$25</f>
        <v>0</v>
      </c>
    </row>
    <row r="369" spans="1:10" x14ac:dyDescent="0.25">
      <c r="A369" s="61">
        <v>2</v>
      </c>
      <c r="B369" s="50">
        <v>6</v>
      </c>
      <c r="C369" s="50">
        <v>4</v>
      </c>
      <c r="D369" s="50">
        <v>2</v>
      </c>
      <c r="E369" s="50"/>
      <c r="F369" s="73" t="s">
        <v>302</v>
      </c>
      <c r="G369" s="51">
        <f>SUM(G370)</f>
        <v>0</v>
      </c>
      <c r="H369" s="51">
        <f>SUM(H370)</f>
        <v>0</v>
      </c>
      <c r="I369" s="51">
        <f t="shared" si="18"/>
        <v>0</v>
      </c>
      <c r="J369" s="58"/>
    </row>
    <row r="370" spans="1:10" x14ac:dyDescent="0.25">
      <c r="A370" s="62">
        <v>2</v>
      </c>
      <c r="B370" s="54">
        <v>6</v>
      </c>
      <c r="C370" s="54">
        <v>4</v>
      </c>
      <c r="D370" s="54">
        <v>2</v>
      </c>
      <c r="E370" s="55" t="s">
        <v>31</v>
      </c>
      <c r="F370" s="59" t="s">
        <v>302</v>
      </c>
      <c r="G370" s="56">
        <f>'[3]CUENTA T FONDO 100'!GV126</f>
        <v>0</v>
      </c>
      <c r="H370" s="56">
        <f>'[3]CUENTA T VS'!GV106</f>
        <v>0</v>
      </c>
      <c r="I370" s="56">
        <f t="shared" si="18"/>
        <v>0</v>
      </c>
      <c r="J370" s="57">
        <f>I370/$I$25</f>
        <v>0</v>
      </c>
    </row>
    <row r="371" spans="1:10" x14ac:dyDescent="0.25">
      <c r="A371" s="61">
        <v>2</v>
      </c>
      <c r="B371" s="50">
        <v>6</v>
      </c>
      <c r="C371" s="50">
        <v>4</v>
      </c>
      <c r="D371" s="50">
        <v>3</v>
      </c>
      <c r="E371" s="50"/>
      <c r="F371" s="73" t="s">
        <v>303</v>
      </c>
      <c r="G371" s="51">
        <f>SUM(G372)</f>
        <v>0</v>
      </c>
      <c r="H371" s="51">
        <f>SUM(H372)</f>
        <v>0</v>
      </c>
      <c r="I371" s="51">
        <f t="shared" si="18"/>
        <v>0</v>
      </c>
      <c r="J371" s="58"/>
    </row>
    <row r="372" spans="1:10" x14ac:dyDescent="0.25">
      <c r="A372" s="62">
        <v>2</v>
      </c>
      <c r="B372" s="54">
        <v>6</v>
      </c>
      <c r="C372" s="54">
        <v>4</v>
      </c>
      <c r="D372" s="54">
        <v>3</v>
      </c>
      <c r="E372" s="55" t="s">
        <v>31</v>
      </c>
      <c r="F372" s="59" t="s">
        <v>303</v>
      </c>
      <c r="G372" s="56">
        <f>'[3]CUENTA T FONDO 100'!GW126</f>
        <v>0</v>
      </c>
      <c r="H372" s="56">
        <f>'[3]CUENTA T VS'!GX106</f>
        <v>0</v>
      </c>
      <c r="I372" s="56">
        <f t="shared" si="18"/>
        <v>0</v>
      </c>
      <c r="J372" s="57">
        <f>I372/$I$25</f>
        <v>0</v>
      </c>
    </row>
    <row r="373" spans="1:10" x14ac:dyDescent="0.25">
      <c r="A373" s="61">
        <v>2</v>
      </c>
      <c r="B373" s="50">
        <v>6</v>
      </c>
      <c r="C373" s="50">
        <v>4</v>
      </c>
      <c r="D373" s="50">
        <v>4</v>
      </c>
      <c r="E373" s="50"/>
      <c r="F373" s="73" t="s">
        <v>304</v>
      </c>
      <c r="G373" s="51">
        <f>SUM(G374)</f>
        <v>0</v>
      </c>
      <c r="H373" s="51">
        <f>SUM(H374)</f>
        <v>0</v>
      </c>
      <c r="I373" s="51">
        <f t="shared" si="18"/>
        <v>0</v>
      </c>
      <c r="J373" s="58"/>
    </row>
    <row r="374" spans="1:10" x14ac:dyDescent="0.25">
      <c r="A374" s="62">
        <v>2</v>
      </c>
      <c r="B374" s="54">
        <v>6</v>
      </c>
      <c r="C374" s="54">
        <v>4</v>
      </c>
      <c r="D374" s="54">
        <v>4</v>
      </c>
      <c r="E374" s="55" t="s">
        <v>31</v>
      </c>
      <c r="F374" s="59" t="s">
        <v>304</v>
      </c>
      <c r="G374" s="56">
        <f>'[3]CUENTA T FONDO 100'!GX126</f>
        <v>0</v>
      </c>
      <c r="H374" s="56">
        <f>'[3]CUENTA T VS'!GX106</f>
        <v>0</v>
      </c>
      <c r="I374" s="56">
        <f t="shared" si="18"/>
        <v>0</v>
      </c>
      <c r="J374" s="57">
        <f>I374/$I$25</f>
        <v>0</v>
      </c>
    </row>
    <row r="375" spans="1:10" x14ac:dyDescent="0.25">
      <c r="A375" s="61">
        <v>2</v>
      </c>
      <c r="B375" s="50">
        <v>6</v>
      </c>
      <c r="C375" s="50">
        <v>4</v>
      </c>
      <c r="D375" s="50">
        <v>5</v>
      </c>
      <c r="E375" s="50"/>
      <c r="F375" s="73" t="s">
        <v>305</v>
      </c>
      <c r="G375" s="51">
        <f>SUM(G376)</f>
        <v>0</v>
      </c>
      <c r="H375" s="51">
        <f>SUM(H376)</f>
        <v>0</v>
      </c>
      <c r="I375" s="51">
        <f t="shared" si="18"/>
        <v>0</v>
      </c>
      <c r="J375" s="58"/>
    </row>
    <row r="376" spans="1:10" x14ac:dyDescent="0.25">
      <c r="A376" s="62">
        <v>2</v>
      </c>
      <c r="B376" s="54">
        <v>6</v>
      </c>
      <c r="C376" s="54">
        <v>4</v>
      </c>
      <c r="D376" s="54">
        <v>5</v>
      </c>
      <c r="E376" s="55" t="s">
        <v>31</v>
      </c>
      <c r="F376" s="59" t="s">
        <v>305</v>
      </c>
      <c r="G376" s="56">
        <f>'[3]CUENTA T FONDO 100'!GY126</f>
        <v>0</v>
      </c>
      <c r="H376" s="56">
        <f>'[3]CUENTA T VS'!GY106</f>
        <v>0</v>
      </c>
      <c r="I376" s="56">
        <f t="shared" si="18"/>
        <v>0</v>
      </c>
      <c r="J376" s="57">
        <f>I376/$I$25</f>
        <v>0</v>
      </c>
    </row>
    <row r="377" spans="1:10" x14ac:dyDescent="0.25">
      <c r="A377" s="61">
        <v>2</v>
      </c>
      <c r="B377" s="50">
        <v>6</v>
      </c>
      <c r="C377" s="50">
        <v>4</v>
      </c>
      <c r="D377" s="50">
        <v>6</v>
      </c>
      <c r="E377" s="50"/>
      <c r="F377" s="73" t="s">
        <v>306</v>
      </c>
      <c r="G377" s="51">
        <f>SUM(G378)</f>
        <v>0</v>
      </c>
      <c r="H377" s="51">
        <f>SUM(H378)</f>
        <v>0</v>
      </c>
      <c r="I377" s="51">
        <f t="shared" si="18"/>
        <v>0</v>
      </c>
      <c r="J377" s="58"/>
    </row>
    <row r="378" spans="1:10" x14ac:dyDescent="0.25">
      <c r="A378" s="62">
        <v>2</v>
      </c>
      <c r="B378" s="54">
        <v>6</v>
      </c>
      <c r="C378" s="54">
        <v>4</v>
      </c>
      <c r="D378" s="54">
        <v>6</v>
      </c>
      <c r="E378" s="55" t="s">
        <v>31</v>
      </c>
      <c r="F378" s="59" t="s">
        <v>306</v>
      </c>
      <c r="G378" s="56">
        <f>'[3]CUENTA T FONDO 100'!GZ126</f>
        <v>0</v>
      </c>
      <c r="H378" s="56">
        <f>'[3]CUENTA T VS'!GZ106</f>
        <v>0</v>
      </c>
      <c r="I378" s="56">
        <f t="shared" si="18"/>
        <v>0</v>
      </c>
      <c r="J378" s="57">
        <f>I378/$I$25</f>
        <v>0</v>
      </c>
    </row>
    <row r="379" spans="1:10" x14ac:dyDescent="0.25">
      <c r="A379" s="61">
        <v>2</v>
      </c>
      <c r="B379" s="50">
        <v>6</v>
      </c>
      <c r="C379" s="50">
        <v>4</v>
      </c>
      <c r="D379" s="50">
        <v>7</v>
      </c>
      <c r="E379" s="50"/>
      <c r="F379" s="73" t="s">
        <v>307</v>
      </c>
      <c r="G379" s="51">
        <f>SUM(G380)</f>
        <v>0</v>
      </c>
      <c r="H379" s="51">
        <f>SUM(H380)</f>
        <v>0</v>
      </c>
      <c r="I379" s="51">
        <f t="shared" si="18"/>
        <v>0</v>
      </c>
      <c r="J379" s="58"/>
    </row>
    <row r="380" spans="1:10" x14ac:dyDescent="0.25">
      <c r="A380" s="62">
        <v>2</v>
      </c>
      <c r="B380" s="54">
        <v>6</v>
      </c>
      <c r="C380" s="54">
        <v>4</v>
      </c>
      <c r="D380" s="54">
        <v>7</v>
      </c>
      <c r="E380" s="55" t="s">
        <v>31</v>
      </c>
      <c r="F380" s="59" t="s">
        <v>307</v>
      </c>
      <c r="G380" s="56">
        <f>'[3]CUENTA T FONDO 100'!HA126</f>
        <v>0</v>
      </c>
      <c r="H380" s="56">
        <f>'[3]CUENTA T VS'!HA106</f>
        <v>0</v>
      </c>
      <c r="I380" s="56">
        <f t="shared" si="18"/>
        <v>0</v>
      </c>
      <c r="J380" s="57">
        <f>I380/$I$25</f>
        <v>0</v>
      </c>
    </row>
    <row r="381" spans="1:10" x14ac:dyDescent="0.25">
      <c r="A381" s="61">
        <v>2</v>
      </c>
      <c r="B381" s="50">
        <v>6</v>
      </c>
      <c r="C381" s="50">
        <v>4</v>
      </c>
      <c r="D381" s="50">
        <v>8</v>
      </c>
      <c r="E381" s="50"/>
      <c r="F381" s="73" t="s">
        <v>308</v>
      </c>
      <c r="G381" s="51">
        <f>SUM(G382)</f>
        <v>0</v>
      </c>
      <c r="H381" s="51">
        <f>SUM(H382)</f>
        <v>0</v>
      </c>
      <c r="I381" s="51">
        <f t="shared" si="18"/>
        <v>0</v>
      </c>
      <c r="J381" s="58"/>
    </row>
    <row r="382" spans="1:10" x14ac:dyDescent="0.25">
      <c r="A382" s="62">
        <v>2</v>
      </c>
      <c r="B382" s="54">
        <v>6</v>
      </c>
      <c r="C382" s="54">
        <v>4</v>
      </c>
      <c r="D382" s="54">
        <v>8</v>
      </c>
      <c r="E382" s="55" t="s">
        <v>31</v>
      </c>
      <c r="F382" s="59" t="s">
        <v>308</v>
      </c>
      <c r="G382" s="56">
        <f>'[3]CUENTA T FONDO 100'!HB126</f>
        <v>0</v>
      </c>
      <c r="H382" s="56">
        <f>'[3]CUENTA T VS'!HB106</f>
        <v>0</v>
      </c>
      <c r="I382" s="56">
        <f t="shared" si="18"/>
        <v>0</v>
      </c>
      <c r="J382" s="57">
        <f>I382/$I$25</f>
        <v>0</v>
      </c>
    </row>
    <row r="383" spans="1:10" ht="25.5" x14ac:dyDescent="0.25">
      <c r="A383" s="46">
        <v>2</v>
      </c>
      <c r="B383" s="47">
        <v>6</v>
      </c>
      <c r="C383" s="47">
        <v>5</v>
      </c>
      <c r="D383" s="47"/>
      <c r="E383" s="65"/>
      <c r="F383" s="72" t="s">
        <v>309</v>
      </c>
      <c r="G383" s="48">
        <f>+G384+G386+G388+G390+G392+G394+G396+G398</f>
        <v>413000</v>
      </c>
      <c r="H383" s="48">
        <f>+H384+H386+H388+H390+H392+H394+H396+H398</f>
        <v>0</v>
      </c>
      <c r="I383" s="48">
        <f t="shared" si="18"/>
        <v>413000</v>
      </c>
      <c r="J383" s="45"/>
    </row>
    <row r="384" spans="1:10" ht="25.5" x14ac:dyDescent="0.25">
      <c r="A384" s="49">
        <v>2</v>
      </c>
      <c r="B384" s="50">
        <v>6</v>
      </c>
      <c r="C384" s="50">
        <v>5</v>
      </c>
      <c r="D384" s="50">
        <v>1</v>
      </c>
      <c r="E384" s="50"/>
      <c r="F384" s="73" t="s">
        <v>310</v>
      </c>
      <c r="G384" s="51">
        <f>SUM(G385)</f>
        <v>0</v>
      </c>
      <c r="H384" s="51">
        <f>SUM(H385)</f>
        <v>0</v>
      </c>
      <c r="I384" s="51">
        <f t="shared" si="18"/>
        <v>0</v>
      </c>
      <c r="J384" s="58"/>
    </row>
    <row r="385" spans="1:10" ht="25.5" x14ac:dyDescent="0.25">
      <c r="A385" s="53">
        <v>2</v>
      </c>
      <c r="B385" s="54">
        <v>6</v>
      </c>
      <c r="C385" s="54">
        <v>5</v>
      </c>
      <c r="D385" s="54">
        <v>1</v>
      </c>
      <c r="E385" s="55" t="s">
        <v>31</v>
      </c>
      <c r="F385" s="59" t="s">
        <v>310</v>
      </c>
      <c r="G385" s="56">
        <f>'[3]CUENTA T FONDO 100'!HC126</f>
        <v>0</v>
      </c>
      <c r="H385" s="56">
        <f>'[3]CUENTA T VS'!HC106</f>
        <v>0</v>
      </c>
      <c r="I385" s="56">
        <f t="shared" si="18"/>
        <v>0</v>
      </c>
      <c r="J385" s="57">
        <f>I385/$I$25</f>
        <v>0</v>
      </c>
    </row>
    <row r="386" spans="1:10" x14ac:dyDescent="0.25">
      <c r="A386" s="49">
        <v>2</v>
      </c>
      <c r="B386" s="50">
        <v>6</v>
      </c>
      <c r="C386" s="50">
        <v>5</v>
      </c>
      <c r="D386" s="50">
        <v>2</v>
      </c>
      <c r="E386" s="50"/>
      <c r="F386" s="73" t="s">
        <v>311</v>
      </c>
      <c r="G386" s="51">
        <f>SUM(G387)</f>
        <v>0</v>
      </c>
      <c r="H386" s="51">
        <f>SUM(H387)</f>
        <v>0</v>
      </c>
      <c r="I386" s="51">
        <f t="shared" si="18"/>
        <v>0</v>
      </c>
      <c r="J386" s="58"/>
    </row>
    <row r="387" spans="1:10" x14ac:dyDescent="0.25">
      <c r="A387" s="53">
        <v>2</v>
      </c>
      <c r="B387" s="54">
        <v>6</v>
      </c>
      <c r="C387" s="54">
        <v>5</v>
      </c>
      <c r="D387" s="54">
        <v>2</v>
      </c>
      <c r="E387" s="55" t="s">
        <v>31</v>
      </c>
      <c r="F387" s="59" t="s">
        <v>311</v>
      </c>
      <c r="G387" s="56">
        <f>'[3]CUENTA T FONDO 100'!HD126</f>
        <v>0</v>
      </c>
      <c r="H387" s="56">
        <f>'[3]CUENTA T VS'!HD106</f>
        <v>0</v>
      </c>
      <c r="I387" s="56">
        <f t="shared" si="18"/>
        <v>0</v>
      </c>
      <c r="J387" s="57">
        <f>I387/$I$25</f>
        <v>0</v>
      </c>
    </row>
    <row r="388" spans="1:10" ht="25.5" x14ac:dyDescent="0.25">
      <c r="A388" s="49">
        <v>2</v>
      </c>
      <c r="B388" s="50">
        <v>6</v>
      </c>
      <c r="C388" s="50">
        <v>5</v>
      </c>
      <c r="D388" s="50">
        <v>3</v>
      </c>
      <c r="E388" s="50"/>
      <c r="F388" s="73" t="s">
        <v>312</v>
      </c>
      <c r="G388" s="51">
        <f>SUM(G389)</f>
        <v>0</v>
      </c>
      <c r="H388" s="51">
        <f>SUM(H389)</f>
        <v>0</v>
      </c>
      <c r="I388" s="51">
        <f t="shared" si="18"/>
        <v>0</v>
      </c>
      <c r="J388" s="58"/>
    </row>
    <row r="389" spans="1:10" ht="25.5" x14ac:dyDescent="0.25">
      <c r="A389" s="53">
        <v>2</v>
      </c>
      <c r="B389" s="54">
        <v>6</v>
      </c>
      <c r="C389" s="54">
        <v>5</v>
      </c>
      <c r="D389" s="54">
        <v>3</v>
      </c>
      <c r="E389" s="55" t="s">
        <v>31</v>
      </c>
      <c r="F389" s="59" t="s">
        <v>312</v>
      </c>
      <c r="G389" s="56">
        <f>'[3]CUENTA T FONDO 100'!HE126</f>
        <v>0</v>
      </c>
      <c r="H389" s="56">
        <f>'[3]CUENTA T VS'!HE106</f>
        <v>0</v>
      </c>
      <c r="I389" s="56">
        <f t="shared" si="18"/>
        <v>0</v>
      </c>
      <c r="J389" s="57">
        <f>I389/$I$25</f>
        <v>0</v>
      </c>
    </row>
    <row r="390" spans="1:10" ht="25.5" x14ac:dyDescent="0.25">
      <c r="A390" s="49">
        <v>2</v>
      </c>
      <c r="B390" s="50">
        <v>6</v>
      </c>
      <c r="C390" s="50">
        <v>5</v>
      </c>
      <c r="D390" s="50">
        <v>4</v>
      </c>
      <c r="E390" s="50"/>
      <c r="F390" s="73" t="s">
        <v>313</v>
      </c>
      <c r="G390" s="51">
        <f>SUM(G391)</f>
        <v>0</v>
      </c>
      <c r="H390" s="51">
        <f>SUM(H391)</f>
        <v>0</v>
      </c>
      <c r="I390" s="51">
        <f t="shared" si="18"/>
        <v>0</v>
      </c>
      <c r="J390" s="58"/>
    </row>
    <row r="391" spans="1:10" ht="25.5" x14ac:dyDescent="0.25">
      <c r="A391" s="53">
        <v>2</v>
      </c>
      <c r="B391" s="54">
        <v>6</v>
      </c>
      <c r="C391" s="54">
        <v>5</v>
      </c>
      <c r="D391" s="54">
        <v>4</v>
      </c>
      <c r="E391" s="55" t="s">
        <v>31</v>
      </c>
      <c r="F391" s="59" t="s">
        <v>313</v>
      </c>
      <c r="G391" s="56">
        <f>'[3]CUENTA T FONDO 100'!HF126</f>
        <v>0</v>
      </c>
      <c r="H391" s="56">
        <f>'[3]CUENTA T VS'!HF106</f>
        <v>0</v>
      </c>
      <c r="I391" s="56">
        <f t="shared" si="18"/>
        <v>0</v>
      </c>
      <c r="J391" s="57">
        <f>I391/$I$25</f>
        <v>0</v>
      </c>
    </row>
    <row r="392" spans="1:10" ht="38.25" x14ac:dyDescent="0.25">
      <c r="A392" s="49">
        <v>2</v>
      </c>
      <c r="B392" s="50">
        <v>6</v>
      </c>
      <c r="C392" s="50">
        <v>5</v>
      </c>
      <c r="D392" s="50">
        <v>5</v>
      </c>
      <c r="E392" s="50"/>
      <c r="F392" s="73" t="s">
        <v>314</v>
      </c>
      <c r="G392" s="51">
        <f>SUM(G393)</f>
        <v>0</v>
      </c>
      <c r="H392" s="51">
        <f>SUM(H393)</f>
        <v>0</v>
      </c>
      <c r="I392" s="51">
        <f t="shared" si="18"/>
        <v>0</v>
      </c>
      <c r="J392" s="58"/>
    </row>
    <row r="393" spans="1:10" ht="38.25" x14ac:dyDescent="0.25">
      <c r="A393" s="53">
        <v>2</v>
      </c>
      <c r="B393" s="54">
        <v>6</v>
      </c>
      <c r="C393" s="54">
        <v>5</v>
      </c>
      <c r="D393" s="54">
        <v>5</v>
      </c>
      <c r="E393" s="55" t="s">
        <v>31</v>
      </c>
      <c r="F393" s="59" t="s">
        <v>314</v>
      </c>
      <c r="G393" s="56">
        <f>'[3]CUENTA T FONDO 100'!HG126</f>
        <v>0</v>
      </c>
      <c r="H393" s="56">
        <f>'[3]CUENTA T VS'!HG106</f>
        <v>0</v>
      </c>
      <c r="I393" s="56">
        <f t="shared" si="18"/>
        <v>0</v>
      </c>
      <c r="J393" s="57">
        <f>I393/$I$25</f>
        <v>0</v>
      </c>
    </row>
    <row r="394" spans="1:10" ht="25.5" x14ac:dyDescent="0.25">
      <c r="A394" s="49">
        <v>2</v>
      </c>
      <c r="B394" s="50">
        <v>6</v>
      </c>
      <c r="C394" s="50">
        <v>5</v>
      </c>
      <c r="D394" s="50">
        <v>6</v>
      </c>
      <c r="E394" s="50"/>
      <c r="F394" s="73" t="s">
        <v>315</v>
      </c>
      <c r="G394" s="51">
        <f>SUM(G395)</f>
        <v>413000</v>
      </c>
      <c r="H394" s="51">
        <f>SUM(H395)</f>
        <v>0</v>
      </c>
      <c r="I394" s="51">
        <f t="shared" si="18"/>
        <v>413000</v>
      </c>
      <c r="J394" s="58"/>
    </row>
    <row r="395" spans="1:10" ht="25.5" x14ac:dyDescent="0.25">
      <c r="A395" s="53">
        <v>2</v>
      </c>
      <c r="B395" s="54">
        <v>6</v>
      </c>
      <c r="C395" s="54">
        <v>5</v>
      </c>
      <c r="D395" s="54">
        <v>6</v>
      </c>
      <c r="E395" s="55" t="s">
        <v>31</v>
      </c>
      <c r="F395" s="59" t="s">
        <v>315</v>
      </c>
      <c r="G395" s="56">
        <f>'[3]CUENTA T FONDO 100'!HH126</f>
        <v>413000</v>
      </c>
      <c r="H395" s="56">
        <f>'[3]CUENTA T VS'!HH106</f>
        <v>0</v>
      </c>
      <c r="I395" s="56">
        <f t="shared" si="18"/>
        <v>413000</v>
      </c>
      <c r="J395" s="57">
        <f>I395/$I$25</f>
        <v>4.1117485124849747E-3</v>
      </c>
    </row>
    <row r="396" spans="1:10" x14ac:dyDescent="0.25">
      <c r="A396" s="49">
        <v>2</v>
      </c>
      <c r="B396" s="50">
        <v>6</v>
      </c>
      <c r="C396" s="50">
        <v>5</v>
      </c>
      <c r="D396" s="50">
        <v>7</v>
      </c>
      <c r="E396" s="50"/>
      <c r="F396" s="73" t="s">
        <v>316</v>
      </c>
      <c r="G396" s="51">
        <f>SUM(G397)</f>
        <v>0</v>
      </c>
      <c r="H396" s="51">
        <f>SUM(H397)</f>
        <v>0</v>
      </c>
      <c r="I396" s="51">
        <f t="shared" si="18"/>
        <v>0</v>
      </c>
      <c r="J396" s="58"/>
    </row>
    <row r="397" spans="1:10" x14ac:dyDescent="0.25">
      <c r="A397" s="53">
        <v>2</v>
      </c>
      <c r="B397" s="54">
        <v>6</v>
      </c>
      <c r="C397" s="54">
        <v>5</v>
      </c>
      <c r="D397" s="54">
        <v>7</v>
      </c>
      <c r="E397" s="55" t="s">
        <v>31</v>
      </c>
      <c r="F397" s="59" t="s">
        <v>316</v>
      </c>
      <c r="G397" s="56">
        <f>'[3]CUENTA T FONDO 100'!HI126</f>
        <v>0</v>
      </c>
      <c r="H397" s="56">
        <f>'[3]CUENTA T VS'!HI106</f>
        <v>0</v>
      </c>
      <c r="I397" s="56">
        <f t="shared" si="18"/>
        <v>0</v>
      </c>
      <c r="J397" s="57">
        <f>I397/$I$25</f>
        <v>0</v>
      </c>
    </row>
    <row r="398" spans="1:10" x14ac:dyDescent="0.25">
      <c r="A398" s="49">
        <v>2</v>
      </c>
      <c r="B398" s="50">
        <v>6</v>
      </c>
      <c r="C398" s="50">
        <v>5</v>
      </c>
      <c r="D398" s="50">
        <v>8</v>
      </c>
      <c r="E398" s="50"/>
      <c r="F398" s="73" t="s">
        <v>317</v>
      </c>
      <c r="G398" s="51">
        <f>SUM(G399)</f>
        <v>0</v>
      </c>
      <c r="H398" s="51">
        <f>SUM(H399)</f>
        <v>0</v>
      </c>
      <c r="I398" s="51">
        <f t="shared" si="18"/>
        <v>0</v>
      </c>
      <c r="J398" s="58"/>
    </row>
    <row r="399" spans="1:10" x14ac:dyDescent="0.25">
      <c r="A399" s="53">
        <v>2</v>
      </c>
      <c r="B399" s="54">
        <v>6</v>
      </c>
      <c r="C399" s="54">
        <v>5</v>
      </c>
      <c r="D399" s="54">
        <v>8</v>
      </c>
      <c r="E399" s="55" t="s">
        <v>31</v>
      </c>
      <c r="F399" s="59" t="s">
        <v>317</v>
      </c>
      <c r="G399" s="56">
        <f>'[3]CUENTA T FONDO 100'!HJ126</f>
        <v>0</v>
      </c>
      <c r="H399" s="56">
        <f>'[3]CUENTA T VS'!HJ106</f>
        <v>0</v>
      </c>
      <c r="I399" s="56">
        <f t="shared" si="18"/>
        <v>0</v>
      </c>
      <c r="J399" s="57">
        <f>I399/$I$25</f>
        <v>0</v>
      </c>
    </row>
    <row r="400" spans="1:10" x14ac:dyDescent="0.25">
      <c r="A400" s="60">
        <v>2</v>
      </c>
      <c r="B400" s="47">
        <v>6</v>
      </c>
      <c r="C400" s="47">
        <v>6</v>
      </c>
      <c r="D400" s="47"/>
      <c r="E400" s="47"/>
      <c r="F400" s="72" t="s">
        <v>318</v>
      </c>
      <c r="G400" s="48">
        <f>+G401+G403</f>
        <v>0</v>
      </c>
      <c r="H400" s="48">
        <f>+H401+H403</f>
        <v>0</v>
      </c>
      <c r="I400" s="48">
        <f t="shared" si="18"/>
        <v>0</v>
      </c>
      <c r="J400" s="45">
        <f>I400/$I$25</f>
        <v>0</v>
      </c>
    </row>
    <row r="401" spans="1:10" x14ac:dyDescent="0.25">
      <c r="A401" s="61">
        <v>2</v>
      </c>
      <c r="B401" s="50">
        <v>6</v>
      </c>
      <c r="C401" s="50">
        <v>6</v>
      </c>
      <c r="D401" s="50">
        <v>1</v>
      </c>
      <c r="E401" s="64"/>
      <c r="F401" s="73" t="s">
        <v>319</v>
      </c>
      <c r="G401" s="51">
        <f>+G402</f>
        <v>0</v>
      </c>
      <c r="H401" s="51">
        <f>+H402</f>
        <v>0</v>
      </c>
      <c r="I401" s="51">
        <f t="shared" si="18"/>
        <v>0</v>
      </c>
      <c r="J401" s="58"/>
    </row>
    <row r="402" spans="1:10" x14ac:dyDescent="0.25">
      <c r="A402" s="62">
        <v>2</v>
      </c>
      <c r="B402" s="54">
        <v>6</v>
      </c>
      <c r="C402" s="54">
        <v>6</v>
      </c>
      <c r="D402" s="54">
        <v>1</v>
      </c>
      <c r="E402" s="54" t="s">
        <v>320</v>
      </c>
      <c r="F402" s="59" t="s">
        <v>319</v>
      </c>
      <c r="G402" s="56">
        <f>'[3]CUENTA T FONDO 100'!HK126</f>
        <v>0</v>
      </c>
      <c r="H402" s="56">
        <f>'[3]CUENTA T VS'!HK106</f>
        <v>0</v>
      </c>
      <c r="I402" s="56">
        <f t="shared" si="18"/>
        <v>0</v>
      </c>
      <c r="J402" s="57">
        <f>I402/$I$25</f>
        <v>0</v>
      </c>
    </row>
    <row r="403" spans="1:10" x14ac:dyDescent="0.25">
      <c r="A403" s="61">
        <v>2</v>
      </c>
      <c r="B403" s="50">
        <v>6</v>
      </c>
      <c r="C403" s="50">
        <v>6</v>
      </c>
      <c r="D403" s="50">
        <v>2</v>
      </c>
      <c r="E403" s="64"/>
      <c r="F403" s="73" t="s">
        <v>321</v>
      </c>
      <c r="G403" s="51">
        <f>+G404</f>
        <v>0</v>
      </c>
      <c r="H403" s="51">
        <f>+H404</f>
        <v>0</v>
      </c>
      <c r="I403" s="51">
        <f t="shared" si="18"/>
        <v>0</v>
      </c>
      <c r="J403" s="58"/>
    </row>
    <row r="404" spans="1:10" x14ac:dyDescent="0.25">
      <c r="A404" s="62">
        <v>2</v>
      </c>
      <c r="B404" s="54">
        <v>6</v>
      </c>
      <c r="C404" s="54">
        <v>6</v>
      </c>
      <c r="D404" s="54">
        <v>2</v>
      </c>
      <c r="E404" s="54" t="s">
        <v>320</v>
      </c>
      <c r="F404" s="59" t="s">
        <v>321</v>
      </c>
      <c r="G404" s="56">
        <f>'[3]CUENTA T FONDO 100'!HL126</f>
        <v>0</v>
      </c>
      <c r="H404" s="56">
        <f>'[3]CUENTA T VS'!HL106</f>
        <v>0</v>
      </c>
      <c r="I404" s="56">
        <f t="shared" si="18"/>
        <v>0</v>
      </c>
      <c r="J404" s="57">
        <f>I404/$I$25</f>
        <v>0</v>
      </c>
    </row>
    <row r="405" spans="1:10" x14ac:dyDescent="0.25">
      <c r="A405" s="46">
        <v>2</v>
      </c>
      <c r="B405" s="47">
        <v>6</v>
      </c>
      <c r="C405" s="47">
        <v>7</v>
      </c>
      <c r="D405" s="47"/>
      <c r="E405" s="65"/>
      <c r="F405" s="72" t="s">
        <v>322</v>
      </c>
      <c r="G405" s="48">
        <f>+G406+G408+G410+G412+G414+G416+G418+G420+G422</f>
        <v>0</v>
      </c>
      <c r="H405" s="48">
        <f>+H406+H408+H410+H412+H414+H416+H418+H420+H422</f>
        <v>0</v>
      </c>
      <c r="I405" s="48">
        <f t="shared" si="18"/>
        <v>0</v>
      </c>
      <c r="J405" s="45"/>
    </row>
    <row r="406" spans="1:10" x14ac:dyDescent="0.25">
      <c r="A406" s="49">
        <v>2</v>
      </c>
      <c r="B406" s="50">
        <v>6</v>
      </c>
      <c r="C406" s="50">
        <v>7</v>
      </c>
      <c r="D406" s="50">
        <v>1</v>
      </c>
      <c r="E406" s="50"/>
      <c r="F406" s="73" t="s">
        <v>323</v>
      </c>
      <c r="G406" s="51">
        <f>SUM(G407)</f>
        <v>0</v>
      </c>
      <c r="H406" s="51">
        <f>SUM(H407)</f>
        <v>0</v>
      </c>
      <c r="I406" s="51">
        <f t="shared" si="18"/>
        <v>0</v>
      </c>
      <c r="J406" s="58"/>
    </row>
    <row r="407" spans="1:10" x14ac:dyDescent="0.25">
      <c r="A407" s="53">
        <v>2</v>
      </c>
      <c r="B407" s="54">
        <v>6</v>
      </c>
      <c r="C407" s="54">
        <v>7</v>
      </c>
      <c r="D407" s="54">
        <v>1</v>
      </c>
      <c r="E407" s="55" t="s">
        <v>31</v>
      </c>
      <c r="F407" s="59" t="s">
        <v>323</v>
      </c>
      <c r="G407" s="56">
        <f>'[3]CUENTA T FONDO 100'!HM126</f>
        <v>0</v>
      </c>
      <c r="H407" s="56">
        <f>'[3]CUENTA T VS'!HM106</f>
        <v>0</v>
      </c>
      <c r="I407" s="56">
        <f t="shared" si="18"/>
        <v>0</v>
      </c>
      <c r="J407" s="57">
        <f>I407/$I$25</f>
        <v>0</v>
      </c>
    </row>
    <row r="408" spans="1:10" x14ac:dyDescent="0.25">
      <c r="A408" s="61">
        <v>2</v>
      </c>
      <c r="B408" s="50">
        <v>6</v>
      </c>
      <c r="C408" s="50">
        <v>7</v>
      </c>
      <c r="D408" s="50">
        <v>2</v>
      </c>
      <c r="E408" s="50"/>
      <c r="F408" s="73" t="s">
        <v>324</v>
      </c>
      <c r="G408" s="51">
        <f>SUM(G409)</f>
        <v>0</v>
      </c>
      <c r="H408" s="51">
        <f>SUM(H409)</f>
        <v>0</v>
      </c>
      <c r="I408" s="51">
        <f t="shared" si="18"/>
        <v>0</v>
      </c>
      <c r="J408" s="58"/>
    </row>
    <row r="409" spans="1:10" x14ac:dyDescent="0.25">
      <c r="A409" s="62">
        <v>2</v>
      </c>
      <c r="B409" s="54">
        <v>6</v>
      </c>
      <c r="C409" s="54">
        <v>7</v>
      </c>
      <c r="D409" s="54">
        <v>2</v>
      </c>
      <c r="E409" s="55" t="s">
        <v>31</v>
      </c>
      <c r="F409" s="59" t="s">
        <v>324</v>
      </c>
      <c r="G409" s="56">
        <f>'[3]CUENTA T FONDO 100'!HN126</f>
        <v>0</v>
      </c>
      <c r="H409" s="56">
        <f>'[3]CUENTA T VS'!HN106</f>
        <v>0</v>
      </c>
      <c r="I409" s="56">
        <f t="shared" ref="I409:I472" si="19">SUM(G409:H409)</f>
        <v>0</v>
      </c>
      <c r="J409" s="57">
        <f>I409/$I$25</f>
        <v>0</v>
      </c>
    </row>
    <row r="410" spans="1:10" x14ac:dyDescent="0.25">
      <c r="A410" s="61">
        <v>2</v>
      </c>
      <c r="B410" s="50">
        <v>6</v>
      </c>
      <c r="C410" s="50">
        <v>7</v>
      </c>
      <c r="D410" s="50">
        <v>3</v>
      </c>
      <c r="E410" s="50"/>
      <c r="F410" s="73" t="s">
        <v>325</v>
      </c>
      <c r="G410" s="51">
        <f>SUM(G411)</f>
        <v>0</v>
      </c>
      <c r="H410" s="51">
        <f>SUM(H411)</f>
        <v>0</v>
      </c>
      <c r="I410" s="51">
        <f t="shared" si="19"/>
        <v>0</v>
      </c>
      <c r="J410" s="58"/>
    </row>
    <row r="411" spans="1:10" x14ac:dyDescent="0.25">
      <c r="A411" s="62">
        <v>2</v>
      </c>
      <c r="B411" s="54">
        <v>6</v>
      </c>
      <c r="C411" s="54">
        <v>7</v>
      </c>
      <c r="D411" s="54">
        <v>3</v>
      </c>
      <c r="E411" s="55" t="s">
        <v>31</v>
      </c>
      <c r="F411" s="59" t="s">
        <v>325</v>
      </c>
      <c r="G411" s="56">
        <f>'[3]CUENTA T FONDO 100'!HO126</f>
        <v>0</v>
      </c>
      <c r="H411" s="56">
        <f>'[3]CUENTA T VS'!HO106</f>
        <v>0</v>
      </c>
      <c r="I411" s="56">
        <f t="shared" si="19"/>
        <v>0</v>
      </c>
      <c r="J411" s="57">
        <f>I411/$I$25</f>
        <v>0</v>
      </c>
    </row>
    <row r="412" spans="1:10" x14ac:dyDescent="0.25">
      <c r="A412" s="61">
        <v>2</v>
      </c>
      <c r="B412" s="50">
        <v>6</v>
      </c>
      <c r="C412" s="50">
        <v>7</v>
      </c>
      <c r="D412" s="50">
        <v>4</v>
      </c>
      <c r="E412" s="50"/>
      <c r="F412" s="73" t="s">
        <v>326</v>
      </c>
      <c r="G412" s="51">
        <f>SUM(G413)</f>
        <v>0</v>
      </c>
      <c r="H412" s="51">
        <f>SUM(H413)</f>
        <v>0</v>
      </c>
      <c r="I412" s="51">
        <f t="shared" si="19"/>
        <v>0</v>
      </c>
      <c r="J412" s="58"/>
    </row>
    <row r="413" spans="1:10" x14ac:dyDescent="0.25">
      <c r="A413" s="62">
        <v>2</v>
      </c>
      <c r="B413" s="54">
        <v>6</v>
      </c>
      <c r="C413" s="54">
        <v>7</v>
      </c>
      <c r="D413" s="54">
        <v>4</v>
      </c>
      <c r="E413" s="55" t="s">
        <v>31</v>
      </c>
      <c r="F413" s="59" t="s">
        <v>326</v>
      </c>
      <c r="G413" s="56">
        <f>'[3]CUENTA T FONDO 100'!HP126</f>
        <v>0</v>
      </c>
      <c r="H413" s="56">
        <f>'[3]CUENTA T VS'!HP106</f>
        <v>0</v>
      </c>
      <c r="I413" s="56">
        <f t="shared" si="19"/>
        <v>0</v>
      </c>
      <c r="J413" s="57">
        <f>I413/$I$25</f>
        <v>0</v>
      </c>
    </row>
    <row r="414" spans="1:10" x14ac:dyDescent="0.25">
      <c r="A414" s="61">
        <v>2</v>
      </c>
      <c r="B414" s="50">
        <v>6</v>
      </c>
      <c r="C414" s="50">
        <v>7</v>
      </c>
      <c r="D414" s="50">
        <v>5</v>
      </c>
      <c r="E414" s="50"/>
      <c r="F414" s="73" t="s">
        <v>327</v>
      </c>
      <c r="G414" s="51">
        <f>SUM(G415)</f>
        <v>0</v>
      </c>
      <c r="H414" s="51">
        <f>SUM(H415)</f>
        <v>0</v>
      </c>
      <c r="I414" s="51">
        <f t="shared" si="19"/>
        <v>0</v>
      </c>
      <c r="J414" s="58"/>
    </row>
    <row r="415" spans="1:10" x14ac:dyDescent="0.25">
      <c r="A415" s="62">
        <v>2</v>
      </c>
      <c r="B415" s="54">
        <v>6</v>
      </c>
      <c r="C415" s="54">
        <v>7</v>
      </c>
      <c r="D415" s="54">
        <v>5</v>
      </c>
      <c r="E415" s="55" t="s">
        <v>31</v>
      </c>
      <c r="F415" s="59" t="s">
        <v>327</v>
      </c>
      <c r="G415" s="56">
        <f>'[3]CUENTA T FONDO 100'!HQ126</f>
        <v>0</v>
      </c>
      <c r="H415" s="56">
        <f>'[3]CUENTA T VS'!HQ106</f>
        <v>0</v>
      </c>
      <c r="I415" s="56">
        <f t="shared" si="19"/>
        <v>0</v>
      </c>
      <c r="J415" s="57">
        <f>I415/$I$25</f>
        <v>0</v>
      </c>
    </row>
    <row r="416" spans="1:10" x14ac:dyDescent="0.25">
      <c r="A416" s="61">
        <v>2</v>
      </c>
      <c r="B416" s="50">
        <v>6</v>
      </c>
      <c r="C416" s="50">
        <v>7</v>
      </c>
      <c r="D416" s="50">
        <v>6</v>
      </c>
      <c r="E416" s="50"/>
      <c r="F416" s="73" t="s">
        <v>328</v>
      </c>
      <c r="G416" s="51">
        <f>SUM(G417)</f>
        <v>0</v>
      </c>
      <c r="H416" s="51">
        <f>SUM(H417)</f>
        <v>0</v>
      </c>
      <c r="I416" s="51">
        <f t="shared" si="19"/>
        <v>0</v>
      </c>
      <c r="J416" s="58"/>
    </row>
    <row r="417" spans="1:10" x14ac:dyDescent="0.25">
      <c r="A417" s="62">
        <v>2</v>
      </c>
      <c r="B417" s="54">
        <v>6</v>
      </c>
      <c r="C417" s="54">
        <v>7</v>
      </c>
      <c r="D417" s="54">
        <v>6</v>
      </c>
      <c r="E417" s="55" t="s">
        <v>31</v>
      </c>
      <c r="F417" s="59" t="s">
        <v>328</v>
      </c>
      <c r="G417" s="56">
        <f>'[3]CUENTA T FONDO 100'!HR126</f>
        <v>0</v>
      </c>
      <c r="H417" s="56">
        <f>'[3]CUENTA T VS'!HR106</f>
        <v>0</v>
      </c>
      <c r="I417" s="56">
        <f t="shared" si="19"/>
        <v>0</v>
      </c>
      <c r="J417" s="57">
        <f>I417/$I$25</f>
        <v>0</v>
      </c>
    </row>
    <row r="418" spans="1:10" x14ac:dyDescent="0.25">
      <c r="A418" s="61">
        <v>2</v>
      </c>
      <c r="B418" s="50">
        <v>6</v>
      </c>
      <c r="C418" s="50">
        <v>7</v>
      </c>
      <c r="D418" s="50">
        <v>7</v>
      </c>
      <c r="E418" s="50"/>
      <c r="F418" s="73" t="s">
        <v>329</v>
      </c>
      <c r="G418" s="51">
        <f>SUM(G419)</f>
        <v>0</v>
      </c>
      <c r="H418" s="51">
        <f>SUM(H419)</f>
        <v>0</v>
      </c>
      <c r="I418" s="51">
        <f t="shared" si="19"/>
        <v>0</v>
      </c>
      <c r="J418" s="58"/>
    </row>
    <row r="419" spans="1:10" x14ac:dyDescent="0.25">
      <c r="A419" s="62">
        <v>2</v>
      </c>
      <c r="B419" s="54">
        <v>6</v>
      </c>
      <c r="C419" s="54">
        <v>7</v>
      </c>
      <c r="D419" s="54">
        <v>7</v>
      </c>
      <c r="E419" s="55" t="s">
        <v>31</v>
      </c>
      <c r="F419" s="59" t="s">
        <v>329</v>
      </c>
      <c r="G419" s="56">
        <f>'[3]CUENTA T FONDO 100'!HS126</f>
        <v>0</v>
      </c>
      <c r="H419" s="56">
        <f>'[3]CUENTA T VS'!HS106</f>
        <v>0</v>
      </c>
      <c r="I419" s="56">
        <f t="shared" si="19"/>
        <v>0</v>
      </c>
      <c r="J419" s="57">
        <f>I419/$I$25</f>
        <v>0</v>
      </c>
    </row>
    <row r="420" spans="1:10" ht="25.5" x14ac:dyDescent="0.25">
      <c r="A420" s="61">
        <v>2</v>
      </c>
      <c r="B420" s="50">
        <v>6</v>
      </c>
      <c r="C420" s="50">
        <v>7</v>
      </c>
      <c r="D420" s="50">
        <v>8</v>
      </c>
      <c r="E420" s="50"/>
      <c r="F420" s="73" t="s">
        <v>330</v>
      </c>
      <c r="G420" s="51">
        <f>SUM(G421)</f>
        <v>0</v>
      </c>
      <c r="H420" s="51">
        <f>SUM(H421)</f>
        <v>0</v>
      </c>
      <c r="I420" s="51">
        <f t="shared" si="19"/>
        <v>0</v>
      </c>
      <c r="J420" s="58"/>
    </row>
    <row r="421" spans="1:10" ht="25.5" x14ac:dyDescent="0.25">
      <c r="A421" s="62">
        <v>2</v>
      </c>
      <c r="B421" s="54">
        <v>6</v>
      </c>
      <c r="C421" s="54">
        <v>7</v>
      </c>
      <c r="D421" s="54">
        <v>8</v>
      </c>
      <c r="E421" s="55" t="s">
        <v>31</v>
      </c>
      <c r="F421" s="59" t="s">
        <v>330</v>
      </c>
      <c r="G421" s="56">
        <f>'[3]CUENTA T FONDO 100'!HT126</f>
        <v>0</v>
      </c>
      <c r="H421" s="56">
        <f>'[3]CUENTA T VS'!HT106</f>
        <v>0</v>
      </c>
      <c r="I421" s="56">
        <f t="shared" si="19"/>
        <v>0</v>
      </c>
      <c r="J421" s="57">
        <f>I421/$I$25</f>
        <v>0</v>
      </c>
    </row>
    <row r="422" spans="1:10" ht="25.5" x14ac:dyDescent="0.25">
      <c r="A422" s="61">
        <v>2</v>
      </c>
      <c r="B422" s="50">
        <v>6</v>
      </c>
      <c r="C422" s="50">
        <v>7</v>
      </c>
      <c r="D422" s="50">
        <v>9</v>
      </c>
      <c r="E422" s="50"/>
      <c r="F422" s="73" t="s">
        <v>331</v>
      </c>
      <c r="G422" s="51">
        <f>SUM(G423)</f>
        <v>0</v>
      </c>
      <c r="H422" s="51">
        <f>SUM(H423)</f>
        <v>0</v>
      </c>
      <c r="I422" s="51">
        <f t="shared" si="19"/>
        <v>0</v>
      </c>
      <c r="J422" s="58"/>
    </row>
    <row r="423" spans="1:10" ht="25.5" x14ac:dyDescent="0.25">
      <c r="A423" s="62">
        <v>2</v>
      </c>
      <c r="B423" s="54">
        <v>6</v>
      </c>
      <c r="C423" s="54">
        <v>7</v>
      </c>
      <c r="D423" s="54">
        <v>9</v>
      </c>
      <c r="E423" s="55" t="s">
        <v>31</v>
      </c>
      <c r="F423" s="59" t="s">
        <v>331</v>
      </c>
      <c r="G423" s="56">
        <f>'[3]CUENTA T FONDO 100'!HU126</f>
        <v>0</v>
      </c>
      <c r="H423" s="56">
        <f>'[3]CUENTA T VS'!HU106</f>
        <v>0</v>
      </c>
      <c r="I423" s="56">
        <f t="shared" si="19"/>
        <v>0</v>
      </c>
      <c r="J423" s="57">
        <f>I423/$I$25</f>
        <v>0</v>
      </c>
    </row>
    <row r="424" spans="1:10" x14ac:dyDescent="0.25">
      <c r="A424" s="60">
        <v>2</v>
      </c>
      <c r="B424" s="47">
        <v>6</v>
      </c>
      <c r="C424" s="47">
        <v>8</v>
      </c>
      <c r="D424" s="47"/>
      <c r="E424" s="47"/>
      <c r="F424" s="72" t="s">
        <v>332</v>
      </c>
      <c r="G424" s="48">
        <f>G425+G427+G429+G432+G434+G436+G438+G440+G444</f>
        <v>0</v>
      </c>
      <c r="H424" s="48">
        <f>H425+H427+H429+H432+H434+H436+H438+H440+H444</f>
        <v>0</v>
      </c>
      <c r="I424" s="48">
        <f t="shared" si="19"/>
        <v>0</v>
      </c>
      <c r="J424" s="45"/>
    </row>
    <row r="425" spans="1:10" x14ac:dyDescent="0.25">
      <c r="A425" s="61">
        <v>2</v>
      </c>
      <c r="B425" s="50">
        <v>6</v>
      </c>
      <c r="C425" s="50">
        <v>8</v>
      </c>
      <c r="D425" s="50">
        <v>1</v>
      </c>
      <c r="E425" s="50"/>
      <c r="F425" s="73" t="s">
        <v>333</v>
      </c>
      <c r="G425" s="51">
        <f>+G426</f>
        <v>0</v>
      </c>
      <c r="H425" s="51">
        <f>+H426</f>
        <v>0</v>
      </c>
      <c r="I425" s="51">
        <f t="shared" si="19"/>
        <v>0</v>
      </c>
      <c r="J425" s="58"/>
    </row>
    <row r="426" spans="1:10" x14ac:dyDescent="0.25">
      <c r="A426" s="62">
        <v>2</v>
      </c>
      <c r="B426" s="54">
        <v>6</v>
      </c>
      <c r="C426" s="54">
        <v>8</v>
      </c>
      <c r="D426" s="54">
        <v>1</v>
      </c>
      <c r="E426" s="55" t="s">
        <v>31</v>
      </c>
      <c r="F426" s="59" t="s">
        <v>333</v>
      </c>
      <c r="G426" s="56">
        <f>'[3]CUENTA T FONDO 100'!HV126</f>
        <v>0</v>
      </c>
      <c r="H426" s="56">
        <f>'[3]CUENTA T VS'!HV106</f>
        <v>0</v>
      </c>
      <c r="I426" s="56">
        <f t="shared" si="19"/>
        <v>0</v>
      </c>
      <c r="J426" s="57">
        <f>I426/$I$25</f>
        <v>0</v>
      </c>
    </row>
    <row r="427" spans="1:10" x14ac:dyDescent="0.25">
      <c r="A427" s="61">
        <v>2</v>
      </c>
      <c r="B427" s="50">
        <v>6</v>
      </c>
      <c r="C427" s="50">
        <v>8</v>
      </c>
      <c r="D427" s="50">
        <v>2</v>
      </c>
      <c r="E427" s="50"/>
      <c r="F427" s="73" t="s">
        <v>334</v>
      </c>
      <c r="G427" s="51">
        <f>+G428</f>
        <v>0</v>
      </c>
      <c r="H427" s="51">
        <f>+H428</f>
        <v>0</v>
      </c>
      <c r="I427" s="51">
        <f t="shared" si="19"/>
        <v>0</v>
      </c>
      <c r="J427" s="58"/>
    </row>
    <row r="428" spans="1:10" x14ac:dyDescent="0.25">
      <c r="A428" s="62">
        <v>2</v>
      </c>
      <c r="B428" s="54">
        <v>6</v>
      </c>
      <c r="C428" s="54">
        <v>8</v>
      </c>
      <c r="D428" s="54">
        <v>2</v>
      </c>
      <c r="E428" s="55" t="s">
        <v>31</v>
      </c>
      <c r="F428" s="59" t="s">
        <v>334</v>
      </c>
      <c r="G428" s="56">
        <f>'[3]CUENTA T FONDO 100'!HW126</f>
        <v>0</v>
      </c>
      <c r="H428" s="56">
        <f>'[3]CUENTA T VS'!HW106</f>
        <v>0</v>
      </c>
      <c r="I428" s="56">
        <f t="shared" si="19"/>
        <v>0</v>
      </c>
      <c r="J428" s="57">
        <f>I428/$I$25</f>
        <v>0</v>
      </c>
    </row>
    <row r="429" spans="1:10" ht="25.5" x14ac:dyDescent="0.25">
      <c r="A429" s="61">
        <v>2</v>
      </c>
      <c r="B429" s="50">
        <v>6</v>
      </c>
      <c r="C429" s="50">
        <v>8</v>
      </c>
      <c r="D429" s="50">
        <v>3</v>
      </c>
      <c r="E429" s="50"/>
      <c r="F429" s="73" t="s">
        <v>335</v>
      </c>
      <c r="G429" s="51">
        <f>SUM(G430:G431)</f>
        <v>0</v>
      </c>
      <c r="H429" s="51">
        <f>SUM(H430:H431)</f>
        <v>0</v>
      </c>
      <c r="I429" s="51">
        <f t="shared" si="19"/>
        <v>0</v>
      </c>
      <c r="J429" s="58"/>
    </row>
    <row r="430" spans="1:10" x14ac:dyDescent="0.25">
      <c r="A430" s="62">
        <v>2</v>
      </c>
      <c r="B430" s="54">
        <v>6</v>
      </c>
      <c r="C430" s="54">
        <v>8</v>
      </c>
      <c r="D430" s="54">
        <v>3</v>
      </c>
      <c r="E430" s="55" t="s">
        <v>31</v>
      </c>
      <c r="F430" s="59" t="s">
        <v>336</v>
      </c>
      <c r="G430" s="56">
        <f>'[3]CUENTA T FONDO 100'!HX126</f>
        <v>0</v>
      </c>
      <c r="H430" s="56">
        <f>'[3]CUENTA T VS'!HX106</f>
        <v>0</v>
      </c>
      <c r="I430" s="56">
        <f t="shared" si="19"/>
        <v>0</v>
      </c>
      <c r="J430" s="57">
        <f>I430/$I$25</f>
        <v>0</v>
      </c>
    </row>
    <row r="431" spans="1:10" x14ac:dyDescent="0.25">
      <c r="A431" s="62">
        <v>2</v>
      </c>
      <c r="B431" s="54">
        <v>6</v>
      </c>
      <c r="C431" s="54">
        <v>8</v>
      </c>
      <c r="D431" s="54">
        <v>3</v>
      </c>
      <c r="E431" s="55" t="s">
        <v>33</v>
      </c>
      <c r="F431" s="59" t="s">
        <v>337</v>
      </c>
      <c r="G431" s="56">
        <f>'[3]CUENTA T FONDO 100'!HY126</f>
        <v>0</v>
      </c>
      <c r="H431" s="56">
        <f>'[3]CUENTA T VS'!HY106</f>
        <v>0</v>
      </c>
      <c r="I431" s="56">
        <f t="shared" si="19"/>
        <v>0</v>
      </c>
      <c r="J431" s="57">
        <f>I431/$I$25</f>
        <v>0</v>
      </c>
    </row>
    <row r="432" spans="1:10" ht="25.5" x14ac:dyDescent="0.25">
      <c r="A432" s="61">
        <v>2</v>
      </c>
      <c r="B432" s="50">
        <v>6</v>
      </c>
      <c r="C432" s="50">
        <v>8</v>
      </c>
      <c r="D432" s="50">
        <v>4</v>
      </c>
      <c r="E432" s="50"/>
      <c r="F432" s="73" t="s">
        <v>338</v>
      </c>
      <c r="G432" s="51">
        <f>+G433</f>
        <v>0</v>
      </c>
      <c r="H432" s="51">
        <f>+H433</f>
        <v>0</v>
      </c>
      <c r="I432" s="51">
        <f t="shared" si="19"/>
        <v>0</v>
      </c>
      <c r="J432" s="58"/>
    </row>
    <row r="433" spans="1:10" ht="25.5" x14ac:dyDescent="0.25">
      <c r="A433" s="62">
        <v>2</v>
      </c>
      <c r="B433" s="54">
        <v>6</v>
      </c>
      <c r="C433" s="54">
        <v>8</v>
      </c>
      <c r="D433" s="54">
        <v>4</v>
      </c>
      <c r="E433" s="55" t="s">
        <v>31</v>
      </c>
      <c r="F433" s="59" t="s">
        <v>338</v>
      </c>
      <c r="G433" s="56">
        <f>'[3]CUENTA T FONDO 100'!HZ126</f>
        <v>0</v>
      </c>
      <c r="H433" s="56">
        <f>'[3]CUENTA T VS'!HZ106</f>
        <v>0</v>
      </c>
      <c r="I433" s="56">
        <f t="shared" si="19"/>
        <v>0</v>
      </c>
      <c r="J433" s="57">
        <f>I433/$I$25</f>
        <v>0</v>
      </c>
    </row>
    <row r="434" spans="1:10" x14ac:dyDescent="0.25">
      <c r="A434" s="61">
        <v>2</v>
      </c>
      <c r="B434" s="50">
        <v>6</v>
      </c>
      <c r="C434" s="50">
        <v>8</v>
      </c>
      <c r="D434" s="50">
        <v>5</v>
      </c>
      <c r="E434" s="50"/>
      <c r="F434" s="73" t="s">
        <v>339</v>
      </c>
      <c r="G434" s="51">
        <f>+G435</f>
        <v>0</v>
      </c>
      <c r="H434" s="51">
        <f>+H435</f>
        <v>0</v>
      </c>
      <c r="I434" s="51">
        <f t="shared" si="19"/>
        <v>0</v>
      </c>
      <c r="J434" s="58"/>
    </row>
    <row r="435" spans="1:10" x14ac:dyDescent="0.25">
      <c r="A435" s="62">
        <v>2</v>
      </c>
      <c r="B435" s="54">
        <v>6</v>
      </c>
      <c r="C435" s="54">
        <v>8</v>
      </c>
      <c r="D435" s="54">
        <v>5</v>
      </c>
      <c r="E435" s="55" t="s">
        <v>31</v>
      </c>
      <c r="F435" s="59" t="s">
        <v>339</v>
      </c>
      <c r="G435" s="56">
        <f>'[3]CUENTA T FONDO 100'!IA126</f>
        <v>0</v>
      </c>
      <c r="H435" s="56">
        <f>'[3]CUENTA T VS'!IA106</f>
        <v>0</v>
      </c>
      <c r="I435" s="56">
        <f t="shared" si="19"/>
        <v>0</v>
      </c>
      <c r="J435" s="57">
        <f>I435/$I$25</f>
        <v>0</v>
      </c>
    </row>
    <row r="436" spans="1:10" x14ac:dyDescent="0.25">
      <c r="A436" s="61">
        <v>2</v>
      </c>
      <c r="B436" s="50">
        <v>6</v>
      </c>
      <c r="C436" s="50">
        <v>8</v>
      </c>
      <c r="D436" s="50">
        <v>6</v>
      </c>
      <c r="E436" s="50"/>
      <c r="F436" s="73" t="s">
        <v>340</v>
      </c>
      <c r="G436" s="51">
        <f>+G437</f>
        <v>0</v>
      </c>
      <c r="H436" s="51">
        <f>+H437</f>
        <v>0</v>
      </c>
      <c r="I436" s="51">
        <f t="shared" si="19"/>
        <v>0</v>
      </c>
      <c r="J436" s="58"/>
    </row>
    <row r="437" spans="1:10" x14ac:dyDescent="0.25">
      <c r="A437" s="62">
        <v>2</v>
      </c>
      <c r="B437" s="54">
        <v>6</v>
      </c>
      <c r="C437" s="54">
        <v>8</v>
      </c>
      <c r="D437" s="54">
        <v>6</v>
      </c>
      <c r="E437" s="55" t="s">
        <v>31</v>
      </c>
      <c r="F437" s="59" t="s">
        <v>340</v>
      </c>
      <c r="G437" s="56">
        <f>'[3]CUENTA T FONDO 100'!IB126</f>
        <v>0</v>
      </c>
      <c r="H437" s="56">
        <f>'[3]CUENTA T VS'!IB106</f>
        <v>0</v>
      </c>
      <c r="I437" s="56">
        <f t="shared" si="19"/>
        <v>0</v>
      </c>
      <c r="J437" s="57">
        <f>I437/$I$25</f>
        <v>0</v>
      </c>
    </row>
    <row r="438" spans="1:10" x14ac:dyDescent="0.25">
      <c r="A438" s="61">
        <v>2</v>
      </c>
      <c r="B438" s="50">
        <v>6</v>
      </c>
      <c r="C438" s="50">
        <v>8</v>
      </c>
      <c r="D438" s="50">
        <v>7</v>
      </c>
      <c r="E438" s="50"/>
      <c r="F438" s="73" t="s">
        <v>341</v>
      </c>
      <c r="G438" s="51">
        <f>+G439</f>
        <v>0</v>
      </c>
      <c r="H438" s="51">
        <f>+H439</f>
        <v>0</v>
      </c>
      <c r="I438" s="51">
        <f t="shared" si="19"/>
        <v>0</v>
      </c>
      <c r="J438" s="58"/>
    </row>
    <row r="439" spans="1:10" x14ac:dyDescent="0.25">
      <c r="A439" s="62">
        <v>2</v>
      </c>
      <c r="B439" s="54">
        <v>6</v>
      </c>
      <c r="C439" s="54">
        <v>8</v>
      </c>
      <c r="D439" s="54">
        <v>7</v>
      </c>
      <c r="E439" s="55" t="s">
        <v>31</v>
      </c>
      <c r="F439" s="59" t="s">
        <v>341</v>
      </c>
      <c r="G439" s="56">
        <f>'[3]CUENTA T FONDO 100'!IC126</f>
        <v>0</v>
      </c>
      <c r="H439" s="56">
        <f>'[3]CUENTA T VS'!IC106</f>
        <v>0</v>
      </c>
      <c r="I439" s="56">
        <f t="shared" si="19"/>
        <v>0</v>
      </c>
      <c r="J439" s="57">
        <f>I439/$I$25</f>
        <v>0</v>
      </c>
    </row>
    <row r="440" spans="1:10" ht="25.5" x14ac:dyDescent="0.25">
      <c r="A440" s="49">
        <v>2</v>
      </c>
      <c r="B440" s="50">
        <v>6</v>
      </c>
      <c r="C440" s="50">
        <v>8</v>
      </c>
      <c r="D440" s="50">
        <v>8</v>
      </c>
      <c r="E440" s="50"/>
      <c r="F440" s="73" t="s">
        <v>342</v>
      </c>
      <c r="G440" s="51">
        <f>SUM(G441:G443)</f>
        <v>0</v>
      </c>
      <c r="H440" s="51">
        <f>SUM(H441:H443)</f>
        <v>0</v>
      </c>
      <c r="I440" s="51">
        <f t="shared" si="19"/>
        <v>0</v>
      </c>
      <c r="J440" s="58"/>
    </row>
    <row r="441" spans="1:10" x14ac:dyDescent="0.25">
      <c r="A441" s="62">
        <v>2</v>
      </c>
      <c r="B441" s="54">
        <v>6</v>
      </c>
      <c r="C441" s="54">
        <v>8</v>
      </c>
      <c r="D441" s="54">
        <v>8</v>
      </c>
      <c r="E441" s="54" t="s">
        <v>343</v>
      </c>
      <c r="F441" s="59" t="s">
        <v>344</v>
      </c>
      <c r="G441" s="56">
        <f>'[3]CUENTA T FONDO 100'!ID126</f>
        <v>0</v>
      </c>
      <c r="H441" s="56">
        <f>'[3]CUENTA T VS'!ID106</f>
        <v>0</v>
      </c>
      <c r="I441" s="56">
        <f t="shared" si="19"/>
        <v>0</v>
      </c>
      <c r="J441" s="57">
        <f>I441/$I$25</f>
        <v>0</v>
      </c>
    </row>
    <row r="442" spans="1:10" x14ac:dyDescent="0.25">
      <c r="A442" s="62">
        <v>2</v>
      </c>
      <c r="B442" s="54">
        <v>6</v>
      </c>
      <c r="C442" s="54">
        <v>8</v>
      </c>
      <c r="D442" s="54">
        <v>8</v>
      </c>
      <c r="E442" s="54" t="s">
        <v>345</v>
      </c>
      <c r="F442" s="59" t="s">
        <v>346</v>
      </c>
      <c r="G442" s="56">
        <f>'[3]CUENTA T FONDO 100'!IE126</f>
        <v>0</v>
      </c>
      <c r="H442" s="56">
        <f>'[3]CUENTA T VS'!IE106</f>
        <v>0</v>
      </c>
      <c r="I442" s="56">
        <f t="shared" si="19"/>
        <v>0</v>
      </c>
      <c r="J442" s="57">
        <f>I442/$I$25</f>
        <v>0</v>
      </c>
    </row>
    <row r="443" spans="1:10" x14ac:dyDescent="0.25">
      <c r="A443" s="62">
        <v>2</v>
      </c>
      <c r="B443" s="54">
        <v>6</v>
      </c>
      <c r="C443" s="54">
        <v>8</v>
      </c>
      <c r="D443" s="54">
        <v>8</v>
      </c>
      <c r="E443" s="54" t="s">
        <v>347</v>
      </c>
      <c r="F443" s="59" t="s">
        <v>348</v>
      </c>
      <c r="G443" s="56">
        <f>'[3]CUENTA T FONDO 100'!IF126</f>
        <v>0</v>
      </c>
      <c r="H443" s="56">
        <f>'[3]CUENTA T VS'!IF106</f>
        <v>0</v>
      </c>
      <c r="I443" s="56">
        <f t="shared" si="19"/>
        <v>0</v>
      </c>
      <c r="J443" s="57">
        <f>I443/$I$25</f>
        <v>0</v>
      </c>
    </row>
    <row r="444" spans="1:10" x14ac:dyDescent="0.25">
      <c r="A444" s="61">
        <v>2</v>
      </c>
      <c r="B444" s="50">
        <v>6</v>
      </c>
      <c r="C444" s="50">
        <v>8</v>
      </c>
      <c r="D444" s="50">
        <v>9</v>
      </c>
      <c r="E444" s="50"/>
      <c r="F444" s="73" t="s">
        <v>349</v>
      </c>
      <c r="G444" s="51">
        <f>+G445</f>
        <v>0</v>
      </c>
      <c r="H444" s="51">
        <f>+H445</f>
        <v>0</v>
      </c>
      <c r="I444" s="51">
        <f t="shared" si="19"/>
        <v>0</v>
      </c>
      <c r="J444" s="58"/>
    </row>
    <row r="445" spans="1:10" x14ac:dyDescent="0.25">
      <c r="A445" s="62">
        <v>2</v>
      </c>
      <c r="B445" s="54">
        <v>6</v>
      </c>
      <c r="C445" s="54">
        <v>8</v>
      </c>
      <c r="D445" s="54">
        <v>9</v>
      </c>
      <c r="E445" s="54" t="s">
        <v>320</v>
      </c>
      <c r="F445" s="59" t="s">
        <v>349</v>
      </c>
      <c r="G445" s="56">
        <f>'[3]CUENTA T FONDO 100'!IG126</f>
        <v>0</v>
      </c>
      <c r="H445" s="56">
        <f>'[3]CUENTA T VS'!IG106</f>
        <v>0</v>
      </c>
      <c r="I445" s="56">
        <f t="shared" si="19"/>
        <v>0</v>
      </c>
      <c r="J445" s="57">
        <f>I445/$I$25</f>
        <v>0</v>
      </c>
    </row>
    <row r="446" spans="1:10" x14ac:dyDescent="0.25">
      <c r="A446" s="46">
        <v>2</v>
      </c>
      <c r="B446" s="47">
        <v>6</v>
      </c>
      <c r="C446" s="47">
        <v>9</v>
      </c>
      <c r="D446" s="47"/>
      <c r="E446" s="65"/>
      <c r="F446" s="72" t="s">
        <v>350</v>
      </c>
      <c r="G446" s="48">
        <f>+G447+G450+G453+G455+G457+G461</f>
        <v>0</v>
      </c>
      <c r="H446" s="48">
        <f>+H447+H450+H453+H455+H457+H461</f>
        <v>0</v>
      </c>
      <c r="I446" s="48">
        <f t="shared" si="19"/>
        <v>0</v>
      </c>
      <c r="J446" s="45"/>
    </row>
    <row r="447" spans="1:10" ht="25.5" x14ac:dyDescent="0.25">
      <c r="A447" s="61">
        <v>2</v>
      </c>
      <c r="B447" s="50">
        <v>6</v>
      </c>
      <c r="C447" s="50">
        <v>9</v>
      </c>
      <c r="D447" s="50">
        <v>1</v>
      </c>
      <c r="E447" s="50"/>
      <c r="F447" s="73" t="s">
        <v>351</v>
      </c>
      <c r="G447" s="51">
        <f>+G448+G449</f>
        <v>0</v>
      </c>
      <c r="H447" s="51">
        <f t="shared" ref="H447" si="20">+H448+H449</f>
        <v>0</v>
      </c>
      <c r="I447" s="51">
        <f t="shared" si="19"/>
        <v>0</v>
      </c>
      <c r="J447" s="51"/>
    </row>
    <row r="448" spans="1:10" ht="25.5" x14ac:dyDescent="0.25">
      <c r="A448" s="75">
        <v>2</v>
      </c>
      <c r="B448" s="76">
        <v>6</v>
      </c>
      <c r="C448" s="76">
        <v>9</v>
      </c>
      <c r="D448" s="76">
        <v>1</v>
      </c>
      <c r="E448" s="76" t="s">
        <v>31</v>
      </c>
      <c r="F448" s="77" t="s">
        <v>351</v>
      </c>
      <c r="G448" s="56">
        <f>'[3]CUENTA T FONDO 100'!IH126</f>
        <v>0</v>
      </c>
      <c r="H448" s="78">
        <f>'[3]CUENTA T VS'!IH106</f>
        <v>0</v>
      </c>
      <c r="I448" s="78">
        <f t="shared" si="19"/>
        <v>0</v>
      </c>
      <c r="J448" s="57">
        <f>I448/$I$25</f>
        <v>0</v>
      </c>
    </row>
    <row r="449" spans="1:10" ht="25.5" x14ac:dyDescent="0.25">
      <c r="A449" s="75">
        <v>2</v>
      </c>
      <c r="B449" s="76">
        <v>6</v>
      </c>
      <c r="C449" s="76">
        <v>9</v>
      </c>
      <c r="D449" s="76">
        <v>1</v>
      </c>
      <c r="E449" s="76" t="s">
        <v>33</v>
      </c>
      <c r="F449" s="77" t="s">
        <v>352</v>
      </c>
      <c r="G449" s="56">
        <f>'[3]CUENTA T FONDO 100'!II126</f>
        <v>0</v>
      </c>
      <c r="H449" s="78">
        <f>'[3]CUENTA T VS'!II106</f>
        <v>0</v>
      </c>
      <c r="I449" s="78">
        <f t="shared" si="19"/>
        <v>0</v>
      </c>
      <c r="J449" s="57">
        <f>I449/$I$25</f>
        <v>0</v>
      </c>
    </row>
    <row r="450" spans="1:10" x14ac:dyDescent="0.25">
      <c r="A450" s="61">
        <v>2</v>
      </c>
      <c r="B450" s="50">
        <v>6</v>
      </c>
      <c r="C450" s="50">
        <v>9</v>
      </c>
      <c r="D450" s="50">
        <v>2</v>
      </c>
      <c r="E450" s="50"/>
      <c r="F450" s="73" t="s">
        <v>353</v>
      </c>
      <c r="G450" s="51">
        <f>SUM(G451:G452)</f>
        <v>0</v>
      </c>
      <c r="H450" s="51">
        <f t="shared" ref="H450" si="21">SUM(H451:H452)</f>
        <v>0</v>
      </c>
      <c r="I450" s="51">
        <f t="shared" si="19"/>
        <v>0</v>
      </c>
      <c r="J450" s="58"/>
    </row>
    <row r="451" spans="1:10" x14ac:dyDescent="0.25">
      <c r="A451" s="62">
        <v>2</v>
      </c>
      <c r="B451" s="54">
        <v>6</v>
      </c>
      <c r="C451" s="54">
        <v>9</v>
      </c>
      <c r="D451" s="54">
        <v>2</v>
      </c>
      <c r="E451" s="55" t="s">
        <v>31</v>
      </c>
      <c r="F451" s="59" t="s">
        <v>353</v>
      </c>
      <c r="G451" s="56">
        <f>'[3]CUENTA T FONDO 100'!IJ126</f>
        <v>0</v>
      </c>
      <c r="H451" s="56">
        <f>'[3]CUENTA T VS'!IJ106</f>
        <v>0</v>
      </c>
      <c r="I451" s="56">
        <f t="shared" si="19"/>
        <v>0</v>
      </c>
      <c r="J451" s="57">
        <f>I451/$I$25</f>
        <v>0</v>
      </c>
    </row>
    <row r="452" spans="1:10" ht="25.5" x14ac:dyDescent="0.25">
      <c r="A452" s="62">
        <v>2</v>
      </c>
      <c r="B452" s="54">
        <v>6</v>
      </c>
      <c r="C452" s="54">
        <v>9</v>
      </c>
      <c r="D452" s="54">
        <v>2</v>
      </c>
      <c r="E452" s="55" t="s">
        <v>33</v>
      </c>
      <c r="F452" s="59" t="s">
        <v>354</v>
      </c>
      <c r="G452" s="56">
        <f>'[3]CUENTA T FONDO 100'!IK126</f>
        <v>0</v>
      </c>
      <c r="H452" s="56">
        <f>'[3]CUENTA T VS'!IK106</f>
        <v>0</v>
      </c>
      <c r="I452" s="56">
        <f t="shared" si="19"/>
        <v>0</v>
      </c>
      <c r="J452" s="57">
        <f>I452/$I$25</f>
        <v>0</v>
      </c>
    </row>
    <row r="453" spans="1:10" x14ac:dyDescent="0.25">
      <c r="A453" s="61">
        <v>2</v>
      </c>
      <c r="B453" s="50">
        <v>6</v>
      </c>
      <c r="C453" s="50">
        <v>9</v>
      </c>
      <c r="D453" s="50">
        <v>3</v>
      </c>
      <c r="E453" s="50"/>
      <c r="F453" s="73" t="s">
        <v>355</v>
      </c>
      <c r="G453" s="51">
        <f>SUM(G454)</f>
        <v>0</v>
      </c>
      <c r="H453" s="51">
        <f>SUM(H454)</f>
        <v>0</v>
      </c>
      <c r="I453" s="51">
        <f t="shared" si="19"/>
        <v>0</v>
      </c>
      <c r="J453" s="51"/>
    </row>
    <row r="454" spans="1:10" x14ac:dyDescent="0.25">
      <c r="A454" s="62">
        <v>2</v>
      </c>
      <c r="B454" s="54">
        <v>6</v>
      </c>
      <c r="C454" s="54">
        <v>9</v>
      </c>
      <c r="D454" s="54">
        <v>3</v>
      </c>
      <c r="E454" s="55" t="s">
        <v>31</v>
      </c>
      <c r="F454" s="59" t="s">
        <v>355</v>
      </c>
      <c r="G454" s="56">
        <f>'[3]CUENTA T FONDO 100'!IL126</f>
        <v>0</v>
      </c>
      <c r="H454" s="56">
        <f>'[3]CUENTA T VS'!IL106</f>
        <v>0</v>
      </c>
      <c r="I454" s="56">
        <f t="shared" si="19"/>
        <v>0</v>
      </c>
      <c r="J454" s="57">
        <f>I454/$I$25</f>
        <v>0</v>
      </c>
    </row>
    <row r="455" spans="1:10" x14ac:dyDescent="0.25">
      <c r="A455" s="61">
        <v>2</v>
      </c>
      <c r="B455" s="50">
        <v>6</v>
      </c>
      <c r="C455" s="50">
        <v>9</v>
      </c>
      <c r="D455" s="50">
        <v>4</v>
      </c>
      <c r="E455" s="50"/>
      <c r="F455" s="73" t="s">
        <v>356</v>
      </c>
      <c r="G455" s="51">
        <f>SUM(G456)</f>
        <v>0</v>
      </c>
      <c r="H455" s="51">
        <f>SUM(H456)</f>
        <v>0</v>
      </c>
      <c r="I455" s="51">
        <f t="shared" si="19"/>
        <v>0</v>
      </c>
      <c r="J455" s="58"/>
    </row>
    <row r="456" spans="1:10" x14ac:dyDescent="0.25">
      <c r="A456" s="62">
        <v>2</v>
      </c>
      <c r="B456" s="54">
        <v>6</v>
      </c>
      <c r="C456" s="54">
        <v>9</v>
      </c>
      <c r="D456" s="54">
        <v>4</v>
      </c>
      <c r="E456" s="55" t="s">
        <v>31</v>
      </c>
      <c r="F456" s="59" t="s">
        <v>356</v>
      </c>
      <c r="G456" s="56">
        <f>'[3]CUENTA T FONDO 100'!IM126</f>
        <v>0</v>
      </c>
      <c r="H456" s="56">
        <f>'[3]CUENTA T VS'!IM106</f>
        <v>0</v>
      </c>
      <c r="I456" s="56">
        <f t="shared" si="19"/>
        <v>0</v>
      </c>
      <c r="J456" s="57">
        <f>I456/$I$25</f>
        <v>0</v>
      </c>
    </row>
    <row r="457" spans="1:10" x14ac:dyDescent="0.25">
      <c r="A457" s="61">
        <v>2</v>
      </c>
      <c r="B457" s="50">
        <v>6</v>
      </c>
      <c r="C457" s="50">
        <v>9</v>
      </c>
      <c r="D457" s="50">
        <v>5</v>
      </c>
      <c r="E457" s="50"/>
      <c r="F457" s="73" t="s">
        <v>357</v>
      </c>
      <c r="G457" s="51">
        <f>SUM(G458:G460)</f>
        <v>0</v>
      </c>
      <c r="H457" s="51">
        <f>SUM(H458:H460)</f>
        <v>0</v>
      </c>
      <c r="I457" s="51">
        <f t="shared" si="19"/>
        <v>0</v>
      </c>
      <c r="J457" s="58"/>
    </row>
    <row r="458" spans="1:10" x14ac:dyDescent="0.25">
      <c r="A458" s="62">
        <v>2</v>
      </c>
      <c r="B458" s="54">
        <v>6</v>
      </c>
      <c r="C458" s="54">
        <v>9</v>
      </c>
      <c r="D458" s="54">
        <v>5</v>
      </c>
      <c r="E458" s="55" t="s">
        <v>31</v>
      </c>
      <c r="F458" s="59" t="s">
        <v>358</v>
      </c>
      <c r="G458" s="56">
        <f>'[3]CUENTA T FONDO 100'!IN126</f>
        <v>0</v>
      </c>
      <c r="H458" s="56">
        <f>'[3]CUENTA T VS'!IN106</f>
        <v>0</v>
      </c>
      <c r="I458" s="56">
        <f t="shared" si="19"/>
        <v>0</v>
      </c>
      <c r="J458" s="57">
        <f>I458/$I$25</f>
        <v>0</v>
      </c>
    </row>
    <row r="459" spans="1:10" ht="25.5" x14ac:dyDescent="0.25">
      <c r="A459" s="62">
        <v>2</v>
      </c>
      <c r="B459" s="54">
        <v>6</v>
      </c>
      <c r="C459" s="54">
        <v>9</v>
      </c>
      <c r="D459" s="54">
        <v>5</v>
      </c>
      <c r="E459" s="55" t="s">
        <v>33</v>
      </c>
      <c r="F459" s="59" t="s">
        <v>359</v>
      </c>
      <c r="G459" s="56">
        <f>'[3]CUENTA T FONDO 100'!IO126</f>
        <v>0</v>
      </c>
      <c r="H459" s="56">
        <f>'[3]CUENTA T VS'!IO106</f>
        <v>0</v>
      </c>
      <c r="I459" s="56">
        <f t="shared" si="19"/>
        <v>0</v>
      </c>
      <c r="J459" s="57">
        <f>I459/$I$25</f>
        <v>0</v>
      </c>
    </row>
    <row r="460" spans="1:10" x14ac:dyDescent="0.25">
      <c r="A460" s="62">
        <v>2</v>
      </c>
      <c r="B460" s="54">
        <v>6</v>
      </c>
      <c r="C460" s="54">
        <v>9</v>
      </c>
      <c r="D460" s="54">
        <v>5</v>
      </c>
      <c r="E460" s="55" t="s">
        <v>35</v>
      </c>
      <c r="F460" s="59" t="s">
        <v>360</v>
      </c>
      <c r="G460" s="56">
        <f>'[3]CUENTA T FONDO 100'!IP126</f>
        <v>0</v>
      </c>
      <c r="H460" s="56">
        <f>'[3]CUENTA T VS'!IP106</f>
        <v>0</v>
      </c>
      <c r="I460" s="56">
        <f t="shared" si="19"/>
        <v>0</v>
      </c>
      <c r="J460" s="57">
        <f>I460/$I$25</f>
        <v>0</v>
      </c>
    </row>
    <row r="461" spans="1:10" x14ac:dyDescent="0.25">
      <c r="A461" s="61">
        <v>2</v>
      </c>
      <c r="B461" s="50">
        <v>6</v>
      </c>
      <c r="C461" s="50">
        <v>9</v>
      </c>
      <c r="D461" s="50">
        <v>9</v>
      </c>
      <c r="E461" s="50"/>
      <c r="F461" s="73" t="s">
        <v>361</v>
      </c>
      <c r="G461" s="51">
        <f>SUM(G462)</f>
        <v>0</v>
      </c>
      <c r="H461" s="51">
        <f>SUM(H462)</f>
        <v>0</v>
      </c>
      <c r="I461" s="51">
        <f t="shared" si="19"/>
        <v>0</v>
      </c>
      <c r="J461" s="58"/>
    </row>
    <row r="462" spans="1:10" x14ac:dyDescent="0.25">
      <c r="A462" s="62">
        <v>2</v>
      </c>
      <c r="B462" s="54">
        <v>6</v>
      </c>
      <c r="C462" s="54">
        <v>9</v>
      </c>
      <c r="D462" s="54">
        <v>9</v>
      </c>
      <c r="E462" s="55" t="s">
        <v>31</v>
      </c>
      <c r="F462" s="59" t="s">
        <v>361</v>
      </c>
      <c r="G462" s="56">
        <f>'[3]CUENTA T FONDO 100'!IQ126</f>
        <v>0</v>
      </c>
      <c r="H462" s="56">
        <f>'[3]CUENTA T VS'!IQ106</f>
        <v>0</v>
      </c>
      <c r="I462" s="56">
        <f t="shared" si="19"/>
        <v>0</v>
      </c>
      <c r="J462" s="57">
        <f>I462/$I$25</f>
        <v>0</v>
      </c>
    </row>
    <row r="463" spans="1:10" x14ac:dyDescent="0.25">
      <c r="A463" s="60">
        <v>2</v>
      </c>
      <c r="B463" s="47">
        <v>7</v>
      </c>
      <c r="C463" s="47"/>
      <c r="D463" s="47"/>
      <c r="E463" s="47"/>
      <c r="F463" s="72" t="s">
        <v>362</v>
      </c>
      <c r="G463" s="48">
        <f>G464+G473+G492+G497</f>
        <v>0</v>
      </c>
      <c r="H463" s="48">
        <f>H464+H473+H492+H497</f>
        <v>0</v>
      </c>
      <c r="I463" s="48">
        <f t="shared" si="19"/>
        <v>0</v>
      </c>
      <c r="J463" s="45">
        <f>I463/$I$25</f>
        <v>0</v>
      </c>
    </row>
    <row r="464" spans="1:10" x14ac:dyDescent="0.25">
      <c r="A464" s="60">
        <v>2</v>
      </c>
      <c r="B464" s="47">
        <v>7</v>
      </c>
      <c r="C464" s="47">
        <v>1</v>
      </c>
      <c r="D464" s="47"/>
      <c r="E464" s="47"/>
      <c r="F464" s="72" t="s">
        <v>363</v>
      </c>
      <c r="G464" s="48">
        <f>+G465+G467+G469+G471</f>
        <v>0</v>
      </c>
      <c r="H464" s="48">
        <f>+H465+H467+H469+H471</f>
        <v>0</v>
      </c>
      <c r="I464" s="48">
        <f t="shared" si="19"/>
        <v>0</v>
      </c>
      <c r="J464" s="45"/>
    </row>
    <row r="465" spans="1:10" ht="25.5" x14ac:dyDescent="0.25">
      <c r="A465" s="61">
        <v>2</v>
      </c>
      <c r="B465" s="50">
        <v>7</v>
      </c>
      <c r="C465" s="50">
        <v>1</v>
      </c>
      <c r="D465" s="50">
        <v>1</v>
      </c>
      <c r="E465" s="64"/>
      <c r="F465" s="73" t="s">
        <v>364</v>
      </c>
      <c r="G465" s="51">
        <f>+G466</f>
        <v>0</v>
      </c>
      <c r="H465" s="51">
        <f>+H466</f>
        <v>0</v>
      </c>
      <c r="I465" s="51">
        <f t="shared" si="19"/>
        <v>0</v>
      </c>
      <c r="J465" s="58"/>
    </row>
    <row r="466" spans="1:10" ht="25.5" x14ac:dyDescent="0.25">
      <c r="A466" s="62">
        <v>2</v>
      </c>
      <c r="B466" s="54">
        <v>7</v>
      </c>
      <c r="C466" s="54">
        <v>1</v>
      </c>
      <c r="D466" s="54">
        <v>1</v>
      </c>
      <c r="E466" s="54" t="s">
        <v>320</v>
      </c>
      <c r="F466" s="59" t="s">
        <v>364</v>
      </c>
      <c r="G466" s="56">
        <f>'[3]CUENTA T FONDO 100'!IR126</f>
        <v>0</v>
      </c>
      <c r="H466" s="56">
        <f>'[3]CUENTA T VS'!IR106</f>
        <v>0</v>
      </c>
      <c r="I466" s="56">
        <f t="shared" si="19"/>
        <v>0</v>
      </c>
      <c r="J466" s="57">
        <f>I466/$I$25</f>
        <v>0</v>
      </c>
    </row>
    <row r="467" spans="1:10" ht="25.5" x14ac:dyDescent="0.25">
      <c r="A467" s="61">
        <v>2</v>
      </c>
      <c r="B467" s="50">
        <v>7</v>
      </c>
      <c r="C467" s="50">
        <v>1</v>
      </c>
      <c r="D467" s="50">
        <v>2</v>
      </c>
      <c r="E467" s="64"/>
      <c r="F467" s="73" t="s">
        <v>365</v>
      </c>
      <c r="G467" s="51">
        <f>+G468</f>
        <v>0</v>
      </c>
      <c r="H467" s="51">
        <f>+H468</f>
        <v>0</v>
      </c>
      <c r="I467" s="51">
        <f t="shared" si="19"/>
        <v>0</v>
      </c>
      <c r="J467" s="58"/>
    </row>
    <row r="468" spans="1:10" ht="25.5" x14ac:dyDescent="0.25">
      <c r="A468" s="62">
        <v>2</v>
      </c>
      <c r="B468" s="54">
        <v>7</v>
      </c>
      <c r="C468" s="54">
        <v>1</v>
      </c>
      <c r="D468" s="54">
        <v>2</v>
      </c>
      <c r="E468" s="54" t="s">
        <v>320</v>
      </c>
      <c r="F468" s="59" t="s">
        <v>365</v>
      </c>
      <c r="G468" s="56">
        <f>'[3]CUENTA T FONDO 100'!IS126</f>
        <v>0</v>
      </c>
      <c r="H468" s="56">
        <f>'[3]CUENTA T VS'!IS106</f>
        <v>0</v>
      </c>
      <c r="I468" s="56">
        <f t="shared" si="19"/>
        <v>0</v>
      </c>
      <c r="J468" s="57">
        <f>I468/$I$25</f>
        <v>0</v>
      </c>
    </row>
    <row r="469" spans="1:10" ht="25.5" x14ac:dyDescent="0.25">
      <c r="A469" s="61">
        <v>2</v>
      </c>
      <c r="B469" s="50">
        <v>7</v>
      </c>
      <c r="C469" s="50">
        <v>1</v>
      </c>
      <c r="D469" s="50">
        <v>3</v>
      </c>
      <c r="E469" s="64"/>
      <c r="F469" s="73" t="s">
        <v>366</v>
      </c>
      <c r="G469" s="51">
        <f>+G470</f>
        <v>0</v>
      </c>
      <c r="H469" s="51">
        <f>+H470</f>
        <v>0</v>
      </c>
      <c r="I469" s="51">
        <f t="shared" si="19"/>
        <v>0</v>
      </c>
      <c r="J469" s="58"/>
    </row>
    <row r="470" spans="1:10" ht="25.5" x14ac:dyDescent="0.25">
      <c r="A470" s="62">
        <v>2</v>
      </c>
      <c r="B470" s="54">
        <v>7</v>
      </c>
      <c r="C470" s="54">
        <v>1</v>
      </c>
      <c r="D470" s="54">
        <v>3</v>
      </c>
      <c r="E470" s="54" t="s">
        <v>320</v>
      </c>
      <c r="F470" s="59" t="s">
        <v>366</v>
      </c>
      <c r="G470" s="56">
        <f>'[3]CUENTA T FONDO 100'!IT126</f>
        <v>0</v>
      </c>
      <c r="H470" s="56">
        <f>'[3]CUENTA T VS'!IT106</f>
        <v>0</v>
      </c>
      <c r="I470" s="56">
        <f t="shared" si="19"/>
        <v>0</v>
      </c>
      <c r="J470" s="57">
        <f>I470/$I$25</f>
        <v>0</v>
      </c>
    </row>
    <row r="471" spans="1:10" x14ac:dyDescent="0.25">
      <c r="A471" s="61">
        <v>2</v>
      </c>
      <c r="B471" s="50">
        <v>7</v>
      </c>
      <c r="C471" s="50">
        <v>1</v>
      </c>
      <c r="D471" s="50">
        <v>4</v>
      </c>
      <c r="E471" s="64"/>
      <c r="F471" s="73" t="s">
        <v>367</v>
      </c>
      <c r="G471" s="51">
        <f>+G472</f>
        <v>0</v>
      </c>
      <c r="H471" s="51">
        <f>+H472</f>
        <v>0</v>
      </c>
      <c r="I471" s="51">
        <f t="shared" si="19"/>
        <v>0</v>
      </c>
      <c r="J471" s="58"/>
    </row>
    <row r="472" spans="1:10" x14ac:dyDescent="0.25">
      <c r="A472" s="62">
        <v>2</v>
      </c>
      <c r="B472" s="54">
        <v>7</v>
      </c>
      <c r="C472" s="54">
        <v>1</v>
      </c>
      <c r="D472" s="54">
        <v>4</v>
      </c>
      <c r="E472" s="54" t="s">
        <v>320</v>
      </c>
      <c r="F472" s="59" t="s">
        <v>367</v>
      </c>
      <c r="G472" s="56">
        <f>'[3]CUENTA T FONDO 100'!IU126</f>
        <v>0</v>
      </c>
      <c r="H472" s="56">
        <f>'[3]CUENTA T VS'!IU106</f>
        <v>0</v>
      </c>
      <c r="I472" s="56">
        <f t="shared" si="19"/>
        <v>0</v>
      </c>
      <c r="J472" s="57">
        <f>I472/$I$25</f>
        <v>0</v>
      </c>
    </row>
    <row r="473" spans="1:10" x14ac:dyDescent="0.25">
      <c r="A473" s="60">
        <v>2</v>
      </c>
      <c r="B473" s="47">
        <v>7</v>
      </c>
      <c r="C473" s="47">
        <v>2</v>
      </c>
      <c r="D473" s="47"/>
      <c r="E473" s="47"/>
      <c r="F473" s="72" t="s">
        <v>368</v>
      </c>
      <c r="G473" s="48">
        <f>+G474+G476+G478+G480+G482+G484+G486+G488+G490</f>
        <v>0</v>
      </c>
      <c r="H473" s="48">
        <f>+H474+H476+H478+H480+H482+H484+H486+H488+H490</f>
        <v>0</v>
      </c>
      <c r="I473" s="48">
        <f t="shared" ref="I473:I501" si="22">SUM(G473:H473)</f>
        <v>0</v>
      </c>
      <c r="J473" s="45"/>
    </row>
    <row r="474" spans="1:10" x14ac:dyDescent="0.25">
      <c r="A474" s="61">
        <v>2</v>
      </c>
      <c r="B474" s="50">
        <v>7</v>
      </c>
      <c r="C474" s="50">
        <v>2</v>
      </c>
      <c r="D474" s="50">
        <v>1</v>
      </c>
      <c r="E474" s="64"/>
      <c r="F474" s="73" t="s">
        <v>369</v>
      </c>
      <c r="G474" s="51">
        <f>+G475</f>
        <v>0</v>
      </c>
      <c r="H474" s="51">
        <f>+H475</f>
        <v>0</v>
      </c>
      <c r="I474" s="51">
        <f t="shared" si="22"/>
        <v>0</v>
      </c>
      <c r="J474" s="58"/>
    </row>
    <row r="475" spans="1:10" x14ac:dyDescent="0.25">
      <c r="A475" s="62">
        <v>2</v>
      </c>
      <c r="B475" s="54">
        <v>7</v>
      </c>
      <c r="C475" s="54">
        <v>2</v>
      </c>
      <c r="D475" s="54">
        <v>1</v>
      </c>
      <c r="E475" s="54" t="s">
        <v>320</v>
      </c>
      <c r="F475" s="59" t="s">
        <v>369</v>
      </c>
      <c r="G475" s="56">
        <f>'[3]CUENTA T FONDO 100'!IV126</f>
        <v>0</v>
      </c>
      <c r="H475" s="56">
        <f>'[3]CUENTA T VS'!IV106</f>
        <v>0</v>
      </c>
      <c r="I475" s="56">
        <f t="shared" si="22"/>
        <v>0</v>
      </c>
      <c r="J475" s="57">
        <f>I475/$I$25</f>
        <v>0</v>
      </c>
    </row>
    <row r="476" spans="1:10" x14ac:dyDescent="0.25">
      <c r="A476" s="61">
        <v>2</v>
      </c>
      <c r="B476" s="50">
        <v>7</v>
      </c>
      <c r="C476" s="50">
        <v>2</v>
      </c>
      <c r="D476" s="50">
        <v>2</v>
      </c>
      <c r="E476" s="64"/>
      <c r="F476" s="73" t="s">
        <v>370</v>
      </c>
      <c r="G476" s="51">
        <f>+G477</f>
        <v>0</v>
      </c>
      <c r="H476" s="51">
        <f>+H477</f>
        <v>0</v>
      </c>
      <c r="I476" s="51">
        <f t="shared" si="22"/>
        <v>0</v>
      </c>
      <c r="J476" s="58"/>
    </row>
    <row r="477" spans="1:10" x14ac:dyDescent="0.25">
      <c r="A477" s="62">
        <v>2</v>
      </c>
      <c r="B477" s="54">
        <v>7</v>
      </c>
      <c r="C477" s="54">
        <v>2</v>
      </c>
      <c r="D477" s="54">
        <v>2</v>
      </c>
      <c r="E477" s="54" t="s">
        <v>320</v>
      </c>
      <c r="F477" s="59" t="s">
        <v>370</v>
      </c>
      <c r="G477" s="56">
        <f>'[3]CUENTA T FONDO 100'!IW126</f>
        <v>0</v>
      </c>
      <c r="H477" s="56">
        <f>'[3]CUENTA T VS'!IW106</f>
        <v>0</v>
      </c>
      <c r="I477" s="56">
        <f t="shared" si="22"/>
        <v>0</v>
      </c>
      <c r="J477" s="57">
        <f>I477/$I$25</f>
        <v>0</v>
      </c>
    </row>
    <row r="478" spans="1:10" x14ac:dyDescent="0.25">
      <c r="A478" s="61">
        <v>2</v>
      </c>
      <c r="B478" s="50">
        <v>7</v>
      </c>
      <c r="C478" s="50">
        <v>2</v>
      </c>
      <c r="D478" s="50">
        <v>3</v>
      </c>
      <c r="E478" s="64"/>
      <c r="F478" s="73" t="s">
        <v>371</v>
      </c>
      <c r="G478" s="51">
        <f>+G479</f>
        <v>0</v>
      </c>
      <c r="H478" s="51">
        <f>+H479</f>
        <v>0</v>
      </c>
      <c r="I478" s="51">
        <f t="shared" si="22"/>
        <v>0</v>
      </c>
      <c r="J478" s="58"/>
    </row>
    <row r="479" spans="1:10" x14ac:dyDescent="0.25">
      <c r="A479" s="62">
        <v>2</v>
      </c>
      <c r="B479" s="54">
        <v>7</v>
      </c>
      <c r="C479" s="54">
        <v>2</v>
      </c>
      <c r="D479" s="54">
        <v>3</v>
      </c>
      <c r="E479" s="54" t="s">
        <v>320</v>
      </c>
      <c r="F479" s="59" t="s">
        <v>371</v>
      </c>
      <c r="G479" s="56">
        <f>'[3]CUENTA T FONDO 100'!IX126</f>
        <v>0</v>
      </c>
      <c r="H479" s="56">
        <f>'[3]CUENTA T VS'!IX106</f>
        <v>0</v>
      </c>
      <c r="I479" s="56">
        <f t="shared" si="22"/>
        <v>0</v>
      </c>
      <c r="J479" s="57">
        <f>I479/$I$25</f>
        <v>0</v>
      </c>
    </row>
    <row r="480" spans="1:10" ht="25.5" x14ac:dyDescent="0.25">
      <c r="A480" s="61">
        <v>2</v>
      </c>
      <c r="B480" s="50">
        <v>7</v>
      </c>
      <c r="C480" s="50">
        <v>2</v>
      </c>
      <c r="D480" s="50">
        <v>4</v>
      </c>
      <c r="E480" s="64"/>
      <c r="F480" s="73" t="s">
        <v>372</v>
      </c>
      <c r="G480" s="51">
        <f>+G481</f>
        <v>0</v>
      </c>
      <c r="H480" s="51">
        <f>+H481</f>
        <v>0</v>
      </c>
      <c r="I480" s="51">
        <f t="shared" si="22"/>
        <v>0</v>
      </c>
      <c r="J480" s="58"/>
    </row>
    <row r="481" spans="1:10" ht="25.5" x14ac:dyDescent="0.25">
      <c r="A481" s="62">
        <v>2</v>
      </c>
      <c r="B481" s="54">
        <v>7</v>
      </c>
      <c r="C481" s="54">
        <v>2</v>
      </c>
      <c r="D481" s="54">
        <v>4</v>
      </c>
      <c r="E481" s="54" t="s">
        <v>320</v>
      </c>
      <c r="F481" s="59" t="s">
        <v>372</v>
      </c>
      <c r="G481" s="56">
        <f>'[3]CUENTA T FONDO 100'!IY126</f>
        <v>0</v>
      </c>
      <c r="H481" s="56">
        <f>'[3]CUENTA T VS'!IY106</f>
        <v>0</v>
      </c>
      <c r="I481" s="56">
        <f t="shared" si="22"/>
        <v>0</v>
      </c>
      <c r="J481" s="57">
        <f>I481/$I$25</f>
        <v>0</v>
      </c>
    </row>
    <row r="482" spans="1:10" x14ac:dyDescent="0.25">
      <c r="A482" s="61">
        <v>2</v>
      </c>
      <c r="B482" s="50">
        <v>7</v>
      </c>
      <c r="C482" s="50">
        <v>2</v>
      </c>
      <c r="D482" s="50">
        <v>5</v>
      </c>
      <c r="E482" s="64"/>
      <c r="F482" s="73" t="s">
        <v>373</v>
      </c>
      <c r="G482" s="51">
        <f>+G483</f>
        <v>0</v>
      </c>
      <c r="H482" s="51">
        <f>+H483</f>
        <v>0</v>
      </c>
      <c r="I482" s="51">
        <f t="shared" si="22"/>
        <v>0</v>
      </c>
      <c r="J482" s="58"/>
    </row>
    <row r="483" spans="1:10" x14ac:dyDescent="0.25">
      <c r="A483" s="62">
        <v>2</v>
      </c>
      <c r="B483" s="54">
        <v>7</v>
      </c>
      <c r="C483" s="54">
        <v>2</v>
      </c>
      <c r="D483" s="54">
        <v>5</v>
      </c>
      <c r="E483" s="54" t="s">
        <v>320</v>
      </c>
      <c r="F483" s="59" t="s">
        <v>373</v>
      </c>
      <c r="G483" s="56">
        <f>'[3]CUENTA T FONDO 100'!IZ126</f>
        <v>0</v>
      </c>
      <c r="H483" s="56">
        <f>'[3]CUENTA T VS'!IZ106</f>
        <v>0</v>
      </c>
      <c r="I483" s="56">
        <f t="shared" si="22"/>
        <v>0</v>
      </c>
      <c r="J483" s="57">
        <f>I483/$I$25</f>
        <v>0</v>
      </c>
    </row>
    <row r="484" spans="1:10" ht="25.5" x14ac:dyDescent="0.25">
      <c r="A484" s="61">
        <v>2</v>
      </c>
      <c r="B484" s="50">
        <v>7</v>
      </c>
      <c r="C484" s="50">
        <v>2</v>
      </c>
      <c r="D484" s="50">
        <v>6</v>
      </c>
      <c r="E484" s="64"/>
      <c r="F484" s="73" t="s">
        <v>374</v>
      </c>
      <c r="G484" s="51">
        <f>+G485</f>
        <v>0</v>
      </c>
      <c r="H484" s="51">
        <f>+H485</f>
        <v>0</v>
      </c>
      <c r="I484" s="51">
        <f t="shared" si="22"/>
        <v>0</v>
      </c>
      <c r="J484" s="58"/>
    </row>
    <row r="485" spans="1:10" ht="25.5" x14ac:dyDescent="0.25">
      <c r="A485" s="62">
        <v>2</v>
      </c>
      <c r="B485" s="54">
        <v>7</v>
      </c>
      <c r="C485" s="54">
        <v>2</v>
      </c>
      <c r="D485" s="54">
        <v>6</v>
      </c>
      <c r="E485" s="54" t="s">
        <v>320</v>
      </c>
      <c r="F485" s="59" t="s">
        <v>374</v>
      </c>
      <c r="G485" s="56">
        <f>'[3]CUENTA T FONDO 100'!JA126</f>
        <v>0</v>
      </c>
      <c r="H485" s="56">
        <f>'[3]CUENTA T VS'!JA106</f>
        <v>0</v>
      </c>
      <c r="I485" s="56">
        <f t="shared" si="22"/>
        <v>0</v>
      </c>
      <c r="J485" s="57">
        <f>I485/$I$25</f>
        <v>0</v>
      </c>
    </row>
    <row r="486" spans="1:10" x14ac:dyDescent="0.25">
      <c r="A486" s="61">
        <v>2</v>
      </c>
      <c r="B486" s="50">
        <v>7</v>
      </c>
      <c r="C486" s="50">
        <v>2</v>
      </c>
      <c r="D486" s="50">
        <v>7</v>
      </c>
      <c r="E486" s="64"/>
      <c r="F486" s="73" t="s">
        <v>375</v>
      </c>
      <c r="G486" s="51">
        <f>+G487</f>
        <v>0</v>
      </c>
      <c r="H486" s="51">
        <f>+H487</f>
        <v>0</v>
      </c>
      <c r="I486" s="51">
        <f t="shared" si="22"/>
        <v>0</v>
      </c>
      <c r="J486" s="58"/>
    </row>
    <row r="487" spans="1:10" x14ac:dyDescent="0.25">
      <c r="A487" s="62">
        <v>2</v>
      </c>
      <c r="B487" s="54">
        <v>7</v>
      </c>
      <c r="C487" s="54">
        <v>2</v>
      </c>
      <c r="D487" s="54">
        <v>7</v>
      </c>
      <c r="E487" s="54" t="s">
        <v>320</v>
      </c>
      <c r="F487" s="59" t="s">
        <v>375</v>
      </c>
      <c r="G487" s="56">
        <f>'[3]CUENTA T FONDO 100'!JB126</f>
        <v>0</v>
      </c>
      <c r="H487" s="56">
        <f>'[3]CUENTA T VS'!JB106</f>
        <v>0</v>
      </c>
      <c r="I487" s="56">
        <f t="shared" si="22"/>
        <v>0</v>
      </c>
      <c r="J487" s="57">
        <f>I487/$I$25</f>
        <v>0</v>
      </c>
    </row>
    <row r="488" spans="1:10" x14ac:dyDescent="0.25">
      <c r="A488" s="61">
        <v>2</v>
      </c>
      <c r="B488" s="50">
        <v>7</v>
      </c>
      <c r="C488" s="50">
        <v>2</v>
      </c>
      <c r="D488" s="50">
        <v>8</v>
      </c>
      <c r="E488" s="64"/>
      <c r="F488" s="73" t="s">
        <v>376</v>
      </c>
      <c r="G488" s="51">
        <f>+G489</f>
        <v>0</v>
      </c>
      <c r="H488" s="51">
        <f>+H489</f>
        <v>0</v>
      </c>
      <c r="I488" s="51">
        <f t="shared" si="22"/>
        <v>0</v>
      </c>
      <c r="J488" s="58"/>
    </row>
    <row r="489" spans="1:10" x14ac:dyDescent="0.25">
      <c r="A489" s="62">
        <v>2</v>
      </c>
      <c r="B489" s="54">
        <v>7</v>
      </c>
      <c r="C489" s="54">
        <v>2</v>
      </c>
      <c r="D489" s="54">
        <v>8</v>
      </c>
      <c r="E489" s="54" t="s">
        <v>320</v>
      </c>
      <c r="F489" s="59" t="s">
        <v>376</v>
      </c>
      <c r="G489" s="56">
        <f>'[3]CUENTA T FONDO 100'!JC126</f>
        <v>0</v>
      </c>
      <c r="H489" s="56">
        <f>'[3]CUENTA T VS'!JC106</f>
        <v>0</v>
      </c>
      <c r="I489" s="56">
        <f t="shared" si="22"/>
        <v>0</v>
      </c>
      <c r="J489" s="57">
        <f>I489/$I$25</f>
        <v>0</v>
      </c>
    </row>
    <row r="490" spans="1:10" ht="25.5" x14ac:dyDescent="0.25">
      <c r="A490" s="61">
        <v>2</v>
      </c>
      <c r="B490" s="50">
        <v>7</v>
      </c>
      <c r="C490" s="50">
        <v>2</v>
      </c>
      <c r="D490" s="50">
        <v>9</v>
      </c>
      <c r="E490" s="64"/>
      <c r="F490" s="73" t="s">
        <v>377</v>
      </c>
      <c r="G490" s="51">
        <f>+G491</f>
        <v>0</v>
      </c>
      <c r="H490" s="51">
        <f>+H491</f>
        <v>0</v>
      </c>
      <c r="I490" s="51">
        <f t="shared" si="22"/>
        <v>0</v>
      </c>
      <c r="J490" s="58"/>
    </row>
    <row r="491" spans="1:10" ht="25.5" x14ac:dyDescent="0.25">
      <c r="A491" s="62">
        <v>2</v>
      </c>
      <c r="B491" s="54">
        <v>7</v>
      </c>
      <c r="C491" s="54">
        <v>2</v>
      </c>
      <c r="D491" s="54">
        <v>9</v>
      </c>
      <c r="E491" s="54" t="s">
        <v>320</v>
      </c>
      <c r="F491" s="59" t="s">
        <v>377</v>
      </c>
      <c r="G491" s="56">
        <f>'[3]CUENTA T FONDO 100'!JD126</f>
        <v>0</v>
      </c>
      <c r="H491" s="56">
        <f>'[3]CUENTA T VS'!JD106</f>
        <v>0</v>
      </c>
      <c r="I491" s="56">
        <f t="shared" si="22"/>
        <v>0</v>
      </c>
      <c r="J491" s="57">
        <f>I491/$I$25</f>
        <v>0</v>
      </c>
    </row>
    <row r="492" spans="1:10" ht="25.5" x14ac:dyDescent="0.25">
      <c r="A492" s="60">
        <v>2</v>
      </c>
      <c r="B492" s="47">
        <v>7</v>
      </c>
      <c r="C492" s="47">
        <v>3</v>
      </c>
      <c r="D492" s="47"/>
      <c r="E492" s="47"/>
      <c r="F492" s="72" t="s">
        <v>378</v>
      </c>
      <c r="G492" s="48">
        <f>+G493+G495</f>
        <v>0</v>
      </c>
      <c r="H492" s="48">
        <f>+H493+H495</f>
        <v>0</v>
      </c>
      <c r="I492" s="48">
        <f t="shared" si="22"/>
        <v>0</v>
      </c>
      <c r="J492" s="45"/>
    </row>
    <row r="493" spans="1:10" ht="25.5" x14ac:dyDescent="0.25">
      <c r="A493" s="61">
        <v>2</v>
      </c>
      <c r="B493" s="50">
        <v>7</v>
      </c>
      <c r="C493" s="50">
        <v>3</v>
      </c>
      <c r="D493" s="50">
        <v>1</v>
      </c>
      <c r="E493" s="64"/>
      <c r="F493" s="73" t="s">
        <v>379</v>
      </c>
      <c r="G493" s="51">
        <f>+G494</f>
        <v>0</v>
      </c>
      <c r="H493" s="51">
        <f>+H494</f>
        <v>0</v>
      </c>
      <c r="I493" s="51">
        <f t="shared" si="22"/>
        <v>0</v>
      </c>
      <c r="J493" s="58"/>
    </row>
    <row r="494" spans="1:10" ht="25.5" x14ac:dyDescent="0.25">
      <c r="A494" s="62">
        <v>2</v>
      </c>
      <c r="B494" s="54">
        <v>7</v>
      </c>
      <c r="C494" s="54">
        <v>3</v>
      </c>
      <c r="D494" s="54">
        <v>1</v>
      </c>
      <c r="E494" s="54" t="s">
        <v>320</v>
      </c>
      <c r="F494" s="59" t="s">
        <v>379</v>
      </c>
      <c r="G494" s="56">
        <f>'[3]CUENTA T FONDO 100'!JE126</f>
        <v>0</v>
      </c>
      <c r="H494" s="56">
        <f>'[3]CUENTA T VS'!JE106</f>
        <v>0</v>
      </c>
      <c r="I494" s="56">
        <f t="shared" si="22"/>
        <v>0</v>
      </c>
      <c r="J494" s="57">
        <f>I494/$I$25</f>
        <v>0</v>
      </c>
    </row>
    <row r="495" spans="1:10" ht="25.5" x14ac:dyDescent="0.25">
      <c r="A495" s="61">
        <v>2</v>
      </c>
      <c r="B495" s="50">
        <v>7</v>
      </c>
      <c r="C495" s="50">
        <v>3</v>
      </c>
      <c r="D495" s="50">
        <v>2</v>
      </c>
      <c r="E495" s="64"/>
      <c r="F495" s="73" t="s">
        <v>380</v>
      </c>
      <c r="G495" s="51">
        <f>+G496</f>
        <v>0</v>
      </c>
      <c r="H495" s="51">
        <f>+H496</f>
        <v>0</v>
      </c>
      <c r="I495" s="51">
        <f t="shared" si="22"/>
        <v>0</v>
      </c>
      <c r="J495" s="58"/>
    </row>
    <row r="496" spans="1:10" ht="25.5" x14ac:dyDescent="0.25">
      <c r="A496" s="62">
        <v>2</v>
      </c>
      <c r="B496" s="54">
        <v>7</v>
      </c>
      <c r="C496" s="54">
        <v>3</v>
      </c>
      <c r="D496" s="54">
        <v>2</v>
      </c>
      <c r="E496" s="54" t="s">
        <v>320</v>
      </c>
      <c r="F496" s="59" t="s">
        <v>380</v>
      </c>
      <c r="G496" s="56">
        <f>'[3]CUENTA T FONDO 100'!JF126</f>
        <v>0</v>
      </c>
      <c r="H496" s="56">
        <f>'[3]CUENTA T VS'!JF106</f>
        <v>0</v>
      </c>
      <c r="I496" s="56">
        <f t="shared" si="22"/>
        <v>0</v>
      </c>
      <c r="J496" s="57">
        <f>I496/$I$25</f>
        <v>0</v>
      </c>
    </row>
    <row r="497" spans="1:10" ht="38.25" x14ac:dyDescent="0.25">
      <c r="A497" s="60">
        <v>2</v>
      </c>
      <c r="B497" s="47">
        <v>7</v>
      </c>
      <c r="C497" s="47">
        <v>4</v>
      </c>
      <c r="D497" s="47"/>
      <c r="E497" s="47"/>
      <c r="F497" s="72" t="s">
        <v>381</v>
      </c>
      <c r="G497" s="48">
        <f>+G498+G500</f>
        <v>0</v>
      </c>
      <c r="H497" s="48">
        <f>+H498+H500</f>
        <v>0</v>
      </c>
      <c r="I497" s="48">
        <f t="shared" si="22"/>
        <v>0</v>
      </c>
      <c r="J497" s="45"/>
    </row>
    <row r="498" spans="1:10" ht="25.5" x14ac:dyDescent="0.25">
      <c r="A498" s="61">
        <v>2</v>
      </c>
      <c r="B498" s="50">
        <v>7</v>
      </c>
      <c r="C498" s="50">
        <v>4</v>
      </c>
      <c r="D498" s="50">
        <v>1</v>
      </c>
      <c r="E498" s="64"/>
      <c r="F498" s="73" t="s">
        <v>382</v>
      </c>
      <c r="G498" s="51">
        <f>+G499</f>
        <v>0</v>
      </c>
      <c r="H498" s="51">
        <f>+H499</f>
        <v>0</v>
      </c>
      <c r="I498" s="51">
        <f t="shared" si="22"/>
        <v>0</v>
      </c>
      <c r="J498" s="58"/>
    </row>
    <row r="499" spans="1:10" ht="25.5" x14ac:dyDescent="0.25">
      <c r="A499" s="62">
        <v>2</v>
      </c>
      <c r="B499" s="54">
        <v>7</v>
      </c>
      <c r="C499" s="54">
        <v>4</v>
      </c>
      <c r="D499" s="54">
        <v>1</v>
      </c>
      <c r="E499" s="54" t="s">
        <v>320</v>
      </c>
      <c r="F499" s="59" t="s">
        <v>382</v>
      </c>
      <c r="G499" s="56">
        <f>'[3]CUENTA T FONDO 100'!JG126</f>
        <v>0</v>
      </c>
      <c r="H499" s="56">
        <f>'[3]CUENTA T VS'!JG106</f>
        <v>0</v>
      </c>
      <c r="I499" s="56">
        <f t="shared" si="22"/>
        <v>0</v>
      </c>
      <c r="J499" s="57">
        <f>I499/$I$25</f>
        <v>0</v>
      </c>
    </row>
    <row r="500" spans="1:10" ht="38.25" x14ac:dyDescent="0.25">
      <c r="A500" s="49">
        <v>2</v>
      </c>
      <c r="B500" s="50">
        <v>7</v>
      </c>
      <c r="C500" s="50">
        <v>4</v>
      </c>
      <c r="D500" s="50">
        <v>2</v>
      </c>
      <c r="E500" s="64"/>
      <c r="F500" s="73" t="s">
        <v>383</v>
      </c>
      <c r="G500" s="51">
        <f>+G501</f>
        <v>0</v>
      </c>
      <c r="H500" s="51">
        <f>+H501</f>
        <v>0</v>
      </c>
      <c r="I500" s="51">
        <f t="shared" si="22"/>
        <v>0</v>
      </c>
      <c r="J500" s="58"/>
    </row>
    <row r="501" spans="1:10" ht="38.25" x14ac:dyDescent="0.25">
      <c r="A501" s="53">
        <v>2</v>
      </c>
      <c r="B501" s="54">
        <v>7</v>
      </c>
      <c r="C501" s="54">
        <v>4</v>
      </c>
      <c r="D501" s="54">
        <v>2</v>
      </c>
      <c r="E501" s="54" t="s">
        <v>320</v>
      </c>
      <c r="F501" s="59" t="s">
        <v>383</v>
      </c>
      <c r="G501" s="56">
        <f>'[3]CUENTA T FONDO 100'!JH126</f>
        <v>0</v>
      </c>
      <c r="H501" s="56">
        <f>'[3]CUENTA T VS'!JH106</f>
        <v>0</v>
      </c>
      <c r="I501" s="56">
        <f t="shared" si="22"/>
        <v>0</v>
      </c>
      <c r="J501" s="57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0">
    <mergeCell ref="A7:J7"/>
    <mergeCell ref="A2:H2"/>
    <mergeCell ref="A3:J3"/>
    <mergeCell ref="A4:J4"/>
    <mergeCell ref="A5:J5"/>
    <mergeCell ref="A6:J6"/>
    <mergeCell ref="A21:E21"/>
    <mergeCell ref="G21:H21"/>
    <mergeCell ref="A22:E22"/>
    <mergeCell ref="F22:F24"/>
    <mergeCell ref="G22:H22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1"/>
  <sheetViews>
    <sheetView tabSelected="1" zoomScaleNormal="100" workbookViewId="0">
      <selection activeCell="T20" sqref="T20"/>
    </sheetView>
  </sheetViews>
  <sheetFormatPr baseColWidth="10" defaultRowHeight="15" x14ac:dyDescent="0.25"/>
  <cols>
    <col min="1" max="5" width="8.5703125" customWidth="1"/>
    <col min="6" max="6" width="38.5703125" customWidth="1"/>
    <col min="7" max="7" width="19.140625" bestFit="1" customWidth="1"/>
    <col min="8" max="8" width="20" bestFit="1" customWidth="1"/>
    <col min="9" max="9" width="19.140625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79"/>
      <c r="G1" s="2"/>
      <c r="H1" s="2"/>
      <c r="I1" s="3"/>
      <c r="J1" s="4"/>
    </row>
    <row r="2" spans="1:10" ht="23.25" x14ac:dyDescent="0.35">
      <c r="A2" s="112"/>
      <c r="B2" s="113"/>
      <c r="C2" s="113"/>
      <c r="D2" s="113"/>
      <c r="E2" s="113"/>
      <c r="F2" s="113"/>
      <c r="G2" s="113"/>
      <c r="H2" s="113"/>
      <c r="I2" s="5"/>
      <c r="J2" s="6"/>
    </row>
    <row r="3" spans="1:10" ht="26.25" x14ac:dyDescent="0.4">
      <c r="A3" s="114" t="s">
        <v>1</v>
      </c>
      <c r="B3" s="115"/>
      <c r="C3" s="115"/>
      <c r="D3" s="115"/>
      <c r="E3" s="115"/>
      <c r="F3" s="115"/>
      <c r="G3" s="115"/>
      <c r="H3" s="115"/>
      <c r="I3" s="115"/>
      <c r="J3" s="116"/>
    </row>
    <row r="4" spans="1:10" ht="18.75" x14ac:dyDescent="0.3">
      <c r="A4" s="117" t="s">
        <v>2</v>
      </c>
      <c r="B4" s="118"/>
      <c r="C4" s="118"/>
      <c r="D4" s="118"/>
      <c r="E4" s="118"/>
      <c r="F4" s="118"/>
      <c r="G4" s="118"/>
      <c r="H4" s="118"/>
      <c r="I4" s="118"/>
      <c r="J4" s="119"/>
    </row>
    <row r="5" spans="1:10" x14ac:dyDescent="0.25">
      <c r="A5" s="120" t="s">
        <v>3</v>
      </c>
      <c r="B5" s="121"/>
      <c r="C5" s="121"/>
      <c r="D5" s="121"/>
      <c r="E5" s="121"/>
      <c r="F5" s="121"/>
      <c r="G5" s="121"/>
      <c r="H5" s="121"/>
      <c r="I5" s="121"/>
      <c r="J5" s="122"/>
    </row>
    <row r="6" spans="1:10" ht="15.75" x14ac:dyDescent="0.25">
      <c r="A6" s="123" t="s">
        <v>4</v>
      </c>
      <c r="B6" s="124"/>
      <c r="C6" s="124"/>
      <c r="D6" s="124"/>
      <c r="E6" s="124"/>
      <c r="F6" s="124"/>
      <c r="G6" s="124"/>
      <c r="H6" s="124"/>
      <c r="I6" s="124"/>
      <c r="J6" s="125"/>
    </row>
    <row r="7" spans="1:10" ht="15.75" x14ac:dyDescent="0.25">
      <c r="A7" s="109" t="s">
        <v>386</v>
      </c>
      <c r="B7" s="110"/>
      <c r="C7" s="110"/>
      <c r="D7" s="110"/>
      <c r="E7" s="110"/>
      <c r="F7" s="110"/>
      <c r="G7" s="110"/>
      <c r="H7" s="110"/>
      <c r="I7" s="110"/>
      <c r="J7" s="111"/>
    </row>
    <row r="8" spans="1:10" ht="15.75" x14ac:dyDescent="0.25">
      <c r="A8" s="7"/>
      <c r="B8" s="8"/>
      <c r="C8" s="8" t="s">
        <v>6</v>
      </c>
      <c r="D8" s="8"/>
      <c r="E8" s="8"/>
      <c r="F8" s="80"/>
      <c r="G8" s="8"/>
      <c r="H8" s="8"/>
      <c r="I8" s="8"/>
      <c r="J8" s="9"/>
    </row>
    <row r="9" spans="1:10" ht="15.75" x14ac:dyDescent="0.25">
      <c r="A9" s="10"/>
      <c r="B9" s="11"/>
      <c r="C9" s="11"/>
      <c r="D9" s="11"/>
      <c r="E9" s="12" t="s">
        <v>7</v>
      </c>
      <c r="F9" s="81"/>
      <c r="G9" s="14"/>
      <c r="H9" s="14"/>
      <c r="I9" s="14"/>
      <c r="J9" s="15"/>
    </row>
    <row r="10" spans="1:10" ht="15.75" x14ac:dyDescent="0.25">
      <c r="A10" s="10"/>
      <c r="B10" s="11"/>
      <c r="C10" s="11"/>
      <c r="D10" s="11"/>
      <c r="E10" s="16" t="s">
        <v>8</v>
      </c>
      <c r="F10" s="81"/>
      <c r="G10" s="17"/>
      <c r="H10" s="18" t="s">
        <v>9</v>
      </c>
      <c r="I10" s="17"/>
      <c r="J10" s="15"/>
    </row>
    <row r="11" spans="1:10" ht="15.75" x14ac:dyDescent="0.25">
      <c r="A11" s="10"/>
      <c r="B11" s="11"/>
      <c r="C11" s="11"/>
      <c r="D11" s="11"/>
      <c r="E11" s="16" t="s">
        <v>10</v>
      </c>
      <c r="F11" s="81"/>
      <c r="G11" s="17"/>
      <c r="H11" s="19"/>
      <c r="I11" s="20"/>
      <c r="J11" s="15"/>
    </row>
    <row r="12" spans="1:10" ht="15.75" x14ac:dyDescent="0.25">
      <c r="A12" s="10"/>
      <c r="B12" s="11"/>
      <c r="C12" s="11"/>
      <c r="D12" s="11"/>
      <c r="E12" s="16" t="s">
        <v>11</v>
      </c>
      <c r="F12" s="81"/>
      <c r="G12" s="21">
        <v>0</v>
      </c>
      <c r="H12" s="22"/>
      <c r="I12" s="20"/>
      <c r="J12" s="15"/>
    </row>
    <row r="13" spans="1:10" ht="15.75" x14ac:dyDescent="0.25">
      <c r="A13" s="10"/>
      <c r="B13" s="11"/>
      <c r="C13" s="11"/>
      <c r="D13" s="11"/>
      <c r="E13" s="23" t="s">
        <v>12</v>
      </c>
      <c r="F13" s="81"/>
      <c r="G13" s="20"/>
      <c r="H13" s="20"/>
      <c r="I13" s="20"/>
      <c r="J13" s="15"/>
    </row>
    <row r="14" spans="1:10" ht="15.75" x14ac:dyDescent="0.25">
      <c r="A14" s="10"/>
      <c r="B14" s="11"/>
      <c r="C14" s="11"/>
      <c r="D14" s="11"/>
      <c r="E14" s="16" t="s">
        <v>8</v>
      </c>
      <c r="F14" s="81"/>
      <c r="G14" s="17">
        <v>0</v>
      </c>
      <c r="H14" s="18" t="s">
        <v>9</v>
      </c>
      <c r="I14" s="21">
        <f>+'ABRIL '!I14+'mayo 2025'!I14+'junioo '!I14</f>
        <v>1815218.74</v>
      </c>
      <c r="J14" s="24"/>
    </row>
    <row r="15" spans="1:10" ht="15.75" x14ac:dyDescent="0.25">
      <c r="A15" s="10"/>
      <c r="B15" s="11"/>
      <c r="C15" s="11"/>
      <c r="D15" s="11"/>
      <c r="E15" s="16" t="s">
        <v>10</v>
      </c>
      <c r="F15" s="81"/>
      <c r="G15" s="21">
        <f>+'ABRIL '!G15+'mayo 2025'!G15+'junioo '!G15</f>
        <v>301412891.24000001</v>
      </c>
      <c r="H15" s="22" t="s">
        <v>13</v>
      </c>
      <c r="I15" s="17">
        <v>0</v>
      </c>
      <c r="J15" s="24"/>
    </row>
    <row r="16" spans="1:10" ht="15.75" x14ac:dyDescent="0.25">
      <c r="A16" s="10"/>
      <c r="B16" s="11"/>
      <c r="C16" s="11"/>
      <c r="D16" s="11"/>
      <c r="E16" s="16" t="s">
        <v>11</v>
      </c>
      <c r="F16" s="81"/>
      <c r="G16" s="21">
        <f>+'ABRIL '!G16+'mayo 2025'!G16+'junioo '!G16</f>
        <v>18042285.340000004</v>
      </c>
      <c r="H16" s="22"/>
      <c r="I16" s="20"/>
      <c r="J16" s="15"/>
    </row>
    <row r="17" spans="1:10" ht="15.75" x14ac:dyDescent="0.25">
      <c r="A17" s="10"/>
      <c r="B17" s="11"/>
      <c r="C17" s="11"/>
      <c r="D17" s="11"/>
      <c r="E17" s="16"/>
      <c r="F17" s="81"/>
      <c r="G17" s="25"/>
      <c r="H17" s="26" t="s">
        <v>14</v>
      </c>
      <c r="I17" s="17">
        <f>+G10+G11+G12+I10+G14+G15+G16+I14+I15</f>
        <v>321270395.32000005</v>
      </c>
      <c r="J17" s="15"/>
    </row>
    <row r="18" spans="1:10" ht="15.75" x14ac:dyDescent="0.25">
      <c r="A18" s="10"/>
      <c r="B18" s="11"/>
      <c r="C18" s="11"/>
      <c r="D18" s="11"/>
      <c r="E18" s="27"/>
      <c r="F18" s="82"/>
      <c r="G18" s="28"/>
      <c r="H18" s="28"/>
      <c r="I18" s="13"/>
      <c r="J18" s="15"/>
    </row>
    <row r="19" spans="1:10" ht="15.75" x14ac:dyDescent="0.25">
      <c r="A19" s="29"/>
      <c r="B19" s="30"/>
      <c r="C19" s="31"/>
      <c r="D19" s="30"/>
      <c r="E19" s="32"/>
      <c r="F19" s="83"/>
      <c r="G19" s="33"/>
      <c r="H19" s="33"/>
      <c r="I19" s="34"/>
      <c r="J19" s="35"/>
    </row>
    <row r="20" spans="1:10" x14ac:dyDescent="0.25">
      <c r="A20" s="36"/>
      <c r="B20" s="13"/>
      <c r="C20" s="13"/>
      <c r="D20" s="13"/>
      <c r="E20" s="13"/>
      <c r="F20" s="81"/>
      <c r="G20" s="13"/>
      <c r="H20" s="13"/>
      <c r="I20" s="13"/>
      <c r="J20" s="15"/>
    </row>
    <row r="21" spans="1:10" x14ac:dyDescent="0.25">
      <c r="A21" s="100">
        <v>1</v>
      </c>
      <c r="B21" s="100"/>
      <c r="C21" s="100"/>
      <c r="D21" s="100"/>
      <c r="E21" s="100"/>
      <c r="F21" s="84">
        <v>2</v>
      </c>
      <c r="G21" s="101">
        <v>3</v>
      </c>
      <c r="H21" s="102"/>
      <c r="I21" s="37">
        <v>4</v>
      </c>
      <c r="J21" s="37">
        <v>5</v>
      </c>
    </row>
    <row r="22" spans="1:10" ht="29.25" customHeight="1" x14ac:dyDescent="0.25">
      <c r="A22" s="103" t="s">
        <v>15</v>
      </c>
      <c r="B22" s="103"/>
      <c r="C22" s="103"/>
      <c r="D22" s="103"/>
      <c r="E22" s="103"/>
      <c r="F22" s="104" t="s">
        <v>16</v>
      </c>
      <c r="G22" s="107" t="s">
        <v>17</v>
      </c>
      <c r="H22" s="108"/>
      <c r="I22" s="97" t="s">
        <v>18</v>
      </c>
      <c r="J22" s="90" t="s">
        <v>19</v>
      </c>
    </row>
    <row r="23" spans="1:10" x14ac:dyDescent="0.25">
      <c r="A23" s="93" t="s">
        <v>20</v>
      </c>
      <c r="B23" s="93" t="s">
        <v>21</v>
      </c>
      <c r="C23" s="93" t="s">
        <v>22</v>
      </c>
      <c r="D23" s="93" t="s">
        <v>23</v>
      </c>
      <c r="E23" s="93" t="s">
        <v>24</v>
      </c>
      <c r="F23" s="105"/>
      <c r="G23" s="95" t="s">
        <v>25</v>
      </c>
      <c r="H23" s="95" t="s">
        <v>26</v>
      </c>
      <c r="I23" s="98"/>
      <c r="J23" s="91"/>
    </row>
    <row r="24" spans="1:10" x14ac:dyDescent="0.25">
      <c r="A24" s="94"/>
      <c r="B24" s="94"/>
      <c r="C24" s="94"/>
      <c r="D24" s="94"/>
      <c r="E24" s="94"/>
      <c r="F24" s="106"/>
      <c r="G24" s="96"/>
      <c r="H24" s="96"/>
      <c r="I24" s="99"/>
      <c r="J24" s="92"/>
    </row>
    <row r="25" spans="1:10" ht="15.75" thickBot="1" x14ac:dyDescent="0.3">
      <c r="A25" s="38">
        <v>2</v>
      </c>
      <c r="B25" s="39"/>
      <c r="C25" s="39"/>
      <c r="D25" s="39"/>
      <c r="E25" s="39"/>
      <c r="F25" s="85" t="s">
        <v>27</v>
      </c>
      <c r="G25" s="40">
        <f>+'ABRIL '!G25+'mayo 2025'!G25+'junioo '!G25</f>
        <v>277231646.34000003</v>
      </c>
      <c r="H25" s="40">
        <f>+'ABRIL '!H25+'mayo 2025'!H25+'junioo '!H25</f>
        <v>20404006.550000001</v>
      </c>
      <c r="I25" s="40">
        <f>SUM(G25:H25)</f>
        <v>297635652.89000005</v>
      </c>
      <c r="J25" s="41">
        <f>+J26+J87+J212+J330+J336+J463</f>
        <v>0.99999999999999978</v>
      </c>
    </row>
    <row r="26" spans="1:10" ht="15.75" thickTop="1" x14ac:dyDescent="0.25">
      <c r="A26" s="42">
        <v>2</v>
      </c>
      <c r="B26" s="43">
        <v>1</v>
      </c>
      <c r="C26" s="43"/>
      <c r="D26" s="43"/>
      <c r="E26" s="43"/>
      <c r="F26" s="86" t="s">
        <v>28</v>
      </c>
      <c r="G26" s="44">
        <f>+'ABRIL '!G26+'mayo 2025'!G26+'junioo '!G26</f>
        <v>199770321.81</v>
      </c>
      <c r="H26" s="44">
        <f>+'ABRIL '!H26+'mayo 2025'!H26+'junioo '!H26</f>
        <v>0</v>
      </c>
      <c r="I26" s="44">
        <f t="shared" ref="I26:I88" si="0">SUM(G26:H26)</f>
        <v>199770321.81</v>
      </c>
      <c r="J26" s="45">
        <f>I26/$I$25</f>
        <v>0.67119083305463734</v>
      </c>
    </row>
    <row r="27" spans="1:10" x14ac:dyDescent="0.25">
      <c r="A27" s="46">
        <v>2</v>
      </c>
      <c r="B27" s="47">
        <v>1</v>
      </c>
      <c r="C27" s="47">
        <v>1</v>
      </c>
      <c r="D27" s="47"/>
      <c r="E27" s="47"/>
      <c r="F27" s="70" t="s">
        <v>29</v>
      </c>
      <c r="G27" s="48">
        <f>+'ABRIL '!G27+'mayo 2025'!G27+'junioo '!G27</f>
        <v>164084780.69</v>
      </c>
      <c r="H27" s="48">
        <f>+'ABRIL '!H27+'mayo 2025'!H27+'junioo '!H27</f>
        <v>0</v>
      </c>
      <c r="I27" s="48">
        <f t="shared" si="0"/>
        <v>164084780.69</v>
      </c>
      <c r="J27" s="45">
        <f>I27/$I$25</f>
        <v>0.5512941043747952</v>
      </c>
    </row>
    <row r="28" spans="1:10" x14ac:dyDescent="0.25">
      <c r="A28" s="49">
        <v>2</v>
      </c>
      <c r="B28" s="50">
        <v>1</v>
      </c>
      <c r="C28" s="50">
        <v>1</v>
      </c>
      <c r="D28" s="50">
        <v>1</v>
      </c>
      <c r="E28" s="50"/>
      <c r="F28" s="69" t="s">
        <v>30</v>
      </c>
      <c r="G28" s="51">
        <f>+'ABRIL '!G28+'mayo 2025'!G28+'junioo '!G28</f>
        <v>160072974.00999999</v>
      </c>
      <c r="H28" s="51">
        <f>+'ABRIL '!H28+'mayo 2025'!H28+'junioo '!H28</f>
        <v>0</v>
      </c>
      <c r="I28" s="51">
        <f t="shared" si="0"/>
        <v>160072974.00999999</v>
      </c>
      <c r="J28" s="52">
        <f>I28/$I$25</f>
        <v>0.53781518596886524</v>
      </c>
    </row>
    <row r="29" spans="1:10" x14ac:dyDescent="0.25">
      <c r="A29" s="53">
        <v>2</v>
      </c>
      <c r="B29" s="54">
        <v>1</v>
      </c>
      <c r="C29" s="54">
        <v>1</v>
      </c>
      <c r="D29" s="54">
        <v>1</v>
      </c>
      <c r="E29" s="55" t="s">
        <v>31</v>
      </c>
      <c r="F29" s="68" t="s">
        <v>32</v>
      </c>
      <c r="G29" s="56">
        <f>+'ABRIL '!G29+'mayo 2025'!G29+'junioo '!G29</f>
        <v>160072974.00999999</v>
      </c>
      <c r="H29" s="56">
        <f>+'ABRIL '!H29+'mayo 2025'!H29+'junioo '!H29</f>
        <v>0</v>
      </c>
      <c r="I29" s="56">
        <f t="shared" si="0"/>
        <v>160072974.00999999</v>
      </c>
      <c r="J29" s="57">
        <f t="shared" ref="J29:J34" si="1">I29/$I$25</f>
        <v>0.53781518596886524</v>
      </c>
    </row>
    <row r="30" spans="1:10" x14ac:dyDescent="0.25">
      <c r="A30" s="53">
        <v>2</v>
      </c>
      <c r="B30" s="54">
        <v>1</v>
      </c>
      <c r="C30" s="54">
        <v>1</v>
      </c>
      <c r="D30" s="54">
        <v>1</v>
      </c>
      <c r="E30" s="55" t="s">
        <v>33</v>
      </c>
      <c r="F30" s="59" t="s">
        <v>34</v>
      </c>
      <c r="G30" s="56">
        <f>+'ABRIL '!G30+'mayo 2025'!G30+'junioo '!G30</f>
        <v>0</v>
      </c>
      <c r="H30" s="56">
        <f>+'ABRIL '!H30+'mayo 2025'!H30+'junioo '!H30</f>
        <v>0</v>
      </c>
      <c r="I30" s="56">
        <f t="shared" si="0"/>
        <v>0</v>
      </c>
      <c r="J30" s="57">
        <f>I30/$I$25</f>
        <v>0</v>
      </c>
    </row>
    <row r="31" spans="1:10" x14ac:dyDescent="0.25">
      <c r="A31" s="53">
        <v>2</v>
      </c>
      <c r="B31" s="54">
        <v>1</v>
      </c>
      <c r="C31" s="54">
        <v>1</v>
      </c>
      <c r="D31" s="54">
        <v>1</v>
      </c>
      <c r="E31" s="55" t="s">
        <v>35</v>
      </c>
      <c r="F31" s="59" t="s">
        <v>36</v>
      </c>
      <c r="G31" s="56">
        <f>+'ABRIL '!G31+'mayo 2025'!G31+'junioo '!G31</f>
        <v>0</v>
      </c>
      <c r="H31" s="56">
        <f>+'ABRIL '!H31+'mayo 2025'!H31+'junioo '!H31</f>
        <v>0</v>
      </c>
      <c r="I31" s="56">
        <f t="shared" si="0"/>
        <v>0</v>
      </c>
      <c r="J31" s="57">
        <f t="shared" si="1"/>
        <v>0</v>
      </c>
    </row>
    <row r="32" spans="1:10" x14ac:dyDescent="0.25">
      <c r="A32" s="53">
        <v>2</v>
      </c>
      <c r="B32" s="54">
        <v>1</v>
      </c>
      <c r="C32" s="54">
        <v>1</v>
      </c>
      <c r="D32" s="54">
        <v>1</v>
      </c>
      <c r="E32" s="55" t="s">
        <v>37</v>
      </c>
      <c r="F32" s="59" t="s">
        <v>38</v>
      </c>
      <c r="G32" s="56">
        <f>+'ABRIL '!G32+'mayo 2025'!G32+'junioo '!G32</f>
        <v>0</v>
      </c>
      <c r="H32" s="56">
        <f>+'ABRIL '!H32+'mayo 2025'!H32+'junioo '!H32</f>
        <v>0</v>
      </c>
      <c r="I32" s="56">
        <f t="shared" si="0"/>
        <v>0</v>
      </c>
      <c r="J32" s="57">
        <f t="shared" si="1"/>
        <v>0</v>
      </c>
    </row>
    <row r="33" spans="1:10" x14ac:dyDescent="0.25">
      <c r="A33" s="53">
        <v>2</v>
      </c>
      <c r="B33" s="54">
        <v>1</v>
      </c>
      <c r="C33" s="54">
        <v>1</v>
      </c>
      <c r="D33" s="54">
        <v>1</v>
      </c>
      <c r="E33" s="55" t="s">
        <v>39</v>
      </c>
      <c r="F33" s="59" t="s">
        <v>40</v>
      </c>
      <c r="G33" s="56">
        <f>+'ABRIL '!G33+'mayo 2025'!G33+'junioo '!G33</f>
        <v>0</v>
      </c>
      <c r="H33" s="56">
        <f>+'ABRIL '!H33+'mayo 2025'!H33+'junioo '!H33</f>
        <v>0</v>
      </c>
      <c r="I33" s="56">
        <f t="shared" si="0"/>
        <v>0</v>
      </c>
      <c r="J33" s="57">
        <f t="shared" si="1"/>
        <v>0</v>
      </c>
    </row>
    <row r="34" spans="1:10" x14ac:dyDescent="0.25">
      <c r="A34" s="53">
        <v>2</v>
      </c>
      <c r="B34" s="54">
        <v>1</v>
      </c>
      <c r="C34" s="54">
        <v>1</v>
      </c>
      <c r="D34" s="54">
        <v>1</v>
      </c>
      <c r="E34" s="55" t="s">
        <v>41</v>
      </c>
      <c r="F34" s="59" t="s">
        <v>42</v>
      </c>
      <c r="G34" s="56">
        <f>+'ABRIL '!G34+'mayo 2025'!G34+'junioo '!G34</f>
        <v>0</v>
      </c>
      <c r="H34" s="56">
        <f>+'ABRIL '!H34+'mayo 2025'!H34+'junioo '!H34</f>
        <v>0</v>
      </c>
      <c r="I34" s="56">
        <f t="shared" si="0"/>
        <v>0</v>
      </c>
      <c r="J34" s="57">
        <f t="shared" si="1"/>
        <v>0</v>
      </c>
    </row>
    <row r="35" spans="1:10" ht="25.5" x14ac:dyDescent="0.25">
      <c r="A35" s="49">
        <v>2</v>
      </c>
      <c r="B35" s="50">
        <v>1</v>
      </c>
      <c r="C35" s="50">
        <v>1</v>
      </c>
      <c r="D35" s="50">
        <v>2</v>
      </c>
      <c r="E35" s="50"/>
      <c r="F35" s="73" t="s">
        <v>43</v>
      </c>
      <c r="G35" s="51">
        <f>+'ABRIL '!G35+'mayo 2025'!G35+'junioo '!G35</f>
        <v>3368593.09</v>
      </c>
      <c r="H35" s="51">
        <f>+'ABRIL '!H35+'mayo 2025'!H35+'junioo '!H35</f>
        <v>0</v>
      </c>
      <c r="I35" s="51">
        <f t="shared" si="0"/>
        <v>3368593.09</v>
      </c>
      <c r="J35" s="58"/>
    </row>
    <row r="36" spans="1:10" x14ac:dyDescent="0.25">
      <c r="A36" s="53">
        <v>2</v>
      </c>
      <c r="B36" s="54">
        <v>1</v>
      </c>
      <c r="C36" s="54">
        <v>1</v>
      </c>
      <c r="D36" s="54">
        <v>2</v>
      </c>
      <c r="E36" s="55" t="s">
        <v>35</v>
      </c>
      <c r="F36" s="59" t="s">
        <v>44</v>
      </c>
      <c r="G36" s="56">
        <f>+'ABRIL '!G36+'mayo 2025'!G36+'junioo '!G36</f>
        <v>0</v>
      </c>
      <c r="H36" s="56">
        <f>+'ABRIL '!H36+'mayo 2025'!H36+'junioo '!H36</f>
        <v>0</v>
      </c>
      <c r="I36" s="56">
        <f t="shared" si="0"/>
        <v>0</v>
      </c>
      <c r="J36" s="57">
        <f t="shared" ref="J36:J41" si="2">I36/$I$25</f>
        <v>0</v>
      </c>
    </row>
    <row r="37" spans="1:10" ht="25.5" x14ac:dyDescent="0.25">
      <c r="A37" s="53">
        <v>2</v>
      </c>
      <c r="B37" s="54">
        <v>1</v>
      </c>
      <c r="C37" s="54">
        <v>1</v>
      </c>
      <c r="D37" s="54">
        <v>2</v>
      </c>
      <c r="E37" s="55" t="s">
        <v>39</v>
      </c>
      <c r="F37" s="59" t="s">
        <v>45</v>
      </c>
      <c r="G37" s="56">
        <f>+'ABRIL '!G37+'mayo 2025'!G37+'junioo '!G37</f>
        <v>0</v>
      </c>
      <c r="H37" s="56">
        <f>+'ABRIL '!H37+'mayo 2025'!H37+'junioo '!H37</f>
        <v>0</v>
      </c>
      <c r="I37" s="56">
        <f t="shared" si="0"/>
        <v>0</v>
      </c>
      <c r="J37" s="57">
        <f t="shared" si="2"/>
        <v>0</v>
      </c>
    </row>
    <row r="38" spans="1:10" x14ac:dyDescent="0.25">
      <c r="A38" s="53">
        <v>2</v>
      </c>
      <c r="B38" s="54">
        <v>1</v>
      </c>
      <c r="C38" s="54">
        <v>1</v>
      </c>
      <c r="D38" s="54">
        <v>2</v>
      </c>
      <c r="E38" s="55" t="s">
        <v>41</v>
      </c>
      <c r="F38" s="59" t="s">
        <v>46</v>
      </c>
      <c r="G38" s="56">
        <f>+'ABRIL '!G38+'mayo 2025'!G38+'junioo '!G38</f>
        <v>0</v>
      </c>
      <c r="H38" s="56">
        <f>+'ABRIL '!H38+'mayo 2025'!H38+'junioo '!H38</f>
        <v>0</v>
      </c>
      <c r="I38" s="56">
        <f t="shared" si="0"/>
        <v>0</v>
      </c>
      <c r="J38" s="57">
        <f t="shared" si="2"/>
        <v>0</v>
      </c>
    </row>
    <row r="39" spans="1:10" x14ac:dyDescent="0.25">
      <c r="A39" s="53">
        <v>2</v>
      </c>
      <c r="B39" s="54">
        <v>1</v>
      </c>
      <c r="C39" s="54">
        <v>1</v>
      </c>
      <c r="D39" s="54">
        <v>2</v>
      </c>
      <c r="E39" s="55" t="s">
        <v>47</v>
      </c>
      <c r="F39" s="59" t="s">
        <v>48</v>
      </c>
      <c r="G39" s="56">
        <f>+'ABRIL '!G39+'mayo 2025'!G39+'junioo '!G39</f>
        <v>3368593.09</v>
      </c>
      <c r="H39" s="56">
        <f>+'ABRIL '!H39+'mayo 2025'!H39+'junioo '!H39</f>
        <v>0</v>
      </c>
      <c r="I39" s="56">
        <f t="shared" si="0"/>
        <v>3368593.09</v>
      </c>
      <c r="J39" s="57">
        <f t="shared" si="2"/>
        <v>1.1317841318039146E-2</v>
      </c>
    </row>
    <row r="40" spans="1:10" x14ac:dyDescent="0.25">
      <c r="A40" s="53">
        <v>2</v>
      </c>
      <c r="B40" s="54">
        <v>1</v>
      </c>
      <c r="C40" s="54">
        <v>1</v>
      </c>
      <c r="D40" s="54">
        <v>2</v>
      </c>
      <c r="E40" s="55" t="s">
        <v>49</v>
      </c>
      <c r="F40" s="59" t="s">
        <v>50</v>
      </c>
      <c r="G40" s="56">
        <f>+'ABRIL '!G40+'mayo 2025'!G40+'junioo '!G40</f>
        <v>0</v>
      </c>
      <c r="H40" s="56">
        <f>+'ABRIL '!H40+'mayo 2025'!H40+'junioo '!H40</f>
        <v>0</v>
      </c>
      <c r="I40" s="56">
        <f t="shared" si="0"/>
        <v>0</v>
      </c>
      <c r="J40" s="57">
        <f t="shared" si="2"/>
        <v>0</v>
      </c>
    </row>
    <row r="41" spans="1:10" x14ac:dyDescent="0.25">
      <c r="A41" s="53">
        <v>2</v>
      </c>
      <c r="B41" s="54">
        <v>1</v>
      </c>
      <c r="C41" s="54">
        <v>1</v>
      </c>
      <c r="D41" s="54">
        <v>2</v>
      </c>
      <c r="E41" s="55" t="s">
        <v>51</v>
      </c>
      <c r="F41" s="59" t="s">
        <v>52</v>
      </c>
      <c r="G41" s="56">
        <f>+'ABRIL '!G41+'mayo 2025'!G41+'junioo '!G41</f>
        <v>0</v>
      </c>
      <c r="H41" s="56">
        <f>+'ABRIL '!H41+'mayo 2025'!H41+'junioo '!H41</f>
        <v>0</v>
      </c>
      <c r="I41" s="56">
        <f t="shared" si="0"/>
        <v>0</v>
      </c>
      <c r="J41" s="57">
        <f t="shared" si="2"/>
        <v>0</v>
      </c>
    </row>
    <row r="42" spans="1:10" ht="25.5" x14ac:dyDescent="0.25">
      <c r="A42" s="49">
        <v>2</v>
      </c>
      <c r="B42" s="50">
        <v>1</v>
      </c>
      <c r="C42" s="50">
        <v>1</v>
      </c>
      <c r="D42" s="50">
        <v>3</v>
      </c>
      <c r="E42" s="50"/>
      <c r="F42" s="73" t="s">
        <v>53</v>
      </c>
      <c r="G42" s="51">
        <f>+'ABRIL '!G42+'mayo 2025'!G42+'junioo '!G42</f>
        <v>0</v>
      </c>
      <c r="H42" s="51">
        <f>+'ABRIL '!H42+'mayo 2025'!H42+'junioo '!H42</f>
        <v>0</v>
      </c>
      <c r="I42" s="51">
        <f t="shared" si="0"/>
        <v>0</v>
      </c>
      <c r="J42" s="58"/>
    </row>
    <row r="43" spans="1:10" ht="25.5" x14ac:dyDescent="0.25">
      <c r="A43" s="53">
        <v>2</v>
      </c>
      <c r="B43" s="54">
        <v>1</v>
      </c>
      <c r="C43" s="54">
        <v>1</v>
      </c>
      <c r="D43" s="54">
        <v>3</v>
      </c>
      <c r="E43" s="55" t="s">
        <v>31</v>
      </c>
      <c r="F43" s="59" t="s">
        <v>53</v>
      </c>
      <c r="G43" s="56">
        <f>+'ABRIL '!G43+'mayo 2025'!G43+'junioo '!G43</f>
        <v>0</v>
      </c>
      <c r="H43" s="56">
        <f>+'ABRIL '!H43+'mayo 2025'!H43+'junioo '!H43</f>
        <v>0</v>
      </c>
      <c r="I43" s="56">
        <f t="shared" si="0"/>
        <v>0</v>
      </c>
      <c r="J43" s="57">
        <f>I43/$I$25</f>
        <v>0</v>
      </c>
    </row>
    <row r="44" spans="1:10" x14ac:dyDescent="0.25">
      <c r="A44" s="49">
        <v>2</v>
      </c>
      <c r="B44" s="50">
        <v>1</v>
      </c>
      <c r="C44" s="50">
        <v>1</v>
      </c>
      <c r="D44" s="50">
        <v>4</v>
      </c>
      <c r="E44" s="50"/>
      <c r="F44" s="73" t="s">
        <v>54</v>
      </c>
      <c r="G44" s="51">
        <f>+'ABRIL '!G44+'mayo 2025'!G44+'junioo '!G44</f>
        <v>0</v>
      </c>
      <c r="H44" s="51">
        <f>+'ABRIL '!H44+'mayo 2025'!H44+'junioo '!H44</f>
        <v>0</v>
      </c>
      <c r="I44" s="51">
        <f t="shared" si="0"/>
        <v>0</v>
      </c>
      <c r="J44" s="58"/>
    </row>
    <row r="45" spans="1:10" x14ac:dyDescent="0.25">
      <c r="A45" s="53">
        <v>2</v>
      </c>
      <c r="B45" s="54">
        <v>1</v>
      </c>
      <c r="C45" s="54">
        <v>1</v>
      </c>
      <c r="D45" s="54">
        <v>4</v>
      </c>
      <c r="E45" s="55" t="s">
        <v>31</v>
      </c>
      <c r="F45" s="59" t="s">
        <v>54</v>
      </c>
      <c r="G45" s="56">
        <f>+'ABRIL '!G45+'mayo 2025'!G45+'junioo '!G45</f>
        <v>0</v>
      </c>
      <c r="H45" s="56">
        <f>+'ABRIL '!H45+'mayo 2025'!H45+'junioo '!H45</f>
        <v>0</v>
      </c>
      <c r="I45" s="56">
        <f t="shared" si="0"/>
        <v>0</v>
      </c>
      <c r="J45" s="57">
        <f>I45/$I$25</f>
        <v>0</v>
      </c>
    </row>
    <row r="46" spans="1:10" x14ac:dyDescent="0.25">
      <c r="A46" s="49">
        <v>2</v>
      </c>
      <c r="B46" s="50">
        <v>1</v>
      </c>
      <c r="C46" s="50">
        <v>1</v>
      </c>
      <c r="D46" s="50">
        <v>5</v>
      </c>
      <c r="E46" s="50"/>
      <c r="F46" s="73" t="s">
        <v>55</v>
      </c>
      <c r="G46" s="51">
        <f>+'ABRIL '!G46+'mayo 2025'!G46+'junioo '!G46</f>
        <v>643213.59000000008</v>
      </c>
      <c r="H46" s="51">
        <f>+'ABRIL '!H46+'mayo 2025'!H46+'junioo '!H46</f>
        <v>0</v>
      </c>
      <c r="I46" s="51">
        <f t="shared" si="0"/>
        <v>643213.59000000008</v>
      </c>
      <c r="J46" s="58"/>
    </row>
    <row r="47" spans="1:10" x14ac:dyDescent="0.25">
      <c r="A47" s="53">
        <v>2</v>
      </c>
      <c r="B47" s="54">
        <v>1</v>
      </c>
      <c r="C47" s="54">
        <v>1</v>
      </c>
      <c r="D47" s="54">
        <v>5</v>
      </c>
      <c r="E47" s="55" t="s">
        <v>31</v>
      </c>
      <c r="F47" s="59" t="s">
        <v>55</v>
      </c>
      <c r="G47" s="56">
        <f>+'ABRIL '!G47+'mayo 2025'!G47+'junioo '!G47</f>
        <v>0</v>
      </c>
      <c r="H47" s="56">
        <f>+'ABRIL '!H47+'mayo 2025'!H47+'junioo '!H47</f>
        <v>0</v>
      </c>
      <c r="I47" s="56">
        <f t="shared" si="0"/>
        <v>0</v>
      </c>
      <c r="J47" s="57">
        <f>I47/$I$25</f>
        <v>0</v>
      </c>
    </row>
    <row r="48" spans="1:10" ht="25.5" x14ac:dyDescent="0.25">
      <c r="A48" s="53">
        <v>2</v>
      </c>
      <c r="B48" s="54">
        <v>1</v>
      </c>
      <c r="C48" s="54">
        <v>1</v>
      </c>
      <c r="D48" s="54">
        <v>5</v>
      </c>
      <c r="E48" s="55" t="s">
        <v>33</v>
      </c>
      <c r="F48" s="59" t="s">
        <v>56</v>
      </c>
      <c r="G48" s="56">
        <f>+'ABRIL '!G48+'mayo 2025'!G48+'junioo '!G48</f>
        <v>0</v>
      </c>
      <c r="H48" s="56">
        <f>+'ABRIL '!H48+'mayo 2025'!H48+'junioo '!H48</f>
        <v>0</v>
      </c>
      <c r="I48" s="56">
        <f t="shared" si="0"/>
        <v>0</v>
      </c>
      <c r="J48" s="57">
        <f>I48/$I$25</f>
        <v>0</v>
      </c>
    </row>
    <row r="49" spans="1:10" x14ac:dyDescent="0.25">
      <c r="A49" s="53">
        <v>2</v>
      </c>
      <c r="B49" s="54">
        <v>1</v>
      </c>
      <c r="C49" s="54">
        <v>1</v>
      </c>
      <c r="D49" s="54">
        <v>5</v>
      </c>
      <c r="E49" s="55" t="s">
        <v>35</v>
      </c>
      <c r="F49" s="59" t="s">
        <v>57</v>
      </c>
      <c r="G49" s="56">
        <f>+'ABRIL '!G49+'mayo 2025'!G49+'junioo '!G49</f>
        <v>304133.32999999996</v>
      </c>
      <c r="H49" s="56">
        <f>+'ABRIL '!H49+'mayo 2025'!H49+'junioo '!H49</f>
        <v>0</v>
      </c>
      <c r="I49" s="56">
        <f t="shared" si="0"/>
        <v>304133.32999999996</v>
      </c>
      <c r="J49" s="57">
        <f>I49/$I$25</f>
        <v>1.021830977058388E-3</v>
      </c>
    </row>
    <row r="50" spans="1:10" x14ac:dyDescent="0.25">
      <c r="A50" s="53">
        <v>2</v>
      </c>
      <c r="B50" s="54">
        <v>1</v>
      </c>
      <c r="C50" s="54">
        <v>1</v>
      </c>
      <c r="D50" s="54">
        <v>5</v>
      </c>
      <c r="E50" s="55" t="s">
        <v>37</v>
      </c>
      <c r="F50" s="59" t="s">
        <v>58</v>
      </c>
      <c r="G50" s="56">
        <f>+'ABRIL '!G50+'mayo 2025'!G50+'junioo '!G50</f>
        <v>339080.26</v>
      </c>
      <c r="H50" s="56">
        <f>+'ABRIL '!H50+'mayo 2025'!H50+'junioo '!H50</f>
        <v>0</v>
      </c>
      <c r="I50" s="56">
        <f t="shared" si="0"/>
        <v>339080.26</v>
      </c>
      <c r="J50" s="57">
        <f>I50/$I$25</f>
        <v>1.1392461108324177E-3</v>
      </c>
    </row>
    <row r="51" spans="1:10" x14ac:dyDescent="0.25">
      <c r="A51" s="46">
        <v>2</v>
      </c>
      <c r="B51" s="47">
        <v>1</v>
      </c>
      <c r="C51" s="47">
        <v>2</v>
      </c>
      <c r="D51" s="47"/>
      <c r="E51" s="47"/>
      <c r="F51" s="72" t="s">
        <v>59</v>
      </c>
      <c r="G51" s="48">
        <f>+'ABRIL '!G51+'mayo 2025'!G51+'junioo '!G51</f>
        <v>10535798.950000001</v>
      </c>
      <c r="H51" s="48">
        <f>+'ABRIL '!H51+'mayo 2025'!H51+'junioo '!H51</f>
        <v>0</v>
      </c>
      <c r="I51" s="48">
        <f t="shared" si="0"/>
        <v>10535798.950000001</v>
      </c>
      <c r="J51" s="45"/>
    </row>
    <row r="52" spans="1:10" x14ac:dyDescent="0.25">
      <c r="A52" s="49">
        <v>2</v>
      </c>
      <c r="B52" s="50">
        <v>1</v>
      </c>
      <c r="C52" s="50">
        <v>2</v>
      </c>
      <c r="D52" s="50">
        <v>1</v>
      </c>
      <c r="E52" s="50"/>
      <c r="F52" s="73" t="s">
        <v>60</v>
      </c>
      <c r="G52" s="51">
        <f>+'ABRIL '!G52+'mayo 2025'!G52+'junioo '!G52</f>
        <v>8170208.96</v>
      </c>
      <c r="H52" s="51">
        <f>+'ABRIL '!H52+'mayo 2025'!H52+'junioo '!H52</f>
        <v>0</v>
      </c>
      <c r="I52" s="51">
        <f t="shared" si="0"/>
        <v>8170208.96</v>
      </c>
      <c r="J52" s="58"/>
    </row>
    <row r="53" spans="1:10" x14ac:dyDescent="0.25">
      <c r="A53" s="53">
        <v>2</v>
      </c>
      <c r="B53" s="54">
        <v>1</v>
      </c>
      <c r="C53" s="54">
        <v>2</v>
      </c>
      <c r="D53" s="54">
        <v>1</v>
      </c>
      <c r="E53" s="55" t="s">
        <v>31</v>
      </c>
      <c r="F53" s="59" t="s">
        <v>60</v>
      </c>
      <c r="G53" s="56">
        <f>+'ABRIL '!G53+'mayo 2025'!G53+'junioo '!G53</f>
        <v>8170208.96</v>
      </c>
      <c r="H53" s="56">
        <f>+'ABRIL '!H53+'mayo 2025'!H53+'junioo '!H53</f>
        <v>0</v>
      </c>
      <c r="I53" s="56">
        <f t="shared" si="0"/>
        <v>8170208.96</v>
      </c>
      <c r="J53" s="57">
        <f>I53/$I$25</f>
        <v>2.7450370547575292E-2</v>
      </c>
    </row>
    <row r="54" spans="1:10" x14ac:dyDescent="0.25">
      <c r="A54" s="49">
        <v>2</v>
      </c>
      <c r="B54" s="50">
        <v>1</v>
      </c>
      <c r="C54" s="50">
        <v>2</v>
      </c>
      <c r="D54" s="50">
        <v>2</v>
      </c>
      <c r="E54" s="50"/>
      <c r="F54" s="73" t="s">
        <v>61</v>
      </c>
      <c r="G54" s="51">
        <f>+'ABRIL '!G54+'mayo 2025'!G54+'junioo '!G54</f>
        <v>2365589.9900000002</v>
      </c>
      <c r="H54" s="51">
        <f>+'ABRIL '!H54+'mayo 2025'!H54+'junioo '!H54</f>
        <v>0</v>
      </c>
      <c r="I54" s="51">
        <f t="shared" si="0"/>
        <v>2365589.9900000002</v>
      </c>
      <c r="J54" s="58"/>
    </row>
    <row r="55" spans="1:10" x14ac:dyDescent="0.25">
      <c r="A55" s="53">
        <v>2</v>
      </c>
      <c r="B55" s="54">
        <v>1</v>
      </c>
      <c r="C55" s="54">
        <v>2</v>
      </c>
      <c r="D55" s="54">
        <v>2</v>
      </c>
      <c r="E55" s="55" t="s">
        <v>31</v>
      </c>
      <c r="F55" s="59" t="s">
        <v>62</v>
      </c>
      <c r="G55" s="56">
        <f>+'ABRIL '!G55+'mayo 2025'!G55+'junioo '!G55</f>
        <v>0</v>
      </c>
      <c r="H55" s="56">
        <f>+'ABRIL '!H55+'mayo 2025'!H55+'junioo '!H55</f>
        <v>0</v>
      </c>
      <c r="I55" s="56">
        <f t="shared" si="0"/>
        <v>0</v>
      </c>
      <c r="J55" s="57">
        <f t="shared" ref="J55:J63" si="3">I55/$I$25</f>
        <v>0</v>
      </c>
    </row>
    <row r="56" spans="1:10" x14ac:dyDescent="0.25">
      <c r="A56" s="53">
        <v>2</v>
      </c>
      <c r="B56" s="54">
        <v>1</v>
      </c>
      <c r="C56" s="54">
        <v>2</v>
      </c>
      <c r="D56" s="54">
        <v>2</v>
      </c>
      <c r="E56" s="55" t="s">
        <v>35</v>
      </c>
      <c r="F56" s="59" t="s">
        <v>63</v>
      </c>
      <c r="G56" s="56">
        <f>+'ABRIL '!G56+'mayo 2025'!G56+'junioo '!G56</f>
        <v>0</v>
      </c>
      <c r="H56" s="56">
        <f>+'ABRIL '!H56+'mayo 2025'!H56+'junioo '!H56</f>
        <v>0</v>
      </c>
      <c r="I56" s="56">
        <f t="shared" si="0"/>
        <v>0</v>
      </c>
      <c r="J56" s="57">
        <f t="shared" si="3"/>
        <v>0</v>
      </c>
    </row>
    <row r="57" spans="1:10" x14ac:dyDescent="0.25">
      <c r="A57" s="53">
        <v>2</v>
      </c>
      <c r="B57" s="54">
        <v>1</v>
      </c>
      <c r="C57" s="54">
        <v>2</v>
      </c>
      <c r="D57" s="54">
        <v>2</v>
      </c>
      <c r="E57" s="55" t="s">
        <v>37</v>
      </c>
      <c r="F57" s="59" t="s">
        <v>64</v>
      </c>
      <c r="G57" s="56">
        <f>+'ABRIL '!G57+'mayo 2025'!G57+'junioo '!G57</f>
        <v>0</v>
      </c>
      <c r="H57" s="56">
        <f>+'ABRIL '!H57+'mayo 2025'!H57+'junioo '!H57</f>
        <v>0</v>
      </c>
      <c r="I57" s="56">
        <f t="shared" si="0"/>
        <v>0</v>
      </c>
      <c r="J57" s="57">
        <f t="shared" si="3"/>
        <v>0</v>
      </c>
    </row>
    <row r="58" spans="1:10" x14ac:dyDescent="0.25">
      <c r="A58" s="53">
        <v>2</v>
      </c>
      <c r="B58" s="54">
        <v>1</v>
      </c>
      <c r="C58" s="54">
        <v>2</v>
      </c>
      <c r="D58" s="54">
        <v>2</v>
      </c>
      <c r="E58" s="55" t="s">
        <v>39</v>
      </c>
      <c r="F58" s="59" t="s">
        <v>65</v>
      </c>
      <c r="G58" s="56">
        <f>+'ABRIL '!G58+'mayo 2025'!G58+'junioo '!G58</f>
        <v>135000</v>
      </c>
      <c r="H58" s="56">
        <f>+'ABRIL '!H58+'mayo 2025'!H58+'junioo '!H58</f>
        <v>0</v>
      </c>
      <c r="I58" s="56">
        <f t="shared" si="0"/>
        <v>135000</v>
      </c>
      <c r="J58" s="57">
        <f t="shared" si="3"/>
        <v>4.5357469338491247E-4</v>
      </c>
    </row>
    <row r="59" spans="1:10" x14ac:dyDescent="0.25">
      <c r="A59" s="53">
        <v>2</v>
      </c>
      <c r="B59" s="54">
        <v>1</v>
      </c>
      <c r="C59" s="54">
        <v>2</v>
      </c>
      <c r="D59" s="54">
        <v>2</v>
      </c>
      <c r="E59" s="55" t="s">
        <v>41</v>
      </c>
      <c r="F59" s="59" t="s">
        <v>66</v>
      </c>
      <c r="G59" s="56">
        <f>+'ABRIL '!G59+'mayo 2025'!G59+'junioo '!G59</f>
        <v>0</v>
      </c>
      <c r="H59" s="56">
        <f>+'ABRIL '!H59+'mayo 2025'!H59+'junioo '!H59</f>
        <v>0</v>
      </c>
      <c r="I59" s="56">
        <f t="shared" si="0"/>
        <v>0</v>
      </c>
      <c r="J59" s="57">
        <f t="shared" si="3"/>
        <v>0</v>
      </c>
    </row>
    <row r="60" spans="1:10" x14ac:dyDescent="0.25">
      <c r="A60" s="53">
        <v>2</v>
      </c>
      <c r="B60" s="54">
        <v>1</v>
      </c>
      <c r="C60" s="54">
        <v>2</v>
      </c>
      <c r="D60" s="54">
        <v>2</v>
      </c>
      <c r="E60" s="55" t="s">
        <v>67</v>
      </c>
      <c r="F60" s="59" t="s">
        <v>68</v>
      </c>
      <c r="G60" s="56">
        <f>+'ABRIL '!G60+'mayo 2025'!G60+'junioo '!G60</f>
        <v>0</v>
      </c>
      <c r="H60" s="56">
        <f>+'ABRIL '!H60+'mayo 2025'!H60+'junioo '!H60</f>
        <v>0</v>
      </c>
      <c r="I60" s="56">
        <f t="shared" si="0"/>
        <v>0</v>
      </c>
      <c r="J60" s="57">
        <f t="shared" si="3"/>
        <v>0</v>
      </c>
    </row>
    <row r="61" spans="1:10" x14ac:dyDescent="0.25">
      <c r="A61" s="53">
        <v>2</v>
      </c>
      <c r="B61" s="54">
        <v>1</v>
      </c>
      <c r="C61" s="54">
        <v>2</v>
      </c>
      <c r="D61" s="54">
        <v>2</v>
      </c>
      <c r="E61" s="55" t="s">
        <v>47</v>
      </c>
      <c r="F61" s="59" t="s">
        <v>69</v>
      </c>
      <c r="G61" s="56">
        <f>+'ABRIL '!G61+'mayo 2025'!G61+'junioo '!G61</f>
        <v>1005000</v>
      </c>
      <c r="H61" s="56">
        <f>+'ABRIL '!H61+'mayo 2025'!H61+'junioo '!H61</f>
        <v>0</v>
      </c>
      <c r="I61" s="56">
        <f t="shared" si="0"/>
        <v>1005000</v>
      </c>
      <c r="J61" s="57">
        <f t="shared" si="3"/>
        <v>3.3766116063099036E-3</v>
      </c>
    </row>
    <row r="62" spans="1:10" x14ac:dyDescent="0.25">
      <c r="A62" s="53">
        <v>2</v>
      </c>
      <c r="B62" s="54">
        <v>1</v>
      </c>
      <c r="C62" s="54">
        <v>2</v>
      </c>
      <c r="D62" s="54">
        <v>2</v>
      </c>
      <c r="E62" s="55" t="s">
        <v>49</v>
      </c>
      <c r="F62" s="59" t="s">
        <v>70</v>
      </c>
      <c r="G62" s="56">
        <f>+'ABRIL '!G62+'mayo 2025'!G62+'junioo '!G62</f>
        <v>443970.11</v>
      </c>
      <c r="H62" s="56">
        <f>+'ABRIL '!H62+'mayo 2025'!H62+'junioo '!H62</f>
        <v>0</v>
      </c>
      <c r="I62" s="56">
        <f t="shared" si="0"/>
        <v>443970.11</v>
      </c>
      <c r="J62" s="57">
        <f t="shared" si="3"/>
        <v>1.4916563445578951E-3</v>
      </c>
    </row>
    <row r="63" spans="1:10" ht="25.5" x14ac:dyDescent="0.25">
      <c r="A63" s="53">
        <v>2</v>
      </c>
      <c r="B63" s="54">
        <v>1</v>
      </c>
      <c r="C63" s="54">
        <v>2</v>
      </c>
      <c r="D63" s="54">
        <v>2</v>
      </c>
      <c r="E63" s="54">
        <v>10</v>
      </c>
      <c r="F63" s="59" t="s">
        <v>71</v>
      </c>
      <c r="G63" s="56">
        <f>+'ABRIL '!G63+'mayo 2025'!G63+'junioo '!G63</f>
        <v>781619.88</v>
      </c>
      <c r="H63" s="56">
        <f>+'ABRIL '!H63+'mayo 2025'!H63+'junioo '!H63</f>
        <v>0</v>
      </c>
      <c r="I63" s="56">
        <f t="shared" si="0"/>
        <v>781619.88</v>
      </c>
      <c r="J63" s="57">
        <f t="shared" si="3"/>
        <v>2.6260962771448302E-3</v>
      </c>
    </row>
    <row r="64" spans="1:10" x14ac:dyDescent="0.25">
      <c r="A64" s="60">
        <v>2</v>
      </c>
      <c r="B64" s="47">
        <v>1</v>
      </c>
      <c r="C64" s="47">
        <v>3</v>
      </c>
      <c r="D64" s="47"/>
      <c r="E64" s="47"/>
      <c r="F64" s="66" t="s">
        <v>72</v>
      </c>
      <c r="G64" s="48">
        <f>+'ABRIL '!G64+'mayo 2025'!G64+'junioo '!G64</f>
        <v>0</v>
      </c>
      <c r="H64" s="48">
        <f>+'ABRIL '!H64+'mayo 2025'!H64+'junioo '!H64</f>
        <v>0</v>
      </c>
      <c r="I64" s="48">
        <f t="shared" si="0"/>
        <v>0</v>
      </c>
      <c r="J64" s="45"/>
    </row>
    <row r="65" spans="1:10" x14ac:dyDescent="0.25">
      <c r="A65" s="61">
        <v>2</v>
      </c>
      <c r="B65" s="50">
        <v>1</v>
      </c>
      <c r="C65" s="50">
        <v>3</v>
      </c>
      <c r="D65" s="50">
        <v>1</v>
      </c>
      <c r="E65" s="50"/>
      <c r="F65" s="87" t="s">
        <v>73</v>
      </c>
      <c r="G65" s="51">
        <f>+'ABRIL '!G65+'mayo 2025'!G65+'junioo '!G65</f>
        <v>0</v>
      </c>
      <c r="H65" s="51">
        <f>+'ABRIL '!H65+'mayo 2025'!H65+'junioo '!H65</f>
        <v>0</v>
      </c>
      <c r="I65" s="51">
        <f t="shared" si="0"/>
        <v>0</v>
      </c>
      <c r="J65" s="58"/>
    </row>
    <row r="66" spans="1:10" x14ac:dyDescent="0.25">
      <c r="A66" s="62">
        <v>2</v>
      </c>
      <c r="B66" s="54">
        <v>1</v>
      </c>
      <c r="C66" s="54">
        <v>3</v>
      </c>
      <c r="D66" s="54">
        <v>1</v>
      </c>
      <c r="E66" s="55" t="s">
        <v>31</v>
      </c>
      <c r="F66" s="67" t="s">
        <v>74</v>
      </c>
      <c r="G66" s="56">
        <f>+'ABRIL '!G66+'mayo 2025'!G66+'junioo '!G66</f>
        <v>0</v>
      </c>
      <c r="H66" s="56">
        <f>+'ABRIL '!H66+'mayo 2025'!H66+'junioo '!H66</f>
        <v>0</v>
      </c>
      <c r="I66" s="56">
        <f t="shared" si="0"/>
        <v>0</v>
      </c>
      <c r="J66" s="57">
        <f>I66/$I$25</f>
        <v>0</v>
      </c>
    </row>
    <row r="67" spans="1:10" x14ac:dyDescent="0.25">
      <c r="A67" s="62">
        <v>2</v>
      </c>
      <c r="B67" s="54">
        <v>1</v>
      </c>
      <c r="C67" s="54">
        <v>3</v>
      </c>
      <c r="D67" s="54">
        <v>1</v>
      </c>
      <c r="E67" s="55" t="s">
        <v>33</v>
      </c>
      <c r="F67" s="67" t="s">
        <v>75</v>
      </c>
      <c r="G67" s="56">
        <f>+'ABRIL '!G67+'mayo 2025'!G67+'junioo '!G67</f>
        <v>0</v>
      </c>
      <c r="H67" s="56">
        <f>+'ABRIL '!H67+'mayo 2025'!H67+'junioo '!H67</f>
        <v>0</v>
      </c>
      <c r="I67" s="56">
        <f t="shared" si="0"/>
        <v>0</v>
      </c>
      <c r="J67" s="57">
        <f>I67/$I$25</f>
        <v>0</v>
      </c>
    </row>
    <row r="68" spans="1:10" x14ac:dyDescent="0.25">
      <c r="A68" s="61">
        <v>2</v>
      </c>
      <c r="B68" s="50">
        <v>1</v>
      </c>
      <c r="C68" s="50">
        <v>3</v>
      </c>
      <c r="D68" s="50">
        <v>2</v>
      </c>
      <c r="E68" s="50"/>
      <c r="F68" s="87" t="s">
        <v>76</v>
      </c>
      <c r="G68" s="51">
        <f>+'ABRIL '!G68+'mayo 2025'!G68+'junioo '!G68</f>
        <v>0</v>
      </c>
      <c r="H68" s="51">
        <f>+'ABRIL '!H68+'mayo 2025'!H68+'junioo '!H68</f>
        <v>0</v>
      </c>
      <c r="I68" s="51">
        <f t="shared" si="0"/>
        <v>0</v>
      </c>
      <c r="J68" s="58"/>
    </row>
    <row r="69" spans="1:10" x14ac:dyDescent="0.25">
      <c r="A69" s="62">
        <v>2</v>
      </c>
      <c r="B69" s="54">
        <v>1</v>
      </c>
      <c r="C69" s="54">
        <v>3</v>
      </c>
      <c r="D69" s="54">
        <v>2</v>
      </c>
      <c r="E69" s="55" t="s">
        <v>31</v>
      </c>
      <c r="F69" s="67" t="s">
        <v>77</v>
      </c>
      <c r="G69" s="56">
        <f>+'ABRIL '!G69+'mayo 2025'!G69+'junioo '!G69</f>
        <v>0</v>
      </c>
      <c r="H69" s="56">
        <f>+'ABRIL '!H69+'mayo 2025'!H69+'junioo '!H69</f>
        <v>0</v>
      </c>
      <c r="I69" s="56">
        <f t="shared" si="0"/>
        <v>0</v>
      </c>
      <c r="J69" s="57">
        <f>I69/$I$25</f>
        <v>0</v>
      </c>
    </row>
    <row r="70" spans="1:10" x14ac:dyDescent="0.25">
      <c r="A70" s="62">
        <v>2</v>
      </c>
      <c r="B70" s="54">
        <v>1</v>
      </c>
      <c r="C70" s="54">
        <v>3</v>
      </c>
      <c r="D70" s="54">
        <v>2</v>
      </c>
      <c r="E70" s="55" t="s">
        <v>33</v>
      </c>
      <c r="F70" s="67" t="s">
        <v>78</v>
      </c>
      <c r="G70" s="56">
        <f>+'ABRIL '!G70+'mayo 2025'!G70+'junioo '!G70</f>
        <v>0</v>
      </c>
      <c r="H70" s="56">
        <f>+'ABRIL '!H70+'mayo 2025'!H70+'junioo '!H70</f>
        <v>0</v>
      </c>
      <c r="I70" s="56">
        <f t="shared" si="0"/>
        <v>0</v>
      </c>
      <c r="J70" s="57">
        <f>I70/$I$25</f>
        <v>0</v>
      </c>
    </row>
    <row r="71" spans="1:10" x14ac:dyDescent="0.25">
      <c r="A71" s="60">
        <v>2</v>
      </c>
      <c r="B71" s="47">
        <v>1</v>
      </c>
      <c r="C71" s="47">
        <v>4</v>
      </c>
      <c r="D71" s="47"/>
      <c r="E71" s="47"/>
      <c r="F71" s="66" t="s">
        <v>79</v>
      </c>
      <c r="G71" s="48">
        <f>+'ABRIL '!G71+'mayo 2025'!G71+'junioo '!G71</f>
        <v>0</v>
      </c>
      <c r="H71" s="48">
        <f>+'ABRIL '!H71+'mayo 2025'!H71+'junioo '!H71</f>
        <v>0</v>
      </c>
      <c r="I71" s="48">
        <f t="shared" si="0"/>
        <v>0</v>
      </c>
      <c r="J71" s="45"/>
    </row>
    <row r="72" spans="1:10" x14ac:dyDescent="0.25">
      <c r="A72" s="49">
        <v>2</v>
      </c>
      <c r="B72" s="50">
        <v>1</v>
      </c>
      <c r="C72" s="50">
        <v>4</v>
      </c>
      <c r="D72" s="50">
        <v>1</v>
      </c>
      <c r="E72" s="50"/>
      <c r="F72" s="73" t="s">
        <v>80</v>
      </c>
      <c r="G72" s="51">
        <f>+'ABRIL '!G72+'mayo 2025'!G72+'junioo '!G72</f>
        <v>0</v>
      </c>
      <c r="H72" s="51">
        <f>+'ABRIL '!H72+'mayo 2025'!H72+'junioo '!H72</f>
        <v>0</v>
      </c>
      <c r="I72" s="51">
        <f t="shared" si="0"/>
        <v>0</v>
      </c>
      <c r="J72" s="58"/>
    </row>
    <row r="73" spans="1:10" x14ac:dyDescent="0.25">
      <c r="A73" s="53">
        <v>2</v>
      </c>
      <c r="B73" s="54">
        <v>1</v>
      </c>
      <c r="C73" s="54">
        <v>4</v>
      </c>
      <c r="D73" s="54">
        <v>1</v>
      </c>
      <c r="E73" s="55" t="s">
        <v>31</v>
      </c>
      <c r="F73" s="59" t="s">
        <v>80</v>
      </c>
      <c r="G73" s="56">
        <f>+'ABRIL '!G73+'mayo 2025'!G73+'junioo '!G73</f>
        <v>0</v>
      </c>
      <c r="H73" s="56">
        <f>+'ABRIL '!H73+'mayo 2025'!H73+'junioo '!H73</f>
        <v>0</v>
      </c>
      <c r="I73" s="56">
        <f t="shared" si="0"/>
        <v>0</v>
      </c>
      <c r="J73" s="57">
        <f>I73/$I$25</f>
        <v>0</v>
      </c>
    </row>
    <row r="74" spans="1:10" x14ac:dyDescent="0.25">
      <c r="A74" s="49">
        <v>2</v>
      </c>
      <c r="B74" s="50">
        <v>1</v>
      </c>
      <c r="C74" s="50">
        <v>4</v>
      </c>
      <c r="D74" s="50">
        <v>2</v>
      </c>
      <c r="E74" s="50"/>
      <c r="F74" s="73" t="s">
        <v>81</v>
      </c>
      <c r="G74" s="51">
        <f>+'ABRIL '!G74+'mayo 2025'!G74+'junioo '!G74</f>
        <v>0</v>
      </c>
      <c r="H74" s="51">
        <f>+'ABRIL '!H74+'mayo 2025'!H74+'junioo '!H74</f>
        <v>0</v>
      </c>
      <c r="I74" s="51">
        <f t="shared" si="0"/>
        <v>0</v>
      </c>
      <c r="J74" s="58"/>
    </row>
    <row r="75" spans="1:10" x14ac:dyDescent="0.25">
      <c r="A75" s="53">
        <v>2</v>
      </c>
      <c r="B75" s="54">
        <v>1</v>
      </c>
      <c r="C75" s="54">
        <v>4</v>
      </c>
      <c r="D75" s="54">
        <v>2</v>
      </c>
      <c r="E75" s="55" t="s">
        <v>31</v>
      </c>
      <c r="F75" s="59" t="s">
        <v>82</v>
      </c>
      <c r="G75" s="56">
        <f>+'ABRIL '!G75+'mayo 2025'!G75+'junioo '!G75</f>
        <v>0</v>
      </c>
      <c r="H75" s="56">
        <f>+'ABRIL '!H75+'mayo 2025'!H75+'junioo '!H75</f>
        <v>0</v>
      </c>
      <c r="I75" s="56">
        <f t="shared" si="0"/>
        <v>0</v>
      </c>
      <c r="J75" s="57">
        <f>I75/$I$25</f>
        <v>0</v>
      </c>
    </row>
    <row r="76" spans="1:10" x14ac:dyDescent="0.25">
      <c r="A76" s="53">
        <v>2</v>
      </c>
      <c r="B76" s="54">
        <v>1</v>
      </c>
      <c r="C76" s="54">
        <v>4</v>
      </c>
      <c r="D76" s="54">
        <v>2</v>
      </c>
      <c r="E76" s="55" t="s">
        <v>33</v>
      </c>
      <c r="F76" s="59" t="s">
        <v>83</v>
      </c>
      <c r="G76" s="56">
        <f>+'ABRIL '!G76+'mayo 2025'!G76+'junioo '!G76</f>
        <v>0</v>
      </c>
      <c r="H76" s="56">
        <f>+'ABRIL '!H76+'mayo 2025'!H76+'junioo '!H76</f>
        <v>0</v>
      </c>
      <c r="I76" s="56">
        <f t="shared" si="0"/>
        <v>0</v>
      </c>
      <c r="J76" s="57">
        <f>I76/$I$25</f>
        <v>0</v>
      </c>
    </row>
    <row r="77" spans="1:10" x14ac:dyDescent="0.25">
      <c r="A77" s="53">
        <v>2</v>
      </c>
      <c r="B77" s="54">
        <v>1</v>
      </c>
      <c r="C77" s="54">
        <v>4</v>
      </c>
      <c r="D77" s="54">
        <v>2</v>
      </c>
      <c r="E77" s="55" t="s">
        <v>35</v>
      </c>
      <c r="F77" s="59" t="s">
        <v>84</v>
      </c>
      <c r="G77" s="56">
        <f>+'ABRIL '!G77+'mayo 2025'!G77+'junioo '!G77</f>
        <v>0</v>
      </c>
      <c r="H77" s="56">
        <f>+'ABRIL '!H77+'mayo 2025'!H77+'junioo '!H77</f>
        <v>0</v>
      </c>
      <c r="I77" s="56">
        <f t="shared" si="0"/>
        <v>0</v>
      </c>
      <c r="J77" s="57">
        <f>I77/$I$25</f>
        <v>0</v>
      </c>
    </row>
    <row r="78" spans="1:10" ht="26.25" x14ac:dyDescent="0.25">
      <c r="A78" s="60">
        <v>2</v>
      </c>
      <c r="B78" s="47">
        <v>1</v>
      </c>
      <c r="C78" s="47">
        <v>5</v>
      </c>
      <c r="D78" s="47"/>
      <c r="E78" s="47"/>
      <c r="F78" s="66" t="s">
        <v>85</v>
      </c>
      <c r="G78" s="48">
        <f>+'ABRIL '!G78+'mayo 2025'!G78+'junioo '!G78</f>
        <v>25149742.170000002</v>
      </c>
      <c r="H78" s="48">
        <f>+'ABRIL '!H78+'mayo 2025'!H78+'junioo '!H78</f>
        <v>0</v>
      </c>
      <c r="I78" s="48">
        <f t="shared" si="0"/>
        <v>25149742.170000002</v>
      </c>
      <c r="J78" s="45"/>
    </row>
    <row r="79" spans="1:10" x14ac:dyDescent="0.25">
      <c r="A79" s="49">
        <v>2</v>
      </c>
      <c r="B79" s="50">
        <v>1</v>
      </c>
      <c r="C79" s="50">
        <v>5</v>
      </c>
      <c r="D79" s="50">
        <v>1</v>
      </c>
      <c r="E79" s="50"/>
      <c r="F79" s="73" t="s">
        <v>86</v>
      </c>
      <c r="G79" s="51">
        <f>+'ABRIL '!G79+'mayo 2025'!G79+'junioo '!G79</f>
        <v>11588014.039999999</v>
      </c>
      <c r="H79" s="51">
        <f>+'ABRIL '!H79+'mayo 2025'!H79+'junioo '!H79</f>
        <v>0</v>
      </c>
      <c r="I79" s="51">
        <f t="shared" si="0"/>
        <v>11588014.039999999</v>
      </c>
      <c r="J79" s="58"/>
    </row>
    <row r="80" spans="1:10" x14ac:dyDescent="0.25">
      <c r="A80" s="53">
        <v>2</v>
      </c>
      <c r="B80" s="54">
        <v>1</v>
      </c>
      <c r="C80" s="54">
        <v>5</v>
      </c>
      <c r="D80" s="54">
        <v>1</v>
      </c>
      <c r="E80" s="55" t="s">
        <v>31</v>
      </c>
      <c r="F80" s="59" t="s">
        <v>86</v>
      </c>
      <c r="G80" s="56">
        <f>+'ABRIL '!G80+'mayo 2025'!G80+'junioo '!G80</f>
        <v>11588014.039999999</v>
      </c>
      <c r="H80" s="56">
        <f>+'ABRIL '!H80+'mayo 2025'!H80+'junioo '!H80</f>
        <v>0</v>
      </c>
      <c r="I80" s="56">
        <f t="shared" si="0"/>
        <v>11588014.039999999</v>
      </c>
      <c r="J80" s="57">
        <f>I80/$I$25</f>
        <v>3.8933554926911557E-2</v>
      </c>
    </row>
    <row r="81" spans="1:10" x14ac:dyDescent="0.25">
      <c r="A81" s="49">
        <v>2</v>
      </c>
      <c r="B81" s="50">
        <v>1</v>
      </c>
      <c r="C81" s="50">
        <v>5</v>
      </c>
      <c r="D81" s="50">
        <v>2</v>
      </c>
      <c r="E81" s="50"/>
      <c r="F81" s="73" t="s">
        <v>87</v>
      </c>
      <c r="G81" s="51">
        <f>+'ABRIL '!G81+'mayo 2025'!G81+'junioo '!G81</f>
        <v>11604352.620000001</v>
      </c>
      <c r="H81" s="51">
        <f>+'ABRIL '!H81+'mayo 2025'!H81+'junioo '!H81</f>
        <v>0</v>
      </c>
      <c r="I81" s="51">
        <f t="shared" si="0"/>
        <v>11604352.620000001</v>
      </c>
      <c r="J81" s="58"/>
    </row>
    <row r="82" spans="1:10" x14ac:dyDescent="0.25">
      <c r="A82" s="53">
        <v>2</v>
      </c>
      <c r="B82" s="54">
        <v>1</v>
      </c>
      <c r="C82" s="54">
        <v>5</v>
      </c>
      <c r="D82" s="54">
        <v>2</v>
      </c>
      <c r="E82" s="55" t="s">
        <v>31</v>
      </c>
      <c r="F82" s="59" t="s">
        <v>87</v>
      </c>
      <c r="G82" s="56">
        <f>+'ABRIL '!G82+'mayo 2025'!G82+'junioo '!G82</f>
        <v>11604352.620000001</v>
      </c>
      <c r="H82" s="56">
        <f>+'ABRIL '!H82+'mayo 2025'!H82+'junioo '!H82</f>
        <v>0</v>
      </c>
      <c r="I82" s="56">
        <f t="shared" si="0"/>
        <v>11604352.620000001</v>
      </c>
      <c r="J82" s="57">
        <f>I82/$I$25</f>
        <v>3.8988449492940044E-2</v>
      </c>
    </row>
    <row r="83" spans="1:10" x14ac:dyDescent="0.25">
      <c r="A83" s="49">
        <v>2</v>
      </c>
      <c r="B83" s="50">
        <v>1</v>
      </c>
      <c r="C83" s="50">
        <v>5</v>
      </c>
      <c r="D83" s="50">
        <v>3</v>
      </c>
      <c r="E83" s="50"/>
      <c r="F83" s="73" t="s">
        <v>88</v>
      </c>
      <c r="G83" s="51">
        <f>+'ABRIL '!G83+'mayo 2025'!G83+'junioo '!G83</f>
        <v>1957375.5100000002</v>
      </c>
      <c r="H83" s="51">
        <f>+'ABRIL '!H83+'mayo 2025'!H83+'junioo '!H83</f>
        <v>0</v>
      </c>
      <c r="I83" s="51">
        <f t="shared" si="0"/>
        <v>1957375.5100000002</v>
      </c>
      <c r="J83" s="58"/>
    </row>
    <row r="84" spans="1:10" x14ac:dyDescent="0.25">
      <c r="A84" s="53">
        <v>2</v>
      </c>
      <c r="B84" s="54">
        <v>1</v>
      </c>
      <c r="C84" s="54">
        <v>5</v>
      </c>
      <c r="D84" s="54">
        <v>3</v>
      </c>
      <c r="E84" s="55" t="s">
        <v>31</v>
      </c>
      <c r="F84" s="59" t="s">
        <v>88</v>
      </c>
      <c r="G84" s="56">
        <f>+'ABRIL '!G84+'mayo 2025'!G84+'junioo '!G84</f>
        <v>1957375.5100000002</v>
      </c>
      <c r="H84" s="56">
        <f>+'ABRIL '!H84+'mayo 2025'!H84+'junioo '!H84</f>
        <v>0</v>
      </c>
      <c r="I84" s="56">
        <f t="shared" si="0"/>
        <v>1957375.5100000002</v>
      </c>
      <c r="J84" s="57">
        <f>I84/$I$25</f>
        <v>6.5764147910176794E-3</v>
      </c>
    </row>
    <row r="85" spans="1:10" ht="25.5" x14ac:dyDescent="0.25">
      <c r="A85" s="49">
        <v>2</v>
      </c>
      <c r="B85" s="50">
        <v>1</v>
      </c>
      <c r="C85" s="50">
        <v>5</v>
      </c>
      <c r="D85" s="50">
        <v>4</v>
      </c>
      <c r="E85" s="50"/>
      <c r="F85" s="73" t="s">
        <v>89</v>
      </c>
      <c r="G85" s="51">
        <f>+'ABRIL '!G85+'mayo 2025'!G85+'junioo '!G85</f>
        <v>0</v>
      </c>
      <c r="H85" s="51">
        <f>+'ABRIL '!H85+'mayo 2025'!H85+'junioo '!H85</f>
        <v>0</v>
      </c>
      <c r="I85" s="51">
        <f t="shared" si="0"/>
        <v>0</v>
      </c>
      <c r="J85" s="58"/>
    </row>
    <row r="86" spans="1:10" ht="25.5" x14ac:dyDescent="0.25">
      <c r="A86" s="53">
        <v>2</v>
      </c>
      <c r="B86" s="54">
        <v>1</v>
      </c>
      <c r="C86" s="54">
        <v>5</v>
      </c>
      <c r="D86" s="54">
        <v>4</v>
      </c>
      <c r="E86" s="55" t="s">
        <v>31</v>
      </c>
      <c r="F86" s="59" t="s">
        <v>89</v>
      </c>
      <c r="G86" s="56">
        <f>+'ABRIL '!G86+'mayo 2025'!G86+'junioo '!G86</f>
        <v>0</v>
      </c>
      <c r="H86" s="56">
        <f>+'ABRIL '!H86+'mayo 2025'!H86+'junioo '!H86</f>
        <v>0</v>
      </c>
      <c r="I86" s="56">
        <f t="shared" si="0"/>
        <v>0</v>
      </c>
      <c r="J86" s="57">
        <f>I86/$I$25</f>
        <v>0</v>
      </c>
    </row>
    <row r="87" spans="1:10" x14ac:dyDescent="0.25">
      <c r="A87" s="60">
        <v>2</v>
      </c>
      <c r="B87" s="63">
        <v>2</v>
      </c>
      <c r="C87" s="47"/>
      <c r="D87" s="47"/>
      <c r="E87" s="47"/>
      <c r="F87" s="66" t="s">
        <v>90</v>
      </c>
      <c r="G87" s="48">
        <f>+'ABRIL '!G87+'mayo 2025'!G87+'junioo '!G87</f>
        <v>10131818.199999999</v>
      </c>
      <c r="H87" s="48">
        <f>+'ABRIL '!H87+'mayo 2025'!H87+'junioo '!H87</f>
        <v>7239413.7899999991</v>
      </c>
      <c r="I87" s="48">
        <f t="shared" si="0"/>
        <v>17371231.989999998</v>
      </c>
      <c r="J87" s="45">
        <f>I87/$I$25</f>
        <v>5.836408313764764E-2</v>
      </c>
    </row>
    <row r="88" spans="1:10" x14ac:dyDescent="0.25">
      <c r="A88" s="60">
        <v>2</v>
      </c>
      <c r="B88" s="47">
        <v>2</v>
      </c>
      <c r="C88" s="47">
        <v>1</v>
      </c>
      <c r="D88" s="47"/>
      <c r="E88" s="47"/>
      <c r="F88" s="66" t="s">
        <v>91</v>
      </c>
      <c r="G88" s="48">
        <f>+'ABRIL '!G88+'mayo 2025'!G88+'junioo '!G88</f>
        <v>181605</v>
      </c>
      <c r="H88" s="48">
        <f>+'ABRIL '!H88+'mayo 2025'!H88+'junioo '!H88</f>
        <v>2348580.7199999997</v>
      </c>
      <c r="I88" s="48">
        <f t="shared" si="0"/>
        <v>2530185.7199999997</v>
      </c>
      <c r="J88" s="45"/>
    </row>
    <row r="89" spans="1:10" x14ac:dyDescent="0.25">
      <c r="A89" s="61">
        <v>2</v>
      </c>
      <c r="B89" s="50">
        <v>2</v>
      </c>
      <c r="C89" s="50">
        <v>1</v>
      </c>
      <c r="D89" s="50">
        <v>1</v>
      </c>
      <c r="E89" s="50"/>
      <c r="F89" s="87" t="s">
        <v>92</v>
      </c>
      <c r="G89" s="51">
        <f>+'ABRIL '!G89+'mayo 2025'!G89+'junioo '!G89</f>
        <v>0</v>
      </c>
      <c r="H89" s="51">
        <f>+'ABRIL '!H89+'mayo 2025'!H89+'junioo '!H89</f>
        <v>0</v>
      </c>
      <c r="I89" s="51">
        <f t="shared" ref="I89:I152" si="4">SUM(G89:H89)</f>
        <v>0</v>
      </c>
      <c r="J89" s="58"/>
    </row>
    <row r="90" spans="1:10" x14ac:dyDescent="0.25">
      <c r="A90" s="62">
        <v>2</v>
      </c>
      <c r="B90" s="54">
        <v>2</v>
      </c>
      <c r="C90" s="54">
        <v>1</v>
      </c>
      <c r="D90" s="54">
        <v>1</v>
      </c>
      <c r="E90" s="55" t="s">
        <v>31</v>
      </c>
      <c r="F90" s="67" t="s">
        <v>92</v>
      </c>
      <c r="G90" s="56">
        <f>+'ABRIL '!G90+'mayo 2025'!G90+'junioo '!G90</f>
        <v>0</v>
      </c>
      <c r="H90" s="56">
        <f>+'ABRIL '!H90+'mayo 2025'!H90+'junioo '!H90</f>
        <v>0</v>
      </c>
      <c r="I90" s="56">
        <f t="shared" si="4"/>
        <v>0</v>
      </c>
      <c r="J90" s="57">
        <f>I90/$I$25</f>
        <v>0</v>
      </c>
    </row>
    <row r="91" spans="1:10" x14ac:dyDescent="0.25">
      <c r="A91" s="61">
        <v>2</v>
      </c>
      <c r="B91" s="50">
        <v>2</v>
      </c>
      <c r="C91" s="50">
        <v>1</v>
      </c>
      <c r="D91" s="50">
        <v>2</v>
      </c>
      <c r="E91" s="50"/>
      <c r="F91" s="87" t="s">
        <v>93</v>
      </c>
      <c r="G91" s="51">
        <f>+'ABRIL '!G91+'mayo 2025'!G91+'junioo '!G91</f>
        <v>0</v>
      </c>
      <c r="H91" s="51">
        <f>+'ABRIL '!H91+'mayo 2025'!H91+'junioo '!H91</f>
        <v>0</v>
      </c>
      <c r="I91" s="51">
        <f t="shared" si="4"/>
        <v>0</v>
      </c>
      <c r="J91" s="58"/>
    </row>
    <row r="92" spans="1:10" x14ac:dyDescent="0.25">
      <c r="A92" s="62">
        <v>2</v>
      </c>
      <c r="B92" s="54">
        <v>2</v>
      </c>
      <c r="C92" s="54">
        <v>1</v>
      </c>
      <c r="D92" s="54">
        <v>2</v>
      </c>
      <c r="E92" s="55" t="s">
        <v>31</v>
      </c>
      <c r="F92" s="67" t="s">
        <v>93</v>
      </c>
      <c r="G92" s="56">
        <f>+'ABRIL '!G92+'mayo 2025'!G92+'junioo '!G92</f>
        <v>0</v>
      </c>
      <c r="H92" s="56">
        <f>+'ABRIL '!H92+'mayo 2025'!H92+'junioo '!H92</f>
        <v>0</v>
      </c>
      <c r="I92" s="56">
        <f t="shared" si="4"/>
        <v>0</v>
      </c>
      <c r="J92" s="57">
        <f>I92/$I$25</f>
        <v>0</v>
      </c>
    </row>
    <row r="93" spans="1:10" x14ac:dyDescent="0.25">
      <c r="A93" s="61">
        <v>2</v>
      </c>
      <c r="B93" s="50">
        <v>2</v>
      </c>
      <c r="C93" s="50">
        <v>1</v>
      </c>
      <c r="D93" s="50">
        <v>3</v>
      </c>
      <c r="E93" s="50"/>
      <c r="F93" s="87" t="s">
        <v>94</v>
      </c>
      <c r="G93" s="51">
        <f>+'ABRIL '!G93+'mayo 2025'!G93+'junioo '!G93</f>
        <v>0</v>
      </c>
      <c r="H93" s="51">
        <f>+'ABRIL '!H93+'mayo 2025'!H93+'junioo '!H93</f>
        <v>518114.83</v>
      </c>
      <c r="I93" s="51">
        <f t="shared" si="4"/>
        <v>518114.83</v>
      </c>
      <c r="J93" s="58"/>
    </row>
    <row r="94" spans="1:10" x14ac:dyDescent="0.25">
      <c r="A94" s="62">
        <v>2</v>
      </c>
      <c r="B94" s="54">
        <v>2</v>
      </c>
      <c r="C94" s="54">
        <v>1</v>
      </c>
      <c r="D94" s="54">
        <v>3</v>
      </c>
      <c r="E94" s="55" t="s">
        <v>31</v>
      </c>
      <c r="F94" s="67" t="s">
        <v>94</v>
      </c>
      <c r="G94" s="56">
        <f>+'ABRIL '!G94+'mayo 2025'!G94+'junioo '!G94</f>
        <v>0</v>
      </c>
      <c r="H94" s="56">
        <f>+'ABRIL '!H94+'mayo 2025'!H94+'junioo '!H94</f>
        <v>518114.83</v>
      </c>
      <c r="I94" s="56">
        <f t="shared" si="4"/>
        <v>518114.83</v>
      </c>
      <c r="J94" s="57">
        <f>I94/$I$25</f>
        <v>1.7407687048550077E-3</v>
      </c>
    </row>
    <row r="95" spans="1:10" x14ac:dyDescent="0.25">
      <c r="A95" s="61">
        <v>2</v>
      </c>
      <c r="B95" s="50">
        <v>2</v>
      </c>
      <c r="C95" s="50">
        <v>1</v>
      </c>
      <c r="D95" s="50">
        <v>4</v>
      </c>
      <c r="E95" s="50"/>
      <c r="F95" s="87" t="s">
        <v>95</v>
      </c>
      <c r="G95" s="51">
        <f>+'ABRIL '!G95+'mayo 2025'!G95+'junioo '!G95</f>
        <v>0</v>
      </c>
      <c r="H95" s="51">
        <f>+'ABRIL '!H95+'mayo 2025'!H95+'junioo '!H95</f>
        <v>0</v>
      </c>
      <c r="I95" s="51">
        <f t="shared" si="4"/>
        <v>0</v>
      </c>
      <c r="J95" s="58"/>
    </row>
    <row r="96" spans="1:10" x14ac:dyDescent="0.25">
      <c r="A96" s="62">
        <v>2</v>
      </c>
      <c r="B96" s="54">
        <v>2</v>
      </c>
      <c r="C96" s="54">
        <v>1</v>
      </c>
      <c r="D96" s="54">
        <v>4</v>
      </c>
      <c r="E96" s="55" t="s">
        <v>31</v>
      </c>
      <c r="F96" s="67" t="s">
        <v>95</v>
      </c>
      <c r="G96" s="56">
        <f>+'ABRIL '!G96+'mayo 2025'!G96+'junioo '!G96</f>
        <v>0</v>
      </c>
      <c r="H96" s="56">
        <f>+'ABRIL '!H96+'mayo 2025'!H96+'junioo '!H96</f>
        <v>0</v>
      </c>
      <c r="I96" s="56">
        <f t="shared" si="4"/>
        <v>0</v>
      </c>
      <c r="J96" s="57">
        <f>I96/$I$25</f>
        <v>0</v>
      </c>
    </row>
    <row r="97" spans="1:10" x14ac:dyDescent="0.25">
      <c r="A97" s="61">
        <v>2</v>
      </c>
      <c r="B97" s="50">
        <v>2</v>
      </c>
      <c r="C97" s="50">
        <v>1</v>
      </c>
      <c r="D97" s="50">
        <v>5</v>
      </c>
      <c r="E97" s="50"/>
      <c r="F97" s="87" t="s">
        <v>96</v>
      </c>
      <c r="G97" s="51">
        <f>+'ABRIL '!G97+'mayo 2025'!G97+'junioo '!G97</f>
        <v>0</v>
      </c>
      <c r="H97" s="51">
        <f>+'ABRIL '!H97+'mayo 2025'!H97+'junioo '!H97</f>
        <v>210465.89</v>
      </c>
      <c r="I97" s="51">
        <f t="shared" si="4"/>
        <v>210465.89</v>
      </c>
      <c r="J97" s="58"/>
    </row>
    <row r="98" spans="1:10" x14ac:dyDescent="0.25">
      <c r="A98" s="62">
        <v>2</v>
      </c>
      <c r="B98" s="54">
        <v>2</v>
      </c>
      <c r="C98" s="54">
        <v>1</v>
      </c>
      <c r="D98" s="54">
        <v>5</v>
      </c>
      <c r="E98" s="55" t="s">
        <v>31</v>
      </c>
      <c r="F98" s="67" t="s">
        <v>96</v>
      </c>
      <c r="G98" s="56">
        <f>+'ABRIL '!G98+'mayo 2025'!G98+'junioo '!G98</f>
        <v>0</v>
      </c>
      <c r="H98" s="56">
        <f>+'ABRIL '!H98+'mayo 2025'!H98+'junioo '!H98</f>
        <v>210465.89</v>
      </c>
      <c r="I98" s="56">
        <f t="shared" si="4"/>
        <v>210465.89</v>
      </c>
      <c r="J98" s="57">
        <f>I98/$I$25</f>
        <v>7.0712593722024235E-4</v>
      </c>
    </row>
    <row r="99" spans="1:10" x14ac:dyDescent="0.25">
      <c r="A99" s="61">
        <v>2</v>
      </c>
      <c r="B99" s="50">
        <v>2</v>
      </c>
      <c r="C99" s="50">
        <v>1</v>
      </c>
      <c r="D99" s="50">
        <v>6</v>
      </c>
      <c r="E99" s="50"/>
      <c r="F99" s="87" t="s">
        <v>97</v>
      </c>
      <c r="G99" s="51">
        <f>+'ABRIL '!G99+'mayo 2025'!G99+'junioo '!G99</f>
        <v>0</v>
      </c>
      <c r="H99" s="51">
        <f>+'ABRIL '!H99+'mayo 2025'!H99+'junioo '!H99</f>
        <v>0</v>
      </c>
      <c r="I99" s="51">
        <f t="shared" si="4"/>
        <v>0</v>
      </c>
      <c r="J99" s="58"/>
    </row>
    <row r="100" spans="1:10" x14ac:dyDescent="0.25">
      <c r="A100" s="62">
        <v>2</v>
      </c>
      <c r="B100" s="54">
        <v>2</v>
      </c>
      <c r="C100" s="54">
        <v>1</v>
      </c>
      <c r="D100" s="54">
        <v>6</v>
      </c>
      <c r="E100" s="55" t="s">
        <v>31</v>
      </c>
      <c r="F100" s="67" t="s">
        <v>98</v>
      </c>
      <c r="G100" s="56">
        <f>+'ABRIL '!G100+'mayo 2025'!G100+'junioo '!G100</f>
        <v>0</v>
      </c>
      <c r="H100" s="56">
        <f>+'ABRIL '!H100+'mayo 2025'!H100+'junioo '!H100</f>
        <v>0</v>
      </c>
      <c r="I100" s="56">
        <f t="shared" si="4"/>
        <v>0</v>
      </c>
      <c r="J100" s="57">
        <f>I100/$I$25</f>
        <v>0</v>
      </c>
    </row>
    <row r="101" spans="1:10" x14ac:dyDescent="0.25">
      <c r="A101" s="62">
        <v>2</v>
      </c>
      <c r="B101" s="54">
        <v>2</v>
      </c>
      <c r="C101" s="54">
        <v>1</v>
      </c>
      <c r="D101" s="54">
        <v>6</v>
      </c>
      <c r="E101" s="55" t="s">
        <v>33</v>
      </c>
      <c r="F101" s="67" t="s">
        <v>99</v>
      </c>
      <c r="G101" s="56">
        <f>+'ABRIL '!G101+'mayo 2025'!G101+'junioo '!G101</f>
        <v>0</v>
      </c>
      <c r="H101" s="56">
        <f>+'ABRIL '!H101+'mayo 2025'!H101+'junioo '!H101</f>
        <v>0</v>
      </c>
      <c r="I101" s="56">
        <f t="shared" si="4"/>
        <v>0</v>
      </c>
      <c r="J101" s="57">
        <f>I101/$I$25</f>
        <v>0</v>
      </c>
    </row>
    <row r="102" spans="1:10" x14ac:dyDescent="0.25">
      <c r="A102" s="61">
        <v>2</v>
      </c>
      <c r="B102" s="50">
        <v>2</v>
      </c>
      <c r="C102" s="50">
        <v>1</v>
      </c>
      <c r="D102" s="50">
        <v>7</v>
      </c>
      <c r="E102" s="50"/>
      <c r="F102" s="87" t="s">
        <v>100</v>
      </c>
      <c r="G102" s="51">
        <f>+'ABRIL '!G102+'mayo 2025'!G102+'junioo '!G102</f>
        <v>181605</v>
      </c>
      <c r="H102" s="51">
        <f>+'ABRIL '!H102+'mayo 2025'!H102+'junioo '!H102</f>
        <v>0</v>
      </c>
      <c r="I102" s="51">
        <f t="shared" si="4"/>
        <v>181605</v>
      </c>
      <c r="J102" s="58"/>
    </row>
    <row r="103" spans="1:10" x14ac:dyDescent="0.25">
      <c r="A103" s="62">
        <v>2</v>
      </c>
      <c r="B103" s="54">
        <v>2</v>
      </c>
      <c r="C103" s="54">
        <v>1</v>
      </c>
      <c r="D103" s="54">
        <v>7</v>
      </c>
      <c r="E103" s="55" t="s">
        <v>31</v>
      </c>
      <c r="F103" s="67" t="s">
        <v>100</v>
      </c>
      <c r="G103" s="56">
        <f>+'ABRIL '!G103+'mayo 2025'!G103+'junioo '!G103</f>
        <v>181605</v>
      </c>
      <c r="H103" s="56">
        <f>+'ABRIL '!H103+'mayo 2025'!H103+'junioo '!H103</f>
        <v>0</v>
      </c>
      <c r="I103" s="56">
        <f t="shared" si="4"/>
        <v>181605</v>
      </c>
      <c r="J103" s="57">
        <f>I103/$I$25</f>
        <v>6.1015875697901503E-4</v>
      </c>
    </row>
    <row r="104" spans="1:10" x14ac:dyDescent="0.25">
      <c r="A104" s="61">
        <v>2</v>
      </c>
      <c r="B104" s="50">
        <v>2</v>
      </c>
      <c r="C104" s="50">
        <v>1</v>
      </c>
      <c r="D104" s="50">
        <v>8</v>
      </c>
      <c r="E104" s="50"/>
      <c r="F104" s="87" t="s">
        <v>101</v>
      </c>
      <c r="G104" s="51">
        <f>+'ABRIL '!G104+'mayo 2025'!G104+'junioo '!G104</f>
        <v>0</v>
      </c>
      <c r="H104" s="51">
        <f>+'ABRIL '!H104+'mayo 2025'!H104+'junioo '!H104</f>
        <v>1620000</v>
      </c>
      <c r="I104" s="51">
        <f t="shared" si="4"/>
        <v>1620000</v>
      </c>
      <c r="J104" s="58"/>
    </row>
    <row r="105" spans="1:10" x14ac:dyDescent="0.25">
      <c r="A105" s="62">
        <v>2</v>
      </c>
      <c r="B105" s="54">
        <v>2</v>
      </c>
      <c r="C105" s="54">
        <v>1</v>
      </c>
      <c r="D105" s="54">
        <v>8</v>
      </c>
      <c r="E105" s="55" t="s">
        <v>31</v>
      </c>
      <c r="F105" s="67" t="s">
        <v>101</v>
      </c>
      <c r="G105" s="56">
        <f>+'ABRIL '!G105+'mayo 2025'!G105+'junioo '!G105</f>
        <v>0</v>
      </c>
      <c r="H105" s="56">
        <f>+'ABRIL '!H105+'mayo 2025'!H105+'junioo '!H105</f>
        <v>1620000</v>
      </c>
      <c r="I105" s="56">
        <f t="shared" si="4"/>
        <v>1620000</v>
      </c>
      <c r="J105" s="57">
        <f>I105/$I$25</f>
        <v>5.4428963206189489E-3</v>
      </c>
    </row>
    <row r="106" spans="1:10" x14ac:dyDescent="0.25">
      <c r="A106" s="60">
        <v>2</v>
      </c>
      <c r="B106" s="47">
        <v>2</v>
      </c>
      <c r="C106" s="47">
        <v>2</v>
      </c>
      <c r="D106" s="47"/>
      <c r="E106" s="47"/>
      <c r="F106" s="66" t="s">
        <v>102</v>
      </c>
      <c r="G106" s="48">
        <f>+'ABRIL '!G106+'mayo 2025'!G106+'junioo '!G106</f>
        <v>351993.82999999996</v>
      </c>
      <c r="H106" s="48">
        <f>+'ABRIL '!H106+'mayo 2025'!H106+'junioo '!H106</f>
        <v>310139.40000000002</v>
      </c>
      <c r="I106" s="48">
        <f t="shared" si="4"/>
        <v>662133.23</v>
      </c>
      <c r="J106" s="45"/>
    </row>
    <row r="107" spans="1:10" x14ac:dyDescent="0.25">
      <c r="A107" s="61">
        <v>2</v>
      </c>
      <c r="B107" s="50">
        <v>2</v>
      </c>
      <c r="C107" s="50">
        <v>2</v>
      </c>
      <c r="D107" s="50">
        <v>1</v>
      </c>
      <c r="E107" s="50"/>
      <c r="F107" s="87" t="s">
        <v>103</v>
      </c>
      <c r="G107" s="51">
        <f>+'ABRIL '!G107+'mayo 2025'!G107+'junioo '!G107</f>
        <v>0</v>
      </c>
      <c r="H107" s="51">
        <f>+'ABRIL '!H107+'mayo 2025'!H107+'junioo '!H107</f>
        <v>0</v>
      </c>
      <c r="I107" s="51">
        <f t="shared" si="4"/>
        <v>0</v>
      </c>
      <c r="J107" s="58"/>
    </row>
    <row r="108" spans="1:10" x14ac:dyDescent="0.25">
      <c r="A108" s="62">
        <v>2</v>
      </c>
      <c r="B108" s="54">
        <v>2</v>
      </c>
      <c r="C108" s="54">
        <v>2</v>
      </c>
      <c r="D108" s="54">
        <v>1</v>
      </c>
      <c r="E108" s="55" t="s">
        <v>31</v>
      </c>
      <c r="F108" s="67" t="s">
        <v>103</v>
      </c>
      <c r="G108" s="56">
        <f>+'ABRIL '!G108+'mayo 2025'!G108+'junioo '!G108</f>
        <v>0</v>
      </c>
      <c r="H108" s="56">
        <f>+'ABRIL '!H108+'mayo 2025'!H108+'junioo '!H108</f>
        <v>0</v>
      </c>
      <c r="I108" s="56">
        <f t="shared" si="4"/>
        <v>0</v>
      </c>
      <c r="J108" s="57">
        <f>I108/$I$25</f>
        <v>0</v>
      </c>
    </row>
    <row r="109" spans="1:10" x14ac:dyDescent="0.25">
      <c r="A109" s="61">
        <v>2</v>
      </c>
      <c r="B109" s="50">
        <v>2</v>
      </c>
      <c r="C109" s="50">
        <v>2</v>
      </c>
      <c r="D109" s="50">
        <v>2</v>
      </c>
      <c r="E109" s="50"/>
      <c r="F109" s="87" t="s">
        <v>104</v>
      </c>
      <c r="G109" s="51">
        <f>+'ABRIL '!G109+'mayo 2025'!G109+'junioo '!G109</f>
        <v>351993.82999999996</v>
      </c>
      <c r="H109" s="51">
        <f>+'ABRIL '!H109+'mayo 2025'!H109+'junioo '!H109</f>
        <v>310139.40000000002</v>
      </c>
      <c r="I109" s="51">
        <f t="shared" si="4"/>
        <v>662133.23</v>
      </c>
      <c r="J109" s="58"/>
    </row>
    <row r="110" spans="1:10" x14ac:dyDescent="0.25">
      <c r="A110" s="62">
        <v>2</v>
      </c>
      <c r="B110" s="54">
        <v>2</v>
      </c>
      <c r="C110" s="54">
        <v>2</v>
      </c>
      <c r="D110" s="54">
        <v>2</v>
      </c>
      <c r="E110" s="55" t="s">
        <v>31</v>
      </c>
      <c r="F110" s="67" t="s">
        <v>104</v>
      </c>
      <c r="G110" s="56">
        <f>+'ABRIL '!G110+'mayo 2025'!G110+'junioo '!G110</f>
        <v>351993.82999999996</v>
      </c>
      <c r="H110" s="56">
        <f>+'ABRIL '!H110+'mayo 2025'!H110+'junioo '!H110</f>
        <v>310139.40000000002</v>
      </c>
      <c r="I110" s="56">
        <f t="shared" si="4"/>
        <v>662133.23</v>
      </c>
      <c r="J110" s="57">
        <f>I110/$I$25</f>
        <v>2.2246435316830497E-3</v>
      </c>
    </row>
    <row r="111" spans="1:10" x14ac:dyDescent="0.25">
      <c r="A111" s="60">
        <v>2</v>
      </c>
      <c r="B111" s="47">
        <v>2</v>
      </c>
      <c r="C111" s="47">
        <v>3</v>
      </c>
      <c r="D111" s="47"/>
      <c r="E111" s="47"/>
      <c r="F111" s="66" t="s">
        <v>105</v>
      </c>
      <c r="G111" s="48">
        <f>+'ABRIL '!G111+'mayo 2025'!G111+'junioo '!G111</f>
        <v>0</v>
      </c>
      <c r="H111" s="48">
        <f>+'ABRIL '!H111+'mayo 2025'!H111+'junioo '!H111</f>
        <v>0</v>
      </c>
      <c r="I111" s="48">
        <f t="shared" si="4"/>
        <v>0</v>
      </c>
      <c r="J111" s="45"/>
    </row>
    <row r="112" spans="1:10" x14ac:dyDescent="0.25">
      <c r="A112" s="61">
        <v>2</v>
      </c>
      <c r="B112" s="50">
        <v>2</v>
      </c>
      <c r="C112" s="50">
        <v>3</v>
      </c>
      <c r="D112" s="50">
        <v>1</v>
      </c>
      <c r="E112" s="50"/>
      <c r="F112" s="87" t="s">
        <v>106</v>
      </c>
      <c r="G112" s="51">
        <f>+'ABRIL '!G112+'mayo 2025'!G112+'junioo '!G112</f>
        <v>0</v>
      </c>
      <c r="H112" s="51">
        <f>+'ABRIL '!H112+'mayo 2025'!H112+'junioo '!H112</f>
        <v>0</v>
      </c>
      <c r="I112" s="51">
        <f t="shared" si="4"/>
        <v>0</v>
      </c>
      <c r="J112" s="58"/>
    </row>
    <row r="113" spans="1:10" x14ac:dyDescent="0.25">
      <c r="A113" s="62">
        <v>2</v>
      </c>
      <c r="B113" s="54">
        <v>2</v>
      </c>
      <c r="C113" s="54">
        <v>3</v>
      </c>
      <c r="D113" s="54">
        <v>1</v>
      </c>
      <c r="E113" s="55" t="s">
        <v>31</v>
      </c>
      <c r="F113" s="67" t="s">
        <v>106</v>
      </c>
      <c r="G113" s="56">
        <f>+'ABRIL '!G113+'mayo 2025'!G113+'junioo '!G113</f>
        <v>0</v>
      </c>
      <c r="H113" s="56">
        <f>+'ABRIL '!H113+'mayo 2025'!H113+'junioo '!H113</f>
        <v>0</v>
      </c>
      <c r="I113" s="56">
        <f t="shared" si="4"/>
        <v>0</v>
      </c>
      <c r="J113" s="57">
        <f>I113/$I$25</f>
        <v>0</v>
      </c>
    </row>
    <row r="114" spans="1:10" x14ac:dyDescent="0.25">
      <c r="A114" s="61">
        <v>2</v>
      </c>
      <c r="B114" s="50">
        <v>2</v>
      </c>
      <c r="C114" s="50">
        <v>3</v>
      </c>
      <c r="D114" s="50">
        <v>2</v>
      </c>
      <c r="E114" s="50"/>
      <c r="F114" s="87" t="s">
        <v>107</v>
      </c>
      <c r="G114" s="51">
        <f>+'ABRIL '!G114+'mayo 2025'!G114+'junioo '!G114</f>
        <v>0</v>
      </c>
      <c r="H114" s="51">
        <f>+'ABRIL '!H114+'mayo 2025'!H114+'junioo '!H114</f>
        <v>0</v>
      </c>
      <c r="I114" s="51">
        <f t="shared" si="4"/>
        <v>0</v>
      </c>
      <c r="J114" s="58"/>
    </row>
    <row r="115" spans="1:10" x14ac:dyDescent="0.25">
      <c r="A115" s="62">
        <v>2</v>
      </c>
      <c r="B115" s="54">
        <v>2</v>
      </c>
      <c r="C115" s="54">
        <v>3</v>
      </c>
      <c r="D115" s="54">
        <v>2</v>
      </c>
      <c r="E115" s="55" t="s">
        <v>31</v>
      </c>
      <c r="F115" s="67" t="s">
        <v>107</v>
      </c>
      <c r="G115" s="56">
        <f>+'ABRIL '!G115+'mayo 2025'!G115+'junioo '!G115</f>
        <v>0</v>
      </c>
      <c r="H115" s="56">
        <f>+'ABRIL '!H115+'mayo 2025'!H115+'junioo '!H115</f>
        <v>0</v>
      </c>
      <c r="I115" s="56">
        <f t="shared" si="4"/>
        <v>0</v>
      </c>
      <c r="J115" s="57">
        <f>I115/$I$25</f>
        <v>0</v>
      </c>
    </row>
    <row r="116" spans="1:10" x14ac:dyDescent="0.25">
      <c r="A116" s="60">
        <v>2</v>
      </c>
      <c r="B116" s="47">
        <v>2</v>
      </c>
      <c r="C116" s="47">
        <v>4</v>
      </c>
      <c r="D116" s="47"/>
      <c r="E116" s="47"/>
      <c r="F116" s="66" t="s">
        <v>108</v>
      </c>
      <c r="G116" s="48">
        <f>+'ABRIL '!G116+'mayo 2025'!G116+'junioo '!G116</f>
        <v>0</v>
      </c>
      <c r="H116" s="48">
        <f>+'ABRIL '!H116+'mayo 2025'!H116+'junioo '!H116</f>
        <v>96000</v>
      </c>
      <c r="I116" s="48">
        <f t="shared" si="4"/>
        <v>96000</v>
      </c>
      <c r="J116" s="45"/>
    </row>
    <row r="117" spans="1:10" x14ac:dyDescent="0.25">
      <c r="A117" s="61">
        <v>2</v>
      </c>
      <c r="B117" s="50">
        <v>2</v>
      </c>
      <c r="C117" s="50">
        <v>4</v>
      </c>
      <c r="D117" s="50">
        <v>1</v>
      </c>
      <c r="E117" s="50"/>
      <c r="F117" s="87" t="s">
        <v>109</v>
      </c>
      <c r="G117" s="51">
        <f>+'ABRIL '!G117+'mayo 2025'!G117+'junioo '!G117</f>
        <v>0</v>
      </c>
      <c r="H117" s="51">
        <f>+'ABRIL '!H117+'mayo 2025'!H117+'junioo '!H117</f>
        <v>20000</v>
      </c>
      <c r="I117" s="51">
        <f t="shared" si="4"/>
        <v>20000</v>
      </c>
      <c r="J117" s="58"/>
    </row>
    <row r="118" spans="1:10" x14ac:dyDescent="0.25">
      <c r="A118" s="62">
        <v>2</v>
      </c>
      <c r="B118" s="54">
        <v>2</v>
      </c>
      <c r="C118" s="54">
        <v>4</v>
      </c>
      <c r="D118" s="54">
        <v>1</v>
      </c>
      <c r="E118" s="55" t="s">
        <v>31</v>
      </c>
      <c r="F118" s="67" t="s">
        <v>109</v>
      </c>
      <c r="G118" s="56">
        <f>+'ABRIL '!G118+'mayo 2025'!G118+'junioo '!G118</f>
        <v>0</v>
      </c>
      <c r="H118" s="56">
        <f>+'ABRIL '!H118+'mayo 2025'!H118+'junioo '!H118</f>
        <v>20000</v>
      </c>
      <c r="I118" s="56">
        <f t="shared" si="4"/>
        <v>20000</v>
      </c>
      <c r="J118" s="57">
        <f>I118/$I$25</f>
        <v>6.7196250871838885E-5</v>
      </c>
    </row>
    <row r="119" spans="1:10" x14ac:dyDescent="0.25">
      <c r="A119" s="61">
        <v>2</v>
      </c>
      <c r="B119" s="50">
        <v>2</v>
      </c>
      <c r="C119" s="50">
        <v>4</v>
      </c>
      <c r="D119" s="50">
        <v>2</v>
      </c>
      <c r="E119" s="50"/>
      <c r="F119" s="87" t="s">
        <v>110</v>
      </c>
      <c r="G119" s="51">
        <f>+'ABRIL '!G119+'mayo 2025'!G119+'junioo '!G119</f>
        <v>0</v>
      </c>
      <c r="H119" s="51">
        <f>+'ABRIL '!H119+'mayo 2025'!H119+'junioo '!H119</f>
        <v>76000</v>
      </c>
      <c r="I119" s="51">
        <f t="shared" si="4"/>
        <v>76000</v>
      </c>
      <c r="J119" s="58"/>
    </row>
    <row r="120" spans="1:10" x14ac:dyDescent="0.25">
      <c r="A120" s="62">
        <v>2</v>
      </c>
      <c r="B120" s="54">
        <v>2</v>
      </c>
      <c r="C120" s="54">
        <v>4</v>
      </c>
      <c r="D120" s="54">
        <v>2</v>
      </c>
      <c r="E120" s="55" t="s">
        <v>31</v>
      </c>
      <c r="F120" s="67" t="s">
        <v>110</v>
      </c>
      <c r="G120" s="56">
        <f>+'ABRIL '!G120+'mayo 2025'!G120+'junioo '!G120</f>
        <v>0</v>
      </c>
      <c r="H120" s="56">
        <f>+'ABRIL '!H120+'mayo 2025'!H120+'junioo '!H120</f>
        <v>76000</v>
      </c>
      <c r="I120" s="56">
        <f t="shared" si="4"/>
        <v>76000</v>
      </c>
      <c r="J120" s="57">
        <f>I120/$I$25</f>
        <v>2.5534575331298776E-4</v>
      </c>
    </row>
    <row r="121" spans="1:10" x14ac:dyDescent="0.25">
      <c r="A121" s="61">
        <v>2</v>
      </c>
      <c r="B121" s="50">
        <v>2</v>
      </c>
      <c r="C121" s="50">
        <v>4</v>
      </c>
      <c r="D121" s="50">
        <v>3</v>
      </c>
      <c r="E121" s="50"/>
      <c r="F121" s="87" t="s">
        <v>111</v>
      </c>
      <c r="G121" s="51">
        <f>+'ABRIL '!G121+'mayo 2025'!G121+'junioo '!G121</f>
        <v>0</v>
      </c>
      <c r="H121" s="51">
        <f>+'ABRIL '!H121+'mayo 2025'!H121+'junioo '!H121</f>
        <v>0</v>
      </c>
      <c r="I121" s="51">
        <f t="shared" si="4"/>
        <v>0</v>
      </c>
      <c r="J121" s="58"/>
    </row>
    <row r="122" spans="1:10" x14ac:dyDescent="0.25">
      <c r="A122" s="62">
        <v>2</v>
      </c>
      <c r="B122" s="54">
        <v>2</v>
      </c>
      <c r="C122" s="54">
        <v>4</v>
      </c>
      <c r="D122" s="54">
        <v>3</v>
      </c>
      <c r="E122" s="55" t="s">
        <v>31</v>
      </c>
      <c r="F122" s="67" t="s">
        <v>111</v>
      </c>
      <c r="G122" s="56">
        <f>+'ABRIL '!G122+'mayo 2025'!G122+'junioo '!G122</f>
        <v>0</v>
      </c>
      <c r="H122" s="56">
        <f>+'ABRIL '!H122+'mayo 2025'!H122+'junioo '!H122</f>
        <v>0</v>
      </c>
      <c r="I122" s="56">
        <f t="shared" si="4"/>
        <v>0</v>
      </c>
      <c r="J122" s="57">
        <f>I122/$I$25</f>
        <v>0</v>
      </c>
    </row>
    <row r="123" spans="1:10" x14ac:dyDescent="0.25">
      <c r="A123" s="61">
        <v>2</v>
      </c>
      <c r="B123" s="50">
        <v>2</v>
      </c>
      <c r="C123" s="50">
        <v>4</v>
      </c>
      <c r="D123" s="50">
        <v>4</v>
      </c>
      <c r="E123" s="50"/>
      <c r="F123" s="87" t="s">
        <v>112</v>
      </c>
      <c r="G123" s="51">
        <f>+'ABRIL '!G123+'mayo 2025'!G123+'junioo '!G123</f>
        <v>0</v>
      </c>
      <c r="H123" s="51">
        <f>+'ABRIL '!H123+'mayo 2025'!H123+'junioo '!H123</f>
        <v>0</v>
      </c>
      <c r="I123" s="51">
        <f t="shared" si="4"/>
        <v>0</v>
      </c>
      <c r="J123" s="58"/>
    </row>
    <row r="124" spans="1:10" x14ac:dyDescent="0.25">
      <c r="A124" s="62">
        <v>2</v>
      </c>
      <c r="B124" s="54">
        <v>2</v>
      </c>
      <c r="C124" s="54">
        <v>4</v>
      </c>
      <c r="D124" s="54">
        <v>4</v>
      </c>
      <c r="E124" s="55" t="s">
        <v>31</v>
      </c>
      <c r="F124" s="67" t="s">
        <v>112</v>
      </c>
      <c r="G124" s="56">
        <f>+'ABRIL '!G124+'mayo 2025'!G124+'junioo '!G124</f>
        <v>0</v>
      </c>
      <c r="H124" s="56">
        <f>+'ABRIL '!H124+'mayo 2025'!H124+'junioo '!H124</f>
        <v>0</v>
      </c>
      <c r="I124" s="56">
        <f t="shared" si="4"/>
        <v>0</v>
      </c>
      <c r="J124" s="57">
        <f>I124/$I$25</f>
        <v>0</v>
      </c>
    </row>
    <row r="125" spans="1:10" x14ac:dyDescent="0.25">
      <c r="A125" s="46">
        <v>2</v>
      </c>
      <c r="B125" s="47">
        <v>2</v>
      </c>
      <c r="C125" s="47">
        <v>5</v>
      </c>
      <c r="D125" s="47"/>
      <c r="E125" s="47"/>
      <c r="F125" s="66" t="s">
        <v>113</v>
      </c>
      <c r="G125" s="48">
        <f>+'ABRIL '!G125+'mayo 2025'!G125+'junioo '!G125</f>
        <v>150000</v>
      </c>
      <c r="H125" s="48">
        <f>+'ABRIL '!H125+'mayo 2025'!H125+'junioo '!H125</f>
        <v>759170.42</v>
      </c>
      <c r="I125" s="48">
        <f t="shared" si="4"/>
        <v>909170.42</v>
      </c>
      <c r="J125" s="45"/>
    </row>
    <row r="126" spans="1:10" x14ac:dyDescent="0.25">
      <c r="A126" s="61">
        <v>2</v>
      </c>
      <c r="B126" s="50">
        <v>2</v>
      </c>
      <c r="C126" s="50">
        <v>5</v>
      </c>
      <c r="D126" s="50">
        <v>1</v>
      </c>
      <c r="E126" s="64"/>
      <c r="F126" s="87" t="s">
        <v>114</v>
      </c>
      <c r="G126" s="51">
        <f>+'ABRIL '!G126+'mayo 2025'!G126+'junioo '!G126</f>
        <v>0</v>
      </c>
      <c r="H126" s="51">
        <f>+'ABRIL '!H126+'mayo 2025'!H126+'junioo '!H126</f>
        <v>0</v>
      </c>
      <c r="I126" s="51">
        <f t="shared" si="4"/>
        <v>0</v>
      </c>
      <c r="J126" s="58"/>
    </row>
    <row r="127" spans="1:10" x14ac:dyDescent="0.25">
      <c r="A127" s="62">
        <v>2</v>
      </c>
      <c r="B127" s="54">
        <v>2</v>
      </c>
      <c r="C127" s="54">
        <v>5</v>
      </c>
      <c r="D127" s="54">
        <v>1</v>
      </c>
      <c r="E127" s="55" t="s">
        <v>31</v>
      </c>
      <c r="F127" s="67" t="s">
        <v>114</v>
      </c>
      <c r="G127" s="56">
        <f>+'ABRIL '!G127+'mayo 2025'!G127+'junioo '!G127</f>
        <v>0</v>
      </c>
      <c r="H127" s="56">
        <f>+'ABRIL '!H127+'mayo 2025'!H127+'junioo '!H127</f>
        <v>0</v>
      </c>
      <c r="I127" s="56">
        <f t="shared" si="4"/>
        <v>0</v>
      </c>
      <c r="J127" s="57">
        <f>I127/$I$25</f>
        <v>0</v>
      </c>
    </row>
    <row r="128" spans="1:10" x14ac:dyDescent="0.25">
      <c r="A128" s="61">
        <v>2</v>
      </c>
      <c r="B128" s="50">
        <v>2</v>
      </c>
      <c r="C128" s="50">
        <v>5</v>
      </c>
      <c r="D128" s="50">
        <v>2</v>
      </c>
      <c r="E128" s="64"/>
      <c r="F128" s="87" t="s">
        <v>115</v>
      </c>
      <c r="G128" s="51">
        <f>+'ABRIL '!G128+'mayo 2025'!G128+'junioo '!G128</f>
        <v>0</v>
      </c>
      <c r="H128" s="51">
        <f>+'ABRIL '!H128+'mayo 2025'!H128+'junioo '!H128</f>
        <v>0</v>
      </c>
      <c r="I128" s="51">
        <f t="shared" si="4"/>
        <v>0</v>
      </c>
      <c r="J128" s="58"/>
    </row>
    <row r="129" spans="1:10" x14ac:dyDescent="0.25">
      <c r="A129" s="62">
        <v>2</v>
      </c>
      <c r="B129" s="54">
        <v>2</v>
      </c>
      <c r="C129" s="54">
        <v>5</v>
      </c>
      <c r="D129" s="54">
        <v>2</v>
      </c>
      <c r="E129" s="55" t="s">
        <v>31</v>
      </c>
      <c r="F129" s="67" t="s">
        <v>116</v>
      </c>
      <c r="G129" s="56">
        <f>+'ABRIL '!G129+'mayo 2025'!G129+'junioo '!G129</f>
        <v>0</v>
      </c>
      <c r="H129" s="56">
        <f>+'ABRIL '!H129+'mayo 2025'!H129+'junioo '!H129</f>
        <v>0</v>
      </c>
      <c r="I129" s="56">
        <f t="shared" si="4"/>
        <v>0</v>
      </c>
      <c r="J129" s="57">
        <f>I129/$I$25</f>
        <v>0</v>
      </c>
    </row>
    <row r="130" spans="1:10" x14ac:dyDescent="0.25">
      <c r="A130" s="61">
        <v>2</v>
      </c>
      <c r="B130" s="50">
        <v>2</v>
      </c>
      <c r="C130" s="50">
        <v>5</v>
      </c>
      <c r="D130" s="50">
        <v>3</v>
      </c>
      <c r="E130" s="64"/>
      <c r="F130" s="87" t="s">
        <v>117</v>
      </c>
      <c r="G130" s="51">
        <f>+'ABRIL '!G130+'mayo 2025'!G130+'junioo '!G130</f>
        <v>0</v>
      </c>
      <c r="H130" s="51">
        <f>+'ABRIL '!H130+'mayo 2025'!H130+'junioo '!H130</f>
        <v>706070.42</v>
      </c>
      <c r="I130" s="51">
        <f t="shared" si="4"/>
        <v>706070.42</v>
      </c>
      <c r="J130" s="58"/>
    </row>
    <row r="131" spans="1:10" x14ac:dyDescent="0.25">
      <c r="A131" s="62">
        <v>2</v>
      </c>
      <c r="B131" s="54">
        <v>2</v>
      </c>
      <c r="C131" s="54">
        <v>5</v>
      </c>
      <c r="D131" s="54">
        <v>3</v>
      </c>
      <c r="E131" s="55" t="s">
        <v>31</v>
      </c>
      <c r="F131" s="67" t="s">
        <v>118</v>
      </c>
      <c r="G131" s="56">
        <f>+'ABRIL '!G131+'mayo 2025'!G131+'junioo '!G131</f>
        <v>0</v>
      </c>
      <c r="H131" s="56">
        <f>+'ABRIL '!H131+'mayo 2025'!H131+'junioo '!H131</f>
        <v>0</v>
      </c>
      <c r="I131" s="56">
        <f t="shared" si="4"/>
        <v>0</v>
      </c>
      <c r="J131" s="57">
        <f>I131/$I$25</f>
        <v>0</v>
      </c>
    </row>
    <row r="132" spans="1:10" ht="26.25" x14ac:dyDescent="0.25">
      <c r="A132" s="62">
        <v>2</v>
      </c>
      <c r="B132" s="54">
        <v>2</v>
      </c>
      <c r="C132" s="54">
        <v>5</v>
      </c>
      <c r="D132" s="54">
        <v>3</v>
      </c>
      <c r="E132" s="55" t="s">
        <v>33</v>
      </c>
      <c r="F132" s="67" t="s">
        <v>119</v>
      </c>
      <c r="G132" s="56">
        <f>+'ABRIL '!G132+'mayo 2025'!G132+'junioo '!G132</f>
        <v>0</v>
      </c>
      <c r="H132" s="56">
        <f>+'ABRIL '!H132+'mayo 2025'!H132+'junioo '!H132</f>
        <v>706070.42</v>
      </c>
      <c r="I132" s="56">
        <f t="shared" si="4"/>
        <v>706070.42</v>
      </c>
      <c r="J132" s="57">
        <f>I132/$I$25</f>
        <v>2.3722642537752324E-3</v>
      </c>
    </row>
    <row r="133" spans="1:10" x14ac:dyDescent="0.25">
      <c r="A133" s="62">
        <v>2</v>
      </c>
      <c r="B133" s="54">
        <v>2</v>
      </c>
      <c r="C133" s="54">
        <v>5</v>
      </c>
      <c r="D133" s="54">
        <v>3</v>
      </c>
      <c r="E133" s="55" t="s">
        <v>35</v>
      </c>
      <c r="F133" s="67" t="s">
        <v>120</v>
      </c>
      <c r="G133" s="56">
        <f>+'ABRIL '!G133+'mayo 2025'!G133+'junioo '!G133</f>
        <v>0</v>
      </c>
      <c r="H133" s="56">
        <f>+'ABRIL '!H133+'mayo 2025'!H133+'junioo '!H133</f>
        <v>0</v>
      </c>
      <c r="I133" s="56">
        <f t="shared" si="4"/>
        <v>0</v>
      </c>
      <c r="J133" s="57">
        <f>I133/$I$25</f>
        <v>0</v>
      </c>
    </row>
    <row r="134" spans="1:10" x14ac:dyDescent="0.25">
      <c r="A134" s="62">
        <v>2</v>
      </c>
      <c r="B134" s="54">
        <v>2</v>
      </c>
      <c r="C134" s="54">
        <v>5</v>
      </c>
      <c r="D134" s="54">
        <v>3</v>
      </c>
      <c r="E134" s="55" t="s">
        <v>37</v>
      </c>
      <c r="F134" s="67" t="s">
        <v>121</v>
      </c>
      <c r="G134" s="56">
        <f>+'ABRIL '!G134+'mayo 2025'!G134+'junioo '!G134</f>
        <v>0</v>
      </c>
      <c r="H134" s="56">
        <f>+'ABRIL '!H134+'mayo 2025'!H134+'junioo '!H134</f>
        <v>0</v>
      </c>
      <c r="I134" s="56">
        <f t="shared" si="4"/>
        <v>0</v>
      </c>
      <c r="J134" s="57">
        <f>I134/$I$25</f>
        <v>0</v>
      </c>
    </row>
    <row r="135" spans="1:10" ht="26.25" x14ac:dyDescent="0.25">
      <c r="A135" s="62">
        <v>2</v>
      </c>
      <c r="B135" s="54">
        <v>2</v>
      </c>
      <c r="C135" s="54">
        <v>5</v>
      </c>
      <c r="D135" s="54">
        <v>3</v>
      </c>
      <c r="E135" s="55" t="s">
        <v>39</v>
      </c>
      <c r="F135" s="67" t="s">
        <v>122</v>
      </c>
      <c r="G135" s="56">
        <f>+'ABRIL '!G135+'mayo 2025'!G135+'junioo '!G135</f>
        <v>0</v>
      </c>
      <c r="H135" s="56">
        <f>+'ABRIL '!H135+'mayo 2025'!H135+'junioo '!H135</f>
        <v>0</v>
      </c>
      <c r="I135" s="56">
        <f t="shared" si="4"/>
        <v>0</v>
      </c>
      <c r="J135" s="57">
        <f>I135/$I$25</f>
        <v>0</v>
      </c>
    </row>
    <row r="136" spans="1:10" ht="26.25" x14ac:dyDescent="0.25">
      <c r="A136" s="61">
        <v>2</v>
      </c>
      <c r="B136" s="50">
        <v>2</v>
      </c>
      <c r="C136" s="50">
        <v>5</v>
      </c>
      <c r="D136" s="50">
        <v>4</v>
      </c>
      <c r="E136" s="64"/>
      <c r="F136" s="87" t="s">
        <v>123</v>
      </c>
      <c r="G136" s="51">
        <f>+'ABRIL '!G136+'mayo 2025'!G136+'junioo '!G136</f>
        <v>0</v>
      </c>
      <c r="H136" s="51">
        <f>+'ABRIL '!H136+'mayo 2025'!H136+'junioo '!H136</f>
        <v>0</v>
      </c>
      <c r="I136" s="51">
        <f t="shared" si="4"/>
        <v>0</v>
      </c>
      <c r="J136" s="58"/>
    </row>
    <row r="137" spans="1:10" ht="26.25" x14ac:dyDescent="0.25">
      <c r="A137" s="62">
        <v>2</v>
      </c>
      <c r="B137" s="54">
        <v>2</v>
      </c>
      <c r="C137" s="54">
        <v>5</v>
      </c>
      <c r="D137" s="54">
        <v>4</v>
      </c>
      <c r="E137" s="55" t="s">
        <v>31</v>
      </c>
      <c r="F137" s="67" t="s">
        <v>123</v>
      </c>
      <c r="G137" s="56">
        <f>+'ABRIL '!G137+'mayo 2025'!G137+'junioo '!G137</f>
        <v>0</v>
      </c>
      <c r="H137" s="56">
        <f>+'ABRIL '!H137+'mayo 2025'!H137+'junioo '!H137</f>
        <v>0</v>
      </c>
      <c r="I137" s="56">
        <f t="shared" si="4"/>
        <v>0</v>
      </c>
      <c r="J137" s="57">
        <f>I137/$I$25</f>
        <v>0</v>
      </c>
    </row>
    <row r="138" spans="1:10" x14ac:dyDescent="0.25">
      <c r="A138" s="61">
        <v>2</v>
      </c>
      <c r="B138" s="50">
        <v>2</v>
      </c>
      <c r="C138" s="50">
        <v>5</v>
      </c>
      <c r="D138" s="50">
        <v>5</v>
      </c>
      <c r="E138" s="64"/>
      <c r="F138" s="87" t="s">
        <v>124</v>
      </c>
      <c r="G138" s="51">
        <f>+'ABRIL '!G138+'mayo 2025'!G138+'junioo '!G138</f>
        <v>0</v>
      </c>
      <c r="H138" s="51">
        <f>+'ABRIL '!H138+'mayo 2025'!H138+'junioo '!H138</f>
        <v>0</v>
      </c>
      <c r="I138" s="51">
        <f t="shared" si="4"/>
        <v>0</v>
      </c>
      <c r="J138" s="58"/>
    </row>
    <row r="139" spans="1:10" x14ac:dyDescent="0.25">
      <c r="A139" s="62">
        <v>2</v>
      </c>
      <c r="B139" s="54">
        <v>2</v>
      </c>
      <c r="C139" s="54">
        <v>5</v>
      </c>
      <c r="D139" s="54">
        <v>5</v>
      </c>
      <c r="E139" s="55" t="s">
        <v>31</v>
      </c>
      <c r="F139" s="67" t="s">
        <v>124</v>
      </c>
      <c r="G139" s="56">
        <f>+'ABRIL '!G139+'mayo 2025'!G139+'junioo '!G139</f>
        <v>0</v>
      </c>
      <c r="H139" s="56">
        <f>+'ABRIL '!H139+'mayo 2025'!H139+'junioo '!H139</f>
        <v>0</v>
      </c>
      <c r="I139" s="56">
        <f t="shared" si="4"/>
        <v>0</v>
      </c>
      <c r="J139" s="57">
        <f>I139/$I$25</f>
        <v>0</v>
      </c>
    </row>
    <row r="140" spans="1:10" x14ac:dyDescent="0.25">
      <c r="A140" s="61">
        <v>2</v>
      </c>
      <c r="B140" s="50">
        <v>2</v>
      </c>
      <c r="C140" s="50">
        <v>5</v>
      </c>
      <c r="D140" s="50">
        <v>6</v>
      </c>
      <c r="E140" s="64"/>
      <c r="F140" s="87" t="s">
        <v>125</v>
      </c>
      <c r="G140" s="51">
        <f>+'ABRIL '!G140+'mayo 2025'!G140+'junioo '!G140</f>
        <v>0</v>
      </c>
      <c r="H140" s="51">
        <f>+'ABRIL '!H140+'mayo 2025'!H140+'junioo '!H140</f>
        <v>0</v>
      </c>
      <c r="I140" s="51">
        <f t="shared" si="4"/>
        <v>0</v>
      </c>
      <c r="J140" s="58"/>
    </row>
    <row r="141" spans="1:10" x14ac:dyDescent="0.25">
      <c r="A141" s="62">
        <v>2</v>
      </c>
      <c r="B141" s="54">
        <v>2</v>
      </c>
      <c r="C141" s="54">
        <v>5</v>
      </c>
      <c r="D141" s="54">
        <v>6</v>
      </c>
      <c r="E141" s="55" t="s">
        <v>31</v>
      </c>
      <c r="F141" s="67" t="s">
        <v>125</v>
      </c>
      <c r="G141" s="56">
        <f>+'ABRIL '!G141+'mayo 2025'!G141+'junioo '!G141</f>
        <v>0</v>
      </c>
      <c r="H141" s="56">
        <f>+'ABRIL '!H141+'mayo 2025'!H141+'junioo '!H141</f>
        <v>0</v>
      </c>
      <c r="I141" s="56">
        <f t="shared" si="4"/>
        <v>0</v>
      </c>
      <c r="J141" s="57">
        <f>I141/$I$25</f>
        <v>0</v>
      </c>
    </row>
    <row r="142" spans="1:10" ht="26.25" x14ac:dyDescent="0.25">
      <c r="A142" s="61">
        <v>2</v>
      </c>
      <c r="B142" s="50">
        <v>2</v>
      </c>
      <c r="C142" s="50">
        <v>5</v>
      </c>
      <c r="D142" s="50">
        <v>7</v>
      </c>
      <c r="E142" s="64"/>
      <c r="F142" s="87" t="s">
        <v>126</v>
      </c>
      <c r="G142" s="51">
        <f>+'ABRIL '!G142+'mayo 2025'!G142+'junioo '!G142</f>
        <v>0</v>
      </c>
      <c r="H142" s="51">
        <f>+'ABRIL '!H142+'mayo 2025'!H142+'junioo '!H142</f>
        <v>0</v>
      </c>
      <c r="I142" s="51">
        <f t="shared" si="4"/>
        <v>0</v>
      </c>
      <c r="J142" s="58"/>
    </row>
    <row r="143" spans="1:10" ht="26.25" x14ac:dyDescent="0.25">
      <c r="A143" s="62">
        <v>2</v>
      </c>
      <c r="B143" s="54">
        <v>2</v>
      </c>
      <c r="C143" s="54">
        <v>5</v>
      </c>
      <c r="D143" s="54">
        <v>7</v>
      </c>
      <c r="E143" s="55" t="s">
        <v>31</v>
      </c>
      <c r="F143" s="67" t="s">
        <v>126</v>
      </c>
      <c r="G143" s="56">
        <f>+'ABRIL '!G143+'mayo 2025'!G143+'junioo '!G143</f>
        <v>0</v>
      </c>
      <c r="H143" s="56">
        <f>+'ABRIL '!H143+'mayo 2025'!H143+'junioo '!H143</f>
        <v>0</v>
      </c>
      <c r="I143" s="56">
        <f t="shared" si="4"/>
        <v>0</v>
      </c>
      <c r="J143" s="57">
        <f>I143/$I$25</f>
        <v>0</v>
      </c>
    </row>
    <row r="144" spans="1:10" x14ac:dyDescent="0.25">
      <c r="A144" s="61">
        <v>2</v>
      </c>
      <c r="B144" s="50">
        <v>2</v>
      </c>
      <c r="C144" s="50">
        <v>5</v>
      </c>
      <c r="D144" s="50">
        <v>8</v>
      </c>
      <c r="E144" s="64"/>
      <c r="F144" s="87" t="s">
        <v>127</v>
      </c>
      <c r="G144" s="51">
        <f>+'ABRIL '!G144+'mayo 2025'!G144+'junioo '!G144</f>
        <v>0</v>
      </c>
      <c r="H144" s="51">
        <f>+'ABRIL '!H144+'mayo 2025'!H144+'junioo '!H144</f>
        <v>53100</v>
      </c>
      <c r="I144" s="51">
        <f t="shared" si="4"/>
        <v>53100</v>
      </c>
      <c r="J144" s="58"/>
    </row>
    <row r="145" spans="1:10" x14ac:dyDescent="0.25">
      <c r="A145" s="62">
        <v>2</v>
      </c>
      <c r="B145" s="54">
        <v>2</v>
      </c>
      <c r="C145" s="54">
        <v>5</v>
      </c>
      <c r="D145" s="54">
        <v>8</v>
      </c>
      <c r="E145" s="55" t="s">
        <v>31</v>
      </c>
      <c r="F145" s="67" t="s">
        <v>127</v>
      </c>
      <c r="G145" s="56">
        <f>+'ABRIL '!G145+'mayo 2025'!G145+'junioo '!G145</f>
        <v>0</v>
      </c>
      <c r="H145" s="56">
        <f>+'ABRIL '!H145+'mayo 2025'!H145+'junioo '!H145</f>
        <v>53100</v>
      </c>
      <c r="I145" s="56">
        <f t="shared" si="4"/>
        <v>53100</v>
      </c>
      <c r="J145" s="57">
        <f>I145/$I$25</f>
        <v>1.7840604606473223E-4</v>
      </c>
    </row>
    <row r="146" spans="1:10" x14ac:dyDescent="0.25">
      <c r="A146" s="61">
        <v>2</v>
      </c>
      <c r="B146" s="50">
        <v>2</v>
      </c>
      <c r="C146" s="50">
        <v>5</v>
      </c>
      <c r="D146" s="50">
        <v>9</v>
      </c>
      <c r="E146" s="64"/>
      <c r="F146" s="87" t="s">
        <v>128</v>
      </c>
      <c r="G146" s="51">
        <f>+'ABRIL '!G146+'mayo 2025'!G146+'junioo '!G146</f>
        <v>150000</v>
      </c>
      <c r="H146" s="51">
        <f>+'ABRIL '!H146+'mayo 2025'!H146+'junioo '!H146</f>
        <v>0</v>
      </c>
      <c r="I146" s="51">
        <f t="shared" si="4"/>
        <v>150000</v>
      </c>
      <c r="J146" s="58"/>
    </row>
    <row r="147" spans="1:10" x14ac:dyDescent="0.25">
      <c r="A147" s="62">
        <v>2</v>
      </c>
      <c r="B147" s="54">
        <v>2</v>
      </c>
      <c r="C147" s="54">
        <v>5</v>
      </c>
      <c r="D147" s="54">
        <v>9</v>
      </c>
      <c r="E147" s="55" t="s">
        <v>31</v>
      </c>
      <c r="F147" s="67" t="s">
        <v>129</v>
      </c>
      <c r="G147" s="56">
        <f>+'ABRIL '!G147+'mayo 2025'!G147+'junioo '!G147</f>
        <v>150000</v>
      </c>
      <c r="H147" s="56">
        <f>+'ABRIL '!H147+'mayo 2025'!H147+'junioo '!H147</f>
        <v>0</v>
      </c>
      <c r="I147" s="56">
        <f t="shared" si="4"/>
        <v>150000</v>
      </c>
      <c r="J147" s="57">
        <f>I147/$I$25</f>
        <v>5.0397188153879159E-4</v>
      </c>
    </row>
    <row r="148" spans="1:10" x14ac:dyDescent="0.25">
      <c r="A148" s="46">
        <v>2</v>
      </c>
      <c r="B148" s="47">
        <v>2</v>
      </c>
      <c r="C148" s="47">
        <v>6</v>
      </c>
      <c r="D148" s="47"/>
      <c r="E148" s="47"/>
      <c r="F148" s="66" t="s">
        <v>130</v>
      </c>
      <c r="G148" s="48">
        <f>+'ABRIL '!G148+'mayo 2025'!G148+'junioo '!G148</f>
        <v>0</v>
      </c>
      <c r="H148" s="48">
        <f>+'ABRIL '!H148+'mayo 2025'!H148+'junioo '!H148</f>
        <v>0</v>
      </c>
      <c r="I148" s="48">
        <f t="shared" si="4"/>
        <v>0</v>
      </c>
      <c r="J148" s="45"/>
    </row>
    <row r="149" spans="1:10" x14ac:dyDescent="0.25">
      <c r="A149" s="61">
        <v>2</v>
      </c>
      <c r="B149" s="50">
        <v>2</v>
      </c>
      <c r="C149" s="50">
        <v>6</v>
      </c>
      <c r="D149" s="50">
        <v>1</v>
      </c>
      <c r="E149" s="64"/>
      <c r="F149" s="87" t="s">
        <v>131</v>
      </c>
      <c r="G149" s="51">
        <f>+'ABRIL '!G149+'mayo 2025'!G149+'junioo '!G149</f>
        <v>0</v>
      </c>
      <c r="H149" s="51">
        <f>+'ABRIL '!H149+'mayo 2025'!H149+'junioo '!H149</f>
        <v>0</v>
      </c>
      <c r="I149" s="51">
        <f t="shared" si="4"/>
        <v>0</v>
      </c>
      <c r="J149" s="58"/>
    </row>
    <row r="150" spans="1:10" x14ac:dyDescent="0.25">
      <c r="A150" s="62">
        <v>2</v>
      </c>
      <c r="B150" s="54">
        <v>2</v>
      </c>
      <c r="C150" s="54">
        <v>6</v>
      </c>
      <c r="D150" s="54">
        <v>1</v>
      </c>
      <c r="E150" s="55" t="s">
        <v>31</v>
      </c>
      <c r="F150" s="67" t="s">
        <v>131</v>
      </c>
      <c r="G150" s="56">
        <f>+'ABRIL '!G150+'mayo 2025'!G150+'junioo '!G150</f>
        <v>0</v>
      </c>
      <c r="H150" s="56">
        <f>+'ABRIL '!H150+'mayo 2025'!H150+'junioo '!H150</f>
        <v>0</v>
      </c>
      <c r="I150" s="56">
        <f t="shared" si="4"/>
        <v>0</v>
      </c>
      <c r="J150" s="57">
        <f>I150/$I$25</f>
        <v>0</v>
      </c>
    </row>
    <row r="151" spans="1:10" x14ac:dyDescent="0.25">
      <c r="A151" s="61">
        <v>2</v>
      </c>
      <c r="B151" s="50">
        <v>2</v>
      </c>
      <c r="C151" s="50">
        <v>6</v>
      </c>
      <c r="D151" s="50">
        <v>2</v>
      </c>
      <c r="E151" s="50"/>
      <c r="F151" s="87" t="s">
        <v>132</v>
      </c>
      <c r="G151" s="51">
        <f>+'ABRIL '!G151+'mayo 2025'!G151+'junioo '!G151</f>
        <v>0</v>
      </c>
      <c r="H151" s="51">
        <f>+'ABRIL '!H151+'mayo 2025'!H151+'junioo '!H151</f>
        <v>0</v>
      </c>
      <c r="I151" s="51">
        <f t="shared" si="4"/>
        <v>0</v>
      </c>
      <c r="J151" s="58"/>
    </row>
    <row r="152" spans="1:10" x14ac:dyDescent="0.25">
      <c r="A152" s="62">
        <v>2</v>
      </c>
      <c r="B152" s="54">
        <v>2</v>
      </c>
      <c r="C152" s="54">
        <v>6</v>
      </c>
      <c r="D152" s="54">
        <v>2</v>
      </c>
      <c r="E152" s="55" t="s">
        <v>31</v>
      </c>
      <c r="F152" s="67" t="s">
        <v>132</v>
      </c>
      <c r="G152" s="56">
        <f>+'ABRIL '!G152+'mayo 2025'!G152+'junioo '!G152</f>
        <v>0</v>
      </c>
      <c r="H152" s="56">
        <f>+'ABRIL '!H152+'mayo 2025'!H152+'junioo '!H152</f>
        <v>0</v>
      </c>
      <c r="I152" s="56">
        <f t="shared" si="4"/>
        <v>0</v>
      </c>
      <c r="J152" s="57">
        <f>I152/$I$25</f>
        <v>0</v>
      </c>
    </row>
    <row r="153" spans="1:10" x14ac:dyDescent="0.25">
      <c r="A153" s="61">
        <v>2</v>
      </c>
      <c r="B153" s="50">
        <v>2</v>
      </c>
      <c r="C153" s="50">
        <v>6</v>
      </c>
      <c r="D153" s="50">
        <v>3</v>
      </c>
      <c r="E153" s="50"/>
      <c r="F153" s="87" t="s">
        <v>133</v>
      </c>
      <c r="G153" s="51">
        <f>+'ABRIL '!G153+'mayo 2025'!G153+'junioo '!G153</f>
        <v>0</v>
      </c>
      <c r="H153" s="51">
        <f>+'ABRIL '!H153+'mayo 2025'!H153+'junioo '!H153</f>
        <v>0</v>
      </c>
      <c r="I153" s="51">
        <f t="shared" ref="I153:I216" si="5">SUM(G153:H153)</f>
        <v>0</v>
      </c>
      <c r="J153" s="58"/>
    </row>
    <row r="154" spans="1:10" x14ac:dyDescent="0.25">
      <c r="A154" s="62">
        <v>2</v>
      </c>
      <c r="B154" s="54">
        <v>2</v>
      </c>
      <c r="C154" s="54">
        <v>6</v>
      </c>
      <c r="D154" s="54">
        <v>3</v>
      </c>
      <c r="E154" s="55" t="s">
        <v>31</v>
      </c>
      <c r="F154" s="67" t="s">
        <v>133</v>
      </c>
      <c r="G154" s="56">
        <f>+'ABRIL '!G154+'mayo 2025'!G154+'junioo '!G154</f>
        <v>0</v>
      </c>
      <c r="H154" s="56">
        <f>+'ABRIL '!H154+'mayo 2025'!H154+'junioo '!H154</f>
        <v>0</v>
      </c>
      <c r="I154" s="56">
        <f t="shared" si="5"/>
        <v>0</v>
      </c>
      <c r="J154" s="57">
        <f>I154/$I$25</f>
        <v>0</v>
      </c>
    </row>
    <row r="155" spans="1:10" x14ac:dyDescent="0.25">
      <c r="A155" s="61">
        <v>2</v>
      </c>
      <c r="B155" s="50">
        <v>2</v>
      </c>
      <c r="C155" s="50">
        <v>6</v>
      </c>
      <c r="D155" s="50">
        <v>4</v>
      </c>
      <c r="E155" s="50"/>
      <c r="F155" s="87" t="s">
        <v>134</v>
      </c>
      <c r="G155" s="51">
        <f>+'ABRIL '!G155+'mayo 2025'!G155+'junioo '!G155</f>
        <v>0</v>
      </c>
      <c r="H155" s="51">
        <f>+'ABRIL '!H155+'mayo 2025'!H155+'junioo '!H155</f>
        <v>0</v>
      </c>
      <c r="I155" s="51">
        <f t="shared" si="5"/>
        <v>0</v>
      </c>
      <c r="J155" s="58"/>
    </row>
    <row r="156" spans="1:10" x14ac:dyDescent="0.25">
      <c r="A156" s="62">
        <v>2</v>
      </c>
      <c r="B156" s="54">
        <v>2</v>
      </c>
      <c r="C156" s="54">
        <v>6</v>
      </c>
      <c r="D156" s="54">
        <v>4</v>
      </c>
      <c r="E156" s="55" t="s">
        <v>31</v>
      </c>
      <c r="F156" s="67" t="s">
        <v>134</v>
      </c>
      <c r="G156" s="56">
        <f>+'ABRIL '!G156+'mayo 2025'!G156+'junioo '!G156</f>
        <v>0</v>
      </c>
      <c r="H156" s="56">
        <f>+'ABRIL '!H156+'mayo 2025'!H156+'junioo '!H156</f>
        <v>0</v>
      </c>
      <c r="I156" s="56">
        <f t="shared" si="5"/>
        <v>0</v>
      </c>
      <c r="J156" s="57">
        <f>I156/$I$25</f>
        <v>0</v>
      </c>
    </row>
    <row r="157" spans="1:10" ht="26.25" x14ac:dyDescent="0.25">
      <c r="A157" s="46">
        <v>2</v>
      </c>
      <c r="B157" s="47">
        <v>2</v>
      </c>
      <c r="C157" s="47">
        <v>7</v>
      </c>
      <c r="D157" s="47"/>
      <c r="E157" s="65"/>
      <c r="F157" s="66" t="s">
        <v>135</v>
      </c>
      <c r="G157" s="48">
        <f>+'ABRIL '!G157+'mayo 2025'!G157+'junioo '!G157</f>
        <v>5611474.3300000001</v>
      </c>
      <c r="H157" s="48">
        <f>+'ABRIL '!H157+'mayo 2025'!H157+'junioo '!H157</f>
        <v>1040817.5699999998</v>
      </c>
      <c r="I157" s="48">
        <f t="shared" si="5"/>
        <v>6652291.9000000004</v>
      </c>
      <c r="J157" s="45"/>
    </row>
    <row r="158" spans="1:10" x14ac:dyDescent="0.25">
      <c r="A158" s="61">
        <v>2</v>
      </c>
      <c r="B158" s="50">
        <v>2</v>
      </c>
      <c r="C158" s="50">
        <v>7</v>
      </c>
      <c r="D158" s="50">
        <v>1</v>
      </c>
      <c r="E158" s="50"/>
      <c r="F158" s="87" t="s">
        <v>136</v>
      </c>
      <c r="G158" s="51">
        <f>+'ABRIL '!G158+'mayo 2025'!G158+'junioo '!G158</f>
        <v>3523307.98</v>
      </c>
      <c r="H158" s="51">
        <f>+'ABRIL '!H158+'mayo 2025'!H158+'junioo '!H158</f>
        <v>291269.73</v>
      </c>
      <c r="I158" s="51">
        <f t="shared" si="5"/>
        <v>3814577.71</v>
      </c>
      <c r="J158" s="58"/>
    </row>
    <row r="159" spans="1:10" x14ac:dyDescent="0.25">
      <c r="A159" s="53">
        <v>2</v>
      </c>
      <c r="B159" s="54">
        <v>2</v>
      </c>
      <c r="C159" s="54">
        <v>7</v>
      </c>
      <c r="D159" s="54">
        <v>1</v>
      </c>
      <c r="E159" s="55" t="s">
        <v>31</v>
      </c>
      <c r="F159" s="67" t="s">
        <v>137</v>
      </c>
      <c r="G159" s="56">
        <f>+'ABRIL '!G159+'mayo 2025'!G159+'junioo '!G159</f>
        <v>3523307.98</v>
      </c>
      <c r="H159" s="56">
        <f>+'ABRIL '!H159+'mayo 2025'!H159+'junioo '!H159</f>
        <v>199877.53</v>
      </c>
      <c r="I159" s="56">
        <f t="shared" si="5"/>
        <v>3723185.51</v>
      </c>
      <c r="J159" s="57">
        <f t="shared" ref="J159:J166" si="6">I159/$I$25</f>
        <v>1.2509205378617768E-2</v>
      </c>
    </row>
    <row r="160" spans="1:10" ht="26.25" x14ac:dyDescent="0.25">
      <c r="A160" s="53">
        <v>2</v>
      </c>
      <c r="B160" s="54">
        <v>2</v>
      </c>
      <c r="C160" s="54">
        <v>7</v>
      </c>
      <c r="D160" s="54">
        <v>1</v>
      </c>
      <c r="E160" s="55" t="s">
        <v>33</v>
      </c>
      <c r="F160" s="67" t="s">
        <v>138</v>
      </c>
      <c r="G160" s="56">
        <f>+'ABRIL '!G160+'mayo 2025'!G160+'junioo '!G160</f>
        <v>0</v>
      </c>
      <c r="H160" s="56">
        <f>+'ABRIL '!H160+'mayo 2025'!H160+'junioo '!H160</f>
        <v>0</v>
      </c>
      <c r="I160" s="56">
        <f t="shared" si="5"/>
        <v>0</v>
      </c>
      <c r="J160" s="57">
        <f t="shared" si="6"/>
        <v>0</v>
      </c>
    </row>
    <row r="161" spans="1:10" ht="26.25" x14ac:dyDescent="0.25">
      <c r="A161" s="53">
        <v>2</v>
      </c>
      <c r="B161" s="54">
        <v>2</v>
      </c>
      <c r="C161" s="54">
        <v>7</v>
      </c>
      <c r="D161" s="54">
        <v>1</v>
      </c>
      <c r="E161" s="55" t="s">
        <v>35</v>
      </c>
      <c r="F161" s="67" t="s">
        <v>139</v>
      </c>
      <c r="G161" s="56">
        <f>+'ABRIL '!G161+'mayo 2025'!G161+'junioo '!G161</f>
        <v>0</v>
      </c>
      <c r="H161" s="56">
        <f>+'ABRIL '!H161+'mayo 2025'!H161+'junioo '!H161</f>
        <v>0</v>
      </c>
      <c r="I161" s="56">
        <f t="shared" si="5"/>
        <v>0</v>
      </c>
      <c r="J161" s="57">
        <f t="shared" si="6"/>
        <v>0</v>
      </c>
    </row>
    <row r="162" spans="1:10" ht="26.25" x14ac:dyDescent="0.25">
      <c r="A162" s="53">
        <v>2</v>
      </c>
      <c r="B162" s="54">
        <v>2</v>
      </c>
      <c r="C162" s="54">
        <v>7</v>
      </c>
      <c r="D162" s="54">
        <v>1</v>
      </c>
      <c r="E162" s="55" t="s">
        <v>37</v>
      </c>
      <c r="F162" s="67" t="s">
        <v>140</v>
      </c>
      <c r="G162" s="56">
        <f>+'ABRIL '!G162+'mayo 2025'!G162+'junioo '!G162</f>
        <v>0</v>
      </c>
      <c r="H162" s="56">
        <f>+'ABRIL '!H162+'mayo 2025'!H162+'junioo '!H162</f>
        <v>0</v>
      </c>
      <c r="I162" s="56">
        <f t="shared" si="5"/>
        <v>0</v>
      </c>
      <c r="J162" s="57">
        <f t="shared" si="6"/>
        <v>0</v>
      </c>
    </row>
    <row r="163" spans="1:10" x14ac:dyDescent="0.25">
      <c r="A163" s="53">
        <v>2</v>
      </c>
      <c r="B163" s="54">
        <v>2</v>
      </c>
      <c r="C163" s="54">
        <v>7</v>
      </c>
      <c r="D163" s="54">
        <v>1</v>
      </c>
      <c r="E163" s="55" t="s">
        <v>39</v>
      </c>
      <c r="F163" s="67" t="s">
        <v>141</v>
      </c>
      <c r="G163" s="56">
        <f>+'ABRIL '!G163+'mayo 2025'!G163+'junioo '!G163</f>
        <v>0</v>
      </c>
      <c r="H163" s="56">
        <f>+'ABRIL '!H163+'mayo 2025'!H163+'junioo '!H163</f>
        <v>0</v>
      </c>
      <c r="I163" s="56">
        <f t="shared" si="5"/>
        <v>0</v>
      </c>
      <c r="J163" s="57">
        <f t="shared" si="6"/>
        <v>0</v>
      </c>
    </row>
    <row r="164" spans="1:10" x14ac:dyDescent="0.25">
      <c r="A164" s="53">
        <v>2</v>
      </c>
      <c r="B164" s="54">
        <v>2</v>
      </c>
      <c r="C164" s="54">
        <v>7</v>
      </c>
      <c r="D164" s="54">
        <v>1</v>
      </c>
      <c r="E164" s="55" t="s">
        <v>41</v>
      </c>
      <c r="F164" s="67" t="s">
        <v>142</v>
      </c>
      <c r="G164" s="56">
        <f>+'ABRIL '!G164+'mayo 2025'!G164+'junioo '!G164</f>
        <v>0</v>
      </c>
      <c r="H164" s="56">
        <f>+'ABRIL '!H164+'mayo 2025'!H164+'junioo '!H164</f>
        <v>0</v>
      </c>
      <c r="I164" s="56">
        <f t="shared" si="5"/>
        <v>0</v>
      </c>
      <c r="J164" s="57">
        <f t="shared" si="6"/>
        <v>0</v>
      </c>
    </row>
    <row r="165" spans="1:10" ht="26.25" x14ac:dyDescent="0.25">
      <c r="A165" s="53">
        <v>2</v>
      </c>
      <c r="B165" s="54">
        <v>2</v>
      </c>
      <c r="C165" s="54">
        <v>7</v>
      </c>
      <c r="D165" s="54">
        <v>1</v>
      </c>
      <c r="E165" s="55" t="s">
        <v>67</v>
      </c>
      <c r="F165" s="67" t="s">
        <v>143</v>
      </c>
      <c r="G165" s="56">
        <f>+'ABRIL '!G165+'mayo 2025'!G165+'junioo '!G165</f>
        <v>0</v>
      </c>
      <c r="H165" s="56">
        <f>+'ABRIL '!H165+'mayo 2025'!H165+'junioo '!H165</f>
        <v>0</v>
      </c>
      <c r="I165" s="56">
        <f t="shared" si="5"/>
        <v>0</v>
      </c>
      <c r="J165" s="57">
        <f t="shared" si="6"/>
        <v>0</v>
      </c>
    </row>
    <row r="166" spans="1:10" ht="26.25" x14ac:dyDescent="0.25">
      <c r="A166" s="53">
        <v>2</v>
      </c>
      <c r="B166" s="54">
        <v>2</v>
      </c>
      <c r="C166" s="54">
        <v>7</v>
      </c>
      <c r="D166" s="54">
        <v>1</v>
      </c>
      <c r="E166" s="55" t="s">
        <v>144</v>
      </c>
      <c r="F166" s="67" t="s">
        <v>145</v>
      </c>
      <c r="G166" s="56">
        <f>+'ABRIL '!G166+'mayo 2025'!G166+'junioo '!G166</f>
        <v>0</v>
      </c>
      <c r="H166" s="56">
        <f>+'ABRIL '!H166+'mayo 2025'!H166+'junioo '!H166</f>
        <v>91392.2</v>
      </c>
      <c r="I166" s="56">
        <f t="shared" si="5"/>
        <v>91392.2</v>
      </c>
      <c r="J166" s="57">
        <f t="shared" si="6"/>
        <v>3.0706065994646364E-4</v>
      </c>
    </row>
    <row r="167" spans="1:10" x14ac:dyDescent="0.25">
      <c r="A167" s="61">
        <v>2</v>
      </c>
      <c r="B167" s="50">
        <v>2</v>
      </c>
      <c r="C167" s="50">
        <v>7</v>
      </c>
      <c r="D167" s="50">
        <v>2</v>
      </c>
      <c r="E167" s="50"/>
      <c r="F167" s="87" t="s">
        <v>146</v>
      </c>
      <c r="G167" s="51">
        <f>+'ABRIL '!G167+'mayo 2025'!G167+'junioo '!G167</f>
        <v>2088166.35</v>
      </c>
      <c r="H167" s="51">
        <f>+'ABRIL '!H167+'mayo 2025'!H167+'junioo '!H167</f>
        <v>749547.83999999985</v>
      </c>
      <c r="I167" s="51">
        <f t="shared" si="5"/>
        <v>2837714.19</v>
      </c>
      <c r="J167" s="58"/>
    </row>
    <row r="168" spans="1:10" ht="26.25" x14ac:dyDescent="0.25">
      <c r="A168" s="53">
        <v>2</v>
      </c>
      <c r="B168" s="54">
        <v>2</v>
      </c>
      <c r="C168" s="54">
        <v>7</v>
      </c>
      <c r="D168" s="54">
        <v>2</v>
      </c>
      <c r="E168" s="55" t="s">
        <v>31</v>
      </c>
      <c r="F168" s="67" t="s">
        <v>147</v>
      </c>
      <c r="G168" s="56">
        <f>+'ABRIL '!G168+'mayo 2025'!G168+'junioo '!G168</f>
        <v>0</v>
      </c>
      <c r="H168" s="56">
        <f>+'ABRIL '!H168+'mayo 2025'!H168+'junioo '!H168</f>
        <v>0</v>
      </c>
      <c r="I168" s="56">
        <f t="shared" si="5"/>
        <v>0</v>
      </c>
      <c r="J168" s="57">
        <f t="shared" ref="J168:J176" si="7">I168/$I$25</f>
        <v>0</v>
      </c>
    </row>
    <row r="169" spans="1:10" ht="26.25" x14ac:dyDescent="0.25">
      <c r="A169" s="53">
        <v>2</v>
      </c>
      <c r="B169" s="54">
        <v>2</v>
      </c>
      <c r="C169" s="54">
        <v>7</v>
      </c>
      <c r="D169" s="54">
        <v>2</v>
      </c>
      <c r="E169" s="55" t="s">
        <v>33</v>
      </c>
      <c r="F169" s="67" t="s">
        <v>148</v>
      </c>
      <c r="G169" s="56">
        <f>+'ABRIL '!G169+'mayo 2025'!G169+'junioo '!G169</f>
        <v>0</v>
      </c>
      <c r="H169" s="56">
        <f>+'ABRIL '!H169+'mayo 2025'!H169+'junioo '!H169</f>
        <v>0</v>
      </c>
      <c r="I169" s="56">
        <f t="shared" si="5"/>
        <v>0</v>
      </c>
      <c r="J169" s="57">
        <f t="shared" si="7"/>
        <v>0</v>
      </c>
    </row>
    <row r="170" spans="1:10" ht="26.25" x14ac:dyDescent="0.25">
      <c r="A170" s="53">
        <v>2</v>
      </c>
      <c r="B170" s="54">
        <v>2</v>
      </c>
      <c r="C170" s="54">
        <v>7</v>
      </c>
      <c r="D170" s="54">
        <v>2</v>
      </c>
      <c r="E170" s="55" t="s">
        <v>35</v>
      </c>
      <c r="F170" s="67" t="s">
        <v>149</v>
      </c>
      <c r="G170" s="56">
        <f>+'ABRIL '!G170+'mayo 2025'!G170+'junioo '!G170</f>
        <v>0</v>
      </c>
      <c r="H170" s="56">
        <f>+'ABRIL '!H170+'mayo 2025'!H170+'junioo '!H170</f>
        <v>0</v>
      </c>
      <c r="I170" s="56">
        <f t="shared" si="5"/>
        <v>0</v>
      </c>
      <c r="J170" s="57">
        <f t="shared" si="7"/>
        <v>0</v>
      </c>
    </row>
    <row r="171" spans="1:10" ht="26.25" x14ac:dyDescent="0.25">
      <c r="A171" s="53">
        <v>2</v>
      </c>
      <c r="B171" s="54">
        <v>2</v>
      </c>
      <c r="C171" s="54">
        <v>7</v>
      </c>
      <c r="D171" s="54">
        <v>2</v>
      </c>
      <c r="E171" s="55" t="s">
        <v>37</v>
      </c>
      <c r="F171" s="67" t="s">
        <v>150</v>
      </c>
      <c r="G171" s="56">
        <f>+'ABRIL '!G171+'mayo 2025'!G171+'junioo '!G171</f>
        <v>0</v>
      </c>
      <c r="H171" s="56">
        <f>+'ABRIL '!H171+'mayo 2025'!H171+'junioo '!H171</f>
        <v>0</v>
      </c>
      <c r="I171" s="56">
        <f t="shared" si="5"/>
        <v>0</v>
      </c>
      <c r="J171" s="57">
        <f t="shared" si="7"/>
        <v>0</v>
      </c>
    </row>
    <row r="172" spans="1:10" ht="26.25" x14ac:dyDescent="0.25">
      <c r="A172" s="53">
        <v>2</v>
      </c>
      <c r="B172" s="54">
        <v>2</v>
      </c>
      <c r="C172" s="54">
        <v>7</v>
      </c>
      <c r="D172" s="54">
        <v>2</v>
      </c>
      <c r="E172" s="55" t="s">
        <v>39</v>
      </c>
      <c r="F172" s="67" t="s">
        <v>151</v>
      </c>
      <c r="G172" s="56">
        <f>+'ABRIL '!G172+'mayo 2025'!G172+'junioo '!G172</f>
        <v>0</v>
      </c>
      <c r="H172" s="56">
        <f>+'ABRIL '!H172+'mayo 2025'!H172+'junioo '!H172</f>
        <v>0</v>
      </c>
      <c r="I172" s="56">
        <f t="shared" si="5"/>
        <v>0</v>
      </c>
      <c r="J172" s="57">
        <f t="shared" si="7"/>
        <v>0</v>
      </c>
    </row>
    <row r="173" spans="1:10" ht="25.5" x14ac:dyDescent="0.25">
      <c r="A173" s="53">
        <v>2</v>
      </c>
      <c r="B173" s="54">
        <v>2</v>
      </c>
      <c r="C173" s="54">
        <v>7</v>
      </c>
      <c r="D173" s="54">
        <v>2</v>
      </c>
      <c r="E173" s="55" t="s">
        <v>41</v>
      </c>
      <c r="F173" s="68" t="s">
        <v>152</v>
      </c>
      <c r="G173" s="56">
        <f>+'ABRIL '!G173+'mayo 2025'!G173+'junioo '!G173</f>
        <v>931766.35</v>
      </c>
      <c r="H173" s="56">
        <f>+'ABRIL '!H173+'mayo 2025'!H173+'junioo '!H173</f>
        <v>110320.01</v>
      </c>
      <c r="I173" s="56">
        <f t="shared" si="5"/>
        <v>1042086.36</v>
      </c>
      <c r="J173" s="57">
        <f t="shared" si="7"/>
        <v>3.5012148238340703E-3</v>
      </c>
    </row>
    <row r="174" spans="1:10" ht="25.5" x14ac:dyDescent="0.25">
      <c r="A174" s="53">
        <v>2</v>
      </c>
      <c r="B174" s="54">
        <v>2</v>
      </c>
      <c r="C174" s="54">
        <v>7</v>
      </c>
      <c r="D174" s="54">
        <v>2</v>
      </c>
      <c r="E174" s="55" t="s">
        <v>67</v>
      </c>
      <c r="F174" s="68" t="s">
        <v>153</v>
      </c>
      <c r="G174" s="56">
        <f>+'ABRIL '!G174+'mayo 2025'!G174+'junioo '!G174</f>
        <v>0</v>
      </c>
      <c r="H174" s="56">
        <f>+'ABRIL '!H174+'mayo 2025'!H174+'junioo '!H174</f>
        <v>0</v>
      </c>
      <c r="I174" s="56">
        <f t="shared" si="5"/>
        <v>0</v>
      </c>
      <c r="J174" s="57">
        <f t="shared" si="7"/>
        <v>0</v>
      </c>
    </row>
    <row r="175" spans="1:10" ht="25.5" x14ac:dyDescent="0.25">
      <c r="A175" s="53">
        <v>2</v>
      </c>
      <c r="B175" s="54">
        <v>2</v>
      </c>
      <c r="C175" s="54">
        <v>7</v>
      </c>
      <c r="D175" s="54">
        <v>2</v>
      </c>
      <c r="E175" s="55" t="s">
        <v>47</v>
      </c>
      <c r="F175" s="68" t="s">
        <v>154</v>
      </c>
      <c r="G175" s="56">
        <f>+'ABRIL '!G175+'mayo 2025'!G175+'junioo '!G175</f>
        <v>1156400</v>
      </c>
      <c r="H175" s="56">
        <f>+'ABRIL '!H175+'mayo 2025'!H175+'junioo '!H175</f>
        <v>639227.82999999984</v>
      </c>
      <c r="I175" s="56">
        <f t="shared" si="5"/>
        <v>1795627.8299999998</v>
      </c>
      <c r="J175" s="57">
        <f t="shared" si="7"/>
        <v>6.0329729068567825E-3</v>
      </c>
    </row>
    <row r="176" spans="1:10" ht="38.25" x14ac:dyDescent="0.25">
      <c r="A176" s="53">
        <v>2</v>
      </c>
      <c r="B176" s="54">
        <v>2</v>
      </c>
      <c r="C176" s="54">
        <v>7</v>
      </c>
      <c r="D176" s="54">
        <v>2</v>
      </c>
      <c r="E176" s="55" t="s">
        <v>144</v>
      </c>
      <c r="F176" s="68" t="s">
        <v>155</v>
      </c>
      <c r="G176" s="56">
        <f>+'ABRIL '!G176+'mayo 2025'!G176+'junioo '!G176</f>
        <v>0</v>
      </c>
      <c r="H176" s="56">
        <f>+'ABRIL '!H176+'mayo 2025'!H176+'junioo '!H176</f>
        <v>0</v>
      </c>
      <c r="I176" s="56">
        <f t="shared" si="5"/>
        <v>0</v>
      </c>
      <c r="J176" s="57">
        <f t="shared" si="7"/>
        <v>0</v>
      </c>
    </row>
    <row r="177" spans="1:10" x14ac:dyDescent="0.25">
      <c r="A177" s="49">
        <v>2</v>
      </c>
      <c r="B177" s="50">
        <v>2</v>
      </c>
      <c r="C177" s="50">
        <v>7</v>
      </c>
      <c r="D177" s="50">
        <v>3</v>
      </c>
      <c r="E177" s="64"/>
      <c r="F177" s="69" t="s">
        <v>156</v>
      </c>
      <c r="G177" s="51">
        <f>+'ABRIL '!G177+'mayo 2025'!G177+'junioo '!G177</f>
        <v>0</v>
      </c>
      <c r="H177" s="51">
        <f>+'ABRIL '!H177+'mayo 2025'!H177+'junioo '!H177</f>
        <v>0</v>
      </c>
      <c r="I177" s="51">
        <f t="shared" si="5"/>
        <v>0</v>
      </c>
      <c r="J177" s="58"/>
    </row>
    <row r="178" spans="1:10" x14ac:dyDescent="0.25">
      <c r="A178" s="53">
        <v>2</v>
      </c>
      <c r="B178" s="54">
        <v>2</v>
      </c>
      <c r="C178" s="54">
        <v>7</v>
      </c>
      <c r="D178" s="54">
        <v>3</v>
      </c>
      <c r="E178" s="55" t="s">
        <v>31</v>
      </c>
      <c r="F178" s="68" t="s">
        <v>156</v>
      </c>
      <c r="G178" s="56">
        <f>+'ABRIL '!G178+'mayo 2025'!G178+'junioo '!G178</f>
        <v>0</v>
      </c>
      <c r="H178" s="56">
        <f>+'ABRIL '!H178+'mayo 2025'!H178+'junioo '!H178</f>
        <v>0</v>
      </c>
      <c r="I178" s="56">
        <f t="shared" si="5"/>
        <v>0</v>
      </c>
      <c r="J178" s="57">
        <f>I178/$I$25</f>
        <v>0</v>
      </c>
    </row>
    <row r="179" spans="1:10" x14ac:dyDescent="0.25">
      <c r="A179" s="46">
        <v>2</v>
      </c>
      <c r="B179" s="47">
        <v>2</v>
      </c>
      <c r="C179" s="47">
        <v>8</v>
      </c>
      <c r="D179" s="47"/>
      <c r="E179" s="47"/>
      <c r="F179" s="70" t="s">
        <v>157</v>
      </c>
      <c r="G179" s="48">
        <f>+'ABRIL '!G179+'mayo 2025'!G179+'junioo '!G179</f>
        <v>413000</v>
      </c>
      <c r="H179" s="48">
        <f>+'ABRIL '!H179+'mayo 2025'!H179+'junioo '!H179</f>
        <v>1774418.2799999998</v>
      </c>
      <c r="I179" s="48">
        <f t="shared" si="5"/>
        <v>2187418.2799999998</v>
      </c>
      <c r="J179" s="45"/>
    </row>
    <row r="180" spans="1:10" x14ac:dyDescent="0.25">
      <c r="A180" s="49">
        <v>2</v>
      </c>
      <c r="B180" s="50">
        <v>2</v>
      </c>
      <c r="C180" s="50">
        <v>8</v>
      </c>
      <c r="D180" s="50">
        <v>1</v>
      </c>
      <c r="E180" s="50"/>
      <c r="F180" s="69" t="s">
        <v>158</v>
      </c>
      <c r="G180" s="51">
        <f>+'ABRIL '!G180+'mayo 2025'!G180+'junioo '!G180</f>
        <v>0</v>
      </c>
      <c r="H180" s="51">
        <f>+'ABRIL '!H180+'mayo 2025'!H180+'junioo '!H180</f>
        <v>0</v>
      </c>
      <c r="I180" s="51">
        <f t="shared" si="5"/>
        <v>0</v>
      </c>
      <c r="J180" s="58"/>
    </row>
    <row r="181" spans="1:10" x14ac:dyDescent="0.25">
      <c r="A181" s="53">
        <v>2</v>
      </c>
      <c r="B181" s="54">
        <v>2</v>
      </c>
      <c r="C181" s="54">
        <v>8</v>
      </c>
      <c r="D181" s="54">
        <v>1</v>
      </c>
      <c r="E181" s="55" t="s">
        <v>31</v>
      </c>
      <c r="F181" s="68" t="s">
        <v>158</v>
      </c>
      <c r="G181" s="56">
        <f>+'ABRIL '!G181+'mayo 2025'!G181+'junioo '!G181</f>
        <v>0</v>
      </c>
      <c r="H181" s="56">
        <f>+'ABRIL '!H181+'mayo 2025'!H181+'junioo '!H181</f>
        <v>0</v>
      </c>
      <c r="I181" s="56">
        <f t="shared" si="5"/>
        <v>0</v>
      </c>
      <c r="J181" s="57">
        <f>I181/$I$25</f>
        <v>0</v>
      </c>
    </row>
    <row r="182" spans="1:10" x14ac:dyDescent="0.25">
      <c r="A182" s="49">
        <v>2</v>
      </c>
      <c r="B182" s="50">
        <v>2</v>
      </c>
      <c r="C182" s="50">
        <v>8</v>
      </c>
      <c r="D182" s="50">
        <v>2</v>
      </c>
      <c r="E182" s="50"/>
      <c r="F182" s="69" t="s">
        <v>159</v>
      </c>
      <c r="G182" s="51">
        <f>+'ABRIL '!G182+'mayo 2025'!G182+'junioo '!G182</f>
        <v>0</v>
      </c>
      <c r="H182" s="51">
        <f>+'ABRIL '!H182+'mayo 2025'!H182+'junioo '!H182</f>
        <v>17193.48</v>
      </c>
      <c r="I182" s="51">
        <f t="shared" si="5"/>
        <v>17193.48</v>
      </c>
      <c r="J182" s="58"/>
    </row>
    <row r="183" spans="1:10" x14ac:dyDescent="0.25">
      <c r="A183" s="53">
        <v>2</v>
      </c>
      <c r="B183" s="54">
        <v>2</v>
      </c>
      <c r="C183" s="54">
        <v>8</v>
      </c>
      <c r="D183" s="54">
        <v>2</v>
      </c>
      <c r="E183" s="55" t="s">
        <v>31</v>
      </c>
      <c r="F183" s="68" t="s">
        <v>159</v>
      </c>
      <c r="G183" s="56">
        <f>+'ABRIL '!G183+'mayo 2025'!G183+'junioo '!G183</f>
        <v>0</v>
      </c>
      <c r="H183" s="56">
        <f>+'ABRIL '!H183+'mayo 2025'!H183+'junioo '!H183</f>
        <v>17193.48</v>
      </c>
      <c r="I183" s="56">
        <f t="shared" si="5"/>
        <v>17193.48</v>
      </c>
      <c r="J183" s="57">
        <f>I183/$I$25</f>
        <v>5.7766869771997218E-5</v>
      </c>
    </row>
    <row r="184" spans="1:10" x14ac:dyDescent="0.25">
      <c r="A184" s="49">
        <v>2</v>
      </c>
      <c r="B184" s="50">
        <v>2</v>
      </c>
      <c r="C184" s="50">
        <v>8</v>
      </c>
      <c r="D184" s="50">
        <v>3</v>
      </c>
      <c r="E184" s="50"/>
      <c r="F184" s="69" t="s">
        <v>160</v>
      </c>
      <c r="G184" s="51">
        <f>+'ABRIL '!G184+'mayo 2025'!G184+'junioo '!G184</f>
        <v>0</v>
      </c>
      <c r="H184" s="51">
        <f>+'ABRIL '!H184+'mayo 2025'!H184+'junioo '!H184</f>
        <v>0</v>
      </c>
      <c r="I184" s="51">
        <f t="shared" si="5"/>
        <v>0</v>
      </c>
      <c r="J184" s="58"/>
    </row>
    <row r="185" spans="1:10" x14ac:dyDescent="0.25">
      <c r="A185" s="53">
        <v>2</v>
      </c>
      <c r="B185" s="54">
        <v>2</v>
      </c>
      <c r="C185" s="54">
        <v>8</v>
      </c>
      <c r="D185" s="54">
        <v>3</v>
      </c>
      <c r="E185" s="55" t="s">
        <v>31</v>
      </c>
      <c r="F185" s="68" t="s">
        <v>160</v>
      </c>
      <c r="G185" s="56">
        <f>+'ABRIL '!G185+'mayo 2025'!G185+'junioo '!G185</f>
        <v>0</v>
      </c>
      <c r="H185" s="56">
        <f>+'ABRIL '!H185+'mayo 2025'!H185+'junioo '!H185</f>
        <v>0</v>
      </c>
      <c r="I185" s="56">
        <f t="shared" si="5"/>
        <v>0</v>
      </c>
      <c r="J185" s="57">
        <f>I185/$I$25</f>
        <v>0</v>
      </c>
    </row>
    <row r="186" spans="1:10" x14ac:dyDescent="0.25">
      <c r="A186" s="49">
        <v>2</v>
      </c>
      <c r="B186" s="50">
        <v>2</v>
      </c>
      <c r="C186" s="50">
        <v>8</v>
      </c>
      <c r="D186" s="50">
        <v>4</v>
      </c>
      <c r="E186" s="50"/>
      <c r="F186" s="69" t="s">
        <v>161</v>
      </c>
      <c r="G186" s="51">
        <f>+'ABRIL '!G186+'mayo 2025'!G186+'junioo '!G186</f>
        <v>0</v>
      </c>
      <c r="H186" s="51">
        <f>+'ABRIL '!H186+'mayo 2025'!H186+'junioo '!H186</f>
        <v>0</v>
      </c>
      <c r="I186" s="51">
        <f t="shared" si="5"/>
        <v>0</v>
      </c>
      <c r="J186" s="58"/>
    </row>
    <row r="187" spans="1:10" x14ac:dyDescent="0.25">
      <c r="A187" s="53">
        <v>2</v>
      </c>
      <c r="B187" s="54">
        <v>2</v>
      </c>
      <c r="C187" s="54">
        <v>8</v>
      </c>
      <c r="D187" s="54">
        <v>4</v>
      </c>
      <c r="E187" s="55" t="s">
        <v>31</v>
      </c>
      <c r="F187" s="68" t="s">
        <v>161</v>
      </c>
      <c r="G187" s="56">
        <f>+'ABRIL '!G187+'mayo 2025'!G187+'junioo '!G187</f>
        <v>0</v>
      </c>
      <c r="H187" s="56">
        <f>+'ABRIL '!H187+'mayo 2025'!H187+'junioo '!H187</f>
        <v>0</v>
      </c>
      <c r="I187" s="56">
        <f t="shared" si="5"/>
        <v>0</v>
      </c>
      <c r="J187" s="57">
        <f>I187/$I$25</f>
        <v>0</v>
      </c>
    </row>
    <row r="188" spans="1:10" x14ac:dyDescent="0.25">
      <c r="A188" s="49">
        <v>2</v>
      </c>
      <c r="B188" s="50">
        <v>2</v>
      </c>
      <c r="C188" s="50">
        <v>8</v>
      </c>
      <c r="D188" s="50">
        <v>5</v>
      </c>
      <c r="E188" s="50"/>
      <c r="F188" s="69" t="s">
        <v>162</v>
      </c>
      <c r="G188" s="51">
        <f>+'ABRIL '!G188+'mayo 2025'!G188+'junioo '!G188</f>
        <v>0</v>
      </c>
      <c r="H188" s="51">
        <f>+'ABRIL '!H188+'mayo 2025'!H188+'junioo '!H188</f>
        <v>615016</v>
      </c>
      <c r="I188" s="51">
        <f t="shared" si="5"/>
        <v>615016</v>
      </c>
      <c r="J188" s="58"/>
    </row>
    <row r="189" spans="1:10" x14ac:dyDescent="0.25">
      <c r="A189" s="53">
        <v>2</v>
      </c>
      <c r="B189" s="54">
        <v>2</v>
      </c>
      <c r="C189" s="54">
        <v>8</v>
      </c>
      <c r="D189" s="54">
        <v>5</v>
      </c>
      <c r="E189" s="55" t="s">
        <v>31</v>
      </c>
      <c r="F189" s="68" t="s">
        <v>163</v>
      </c>
      <c r="G189" s="56">
        <f>+'ABRIL '!G189+'mayo 2025'!G189+'junioo '!G189</f>
        <v>0</v>
      </c>
      <c r="H189" s="56">
        <f>+'ABRIL '!H189+'mayo 2025'!H189+'junioo '!H189</f>
        <v>0</v>
      </c>
      <c r="I189" s="56">
        <f t="shared" si="5"/>
        <v>0</v>
      </c>
      <c r="J189" s="57">
        <f>I189/$I$25</f>
        <v>0</v>
      </c>
    </row>
    <row r="190" spans="1:10" x14ac:dyDescent="0.25">
      <c r="A190" s="53">
        <v>2</v>
      </c>
      <c r="B190" s="54">
        <v>2</v>
      </c>
      <c r="C190" s="54">
        <v>8</v>
      </c>
      <c r="D190" s="54">
        <v>5</v>
      </c>
      <c r="E190" s="55" t="s">
        <v>33</v>
      </c>
      <c r="F190" s="68" t="s">
        <v>164</v>
      </c>
      <c r="G190" s="56">
        <f>+'ABRIL '!G190+'mayo 2025'!G190+'junioo '!G190</f>
        <v>0</v>
      </c>
      <c r="H190" s="56">
        <f>+'ABRIL '!H190+'mayo 2025'!H190+'junioo '!H190</f>
        <v>0</v>
      </c>
      <c r="I190" s="56">
        <f t="shared" si="5"/>
        <v>0</v>
      </c>
      <c r="J190" s="57">
        <f>I190/$I$25</f>
        <v>0</v>
      </c>
    </row>
    <row r="191" spans="1:10" x14ac:dyDescent="0.25">
      <c r="A191" s="53">
        <v>2</v>
      </c>
      <c r="B191" s="54">
        <v>2</v>
      </c>
      <c r="C191" s="54">
        <v>8</v>
      </c>
      <c r="D191" s="54">
        <v>5</v>
      </c>
      <c r="E191" s="55" t="s">
        <v>35</v>
      </c>
      <c r="F191" s="68" t="s">
        <v>165</v>
      </c>
      <c r="G191" s="56">
        <f>+'ABRIL '!G191+'mayo 2025'!G191+'junioo '!G191</f>
        <v>0</v>
      </c>
      <c r="H191" s="56">
        <f>+'ABRIL '!H191+'mayo 2025'!H191+'junioo '!H191</f>
        <v>615016</v>
      </c>
      <c r="I191" s="56">
        <f t="shared" si="5"/>
        <v>615016</v>
      </c>
      <c r="J191" s="57">
        <f>I191/$I$25</f>
        <v>2.066338471309743E-3</v>
      </c>
    </row>
    <row r="192" spans="1:10" x14ac:dyDescent="0.25">
      <c r="A192" s="49">
        <v>2</v>
      </c>
      <c r="B192" s="50">
        <v>2</v>
      </c>
      <c r="C192" s="50">
        <v>8</v>
      </c>
      <c r="D192" s="50">
        <v>6</v>
      </c>
      <c r="E192" s="50"/>
      <c r="F192" s="69" t="s">
        <v>166</v>
      </c>
      <c r="G192" s="51">
        <f>+'ABRIL '!G192+'mayo 2025'!G192+'junioo '!G192</f>
        <v>0</v>
      </c>
      <c r="H192" s="51">
        <f>+'ABRIL '!H192+'mayo 2025'!H192+'junioo '!H192</f>
        <v>240720</v>
      </c>
      <c r="I192" s="51">
        <f t="shared" si="5"/>
        <v>240720</v>
      </c>
      <c r="J192" s="58"/>
    </row>
    <row r="193" spans="1:10" x14ac:dyDescent="0.25">
      <c r="A193" s="53">
        <v>2</v>
      </c>
      <c r="B193" s="54">
        <v>2</v>
      </c>
      <c r="C193" s="54">
        <v>8</v>
      </c>
      <c r="D193" s="54">
        <v>6</v>
      </c>
      <c r="E193" s="55" t="s">
        <v>31</v>
      </c>
      <c r="F193" s="68" t="s">
        <v>167</v>
      </c>
      <c r="G193" s="56">
        <f>+'ABRIL '!G193+'mayo 2025'!G193+'junioo '!G193</f>
        <v>0</v>
      </c>
      <c r="H193" s="56">
        <f>+'ABRIL '!H193+'mayo 2025'!H193+'junioo '!H193</f>
        <v>240720</v>
      </c>
      <c r="I193" s="56">
        <f t="shared" si="5"/>
        <v>240720</v>
      </c>
      <c r="J193" s="57">
        <f>I193/$I$25</f>
        <v>8.087740754934528E-4</v>
      </c>
    </row>
    <row r="194" spans="1:10" x14ac:dyDescent="0.25">
      <c r="A194" s="53">
        <v>2</v>
      </c>
      <c r="B194" s="54">
        <v>2</v>
      </c>
      <c r="C194" s="54">
        <v>8</v>
      </c>
      <c r="D194" s="54">
        <v>6</v>
      </c>
      <c r="E194" s="55" t="s">
        <v>33</v>
      </c>
      <c r="F194" s="68" t="s">
        <v>168</v>
      </c>
      <c r="G194" s="56">
        <f>+'ABRIL '!G194+'mayo 2025'!G194+'junioo '!G194</f>
        <v>0</v>
      </c>
      <c r="H194" s="56">
        <f>+'ABRIL '!H194+'mayo 2025'!H194+'junioo '!H194</f>
        <v>0</v>
      </c>
      <c r="I194" s="56">
        <f t="shared" si="5"/>
        <v>0</v>
      </c>
      <c r="J194" s="57">
        <f>I194/$I$25</f>
        <v>0</v>
      </c>
    </row>
    <row r="195" spans="1:10" x14ac:dyDescent="0.25">
      <c r="A195" s="53">
        <v>2</v>
      </c>
      <c r="B195" s="54">
        <v>2</v>
      </c>
      <c r="C195" s="54">
        <v>8</v>
      </c>
      <c r="D195" s="54">
        <v>6</v>
      </c>
      <c r="E195" s="55" t="s">
        <v>35</v>
      </c>
      <c r="F195" s="68" t="s">
        <v>169</v>
      </c>
      <c r="G195" s="56">
        <f>+'ABRIL '!G195+'mayo 2025'!G195+'junioo '!G195</f>
        <v>0</v>
      </c>
      <c r="H195" s="56">
        <f>+'ABRIL '!H195+'mayo 2025'!H195+'junioo '!H195</f>
        <v>0</v>
      </c>
      <c r="I195" s="56">
        <f t="shared" si="5"/>
        <v>0</v>
      </c>
      <c r="J195" s="57">
        <f>I195/$I$25</f>
        <v>0</v>
      </c>
    </row>
    <row r="196" spans="1:10" x14ac:dyDescent="0.25">
      <c r="A196" s="53">
        <v>2</v>
      </c>
      <c r="B196" s="54">
        <v>2</v>
      </c>
      <c r="C196" s="54">
        <v>8</v>
      </c>
      <c r="D196" s="54">
        <v>6</v>
      </c>
      <c r="E196" s="55" t="s">
        <v>37</v>
      </c>
      <c r="F196" s="68" t="s">
        <v>170</v>
      </c>
      <c r="G196" s="56">
        <f>+'ABRIL '!G196+'mayo 2025'!G196+'junioo '!G196</f>
        <v>0</v>
      </c>
      <c r="H196" s="56">
        <f>+'ABRIL '!H196+'mayo 2025'!H196+'junioo '!H196</f>
        <v>0</v>
      </c>
      <c r="I196" s="56">
        <f t="shared" si="5"/>
        <v>0</v>
      </c>
      <c r="J196" s="57">
        <f>I196/$I$25</f>
        <v>0</v>
      </c>
    </row>
    <row r="197" spans="1:10" x14ac:dyDescent="0.25">
      <c r="A197" s="49">
        <v>2</v>
      </c>
      <c r="B197" s="50">
        <v>2</v>
      </c>
      <c r="C197" s="50">
        <v>8</v>
      </c>
      <c r="D197" s="50">
        <v>7</v>
      </c>
      <c r="E197" s="50"/>
      <c r="F197" s="69" t="s">
        <v>171</v>
      </c>
      <c r="G197" s="51">
        <f>+'ABRIL '!G197+'mayo 2025'!G197+'junioo '!G197</f>
        <v>413000</v>
      </c>
      <c r="H197" s="51">
        <f>+'ABRIL '!H197+'mayo 2025'!H197+'junioo '!H197</f>
        <v>901488.8</v>
      </c>
      <c r="I197" s="51">
        <f t="shared" si="5"/>
        <v>1314488.8</v>
      </c>
      <c r="J197" s="58"/>
    </row>
    <row r="198" spans="1:10" ht="25.5" x14ac:dyDescent="0.25">
      <c r="A198" s="53">
        <v>2</v>
      </c>
      <c r="B198" s="54">
        <v>2</v>
      </c>
      <c r="C198" s="54">
        <v>8</v>
      </c>
      <c r="D198" s="54">
        <v>7</v>
      </c>
      <c r="E198" s="55" t="s">
        <v>31</v>
      </c>
      <c r="F198" s="68" t="s">
        <v>172</v>
      </c>
      <c r="G198" s="56">
        <f>+'ABRIL '!G198+'mayo 2025'!G198+'junioo '!G198</f>
        <v>413000</v>
      </c>
      <c r="H198" s="56">
        <f>+'ABRIL '!H198+'mayo 2025'!H198+'junioo '!H198</f>
        <v>0</v>
      </c>
      <c r="I198" s="56">
        <f t="shared" si="5"/>
        <v>413000</v>
      </c>
      <c r="J198" s="57">
        <f t="shared" ref="J198:J203" si="8">I198/$I$25</f>
        <v>1.3876025805034729E-3</v>
      </c>
    </row>
    <row r="199" spans="1:10" x14ac:dyDescent="0.25">
      <c r="A199" s="53">
        <v>2</v>
      </c>
      <c r="B199" s="54">
        <v>2</v>
      </c>
      <c r="C199" s="54">
        <v>8</v>
      </c>
      <c r="D199" s="54">
        <v>7</v>
      </c>
      <c r="E199" s="55" t="s">
        <v>33</v>
      </c>
      <c r="F199" s="68" t="s">
        <v>173</v>
      </c>
      <c r="G199" s="56">
        <f>+'ABRIL '!G199+'mayo 2025'!G199+'junioo '!G199</f>
        <v>0</v>
      </c>
      <c r="H199" s="56">
        <f>+'ABRIL '!H199+'mayo 2025'!H199+'junioo '!H199</f>
        <v>0</v>
      </c>
      <c r="I199" s="56">
        <f t="shared" si="5"/>
        <v>0</v>
      </c>
      <c r="J199" s="57">
        <f t="shared" si="8"/>
        <v>0</v>
      </c>
    </row>
    <row r="200" spans="1:10" x14ac:dyDescent="0.25">
      <c r="A200" s="53">
        <v>2</v>
      </c>
      <c r="B200" s="54">
        <v>2</v>
      </c>
      <c r="C200" s="54">
        <v>8</v>
      </c>
      <c r="D200" s="54">
        <v>7</v>
      </c>
      <c r="E200" s="55" t="s">
        <v>35</v>
      </c>
      <c r="F200" s="68" t="s">
        <v>174</v>
      </c>
      <c r="G200" s="56">
        <f>+'ABRIL '!G200+'mayo 2025'!G200+'junioo '!G200</f>
        <v>0</v>
      </c>
      <c r="H200" s="56">
        <f>+'ABRIL '!H200+'mayo 2025'!H200+'junioo '!H200</f>
        <v>0</v>
      </c>
      <c r="I200" s="56">
        <f t="shared" si="5"/>
        <v>0</v>
      </c>
      <c r="J200" s="57">
        <f t="shared" si="8"/>
        <v>0</v>
      </c>
    </row>
    <row r="201" spans="1:10" x14ac:dyDescent="0.25">
      <c r="A201" s="53">
        <v>2</v>
      </c>
      <c r="B201" s="54">
        <v>2</v>
      </c>
      <c r="C201" s="54">
        <v>8</v>
      </c>
      <c r="D201" s="54">
        <v>7</v>
      </c>
      <c r="E201" s="55" t="s">
        <v>37</v>
      </c>
      <c r="F201" s="68" t="s">
        <v>175</v>
      </c>
      <c r="G201" s="56">
        <f>+'ABRIL '!G201+'mayo 2025'!G201+'junioo '!G201</f>
        <v>0</v>
      </c>
      <c r="H201" s="56">
        <f>+'ABRIL '!H201+'mayo 2025'!H201+'junioo '!H201</f>
        <v>29305.8</v>
      </c>
      <c r="I201" s="56">
        <f t="shared" si="5"/>
        <v>29305.8</v>
      </c>
      <c r="J201" s="57">
        <f t="shared" si="8"/>
        <v>9.8461994439996798E-5</v>
      </c>
    </row>
    <row r="202" spans="1:10" ht="25.5" x14ac:dyDescent="0.25">
      <c r="A202" s="53">
        <v>2</v>
      </c>
      <c r="B202" s="54">
        <v>2</v>
      </c>
      <c r="C202" s="54">
        <v>8</v>
      </c>
      <c r="D202" s="54">
        <v>7</v>
      </c>
      <c r="E202" s="55" t="s">
        <v>39</v>
      </c>
      <c r="F202" s="68" t="s">
        <v>176</v>
      </c>
      <c r="G202" s="56">
        <f>+'ABRIL '!G202+'mayo 2025'!G202+'junioo '!G202</f>
        <v>0</v>
      </c>
      <c r="H202" s="56">
        <f>+'ABRIL '!H202+'mayo 2025'!H202+'junioo '!H202</f>
        <v>0</v>
      </c>
      <c r="I202" s="56">
        <f t="shared" si="5"/>
        <v>0</v>
      </c>
      <c r="J202" s="57">
        <f t="shared" si="8"/>
        <v>0</v>
      </c>
    </row>
    <row r="203" spans="1:10" x14ac:dyDescent="0.25">
      <c r="A203" s="53">
        <v>2</v>
      </c>
      <c r="B203" s="54">
        <v>2</v>
      </c>
      <c r="C203" s="54">
        <v>8</v>
      </c>
      <c r="D203" s="54">
        <v>7</v>
      </c>
      <c r="E203" s="55" t="s">
        <v>41</v>
      </c>
      <c r="F203" s="68" t="s">
        <v>177</v>
      </c>
      <c r="G203" s="56">
        <f>+'ABRIL '!G203+'mayo 2025'!G203+'junioo '!G203</f>
        <v>0</v>
      </c>
      <c r="H203" s="56">
        <f>+'ABRIL '!H203+'mayo 2025'!H203+'junioo '!H203</f>
        <v>872183</v>
      </c>
      <c r="I203" s="56">
        <f t="shared" si="5"/>
        <v>872183</v>
      </c>
      <c r="J203" s="57">
        <f t="shared" si="8"/>
        <v>2.9303713837076526E-3</v>
      </c>
    </row>
    <row r="204" spans="1:10" x14ac:dyDescent="0.25">
      <c r="A204" s="49">
        <v>2</v>
      </c>
      <c r="B204" s="50">
        <v>2</v>
      </c>
      <c r="C204" s="50">
        <v>8</v>
      </c>
      <c r="D204" s="50">
        <v>8</v>
      </c>
      <c r="E204" s="50"/>
      <c r="F204" s="69" t="s">
        <v>178</v>
      </c>
      <c r="G204" s="51">
        <f>+'ABRIL '!G204+'mayo 2025'!G204+'junioo '!G204</f>
        <v>0</v>
      </c>
      <c r="H204" s="51">
        <f>+'ABRIL '!H204+'mayo 2025'!H204+'junioo '!H204</f>
        <v>0</v>
      </c>
      <c r="I204" s="51">
        <f t="shared" si="5"/>
        <v>0</v>
      </c>
      <c r="J204" s="58"/>
    </row>
    <row r="205" spans="1:10" x14ac:dyDescent="0.25">
      <c r="A205" s="53">
        <v>2</v>
      </c>
      <c r="B205" s="54">
        <v>2</v>
      </c>
      <c r="C205" s="54">
        <v>8</v>
      </c>
      <c r="D205" s="54">
        <v>8</v>
      </c>
      <c r="E205" s="55" t="s">
        <v>31</v>
      </c>
      <c r="F205" s="68" t="s">
        <v>179</v>
      </c>
      <c r="G205" s="56">
        <f>+'ABRIL '!G205+'mayo 2025'!G205+'junioo '!G205</f>
        <v>0</v>
      </c>
      <c r="H205" s="56">
        <f>+'ABRIL '!H205+'mayo 2025'!H205+'junioo '!H205</f>
        <v>0</v>
      </c>
      <c r="I205" s="56">
        <f t="shared" si="5"/>
        <v>0</v>
      </c>
      <c r="J205" s="57">
        <f>I205/$I$25</f>
        <v>0</v>
      </c>
    </row>
    <row r="206" spans="1:10" x14ac:dyDescent="0.25">
      <c r="A206" s="53">
        <v>2</v>
      </c>
      <c r="B206" s="54">
        <v>2</v>
      </c>
      <c r="C206" s="54">
        <v>8</v>
      </c>
      <c r="D206" s="54">
        <v>8</v>
      </c>
      <c r="E206" s="55" t="s">
        <v>33</v>
      </c>
      <c r="F206" s="68" t="s">
        <v>180</v>
      </c>
      <c r="G206" s="56">
        <f>+'ABRIL '!G206+'mayo 2025'!G206+'junioo '!G206</f>
        <v>0</v>
      </c>
      <c r="H206" s="56">
        <f>+'ABRIL '!H206+'mayo 2025'!H206+'junioo '!H206</f>
        <v>0</v>
      </c>
      <c r="I206" s="56">
        <f t="shared" si="5"/>
        <v>0</v>
      </c>
      <c r="J206" s="57">
        <f>I206/$I$25</f>
        <v>0</v>
      </c>
    </row>
    <row r="207" spans="1:10" x14ac:dyDescent="0.25">
      <c r="A207" s="53">
        <v>2</v>
      </c>
      <c r="B207" s="54">
        <v>2</v>
      </c>
      <c r="C207" s="54">
        <v>8</v>
      </c>
      <c r="D207" s="54">
        <v>8</v>
      </c>
      <c r="E207" s="55" t="s">
        <v>35</v>
      </c>
      <c r="F207" s="68" t="s">
        <v>181</v>
      </c>
      <c r="G207" s="56">
        <f>+'ABRIL '!G207+'mayo 2025'!G207+'junioo '!G207</f>
        <v>0</v>
      </c>
      <c r="H207" s="56">
        <f>+'ABRIL '!H207+'mayo 2025'!H207+'junioo '!H207</f>
        <v>0</v>
      </c>
      <c r="I207" s="56">
        <f t="shared" si="5"/>
        <v>0</v>
      </c>
      <c r="J207" s="57">
        <f>I207/$I$25</f>
        <v>0</v>
      </c>
    </row>
    <row r="208" spans="1:10" x14ac:dyDescent="0.25">
      <c r="A208" s="46">
        <v>2</v>
      </c>
      <c r="B208" s="47">
        <v>2</v>
      </c>
      <c r="C208" s="47">
        <v>9</v>
      </c>
      <c r="D208" s="47"/>
      <c r="E208" s="47"/>
      <c r="F208" s="70" t="s">
        <v>182</v>
      </c>
      <c r="G208" s="48">
        <f>+'ABRIL '!G208+'mayo 2025'!G208+'junioo '!G208</f>
        <v>3423745.04</v>
      </c>
      <c r="H208" s="48">
        <f>+'ABRIL '!H208+'mayo 2025'!H208+'junioo '!H208</f>
        <v>910287.4</v>
      </c>
      <c r="I208" s="48">
        <f t="shared" si="5"/>
        <v>4334032.4400000004</v>
      </c>
      <c r="J208" s="45"/>
    </row>
    <row r="209" spans="1:10" x14ac:dyDescent="0.25">
      <c r="A209" s="49">
        <v>2</v>
      </c>
      <c r="B209" s="50">
        <v>2</v>
      </c>
      <c r="C209" s="50">
        <v>9</v>
      </c>
      <c r="D209" s="50">
        <v>2</v>
      </c>
      <c r="E209" s="50"/>
      <c r="F209" s="69" t="s">
        <v>183</v>
      </c>
      <c r="G209" s="51">
        <f>+'ABRIL '!G209+'mayo 2025'!G209+'junioo '!G209</f>
        <v>3423745.04</v>
      </c>
      <c r="H209" s="51">
        <f>+'ABRIL '!H209+'mayo 2025'!H209+'junioo '!H209</f>
        <v>910287.4</v>
      </c>
      <c r="I209" s="51">
        <f t="shared" si="5"/>
        <v>4334032.4400000004</v>
      </c>
      <c r="J209" s="58"/>
    </row>
    <row r="210" spans="1:10" x14ac:dyDescent="0.25">
      <c r="A210" s="53">
        <v>2</v>
      </c>
      <c r="B210" s="54">
        <v>2</v>
      </c>
      <c r="C210" s="54">
        <v>9</v>
      </c>
      <c r="D210" s="54">
        <v>2</v>
      </c>
      <c r="E210" s="55" t="s">
        <v>31</v>
      </c>
      <c r="F210" s="68" t="s">
        <v>184</v>
      </c>
      <c r="G210" s="56">
        <f>+'ABRIL '!G210+'mayo 2025'!G210+'junioo '!G210</f>
        <v>1726315.04</v>
      </c>
      <c r="H210" s="56">
        <f>+'ABRIL '!H210+'mayo 2025'!H210+'junioo '!H210</f>
        <v>910287.4</v>
      </c>
      <c r="I210" s="56">
        <f t="shared" si="5"/>
        <v>2636602.44</v>
      </c>
      <c r="J210" s="57">
        <f>I210/$I$25</f>
        <v>8.8584899503771266E-3</v>
      </c>
    </row>
    <row r="211" spans="1:10" x14ac:dyDescent="0.25">
      <c r="A211" s="53">
        <v>2</v>
      </c>
      <c r="B211" s="54">
        <v>2</v>
      </c>
      <c r="C211" s="54">
        <v>9</v>
      </c>
      <c r="D211" s="54">
        <v>2</v>
      </c>
      <c r="E211" s="55" t="s">
        <v>35</v>
      </c>
      <c r="F211" s="68" t="s">
        <v>185</v>
      </c>
      <c r="G211" s="56">
        <f>+'ABRIL '!G211+'mayo 2025'!G211+'junioo '!G211</f>
        <v>1697430</v>
      </c>
      <c r="H211" s="56">
        <f>+'ABRIL '!H211+'mayo 2025'!H211+'junioo '!H211</f>
        <v>0</v>
      </c>
      <c r="I211" s="56">
        <f t="shared" si="5"/>
        <v>1697430</v>
      </c>
      <c r="J211" s="57">
        <f>I211/$I$25</f>
        <v>5.7030466058692738E-3</v>
      </c>
    </row>
    <row r="212" spans="1:10" x14ac:dyDescent="0.25">
      <c r="A212" s="60">
        <v>2</v>
      </c>
      <c r="B212" s="47">
        <v>3</v>
      </c>
      <c r="C212" s="47"/>
      <c r="D212" s="47"/>
      <c r="E212" s="47"/>
      <c r="F212" s="70" t="s">
        <v>186</v>
      </c>
      <c r="G212" s="48">
        <f>+'ABRIL '!G212+'mayo 2025'!G212+'junioo '!G212</f>
        <v>52385651.459999993</v>
      </c>
      <c r="H212" s="48">
        <f>+'ABRIL '!H212+'mayo 2025'!H212+'junioo '!H212</f>
        <v>6557180.6099999994</v>
      </c>
      <c r="I212" s="48">
        <f t="shared" si="5"/>
        <v>58942832.069999993</v>
      </c>
      <c r="J212" s="45">
        <f>I212/$I$25</f>
        <v>0.19803686654361949</v>
      </c>
    </row>
    <row r="213" spans="1:10" x14ac:dyDescent="0.25">
      <c r="A213" s="60">
        <v>2</v>
      </c>
      <c r="B213" s="47">
        <v>3</v>
      </c>
      <c r="C213" s="47">
        <v>1</v>
      </c>
      <c r="D213" s="47"/>
      <c r="E213" s="47"/>
      <c r="F213" s="70" t="s">
        <v>187</v>
      </c>
      <c r="G213" s="48">
        <f>+'ABRIL '!G213+'mayo 2025'!G213+'junioo '!G213</f>
        <v>4867000.05</v>
      </c>
      <c r="H213" s="48">
        <f>+'ABRIL '!H213+'mayo 2025'!H213+'junioo '!H213</f>
        <v>663230</v>
      </c>
      <c r="I213" s="48">
        <f t="shared" si="5"/>
        <v>5530230.0499999998</v>
      </c>
      <c r="J213" s="45"/>
    </row>
    <row r="214" spans="1:10" x14ac:dyDescent="0.25">
      <c r="A214" s="61">
        <v>2</v>
      </c>
      <c r="B214" s="50">
        <v>3</v>
      </c>
      <c r="C214" s="50">
        <v>1</v>
      </c>
      <c r="D214" s="50">
        <v>1</v>
      </c>
      <c r="E214" s="64"/>
      <c r="F214" s="69" t="s">
        <v>188</v>
      </c>
      <c r="G214" s="51">
        <f>+'ABRIL '!G214+'mayo 2025'!G214+'junioo '!G214</f>
        <v>4867000.05</v>
      </c>
      <c r="H214" s="51">
        <f>+'ABRIL '!H214+'mayo 2025'!H214+'junioo '!H214</f>
        <v>663230</v>
      </c>
      <c r="I214" s="51">
        <f t="shared" si="5"/>
        <v>5530230.0499999998</v>
      </c>
      <c r="J214" s="58"/>
    </row>
    <row r="215" spans="1:10" x14ac:dyDescent="0.25">
      <c r="A215" s="62">
        <v>2</v>
      </c>
      <c r="B215" s="54">
        <v>3</v>
      </c>
      <c r="C215" s="54">
        <v>1</v>
      </c>
      <c r="D215" s="54">
        <v>1</v>
      </c>
      <c r="E215" s="55" t="s">
        <v>31</v>
      </c>
      <c r="F215" s="68" t="s">
        <v>188</v>
      </c>
      <c r="G215" s="56">
        <f>+'ABRIL '!G215+'mayo 2025'!G215+'junioo '!G215</f>
        <v>4867000.05</v>
      </c>
      <c r="H215" s="56">
        <f>+'ABRIL '!H215+'mayo 2025'!H215+'junioo '!H215</f>
        <v>663230</v>
      </c>
      <c r="I215" s="56">
        <f t="shared" si="5"/>
        <v>5530230.0499999998</v>
      </c>
      <c r="J215" s="57">
        <f>I215/$I$25</f>
        <v>1.8580536290939104E-2</v>
      </c>
    </row>
    <row r="216" spans="1:10" x14ac:dyDescent="0.25">
      <c r="A216" s="62">
        <v>2</v>
      </c>
      <c r="B216" s="54">
        <v>3</v>
      </c>
      <c r="C216" s="54">
        <v>1</v>
      </c>
      <c r="D216" s="54">
        <v>1</v>
      </c>
      <c r="E216" s="55" t="s">
        <v>33</v>
      </c>
      <c r="F216" s="68" t="s">
        <v>189</v>
      </c>
      <c r="G216" s="56">
        <f>+'ABRIL '!G216+'mayo 2025'!G216+'junioo '!G216</f>
        <v>0</v>
      </c>
      <c r="H216" s="56">
        <f>+'ABRIL '!H216+'mayo 2025'!H216+'junioo '!H216</f>
        <v>0</v>
      </c>
      <c r="I216" s="56">
        <f t="shared" si="5"/>
        <v>0</v>
      </c>
      <c r="J216" s="57">
        <f>I216/$I$25</f>
        <v>0</v>
      </c>
    </row>
    <row r="217" spans="1:10" x14ac:dyDescent="0.25">
      <c r="A217" s="61">
        <v>2</v>
      </c>
      <c r="B217" s="50">
        <v>3</v>
      </c>
      <c r="C217" s="50">
        <v>1</v>
      </c>
      <c r="D217" s="50">
        <v>2</v>
      </c>
      <c r="E217" s="64"/>
      <c r="F217" s="69" t="s">
        <v>190</v>
      </c>
      <c r="G217" s="51">
        <f>+'ABRIL '!G217+'mayo 2025'!G217+'junioo '!G217</f>
        <v>0</v>
      </c>
      <c r="H217" s="51">
        <f>+'ABRIL '!H217+'mayo 2025'!H217+'junioo '!H217</f>
        <v>0</v>
      </c>
      <c r="I217" s="51">
        <f t="shared" ref="I217:I280" si="9">SUM(G217:H217)</f>
        <v>0</v>
      </c>
      <c r="J217" s="58"/>
    </row>
    <row r="218" spans="1:10" x14ac:dyDescent="0.25">
      <c r="A218" s="62">
        <v>2</v>
      </c>
      <c r="B218" s="54">
        <v>3</v>
      </c>
      <c r="C218" s="54">
        <v>1</v>
      </c>
      <c r="D218" s="54">
        <v>2</v>
      </c>
      <c r="E218" s="55" t="s">
        <v>31</v>
      </c>
      <c r="F218" s="68" t="s">
        <v>190</v>
      </c>
      <c r="G218" s="56">
        <f>+'ABRIL '!G218+'mayo 2025'!G218+'junioo '!G218</f>
        <v>0</v>
      </c>
      <c r="H218" s="56">
        <f>+'ABRIL '!H218+'mayo 2025'!H218+'junioo '!H218</f>
        <v>0</v>
      </c>
      <c r="I218" s="56">
        <f t="shared" si="9"/>
        <v>0</v>
      </c>
      <c r="J218" s="57">
        <f>I218/$I$25</f>
        <v>0</v>
      </c>
    </row>
    <row r="219" spans="1:10" x14ac:dyDescent="0.25">
      <c r="A219" s="61">
        <v>2</v>
      </c>
      <c r="B219" s="50">
        <v>3</v>
      </c>
      <c r="C219" s="50">
        <v>1</v>
      </c>
      <c r="D219" s="50">
        <v>3</v>
      </c>
      <c r="E219" s="50"/>
      <c r="F219" s="69" t="s">
        <v>191</v>
      </c>
      <c r="G219" s="51">
        <f>+'ABRIL '!G219+'mayo 2025'!G219+'junioo '!G219</f>
        <v>0</v>
      </c>
      <c r="H219" s="51">
        <f>+'ABRIL '!H219+'mayo 2025'!H219+'junioo '!H219</f>
        <v>0</v>
      </c>
      <c r="I219" s="51">
        <f t="shared" si="9"/>
        <v>0</v>
      </c>
      <c r="J219" s="58"/>
    </row>
    <row r="220" spans="1:10" x14ac:dyDescent="0.25">
      <c r="A220" s="62">
        <v>2</v>
      </c>
      <c r="B220" s="54">
        <v>3</v>
      </c>
      <c r="C220" s="54">
        <v>1</v>
      </c>
      <c r="D220" s="54">
        <v>3</v>
      </c>
      <c r="E220" s="55" t="s">
        <v>31</v>
      </c>
      <c r="F220" s="68" t="s">
        <v>192</v>
      </c>
      <c r="G220" s="56">
        <f>+'ABRIL '!G220+'mayo 2025'!G220+'junioo '!G220</f>
        <v>0</v>
      </c>
      <c r="H220" s="56">
        <f>+'ABRIL '!H220+'mayo 2025'!H220+'junioo '!H220</f>
        <v>0</v>
      </c>
      <c r="I220" s="56">
        <f t="shared" si="9"/>
        <v>0</v>
      </c>
      <c r="J220" s="57">
        <f>I220/$I$25</f>
        <v>0</v>
      </c>
    </row>
    <row r="221" spans="1:10" x14ac:dyDescent="0.25">
      <c r="A221" s="62">
        <v>2</v>
      </c>
      <c r="B221" s="54">
        <v>3</v>
      </c>
      <c r="C221" s="54">
        <v>1</v>
      </c>
      <c r="D221" s="54">
        <v>3</v>
      </c>
      <c r="E221" s="55" t="s">
        <v>33</v>
      </c>
      <c r="F221" s="68" t="s">
        <v>193</v>
      </c>
      <c r="G221" s="56">
        <f>+'ABRIL '!G221+'mayo 2025'!G221+'junioo '!G221</f>
        <v>0</v>
      </c>
      <c r="H221" s="56">
        <f>+'ABRIL '!H221+'mayo 2025'!H221+'junioo '!H221</f>
        <v>0</v>
      </c>
      <c r="I221" s="56">
        <f t="shared" si="9"/>
        <v>0</v>
      </c>
      <c r="J221" s="57">
        <f>I221/$I$25</f>
        <v>0</v>
      </c>
    </row>
    <row r="222" spans="1:10" x14ac:dyDescent="0.25">
      <c r="A222" s="62">
        <v>2</v>
      </c>
      <c r="B222" s="54">
        <v>3</v>
      </c>
      <c r="C222" s="54">
        <v>1</v>
      </c>
      <c r="D222" s="54">
        <v>3</v>
      </c>
      <c r="E222" s="55" t="s">
        <v>35</v>
      </c>
      <c r="F222" s="68" t="s">
        <v>194</v>
      </c>
      <c r="G222" s="56">
        <f>+'ABRIL '!G222+'mayo 2025'!G222+'junioo '!G222</f>
        <v>0</v>
      </c>
      <c r="H222" s="56">
        <f>+'ABRIL '!H222+'mayo 2025'!H222+'junioo '!H222</f>
        <v>0</v>
      </c>
      <c r="I222" s="56">
        <f t="shared" si="9"/>
        <v>0</v>
      </c>
      <c r="J222" s="57">
        <f>I222/$I$25</f>
        <v>0</v>
      </c>
    </row>
    <row r="223" spans="1:10" x14ac:dyDescent="0.25">
      <c r="A223" s="61">
        <v>2</v>
      </c>
      <c r="B223" s="50">
        <v>3</v>
      </c>
      <c r="C223" s="50">
        <v>1</v>
      </c>
      <c r="D223" s="50">
        <v>4</v>
      </c>
      <c r="E223" s="50"/>
      <c r="F223" s="69" t="s">
        <v>195</v>
      </c>
      <c r="G223" s="51">
        <f>+'ABRIL '!G223+'mayo 2025'!G223+'junioo '!G223</f>
        <v>0</v>
      </c>
      <c r="H223" s="51">
        <f>+'ABRIL '!H223+'mayo 2025'!H223+'junioo '!H223</f>
        <v>0</v>
      </c>
      <c r="I223" s="51">
        <f t="shared" si="9"/>
        <v>0</v>
      </c>
      <c r="J223" s="58"/>
    </row>
    <row r="224" spans="1:10" x14ac:dyDescent="0.25">
      <c r="A224" s="62">
        <v>2</v>
      </c>
      <c r="B224" s="54">
        <v>3</v>
      </c>
      <c r="C224" s="54">
        <v>1</v>
      </c>
      <c r="D224" s="54">
        <v>4</v>
      </c>
      <c r="E224" s="55" t="s">
        <v>31</v>
      </c>
      <c r="F224" s="68" t="s">
        <v>195</v>
      </c>
      <c r="G224" s="56">
        <f>+'ABRIL '!G224+'mayo 2025'!G224+'junioo '!G224</f>
        <v>0</v>
      </c>
      <c r="H224" s="56">
        <f>+'ABRIL '!H224+'mayo 2025'!H224+'junioo '!H224</f>
        <v>0</v>
      </c>
      <c r="I224" s="56">
        <f t="shared" si="9"/>
        <v>0</v>
      </c>
      <c r="J224" s="57">
        <f>I224/$I$25</f>
        <v>0</v>
      </c>
    </row>
    <row r="225" spans="1:10" x14ac:dyDescent="0.25">
      <c r="A225" s="60">
        <v>2</v>
      </c>
      <c r="B225" s="47">
        <v>3</v>
      </c>
      <c r="C225" s="47">
        <v>2</v>
      </c>
      <c r="D225" s="47"/>
      <c r="E225" s="65"/>
      <c r="F225" s="70" t="s">
        <v>196</v>
      </c>
      <c r="G225" s="48">
        <f>+'ABRIL '!G225+'mayo 2025'!G225+'junioo '!G225</f>
        <v>2375399.4299999997</v>
      </c>
      <c r="H225" s="48">
        <f>+'ABRIL '!H225+'mayo 2025'!H225+'junioo '!H225</f>
        <v>346306.4</v>
      </c>
      <c r="I225" s="48">
        <f t="shared" si="9"/>
        <v>2721705.8299999996</v>
      </c>
      <c r="J225" s="45"/>
    </row>
    <row r="226" spans="1:10" x14ac:dyDescent="0.25">
      <c r="A226" s="61">
        <v>2</v>
      </c>
      <c r="B226" s="50">
        <v>3</v>
      </c>
      <c r="C226" s="50">
        <v>2</v>
      </c>
      <c r="D226" s="50">
        <v>1</v>
      </c>
      <c r="E226" s="50"/>
      <c r="F226" s="69" t="s">
        <v>197</v>
      </c>
      <c r="G226" s="51">
        <f>+'ABRIL '!G226+'mayo 2025'!G226+'junioo '!G226</f>
        <v>0</v>
      </c>
      <c r="H226" s="51">
        <f>+'ABRIL '!H226+'mayo 2025'!H226+'junioo '!H226</f>
        <v>141128</v>
      </c>
      <c r="I226" s="51">
        <f t="shared" si="9"/>
        <v>141128</v>
      </c>
      <c r="J226" s="58"/>
    </row>
    <row r="227" spans="1:10" x14ac:dyDescent="0.25">
      <c r="A227" s="62">
        <v>2</v>
      </c>
      <c r="B227" s="54">
        <v>3</v>
      </c>
      <c r="C227" s="54">
        <v>2</v>
      </c>
      <c r="D227" s="54">
        <v>1</v>
      </c>
      <c r="E227" s="55" t="s">
        <v>31</v>
      </c>
      <c r="F227" s="68" t="s">
        <v>197</v>
      </c>
      <c r="G227" s="56">
        <f>+'ABRIL '!G227+'mayo 2025'!G227+'junioo '!G227</f>
        <v>0</v>
      </c>
      <c r="H227" s="56">
        <f>+'ABRIL '!H227+'mayo 2025'!H227+'junioo '!H227</f>
        <v>141128</v>
      </c>
      <c r="I227" s="56">
        <f t="shared" si="9"/>
        <v>141128</v>
      </c>
      <c r="J227" s="57">
        <f>I227/$I$25</f>
        <v>4.741636246520439E-4</v>
      </c>
    </row>
    <row r="228" spans="1:10" x14ac:dyDescent="0.25">
      <c r="A228" s="61">
        <v>2</v>
      </c>
      <c r="B228" s="50">
        <v>3</v>
      </c>
      <c r="C228" s="50">
        <v>2</v>
      </c>
      <c r="D228" s="50">
        <v>2</v>
      </c>
      <c r="E228" s="50"/>
      <c r="F228" s="69" t="s">
        <v>198</v>
      </c>
      <c r="G228" s="51">
        <f>+'ABRIL '!G228+'mayo 2025'!G228+'junioo '!G228</f>
        <v>2375399.4299999997</v>
      </c>
      <c r="H228" s="51">
        <f>+'ABRIL '!H228+'mayo 2025'!H228+'junioo '!H228</f>
        <v>0</v>
      </c>
      <c r="I228" s="51">
        <f t="shared" si="9"/>
        <v>2375399.4299999997</v>
      </c>
      <c r="J228" s="58"/>
    </row>
    <row r="229" spans="1:10" x14ac:dyDescent="0.25">
      <c r="A229" s="62">
        <v>2</v>
      </c>
      <c r="B229" s="54">
        <v>3</v>
      </c>
      <c r="C229" s="54">
        <v>2</v>
      </c>
      <c r="D229" s="54">
        <v>2</v>
      </c>
      <c r="E229" s="55" t="s">
        <v>31</v>
      </c>
      <c r="F229" s="68" t="s">
        <v>198</v>
      </c>
      <c r="G229" s="56">
        <f>+'ABRIL '!G229+'mayo 2025'!G229+'junioo '!G229</f>
        <v>2375399.4299999997</v>
      </c>
      <c r="H229" s="56">
        <f>+'ABRIL '!H229+'mayo 2025'!H229+'junioo '!H229</f>
        <v>0</v>
      </c>
      <c r="I229" s="56">
        <f t="shared" si="9"/>
        <v>2375399.4299999997</v>
      </c>
      <c r="J229" s="57">
        <f>I229/$I$25</f>
        <v>7.9808968009551524E-3</v>
      </c>
    </row>
    <row r="230" spans="1:10" x14ac:dyDescent="0.25">
      <c r="A230" s="61">
        <v>2</v>
      </c>
      <c r="B230" s="50">
        <v>3</v>
      </c>
      <c r="C230" s="50">
        <v>2</v>
      </c>
      <c r="D230" s="50">
        <v>3</v>
      </c>
      <c r="E230" s="50"/>
      <c r="F230" s="69" t="s">
        <v>199</v>
      </c>
      <c r="G230" s="51">
        <f>+'ABRIL '!G230+'mayo 2025'!G230+'junioo '!G230</f>
        <v>0</v>
      </c>
      <c r="H230" s="51">
        <f>+'ABRIL '!H230+'mayo 2025'!H230+'junioo '!H230</f>
        <v>205178.4</v>
      </c>
      <c r="I230" s="51">
        <f t="shared" si="9"/>
        <v>205178.4</v>
      </c>
      <c r="J230" s="58"/>
    </row>
    <row r="231" spans="1:10" x14ac:dyDescent="0.25">
      <c r="A231" s="62">
        <v>2</v>
      </c>
      <c r="B231" s="54">
        <v>3</v>
      </c>
      <c r="C231" s="54">
        <v>2</v>
      </c>
      <c r="D231" s="54">
        <v>3</v>
      </c>
      <c r="E231" s="55" t="s">
        <v>31</v>
      </c>
      <c r="F231" s="68" t="s">
        <v>199</v>
      </c>
      <c r="G231" s="56">
        <f>+'ABRIL '!G231+'mayo 2025'!G231+'junioo '!G231</f>
        <v>0</v>
      </c>
      <c r="H231" s="56">
        <f>+'ABRIL '!H231+'mayo 2025'!H231+'junioo '!H231</f>
        <v>205178.4</v>
      </c>
      <c r="I231" s="56">
        <f t="shared" si="9"/>
        <v>205178.4</v>
      </c>
      <c r="J231" s="57">
        <f>I231/$I$25</f>
        <v>6.8936096199412528E-4</v>
      </c>
    </row>
    <row r="232" spans="1:10" x14ac:dyDescent="0.25">
      <c r="A232" s="60">
        <v>2</v>
      </c>
      <c r="B232" s="47">
        <v>3</v>
      </c>
      <c r="C232" s="47">
        <v>3</v>
      </c>
      <c r="D232" s="47"/>
      <c r="E232" s="65"/>
      <c r="F232" s="70" t="s">
        <v>200</v>
      </c>
      <c r="G232" s="48">
        <f>+'ABRIL '!G232+'mayo 2025'!G232+'junioo '!G232</f>
        <v>2991695.71</v>
      </c>
      <c r="H232" s="48">
        <f>+'ABRIL '!H232+'mayo 2025'!H232+'junioo '!H232</f>
        <v>803989</v>
      </c>
      <c r="I232" s="48">
        <f t="shared" si="9"/>
        <v>3795684.71</v>
      </c>
      <c r="J232" s="45"/>
    </row>
    <row r="233" spans="1:10" x14ac:dyDescent="0.25">
      <c r="A233" s="61">
        <v>2</v>
      </c>
      <c r="B233" s="50">
        <v>3</v>
      </c>
      <c r="C233" s="50">
        <v>3</v>
      </c>
      <c r="D233" s="50">
        <v>1</v>
      </c>
      <c r="E233" s="50"/>
      <c r="F233" s="69" t="s">
        <v>201</v>
      </c>
      <c r="G233" s="51">
        <f>+'ABRIL '!G233+'mayo 2025'!G233+'junioo '!G233</f>
        <v>10741.54</v>
      </c>
      <c r="H233" s="51">
        <f>+'ABRIL '!H233+'mayo 2025'!H233+'junioo '!H233</f>
        <v>0</v>
      </c>
      <c r="I233" s="51">
        <f t="shared" si="9"/>
        <v>10741.54</v>
      </c>
      <c r="J233" s="58"/>
    </row>
    <row r="234" spans="1:10" x14ac:dyDescent="0.25">
      <c r="A234" s="62">
        <v>2</v>
      </c>
      <c r="B234" s="54">
        <v>3</v>
      </c>
      <c r="C234" s="54">
        <v>3</v>
      </c>
      <c r="D234" s="54">
        <v>1</v>
      </c>
      <c r="E234" s="55" t="s">
        <v>31</v>
      </c>
      <c r="F234" s="68" t="s">
        <v>201</v>
      </c>
      <c r="G234" s="56">
        <f>+'ABRIL '!G234+'mayo 2025'!G234+'junioo '!G234</f>
        <v>10741.54</v>
      </c>
      <c r="H234" s="56">
        <f>+'ABRIL '!H234+'mayo 2025'!H234+'junioo '!H234</f>
        <v>0</v>
      </c>
      <c r="I234" s="56">
        <f t="shared" si="9"/>
        <v>10741.54</v>
      </c>
      <c r="J234" s="57">
        <f>I234/$I$25</f>
        <v>3.6089560829494613E-5</v>
      </c>
    </row>
    <row r="235" spans="1:10" x14ac:dyDescent="0.25">
      <c r="A235" s="61">
        <v>2</v>
      </c>
      <c r="B235" s="50">
        <v>3</v>
      </c>
      <c r="C235" s="50">
        <v>3</v>
      </c>
      <c r="D235" s="50">
        <v>2</v>
      </c>
      <c r="E235" s="50"/>
      <c r="F235" s="69" t="s">
        <v>202</v>
      </c>
      <c r="G235" s="51">
        <f>+'ABRIL '!G235+'mayo 2025'!G235+'junioo '!G235</f>
        <v>1046532.97</v>
      </c>
      <c r="H235" s="51">
        <f>+'ABRIL '!H235+'mayo 2025'!H235+'junioo '!H235</f>
        <v>498900</v>
      </c>
      <c r="I235" s="51">
        <f t="shared" si="9"/>
        <v>1545432.97</v>
      </c>
      <c r="J235" s="58"/>
    </row>
    <row r="236" spans="1:10" x14ac:dyDescent="0.25">
      <c r="A236" s="62">
        <v>2</v>
      </c>
      <c r="B236" s="54">
        <v>3</v>
      </c>
      <c r="C236" s="54">
        <v>3</v>
      </c>
      <c r="D236" s="54">
        <v>2</v>
      </c>
      <c r="E236" s="55" t="s">
        <v>31</v>
      </c>
      <c r="F236" s="68" t="s">
        <v>202</v>
      </c>
      <c r="G236" s="56">
        <f>+'ABRIL '!G236+'mayo 2025'!G236+'junioo '!G236</f>
        <v>1046532.97</v>
      </c>
      <c r="H236" s="56">
        <f>+'ABRIL '!H236+'mayo 2025'!H236+'junioo '!H236</f>
        <v>498900</v>
      </c>
      <c r="I236" s="56">
        <f t="shared" si="9"/>
        <v>1545432.97</v>
      </c>
      <c r="J236" s="57">
        <f>I236/$I$25</f>
        <v>5.1923650778865522E-3</v>
      </c>
    </row>
    <row r="237" spans="1:10" x14ac:dyDescent="0.25">
      <c r="A237" s="61">
        <v>2</v>
      </c>
      <c r="B237" s="50">
        <v>3</v>
      </c>
      <c r="C237" s="50">
        <v>3</v>
      </c>
      <c r="D237" s="50">
        <v>3</v>
      </c>
      <c r="E237" s="50"/>
      <c r="F237" s="69" t="s">
        <v>203</v>
      </c>
      <c r="G237" s="51">
        <f>+'ABRIL '!G237+'mayo 2025'!G237+'junioo '!G237</f>
        <v>1934421.2</v>
      </c>
      <c r="H237" s="51">
        <f>+'ABRIL '!H237+'mayo 2025'!H237+'junioo '!H237</f>
        <v>305089</v>
      </c>
      <c r="I237" s="51">
        <f t="shared" si="9"/>
        <v>2239510.2000000002</v>
      </c>
      <c r="J237" s="58"/>
    </row>
    <row r="238" spans="1:10" x14ac:dyDescent="0.25">
      <c r="A238" s="62">
        <v>2</v>
      </c>
      <c r="B238" s="54">
        <v>3</v>
      </c>
      <c r="C238" s="54">
        <v>3</v>
      </c>
      <c r="D238" s="54">
        <v>3</v>
      </c>
      <c r="E238" s="55" t="s">
        <v>31</v>
      </c>
      <c r="F238" s="68" t="s">
        <v>203</v>
      </c>
      <c r="G238" s="56">
        <f>+'ABRIL '!G238+'mayo 2025'!G238+'junioo '!G238</f>
        <v>1934421.2</v>
      </c>
      <c r="H238" s="56">
        <f>+'ABRIL '!H238+'mayo 2025'!H238+'junioo '!H238</f>
        <v>305089</v>
      </c>
      <c r="I238" s="56">
        <f t="shared" si="9"/>
        <v>2239510.2000000002</v>
      </c>
      <c r="J238" s="57">
        <f>I238/$I$25</f>
        <v>7.5243344614621043E-3</v>
      </c>
    </row>
    <row r="239" spans="1:10" x14ac:dyDescent="0.25">
      <c r="A239" s="61">
        <v>2</v>
      </c>
      <c r="B239" s="50">
        <v>3</v>
      </c>
      <c r="C239" s="50">
        <v>3</v>
      </c>
      <c r="D239" s="50">
        <v>4</v>
      </c>
      <c r="E239" s="50"/>
      <c r="F239" s="69" t="s">
        <v>204</v>
      </c>
      <c r="G239" s="51">
        <f>+'ABRIL '!G239+'mayo 2025'!G239+'junioo '!G239</f>
        <v>0</v>
      </c>
      <c r="H239" s="51">
        <f>+'ABRIL '!H239+'mayo 2025'!H239+'junioo '!H239</f>
        <v>0</v>
      </c>
      <c r="I239" s="51">
        <f t="shared" si="9"/>
        <v>0</v>
      </c>
      <c r="J239" s="58"/>
    </row>
    <row r="240" spans="1:10" x14ac:dyDescent="0.25">
      <c r="A240" s="62">
        <v>2</v>
      </c>
      <c r="B240" s="54">
        <v>3</v>
      </c>
      <c r="C240" s="54">
        <v>3</v>
      </c>
      <c r="D240" s="54">
        <v>4</v>
      </c>
      <c r="E240" s="55" t="s">
        <v>31</v>
      </c>
      <c r="F240" s="68" t="s">
        <v>204</v>
      </c>
      <c r="G240" s="56">
        <f>+'ABRIL '!G240+'mayo 2025'!G240+'junioo '!G240</f>
        <v>0</v>
      </c>
      <c r="H240" s="56">
        <f>+'ABRIL '!H240+'mayo 2025'!H240+'junioo '!H240</f>
        <v>0</v>
      </c>
      <c r="I240" s="56">
        <f t="shared" si="9"/>
        <v>0</v>
      </c>
      <c r="J240" s="57">
        <f>I240/$I$25</f>
        <v>0</v>
      </c>
    </row>
    <row r="241" spans="1:10" x14ac:dyDescent="0.25">
      <c r="A241" s="61">
        <v>2</v>
      </c>
      <c r="B241" s="50">
        <v>3</v>
      </c>
      <c r="C241" s="50">
        <v>3</v>
      </c>
      <c r="D241" s="50">
        <v>5</v>
      </c>
      <c r="E241" s="50"/>
      <c r="F241" s="69" t="s">
        <v>205</v>
      </c>
      <c r="G241" s="51">
        <f>+'ABRIL '!G241+'mayo 2025'!G241+'junioo '!G241</f>
        <v>0</v>
      </c>
      <c r="H241" s="51">
        <f>+'ABRIL '!H241+'mayo 2025'!H241+'junioo '!H241</f>
        <v>0</v>
      </c>
      <c r="I241" s="51">
        <f t="shared" si="9"/>
        <v>0</v>
      </c>
      <c r="J241" s="58"/>
    </row>
    <row r="242" spans="1:10" x14ac:dyDescent="0.25">
      <c r="A242" s="62">
        <v>2</v>
      </c>
      <c r="B242" s="54">
        <v>3</v>
      </c>
      <c r="C242" s="54">
        <v>3</v>
      </c>
      <c r="D242" s="54">
        <v>5</v>
      </c>
      <c r="E242" s="55" t="s">
        <v>31</v>
      </c>
      <c r="F242" s="68" t="s">
        <v>205</v>
      </c>
      <c r="G242" s="56">
        <f>+'ABRIL '!G242+'mayo 2025'!G242+'junioo '!G242</f>
        <v>0</v>
      </c>
      <c r="H242" s="56">
        <f>+'ABRIL '!H242+'mayo 2025'!H242+'junioo '!H242</f>
        <v>0</v>
      </c>
      <c r="I242" s="56">
        <f t="shared" si="9"/>
        <v>0</v>
      </c>
      <c r="J242" s="57">
        <f>I242/$I$25</f>
        <v>0</v>
      </c>
    </row>
    <row r="243" spans="1:10" x14ac:dyDescent="0.25">
      <c r="A243" s="61">
        <v>2</v>
      </c>
      <c r="B243" s="50">
        <v>3</v>
      </c>
      <c r="C243" s="50">
        <v>3</v>
      </c>
      <c r="D243" s="50">
        <v>6</v>
      </c>
      <c r="E243" s="50"/>
      <c r="F243" s="69" t="s">
        <v>206</v>
      </c>
      <c r="G243" s="51">
        <f>+'ABRIL '!G243+'mayo 2025'!G243+'junioo '!G243</f>
        <v>0</v>
      </c>
      <c r="H243" s="51">
        <f>+'ABRIL '!H243+'mayo 2025'!H243+'junioo '!H243</f>
        <v>0</v>
      </c>
      <c r="I243" s="51">
        <f t="shared" si="9"/>
        <v>0</v>
      </c>
      <c r="J243" s="58"/>
    </row>
    <row r="244" spans="1:10" x14ac:dyDescent="0.25">
      <c r="A244" s="62">
        <v>2</v>
      </c>
      <c r="B244" s="54">
        <v>3</v>
      </c>
      <c r="C244" s="54">
        <v>3</v>
      </c>
      <c r="D244" s="54">
        <v>6</v>
      </c>
      <c r="E244" s="55" t="s">
        <v>31</v>
      </c>
      <c r="F244" s="68" t="s">
        <v>206</v>
      </c>
      <c r="G244" s="56">
        <f>+'ABRIL '!G244+'mayo 2025'!G244+'junioo '!G244</f>
        <v>0</v>
      </c>
      <c r="H244" s="56">
        <f>+'ABRIL '!H244+'mayo 2025'!H244+'junioo '!H244</f>
        <v>0</v>
      </c>
      <c r="I244" s="56">
        <f t="shared" si="9"/>
        <v>0</v>
      </c>
      <c r="J244" s="57">
        <f>I244/$I$25</f>
        <v>0</v>
      </c>
    </row>
    <row r="245" spans="1:10" x14ac:dyDescent="0.25">
      <c r="A245" s="60">
        <v>2</v>
      </c>
      <c r="B245" s="47">
        <v>3</v>
      </c>
      <c r="C245" s="47">
        <v>4</v>
      </c>
      <c r="D245" s="47"/>
      <c r="E245" s="65"/>
      <c r="F245" s="70" t="s">
        <v>207</v>
      </c>
      <c r="G245" s="48">
        <f>+'ABRIL '!G245+'mayo 2025'!G245+'junioo '!G245</f>
        <v>12009356.6</v>
      </c>
      <c r="H245" s="48">
        <f>+'ABRIL '!H245+'mayo 2025'!H245+'junioo '!H245</f>
        <v>402220.76</v>
      </c>
      <c r="I245" s="48">
        <f t="shared" si="9"/>
        <v>12411577.359999999</v>
      </c>
      <c r="J245" s="45"/>
    </row>
    <row r="246" spans="1:10" x14ac:dyDescent="0.25">
      <c r="A246" s="61">
        <v>2</v>
      </c>
      <c r="B246" s="50">
        <v>3</v>
      </c>
      <c r="C246" s="50">
        <v>4</v>
      </c>
      <c r="D246" s="50">
        <v>1</v>
      </c>
      <c r="E246" s="50"/>
      <c r="F246" s="69" t="s">
        <v>208</v>
      </c>
      <c r="G246" s="51">
        <f>+'ABRIL '!G246+'mayo 2025'!G246+'junioo '!G246</f>
        <v>12009356.6</v>
      </c>
      <c r="H246" s="51">
        <f>+'ABRIL '!H246+'mayo 2025'!H246+'junioo '!H246</f>
        <v>402220.76</v>
      </c>
      <c r="I246" s="51">
        <f t="shared" si="9"/>
        <v>12411577.359999999</v>
      </c>
      <c r="J246" s="58"/>
    </row>
    <row r="247" spans="1:10" x14ac:dyDescent="0.25">
      <c r="A247" s="62">
        <v>2</v>
      </c>
      <c r="B247" s="54">
        <v>3</v>
      </c>
      <c r="C247" s="54">
        <v>4</v>
      </c>
      <c r="D247" s="54">
        <v>1</v>
      </c>
      <c r="E247" s="55" t="s">
        <v>31</v>
      </c>
      <c r="F247" s="68" t="s">
        <v>208</v>
      </c>
      <c r="G247" s="56">
        <f>+'ABRIL '!G247+'mayo 2025'!G247+'junioo '!G247</f>
        <v>12009356.6</v>
      </c>
      <c r="H247" s="56">
        <f>+'ABRIL '!H247+'mayo 2025'!H247+'junioo '!H247</f>
        <v>402220.76</v>
      </c>
      <c r="I247" s="56">
        <f t="shared" si="9"/>
        <v>12411577.359999999</v>
      </c>
      <c r="J247" s="57">
        <f>I247/$I$25</f>
        <v>4.1700573299889784E-2</v>
      </c>
    </row>
    <row r="248" spans="1:10" x14ac:dyDescent="0.25">
      <c r="A248" s="61">
        <v>2</v>
      </c>
      <c r="B248" s="50">
        <v>3</v>
      </c>
      <c r="C248" s="50">
        <v>4</v>
      </c>
      <c r="D248" s="50">
        <v>2</v>
      </c>
      <c r="E248" s="50"/>
      <c r="F248" s="69" t="s">
        <v>209</v>
      </c>
      <c r="G248" s="51">
        <f>+'ABRIL '!G248+'mayo 2025'!G248+'junioo '!G248</f>
        <v>0</v>
      </c>
      <c r="H248" s="51">
        <f>+'ABRIL '!H248+'mayo 2025'!H248+'junioo '!H248</f>
        <v>0</v>
      </c>
      <c r="I248" s="51">
        <f t="shared" si="9"/>
        <v>0</v>
      </c>
      <c r="J248" s="58"/>
    </row>
    <row r="249" spans="1:10" x14ac:dyDescent="0.25">
      <c r="A249" s="62">
        <v>2</v>
      </c>
      <c r="B249" s="54">
        <v>3</v>
      </c>
      <c r="C249" s="54">
        <v>4</v>
      </c>
      <c r="D249" s="54">
        <v>2</v>
      </c>
      <c r="E249" s="55" t="s">
        <v>31</v>
      </c>
      <c r="F249" s="68" t="s">
        <v>209</v>
      </c>
      <c r="G249" s="56">
        <f>+'ABRIL '!G249+'mayo 2025'!G249+'junioo '!G249</f>
        <v>0</v>
      </c>
      <c r="H249" s="56">
        <f>+'ABRIL '!H249+'mayo 2025'!H249+'junioo '!H249</f>
        <v>0</v>
      </c>
      <c r="I249" s="56">
        <f t="shared" si="9"/>
        <v>0</v>
      </c>
      <c r="J249" s="57">
        <f>I249/$I$25</f>
        <v>0</v>
      </c>
    </row>
    <row r="250" spans="1:10" x14ac:dyDescent="0.25">
      <c r="A250" s="60">
        <v>2</v>
      </c>
      <c r="B250" s="47">
        <v>3</v>
      </c>
      <c r="C250" s="47">
        <v>5</v>
      </c>
      <c r="D250" s="47"/>
      <c r="E250" s="65"/>
      <c r="F250" s="70" t="s">
        <v>210</v>
      </c>
      <c r="G250" s="48">
        <f>+'ABRIL '!G250+'mayo 2025'!G250+'junioo '!G250</f>
        <v>1024240.43</v>
      </c>
      <c r="H250" s="48">
        <f>+'ABRIL '!H250+'mayo 2025'!H250+'junioo '!H250</f>
        <v>0</v>
      </c>
      <c r="I250" s="48">
        <f t="shared" si="9"/>
        <v>1024240.43</v>
      </c>
      <c r="J250" s="45"/>
    </row>
    <row r="251" spans="1:10" x14ac:dyDescent="0.25">
      <c r="A251" s="61">
        <v>2</v>
      </c>
      <c r="B251" s="50">
        <v>3</v>
      </c>
      <c r="C251" s="50">
        <v>5</v>
      </c>
      <c r="D251" s="50">
        <v>1</v>
      </c>
      <c r="E251" s="50"/>
      <c r="F251" s="69" t="s">
        <v>211</v>
      </c>
      <c r="G251" s="51">
        <f>+'ABRIL '!G251+'mayo 2025'!G251+'junioo '!G251</f>
        <v>0</v>
      </c>
      <c r="H251" s="51">
        <f>+'ABRIL '!H251+'mayo 2025'!H251+'junioo '!H251</f>
        <v>0</v>
      </c>
      <c r="I251" s="51">
        <f t="shared" si="9"/>
        <v>0</v>
      </c>
      <c r="J251" s="58"/>
    </row>
    <row r="252" spans="1:10" x14ac:dyDescent="0.25">
      <c r="A252" s="62">
        <v>2</v>
      </c>
      <c r="B252" s="54">
        <v>3</v>
      </c>
      <c r="C252" s="54">
        <v>5</v>
      </c>
      <c r="D252" s="54">
        <v>1</v>
      </c>
      <c r="E252" s="55" t="s">
        <v>31</v>
      </c>
      <c r="F252" s="68" t="s">
        <v>211</v>
      </c>
      <c r="G252" s="56">
        <f>+'ABRIL '!G252+'mayo 2025'!G252+'junioo '!G252</f>
        <v>0</v>
      </c>
      <c r="H252" s="56">
        <f>+'ABRIL '!H252+'mayo 2025'!H252+'junioo '!H252</f>
        <v>0</v>
      </c>
      <c r="I252" s="56">
        <f t="shared" si="9"/>
        <v>0</v>
      </c>
      <c r="J252" s="57">
        <f>I252/$I$25</f>
        <v>0</v>
      </c>
    </row>
    <row r="253" spans="1:10" x14ac:dyDescent="0.25">
      <c r="A253" s="61">
        <v>2</v>
      </c>
      <c r="B253" s="50">
        <v>3</v>
      </c>
      <c r="C253" s="50">
        <v>5</v>
      </c>
      <c r="D253" s="50">
        <v>2</v>
      </c>
      <c r="E253" s="50"/>
      <c r="F253" s="69" t="s">
        <v>212</v>
      </c>
      <c r="G253" s="51">
        <f>+'ABRIL '!G253+'mayo 2025'!G253+'junioo '!G253</f>
        <v>0</v>
      </c>
      <c r="H253" s="51">
        <f>+'ABRIL '!H253+'mayo 2025'!H253+'junioo '!H253</f>
        <v>0</v>
      </c>
      <c r="I253" s="51">
        <f t="shared" si="9"/>
        <v>0</v>
      </c>
      <c r="J253" s="58"/>
    </row>
    <row r="254" spans="1:10" x14ac:dyDescent="0.25">
      <c r="A254" s="62">
        <v>2</v>
      </c>
      <c r="B254" s="54">
        <v>3</v>
      </c>
      <c r="C254" s="54">
        <v>5</v>
      </c>
      <c r="D254" s="54">
        <v>2</v>
      </c>
      <c r="E254" s="55" t="s">
        <v>31</v>
      </c>
      <c r="F254" s="68" t="s">
        <v>212</v>
      </c>
      <c r="G254" s="56">
        <f>+'ABRIL '!G254+'mayo 2025'!G254+'junioo '!G254</f>
        <v>0</v>
      </c>
      <c r="H254" s="56">
        <f>+'ABRIL '!H254+'mayo 2025'!H254+'junioo '!H254</f>
        <v>0</v>
      </c>
      <c r="I254" s="56">
        <f t="shared" si="9"/>
        <v>0</v>
      </c>
      <c r="J254" s="57">
        <f>I254/$I$25</f>
        <v>0</v>
      </c>
    </row>
    <row r="255" spans="1:10" x14ac:dyDescent="0.25">
      <c r="A255" s="61">
        <v>2</v>
      </c>
      <c r="B255" s="50">
        <v>3</v>
      </c>
      <c r="C255" s="50">
        <v>5</v>
      </c>
      <c r="D255" s="50">
        <v>3</v>
      </c>
      <c r="E255" s="50"/>
      <c r="F255" s="69" t="s">
        <v>213</v>
      </c>
      <c r="G255" s="51">
        <f>+'ABRIL '!G255+'mayo 2025'!G255+'junioo '!G255</f>
        <v>0</v>
      </c>
      <c r="H255" s="51">
        <f>+'ABRIL '!H255+'mayo 2025'!H255+'junioo '!H255</f>
        <v>0</v>
      </c>
      <c r="I255" s="51">
        <f t="shared" si="9"/>
        <v>0</v>
      </c>
      <c r="J255" s="58"/>
    </row>
    <row r="256" spans="1:10" x14ac:dyDescent="0.25">
      <c r="A256" s="62">
        <v>2</v>
      </c>
      <c r="B256" s="54">
        <v>3</v>
      </c>
      <c r="C256" s="54">
        <v>5</v>
      </c>
      <c r="D256" s="54">
        <v>3</v>
      </c>
      <c r="E256" s="55" t="s">
        <v>31</v>
      </c>
      <c r="F256" s="68" t="s">
        <v>213</v>
      </c>
      <c r="G256" s="56">
        <f>+'ABRIL '!G256+'mayo 2025'!G256+'junioo '!G256</f>
        <v>0</v>
      </c>
      <c r="H256" s="56">
        <f>+'ABRIL '!H256+'mayo 2025'!H256+'junioo '!H256</f>
        <v>0</v>
      </c>
      <c r="I256" s="56">
        <f t="shared" si="9"/>
        <v>0</v>
      </c>
      <c r="J256" s="57">
        <f>I256/$I$25</f>
        <v>0</v>
      </c>
    </row>
    <row r="257" spans="1:10" x14ac:dyDescent="0.25">
      <c r="A257" s="61">
        <v>2</v>
      </c>
      <c r="B257" s="50">
        <v>3</v>
      </c>
      <c r="C257" s="50">
        <v>5</v>
      </c>
      <c r="D257" s="50">
        <v>4</v>
      </c>
      <c r="E257" s="50"/>
      <c r="F257" s="69" t="s">
        <v>214</v>
      </c>
      <c r="G257" s="51">
        <f>+'ABRIL '!G257+'mayo 2025'!G257+'junioo '!G257</f>
        <v>13349.69</v>
      </c>
      <c r="H257" s="51">
        <f>+'ABRIL '!H257+'mayo 2025'!H257+'junioo '!H257</f>
        <v>0</v>
      </c>
      <c r="I257" s="51">
        <f t="shared" si="9"/>
        <v>13349.69</v>
      </c>
      <c r="J257" s="58"/>
    </row>
    <row r="258" spans="1:10" x14ac:dyDescent="0.25">
      <c r="A258" s="62">
        <v>2</v>
      </c>
      <c r="B258" s="54">
        <v>3</v>
      </c>
      <c r="C258" s="54">
        <v>5</v>
      </c>
      <c r="D258" s="54">
        <v>4</v>
      </c>
      <c r="E258" s="55" t="s">
        <v>31</v>
      </c>
      <c r="F258" s="68" t="s">
        <v>214</v>
      </c>
      <c r="G258" s="56">
        <f>+'ABRIL '!G258+'mayo 2025'!G258+'junioo '!G258</f>
        <v>13349.69</v>
      </c>
      <c r="H258" s="56">
        <f>+'ABRIL '!H258+'mayo 2025'!H258+'junioo '!H258</f>
        <v>0</v>
      </c>
      <c r="I258" s="56">
        <f t="shared" si="9"/>
        <v>13349.69</v>
      </c>
      <c r="J258" s="57">
        <f>I258/$I$25</f>
        <v>4.4852455915063938E-5</v>
      </c>
    </row>
    <row r="259" spans="1:10" x14ac:dyDescent="0.25">
      <c r="A259" s="61">
        <v>2</v>
      </c>
      <c r="B259" s="50">
        <v>3</v>
      </c>
      <c r="C259" s="50">
        <v>5</v>
      </c>
      <c r="D259" s="50">
        <v>5</v>
      </c>
      <c r="E259" s="50"/>
      <c r="F259" s="69" t="s">
        <v>215</v>
      </c>
      <c r="G259" s="51">
        <f>+'ABRIL '!G259+'mayo 2025'!G259+'junioo '!G259</f>
        <v>1010890.74</v>
      </c>
      <c r="H259" s="51">
        <f>+'ABRIL '!H259+'mayo 2025'!H259+'junioo '!H259</f>
        <v>0</v>
      </c>
      <c r="I259" s="51">
        <f t="shared" si="9"/>
        <v>1010890.74</v>
      </c>
      <c r="J259" s="58"/>
    </row>
    <row r="260" spans="1:10" x14ac:dyDescent="0.25">
      <c r="A260" s="62">
        <v>2</v>
      </c>
      <c r="B260" s="54">
        <v>3</v>
      </c>
      <c r="C260" s="54">
        <v>5</v>
      </c>
      <c r="D260" s="54">
        <v>5</v>
      </c>
      <c r="E260" s="55" t="s">
        <v>31</v>
      </c>
      <c r="F260" s="68" t="s">
        <v>215</v>
      </c>
      <c r="G260" s="56">
        <f>+'ABRIL '!G260+'mayo 2025'!G260+'junioo '!G260</f>
        <v>1010890.74</v>
      </c>
      <c r="H260" s="56">
        <f>+'ABRIL '!H260+'mayo 2025'!H260+'junioo '!H260</f>
        <v>0</v>
      </c>
      <c r="I260" s="56">
        <f t="shared" si="9"/>
        <v>1010890.74</v>
      </c>
      <c r="J260" s="57">
        <f>I260/$I$25</f>
        <v>3.3964033884529427E-3</v>
      </c>
    </row>
    <row r="261" spans="1:10" ht="25.5" x14ac:dyDescent="0.25">
      <c r="A261" s="60">
        <v>2</v>
      </c>
      <c r="B261" s="47">
        <v>3</v>
      </c>
      <c r="C261" s="47">
        <v>6</v>
      </c>
      <c r="D261" s="47"/>
      <c r="E261" s="47"/>
      <c r="F261" s="70" t="s">
        <v>216</v>
      </c>
      <c r="G261" s="48">
        <f>+'ABRIL '!G261+'mayo 2025'!G261+'junioo '!G261</f>
        <v>667620.59</v>
      </c>
      <c r="H261" s="48">
        <f>+'ABRIL '!H261+'mayo 2025'!H261+'junioo '!H261</f>
        <v>0</v>
      </c>
      <c r="I261" s="48">
        <f t="shared" si="9"/>
        <v>667620.59</v>
      </c>
      <c r="J261" s="45"/>
    </row>
    <row r="262" spans="1:10" ht="25.5" x14ac:dyDescent="0.25">
      <c r="A262" s="61">
        <v>2</v>
      </c>
      <c r="B262" s="50">
        <v>3</v>
      </c>
      <c r="C262" s="50">
        <v>6</v>
      </c>
      <c r="D262" s="50">
        <v>1</v>
      </c>
      <c r="E262" s="50"/>
      <c r="F262" s="69" t="s">
        <v>217</v>
      </c>
      <c r="G262" s="51">
        <f>+'ABRIL '!G262+'mayo 2025'!G262+'junioo '!G262</f>
        <v>26668</v>
      </c>
      <c r="H262" s="51">
        <f>+'ABRIL '!H262+'mayo 2025'!H262+'junioo '!H262</f>
        <v>0</v>
      </c>
      <c r="I262" s="51">
        <f t="shared" si="9"/>
        <v>26668</v>
      </c>
      <c r="J262" s="58"/>
    </row>
    <row r="263" spans="1:10" x14ac:dyDescent="0.25">
      <c r="A263" s="62">
        <v>2</v>
      </c>
      <c r="B263" s="54">
        <v>3</v>
      </c>
      <c r="C263" s="54">
        <v>6</v>
      </c>
      <c r="D263" s="54">
        <v>1</v>
      </c>
      <c r="E263" s="55" t="s">
        <v>31</v>
      </c>
      <c r="F263" s="68" t="s">
        <v>218</v>
      </c>
      <c r="G263" s="56">
        <f>+'ABRIL '!G263+'mayo 2025'!G263+'junioo '!G263</f>
        <v>0</v>
      </c>
      <c r="H263" s="56">
        <f>+'ABRIL '!H263+'mayo 2025'!H263+'junioo '!H263</f>
        <v>0</v>
      </c>
      <c r="I263" s="56">
        <f t="shared" si="9"/>
        <v>0</v>
      </c>
      <c r="J263" s="57">
        <f>I263/$I$25</f>
        <v>0</v>
      </c>
    </row>
    <row r="264" spans="1:10" x14ac:dyDescent="0.25">
      <c r="A264" s="62">
        <v>2</v>
      </c>
      <c r="B264" s="54">
        <v>3</v>
      </c>
      <c r="C264" s="54">
        <v>6</v>
      </c>
      <c r="D264" s="54">
        <v>1</v>
      </c>
      <c r="E264" s="55" t="s">
        <v>33</v>
      </c>
      <c r="F264" s="68" t="s">
        <v>219</v>
      </c>
      <c r="G264" s="56">
        <f>+'ABRIL '!G264+'mayo 2025'!G264+'junioo '!G264</f>
        <v>0</v>
      </c>
      <c r="H264" s="56">
        <f>+'ABRIL '!H264+'mayo 2025'!H264+'junioo '!H264</f>
        <v>0</v>
      </c>
      <c r="I264" s="56">
        <f t="shared" si="9"/>
        <v>0</v>
      </c>
      <c r="J264" s="57">
        <f>I264/$I$25</f>
        <v>0</v>
      </c>
    </row>
    <row r="265" spans="1:10" x14ac:dyDescent="0.25">
      <c r="A265" s="62">
        <v>2</v>
      </c>
      <c r="B265" s="54">
        <v>3</v>
      </c>
      <c r="C265" s="54">
        <v>6</v>
      </c>
      <c r="D265" s="54">
        <v>1</v>
      </c>
      <c r="E265" s="55" t="s">
        <v>35</v>
      </c>
      <c r="F265" s="68" t="s">
        <v>220</v>
      </c>
      <c r="G265" s="56">
        <f>+'ABRIL '!G265+'mayo 2025'!G265+'junioo '!G265</f>
        <v>0</v>
      </c>
      <c r="H265" s="56">
        <f>+'ABRIL '!H265+'mayo 2025'!H265+'junioo '!H265</f>
        <v>0</v>
      </c>
      <c r="I265" s="56">
        <f t="shared" si="9"/>
        <v>0</v>
      </c>
      <c r="J265" s="57">
        <f>I265/$I$25</f>
        <v>0</v>
      </c>
    </row>
    <row r="266" spans="1:10" x14ac:dyDescent="0.25">
      <c r="A266" s="62">
        <v>2</v>
      </c>
      <c r="B266" s="54">
        <v>3</v>
      </c>
      <c r="C266" s="54">
        <v>6</v>
      </c>
      <c r="D266" s="54">
        <v>1</v>
      </c>
      <c r="E266" s="55" t="s">
        <v>37</v>
      </c>
      <c r="F266" s="68" t="s">
        <v>221</v>
      </c>
      <c r="G266" s="56">
        <f>+'ABRIL '!G266+'mayo 2025'!G266+'junioo '!G266</f>
        <v>26668</v>
      </c>
      <c r="H266" s="56">
        <f>+'ABRIL '!H266+'mayo 2025'!H266+'junioo '!H266</f>
        <v>0</v>
      </c>
      <c r="I266" s="56">
        <f t="shared" si="9"/>
        <v>26668</v>
      </c>
      <c r="J266" s="57">
        <f>I266/$I$25</f>
        <v>8.9599480912509963E-5</v>
      </c>
    </row>
    <row r="267" spans="1:10" x14ac:dyDescent="0.25">
      <c r="A267" s="62">
        <v>2</v>
      </c>
      <c r="B267" s="54">
        <v>3</v>
      </c>
      <c r="C267" s="54">
        <v>6</v>
      </c>
      <c r="D267" s="54">
        <v>1</v>
      </c>
      <c r="E267" s="55" t="s">
        <v>39</v>
      </c>
      <c r="F267" s="68" t="s">
        <v>222</v>
      </c>
      <c r="G267" s="56">
        <f>+'ABRIL '!G267+'mayo 2025'!G267+'junioo '!G267</f>
        <v>0</v>
      </c>
      <c r="H267" s="56">
        <f>+'ABRIL '!H267+'mayo 2025'!H267+'junioo '!H267</f>
        <v>0</v>
      </c>
      <c r="I267" s="56">
        <f t="shared" si="9"/>
        <v>0</v>
      </c>
      <c r="J267" s="57">
        <f>I267/$I$25</f>
        <v>0</v>
      </c>
    </row>
    <row r="268" spans="1:10" x14ac:dyDescent="0.25">
      <c r="A268" s="61">
        <v>2</v>
      </c>
      <c r="B268" s="50">
        <v>3</v>
      </c>
      <c r="C268" s="50">
        <v>6</v>
      </c>
      <c r="D268" s="50">
        <v>2</v>
      </c>
      <c r="E268" s="50"/>
      <c r="F268" s="69" t="s">
        <v>223</v>
      </c>
      <c r="G268" s="51">
        <f>+'ABRIL '!G268+'mayo 2025'!G268+'junioo '!G268</f>
        <v>245706.09</v>
      </c>
      <c r="H268" s="51">
        <f>+'ABRIL '!H268+'mayo 2025'!H268+'junioo '!H268</f>
        <v>0</v>
      </c>
      <c r="I268" s="51">
        <f t="shared" si="9"/>
        <v>245706.09</v>
      </c>
      <c r="J268" s="58"/>
    </row>
    <row r="269" spans="1:10" x14ac:dyDescent="0.25">
      <c r="A269" s="62">
        <v>2</v>
      </c>
      <c r="B269" s="54">
        <v>3</v>
      </c>
      <c r="C269" s="54">
        <v>6</v>
      </c>
      <c r="D269" s="54">
        <v>2</v>
      </c>
      <c r="E269" s="55" t="s">
        <v>31</v>
      </c>
      <c r="F269" s="68" t="s">
        <v>224</v>
      </c>
      <c r="G269" s="56">
        <f>+'ABRIL '!G269+'mayo 2025'!G269+'junioo '!G269</f>
        <v>40356</v>
      </c>
      <c r="H269" s="56">
        <f>+'ABRIL '!H269+'mayo 2025'!H269+'junioo '!H269</f>
        <v>0</v>
      </c>
      <c r="I269" s="56">
        <f t="shared" si="9"/>
        <v>40356</v>
      </c>
      <c r="J269" s="57">
        <f>I269/$I$25</f>
        <v>1.355885950091965E-4</v>
      </c>
    </row>
    <row r="270" spans="1:10" x14ac:dyDescent="0.25">
      <c r="A270" s="62">
        <v>2</v>
      </c>
      <c r="B270" s="54">
        <v>3</v>
      </c>
      <c r="C270" s="54">
        <v>6</v>
      </c>
      <c r="D270" s="54">
        <v>2</v>
      </c>
      <c r="E270" s="55" t="s">
        <v>33</v>
      </c>
      <c r="F270" s="68" t="s">
        <v>225</v>
      </c>
      <c r="G270" s="56">
        <f>+'ABRIL '!G270+'mayo 2025'!G270+'junioo '!G270</f>
        <v>0</v>
      </c>
      <c r="H270" s="56">
        <f>+'ABRIL '!H270+'mayo 2025'!H270+'junioo '!H270</f>
        <v>0</v>
      </c>
      <c r="I270" s="56">
        <f t="shared" si="9"/>
        <v>0</v>
      </c>
      <c r="J270" s="57">
        <f>I270/$I$25</f>
        <v>0</v>
      </c>
    </row>
    <row r="271" spans="1:10" x14ac:dyDescent="0.25">
      <c r="A271" s="62">
        <v>2</v>
      </c>
      <c r="B271" s="54">
        <v>3</v>
      </c>
      <c r="C271" s="54">
        <v>6</v>
      </c>
      <c r="D271" s="54">
        <v>2</v>
      </c>
      <c r="E271" s="55" t="s">
        <v>35</v>
      </c>
      <c r="F271" s="68" t="s">
        <v>226</v>
      </c>
      <c r="G271" s="56">
        <f>+'ABRIL '!G271+'mayo 2025'!G271+'junioo '!G271</f>
        <v>205350.09</v>
      </c>
      <c r="H271" s="56">
        <f>+'ABRIL '!H271+'mayo 2025'!H271+'junioo '!H271</f>
        <v>0</v>
      </c>
      <c r="I271" s="56">
        <f t="shared" si="9"/>
        <v>205350.09</v>
      </c>
      <c r="J271" s="57">
        <f>I271/$I$25</f>
        <v>6.8993780820973466E-4</v>
      </c>
    </row>
    <row r="272" spans="1:10" x14ac:dyDescent="0.25">
      <c r="A272" s="61">
        <v>2</v>
      </c>
      <c r="B272" s="50">
        <v>3</v>
      </c>
      <c r="C272" s="50">
        <v>6</v>
      </c>
      <c r="D272" s="50">
        <v>3</v>
      </c>
      <c r="E272" s="50"/>
      <c r="F272" s="69" t="s">
        <v>227</v>
      </c>
      <c r="G272" s="51">
        <f>+'ABRIL '!G272+'mayo 2025'!G272+'junioo '!G272</f>
        <v>395246.5</v>
      </c>
      <c r="H272" s="51">
        <f>+'ABRIL '!H272+'mayo 2025'!H272+'junioo '!H272</f>
        <v>0</v>
      </c>
      <c r="I272" s="51">
        <f t="shared" si="9"/>
        <v>395246.5</v>
      </c>
      <c r="J272" s="58"/>
    </row>
    <row r="273" spans="1:10" x14ac:dyDescent="0.25">
      <c r="A273" s="62">
        <v>2</v>
      </c>
      <c r="B273" s="54">
        <v>3</v>
      </c>
      <c r="C273" s="54">
        <v>6</v>
      </c>
      <c r="D273" s="54">
        <v>3</v>
      </c>
      <c r="E273" s="55" t="s">
        <v>37</v>
      </c>
      <c r="F273" s="68" t="s">
        <v>228</v>
      </c>
      <c r="G273" s="56">
        <f>+'ABRIL '!G273+'mayo 2025'!G273+'junioo '!G273</f>
        <v>214819</v>
      </c>
      <c r="H273" s="56">
        <f>+'ABRIL '!H273+'mayo 2025'!H273+'junioo '!H273</f>
        <v>0</v>
      </c>
      <c r="I273" s="56">
        <f t="shared" si="9"/>
        <v>214819</v>
      </c>
      <c r="J273" s="57">
        <f>I273/$I$25</f>
        <v>7.2175157080187785E-4</v>
      </c>
    </row>
    <row r="274" spans="1:10" x14ac:dyDescent="0.25">
      <c r="A274" s="62">
        <v>2</v>
      </c>
      <c r="B274" s="54">
        <v>3</v>
      </c>
      <c r="C274" s="54">
        <v>6</v>
      </c>
      <c r="D274" s="54">
        <v>3</v>
      </c>
      <c r="E274" s="55" t="s">
        <v>39</v>
      </c>
      <c r="F274" s="68" t="s">
        <v>229</v>
      </c>
      <c r="G274" s="56">
        <f>+'ABRIL '!G274+'mayo 2025'!G274+'junioo '!G274</f>
        <v>0</v>
      </c>
      <c r="H274" s="56">
        <f>+'ABRIL '!H274+'mayo 2025'!H274+'junioo '!H274</f>
        <v>0</v>
      </c>
      <c r="I274" s="56">
        <f t="shared" si="9"/>
        <v>0</v>
      </c>
      <c r="J274" s="57">
        <f>I274/$I$25</f>
        <v>0</v>
      </c>
    </row>
    <row r="275" spans="1:10" x14ac:dyDescent="0.25">
      <c r="A275" s="62">
        <v>2</v>
      </c>
      <c r="B275" s="54">
        <v>3</v>
      </c>
      <c r="C275" s="54">
        <v>6</v>
      </c>
      <c r="D275" s="54">
        <v>3</v>
      </c>
      <c r="E275" s="55" t="s">
        <v>41</v>
      </c>
      <c r="F275" s="68" t="s">
        <v>230</v>
      </c>
      <c r="G275" s="56">
        <f>+'ABRIL '!G275+'mayo 2025'!G275+'junioo '!G275</f>
        <v>180427.5</v>
      </c>
      <c r="H275" s="56">
        <f>+'ABRIL '!H275+'mayo 2025'!H275+'junioo '!H275</f>
        <v>0</v>
      </c>
      <c r="I275" s="56">
        <f t="shared" si="9"/>
        <v>180427.5</v>
      </c>
      <c r="J275" s="57">
        <f>I275/$I$25</f>
        <v>6.0620257770893551E-4</v>
      </c>
    </row>
    <row r="276" spans="1:10" x14ac:dyDescent="0.25">
      <c r="A276" s="61">
        <v>2</v>
      </c>
      <c r="B276" s="50">
        <v>3</v>
      </c>
      <c r="C276" s="50">
        <v>6</v>
      </c>
      <c r="D276" s="50">
        <v>4</v>
      </c>
      <c r="E276" s="50"/>
      <c r="F276" s="69" t="s">
        <v>231</v>
      </c>
      <c r="G276" s="51">
        <f>+'ABRIL '!G276+'mayo 2025'!G276+'junioo '!G276</f>
        <v>0</v>
      </c>
      <c r="H276" s="51">
        <f>+'ABRIL '!H276+'mayo 2025'!H276+'junioo '!H276</f>
        <v>0</v>
      </c>
      <c r="I276" s="51">
        <f t="shared" si="9"/>
        <v>0</v>
      </c>
      <c r="J276" s="58"/>
    </row>
    <row r="277" spans="1:10" x14ac:dyDescent="0.25">
      <c r="A277" s="62">
        <v>2</v>
      </c>
      <c r="B277" s="54">
        <v>3</v>
      </c>
      <c r="C277" s="54">
        <v>6</v>
      </c>
      <c r="D277" s="54">
        <v>4</v>
      </c>
      <c r="E277" s="55" t="s">
        <v>31</v>
      </c>
      <c r="F277" s="68" t="s">
        <v>232</v>
      </c>
      <c r="G277" s="56">
        <f>+'ABRIL '!G277+'mayo 2025'!G277+'junioo '!G277</f>
        <v>0</v>
      </c>
      <c r="H277" s="56">
        <f>+'ABRIL '!H277+'mayo 2025'!H277+'junioo '!H277</f>
        <v>0</v>
      </c>
      <c r="I277" s="56">
        <f t="shared" si="9"/>
        <v>0</v>
      </c>
      <c r="J277" s="57">
        <f t="shared" ref="J277:J283" si="10">I277/$I$25</f>
        <v>0</v>
      </c>
    </row>
    <row r="278" spans="1:10" x14ac:dyDescent="0.25">
      <c r="A278" s="62">
        <v>2</v>
      </c>
      <c r="B278" s="54">
        <v>3</v>
      </c>
      <c r="C278" s="54">
        <v>6</v>
      </c>
      <c r="D278" s="54">
        <v>4</v>
      </c>
      <c r="E278" s="55" t="s">
        <v>33</v>
      </c>
      <c r="F278" s="68" t="s">
        <v>233</v>
      </c>
      <c r="G278" s="56">
        <f>+'ABRIL '!G278+'mayo 2025'!G278+'junioo '!G278</f>
        <v>0</v>
      </c>
      <c r="H278" s="56">
        <f>+'ABRIL '!H278+'mayo 2025'!H278+'junioo '!H278</f>
        <v>0</v>
      </c>
      <c r="I278" s="56">
        <f t="shared" si="9"/>
        <v>0</v>
      </c>
      <c r="J278" s="57">
        <f t="shared" si="10"/>
        <v>0</v>
      </c>
    </row>
    <row r="279" spans="1:10" x14ac:dyDescent="0.25">
      <c r="A279" s="62">
        <v>2</v>
      </c>
      <c r="B279" s="54">
        <v>3</v>
      </c>
      <c r="C279" s="54">
        <v>6</v>
      </c>
      <c r="D279" s="54">
        <v>4</v>
      </c>
      <c r="E279" s="55" t="s">
        <v>35</v>
      </c>
      <c r="F279" s="68" t="s">
        <v>234</v>
      </c>
      <c r="G279" s="56">
        <f>+'ABRIL '!G279+'mayo 2025'!G279+'junioo '!G279</f>
        <v>0</v>
      </c>
      <c r="H279" s="56">
        <f>+'ABRIL '!H279+'mayo 2025'!H279+'junioo '!H279</f>
        <v>0</v>
      </c>
      <c r="I279" s="56">
        <f t="shared" si="9"/>
        <v>0</v>
      </c>
      <c r="J279" s="57">
        <f t="shared" si="10"/>
        <v>0</v>
      </c>
    </row>
    <row r="280" spans="1:10" x14ac:dyDescent="0.25">
      <c r="A280" s="62">
        <v>2</v>
      </c>
      <c r="B280" s="54">
        <v>3</v>
      </c>
      <c r="C280" s="54">
        <v>6</v>
      </c>
      <c r="D280" s="54">
        <v>4</v>
      </c>
      <c r="E280" s="55" t="s">
        <v>37</v>
      </c>
      <c r="F280" s="68" t="s">
        <v>235</v>
      </c>
      <c r="G280" s="56">
        <f>+'ABRIL '!G280+'mayo 2025'!G280+'junioo '!G280</f>
        <v>0</v>
      </c>
      <c r="H280" s="56">
        <f>+'ABRIL '!H280+'mayo 2025'!H280+'junioo '!H280</f>
        <v>0</v>
      </c>
      <c r="I280" s="56">
        <f t="shared" si="9"/>
        <v>0</v>
      </c>
      <c r="J280" s="57">
        <f t="shared" si="10"/>
        <v>0</v>
      </c>
    </row>
    <row r="281" spans="1:10" x14ac:dyDescent="0.25">
      <c r="A281" s="62">
        <v>2</v>
      </c>
      <c r="B281" s="54">
        <v>3</v>
      </c>
      <c r="C281" s="54">
        <v>6</v>
      </c>
      <c r="D281" s="54">
        <v>4</v>
      </c>
      <c r="E281" s="55" t="s">
        <v>39</v>
      </c>
      <c r="F281" s="68" t="s">
        <v>236</v>
      </c>
      <c r="G281" s="56">
        <f>+'ABRIL '!G281+'mayo 2025'!G281+'junioo '!G281</f>
        <v>0</v>
      </c>
      <c r="H281" s="56">
        <f>+'ABRIL '!H281+'mayo 2025'!H281+'junioo '!H281</f>
        <v>0</v>
      </c>
      <c r="I281" s="56">
        <f t="shared" ref="I281:I344" si="11">SUM(G281:H281)</f>
        <v>0</v>
      </c>
      <c r="J281" s="57">
        <f t="shared" si="10"/>
        <v>0</v>
      </c>
    </row>
    <row r="282" spans="1:10" x14ac:dyDescent="0.25">
      <c r="A282" s="62">
        <v>2</v>
      </c>
      <c r="B282" s="54">
        <v>3</v>
      </c>
      <c r="C282" s="54">
        <v>6</v>
      </c>
      <c r="D282" s="54">
        <v>4</v>
      </c>
      <c r="E282" s="55" t="s">
        <v>41</v>
      </c>
      <c r="F282" s="68" t="s">
        <v>237</v>
      </c>
      <c r="G282" s="56">
        <f>+'ABRIL '!G282+'mayo 2025'!G282+'junioo '!G282</f>
        <v>0</v>
      </c>
      <c r="H282" s="56">
        <f>+'ABRIL '!H282+'mayo 2025'!H282+'junioo '!H282</f>
        <v>0</v>
      </c>
      <c r="I282" s="56">
        <f t="shared" si="11"/>
        <v>0</v>
      </c>
      <c r="J282" s="57">
        <f t="shared" si="10"/>
        <v>0</v>
      </c>
    </row>
    <row r="283" spans="1:10" x14ac:dyDescent="0.25">
      <c r="A283" s="62">
        <v>2</v>
      </c>
      <c r="B283" s="54">
        <v>3</v>
      </c>
      <c r="C283" s="54">
        <v>6</v>
      </c>
      <c r="D283" s="54">
        <v>4</v>
      </c>
      <c r="E283" s="55" t="s">
        <v>67</v>
      </c>
      <c r="F283" s="68" t="s">
        <v>238</v>
      </c>
      <c r="G283" s="56">
        <f>+'ABRIL '!G283+'mayo 2025'!G283+'junioo '!G283</f>
        <v>0</v>
      </c>
      <c r="H283" s="56">
        <f>+'ABRIL '!H283+'mayo 2025'!H283+'junioo '!H283</f>
        <v>0</v>
      </c>
      <c r="I283" s="56">
        <f t="shared" si="11"/>
        <v>0</v>
      </c>
      <c r="J283" s="57">
        <f t="shared" si="10"/>
        <v>0</v>
      </c>
    </row>
    <row r="284" spans="1:10" x14ac:dyDescent="0.25">
      <c r="A284" s="61">
        <v>2</v>
      </c>
      <c r="B284" s="50">
        <v>3</v>
      </c>
      <c r="C284" s="50">
        <v>6</v>
      </c>
      <c r="D284" s="50">
        <v>9</v>
      </c>
      <c r="E284" s="50"/>
      <c r="F284" s="69" t="s">
        <v>239</v>
      </c>
      <c r="G284" s="51">
        <f>+'ABRIL '!G284+'mayo 2025'!G284+'junioo '!G284</f>
        <v>0</v>
      </c>
      <c r="H284" s="51">
        <f>+'ABRIL '!H284+'mayo 2025'!H284+'junioo '!H284</f>
        <v>0</v>
      </c>
      <c r="I284" s="51">
        <f t="shared" si="11"/>
        <v>0</v>
      </c>
      <c r="J284" s="58"/>
    </row>
    <row r="285" spans="1:10" x14ac:dyDescent="0.25">
      <c r="A285" s="62">
        <v>2</v>
      </c>
      <c r="B285" s="54">
        <v>3</v>
      </c>
      <c r="C285" s="54">
        <v>6</v>
      </c>
      <c r="D285" s="54">
        <v>9</v>
      </c>
      <c r="E285" s="55" t="s">
        <v>31</v>
      </c>
      <c r="F285" s="68" t="s">
        <v>240</v>
      </c>
      <c r="G285" s="56">
        <f>+'ABRIL '!G285+'mayo 2025'!G285+'junioo '!G285</f>
        <v>0</v>
      </c>
      <c r="H285" s="56">
        <f>+'ABRIL '!H285+'mayo 2025'!H285+'junioo '!H285</f>
        <v>0</v>
      </c>
      <c r="I285" s="56">
        <f t="shared" si="11"/>
        <v>0</v>
      </c>
      <c r="J285" s="57">
        <f>I285/$I$25</f>
        <v>0</v>
      </c>
    </row>
    <row r="286" spans="1:10" ht="25.5" x14ac:dyDescent="0.25">
      <c r="A286" s="46">
        <v>2</v>
      </c>
      <c r="B286" s="47">
        <v>3</v>
      </c>
      <c r="C286" s="47">
        <v>7</v>
      </c>
      <c r="D286" s="47"/>
      <c r="E286" s="47"/>
      <c r="F286" s="70" t="s">
        <v>241</v>
      </c>
      <c r="G286" s="48">
        <f>+'ABRIL '!G286+'mayo 2025'!G286+'junioo '!G286</f>
        <v>10068979.180000002</v>
      </c>
      <c r="H286" s="48">
        <f>+'ABRIL '!H286+'mayo 2025'!H286+'junioo '!H286</f>
        <v>1500202</v>
      </c>
      <c r="I286" s="48">
        <f t="shared" si="11"/>
        <v>11569181.180000002</v>
      </c>
      <c r="J286" s="45"/>
    </row>
    <row r="287" spans="1:10" x14ac:dyDescent="0.25">
      <c r="A287" s="61">
        <v>2</v>
      </c>
      <c r="B287" s="50">
        <v>3</v>
      </c>
      <c r="C287" s="50">
        <v>7</v>
      </c>
      <c r="D287" s="50">
        <v>1</v>
      </c>
      <c r="E287" s="50"/>
      <c r="F287" s="69" t="s">
        <v>242</v>
      </c>
      <c r="G287" s="51">
        <f>+'ABRIL '!G287+'mayo 2025'!G287+'junioo '!G287</f>
        <v>2314137.3200000003</v>
      </c>
      <c r="H287" s="51">
        <f>+'ABRIL '!H287+'mayo 2025'!H287+'junioo '!H287</f>
        <v>607494</v>
      </c>
      <c r="I287" s="51">
        <f t="shared" si="11"/>
        <v>2921631.3200000003</v>
      </c>
      <c r="J287" s="58"/>
    </row>
    <row r="288" spans="1:10" x14ac:dyDescent="0.25">
      <c r="A288" s="62">
        <v>2</v>
      </c>
      <c r="B288" s="54">
        <v>3</v>
      </c>
      <c r="C288" s="54">
        <v>7</v>
      </c>
      <c r="D288" s="54">
        <v>1</v>
      </c>
      <c r="E288" s="55" t="s">
        <v>31</v>
      </c>
      <c r="F288" s="68" t="s">
        <v>243</v>
      </c>
      <c r="G288" s="56">
        <f>+'ABRIL '!G288+'mayo 2025'!G288+'junioo '!G288</f>
        <v>1649337.32</v>
      </c>
      <c r="H288" s="56">
        <f>+'ABRIL '!H288+'mayo 2025'!H288+'junioo '!H288</f>
        <v>516000</v>
      </c>
      <c r="I288" s="56">
        <f t="shared" si="11"/>
        <v>2165337.3200000003</v>
      </c>
      <c r="J288" s="57">
        <f t="shared" ref="J288:J294" si="12">I288/$I$25</f>
        <v>7.2751274888437642E-3</v>
      </c>
    </row>
    <row r="289" spans="1:10" x14ac:dyDescent="0.25">
      <c r="A289" s="62">
        <v>2</v>
      </c>
      <c r="B289" s="54">
        <v>3</v>
      </c>
      <c r="C289" s="54">
        <v>7</v>
      </c>
      <c r="D289" s="54">
        <v>1</v>
      </c>
      <c r="E289" s="55" t="s">
        <v>33</v>
      </c>
      <c r="F289" s="68" t="s">
        <v>244</v>
      </c>
      <c r="G289" s="56">
        <f>+'ABRIL '!G289+'mayo 2025'!G289+'junioo '!G289</f>
        <v>664800</v>
      </c>
      <c r="H289" s="56">
        <f>+'ABRIL '!H289+'mayo 2025'!H289+'junioo '!H289</f>
        <v>0</v>
      </c>
      <c r="I289" s="56">
        <f t="shared" si="11"/>
        <v>664800</v>
      </c>
      <c r="J289" s="57">
        <f t="shared" si="12"/>
        <v>2.2336033789799245E-3</v>
      </c>
    </row>
    <row r="290" spans="1:10" x14ac:dyDescent="0.25">
      <c r="A290" s="62">
        <v>2</v>
      </c>
      <c r="B290" s="54">
        <v>3</v>
      </c>
      <c r="C290" s="54">
        <v>7</v>
      </c>
      <c r="D290" s="54">
        <v>1</v>
      </c>
      <c r="E290" s="55" t="s">
        <v>35</v>
      </c>
      <c r="F290" s="68" t="s">
        <v>245</v>
      </c>
      <c r="G290" s="56">
        <f>+'ABRIL '!G290+'mayo 2025'!G290+'junioo '!G290</f>
        <v>0</v>
      </c>
      <c r="H290" s="56">
        <f>+'ABRIL '!H290+'mayo 2025'!H290+'junioo '!H290</f>
        <v>0</v>
      </c>
      <c r="I290" s="56">
        <f t="shared" si="11"/>
        <v>0</v>
      </c>
      <c r="J290" s="57">
        <f t="shared" si="12"/>
        <v>0</v>
      </c>
    </row>
    <row r="291" spans="1:10" x14ac:dyDescent="0.25">
      <c r="A291" s="62">
        <v>2</v>
      </c>
      <c r="B291" s="54">
        <v>3</v>
      </c>
      <c r="C291" s="54">
        <v>7</v>
      </c>
      <c r="D291" s="54">
        <v>1</v>
      </c>
      <c r="E291" s="55" t="s">
        <v>37</v>
      </c>
      <c r="F291" s="68" t="s">
        <v>246</v>
      </c>
      <c r="G291" s="56">
        <f>+'ABRIL '!G291+'mayo 2025'!G291+'junioo '!G291</f>
        <v>0</v>
      </c>
      <c r="H291" s="56">
        <f>+'ABRIL '!H291+'mayo 2025'!H291+'junioo '!H291</f>
        <v>91494</v>
      </c>
      <c r="I291" s="56">
        <f t="shared" si="11"/>
        <v>91494</v>
      </c>
      <c r="J291" s="57">
        <f t="shared" si="12"/>
        <v>3.0740268886340135E-4</v>
      </c>
    </row>
    <row r="292" spans="1:10" x14ac:dyDescent="0.25">
      <c r="A292" s="62">
        <v>2</v>
      </c>
      <c r="B292" s="54">
        <v>3</v>
      </c>
      <c r="C292" s="54">
        <v>7</v>
      </c>
      <c r="D292" s="54">
        <v>1</v>
      </c>
      <c r="E292" s="55" t="s">
        <v>39</v>
      </c>
      <c r="F292" s="68" t="s">
        <v>247</v>
      </c>
      <c r="G292" s="56">
        <f>+'ABRIL '!G292+'mayo 2025'!G292+'junioo '!G292</f>
        <v>0</v>
      </c>
      <c r="H292" s="56">
        <f>+'ABRIL '!H292+'mayo 2025'!H292+'junioo '!H292</f>
        <v>0</v>
      </c>
      <c r="I292" s="56">
        <f t="shared" si="11"/>
        <v>0</v>
      </c>
      <c r="J292" s="57">
        <f t="shared" si="12"/>
        <v>0</v>
      </c>
    </row>
    <row r="293" spans="1:10" x14ac:dyDescent="0.25">
      <c r="A293" s="62">
        <v>2</v>
      </c>
      <c r="B293" s="54">
        <v>3</v>
      </c>
      <c r="C293" s="54">
        <v>7</v>
      </c>
      <c r="D293" s="54">
        <v>1</v>
      </c>
      <c r="E293" s="55" t="s">
        <v>41</v>
      </c>
      <c r="F293" s="68" t="s">
        <v>248</v>
      </c>
      <c r="G293" s="56">
        <f>+'ABRIL '!G293+'mayo 2025'!G293+'junioo '!G293</f>
        <v>0</v>
      </c>
      <c r="H293" s="56">
        <f>+'ABRIL '!H293+'mayo 2025'!H293+'junioo '!H293</f>
        <v>0</v>
      </c>
      <c r="I293" s="56">
        <f t="shared" si="11"/>
        <v>0</v>
      </c>
      <c r="J293" s="57">
        <f t="shared" si="12"/>
        <v>0</v>
      </c>
    </row>
    <row r="294" spans="1:10" x14ac:dyDescent="0.25">
      <c r="A294" s="62">
        <v>2</v>
      </c>
      <c r="B294" s="54">
        <v>3</v>
      </c>
      <c r="C294" s="54">
        <v>7</v>
      </c>
      <c r="D294" s="54">
        <v>1</v>
      </c>
      <c r="E294" s="55" t="s">
        <v>67</v>
      </c>
      <c r="F294" s="68" t="s">
        <v>249</v>
      </c>
      <c r="G294" s="56">
        <f>+'ABRIL '!G294+'mayo 2025'!G294+'junioo '!G294</f>
        <v>0</v>
      </c>
      <c r="H294" s="56">
        <f>+'ABRIL '!H294+'mayo 2025'!H294+'junioo '!H294</f>
        <v>0</v>
      </c>
      <c r="I294" s="56">
        <f t="shared" si="11"/>
        <v>0</v>
      </c>
      <c r="J294" s="57">
        <f t="shared" si="12"/>
        <v>0</v>
      </c>
    </row>
    <row r="295" spans="1:10" x14ac:dyDescent="0.25">
      <c r="A295" s="61">
        <v>2</v>
      </c>
      <c r="B295" s="50">
        <v>3</v>
      </c>
      <c r="C295" s="50">
        <v>7</v>
      </c>
      <c r="D295" s="50">
        <v>2</v>
      </c>
      <c r="E295" s="50"/>
      <c r="F295" s="69" t="s">
        <v>250</v>
      </c>
      <c r="G295" s="51">
        <f>+'ABRIL '!G295+'mayo 2025'!G295+'junioo '!G295</f>
        <v>7754841.8599999994</v>
      </c>
      <c r="H295" s="51">
        <f>+'ABRIL '!H295+'mayo 2025'!H295+'junioo '!H295</f>
        <v>892708</v>
      </c>
      <c r="I295" s="51">
        <f t="shared" si="11"/>
        <v>8647549.8599999994</v>
      </c>
      <c r="J295" s="58"/>
    </row>
    <row r="296" spans="1:10" x14ac:dyDescent="0.25">
      <c r="A296" s="62">
        <v>2</v>
      </c>
      <c r="B296" s="54">
        <v>3</v>
      </c>
      <c r="C296" s="54">
        <v>7</v>
      </c>
      <c r="D296" s="54">
        <v>2</v>
      </c>
      <c r="E296" s="55" t="s">
        <v>31</v>
      </c>
      <c r="F296" s="68" t="s">
        <v>251</v>
      </c>
      <c r="G296" s="56">
        <f>+'ABRIL '!G296+'mayo 2025'!G296+'junioo '!G296</f>
        <v>2124</v>
      </c>
      <c r="H296" s="56">
        <f>+'ABRIL '!H296+'mayo 2025'!H296+'junioo '!H296</f>
        <v>0</v>
      </c>
      <c r="I296" s="56">
        <f t="shared" si="11"/>
        <v>2124</v>
      </c>
      <c r="J296" s="57">
        <f t="shared" ref="J296:J302" si="13">I296/$I$25</f>
        <v>7.1362418425892888E-6</v>
      </c>
    </row>
    <row r="297" spans="1:10" x14ac:dyDescent="0.25">
      <c r="A297" s="62">
        <v>2</v>
      </c>
      <c r="B297" s="54">
        <v>3</v>
      </c>
      <c r="C297" s="54">
        <v>7</v>
      </c>
      <c r="D297" s="54">
        <v>2</v>
      </c>
      <c r="E297" s="55" t="s">
        <v>33</v>
      </c>
      <c r="F297" s="68" t="s">
        <v>252</v>
      </c>
      <c r="G297" s="56">
        <f>+'ABRIL '!G297+'mayo 2025'!G297+'junioo '!G297</f>
        <v>0</v>
      </c>
      <c r="H297" s="56">
        <f>+'ABRIL '!H297+'mayo 2025'!H297+'junioo '!H297</f>
        <v>0</v>
      </c>
      <c r="I297" s="56">
        <f t="shared" si="11"/>
        <v>0</v>
      </c>
      <c r="J297" s="57">
        <f t="shared" si="13"/>
        <v>0</v>
      </c>
    </row>
    <row r="298" spans="1:10" ht="25.5" x14ac:dyDescent="0.25">
      <c r="A298" s="62">
        <v>2</v>
      </c>
      <c r="B298" s="54">
        <v>3</v>
      </c>
      <c r="C298" s="54">
        <v>7</v>
      </c>
      <c r="D298" s="54">
        <v>2</v>
      </c>
      <c r="E298" s="55" t="s">
        <v>35</v>
      </c>
      <c r="F298" s="68" t="s">
        <v>253</v>
      </c>
      <c r="G298" s="56">
        <f>+'ABRIL '!G298+'mayo 2025'!G298+'junioo '!G298</f>
        <v>6147348.9000000004</v>
      </c>
      <c r="H298" s="56">
        <f>+'ABRIL '!H298+'mayo 2025'!H298+'junioo '!H298</f>
        <v>892708</v>
      </c>
      <c r="I298" s="56">
        <f t="shared" si="11"/>
        <v>7040056.9000000004</v>
      </c>
      <c r="J298" s="57">
        <f t="shared" si="13"/>
        <v>2.3653271480221019E-2</v>
      </c>
    </row>
    <row r="299" spans="1:10" x14ac:dyDescent="0.25">
      <c r="A299" s="62">
        <v>2</v>
      </c>
      <c r="B299" s="54">
        <v>3</v>
      </c>
      <c r="C299" s="54">
        <v>7</v>
      </c>
      <c r="D299" s="54">
        <v>2</v>
      </c>
      <c r="E299" s="55" t="s">
        <v>37</v>
      </c>
      <c r="F299" s="68" t="s">
        <v>254</v>
      </c>
      <c r="G299" s="56">
        <f>+'ABRIL '!G299+'mayo 2025'!G299+'junioo '!G299</f>
        <v>0</v>
      </c>
      <c r="H299" s="56">
        <f>+'ABRIL '!H299+'mayo 2025'!H299+'junioo '!H299</f>
        <v>0</v>
      </c>
      <c r="I299" s="56">
        <f t="shared" si="11"/>
        <v>0</v>
      </c>
      <c r="J299" s="57">
        <f t="shared" si="13"/>
        <v>0</v>
      </c>
    </row>
    <row r="300" spans="1:10" x14ac:dyDescent="0.25">
      <c r="A300" s="62">
        <v>2</v>
      </c>
      <c r="B300" s="54">
        <v>3</v>
      </c>
      <c r="C300" s="54">
        <v>7</v>
      </c>
      <c r="D300" s="54">
        <v>2</v>
      </c>
      <c r="E300" s="55" t="s">
        <v>39</v>
      </c>
      <c r="F300" s="68" t="s">
        <v>255</v>
      </c>
      <c r="G300" s="56">
        <f>+'ABRIL '!G300+'mayo 2025'!G300+'junioo '!G300</f>
        <v>0</v>
      </c>
      <c r="H300" s="56">
        <f>+'ABRIL '!H300+'mayo 2025'!H300+'junioo '!H300</f>
        <v>0</v>
      </c>
      <c r="I300" s="56">
        <f t="shared" si="11"/>
        <v>0</v>
      </c>
      <c r="J300" s="57">
        <f t="shared" si="13"/>
        <v>0</v>
      </c>
    </row>
    <row r="301" spans="1:10" ht="25.5" x14ac:dyDescent="0.25">
      <c r="A301" s="53">
        <v>2</v>
      </c>
      <c r="B301" s="54">
        <v>3</v>
      </c>
      <c r="C301" s="54">
        <v>7</v>
      </c>
      <c r="D301" s="54">
        <v>2</v>
      </c>
      <c r="E301" s="55" t="s">
        <v>41</v>
      </c>
      <c r="F301" s="71" t="s">
        <v>256</v>
      </c>
      <c r="G301" s="56">
        <f>+'ABRIL '!G301+'mayo 2025'!G301+'junioo '!G301</f>
        <v>327699.16000000003</v>
      </c>
      <c r="H301" s="56">
        <f>+'ABRIL '!H301+'mayo 2025'!H301+'junioo '!H301</f>
        <v>0</v>
      </c>
      <c r="I301" s="56">
        <f t="shared" si="11"/>
        <v>327699.16000000003</v>
      </c>
      <c r="J301" s="57">
        <f t="shared" si="13"/>
        <v>1.1010077482925436E-3</v>
      </c>
    </row>
    <row r="302" spans="1:10" x14ac:dyDescent="0.25">
      <c r="A302" s="53">
        <v>2</v>
      </c>
      <c r="B302" s="54">
        <v>3</v>
      </c>
      <c r="C302" s="54">
        <v>7</v>
      </c>
      <c r="D302" s="54">
        <v>2</v>
      </c>
      <c r="E302" s="55">
        <v>99</v>
      </c>
      <c r="F302" s="71" t="s">
        <v>257</v>
      </c>
      <c r="G302" s="56">
        <f>+'ABRIL '!G302+'mayo 2025'!G302+'junioo '!G302</f>
        <v>1277669.7999999998</v>
      </c>
      <c r="H302" s="56">
        <f>+'ABRIL '!H302+'mayo 2025'!H302+'junioo '!H302</f>
        <v>0</v>
      </c>
      <c r="I302" s="56">
        <f t="shared" si="11"/>
        <v>1277669.7999999998</v>
      </c>
      <c r="J302" s="57">
        <f t="shared" si="13"/>
        <v>4.2927310206086096E-3</v>
      </c>
    </row>
    <row r="303" spans="1:10" ht="25.5" x14ac:dyDescent="0.25">
      <c r="A303" s="46">
        <v>2</v>
      </c>
      <c r="B303" s="47">
        <v>3</v>
      </c>
      <c r="C303" s="47">
        <v>8</v>
      </c>
      <c r="D303" s="47"/>
      <c r="E303" s="47"/>
      <c r="F303" s="70" t="s">
        <v>258</v>
      </c>
      <c r="G303" s="48">
        <f>+'ABRIL '!G303+'mayo 2025'!G303+'junioo '!G303</f>
        <v>0</v>
      </c>
      <c r="H303" s="48">
        <f>+'ABRIL '!H303+'mayo 2025'!H303+'junioo '!H303</f>
        <v>0</v>
      </c>
      <c r="I303" s="48">
        <f t="shared" si="11"/>
        <v>0</v>
      </c>
      <c r="J303" s="45"/>
    </row>
    <row r="304" spans="1:10" ht="25.5" x14ac:dyDescent="0.25">
      <c r="A304" s="49">
        <v>2</v>
      </c>
      <c r="B304" s="50">
        <v>3</v>
      </c>
      <c r="C304" s="50">
        <v>8</v>
      </c>
      <c r="D304" s="50">
        <v>1</v>
      </c>
      <c r="E304" s="50"/>
      <c r="F304" s="69" t="s">
        <v>259</v>
      </c>
      <c r="G304" s="51">
        <f>+'ABRIL '!G304+'mayo 2025'!G304+'junioo '!G304</f>
        <v>0</v>
      </c>
      <c r="H304" s="51">
        <f>+'ABRIL '!H304+'mayo 2025'!H304+'junioo '!H304</f>
        <v>0</v>
      </c>
      <c r="I304" s="51">
        <f t="shared" si="11"/>
        <v>0</v>
      </c>
      <c r="J304" s="58"/>
    </row>
    <row r="305" spans="1:10" ht="25.5" x14ac:dyDescent="0.25">
      <c r="A305" s="53">
        <v>2</v>
      </c>
      <c r="B305" s="54">
        <v>3</v>
      </c>
      <c r="C305" s="54">
        <v>8</v>
      </c>
      <c r="D305" s="54">
        <v>1</v>
      </c>
      <c r="E305" s="55" t="s">
        <v>31</v>
      </c>
      <c r="F305" s="68" t="s">
        <v>259</v>
      </c>
      <c r="G305" s="56">
        <f>+'ABRIL '!G305+'mayo 2025'!G305+'junioo '!G305</f>
        <v>0</v>
      </c>
      <c r="H305" s="56">
        <f>+'ABRIL '!H305+'mayo 2025'!H305+'junioo '!H305</f>
        <v>0</v>
      </c>
      <c r="I305" s="56">
        <f t="shared" si="11"/>
        <v>0</v>
      </c>
      <c r="J305" s="57">
        <f>I305/$I$25</f>
        <v>0</v>
      </c>
    </row>
    <row r="306" spans="1:10" ht="25.5" x14ac:dyDescent="0.25">
      <c r="A306" s="49">
        <v>2</v>
      </c>
      <c r="B306" s="50">
        <v>3</v>
      </c>
      <c r="C306" s="50">
        <v>8</v>
      </c>
      <c r="D306" s="50">
        <v>2</v>
      </c>
      <c r="E306" s="50"/>
      <c r="F306" s="69" t="s">
        <v>260</v>
      </c>
      <c r="G306" s="51">
        <f>+'ABRIL '!G306+'mayo 2025'!G306+'junioo '!G306</f>
        <v>0</v>
      </c>
      <c r="H306" s="51">
        <f>+'ABRIL '!H306+'mayo 2025'!H306+'junioo '!H306</f>
        <v>0</v>
      </c>
      <c r="I306" s="51">
        <f t="shared" si="11"/>
        <v>0</v>
      </c>
      <c r="J306" s="58"/>
    </row>
    <row r="307" spans="1:10" ht="25.5" x14ac:dyDescent="0.25">
      <c r="A307" s="53">
        <v>2</v>
      </c>
      <c r="B307" s="54">
        <v>3</v>
      </c>
      <c r="C307" s="54">
        <v>8</v>
      </c>
      <c r="D307" s="54">
        <v>2</v>
      </c>
      <c r="E307" s="55" t="s">
        <v>31</v>
      </c>
      <c r="F307" s="68" t="s">
        <v>260</v>
      </c>
      <c r="G307" s="56">
        <f>+'ABRIL '!G307+'mayo 2025'!G307+'junioo '!G307</f>
        <v>0</v>
      </c>
      <c r="H307" s="56">
        <f>+'ABRIL '!H307+'mayo 2025'!H307+'junioo '!H307</f>
        <v>0</v>
      </c>
      <c r="I307" s="56">
        <f t="shared" si="11"/>
        <v>0</v>
      </c>
      <c r="J307" s="57">
        <f>I307/$I$25</f>
        <v>0</v>
      </c>
    </row>
    <row r="308" spans="1:10" x14ac:dyDescent="0.25">
      <c r="A308" s="46">
        <v>2</v>
      </c>
      <c r="B308" s="47">
        <v>3</v>
      </c>
      <c r="C308" s="47">
        <v>9</v>
      </c>
      <c r="D308" s="47"/>
      <c r="E308" s="47"/>
      <c r="F308" s="70" t="s">
        <v>261</v>
      </c>
      <c r="G308" s="48">
        <f>+'ABRIL '!G308+'mayo 2025'!G308+'junioo '!G308</f>
        <v>18381359.469999999</v>
      </c>
      <c r="H308" s="48">
        <f>+'ABRIL '!H308+'mayo 2025'!H308+'junioo '!H308</f>
        <v>2841232.4499999997</v>
      </c>
      <c r="I308" s="48">
        <f t="shared" si="11"/>
        <v>21222591.919999998</v>
      </c>
      <c r="J308" s="45"/>
    </row>
    <row r="309" spans="1:10" x14ac:dyDescent="0.25">
      <c r="A309" s="61">
        <v>2</v>
      </c>
      <c r="B309" s="50">
        <v>3</v>
      </c>
      <c r="C309" s="50">
        <v>9</v>
      </c>
      <c r="D309" s="50">
        <v>1</v>
      </c>
      <c r="E309" s="50"/>
      <c r="F309" s="69" t="s">
        <v>262</v>
      </c>
      <c r="G309" s="51">
        <f>+'ABRIL '!G309+'mayo 2025'!G309+'junioo '!G309</f>
        <v>1470157.44</v>
      </c>
      <c r="H309" s="51">
        <f>+'ABRIL '!H309+'mayo 2025'!H309+'junioo '!H309</f>
        <v>1965797.4</v>
      </c>
      <c r="I309" s="51">
        <f t="shared" si="11"/>
        <v>3435954.84</v>
      </c>
      <c r="J309" s="58"/>
    </row>
    <row r="310" spans="1:10" x14ac:dyDescent="0.25">
      <c r="A310" s="62">
        <v>2</v>
      </c>
      <c r="B310" s="54">
        <v>3</v>
      </c>
      <c r="C310" s="54">
        <v>9</v>
      </c>
      <c r="D310" s="54">
        <v>1</v>
      </c>
      <c r="E310" s="55" t="s">
        <v>31</v>
      </c>
      <c r="F310" s="68" t="s">
        <v>263</v>
      </c>
      <c r="G310" s="56">
        <f>+'ABRIL '!G310+'mayo 2025'!G310+'junioo '!G310</f>
        <v>1470157.44</v>
      </c>
      <c r="H310" s="56">
        <f>+'ABRIL '!H310+'mayo 2025'!H310+'junioo '!H310</f>
        <v>1965797.4</v>
      </c>
      <c r="I310" s="56">
        <f t="shared" si="11"/>
        <v>3435954.84</v>
      </c>
      <c r="J310" s="57">
        <f>I310/$I$25</f>
        <v>1.154416417064745E-2</v>
      </c>
    </row>
    <row r="311" spans="1:10" ht="25.5" x14ac:dyDescent="0.25">
      <c r="A311" s="62">
        <v>2</v>
      </c>
      <c r="B311" s="54">
        <v>3</v>
      </c>
      <c r="C311" s="54">
        <v>9</v>
      </c>
      <c r="D311" s="54">
        <v>1</v>
      </c>
      <c r="E311" s="55" t="s">
        <v>33</v>
      </c>
      <c r="F311" s="68" t="s">
        <v>264</v>
      </c>
      <c r="G311" s="56">
        <f>+'ABRIL '!G311+'mayo 2025'!G311+'junioo '!G311</f>
        <v>0</v>
      </c>
      <c r="H311" s="56">
        <f>+'ABRIL '!H311+'mayo 2025'!H311+'junioo '!H311</f>
        <v>0</v>
      </c>
      <c r="I311" s="56">
        <f t="shared" si="11"/>
        <v>0</v>
      </c>
      <c r="J311" s="57">
        <f>I311/$I$25</f>
        <v>0</v>
      </c>
    </row>
    <row r="312" spans="1:10" ht="25.5" x14ac:dyDescent="0.25">
      <c r="A312" s="61">
        <v>2</v>
      </c>
      <c r="B312" s="50">
        <v>3</v>
      </c>
      <c r="C312" s="50">
        <v>9</v>
      </c>
      <c r="D312" s="50">
        <v>2</v>
      </c>
      <c r="E312" s="50"/>
      <c r="F312" s="69" t="s">
        <v>265</v>
      </c>
      <c r="G312" s="51">
        <f>+'ABRIL '!G312+'mayo 2025'!G312+'junioo '!G312</f>
        <v>345562.39</v>
      </c>
      <c r="H312" s="51">
        <f>+'ABRIL '!H312+'mayo 2025'!H312+'junioo '!H312</f>
        <v>0</v>
      </c>
      <c r="I312" s="51">
        <f t="shared" si="11"/>
        <v>345562.39</v>
      </c>
      <c r="J312" s="58"/>
    </row>
    <row r="313" spans="1:10" ht="25.5" x14ac:dyDescent="0.25">
      <c r="A313" s="62">
        <v>2</v>
      </c>
      <c r="B313" s="54">
        <v>3</v>
      </c>
      <c r="C313" s="54">
        <v>9</v>
      </c>
      <c r="D313" s="54">
        <v>2</v>
      </c>
      <c r="E313" s="55" t="s">
        <v>31</v>
      </c>
      <c r="F313" s="68" t="s">
        <v>266</v>
      </c>
      <c r="G313" s="56">
        <f>+'ABRIL '!G313+'mayo 2025'!G313+'junioo '!G313</f>
        <v>345562.39</v>
      </c>
      <c r="H313" s="56">
        <f>+'ABRIL '!H313+'mayo 2025'!H313+'junioo '!H313</f>
        <v>0</v>
      </c>
      <c r="I313" s="56">
        <f t="shared" si="11"/>
        <v>345562.39</v>
      </c>
      <c r="J313" s="57">
        <f>I313/$I$25</f>
        <v>1.1610248525156114E-3</v>
      </c>
    </row>
    <row r="314" spans="1:10" x14ac:dyDescent="0.25">
      <c r="A314" s="61">
        <v>2</v>
      </c>
      <c r="B314" s="50">
        <v>3</v>
      </c>
      <c r="C314" s="50">
        <v>9</v>
      </c>
      <c r="D314" s="50">
        <v>3</v>
      </c>
      <c r="E314" s="50"/>
      <c r="F314" s="69" t="s">
        <v>267</v>
      </c>
      <c r="G314" s="51">
        <f>+'ABRIL '!G314+'mayo 2025'!G314+'junioo '!G314</f>
        <v>15731531.75</v>
      </c>
      <c r="H314" s="51">
        <f>+'ABRIL '!H314+'mayo 2025'!H314+'junioo '!H314</f>
        <v>650307.04</v>
      </c>
      <c r="I314" s="51">
        <f t="shared" si="11"/>
        <v>16381838.789999999</v>
      </c>
      <c r="J314" s="58"/>
    </row>
    <row r="315" spans="1:10" x14ac:dyDescent="0.25">
      <c r="A315" s="62">
        <v>2</v>
      </c>
      <c r="B315" s="54">
        <v>3</v>
      </c>
      <c r="C315" s="54">
        <v>9</v>
      </c>
      <c r="D315" s="54">
        <v>3</v>
      </c>
      <c r="E315" s="55" t="s">
        <v>31</v>
      </c>
      <c r="F315" s="68" t="s">
        <v>267</v>
      </c>
      <c r="G315" s="56">
        <f>+'ABRIL '!G315+'mayo 2025'!G315+'junioo '!G315</f>
        <v>15731531.75</v>
      </c>
      <c r="H315" s="56">
        <f>+'ABRIL '!H315+'mayo 2025'!H315+'junioo '!H315</f>
        <v>650307.04</v>
      </c>
      <c r="I315" s="56">
        <f t="shared" si="11"/>
        <v>16381838.789999999</v>
      </c>
      <c r="J315" s="57">
        <f>I315/$I$25</f>
        <v>5.503990745374307E-2</v>
      </c>
    </row>
    <row r="316" spans="1:10" ht="25.5" x14ac:dyDescent="0.25">
      <c r="A316" s="61">
        <v>2</v>
      </c>
      <c r="B316" s="50">
        <v>3</v>
      </c>
      <c r="C316" s="50">
        <v>9</v>
      </c>
      <c r="D316" s="50">
        <v>4</v>
      </c>
      <c r="E316" s="50"/>
      <c r="F316" s="69" t="s">
        <v>268</v>
      </c>
      <c r="G316" s="51">
        <f>+'ABRIL '!G316+'mayo 2025'!G316+'junioo '!G316</f>
        <v>0</v>
      </c>
      <c r="H316" s="51">
        <f>+'ABRIL '!H316+'mayo 2025'!H316+'junioo '!H316</f>
        <v>0</v>
      </c>
      <c r="I316" s="51">
        <f t="shared" si="11"/>
        <v>0</v>
      </c>
      <c r="J316" s="58"/>
    </row>
    <row r="317" spans="1:10" ht="25.5" x14ac:dyDescent="0.25">
      <c r="A317" s="62">
        <v>2</v>
      </c>
      <c r="B317" s="54">
        <v>3</v>
      </c>
      <c r="C317" s="54">
        <v>9</v>
      </c>
      <c r="D317" s="54">
        <v>4</v>
      </c>
      <c r="E317" s="55" t="s">
        <v>31</v>
      </c>
      <c r="F317" s="68" t="s">
        <v>268</v>
      </c>
      <c r="G317" s="56">
        <f>+'ABRIL '!G317+'mayo 2025'!G317+'junioo '!G317</f>
        <v>0</v>
      </c>
      <c r="H317" s="56">
        <f>+'ABRIL '!H317+'mayo 2025'!H317+'junioo '!H317</f>
        <v>0</v>
      </c>
      <c r="I317" s="56">
        <f t="shared" si="11"/>
        <v>0</v>
      </c>
      <c r="J317" s="57">
        <f>I317/$I$25</f>
        <v>0</v>
      </c>
    </row>
    <row r="318" spans="1:10" x14ac:dyDescent="0.25">
      <c r="A318" s="61">
        <v>2</v>
      </c>
      <c r="B318" s="50">
        <v>3</v>
      </c>
      <c r="C318" s="50">
        <v>9</v>
      </c>
      <c r="D318" s="50">
        <v>5</v>
      </c>
      <c r="E318" s="50"/>
      <c r="F318" s="69" t="s">
        <v>269</v>
      </c>
      <c r="G318" s="51">
        <f>+'ABRIL '!G318+'mayo 2025'!G318+'junioo '!G318</f>
        <v>0</v>
      </c>
      <c r="H318" s="51">
        <f>+'ABRIL '!H318+'mayo 2025'!H318+'junioo '!H318</f>
        <v>0</v>
      </c>
      <c r="I318" s="51">
        <f t="shared" si="11"/>
        <v>0</v>
      </c>
      <c r="J318" s="58"/>
    </row>
    <row r="319" spans="1:10" x14ac:dyDescent="0.25">
      <c r="A319" s="62">
        <v>2</v>
      </c>
      <c r="B319" s="54">
        <v>3</v>
      </c>
      <c r="C319" s="54">
        <v>9</v>
      </c>
      <c r="D319" s="54">
        <v>5</v>
      </c>
      <c r="E319" s="55" t="s">
        <v>31</v>
      </c>
      <c r="F319" s="68" t="s">
        <v>269</v>
      </c>
      <c r="G319" s="56">
        <f>+'ABRIL '!G319+'mayo 2025'!G319+'junioo '!G319</f>
        <v>0</v>
      </c>
      <c r="H319" s="56">
        <f>+'ABRIL '!H319+'mayo 2025'!H319+'junioo '!H319</f>
        <v>0</v>
      </c>
      <c r="I319" s="56">
        <f t="shared" si="11"/>
        <v>0</v>
      </c>
      <c r="J319" s="57">
        <f>I319/$I$25</f>
        <v>0</v>
      </c>
    </row>
    <row r="320" spans="1:10" x14ac:dyDescent="0.25">
      <c r="A320" s="61">
        <v>2</v>
      </c>
      <c r="B320" s="50">
        <v>3</v>
      </c>
      <c r="C320" s="50">
        <v>9</v>
      </c>
      <c r="D320" s="50">
        <v>6</v>
      </c>
      <c r="E320" s="50"/>
      <c r="F320" s="69" t="s">
        <v>270</v>
      </c>
      <c r="G320" s="51">
        <f>+'ABRIL '!G320+'mayo 2025'!G320+'junioo '!G320</f>
        <v>234940.78</v>
      </c>
      <c r="H320" s="51">
        <f>+'ABRIL '!H320+'mayo 2025'!H320+'junioo '!H320</f>
        <v>0</v>
      </c>
      <c r="I320" s="51">
        <f t="shared" si="11"/>
        <v>234940.78</v>
      </c>
      <c r="J320" s="58"/>
    </row>
    <row r="321" spans="1:10" x14ac:dyDescent="0.25">
      <c r="A321" s="62">
        <v>2</v>
      </c>
      <c r="B321" s="54">
        <v>3</v>
      </c>
      <c r="C321" s="54">
        <v>9</v>
      </c>
      <c r="D321" s="54">
        <v>6</v>
      </c>
      <c r="E321" s="55" t="s">
        <v>31</v>
      </c>
      <c r="F321" s="68" t="s">
        <v>270</v>
      </c>
      <c r="G321" s="56">
        <f>+'ABRIL '!G321+'mayo 2025'!G321+'junioo '!G321</f>
        <v>234940.78</v>
      </c>
      <c r="H321" s="56">
        <f>+'ABRIL '!H321+'mayo 2025'!H321+'junioo '!H321</f>
        <v>0</v>
      </c>
      <c r="I321" s="56">
        <f t="shared" si="11"/>
        <v>234940.78</v>
      </c>
      <c r="J321" s="57">
        <f>I321/$I$25</f>
        <v>7.8935697964527534E-4</v>
      </c>
    </row>
    <row r="322" spans="1:10" x14ac:dyDescent="0.25">
      <c r="A322" s="61">
        <v>2</v>
      </c>
      <c r="B322" s="50">
        <v>3</v>
      </c>
      <c r="C322" s="50">
        <v>9</v>
      </c>
      <c r="D322" s="50">
        <v>7</v>
      </c>
      <c r="E322" s="50"/>
      <c r="F322" s="69" t="s">
        <v>271</v>
      </c>
      <c r="G322" s="51">
        <f>+'ABRIL '!G322+'mayo 2025'!G322+'junioo '!G322</f>
        <v>0</v>
      </c>
      <c r="H322" s="51">
        <f>+'ABRIL '!H322+'mayo 2025'!H322+'junioo '!H322</f>
        <v>0</v>
      </c>
      <c r="I322" s="51">
        <f t="shared" si="11"/>
        <v>0</v>
      </c>
      <c r="J322" s="58"/>
    </row>
    <row r="323" spans="1:10" x14ac:dyDescent="0.25">
      <c r="A323" s="62">
        <v>2</v>
      </c>
      <c r="B323" s="54">
        <v>3</v>
      </c>
      <c r="C323" s="54">
        <v>9</v>
      </c>
      <c r="D323" s="54">
        <v>7</v>
      </c>
      <c r="E323" s="55" t="s">
        <v>31</v>
      </c>
      <c r="F323" s="68" t="s">
        <v>271</v>
      </c>
      <c r="G323" s="56">
        <f>+'ABRIL '!G323+'mayo 2025'!G323+'junioo '!G323</f>
        <v>0</v>
      </c>
      <c r="H323" s="56">
        <f>+'ABRIL '!H323+'mayo 2025'!H323+'junioo '!H323</f>
        <v>0</v>
      </c>
      <c r="I323" s="56">
        <f t="shared" si="11"/>
        <v>0</v>
      </c>
      <c r="J323" s="57">
        <f>I323/$I$25</f>
        <v>0</v>
      </c>
    </row>
    <row r="324" spans="1:10" x14ac:dyDescent="0.25">
      <c r="A324" s="61">
        <v>2</v>
      </c>
      <c r="B324" s="50">
        <v>3</v>
      </c>
      <c r="C324" s="50">
        <v>9</v>
      </c>
      <c r="D324" s="50">
        <v>8</v>
      </c>
      <c r="E324" s="50"/>
      <c r="F324" s="69" t="s">
        <v>272</v>
      </c>
      <c r="G324" s="51">
        <f>+'ABRIL '!G324+'mayo 2025'!G324+'junioo '!G324</f>
        <v>553200.99</v>
      </c>
      <c r="H324" s="51">
        <f>+'ABRIL '!H324+'mayo 2025'!H324+'junioo '!H324</f>
        <v>0</v>
      </c>
      <c r="I324" s="51">
        <f t="shared" si="11"/>
        <v>553200.99</v>
      </c>
      <c r="J324" s="58"/>
    </row>
    <row r="325" spans="1:10" x14ac:dyDescent="0.25">
      <c r="A325" s="62">
        <v>2</v>
      </c>
      <c r="B325" s="54">
        <v>3</v>
      </c>
      <c r="C325" s="54">
        <v>9</v>
      </c>
      <c r="D325" s="54">
        <v>8</v>
      </c>
      <c r="E325" s="55" t="s">
        <v>31</v>
      </c>
      <c r="F325" s="68" t="s">
        <v>273</v>
      </c>
      <c r="G325" s="56">
        <f>+'ABRIL '!G325+'mayo 2025'!G325+'junioo '!G325</f>
        <v>553200.99</v>
      </c>
      <c r="H325" s="56">
        <f>+'ABRIL '!H325+'mayo 2025'!H325+'junioo '!H325</f>
        <v>0</v>
      </c>
      <c r="I325" s="56">
        <f t="shared" si="11"/>
        <v>553200.99</v>
      </c>
      <c r="J325" s="57">
        <f>I325/$I$25</f>
        <v>1.8586516253294816E-3</v>
      </c>
    </row>
    <row r="326" spans="1:10" x14ac:dyDescent="0.25">
      <c r="A326" s="62">
        <v>2</v>
      </c>
      <c r="B326" s="54">
        <v>3</v>
      </c>
      <c r="C326" s="54">
        <v>9</v>
      </c>
      <c r="D326" s="54">
        <v>8</v>
      </c>
      <c r="E326" s="55" t="s">
        <v>33</v>
      </c>
      <c r="F326" s="68" t="s">
        <v>274</v>
      </c>
      <c r="G326" s="56">
        <f>+'ABRIL '!G326+'mayo 2025'!G326+'junioo '!G326</f>
        <v>0</v>
      </c>
      <c r="H326" s="56">
        <f>+'ABRIL '!H326+'mayo 2025'!H326+'junioo '!H326</f>
        <v>0</v>
      </c>
      <c r="I326" s="56">
        <f t="shared" si="11"/>
        <v>0</v>
      </c>
      <c r="J326" s="57">
        <f>I326/$I$25</f>
        <v>0</v>
      </c>
    </row>
    <row r="327" spans="1:10" x14ac:dyDescent="0.25">
      <c r="A327" s="61">
        <v>2</v>
      </c>
      <c r="B327" s="50">
        <v>3</v>
      </c>
      <c r="C327" s="50">
        <v>9</v>
      </c>
      <c r="D327" s="50">
        <v>9</v>
      </c>
      <c r="E327" s="50"/>
      <c r="F327" s="69" t="s">
        <v>275</v>
      </c>
      <c r="G327" s="51">
        <f>+'ABRIL '!G327+'mayo 2025'!G327+'junioo '!G327</f>
        <v>45966.119999999995</v>
      </c>
      <c r="H327" s="51">
        <f>+'ABRIL '!H327+'mayo 2025'!H327+'junioo '!H327</f>
        <v>225128.00999999998</v>
      </c>
      <c r="I327" s="51">
        <f t="shared" si="11"/>
        <v>271094.13</v>
      </c>
      <c r="J327" s="58"/>
    </row>
    <row r="328" spans="1:10" x14ac:dyDescent="0.25">
      <c r="A328" s="62">
        <v>2</v>
      </c>
      <c r="B328" s="54">
        <v>3</v>
      </c>
      <c r="C328" s="54">
        <v>9</v>
      </c>
      <c r="D328" s="54">
        <v>9</v>
      </c>
      <c r="E328" s="55" t="s">
        <v>31</v>
      </c>
      <c r="F328" s="68" t="s">
        <v>275</v>
      </c>
      <c r="G328" s="56">
        <f>+'ABRIL '!G328+'mayo 2025'!G328+'junioo '!G328</f>
        <v>0</v>
      </c>
      <c r="H328" s="56">
        <f>+'ABRIL '!H328+'mayo 2025'!H328+'junioo '!H328</f>
        <v>163178.01</v>
      </c>
      <c r="I328" s="56">
        <f t="shared" si="11"/>
        <v>163178.01</v>
      </c>
      <c r="J328" s="57">
        <f>I328/$I$25</f>
        <v>5.4824752483637171E-4</v>
      </c>
    </row>
    <row r="329" spans="1:10" x14ac:dyDescent="0.25">
      <c r="A329" s="62">
        <v>2</v>
      </c>
      <c r="B329" s="54">
        <v>3</v>
      </c>
      <c r="C329" s="54">
        <v>9</v>
      </c>
      <c r="D329" s="54">
        <v>9</v>
      </c>
      <c r="E329" s="55" t="s">
        <v>37</v>
      </c>
      <c r="F329" s="68" t="s">
        <v>276</v>
      </c>
      <c r="G329" s="56">
        <f>+'ABRIL '!G329+'mayo 2025'!G329+'junioo '!G329</f>
        <v>45966.119999999995</v>
      </c>
      <c r="H329" s="56">
        <f>+'ABRIL '!H329+'mayo 2025'!H329+'junioo '!H329</f>
        <v>61950</v>
      </c>
      <c r="I329" s="56">
        <f t="shared" si="11"/>
        <v>107916.12</v>
      </c>
      <c r="J329" s="57">
        <f>I329/$I$25</f>
        <v>3.6257793363177345E-4</v>
      </c>
    </row>
    <row r="330" spans="1:10" x14ac:dyDescent="0.25">
      <c r="A330" s="60">
        <v>2</v>
      </c>
      <c r="B330" s="47">
        <v>4</v>
      </c>
      <c r="C330" s="47">
        <v>1</v>
      </c>
      <c r="D330" s="47">
        <v>2</v>
      </c>
      <c r="E330" s="47"/>
      <c r="F330" s="72" t="s">
        <v>277</v>
      </c>
      <c r="G330" s="48">
        <f>+'ABRIL '!G330+'mayo 2025'!G330+'junioo '!G330</f>
        <v>0</v>
      </c>
      <c r="H330" s="48">
        <f>+'ABRIL '!H330+'mayo 2025'!H330+'junioo '!H330</f>
        <v>1223981</v>
      </c>
      <c r="I330" s="48">
        <f t="shared" si="11"/>
        <v>1223981</v>
      </c>
      <c r="J330" s="45">
        <f>+I330/I25</f>
        <v>4.1123467169182117E-3</v>
      </c>
    </row>
    <row r="331" spans="1:10" ht="25.5" x14ac:dyDescent="0.25">
      <c r="A331" s="62">
        <v>2</v>
      </c>
      <c r="B331" s="54">
        <v>4</v>
      </c>
      <c r="C331" s="54">
        <v>1</v>
      </c>
      <c r="D331" s="54">
        <v>2</v>
      </c>
      <c r="E331" s="55" t="s">
        <v>31</v>
      </c>
      <c r="F331" s="68" t="s">
        <v>278</v>
      </c>
      <c r="G331" s="56">
        <f>+'ABRIL '!G331+'mayo 2025'!G331+'junioo '!G331</f>
        <v>0</v>
      </c>
      <c r="H331" s="56">
        <f>+'ABRIL '!H331+'mayo 2025'!H331+'junioo '!H331</f>
        <v>262215</v>
      </c>
      <c r="I331" s="56">
        <f t="shared" si="11"/>
        <v>262215</v>
      </c>
      <c r="J331" s="57">
        <f t="shared" ref="J331:J336" si="14">I331/$I$25</f>
        <v>8.8099324611796157E-4</v>
      </c>
    </row>
    <row r="332" spans="1:10" ht="25.5" x14ac:dyDescent="0.25">
      <c r="A332" s="62">
        <v>2</v>
      </c>
      <c r="B332" s="54">
        <v>4</v>
      </c>
      <c r="C332" s="54">
        <v>1</v>
      </c>
      <c r="D332" s="54">
        <v>2</v>
      </c>
      <c r="E332" s="55" t="s">
        <v>33</v>
      </c>
      <c r="F332" s="68" t="s">
        <v>279</v>
      </c>
      <c r="G332" s="56">
        <f>+'ABRIL '!G332+'mayo 2025'!G332+'junioo '!G332</f>
        <v>0</v>
      </c>
      <c r="H332" s="56">
        <f>+'ABRIL '!H332+'mayo 2025'!H332+'junioo '!H332</f>
        <v>961766</v>
      </c>
      <c r="I332" s="56">
        <f t="shared" si="11"/>
        <v>961766</v>
      </c>
      <c r="J332" s="57">
        <f t="shared" si="14"/>
        <v>3.2313534708002497E-3</v>
      </c>
    </row>
    <row r="333" spans="1:10" x14ac:dyDescent="0.25">
      <c r="A333" s="62">
        <v>2</v>
      </c>
      <c r="B333" s="54">
        <v>4</v>
      </c>
      <c r="C333" s="54">
        <v>1</v>
      </c>
      <c r="D333" s="54">
        <v>2</v>
      </c>
      <c r="E333" s="55" t="s">
        <v>35</v>
      </c>
      <c r="F333" s="68" t="s">
        <v>280</v>
      </c>
      <c r="G333" s="56">
        <f>+'ABRIL '!G333+'mayo 2025'!G333+'junioo '!G333</f>
        <v>0</v>
      </c>
      <c r="H333" s="56">
        <f>+'ABRIL '!H333+'mayo 2025'!H333+'junioo '!H333</f>
        <v>0</v>
      </c>
      <c r="I333" s="56">
        <f t="shared" si="11"/>
        <v>0</v>
      </c>
      <c r="J333" s="57">
        <f t="shared" si="14"/>
        <v>0</v>
      </c>
    </row>
    <row r="334" spans="1:10" x14ac:dyDescent="0.25">
      <c r="A334" s="62">
        <v>2</v>
      </c>
      <c r="B334" s="54">
        <v>4</v>
      </c>
      <c r="C334" s="54">
        <v>1</v>
      </c>
      <c r="D334" s="54">
        <v>2</v>
      </c>
      <c r="E334" s="55" t="s">
        <v>37</v>
      </c>
      <c r="F334" s="68" t="s">
        <v>281</v>
      </c>
      <c r="G334" s="56">
        <f>+'ABRIL '!G334+'mayo 2025'!G334+'junioo '!G334</f>
        <v>0</v>
      </c>
      <c r="H334" s="56">
        <f>+'ABRIL '!H334+'mayo 2025'!H334+'junioo '!H334</f>
        <v>0</v>
      </c>
      <c r="I334" s="56">
        <f t="shared" si="11"/>
        <v>0</v>
      </c>
      <c r="J334" s="57">
        <f t="shared" si="14"/>
        <v>0</v>
      </c>
    </row>
    <row r="335" spans="1:10" x14ac:dyDescent="0.25">
      <c r="A335" s="62">
        <v>2</v>
      </c>
      <c r="B335" s="54">
        <v>4</v>
      </c>
      <c r="C335" s="54">
        <v>1</v>
      </c>
      <c r="D335" s="54">
        <v>2</v>
      </c>
      <c r="E335" s="55" t="s">
        <v>39</v>
      </c>
      <c r="F335" s="68" t="s">
        <v>282</v>
      </c>
      <c r="G335" s="56">
        <f>+'ABRIL '!G335+'mayo 2025'!G335+'junioo '!G335</f>
        <v>0</v>
      </c>
      <c r="H335" s="56">
        <f>+'ABRIL '!H335+'mayo 2025'!H335+'junioo '!H335</f>
        <v>0</v>
      </c>
      <c r="I335" s="56">
        <f t="shared" si="11"/>
        <v>0</v>
      </c>
      <c r="J335" s="57">
        <f t="shared" si="14"/>
        <v>0</v>
      </c>
    </row>
    <row r="336" spans="1:10" x14ac:dyDescent="0.25">
      <c r="A336" s="60">
        <v>2</v>
      </c>
      <c r="B336" s="47">
        <v>6</v>
      </c>
      <c r="C336" s="47"/>
      <c r="D336" s="47"/>
      <c r="E336" s="47"/>
      <c r="F336" s="72" t="s">
        <v>283</v>
      </c>
      <c r="G336" s="48">
        <f>+'ABRIL '!G336+'mayo 2025'!G336+'junioo '!G336</f>
        <v>14943854.870000001</v>
      </c>
      <c r="H336" s="48">
        <f>+'ABRIL '!H336+'mayo 2025'!H336+'junioo '!H336</f>
        <v>5383431.1500000004</v>
      </c>
      <c r="I336" s="48">
        <f t="shared" si="11"/>
        <v>20327286.020000003</v>
      </c>
      <c r="J336" s="45">
        <f t="shared" si="14"/>
        <v>6.8295870547177173E-2</v>
      </c>
    </row>
    <row r="337" spans="1:10" x14ac:dyDescent="0.25">
      <c r="A337" s="46">
        <v>2</v>
      </c>
      <c r="B337" s="47">
        <v>6</v>
      </c>
      <c r="C337" s="47">
        <v>1</v>
      </c>
      <c r="D337" s="47"/>
      <c r="E337" s="47"/>
      <c r="F337" s="72" t="s">
        <v>284</v>
      </c>
      <c r="G337" s="48">
        <f>+'ABRIL '!G337+'mayo 2025'!G337+'junioo '!G337</f>
        <v>3586435.0700000003</v>
      </c>
      <c r="H337" s="48">
        <f>+'ABRIL '!H337+'mayo 2025'!H337+'junioo '!H337</f>
        <v>7995.01</v>
      </c>
      <c r="I337" s="48">
        <f t="shared" si="11"/>
        <v>3594430.08</v>
      </c>
      <c r="J337" s="45"/>
    </row>
    <row r="338" spans="1:10" x14ac:dyDescent="0.25">
      <c r="A338" s="49">
        <v>2</v>
      </c>
      <c r="B338" s="50">
        <v>6</v>
      </c>
      <c r="C338" s="50">
        <v>1</v>
      </c>
      <c r="D338" s="50">
        <v>1</v>
      </c>
      <c r="E338" s="50"/>
      <c r="F338" s="73" t="s">
        <v>285</v>
      </c>
      <c r="G338" s="51">
        <f>+'ABRIL '!G338+'mayo 2025'!G338+'junioo '!G338</f>
        <v>2792874.46</v>
      </c>
      <c r="H338" s="51">
        <f>+'ABRIL '!H338+'mayo 2025'!H338+'junioo '!H338</f>
        <v>0</v>
      </c>
      <c r="I338" s="51">
        <f t="shared" si="11"/>
        <v>2792874.46</v>
      </c>
      <c r="J338" s="58"/>
    </row>
    <row r="339" spans="1:10" x14ac:dyDescent="0.25">
      <c r="A339" s="53">
        <v>2</v>
      </c>
      <c r="B339" s="54">
        <v>6</v>
      </c>
      <c r="C339" s="54">
        <v>1</v>
      </c>
      <c r="D339" s="54">
        <v>1</v>
      </c>
      <c r="E339" s="55" t="s">
        <v>31</v>
      </c>
      <c r="F339" s="59" t="s">
        <v>285</v>
      </c>
      <c r="G339" s="56">
        <f>+'ABRIL '!G339+'mayo 2025'!G339+'junioo '!G339</f>
        <v>2792874.46</v>
      </c>
      <c r="H339" s="56">
        <f>+'ABRIL '!H339+'mayo 2025'!H339+'junioo '!H339</f>
        <v>0</v>
      </c>
      <c r="I339" s="56">
        <f t="shared" si="11"/>
        <v>2792874.46</v>
      </c>
      <c r="J339" s="57">
        <f>I339/$I$25</f>
        <v>9.3835346433855764E-3</v>
      </c>
    </row>
    <row r="340" spans="1:10" ht="25.5" x14ac:dyDescent="0.25">
      <c r="A340" s="49">
        <v>2</v>
      </c>
      <c r="B340" s="50">
        <v>6</v>
      </c>
      <c r="C340" s="50">
        <v>1</v>
      </c>
      <c r="D340" s="50">
        <v>2</v>
      </c>
      <c r="E340" s="50"/>
      <c r="F340" s="73" t="s">
        <v>286</v>
      </c>
      <c r="G340" s="51">
        <f>+'ABRIL '!G340+'mayo 2025'!G340+'junioo '!G340</f>
        <v>127620.76</v>
      </c>
      <c r="H340" s="51">
        <f>+'ABRIL '!H340+'mayo 2025'!H340+'junioo '!H340</f>
        <v>7995.01</v>
      </c>
      <c r="I340" s="51">
        <f t="shared" si="11"/>
        <v>135615.76999999999</v>
      </c>
      <c r="J340" s="58"/>
    </row>
    <row r="341" spans="1:10" ht="25.5" x14ac:dyDescent="0.25">
      <c r="A341" s="53">
        <v>2</v>
      </c>
      <c r="B341" s="54">
        <v>6</v>
      </c>
      <c r="C341" s="54">
        <v>1</v>
      </c>
      <c r="D341" s="54">
        <v>2</v>
      </c>
      <c r="E341" s="55" t="s">
        <v>31</v>
      </c>
      <c r="F341" s="59" t="s">
        <v>286</v>
      </c>
      <c r="G341" s="56">
        <f>+'ABRIL '!G341+'mayo 2025'!G341+'junioo '!G341</f>
        <v>127620.76</v>
      </c>
      <c r="H341" s="56">
        <f>+'ABRIL '!H341+'mayo 2025'!H341+'junioo '!H341</f>
        <v>7995.01</v>
      </c>
      <c r="I341" s="56">
        <f t="shared" si="11"/>
        <v>135615.76999999999</v>
      </c>
      <c r="J341" s="57">
        <f>I341/$I$25</f>
        <v>4.5564356515488002E-4</v>
      </c>
    </row>
    <row r="342" spans="1:10" ht="25.5" x14ac:dyDescent="0.25">
      <c r="A342" s="49">
        <v>2</v>
      </c>
      <c r="B342" s="50">
        <v>6</v>
      </c>
      <c r="C342" s="50">
        <v>1</v>
      </c>
      <c r="D342" s="50">
        <v>3</v>
      </c>
      <c r="E342" s="50"/>
      <c r="F342" s="73" t="s">
        <v>287</v>
      </c>
      <c r="G342" s="51">
        <f>+'ABRIL '!G342+'mayo 2025'!G342+'junioo '!G342</f>
        <v>284832.73</v>
      </c>
      <c r="H342" s="51">
        <f>+'ABRIL '!H342+'mayo 2025'!H342+'junioo '!H342</f>
        <v>0</v>
      </c>
      <c r="I342" s="51">
        <f t="shared" si="11"/>
        <v>284832.73</v>
      </c>
      <c r="J342" s="58"/>
    </row>
    <row r="343" spans="1:10" ht="25.5" x14ac:dyDescent="0.25">
      <c r="A343" s="53">
        <v>2</v>
      </c>
      <c r="B343" s="54">
        <v>6</v>
      </c>
      <c r="C343" s="54">
        <v>1</v>
      </c>
      <c r="D343" s="54">
        <v>3</v>
      </c>
      <c r="E343" s="55" t="s">
        <v>31</v>
      </c>
      <c r="F343" s="59" t="s">
        <v>287</v>
      </c>
      <c r="G343" s="56">
        <f>+'ABRIL '!G343+'mayo 2025'!G343+'junioo '!G343</f>
        <v>284832.73</v>
      </c>
      <c r="H343" s="56">
        <f>+'ABRIL '!H343+'mayo 2025'!H343+'junioo '!H343</f>
        <v>0</v>
      </c>
      <c r="I343" s="56">
        <f t="shared" si="11"/>
        <v>284832.73</v>
      </c>
      <c r="J343" s="57">
        <f>I343/$I$25</f>
        <v>9.5698457907953738E-4</v>
      </c>
    </row>
    <row r="344" spans="1:10" x14ac:dyDescent="0.25">
      <c r="A344" s="49">
        <v>2</v>
      </c>
      <c r="B344" s="50">
        <v>6</v>
      </c>
      <c r="C344" s="50">
        <v>1</v>
      </c>
      <c r="D344" s="50">
        <v>4</v>
      </c>
      <c r="E344" s="50"/>
      <c r="F344" s="73" t="s">
        <v>288</v>
      </c>
      <c r="G344" s="51">
        <f>+'ABRIL '!G344+'mayo 2025'!G344+'junioo '!G344</f>
        <v>255406.25</v>
      </c>
      <c r="H344" s="51">
        <f>+'ABRIL '!H344+'mayo 2025'!H344+'junioo '!H344</f>
        <v>0</v>
      </c>
      <c r="I344" s="51">
        <f t="shared" si="11"/>
        <v>255406.25</v>
      </c>
      <c r="J344" s="58"/>
    </row>
    <row r="345" spans="1:10" x14ac:dyDescent="0.25">
      <c r="A345" s="53">
        <v>2</v>
      </c>
      <c r="B345" s="54">
        <v>6</v>
      </c>
      <c r="C345" s="54">
        <v>1</v>
      </c>
      <c r="D345" s="54">
        <v>4</v>
      </c>
      <c r="E345" s="55" t="s">
        <v>31</v>
      </c>
      <c r="F345" s="59" t="s">
        <v>288</v>
      </c>
      <c r="G345" s="56">
        <f>+'ABRIL '!G345+'mayo 2025'!G345+'junioo '!G345</f>
        <v>255406.25</v>
      </c>
      <c r="H345" s="56">
        <f>+'ABRIL '!H345+'mayo 2025'!H345+'junioo '!H345</f>
        <v>0</v>
      </c>
      <c r="I345" s="56">
        <f t="shared" ref="I345:I408" si="15">SUM(G345:H345)</f>
        <v>255406.25</v>
      </c>
      <c r="J345" s="57">
        <f>I345/$I$25</f>
        <v>8.581171224617799E-4</v>
      </c>
    </row>
    <row r="346" spans="1:10" ht="25.5" x14ac:dyDescent="0.25">
      <c r="A346" s="49">
        <v>2</v>
      </c>
      <c r="B346" s="50">
        <v>6</v>
      </c>
      <c r="C346" s="50">
        <v>1</v>
      </c>
      <c r="D346" s="50">
        <v>9</v>
      </c>
      <c r="E346" s="50"/>
      <c r="F346" s="73" t="s">
        <v>289</v>
      </c>
      <c r="G346" s="51">
        <f>+'ABRIL '!G346+'mayo 2025'!G346+'junioo '!G346</f>
        <v>125700.87</v>
      </c>
      <c r="H346" s="51">
        <f>+'ABRIL '!H346+'mayo 2025'!H346+'junioo '!H346</f>
        <v>0</v>
      </c>
      <c r="I346" s="51">
        <f t="shared" si="15"/>
        <v>125700.87</v>
      </c>
      <c r="J346" s="58"/>
    </row>
    <row r="347" spans="1:10" ht="25.5" x14ac:dyDescent="0.25">
      <c r="A347" s="53">
        <v>2</v>
      </c>
      <c r="B347" s="54">
        <v>6</v>
      </c>
      <c r="C347" s="54">
        <v>1</v>
      </c>
      <c r="D347" s="54">
        <v>9</v>
      </c>
      <c r="E347" s="55" t="s">
        <v>31</v>
      </c>
      <c r="F347" s="59" t="s">
        <v>289</v>
      </c>
      <c r="G347" s="56">
        <f>+'ABRIL '!G347+'mayo 2025'!G347+'junioo '!G347</f>
        <v>125700.87</v>
      </c>
      <c r="H347" s="56">
        <f>+'ABRIL '!H347+'mayo 2025'!H347+'junioo '!H347</f>
        <v>0</v>
      </c>
      <c r="I347" s="56">
        <f t="shared" si="15"/>
        <v>125700.87</v>
      </c>
      <c r="J347" s="57">
        <f>I347/$I$25</f>
        <v>4.2233135976642029E-4</v>
      </c>
    </row>
    <row r="348" spans="1:10" ht="25.5" x14ac:dyDescent="0.25">
      <c r="A348" s="74">
        <v>2</v>
      </c>
      <c r="B348" s="74">
        <v>6</v>
      </c>
      <c r="C348" s="74">
        <v>2</v>
      </c>
      <c r="D348" s="74"/>
      <c r="E348" s="74"/>
      <c r="F348" s="88" t="s">
        <v>290</v>
      </c>
      <c r="G348" s="48">
        <f>+'ABRIL '!G348+'mayo 2025'!G348+'junioo '!G348</f>
        <v>182926.74</v>
      </c>
      <c r="H348" s="48">
        <f>+'ABRIL '!H348+'mayo 2025'!H348+'junioo '!H348</f>
        <v>1399834</v>
      </c>
      <c r="I348" s="48">
        <f t="shared" si="15"/>
        <v>1582760.74</v>
      </c>
      <c r="J348" s="45"/>
    </row>
    <row r="349" spans="1:10" x14ac:dyDescent="0.25">
      <c r="A349" s="61">
        <v>2</v>
      </c>
      <c r="B349" s="50">
        <v>6</v>
      </c>
      <c r="C349" s="50">
        <v>2</v>
      </c>
      <c r="D349" s="50">
        <v>1</v>
      </c>
      <c r="E349" s="64"/>
      <c r="F349" s="73" t="s">
        <v>291</v>
      </c>
      <c r="G349" s="51">
        <f>+'ABRIL '!G349+'mayo 2025'!G349+'junioo '!G349</f>
        <v>47202.36</v>
      </c>
      <c r="H349" s="51">
        <f>+'ABRIL '!H349+'mayo 2025'!H349+'junioo '!H349</f>
        <v>1399834</v>
      </c>
      <c r="I349" s="51">
        <f t="shared" si="15"/>
        <v>1447036.36</v>
      </c>
      <c r="J349" s="58"/>
    </row>
    <row r="350" spans="1:10" x14ac:dyDescent="0.25">
      <c r="A350" s="62">
        <v>2</v>
      </c>
      <c r="B350" s="54">
        <v>6</v>
      </c>
      <c r="C350" s="54">
        <v>2</v>
      </c>
      <c r="D350" s="54">
        <v>1</v>
      </c>
      <c r="E350" s="55" t="s">
        <v>31</v>
      </c>
      <c r="F350" s="59" t="s">
        <v>291</v>
      </c>
      <c r="G350" s="56">
        <f>+'ABRIL '!G350+'mayo 2025'!G350+'junioo '!G350</f>
        <v>47202.36</v>
      </c>
      <c r="H350" s="56">
        <f>+'ABRIL '!H350+'mayo 2025'!H350+'junioo '!H350</f>
        <v>1399834</v>
      </c>
      <c r="I350" s="56">
        <f t="shared" si="15"/>
        <v>1447036.36</v>
      </c>
      <c r="J350" s="57">
        <f>I350/$I$25</f>
        <v>4.8617709133616282E-3</v>
      </c>
    </row>
    <row r="351" spans="1:10" x14ac:dyDescent="0.25">
      <c r="A351" s="61">
        <v>2</v>
      </c>
      <c r="B351" s="50">
        <v>6</v>
      </c>
      <c r="C351" s="50">
        <v>2</v>
      </c>
      <c r="D351" s="50">
        <v>2</v>
      </c>
      <c r="E351" s="64"/>
      <c r="F351" s="73" t="s">
        <v>292</v>
      </c>
      <c r="G351" s="51">
        <f>+'ABRIL '!G351+'mayo 2025'!G351+'junioo '!G351</f>
        <v>0</v>
      </c>
      <c r="H351" s="51">
        <f>+'ABRIL '!H351+'mayo 2025'!H351+'junioo '!H351</f>
        <v>0</v>
      </c>
      <c r="I351" s="51">
        <f t="shared" si="15"/>
        <v>0</v>
      </c>
      <c r="J351" s="58"/>
    </row>
    <row r="352" spans="1:10" x14ac:dyDescent="0.25">
      <c r="A352" s="62">
        <v>2</v>
      </c>
      <c r="B352" s="54">
        <v>6</v>
      </c>
      <c r="C352" s="54">
        <v>2</v>
      </c>
      <c r="D352" s="54">
        <v>2</v>
      </c>
      <c r="E352" s="55" t="s">
        <v>31</v>
      </c>
      <c r="F352" s="59" t="s">
        <v>292</v>
      </c>
      <c r="G352" s="56">
        <f>+'ABRIL '!G352+'mayo 2025'!G352+'junioo '!G352</f>
        <v>0</v>
      </c>
      <c r="H352" s="56">
        <f>+'ABRIL '!H352+'mayo 2025'!H352+'junioo '!H352</f>
        <v>0</v>
      </c>
      <c r="I352" s="56">
        <f t="shared" si="15"/>
        <v>0</v>
      </c>
      <c r="J352" s="57">
        <f>I352/$I$25</f>
        <v>0</v>
      </c>
    </row>
    <row r="353" spans="1:10" x14ac:dyDescent="0.25">
      <c r="A353" s="61">
        <v>2</v>
      </c>
      <c r="B353" s="50">
        <v>6</v>
      </c>
      <c r="C353" s="50">
        <v>2</v>
      </c>
      <c r="D353" s="50">
        <v>3</v>
      </c>
      <c r="E353" s="64"/>
      <c r="F353" s="73" t="s">
        <v>293</v>
      </c>
      <c r="G353" s="51">
        <f>+'ABRIL '!G353+'mayo 2025'!G353+'junioo '!G353</f>
        <v>0</v>
      </c>
      <c r="H353" s="51">
        <f>+'ABRIL '!H353+'mayo 2025'!H353+'junioo '!H353</f>
        <v>0</v>
      </c>
      <c r="I353" s="51">
        <f t="shared" si="15"/>
        <v>0</v>
      </c>
      <c r="J353" s="58"/>
    </row>
    <row r="354" spans="1:10" x14ac:dyDescent="0.25">
      <c r="A354" s="62">
        <v>2</v>
      </c>
      <c r="B354" s="54">
        <v>6</v>
      </c>
      <c r="C354" s="54">
        <v>2</v>
      </c>
      <c r="D354" s="54">
        <v>3</v>
      </c>
      <c r="E354" s="55" t="s">
        <v>31</v>
      </c>
      <c r="F354" s="59" t="s">
        <v>293</v>
      </c>
      <c r="G354" s="56">
        <f>+'ABRIL '!G354+'mayo 2025'!G354+'junioo '!G354</f>
        <v>0</v>
      </c>
      <c r="H354" s="56">
        <f>+'ABRIL '!H354+'mayo 2025'!H354+'junioo '!H354</f>
        <v>0</v>
      </c>
      <c r="I354" s="56">
        <f t="shared" si="15"/>
        <v>0</v>
      </c>
      <c r="J354" s="57">
        <f>I354/$I$25</f>
        <v>0</v>
      </c>
    </row>
    <row r="355" spans="1:10" x14ac:dyDescent="0.25">
      <c r="A355" s="61">
        <v>2</v>
      </c>
      <c r="B355" s="50">
        <v>6</v>
      </c>
      <c r="C355" s="50">
        <v>2</v>
      </c>
      <c r="D355" s="50">
        <v>4</v>
      </c>
      <c r="E355" s="64"/>
      <c r="F355" s="73" t="s">
        <v>294</v>
      </c>
      <c r="G355" s="51">
        <f>+'ABRIL '!G355+'mayo 2025'!G355+'junioo '!G355</f>
        <v>135724.38</v>
      </c>
      <c r="H355" s="51">
        <f>+'ABRIL '!H355+'mayo 2025'!H355+'junioo '!H355</f>
        <v>0</v>
      </c>
      <c r="I355" s="51">
        <f t="shared" si="15"/>
        <v>135724.38</v>
      </c>
      <c r="J355" s="58"/>
    </row>
    <row r="356" spans="1:10" x14ac:dyDescent="0.25">
      <c r="A356" s="62">
        <v>2</v>
      </c>
      <c r="B356" s="54">
        <v>6</v>
      </c>
      <c r="C356" s="54">
        <v>2</v>
      </c>
      <c r="D356" s="54">
        <v>4</v>
      </c>
      <c r="E356" s="55" t="s">
        <v>31</v>
      </c>
      <c r="F356" s="59" t="s">
        <v>294</v>
      </c>
      <c r="G356" s="56">
        <f>+'ABRIL '!G356+'mayo 2025'!G356+'junioo '!G356</f>
        <v>135724.38</v>
      </c>
      <c r="H356" s="56">
        <f>+'ABRIL '!H356+'mayo 2025'!H356+'junioo '!H356</f>
        <v>0</v>
      </c>
      <c r="I356" s="56">
        <f t="shared" si="15"/>
        <v>135724.38</v>
      </c>
      <c r="J356" s="57">
        <f>I356/$I$25</f>
        <v>4.5600847439523961E-4</v>
      </c>
    </row>
    <row r="357" spans="1:10" x14ac:dyDescent="0.25">
      <c r="A357" s="74">
        <v>2</v>
      </c>
      <c r="B357" s="74">
        <v>6</v>
      </c>
      <c r="C357" s="74">
        <v>3</v>
      </c>
      <c r="D357" s="74"/>
      <c r="E357" s="74"/>
      <c r="F357" s="88" t="s">
        <v>295</v>
      </c>
      <c r="G357" s="48">
        <f>+'ABRIL '!G357+'mayo 2025'!G357+'junioo '!G357</f>
        <v>6663622.5700000003</v>
      </c>
      <c r="H357" s="48">
        <f>+'ABRIL '!H357+'mayo 2025'!H357+'junioo '!H357</f>
        <v>3975602.14</v>
      </c>
      <c r="I357" s="48">
        <f t="shared" si="15"/>
        <v>10639224.710000001</v>
      </c>
      <c r="J357" s="45"/>
    </row>
    <row r="358" spans="1:10" x14ac:dyDescent="0.25">
      <c r="A358" s="61">
        <v>2</v>
      </c>
      <c r="B358" s="50">
        <v>6</v>
      </c>
      <c r="C358" s="50">
        <v>3</v>
      </c>
      <c r="D358" s="50">
        <v>1</v>
      </c>
      <c r="E358" s="64"/>
      <c r="F358" s="73" t="s">
        <v>296</v>
      </c>
      <c r="G358" s="51">
        <f>+'ABRIL '!G358+'mayo 2025'!G358+'junioo '!G358</f>
        <v>3362651.51</v>
      </c>
      <c r="H358" s="51">
        <f>+'ABRIL '!H358+'mayo 2025'!H358+'junioo '!H358</f>
        <v>0</v>
      </c>
      <c r="I358" s="51">
        <f t="shared" si="15"/>
        <v>3362651.51</v>
      </c>
      <c r="J358" s="58"/>
    </row>
    <row r="359" spans="1:10" x14ac:dyDescent="0.25">
      <c r="A359" s="62">
        <v>2</v>
      </c>
      <c r="B359" s="54">
        <v>6</v>
      </c>
      <c r="C359" s="54">
        <v>3</v>
      </c>
      <c r="D359" s="54">
        <v>1</v>
      </c>
      <c r="E359" s="55" t="s">
        <v>31</v>
      </c>
      <c r="F359" s="59" t="s">
        <v>296</v>
      </c>
      <c r="G359" s="56">
        <f>+'ABRIL '!G359+'mayo 2025'!G359+'junioo '!G359</f>
        <v>3362651.51</v>
      </c>
      <c r="H359" s="56">
        <f>+'ABRIL '!H359+'mayo 2025'!H359+'junioo '!H359</f>
        <v>0</v>
      </c>
      <c r="I359" s="56">
        <f t="shared" si="15"/>
        <v>3362651.51</v>
      </c>
      <c r="J359" s="57">
        <f>I359/$I$25</f>
        <v>1.1297878723026391E-2</v>
      </c>
    </row>
    <row r="360" spans="1:10" x14ac:dyDescent="0.25">
      <c r="A360" s="61">
        <v>2</v>
      </c>
      <c r="B360" s="50">
        <v>6</v>
      </c>
      <c r="C360" s="50">
        <v>3</v>
      </c>
      <c r="D360" s="50">
        <v>2</v>
      </c>
      <c r="E360" s="64"/>
      <c r="F360" s="73" t="s">
        <v>297</v>
      </c>
      <c r="G360" s="51">
        <f>+'ABRIL '!G360+'mayo 2025'!G360+'junioo '!G360</f>
        <v>3101610.0599999996</v>
      </c>
      <c r="H360" s="51">
        <f>+'ABRIL '!H360+'mayo 2025'!H360+'junioo '!H360</f>
        <v>2221942.19</v>
      </c>
      <c r="I360" s="51">
        <f t="shared" si="15"/>
        <v>5323552.25</v>
      </c>
      <c r="J360" s="58"/>
    </row>
    <row r="361" spans="1:10" x14ac:dyDescent="0.25">
      <c r="A361" s="62">
        <v>2</v>
      </c>
      <c r="B361" s="54">
        <v>6</v>
      </c>
      <c r="C361" s="54">
        <v>3</v>
      </c>
      <c r="D361" s="54">
        <v>2</v>
      </c>
      <c r="E361" s="55" t="s">
        <v>31</v>
      </c>
      <c r="F361" s="59" t="s">
        <v>297</v>
      </c>
      <c r="G361" s="56">
        <f>+'ABRIL '!G361+'mayo 2025'!G361+'junioo '!G361</f>
        <v>3101610.0599999996</v>
      </c>
      <c r="H361" s="56">
        <f>+'ABRIL '!H361+'mayo 2025'!H361+'junioo '!H361</f>
        <v>2221942.19</v>
      </c>
      <c r="I361" s="56">
        <f t="shared" si="15"/>
        <v>5323552.25</v>
      </c>
      <c r="J361" s="57">
        <f>I361/$I$25</f>
        <v>1.7886137626017116E-2</v>
      </c>
    </row>
    <row r="362" spans="1:10" x14ac:dyDescent="0.25">
      <c r="A362" s="61">
        <v>2</v>
      </c>
      <c r="B362" s="50">
        <v>6</v>
      </c>
      <c r="C362" s="50">
        <v>3</v>
      </c>
      <c r="D362" s="50">
        <v>3</v>
      </c>
      <c r="E362" s="64"/>
      <c r="F362" s="73" t="s">
        <v>298</v>
      </c>
      <c r="G362" s="51">
        <f>+'ABRIL '!G362+'mayo 2025'!G362+'junioo '!G362</f>
        <v>0</v>
      </c>
      <c r="H362" s="51">
        <f>+'ABRIL '!H362+'mayo 2025'!H362+'junioo '!H362</f>
        <v>0</v>
      </c>
      <c r="I362" s="51">
        <f t="shared" si="15"/>
        <v>0</v>
      </c>
      <c r="J362" s="58"/>
    </row>
    <row r="363" spans="1:10" x14ac:dyDescent="0.25">
      <c r="A363" s="62">
        <v>2</v>
      </c>
      <c r="B363" s="54">
        <v>6</v>
      </c>
      <c r="C363" s="54">
        <v>3</v>
      </c>
      <c r="D363" s="54">
        <v>3</v>
      </c>
      <c r="E363" s="55" t="s">
        <v>31</v>
      </c>
      <c r="F363" s="59" t="s">
        <v>298</v>
      </c>
      <c r="G363" s="56">
        <f>+'ABRIL '!G363+'mayo 2025'!G363+'junioo '!G363</f>
        <v>0</v>
      </c>
      <c r="H363" s="56">
        <f>+'ABRIL '!H363+'mayo 2025'!H363+'junioo '!H363</f>
        <v>0</v>
      </c>
      <c r="I363" s="56">
        <f t="shared" si="15"/>
        <v>0</v>
      </c>
      <c r="J363" s="57">
        <f>I363/$I$25</f>
        <v>0</v>
      </c>
    </row>
    <row r="364" spans="1:10" x14ac:dyDescent="0.25">
      <c r="A364" s="61">
        <v>2</v>
      </c>
      <c r="B364" s="50">
        <v>6</v>
      </c>
      <c r="C364" s="50">
        <v>3</v>
      </c>
      <c r="D364" s="50">
        <v>4</v>
      </c>
      <c r="E364" s="50"/>
      <c r="F364" s="73" t="s">
        <v>299</v>
      </c>
      <c r="G364" s="51">
        <f>+'ABRIL '!G364+'mayo 2025'!G364+'junioo '!G364</f>
        <v>199361</v>
      </c>
      <c r="H364" s="51">
        <f>+'ABRIL '!H364+'mayo 2025'!H364+'junioo '!H364</f>
        <v>1753659.95</v>
      </c>
      <c r="I364" s="51">
        <f t="shared" si="15"/>
        <v>1953020.95</v>
      </c>
      <c r="J364" s="58"/>
    </row>
    <row r="365" spans="1:10" x14ac:dyDescent="0.25">
      <c r="A365" s="62">
        <v>2</v>
      </c>
      <c r="B365" s="54">
        <v>6</v>
      </c>
      <c r="C365" s="54">
        <v>3</v>
      </c>
      <c r="D365" s="54">
        <v>4</v>
      </c>
      <c r="E365" s="55" t="s">
        <v>31</v>
      </c>
      <c r="F365" s="59" t="s">
        <v>299</v>
      </c>
      <c r="G365" s="56">
        <f>+'ABRIL '!G365+'mayo 2025'!G365+'junioo '!G365</f>
        <v>199361</v>
      </c>
      <c r="H365" s="56">
        <f>+'ABRIL '!H365+'mayo 2025'!H365+'junioo '!H365</f>
        <v>1753659.95</v>
      </c>
      <c r="I365" s="56">
        <f t="shared" si="15"/>
        <v>1953020.95</v>
      </c>
      <c r="J365" s="57">
        <f>I365/$I$25</f>
        <v>6.5617842857078551E-3</v>
      </c>
    </row>
    <row r="366" spans="1:10" ht="25.5" x14ac:dyDescent="0.25">
      <c r="A366" s="46">
        <v>2</v>
      </c>
      <c r="B366" s="47">
        <v>6</v>
      </c>
      <c r="C366" s="47">
        <v>4</v>
      </c>
      <c r="D366" s="47"/>
      <c r="E366" s="65"/>
      <c r="F366" s="72" t="s">
        <v>300</v>
      </c>
      <c r="G366" s="48">
        <f>+'ABRIL '!G366+'mayo 2025'!G366+'junioo '!G366</f>
        <v>0</v>
      </c>
      <c r="H366" s="48">
        <f>+'ABRIL '!H366+'mayo 2025'!H366+'junioo '!H366</f>
        <v>0</v>
      </c>
      <c r="I366" s="48">
        <f t="shared" si="15"/>
        <v>0</v>
      </c>
      <c r="J366" s="45"/>
    </row>
    <row r="367" spans="1:10" x14ac:dyDescent="0.25">
      <c r="A367" s="61">
        <v>2</v>
      </c>
      <c r="B367" s="50">
        <v>6</v>
      </c>
      <c r="C367" s="50">
        <v>4</v>
      </c>
      <c r="D367" s="50">
        <v>1</v>
      </c>
      <c r="E367" s="50"/>
      <c r="F367" s="73" t="s">
        <v>301</v>
      </c>
      <c r="G367" s="51">
        <f>+'ABRIL '!G367+'mayo 2025'!G367+'junioo '!G367</f>
        <v>0</v>
      </c>
      <c r="H367" s="51">
        <f>+'ABRIL '!H367+'mayo 2025'!H367+'junioo '!H367</f>
        <v>0</v>
      </c>
      <c r="I367" s="51">
        <f t="shared" si="15"/>
        <v>0</v>
      </c>
      <c r="J367" s="58"/>
    </row>
    <row r="368" spans="1:10" x14ac:dyDescent="0.25">
      <c r="A368" s="62">
        <v>2</v>
      </c>
      <c r="B368" s="54">
        <v>6</v>
      </c>
      <c r="C368" s="54">
        <v>4</v>
      </c>
      <c r="D368" s="54">
        <v>1</v>
      </c>
      <c r="E368" s="55" t="s">
        <v>31</v>
      </c>
      <c r="F368" s="59" t="s">
        <v>301</v>
      </c>
      <c r="G368" s="56">
        <f>+'ABRIL '!G368+'mayo 2025'!G368+'junioo '!G368</f>
        <v>0</v>
      </c>
      <c r="H368" s="56">
        <f>+'ABRIL '!H368+'mayo 2025'!H368+'junioo '!H368</f>
        <v>0</v>
      </c>
      <c r="I368" s="56">
        <f t="shared" si="15"/>
        <v>0</v>
      </c>
      <c r="J368" s="57">
        <f>I368/$I$25</f>
        <v>0</v>
      </c>
    </row>
    <row r="369" spans="1:10" x14ac:dyDescent="0.25">
      <c r="A369" s="61">
        <v>2</v>
      </c>
      <c r="B369" s="50">
        <v>6</v>
      </c>
      <c r="C369" s="50">
        <v>4</v>
      </c>
      <c r="D369" s="50">
        <v>2</v>
      </c>
      <c r="E369" s="50"/>
      <c r="F369" s="73" t="s">
        <v>302</v>
      </c>
      <c r="G369" s="51">
        <f>+'ABRIL '!G369+'mayo 2025'!G369+'junioo '!G369</f>
        <v>0</v>
      </c>
      <c r="H369" s="51">
        <f>+'ABRIL '!H369+'mayo 2025'!H369+'junioo '!H369</f>
        <v>0</v>
      </c>
      <c r="I369" s="51">
        <f t="shared" si="15"/>
        <v>0</v>
      </c>
      <c r="J369" s="58"/>
    </row>
    <row r="370" spans="1:10" x14ac:dyDescent="0.25">
      <c r="A370" s="62">
        <v>2</v>
      </c>
      <c r="B370" s="54">
        <v>6</v>
      </c>
      <c r="C370" s="54">
        <v>4</v>
      </c>
      <c r="D370" s="54">
        <v>2</v>
      </c>
      <c r="E370" s="55" t="s">
        <v>31</v>
      </c>
      <c r="F370" s="59" t="s">
        <v>302</v>
      </c>
      <c r="G370" s="56">
        <f>+'ABRIL '!G370+'mayo 2025'!G370+'junioo '!G370</f>
        <v>0</v>
      </c>
      <c r="H370" s="56">
        <f>+'ABRIL '!H370+'mayo 2025'!H370+'junioo '!H370</f>
        <v>0</v>
      </c>
      <c r="I370" s="56">
        <f t="shared" si="15"/>
        <v>0</v>
      </c>
      <c r="J370" s="57">
        <f>I370/$I$25</f>
        <v>0</v>
      </c>
    </row>
    <row r="371" spans="1:10" x14ac:dyDescent="0.25">
      <c r="A371" s="61">
        <v>2</v>
      </c>
      <c r="B371" s="50">
        <v>6</v>
      </c>
      <c r="C371" s="50">
        <v>4</v>
      </c>
      <c r="D371" s="50">
        <v>3</v>
      </c>
      <c r="E371" s="50"/>
      <c r="F371" s="73" t="s">
        <v>303</v>
      </c>
      <c r="G371" s="51">
        <f>+'ABRIL '!G371+'mayo 2025'!G371+'junioo '!G371</f>
        <v>0</v>
      </c>
      <c r="H371" s="51">
        <f>+'ABRIL '!H371+'mayo 2025'!H371+'junioo '!H371</f>
        <v>0</v>
      </c>
      <c r="I371" s="51">
        <f t="shared" si="15"/>
        <v>0</v>
      </c>
      <c r="J371" s="58"/>
    </row>
    <row r="372" spans="1:10" x14ac:dyDescent="0.25">
      <c r="A372" s="62">
        <v>2</v>
      </c>
      <c r="B372" s="54">
        <v>6</v>
      </c>
      <c r="C372" s="54">
        <v>4</v>
      </c>
      <c r="D372" s="54">
        <v>3</v>
      </c>
      <c r="E372" s="55" t="s">
        <v>31</v>
      </c>
      <c r="F372" s="59" t="s">
        <v>303</v>
      </c>
      <c r="G372" s="56">
        <f>+'ABRIL '!G372+'mayo 2025'!G372+'junioo '!G372</f>
        <v>0</v>
      </c>
      <c r="H372" s="56">
        <f>+'ABRIL '!H372+'mayo 2025'!H372+'junioo '!H372</f>
        <v>0</v>
      </c>
      <c r="I372" s="56">
        <f t="shared" si="15"/>
        <v>0</v>
      </c>
      <c r="J372" s="57">
        <f>I372/$I$25</f>
        <v>0</v>
      </c>
    </row>
    <row r="373" spans="1:10" x14ac:dyDescent="0.25">
      <c r="A373" s="61">
        <v>2</v>
      </c>
      <c r="B373" s="50">
        <v>6</v>
      </c>
      <c r="C373" s="50">
        <v>4</v>
      </c>
      <c r="D373" s="50">
        <v>4</v>
      </c>
      <c r="E373" s="50"/>
      <c r="F373" s="73" t="s">
        <v>304</v>
      </c>
      <c r="G373" s="51">
        <f>+'ABRIL '!G373+'mayo 2025'!G373+'junioo '!G373</f>
        <v>0</v>
      </c>
      <c r="H373" s="51">
        <f>+'ABRIL '!H373+'mayo 2025'!H373+'junioo '!H373</f>
        <v>0</v>
      </c>
      <c r="I373" s="51">
        <f t="shared" si="15"/>
        <v>0</v>
      </c>
      <c r="J373" s="58"/>
    </row>
    <row r="374" spans="1:10" x14ac:dyDescent="0.25">
      <c r="A374" s="62">
        <v>2</v>
      </c>
      <c r="B374" s="54">
        <v>6</v>
      </c>
      <c r="C374" s="54">
        <v>4</v>
      </c>
      <c r="D374" s="54">
        <v>4</v>
      </c>
      <c r="E374" s="55" t="s">
        <v>31</v>
      </c>
      <c r="F374" s="59" t="s">
        <v>304</v>
      </c>
      <c r="G374" s="56">
        <f>+'ABRIL '!G374+'mayo 2025'!G374+'junioo '!G374</f>
        <v>0</v>
      </c>
      <c r="H374" s="56">
        <f>+'ABRIL '!H374+'mayo 2025'!H374+'junioo '!H374</f>
        <v>0</v>
      </c>
      <c r="I374" s="56">
        <f t="shared" si="15"/>
        <v>0</v>
      </c>
      <c r="J374" s="57">
        <f>I374/$I$25</f>
        <v>0</v>
      </c>
    </row>
    <row r="375" spans="1:10" x14ac:dyDescent="0.25">
      <c r="A375" s="61">
        <v>2</v>
      </c>
      <c r="B375" s="50">
        <v>6</v>
      </c>
      <c r="C375" s="50">
        <v>4</v>
      </c>
      <c r="D375" s="50">
        <v>5</v>
      </c>
      <c r="E375" s="50"/>
      <c r="F375" s="73" t="s">
        <v>305</v>
      </c>
      <c r="G375" s="51">
        <f>+'ABRIL '!G375+'mayo 2025'!G375+'junioo '!G375</f>
        <v>0</v>
      </c>
      <c r="H375" s="51">
        <f>+'ABRIL '!H375+'mayo 2025'!H375+'junioo '!H375</f>
        <v>0</v>
      </c>
      <c r="I375" s="51">
        <f t="shared" si="15"/>
        <v>0</v>
      </c>
      <c r="J375" s="58"/>
    </row>
    <row r="376" spans="1:10" x14ac:dyDescent="0.25">
      <c r="A376" s="62">
        <v>2</v>
      </c>
      <c r="B376" s="54">
        <v>6</v>
      </c>
      <c r="C376" s="54">
        <v>4</v>
      </c>
      <c r="D376" s="54">
        <v>5</v>
      </c>
      <c r="E376" s="55" t="s">
        <v>31</v>
      </c>
      <c r="F376" s="59" t="s">
        <v>305</v>
      </c>
      <c r="G376" s="56">
        <f>+'ABRIL '!G376+'mayo 2025'!G376+'junioo '!G376</f>
        <v>0</v>
      </c>
      <c r="H376" s="56">
        <f>+'ABRIL '!H376+'mayo 2025'!H376+'junioo '!H376</f>
        <v>0</v>
      </c>
      <c r="I376" s="56">
        <f t="shared" si="15"/>
        <v>0</v>
      </c>
      <c r="J376" s="57">
        <f>I376/$I$25</f>
        <v>0</v>
      </c>
    </row>
    <row r="377" spans="1:10" x14ac:dyDescent="0.25">
      <c r="A377" s="61">
        <v>2</v>
      </c>
      <c r="B377" s="50">
        <v>6</v>
      </c>
      <c r="C377" s="50">
        <v>4</v>
      </c>
      <c r="D377" s="50">
        <v>6</v>
      </c>
      <c r="E377" s="50"/>
      <c r="F377" s="73" t="s">
        <v>306</v>
      </c>
      <c r="G377" s="51">
        <f>+'ABRIL '!G377+'mayo 2025'!G377+'junioo '!G377</f>
        <v>0</v>
      </c>
      <c r="H377" s="51">
        <f>+'ABRIL '!H377+'mayo 2025'!H377+'junioo '!H377</f>
        <v>0</v>
      </c>
      <c r="I377" s="51">
        <f t="shared" si="15"/>
        <v>0</v>
      </c>
      <c r="J377" s="58"/>
    </row>
    <row r="378" spans="1:10" x14ac:dyDescent="0.25">
      <c r="A378" s="62">
        <v>2</v>
      </c>
      <c r="B378" s="54">
        <v>6</v>
      </c>
      <c r="C378" s="54">
        <v>4</v>
      </c>
      <c r="D378" s="54">
        <v>6</v>
      </c>
      <c r="E378" s="55" t="s">
        <v>31</v>
      </c>
      <c r="F378" s="59" t="s">
        <v>306</v>
      </c>
      <c r="G378" s="56">
        <f>+'ABRIL '!G378+'mayo 2025'!G378+'junioo '!G378</f>
        <v>0</v>
      </c>
      <c r="H378" s="56">
        <f>+'ABRIL '!H378+'mayo 2025'!H378+'junioo '!H378</f>
        <v>0</v>
      </c>
      <c r="I378" s="56">
        <f t="shared" si="15"/>
        <v>0</v>
      </c>
      <c r="J378" s="57">
        <f>I378/$I$25</f>
        <v>0</v>
      </c>
    </row>
    <row r="379" spans="1:10" x14ac:dyDescent="0.25">
      <c r="A379" s="61">
        <v>2</v>
      </c>
      <c r="B379" s="50">
        <v>6</v>
      </c>
      <c r="C379" s="50">
        <v>4</v>
      </c>
      <c r="D379" s="50">
        <v>7</v>
      </c>
      <c r="E379" s="50"/>
      <c r="F379" s="73" t="s">
        <v>307</v>
      </c>
      <c r="G379" s="51">
        <f>+'ABRIL '!G379+'mayo 2025'!G379+'junioo '!G379</f>
        <v>0</v>
      </c>
      <c r="H379" s="51">
        <f>+'ABRIL '!H379+'mayo 2025'!H379+'junioo '!H379</f>
        <v>0</v>
      </c>
      <c r="I379" s="51">
        <f t="shared" si="15"/>
        <v>0</v>
      </c>
      <c r="J379" s="58"/>
    </row>
    <row r="380" spans="1:10" x14ac:dyDescent="0.25">
      <c r="A380" s="62">
        <v>2</v>
      </c>
      <c r="B380" s="54">
        <v>6</v>
      </c>
      <c r="C380" s="54">
        <v>4</v>
      </c>
      <c r="D380" s="54">
        <v>7</v>
      </c>
      <c r="E380" s="55" t="s">
        <v>31</v>
      </c>
      <c r="F380" s="59" t="s">
        <v>307</v>
      </c>
      <c r="G380" s="56">
        <f>+'ABRIL '!G380+'mayo 2025'!G380+'junioo '!G380</f>
        <v>0</v>
      </c>
      <c r="H380" s="56">
        <f>+'ABRIL '!H380+'mayo 2025'!H380+'junioo '!H380</f>
        <v>0</v>
      </c>
      <c r="I380" s="56">
        <f t="shared" si="15"/>
        <v>0</v>
      </c>
      <c r="J380" s="57">
        <f>I380/$I$25</f>
        <v>0</v>
      </c>
    </row>
    <row r="381" spans="1:10" x14ac:dyDescent="0.25">
      <c r="A381" s="61">
        <v>2</v>
      </c>
      <c r="B381" s="50">
        <v>6</v>
      </c>
      <c r="C381" s="50">
        <v>4</v>
      </c>
      <c r="D381" s="50">
        <v>8</v>
      </c>
      <c r="E381" s="50"/>
      <c r="F381" s="73" t="s">
        <v>308</v>
      </c>
      <c r="G381" s="51">
        <f>+'ABRIL '!G381+'mayo 2025'!G381+'junioo '!G381</f>
        <v>0</v>
      </c>
      <c r="H381" s="51">
        <f>+'ABRIL '!H381+'mayo 2025'!H381+'junioo '!H381</f>
        <v>0</v>
      </c>
      <c r="I381" s="51">
        <f t="shared" si="15"/>
        <v>0</v>
      </c>
      <c r="J381" s="58"/>
    </row>
    <row r="382" spans="1:10" x14ac:dyDescent="0.25">
      <c r="A382" s="62">
        <v>2</v>
      </c>
      <c r="B382" s="54">
        <v>6</v>
      </c>
      <c r="C382" s="54">
        <v>4</v>
      </c>
      <c r="D382" s="54">
        <v>8</v>
      </c>
      <c r="E382" s="55" t="s">
        <v>31</v>
      </c>
      <c r="F382" s="59" t="s">
        <v>308</v>
      </c>
      <c r="G382" s="56">
        <f>+'ABRIL '!G382+'mayo 2025'!G382+'junioo '!G382</f>
        <v>0</v>
      </c>
      <c r="H382" s="56">
        <f>+'ABRIL '!H382+'mayo 2025'!H382+'junioo '!H382</f>
        <v>0</v>
      </c>
      <c r="I382" s="56">
        <f t="shared" si="15"/>
        <v>0</v>
      </c>
      <c r="J382" s="57">
        <f>I382/$I$25</f>
        <v>0</v>
      </c>
    </row>
    <row r="383" spans="1:10" x14ac:dyDescent="0.25">
      <c r="A383" s="46">
        <v>2</v>
      </c>
      <c r="B383" s="47">
        <v>6</v>
      </c>
      <c r="C383" s="47">
        <v>5</v>
      </c>
      <c r="D383" s="47"/>
      <c r="E383" s="65"/>
      <c r="F383" s="72" t="s">
        <v>309</v>
      </c>
      <c r="G383" s="48">
        <f>+'ABRIL '!G383+'mayo 2025'!G383+'junioo '!G383</f>
        <v>4165309.5500000003</v>
      </c>
      <c r="H383" s="48">
        <f>+'ABRIL '!H383+'mayo 2025'!H383+'junioo '!H383</f>
        <v>0</v>
      </c>
      <c r="I383" s="48">
        <f t="shared" si="15"/>
        <v>4165309.5500000003</v>
      </c>
      <c r="J383" s="45"/>
    </row>
    <row r="384" spans="1:10" x14ac:dyDescent="0.25">
      <c r="A384" s="49">
        <v>2</v>
      </c>
      <c r="B384" s="50">
        <v>6</v>
      </c>
      <c r="C384" s="50">
        <v>5</v>
      </c>
      <c r="D384" s="50">
        <v>1</v>
      </c>
      <c r="E384" s="50"/>
      <c r="F384" s="73" t="s">
        <v>310</v>
      </c>
      <c r="G384" s="51">
        <f>+'ABRIL '!G384+'mayo 2025'!G384+'junioo '!G384</f>
        <v>0</v>
      </c>
      <c r="H384" s="51">
        <f>+'ABRIL '!H384+'mayo 2025'!H384+'junioo '!H384</f>
        <v>0</v>
      </c>
      <c r="I384" s="51">
        <f t="shared" si="15"/>
        <v>0</v>
      </c>
      <c r="J384" s="58"/>
    </row>
    <row r="385" spans="1:10" x14ac:dyDescent="0.25">
      <c r="A385" s="53">
        <v>2</v>
      </c>
      <c r="B385" s="54">
        <v>6</v>
      </c>
      <c r="C385" s="54">
        <v>5</v>
      </c>
      <c r="D385" s="54">
        <v>1</v>
      </c>
      <c r="E385" s="55" t="s">
        <v>31</v>
      </c>
      <c r="F385" s="59" t="s">
        <v>310</v>
      </c>
      <c r="G385" s="56">
        <f>+'ABRIL '!G385+'mayo 2025'!G385+'junioo '!G385</f>
        <v>0</v>
      </c>
      <c r="H385" s="56">
        <f>+'ABRIL '!H385+'mayo 2025'!H385+'junioo '!H385</f>
        <v>0</v>
      </c>
      <c r="I385" s="56">
        <f t="shared" si="15"/>
        <v>0</v>
      </c>
      <c r="J385" s="57">
        <f>I385/$I$25</f>
        <v>0</v>
      </c>
    </row>
    <row r="386" spans="1:10" x14ac:dyDescent="0.25">
      <c r="A386" s="49">
        <v>2</v>
      </c>
      <c r="B386" s="50">
        <v>6</v>
      </c>
      <c r="C386" s="50">
        <v>5</v>
      </c>
      <c r="D386" s="50">
        <v>2</v>
      </c>
      <c r="E386" s="50"/>
      <c r="F386" s="73" t="s">
        <v>311</v>
      </c>
      <c r="G386" s="51">
        <f>+'ABRIL '!G386+'mayo 2025'!G386+'junioo '!G386</f>
        <v>74663.520000000004</v>
      </c>
      <c r="H386" s="51">
        <f>+'ABRIL '!H386+'mayo 2025'!H386+'junioo '!H386</f>
        <v>0</v>
      </c>
      <c r="I386" s="51">
        <f t="shared" si="15"/>
        <v>74663.520000000004</v>
      </c>
      <c r="J386" s="58"/>
    </row>
    <row r="387" spans="1:10" x14ac:dyDescent="0.25">
      <c r="A387" s="53">
        <v>2</v>
      </c>
      <c r="B387" s="54">
        <v>6</v>
      </c>
      <c r="C387" s="54">
        <v>5</v>
      </c>
      <c r="D387" s="54">
        <v>2</v>
      </c>
      <c r="E387" s="55" t="s">
        <v>31</v>
      </c>
      <c r="F387" s="59" t="s">
        <v>311</v>
      </c>
      <c r="G387" s="56">
        <f>+'ABRIL '!G387+'mayo 2025'!G387+'junioo '!G387</f>
        <v>74663.520000000004</v>
      </c>
      <c r="H387" s="56">
        <f>+'ABRIL '!H387+'mayo 2025'!H387+'junioo '!H387</f>
        <v>0</v>
      </c>
      <c r="I387" s="56">
        <f t="shared" si="15"/>
        <v>74663.520000000004</v>
      </c>
      <c r="J387" s="57">
        <f>I387/$I$25</f>
        <v>2.5085543104472798E-4</v>
      </c>
    </row>
    <row r="388" spans="1:10" x14ac:dyDescent="0.25">
      <c r="A388" s="49">
        <v>2</v>
      </c>
      <c r="B388" s="50">
        <v>6</v>
      </c>
      <c r="C388" s="50">
        <v>5</v>
      </c>
      <c r="D388" s="50">
        <v>3</v>
      </c>
      <c r="E388" s="50"/>
      <c r="F388" s="73" t="s">
        <v>312</v>
      </c>
      <c r="G388" s="51">
        <f>+'ABRIL '!G388+'mayo 2025'!G388+'junioo '!G388</f>
        <v>0</v>
      </c>
      <c r="H388" s="51">
        <f>+'ABRIL '!H388+'mayo 2025'!H388+'junioo '!H388</f>
        <v>0</v>
      </c>
      <c r="I388" s="51">
        <f t="shared" si="15"/>
        <v>0</v>
      </c>
      <c r="J388" s="58"/>
    </row>
    <row r="389" spans="1:10" x14ac:dyDescent="0.25">
      <c r="A389" s="53">
        <v>2</v>
      </c>
      <c r="B389" s="54">
        <v>6</v>
      </c>
      <c r="C389" s="54">
        <v>5</v>
      </c>
      <c r="D389" s="54">
        <v>3</v>
      </c>
      <c r="E389" s="55" t="s">
        <v>31</v>
      </c>
      <c r="F389" s="59" t="s">
        <v>312</v>
      </c>
      <c r="G389" s="56">
        <f>+'ABRIL '!G389+'mayo 2025'!G389+'junioo '!G389</f>
        <v>0</v>
      </c>
      <c r="H389" s="56">
        <f>+'ABRIL '!H389+'mayo 2025'!H389+'junioo '!H389</f>
        <v>0</v>
      </c>
      <c r="I389" s="56">
        <f t="shared" si="15"/>
        <v>0</v>
      </c>
      <c r="J389" s="57">
        <f>I389/$I$25</f>
        <v>0</v>
      </c>
    </row>
    <row r="390" spans="1:10" x14ac:dyDescent="0.25">
      <c r="A390" s="49">
        <v>2</v>
      </c>
      <c r="B390" s="50">
        <v>6</v>
      </c>
      <c r="C390" s="50">
        <v>5</v>
      </c>
      <c r="D390" s="50">
        <v>4</v>
      </c>
      <c r="E390" s="50"/>
      <c r="F390" s="73" t="s">
        <v>313</v>
      </c>
      <c r="G390" s="51">
        <f>+'ABRIL '!G390+'mayo 2025'!G390+'junioo '!G390</f>
        <v>3547837.04</v>
      </c>
      <c r="H390" s="51">
        <f>+'ABRIL '!H390+'mayo 2025'!H390+'junioo '!H390</f>
        <v>0</v>
      </c>
      <c r="I390" s="51">
        <f t="shared" si="15"/>
        <v>3547837.04</v>
      </c>
      <c r="J390" s="58"/>
    </row>
    <row r="391" spans="1:10" x14ac:dyDescent="0.25">
      <c r="A391" s="53">
        <v>2</v>
      </c>
      <c r="B391" s="54">
        <v>6</v>
      </c>
      <c r="C391" s="54">
        <v>5</v>
      </c>
      <c r="D391" s="54">
        <v>4</v>
      </c>
      <c r="E391" s="55" t="s">
        <v>31</v>
      </c>
      <c r="F391" s="59" t="s">
        <v>313</v>
      </c>
      <c r="G391" s="56">
        <f>+'ABRIL '!G391+'mayo 2025'!G391+'junioo '!G391</f>
        <v>3547837.04</v>
      </c>
      <c r="H391" s="56">
        <f>+'ABRIL '!H391+'mayo 2025'!H391+'junioo '!H391</f>
        <v>0</v>
      </c>
      <c r="I391" s="56">
        <f t="shared" si="15"/>
        <v>3547837.04</v>
      </c>
      <c r="J391" s="57">
        <f>I391/$I$25</f>
        <v>1.1920067389612115E-2</v>
      </c>
    </row>
    <row r="392" spans="1:10" ht="25.5" x14ac:dyDescent="0.25">
      <c r="A392" s="49">
        <v>2</v>
      </c>
      <c r="B392" s="50">
        <v>6</v>
      </c>
      <c r="C392" s="50">
        <v>5</v>
      </c>
      <c r="D392" s="50">
        <v>5</v>
      </c>
      <c r="E392" s="50"/>
      <c r="F392" s="73" t="s">
        <v>314</v>
      </c>
      <c r="G392" s="51">
        <f>+'ABRIL '!G392+'mayo 2025'!G392+'junioo '!G392</f>
        <v>0</v>
      </c>
      <c r="H392" s="51">
        <f>+'ABRIL '!H392+'mayo 2025'!H392+'junioo '!H392</f>
        <v>0</v>
      </c>
      <c r="I392" s="51">
        <f t="shared" si="15"/>
        <v>0</v>
      </c>
      <c r="J392" s="58"/>
    </row>
    <row r="393" spans="1:10" ht="25.5" x14ac:dyDescent="0.25">
      <c r="A393" s="53">
        <v>2</v>
      </c>
      <c r="B393" s="54">
        <v>6</v>
      </c>
      <c r="C393" s="54">
        <v>5</v>
      </c>
      <c r="D393" s="54">
        <v>5</v>
      </c>
      <c r="E393" s="55" t="s">
        <v>31</v>
      </c>
      <c r="F393" s="59" t="s">
        <v>314</v>
      </c>
      <c r="G393" s="56">
        <f>+'ABRIL '!G393+'mayo 2025'!G393+'junioo '!G393</f>
        <v>0</v>
      </c>
      <c r="H393" s="56">
        <f>+'ABRIL '!H393+'mayo 2025'!H393+'junioo '!H393</f>
        <v>0</v>
      </c>
      <c r="I393" s="56">
        <f t="shared" si="15"/>
        <v>0</v>
      </c>
      <c r="J393" s="57">
        <f>I393/$I$25</f>
        <v>0</v>
      </c>
    </row>
    <row r="394" spans="1:10" x14ac:dyDescent="0.25">
      <c r="A394" s="49">
        <v>2</v>
      </c>
      <c r="B394" s="50">
        <v>6</v>
      </c>
      <c r="C394" s="50">
        <v>5</v>
      </c>
      <c r="D394" s="50">
        <v>6</v>
      </c>
      <c r="E394" s="50"/>
      <c r="F394" s="73" t="s">
        <v>315</v>
      </c>
      <c r="G394" s="51">
        <f>+'ABRIL '!G394+'mayo 2025'!G394+'junioo '!G394</f>
        <v>413000</v>
      </c>
      <c r="H394" s="51">
        <f>+'ABRIL '!H394+'mayo 2025'!H394+'junioo '!H394</f>
        <v>0</v>
      </c>
      <c r="I394" s="51">
        <f t="shared" si="15"/>
        <v>413000</v>
      </c>
      <c r="J394" s="58"/>
    </row>
    <row r="395" spans="1:10" x14ac:dyDescent="0.25">
      <c r="A395" s="53">
        <v>2</v>
      </c>
      <c r="B395" s="54">
        <v>6</v>
      </c>
      <c r="C395" s="54">
        <v>5</v>
      </c>
      <c r="D395" s="54">
        <v>6</v>
      </c>
      <c r="E395" s="55" t="s">
        <v>31</v>
      </c>
      <c r="F395" s="59" t="s">
        <v>315</v>
      </c>
      <c r="G395" s="56">
        <f>+'ABRIL '!G395+'mayo 2025'!G395+'junioo '!G395</f>
        <v>413000</v>
      </c>
      <c r="H395" s="56">
        <f>+'ABRIL '!H395+'mayo 2025'!H395+'junioo '!H395</f>
        <v>0</v>
      </c>
      <c r="I395" s="56">
        <f t="shared" si="15"/>
        <v>413000</v>
      </c>
      <c r="J395" s="57">
        <f>I395/$I$25</f>
        <v>1.3876025805034729E-3</v>
      </c>
    </row>
    <row r="396" spans="1:10" x14ac:dyDescent="0.25">
      <c r="A396" s="49">
        <v>2</v>
      </c>
      <c r="B396" s="50">
        <v>6</v>
      </c>
      <c r="C396" s="50">
        <v>5</v>
      </c>
      <c r="D396" s="50">
        <v>7</v>
      </c>
      <c r="E396" s="50"/>
      <c r="F396" s="73" t="s">
        <v>316</v>
      </c>
      <c r="G396" s="51">
        <f>+'ABRIL '!G396+'mayo 2025'!G396+'junioo '!G396</f>
        <v>32104.99</v>
      </c>
      <c r="H396" s="51">
        <f>+'ABRIL '!H396+'mayo 2025'!H396+'junioo '!H396</f>
        <v>0</v>
      </c>
      <c r="I396" s="51">
        <f t="shared" si="15"/>
        <v>32104.99</v>
      </c>
      <c r="J396" s="58"/>
    </row>
    <row r="397" spans="1:10" x14ac:dyDescent="0.25">
      <c r="A397" s="53">
        <v>2</v>
      </c>
      <c r="B397" s="54">
        <v>6</v>
      </c>
      <c r="C397" s="54">
        <v>5</v>
      </c>
      <c r="D397" s="54">
        <v>7</v>
      </c>
      <c r="E397" s="55" t="s">
        <v>31</v>
      </c>
      <c r="F397" s="59" t="s">
        <v>316</v>
      </c>
      <c r="G397" s="56">
        <f>+'ABRIL '!G397+'mayo 2025'!G397+'junioo '!G397</f>
        <v>32104.99</v>
      </c>
      <c r="H397" s="56">
        <f>+'ABRIL '!H397+'mayo 2025'!H397+'junioo '!H397</f>
        <v>0</v>
      </c>
      <c r="I397" s="56">
        <f t="shared" si="15"/>
        <v>32104.99</v>
      </c>
      <c r="J397" s="57">
        <f>I397/$I$25</f>
        <v>1.0786674811389393E-4</v>
      </c>
    </row>
    <row r="398" spans="1:10" x14ac:dyDescent="0.25">
      <c r="A398" s="49">
        <v>2</v>
      </c>
      <c r="B398" s="50">
        <v>6</v>
      </c>
      <c r="C398" s="50">
        <v>5</v>
      </c>
      <c r="D398" s="50">
        <v>8</v>
      </c>
      <c r="E398" s="50"/>
      <c r="F398" s="73" t="s">
        <v>317</v>
      </c>
      <c r="G398" s="51">
        <f>+'ABRIL '!G398+'mayo 2025'!G398+'junioo '!G398</f>
        <v>97704</v>
      </c>
      <c r="H398" s="51">
        <f>+'ABRIL '!H398+'mayo 2025'!H398+'junioo '!H398</f>
        <v>0</v>
      </c>
      <c r="I398" s="51">
        <f t="shared" si="15"/>
        <v>97704</v>
      </c>
      <c r="J398" s="58"/>
    </row>
    <row r="399" spans="1:10" x14ac:dyDescent="0.25">
      <c r="A399" s="53">
        <v>2</v>
      </c>
      <c r="B399" s="54">
        <v>6</v>
      </c>
      <c r="C399" s="54">
        <v>5</v>
      </c>
      <c r="D399" s="54">
        <v>8</v>
      </c>
      <c r="E399" s="55" t="s">
        <v>31</v>
      </c>
      <c r="F399" s="59" t="s">
        <v>317</v>
      </c>
      <c r="G399" s="56">
        <f>+'ABRIL '!G399+'mayo 2025'!G399+'junioo '!G399</f>
        <v>97704</v>
      </c>
      <c r="H399" s="56">
        <f>+'ABRIL '!H399+'mayo 2025'!H399+'junioo '!H399</f>
        <v>0</v>
      </c>
      <c r="I399" s="56">
        <f t="shared" si="15"/>
        <v>97704</v>
      </c>
      <c r="J399" s="57">
        <f>I399/$I$25</f>
        <v>3.2826712475910732E-4</v>
      </c>
    </row>
    <row r="400" spans="1:10" x14ac:dyDescent="0.25">
      <c r="A400" s="60">
        <v>2</v>
      </c>
      <c r="B400" s="47">
        <v>6</v>
      </c>
      <c r="C400" s="47">
        <v>6</v>
      </c>
      <c r="D400" s="47"/>
      <c r="E400" s="47"/>
      <c r="F400" s="72" t="s">
        <v>318</v>
      </c>
      <c r="G400" s="48">
        <f>+'ABRIL '!G400+'mayo 2025'!G400+'junioo '!G400</f>
        <v>0</v>
      </c>
      <c r="H400" s="48">
        <f>+'ABRIL '!H400+'mayo 2025'!H400+'junioo '!H400</f>
        <v>0</v>
      </c>
      <c r="I400" s="48">
        <f t="shared" si="15"/>
        <v>0</v>
      </c>
      <c r="J400" s="45">
        <f>I400/$I$25</f>
        <v>0</v>
      </c>
    </row>
    <row r="401" spans="1:10" x14ac:dyDescent="0.25">
      <c r="A401" s="61">
        <v>2</v>
      </c>
      <c r="B401" s="50">
        <v>6</v>
      </c>
      <c r="C401" s="50">
        <v>6</v>
      </c>
      <c r="D401" s="50">
        <v>1</v>
      </c>
      <c r="E401" s="64"/>
      <c r="F401" s="73" t="s">
        <v>319</v>
      </c>
      <c r="G401" s="51">
        <f>+'ABRIL '!G401+'mayo 2025'!G401+'junioo '!G401</f>
        <v>0</v>
      </c>
      <c r="H401" s="51">
        <f>+'ABRIL '!H401+'mayo 2025'!H401+'junioo '!H401</f>
        <v>0</v>
      </c>
      <c r="I401" s="51">
        <f t="shared" si="15"/>
        <v>0</v>
      </c>
      <c r="J401" s="58"/>
    </row>
    <row r="402" spans="1:10" x14ac:dyDescent="0.25">
      <c r="A402" s="62">
        <v>2</v>
      </c>
      <c r="B402" s="54">
        <v>6</v>
      </c>
      <c r="C402" s="54">
        <v>6</v>
      </c>
      <c r="D402" s="54">
        <v>1</v>
      </c>
      <c r="E402" s="54" t="s">
        <v>320</v>
      </c>
      <c r="F402" s="59" t="s">
        <v>319</v>
      </c>
      <c r="G402" s="56">
        <f>+'ABRIL '!G402+'mayo 2025'!G402+'junioo '!G402</f>
        <v>0</v>
      </c>
      <c r="H402" s="56">
        <f>+'ABRIL '!H402+'mayo 2025'!H402+'junioo '!H402</f>
        <v>0</v>
      </c>
      <c r="I402" s="56">
        <f t="shared" si="15"/>
        <v>0</v>
      </c>
      <c r="J402" s="57">
        <f>I402/$I$25</f>
        <v>0</v>
      </c>
    </row>
    <row r="403" spans="1:10" x14ac:dyDescent="0.25">
      <c r="A403" s="61">
        <v>2</v>
      </c>
      <c r="B403" s="50">
        <v>6</v>
      </c>
      <c r="C403" s="50">
        <v>6</v>
      </c>
      <c r="D403" s="50">
        <v>2</v>
      </c>
      <c r="E403" s="64"/>
      <c r="F403" s="73" t="s">
        <v>321</v>
      </c>
      <c r="G403" s="51">
        <f>+'ABRIL '!G403+'mayo 2025'!G403+'junioo '!G403</f>
        <v>0</v>
      </c>
      <c r="H403" s="51">
        <f>+'ABRIL '!H403+'mayo 2025'!H403+'junioo '!H403</f>
        <v>0</v>
      </c>
      <c r="I403" s="51">
        <f t="shared" si="15"/>
        <v>0</v>
      </c>
      <c r="J403" s="58"/>
    </row>
    <row r="404" spans="1:10" x14ac:dyDescent="0.25">
      <c r="A404" s="62">
        <v>2</v>
      </c>
      <c r="B404" s="54">
        <v>6</v>
      </c>
      <c r="C404" s="54">
        <v>6</v>
      </c>
      <c r="D404" s="54">
        <v>2</v>
      </c>
      <c r="E404" s="54" t="s">
        <v>320</v>
      </c>
      <c r="F404" s="59" t="s">
        <v>321</v>
      </c>
      <c r="G404" s="56">
        <f>+'ABRIL '!G404+'mayo 2025'!G404+'junioo '!G404</f>
        <v>0</v>
      </c>
      <c r="H404" s="56">
        <f>+'ABRIL '!H404+'mayo 2025'!H404+'junioo '!H404</f>
        <v>0</v>
      </c>
      <c r="I404" s="56">
        <f t="shared" si="15"/>
        <v>0</v>
      </c>
      <c r="J404" s="57">
        <f>I404/$I$25</f>
        <v>0</v>
      </c>
    </row>
    <row r="405" spans="1:10" x14ac:dyDescent="0.25">
      <c r="A405" s="46">
        <v>2</v>
      </c>
      <c r="B405" s="47">
        <v>6</v>
      </c>
      <c r="C405" s="47">
        <v>7</v>
      </c>
      <c r="D405" s="47"/>
      <c r="E405" s="65"/>
      <c r="F405" s="72" t="s">
        <v>322</v>
      </c>
      <c r="G405" s="48">
        <f>+'ABRIL '!G405+'mayo 2025'!G405+'junioo '!G405</f>
        <v>0</v>
      </c>
      <c r="H405" s="48">
        <f>+'ABRIL '!H405+'mayo 2025'!H405+'junioo '!H405</f>
        <v>0</v>
      </c>
      <c r="I405" s="48">
        <f t="shared" si="15"/>
        <v>0</v>
      </c>
      <c r="J405" s="45"/>
    </row>
    <row r="406" spans="1:10" x14ac:dyDescent="0.25">
      <c r="A406" s="49">
        <v>2</v>
      </c>
      <c r="B406" s="50">
        <v>6</v>
      </c>
      <c r="C406" s="50">
        <v>7</v>
      </c>
      <c r="D406" s="50">
        <v>1</v>
      </c>
      <c r="E406" s="50"/>
      <c r="F406" s="73" t="s">
        <v>323</v>
      </c>
      <c r="G406" s="51">
        <f>+'ABRIL '!G406+'mayo 2025'!G406+'junioo '!G406</f>
        <v>0</v>
      </c>
      <c r="H406" s="51">
        <f>+'ABRIL '!H406+'mayo 2025'!H406+'junioo '!H406</f>
        <v>0</v>
      </c>
      <c r="I406" s="51">
        <f t="shared" si="15"/>
        <v>0</v>
      </c>
      <c r="J406" s="58"/>
    </row>
    <row r="407" spans="1:10" x14ac:dyDescent="0.25">
      <c r="A407" s="53">
        <v>2</v>
      </c>
      <c r="B407" s="54">
        <v>6</v>
      </c>
      <c r="C407" s="54">
        <v>7</v>
      </c>
      <c r="D407" s="54">
        <v>1</v>
      </c>
      <c r="E407" s="55" t="s">
        <v>31</v>
      </c>
      <c r="F407" s="59" t="s">
        <v>323</v>
      </c>
      <c r="G407" s="56">
        <f>+'ABRIL '!G407+'mayo 2025'!G407+'junioo '!G407</f>
        <v>0</v>
      </c>
      <c r="H407" s="56">
        <f>+'ABRIL '!H407+'mayo 2025'!H407+'junioo '!H407</f>
        <v>0</v>
      </c>
      <c r="I407" s="56">
        <f t="shared" si="15"/>
        <v>0</v>
      </c>
      <c r="J407" s="57">
        <f>I407/$I$25</f>
        <v>0</v>
      </c>
    </row>
    <row r="408" spans="1:10" x14ac:dyDescent="0.25">
      <c r="A408" s="61">
        <v>2</v>
      </c>
      <c r="B408" s="50">
        <v>6</v>
      </c>
      <c r="C408" s="50">
        <v>7</v>
      </c>
      <c r="D408" s="50">
        <v>2</v>
      </c>
      <c r="E408" s="50"/>
      <c r="F408" s="73" t="s">
        <v>324</v>
      </c>
      <c r="G408" s="51">
        <f>+'ABRIL '!G408+'mayo 2025'!G408+'junioo '!G408</f>
        <v>0</v>
      </c>
      <c r="H408" s="51">
        <f>+'ABRIL '!H408+'mayo 2025'!H408+'junioo '!H408</f>
        <v>0</v>
      </c>
      <c r="I408" s="51">
        <f t="shared" si="15"/>
        <v>0</v>
      </c>
      <c r="J408" s="58"/>
    </row>
    <row r="409" spans="1:10" x14ac:dyDescent="0.25">
      <c r="A409" s="62">
        <v>2</v>
      </c>
      <c r="B409" s="54">
        <v>6</v>
      </c>
      <c r="C409" s="54">
        <v>7</v>
      </c>
      <c r="D409" s="54">
        <v>2</v>
      </c>
      <c r="E409" s="55" t="s">
        <v>31</v>
      </c>
      <c r="F409" s="59" t="s">
        <v>324</v>
      </c>
      <c r="G409" s="56">
        <f>+'ABRIL '!G409+'mayo 2025'!G409+'junioo '!G409</f>
        <v>0</v>
      </c>
      <c r="H409" s="56">
        <f>+'ABRIL '!H409+'mayo 2025'!H409+'junioo '!H409</f>
        <v>0</v>
      </c>
      <c r="I409" s="56">
        <f t="shared" ref="I409:I472" si="16">SUM(G409:H409)</f>
        <v>0</v>
      </c>
      <c r="J409" s="57">
        <f>I409/$I$25</f>
        <v>0</v>
      </c>
    </row>
    <row r="410" spans="1:10" x14ac:dyDescent="0.25">
      <c r="A410" s="61">
        <v>2</v>
      </c>
      <c r="B410" s="50">
        <v>6</v>
      </c>
      <c r="C410" s="50">
        <v>7</v>
      </c>
      <c r="D410" s="50">
        <v>3</v>
      </c>
      <c r="E410" s="50"/>
      <c r="F410" s="73" t="s">
        <v>325</v>
      </c>
      <c r="G410" s="51">
        <f>+'ABRIL '!G410+'mayo 2025'!G410+'junioo '!G410</f>
        <v>0</v>
      </c>
      <c r="H410" s="51">
        <f>+'ABRIL '!H410+'mayo 2025'!H410+'junioo '!H410</f>
        <v>0</v>
      </c>
      <c r="I410" s="51">
        <f t="shared" si="16"/>
        <v>0</v>
      </c>
      <c r="J410" s="58"/>
    </row>
    <row r="411" spans="1:10" x14ac:dyDescent="0.25">
      <c r="A411" s="62">
        <v>2</v>
      </c>
      <c r="B411" s="54">
        <v>6</v>
      </c>
      <c r="C411" s="54">
        <v>7</v>
      </c>
      <c r="D411" s="54">
        <v>3</v>
      </c>
      <c r="E411" s="55" t="s">
        <v>31</v>
      </c>
      <c r="F411" s="59" t="s">
        <v>325</v>
      </c>
      <c r="G411" s="56">
        <f>+'ABRIL '!G411+'mayo 2025'!G411+'junioo '!G411</f>
        <v>0</v>
      </c>
      <c r="H411" s="56">
        <f>+'ABRIL '!H411+'mayo 2025'!H411+'junioo '!H411</f>
        <v>0</v>
      </c>
      <c r="I411" s="56">
        <f t="shared" si="16"/>
        <v>0</v>
      </c>
      <c r="J411" s="57">
        <f>I411/$I$25</f>
        <v>0</v>
      </c>
    </row>
    <row r="412" spans="1:10" x14ac:dyDescent="0.25">
      <c r="A412" s="61">
        <v>2</v>
      </c>
      <c r="B412" s="50">
        <v>6</v>
      </c>
      <c r="C412" s="50">
        <v>7</v>
      </c>
      <c r="D412" s="50">
        <v>4</v>
      </c>
      <c r="E412" s="50"/>
      <c r="F412" s="73" t="s">
        <v>326</v>
      </c>
      <c r="G412" s="51">
        <f>+'ABRIL '!G412+'mayo 2025'!G412+'junioo '!G412</f>
        <v>0</v>
      </c>
      <c r="H412" s="51">
        <f>+'ABRIL '!H412+'mayo 2025'!H412+'junioo '!H412</f>
        <v>0</v>
      </c>
      <c r="I412" s="51">
        <f t="shared" si="16"/>
        <v>0</v>
      </c>
      <c r="J412" s="58"/>
    </row>
    <row r="413" spans="1:10" x14ac:dyDescent="0.25">
      <c r="A413" s="62">
        <v>2</v>
      </c>
      <c r="B413" s="54">
        <v>6</v>
      </c>
      <c r="C413" s="54">
        <v>7</v>
      </c>
      <c r="D413" s="54">
        <v>4</v>
      </c>
      <c r="E413" s="55" t="s">
        <v>31</v>
      </c>
      <c r="F413" s="59" t="s">
        <v>326</v>
      </c>
      <c r="G413" s="56">
        <f>+'ABRIL '!G413+'mayo 2025'!G413+'junioo '!G413</f>
        <v>0</v>
      </c>
      <c r="H413" s="56">
        <f>+'ABRIL '!H413+'mayo 2025'!H413+'junioo '!H413</f>
        <v>0</v>
      </c>
      <c r="I413" s="56">
        <f t="shared" si="16"/>
        <v>0</v>
      </c>
      <c r="J413" s="57">
        <f>I413/$I$25</f>
        <v>0</v>
      </c>
    </row>
    <row r="414" spans="1:10" x14ac:dyDescent="0.25">
      <c r="A414" s="61">
        <v>2</v>
      </c>
      <c r="B414" s="50">
        <v>6</v>
      </c>
      <c r="C414" s="50">
        <v>7</v>
      </c>
      <c r="D414" s="50">
        <v>5</v>
      </c>
      <c r="E414" s="50"/>
      <c r="F414" s="73" t="s">
        <v>327</v>
      </c>
      <c r="G414" s="51">
        <f>+'ABRIL '!G414+'mayo 2025'!G414+'junioo '!G414</f>
        <v>0</v>
      </c>
      <c r="H414" s="51">
        <f>+'ABRIL '!H414+'mayo 2025'!H414+'junioo '!H414</f>
        <v>0</v>
      </c>
      <c r="I414" s="51">
        <f t="shared" si="16"/>
        <v>0</v>
      </c>
      <c r="J414" s="58"/>
    </row>
    <row r="415" spans="1:10" x14ac:dyDescent="0.25">
      <c r="A415" s="62">
        <v>2</v>
      </c>
      <c r="B415" s="54">
        <v>6</v>
      </c>
      <c r="C415" s="54">
        <v>7</v>
      </c>
      <c r="D415" s="54">
        <v>5</v>
      </c>
      <c r="E415" s="55" t="s">
        <v>31</v>
      </c>
      <c r="F415" s="59" t="s">
        <v>327</v>
      </c>
      <c r="G415" s="56">
        <f>+'ABRIL '!G415+'mayo 2025'!G415+'junioo '!G415</f>
        <v>0</v>
      </c>
      <c r="H415" s="56">
        <f>+'ABRIL '!H415+'mayo 2025'!H415+'junioo '!H415</f>
        <v>0</v>
      </c>
      <c r="I415" s="56">
        <f t="shared" si="16"/>
        <v>0</v>
      </c>
      <c r="J415" s="57">
        <f>I415/$I$25</f>
        <v>0</v>
      </c>
    </row>
    <row r="416" spans="1:10" x14ac:dyDescent="0.25">
      <c r="A416" s="61">
        <v>2</v>
      </c>
      <c r="B416" s="50">
        <v>6</v>
      </c>
      <c r="C416" s="50">
        <v>7</v>
      </c>
      <c r="D416" s="50">
        <v>6</v>
      </c>
      <c r="E416" s="50"/>
      <c r="F416" s="73" t="s">
        <v>328</v>
      </c>
      <c r="G416" s="51">
        <f>+'ABRIL '!G416+'mayo 2025'!G416+'junioo '!G416</f>
        <v>0</v>
      </c>
      <c r="H416" s="51">
        <f>+'ABRIL '!H416+'mayo 2025'!H416+'junioo '!H416</f>
        <v>0</v>
      </c>
      <c r="I416" s="51">
        <f t="shared" si="16"/>
        <v>0</v>
      </c>
      <c r="J416" s="58"/>
    </row>
    <row r="417" spans="1:10" x14ac:dyDescent="0.25">
      <c r="A417" s="62">
        <v>2</v>
      </c>
      <c r="B417" s="54">
        <v>6</v>
      </c>
      <c r="C417" s="54">
        <v>7</v>
      </c>
      <c r="D417" s="54">
        <v>6</v>
      </c>
      <c r="E417" s="55" t="s">
        <v>31</v>
      </c>
      <c r="F417" s="59" t="s">
        <v>328</v>
      </c>
      <c r="G417" s="56">
        <f>+'ABRIL '!G417+'mayo 2025'!G417+'junioo '!G417</f>
        <v>0</v>
      </c>
      <c r="H417" s="56">
        <f>+'ABRIL '!H417+'mayo 2025'!H417+'junioo '!H417</f>
        <v>0</v>
      </c>
      <c r="I417" s="56">
        <f t="shared" si="16"/>
        <v>0</v>
      </c>
      <c r="J417" s="57">
        <f>I417/$I$25</f>
        <v>0</v>
      </c>
    </row>
    <row r="418" spans="1:10" x14ac:dyDescent="0.25">
      <c r="A418" s="61">
        <v>2</v>
      </c>
      <c r="B418" s="50">
        <v>6</v>
      </c>
      <c r="C418" s="50">
        <v>7</v>
      </c>
      <c r="D418" s="50">
        <v>7</v>
      </c>
      <c r="E418" s="50"/>
      <c r="F418" s="73" t="s">
        <v>329</v>
      </c>
      <c r="G418" s="51">
        <f>+'ABRIL '!G418+'mayo 2025'!G418+'junioo '!G418</f>
        <v>0</v>
      </c>
      <c r="H418" s="51">
        <f>+'ABRIL '!H418+'mayo 2025'!H418+'junioo '!H418</f>
        <v>0</v>
      </c>
      <c r="I418" s="51">
        <f t="shared" si="16"/>
        <v>0</v>
      </c>
      <c r="J418" s="58"/>
    </row>
    <row r="419" spans="1:10" x14ac:dyDescent="0.25">
      <c r="A419" s="62">
        <v>2</v>
      </c>
      <c r="B419" s="54">
        <v>6</v>
      </c>
      <c r="C419" s="54">
        <v>7</v>
      </c>
      <c r="D419" s="54">
        <v>7</v>
      </c>
      <c r="E419" s="55" t="s">
        <v>31</v>
      </c>
      <c r="F419" s="59" t="s">
        <v>329</v>
      </c>
      <c r="G419" s="56">
        <f>+'ABRIL '!G419+'mayo 2025'!G419+'junioo '!G419</f>
        <v>0</v>
      </c>
      <c r="H419" s="56">
        <f>+'ABRIL '!H419+'mayo 2025'!H419+'junioo '!H419</f>
        <v>0</v>
      </c>
      <c r="I419" s="56">
        <f t="shared" si="16"/>
        <v>0</v>
      </c>
      <c r="J419" s="57">
        <f>I419/$I$25</f>
        <v>0</v>
      </c>
    </row>
    <row r="420" spans="1:10" ht="25.5" x14ac:dyDescent="0.25">
      <c r="A420" s="61">
        <v>2</v>
      </c>
      <c r="B420" s="50">
        <v>6</v>
      </c>
      <c r="C420" s="50">
        <v>7</v>
      </c>
      <c r="D420" s="50">
        <v>8</v>
      </c>
      <c r="E420" s="50"/>
      <c r="F420" s="73" t="s">
        <v>330</v>
      </c>
      <c r="G420" s="51">
        <f>+'ABRIL '!G420+'mayo 2025'!G420+'junioo '!G420</f>
        <v>0</v>
      </c>
      <c r="H420" s="51">
        <f>+'ABRIL '!H420+'mayo 2025'!H420+'junioo '!H420</f>
        <v>0</v>
      </c>
      <c r="I420" s="51">
        <f t="shared" si="16"/>
        <v>0</v>
      </c>
      <c r="J420" s="58"/>
    </row>
    <row r="421" spans="1:10" ht="25.5" x14ac:dyDescent="0.25">
      <c r="A421" s="62">
        <v>2</v>
      </c>
      <c r="B421" s="54">
        <v>6</v>
      </c>
      <c r="C421" s="54">
        <v>7</v>
      </c>
      <c r="D421" s="54">
        <v>8</v>
      </c>
      <c r="E421" s="55" t="s">
        <v>31</v>
      </c>
      <c r="F421" s="59" t="s">
        <v>330</v>
      </c>
      <c r="G421" s="56">
        <f>+'ABRIL '!G421+'mayo 2025'!G421+'junioo '!G421</f>
        <v>0</v>
      </c>
      <c r="H421" s="56">
        <f>+'ABRIL '!H421+'mayo 2025'!H421+'junioo '!H421</f>
        <v>0</v>
      </c>
      <c r="I421" s="56">
        <f t="shared" si="16"/>
        <v>0</v>
      </c>
      <c r="J421" s="57">
        <f>I421/$I$25</f>
        <v>0</v>
      </c>
    </row>
    <row r="422" spans="1:10" ht="25.5" x14ac:dyDescent="0.25">
      <c r="A422" s="61">
        <v>2</v>
      </c>
      <c r="B422" s="50">
        <v>6</v>
      </c>
      <c r="C422" s="50">
        <v>7</v>
      </c>
      <c r="D422" s="50">
        <v>9</v>
      </c>
      <c r="E422" s="50"/>
      <c r="F422" s="73" t="s">
        <v>331</v>
      </c>
      <c r="G422" s="51">
        <f>+'ABRIL '!G422+'mayo 2025'!G422+'junioo '!G422</f>
        <v>0</v>
      </c>
      <c r="H422" s="51">
        <f>+'ABRIL '!H422+'mayo 2025'!H422+'junioo '!H422</f>
        <v>0</v>
      </c>
      <c r="I422" s="51">
        <f t="shared" si="16"/>
        <v>0</v>
      </c>
      <c r="J422" s="58"/>
    </row>
    <row r="423" spans="1:10" ht="25.5" x14ac:dyDescent="0.25">
      <c r="A423" s="62">
        <v>2</v>
      </c>
      <c r="B423" s="54">
        <v>6</v>
      </c>
      <c r="C423" s="54">
        <v>7</v>
      </c>
      <c r="D423" s="54">
        <v>9</v>
      </c>
      <c r="E423" s="55" t="s">
        <v>31</v>
      </c>
      <c r="F423" s="59" t="s">
        <v>331</v>
      </c>
      <c r="G423" s="56">
        <f>+'ABRIL '!G423+'mayo 2025'!G423+'junioo '!G423</f>
        <v>0</v>
      </c>
      <c r="H423" s="56">
        <f>+'ABRIL '!H423+'mayo 2025'!H423+'junioo '!H423</f>
        <v>0</v>
      </c>
      <c r="I423" s="56">
        <f t="shared" si="16"/>
        <v>0</v>
      </c>
      <c r="J423" s="57">
        <f>I423/$I$25</f>
        <v>0</v>
      </c>
    </row>
    <row r="424" spans="1:10" x14ac:dyDescent="0.25">
      <c r="A424" s="60">
        <v>2</v>
      </c>
      <c r="B424" s="47">
        <v>6</v>
      </c>
      <c r="C424" s="47">
        <v>8</v>
      </c>
      <c r="D424" s="47"/>
      <c r="E424" s="47"/>
      <c r="F424" s="72" t="s">
        <v>332</v>
      </c>
      <c r="G424" s="48">
        <f>+'ABRIL '!G424+'mayo 2025'!G424+'junioo '!G424</f>
        <v>0</v>
      </c>
      <c r="H424" s="48">
        <f>+'ABRIL '!H424+'mayo 2025'!H424+'junioo '!H424</f>
        <v>0</v>
      </c>
      <c r="I424" s="48">
        <f t="shared" si="16"/>
        <v>0</v>
      </c>
      <c r="J424" s="45"/>
    </row>
    <row r="425" spans="1:10" x14ac:dyDescent="0.25">
      <c r="A425" s="61">
        <v>2</v>
      </c>
      <c r="B425" s="50">
        <v>6</v>
      </c>
      <c r="C425" s="50">
        <v>8</v>
      </c>
      <c r="D425" s="50">
        <v>1</v>
      </c>
      <c r="E425" s="50"/>
      <c r="F425" s="73" t="s">
        <v>333</v>
      </c>
      <c r="G425" s="51">
        <f>+'ABRIL '!G425+'mayo 2025'!G425+'junioo '!G425</f>
        <v>0</v>
      </c>
      <c r="H425" s="51">
        <f>+'ABRIL '!H425+'mayo 2025'!H425+'junioo '!H425</f>
        <v>0</v>
      </c>
      <c r="I425" s="51">
        <f t="shared" si="16"/>
        <v>0</v>
      </c>
      <c r="J425" s="58"/>
    </row>
    <row r="426" spans="1:10" x14ac:dyDescent="0.25">
      <c r="A426" s="62">
        <v>2</v>
      </c>
      <c r="B426" s="54">
        <v>6</v>
      </c>
      <c r="C426" s="54">
        <v>8</v>
      </c>
      <c r="D426" s="54">
        <v>1</v>
      </c>
      <c r="E426" s="55" t="s">
        <v>31</v>
      </c>
      <c r="F426" s="59" t="s">
        <v>333</v>
      </c>
      <c r="G426" s="56">
        <f>+'ABRIL '!G426+'mayo 2025'!G426+'junioo '!G426</f>
        <v>0</v>
      </c>
      <c r="H426" s="56">
        <f>+'ABRIL '!H426+'mayo 2025'!H426+'junioo '!H426</f>
        <v>0</v>
      </c>
      <c r="I426" s="56">
        <f t="shared" si="16"/>
        <v>0</v>
      </c>
      <c r="J426" s="57">
        <f>I426/$I$25</f>
        <v>0</v>
      </c>
    </row>
    <row r="427" spans="1:10" x14ac:dyDescent="0.25">
      <c r="A427" s="61">
        <v>2</v>
      </c>
      <c r="B427" s="50">
        <v>6</v>
      </c>
      <c r="C427" s="50">
        <v>8</v>
      </c>
      <c r="D427" s="50">
        <v>2</v>
      </c>
      <c r="E427" s="50"/>
      <c r="F427" s="73" t="s">
        <v>334</v>
      </c>
      <c r="G427" s="51">
        <f>+'ABRIL '!G427+'mayo 2025'!G427+'junioo '!G427</f>
        <v>0</v>
      </c>
      <c r="H427" s="51">
        <f>+'ABRIL '!H427+'mayo 2025'!H427+'junioo '!H427</f>
        <v>0</v>
      </c>
      <c r="I427" s="51">
        <f t="shared" si="16"/>
        <v>0</v>
      </c>
      <c r="J427" s="58"/>
    </row>
    <row r="428" spans="1:10" x14ac:dyDescent="0.25">
      <c r="A428" s="62">
        <v>2</v>
      </c>
      <c r="B428" s="54">
        <v>6</v>
      </c>
      <c r="C428" s="54">
        <v>8</v>
      </c>
      <c r="D428" s="54">
        <v>2</v>
      </c>
      <c r="E428" s="55" t="s">
        <v>31</v>
      </c>
      <c r="F428" s="59" t="s">
        <v>334</v>
      </c>
      <c r="G428" s="56">
        <f>+'ABRIL '!G428+'mayo 2025'!G428+'junioo '!G428</f>
        <v>0</v>
      </c>
      <c r="H428" s="56">
        <f>+'ABRIL '!H428+'mayo 2025'!H428+'junioo '!H428</f>
        <v>0</v>
      </c>
      <c r="I428" s="56">
        <f t="shared" si="16"/>
        <v>0</v>
      </c>
      <c r="J428" s="57">
        <f>I428/$I$25</f>
        <v>0</v>
      </c>
    </row>
    <row r="429" spans="1:10" x14ac:dyDescent="0.25">
      <c r="A429" s="61">
        <v>2</v>
      </c>
      <c r="B429" s="50">
        <v>6</v>
      </c>
      <c r="C429" s="50">
        <v>8</v>
      </c>
      <c r="D429" s="50">
        <v>3</v>
      </c>
      <c r="E429" s="50"/>
      <c r="F429" s="73" t="s">
        <v>335</v>
      </c>
      <c r="G429" s="51">
        <f>+'ABRIL '!G429+'mayo 2025'!G429+'junioo '!G429</f>
        <v>0</v>
      </c>
      <c r="H429" s="51">
        <f>+'ABRIL '!H429+'mayo 2025'!H429+'junioo '!H429</f>
        <v>0</v>
      </c>
      <c r="I429" s="51">
        <f t="shared" si="16"/>
        <v>0</v>
      </c>
      <c r="J429" s="58"/>
    </row>
    <row r="430" spans="1:10" x14ac:dyDescent="0.25">
      <c r="A430" s="62">
        <v>2</v>
      </c>
      <c r="B430" s="54">
        <v>6</v>
      </c>
      <c r="C430" s="54">
        <v>8</v>
      </c>
      <c r="D430" s="54">
        <v>3</v>
      </c>
      <c r="E430" s="55" t="s">
        <v>31</v>
      </c>
      <c r="F430" s="59" t="s">
        <v>336</v>
      </c>
      <c r="G430" s="56">
        <f>+'ABRIL '!G430+'mayo 2025'!G430+'junioo '!G430</f>
        <v>0</v>
      </c>
      <c r="H430" s="56">
        <f>+'ABRIL '!H430+'mayo 2025'!H430+'junioo '!H430</f>
        <v>0</v>
      </c>
      <c r="I430" s="56">
        <f t="shared" si="16"/>
        <v>0</v>
      </c>
      <c r="J430" s="57">
        <f>I430/$I$25</f>
        <v>0</v>
      </c>
    </row>
    <row r="431" spans="1:10" x14ac:dyDescent="0.25">
      <c r="A431" s="62">
        <v>2</v>
      </c>
      <c r="B431" s="54">
        <v>6</v>
      </c>
      <c r="C431" s="54">
        <v>8</v>
      </c>
      <c r="D431" s="54">
        <v>3</v>
      </c>
      <c r="E431" s="55" t="s">
        <v>33</v>
      </c>
      <c r="F431" s="59" t="s">
        <v>337</v>
      </c>
      <c r="G431" s="56">
        <f>+'ABRIL '!G431+'mayo 2025'!G431+'junioo '!G431</f>
        <v>0</v>
      </c>
      <c r="H431" s="56">
        <f>+'ABRIL '!H431+'mayo 2025'!H431+'junioo '!H431</f>
        <v>0</v>
      </c>
      <c r="I431" s="56">
        <f t="shared" si="16"/>
        <v>0</v>
      </c>
      <c r="J431" s="57">
        <f>I431/$I$25</f>
        <v>0</v>
      </c>
    </row>
    <row r="432" spans="1:10" ht="25.5" x14ac:dyDescent="0.25">
      <c r="A432" s="61">
        <v>2</v>
      </c>
      <c r="B432" s="50">
        <v>6</v>
      </c>
      <c r="C432" s="50">
        <v>8</v>
      </c>
      <c r="D432" s="50">
        <v>4</v>
      </c>
      <c r="E432" s="50"/>
      <c r="F432" s="73" t="s">
        <v>338</v>
      </c>
      <c r="G432" s="51">
        <f>+'ABRIL '!G432+'mayo 2025'!G432+'junioo '!G432</f>
        <v>0</v>
      </c>
      <c r="H432" s="51">
        <f>+'ABRIL '!H432+'mayo 2025'!H432+'junioo '!H432</f>
        <v>0</v>
      </c>
      <c r="I432" s="51">
        <f t="shared" si="16"/>
        <v>0</v>
      </c>
      <c r="J432" s="58"/>
    </row>
    <row r="433" spans="1:10" ht="25.5" x14ac:dyDescent="0.25">
      <c r="A433" s="62">
        <v>2</v>
      </c>
      <c r="B433" s="54">
        <v>6</v>
      </c>
      <c r="C433" s="54">
        <v>8</v>
      </c>
      <c r="D433" s="54">
        <v>4</v>
      </c>
      <c r="E433" s="55" t="s">
        <v>31</v>
      </c>
      <c r="F433" s="59" t="s">
        <v>338</v>
      </c>
      <c r="G433" s="56">
        <f>+'ABRIL '!G433+'mayo 2025'!G433+'junioo '!G433</f>
        <v>0</v>
      </c>
      <c r="H433" s="56">
        <f>+'ABRIL '!H433+'mayo 2025'!H433+'junioo '!H433</f>
        <v>0</v>
      </c>
      <c r="I433" s="56">
        <f t="shared" si="16"/>
        <v>0</v>
      </c>
      <c r="J433" s="57">
        <f>I433/$I$25</f>
        <v>0</v>
      </c>
    </row>
    <row r="434" spans="1:10" x14ac:dyDescent="0.25">
      <c r="A434" s="61">
        <v>2</v>
      </c>
      <c r="B434" s="50">
        <v>6</v>
      </c>
      <c r="C434" s="50">
        <v>8</v>
      </c>
      <c r="D434" s="50">
        <v>5</v>
      </c>
      <c r="E434" s="50"/>
      <c r="F434" s="73" t="s">
        <v>339</v>
      </c>
      <c r="G434" s="51">
        <f>+'ABRIL '!G434+'mayo 2025'!G434+'junioo '!G434</f>
        <v>0</v>
      </c>
      <c r="H434" s="51">
        <f>+'ABRIL '!H434+'mayo 2025'!H434+'junioo '!H434</f>
        <v>0</v>
      </c>
      <c r="I434" s="51">
        <f t="shared" si="16"/>
        <v>0</v>
      </c>
      <c r="J434" s="58"/>
    </row>
    <row r="435" spans="1:10" x14ac:dyDescent="0.25">
      <c r="A435" s="62">
        <v>2</v>
      </c>
      <c r="B435" s="54">
        <v>6</v>
      </c>
      <c r="C435" s="54">
        <v>8</v>
      </c>
      <c r="D435" s="54">
        <v>5</v>
      </c>
      <c r="E435" s="55" t="s">
        <v>31</v>
      </c>
      <c r="F435" s="59" t="s">
        <v>339</v>
      </c>
      <c r="G435" s="56">
        <f>+'ABRIL '!G435+'mayo 2025'!G435+'junioo '!G435</f>
        <v>0</v>
      </c>
      <c r="H435" s="56">
        <f>+'ABRIL '!H435+'mayo 2025'!H435+'junioo '!H435</f>
        <v>0</v>
      </c>
      <c r="I435" s="56">
        <f t="shared" si="16"/>
        <v>0</v>
      </c>
      <c r="J435" s="57">
        <f>I435/$I$25</f>
        <v>0</v>
      </c>
    </row>
    <row r="436" spans="1:10" x14ac:dyDescent="0.25">
      <c r="A436" s="61">
        <v>2</v>
      </c>
      <c r="B436" s="50">
        <v>6</v>
      </c>
      <c r="C436" s="50">
        <v>8</v>
      </c>
      <c r="D436" s="50">
        <v>6</v>
      </c>
      <c r="E436" s="50"/>
      <c r="F436" s="73" t="s">
        <v>340</v>
      </c>
      <c r="G436" s="51">
        <f>+'ABRIL '!G436+'mayo 2025'!G436+'junioo '!G436</f>
        <v>0</v>
      </c>
      <c r="H436" s="51">
        <f>+'ABRIL '!H436+'mayo 2025'!H436+'junioo '!H436</f>
        <v>0</v>
      </c>
      <c r="I436" s="51">
        <f t="shared" si="16"/>
        <v>0</v>
      </c>
      <c r="J436" s="58"/>
    </row>
    <row r="437" spans="1:10" x14ac:dyDescent="0.25">
      <c r="A437" s="62">
        <v>2</v>
      </c>
      <c r="B437" s="54">
        <v>6</v>
      </c>
      <c r="C437" s="54">
        <v>8</v>
      </c>
      <c r="D437" s="54">
        <v>6</v>
      </c>
      <c r="E437" s="55" t="s">
        <v>31</v>
      </c>
      <c r="F437" s="59" t="s">
        <v>340</v>
      </c>
      <c r="G437" s="56">
        <f>+'ABRIL '!G437+'mayo 2025'!G437+'junioo '!G437</f>
        <v>0</v>
      </c>
      <c r="H437" s="56">
        <f>+'ABRIL '!H437+'mayo 2025'!H437+'junioo '!H437</f>
        <v>0</v>
      </c>
      <c r="I437" s="56">
        <f t="shared" si="16"/>
        <v>0</v>
      </c>
      <c r="J437" s="57">
        <f>I437/$I$25</f>
        <v>0</v>
      </c>
    </row>
    <row r="438" spans="1:10" x14ac:dyDescent="0.25">
      <c r="A438" s="61">
        <v>2</v>
      </c>
      <c r="B438" s="50">
        <v>6</v>
      </c>
      <c r="C438" s="50">
        <v>8</v>
      </c>
      <c r="D438" s="50">
        <v>7</v>
      </c>
      <c r="E438" s="50"/>
      <c r="F438" s="73" t="s">
        <v>341</v>
      </c>
      <c r="G438" s="51">
        <f>+'ABRIL '!G438+'mayo 2025'!G438+'junioo '!G438</f>
        <v>0</v>
      </c>
      <c r="H438" s="51">
        <f>+'ABRIL '!H438+'mayo 2025'!H438+'junioo '!H438</f>
        <v>0</v>
      </c>
      <c r="I438" s="51">
        <f t="shared" si="16"/>
        <v>0</v>
      </c>
      <c r="J438" s="58"/>
    </row>
    <row r="439" spans="1:10" x14ac:dyDescent="0.25">
      <c r="A439" s="62">
        <v>2</v>
      </c>
      <c r="B439" s="54">
        <v>6</v>
      </c>
      <c r="C439" s="54">
        <v>8</v>
      </c>
      <c r="D439" s="54">
        <v>7</v>
      </c>
      <c r="E439" s="55" t="s">
        <v>31</v>
      </c>
      <c r="F439" s="59" t="s">
        <v>341</v>
      </c>
      <c r="G439" s="56">
        <f>+'ABRIL '!G439+'mayo 2025'!G439+'junioo '!G439</f>
        <v>0</v>
      </c>
      <c r="H439" s="56">
        <f>+'ABRIL '!H439+'mayo 2025'!H439+'junioo '!H439</f>
        <v>0</v>
      </c>
      <c r="I439" s="56">
        <f t="shared" si="16"/>
        <v>0</v>
      </c>
      <c r="J439" s="57">
        <f>I439/$I$25</f>
        <v>0</v>
      </c>
    </row>
    <row r="440" spans="1:10" ht="25.5" x14ac:dyDescent="0.25">
      <c r="A440" s="49">
        <v>2</v>
      </c>
      <c r="B440" s="50">
        <v>6</v>
      </c>
      <c r="C440" s="50">
        <v>8</v>
      </c>
      <c r="D440" s="50">
        <v>8</v>
      </c>
      <c r="E440" s="50"/>
      <c r="F440" s="73" t="s">
        <v>342</v>
      </c>
      <c r="G440" s="51">
        <f>+'ABRIL '!G440+'mayo 2025'!G440+'junioo '!G440</f>
        <v>0</v>
      </c>
      <c r="H440" s="51">
        <f>+'ABRIL '!H440+'mayo 2025'!H440+'junioo '!H440</f>
        <v>0</v>
      </c>
      <c r="I440" s="51">
        <f t="shared" si="16"/>
        <v>0</v>
      </c>
      <c r="J440" s="58"/>
    </row>
    <row r="441" spans="1:10" x14ac:dyDescent="0.25">
      <c r="A441" s="62">
        <v>2</v>
      </c>
      <c r="B441" s="54">
        <v>6</v>
      </c>
      <c r="C441" s="54">
        <v>8</v>
      </c>
      <c r="D441" s="54">
        <v>8</v>
      </c>
      <c r="E441" s="54" t="s">
        <v>343</v>
      </c>
      <c r="F441" s="59" t="s">
        <v>344</v>
      </c>
      <c r="G441" s="56">
        <f>+'ABRIL '!G441+'mayo 2025'!G441+'junioo '!G441</f>
        <v>0</v>
      </c>
      <c r="H441" s="56">
        <f>+'ABRIL '!H441+'mayo 2025'!H441+'junioo '!H441</f>
        <v>0</v>
      </c>
      <c r="I441" s="56">
        <f t="shared" si="16"/>
        <v>0</v>
      </c>
      <c r="J441" s="57">
        <f>I441/$I$25</f>
        <v>0</v>
      </c>
    </row>
    <row r="442" spans="1:10" x14ac:dyDescent="0.25">
      <c r="A442" s="62">
        <v>2</v>
      </c>
      <c r="B442" s="54">
        <v>6</v>
      </c>
      <c r="C442" s="54">
        <v>8</v>
      </c>
      <c r="D442" s="54">
        <v>8</v>
      </c>
      <c r="E442" s="54" t="s">
        <v>345</v>
      </c>
      <c r="F442" s="59" t="s">
        <v>346</v>
      </c>
      <c r="G442" s="56">
        <f>+'ABRIL '!G442+'mayo 2025'!G442+'junioo '!G442</f>
        <v>0</v>
      </c>
      <c r="H442" s="56">
        <f>+'ABRIL '!H442+'mayo 2025'!H442+'junioo '!H442</f>
        <v>0</v>
      </c>
      <c r="I442" s="56">
        <f t="shared" si="16"/>
        <v>0</v>
      </c>
      <c r="J442" s="57">
        <f>I442/$I$25</f>
        <v>0</v>
      </c>
    </row>
    <row r="443" spans="1:10" x14ac:dyDescent="0.25">
      <c r="A443" s="62">
        <v>2</v>
      </c>
      <c r="B443" s="54">
        <v>6</v>
      </c>
      <c r="C443" s="54">
        <v>8</v>
      </c>
      <c r="D443" s="54">
        <v>8</v>
      </c>
      <c r="E443" s="54" t="s">
        <v>347</v>
      </c>
      <c r="F443" s="59" t="s">
        <v>348</v>
      </c>
      <c r="G443" s="56">
        <f>+'ABRIL '!G443+'mayo 2025'!G443+'junioo '!G443</f>
        <v>0</v>
      </c>
      <c r="H443" s="56">
        <f>+'ABRIL '!H443+'mayo 2025'!H443+'junioo '!H443</f>
        <v>0</v>
      </c>
      <c r="I443" s="56">
        <f t="shared" si="16"/>
        <v>0</v>
      </c>
      <c r="J443" s="57">
        <f>I443/$I$25</f>
        <v>0</v>
      </c>
    </row>
    <row r="444" spans="1:10" x14ac:dyDescent="0.25">
      <c r="A444" s="61">
        <v>2</v>
      </c>
      <c r="B444" s="50">
        <v>6</v>
      </c>
      <c r="C444" s="50">
        <v>8</v>
      </c>
      <c r="D444" s="50">
        <v>9</v>
      </c>
      <c r="E444" s="50"/>
      <c r="F444" s="73" t="s">
        <v>349</v>
      </c>
      <c r="G444" s="51">
        <f>+'ABRIL '!G444+'mayo 2025'!G444+'junioo '!G444</f>
        <v>0</v>
      </c>
      <c r="H444" s="51">
        <f>+'ABRIL '!H444+'mayo 2025'!H444+'junioo '!H444</f>
        <v>0</v>
      </c>
      <c r="I444" s="51">
        <f t="shared" si="16"/>
        <v>0</v>
      </c>
      <c r="J444" s="58"/>
    </row>
    <row r="445" spans="1:10" x14ac:dyDescent="0.25">
      <c r="A445" s="62">
        <v>2</v>
      </c>
      <c r="B445" s="54">
        <v>6</v>
      </c>
      <c r="C445" s="54">
        <v>8</v>
      </c>
      <c r="D445" s="54">
        <v>9</v>
      </c>
      <c r="E445" s="54" t="s">
        <v>320</v>
      </c>
      <c r="F445" s="59" t="s">
        <v>349</v>
      </c>
      <c r="G445" s="56">
        <f>+'ABRIL '!G445+'mayo 2025'!G445+'junioo '!G445</f>
        <v>0</v>
      </c>
      <c r="H445" s="56">
        <f>+'ABRIL '!H445+'mayo 2025'!H445+'junioo '!H445</f>
        <v>0</v>
      </c>
      <c r="I445" s="56">
        <f t="shared" si="16"/>
        <v>0</v>
      </c>
      <c r="J445" s="57">
        <f>I445/$I$25</f>
        <v>0</v>
      </c>
    </row>
    <row r="446" spans="1:10" x14ac:dyDescent="0.25">
      <c r="A446" s="46">
        <v>2</v>
      </c>
      <c r="B446" s="47">
        <v>6</v>
      </c>
      <c r="C446" s="47">
        <v>9</v>
      </c>
      <c r="D446" s="47"/>
      <c r="E446" s="65"/>
      <c r="F446" s="72" t="s">
        <v>350</v>
      </c>
      <c r="G446" s="48">
        <f>+'ABRIL '!G446+'mayo 2025'!G446+'junioo '!G446</f>
        <v>345560.94</v>
      </c>
      <c r="H446" s="48">
        <f>+'ABRIL '!H446+'mayo 2025'!H446+'junioo '!H446</f>
        <v>0</v>
      </c>
      <c r="I446" s="48">
        <f t="shared" si="16"/>
        <v>345560.94</v>
      </c>
      <c r="J446" s="45"/>
    </row>
    <row r="447" spans="1:10" x14ac:dyDescent="0.25">
      <c r="A447" s="61">
        <v>2</v>
      </c>
      <c r="B447" s="50">
        <v>6</v>
      </c>
      <c r="C447" s="50">
        <v>9</v>
      </c>
      <c r="D447" s="50">
        <v>1</v>
      </c>
      <c r="E447" s="50"/>
      <c r="F447" s="73" t="s">
        <v>351</v>
      </c>
      <c r="G447" s="51">
        <f>+'ABRIL '!G447+'mayo 2025'!G447+'junioo '!G447</f>
        <v>0</v>
      </c>
      <c r="H447" s="51">
        <f>+'ABRIL '!H447+'mayo 2025'!H447+'junioo '!H447</f>
        <v>0</v>
      </c>
      <c r="I447" s="51">
        <f t="shared" si="16"/>
        <v>0</v>
      </c>
      <c r="J447" s="51"/>
    </row>
    <row r="448" spans="1:10" x14ac:dyDescent="0.25">
      <c r="A448" s="75">
        <v>2</v>
      </c>
      <c r="B448" s="76">
        <v>6</v>
      </c>
      <c r="C448" s="76">
        <v>9</v>
      </c>
      <c r="D448" s="76">
        <v>1</v>
      </c>
      <c r="E448" s="76" t="s">
        <v>31</v>
      </c>
      <c r="F448" s="77" t="s">
        <v>351</v>
      </c>
      <c r="G448" s="78">
        <f>+'ABRIL '!G448+'mayo 2025'!G448+'junioo '!G448</f>
        <v>0</v>
      </c>
      <c r="H448" s="78">
        <f>+'ABRIL '!H448+'mayo 2025'!H448+'junioo '!H448</f>
        <v>0</v>
      </c>
      <c r="I448" s="78">
        <f t="shared" si="16"/>
        <v>0</v>
      </c>
      <c r="J448" s="57">
        <f>I448/$I$25</f>
        <v>0</v>
      </c>
    </row>
    <row r="449" spans="1:10" x14ac:dyDescent="0.25">
      <c r="A449" s="75">
        <v>2</v>
      </c>
      <c r="B449" s="76">
        <v>6</v>
      </c>
      <c r="C449" s="76">
        <v>9</v>
      </c>
      <c r="D449" s="76">
        <v>1</v>
      </c>
      <c r="E449" s="76" t="s">
        <v>33</v>
      </c>
      <c r="F449" s="77" t="s">
        <v>352</v>
      </c>
      <c r="G449" s="78">
        <f>+'ABRIL '!G449+'mayo 2025'!G449+'junioo '!G449</f>
        <v>0</v>
      </c>
      <c r="H449" s="78">
        <f>+'ABRIL '!H449+'mayo 2025'!H449+'junioo '!H449</f>
        <v>0</v>
      </c>
      <c r="I449" s="78">
        <f t="shared" si="16"/>
        <v>0</v>
      </c>
      <c r="J449" s="57">
        <f>I449/$I$25</f>
        <v>0</v>
      </c>
    </row>
    <row r="450" spans="1:10" x14ac:dyDescent="0.25">
      <c r="A450" s="61">
        <v>2</v>
      </c>
      <c r="B450" s="50">
        <v>6</v>
      </c>
      <c r="C450" s="50">
        <v>9</v>
      </c>
      <c r="D450" s="50">
        <v>2</v>
      </c>
      <c r="E450" s="50"/>
      <c r="F450" s="73" t="s">
        <v>353</v>
      </c>
      <c r="G450" s="51">
        <f>+'ABRIL '!G450+'mayo 2025'!G450+'junioo '!G450</f>
        <v>0</v>
      </c>
      <c r="H450" s="51">
        <f>+'ABRIL '!H450+'mayo 2025'!H450+'junioo '!H450</f>
        <v>0</v>
      </c>
      <c r="I450" s="51">
        <f t="shared" si="16"/>
        <v>0</v>
      </c>
      <c r="J450" s="58"/>
    </row>
    <row r="451" spans="1:10" x14ac:dyDescent="0.25">
      <c r="A451" s="62">
        <v>2</v>
      </c>
      <c r="B451" s="54">
        <v>6</v>
      </c>
      <c r="C451" s="54">
        <v>9</v>
      </c>
      <c r="D451" s="54">
        <v>2</v>
      </c>
      <c r="E451" s="55" t="s">
        <v>31</v>
      </c>
      <c r="F451" s="59" t="s">
        <v>353</v>
      </c>
      <c r="G451" s="56">
        <f>+'ABRIL '!G451+'mayo 2025'!G451+'junioo '!G451</f>
        <v>0</v>
      </c>
      <c r="H451" s="56">
        <f>+'ABRIL '!H451+'mayo 2025'!H451+'junioo '!H451</f>
        <v>0</v>
      </c>
      <c r="I451" s="56">
        <f t="shared" si="16"/>
        <v>0</v>
      </c>
      <c r="J451" s="57">
        <f>I451/$I$25</f>
        <v>0</v>
      </c>
    </row>
    <row r="452" spans="1:10" x14ac:dyDescent="0.25">
      <c r="A452" s="62">
        <v>2</v>
      </c>
      <c r="B452" s="54">
        <v>6</v>
      </c>
      <c r="C452" s="54">
        <v>9</v>
      </c>
      <c r="D452" s="54">
        <v>2</v>
      </c>
      <c r="E452" s="55" t="s">
        <v>33</v>
      </c>
      <c r="F452" s="59" t="s">
        <v>354</v>
      </c>
      <c r="G452" s="56">
        <f>+'ABRIL '!G452+'mayo 2025'!G452+'junioo '!G452</f>
        <v>0</v>
      </c>
      <c r="H452" s="56">
        <f>+'ABRIL '!H452+'mayo 2025'!H452+'junioo '!H452</f>
        <v>0</v>
      </c>
      <c r="I452" s="56">
        <f t="shared" si="16"/>
        <v>0</v>
      </c>
      <c r="J452" s="57">
        <f>I452/$I$25</f>
        <v>0</v>
      </c>
    </row>
    <row r="453" spans="1:10" x14ac:dyDescent="0.25">
      <c r="A453" s="61">
        <v>2</v>
      </c>
      <c r="B453" s="50">
        <v>6</v>
      </c>
      <c r="C453" s="50">
        <v>9</v>
      </c>
      <c r="D453" s="50">
        <v>3</v>
      </c>
      <c r="E453" s="50"/>
      <c r="F453" s="73" t="s">
        <v>355</v>
      </c>
      <c r="G453" s="51">
        <f>+'ABRIL '!G453+'mayo 2025'!G453+'junioo '!G453</f>
        <v>0</v>
      </c>
      <c r="H453" s="51">
        <f>+'ABRIL '!H453+'mayo 2025'!H453+'junioo '!H453</f>
        <v>0</v>
      </c>
      <c r="I453" s="51">
        <f t="shared" si="16"/>
        <v>0</v>
      </c>
      <c r="J453" s="51"/>
    </row>
    <row r="454" spans="1:10" x14ac:dyDescent="0.25">
      <c r="A454" s="62">
        <v>2</v>
      </c>
      <c r="B454" s="54">
        <v>6</v>
      </c>
      <c r="C454" s="54">
        <v>9</v>
      </c>
      <c r="D454" s="54">
        <v>3</v>
      </c>
      <c r="E454" s="55" t="s">
        <v>31</v>
      </c>
      <c r="F454" s="59" t="s">
        <v>355</v>
      </c>
      <c r="G454" s="56">
        <f>+'ABRIL '!G454+'mayo 2025'!G454+'junioo '!G454</f>
        <v>0</v>
      </c>
      <c r="H454" s="56">
        <f>+'ABRIL '!H454+'mayo 2025'!H454+'junioo '!H454</f>
        <v>0</v>
      </c>
      <c r="I454" s="56">
        <f t="shared" si="16"/>
        <v>0</v>
      </c>
      <c r="J454" s="57">
        <f>I454/$I$25</f>
        <v>0</v>
      </c>
    </row>
    <row r="455" spans="1:10" x14ac:dyDescent="0.25">
      <c r="A455" s="61">
        <v>2</v>
      </c>
      <c r="B455" s="50">
        <v>6</v>
      </c>
      <c r="C455" s="50">
        <v>9</v>
      </c>
      <c r="D455" s="50">
        <v>4</v>
      </c>
      <c r="E455" s="50"/>
      <c r="F455" s="73" t="s">
        <v>356</v>
      </c>
      <c r="G455" s="51">
        <f>+'ABRIL '!G455+'mayo 2025'!G455+'junioo '!G455</f>
        <v>0</v>
      </c>
      <c r="H455" s="51">
        <f>+'ABRIL '!H455+'mayo 2025'!H455+'junioo '!H455</f>
        <v>0</v>
      </c>
      <c r="I455" s="51">
        <f t="shared" si="16"/>
        <v>0</v>
      </c>
      <c r="J455" s="58"/>
    </row>
    <row r="456" spans="1:10" x14ac:dyDescent="0.25">
      <c r="A456" s="62">
        <v>2</v>
      </c>
      <c r="B456" s="54">
        <v>6</v>
      </c>
      <c r="C456" s="54">
        <v>9</v>
      </c>
      <c r="D456" s="54">
        <v>4</v>
      </c>
      <c r="E456" s="55" t="s">
        <v>31</v>
      </c>
      <c r="F456" s="59" t="s">
        <v>356</v>
      </c>
      <c r="G456" s="56">
        <f>+'ABRIL '!G456+'mayo 2025'!G456+'junioo '!G456</f>
        <v>0</v>
      </c>
      <c r="H456" s="56">
        <f>+'ABRIL '!H456+'mayo 2025'!H456+'junioo '!H456</f>
        <v>0</v>
      </c>
      <c r="I456" s="56">
        <f t="shared" si="16"/>
        <v>0</v>
      </c>
      <c r="J456" s="57">
        <f>I456/$I$25</f>
        <v>0</v>
      </c>
    </row>
    <row r="457" spans="1:10" x14ac:dyDescent="0.25">
      <c r="A457" s="61">
        <v>2</v>
      </c>
      <c r="B457" s="50">
        <v>6</v>
      </c>
      <c r="C457" s="50">
        <v>9</v>
      </c>
      <c r="D457" s="50">
        <v>5</v>
      </c>
      <c r="E457" s="50"/>
      <c r="F457" s="73" t="s">
        <v>357</v>
      </c>
      <c r="G457" s="51">
        <f>+'ABRIL '!G457+'mayo 2025'!G457+'junioo '!G457</f>
        <v>345560.94</v>
      </c>
      <c r="H457" s="51">
        <f>+'ABRIL '!H457+'mayo 2025'!H457+'junioo '!H457</f>
        <v>0</v>
      </c>
      <c r="I457" s="51">
        <f t="shared" si="16"/>
        <v>345560.94</v>
      </c>
      <c r="J457" s="58"/>
    </row>
    <row r="458" spans="1:10" x14ac:dyDescent="0.25">
      <c r="A458" s="62">
        <v>2</v>
      </c>
      <c r="B458" s="54">
        <v>6</v>
      </c>
      <c r="C458" s="54">
        <v>9</v>
      </c>
      <c r="D458" s="54">
        <v>5</v>
      </c>
      <c r="E458" s="55" t="s">
        <v>31</v>
      </c>
      <c r="F458" s="59" t="s">
        <v>358</v>
      </c>
      <c r="G458" s="56">
        <f>+'ABRIL '!G458+'mayo 2025'!G458+'junioo '!G458</f>
        <v>0</v>
      </c>
      <c r="H458" s="56">
        <f>+'ABRIL '!H458+'mayo 2025'!H458+'junioo '!H458</f>
        <v>0</v>
      </c>
      <c r="I458" s="56">
        <f t="shared" si="16"/>
        <v>0</v>
      </c>
      <c r="J458" s="57">
        <f>I458/$I$25</f>
        <v>0</v>
      </c>
    </row>
    <row r="459" spans="1:10" ht="25.5" x14ac:dyDescent="0.25">
      <c r="A459" s="62">
        <v>2</v>
      </c>
      <c r="B459" s="54">
        <v>6</v>
      </c>
      <c r="C459" s="54">
        <v>9</v>
      </c>
      <c r="D459" s="54">
        <v>5</v>
      </c>
      <c r="E459" s="55" t="s">
        <v>33</v>
      </c>
      <c r="F459" s="59" t="s">
        <v>359</v>
      </c>
      <c r="G459" s="56">
        <f>+'ABRIL '!G459+'mayo 2025'!G459+'junioo '!G459</f>
        <v>0</v>
      </c>
      <c r="H459" s="56">
        <f>+'ABRIL '!H459+'mayo 2025'!H459+'junioo '!H459</f>
        <v>0</v>
      </c>
      <c r="I459" s="56">
        <f t="shared" si="16"/>
        <v>0</v>
      </c>
      <c r="J459" s="57">
        <f>I459/$I$25</f>
        <v>0</v>
      </c>
    </row>
    <row r="460" spans="1:10" x14ac:dyDescent="0.25">
      <c r="A460" s="62">
        <v>2</v>
      </c>
      <c r="B460" s="54">
        <v>6</v>
      </c>
      <c r="C460" s="54">
        <v>9</v>
      </c>
      <c r="D460" s="54">
        <v>5</v>
      </c>
      <c r="E460" s="55" t="s">
        <v>35</v>
      </c>
      <c r="F460" s="59" t="s">
        <v>360</v>
      </c>
      <c r="G460" s="56">
        <f>+'ABRIL '!G460+'mayo 2025'!G460+'junioo '!G460</f>
        <v>345560.94</v>
      </c>
      <c r="H460" s="56">
        <f>+'ABRIL '!H460+'mayo 2025'!H460+'junioo '!H460</f>
        <v>0</v>
      </c>
      <c r="I460" s="56">
        <f t="shared" si="16"/>
        <v>345560.94</v>
      </c>
      <c r="J460" s="57">
        <f>I460/$I$25</f>
        <v>1.1610199807874232E-3</v>
      </c>
    </row>
    <row r="461" spans="1:10" x14ac:dyDescent="0.25">
      <c r="A461" s="61">
        <v>2</v>
      </c>
      <c r="B461" s="50">
        <v>6</v>
      </c>
      <c r="C461" s="50">
        <v>9</v>
      </c>
      <c r="D461" s="50">
        <v>9</v>
      </c>
      <c r="E461" s="50"/>
      <c r="F461" s="73" t="s">
        <v>361</v>
      </c>
      <c r="G461" s="51">
        <f>+'ABRIL '!G461+'mayo 2025'!G461+'junioo '!G461</f>
        <v>0</v>
      </c>
      <c r="H461" s="51">
        <f>+'ABRIL '!H461+'mayo 2025'!H461+'junioo '!H461</f>
        <v>0</v>
      </c>
      <c r="I461" s="51">
        <f t="shared" si="16"/>
        <v>0</v>
      </c>
      <c r="J461" s="58"/>
    </row>
    <row r="462" spans="1:10" x14ac:dyDescent="0.25">
      <c r="A462" s="62">
        <v>2</v>
      </c>
      <c r="B462" s="54">
        <v>6</v>
      </c>
      <c r="C462" s="54">
        <v>9</v>
      </c>
      <c r="D462" s="54">
        <v>9</v>
      </c>
      <c r="E462" s="55" t="s">
        <v>31</v>
      </c>
      <c r="F462" s="59" t="s">
        <v>361</v>
      </c>
      <c r="G462" s="56">
        <f>+'ABRIL '!G462+'mayo 2025'!G462+'junioo '!G462</f>
        <v>0</v>
      </c>
      <c r="H462" s="56">
        <f>+'ABRIL '!H462+'mayo 2025'!H462+'junioo '!H462</f>
        <v>0</v>
      </c>
      <c r="I462" s="56">
        <f t="shared" si="16"/>
        <v>0</v>
      </c>
      <c r="J462" s="57">
        <f>I462/$I$25</f>
        <v>0</v>
      </c>
    </row>
    <row r="463" spans="1:10" x14ac:dyDescent="0.25">
      <c r="A463" s="60">
        <v>2</v>
      </c>
      <c r="B463" s="47">
        <v>7</v>
      </c>
      <c r="C463" s="47"/>
      <c r="D463" s="47"/>
      <c r="E463" s="47"/>
      <c r="F463" s="72" t="s">
        <v>362</v>
      </c>
      <c r="G463" s="48">
        <f>+'ABRIL '!G463+'mayo 2025'!G463+'junioo '!G463</f>
        <v>0</v>
      </c>
      <c r="H463" s="48">
        <f>+'ABRIL '!H463+'mayo 2025'!H463+'junioo '!H463</f>
        <v>0</v>
      </c>
      <c r="I463" s="48">
        <f t="shared" si="16"/>
        <v>0</v>
      </c>
      <c r="J463" s="45">
        <f>I463/$I$25</f>
        <v>0</v>
      </c>
    </row>
    <row r="464" spans="1:10" x14ac:dyDescent="0.25">
      <c r="A464" s="60">
        <v>2</v>
      </c>
      <c r="B464" s="47">
        <v>7</v>
      </c>
      <c r="C464" s="47">
        <v>1</v>
      </c>
      <c r="D464" s="47"/>
      <c r="E464" s="47"/>
      <c r="F464" s="72" t="s">
        <v>363</v>
      </c>
      <c r="G464" s="48">
        <f>+'ABRIL '!G464+'mayo 2025'!G464+'junioo '!G464</f>
        <v>0</v>
      </c>
      <c r="H464" s="48">
        <f>+'ABRIL '!H464+'mayo 2025'!H464+'junioo '!H464</f>
        <v>0</v>
      </c>
      <c r="I464" s="48">
        <f t="shared" si="16"/>
        <v>0</v>
      </c>
      <c r="J464" s="45"/>
    </row>
    <row r="465" spans="1:10" x14ac:dyDescent="0.25">
      <c r="A465" s="61">
        <v>2</v>
      </c>
      <c r="B465" s="50">
        <v>7</v>
      </c>
      <c r="C465" s="50">
        <v>1</v>
      </c>
      <c r="D465" s="50">
        <v>1</v>
      </c>
      <c r="E465" s="64"/>
      <c r="F465" s="73" t="s">
        <v>364</v>
      </c>
      <c r="G465" s="51">
        <f>+'ABRIL '!G465+'mayo 2025'!G465+'junioo '!G465</f>
        <v>0</v>
      </c>
      <c r="H465" s="51">
        <f>+'ABRIL '!H465+'mayo 2025'!H465+'junioo '!H465</f>
        <v>0</v>
      </c>
      <c r="I465" s="51">
        <f t="shared" si="16"/>
        <v>0</v>
      </c>
      <c r="J465" s="58"/>
    </row>
    <row r="466" spans="1:10" x14ac:dyDescent="0.25">
      <c r="A466" s="62">
        <v>2</v>
      </c>
      <c r="B466" s="54">
        <v>7</v>
      </c>
      <c r="C466" s="54">
        <v>1</v>
      </c>
      <c r="D466" s="54">
        <v>1</v>
      </c>
      <c r="E466" s="54" t="s">
        <v>320</v>
      </c>
      <c r="F466" s="59" t="s">
        <v>364</v>
      </c>
      <c r="G466" s="56">
        <f>+'ABRIL '!G466+'mayo 2025'!G466+'junioo '!G466</f>
        <v>0</v>
      </c>
      <c r="H466" s="56">
        <f>+'ABRIL '!H466+'mayo 2025'!H466+'junioo '!H466</f>
        <v>0</v>
      </c>
      <c r="I466" s="56">
        <f t="shared" si="16"/>
        <v>0</v>
      </c>
      <c r="J466" s="57">
        <f>I466/$I$25</f>
        <v>0</v>
      </c>
    </row>
    <row r="467" spans="1:10" x14ac:dyDescent="0.25">
      <c r="A467" s="61">
        <v>2</v>
      </c>
      <c r="B467" s="50">
        <v>7</v>
      </c>
      <c r="C467" s="50">
        <v>1</v>
      </c>
      <c r="D467" s="50">
        <v>2</v>
      </c>
      <c r="E467" s="64"/>
      <c r="F467" s="73" t="s">
        <v>365</v>
      </c>
      <c r="G467" s="51">
        <f>+'ABRIL '!G467+'mayo 2025'!G467+'junioo '!G467</f>
        <v>0</v>
      </c>
      <c r="H467" s="51">
        <f>+'ABRIL '!H467+'mayo 2025'!H467+'junioo '!H467</f>
        <v>0</v>
      </c>
      <c r="I467" s="51">
        <f t="shared" si="16"/>
        <v>0</v>
      </c>
      <c r="J467" s="58"/>
    </row>
    <row r="468" spans="1:10" x14ac:dyDescent="0.25">
      <c r="A468" s="62">
        <v>2</v>
      </c>
      <c r="B468" s="54">
        <v>7</v>
      </c>
      <c r="C468" s="54">
        <v>1</v>
      </c>
      <c r="D468" s="54">
        <v>2</v>
      </c>
      <c r="E468" s="54" t="s">
        <v>320</v>
      </c>
      <c r="F468" s="59" t="s">
        <v>365</v>
      </c>
      <c r="G468" s="56">
        <f>+'ABRIL '!G468+'mayo 2025'!G468+'junioo '!G468</f>
        <v>0</v>
      </c>
      <c r="H468" s="56">
        <f>+'ABRIL '!H468+'mayo 2025'!H468+'junioo '!H468</f>
        <v>0</v>
      </c>
      <c r="I468" s="56">
        <f t="shared" si="16"/>
        <v>0</v>
      </c>
      <c r="J468" s="57">
        <f>I468/$I$25</f>
        <v>0</v>
      </c>
    </row>
    <row r="469" spans="1:10" x14ac:dyDescent="0.25">
      <c r="A469" s="61">
        <v>2</v>
      </c>
      <c r="B469" s="50">
        <v>7</v>
      </c>
      <c r="C469" s="50">
        <v>1</v>
      </c>
      <c r="D469" s="50">
        <v>3</v>
      </c>
      <c r="E469" s="64"/>
      <c r="F469" s="73" t="s">
        <v>366</v>
      </c>
      <c r="G469" s="51">
        <f>+'ABRIL '!G469+'mayo 2025'!G469+'junioo '!G469</f>
        <v>0</v>
      </c>
      <c r="H469" s="51">
        <f>+'ABRIL '!H469+'mayo 2025'!H469+'junioo '!H469</f>
        <v>0</v>
      </c>
      <c r="I469" s="51">
        <f t="shared" si="16"/>
        <v>0</v>
      </c>
      <c r="J469" s="58"/>
    </row>
    <row r="470" spans="1:10" x14ac:dyDescent="0.25">
      <c r="A470" s="62">
        <v>2</v>
      </c>
      <c r="B470" s="54">
        <v>7</v>
      </c>
      <c r="C470" s="54">
        <v>1</v>
      </c>
      <c r="D470" s="54">
        <v>3</v>
      </c>
      <c r="E470" s="54" t="s">
        <v>320</v>
      </c>
      <c r="F470" s="59" t="s">
        <v>366</v>
      </c>
      <c r="G470" s="56">
        <f>+'ABRIL '!G470+'mayo 2025'!G470+'junioo '!G470</f>
        <v>0</v>
      </c>
      <c r="H470" s="56">
        <f>+'ABRIL '!H470+'mayo 2025'!H470+'junioo '!H470</f>
        <v>0</v>
      </c>
      <c r="I470" s="56">
        <f t="shared" si="16"/>
        <v>0</v>
      </c>
      <c r="J470" s="57">
        <f>I470/$I$25</f>
        <v>0</v>
      </c>
    </row>
    <row r="471" spans="1:10" x14ac:dyDescent="0.25">
      <c r="A471" s="61">
        <v>2</v>
      </c>
      <c r="B471" s="50">
        <v>7</v>
      </c>
      <c r="C471" s="50">
        <v>1</v>
      </c>
      <c r="D471" s="50">
        <v>4</v>
      </c>
      <c r="E471" s="64"/>
      <c r="F471" s="73" t="s">
        <v>367</v>
      </c>
      <c r="G471" s="51">
        <f>+'ABRIL '!G471+'mayo 2025'!G471+'junioo '!G471</f>
        <v>0</v>
      </c>
      <c r="H471" s="51">
        <f>+'ABRIL '!H471+'mayo 2025'!H471+'junioo '!H471</f>
        <v>0</v>
      </c>
      <c r="I471" s="51">
        <f t="shared" si="16"/>
        <v>0</v>
      </c>
      <c r="J471" s="58"/>
    </row>
    <row r="472" spans="1:10" x14ac:dyDescent="0.25">
      <c r="A472" s="62">
        <v>2</v>
      </c>
      <c r="B472" s="54">
        <v>7</v>
      </c>
      <c r="C472" s="54">
        <v>1</v>
      </c>
      <c r="D472" s="54">
        <v>4</v>
      </c>
      <c r="E472" s="54" t="s">
        <v>320</v>
      </c>
      <c r="F472" s="59" t="s">
        <v>367</v>
      </c>
      <c r="G472" s="56">
        <f>+'ABRIL '!G472+'mayo 2025'!G472+'junioo '!G472</f>
        <v>0</v>
      </c>
      <c r="H472" s="56">
        <f>+'ABRIL '!H472+'mayo 2025'!H472+'junioo '!H472</f>
        <v>0</v>
      </c>
      <c r="I472" s="56">
        <f t="shared" si="16"/>
        <v>0</v>
      </c>
      <c r="J472" s="57">
        <f>I472/$I$25</f>
        <v>0</v>
      </c>
    </row>
    <row r="473" spans="1:10" x14ac:dyDescent="0.25">
      <c r="A473" s="60">
        <v>2</v>
      </c>
      <c r="B473" s="47">
        <v>7</v>
      </c>
      <c r="C473" s="47">
        <v>2</v>
      </c>
      <c r="D473" s="47"/>
      <c r="E473" s="47"/>
      <c r="F473" s="72" t="s">
        <v>368</v>
      </c>
      <c r="G473" s="48">
        <f>+'ABRIL '!G473+'mayo 2025'!G473+'junioo '!G473</f>
        <v>0</v>
      </c>
      <c r="H473" s="48">
        <f>+'ABRIL '!H473+'mayo 2025'!H473+'junioo '!H473</f>
        <v>0</v>
      </c>
      <c r="I473" s="48">
        <f t="shared" ref="I473:I501" si="17">SUM(G473:H473)</f>
        <v>0</v>
      </c>
      <c r="J473" s="45"/>
    </row>
    <row r="474" spans="1:10" x14ac:dyDescent="0.25">
      <c r="A474" s="61">
        <v>2</v>
      </c>
      <c r="B474" s="50">
        <v>7</v>
      </c>
      <c r="C474" s="50">
        <v>2</v>
      </c>
      <c r="D474" s="50">
        <v>1</v>
      </c>
      <c r="E474" s="64"/>
      <c r="F474" s="73" t="s">
        <v>369</v>
      </c>
      <c r="G474" s="51">
        <f>+'ABRIL '!G474+'mayo 2025'!G474+'junioo '!G474</f>
        <v>0</v>
      </c>
      <c r="H474" s="51">
        <f>+'ABRIL '!H474+'mayo 2025'!H474+'junioo '!H474</f>
        <v>0</v>
      </c>
      <c r="I474" s="51">
        <f t="shared" si="17"/>
        <v>0</v>
      </c>
      <c r="J474" s="58"/>
    </row>
    <row r="475" spans="1:10" x14ac:dyDescent="0.25">
      <c r="A475" s="62">
        <v>2</v>
      </c>
      <c r="B475" s="54">
        <v>7</v>
      </c>
      <c r="C475" s="54">
        <v>2</v>
      </c>
      <c r="D475" s="54">
        <v>1</v>
      </c>
      <c r="E475" s="54" t="s">
        <v>320</v>
      </c>
      <c r="F475" s="59" t="s">
        <v>369</v>
      </c>
      <c r="G475" s="56">
        <f>+'ABRIL '!G475+'mayo 2025'!G475+'junioo '!G475</f>
        <v>0</v>
      </c>
      <c r="H475" s="56">
        <f>+'ABRIL '!H475+'mayo 2025'!H475+'junioo '!H475</f>
        <v>0</v>
      </c>
      <c r="I475" s="56">
        <f t="shared" si="17"/>
        <v>0</v>
      </c>
      <c r="J475" s="57">
        <f>I475/$I$25</f>
        <v>0</v>
      </c>
    </row>
    <row r="476" spans="1:10" x14ac:dyDescent="0.25">
      <c r="A476" s="61">
        <v>2</v>
      </c>
      <c r="B476" s="50">
        <v>7</v>
      </c>
      <c r="C476" s="50">
        <v>2</v>
      </c>
      <c r="D476" s="50">
        <v>2</v>
      </c>
      <c r="E476" s="64"/>
      <c r="F476" s="73" t="s">
        <v>370</v>
      </c>
      <c r="G476" s="51">
        <f>+'ABRIL '!G476+'mayo 2025'!G476+'junioo '!G476</f>
        <v>0</v>
      </c>
      <c r="H476" s="51">
        <f>+'ABRIL '!H476+'mayo 2025'!H476+'junioo '!H476</f>
        <v>0</v>
      </c>
      <c r="I476" s="51">
        <f t="shared" si="17"/>
        <v>0</v>
      </c>
      <c r="J476" s="58"/>
    </row>
    <row r="477" spans="1:10" x14ac:dyDescent="0.25">
      <c r="A477" s="62">
        <v>2</v>
      </c>
      <c r="B477" s="54">
        <v>7</v>
      </c>
      <c r="C477" s="54">
        <v>2</v>
      </c>
      <c r="D477" s="54">
        <v>2</v>
      </c>
      <c r="E477" s="54" t="s">
        <v>320</v>
      </c>
      <c r="F477" s="59" t="s">
        <v>370</v>
      </c>
      <c r="G477" s="56">
        <f>+'ABRIL '!G477+'mayo 2025'!G477+'junioo '!G477</f>
        <v>0</v>
      </c>
      <c r="H477" s="56">
        <f>+'ABRIL '!H477+'mayo 2025'!H477+'junioo '!H477</f>
        <v>0</v>
      </c>
      <c r="I477" s="56">
        <f t="shared" si="17"/>
        <v>0</v>
      </c>
      <c r="J477" s="57">
        <f>I477/$I$25</f>
        <v>0</v>
      </c>
    </row>
    <row r="478" spans="1:10" x14ac:dyDescent="0.25">
      <c r="A478" s="61">
        <v>2</v>
      </c>
      <c r="B478" s="50">
        <v>7</v>
      </c>
      <c r="C478" s="50">
        <v>2</v>
      </c>
      <c r="D478" s="50">
        <v>3</v>
      </c>
      <c r="E478" s="64"/>
      <c r="F478" s="73" t="s">
        <v>371</v>
      </c>
      <c r="G478" s="51">
        <f>+'ABRIL '!G478+'mayo 2025'!G478+'junioo '!G478</f>
        <v>0</v>
      </c>
      <c r="H478" s="51">
        <f>+'ABRIL '!H478+'mayo 2025'!H478+'junioo '!H478</f>
        <v>0</v>
      </c>
      <c r="I478" s="51">
        <f t="shared" si="17"/>
        <v>0</v>
      </c>
      <c r="J478" s="58"/>
    </row>
    <row r="479" spans="1:10" x14ac:dyDescent="0.25">
      <c r="A479" s="62">
        <v>2</v>
      </c>
      <c r="B479" s="54">
        <v>7</v>
      </c>
      <c r="C479" s="54">
        <v>2</v>
      </c>
      <c r="D479" s="54">
        <v>3</v>
      </c>
      <c r="E479" s="54" t="s">
        <v>320</v>
      </c>
      <c r="F479" s="59" t="s">
        <v>371</v>
      </c>
      <c r="G479" s="56">
        <f>+'ABRIL '!G479+'mayo 2025'!G479+'junioo '!G479</f>
        <v>0</v>
      </c>
      <c r="H479" s="56">
        <f>+'ABRIL '!H479+'mayo 2025'!H479+'junioo '!H479</f>
        <v>0</v>
      </c>
      <c r="I479" s="56">
        <f t="shared" si="17"/>
        <v>0</v>
      </c>
      <c r="J479" s="57">
        <f>I479/$I$25</f>
        <v>0</v>
      </c>
    </row>
    <row r="480" spans="1:10" x14ac:dyDescent="0.25">
      <c r="A480" s="61">
        <v>2</v>
      </c>
      <c r="B480" s="50">
        <v>7</v>
      </c>
      <c r="C480" s="50">
        <v>2</v>
      </c>
      <c r="D480" s="50">
        <v>4</v>
      </c>
      <c r="E480" s="64"/>
      <c r="F480" s="73" t="s">
        <v>372</v>
      </c>
      <c r="G480" s="51">
        <f>+'ABRIL '!G480+'mayo 2025'!G480+'junioo '!G480</f>
        <v>0</v>
      </c>
      <c r="H480" s="51">
        <f>+'ABRIL '!H480+'mayo 2025'!H480+'junioo '!H480</f>
        <v>0</v>
      </c>
      <c r="I480" s="51">
        <f t="shared" si="17"/>
        <v>0</v>
      </c>
      <c r="J480" s="58"/>
    </row>
    <row r="481" spans="1:10" x14ac:dyDescent="0.25">
      <c r="A481" s="62">
        <v>2</v>
      </c>
      <c r="B481" s="54">
        <v>7</v>
      </c>
      <c r="C481" s="54">
        <v>2</v>
      </c>
      <c r="D481" s="54">
        <v>4</v>
      </c>
      <c r="E481" s="54" t="s">
        <v>320</v>
      </c>
      <c r="F481" s="59" t="s">
        <v>372</v>
      </c>
      <c r="G481" s="56">
        <f>+'ABRIL '!G481+'mayo 2025'!G481+'junioo '!G481</f>
        <v>0</v>
      </c>
      <c r="H481" s="56">
        <f>+'ABRIL '!H481+'mayo 2025'!H481+'junioo '!H481</f>
        <v>0</v>
      </c>
      <c r="I481" s="56">
        <f t="shared" si="17"/>
        <v>0</v>
      </c>
      <c r="J481" s="57">
        <f>I481/$I$25</f>
        <v>0</v>
      </c>
    </row>
    <row r="482" spans="1:10" x14ac:dyDescent="0.25">
      <c r="A482" s="61">
        <v>2</v>
      </c>
      <c r="B482" s="50">
        <v>7</v>
      </c>
      <c r="C482" s="50">
        <v>2</v>
      </c>
      <c r="D482" s="50">
        <v>5</v>
      </c>
      <c r="E482" s="64"/>
      <c r="F482" s="73" t="s">
        <v>373</v>
      </c>
      <c r="G482" s="51">
        <f>+'ABRIL '!G482+'mayo 2025'!G482+'junioo '!G482</f>
        <v>0</v>
      </c>
      <c r="H482" s="51">
        <f>+'ABRIL '!H482+'mayo 2025'!H482+'junioo '!H482</f>
        <v>0</v>
      </c>
      <c r="I482" s="51">
        <f t="shared" si="17"/>
        <v>0</v>
      </c>
      <c r="J482" s="58"/>
    </row>
    <row r="483" spans="1:10" x14ac:dyDescent="0.25">
      <c r="A483" s="62">
        <v>2</v>
      </c>
      <c r="B483" s="54">
        <v>7</v>
      </c>
      <c r="C483" s="54">
        <v>2</v>
      </c>
      <c r="D483" s="54">
        <v>5</v>
      </c>
      <c r="E483" s="54" t="s">
        <v>320</v>
      </c>
      <c r="F483" s="59" t="s">
        <v>373</v>
      </c>
      <c r="G483" s="56">
        <f>+'ABRIL '!G483+'mayo 2025'!G483+'junioo '!G483</f>
        <v>0</v>
      </c>
      <c r="H483" s="56">
        <f>+'ABRIL '!H483+'mayo 2025'!H483+'junioo '!H483</f>
        <v>0</v>
      </c>
      <c r="I483" s="56">
        <f t="shared" si="17"/>
        <v>0</v>
      </c>
      <c r="J483" s="57">
        <f>I483/$I$25</f>
        <v>0</v>
      </c>
    </row>
    <row r="484" spans="1:10" x14ac:dyDescent="0.25">
      <c r="A484" s="61">
        <v>2</v>
      </c>
      <c r="B484" s="50">
        <v>7</v>
      </c>
      <c r="C484" s="50">
        <v>2</v>
      </c>
      <c r="D484" s="50">
        <v>6</v>
      </c>
      <c r="E484" s="64"/>
      <c r="F484" s="73" t="s">
        <v>374</v>
      </c>
      <c r="G484" s="51">
        <f>+'ABRIL '!G484+'mayo 2025'!G484+'junioo '!G484</f>
        <v>0</v>
      </c>
      <c r="H484" s="51">
        <f>+'ABRIL '!H484+'mayo 2025'!H484+'junioo '!H484</f>
        <v>0</v>
      </c>
      <c r="I484" s="51">
        <f t="shared" si="17"/>
        <v>0</v>
      </c>
      <c r="J484" s="58"/>
    </row>
    <row r="485" spans="1:10" x14ac:dyDescent="0.25">
      <c r="A485" s="62">
        <v>2</v>
      </c>
      <c r="B485" s="54">
        <v>7</v>
      </c>
      <c r="C485" s="54">
        <v>2</v>
      </c>
      <c r="D485" s="54">
        <v>6</v>
      </c>
      <c r="E485" s="54" t="s">
        <v>320</v>
      </c>
      <c r="F485" s="59" t="s">
        <v>374</v>
      </c>
      <c r="G485" s="56">
        <f>+'ABRIL '!G485+'mayo 2025'!G485+'junioo '!G485</f>
        <v>0</v>
      </c>
      <c r="H485" s="56">
        <f>+'ABRIL '!H485+'mayo 2025'!H485+'junioo '!H485</f>
        <v>0</v>
      </c>
      <c r="I485" s="56">
        <f t="shared" si="17"/>
        <v>0</v>
      </c>
      <c r="J485" s="57">
        <f>I485/$I$25</f>
        <v>0</v>
      </c>
    </row>
    <row r="486" spans="1:10" x14ac:dyDescent="0.25">
      <c r="A486" s="61">
        <v>2</v>
      </c>
      <c r="B486" s="50">
        <v>7</v>
      </c>
      <c r="C486" s="50">
        <v>2</v>
      </c>
      <c r="D486" s="50">
        <v>7</v>
      </c>
      <c r="E486" s="64"/>
      <c r="F486" s="73" t="s">
        <v>375</v>
      </c>
      <c r="G486" s="51">
        <f>+'ABRIL '!G486+'mayo 2025'!G486+'junioo '!G486</f>
        <v>0</v>
      </c>
      <c r="H486" s="51">
        <f>+'ABRIL '!H486+'mayo 2025'!H486+'junioo '!H486</f>
        <v>0</v>
      </c>
      <c r="I486" s="51">
        <f t="shared" si="17"/>
        <v>0</v>
      </c>
      <c r="J486" s="58"/>
    </row>
    <row r="487" spans="1:10" x14ac:dyDescent="0.25">
      <c r="A487" s="62">
        <v>2</v>
      </c>
      <c r="B487" s="54">
        <v>7</v>
      </c>
      <c r="C487" s="54">
        <v>2</v>
      </c>
      <c r="D487" s="54">
        <v>7</v>
      </c>
      <c r="E487" s="54" t="s">
        <v>320</v>
      </c>
      <c r="F487" s="59" t="s">
        <v>375</v>
      </c>
      <c r="G487" s="56">
        <f>+'ABRIL '!G487+'mayo 2025'!G487+'junioo '!G487</f>
        <v>0</v>
      </c>
      <c r="H487" s="56">
        <f>+'ABRIL '!H487+'mayo 2025'!H487+'junioo '!H487</f>
        <v>0</v>
      </c>
      <c r="I487" s="56">
        <f t="shared" si="17"/>
        <v>0</v>
      </c>
      <c r="J487" s="57">
        <f>I487/$I$25</f>
        <v>0</v>
      </c>
    </row>
    <row r="488" spans="1:10" x14ac:dyDescent="0.25">
      <c r="A488" s="61">
        <v>2</v>
      </c>
      <c r="B488" s="50">
        <v>7</v>
      </c>
      <c r="C488" s="50">
        <v>2</v>
      </c>
      <c r="D488" s="50">
        <v>8</v>
      </c>
      <c r="E488" s="64"/>
      <c r="F488" s="73" t="s">
        <v>376</v>
      </c>
      <c r="G488" s="51">
        <f>+'ABRIL '!G488+'mayo 2025'!G488+'junioo '!G488</f>
        <v>0</v>
      </c>
      <c r="H488" s="51">
        <f>+'ABRIL '!H488+'mayo 2025'!H488+'junioo '!H488</f>
        <v>0</v>
      </c>
      <c r="I488" s="51">
        <f t="shared" si="17"/>
        <v>0</v>
      </c>
      <c r="J488" s="58"/>
    </row>
    <row r="489" spans="1:10" x14ac:dyDescent="0.25">
      <c r="A489" s="62">
        <v>2</v>
      </c>
      <c r="B489" s="54">
        <v>7</v>
      </c>
      <c r="C489" s="54">
        <v>2</v>
      </c>
      <c r="D489" s="54">
        <v>8</v>
      </c>
      <c r="E489" s="54" t="s">
        <v>320</v>
      </c>
      <c r="F489" s="59" t="s">
        <v>376</v>
      </c>
      <c r="G489" s="56">
        <f>+'ABRIL '!G489+'mayo 2025'!G489+'junioo '!G489</f>
        <v>0</v>
      </c>
      <c r="H489" s="56">
        <f>+'ABRIL '!H489+'mayo 2025'!H489+'junioo '!H489</f>
        <v>0</v>
      </c>
      <c r="I489" s="56">
        <f t="shared" si="17"/>
        <v>0</v>
      </c>
      <c r="J489" s="57">
        <f>I489/$I$25</f>
        <v>0</v>
      </c>
    </row>
    <row r="490" spans="1:10" ht="25.5" x14ac:dyDescent="0.25">
      <c r="A490" s="61">
        <v>2</v>
      </c>
      <c r="B490" s="50">
        <v>7</v>
      </c>
      <c r="C490" s="50">
        <v>2</v>
      </c>
      <c r="D490" s="50">
        <v>9</v>
      </c>
      <c r="E490" s="64"/>
      <c r="F490" s="73" t="s">
        <v>377</v>
      </c>
      <c r="G490" s="51">
        <f>+'ABRIL '!G490+'mayo 2025'!G490+'junioo '!G490</f>
        <v>0</v>
      </c>
      <c r="H490" s="51">
        <f>+'ABRIL '!H490+'mayo 2025'!H490+'junioo '!H490</f>
        <v>0</v>
      </c>
      <c r="I490" s="51">
        <f t="shared" si="17"/>
        <v>0</v>
      </c>
      <c r="J490" s="58"/>
    </row>
    <row r="491" spans="1:10" ht="25.5" x14ac:dyDescent="0.25">
      <c r="A491" s="62">
        <v>2</v>
      </c>
      <c r="B491" s="54">
        <v>7</v>
      </c>
      <c r="C491" s="54">
        <v>2</v>
      </c>
      <c r="D491" s="54">
        <v>9</v>
      </c>
      <c r="E491" s="54" t="s">
        <v>320</v>
      </c>
      <c r="F491" s="59" t="s">
        <v>377</v>
      </c>
      <c r="G491" s="56">
        <f>+'ABRIL '!G491+'mayo 2025'!G491+'junioo '!G491</f>
        <v>0</v>
      </c>
      <c r="H491" s="56">
        <f>+'ABRIL '!H491+'mayo 2025'!H491+'junioo '!H491</f>
        <v>0</v>
      </c>
      <c r="I491" s="56">
        <f t="shared" si="17"/>
        <v>0</v>
      </c>
      <c r="J491" s="57">
        <f>I491/$I$25</f>
        <v>0</v>
      </c>
    </row>
    <row r="492" spans="1:10" x14ac:dyDescent="0.25">
      <c r="A492" s="60">
        <v>2</v>
      </c>
      <c r="B492" s="47">
        <v>7</v>
      </c>
      <c r="C492" s="47">
        <v>3</v>
      </c>
      <c r="D492" s="47"/>
      <c r="E492" s="47"/>
      <c r="F492" s="72" t="s">
        <v>378</v>
      </c>
      <c r="G492" s="48">
        <f>+'ABRIL '!G492+'mayo 2025'!G492+'junioo '!G492</f>
        <v>0</v>
      </c>
      <c r="H492" s="48">
        <f>+'ABRIL '!H492+'mayo 2025'!H492+'junioo '!H492</f>
        <v>0</v>
      </c>
      <c r="I492" s="48">
        <f t="shared" si="17"/>
        <v>0</v>
      </c>
      <c r="J492" s="45"/>
    </row>
    <row r="493" spans="1:10" ht="25.5" x14ac:dyDescent="0.25">
      <c r="A493" s="61">
        <v>2</v>
      </c>
      <c r="B493" s="50">
        <v>7</v>
      </c>
      <c r="C493" s="50">
        <v>3</v>
      </c>
      <c r="D493" s="50">
        <v>1</v>
      </c>
      <c r="E493" s="64"/>
      <c r="F493" s="73" t="s">
        <v>379</v>
      </c>
      <c r="G493" s="51">
        <f>+'ABRIL '!G493+'mayo 2025'!G493+'junioo '!G493</f>
        <v>0</v>
      </c>
      <c r="H493" s="51">
        <f>+'ABRIL '!H493+'mayo 2025'!H493+'junioo '!H493</f>
        <v>0</v>
      </c>
      <c r="I493" s="51">
        <f t="shared" si="17"/>
        <v>0</v>
      </c>
      <c r="J493" s="58"/>
    </row>
    <row r="494" spans="1:10" ht="25.5" x14ac:dyDescent="0.25">
      <c r="A494" s="62">
        <v>2</v>
      </c>
      <c r="B494" s="54">
        <v>7</v>
      </c>
      <c r="C494" s="54">
        <v>3</v>
      </c>
      <c r="D494" s="54">
        <v>1</v>
      </c>
      <c r="E494" s="54" t="s">
        <v>320</v>
      </c>
      <c r="F494" s="59" t="s">
        <v>379</v>
      </c>
      <c r="G494" s="56">
        <f>+'ABRIL '!G494+'mayo 2025'!G494+'junioo '!G494</f>
        <v>0</v>
      </c>
      <c r="H494" s="56">
        <f>+'ABRIL '!H494+'mayo 2025'!H494+'junioo '!H494</f>
        <v>0</v>
      </c>
      <c r="I494" s="56">
        <f t="shared" si="17"/>
        <v>0</v>
      </c>
      <c r="J494" s="57">
        <f>I494/$I$25</f>
        <v>0</v>
      </c>
    </row>
    <row r="495" spans="1:10" ht="25.5" x14ac:dyDescent="0.25">
      <c r="A495" s="61">
        <v>2</v>
      </c>
      <c r="B495" s="50">
        <v>7</v>
      </c>
      <c r="C495" s="50">
        <v>3</v>
      </c>
      <c r="D495" s="50">
        <v>2</v>
      </c>
      <c r="E495" s="64"/>
      <c r="F495" s="73" t="s">
        <v>380</v>
      </c>
      <c r="G495" s="51">
        <f>+'ABRIL '!G495+'mayo 2025'!G495+'junioo '!G495</f>
        <v>0</v>
      </c>
      <c r="H495" s="51">
        <f>+'ABRIL '!H495+'mayo 2025'!H495+'junioo '!H495</f>
        <v>0</v>
      </c>
      <c r="I495" s="51">
        <f t="shared" si="17"/>
        <v>0</v>
      </c>
      <c r="J495" s="58"/>
    </row>
    <row r="496" spans="1:10" ht="25.5" x14ac:dyDescent="0.25">
      <c r="A496" s="62">
        <v>2</v>
      </c>
      <c r="B496" s="54">
        <v>7</v>
      </c>
      <c r="C496" s="54">
        <v>3</v>
      </c>
      <c r="D496" s="54">
        <v>2</v>
      </c>
      <c r="E496" s="54" t="s">
        <v>320</v>
      </c>
      <c r="F496" s="59" t="s">
        <v>380</v>
      </c>
      <c r="G496" s="56">
        <f>+'ABRIL '!G496+'mayo 2025'!G496+'junioo '!G496</f>
        <v>0</v>
      </c>
      <c r="H496" s="56">
        <f>+'ABRIL '!H496+'mayo 2025'!H496+'junioo '!H496</f>
        <v>0</v>
      </c>
      <c r="I496" s="56">
        <f t="shared" si="17"/>
        <v>0</v>
      </c>
      <c r="J496" s="57">
        <f>I496/$I$25</f>
        <v>0</v>
      </c>
    </row>
    <row r="497" spans="1:10" ht="25.5" x14ac:dyDescent="0.25">
      <c r="A497" s="60">
        <v>2</v>
      </c>
      <c r="B497" s="47">
        <v>7</v>
      </c>
      <c r="C497" s="47">
        <v>4</v>
      </c>
      <c r="D497" s="47"/>
      <c r="E497" s="47"/>
      <c r="F497" s="72" t="s">
        <v>381</v>
      </c>
      <c r="G497" s="48">
        <f>+'ABRIL '!G497+'mayo 2025'!G497+'junioo '!G497</f>
        <v>0</v>
      </c>
      <c r="H497" s="48">
        <f>+'ABRIL '!H497+'mayo 2025'!H497+'junioo '!H497</f>
        <v>0</v>
      </c>
      <c r="I497" s="48">
        <f t="shared" si="17"/>
        <v>0</v>
      </c>
      <c r="J497" s="45"/>
    </row>
    <row r="498" spans="1:10" ht="25.5" x14ac:dyDescent="0.25">
      <c r="A498" s="61">
        <v>2</v>
      </c>
      <c r="B498" s="50">
        <v>7</v>
      </c>
      <c r="C498" s="50">
        <v>4</v>
      </c>
      <c r="D498" s="50">
        <v>1</v>
      </c>
      <c r="E498" s="64"/>
      <c r="F498" s="73" t="s">
        <v>382</v>
      </c>
      <c r="G498" s="51">
        <f>+'ABRIL '!G498+'mayo 2025'!G498+'junioo '!G498</f>
        <v>0</v>
      </c>
      <c r="H498" s="51">
        <f>+'ABRIL '!H498+'mayo 2025'!H498+'junioo '!H498</f>
        <v>0</v>
      </c>
      <c r="I498" s="51">
        <f t="shared" si="17"/>
        <v>0</v>
      </c>
      <c r="J498" s="58"/>
    </row>
    <row r="499" spans="1:10" ht="25.5" x14ac:dyDescent="0.25">
      <c r="A499" s="62">
        <v>2</v>
      </c>
      <c r="B499" s="54">
        <v>7</v>
      </c>
      <c r="C499" s="54">
        <v>4</v>
      </c>
      <c r="D499" s="54">
        <v>1</v>
      </c>
      <c r="E499" s="54" t="s">
        <v>320</v>
      </c>
      <c r="F499" s="59" t="s">
        <v>382</v>
      </c>
      <c r="G499" s="56">
        <f>+'ABRIL '!G499+'mayo 2025'!G499+'junioo '!G499</f>
        <v>0</v>
      </c>
      <c r="H499" s="56">
        <f>+'ABRIL '!H499+'mayo 2025'!H499+'junioo '!H499</f>
        <v>0</v>
      </c>
      <c r="I499" s="56">
        <f t="shared" si="17"/>
        <v>0</v>
      </c>
      <c r="J499" s="57">
        <f>I499/$I$25</f>
        <v>0</v>
      </c>
    </row>
    <row r="500" spans="1:10" ht="25.5" x14ac:dyDescent="0.25">
      <c r="A500" s="49">
        <v>2</v>
      </c>
      <c r="B500" s="50">
        <v>7</v>
      </c>
      <c r="C500" s="50">
        <v>4</v>
      </c>
      <c r="D500" s="50">
        <v>2</v>
      </c>
      <c r="E500" s="64"/>
      <c r="F500" s="73" t="s">
        <v>383</v>
      </c>
      <c r="G500" s="51">
        <f>+'ABRIL '!G500+'mayo 2025'!G500+'junioo '!G500</f>
        <v>0</v>
      </c>
      <c r="H500" s="51">
        <f>+'ABRIL '!H500+'mayo 2025'!H500+'junioo '!H500</f>
        <v>0</v>
      </c>
      <c r="I500" s="51">
        <f t="shared" si="17"/>
        <v>0</v>
      </c>
      <c r="J500" s="58"/>
    </row>
    <row r="501" spans="1:10" ht="25.5" x14ac:dyDescent="0.25">
      <c r="A501" s="53">
        <v>2</v>
      </c>
      <c r="B501" s="54">
        <v>7</v>
      </c>
      <c r="C501" s="54">
        <v>4</v>
      </c>
      <c r="D501" s="54">
        <v>2</v>
      </c>
      <c r="E501" s="54" t="s">
        <v>320</v>
      </c>
      <c r="F501" s="59" t="s">
        <v>383</v>
      </c>
      <c r="G501" s="56">
        <f>+'ABRIL '!G501+'mayo 2025'!G501+'junioo '!G501</f>
        <v>0</v>
      </c>
      <c r="H501" s="56">
        <f>+'ABRIL '!H501+'mayo 2025'!H501+'junioo '!H501</f>
        <v>0</v>
      </c>
      <c r="I501" s="56">
        <f t="shared" si="17"/>
        <v>0</v>
      </c>
      <c r="J501" s="57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6:J7 A9:J18" name="Rango1"/>
  </protectedRanges>
  <mergeCells count="20">
    <mergeCell ref="A7:J7"/>
    <mergeCell ref="A2:H2"/>
    <mergeCell ref="A3:J3"/>
    <mergeCell ref="A4:J4"/>
    <mergeCell ref="A5:J5"/>
    <mergeCell ref="A6:J6"/>
    <mergeCell ref="A21:E21"/>
    <mergeCell ref="G21:H21"/>
    <mergeCell ref="A22:E22"/>
    <mergeCell ref="F22:F24"/>
    <mergeCell ref="G22:H22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</mergeCells>
  <pageMargins left="0.7" right="0.7" top="0.75" bottom="0.75" header="0.3" footer="0.3"/>
  <pageSetup scale="5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ABRIL </vt:lpstr>
      <vt:lpstr>mayo 2025</vt:lpstr>
      <vt:lpstr>junioo </vt:lpstr>
      <vt:lpstr>abril-junio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cp:lastPrinted>2025-07-04T14:46:59Z</cp:lastPrinted>
  <dcterms:created xsi:type="dcterms:W3CDTF">2025-07-04T14:32:39Z</dcterms:created>
  <dcterms:modified xsi:type="dcterms:W3CDTF">2025-11-13T18:54:05Z</dcterms:modified>
</cp:coreProperties>
</file>